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60" windowHeight="24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<sst xmlns="http://schemas.openxmlformats.org/spreadsheetml/2006/main" count="86">
  <si>
    <t>年份</t>
  </si>
  <si>
    <t>上课人次</t>
  </si>
  <si>
    <t>消费额</t>
  </si>
  <si>
    <t>人均</t>
  </si>
  <si>
    <t>增长的价格因素：</t>
  </si>
  <si>
    <t>增长的人次因素</t>
  </si>
  <si>
    <t>上课企业数</t>
  </si>
  <si>
    <t>新增企业数</t>
  </si>
  <si>
    <t>来自</t>
  </si>
  <si>
    <t>口碑推荐</t>
  </si>
  <si>
    <t>投资机构</t>
  </si>
  <si>
    <t>2015年</t>
  </si>
  <si>
    <t>2016年</t>
  </si>
  <si>
    <t>2017年</t>
  </si>
  <si>
    <t>2018年</t>
  </si>
  <si>
    <t>2019年</t>
  </si>
  <si>
    <t>2020年</t>
  </si>
  <si>
    <t>2021年</t>
  </si>
  <si>
    <t>来自投资的企业</t>
  </si>
  <si>
    <t>艾柯医疗器械（北京）有限公司</t>
  </si>
  <si>
    <t>傲基科技股份有限公司</t>
  </si>
  <si>
    <t>北京博创联动科技有限公司</t>
  </si>
  <si>
    <t>北京车薄荷科技有限公司</t>
  </si>
  <si>
    <t>北京合思汇智信息技术有限公司</t>
  </si>
  <si>
    <t>北京容联易通信息技术有限公司</t>
  </si>
  <si>
    <t>北京涛思数据科技有限公司</t>
  </si>
  <si>
    <t>北京小步大成科技有限公司</t>
  </si>
  <si>
    <t>北京新火新搽网络科技有限公司</t>
  </si>
  <si>
    <t>北京幸福能量健康科技有限公司</t>
  </si>
  <si>
    <t>北京云道智造科技有限公司</t>
  </si>
  <si>
    <t>北京云歌顺利科技有限公司</t>
  </si>
  <si>
    <t>成都书声科技有限公司</t>
  </si>
  <si>
    <t>谷斗科技（上海）有限公司</t>
  </si>
  <si>
    <t>广州柏为科技有限公司</t>
  </si>
  <si>
    <t>广州冰泉化妆品科技有限公司</t>
  </si>
  <si>
    <t>广州导远电子科技有限公司</t>
  </si>
  <si>
    <t>广州嘉为科技有限公司深圳分公司</t>
  </si>
  <si>
    <t>广州探迹科技有限公司</t>
  </si>
  <si>
    <t>广州云徙科技有限公司</t>
  </si>
  <si>
    <t>杭州贝咖实业有限公司</t>
  </si>
  <si>
    <t>杭州大希地科技股份有限公司</t>
  </si>
  <si>
    <t>杭州剂泰医药科技有限责任公司</t>
  </si>
  <si>
    <t>杭州拓蜂信息技术有限公司</t>
  </si>
  <si>
    <t>和创（北京）科技股份有限公司</t>
  </si>
  <si>
    <t>红杉资本股权投资管理（天津）有限公司</t>
  </si>
  <si>
    <t>江苏微盛网络科技有限公司</t>
  </si>
  <si>
    <t>空中云汇(上海)网络科技有限公司</t>
  </si>
  <si>
    <t>美尚(广州)化妆品股份有限公司</t>
  </si>
  <si>
    <t>平辅寅健康科技（上海）有限公司</t>
  </si>
  <si>
    <t>上海爱湃斯科技有限公司</t>
  </si>
  <si>
    <t>上海本甄餐饮管理有限公司</t>
  </si>
  <si>
    <t>上海大界机器人科技有限公司</t>
  </si>
  <si>
    <t>上海格芒商贸有限责任公司</t>
  </si>
  <si>
    <t>上海纪擎信息技术有限公司</t>
  </si>
  <si>
    <t>上海牛酪品牌管理有限公司</t>
  </si>
  <si>
    <t>上海品伽文化传播有限公司</t>
  </si>
  <si>
    <t>上海奇尔斯科技有限公司</t>
  </si>
  <si>
    <t>上海趣丁餐饮管理有限公司</t>
  </si>
  <si>
    <t>上海杉互健康科技有限公司</t>
  </si>
  <si>
    <t>上海万物有样餐饮管理有限公司</t>
  </si>
  <si>
    <t>上海熙软科技有限公司</t>
  </si>
  <si>
    <t>上海享途网络科技有限公司</t>
  </si>
  <si>
    <t>上海小锄匠餐饮管理有限公司</t>
  </si>
  <si>
    <t>上海信天翁信息科技有限公司</t>
  </si>
  <si>
    <t>上海优集工业软件有限公司</t>
  </si>
  <si>
    <t>上海政高广告有限公司</t>
  </si>
  <si>
    <t>绍兴布凡科技有限公司</t>
  </si>
  <si>
    <t>社宝信息科技（上海）有限公司</t>
  </si>
  <si>
    <t>深圳匠人网络科技有限公司</t>
  </si>
  <si>
    <t>深圳晶泰科技有限公司</t>
  </si>
  <si>
    <t>深圳市惟客数据科技有限公司</t>
  </si>
  <si>
    <t>深圳思谋信息科技有限公司</t>
  </si>
  <si>
    <t>数坤（北京）网络科技股份有限公司</t>
  </si>
  <si>
    <t>四川光良酒业有限公司</t>
  </si>
  <si>
    <t>图达通智能科技（苏州）有限公司</t>
  </si>
  <si>
    <t>团车互联网信息服务（北京）有限公司</t>
  </si>
  <si>
    <t>西安花之歌餐饮有限公司</t>
  </si>
  <si>
    <t>西安兰湘子餐饮管理有公司</t>
  </si>
  <si>
    <t>西安兰湘子餐饮管理有限公司</t>
  </si>
  <si>
    <t>西安市秦淮米谷餐饮服务有限公司</t>
  </si>
  <si>
    <t>易久批信息技术有限公司</t>
  </si>
  <si>
    <t>懿奈（上海）生物科技有限公司</t>
  </si>
  <si>
    <t>优奈柯恩（北京）科技有限公司</t>
  </si>
  <si>
    <t>珍田家贸易（上海）有限公司</t>
  </si>
  <si>
    <t>重庆大司空信息科技有限公司</t>
  </si>
  <si>
    <t>周师兄火锅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</si>
</sst>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30" borderId="9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Sheet1!$B$31</c:f>
              <c:strCache>
                <c:ptCount val="1"/>
                <c:pt idx="0">
                  <c:v>新增企业数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Sheet1!$A$32:$A$38</c:f>
              <c:strCache>
                <c:ptCount val="7"/>
                <c:pt idx="0">
                  <c:v>2015年</c:v>
                </c:pt>
                <c:pt idx="1">
                  <c:v>2016年</c:v>
                </c:pt>
                <c:pt idx="2">
                  <c:v>2017年</c:v>
                </c:pt>
                <c:pt idx="3">
                  <c:v>2018年</c:v>
                </c:pt>
                <c:pt idx="4">
                  <c:v>2019年</c:v>
                </c:pt>
                <c:pt idx="5">
                  <c:v>2020年</c:v>
                </c:pt>
                <c:pt idx="6">
                  <c:v>2021年</c:v>
                </c:pt>
              </c:strCache>
            </c:strRef>
          </c:cat>
          <c:val>
            <c:numRef>
              <c:f>Sheet1!$B$32:$B$38</c:f>
              <c:numCache>
                <c:formatCode>General</c:formatCode>
                <c:ptCount val="7"/>
                <c:pt idx="0">
                  <c:v>729</c:v>
                </c:pt>
                <c:pt idx="1">
                  <c:v>778</c:v>
                </c:pt>
                <c:pt idx="2">
                  <c:v>1054</c:v>
                </c:pt>
                <c:pt idx="3">
                  <c:v>1391</c:v>
                </c:pt>
                <c:pt idx="4">
                  <c:v>1650</c:v>
                </c:pt>
                <c:pt idx="5">
                  <c:v>844</c:v>
                </c:pt>
                <c:pt idx="6">
                  <c:v>1297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398264"/>
        <c:axId val="842046872"/>
      </c:barChart>
      <c:catAx>
        <c:axId val="795398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046872"/>
        <c:crosses val="autoZero"/>
        <c:auto val="1"/>
        <c:lblAlgn val="ctr"/>
        <c:lblOffset val="100"/>
        <c:noMultiLvlLbl val="0"/>
      </c:catAx>
      <c:valAx>
        <c:axId val="84204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5398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新增企业来源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Sheet1!$L$31:$M$31</c:f>
              <c:strCache>
                <c:ptCount val="2"/>
                <c:pt idx="0">
                  <c:v>口碑推荐</c:v>
                </c:pt>
                <c:pt idx="1">
                  <c:v>投资机构</c:v>
                </c:pt>
              </c:strCache>
            </c:strRef>
          </c:cat>
          <c:val>
            <c:numRef>
              <c:f>Sheet1!$L$32:$M$32</c:f>
              <c:numCache>
                <c:formatCode>General</c:formatCode>
                <c:ptCount val="2"/>
                <c:pt idx="0">
                  <c:v>1073</c:v>
                </c:pt>
                <c:pt idx="1">
                  <c:v>224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436880</xdr:colOff>
      <xdr:row>20</xdr:row>
      <xdr:rowOff>168910</xdr:rowOff>
    </xdr:from>
    <xdr:to>
      <xdr:col>9</xdr:col>
      <xdr:colOff>67945</xdr:colOff>
      <xdr:row>37</xdr:row>
      <xdr:rowOff>64135</xdr:rowOff>
    </xdr:to>
    <xdr:graphicFrame>
      <xdr:nvGraphicFramePr>
        <xdr:cNvPr id="5" name="图表 4"/>
        <xdr:cNvGraphicFramePr/>
      </xdr:nvGraphicFramePr>
      <xdr:xfrm>
        <a:off x="1809750" y="4436110"/>
        <a:ext cx="6216650" cy="3522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173355</xdr:colOff>
      <xdr:row>33</xdr:row>
      <xdr:rowOff>140335</xdr:rowOff>
    </xdr:from>
    <xdr:to>
      <xdr:col>16</xdr:col>
      <xdr:colOff>464820</xdr:colOff>
      <xdr:row>48</xdr:row>
      <xdr:rowOff>24130</xdr:rowOff>
    </xdr:to>
    <xdr:graphicFrame>
      <xdr:nvGraphicFramePr>
        <xdr:cNvPr id="7" name="图表 6"/>
        <xdr:cNvGraphicFramePr/>
      </xdr:nvGraphicFramePr>
      <xdr:xfrm>
        <a:off x="8726170" y="7181215"/>
        <a:ext cx="4380865" cy="3084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07"/>
  <sheetViews>
    <sheetView tabSelected="1" topLeftCell="D9" workbookViewId="0">
      <selection activeCell="M53" sqref="M53"/>
    </sheetView>
  </sheetViews>
  <sheetFormatPr defaultColWidth="9" defaultRowHeight="16.8"/>
  <cols>
    <col min="1" max="1" width="9.28846153846154" customWidth="1"/>
    <col min="2" max="2" width="11.5" customWidth="1"/>
    <col min="4" max="4" width="37.875" customWidth="1"/>
    <col min="5" max="6" width="12.9230769230769"/>
    <col min="11" max="11" width="11.8557692307692" customWidth="1"/>
    <col min="12" max="12" width="10.7307692307692" customWidth="1"/>
    <col min="13" max="13" width="12.3365384615385" customWidth="1"/>
  </cols>
  <sheetData>
    <row r="1" spans="1:5">
      <c r="A1" s="1" t="s">
        <v>0</v>
      </c>
      <c r="B1" s="1" t="s">
        <v>1</v>
      </c>
      <c r="D1" t="s">
        <v>2</v>
      </c>
      <c r="E1" t="s">
        <v>3</v>
      </c>
    </row>
    <row r="2" spans="1:2">
      <c r="A2" s="2">
        <v>2015</v>
      </c>
      <c r="B2" s="2">
        <v>1264</v>
      </c>
    </row>
    <row r="3" spans="1:2">
      <c r="A3" s="2">
        <v>2016</v>
      </c>
      <c r="B3" s="2">
        <v>1911</v>
      </c>
    </row>
    <row r="4" spans="1:2">
      <c r="A4" s="2">
        <v>2017</v>
      </c>
      <c r="B4" s="2">
        <v>4149</v>
      </c>
    </row>
    <row r="5" spans="1:2">
      <c r="A5" s="2">
        <v>2018</v>
      </c>
      <c r="B5" s="2">
        <v>6404</v>
      </c>
    </row>
    <row r="6" spans="1:5">
      <c r="A6" s="2">
        <v>2019</v>
      </c>
      <c r="B6" s="2">
        <v>9886</v>
      </c>
      <c r="D6">
        <v>42792000</v>
      </c>
      <c r="E6">
        <f>D6/B6</f>
        <v>4328.54541776249</v>
      </c>
    </row>
    <row r="7" spans="1:2">
      <c r="A7" s="2">
        <v>2020</v>
      </c>
      <c r="B7" s="2">
        <v>5541</v>
      </c>
    </row>
    <row r="8" spans="1:5">
      <c r="A8" s="2">
        <v>2021</v>
      </c>
      <c r="B8" s="2">
        <v>10523</v>
      </c>
      <c r="D8">
        <v>50797000</v>
      </c>
      <c r="E8">
        <f>D8/B8</f>
        <v>4827.23557920745</v>
      </c>
    </row>
    <row r="10" spans="5:6">
      <c r="E10" t="s">
        <v>4</v>
      </c>
      <c r="F10">
        <f>(E8-E6)/E6</f>
        <v>0.115209640494598</v>
      </c>
    </row>
    <row r="11" spans="5:6">
      <c r="E11" t="s">
        <v>5</v>
      </c>
      <c r="F11">
        <f>(B8-B6)/B6</f>
        <v>0.0644345539146267</v>
      </c>
    </row>
    <row r="16" spans="1:2">
      <c r="A16" s="1" t="s">
        <v>0</v>
      </c>
      <c r="B16" s="1" t="s">
        <v>6</v>
      </c>
    </row>
    <row r="17" spans="1:2">
      <c r="A17" s="2">
        <v>2015</v>
      </c>
      <c r="B17" s="2">
        <v>712</v>
      </c>
    </row>
    <row r="18" spans="1:2">
      <c r="A18" s="2">
        <v>2016</v>
      </c>
      <c r="B18" s="2">
        <v>923</v>
      </c>
    </row>
    <row r="19" spans="1:2">
      <c r="A19" s="2">
        <v>2017</v>
      </c>
      <c r="B19" s="2">
        <v>1441</v>
      </c>
    </row>
    <row r="20" spans="1:2">
      <c r="A20" s="2">
        <v>2018</v>
      </c>
      <c r="B20" s="2">
        <v>2097</v>
      </c>
    </row>
    <row r="21" spans="1:2">
      <c r="A21" s="2">
        <v>2019</v>
      </c>
      <c r="B21" s="2">
        <v>2741</v>
      </c>
    </row>
    <row r="22" spans="1:2">
      <c r="A22" s="2">
        <v>2020</v>
      </c>
      <c r="B22" s="2">
        <v>1659</v>
      </c>
    </row>
    <row r="23" spans="1:2">
      <c r="A23" s="2">
        <v>2021</v>
      </c>
      <c r="B23" s="2">
        <v>2419</v>
      </c>
    </row>
    <row r="31" spans="1:13">
      <c r="A31" s="1" t="s">
        <v>0</v>
      </c>
      <c r="B31" s="1" t="s">
        <v>7</v>
      </c>
      <c r="K31" t="s">
        <v>8</v>
      </c>
      <c r="L31" t="s">
        <v>9</v>
      </c>
      <c r="M31" t="s">
        <v>10</v>
      </c>
    </row>
    <row r="32" spans="1:13">
      <c r="A32" s="2" t="s">
        <v>11</v>
      </c>
      <c r="B32" s="2">
        <v>729</v>
      </c>
      <c r="L32">
        <f>1297-224</f>
        <v>1073</v>
      </c>
      <c r="M32">
        <v>224</v>
      </c>
    </row>
    <row r="33" spans="1:2">
      <c r="A33" s="2" t="s">
        <v>12</v>
      </c>
      <c r="B33" s="2">
        <v>778</v>
      </c>
    </row>
    <row r="34" spans="1:2">
      <c r="A34" s="2" t="s">
        <v>13</v>
      </c>
      <c r="B34" s="2">
        <v>1054</v>
      </c>
    </row>
    <row r="35" spans="1:2">
      <c r="A35" s="2" t="s">
        <v>14</v>
      </c>
      <c r="B35" s="2">
        <v>1391</v>
      </c>
    </row>
    <row r="36" spans="1:2">
      <c r="A36" s="2" t="s">
        <v>15</v>
      </c>
      <c r="B36" s="2">
        <v>1650</v>
      </c>
    </row>
    <row r="37" spans="1:2">
      <c r="A37" s="2" t="s">
        <v>16</v>
      </c>
      <c r="B37" s="2">
        <v>844</v>
      </c>
    </row>
    <row r="38" spans="1:2">
      <c r="A38" s="2" t="s">
        <v>17</v>
      </c>
      <c r="B38" s="2">
        <v>1297</v>
      </c>
    </row>
    <row r="40" spans="4:4">
      <c r="D40" s="3" t="s">
        <v>18</v>
      </c>
    </row>
    <row r="41" spans="4:4">
      <c r="D41" s="2" t="s">
        <v>19</v>
      </c>
    </row>
    <row r="42" spans="4:4">
      <c r="D42" s="2" t="s">
        <v>20</v>
      </c>
    </row>
    <row r="43" spans="4:4">
      <c r="D43" s="2" t="s">
        <v>21</v>
      </c>
    </row>
    <row r="44" spans="4:4">
      <c r="D44" s="2" t="s">
        <v>22</v>
      </c>
    </row>
    <row r="45" spans="4:4">
      <c r="D45" s="2" t="s">
        <v>23</v>
      </c>
    </row>
    <row r="46" spans="4:4">
      <c r="D46" s="2" t="s">
        <v>24</v>
      </c>
    </row>
    <row r="47" spans="4:4">
      <c r="D47" s="2" t="s">
        <v>25</v>
      </c>
    </row>
    <row r="48" spans="4:4">
      <c r="D48" s="2" t="s">
        <v>26</v>
      </c>
    </row>
    <row r="49" spans="4:4">
      <c r="D49" s="2" t="s">
        <v>27</v>
      </c>
    </row>
    <row r="50" spans="4:4">
      <c r="D50" s="2" t="s">
        <v>28</v>
      </c>
    </row>
    <row r="51" spans="4:4">
      <c r="D51" s="2" t="s">
        <v>29</v>
      </c>
    </row>
    <row r="52" spans="4:4">
      <c r="D52" s="2" t="s">
        <v>30</v>
      </c>
    </row>
    <row r="53" spans="4:4">
      <c r="D53" s="2" t="s">
        <v>31</v>
      </c>
    </row>
    <row r="54" spans="4:4">
      <c r="D54" s="2" t="s">
        <v>32</v>
      </c>
    </row>
    <row r="55" spans="4:4">
      <c r="D55" s="2" t="s">
        <v>33</v>
      </c>
    </row>
    <row r="56" spans="4:4">
      <c r="D56" s="2" t="s">
        <v>34</v>
      </c>
    </row>
    <row r="57" spans="4:4">
      <c r="D57" s="2" t="s">
        <v>35</v>
      </c>
    </row>
    <row r="58" spans="4:4">
      <c r="D58" s="2" t="s">
        <v>36</v>
      </c>
    </row>
    <row r="59" spans="4:4">
      <c r="D59" s="2" t="s">
        <v>37</v>
      </c>
    </row>
    <row r="60" spans="4:4">
      <c r="D60" s="2" t="s">
        <v>38</v>
      </c>
    </row>
    <row r="61" spans="4:4">
      <c r="D61" s="2" t="s">
        <v>39</v>
      </c>
    </row>
    <row r="62" spans="4:4">
      <c r="D62" s="2" t="s">
        <v>40</v>
      </c>
    </row>
    <row r="63" spans="4:4">
      <c r="D63" s="2" t="s">
        <v>41</v>
      </c>
    </row>
    <row r="64" spans="4:4">
      <c r="D64" s="2" t="s">
        <v>42</v>
      </c>
    </row>
    <row r="65" spans="4:4">
      <c r="D65" s="2" t="s">
        <v>43</v>
      </c>
    </row>
    <row r="66" spans="4:4">
      <c r="D66" s="2" t="s">
        <v>44</v>
      </c>
    </row>
    <row r="67" spans="4:4">
      <c r="D67" s="2" t="s">
        <v>45</v>
      </c>
    </row>
    <row r="68" spans="4:4">
      <c r="D68" s="2" t="s">
        <v>46</v>
      </c>
    </row>
    <row r="69" spans="4:4">
      <c r="D69" s="2" t="s">
        <v>47</v>
      </c>
    </row>
    <row r="70" spans="4:4">
      <c r="D70" s="2" t="s">
        <v>48</v>
      </c>
    </row>
    <row r="71" spans="4:4">
      <c r="D71" s="2" t="s">
        <v>49</v>
      </c>
    </row>
    <row r="72" spans="4:4">
      <c r="D72" s="2" t="s">
        <v>50</v>
      </c>
    </row>
    <row r="73" spans="4:4">
      <c r="D73" s="2" t="s">
        <v>51</v>
      </c>
    </row>
    <row r="74" spans="4:4">
      <c r="D74" s="2" t="s">
        <v>52</v>
      </c>
    </row>
    <row r="75" spans="4:4">
      <c r="D75" s="2" t="s">
        <v>53</v>
      </c>
    </row>
    <row r="76" spans="4:4">
      <c r="D76" s="2" t="s">
        <v>54</v>
      </c>
    </row>
    <row r="77" spans="4:4">
      <c r="D77" s="2" t="s">
        <v>55</v>
      </c>
    </row>
    <row r="78" spans="4:4">
      <c r="D78" s="2" t="s">
        <v>56</v>
      </c>
    </row>
    <row r="79" spans="4:4">
      <c r="D79" s="2" t="s">
        <v>57</v>
      </c>
    </row>
    <row r="80" spans="4:4">
      <c r="D80" s="2" t="s">
        <v>58</v>
      </c>
    </row>
    <row r="81" spans="4:4">
      <c r="D81" s="2" t="s">
        <v>59</v>
      </c>
    </row>
    <row r="82" spans="4:4">
      <c r="D82" s="2" t="s">
        <v>60</v>
      </c>
    </row>
    <row r="83" spans="4:4">
      <c r="D83" s="2" t="s">
        <v>61</v>
      </c>
    </row>
    <row r="84" spans="4:4">
      <c r="D84" s="2" t="s">
        <v>62</v>
      </c>
    </row>
    <row r="85" spans="4:4">
      <c r="D85" s="2" t="s">
        <v>63</v>
      </c>
    </row>
    <row r="86" spans="4:4">
      <c r="D86" s="2" t="s">
        <v>64</v>
      </c>
    </row>
    <row r="87" spans="4:4">
      <c r="D87" s="2" t="s">
        <v>65</v>
      </c>
    </row>
    <row r="88" spans="4:4">
      <c r="D88" s="2" t="s">
        <v>66</v>
      </c>
    </row>
    <row r="89" spans="4:4">
      <c r="D89" s="2" t="s">
        <v>67</v>
      </c>
    </row>
    <row r="90" spans="4:4">
      <c r="D90" s="2" t="s">
        <v>68</v>
      </c>
    </row>
    <row r="91" spans="4:4">
      <c r="D91" s="2" t="s">
        <v>69</v>
      </c>
    </row>
    <row r="92" spans="4:4">
      <c r="D92" s="2" t="s">
        <v>70</v>
      </c>
    </row>
    <row r="93" spans="4:4">
      <c r="D93" s="2" t="s">
        <v>71</v>
      </c>
    </row>
    <row r="94" spans="4:4">
      <c r="D94" s="2" t="s">
        <v>72</v>
      </c>
    </row>
    <row r="95" spans="4:4">
      <c r="D95" s="2" t="s">
        <v>73</v>
      </c>
    </row>
    <row r="96" spans="4:4">
      <c r="D96" s="2" t="s">
        <v>74</v>
      </c>
    </row>
    <row r="97" spans="4:4">
      <c r="D97" s="2" t="s">
        <v>75</v>
      </c>
    </row>
    <row r="98" spans="4:4">
      <c r="D98" s="2" t="s">
        <v>76</v>
      </c>
    </row>
    <row r="99" spans="4:4">
      <c r="D99" s="2" t="s">
        <v>77</v>
      </c>
    </row>
    <row r="100" spans="4:4">
      <c r="D100" s="2" t="s">
        <v>78</v>
      </c>
    </row>
    <row r="101" spans="4:4">
      <c r="D101" s="2" t="s">
        <v>79</v>
      </c>
    </row>
    <row r="102" spans="4:4">
      <c r="D102" s="2" t="s">
        <v>80</v>
      </c>
    </row>
    <row r="103" spans="4:4">
      <c r="D103" s="2" t="s">
        <v>81</v>
      </c>
    </row>
    <row r="104" spans="4:4">
      <c r="D104" s="2" t="s">
        <v>82</v>
      </c>
    </row>
    <row r="105" spans="4:4">
      <c r="D105" s="2" t="s">
        <v>83</v>
      </c>
    </row>
    <row r="106" spans="4:4">
      <c r="D106" s="2" t="s">
        <v>84</v>
      </c>
    </row>
    <row r="107" spans="4:4">
      <c r="D107" s="2" t="s">
        <v>85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2021-12-28T22:22:00Z</dcterms:created>
  <dcterms:modified xsi:type="dcterms:W3CDTF">2022-01-01T20:08:36Z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576A245771D548FCA24C28F931AAE5DE</vt:lpwstr>
  </property>
  <property fmtid="{D5CDD505-2E9C-101B-9397-08002B2CF9AE}" pid="3" name="KSOProductBuildVer">
    <vt:lpwstr>2052-3.9.3.6359</vt:lpwstr>
  </property>
</Properties>
</file>