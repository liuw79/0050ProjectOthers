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540" windowHeight="22280" firstSheet="1" activeTab="1"/>
  </bookViews>
  <sheets>
    <sheet name="按订单时间统计" sheetId="1" state="hidden" r:id="rId1"/>
    <sheet name="按开课时间统计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<sst xmlns="http://schemas.openxmlformats.org/spreadsheetml/2006/main" count="16">
  <si>
    <t>全国</t>
  </si>
  <si>
    <t>大众学友</t>
  </si>
  <si>
    <t>稳健学友</t>
  </si>
  <si>
    <t>高潜学友</t>
  </si>
  <si>
    <t>明星学友</t>
  </si>
  <si>
    <t>C类用户</t>
  </si>
  <si>
    <t>不评级</t>
  </si>
  <si>
    <t>未评级</t>
  </si>
  <si>
    <t>总计</t>
  </si>
  <si>
    <t>2021下半年</t>
  </si>
  <si>
    <t>2020下半年</t>
  </si>
  <si>
    <t>上海</t>
  </si>
  <si>
    <t>广州</t>
  </si>
  <si>
    <t>深圳</t>
  </si>
  <si>
    <t>厦门</t>
  </si>
  <si>
    <t>北京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</si>
</sst>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0" fontId="5" fillId="30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9" fillId="31" borderId="8" applyNumberForma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17" fillId="15" borderId="8" applyNumberFormat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2" fillId="17" borderId="6" applyNumberFormat="0" applyAlignment="0" applyProtection="0">
      <alignment vertical="center"/>
    </xf>
    <xf numFmtId="0" fontId="11" fillId="15" borderId="5" applyNumberFormat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0" fillId="25" borderId="9" applyNumberFormat="0" applyFont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0" borderId="4" applyNumberFormat="0" applyFill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3" fillId="0" borderId="3" applyNumberFormat="0" applyFill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2" fillId="0" borderId="2" applyNumberFormat="0" applyFill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0" fillId="0" borderId="1" xfId="0" applyBorder="1">
      <alignment vertical="center"/>
    </xf>
    <xf numFmtId="0" fontId="0" fillId="0" borderId="1" xfId="0" applyNumberFormat="1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altLang="en-US"/>
              <a:t>广州</a:t>
            </a:r>
            <a:r>
              <a:rPr lang="en-US" altLang="zh-CN"/>
              <a:t>4</a:t>
            </a:r>
            <a:r>
              <a:rPr altLang="en-US"/>
              <a:t>类用户公开课总额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spPr/>
          <c:explosion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elete val="1"/>
          </c:dLbls>
          <c:cat>
            <c:strRef>
              <c:f>按开课时间统计!$B$16:$H$16</c:f>
              <c:strCache>
                <c:ptCount val="7"/>
                <c:pt idx="0">
                  <c:v>大众学友</c:v>
                </c:pt>
                <c:pt idx="1">
                  <c:v>稳健学友</c:v>
                </c:pt>
                <c:pt idx="2">
                  <c:v>高潜学友</c:v>
                </c:pt>
                <c:pt idx="3">
                  <c:v>明星学友</c:v>
                </c:pt>
                <c:pt idx="4">
                  <c:v>C类用户</c:v>
                </c:pt>
                <c:pt idx="5">
                  <c:v>不评级</c:v>
                </c:pt>
                <c:pt idx="6">
                  <c:v>未评级</c:v>
                </c:pt>
              </c:strCache>
            </c:strRef>
          </c:cat>
          <c:val>
            <c:numRef>
              <c:f>按开课时间统计!$B$17:$H$17</c:f>
              <c:numCache>
                <c:formatCode>General</c:formatCode>
                <c:ptCount val="7"/>
                <c:pt idx="0">
                  <c:v>297157.51</c:v>
                </c:pt>
                <c:pt idx="1">
                  <c:v>492832</c:v>
                </c:pt>
                <c:pt idx="2">
                  <c:v>88670</c:v>
                </c:pt>
                <c:pt idx="3">
                  <c:v>164246.5</c:v>
                </c:pt>
                <c:pt idx="4">
                  <c:v>10660</c:v>
                </c:pt>
                <c:pt idx="5">
                  <c:v>57520</c:v>
                </c:pt>
                <c:pt idx="6">
                  <c:v>1268961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深圳4类用户公开课总额</a:t>
            </a:r>
          </a:p>
        </c:rich>
      </c:tx>
      <c:layout>
        <c:manualLayout>
          <c:xMode val="edge"/>
          <c:yMode val="edge"/>
          <c:x val="0.31700367719145"/>
          <c:y val="0.029491275497665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spPr/>
          <c:explosion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elete val="1"/>
          </c:dLbls>
          <c:cat>
            <c:strRef>
              <c:f>按开课时间统计!$B$23:$H$23</c:f>
              <c:strCache>
                <c:ptCount val="7"/>
                <c:pt idx="0">
                  <c:v>大众学友</c:v>
                </c:pt>
                <c:pt idx="1">
                  <c:v>稳健学友</c:v>
                </c:pt>
                <c:pt idx="2">
                  <c:v>高潜学友</c:v>
                </c:pt>
                <c:pt idx="3">
                  <c:v>明星学友</c:v>
                </c:pt>
                <c:pt idx="4">
                  <c:v>C类用户</c:v>
                </c:pt>
                <c:pt idx="5">
                  <c:v>不评级</c:v>
                </c:pt>
                <c:pt idx="6">
                  <c:v>未评级</c:v>
                </c:pt>
              </c:strCache>
            </c:strRef>
          </c:cat>
          <c:val>
            <c:numRef>
              <c:f>按开课时间统计!$B$24:$H$24</c:f>
              <c:numCache>
                <c:formatCode>General</c:formatCode>
                <c:ptCount val="7"/>
                <c:pt idx="0">
                  <c:v>1884278.85</c:v>
                </c:pt>
                <c:pt idx="1">
                  <c:v>3038806.07</c:v>
                </c:pt>
                <c:pt idx="2">
                  <c:v>937170</c:v>
                </c:pt>
                <c:pt idx="3">
                  <c:v>1447841</c:v>
                </c:pt>
                <c:pt idx="4">
                  <c:v>24470</c:v>
                </c:pt>
                <c:pt idx="5">
                  <c:v>196293</c:v>
                </c:pt>
                <c:pt idx="6">
                  <c:v>4198886.09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北京4类用户公开课总额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spPr/>
          <c:explosion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elete val="1"/>
          </c:dLbls>
          <c:cat>
            <c:strRef>
              <c:f>按开课时间统计!$B$36:$H$36</c:f>
              <c:strCache>
                <c:ptCount val="7"/>
                <c:pt idx="0">
                  <c:v>大众学友</c:v>
                </c:pt>
                <c:pt idx="1">
                  <c:v>稳健学友</c:v>
                </c:pt>
                <c:pt idx="2">
                  <c:v>高潜学友</c:v>
                </c:pt>
                <c:pt idx="3">
                  <c:v>明星学友</c:v>
                </c:pt>
                <c:pt idx="4">
                  <c:v>C类用户</c:v>
                </c:pt>
                <c:pt idx="5">
                  <c:v>不评级</c:v>
                </c:pt>
                <c:pt idx="6">
                  <c:v>未评级</c:v>
                </c:pt>
              </c:strCache>
            </c:strRef>
          </c:cat>
          <c:val>
            <c:numRef>
              <c:f>按开课时间统计!$B$37:$H$37</c:f>
              <c:numCache>
                <c:formatCode>General</c:formatCode>
                <c:ptCount val="7"/>
                <c:pt idx="0">
                  <c:v>108540</c:v>
                </c:pt>
                <c:pt idx="1">
                  <c:v>339595</c:v>
                </c:pt>
                <c:pt idx="2">
                  <c:v>39950</c:v>
                </c:pt>
                <c:pt idx="3">
                  <c:v>5920</c:v>
                </c:pt>
                <c:pt idx="4">
                  <c:v>4330</c:v>
                </c:pt>
                <c:pt idx="5">
                  <c:v>19920</c:v>
                </c:pt>
                <c:pt idx="6">
                  <c:v>384905.5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厦门4类用户公开课总额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spPr/>
          <c:explosion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elete val="1"/>
          </c:dLbls>
          <c:cat>
            <c:strRef>
              <c:f>按开课时间统计!$B$29:$H$29</c:f>
              <c:strCache>
                <c:ptCount val="7"/>
                <c:pt idx="0">
                  <c:v>大众学友</c:v>
                </c:pt>
                <c:pt idx="1">
                  <c:v>稳健学友</c:v>
                </c:pt>
                <c:pt idx="2">
                  <c:v>高潜学友</c:v>
                </c:pt>
                <c:pt idx="3">
                  <c:v>明星学友</c:v>
                </c:pt>
                <c:pt idx="4">
                  <c:v>C类用户</c:v>
                </c:pt>
                <c:pt idx="5">
                  <c:v>不评级</c:v>
                </c:pt>
                <c:pt idx="6">
                  <c:v>未评级</c:v>
                </c:pt>
              </c:strCache>
            </c:strRef>
          </c:cat>
          <c:val>
            <c:numRef>
              <c:f>按开课时间统计!$B$30:$H$30</c:f>
              <c:numCache>
                <c:formatCode>General</c:formatCode>
                <c:ptCount val="7"/>
                <c:pt idx="0">
                  <c:v>195035</c:v>
                </c:pt>
                <c:pt idx="1">
                  <c:v>411520</c:v>
                </c:pt>
                <c:pt idx="2">
                  <c:v>14788</c:v>
                </c:pt>
                <c:pt idx="3">
                  <c:v>77490</c:v>
                </c:pt>
                <c:pt idx="4">
                  <c:v>20601</c:v>
                </c:pt>
                <c:pt idx="5">
                  <c:v>33080</c:v>
                </c:pt>
                <c:pt idx="6">
                  <c:v>422221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上海4类用户公开课总额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spPr/>
          <c:explosion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elete val="1"/>
          </c:dLbls>
          <c:cat>
            <c:strRef>
              <c:f>按开课时间统计!$B$9:$H$9</c:f>
              <c:strCache>
                <c:ptCount val="7"/>
                <c:pt idx="0">
                  <c:v>大众学友</c:v>
                </c:pt>
                <c:pt idx="1">
                  <c:v>稳健学友</c:v>
                </c:pt>
                <c:pt idx="2">
                  <c:v>高潜学友</c:v>
                </c:pt>
                <c:pt idx="3">
                  <c:v>明星学友</c:v>
                </c:pt>
                <c:pt idx="4">
                  <c:v>C类用户</c:v>
                </c:pt>
                <c:pt idx="5">
                  <c:v>不评级</c:v>
                </c:pt>
                <c:pt idx="6">
                  <c:v>未评级</c:v>
                </c:pt>
              </c:strCache>
            </c:strRef>
          </c:cat>
          <c:val>
            <c:numRef>
              <c:f>按开课时间统计!$B$10:$H$10</c:f>
              <c:numCache>
                <c:formatCode>General</c:formatCode>
                <c:ptCount val="7"/>
                <c:pt idx="0">
                  <c:v>1777686.5</c:v>
                </c:pt>
                <c:pt idx="1">
                  <c:v>4058723.67</c:v>
                </c:pt>
                <c:pt idx="2">
                  <c:v>1637161.29</c:v>
                </c:pt>
                <c:pt idx="3">
                  <c:v>807813</c:v>
                </c:pt>
                <c:pt idx="4">
                  <c:v>0</c:v>
                </c:pt>
                <c:pt idx="5">
                  <c:v>135990</c:v>
                </c:pt>
                <c:pt idx="6">
                  <c:v>1932392.98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235585</xdr:colOff>
      <xdr:row>31</xdr:row>
      <xdr:rowOff>189865</xdr:rowOff>
    </xdr:from>
    <xdr:to>
      <xdr:col>16</xdr:col>
      <xdr:colOff>407670</xdr:colOff>
      <xdr:row>44</xdr:row>
      <xdr:rowOff>159385</xdr:rowOff>
    </xdr:to>
    <xdr:graphicFrame>
      <xdr:nvGraphicFramePr>
        <xdr:cNvPr id="6" name="图表 5"/>
        <xdr:cNvGraphicFramePr/>
      </xdr:nvGraphicFramePr>
      <xdr:xfrm>
        <a:off x="7912735" y="8053705"/>
        <a:ext cx="4572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278765</xdr:colOff>
      <xdr:row>18</xdr:row>
      <xdr:rowOff>62865</xdr:rowOff>
    </xdr:from>
    <xdr:to>
      <xdr:col>16</xdr:col>
      <xdr:colOff>450850</xdr:colOff>
      <xdr:row>31</xdr:row>
      <xdr:rowOff>32385</xdr:rowOff>
    </xdr:to>
    <xdr:graphicFrame>
      <xdr:nvGraphicFramePr>
        <xdr:cNvPr id="7" name="图表 6"/>
        <xdr:cNvGraphicFramePr/>
      </xdr:nvGraphicFramePr>
      <xdr:xfrm>
        <a:off x="7955915" y="5153025"/>
        <a:ext cx="4572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214630</xdr:colOff>
      <xdr:row>45</xdr:row>
      <xdr:rowOff>136525</xdr:rowOff>
    </xdr:from>
    <xdr:to>
      <xdr:col>16</xdr:col>
      <xdr:colOff>386715</xdr:colOff>
      <xdr:row>58</xdr:row>
      <xdr:rowOff>106045</xdr:rowOff>
    </xdr:to>
    <xdr:graphicFrame>
      <xdr:nvGraphicFramePr>
        <xdr:cNvPr id="9" name="图表 8"/>
        <xdr:cNvGraphicFramePr/>
      </xdr:nvGraphicFramePr>
      <xdr:xfrm>
        <a:off x="7891780" y="10987405"/>
        <a:ext cx="4572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466090</xdr:colOff>
      <xdr:row>40</xdr:row>
      <xdr:rowOff>93980</xdr:rowOff>
    </xdr:from>
    <xdr:to>
      <xdr:col>7</xdr:col>
      <xdr:colOff>473075</xdr:colOff>
      <xdr:row>53</xdr:row>
      <xdr:rowOff>63500</xdr:rowOff>
    </xdr:to>
    <xdr:graphicFrame>
      <xdr:nvGraphicFramePr>
        <xdr:cNvPr id="10" name="图表 9"/>
        <xdr:cNvGraphicFramePr/>
      </xdr:nvGraphicFramePr>
      <xdr:xfrm>
        <a:off x="2150110" y="9878060"/>
        <a:ext cx="4572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309245</xdr:colOff>
      <xdr:row>7</xdr:row>
      <xdr:rowOff>67945</xdr:rowOff>
    </xdr:from>
    <xdr:to>
      <xdr:col>16</xdr:col>
      <xdr:colOff>481330</xdr:colOff>
      <xdr:row>17</xdr:row>
      <xdr:rowOff>108585</xdr:rowOff>
    </xdr:to>
    <xdr:graphicFrame>
      <xdr:nvGraphicFramePr>
        <xdr:cNvPr id="11" name="图表 10"/>
        <xdr:cNvGraphicFramePr/>
      </xdr:nvGraphicFramePr>
      <xdr:xfrm>
        <a:off x="7986395" y="2265045"/>
        <a:ext cx="4572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I38"/>
  <sheetViews>
    <sheetView workbookViewId="0">
      <selection activeCell="H2" sqref="H2"/>
    </sheetView>
  </sheetViews>
  <sheetFormatPr defaultColWidth="9" defaultRowHeight="16.8"/>
  <cols>
    <col min="1" max="1" width="12.125" customWidth="1"/>
    <col min="2" max="2" width="13.375" customWidth="1"/>
    <col min="3" max="3" width="14.375" customWidth="1"/>
    <col min="4" max="4" width="15.25" customWidth="1"/>
    <col min="5" max="5" width="9.375" customWidth="1"/>
    <col min="6" max="6" width="8.5" customWidth="1"/>
    <col min="7" max="7" width="9.375"/>
    <col min="8" max="8" width="11.5"/>
    <col min="9" max="9" width="12.625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44" customHeight="1" spans="1:9">
      <c r="A2" s="1" t="s">
        <v>9</v>
      </c>
      <c r="B2" s="2">
        <v>4274557.86</v>
      </c>
      <c r="C2" s="2">
        <v>10354606.74</v>
      </c>
      <c r="D2" s="2">
        <v>2800993.29</v>
      </c>
      <c r="E2" s="2">
        <v>2524510.5</v>
      </c>
      <c r="F2" s="2">
        <v>47070</v>
      </c>
      <c r="G2" s="2">
        <v>387392</v>
      </c>
      <c r="H2" s="2">
        <v>8324950.57</v>
      </c>
      <c r="I2" s="2">
        <f>SUM(B2:H2)</f>
        <v>28714080.96</v>
      </c>
    </row>
    <row r="3" ht="45" customHeight="1" spans="1:9">
      <c r="A3" s="1" t="s">
        <v>10</v>
      </c>
      <c r="B3" s="2">
        <v>4751673.5</v>
      </c>
      <c r="C3" s="2">
        <v>11223195.5</v>
      </c>
      <c r="D3" s="2">
        <v>956350</v>
      </c>
      <c r="E3" s="2">
        <v>3844762</v>
      </c>
      <c r="F3" s="3">
        <v>141942</v>
      </c>
      <c r="G3" s="2">
        <v>1320725.5</v>
      </c>
      <c r="H3" s="2">
        <v>7584609</v>
      </c>
      <c r="I3" s="2">
        <f>SUM(B3:H3)</f>
        <v>29823257.5</v>
      </c>
    </row>
    <row r="9" ht="12" customHeight="1" spans="1:9">
      <c r="A9" s="1" t="s">
        <v>11</v>
      </c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ht="39" customHeight="1" spans="1:9">
      <c r="A10" s="1" t="s">
        <v>9</v>
      </c>
      <c r="B10" s="2">
        <v>1777686.5</v>
      </c>
      <c r="C10" s="2">
        <v>4058723.67</v>
      </c>
      <c r="D10" s="2">
        <v>1637161.29</v>
      </c>
      <c r="E10" s="2">
        <v>807813</v>
      </c>
      <c r="F10" s="2">
        <v>0</v>
      </c>
      <c r="G10" s="2">
        <v>76020</v>
      </c>
      <c r="H10" s="2">
        <v>1932392.98</v>
      </c>
      <c r="I10" s="2">
        <f>SUM(B10:H10)</f>
        <v>10289797.44</v>
      </c>
    </row>
    <row r="11" ht="41" customHeight="1" spans="1:9">
      <c r="A11" s="1" t="s">
        <v>10</v>
      </c>
      <c r="B11" s="2">
        <v>1601539</v>
      </c>
      <c r="C11" s="2">
        <v>3301801</v>
      </c>
      <c r="D11" s="2">
        <v>126210</v>
      </c>
      <c r="E11" s="2">
        <v>340942</v>
      </c>
      <c r="F11" s="4">
        <v>41880</v>
      </c>
      <c r="G11" s="2">
        <v>265785</v>
      </c>
      <c r="H11" s="2">
        <v>1381245</v>
      </c>
      <c r="I11" s="2">
        <f>SUM(B11:H11)</f>
        <v>7059402</v>
      </c>
    </row>
    <row r="16" spans="1:9">
      <c r="A16" s="1" t="s">
        <v>12</v>
      </c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ht="20" customHeight="1" spans="1:9">
      <c r="A17" s="1" t="s">
        <v>9</v>
      </c>
      <c r="B17" s="2">
        <v>297157.51</v>
      </c>
      <c r="C17" s="2">
        <v>492832</v>
      </c>
      <c r="D17" s="2">
        <v>88670</v>
      </c>
      <c r="E17" s="2">
        <v>164246.5</v>
      </c>
      <c r="F17" s="2">
        <v>10660</v>
      </c>
      <c r="G17" s="2">
        <v>57520</v>
      </c>
      <c r="H17" s="2">
        <v>1268961</v>
      </c>
      <c r="I17" s="2">
        <f>SUM(B17:H17)</f>
        <v>2380047.01</v>
      </c>
    </row>
    <row r="18" ht="15" customHeight="1" spans="1:9">
      <c r="A18" s="1" t="s">
        <v>10</v>
      </c>
      <c r="B18" s="2">
        <v>444425</v>
      </c>
      <c r="C18" s="2">
        <v>753346.5</v>
      </c>
      <c r="D18" s="2">
        <v>48850</v>
      </c>
      <c r="E18" s="2">
        <v>341640</v>
      </c>
      <c r="F18" s="3">
        <v>10250</v>
      </c>
      <c r="G18" s="2">
        <v>155130</v>
      </c>
      <c r="H18" s="2">
        <v>1511115</v>
      </c>
      <c r="I18" s="2">
        <f>SUM(B18:H18)</f>
        <v>3264756.5</v>
      </c>
    </row>
    <row r="23" spans="1:9">
      <c r="A23" s="1" t="s">
        <v>13</v>
      </c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9</v>
      </c>
      <c r="B24" s="2">
        <v>1884278.85</v>
      </c>
      <c r="C24" s="2">
        <v>5040806.07</v>
      </c>
      <c r="D24" s="2">
        <v>937170</v>
      </c>
      <c r="E24" s="2">
        <v>1447841</v>
      </c>
      <c r="F24" s="2">
        <v>24470</v>
      </c>
      <c r="G24" s="2">
        <v>196293</v>
      </c>
      <c r="H24" s="2">
        <v>4208886.09</v>
      </c>
      <c r="I24" s="2">
        <f>SUM(B24:H24)</f>
        <v>13739745.01</v>
      </c>
    </row>
    <row r="25" spans="1:9">
      <c r="A25" s="1" t="s">
        <v>10</v>
      </c>
      <c r="B25" s="2">
        <v>2209414.5</v>
      </c>
      <c r="C25" s="2">
        <v>5979134</v>
      </c>
      <c r="D25" s="2">
        <v>703780</v>
      </c>
      <c r="E25" s="2">
        <v>3008510</v>
      </c>
      <c r="F25" s="4">
        <v>70480</v>
      </c>
      <c r="G25" s="2">
        <v>771415</v>
      </c>
      <c r="H25" s="2">
        <v>3727678</v>
      </c>
      <c r="I25" s="2">
        <f>SUM(B25:H25)</f>
        <v>16470411.5</v>
      </c>
    </row>
    <row r="29" spans="1:9">
      <c r="A29" s="1" t="s">
        <v>14</v>
      </c>
      <c r="B29" s="1" t="s">
        <v>1</v>
      </c>
      <c r="C29" s="1" t="s">
        <v>2</v>
      </c>
      <c r="D29" s="1" t="s">
        <v>3</v>
      </c>
      <c r="E29" s="1" t="s">
        <v>4</v>
      </c>
      <c r="F29" s="1" t="s">
        <v>5</v>
      </c>
      <c r="G29" s="1" t="s">
        <v>6</v>
      </c>
      <c r="H29" s="1" t="s">
        <v>7</v>
      </c>
      <c r="I29" s="1" t="s">
        <v>8</v>
      </c>
    </row>
    <row r="30" spans="1:9">
      <c r="A30" s="1" t="s">
        <v>9</v>
      </c>
      <c r="B30" s="2">
        <v>195035</v>
      </c>
      <c r="C30" s="2">
        <v>411520</v>
      </c>
      <c r="D30" s="2">
        <v>14788</v>
      </c>
      <c r="E30" s="2">
        <v>77490</v>
      </c>
      <c r="F30" s="2">
        <v>20601</v>
      </c>
      <c r="G30" s="2">
        <v>33080</v>
      </c>
      <c r="H30" s="2">
        <v>422221</v>
      </c>
      <c r="I30" s="2">
        <f>SUM(B30:H30)</f>
        <v>1174735</v>
      </c>
    </row>
    <row r="31" spans="1:9">
      <c r="A31" s="1" t="s">
        <v>10</v>
      </c>
      <c r="B31" s="2">
        <v>221565</v>
      </c>
      <c r="C31" s="2">
        <v>500023.5</v>
      </c>
      <c r="D31" s="2">
        <v>49970</v>
      </c>
      <c r="E31" s="2">
        <v>42690</v>
      </c>
      <c r="F31" s="2">
        <v>11472</v>
      </c>
      <c r="G31" s="2">
        <v>75245</v>
      </c>
      <c r="H31" s="2">
        <v>605081</v>
      </c>
      <c r="I31" s="2">
        <f>SUM(B31:H31)</f>
        <v>1506046.5</v>
      </c>
    </row>
    <row r="36" spans="1:9">
      <c r="A36" s="1" t="s">
        <v>15</v>
      </c>
      <c r="B36" s="1" t="s">
        <v>1</v>
      </c>
      <c r="C36" s="1" t="s">
        <v>2</v>
      </c>
      <c r="D36" s="1" t="s">
        <v>3</v>
      </c>
      <c r="E36" s="1" t="s">
        <v>4</v>
      </c>
      <c r="F36" s="1" t="s">
        <v>5</v>
      </c>
      <c r="G36" s="1" t="s">
        <v>6</v>
      </c>
      <c r="H36" s="1" t="s">
        <v>7</v>
      </c>
      <c r="I36" s="1" t="s">
        <v>8</v>
      </c>
    </row>
    <row r="37" spans="1:9">
      <c r="A37" s="1" t="s">
        <v>9</v>
      </c>
      <c r="B37" s="2">
        <v>108540</v>
      </c>
      <c r="C37" s="2">
        <v>339595</v>
      </c>
      <c r="D37" s="2">
        <v>39950</v>
      </c>
      <c r="E37" s="2">
        <v>5920</v>
      </c>
      <c r="F37" s="2">
        <v>4330</v>
      </c>
      <c r="G37" s="2">
        <v>19920</v>
      </c>
      <c r="H37" s="2">
        <v>384905.5</v>
      </c>
      <c r="I37" s="2">
        <f>SUM(B37:H37)</f>
        <v>903160.5</v>
      </c>
    </row>
    <row r="38" spans="1:9">
      <c r="A38" s="1" t="s">
        <v>10</v>
      </c>
      <c r="B38" s="2">
        <v>131020</v>
      </c>
      <c r="C38" s="2">
        <v>266520.5</v>
      </c>
      <c r="D38" s="2">
        <v>0</v>
      </c>
      <c r="E38" s="2">
        <v>59260</v>
      </c>
      <c r="F38" s="4">
        <v>3930</v>
      </c>
      <c r="G38" s="2">
        <v>41360</v>
      </c>
      <c r="H38" s="2">
        <v>235420</v>
      </c>
      <c r="I38" s="2">
        <f>SUM(B38:H38)</f>
        <v>737510.5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I38"/>
  <sheetViews>
    <sheetView tabSelected="1" topLeftCell="A5" workbookViewId="0">
      <selection activeCell="C13" sqref="C13"/>
    </sheetView>
  </sheetViews>
  <sheetFormatPr defaultColWidth="9" defaultRowHeight="16.8"/>
  <cols>
    <col min="1" max="1" width="12.125" customWidth="1"/>
    <col min="2" max="2" width="13.375" customWidth="1"/>
    <col min="3" max="3" width="14.375" customWidth="1"/>
    <col min="4" max="4" width="15.25" customWidth="1"/>
    <col min="5" max="5" width="9.375" customWidth="1"/>
    <col min="6" max="6" width="20.75" customWidth="1"/>
    <col min="7" max="7" width="9.375"/>
    <col min="9" max="10" width="12.625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44" customHeight="1" spans="1:9">
      <c r="A2" s="1" t="s">
        <v>9</v>
      </c>
      <c r="B2" s="2">
        <v>4274557.86</v>
      </c>
      <c r="C2" s="2">
        <v>8352606.74</v>
      </c>
      <c r="D2" s="2">
        <v>2800993.29</v>
      </c>
      <c r="E2" s="2">
        <v>2524510.5</v>
      </c>
      <c r="F2" s="2">
        <v>60061</v>
      </c>
      <c r="G2" s="2">
        <v>442803</v>
      </c>
      <c r="H2" s="2">
        <v>8314950.57</v>
      </c>
      <c r="I2" s="2">
        <f>SUM(B2:H2)</f>
        <v>26770482.96</v>
      </c>
    </row>
    <row r="3" ht="45" customHeight="1" spans="1:9">
      <c r="A3" s="1" t="s">
        <v>10</v>
      </c>
      <c r="B3" s="2">
        <v>4147123.5</v>
      </c>
      <c r="C3" s="2">
        <v>7506320.5</v>
      </c>
      <c r="D3" s="2">
        <v>540350</v>
      </c>
      <c r="E3" s="2">
        <v>2103042</v>
      </c>
      <c r="F3" s="3">
        <v>141942</v>
      </c>
      <c r="G3" s="2">
        <v>922725.5</v>
      </c>
      <c r="H3" s="2">
        <v>7266744</v>
      </c>
      <c r="I3" s="2">
        <f>SUM(B3:H3)</f>
        <v>22628247.5</v>
      </c>
    </row>
    <row r="9" ht="12" customHeight="1" spans="1:9">
      <c r="A9" s="1" t="s">
        <v>11</v>
      </c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ht="39" customHeight="1" spans="1:9">
      <c r="A10" s="1" t="s">
        <v>9</v>
      </c>
      <c r="B10" s="2">
        <v>1777686.5</v>
      </c>
      <c r="C10" s="2">
        <v>4058723.67</v>
      </c>
      <c r="D10" s="2">
        <v>1637161.29</v>
      </c>
      <c r="E10" s="2">
        <v>807813</v>
      </c>
      <c r="F10" s="2">
        <v>0</v>
      </c>
      <c r="G10" s="2">
        <v>135990</v>
      </c>
      <c r="H10" s="2">
        <v>1932392.98</v>
      </c>
      <c r="I10" s="2">
        <f>SUM(B10:H10)</f>
        <v>10349767.44</v>
      </c>
    </row>
    <row r="11" ht="41" customHeight="1" spans="1:9">
      <c r="A11" s="1" t="s">
        <v>10</v>
      </c>
      <c r="B11" s="2">
        <v>1567859</v>
      </c>
      <c r="C11" s="2">
        <v>3064646</v>
      </c>
      <c r="D11" s="2">
        <v>126210</v>
      </c>
      <c r="E11" s="2">
        <v>340942</v>
      </c>
      <c r="F11" s="4">
        <v>41880</v>
      </c>
      <c r="G11" s="2">
        <v>265785</v>
      </c>
      <c r="H11" s="2">
        <v>1286960</v>
      </c>
      <c r="I11" s="2">
        <f>SUM(B11:H11)</f>
        <v>6694282</v>
      </c>
    </row>
    <row r="16" spans="1:9">
      <c r="A16" s="1" t="s">
        <v>12</v>
      </c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ht="20" customHeight="1" spans="1:9">
      <c r="A17" s="1" t="s">
        <v>9</v>
      </c>
      <c r="B17" s="2">
        <v>297157.51</v>
      </c>
      <c r="C17" s="2">
        <v>492832</v>
      </c>
      <c r="D17" s="2">
        <v>88670</v>
      </c>
      <c r="E17" s="2">
        <v>164246.5</v>
      </c>
      <c r="F17" s="2">
        <v>10660</v>
      </c>
      <c r="G17" s="2">
        <v>57520</v>
      </c>
      <c r="H17" s="2">
        <v>1268961</v>
      </c>
      <c r="I17" s="2">
        <f>SUM(B17:H17)</f>
        <v>2380047.01</v>
      </c>
    </row>
    <row r="18" ht="15" customHeight="1" spans="1:9">
      <c r="A18" s="1" t="s">
        <v>10</v>
      </c>
      <c r="B18" s="2">
        <v>444425</v>
      </c>
      <c r="C18" s="2">
        <v>753346.5</v>
      </c>
      <c r="D18" s="2">
        <v>48850</v>
      </c>
      <c r="E18" s="2">
        <v>341640</v>
      </c>
      <c r="F18" s="3">
        <v>10250</v>
      </c>
      <c r="G18" s="2">
        <v>155130</v>
      </c>
      <c r="H18" s="2">
        <v>1511115</v>
      </c>
      <c r="I18" s="2">
        <f>SUM(B18:H18)</f>
        <v>3264756.5</v>
      </c>
    </row>
    <row r="23" spans="1:9">
      <c r="A23" s="1" t="s">
        <v>13</v>
      </c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9</v>
      </c>
      <c r="B24" s="2">
        <v>1884278.85</v>
      </c>
      <c r="C24" s="2">
        <v>3038806.07</v>
      </c>
      <c r="D24" s="2">
        <v>937170</v>
      </c>
      <c r="E24" s="2">
        <v>1447841</v>
      </c>
      <c r="F24" s="2">
        <v>24470</v>
      </c>
      <c r="G24" s="2">
        <v>196293</v>
      </c>
      <c r="H24" s="2">
        <v>4198886.09</v>
      </c>
      <c r="I24" s="2">
        <f>SUM(B24:H24)</f>
        <v>11727745.01</v>
      </c>
    </row>
    <row r="25" spans="1:9">
      <c r="A25" s="1" t="s">
        <v>10</v>
      </c>
      <c r="B25" s="2">
        <v>1711414.5</v>
      </c>
      <c r="C25" s="2">
        <v>2705134</v>
      </c>
      <c r="D25" s="2">
        <v>305780</v>
      </c>
      <c r="E25" s="2">
        <v>1318510</v>
      </c>
      <c r="F25" s="4">
        <v>70480</v>
      </c>
      <c r="G25" s="2">
        <v>373415</v>
      </c>
      <c r="H25" s="2">
        <v>3527678</v>
      </c>
      <c r="I25" s="2">
        <f>SUM(B25:H25)</f>
        <v>10012411.5</v>
      </c>
    </row>
    <row r="29" spans="1:9">
      <c r="A29" s="1" t="s">
        <v>14</v>
      </c>
      <c r="B29" s="1" t="s">
        <v>1</v>
      </c>
      <c r="C29" s="1" t="s">
        <v>2</v>
      </c>
      <c r="D29" s="1" t="s">
        <v>3</v>
      </c>
      <c r="E29" s="1" t="s">
        <v>4</v>
      </c>
      <c r="F29" s="1" t="s">
        <v>5</v>
      </c>
      <c r="G29" s="1" t="s">
        <v>6</v>
      </c>
      <c r="H29" s="1" t="s">
        <v>7</v>
      </c>
      <c r="I29" s="1" t="s">
        <v>8</v>
      </c>
    </row>
    <row r="30" spans="1:9">
      <c r="A30" s="1" t="s">
        <v>9</v>
      </c>
      <c r="B30" s="2">
        <v>195035</v>
      </c>
      <c r="C30" s="2">
        <v>411520</v>
      </c>
      <c r="D30" s="2">
        <v>14788</v>
      </c>
      <c r="E30" s="2">
        <v>77490</v>
      </c>
      <c r="F30" s="2">
        <v>20601</v>
      </c>
      <c r="G30" s="2">
        <v>33080</v>
      </c>
      <c r="H30" s="2">
        <v>422221</v>
      </c>
      <c r="I30" s="2">
        <f>SUM(B30:H30)</f>
        <v>1174735</v>
      </c>
    </row>
    <row r="31" spans="1:9">
      <c r="A31" s="1" t="s">
        <v>10</v>
      </c>
      <c r="B31" s="2">
        <v>221565</v>
      </c>
      <c r="C31" s="2">
        <v>500023.5</v>
      </c>
      <c r="D31" s="2">
        <v>49970</v>
      </c>
      <c r="E31" s="2">
        <v>42690</v>
      </c>
      <c r="F31" s="2">
        <v>11472</v>
      </c>
      <c r="G31" s="2">
        <v>75245.5</v>
      </c>
      <c r="H31" s="2">
        <v>605081</v>
      </c>
      <c r="I31" s="2">
        <f>SUM(B31:H31)</f>
        <v>1506047</v>
      </c>
    </row>
    <row r="36" spans="1:9">
      <c r="A36" s="1" t="s">
        <v>15</v>
      </c>
      <c r="B36" s="1" t="s">
        <v>1</v>
      </c>
      <c r="C36" s="1" t="s">
        <v>2</v>
      </c>
      <c r="D36" s="1" t="s">
        <v>3</v>
      </c>
      <c r="E36" s="1" t="s">
        <v>4</v>
      </c>
      <c r="F36" s="1" t="s">
        <v>5</v>
      </c>
      <c r="G36" s="1" t="s">
        <v>6</v>
      </c>
      <c r="H36" s="1" t="s">
        <v>7</v>
      </c>
      <c r="I36" s="1" t="s">
        <v>8</v>
      </c>
    </row>
    <row r="37" spans="1:9">
      <c r="A37" s="1" t="s">
        <v>9</v>
      </c>
      <c r="B37" s="2">
        <v>108540</v>
      </c>
      <c r="C37" s="2">
        <v>339595</v>
      </c>
      <c r="D37" s="2">
        <v>39950</v>
      </c>
      <c r="E37" s="2">
        <v>5920</v>
      </c>
      <c r="F37" s="2">
        <v>4330</v>
      </c>
      <c r="G37" s="2">
        <v>19920</v>
      </c>
      <c r="H37" s="2">
        <v>384905.5</v>
      </c>
      <c r="I37" s="2">
        <f>SUM(B37:H37)</f>
        <v>903160.5</v>
      </c>
    </row>
    <row r="38" spans="1:9">
      <c r="A38" s="1" t="s">
        <v>10</v>
      </c>
      <c r="B38" s="2">
        <v>131020</v>
      </c>
      <c r="C38" s="2">
        <v>266520.5</v>
      </c>
      <c r="D38" s="2">
        <v>0</v>
      </c>
      <c r="E38" s="2">
        <v>59260</v>
      </c>
      <c r="F38" s="4">
        <v>3930</v>
      </c>
      <c r="G38" s="2">
        <v>41360</v>
      </c>
      <c r="H38" s="2">
        <v>235420</v>
      </c>
      <c r="I38" s="2">
        <f>SUM(B38:H38)</f>
        <v>737510.5</v>
      </c>
    </row>
  </sheetData>
  <pageMargins left="0.699305555555556" right="0.699305555555556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"/>
  <sheetViews>
    <sheetView workbookViewId="0">
      <selection activeCell="A1" sqref="A1"/>
    </sheetView>
  </sheetViews>
  <sheetFormatPr defaultColWidth="9" defaultRowHeight="16.8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按订单时间统计</vt:lpstr>
      <vt:lpstr>按开课时间统计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cheng</cp:lastModifiedBy>
  <dcterms:created xsi:type="dcterms:W3CDTF">2021-12-28T13:17:00Z</dcterms:created>
  <dcterms:modified xsi:type="dcterms:W3CDTF">2022-01-01T21:09:51Z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E8EA8C436C3342F2B39E03194D2FD1A3</vt:lpwstr>
  </property>
  <property fmtid="{D5CDD505-2E9C-101B-9397-08002B2CF9AE}" pid="3" name="KSOProductBuildVer">
    <vt:lpwstr>2052-3.9.3.6359</vt:lpwstr>
  </property>
</Properties>
</file>