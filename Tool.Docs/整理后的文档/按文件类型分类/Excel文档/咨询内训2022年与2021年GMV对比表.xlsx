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30"/>
  </bookViews>
  <sheets>
    <sheet name="2022年咨询内训GMV与2021年对比" sheetId="4" r:id="rId1"/>
    <sheet name="2022年咨询内训利润表" sheetId="3" r:id="rId2"/>
    <sheet name="2022年1-12月咨询内训原表" sheetId="1" r:id="rId3"/>
    <sheet name="2021年1-12月咨询内训GMV排名" sheetId="5" r:id="rId4"/>
  </sheets>
  <definedNames>
    <definedName name="_xlnm._FilterDatabase" localSheetId="0" hidden="1">'2022年咨询内训GMV与2021年对比'!$A$6:$G$56</definedName>
    <definedName name="_xlnm._FilterDatabase" localSheetId="1" hidden="1">'2022年咨询内训利润表'!$A$1:$P$43</definedName>
    <definedName name="_xlnm._FilterDatabase" localSheetId="3" hidden="1">'2021年1-12月咨询内训GMV排名'!$1:$33</definedName>
  </definedNames>
  <calcPr calcId="144525"/>
</workbook>
</file>

<file path=xl/sharedStrings.xml><?xml version="1.0" encoding="utf-8"?>
<sst xmlns="http://schemas.openxmlformats.org/spreadsheetml/2006/main" count="1598" uniqueCount="408">
  <si>
    <t>说明：</t>
  </si>
  <si>
    <t>1.2022年咨询内训GMV比2021年增长170万，增长率3.42%；</t>
  </si>
  <si>
    <t>2.2022年的第一课题是“组织变革”，2021年的第一课题是“科学分钱”，详见GMV排名；</t>
  </si>
  <si>
    <t>3.本表最后一列“增减比率”栏，红色字体为2022年比2021年有增长；蓝色字体则反之。</t>
  </si>
  <si>
    <t>课题</t>
  </si>
  <si>
    <t>2022年GMV</t>
  </si>
  <si>
    <t>2022年GMV排名</t>
  </si>
  <si>
    <t>2021年GMV</t>
  </si>
  <si>
    <t>2021年GMV排名</t>
  </si>
  <si>
    <t>2022年增减</t>
  </si>
  <si>
    <t>增减比率</t>
  </si>
  <si>
    <t>组织变革</t>
  </si>
  <si>
    <t>科学分钱</t>
  </si>
  <si>
    <t>有效管理</t>
  </si>
  <si>
    <t>业务领先战略</t>
  </si>
  <si>
    <t>战略视觉锤</t>
  </si>
  <si>
    <t>品牌体验</t>
  </si>
  <si>
    <t>税务筹划</t>
  </si>
  <si>
    <t>IPD</t>
  </si>
  <si>
    <t>PMC管理诊断</t>
  </si>
  <si>
    <t>人才建设</t>
  </si>
  <si>
    <t>项目管理</t>
  </si>
  <si>
    <t>供应链管理</t>
  </si>
  <si>
    <t>财务咨询</t>
  </si>
  <si>
    <t>升级定位</t>
  </si>
  <si>
    <t>销售业绩管理</t>
  </si>
  <si>
    <t>领教工作坊</t>
  </si>
  <si>
    <t>OGSM</t>
  </si>
  <si>
    <t>演讲咨询</t>
  </si>
  <si>
    <t>薪酬设计</t>
  </si>
  <si>
    <t>定位公关</t>
  </si>
  <si>
    <t>教练式领导力</t>
  </si>
  <si>
    <t>股权设计</t>
  </si>
  <si>
    <t>营销组织提效</t>
  </si>
  <si>
    <t>流程微咨询</t>
  </si>
  <si>
    <t>管理基本功</t>
  </si>
  <si>
    <t>管培生咨询</t>
  </si>
  <si>
    <t>增长微咨询</t>
  </si>
  <si>
    <t>数字时代新营销</t>
  </si>
  <si>
    <t>企业文化</t>
  </si>
  <si>
    <t>大客户销售</t>
  </si>
  <si>
    <t>IPMS产品上市营销</t>
  </si>
  <si>
    <t>全景领导力</t>
  </si>
  <si>
    <t>品牌投放</t>
  </si>
  <si>
    <t>私域班</t>
  </si>
  <si>
    <t>打造又红又专的干部队伍</t>
  </si>
  <si>
    <t>政府领导交往实战技巧</t>
  </si>
  <si>
    <t>时间与精力管理</t>
  </si>
  <si>
    <t>OKR</t>
  </si>
  <si>
    <t>人才战略</t>
  </si>
  <si>
    <t>第11届磨刀会</t>
  </si>
  <si>
    <t>精益运营</t>
  </si>
  <si>
    <t>变革领导力</t>
  </si>
  <si>
    <t>铁三角</t>
  </si>
  <si>
    <t>产品创新</t>
  </si>
  <si>
    <t>结构思考力</t>
  </si>
  <si>
    <t>商业模式</t>
  </si>
  <si>
    <t>增长飞轮</t>
  </si>
  <si>
    <t>定位广告</t>
  </si>
  <si>
    <t>投放工作坊</t>
  </si>
  <si>
    <t>合计</t>
  </si>
  <si>
    <t>课程</t>
  </si>
  <si>
    <t>GMV</t>
  </si>
  <si>
    <t>收入</t>
  </si>
  <si>
    <t>项目利润</t>
  </si>
  <si>
    <t>项目毛利率</t>
  </si>
  <si>
    <t>班主任利润</t>
  </si>
  <si>
    <t>班主任分钱比率</t>
  </si>
  <si>
    <t>高维利润(元)</t>
  </si>
  <si>
    <t>高维净利率</t>
  </si>
  <si>
    <t>OKR实战</t>
  </si>
  <si>
    <t>税务科学筹划</t>
  </si>
  <si>
    <t>总计</t>
  </si>
  <si>
    <t>公司</t>
  </si>
  <si>
    <t>利润分成比例</t>
  </si>
  <si>
    <t>销售成本比例</t>
  </si>
  <si>
    <t>成本</t>
  </si>
  <si>
    <t>税金比例</t>
  </si>
  <si>
    <t>税金(元)</t>
  </si>
  <si>
    <t>净利润比例</t>
  </si>
  <si>
    <t>净利润(元)</t>
  </si>
  <si>
    <t>是否结算</t>
  </si>
  <si>
    <t>结算时间</t>
  </si>
  <si>
    <t>比率</t>
  </si>
  <si>
    <t>和也健康科技有限公司</t>
  </si>
  <si>
    <t>是</t>
  </si>
  <si>
    <t>2022-11-14</t>
  </si>
  <si>
    <t>深圳市成塔服饰有限公司</t>
  </si>
  <si>
    <t>深圳市成塔服饰有限公司二期</t>
  </si>
  <si>
    <t>2023-01-15</t>
  </si>
  <si>
    <t>深圳市韶音科技有限公司</t>
  </si>
  <si>
    <t>重庆白鹿会文化传播有限公司</t>
  </si>
  <si>
    <t>2022-11-09</t>
  </si>
  <si>
    <t>IPMS</t>
  </si>
  <si>
    <t>产品上市营销操盘体系联合内训</t>
  </si>
  <si>
    <t>2022-11-30</t>
  </si>
  <si>
    <t>福建野小兽健康科技有限公司</t>
  </si>
  <si>
    <t>广州市首加电子科技有限责任公司/广州海葳特科技有限公司</t>
  </si>
  <si>
    <t>深圳市路特佳成网络科技有限公司六期</t>
  </si>
  <si>
    <t>深圳市路特佳成网络科技有限公司三期</t>
  </si>
  <si>
    <t>2022-11-19</t>
  </si>
  <si>
    <t>深圳市路特佳成网络科技有限公司四期</t>
  </si>
  <si>
    <t>深圳市路特佳成网络科技有限公司五期</t>
  </si>
  <si>
    <t>一撕得包装科技（杭州）有限公司</t>
  </si>
  <si>
    <t>2022-11-17</t>
  </si>
  <si>
    <t>厦门欣维发电子商务有限公司</t>
  </si>
  <si>
    <t>广州奶糖派服装有限公司</t>
  </si>
  <si>
    <t>2022-11-15</t>
  </si>
  <si>
    <t>和也健康科技有限公司八期</t>
  </si>
  <si>
    <t>2022-11-23</t>
  </si>
  <si>
    <t>和也健康科技有限公司二期</t>
  </si>
  <si>
    <t>和也健康科技有限公司九期</t>
  </si>
  <si>
    <t>和也健康科技有限公司六期</t>
  </si>
  <si>
    <t>和也健康科技有限公司七期</t>
  </si>
  <si>
    <t>和也健康科技有限公司三期</t>
  </si>
  <si>
    <t>和也健康科技有限公司十二期</t>
  </si>
  <si>
    <t>和也健康科技有限公司十期</t>
  </si>
  <si>
    <t>和也健康科技有限公司十三期</t>
  </si>
  <si>
    <t>和也健康科技有限公司十四期</t>
  </si>
  <si>
    <t>和也健康科技有限公司十五期</t>
  </si>
  <si>
    <t>和也健康科技有限公司十一期</t>
  </si>
  <si>
    <t>和也健康科技有限公司四期</t>
  </si>
  <si>
    <t>和也健康科技有限公司五期</t>
  </si>
  <si>
    <t>柳州市远黛贸易有限公司</t>
  </si>
  <si>
    <t>闪耀现实（无锡）科技有限公司</t>
  </si>
  <si>
    <t>闪耀现实（无锡）科技有限公司二期</t>
  </si>
  <si>
    <t>2022-11-22</t>
  </si>
  <si>
    <t>深圳市净戏科技有限公司</t>
  </si>
  <si>
    <t>2023-01-06</t>
  </si>
  <si>
    <t>深圳市路特佳成供应链管理有限公司二期</t>
  </si>
  <si>
    <t>深圳市路特佳成网络科技有限公司</t>
  </si>
  <si>
    <t>石狮市青年商会</t>
  </si>
  <si>
    <t>CRD深圳简加勤珠宝饰品有限公司</t>
  </si>
  <si>
    <t>河南鲜风商业连锁有限公司</t>
  </si>
  <si>
    <t>摩法电子</t>
  </si>
  <si>
    <t>奶茶先生</t>
  </si>
  <si>
    <t>上海德必文化创意产业发展（集团）股份有限公司</t>
  </si>
  <si>
    <t>深圳酷骑童趣科技有限公司</t>
  </si>
  <si>
    <t>西安费司幸福文化传媒有限公司</t>
  </si>
  <si>
    <t>中国珠宝玉石首饰行业协会</t>
  </si>
  <si>
    <t>上海浦耀贸易有限公司</t>
  </si>
  <si>
    <t>2022-11-28</t>
  </si>
  <si>
    <t>天图</t>
  </si>
  <si>
    <t>2022-11-18</t>
  </si>
  <si>
    <t>罗曼</t>
  </si>
  <si>
    <t>吉林省瑞曼沃德服饰有限公司</t>
  </si>
  <si>
    <t>哔哩哔哩</t>
  </si>
  <si>
    <t>上海睿众实业有限公司八期</t>
  </si>
  <si>
    <t>上海睿众实业有限公司九期</t>
  </si>
  <si>
    <t>上海睿众实业有限公司七期</t>
  </si>
  <si>
    <t>2022-11-16</t>
  </si>
  <si>
    <t>上海世谊商贸有限公司</t>
  </si>
  <si>
    <t>武汉自然萃食品科技有限公司</t>
  </si>
  <si>
    <t>武汉自然萃食品科技有限公司二期</t>
  </si>
  <si>
    <t>义乌市亚杰供应链管理有限公司八期</t>
  </si>
  <si>
    <t>义乌市亚杰供应链管理有限公司六期</t>
  </si>
  <si>
    <t>义乌市亚杰供应链管理有限公司七期</t>
  </si>
  <si>
    <t>义乌市亚杰供应链管理有限公司五期</t>
  </si>
  <si>
    <t>北京海特科技有限公司</t>
  </si>
  <si>
    <t>奶茶先生二期</t>
  </si>
  <si>
    <t>青岛先合</t>
  </si>
  <si>
    <t>上海爱用科技股份有限公司</t>
  </si>
  <si>
    <t>无锡走着瞧科技有限公司二期</t>
  </si>
  <si>
    <t>无锡走着瞧科技有限公司三期</t>
  </si>
  <si>
    <t>蘑菇物联技术（深圳）有限公司</t>
  </si>
  <si>
    <t>上海格芒商贸有限责任公司</t>
  </si>
  <si>
    <t>深圳市韶音科技有限公司二期</t>
  </si>
  <si>
    <t>广州市旅划算国际旅行社有限公司</t>
  </si>
  <si>
    <t>柠季</t>
  </si>
  <si>
    <t>浦发硅谷银行有限公司</t>
  </si>
  <si>
    <t>深圳市伊丝艾拉服饰有限公司</t>
  </si>
  <si>
    <t>2022-11-03</t>
  </si>
  <si>
    <t>悦爱</t>
  </si>
  <si>
    <t>众业达电气股份有限公司</t>
  </si>
  <si>
    <t>众业达电气股份有限公司二期</t>
  </si>
  <si>
    <t>浙江一鸣食品股份有限公司</t>
  </si>
  <si>
    <t>北京纷扬科技有限责任公司</t>
  </si>
  <si>
    <t>北京天学网多元化激励三期</t>
  </si>
  <si>
    <t>2022-11-07</t>
  </si>
  <si>
    <t>北京壹永科技有限公司</t>
  </si>
  <si>
    <t>北京奕天世代商贸有限公司多元化激励二期</t>
  </si>
  <si>
    <t>北京奕天世代商贸有限公司多元化激励一期</t>
  </si>
  <si>
    <t>北京正己律师事务所多元化激励二期</t>
  </si>
  <si>
    <t>北京正己律师事务所多元化激励一期</t>
  </si>
  <si>
    <t>北森云计算有限公司</t>
  </si>
  <si>
    <t>北森云计算有限公司二期</t>
  </si>
  <si>
    <t>福建东西乐活科技有限公司多元化激励一期</t>
  </si>
  <si>
    <t>福建东西乐活科技有限公司二期</t>
  </si>
  <si>
    <t>伽蓝（集团）股份多元化激励六期</t>
  </si>
  <si>
    <t>广东丰润环境管理服务有限公司</t>
  </si>
  <si>
    <t>广东麦多多实业有限公司多元化激励二期</t>
  </si>
  <si>
    <t>广州市广德昌科技有限公司</t>
  </si>
  <si>
    <t>广州市广德昌科技有限公司二期</t>
  </si>
  <si>
    <t>广州市广德昌科技有限公司三期</t>
  </si>
  <si>
    <t>广州优谷信息技术有限公司</t>
  </si>
  <si>
    <t>杭州天谷信息科技有限公司</t>
  </si>
  <si>
    <t>杭州由莱科技有限公司多元化激励三期</t>
  </si>
  <si>
    <t>杭州郅诚企业管理咨询有限公司</t>
  </si>
  <si>
    <t>江苏意可航空科技股份有限公司多元化激励一期</t>
  </si>
  <si>
    <t>江苏意可航空科技股份有限公司二期</t>
  </si>
  <si>
    <t>江苏意可航空科技股份有限公司三期</t>
  </si>
  <si>
    <t>老肯医疗科技股份有限公司</t>
  </si>
  <si>
    <t>乐山市曹芳商贸有限公司</t>
  </si>
  <si>
    <t>蘑菇物联技术（深圳）有限公司股权二期</t>
  </si>
  <si>
    <t>蘑菇物联技术（深圳）有限公司股权项目</t>
  </si>
  <si>
    <t>三问家具股份有限公司多元化激励一期</t>
  </si>
  <si>
    <t>三问家具股份有限公司二期</t>
  </si>
  <si>
    <t>三问家具股份有限公司三期</t>
  </si>
  <si>
    <t>上海鼎香实业有限公司</t>
  </si>
  <si>
    <t>上海有临医药科技有限公司</t>
  </si>
  <si>
    <t>上海臻敬实业有限公司SOPK二期</t>
  </si>
  <si>
    <t>上海臻敬实业有限公司SOPK三期</t>
  </si>
  <si>
    <t>上海臻敬实业有限公司多元化激励三期</t>
  </si>
  <si>
    <t>深圳市路特佳成网络科技有限公司多元化激励二期</t>
  </si>
  <si>
    <t>深圳市路特佳成网络科技有限公司多元化激励三期</t>
  </si>
  <si>
    <t>深圳市路特佳成网络科技有限公司多元化激励首期</t>
  </si>
  <si>
    <t>深圳市路特佳成网络科技有限公司股权项目二期</t>
  </si>
  <si>
    <t>悠派才选（上海）人力资源卡思优派多元化激励二期</t>
  </si>
  <si>
    <t>悠派才选（上海）人力资源卡思优派多元化激励三期</t>
  </si>
  <si>
    <t>长沙市都市花香花卉有限公司三期</t>
  </si>
  <si>
    <t>浙江金和美工贸有限公司（德盾防撬门）多元化激励三期</t>
  </si>
  <si>
    <t>浙江金和美工贸有限公司（德盾防撬门）多元化激励四期</t>
  </si>
  <si>
    <t>浙江荣鑫多元化激励三期</t>
  </si>
  <si>
    <t>浙江印象实业股份有限公司五期</t>
  </si>
  <si>
    <t>北京鲲鹏山水教育咨询有限公司</t>
  </si>
  <si>
    <t>北京鲲鹏山水教育咨询有限公司八期</t>
  </si>
  <si>
    <t>北京鲲鹏山水教育咨询有限公司二期</t>
  </si>
  <si>
    <t>北京鲲鹏山水教育咨询有限公司三期</t>
  </si>
  <si>
    <t>北京鲲鹏山水教育咨询有限公司四期</t>
  </si>
  <si>
    <t>北京鲲鹏山水教育咨询有限公司五期</t>
  </si>
  <si>
    <t>北京牛卡福网络科技有限公司</t>
  </si>
  <si>
    <t>北京牛卡福网络科技有限公司二期</t>
  </si>
  <si>
    <t>北京仁科互动网络技术有限公司二期</t>
  </si>
  <si>
    <t>北京仁科互动网络技术有限公司一期</t>
  </si>
  <si>
    <t>广州市亚洲吃面文化发展有限公司</t>
  </si>
  <si>
    <t>健康互联（广州）信息科技股份有限公司</t>
  </si>
  <si>
    <t>上海仙工智能科技有限公司</t>
  </si>
  <si>
    <t>上海仙工智能科技有限公司二期</t>
  </si>
  <si>
    <t>深圳市三旺通信股份有限公司</t>
  </si>
  <si>
    <t>深圳市三旺通信股份有限公司二期</t>
  </si>
  <si>
    <t>深圳市三旺通信股份有限公司三期</t>
  </si>
  <si>
    <t>四川盛和机械设备有限公司</t>
  </si>
  <si>
    <t>浙江汇信科技有限公司六期</t>
  </si>
  <si>
    <t>浙江佩娜服饰有限公司六期</t>
  </si>
  <si>
    <t>浙江佩娜服饰有限公司五期</t>
  </si>
  <si>
    <t>中山敦明纺织有限公司</t>
  </si>
  <si>
    <t>北京鲲鹏山水教育咨询有限公司六期</t>
  </si>
  <si>
    <t>北京鲲鹏山水教育咨询有限公司七期</t>
  </si>
  <si>
    <t>广州思迈新服饰有限公司</t>
  </si>
  <si>
    <t>广州思迈新服饰有限公司二期</t>
  </si>
  <si>
    <t>深圳市安好建材供应链管理有限公司</t>
  </si>
  <si>
    <t>大民族</t>
  </si>
  <si>
    <t>滴滴</t>
  </si>
  <si>
    <t>沪上阿姨</t>
  </si>
  <si>
    <t>维沃移动通信有限公司</t>
  </si>
  <si>
    <t>上海红松鼠商务服务有限公司</t>
  </si>
  <si>
    <t>上海红松鼠商务服务有限公司二期</t>
  </si>
  <si>
    <t>民生银行山东</t>
  </si>
  <si>
    <t>深圳市韶音科技有限公司四期</t>
  </si>
  <si>
    <t>苏州凯帝丽莎电子商务有限公司</t>
  </si>
  <si>
    <t>亚杰电商</t>
  </si>
  <si>
    <t>浙江知外电子商务有限公司</t>
  </si>
  <si>
    <t>深圳市华宝新能源股份有限公司</t>
  </si>
  <si>
    <t>北京云动九天科技有限公司</t>
  </si>
  <si>
    <t>解决一个问题（深圳）有限公司</t>
  </si>
  <si>
    <t>青山美宿</t>
  </si>
  <si>
    <t>天方健（中国）药业有限公司</t>
  </si>
  <si>
    <t>上海目荻电子商务有限公司</t>
  </si>
  <si>
    <t>宁波满分体育发展有限公司</t>
  </si>
  <si>
    <t>山东森特</t>
  </si>
  <si>
    <t>深圳市布宜诺实业有限公司</t>
  </si>
  <si>
    <t>凤岗天安数码城</t>
  </si>
  <si>
    <t>石狮</t>
  </si>
  <si>
    <t>上海贝士特绿色建材有限公司</t>
  </si>
  <si>
    <t>上海贝士特绿色建材有限公司二期</t>
  </si>
  <si>
    <t>上海贝士特绿色建材有限公司三期</t>
  </si>
  <si>
    <t>上海贝士特绿色建材有限公司四期</t>
  </si>
  <si>
    <t>深圳市中熙设计有限公司三期</t>
  </si>
  <si>
    <t>深圳市中熙设计有限公司四期</t>
  </si>
  <si>
    <t>深圳盈富斯科技有限公司四期</t>
  </si>
  <si>
    <t>中熙室内设计事务所（深圳）有限公司</t>
  </si>
  <si>
    <t>中熙室内设计事务所（深圳）有限公司二期</t>
  </si>
  <si>
    <t>重庆鸿巨网络科技有限公司十二期</t>
  </si>
  <si>
    <t>重庆鸿巨网络科技有限公司十六期</t>
  </si>
  <si>
    <t>重庆鸿巨网络科技有限公司十三期</t>
  </si>
  <si>
    <t>2022-12-02</t>
  </si>
  <si>
    <t>重庆鸿巨网络科技有限公司十四期</t>
  </si>
  <si>
    <t>2022-12-01</t>
  </si>
  <si>
    <t>重庆鸿巨网络科技有限公司十五期</t>
  </si>
  <si>
    <t>北京天玛智控科技股份有限公司</t>
  </si>
  <si>
    <t>北京天玛智控科技股份有限公司二期</t>
  </si>
  <si>
    <t>德耐尔节能科技（上海）股份有限公司</t>
  </si>
  <si>
    <t>固达电线电缆（集团）有限公司</t>
  </si>
  <si>
    <t>蘑菇物联技术（深圳）有限公司二期</t>
  </si>
  <si>
    <t>蘑菇物联技术（深圳）有限公司三期</t>
  </si>
  <si>
    <t>蘑菇物联技术（深圳）有限公司四期</t>
  </si>
  <si>
    <t>蘑菇物联技术（深圳）有限公司五期</t>
  </si>
  <si>
    <t>深圳市数存科技有限公司二期</t>
  </si>
  <si>
    <t>浙江鹏信信息科技股份有限公司</t>
  </si>
  <si>
    <t>杭州研趣信息技术有限公司</t>
  </si>
  <si>
    <t>黑龙江飞鹤乳业有限公司</t>
  </si>
  <si>
    <t>立强珠宝咨询</t>
  </si>
  <si>
    <t>浙江印象实业股份有限公司</t>
  </si>
  <si>
    <t>豆盟</t>
  </si>
  <si>
    <t>好视通</t>
  </si>
  <si>
    <t>必胜道二期</t>
  </si>
  <si>
    <t>方根五度（云浮市）烘焙食品有限责任公司</t>
  </si>
  <si>
    <t>奶糖派</t>
  </si>
  <si>
    <t>深圳市天一泓投资控股股份有限公司</t>
  </si>
  <si>
    <t>一撕得二期</t>
  </si>
  <si>
    <t>御寿生物</t>
  </si>
  <si>
    <t>中食安泓</t>
  </si>
  <si>
    <t>跨境电商</t>
  </si>
  <si>
    <t>杭州小影创新科技股份有限公司</t>
  </si>
  <si>
    <t>满小饱</t>
  </si>
  <si>
    <t>南孚</t>
  </si>
  <si>
    <t>上海爱用科技股份有限公司二期</t>
  </si>
  <si>
    <t>上海时宜品牌管理有限公司</t>
  </si>
  <si>
    <t>广州禧豆教育咨询有限公司</t>
  </si>
  <si>
    <t>杭州奕嘉亿珠宝有限公司</t>
  </si>
  <si>
    <t>金华米马贸易有限公司</t>
  </si>
  <si>
    <t>福建南孚市场营销有限公司</t>
  </si>
  <si>
    <t>贵州丙乾全品牌管理有限公司</t>
  </si>
  <si>
    <t>康巴赫</t>
  </si>
  <si>
    <t>北京来也网络科技有限公司二期</t>
  </si>
  <si>
    <t>北京来也网络科技有限公司六期</t>
  </si>
  <si>
    <t>北京来也网络科技有限公司三期</t>
  </si>
  <si>
    <t>北京来也网络科技有限公司四期</t>
  </si>
  <si>
    <t>北京来也网络科技有限公司五期</t>
  </si>
  <si>
    <t>北京明略软件系统有限公司六期</t>
  </si>
  <si>
    <t>北京牛卡福网络科技有限公司三期</t>
  </si>
  <si>
    <t>北京牛卡福网络科技有限公司四期</t>
  </si>
  <si>
    <t>北京仁科互动网络技术有限公司八期</t>
  </si>
  <si>
    <t>北京仁科互动网络技术有限公司九期</t>
  </si>
  <si>
    <t>北京仁科互动网络技术有限公司六期</t>
  </si>
  <si>
    <t>北京仁科互动网络技术有限公司七期</t>
  </si>
  <si>
    <t>北京仁科互动网络技术有限公司三期</t>
  </si>
  <si>
    <t>北京仁科互动网络技术有限公司十二期</t>
  </si>
  <si>
    <t>北京仁科互动网络技术有限公司十期</t>
  </si>
  <si>
    <t>北京仁科互动网络技术有限公司十三期</t>
  </si>
  <si>
    <t>北京仁科互动网络技术有限公司十四期</t>
  </si>
  <si>
    <t>北京仁科互动网络技术有限公司十一期</t>
  </si>
  <si>
    <t>北京仁科互动网络技术有限公司五期</t>
  </si>
  <si>
    <t>布童物联网科技（上海）有限公司</t>
  </si>
  <si>
    <t>布童物联网科技（上海）有限公司二期</t>
  </si>
  <si>
    <t>财道汇咨询有限公司</t>
  </si>
  <si>
    <t>成都抖咖文化传播有限公司</t>
  </si>
  <si>
    <t>广东快康健康咨询有限公司</t>
  </si>
  <si>
    <t>广西山宁工程机械有限公司</t>
  </si>
  <si>
    <t>广州奶糖派服装有限公司二期</t>
  </si>
  <si>
    <t>广州市亚洲吃面文化发展有限公司二期</t>
  </si>
  <si>
    <t>贵州环亚民族职业技术学校二期</t>
  </si>
  <si>
    <t>贵州环亚民族职业技术学校三期</t>
  </si>
  <si>
    <t>贵州环亚民族职业技术学校四期</t>
  </si>
  <si>
    <t>贵州匠心酒业有限公司二期</t>
  </si>
  <si>
    <t>贵州匠心酒业有限公司三期</t>
  </si>
  <si>
    <t>贵州通程兄弟工程机械有限公司</t>
  </si>
  <si>
    <t>贵州乡酒酒业有限公司二期</t>
  </si>
  <si>
    <t>杭州大希地科技股份有限公司八期</t>
  </si>
  <si>
    <t>杭州大希地科技股份有限公司九期</t>
  </si>
  <si>
    <t>杭州印象视觉电子商务有限公司</t>
  </si>
  <si>
    <t>2023-01-05</t>
  </si>
  <si>
    <t>上海领健信息技术有限公司八期</t>
  </si>
  <si>
    <t>上海领健信息技术有限公司九期</t>
  </si>
  <si>
    <t>上海茗居网络科技有限公司三期</t>
  </si>
  <si>
    <t>上海茗居网络科技有限公司四期</t>
  </si>
  <si>
    <t>上海睿众实业有限公司十二期</t>
  </si>
  <si>
    <t>上海睿众实业有限公司十六期</t>
  </si>
  <si>
    <t>上海睿众实业有限公司十七期</t>
  </si>
  <si>
    <t>上海睿众实业有限公司十三期</t>
  </si>
  <si>
    <t>上海睿众实业有限公司十四期</t>
  </si>
  <si>
    <t>上海睿众实业有限公司十五期</t>
  </si>
  <si>
    <t>上海睿众实业有限公司十一期</t>
  </si>
  <si>
    <t>上海仙工智能科技有限公司六期</t>
  </si>
  <si>
    <t>上海仙工智能科技有限公司七期</t>
  </si>
  <si>
    <t>上海仙工智能科技有限公司三期</t>
  </si>
  <si>
    <t>上海仙工智能科技有限公司四期</t>
  </si>
  <si>
    <t>上海仙工智能科技有限公司五期</t>
  </si>
  <si>
    <t>深圳华秋电子有限公司</t>
  </si>
  <si>
    <t>深圳市成塔服饰有限公司八期</t>
  </si>
  <si>
    <t>深圳市成塔服饰有限公司九期</t>
  </si>
  <si>
    <t>深圳市成塔服饰有限公司六期</t>
  </si>
  <si>
    <t>深圳市成塔服饰有限公司七期</t>
  </si>
  <si>
    <t>深圳市成塔服饰有限公司十期</t>
  </si>
  <si>
    <t>深圳市路特佳成网络科技有限公司九期</t>
  </si>
  <si>
    <t>深圳市三旺通信股份有限公司八期</t>
  </si>
  <si>
    <t>深圳市三旺通信股份有限公司九期</t>
  </si>
  <si>
    <t>深圳市三旺通信股份有限公司六期</t>
  </si>
  <si>
    <t>深圳市三旺通信股份有限公司七期</t>
  </si>
  <si>
    <t>深圳市三旺通信股份有限公司十期</t>
  </si>
  <si>
    <t>深圳市三旺通信股份有限公司四期</t>
  </si>
  <si>
    <t>深圳市三旺通信股份有限公司五期</t>
  </si>
  <si>
    <t>深圳盈富斯科技有限公司六期</t>
  </si>
  <si>
    <t>深圳盈富斯科技有限公司七期</t>
  </si>
  <si>
    <t>四川盛和机械设备有限公司二期</t>
  </si>
  <si>
    <t>四川盛和机械设备有限公司三期</t>
  </si>
  <si>
    <t>四川盛和机械设备有限公司四期</t>
  </si>
  <si>
    <t>苏州凯帝丽莎电子商务有限公司八期</t>
  </si>
  <si>
    <t>一撕得包装科技（杭州）有限公司二期</t>
  </si>
  <si>
    <t>浙江传化化学集团有限公司</t>
  </si>
  <si>
    <t>浙江汇信科技有限公司七期</t>
  </si>
  <si>
    <t>浙江汇信科技有限公司五期</t>
  </si>
  <si>
    <t>浙江印象实业股份有限公司二期</t>
  </si>
  <si>
    <t>浙江印象实业股份有限公司三期</t>
  </si>
  <si>
    <t>浙江印象实业股份有限公司四期</t>
  </si>
  <si>
    <t>中山敦明纺织有限公司二期</t>
  </si>
  <si>
    <t>中山质华商贸有限公司三期</t>
  </si>
  <si>
    <t>中食安泓（广东）健康产业有限公司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</si>
</sst>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#,##0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8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2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62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76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Fill="1"/>
    <xf numFmtId="0" fontId="0" fillId="2" borderId="0" xfId="0" applyFill="1"/>
    <xf numFmtId="176" fontId="0" fillId="0" borderId="0" xfId="0" applyNumberFormat="1"/>
    <xf numFmtId="10" fontId="0" fillId="0" borderId="0" xfId="11" applyNumberFormat="1" applyAlignment="1"/>
    <xf numFmtId="0" fontId="1" fillId="0" borderId="0" xfId="0" applyFont="1" applyFill="1" applyAlignment="1">
      <alignment wrapText="1"/>
    </xf>
    <xf numFmtId="176" fontId="1" fillId="0" borderId="0" xfId="0" applyNumberFormat="1" applyFont="1" applyFill="1" applyAlignment="1">
      <alignment wrapText="1"/>
    </xf>
    <xf numFmtId="176" fontId="0" fillId="0" borderId="0" xfId="0" applyNumberFormat="1" applyFont="1" applyFill="1" applyAlignment="1"/>
    <xf numFmtId="176" fontId="0" fillId="0" borderId="0" xfId="0" applyNumberFormat="1" applyFont="1" applyFill="1" applyAlignment="1">
      <alignment wrapText="1"/>
    </xf>
    <xf numFmtId="10" fontId="0" fillId="0" borderId="0" xfId="0" applyNumberFormat="1" applyFont="1" applyFill="1" applyAlignment="1">
      <alignment wrapText="1"/>
    </xf>
    <xf numFmtId="0" fontId="0" fillId="0" borderId="0" xfId="0" applyNumberFormat="1" applyFont="1" applyFill="1" applyAlignment="1">
      <alignment wrapText="1"/>
    </xf>
    <xf numFmtId="10" fontId="0" fillId="0" borderId="0" xfId="11" applyNumberFormat="1" applyAlignment="1">
      <alignment wrapText="1"/>
    </xf>
    <xf numFmtId="176" fontId="0" fillId="0" borderId="0" xfId="0" applyNumberFormat="1" applyFill="1"/>
    <xf numFmtId="10" fontId="0" fillId="0" borderId="0" xfId="11" applyNumberFormat="1" applyFill="1" applyAlignment="1"/>
    <xf numFmtId="176" fontId="3" fillId="0" borderId="0" xfId="0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wrapText="1"/>
    </xf>
    <xf numFmtId="176" fontId="0" fillId="2" borderId="0" xfId="0" applyNumberFormat="1" applyFont="1" applyFill="1" applyAlignment="1"/>
    <xf numFmtId="176" fontId="0" fillId="2" borderId="0" xfId="0" applyNumberFormat="1" applyFont="1" applyFill="1" applyAlignment="1">
      <alignment wrapText="1"/>
    </xf>
    <xf numFmtId="10" fontId="0" fillId="2" borderId="0" xfId="11" applyNumberFormat="1" applyFill="1" applyAlignment="1"/>
    <xf numFmtId="10" fontId="1" fillId="0" borderId="0" xfId="11" applyNumberFormat="1" applyFont="1" applyFill="1" applyAlignment="1">
      <alignment wrapText="1"/>
    </xf>
    <xf numFmtId="10" fontId="0" fillId="0" borderId="0" xfId="11" applyNumberFormat="1" applyFont="1" applyFill="1" applyAlignment="1">
      <alignment wrapText="1"/>
    </xf>
    <xf numFmtId="0" fontId="3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0" fontId="2" fillId="0" borderId="0" xfId="0" applyFont="1"/>
    <xf numFmtId="176" fontId="3" fillId="0" borderId="0" xfId="0" applyNumberFormat="1" applyFont="1"/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1" fillId="0" borderId="1" xfId="0" applyFont="1" applyFill="1" applyBorder="1" applyAlignment="1">
      <alignment wrapText="1"/>
    </xf>
    <xf numFmtId="176" fontId="1" fillId="0" borderId="1" xfId="0" applyNumberFormat="1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177" fontId="1" fillId="0" borderId="1" xfId="0" applyNumberFormat="1" applyFont="1" applyFill="1" applyBorder="1" applyAlignment="1">
      <alignment horizontal="center" wrapText="1"/>
    </xf>
    <xf numFmtId="176" fontId="0" fillId="0" borderId="1" xfId="0" applyNumberFormat="1" applyBorder="1"/>
    <xf numFmtId="0" fontId="0" fillId="0" borderId="1" xfId="0" applyBorder="1"/>
    <xf numFmtId="176" fontId="0" fillId="0" borderId="1" xfId="0" applyNumberFormat="1" applyFont="1" applyFill="1" applyBorder="1" applyAlignment="1"/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0" fontId="4" fillId="0" borderId="1" xfId="11" applyNumberFormat="1" applyFont="1" applyBorder="1" applyAlignment="1"/>
    <xf numFmtId="10" fontId="5" fillId="0" borderId="1" xfId="11" applyNumberFormat="1" applyFont="1" applyBorder="1" applyAlignment="1"/>
    <xf numFmtId="10" fontId="0" fillId="0" borderId="1" xfId="11" applyNumberFormat="1" applyBorder="1" applyAlignment="1"/>
    <xf numFmtId="0" fontId="1" fillId="0" borderId="1" xfId="0" applyFont="1" applyBorder="1"/>
    <xf numFmtId="176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77" fontId="1" fillId="0" borderId="1" xfId="0" applyNumberFormat="1" applyFont="1" applyBorder="1" applyAlignment="1">
      <alignment horizontal="center"/>
    </xf>
    <xf numFmtId="10" fontId="6" fillId="0" borderId="1" xfId="11" applyNumberFormat="1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2" name="矩形 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3" name="矩形 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4" name="矩形 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5" name="矩形 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6" name="矩形 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7" name="矩形 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8" name="矩形 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9" name="矩形 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0" name="矩形 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1" name="矩形 1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2" name="矩形 1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3" name="矩形 1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4" name="矩形 1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5" name="矩形 1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6" name="矩形 1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7" name="矩形 1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8" name="矩形 1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9" name="矩形 1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20" name="矩形 1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21" name="矩形 2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22" name="矩形 2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23" name="矩形 2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24" name="矩形 2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25" name="矩形 2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26" name="矩形 2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27" name="矩形 2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28" name="矩形 2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29" name="矩形 2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30" name="矩形 2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31" name="矩形 3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32" name="矩形 3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33" name="矩形 3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34" name="矩形 3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35" name="矩形 3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36" name="矩形 3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37" name="矩形 3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38" name="矩形 3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39" name="矩形 3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40" name="矩形 3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41" name="矩形 4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42" name="矩形 4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43" name="矩形 4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44" name="矩形 4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45" name="矩形 4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46" name="矩形 4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47" name="矩形 4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48" name="矩形 4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49" name="矩形 4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50" name="矩形 4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51" name="矩形 5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52" name="矩形 5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53" name="矩形 5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54" name="矩形 5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55" name="矩形 5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56" name="矩形 5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57" name="矩形 5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58" name="矩形 5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59" name="矩形 5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60" name="矩形 5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61" name="矩形 6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62" name="矩形 6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63" name="矩形 6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64" name="矩形 6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65" name="矩形 6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66" name="矩形 6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67" name="矩形 6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68" name="矩形 6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69" name="矩形 6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70" name="矩形 6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71" name="矩形 7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72" name="矩形 7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73" name="矩形 7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74" name="矩形 7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75" name="矩形 7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76" name="矩形 7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77" name="矩形 7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78" name="矩形 7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79" name="矩形 7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80" name="矩形 7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81" name="矩形 8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82" name="矩形 8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83" name="矩形 8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84" name="矩形 8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85" name="矩形 8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86" name="矩形 8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87" name="矩形 8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88" name="矩形 8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89" name="矩形 8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90" name="矩形 8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91" name="矩形 9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92" name="矩形 9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93" name="矩形 9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94" name="矩形 9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95" name="矩形 9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96" name="矩形 9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97" name="矩形 9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98" name="矩形 9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99" name="矩形 9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00" name="矩形 9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01" name="矩形 10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02" name="矩形 10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03" name="矩形 10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04" name="矩形 10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05" name="矩形 10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06" name="矩形 10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07" name="矩形 10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08" name="矩形 10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09" name="矩形 10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10" name="矩形 10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11" name="矩形 11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12" name="矩形 11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13" name="矩形 11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14" name="矩形 11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15" name="矩形 11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16" name="矩形 11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17" name="矩形 11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18" name="矩形 11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19" name="矩形 11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20" name="矩形 11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21" name="矩形 12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22" name="矩形 12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23" name="矩形 12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24" name="矩形 12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25" name="矩形 12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26" name="矩形 12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27" name="矩形 12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28" name="矩形 12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29" name="矩形 12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30" name="矩形 12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31" name="矩形 13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32" name="矩形 13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33" name="矩形 13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34" name="矩形 13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35" name="矩形 13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36" name="矩形 13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37" name="矩形 13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38" name="矩形 13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39" name="矩形 13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40" name="矩形 13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41" name="矩形 14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42" name="矩形 14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43" name="矩形 14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44" name="矩形 14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45" name="矩形 14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46" name="矩形 14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47" name="矩形 14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48" name="矩形 14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49" name="矩形 14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50" name="矩形 14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51" name="矩形 15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52" name="矩形 15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53" name="矩形 152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54" name="矩形 153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55" name="矩形 154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56" name="矩形 155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57" name="矩形 156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58" name="矩形 157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59" name="矩形 158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60" name="矩形 159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61" name="矩形 160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107950</xdr:rowOff>
    </xdr:to>
    <xdr:sp>
      <xdr:nvSpPr>
        <xdr:cNvPr id="162" name="矩形 161"/>
        <xdr:cNvSpPr>
          <a:spLocks noChangeAspect="1"/>
        </xdr:cNvSpPr>
      </xdr:nvSpPr>
      <xdr:spPr>
        <a:xfrm>
          <a:off x="1524000" y="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abSelected="1" workbookViewId="0">
      <selection activeCell="J14" sqref="J14"/>
    </sheetView>
  </sheetViews>
  <sheetFormatPr defaultColWidth="8.66666666666667" defaultRowHeight="14" outlineLevelCol="6"/>
  <cols>
    <col min="1" max="1" width="21.8333333333333" customWidth="1"/>
    <col min="2" max="2" width="16.5" style="19" customWidth="1"/>
    <col min="3" max="3" width="24.0833333333333" style="39" customWidth="1"/>
    <col min="4" max="4" width="13.75" customWidth="1"/>
    <col min="5" max="5" width="16.75" style="40" customWidth="1"/>
    <col min="6" max="6" width="13.75" style="19" customWidth="1"/>
    <col min="7" max="7" width="12.3333333333333" customWidth="1"/>
  </cols>
  <sheetData>
    <row r="1" s="37" customFormat="1" ht="15.5" spans="1:6">
      <c r="A1" s="41" t="s">
        <v>0</v>
      </c>
      <c r="B1" s="42"/>
      <c r="C1" s="43"/>
      <c r="E1" s="44"/>
      <c r="F1" s="42"/>
    </row>
    <row r="2" s="37" customFormat="1" ht="15.5" spans="1:6">
      <c r="A2" s="41" t="s">
        <v>1</v>
      </c>
      <c r="B2" s="42"/>
      <c r="C2" s="43"/>
      <c r="E2" s="44"/>
      <c r="F2" s="42"/>
    </row>
    <row r="3" s="37" customFormat="1" ht="15.5" spans="1:6">
      <c r="A3" s="41" t="s">
        <v>2</v>
      </c>
      <c r="B3" s="42"/>
      <c r="C3" s="43"/>
      <c r="E3" s="44"/>
      <c r="F3" s="42"/>
    </row>
    <row r="4" s="37" customFormat="1" ht="15.5" spans="1:6">
      <c r="A4" s="41" t="s">
        <v>3</v>
      </c>
      <c r="B4" s="42"/>
      <c r="C4" s="43"/>
      <c r="E4" s="44"/>
      <c r="F4" s="42"/>
    </row>
    <row r="6" spans="1:7">
      <c r="A6" s="45" t="s">
        <v>4</v>
      </c>
      <c r="B6" s="46" t="s">
        <v>5</v>
      </c>
      <c r="C6" s="47" t="s">
        <v>6</v>
      </c>
      <c r="D6" s="46" t="s">
        <v>7</v>
      </c>
      <c r="E6" s="48" t="s">
        <v>8</v>
      </c>
      <c r="F6" s="49" t="s">
        <v>9</v>
      </c>
      <c r="G6" s="50" t="s">
        <v>10</v>
      </c>
    </row>
    <row r="7" spans="1:7">
      <c r="A7" s="45" t="s">
        <v>11</v>
      </c>
      <c r="B7" s="51">
        <v>10643640.33</v>
      </c>
      <c r="C7" s="52">
        <v>1</v>
      </c>
      <c r="D7" s="49">
        <v>10238201.6</v>
      </c>
      <c r="E7" s="53">
        <v>2</v>
      </c>
      <c r="F7" s="49">
        <f>B7-D7</f>
        <v>405438.73</v>
      </c>
      <c r="G7" s="54">
        <f>F7/D7</f>
        <v>0.0396005808285706</v>
      </c>
    </row>
    <row r="8" spans="1:7">
      <c r="A8" s="45" t="s">
        <v>12</v>
      </c>
      <c r="B8" s="51">
        <v>9807400</v>
      </c>
      <c r="C8" s="52">
        <v>2</v>
      </c>
      <c r="D8" s="49">
        <v>11290000</v>
      </c>
      <c r="E8" s="53">
        <v>1</v>
      </c>
      <c r="F8" s="49">
        <f t="shared" ref="F8:F39" si="0">B8-D8</f>
        <v>-1482600</v>
      </c>
      <c r="G8" s="55">
        <f t="shared" ref="G8:G39" si="1">F8/D8</f>
        <v>-0.131319751992914</v>
      </c>
    </row>
    <row r="9" spans="1:7">
      <c r="A9" s="45" t="s">
        <v>13</v>
      </c>
      <c r="B9" s="51">
        <v>6040000</v>
      </c>
      <c r="C9" s="52">
        <v>3</v>
      </c>
      <c r="D9" s="49">
        <v>1220000</v>
      </c>
      <c r="E9" s="53">
        <v>11</v>
      </c>
      <c r="F9" s="49">
        <f t="shared" si="0"/>
        <v>4820000</v>
      </c>
      <c r="G9" s="54">
        <f t="shared" si="1"/>
        <v>3.95081967213115</v>
      </c>
    </row>
    <row r="10" spans="1:7">
      <c r="A10" s="45" t="s">
        <v>14</v>
      </c>
      <c r="B10" s="51">
        <v>3070000</v>
      </c>
      <c r="C10" s="52">
        <v>4</v>
      </c>
      <c r="D10" s="49">
        <v>1555900</v>
      </c>
      <c r="E10" s="53">
        <v>9</v>
      </c>
      <c r="F10" s="49">
        <f t="shared" si="0"/>
        <v>1514100</v>
      </c>
      <c r="G10" s="54">
        <f t="shared" si="1"/>
        <v>0.973134520213381</v>
      </c>
    </row>
    <row r="11" spans="1:7">
      <c r="A11" s="45" t="s">
        <v>15</v>
      </c>
      <c r="B11" s="51">
        <v>2180000</v>
      </c>
      <c r="C11" s="52">
        <v>5</v>
      </c>
      <c r="D11" s="49">
        <v>2180000</v>
      </c>
      <c r="E11" s="53">
        <v>7</v>
      </c>
      <c r="F11" s="49">
        <f t="shared" si="0"/>
        <v>0</v>
      </c>
      <c r="G11" s="54">
        <f t="shared" si="1"/>
        <v>0</v>
      </c>
    </row>
    <row r="12" spans="1:7">
      <c r="A12" s="45" t="s">
        <v>16</v>
      </c>
      <c r="B12" s="51">
        <v>1930000</v>
      </c>
      <c r="C12" s="52">
        <v>6</v>
      </c>
      <c r="D12" s="49">
        <v>864000</v>
      </c>
      <c r="E12" s="53">
        <v>15</v>
      </c>
      <c r="F12" s="49">
        <f t="shared" si="0"/>
        <v>1066000</v>
      </c>
      <c r="G12" s="54">
        <f t="shared" si="1"/>
        <v>1.2337962962963</v>
      </c>
    </row>
    <row r="13" spans="1:7">
      <c r="A13" s="45" t="s">
        <v>17</v>
      </c>
      <c r="B13" s="49">
        <v>1678170</v>
      </c>
      <c r="C13" s="52">
        <v>7</v>
      </c>
      <c r="D13" s="49">
        <v>0</v>
      </c>
      <c r="E13" s="53"/>
      <c r="F13" s="49">
        <f t="shared" si="0"/>
        <v>1678170</v>
      </c>
      <c r="G13" s="56"/>
    </row>
    <row r="14" spans="1:7">
      <c r="A14" s="45" t="s">
        <v>18</v>
      </c>
      <c r="B14" s="51">
        <v>1468000</v>
      </c>
      <c r="C14" s="52">
        <v>8</v>
      </c>
      <c r="D14" s="49">
        <v>3556300</v>
      </c>
      <c r="E14" s="53">
        <v>3</v>
      </c>
      <c r="F14" s="49">
        <f t="shared" si="0"/>
        <v>-2088300</v>
      </c>
      <c r="G14" s="55">
        <f t="shared" si="1"/>
        <v>-0.587211427607345</v>
      </c>
    </row>
    <row r="15" spans="1:7">
      <c r="A15" s="45" t="s">
        <v>19</v>
      </c>
      <c r="B15" s="51">
        <v>1402769</v>
      </c>
      <c r="C15" s="52">
        <v>9</v>
      </c>
      <c r="D15" s="49">
        <v>220000</v>
      </c>
      <c r="E15" s="53">
        <v>21</v>
      </c>
      <c r="F15" s="49">
        <f t="shared" si="0"/>
        <v>1182769</v>
      </c>
      <c r="G15" s="54">
        <f t="shared" si="1"/>
        <v>5.37622272727273</v>
      </c>
    </row>
    <row r="16" spans="1:7">
      <c r="A16" s="45" t="s">
        <v>20</v>
      </c>
      <c r="B16" s="49">
        <v>1300000</v>
      </c>
      <c r="C16" s="52">
        <v>10</v>
      </c>
      <c r="D16" s="49">
        <v>2013800</v>
      </c>
      <c r="E16" s="53">
        <v>8</v>
      </c>
      <c r="F16" s="49">
        <f t="shared" si="0"/>
        <v>-713800</v>
      </c>
      <c r="G16" s="55">
        <f t="shared" si="1"/>
        <v>-0.354454265567584</v>
      </c>
    </row>
    <row r="17" spans="1:7">
      <c r="A17" s="45" t="s">
        <v>21</v>
      </c>
      <c r="B17" s="49">
        <v>1236195</v>
      </c>
      <c r="C17" s="52">
        <v>11</v>
      </c>
      <c r="D17" s="49">
        <v>1440940</v>
      </c>
      <c r="E17" s="53">
        <v>10</v>
      </c>
      <c r="F17" s="49">
        <f t="shared" si="0"/>
        <v>-204745</v>
      </c>
      <c r="G17" s="55">
        <f t="shared" si="1"/>
        <v>-0.142091273751856</v>
      </c>
    </row>
    <row r="18" spans="1:7">
      <c r="A18" s="45" t="s">
        <v>22</v>
      </c>
      <c r="B18" s="51">
        <v>1168000</v>
      </c>
      <c r="C18" s="52">
        <v>12</v>
      </c>
      <c r="D18" s="49">
        <v>3520650</v>
      </c>
      <c r="E18" s="53">
        <v>4</v>
      </c>
      <c r="F18" s="49">
        <f t="shared" si="0"/>
        <v>-2352650</v>
      </c>
      <c r="G18" s="55">
        <f t="shared" si="1"/>
        <v>-0.668243080113047</v>
      </c>
    </row>
    <row r="19" spans="1:7">
      <c r="A19" s="45" t="s">
        <v>23</v>
      </c>
      <c r="B19" s="51">
        <v>1077432</v>
      </c>
      <c r="C19" s="52">
        <v>13</v>
      </c>
      <c r="D19" s="49">
        <v>948840</v>
      </c>
      <c r="E19" s="53">
        <v>13</v>
      </c>
      <c r="F19" s="49">
        <f t="shared" si="0"/>
        <v>128592</v>
      </c>
      <c r="G19" s="54">
        <f t="shared" si="1"/>
        <v>0.135525483748577</v>
      </c>
    </row>
    <row r="20" spans="1:7">
      <c r="A20" s="45" t="s">
        <v>24</v>
      </c>
      <c r="B20" s="49">
        <v>1063600</v>
      </c>
      <c r="C20" s="52">
        <v>14</v>
      </c>
      <c r="D20" s="49">
        <v>0</v>
      </c>
      <c r="E20" s="53"/>
      <c r="F20" s="49">
        <f t="shared" si="0"/>
        <v>1063600</v>
      </c>
      <c r="G20" s="56"/>
    </row>
    <row r="21" spans="1:7">
      <c r="A21" s="45" t="s">
        <v>25</v>
      </c>
      <c r="B21" s="51">
        <v>972367.76</v>
      </c>
      <c r="C21" s="52">
        <v>15</v>
      </c>
      <c r="D21" s="49">
        <v>140000</v>
      </c>
      <c r="E21" s="53">
        <v>27</v>
      </c>
      <c r="F21" s="49">
        <f t="shared" si="0"/>
        <v>832367.76</v>
      </c>
      <c r="G21" s="54">
        <f t="shared" si="1"/>
        <v>5.945484</v>
      </c>
    </row>
    <row r="22" spans="1:7">
      <c r="A22" s="45" t="s">
        <v>26</v>
      </c>
      <c r="B22" s="49">
        <v>957500</v>
      </c>
      <c r="C22" s="52">
        <v>16</v>
      </c>
      <c r="D22" s="49">
        <v>1655539</v>
      </c>
      <c r="E22" s="53">
        <v>14</v>
      </c>
      <c r="F22" s="49">
        <f t="shared" si="0"/>
        <v>-698039</v>
      </c>
      <c r="G22" s="55">
        <f t="shared" si="1"/>
        <v>-0.42163851168713</v>
      </c>
    </row>
    <row r="23" spans="1:7">
      <c r="A23" s="45" t="s">
        <v>27</v>
      </c>
      <c r="B23" s="51">
        <v>741292</v>
      </c>
      <c r="C23" s="52">
        <v>17</v>
      </c>
      <c r="D23" s="49">
        <v>2185000</v>
      </c>
      <c r="E23" s="53">
        <v>6</v>
      </c>
      <c r="F23" s="49">
        <f t="shared" si="0"/>
        <v>-1443708</v>
      </c>
      <c r="G23" s="55">
        <f t="shared" si="1"/>
        <v>-0.660735926773455</v>
      </c>
    </row>
    <row r="24" spans="1:7">
      <c r="A24" s="45" t="s">
        <v>28</v>
      </c>
      <c r="B24" s="51">
        <v>620000</v>
      </c>
      <c r="C24" s="52">
        <v>18</v>
      </c>
      <c r="D24" s="49">
        <v>687500</v>
      </c>
      <c r="E24" s="53">
        <v>16</v>
      </c>
      <c r="F24" s="49">
        <f t="shared" si="0"/>
        <v>-67500</v>
      </c>
      <c r="G24" s="55">
        <f t="shared" si="1"/>
        <v>-0.0981818181818182</v>
      </c>
    </row>
    <row r="25" spans="1:7">
      <c r="A25" s="45" t="s">
        <v>29</v>
      </c>
      <c r="B25" s="51">
        <v>554822.48</v>
      </c>
      <c r="C25" s="52">
        <v>19</v>
      </c>
      <c r="D25" s="49">
        <v>0</v>
      </c>
      <c r="E25" s="53"/>
      <c r="F25" s="49">
        <f t="shared" si="0"/>
        <v>554822.48</v>
      </c>
      <c r="G25" s="56"/>
    </row>
    <row r="26" spans="1:7">
      <c r="A26" s="45" t="s">
        <v>30</v>
      </c>
      <c r="B26" s="51">
        <v>540000</v>
      </c>
      <c r="C26" s="52">
        <v>20</v>
      </c>
      <c r="D26" s="49">
        <v>1041980</v>
      </c>
      <c r="E26" s="53">
        <v>12</v>
      </c>
      <c r="F26" s="49">
        <f t="shared" si="0"/>
        <v>-501980</v>
      </c>
      <c r="G26" s="55">
        <f t="shared" si="1"/>
        <v>-0.481755887828941</v>
      </c>
    </row>
    <row r="27" spans="1:7">
      <c r="A27" s="45" t="s">
        <v>31</v>
      </c>
      <c r="B27" s="49">
        <v>469320</v>
      </c>
      <c r="C27" s="52">
        <v>21</v>
      </c>
      <c r="D27" s="49">
        <v>632500</v>
      </c>
      <c r="E27" s="53">
        <v>17</v>
      </c>
      <c r="F27" s="49">
        <f t="shared" si="0"/>
        <v>-163180</v>
      </c>
      <c r="G27" s="55">
        <f t="shared" si="1"/>
        <v>-0.25799209486166</v>
      </c>
    </row>
    <row r="28" spans="1:7">
      <c r="A28" s="45" t="s">
        <v>32</v>
      </c>
      <c r="B28" s="49">
        <v>370000</v>
      </c>
      <c r="C28" s="52">
        <v>22</v>
      </c>
      <c r="D28" s="49">
        <v>2845000</v>
      </c>
      <c r="E28" s="53">
        <v>5</v>
      </c>
      <c r="F28" s="49">
        <f t="shared" si="0"/>
        <v>-2475000</v>
      </c>
      <c r="G28" s="55">
        <f t="shared" si="1"/>
        <v>-0.869947275922671</v>
      </c>
    </row>
    <row r="29" spans="1:7">
      <c r="A29" s="45" t="s">
        <v>33</v>
      </c>
      <c r="B29" s="51">
        <v>300000</v>
      </c>
      <c r="C29" s="52">
        <v>23</v>
      </c>
      <c r="D29" s="49">
        <v>0</v>
      </c>
      <c r="E29" s="53"/>
      <c r="F29" s="49">
        <f t="shared" si="0"/>
        <v>300000</v>
      </c>
      <c r="G29" s="56"/>
    </row>
    <row r="30" spans="1:7">
      <c r="A30" s="45" t="s">
        <v>34</v>
      </c>
      <c r="B30" s="51">
        <v>197648</v>
      </c>
      <c r="C30" s="52">
        <v>24</v>
      </c>
      <c r="D30" s="49">
        <v>0</v>
      </c>
      <c r="E30" s="53"/>
      <c r="F30" s="49">
        <f t="shared" si="0"/>
        <v>197648</v>
      </c>
      <c r="G30" s="56"/>
    </row>
    <row r="31" spans="1:7">
      <c r="A31" s="45" t="s">
        <v>35</v>
      </c>
      <c r="B31" s="51">
        <v>169371.5</v>
      </c>
      <c r="C31" s="52">
        <v>25</v>
      </c>
      <c r="D31" s="49">
        <v>90000</v>
      </c>
      <c r="E31" s="53">
        <v>30</v>
      </c>
      <c r="F31" s="49">
        <f t="shared" si="0"/>
        <v>79371.5</v>
      </c>
      <c r="G31" s="54">
        <f t="shared" si="1"/>
        <v>0.881905555555556</v>
      </c>
    </row>
    <row r="32" spans="1:7">
      <c r="A32" s="45" t="s">
        <v>36</v>
      </c>
      <c r="B32" s="49">
        <v>160000</v>
      </c>
      <c r="C32" s="52">
        <v>26</v>
      </c>
      <c r="D32" s="49">
        <v>0</v>
      </c>
      <c r="E32" s="53"/>
      <c r="F32" s="49">
        <f t="shared" si="0"/>
        <v>160000</v>
      </c>
      <c r="G32" s="56"/>
    </row>
    <row r="33" spans="1:7">
      <c r="A33" s="45" t="s">
        <v>37</v>
      </c>
      <c r="B33" s="51">
        <v>157774.96</v>
      </c>
      <c r="C33" s="52">
        <v>27</v>
      </c>
      <c r="D33" s="49">
        <v>150000</v>
      </c>
      <c r="E33" s="53">
        <v>25</v>
      </c>
      <c r="F33" s="49">
        <f t="shared" si="0"/>
        <v>7774.95999999999</v>
      </c>
      <c r="G33" s="54">
        <f t="shared" si="1"/>
        <v>0.0518330666666666</v>
      </c>
    </row>
    <row r="34" spans="1:7">
      <c r="A34" s="45" t="s">
        <v>38</v>
      </c>
      <c r="B34" s="49">
        <v>134832</v>
      </c>
      <c r="C34" s="52">
        <v>28</v>
      </c>
      <c r="D34" s="49">
        <v>0</v>
      </c>
      <c r="E34" s="53"/>
      <c r="F34" s="49">
        <f t="shared" si="0"/>
        <v>134832</v>
      </c>
      <c r="G34" s="56"/>
    </row>
    <row r="35" spans="1:7">
      <c r="A35" s="45" t="s">
        <v>39</v>
      </c>
      <c r="B35" s="51">
        <v>120000</v>
      </c>
      <c r="C35" s="52">
        <v>29</v>
      </c>
      <c r="D35" s="49">
        <v>150000</v>
      </c>
      <c r="E35" s="53">
        <v>26</v>
      </c>
      <c r="F35" s="49">
        <f t="shared" si="0"/>
        <v>-30000</v>
      </c>
      <c r="G35" s="55">
        <f t="shared" si="1"/>
        <v>-0.2</v>
      </c>
    </row>
    <row r="36" spans="1:7">
      <c r="A36" s="45" t="s">
        <v>40</v>
      </c>
      <c r="B36" s="51">
        <v>107272</v>
      </c>
      <c r="C36" s="52">
        <v>30</v>
      </c>
      <c r="D36" s="49">
        <v>0</v>
      </c>
      <c r="E36" s="53"/>
      <c r="F36" s="49">
        <f t="shared" si="0"/>
        <v>107272</v>
      </c>
      <c r="G36" s="56"/>
    </row>
    <row r="37" spans="1:7">
      <c r="A37" s="45" t="s">
        <v>41</v>
      </c>
      <c r="B37" s="51">
        <v>100000</v>
      </c>
      <c r="C37" s="52">
        <v>31</v>
      </c>
      <c r="D37" s="49">
        <v>0</v>
      </c>
      <c r="E37" s="53"/>
      <c r="F37" s="49">
        <f t="shared" si="0"/>
        <v>100000</v>
      </c>
      <c r="G37" s="56"/>
    </row>
    <row r="38" spans="1:7">
      <c r="A38" s="45" t="s">
        <v>42</v>
      </c>
      <c r="B38" s="49">
        <v>100000</v>
      </c>
      <c r="C38" s="52">
        <v>32</v>
      </c>
      <c r="D38" s="49">
        <v>0</v>
      </c>
      <c r="E38" s="53"/>
      <c r="F38" s="49">
        <f t="shared" si="0"/>
        <v>100000</v>
      </c>
      <c r="G38" s="56"/>
    </row>
    <row r="39" spans="1:7">
      <c r="A39" s="45" t="s">
        <v>43</v>
      </c>
      <c r="B39" s="51">
        <v>99640</v>
      </c>
      <c r="C39" s="52">
        <v>33</v>
      </c>
      <c r="D39" s="49">
        <v>0</v>
      </c>
      <c r="E39" s="53"/>
      <c r="F39" s="49">
        <f t="shared" si="0"/>
        <v>99640</v>
      </c>
      <c r="G39" s="56"/>
    </row>
    <row r="40" spans="1:7">
      <c r="A40" s="45" t="s">
        <v>44</v>
      </c>
      <c r="B40" s="51">
        <v>95000</v>
      </c>
      <c r="C40" s="52">
        <v>34</v>
      </c>
      <c r="D40" s="49">
        <v>0</v>
      </c>
      <c r="E40" s="53"/>
      <c r="F40" s="49">
        <f t="shared" ref="F40:F56" si="2">B40-D40</f>
        <v>95000</v>
      </c>
      <c r="G40" s="56"/>
    </row>
    <row r="41" s="17" customFormat="1" spans="1:7">
      <c r="A41" s="45" t="s">
        <v>45</v>
      </c>
      <c r="B41" s="51">
        <v>75000</v>
      </c>
      <c r="C41" s="52">
        <v>35</v>
      </c>
      <c r="D41" s="49">
        <v>0</v>
      </c>
      <c r="E41" s="53"/>
      <c r="F41" s="49">
        <f t="shared" si="2"/>
        <v>75000</v>
      </c>
      <c r="G41" s="56"/>
    </row>
    <row r="42" spans="1:7">
      <c r="A42" s="45" t="s">
        <v>46</v>
      </c>
      <c r="B42" s="51">
        <v>75000</v>
      </c>
      <c r="C42" s="52">
        <v>36</v>
      </c>
      <c r="D42" s="49">
        <v>0</v>
      </c>
      <c r="E42" s="53"/>
      <c r="F42" s="49">
        <f t="shared" si="2"/>
        <v>75000</v>
      </c>
      <c r="G42" s="56"/>
    </row>
    <row r="43" spans="1:7">
      <c r="A43" s="45" t="s">
        <v>47</v>
      </c>
      <c r="B43" s="51">
        <v>65000</v>
      </c>
      <c r="C43" s="52">
        <v>37</v>
      </c>
      <c r="D43" s="49">
        <v>0</v>
      </c>
      <c r="E43" s="53"/>
      <c r="F43" s="49">
        <f t="shared" si="2"/>
        <v>65000</v>
      </c>
      <c r="G43" s="56"/>
    </row>
    <row r="44" spans="1:7">
      <c r="A44" s="45" t="s">
        <v>48</v>
      </c>
      <c r="B44" s="51">
        <v>60000</v>
      </c>
      <c r="C44" s="52">
        <v>38</v>
      </c>
      <c r="D44" s="49">
        <v>166000</v>
      </c>
      <c r="E44" s="53">
        <v>23</v>
      </c>
      <c r="F44" s="49">
        <f t="shared" si="2"/>
        <v>-106000</v>
      </c>
      <c r="G44" s="55">
        <f t="shared" ref="G40:G56" si="3">F44/D44</f>
        <v>-0.63855421686747</v>
      </c>
    </row>
    <row r="45" spans="1:7">
      <c r="A45" s="45" t="s">
        <v>49</v>
      </c>
      <c r="B45" s="51">
        <v>50000</v>
      </c>
      <c r="C45" s="52">
        <v>39</v>
      </c>
      <c r="D45" s="49">
        <v>0</v>
      </c>
      <c r="E45" s="53"/>
      <c r="F45" s="49">
        <f t="shared" si="2"/>
        <v>50000</v>
      </c>
      <c r="G45" s="56"/>
    </row>
    <row r="46" spans="1:7">
      <c r="A46" s="45" t="s">
        <v>50</v>
      </c>
      <c r="B46" s="51">
        <v>37100</v>
      </c>
      <c r="C46" s="52">
        <v>40</v>
      </c>
      <c r="D46" s="49">
        <v>0</v>
      </c>
      <c r="E46" s="53"/>
      <c r="F46" s="49">
        <f t="shared" si="2"/>
        <v>37100</v>
      </c>
      <c r="G46" s="56"/>
    </row>
    <row r="47" spans="1:7">
      <c r="A47" s="45" t="s">
        <v>51</v>
      </c>
      <c r="B47" s="51">
        <v>35000</v>
      </c>
      <c r="C47" s="52">
        <v>41</v>
      </c>
      <c r="D47" s="49">
        <v>0</v>
      </c>
      <c r="E47" s="53"/>
      <c r="F47" s="49">
        <f t="shared" si="2"/>
        <v>35000</v>
      </c>
      <c r="G47" s="56"/>
    </row>
    <row r="48" spans="1:7">
      <c r="A48" s="8" t="s">
        <v>52</v>
      </c>
      <c r="B48" s="51"/>
      <c r="C48" s="52"/>
      <c r="D48" s="9">
        <v>250000</v>
      </c>
      <c r="E48" s="53">
        <v>19</v>
      </c>
      <c r="F48" s="49">
        <f t="shared" si="2"/>
        <v>-250000</v>
      </c>
      <c r="G48" s="55">
        <f t="shared" si="3"/>
        <v>-1</v>
      </c>
    </row>
    <row r="49" spans="1:7">
      <c r="A49" s="8" t="s">
        <v>53</v>
      </c>
      <c r="B49" s="51"/>
      <c r="C49" s="52"/>
      <c r="D49" s="9">
        <v>185000</v>
      </c>
      <c r="E49" s="53">
        <v>22</v>
      </c>
      <c r="F49" s="49">
        <f t="shared" si="2"/>
        <v>-185000</v>
      </c>
      <c r="G49" s="55">
        <f t="shared" si="3"/>
        <v>-1</v>
      </c>
    </row>
    <row r="50" spans="1:7">
      <c r="A50" s="8" t="s">
        <v>54</v>
      </c>
      <c r="B50" s="51"/>
      <c r="C50" s="52"/>
      <c r="D50" s="9">
        <v>160000</v>
      </c>
      <c r="E50" s="53">
        <v>24</v>
      </c>
      <c r="F50" s="49">
        <f t="shared" si="2"/>
        <v>-160000</v>
      </c>
      <c r="G50" s="55">
        <f t="shared" si="3"/>
        <v>-1</v>
      </c>
    </row>
    <row r="51" spans="1:7">
      <c r="A51" s="8" t="s">
        <v>55</v>
      </c>
      <c r="B51" s="51"/>
      <c r="C51" s="52"/>
      <c r="D51" s="9">
        <v>110000</v>
      </c>
      <c r="E51" s="53">
        <v>28</v>
      </c>
      <c r="F51" s="49">
        <f t="shared" si="2"/>
        <v>-110000</v>
      </c>
      <c r="G51" s="55">
        <f t="shared" si="3"/>
        <v>-1</v>
      </c>
    </row>
    <row r="52" spans="1:7">
      <c r="A52" s="8" t="s">
        <v>56</v>
      </c>
      <c r="B52" s="51"/>
      <c r="C52" s="52"/>
      <c r="D52" s="9">
        <v>100000</v>
      </c>
      <c r="E52" s="53">
        <v>29</v>
      </c>
      <c r="F52" s="49">
        <f t="shared" si="2"/>
        <v>-100000</v>
      </c>
      <c r="G52" s="55">
        <f t="shared" si="3"/>
        <v>-1</v>
      </c>
    </row>
    <row r="53" spans="1:7">
      <c r="A53" s="8" t="s">
        <v>57</v>
      </c>
      <c r="B53" s="51"/>
      <c r="C53" s="52"/>
      <c r="D53" s="9">
        <v>55000</v>
      </c>
      <c r="E53" s="53">
        <v>31</v>
      </c>
      <c r="F53" s="49">
        <f t="shared" si="2"/>
        <v>-55000</v>
      </c>
      <c r="G53" s="55">
        <f t="shared" si="3"/>
        <v>-1</v>
      </c>
    </row>
    <row r="54" spans="1:7">
      <c r="A54" s="8" t="s">
        <v>58</v>
      </c>
      <c r="B54" s="51"/>
      <c r="C54" s="52"/>
      <c r="D54" s="9">
        <v>50000</v>
      </c>
      <c r="E54" s="53">
        <v>32</v>
      </c>
      <c r="F54" s="49">
        <f t="shared" si="2"/>
        <v>-50000</v>
      </c>
      <c r="G54" s="55">
        <f t="shared" si="3"/>
        <v>-1</v>
      </c>
    </row>
    <row r="55" spans="1:7">
      <c r="A55" s="8" t="s">
        <v>59</v>
      </c>
      <c r="B55" s="51"/>
      <c r="C55" s="52"/>
      <c r="D55" s="9">
        <v>25000</v>
      </c>
      <c r="E55" s="53">
        <v>33</v>
      </c>
      <c r="F55" s="49">
        <f t="shared" si="2"/>
        <v>-25000</v>
      </c>
      <c r="G55" s="55">
        <f t="shared" si="3"/>
        <v>-1</v>
      </c>
    </row>
    <row r="56" s="38" customFormat="1" spans="1:7">
      <c r="A56" s="57" t="s">
        <v>60</v>
      </c>
      <c r="B56" s="58">
        <f>SUM(B7:B55)</f>
        <v>51429147.03</v>
      </c>
      <c r="C56" s="59"/>
      <c r="D56" s="58">
        <f>SUM(D7:D55)</f>
        <v>49727150.6</v>
      </c>
      <c r="E56" s="60"/>
      <c r="F56" s="58">
        <f t="shared" si="2"/>
        <v>1701996.42999999</v>
      </c>
      <c r="G56" s="61">
        <f t="shared" si="3"/>
        <v>0.0342267033092379</v>
      </c>
    </row>
  </sheetData>
  <autoFilter ref="A6:G56">
    <extLst/>
  </autoFilter>
  <sortState ref="A2:B43">
    <sortCondition ref="B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opLeftCell="A18" workbookViewId="0">
      <selection activeCell="C50" sqref="C50"/>
    </sheetView>
  </sheetViews>
  <sheetFormatPr defaultColWidth="8.66666666666667" defaultRowHeight="14"/>
  <cols>
    <col min="1" max="1" width="25.1666666666667" customWidth="1"/>
    <col min="2" max="2" width="13.5833333333333"/>
    <col min="3" max="3" width="15.8333333333333" customWidth="1"/>
    <col min="4" max="4" width="12.5"/>
    <col min="5" max="5" width="11.6666666666667" style="20" customWidth="1"/>
    <col min="6" max="6" width="12.6666666666667"/>
    <col min="7" max="7" width="12.5" style="20"/>
    <col min="8" max="8" width="12.6666666666667"/>
    <col min="9" max="9" width="10.25" customWidth="1"/>
  </cols>
  <sheetData>
    <row r="1" ht="28" spans="1:9">
      <c r="A1" s="21" t="s">
        <v>61</v>
      </c>
      <c r="B1" s="22" t="s">
        <v>62</v>
      </c>
      <c r="C1" s="22" t="s">
        <v>63</v>
      </c>
      <c r="D1" s="21" t="s">
        <v>64</v>
      </c>
      <c r="E1" s="35" t="s">
        <v>65</v>
      </c>
      <c r="F1" s="21" t="s">
        <v>66</v>
      </c>
      <c r="G1" s="35" t="s">
        <v>67</v>
      </c>
      <c r="H1" s="21" t="s">
        <v>68</v>
      </c>
      <c r="I1" t="s">
        <v>69</v>
      </c>
    </row>
    <row r="2" spans="1:9">
      <c r="A2" s="21" t="s">
        <v>18</v>
      </c>
      <c r="B2" s="23">
        <v>1468000</v>
      </c>
      <c r="C2" s="23">
        <v>440936</v>
      </c>
      <c r="D2" s="24">
        <v>204781.2</v>
      </c>
      <c r="E2" s="36">
        <f t="shared" ref="E2:E28" si="0">D2/B2</f>
        <v>0.139496730245232</v>
      </c>
      <c r="F2" s="24">
        <v>120583.8426</v>
      </c>
      <c r="G2" s="36">
        <f t="shared" ref="G2:G28" si="1">F2/B2</f>
        <v>0.0821415821525886</v>
      </c>
      <c r="H2" s="24">
        <v>84197.3574</v>
      </c>
      <c r="I2" s="20">
        <f t="shared" ref="I2:I28" si="2">H2/B2</f>
        <v>0.057355148092643</v>
      </c>
    </row>
    <row r="3" spans="1:9">
      <c r="A3" s="21" t="s">
        <v>41</v>
      </c>
      <c r="B3" s="23">
        <v>100000</v>
      </c>
      <c r="C3" s="23">
        <v>100000</v>
      </c>
      <c r="D3" s="24">
        <v>-6834.93</v>
      </c>
      <c r="E3" s="36">
        <f t="shared" si="0"/>
        <v>-0.0683493</v>
      </c>
      <c r="F3" s="24">
        <v>8000</v>
      </c>
      <c r="G3" s="36">
        <f t="shared" si="1"/>
        <v>0.08</v>
      </c>
      <c r="H3" s="24">
        <v>-14834.93</v>
      </c>
      <c r="I3" s="20">
        <f t="shared" si="2"/>
        <v>-0.1483493</v>
      </c>
    </row>
    <row r="4" spans="1:9">
      <c r="A4" s="21" t="s">
        <v>27</v>
      </c>
      <c r="B4" s="23">
        <v>741292</v>
      </c>
      <c r="C4" s="23">
        <v>741292</v>
      </c>
      <c r="D4" s="24">
        <v>78999.07</v>
      </c>
      <c r="E4" s="36">
        <f t="shared" si="0"/>
        <v>0.106569435526081</v>
      </c>
      <c r="F4" s="24">
        <v>28636.8636</v>
      </c>
      <c r="G4" s="36">
        <f t="shared" si="1"/>
        <v>0.0386310166574036</v>
      </c>
      <c r="H4" s="24">
        <v>50362.2064</v>
      </c>
      <c r="I4" s="20">
        <f t="shared" si="2"/>
        <v>0.0679384188686779</v>
      </c>
    </row>
    <row r="5" spans="1:9">
      <c r="A5" s="21" t="s">
        <v>70</v>
      </c>
      <c r="B5" s="23">
        <v>60000</v>
      </c>
      <c r="C5" s="23">
        <v>60000</v>
      </c>
      <c r="D5" s="24">
        <v>5403.77</v>
      </c>
      <c r="E5" s="36">
        <f t="shared" si="0"/>
        <v>0.0900628333333333</v>
      </c>
      <c r="F5" s="24">
        <v>3000</v>
      </c>
      <c r="G5" s="36">
        <f t="shared" si="1"/>
        <v>0.05</v>
      </c>
      <c r="H5" s="24">
        <v>2403.77</v>
      </c>
      <c r="I5" s="20">
        <f t="shared" si="2"/>
        <v>0.0400628333333333</v>
      </c>
    </row>
    <row r="6" spans="1:9">
      <c r="A6" s="21" t="s">
        <v>19</v>
      </c>
      <c r="B6" s="23">
        <v>1402769</v>
      </c>
      <c r="C6" s="23">
        <v>1402769</v>
      </c>
      <c r="D6" s="24">
        <v>524262.03</v>
      </c>
      <c r="E6" s="36">
        <f t="shared" si="0"/>
        <v>0.373733686729604</v>
      </c>
      <c r="F6" s="24">
        <v>132356.748</v>
      </c>
      <c r="G6" s="36">
        <f t="shared" si="1"/>
        <v>0.0943539157195518</v>
      </c>
      <c r="H6" s="24">
        <v>391905.282</v>
      </c>
      <c r="I6" s="20">
        <f t="shared" si="2"/>
        <v>0.279379771010052</v>
      </c>
    </row>
    <row r="7" spans="1:9">
      <c r="A7" s="21" t="s">
        <v>23</v>
      </c>
      <c r="B7" s="23">
        <v>1077432</v>
      </c>
      <c r="C7" s="23">
        <v>232164.9</v>
      </c>
      <c r="D7" s="24">
        <v>156769.32999</v>
      </c>
      <c r="E7" s="36">
        <f t="shared" si="0"/>
        <v>0.145502760257724</v>
      </c>
      <c r="F7" s="24">
        <v>93804.61149</v>
      </c>
      <c r="G7" s="36">
        <f t="shared" si="1"/>
        <v>0.0870631385460985</v>
      </c>
      <c r="H7" s="24">
        <v>62964.7185</v>
      </c>
      <c r="I7" s="20">
        <f t="shared" si="2"/>
        <v>0.0584396217116254</v>
      </c>
    </row>
    <row r="8" spans="1:9">
      <c r="A8" s="21" t="s">
        <v>45</v>
      </c>
      <c r="B8" s="23">
        <v>75000</v>
      </c>
      <c r="C8" s="23">
        <v>75000</v>
      </c>
      <c r="D8" s="24">
        <v>15104.72</v>
      </c>
      <c r="E8" s="36">
        <f t="shared" si="0"/>
        <v>0.201396266666667</v>
      </c>
      <c r="F8" s="24">
        <v>4531.416</v>
      </c>
      <c r="G8" s="36">
        <f t="shared" si="1"/>
        <v>0.06041888</v>
      </c>
      <c r="H8" s="24">
        <v>10573.304</v>
      </c>
      <c r="I8" s="20">
        <f t="shared" si="2"/>
        <v>0.140977386666667</v>
      </c>
    </row>
    <row r="9" spans="1:9">
      <c r="A9" s="21" t="s">
        <v>40</v>
      </c>
      <c r="B9" s="23">
        <v>107272</v>
      </c>
      <c r="C9" s="23">
        <v>107272</v>
      </c>
      <c r="D9" s="24">
        <v>11592.4</v>
      </c>
      <c r="E9" s="36">
        <f t="shared" si="0"/>
        <v>0.108065478410023</v>
      </c>
      <c r="F9" s="24">
        <v>5363.6</v>
      </c>
      <c r="G9" s="36">
        <f t="shared" si="1"/>
        <v>0.05</v>
      </c>
      <c r="H9" s="24">
        <v>6228.8</v>
      </c>
      <c r="I9" s="20">
        <f t="shared" si="2"/>
        <v>0.0580654784100231</v>
      </c>
    </row>
    <row r="10" spans="1:9">
      <c r="A10" s="21" t="s">
        <v>50</v>
      </c>
      <c r="B10" s="23">
        <v>37100</v>
      </c>
      <c r="C10" s="23">
        <v>37100</v>
      </c>
      <c r="D10" s="24">
        <v>-972.760000000001</v>
      </c>
      <c r="E10" s="36">
        <f t="shared" si="0"/>
        <v>-0.0262199460916442</v>
      </c>
      <c r="F10" s="24">
        <v>-291.828000000001</v>
      </c>
      <c r="G10" s="36">
        <f t="shared" si="1"/>
        <v>-0.00786598382749329</v>
      </c>
      <c r="H10" s="24">
        <v>-680.932</v>
      </c>
      <c r="I10" s="20">
        <f t="shared" si="2"/>
        <v>-0.0183539622641509</v>
      </c>
    </row>
    <row r="11" spans="1:9">
      <c r="A11" s="21" t="s">
        <v>30</v>
      </c>
      <c r="B11" s="23">
        <v>540000</v>
      </c>
      <c r="C11" s="23">
        <v>81000</v>
      </c>
      <c r="D11" s="24">
        <v>76415.09</v>
      </c>
      <c r="E11" s="36">
        <f t="shared" si="0"/>
        <v>0.141509425925926</v>
      </c>
      <c r="F11" s="24">
        <v>48608.1</v>
      </c>
      <c r="G11" s="36">
        <f t="shared" si="1"/>
        <v>0.090015</v>
      </c>
      <c r="H11" s="24">
        <v>27806.99</v>
      </c>
      <c r="I11" s="20">
        <f t="shared" si="2"/>
        <v>0.0514944259259259</v>
      </c>
    </row>
    <row r="12" spans="1:9">
      <c r="A12" s="21" t="s">
        <v>22</v>
      </c>
      <c r="B12" s="23">
        <v>1168000</v>
      </c>
      <c r="C12" s="23">
        <v>1168000</v>
      </c>
      <c r="D12" s="24">
        <v>170831.77</v>
      </c>
      <c r="E12" s="36">
        <f t="shared" si="0"/>
        <v>0.146260077054795</v>
      </c>
      <c r="F12" s="24">
        <v>77177.836</v>
      </c>
      <c r="G12" s="36">
        <f t="shared" si="1"/>
        <v>0.0660769143835616</v>
      </c>
      <c r="H12" s="24">
        <v>93653.934</v>
      </c>
      <c r="I12" s="20">
        <f t="shared" si="2"/>
        <v>0.0801831626712329</v>
      </c>
    </row>
    <row r="13" spans="1:9">
      <c r="A13" s="21" t="s">
        <v>32</v>
      </c>
      <c r="B13" s="19">
        <v>370000</v>
      </c>
      <c r="C13" s="24">
        <v>64000</v>
      </c>
      <c r="D13" s="24">
        <v>60377.35</v>
      </c>
      <c r="E13" s="36">
        <f t="shared" si="0"/>
        <v>0.163182027027027</v>
      </c>
      <c r="F13" s="14">
        <v>15350.9418</v>
      </c>
      <c r="G13" s="36">
        <f t="shared" si="1"/>
        <v>0.0414890318918919</v>
      </c>
      <c r="H13" s="26">
        <v>45026.4082</v>
      </c>
      <c r="I13" s="20">
        <f t="shared" si="2"/>
        <v>0.121692995135135</v>
      </c>
    </row>
    <row r="14" spans="1:9">
      <c r="A14" s="21" t="s">
        <v>35</v>
      </c>
      <c r="B14" s="23">
        <v>169371.5</v>
      </c>
      <c r="C14" s="23">
        <v>169371.5</v>
      </c>
      <c r="D14" s="24">
        <v>80867.14</v>
      </c>
      <c r="E14" s="36">
        <f t="shared" si="0"/>
        <v>0.477454235216669</v>
      </c>
      <c r="F14" s="24">
        <v>10708.575</v>
      </c>
      <c r="G14" s="36">
        <f t="shared" si="1"/>
        <v>0.063225365542609</v>
      </c>
      <c r="H14" s="24">
        <v>70158.565</v>
      </c>
      <c r="I14" s="20">
        <f t="shared" si="2"/>
        <v>0.41422886967406</v>
      </c>
    </row>
    <row r="15" spans="1:9">
      <c r="A15" s="21" t="s">
        <v>36</v>
      </c>
      <c r="B15" s="19">
        <v>160000</v>
      </c>
      <c r="C15" s="24">
        <v>160000</v>
      </c>
      <c r="D15" s="24">
        <v>29343.4</v>
      </c>
      <c r="E15" s="36">
        <f t="shared" si="0"/>
        <v>0.18339625</v>
      </c>
      <c r="F15" s="14">
        <v>8803.02</v>
      </c>
      <c r="G15" s="36">
        <f t="shared" si="1"/>
        <v>0.055018875</v>
      </c>
      <c r="H15" s="26">
        <v>20540.38</v>
      </c>
      <c r="I15" s="20">
        <f t="shared" si="2"/>
        <v>0.128377375</v>
      </c>
    </row>
    <row r="16" spans="1:9">
      <c r="A16" s="21" t="s">
        <v>31</v>
      </c>
      <c r="B16" s="19">
        <v>469320</v>
      </c>
      <c r="C16" s="24">
        <v>358820</v>
      </c>
      <c r="D16" s="24">
        <v>68606.93</v>
      </c>
      <c r="E16" s="36">
        <f t="shared" si="0"/>
        <v>0.146183691298048</v>
      </c>
      <c r="F16" s="14">
        <v>29271.2406</v>
      </c>
      <c r="G16" s="36">
        <f t="shared" si="1"/>
        <v>0.0623694720020455</v>
      </c>
      <c r="H16" s="26">
        <v>39335.6894</v>
      </c>
      <c r="I16" s="20">
        <f t="shared" si="2"/>
        <v>0.0838142192960027</v>
      </c>
    </row>
    <row r="17" spans="1:9">
      <c r="A17" s="21" t="s">
        <v>51</v>
      </c>
      <c r="B17" s="23">
        <v>35000</v>
      </c>
      <c r="C17" s="23">
        <v>35000</v>
      </c>
      <c r="D17" s="24">
        <v>18018.87</v>
      </c>
      <c r="E17" s="36">
        <f t="shared" si="0"/>
        <v>0.514824857142857</v>
      </c>
      <c r="F17" s="24">
        <v>1750</v>
      </c>
      <c r="G17" s="36">
        <f t="shared" si="1"/>
        <v>0.05</v>
      </c>
      <c r="H17" s="24">
        <v>16268.87</v>
      </c>
      <c r="I17" s="20">
        <f t="shared" si="2"/>
        <v>0.464824857142857</v>
      </c>
    </row>
    <row r="18" spans="1:9">
      <c r="A18" s="21" t="s">
        <v>12</v>
      </c>
      <c r="B18" s="23">
        <v>9807400</v>
      </c>
      <c r="C18" s="23">
        <v>1142740</v>
      </c>
      <c r="D18" s="24">
        <v>946041.05</v>
      </c>
      <c r="E18" s="36">
        <f t="shared" si="0"/>
        <v>0.096461962395742</v>
      </c>
      <c r="F18" s="24">
        <v>636498.042</v>
      </c>
      <c r="G18" s="36">
        <f t="shared" si="1"/>
        <v>0.06489977384424</v>
      </c>
      <c r="H18" s="24">
        <v>309543.008</v>
      </c>
      <c r="I18" s="20">
        <f t="shared" si="2"/>
        <v>0.0315621885515019</v>
      </c>
    </row>
    <row r="19" spans="1:9">
      <c r="A19" s="21" t="s">
        <v>34</v>
      </c>
      <c r="B19" s="23">
        <v>197648</v>
      </c>
      <c r="C19" s="23">
        <v>197648</v>
      </c>
      <c r="D19" s="24">
        <v>111954.53</v>
      </c>
      <c r="E19" s="36">
        <f t="shared" si="0"/>
        <v>0.566433912814701</v>
      </c>
      <c r="F19" s="24">
        <v>22517.76</v>
      </c>
      <c r="G19" s="36">
        <f t="shared" si="1"/>
        <v>0.113928600339998</v>
      </c>
      <c r="H19" s="24">
        <v>89436.77</v>
      </c>
      <c r="I19" s="20">
        <f t="shared" si="2"/>
        <v>0.452505312474703</v>
      </c>
    </row>
    <row r="20" spans="1:9">
      <c r="A20" s="21" t="s">
        <v>16</v>
      </c>
      <c r="B20" s="23">
        <v>1930000</v>
      </c>
      <c r="C20" s="23">
        <v>193000</v>
      </c>
      <c r="D20" s="24">
        <v>182075.47</v>
      </c>
      <c r="E20" s="36">
        <f t="shared" si="0"/>
        <v>0.094339621761658</v>
      </c>
      <c r="F20" s="24">
        <v>69301.8854</v>
      </c>
      <c r="G20" s="36">
        <f t="shared" si="1"/>
        <v>0.035907712642487</v>
      </c>
      <c r="H20" s="24">
        <v>112773.5846</v>
      </c>
      <c r="I20" s="20">
        <f t="shared" si="2"/>
        <v>0.058431909119171</v>
      </c>
    </row>
    <row r="21" spans="1:9">
      <c r="A21" s="21" t="s">
        <v>43</v>
      </c>
      <c r="B21" s="23">
        <v>99640</v>
      </c>
      <c r="C21" s="23">
        <v>99640</v>
      </c>
      <c r="D21" s="24">
        <v>14288</v>
      </c>
      <c r="E21" s="36">
        <f t="shared" si="0"/>
        <v>0.143396226415094</v>
      </c>
      <c r="F21" s="24">
        <v>4286.4</v>
      </c>
      <c r="G21" s="36">
        <f t="shared" si="1"/>
        <v>0.0430188679245283</v>
      </c>
      <c r="H21" s="24">
        <v>10001.6</v>
      </c>
      <c r="I21" s="20">
        <f t="shared" si="2"/>
        <v>0.100377358490566</v>
      </c>
    </row>
    <row r="22" spans="1:9">
      <c r="A22" s="21" t="s">
        <v>39</v>
      </c>
      <c r="B22" s="23">
        <v>120000</v>
      </c>
      <c r="C22" s="23">
        <v>120000</v>
      </c>
      <c r="D22" s="24">
        <v>48839.95</v>
      </c>
      <c r="E22" s="36">
        <f t="shared" si="0"/>
        <v>0.406999583333333</v>
      </c>
      <c r="F22" s="24">
        <v>14651.985</v>
      </c>
      <c r="G22" s="36">
        <f t="shared" si="1"/>
        <v>0.122099875</v>
      </c>
      <c r="H22" s="24">
        <v>34187.965</v>
      </c>
      <c r="I22" s="20">
        <f t="shared" si="2"/>
        <v>0.284899708333333</v>
      </c>
    </row>
    <row r="23" spans="1:9">
      <c r="A23" s="21" t="s">
        <v>42</v>
      </c>
      <c r="B23" s="19">
        <v>100000</v>
      </c>
      <c r="C23" s="24">
        <v>100000</v>
      </c>
      <c r="D23" s="24">
        <v>7839.62</v>
      </c>
      <c r="E23" s="36">
        <f t="shared" si="0"/>
        <v>0.0783962</v>
      </c>
      <c r="F23" s="14">
        <v>2351.886</v>
      </c>
      <c r="G23" s="36">
        <f t="shared" si="1"/>
        <v>0.02351886</v>
      </c>
      <c r="H23" s="26">
        <v>5487.734</v>
      </c>
      <c r="I23" s="20">
        <f t="shared" si="2"/>
        <v>0.05487734</v>
      </c>
    </row>
    <row r="24" spans="1:9">
      <c r="A24" s="21" t="s">
        <v>20</v>
      </c>
      <c r="B24" s="19">
        <v>1300000</v>
      </c>
      <c r="C24" s="24">
        <v>196534</v>
      </c>
      <c r="D24" s="24">
        <v>185409.45</v>
      </c>
      <c r="E24" s="36">
        <f t="shared" si="0"/>
        <v>0.142622653846154</v>
      </c>
      <c r="F24" s="14">
        <v>33373.701</v>
      </c>
      <c r="G24" s="36">
        <f t="shared" si="1"/>
        <v>0.0256720776923077</v>
      </c>
      <c r="H24" s="26">
        <v>152035.749</v>
      </c>
      <c r="I24" s="20">
        <f t="shared" si="2"/>
        <v>0.116950576153846</v>
      </c>
    </row>
    <row r="25" spans="1:9">
      <c r="A25" s="21" t="s">
        <v>49</v>
      </c>
      <c r="B25" s="23">
        <v>50000</v>
      </c>
      <c r="C25" s="23">
        <v>50000</v>
      </c>
      <c r="D25" s="24">
        <v>16469.81</v>
      </c>
      <c r="E25" s="36">
        <f t="shared" si="0"/>
        <v>0.3293962</v>
      </c>
      <c r="F25" s="24">
        <v>4940.943</v>
      </c>
      <c r="G25" s="36">
        <f t="shared" si="1"/>
        <v>0.09881886</v>
      </c>
      <c r="H25" s="24">
        <v>11528.867</v>
      </c>
      <c r="I25" s="20">
        <f t="shared" si="2"/>
        <v>0.23057734</v>
      </c>
    </row>
    <row r="26" spans="1:9">
      <c r="A26" s="21" t="s">
        <v>24</v>
      </c>
      <c r="B26" s="19">
        <v>1063600</v>
      </c>
      <c r="C26" s="24">
        <v>213600</v>
      </c>
      <c r="D26" s="24">
        <v>159979.43</v>
      </c>
      <c r="E26" s="36">
        <f t="shared" si="0"/>
        <v>0.150413153441143</v>
      </c>
      <c r="F26" s="14">
        <v>31196.2974</v>
      </c>
      <c r="G26" s="36">
        <f t="shared" si="1"/>
        <v>0.0293308550206845</v>
      </c>
      <c r="H26" s="26">
        <v>128783.1326</v>
      </c>
      <c r="I26" s="20">
        <f t="shared" si="2"/>
        <v>0.121082298420459</v>
      </c>
    </row>
    <row r="27" spans="1:9">
      <c r="A27" s="21" t="s">
        <v>47</v>
      </c>
      <c r="B27" s="23">
        <v>65000</v>
      </c>
      <c r="C27" s="23">
        <v>65000</v>
      </c>
      <c r="D27" s="24">
        <v>20020.75</v>
      </c>
      <c r="E27" s="36">
        <f t="shared" si="0"/>
        <v>0.308011538461538</v>
      </c>
      <c r="F27" s="24">
        <v>3250</v>
      </c>
      <c r="G27" s="36">
        <f t="shared" si="1"/>
        <v>0.05</v>
      </c>
      <c r="H27" s="24">
        <v>16770.75</v>
      </c>
      <c r="I27" s="20">
        <f t="shared" si="2"/>
        <v>0.258011538461538</v>
      </c>
    </row>
    <row r="28" spans="1:9">
      <c r="A28" s="21" t="s">
        <v>38</v>
      </c>
      <c r="B28" s="19">
        <v>134832</v>
      </c>
      <c r="C28" s="24">
        <v>134832</v>
      </c>
      <c r="D28" s="24">
        <v>4102.38</v>
      </c>
      <c r="E28" s="36">
        <f t="shared" si="0"/>
        <v>0.0304258632965468</v>
      </c>
      <c r="F28" s="14">
        <v>1230.714</v>
      </c>
      <c r="G28" s="36">
        <f t="shared" si="1"/>
        <v>0.00912775898896404</v>
      </c>
      <c r="H28" s="26">
        <v>2871.666</v>
      </c>
      <c r="I28" s="20">
        <f t="shared" si="2"/>
        <v>0.0212981043075828</v>
      </c>
    </row>
    <row r="29" spans="1:9">
      <c r="A29" s="21" t="s">
        <v>44</v>
      </c>
      <c r="B29" s="23">
        <v>95000</v>
      </c>
      <c r="C29" s="23">
        <v>95000</v>
      </c>
      <c r="D29" s="24">
        <v>42706.84</v>
      </c>
      <c r="E29" s="36">
        <f t="shared" ref="E29:E41" si="3">D29/B29</f>
        <v>0.449545684210526</v>
      </c>
      <c r="F29" s="24">
        <v>12812.052</v>
      </c>
      <c r="G29" s="36">
        <f t="shared" ref="G29:G41" si="4">F29/B29</f>
        <v>0.134863705263158</v>
      </c>
      <c r="H29" s="24">
        <v>29894.788</v>
      </c>
      <c r="I29" s="20">
        <f t="shared" ref="I29:I41" si="5">H29/B29</f>
        <v>0.314681978947368</v>
      </c>
    </row>
    <row r="30" spans="1:9">
      <c r="A30" s="21" t="s">
        <v>21</v>
      </c>
      <c r="B30" s="19">
        <v>1236195</v>
      </c>
      <c r="C30" s="24">
        <v>1236195</v>
      </c>
      <c r="D30" s="24">
        <v>141379.31</v>
      </c>
      <c r="E30" s="36">
        <f t="shared" si="3"/>
        <v>0.114366511755831</v>
      </c>
      <c r="F30" s="14">
        <v>51999.621</v>
      </c>
      <c r="G30" s="36">
        <f t="shared" si="4"/>
        <v>0.0420642544258794</v>
      </c>
      <c r="H30" s="26">
        <v>89379.689</v>
      </c>
      <c r="I30" s="20">
        <f t="shared" si="5"/>
        <v>0.072302257329952</v>
      </c>
    </row>
    <row r="31" spans="1:9">
      <c r="A31" s="21" t="s">
        <v>25</v>
      </c>
      <c r="B31" s="23">
        <v>972367.76</v>
      </c>
      <c r="C31" s="23">
        <v>972367.76</v>
      </c>
      <c r="D31" s="24">
        <v>247318.14</v>
      </c>
      <c r="E31" s="36">
        <f t="shared" si="3"/>
        <v>0.254346297948011</v>
      </c>
      <c r="F31" s="24">
        <v>101178.785</v>
      </c>
      <c r="G31" s="36">
        <f t="shared" si="4"/>
        <v>0.104054030956353</v>
      </c>
      <c r="H31" s="24">
        <v>146139.355</v>
      </c>
      <c r="I31" s="20">
        <f t="shared" si="5"/>
        <v>0.150292266991658</v>
      </c>
    </row>
    <row r="32" spans="1:9">
      <c r="A32" s="21" t="s">
        <v>29</v>
      </c>
      <c r="B32" s="23">
        <v>554822.48</v>
      </c>
      <c r="C32" s="23">
        <v>266822.48</v>
      </c>
      <c r="D32" s="24">
        <v>100760.84</v>
      </c>
      <c r="E32" s="36">
        <f t="shared" si="3"/>
        <v>0.181609151813748</v>
      </c>
      <c r="F32" s="24">
        <v>26218.2484</v>
      </c>
      <c r="G32" s="36">
        <f t="shared" si="4"/>
        <v>0.0472552020603058</v>
      </c>
      <c r="H32" s="24">
        <v>74542.5916</v>
      </c>
      <c r="I32" s="20">
        <f t="shared" si="5"/>
        <v>0.134353949753442</v>
      </c>
    </row>
    <row r="33" spans="1:9">
      <c r="A33" s="21" t="s">
        <v>28</v>
      </c>
      <c r="B33" s="23">
        <v>620000</v>
      </c>
      <c r="C33" s="23">
        <v>93000</v>
      </c>
      <c r="D33" s="24">
        <v>87735.85</v>
      </c>
      <c r="E33" s="36">
        <f t="shared" si="3"/>
        <v>0.141509435483871</v>
      </c>
      <c r="F33" s="24">
        <v>43867.925</v>
      </c>
      <c r="G33" s="36">
        <f t="shared" si="4"/>
        <v>0.0707547177419355</v>
      </c>
      <c r="H33" s="24">
        <v>43867.925</v>
      </c>
      <c r="I33" s="20">
        <f t="shared" si="5"/>
        <v>0.0707547177419355</v>
      </c>
    </row>
    <row r="34" spans="1:9">
      <c r="A34" s="21" t="s">
        <v>14</v>
      </c>
      <c r="B34" s="23">
        <v>3070000</v>
      </c>
      <c r="C34" s="23">
        <v>687100</v>
      </c>
      <c r="D34" s="24">
        <v>435841.07</v>
      </c>
      <c r="E34" s="36">
        <f t="shared" si="3"/>
        <v>0.1419677752443</v>
      </c>
      <c r="F34" s="24">
        <v>265483.911</v>
      </c>
      <c r="G34" s="36">
        <f t="shared" si="4"/>
        <v>0.0864768439739414</v>
      </c>
      <c r="H34" s="24">
        <v>170357.159</v>
      </c>
      <c r="I34" s="20">
        <f t="shared" si="5"/>
        <v>0.0554909312703583</v>
      </c>
    </row>
    <row r="35" spans="1:9">
      <c r="A35" s="21" t="s">
        <v>33</v>
      </c>
      <c r="B35" s="23">
        <v>300000</v>
      </c>
      <c r="C35" s="23">
        <v>300000</v>
      </c>
      <c r="D35" s="24">
        <v>59773.28</v>
      </c>
      <c r="E35" s="36">
        <f t="shared" si="3"/>
        <v>0.199244266666667</v>
      </c>
      <c r="F35" s="24">
        <v>0</v>
      </c>
      <c r="G35" s="36">
        <f t="shared" si="4"/>
        <v>0</v>
      </c>
      <c r="H35" s="24">
        <v>59773.28</v>
      </c>
      <c r="I35" s="20">
        <f t="shared" si="5"/>
        <v>0.199244266666667</v>
      </c>
    </row>
    <row r="36" spans="1:9">
      <c r="A36" s="21" t="s">
        <v>13</v>
      </c>
      <c r="B36" s="23">
        <v>6040000</v>
      </c>
      <c r="C36" s="23">
        <v>906000</v>
      </c>
      <c r="D36" s="24">
        <v>854716.96</v>
      </c>
      <c r="E36" s="36">
        <f t="shared" si="3"/>
        <v>0.141509430463576</v>
      </c>
      <c r="F36" s="24">
        <v>235373.487</v>
      </c>
      <c r="G36" s="36">
        <f t="shared" si="4"/>
        <v>0.0389691203642384</v>
      </c>
      <c r="H36" s="24">
        <v>619343.473</v>
      </c>
      <c r="I36" s="20">
        <f t="shared" si="5"/>
        <v>0.102540310099338</v>
      </c>
    </row>
    <row r="37" s="17" customFormat="1" spans="1:9">
      <c r="A37" s="21" t="s">
        <v>37</v>
      </c>
      <c r="B37" s="23">
        <v>157774.96</v>
      </c>
      <c r="C37" s="23">
        <v>157774.96</v>
      </c>
      <c r="D37" s="24">
        <v>86444.3</v>
      </c>
      <c r="E37" s="36">
        <f t="shared" si="3"/>
        <v>0.547896193413708</v>
      </c>
      <c r="F37" s="24">
        <v>24824.598</v>
      </c>
      <c r="G37" s="36">
        <f t="shared" si="4"/>
        <v>0.157341811400237</v>
      </c>
      <c r="H37" s="24">
        <v>61619.702</v>
      </c>
      <c r="I37" s="29">
        <f t="shared" si="5"/>
        <v>0.39055438201347</v>
      </c>
    </row>
    <row r="38" spans="1:9">
      <c r="A38" s="21" t="s">
        <v>15</v>
      </c>
      <c r="B38" s="23">
        <v>2180000</v>
      </c>
      <c r="C38" s="23">
        <v>260000</v>
      </c>
      <c r="D38" s="24">
        <v>101283.01</v>
      </c>
      <c r="E38" s="36">
        <f t="shared" si="3"/>
        <v>0.0464600963302752</v>
      </c>
      <c r="F38" s="24">
        <v>32943.395</v>
      </c>
      <c r="G38" s="36">
        <f t="shared" si="4"/>
        <v>0.0151116490825688</v>
      </c>
      <c r="H38" s="24">
        <v>68339.615</v>
      </c>
      <c r="I38" s="20">
        <f t="shared" si="5"/>
        <v>0.0313484472477064</v>
      </c>
    </row>
    <row r="39" spans="1:9">
      <c r="A39" s="21" t="s">
        <v>46</v>
      </c>
      <c r="B39" s="23">
        <v>75000</v>
      </c>
      <c r="C39" s="23">
        <v>75000</v>
      </c>
      <c r="D39" s="24">
        <v>10754.72</v>
      </c>
      <c r="E39" s="36">
        <f t="shared" si="3"/>
        <v>0.143396266666667</v>
      </c>
      <c r="F39" s="24">
        <v>3226.416</v>
      </c>
      <c r="G39" s="36">
        <f t="shared" si="4"/>
        <v>0.04301888</v>
      </c>
      <c r="H39" s="24">
        <v>7528.304</v>
      </c>
      <c r="I39" s="20">
        <f t="shared" si="5"/>
        <v>0.100377386666667</v>
      </c>
    </row>
    <row r="40" spans="1:9">
      <c r="A40" s="21" t="s">
        <v>11</v>
      </c>
      <c r="B40" s="23">
        <v>10643640.33</v>
      </c>
      <c r="C40" s="23">
        <v>10643640.33</v>
      </c>
      <c r="D40" s="24">
        <v>2060515.67</v>
      </c>
      <c r="E40" s="36">
        <f t="shared" si="3"/>
        <v>0.193591253191097</v>
      </c>
      <c r="F40" s="24">
        <v>902926.5384</v>
      </c>
      <c r="G40" s="36">
        <f t="shared" si="4"/>
        <v>0.0848324924936655</v>
      </c>
      <c r="H40" s="24">
        <v>1157589.1316</v>
      </c>
      <c r="I40" s="20">
        <f t="shared" si="5"/>
        <v>0.108758760697431</v>
      </c>
    </row>
    <row r="41" spans="1:9">
      <c r="A41" s="21" t="s">
        <v>26</v>
      </c>
      <c r="B41">
        <v>957500</v>
      </c>
      <c r="C41">
        <v>870000</v>
      </c>
      <c r="D41">
        <v>460155.81</v>
      </c>
      <c r="E41" s="36">
        <v>0.480580480417755</v>
      </c>
      <c r="F41">
        <v>116231.0818</v>
      </c>
      <c r="G41" s="36">
        <v>0.121390163759791</v>
      </c>
      <c r="H41">
        <v>343924.7282</v>
      </c>
      <c r="I41" s="20">
        <v>0.359190316657964</v>
      </c>
    </row>
    <row r="42" spans="1:9">
      <c r="A42" s="21" t="s">
        <v>71</v>
      </c>
      <c r="B42">
        <v>1678170</v>
      </c>
      <c r="C42">
        <v>301170</v>
      </c>
      <c r="D42">
        <v>181807.76</v>
      </c>
      <c r="E42" s="36">
        <v>0.108336914615325</v>
      </c>
      <c r="F42">
        <v>48542.328</v>
      </c>
      <c r="G42" s="36">
        <v>0.0289257512647705</v>
      </c>
      <c r="H42">
        <v>133265.432</v>
      </c>
      <c r="I42" s="20">
        <v>0.0794111633505545</v>
      </c>
    </row>
    <row r="43" spans="1:9">
      <c r="A43" s="21" t="s">
        <v>72</v>
      </c>
      <c r="B43" s="23">
        <f t="shared" ref="B43:F43" si="6">SUM(B2:B42)</f>
        <v>51429147.03</v>
      </c>
      <c r="C43" s="23">
        <f t="shared" si="6"/>
        <v>24609789.93</v>
      </c>
      <c r="D43" s="23">
        <f t="shared" si="6"/>
        <v>8061779.37999</v>
      </c>
      <c r="E43" s="36">
        <f>D43/B43</f>
        <v>0.156755066835687</v>
      </c>
      <c r="F43" s="23">
        <f t="shared" si="6"/>
        <v>3276882.96749</v>
      </c>
      <c r="G43" s="36">
        <f>F43/B43</f>
        <v>0.0637164556818044</v>
      </c>
      <c r="H43" s="23">
        <f>SUM(H2:H42)</f>
        <v>4784896.4125</v>
      </c>
      <c r="I43" s="20">
        <f>H43/B43</f>
        <v>0.0930386111538821</v>
      </c>
    </row>
  </sheetData>
  <autoFilter ref="A1:P43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0"/>
  <sheetViews>
    <sheetView topLeftCell="A2" workbookViewId="0">
      <selection activeCell="E11" sqref="E11"/>
    </sheetView>
  </sheetViews>
  <sheetFormatPr defaultColWidth="8" defaultRowHeight="14"/>
  <cols>
    <col min="1" max="1" width="13.5833333333333" style="17" customWidth="1"/>
    <col min="2" max="2" width="24.6666666666667" style="17" customWidth="1"/>
    <col min="3" max="3" width="11.8333333333333" style="19" customWidth="1"/>
    <col min="5" max="5" width="11.25" customWidth="1"/>
    <col min="6" max="6" width="9.5" customWidth="1"/>
    <col min="7" max="7" width="11.8333333333333" customWidth="1"/>
    <col min="8" max="8" width="9.08333333333333" customWidth="1"/>
    <col min="9" max="9" width="10.8333333333333" customWidth="1"/>
    <col min="10" max="10" width="7.91666666666667" customWidth="1"/>
    <col min="11" max="11" width="11.8333333333333" customWidth="1"/>
    <col min="12" max="12" width="6.66666666666667" customWidth="1"/>
    <col min="13" max="13" width="9.08333333333333" customWidth="1"/>
    <col min="14" max="14" width="13.5" style="19" customWidth="1"/>
    <col min="15" max="15" width="10.5833333333333" style="20" customWidth="1"/>
  </cols>
  <sheetData>
    <row r="1" s="16" customFormat="1" ht="28" spans="1:15">
      <c r="A1" s="21" t="s">
        <v>61</v>
      </c>
      <c r="B1" s="21" t="s">
        <v>73</v>
      </c>
      <c r="C1" s="22" t="s">
        <v>63</v>
      </c>
      <c r="D1" s="21" t="s">
        <v>74</v>
      </c>
      <c r="E1" s="21" t="s">
        <v>66</v>
      </c>
      <c r="F1" s="21" t="s">
        <v>75</v>
      </c>
      <c r="G1" s="21" t="s">
        <v>76</v>
      </c>
      <c r="H1" s="21" t="s">
        <v>77</v>
      </c>
      <c r="I1" s="21" t="s">
        <v>78</v>
      </c>
      <c r="J1" s="21" t="s">
        <v>79</v>
      </c>
      <c r="K1" s="21" t="s">
        <v>80</v>
      </c>
      <c r="L1" s="21" t="s">
        <v>81</v>
      </c>
      <c r="M1" s="21" t="s">
        <v>82</v>
      </c>
      <c r="N1" s="22" t="s">
        <v>62</v>
      </c>
      <c r="O1" s="27" t="s">
        <v>83</v>
      </c>
    </row>
    <row r="2" ht="28" spans="1:15">
      <c r="A2" s="14" t="s">
        <v>18</v>
      </c>
      <c r="B2" s="14" t="s">
        <v>84</v>
      </c>
      <c r="C2" s="23">
        <f t="shared" ref="C2:C65" si="0">G2+K2</f>
        <v>135000</v>
      </c>
      <c r="D2" s="24">
        <v>0.09</v>
      </c>
      <c r="E2" s="24">
        <v>12150</v>
      </c>
      <c r="F2" s="24">
        <v>0.894</v>
      </c>
      <c r="G2" s="24">
        <v>120687.66</v>
      </c>
      <c r="H2" s="24">
        <v>0.0566</v>
      </c>
      <c r="I2" s="24">
        <v>7641.51</v>
      </c>
      <c r="J2" s="24">
        <v>0.106</v>
      </c>
      <c r="K2" s="24">
        <v>14312.34</v>
      </c>
      <c r="L2" s="14" t="s">
        <v>85</v>
      </c>
      <c r="M2" s="14" t="s">
        <v>86</v>
      </c>
      <c r="N2" s="23">
        <v>135000</v>
      </c>
      <c r="O2" s="20">
        <f t="shared" ref="O2:O65" si="1">C2/N2</f>
        <v>1</v>
      </c>
    </row>
    <row r="3" ht="28" spans="1:15">
      <c r="A3" s="14" t="s">
        <v>18</v>
      </c>
      <c r="B3" s="14" t="s">
        <v>87</v>
      </c>
      <c r="C3" s="23">
        <f t="shared" si="0"/>
        <v>90000</v>
      </c>
      <c r="D3" s="24">
        <v>0.05</v>
      </c>
      <c r="E3" s="24">
        <v>4500</v>
      </c>
      <c r="F3" s="24">
        <v>0.9366</v>
      </c>
      <c r="G3" s="24">
        <v>84294.34</v>
      </c>
      <c r="H3" s="24">
        <v>0.0566</v>
      </c>
      <c r="I3" s="24">
        <v>5094.34</v>
      </c>
      <c r="J3" s="24">
        <v>0.0634</v>
      </c>
      <c r="K3" s="24">
        <v>5705.66</v>
      </c>
      <c r="L3" s="14" t="s">
        <v>85</v>
      </c>
      <c r="M3" s="14" t="s">
        <v>86</v>
      </c>
      <c r="N3" s="23">
        <v>90000</v>
      </c>
      <c r="O3" s="20">
        <f t="shared" si="1"/>
        <v>1</v>
      </c>
    </row>
    <row r="4" ht="28" spans="1:15">
      <c r="A4" s="14" t="s">
        <v>18</v>
      </c>
      <c r="B4" s="14" t="s">
        <v>88</v>
      </c>
      <c r="C4" s="24">
        <f t="shared" si="0"/>
        <v>45000</v>
      </c>
      <c r="D4" s="25">
        <v>0.0457</v>
      </c>
      <c r="E4" s="14">
        <v>2055.849</v>
      </c>
      <c r="F4" s="25">
        <v>0.8934</v>
      </c>
      <c r="G4" s="26">
        <v>40203.019</v>
      </c>
      <c r="H4" s="25">
        <v>0.0566</v>
      </c>
      <c r="I4" s="26">
        <v>2547.17</v>
      </c>
      <c r="J4" s="25">
        <v>0.1066</v>
      </c>
      <c r="K4" s="26">
        <v>4796.981</v>
      </c>
      <c r="L4" s="14" t="s">
        <v>85</v>
      </c>
      <c r="M4" s="14" t="s">
        <v>89</v>
      </c>
      <c r="N4" s="28">
        <v>45000</v>
      </c>
      <c r="O4" s="20">
        <f t="shared" si="1"/>
        <v>1</v>
      </c>
    </row>
    <row r="5" ht="28" spans="1:15">
      <c r="A5" s="14" t="s">
        <v>18</v>
      </c>
      <c r="B5" s="14" t="s">
        <v>90</v>
      </c>
      <c r="C5" s="23">
        <f t="shared" si="0"/>
        <v>163936</v>
      </c>
      <c r="D5" s="24">
        <v>0.6001</v>
      </c>
      <c r="E5" s="24">
        <v>98377.9936</v>
      </c>
      <c r="F5" s="24">
        <v>0.6567</v>
      </c>
      <c r="G5" s="24">
        <v>107657.3936</v>
      </c>
      <c r="H5" s="24">
        <v>0.0566</v>
      </c>
      <c r="I5" s="24">
        <v>9279.4</v>
      </c>
      <c r="J5" s="24">
        <v>0.3433</v>
      </c>
      <c r="K5" s="24">
        <v>56278.6064</v>
      </c>
      <c r="L5" s="14" t="s">
        <v>85</v>
      </c>
      <c r="M5" s="14" t="s">
        <v>86</v>
      </c>
      <c r="N5" s="23">
        <v>1128000</v>
      </c>
      <c r="O5" s="20">
        <f t="shared" si="1"/>
        <v>0.145333333333333</v>
      </c>
    </row>
    <row r="6" ht="28" spans="1:15">
      <c r="A6" s="14" t="s">
        <v>18</v>
      </c>
      <c r="B6" s="14" t="s">
        <v>91</v>
      </c>
      <c r="C6" s="23">
        <f t="shared" si="0"/>
        <v>7000</v>
      </c>
      <c r="D6" s="24">
        <v>0.5</v>
      </c>
      <c r="E6" s="24">
        <v>3500</v>
      </c>
      <c r="F6" s="24">
        <v>0.5566</v>
      </c>
      <c r="G6" s="24">
        <v>3896.23</v>
      </c>
      <c r="H6" s="24">
        <v>0.0566</v>
      </c>
      <c r="I6" s="24">
        <v>396.23</v>
      </c>
      <c r="J6" s="24">
        <v>0.4434</v>
      </c>
      <c r="K6" s="24">
        <v>3103.77</v>
      </c>
      <c r="L6" s="14" t="s">
        <v>85</v>
      </c>
      <c r="M6" s="14" t="s">
        <v>92</v>
      </c>
      <c r="N6" s="23">
        <v>70000</v>
      </c>
      <c r="O6" s="20">
        <f t="shared" si="1"/>
        <v>0.1</v>
      </c>
    </row>
    <row r="7" s="17" customFormat="1" ht="28" spans="1:15">
      <c r="A7" s="14" t="s">
        <v>93</v>
      </c>
      <c r="B7" s="14" t="s">
        <v>94</v>
      </c>
      <c r="C7" s="23">
        <f t="shared" si="0"/>
        <v>100000</v>
      </c>
      <c r="D7" s="24">
        <v>0.08</v>
      </c>
      <c r="E7" s="24">
        <v>8000</v>
      </c>
      <c r="F7" s="24">
        <v>1.1483</v>
      </c>
      <c r="G7" s="24">
        <v>114834.93</v>
      </c>
      <c r="H7" s="24">
        <v>0.0566</v>
      </c>
      <c r="I7" s="24">
        <v>5660.36</v>
      </c>
      <c r="J7" s="24">
        <v>-0.1483</v>
      </c>
      <c r="K7" s="24">
        <v>-14834.93</v>
      </c>
      <c r="L7" s="14" t="s">
        <v>85</v>
      </c>
      <c r="M7" s="14" t="s">
        <v>95</v>
      </c>
      <c r="N7" s="23">
        <v>100000</v>
      </c>
      <c r="O7" s="29">
        <f t="shared" si="1"/>
        <v>1</v>
      </c>
    </row>
    <row r="8" ht="28" spans="1:15">
      <c r="A8" s="14" t="s">
        <v>27</v>
      </c>
      <c r="B8" s="14" t="s">
        <v>96</v>
      </c>
      <c r="C8" s="23">
        <f t="shared" si="0"/>
        <v>111292</v>
      </c>
      <c r="D8" s="24">
        <v>0.05</v>
      </c>
      <c r="E8" s="24">
        <v>5564.6</v>
      </c>
      <c r="F8" s="24">
        <v>0.9066</v>
      </c>
      <c r="G8" s="24">
        <v>100897.15</v>
      </c>
      <c r="H8" s="24">
        <v>0.0566</v>
      </c>
      <c r="I8" s="24">
        <v>6299.55</v>
      </c>
      <c r="J8" s="24">
        <v>0.0934</v>
      </c>
      <c r="K8" s="24">
        <v>10394.85</v>
      </c>
      <c r="L8" s="14" t="s">
        <v>85</v>
      </c>
      <c r="M8" s="14" t="s">
        <v>86</v>
      </c>
      <c r="N8" s="23">
        <v>111292</v>
      </c>
      <c r="O8" s="20">
        <f t="shared" si="1"/>
        <v>1</v>
      </c>
    </row>
    <row r="9" ht="42" spans="1:15">
      <c r="A9" s="14" t="s">
        <v>27</v>
      </c>
      <c r="B9" s="14" t="s">
        <v>97</v>
      </c>
      <c r="C9" s="24">
        <f t="shared" si="0"/>
        <v>105000</v>
      </c>
      <c r="D9" s="25">
        <v>0.043</v>
      </c>
      <c r="E9" s="14">
        <v>4516.98</v>
      </c>
      <c r="F9" s="25">
        <v>0.8996</v>
      </c>
      <c r="G9" s="26">
        <v>94460.38</v>
      </c>
      <c r="H9" s="25">
        <v>0.0566</v>
      </c>
      <c r="I9" s="26">
        <v>5943.4</v>
      </c>
      <c r="J9" s="25">
        <v>0.1004</v>
      </c>
      <c r="K9" s="26">
        <v>10539.62</v>
      </c>
      <c r="L9" s="14" t="s">
        <v>85</v>
      </c>
      <c r="M9" s="14" t="s">
        <v>89</v>
      </c>
      <c r="N9" s="19">
        <v>105000</v>
      </c>
      <c r="O9" s="20">
        <f t="shared" si="1"/>
        <v>1</v>
      </c>
    </row>
    <row r="10" ht="28" spans="1:15">
      <c r="A10" s="14" t="s">
        <v>27</v>
      </c>
      <c r="B10" s="14" t="s">
        <v>98</v>
      </c>
      <c r="C10" s="24">
        <f t="shared" si="0"/>
        <v>35000</v>
      </c>
      <c r="D10" s="25">
        <v>0.0168</v>
      </c>
      <c r="E10" s="14">
        <v>588.3966</v>
      </c>
      <c r="F10" s="25">
        <v>0.9234</v>
      </c>
      <c r="G10" s="26">
        <v>32319.5266</v>
      </c>
      <c r="H10" s="25">
        <v>0.0566</v>
      </c>
      <c r="I10" s="26">
        <v>1981.13</v>
      </c>
      <c r="J10" s="25">
        <v>0.0766</v>
      </c>
      <c r="K10" s="26">
        <v>2680.4734</v>
      </c>
      <c r="L10" s="14" t="s">
        <v>85</v>
      </c>
      <c r="M10" s="14" t="s">
        <v>89</v>
      </c>
      <c r="N10" s="19">
        <v>35000</v>
      </c>
      <c r="O10" s="20">
        <f t="shared" si="1"/>
        <v>1</v>
      </c>
    </row>
    <row r="11" ht="28" spans="1:15">
      <c r="A11" s="14" t="s">
        <v>27</v>
      </c>
      <c r="B11" s="14" t="s">
        <v>99</v>
      </c>
      <c r="C11" s="23">
        <f t="shared" si="0"/>
        <v>105000</v>
      </c>
      <c r="D11" s="24">
        <v>0.0229</v>
      </c>
      <c r="E11" s="24">
        <v>2401.98</v>
      </c>
      <c r="F11" s="24">
        <v>0.9466</v>
      </c>
      <c r="G11" s="24">
        <v>99395.38</v>
      </c>
      <c r="H11" s="24">
        <v>0.0566</v>
      </c>
      <c r="I11" s="24">
        <v>5943.4</v>
      </c>
      <c r="J11" s="24">
        <v>0.0534</v>
      </c>
      <c r="K11" s="24">
        <v>5604.62</v>
      </c>
      <c r="L11" s="14" t="s">
        <v>85</v>
      </c>
      <c r="M11" s="14" t="s">
        <v>100</v>
      </c>
      <c r="N11" s="23">
        <v>105000</v>
      </c>
      <c r="O11" s="20">
        <f t="shared" si="1"/>
        <v>1</v>
      </c>
    </row>
    <row r="12" ht="28" spans="1:15">
      <c r="A12" s="14" t="s">
        <v>27</v>
      </c>
      <c r="B12" s="14" t="s">
        <v>101</v>
      </c>
      <c r="C12" s="24">
        <f t="shared" si="0"/>
        <v>105000</v>
      </c>
      <c r="D12" s="25">
        <v>0.0212</v>
      </c>
      <c r="E12" s="14">
        <v>2221.98</v>
      </c>
      <c r="F12" s="25">
        <v>0.9506</v>
      </c>
      <c r="G12" s="26">
        <v>99815.38</v>
      </c>
      <c r="H12" s="25">
        <v>0.0566</v>
      </c>
      <c r="I12" s="26">
        <v>5943.4</v>
      </c>
      <c r="J12" s="25">
        <v>0.0494</v>
      </c>
      <c r="K12" s="26">
        <v>5184.62</v>
      </c>
      <c r="L12" s="14" t="s">
        <v>85</v>
      </c>
      <c r="M12" s="14" t="s">
        <v>89</v>
      </c>
      <c r="N12" s="19">
        <v>105000</v>
      </c>
      <c r="O12" s="20">
        <f t="shared" si="1"/>
        <v>1</v>
      </c>
    </row>
    <row r="13" ht="28" spans="1:15">
      <c r="A13" s="14" t="s">
        <v>27</v>
      </c>
      <c r="B13" s="14" t="s">
        <v>102</v>
      </c>
      <c r="C13" s="24">
        <f t="shared" si="0"/>
        <v>70000</v>
      </c>
      <c r="D13" s="25">
        <v>0.028</v>
      </c>
      <c r="E13" s="14">
        <v>1961.322</v>
      </c>
      <c r="F13" s="25">
        <v>0.9346</v>
      </c>
      <c r="G13" s="26">
        <v>65423.582</v>
      </c>
      <c r="H13" s="25">
        <v>0.0566</v>
      </c>
      <c r="I13" s="26">
        <v>3962.26</v>
      </c>
      <c r="J13" s="25">
        <v>0.0654</v>
      </c>
      <c r="K13" s="26">
        <v>4576.418</v>
      </c>
      <c r="L13" s="14" t="s">
        <v>85</v>
      </c>
      <c r="M13" s="14" t="s">
        <v>89</v>
      </c>
      <c r="N13" s="19">
        <v>70000</v>
      </c>
      <c r="O13" s="20">
        <f t="shared" si="1"/>
        <v>1</v>
      </c>
    </row>
    <row r="14" ht="28" spans="1:15">
      <c r="A14" s="14" t="s">
        <v>27</v>
      </c>
      <c r="B14" s="14" t="s">
        <v>103</v>
      </c>
      <c r="C14" s="23">
        <f t="shared" si="0"/>
        <v>210000</v>
      </c>
      <c r="D14" s="24">
        <v>0.0542</v>
      </c>
      <c r="E14" s="24">
        <v>11381.605</v>
      </c>
      <c r="F14" s="24">
        <v>0.9458</v>
      </c>
      <c r="G14" s="24">
        <v>198618.395</v>
      </c>
      <c r="H14" s="24">
        <v>0.0566</v>
      </c>
      <c r="I14" s="24">
        <v>11886.79</v>
      </c>
      <c r="J14" s="24">
        <v>0.0542</v>
      </c>
      <c r="K14" s="24">
        <v>11381.605</v>
      </c>
      <c r="L14" s="14" t="s">
        <v>85</v>
      </c>
      <c r="M14" s="14" t="s">
        <v>104</v>
      </c>
      <c r="N14" s="23">
        <v>210000</v>
      </c>
      <c r="O14" s="20">
        <f t="shared" si="1"/>
        <v>1</v>
      </c>
    </row>
    <row r="15" ht="28" spans="1:15">
      <c r="A15" s="14" t="s">
        <v>70</v>
      </c>
      <c r="B15" s="14" t="s">
        <v>105</v>
      </c>
      <c r="C15" s="23">
        <f t="shared" si="0"/>
        <v>60000</v>
      </c>
      <c r="D15" s="24">
        <v>0.05</v>
      </c>
      <c r="E15" s="24">
        <v>3000</v>
      </c>
      <c r="F15" s="24">
        <v>0.9599</v>
      </c>
      <c r="G15" s="24">
        <v>57596.23</v>
      </c>
      <c r="H15" s="24">
        <v>0.0566</v>
      </c>
      <c r="I15" s="24">
        <v>3396.23</v>
      </c>
      <c r="J15" s="24">
        <v>0.0401</v>
      </c>
      <c r="K15" s="24">
        <v>2403.77</v>
      </c>
      <c r="L15" s="14" t="s">
        <v>85</v>
      </c>
      <c r="M15" s="14" t="s">
        <v>86</v>
      </c>
      <c r="N15" s="23">
        <v>60000</v>
      </c>
      <c r="O15" s="20">
        <f t="shared" si="1"/>
        <v>1</v>
      </c>
    </row>
    <row r="16" ht="28" spans="1:15">
      <c r="A16" s="14" t="s">
        <v>19</v>
      </c>
      <c r="B16" s="14" t="s">
        <v>106</v>
      </c>
      <c r="C16" s="23">
        <f t="shared" si="0"/>
        <v>42769</v>
      </c>
      <c r="D16" s="24">
        <v>0.09</v>
      </c>
      <c r="E16" s="24">
        <v>3849.21</v>
      </c>
      <c r="F16" s="24">
        <v>0.6462</v>
      </c>
      <c r="G16" s="24">
        <v>27639.1</v>
      </c>
      <c r="H16" s="24">
        <v>0.0566</v>
      </c>
      <c r="I16" s="24">
        <v>2420.89</v>
      </c>
      <c r="J16" s="24">
        <v>0.3538</v>
      </c>
      <c r="K16" s="24">
        <v>15129.9</v>
      </c>
      <c r="L16" s="14" t="s">
        <v>85</v>
      </c>
      <c r="M16" s="14" t="s">
        <v>107</v>
      </c>
      <c r="N16" s="23">
        <v>42769</v>
      </c>
      <c r="O16" s="20">
        <f t="shared" si="1"/>
        <v>1</v>
      </c>
    </row>
    <row r="17" ht="28" spans="1:15">
      <c r="A17" s="14" t="s">
        <v>19</v>
      </c>
      <c r="B17" s="14" t="s">
        <v>84</v>
      </c>
      <c r="C17" s="23">
        <f t="shared" si="0"/>
        <v>104000</v>
      </c>
      <c r="D17" s="24">
        <v>0.09</v>
      </c>
      <c r="E17" s="24">
        <v>9360</v>
      </c>
      <c r="F17" s="24">
        <v>0.6802</v>
      </c>
      <c r="G17" s="24">
        <v>70735.79</v>
      </c>
      <c r="H17" s="24">
        <v>0.0566</v>
      </c>
      <c r="I17" s="24">
        <v>5886.79</v>
      </c>
      <c r="J17" s="24">
        <v>0.3198</v>
      </c>
      <c r="K17" s="24">
        <v>33264.21</v>
      </c>
      <c r="L17" s="14" t="s">
        <v>85</v>
      </c>
      <c r="M17" s="14" t="s">
        <v>107</v>
      </c>
      <c r="N17" s="23">
        <v>104000</v>
      </c>
      <c r="O17" s="20">
        <f t="shared" si="1"/>
        <v>1</v>
      </c>
    </row>
    <row r="18" ht="28" spans="1:15">
      <c r="A18" s="14" t="s">
        <v>19</v>
      </c>
      <c r="B18" s="14" t="s">
        <v>108</v>
      </c>
      <c r="C18" s="23">
        <f t="shared" si="0"/>
        <v>26000</v>
      </c>
      <c r="D18" s="24">
        <v>0.133</v>
      </c>
      <c r="E18" s="24">
        <v>3458.49</v>
      </c>
      <c r="F18" s="24">
        <v>0.6896</v>
      </c>
      <c r="G18" s="24">
        <v>17930.19</v>
      </c>
      <c r="H18" s="24">
        <v>0.0566</v>
      </c>
      <c r="I18" s="24">
        <v>1471.7</v>
      </c>
      <c r="J18" s="24">
        <v>0.3104</v>
      </c>
      <c r="K18" s="24">
        <v>8069.81</v>
      </c>
      <c r="L18" s="14" t="s">
        <v>85</v>
      </c>
      <c r="M18" s="14" t="s">
        <v>109</v>
      </c>
      <c r="N18" s="23">
        <v>26000</v>
      </c>
      <c r="O18" s="20">
        <f t="shared" si="1"/>
        <v>1</v>
      </c>
    </row>
    <row r="19" ht="28" spans="1:15">
      <c r="A19" s="14" t="s">
        <v>19</v>
      </c>
      <c r="B19" s="14" t="s">
        <v>110</v>
      </c>
      <c r="C19" s="23">
        <f t="shared" si="0"/>
        <v>156000</v>
      </c>
      <c r="D19" s="24">
        <v>0.09</v>
      </c>
      <c r="E19" s="24">
        <v>14040</v>
      </c>
      <c r="F19" s="24">
        <v>0.6514</v>
      </c>
      <c r="G19" s="24">
        <v>101617.11</v>
      </c>
      <c r="H19" s="24">
        <v>0.0566</v>
      </c>
      <c r="I19" s="24">
        <v>8830.19</v>
      </c>
      <c r="J19" s="24">
        <v>0.3486</v>
      </c>
      <c r="K19" s="24">
        <v>54382.89</v>
      </c>
      <c r="L19" s="14" t="s">
        <v>85</v>
      </c>
      <c r="M19" s="14" t="s">
        <v>107</v>
      </c>
      <c r="N19" s="23">
        <v>156000</v>
      </c>
      <c r="O19" s="20">
        <f t="shared" si="1"/>
        <v>1</v>
      </c>
    </row>
    <row r="20" ht="28" spans="1:15">
      <c r="A20" s="14" t="s">
        <v>19</v>
      </c>
      <c r="B20" s="14" t="s">
        <v>111</v>
      </c>
      <c r="C20" s="23">
        <f t="shared" si="0"/>
        <v>78000</v>
      </c>
      <c r="D20" s="24">
        <v>0.083</v>
      </c>
      <c r="E20" s="24">
        <v>6475.473</v>
      </c>
      <c r="F20" s="24">
        <v>0.8063</v>
      </c>
      <c r="G20" s="24">
        <v>62890.563</v>
      </c>
      <c r="H20" s="24">
        <v>0.0566</v>
      </c>
      <c r="I20" s="24">
        <v>4415.09</v>
      </c>
      <c r="J20" s="24">
        <v>0.1937</v>
      </c>
      <c r="K20" s="24">
        <v>15109.437</v>
      </c>
      <c r="L20" s="14" t="s">
        <v>85</v>
      </c>
      <c r="M20" s="14" t="s">
        <v>109</v>
      </c>
      <c r="N20" s="23">
        <v>78000</v>
      </c>
      <c r="O20" s="20">
        <f t="shared" si="1"/>
        <v>1</v>
      </c>
    </row>
    <row r="21" ht="28" spans="1:15">
      <c r="A21" s="14" t="s">
        <v>19</v>
      </c>
      <c r="B21" s="14" t="s">
        <v>112</v>
      </c>
      <c r="C21" s="23">
        <f t="shared" si="0"/>
        <v>52000</v>
      </c>
      <c r="D21" s="24">
        <v>0.09</v>
      </c>
      <c r="E21" s="24">
        <v>4680</v>
      </c>
      <c r="F21" s="24">
        <v>0.6466</v>
      </c>
      <c r="G21" s="24">
        <v>33623.4</v>
      </c>
      <c r="H21" s="24">
        <v>0.0566</v>
      </c>
      <c r="I21" s="24">
        <v>2943.4</v>
      </c>
      <c r="J21" s="24">
        <v>0.3534</v>
      </c>
      <c r="K21" s="24">
        <v>18376.6</v>
      </c>
      <c r="L21" s="14" t="s">
        <v>85</v>
      </c>
      <c r="M21" s="14" t="s">
        <v>107</v>
      </c>
      <c r="N21" s="23">
        <v>52000</v>
      </c>
      <c r="O21" s="20">
        <f t="shared" si="1"/>
        <v>1</v>
      </c>
    </row>
    <row r="22" ht="28" spans="1:15">
      <c r="A22" s="14" t="s">
        <v>19</v>
      </c>
      <c r="B22" s="14" t="s">
        <v>113</v>
      </c>
      <c r="C22" s="23">
        <f t="shared" si="0"/>
        <v>78000</v>
      </c>
      <c r="D22" s="24">
        <v>0.083</v>
      </c>
      <c r="E22" s="24">
        <v>6475.473</v>
      </c>
      <c r="F22" s="24">
        <v>0.8063</v>
      </c>
      <c r="G22" s="24">
        <v>62890.563</v>
      </c>
      <c r="H22" s="24">
        <v>0.0566</v>
      </c>
      <c r="I22" s="24">
        <v>4415.09</v>
      </c>
      <c r="J22" s="24">
        <v>0.1937</v>
      </c>
      <c r="K22" s="24">
        <v>15109.437</v>
      </c>
      <c r="L22" s="14" t="s">
        <v>85</v>
      </c>
      <c r="M22" s="14" t="s">
        <v>109</v>
      </c>
      <c r="N22" s="23">
        <v>78000</v>
      </c>
      <c r="O22" s="20">
        <f t="shared" si="1"/>
        <v>1</v>
      </c>
    </row>
    <row r="23" ht="28" spans="1:15">
      <c r="A23" s="14" t="s">
        <v>19</v>
      </c>
      <c r="B23" s="14" t="s">
        <v>114</v>
      </c>
      <c r="C23" s="23">
        <f t="shared" si="0"/>
        <v>104000</v>
      </c>
      <c r="D23" s="24">
        <v>0.09</v>
      </c>
      <c r="E23" s="24">
        <v>9360</v>
      </c>
      <c r="F23" s="24">
        <v>0.6466</v>
      </c>
      <c r="G23" s="24">
        <v>67246.79</v>
      </c>
      <c r="H23" s="24">
        <v>0.0566</v>
      </c>
      <c r="I23" s="24">
        <v>5886.79</v>
      </c>
      <c r="J23" s="24">
        <v>0.3534</v>
      </c>
      <c r="K23" s="24">
        <v>36753.21</v>
      </c>
      <c r="L23" s="14" t="s">
        <v>85</v>
      </c>
      <c r="M23" s="14" t="s">
        <v>107</v>
      </c>
      <c r="N23" s="23">
        <v>104000</v>
      </c>
      <c r="O23" s="20">
        <f t="shared" si="1"/>
        <v>1</v>
      </c>
    </row>
    <row r="24" ht="28" spans="1:15">
      <c r="A24" s="14" t="s">
        <v>19</v>
      </c>
      <c r="B24" s="14" t="s">
        <v>115</v>
      </c>
      <c r="C24" s="24">
        <f t="shared" si="0"/>
        <v>52000</v>
      </c>
      <c r="D24" s="25">
        <v>0.058</v>
      </c>
      <c r="E24" s="14">
        <v>3016.98</v>
      </c>
      <c r="F24" s="25">
        <v>0.8646</v>
      </c>
      <c r="G24" s="26">
        <v>44960.38</v>
      </c>
      <c r="H24" s="25">
        <v>0.0566</v>
      </c>
      <c r="I24" s="26">
        <v>2943.4</v>
      </c>
      <c r="J24" s="25">
        <v>0.1354</v>
      </c>
      <c r="K24" s="26">
        <v>7039.62</v>
      </c>
      <c r="L24" s="14" t="s">
        <v>85</v>
      </c>
      <c r="M24" s="14" t="s">
        <v>89</v>
      </c>
      <c r="N24" s="19">
        <v>52000</v>
      </c>
      <c r="O24" s="20">
        <f t="shared" si="1"/>
        <v>1</v>
      </c>
    </row>
    <row r="25" ht="28" spans="1:15">
      <c r="A25" s="14" t="s">
        <v>19</v>
      </c>
      <c r="B25" s="14" t="s">
        <v>116</v>
      </c>
      <c r="C25" s="24">
        <f t="shared" si="0"/>
        <v>52000</v>
      </c>
      <c r="D25" s="25">
        <v>0.058</v>
      </c>
      <c r="E25" s="14">
        <v>3016.98</v>
      </c>
      <c r="F25" s="25">
        <v>0.8646</v>
      </c>
      <c r="G25" s="26">
        <v>44960.38</v>
      </c>
      <c r="H25" s="25">
        <v>0.0566</v>
      </c>
      <c r="I25" s="26">
        <v>2943.4</v>
      </c>
      <c r="J25" s="25">
        <v>0.1354</v>
      </c>
      <c r="K25" s="26">
        <v>7039.62</v>
      </c>
      <c r="L25" s="14" t="s">
        <v>85</v>
      </c>
      <c r="M25" s="14" t="s">
        <v>89</v>
      </c>
      <c r="N25" s="19">
        <v>52000</v>
      </c>
      <c r="O25" s="20">
        <f t="shared" si="1"/>
        <v>1</v>
      </c>
    </row>
    <row r="26" ht="28" spans="1:15">
      <c r="A26" s="14" t="s">
        <v>19</v>
      </c>
      <c r="B26" s="14" t="s">
        <v>117</v>
      </c>
      <c r="C26" s="24">
        <f t="shared" si="0"/>
        <v>52000</v>
      </c>
      <c r="D26" s="25">
        <v>0.058</v>
      </c>
      <c r="E26" s="14">
        <v>3016.98</v>
      </c>
      <c r="F26" s="25">
        <v>0.8646</v>
      </c>
      <c r="G26" s="26">
        <v>44960.38</v>
      </c>
      <c r="H26" s="25">
        <v>0.0566</v>
      </c>
      <c r="I26" s="26">
        <v>2943.4</v>
      </c>
      <c r="J26" s="25">
        <v>0.1354</v>
      </c>
      <c r="K26" s="26">
        <v>7039.62</v>
      </c>
      <c r="L26" s="14" t="s">
        <v>85</v>
      </c>
      <c r="M26" s="14" t="s">
        <v>89</v>
      </c>
      <c r="N26" s="19">
        <v>52000</v>
      </c>
      <c r="O26" s="20">
        <f t="shared" si="1"/>
        <v>1</v>
      </c>
    </row>
    <row r="27" ht="28" spans="1:15">
      <c r="A27" s="14" t="s">
        <v>19</v>
      </c>
      <c r="B27" s="14" t="s">
        <v>118</v>
      </c>
      <c r="C27" s="24">
        <f t="shared" si="0"/>
        <v>52000</v>
      </c>
      <c r="D27" s="25">
        <v>0.058</v>
      </c>
      <c r="E27" s="14">
        <v>3016.98</v>
      </c>
      <c r="F27" s="25">
        <v>0.8646</v>
      </c>
      <c r="G27" s="26">
        <v>44960.38</v>
      </c>
      <c r="H27" s="25">
        <v>0.0566</v>
      </c>
      <c r="I27" s="26">
        <v>2943.4</v>
      </c>
      <c r="J27" s="25">
        <v>0.1354</v>
      </c>
      <c r="K27" s="26">
        <v>7039.62</v>
      </c>
      <c r="L27" s="14" t="s">
        <v>85</v>
      </c>
      <c r="M27" s="14" t="s">
        <v>89</v>
      </c>
      <c r="N27" s="19">
        <v>52000</v>
      </c>
      <c r="O27" s="20">
        <f t="shared" si="1"/>
        <v>1</v>
      </c>
    </row>
    <row r="28" ht="28" spans="1:15">
      <c r="A28" s="14" t="s">
        <v>19</v>
      </c>
      <c r="B28" s="14" t="s">
        <v>119</v>
      </c>
      <c r="C28" s="24">
        <f t="shared" si="0"/>
        <v>52000</v>
      </c>
      <c r="D28" s="25">
        <v>0.133</v>
      </c>
      <c r="E28" s="14">
        <v>6916.98</v>
      </c>
      <c r="F28" s="25">
        <v>0.6896</v>
      </c>
      <c r="G28" s="26">
        <v>35860.38</v>
      </c>
      <c r="H28" s="25">
        <v>0.0566</v>
      </c>
      <c r="I28" s="26">
        <v>2943.4</v>
      </c>
      <c r="J28" s="25">
        <v>0.3104</v>
      </c>
      <c r="K28" s="26">
        <v>16139.62</v>
      </c>
      <c r="L28" s="14" t="s">
        <v>85</v>
      </c>
      <c r="M28" s="14" t="s">
        <v>89</v>
      </c>
      <c r="N28" s="19">
        <v>52000</v>
      </c>
      <c r="O28" s="20">
        <f t="shared" si="1"/>
        <v>1</v>
      </c>
    </row>
    <row r="29" ht="28" spans="1:15">
      <c r="A29" s="14" t="s">
        <v>19</v>
      </c>
      <c r="B29" s="14" t="s">
        <v>120</v>
      </c>
      <c r="C29" s="24">
        <f t="shared" si="0"/>
        <v>52000</v>
      </c>
      <c r="D29" s="25">
        <v>0.133</v>
      </c>
      <c r="E29" s="14">
        <v>6916.98</v>
      </c>
      <c r="F29" s="25">
        <v>0.6896</v>
      </c>
      <c r="G29" s="26">
        <v>35860.38</v>
      </c>
      <c r="H29" s="25">
        <v>0.0566</v>
      </c>
      <c r="I29" s="26">
        <v>2943.4</v>
      </c>
      <c r="J29" s="25">
        <v>0.3104</v>
      </c>
      <c r="K29" s="26">
        <v>16139.62</v>
      </c>
      <c r="L29" s="14" t="s">
        <v>85</v>
      </c>
      <c r="M29" s="14" t="s">
        <v>89</v>
      </c>
      <c r="N29" s="19">
        <v>52000</v>
      </c>
      <c r="O29" s="20">
        <f t="shared" si="1"/>
        <v>1</v>
      </c>
    </row>
    <row r="30" ht="28" spans="1:15">
      <c r="A30" s="14" t="s">
        <v>19</v>
      </c>
      <c r="B30" s="14" t="s">
        <v>121</v>
      </c>
      <c r="C30" s="23">
        <f t="shared" si="0"/>
        <v>78000</v>
      </c>
      <c r="D30" s="24">
        <v>0.09</v>
      </c>
      <c r="E30" s="24">
        <v>7020</v>
      </c>
      <c r="F30" s="24">
        <v>0.8133</v>
      </c>
      <c r="G30" s="24">
        <v>63435.09</v>
      </c>
      <c r="H30" s="24">
        <v>0.0566</v>
      </c>
      <c r="I30" s="24">
        <v>4415.09</v>
      </c>
      <c r="J30" s="24">
        <v>0.1867</v>
      </c>
      <c r="K30" s="24">
        <v>14564.91</v>
      </c>
      <c r="L30" s="14" t="s">
        <v>85</v>
      </c>
      <c r="M30" s="14" t="s">
        <v>107</v>
      </c>
      <c r="N30" s="23">
        <v>78000</v>
      </c>
      <c r="O30" s="20">
        <f t="shared" si="1"/>
        <v>1</v>
      </c>
    </row>
    <row r="31" ht="28" spans="1:15">
      <c r="A31" s="14" t="s">
        <v>19</v>
      </c>
      <c r="B31" s="14" t="s">
        <v>122</v>
      </c>
      <c r="C31" s="23">
        <f t="shared" si="0"/>
        <v>78000</v>
      </c>
      <c r="D31" s="24">
        <v>0.09</v>
      </c>
      <c r="E31" s="24">
        <v>7020</v>
      </c>
      <c r="F31" s="24">
        <v>0.8133</v>
      </c>
      <c r="G31" s="24">
        <v>63435.09</v>
      </c>
      <c r="H31" s="24">
        <v>0.0566</v>
      </c>
      <c r="I31" s="24">
        <v>4415.09</v>
      </c>
      <c r="J31" s="24">
        <v>0.1867</v>
      </c>
      <c r="K31" s="24">
        <v>14564.91</v>
      </c>
      <c r="L31" s="14" t="s">
        <v>85</v>
      </c>
      <c r="M31" s="14" t="s">
        <v>107</v>
      </c>
      <c r="N31" s="23">
        <v>78000</v>
      </c>
      <c r="O31" s="20">
        <f t="shared" si="1"/>
        <v>1</v>
      </c>
    </row>
    <row r="32" ht="28" spans="1:15">
      <c r="A32" s="14" t="s">
        <v>19</v>
      </c>
      <c r="B32" s="14" t="s">
        <v>123</v>
      </c>
      <c r="C32" s="23">
        <f t="shared" si="0"/>
        <v>52000</v>
      </c>
      <c r="D32" s="24">
        <v>0.133</v>
      </c>
      <c r="E32" s="24">
        <v>6916.98</v>
      </c>
      <c r="F32" s="24">
        <v>0.6896</v>
      </c>
      <c r="G32" s="24">
        <v>35860.38</v>
      </c>
      <c r="H32" s="24">
        <v>0.0566</v>
      </c>
      <c r="I32" s="24">
        <v>2943.4</v>
      </c>
      <c r="J32" s="24">
        <v>0.3104</v>
      </c>
      <c r="K32" s="24">
        <v>16139.62</v>
      </c>
      <c r="L32" s="14" t="s">
        <v>85</v>
      </c>
      <c r="M32" s="14" t="s">
        <v>100</v>
      </c>
      <c r="N32" s="23">
        <v>52000</v>
      </c>
      <c r="O32" s="20">
        <f t="shared" si="1"/>
        <v>1</v>
      </c>
    </row>
    <row r="33" ht="28" spans="1:15">
      <c r="A33" s="14" t="s">
        <v>19</v>
      </c>
      <c r="B33" s="14" t="s">
        <v>124</v>
      </c>
      <c r="C33" s="23">
        <f t="shared" si="0"/>
        <v>26000</v>
      </c>
      <c r="D33" s="24">
        <v>0.09</v>
      </c>
      <c r="E33" s="24">
        <v>2340</v>
      </c>
      <c r="F33" s="24">
        <v>0.6466</v>
      </c>
      <c r="G33" s="24">
        <v>16811.7</v>
      </c>
      <c r="H33" s="24">
        <v>0.0566</v>
      </c>
      <c r="I33" s="24">
        <v>1471.7</v>
      </c>
      <c r="J33" s="24">
        <v>0.3534</v>
      </c>
      <c r="K33" s="24">
        <v>9188.3</v>
      </c>
      <c r="L33" s="14" t="s">
        <v>85</v>
      </c>
      <c r="M33" s="14" t="s">
        <v>107</v>
      </c>
      <c r="N33" s="23">
        <v>26000</v>
      </c>
      <c r="O33" s="20">
        <f t="shared" si="1"/>
        <v>1</v>
      </c>
    </row>
    <row r="34" ht="28" spans="1:15">
      <c r="A34" s="14" t="s">
        <v>19</v>
      </c>
      <c r="B34" s="14" t="s">
        <v>125</v>
      </c>
      <c r="C34" s="23">
        <f t="shared" si="0"/>
        <v>26000</v>
      </c>
      <c r="D34" s="24">
        <v>0.133</v>
      </c>
      <c r="E34" s="24">
        <v>3458.49</v>
      </c>
      <c r="F34" s="24">
        <v>0.6896</v>
      </c>
      <c r="G34" s="24">
        <v>17930.19</v>
      </c>
      <c r="H34" s="24">
        <v>0.0566</v>
      </c>
      <c r="I34" s="24">
        <v>1471.7</v>
      </c>
      <c r="J34" s="24">
        <v>0.3104</v>
      </c>
      <c r="K34" s="24">
        <v>8069.81</v>
      </c>
      <c r="L34" s="14" t="s">
        <v>85</v>
      </c>
      <c r="M34" s="14" t="s">
        <v>126</v>
      </c>
      <c r="N34" s="23">
        <v>26000</v>
      </c>
      <c r="O34" s="20">
        <f t="shared" si="1"/>
        <v>1</v>
      </c>
    </row>
    <row r="35" ht="28" spans="1:15">
      <c r="A35" s="14" t="s">
        <v>19</v>
      </c>
      <c r="B35" s="14" t="s">
        <v>127</v>
      </c>
      <c r="C35" s="24">
        <f t="shared" si="0"/>
        <v>52000</v>
      </c>
      <c r="D35" s="25">
        <v>0.133</v>
      </c>
      <c r="E35" s="14">
        <v>6916.98</v>
      </c>
      <c r="F35" s="25">
        <v>0.6896</v>
      </c>
      <c r="G35" s="26">
        <v>35860.38</v>
      </c>
      <c r="H35" s="25">
        <v>0.0566</v>
      </c>
      <c r="I35" s="26">
        <v>2943.4</v>
      </c>
      <c r="J35" s="25">
        <v>0.3104</v>
      </c>
      <c r="K35" s="26">
        <v>16139.62</v>
      </c>
      <c r="L35" s="14" t="s">
        <v>85</v>
      </c>
      <c r="M35" s="14" t="s">
        <v>128</v>
      </c>
      <c r="N35" s="19">
        <v>52000</v>
      </c>
      <c r="O35" s="20">
        <f t="shared" si="1"/>
        <v>1</v>
      </c>
    </row>
    <row r="36" ht="28" spans="1:15">
      <c r="A36" s="14" t="s">
        <v>19</v>
      </c>
      <c r="B36" s="14" t="s">
        <v>129</v>
      </c>
      <c r="C36" s="24">
        <f t="shared" si="0"/>
        <v>26000</v>
      </c>
      <c r="D36" s="25">
        <v>0.1064</v>
      </c>
      <c r="E36" s="14">
        <v>2766.792</v>
      </c>
      <c r="F36" s="25">
        <v>0.663</v>
      </c>
      <c r="G36" s="26">
        <v>17238.492</v>
      </c>
      <c r="H36" s="25">
        <v>0.0566</v>
      </c>
      <c r="I36" s="26">
        <v>1471.7</v>
      </c>
      <c r="J36" s="25">
        <v>0.337</v>
      </c>
      <c r="K36" s="26">
        <v>8761.508</v>
      </c>
      <c r="L36" s="14" t="s">
        <v>85</v>
      </c>
      <c r="M36" s="14" t="s">
        <v>89</v>
      </c>
      <c r="N36" s="19">
        <v>26000</v>
      </c>
      <c r="O36" s="20">
        <f t="shared" si="1"/>
        <v>1</v>
      </c>
    </row>
    <row r="37" ht="28" spans="1:15">
      <c r="A37" s="14" t="s">
        <v>19</v>
      </c>
      <c r="B37" s="14" t="s">
        <v>130</v>
      </c>
      <c r="C37" s="23">
        <f t="shared" si="0"/>
        <v>52000</v>
      </c>
      <c r="D37" s="24">
        <v>0.133</v>
      </c>
      <c r="E37" s="24">
        <v>6916.98</v>
      </c>
      <c r="F37" s="24">
        <v>0.6896</v>
      </c>
      <c r="G37" s="24">
        <v>35860.38</v>
      </c>
      <c r="H37" s="24">
        <v>0.0566</v>
      </c>
      <c r="I37" s="24">
        <v>2943.4</v>
      </c>
      <c r="J37" s="24">
        <v>0.3104</v>
      </c>
      <c r="K37" s="24">
        <v>16139.62</v>
      </c>
      <c r="L37" s="14" t="s">
        <v>85</v>
      </c>
      <c r="M37" s="14" t="s">
        <v>100</v>
      </c>
      <c r="N37" s="23">
        <v>52000</v>
      </c>
      <c r="O37" s="20">
        <f t="shared" si="1"/>
        <v>1</v>
      </c>
    </row>
    <row r="38" ht="28" spans="1:15">
      <c r="A38" s="14" t="s">
        <v>19</v>
      </c>
      <c r="B38" s="14" t="s">
        <v>131</v>
      </c>
      <c r="C38" s="23">
        <f t="shared" si="0"/>
        <v>60000</v>
      </c>
      <c r="D38" s="24">
        <v>0.09</v>
      </c>
      <c r="E38" s="24">
        <v>5400</v>
      </c>
      <c r="F38" s="24">
        <v>0.4716</v>
      </c>
      <c r="G38" s="24">
        <v>28296.23</v>
      </c>
      <c r="H38" s="24">
        <v>0.0566</v>
      </c>
      <c r="I38" s="24">
        <v>3396.23</v>
      </c>
      <c r="J38" s="24">
        <v>0.5284</v>
      </c>
      <c r="K38" s="24">
        <v>31703.77</v>
      </c>
      <c r="L38" s="14" t="s">
        <v>85</v>
      </c>
      <c r="M38" s="14" t="s">
        <v>107</v>
      </c>
      <c r="N38" s="23">
        <v>60000</v>
      </c>
      <c r="O38" s="20">
        <f t="shared" si="1"/>
        <v>1</v>
      </c>
    </row>
    <row r="39" ht="28" spans="1:15">
      <c r="A39" s="14" t="s">
        <v>23</v>
      </c>
      <c r="B39" s="14" t="s">
        <v>132</v>
      </c>
      <c r="C39" s="23">
        <f t="shared" si="0"/>
        <v>26160</v>
      </c>
      <c r="D39" s="24">
        <v>0.6001</v>
      </c>
      <c r="E39" s="24">
        <v>15698.616</v>
      </c>
      <c r="F39" s="24">
        <v>0.6567</v>
      </c>
      <c r="G39" s="24">
        <v>17179.366</v>
      </c>
      <c r="H39" s="24">
        <v>0.0566</v>
      </c>
      <c r="I39" s="24">
        <v>1480.75</v>
      </c>
      <c r="J39" s="24">
        <v>0.3433</v>
      </c>
      <c r="K39" s="24">
        <v>8980.634</v>
      </c>
      <c r="L39" s="14" t="s">
        <v>85</v>
      </c>
      <c r="M39" s="14" t="s">
        <v>92</v>
      </c>
      <c r="N39" s="23">
        <v>174400</v>
      </c>
      <c r="O39" s="20">
        <f t="shared" si="1"/>
        <v>0.15</v>
      </c>
    </row>
    <row r="40" ht="28" spans="1:15">
      <c r="A40" s="14" t="s">
        <v>23</v>
      </c>
      <c r="B40" s="14" t="s">
        <v>133</v>
      </c>
      <c r="C40" s="23">
        <f t="shared" si="0"/>
        <v>19009.9</v>
      </c>
      <c r="D40" s="24">
        <v>0.6001</v>
      </c>
      <c r="E40" s="24">
        <v>11407.84099</v>
      </c>
      <c r="F40" s="24">
        <v>0.6567</v>
      </c>
      <c r="G40" s="24">
        <v>12483.871</v>
      </c>
      <c r="H40" s="24">
        <v>0.0566</v>
      </c>
      <c r="I40" s="24">
        <v>1076.03</v>
      </c>
      <c r="J40" s="24">
        <v>0.3433</v>
      </c>
      <c r="K40" s="24">
        <v>6526.029</v>
      </c>
      <c r="L40" s="14" t="s">
        <v>85</v>
      </c>
      <c r="M40" s="14" t="s">
        <v>92</v>
      </c>
      <c r="N40" s="23">
        <v>126732</v>
      </c>
      <c r="O40" s="20">
        <f t="shared" si="1"/>
        <v>0.150000789066692</v>
      </c>
    </row>
    <row r="41" ht="28" spans="1:15">
      <c r="A41" s="14" t="s">
        <v>23</v>
      </c>
      <c r="B41" s="14" t="s">
        <v>134</v>
      </c>
      <c r="C41" s="23">
        <f t="shared" si="0"/>
        <v>27120</v>
      </c>
      <c r="D41" s="24">
        <v>0.6001</v>
      </c>
      <c r="E41" s="24">
        <v>16274.712</v>
      </c>
      <c r="F41" s="24">
        <v>0.6567</v>
      </c>
      <c r="G41" s="24">
        <v>17809.802</v>
      </c>
      <c r="H41" s="24">
        <v>0.0566</v>
      </c>
      <c r="I41" s="24">
        <v>1535.09</v>
      </c>
      <c r="J41" s="24">
        <v>0.3433</v>
      </c>
      <c r="K41" s="24">
        <v>9310.198</v>
      </c>
      <c r="L41" s="14" t="s">
        <v>85</v>
      </c>
      <c r="M41" s="14" t="s">
        <v>92</v>
      </c>
      <c r="N41" s="23">
        <v>180800</v>
      </c>
      <c r="O41" s="20">
        <f t="shared" si="1"/>
        <v>0.15</v>
      </c>
    </row>
    <row r="42" ht="28" spans="1:15">
      <c r="A42" s="14" t="s">
        <v>23</v>
      </c>
      <c r="B42" s="14" t="s">
        <v>135</v>
      </c>
      <c r="C42" s="23">
        <f t="shared" si="0"/>
        <v>22890</v>
      </c>
      <c r="D42" s="24">
        <v>0.6001</v>
      </c>
      <c r="E42" s="24">
        <v>13736.289</v>
      </c>
      <c r="F42" s="24">
        <v>0.6567</v>
      </c>
      <c r="G42" s="24">
        <v>15031.949</v>
      </c>
      <c r="H42" s="24">
        <v>0.0566</v>
      </c>
      <c r="I42" s="24">
        <v>1295.66</v>
      </c>
      <c r="J42" s="24">
        <v>0.3433</v>
      </c>
      <c r="K42" s="24">
        <v>7858.051</v>
      </c>
      <c r="L42" s="14" t="s">
        <v>85</v>
      </c>
      <c r="M42" s="14" t="s">
        <v>92</v>
      </c>
      <c r="N42" s="23">
        <v>152600</v>
      </c>
      <c r="O42" s="20">
        <f t="shared" si="1"/>
        <v>0.15</v>
      </c>
    </row>
    <row r="43" ht="28" spans="1:15">
      <c r="A43" s="14" t="s">
        <v>23</v>
      </c>
      <c r="B43" s="14" t="s">
        <v>136</v>
      </c>
      <c r="C43" s="23">
        <f t="shared" si="0"/>
        <v>40000</v>
      </c>
      <c r="D43" s="24">
        <v>0.0535</v>
      </c>
      <c r="E43" s="24">
        <v>2140.755</v>
      </c>
      <c r="F43" s="24">
        <v>0.8751</v>
      </c>
      <c r="G43" s="24">
        <v>35004.905</v>
      </c>
      <c r="H43" s="24">
        <v>0.0566</v>
      </c>
      <c r="I43" s="24">
        <v>2264.15</v>
      </c>
      <c r="J43" s="24">
        <v>0.1249</v>
      </c>
      <c r="K43" s="24">
        <v>4995.095</v>
      </c>
      <c r="L43" s="14" t="s">
        <v>85</v>
      </c>
      <c r="M43" s="14" t="s">
        <v>126</v>
      </c>
      <c r="N43" s="23">
        <v>40000</v>
      </c>
      <c r="O43" s="20">
        <f t="shared" si="1"/>
        <v>1</v>
      </c>
    </row>
    <row r="44" ht="28" spans="1:15">
      <c r="A44" s="14" t="s">
        <v>23</v>
      </c>
      <c r="B44" s="14" t="s">
        <v>137</v>
      </c>
      <c r="C44" s="23">
        <f t="shared" si="0"/>
        <v>26160</v>
      </c>
      <c r="D44" s="24">
        <v>0.6001</v>
      </c>
      <c r="E44" s="24">
        <v>15698.616</v>
      </c>
      <c r="F44" s="24">
        <v>0.6567</v>
      </c>
      <c r="G44" s="24">
        <v>17179.366</v>
      </c>
      <c r="H44" s="24">
        <v>0.0566</v>
      </c>
      <c r="I44" s="24">
        <v>1480.75</v>
      </c>
      <c r="J44" s="24">
        <v>0.3433</v>
      </c>
      <c r="K44" s="24">
        <v>8980.634</v>
      </c>
      <c r="L44" s="14" t="s">
        <v>85</v>
      </c>
      <c r="M44" s="14" t="s">
        <v>92</v>
      </c>
      <c r="N44" s="23">
        <v>174400</v>
      </c>
      <c r="O44" s="20">
        <f t="shared" si="1"/>
        <v>0.15</v>
      </c>
    </row>
    <row r="45" ht="28" spans="1:15">
      <c r="A45" s="14" t="s">
        <v>23</v>
      </c>
      <c r="B45" s="14" t="s">
        <v>138</v>
      </c>
      <c r="C45" s="23">
        <f t="shared" si="0"/>
        <v>27825</v>
      </c>
      <c r="D45" s="24">
        <v>0.6001</v>
      </c>
      <c r="E45" s="24">
        <v>16697.7825</v>
      </c>
      <c r="F45" s="24">
        <v>0.6567</v>
      </c>
      <c r="G45" s="24">
        <v>18272.7825</v>
      </c>
      <c r="H45" s="24">
        <v>0.0566</v>
      </c>
      <c r="I45" s="24">
        <v>1575</v>
      </c>
      <c r="J45" s="24">
        <v>0.3433</v>
      </c>
      <c r="K45" s="24">
        <v>9552.2175</v>
      </c>
      <c r="L45" s="14" t="s">
        <v>85</v>
      </c>
      <c r="M45" s="14" t="s">
        <v>92</v>
      </c>
      <c r="N45" s="30">
        <v>185500</v>
      </c>
      <c r="O45" s="20">
        <f t="shared" si="1"/>
        <v>0.15</v>
      </c>
    </row>
    <row r="46" ht="28" spans="1:15">
      <c r="A46" s="14" t="s">
        <v>23</v>
      </c>
      <c r="B46" s="14" t="s">
        <v>139</v>
      </c>
      <c r="C46" s="23">
        <f t="shared" si="0"/>
        <v>43000</v>
      </c>
      <c r="D46" s="24">
        <v>0.05</v>
      </c>
      <c r="E46" s="24">
        <v>2150</v>
      </c>
      <c r="F46" s="24">
        <v>0.8427</v>
      </c>
      <c r="G46" s="24">
        <v>36238.14</v>
      </c>
      <c r="H46" s="24">
        <v>0.0566</v>
      </c>
      <c r="I46" s="24">
        <v>2433.96</v>
      </c>
      <c r="J46" s="24">
        <v>0.1573</v>
      </c>
      <c r="K46" s="24">
        <v>6761.86</v>
      </c>
      <c r="L46" s="14" t="s">
        <v>85</v>
      </c>
      <c r="M46" s="14" t="s">
        <v>86</v>
      </c>
      <c r="N46" s="23">
        <v>43000</v>
      </c>
      <c r="O46" s="20">
        <f t="shared" si="1"/>
        <v>1</v>
      </c>
    </row>
    <row r="47" ht="28" spans="1:15">
      <c r="A47" s="14" t="s">
        <v>45</v>
      </c>
      <c r="B47" s="14" t="s">
        <v>140</v>
      </c>
      <c r="C47" s="23">
        <f t="shared" si="0"/>
        <v>75000</v>
      </c>
      <c r="D47" s="24">
        <v>0.0604</v>
      </c>
      <c r="E47" s="24">
        <v>4531.416</v>
      </c>
      <c r="F47" s="24">
        <v>0.859</v>
      </c>
      <c r="G47" s="24">
        <v>64426.696</v>
      </c>
      <c r="H47" s="24">
        <v>0.0566</v>
      </c>
      <c r="I47" s="24">
        <v>4245.28</v>
      </c>
      <c r="J47" s="24">
        <v>0.141</v>
      </c>
      <c r="K47" s="24">
        <v>10573.304</v>
      </c>
      <c r="L47" s="14" t="s">
        <v>85</v>
      </c>
      <c r="M47" s="14" t="s">
        <v>141</v>
      </c>
      <c r="N47" s="23">
        <v>75000</v>
      </c>
      <c r="O47" s="20">
        <f t="shared" si="1"/>
        <v>1</v>
      </c>
    </row>
    <row r="48" ht="28" spans="1:15">
      <c r="A48" s="14" t="s">
        <v>40</v>
      </c>
      <c r="B48" s="14" t="s">
        <v>90</v>
      </c>
      <c r="C48" s="23">
        <f t="shared" si="0"/>
        <v>107272</v>
      </c>
      <c r="D48" s="24">
        <v>0.05</v>
      </c>
      <c r="E48" s="24">
        <v>5363.6</v>
      </c>
      <c r="F48" s="24">
        <v>0.9419</v>
      </c>
      <c r="G48" s="24">
        <v>101043.2</v>
      </c>
      <c r="H48" s="24">
        <v>0.0566</v>
      </c>
      <c r="I48" s="24">
        <v>6072</v>
      </c>
      <c r="J48" s="24">
        <v>0.0581</v>
      </c>
      <c r="K48" s="24">
        <v>6228.8</v>
      </c>
      <c r="L48" s="14" t="s">
        <v>85</v>
      </c>
      <c r="M48" s="14" t="s">
        <v>86</v>
      </c>
      <c r="N48" s="23">
        <v>107272</v>
      </c>
      <c r="O48" s="20">
        <f t="shared" si="1"/>
        <v>1</v>
      </c>
    </row>
    <row r="49" s="17" customFormat="1" ht="28" spans="1:15">
      <c r="A49" s="14" t="s">
        <v>50</v>
      </c>
      <c r="B49" s="14" t="s">
        <v>142</v>
      </c>
      <c r="C49" s="23">
        <f t="shared" si="0"/>
        <v>37100</v>
      </c>
      <c r="D49" s="24">
        <v>-0.0079</v>
      </c>
      <c r="E49" s="24">
        <v>-291.828000000001</v>
      </c>
      <c r="F49" s="24">
        <v>1.0184</v>
      </c>
      <c r="G49" s="24">
        <v>37780.932</v>
      </c>
      <c r="H49" s="24">
        <v>0.0566</v>
      </c>
      <c r="I49" s="24">
        <v>2100</v>
      </c>
      <c r="J49" s="24">
        <v>-0.0184</v>
      </c>
      <c r="K49" s="24">
        <v>-680.932</v>
      </c>
      <c r="L49" s="14" t="s">
        <v>85</v>
      </c>
      <c r="M49" s="14" t="s">
        <v>143</v>
      </c>
      <c r="N49" s="23">
        <v>37100</v>
      </c>
      <c r="O49" s="29">
        <f t="shared" si="1"/>
        <v>1</v>
      </c>
    </row>
    <row r="50" s="17" customFormat="1" ht="28" spans="1:15">
      <c r="A50" s="14" t="s">
        <v>30</v>
      </c>
      <c r="B50" s="14" t="s">
        <v>144</v>
      </c>
      <c r="C50" s="23">
        <f t="shared" si="0"/>
        <v>81000</v>
      </c>
      <c r="D50" s="24">
        <v>0.6001</v>
      </c>
      <c r="E50" s="24">
        <v>48608.1</v>
      </c>
      <c r="F50" s="24">
        <v>0.6567</v>
      </c>
      <c r="G50" s="24">
        <v>53193.01</v>
      </c>
      <c r="H50" s="24">
        <v>0.0566</v>
      </c>
      <c r="I50" s="24">
        <v>4584.91</v>
      </c>
      <c r="J50" s="24">
        <v>0.3433</v>
      </c>
      <c r="K50" s="24">
        <v>27806.99</v>
      </c>
      <c r="L50" s="14" t="s">
        <v>85</v>
      </c>
      <c r="M50" s="14" t="s">
        <v>92</v>
      </c>
      <c r="N50" s="23">
        <v>540000</v>
      </c>
      <c r="O50" s="29">
        <f t="shared" si="1"/>
        <v>0.15</v>
      </c>
    </row>
    <row r="51" s="17" customFormat="1" ht="28" spans="1:15">
      <c r="A51" s="14" t="s">
        <v>26</v>
      </c>
      <c r="B51" s="14" t="s">
        <v>145</v>
      </c>
      <c r="C51" s="24">
        <f t="shared" si="0"/>
        <v>37500</v>
      </c>
      <c r="D51" s="25">
        <v>0.1698</v>
      </c>
      <c r="E51" s="14">
        <v>6367.9248</v>
      </c>
      <c r="F51" s="25">
        <v>0.2264</v>
      </c>
      <c r="G51" s="26">
        <v>8490.5648</v>
      </c>
      <c r="H51" s="25">
        <v>0.0566</v>
      </c>
      <c r="I51" s="26">
        <v>2122.64</v>
      </c>
      <c r="J51" s="25">
        <v>0.7736</v>
      </c>
      <c r="K51" s="26">
        <v>29009.4352</v>
      </c>
      <c r="L51" s="14" t="s">
        <v>85</v>
      </c>
      <c r="M51" s="14" t="s">
        <v>89</v>
      </c>
      <c r="N51" s="28">
        <v>125000</v>
      </c>
      <c r="O51" s="29">
        <f t="shared" si="1"/>
        <v>0.3</v>
      </c>
    </row>
    <row r="52" ht="28" spans="1:15">
      <c r="A52" s="14" t="s">
        <v>22</v>
      </c>
      <c r="B52" s="14" t="s">
        <v>146</v>
      </c>
      <c r="C52" s="23">
        <f t="shared" si="0"/>
        <v>116000</v>
      </c>
      <c r="D52" s="24">
        <v>0.1096</v>
      </c>
      <c r="E52" s="24">
        <v>12716.98</v>
      </c>
      <c r="F52" s="24">
        <v>0.8904</v>
      </c>
      <c r="G52" s="24">
        <v>103283.02</v>
      </c>
      <c r="H52" s="24">
        <v>0.0566</v>
      </c>
      <c r="I52" s="24">
        <v>6566.04</v>
      </c>
      <c r="J52" s="24">
        <v>0.1096</v>
      </c>
      <c r="K52" s="24">
        <v>12716.98</v>
      </c>
      <c r="L52" s="14" t="s">
        <v>85</v>
      </c>
      <c r="M52" s="14" t="s">
        <v>104</v>
      </c>
      <c r="N52" s="23">
        <v>116000</v>
      </c>
      <c r="O52" s="20">
        <f t="shared" si="1"/>
        <v>1</v>
      </c>
    </row>
    <row r="53" ht="28" spans="1:15">
      <c r="A53" s="14" t="s">
        <v>22</v>
      </c>
      <c r="B53" s="14" t="s">
        <v>147</v>
      </c>
      <c r="C53" s="23">
        <f t="shared" si="0"/>
        <v>40000</v>
      </c>
      <c r="D53" s="24">
        <v>0.09</v>
      </c>
      <c r="E53" s="24">
        <v>3600</v>
      </c>
      <c r="F53" s="24">
        <v>1.0216</v>
      </c>
      <c r="G53" s="24">
        <v>40864.15</v>
      </c>
      <c r="H53" s="24">
        <v>0.0566</v>
      </c>
      <c r="I53" s="24">
        <v>2264.15</v>
      </c>
      <c r="J53" s="24">
        <v>-0.0216</v>
      </c>
      <c r="K53" s="24">
        <v>-864.15</v>
      </c>
      <c r="L53" s="14" t="s">
        <v>85</v>
      </c>
      <c r="M53" s="14" t="s">
        <v>107</v>
      </c>
      <c r="N53" s="23">
        <v>40000</v>
      </c>
      <c r="O53" s="20">
        <f t="shared" si="1"/>
        <v>1</v>
      </c>
    </row>
    <row r="54" ht="28" spans="1:15">
      <c r="A54" s="14" t="s">
        <v>22</v>
      </c>
      <c r="B54" s="14" t="s">
        <v>148</v>
      </c>
      <c r="C54" s="23">
        <f t="shared" si="0"/>
        <v>96000</v>
      </c>
      <c r="D54" s="24">
        <v>0.0205</v>
      </c>
      <c r="E54" s="24">
        <v>1969.812</v>
      </c>
      <c r="F54" s="24">
        <v>0.9521</v>
      </c>
      <c r="G54" s="24">
        <v>91403.772</v>
      </c>
      <c r="H54" s="24">
        <v>0.0566</v>
      </c>
      <c r="I54" s="24">
        <v>5433.96</v>
      </c>
      <c r="J54" s="24">
        <v>0.0479</v>
      </c>
      <c r="K54" s="24">
        <v>4596.228</v>
      </c>
      <c r="L54" s="14" t="s">
        <v>85</v>
      </c>
      <c r="M54" s="14" t="s">
        <v>141</v>
      </c>
      <c r="N54" s="23">
        <v>96000</v>
      </c>
      <c r="O54" s="20">
        <f t="shared" si="1"/>
        <v>1</v>
      </c>
    </row>
    <row r="55" ht="28" spans="1:15">
      <c r="A55" s="14" t="s">
        <v>22</v>
      </c>
      <c r="B55" s="14" t="s">
        <v>149</v>
      </c>
      <c r="C55" s="23">
        <f t="shared" si="0"/>
        <v>48000</v>
      </c>
      <c r="D55" s="24">
        <v>0.033</v>
      </c>
      <c r="E55" s="24">
        <v>1584.906</v>
      </c>
      <c r="F55" s="24">
        <v>0.923</v>
      </c>
      <c r="G55" s="24">
        <v>44301.886</v>
      </c>
      <c r="H55" s="24">
        <v>0.0566</v>
      </c>
      <c r="I55" s="24">
        <v>2716.98</v>
      </c>
      <c r="J55" s="24">
        <v>0.077</v>
      </c>
      <c r="K55" s="24">
        <v>3698.114</v>
      </c>
      <c r="L55" s="14" t="s">
        <v>85</v>
      </c>
      <c r="M55" s="14" t="s">
        <v>150</v>
      </c>
      <c r="N55" s="23">
        <v>48000</v>
      </c>
      <c r="O55" s="20">
        <f t="shared" si="1"/>
        <v>1</v>
      </c>
    </row>
    <row r="56" ht="28" spans="1:15">
      <c r="A56" s="14" t="s">
        <v>22</v>
      </c>
      <c r="B56" s="14" t="s">
        <v>151</v>
      </c>
      <c r="C56" s="24">
        <f t="shared" si="0"/>
        <v>110000</v>
      </c>
      <c r="D56" s="25">
        <v>0.0648</v>
      </c>
      <c r="E56" s="14">
        <v>7132.074</v>
      </c>
      <c r="F56" s="25">
        <v>0.8487</v>
      </c>
      <c r="G56" s="26">
        <v>93358.494</v>
      </c>
      <c r="H56" s="25">
        <v>0.0566</v>
      </c>
      <c r="I56" s="26">
        <v>6226.42</v>
      </c>
      <c r="J56" s="25">
        <v>0.1513</v>
      </c>
      <c r="K56" s="26">
        <v>16641.506</v>
      </c>
      <c r="L56" s="14" t="s">
        <v>85</v>
      </c>
      <c r="M56" s="14" t="s">
        <v>89</v>
      </c>
      <c r="N56" s="19">
        <v>110000</v>
      </c>
      <c r="O56" s="20">
        <f t="shared" si="1"/>
        <v>1</v>
      </c>
    </row>
    <row r="57" ht="28" spans="1:15">
      <c r="A57" s="14" t="s">
        <v>22</v>
      </c>
      <c r="B57" s="14" t="s">
        <v>152</v>
      </c>
      <c r="C57" s="23">
        <f t="shared" si="0"/>
        <v>110000</v>
      </c>
      <c r="D57" s="24">
        <v>0.09</v>
      </c>
      <c r="E57" s="24">
        <v>9900</v>
      </c>
      <c r="F57" s="24">
        <v>0.9102</v>
      </c>
      <c r="G57" s="24">
        <v>100126.42</v>
      </c>
      <c r="H57" s="24">
        <v>0.0566</v>
      </c>
      <c r="I57" s="24">
        <v>6226.42</v>
      </c>
      <c r="J57" s="24">
        <v>0.0898</v>
      </c>
      <c r="K57" s="24">
        <v>9873.58</v>
      </c>
      <c r="L57" s="14" t="s">
        <v>85</v>
      </c>
      <c r="M57" s="14" t="s">
        <v>107</v>
      </c>
      <c r="N57" s="23">
        <v>110000</v>
      </c>
      <c r="O57" s="20">
        <f t="shared" si="1"/>
        <v>1</v>
      </c>
    </row>
    <row r="58" ht="28" spans="1:15">
      <c r="A58" s="14" t="s">
        <v>22</v>
      </c>
      <c r="B58" s="14" t="s">
        <v>153</v>
      </c>
      <c r="C58" s="23">
        <f t="shared" si="0"/>
        <v>110000</v>
      </c>
      <c r="D58" s="24">
        <v>0.09</v>
      </c>
      <c r="E58" s="24">
        <v>9900</v>
      </c>
      <c r="F58" s="24">
        <v>0.9102</v>
      </c>
      <c r="G58" s="24">
        <v>100126.42</v>
      </c>
      <c r="H58" s="24">
        <v>0.0566</v>
      </c>
      <c r="I58" s="24">
        <v>6226.42</v>
      </c>
      <c r="J58" s="24">
        <v>0.0898</v>
      </c>
      <c r="K58" s="24">
        <v>9873.58</v>
      </c>
      <c r="L58" s="14" t="s">
        <v>85</v>
      </c>
      <c r="M58" s="14" t="s">
        <v>107</v>
      </c>
      <c r="N58" s="23">
        <v>110000</v>
      </c>
      <c r="O58" s="20">
        <f t="shared" si="1"/>
        <v>1</v>
      </c>
    </row>
    <row r="59" ht="28" spans="1:15">
      <c r="A59" s="14" t="s">
        <v>22</v>
      </c>
      <c r="B59" s="14" t="s">
        <v>154</v>
      </c>
      <c r="C59" s="24">
        <f t="shared" si="0"/>
        <v>36000</v>
      </c>
      <c r="D59" s="25">
        <v>0.043</v>
      </c>
      <c r="E59" s="14">
        <v>1548.678</v>
      </c>
      <c r="F59" s="25">
        <v>0.8996</v>
      </c>
      <c r="G59" s="26">
        <v>32386.418</v>
      </c>
      <c r="H59" s="25">
        <v>0.0566</v>
      </c>
      <c r="I59" s="26">
        <v>2037.74</v>
      </c>
      <c r="J59" s="25">
        <v>0.1004</v>
      </c>
      <c r="K59" s="26">
        <v>3613.582</v>
      </c>
      <c r="L59" s="14" t="s">
        <v>85</v>
      </c>
      <c r="M59" s="14" t="s">
        <v>89</v>
      </c>
      <c r="N59" s="19">
        <v>36000</v>
      </c>
      <c r="O59" s="20">
        <f t="shared" si="1"/>
        <v>1</v>
      </c>
    </row>
    <row r="60" ht="28" spans="1:15">
      <c r="A60" s="14" t="s">
        <v>22</v>
      </c>
      <c r="B60" s="14" t="s">
        <v>155</v>
      </c>
      <c r="C60" s="23">
        <f t="shared" si="0"/>
        <v>172000</v>
      </c>
      <c r="D60" s="24">
        <v>0.09</v>
      </c>
      <c r="E60" s="24">
        <v>15480</v>
      </c>
      <c r="F60" s="24">
        <v>0.9699</v>
      </c>
      <c r="G60" s="24">
        <v>166815.85</v>
      </c>
      <c r="H60" s="24">
        <v>0.0566</v>
      </c>
      <c r="I60" s="24">
        <v>9735.85</v>
      </c>
      <c r="J60" s="24">
        <v>0.0301</v>
      </c>
      <c r="K60" s="24">
        <v>5184.15</v>
      </c>
      <c r="L60" s="14" t="s">
        <v>85</v>
      </c>
      <c r="M60" s="14" t="s">
        <v>107</v>
      </c>
      <c r="N60" s="23">
        <v>172000</v>
      </c>
      <c r="O60" s="20">
        <f t="shared" si="1"/>
        <v>1</v>
      </c>
    </row>
    <row r="61" ht="28" spans="1:15">
      <c r="A61" s="14" t="s">
        <v>22</v>
      </c>
      <c r="B61" s="14" t="s">
        <v>156</v>
      </c>
      <c r="C61" s="23">
        <f t="shared" si="0"/>
        <v>18000</v>
      </c>
      <c r="D61" s="24">
        <v>0.09</v>
      </c>
      <c r="E61" s="24">
        <v>1620</v>
      </c>
      <c r="F61" s="24">
        <v>0.9466</v>
      </c>
      <c r="G61" s="24">
        <v>17038.87</v>
      </c>
      <c r="H61" s="24">
        <v>0.0566</v>
      </c>
      <c r="I61" s="24">
        <v>1018.87</v>
      </c>
      <c r="J61" s="24">
        <v>0.0534</v>
      </c>
      <c r="K61" s="24">
        <v>961.13</v>
      </c>
      <c r="L61" s="14" t="s">
        <v>85</v>
      </c>
      <c r="M61" s="14" t="s">
        <v>107</v>
      </c>
      <c r="N61" s="23">
        <v>18000</v>
      </c>
      <c r="O61" s="20">
        <f t="shared" si="1"/>
        <v>1</v>
      </c>
    </row>
    <row r="62" ht="28" spans="1:15">
      <c r="A62" s="14" t="s">
        <v>22</v>
      </c>
      <c r="B62" s="14" t="s">
        <v>157</v>
      </c>
      <c r="C62" s="23">
        <f t="shared" si="0"/>
        <v>312000</v>
      </c>
      <c r="D62" s="24">
        <v>0.0376</v>
      </c>
      <c r="E62" s="24">
        <v>11725.386</v>
      </c>
      <c r="F62" s="24">
        <v>0.9123</v>
      </c>
      <c r="G62" s="24">
        <v>284640.766</v>
      </c>
      <c r="H62" s="24">
        <v>0.0566</v>
      </c>
      <c r="I62" s="24">
        <v>17660.38</v>
      </c>
      <c r="J62" s="24">
        <v>0.0877</v>
      </c>
      <c r="K62" s="24">
        <v>27359.234</v>
      </c>
      <c r="L62" s="14" t="s">
        <v>85</v>
      </c>
      <c r="M62" s="14" t="s">
        <v>104</v>
      </c>
      <c r="N62" s="23">
        <v>312000</v>
      </c>
      <c r="O62" s="20">
        <f t="shared" si="1"/>
        <v>1</v>
      </c>
    </row>
    <row r="63" ht="28" spans="1:15">
      <c r="A63" s="14" t="s">
        <v>32</v>
      </c>
      <c r="B63" s="14" t="s">
        <v>158</v>
      </c>
      <c r="C63" s="24">
        <f t="shared" si="0"/>
        <v>10000</v>
      </c>
      <c r="D63" s="25">
        <v>0.1698</v>
      </c>
      <c r="E63" s="14">
        <v>1698.1128</v>
      </c>
      <c r="F63" s="25">
        <v>0.2264</v>
      </c>
      <c r="G63" s="26">
        <v>2264.1528</v>
      </c>
      <c r="H63" s="25">
        <v>0.0566</v>
      </c>
      <c r="I63" s="26">
        <v>566.04</v>
      </c>
      <c r="J63" s="25">
        <v>0.7736</v>
      </c>
      <c r="K63" s="26">
        <v>7735.8472</v>
      </c>
      <c r="L63" s="14" t="s">
        <v>85</v>
      </c>
      <c r="M63" s="14" t="s">
        <v>89</v>
      </c>
      <c r="N63" s="19">
        <v>100000</v>
      </c>
      <c r="O63" s="20">
        <f t="shared" si="1"/>
        <v>0.1</v>
      </c>
    </row>
    <row r="64" s="17" customFormat="1" ht="28" spans="1:15">
      <c r="A64" s="14" t="s">
        <v>32</v>
      </c>
      <c r="B64" s="14" t="s">
        <v>159</v>
      </c>
      <c r="C64" s="23">
        <f t="shared" si="0"/>
        <v>16000</v>
      </c>
      <c r="D64" s="24">
        <v>0.45</v>
      </c>
      <c r="E64" s="24">
        <v>7200</v>
      </c>
      <c r="F64" s="24">
        <v>0.5066</v>
      </c>
      <c r="G64" s="24">
        <v>8105.66</v>
      </c>
      <c r="H64" s="24">
        <v>0.0566</v>
      </c>
      <c r="I64" s="24">
        <v>905.66</v>
      </c>
      <c r="J64" s="24">
        <v>0.4934</v>
      </c>
      <c r="K64" s="24">
        <v>7894.34</v>
      </c>
      <c r="L64" s="14" t="s">
        <v>85</v>
      </c>
      <c r="M64" s="14" t="s">
        <v>92</v>
      </c>
      <c r="N64" s="23">
        <v>80000</v>
      </c>
      <c r="O64" s="29">
        <f t="shared" si="1"/>
        <v>0.2</v>
      </c>
    </row>
    <row r="65" ht="28" spans="1:15">
      <c r="A65" s="14" t="s">
        <v>32</v>
      </c>
      <c r="B65" s="14" t="s">
        <v>160</v>
      </c>
      <c r="C65" s="24">
        <f t="shared" si="0"/>
        <v>10000</v>
      </c>
      <c r="D65" s="25">
        <v>0.1698</v>
      </c>
      <c r="E65" s="14">
        <v>1698.1128</v>
      </c>
      <c r="F65" s="25">
        <v>0.2264</v>
      </c>
      <c r="G65" s="26">
        <v>2264.1528</v>
      </c>
      <c r="H65" s="25">
        <v>0.0566</v>
      </c>
      <c r="I65" s="26">
        <v>566.04</v>
      </c>
      <c r="J65" s="25">
        <v>0.7736</v>
      </c>
      <c r="K65" s="26">
        <v>7735.8472</v>
      </c>
      <c r="L65" s="14" t="s">
        <v>85</v>
      </c>
      <c r="M65" s="14" t="s">
        <v>89</v>
      </c>
      <c r="N65" s="19">
        <v>50000</v>
      </c>
      <c r="O65" s="20">
        <f t="shared" si="1"/>
        <v>0.2</v>
      </c>
    </row>
    <row r="66" ht="28" spans="1:15">
      <c r="A66" s="14" t="s">
        <v>32</v>
      </c>
      <c r="B66" s="14" t="s">
        <v>161</v>
      </c>
      <c r="C66" s="24">
        <f t="shared" ref="C66:C129" si="2">G66+K66</f>
        <v>14000</v>
      </c>
      <c r="D66" s="25">
        <v>0.1698</v>
      </c>
      <c r="E66" s="14">
        <v>2377.359</v>
      </c>
      <c r="F66" s="25">
        <v>0.2264</v>
      </c>
      <c r="G66" s="26">
        <v>3169.809</v>
      </c>
      <c r="H66" s="25">
        <v>0.0566</v>
      </c>
      <c r="I66" s="26">
        <v>792.45</v>
      </c>
      <c r="J66" s="25">
        <v>0.7736</v>
      </c>
      <c r="K66" s="26">
        <v>10830.191</v>
      </c>
      <c r="L66" s="14" t="s">
        <v>85</v>
      </c>
      <c r="M66" s="14" t="s">
        <v>89</v>
      </c>
      <c r="N66" s="19">
        <v>70000</v>
      </c>
      <c r="O66" s="20">
        <f t="shared" ref="O66:O129" si="3">C66/N66</f>
        <v>0.2</v>
      </c>
    </row>
    <row r="67" ht="28" spans="1:15">
      <c r="A67" s="14" t="s">
        <v>32</v>
      </c>
      <c r="B67" s="14" t="s">
        <v>162</v>
      </c>
      <c r="C67" s="24">
        <f t="shared" si="2"/>
        <v>4000</v>
      </c>
      <c r="D67" s="25">
        <v>0.1698</v>
      </c>
      <c r="E67" s="14">
        <v>679.2444</v>
      </c>
      <c r="F67" s="25">
        <v>0.2264</v>
      </c>
      <c r="G67" s="26">
        <v>905.6644</v>
      </c>
      <c r="H67" s="25">
        <v>0.0566</v>
      </c>
      <c r="I67" s="26">
        <v>226.42</v>
      </c>
      <c r="J67" s="25">
        <v>0.7736</v>
      </c>
      <c r="K67" s="26">
        <v>3094.3356</v>
      </c>
      <c r="L67" s="14" t="s">
        <v>85</v>
      </c>
      <c r="M67" s="14" t="s">
        <v>89</v>
      </c>
      <c r="N67" s="19">
        <v>20000</v>
      </c>
      <c r="O67" s="20">
        <f t="shared" si="3"/>
        <v>0.2</v>
      </c>
    </row>
    <row r="68" ht="28" spans="1:15">
      <c r="A68" s="14" t="s">
        <v>32</v>
      </c>
      <c r="B68" s="14" t="s">
        <v>163</v>
      </c>
      <c r="C68" s="24">
        <f t="shared" si="2"/>
        <v>10000</v>
      </c>
      <c r="D68" s="25">
        <v>0.1698</v>
      </c>
      <c r="E68" s="14">
        <v>1698.1128</v>
      </c>
      <c r="F68" s="25">
        <v>0.2264</v>
      </c>
      <c r="G68" s="26">
        <v>2264.1528</v>
      </c>
      <c r="H68" s="25">
        <v>0.0566</v>
      </c>
      <c r="I68" s="26">
        <v>566.04</v>
      </c>
      <c r="J68" s="25">
        <v>0.7736</v>
      </c>
      <c r="K68" s="26">
        <v>7735.8472</v>
      </c>
      <c r="L68" s="14" t="s">
        <v>85</v>
      </c>
      <c r="M68" s="14" t="s">
        <v>89</v>
      </c>
      <c r="N68" s="19">
        <v>50000</v>
      </c>
      <c r="O68" s="20">
        <f t="shared" si="3"/>
        <v>0.2</v>
      </c>
    </row>
    <row r="69" ht="28" spans="1:15">
      <c r="A69" s="14" t="s">
        <v>35</v>
      </c>
      <c r="B69" s="14" t="s">
        <v>164</v>
      </c>
      <c r="C69" s="23">
        <f t="shared" si="2"/>
        <v>56000</v>
      </c>
      <c r="D69" s="24">
        <v>0.09</v>
      </c>
      <c r="E69" s="24">
        <v>5040</v>
      </c>
      <c r="F69" s="24">
        <v>0.5966</v>
      </c>
      <c r="G69" s="24">
        <v>33409.81</v>
      </c>
      <c r="H69" s="24">
        <v>0.0566</v>
      </c>
      <c r="I69" s="24">
        <v>3169.81</v>
      </c>
      <c r="J69" s="24">
        <v>0.4034</v>
      </c>
      <c r="K69" s="24">
        <v>22590.19</v>
      </c>
      <c r="L69" s="14" t="s">
        <v>85</v>
      </c>
      <c r="M69" s="14" t="s">
        <v>86</v>
      </c>
      <c r="N69" s="23">
        <v>56000</v>
      </c>
      <c r="O69" s="20">
        <f t="shared" si="3"/>
        <v>1</v>
      </c>
    </row>
    <row r="70" ht="28" spans="1:15">
      <c r="A70" s="14" t="s">
        <v>35</v>
      </c>
      <c r="B70" s="14" t="s">
        <v>165</v>
      </c>
      <c r="C70" s="23">
        <f t="shared" si="2"/>
        <v>57371.5</v>
      </c>
      <c r="D70" s="24">
        <v>0.05</v>
      </c>
      <c r="E70" s="24">
        <v>2868.575</v>
      </c>
      <c r="F70" s="24">
        <v>0.5698</v>
      </c>
      <c r="G70" s="24">
        <v>32687.515</v>
      </c>
      <c r="H70" s="24">
        <v>0.0566</v>
      </c>
      <c r="I70" s="24">
        <v>3247.44</v>
      </c>
      <c r="J70" s="24">
        <v>0.4302</v>
      </c>
      <c r="K70" s="24">
        <v>24683.985</v>
      </c>
      <c r="L70" s="14" t="s">
        <v>85</v>
      </c>
      <c r="M70" s="14" t="s">
        <v>86</v>
      </c>
      <c r="N70" s="23">
        <v>57371.5</v>
      </c>
      <c r="O70" s="20">
        <f t="shared" si="3"/>
        <v>1</v>
      </c>
    </row>
    <row r="71" ht="28" spans="1:15">
      <c r="A71" s="14" t="s">
        <v>35</v>
      </c>
      <c r="B71" s="14" t="s">
        <v>90</v>
      </c>
      <c r="C71" s="23">
        <f t="shared" si="2"/>
        <v>56000</v>
      </c>
      <c r="D71" s="24">
        <v>0.05</v>
      </c>
      <c r="E71" s="24">
        <v>2800</v>
      </c>
      <c r="F71" s="24">
        <v>0.5914</v>
      </c>
      <c r="G71" s="24">
        <v>33115.61</v>
      </c>
      <c r="H71" s="24">
        <v>0.0566</v>
      </c>
      <c r="I71" s="24">
        <v>3169.81</v>
      </c>
      <c r="J71" s="24">
        <v>0.4086</v>
      </c>
      <c r="K71" s="24">
        <v>22884.39</v>
      </c>
      <c r="L71" s="14" t="s">
        <v>85</v>
      </c>
      <c r="M71" s="14" t="s">
        <v>86</v>
      </c>
      <c r="N71" s="23">
        <v>56000</v>
      </c>
      <c r="O71" s="20">
        <f t="shared" si="3"/>
        <v>1</v>
      </c>
    </row>
    <row r="72" ht="28" spans="1:15">
      <c r="A72" s="14" t="s">
        <v>36</v>
      </c>
      <c r="B72" s="14" t="s">
        <v>90</v>
      </c>
      <c r="C72" s="24">
        <f t="shared" si="2"/>
        <v>40000</v>
      </c>
      <c r="D72" s="25">
        <v>0.055</v>
      </c>
      <c r="E72" s="14">
        <v>2200.755</v>
      </c>
      <c r="F72" s="25">
        <v>0.8716</v>
      </c>
      <c r="G72" s="26">
        <v>34864.905</v>
      </c>
      <c r="H72" s="25">
        <v>0.0566</v>
      </c>
      <c r="I72" s="26">
        <v>2264.15</v>
      </c>
      <c r="J72" s="25">
        <v>0.1284</v>
      </c>
      <c r="K72" s="26">
        <v>5135.095</v>
      </c>
      <c r="L72" s="14" t="s">
        <v>85</v>
      </c>
      <c r="M72" s="14" t="s">
        <v>89</v>
      </c>
      <c r="N72" s="19">
        <v>40000</v>
      </c>
      <c r="O72" s="20">
        <f t="shared" si="3"/>
        <v>1</v>
      </c>
    </row>
    <row r="73" ht="28" spans="1:15">
      <c r="A73" s="14" t="s">
        <v>36</v>
      </c>
      <c r="B73" s="14" t="s">
        <v>166</v>
      </c>
      <c r="C73" s="24">
        <f t="shared" si="2"/>
        <v>120000</v>
      </c>
      <c r="D73" s="25">
        <v>0.055</v>
      </c>
      <c r="E73" s="14">
        <v>6602.265</v>
      </c>
      <c r="F73" s="25">
        <v>0.8716</v>
      </c>
      <c r="G73" s="26">
        <v>104594.715</v>
      </c>
      <c r="H73" s="25">
        <v>0.0566</v>
      </c>
      <c r="I73" s="26">
        <v>6792.45</v>
      </c>
      <c r="J73" s="25">
        <v>0.1284</v>
      </c>
      <c r="K73" s="26">
        <v>15405.285</v>
      </c>
      <c r="L73" s="14" t="s">
        <v>85</v>
      </c>
      <c r="M73" s="14" t="s">
        <v>89</v>
      </c>
      <c r="N73" s="19">
        <v>120000</v>
      </c>
      <c r="O73" s="20">
        <f t="shared" si="3"/>
        <v>1</v>
      </c>
    </row>
    <row r="74" ht="28" spans="1:15">
      <c r="A74" s="14" t="s">
        <v>31</v>
      </c>
      <c r="B74" s="14" t="s">
        <v>167</v>
      </c>
      <c r="C74" s="23">
        <f t="shared" si="2"/>
        <v>94320</v>
      </c>
      <c r="D74" s="24">
        <v>0.1642</v>
      </c>
      <c r="E74" s="24">
        <v>15490.565</v>
      </c>
      <c r="F74" s="24">
        <v>0.8358</v>
      </c>
      <c r="G74" s="24">
        <v>78829.435</v>
      </c>
      <c r="H74" s="24">
        <v>0.0566</v>
      </c>
      <c r="I74" s="24">
        <v>5338.87</v>
      </c>
      <c r="J74" s="24">
        <v>0.1642</v>
      </c>
      <c r="K74" s="24">
        <v>15490.565</v>
      </c>
      <c r="L74" s="14" t="s">
        <v>85</v>
      </c>
      <c r="M74" s="14" t="s">
        <v>104</v>
      </c>
      <c r="N74" s="23">
        <v>94320</v>
      </c>
      <c r="O74" s="20">
        <f t="shared" si="3"/>
        <v>1</v>
      </c>
    </row>
    <row r="75" ht="28" spans="1:15">
      <c r="A75" s="14" t="s">
        <v>31</v>
      </c>
      <c r="B75" s="14" t="s">
        <v>168</v>
      </c>
      <c r="C75" s="24">
        <f t="shared" si="2"/>
        <v>12000</v>
      </c>
      <c r="D75" s="25">
        <v>0.1698</v>
      </c>
      <c r="E75" s="14">
        <v>2037.735</v>
      </c>
      <c r="F75" s="25">
        <v>0.2264</v>
      </c>
      <c r="G75" s="26">
        <v>2716.985</v>
      </c>
      <c r="H75" s="25">
        <v>0.0566</v>
      </c>
      <c r="I75" s="26">
        <v>679.25</v>
      </c>
      <c r="J75" s="25">
        <v>0.7736</v>
      </c>
      <c r="K75" s="26">
        <v>9283.015</v>
      </c>
      <c r="L75" s="14" t="s">
        <v>85</v>
      </c>
      <c r="M75" s="14" t="s">
        <v>89</v>
      </c>
      <c r="N75" s="19">
        <v>80000</v>
      </c>
      <c r="O75" s="20">
        <f t="shared" si="3"/>
        <v>0.15</v>
      </c>
    </row>
    <row r="76" ht="28" spans="1:15">
      <c r="A76" s="14" t="s">
        <v>31</v>
      </c>
      <c r="B76" s="14" t="s">
        <v>169</v>
      </c>
      <c r="C76" s="24">
        <f t="shared" si="2"/>
        <v>25000</v>
      </c>
      <c r="D76" s="25">
        <v>0.0309</v>
      </c>
      <c r="E76" s="14">
        <v>773.313</v>
      </c>
      <c r="F76" s="25">
        <v>0.9278</v>
      </c>
      <c r="G76" s="26">
        <v>23195.603</v>
      </c>
      <c r="H76" s="25">
        <v>0.0566</v>
      </c>
      <c r="I76" s="26">
        <v>1415.09</v>
      </c>
      <c r="J76" s="25">
        <v>0.0722</v>
      </c>
      <c r="K76" s="26">
        <v>1804.397</v>
      </c>
      <c r="L76" s="14" t="s">
        <v>85</v>
      </c>
      <c r="M76" s="14" t="s">
        <v>89</v>
      </c>
      <c r="N76" s="19">
        <v>25000</v>
      </c>
      <c r="O76" s="20">
        <f t="shared" si="3"/>
        <v>1</v>
      </c>
    </row>
    <row r="77" ht="28" spans="1:15">
      <c r="A77" s="14" t="s">
        <v>31</v>
      </c>
      <c r="B77" s="14" t="s">
        <v>170</v>
      </c>
      <c r="C77" s="23">
        <f t="shared" si="2"/>
        <v>120000</v>
      </c>
      <c r="D77" s="24">
        <v>0.05</v>
      </c>
      <c r="E77" s="24">
        <v>6000</v>
      </c>
      <c r="F77" s="24">
        <v>0.9766</v>
      </c>
      <c r="G77" s="24">
        <v>117190.75</v>
      </c>
      <c r="H77" s="24">
        <v>0.0566</v>
      </c>
      <c r="I77" s="24">
        <v>6792.45</v>
      </c>
      <c r="J77" s="24">
        <v>0.0234</v>
      </c>
      <c r="K77" s="24">
        <v>2809.25</v>
      </c>
      <c r="L77" s="14" t="s">
        <v>85</v>
      </c>
      <c r="M77" s="14" t="s">
        <v>171</v>
      </c>
      <c r="N77" s="23">
        <v>120000</v>
      </c>
      <c r="O77" s="20">
        <f t="shared" si="3"/>
        <v>1</v>
      </c>
    </row>
    <row r="78" ht="28" spans="1:15">
      <c r="A78" s="14" t="s">
        <v>31</v>
      </c>
      <c r="B78" s="14" t="s">
        <v>172</v>
      </c>
      <c r="C78" s="24">
        <f t="shared" si="2"/>
        <v>7500</v>
      </c>
      <c r="D78" s="25">
        <v>0.1698</v>
      </c>
      <c r="E78" s="14">
        <v>1273.5846</v>
      </c>
      <c r="F78" s="25">
        <v>0.2264</v>
      </c>
      <c r="G78" s="26">
        <v>1698.1146</v>
      </c>
      <c r="H78" s="25">
        <v>0.0566</v>
      </c>
      <c r="I78" s="26">
        <v>424.53</v>
      </c>
      <c r="J78" s="25">
        <v>0.7736</v>
      </c>
      <c r="K78" s="26">
        <v>5801.8854</v>
      </c>
      <c r="L78" s="14" t="s">
        <v>85</v>
      </c>
      <c r="M78" s="14" t="s">
        <v>89</v>
      </c>
      <c r="N78" s="19">
        <v>50000</v>
      </c>
      <c r="O78" s="20">
        <f t="shared" si="3"/>
        <v>0.15</v>
      </c>
    </row>
    <row r="79" ht="28" spans="1:15">
      <c r="A79" s="14" t="s">
        <v>31</v>
      </c>
      <c r="B79" s="14" t="s">
        <v>173</v>
      </c>
      <c r="C79" s="23">
        <f t="shared" si="2"/>
        <v>50000</v>
      </c>
      <c r="D79" s="24">
        <v>0.05</v>
      </c>
      <c r="E79" s="24">
        <v>2500</v>
      </c>
      <c r="F79" s="24">
        <v>0.9729</v>
      </c>
      <c r="G79" s="24">
        <v>48644.19</v>
      </c>
      <c r="H79" s="24">
        <v>0.0566</v>
      </c>
      <c r="I79" s="24">
        <v>2830.19</v>
      </c>
      <c r="J79" s="24">
        <v>0.0271</v>
      </c>
      <c r="K79" s="24">
        <v>1355.81</v>
      </c>
      <c r="L79" s="14" t="s">
        <v>85</v>
      </c>
      <c r="M79" s="14" t="s">
        <v>86</v>
      </c>
      <c r="N79" s="23">
        <v>50000</v>
      </c>
      <c r="O79" s="20">
        <f t="shared" si="3"/>
        <v>1</v>
      </c>
    </row>
    <row r="80" ht="28" spans="1:15">
      <c r="A80" s="14" t="s">
        <v>31</v>
      </c>
      <c r="B80" s="14" t="s">
        <v>174</v>
      </c>
      <c r="C80" s="24">
        <f t="shared" si="2"/>
        <v>50000</v>
      </c>
      <c r="D80" s="25">
        <v>0.0239</v>
      </c>
      <c r="E80" s="14">
        <v>1196.043</v>
      </c>
      <c r="F80" s="25">
        <v>0.9442</v>
      </c>
      <c r="G80" s="26">
        <v>47209.233</v>
      </c>
      <c r="H80" s="25">
        <v>0.0566</v>
      </c>
      <c r="I80" s="26">
        <v>2830.19</v>
      </c>
      <c r="J80" s="25">
        <v>0.0558</v>
      </c>
      <c r="K80" s="26">
        <v>2790.767</v>
      </c>
      <c r="L80" s="14" t="s">
        <v>85</v>
      </c>
      <c r="M80" s="14" t="s">
        <v>89</v>
      </c>
      <c r="N80" s="19">
        <v>50000</v>
      </c>
      <c r="O80" s="20">
        <f t="shared" si="3"/>
        <v>1</v>
      </c>
    </row>
    <row r="81" ht="28" spans="1:15">
      <c r="A81" s="14" t="s">
        <v>51</v>
      </c>
      <c r="B81" s="14" t="s">
        <v>175</v>
      </c>
      <c r="C81" s="23">
        <f t="shared" si="2"/>
        <v>35000</v>
      </c>
      <c r="D81" s="24">
        <v>0.05</v>
      </c>
      <c r="E81" s="24">
        <v>1750</v>
      </c>
      <c r="F81" s="24">
        <v>0.5352</v>
      </c>
      <c r="G81" s="24">
        <v>18731.13</v>
      </c>
      <c r="H81" s="24">
        <v>0.0566</v>
      </c>
      <c r="I81" s="24">
        <v>1981.13</v>
      </c>
      <c r="J81" s="24">
        <v>0.4648</v>
      </c>
      <c r="K81" s="24">
        <v>16268.87</v>
      </c>
      <c r="L81" s="14" t="s">
        <v>85</v>
      </c>
      <c r="M81" s="14" t="s">
        <v>107</v>
      </c>
      <c r="N81" s="23">
        <v>35000</v>
      </c>
      <c r="O81" s="20">
        <f t="shared" si="3"/>
        <v>1</v>
      </c>
    </row>
    <row r="82" ht="28" spans="1:15">
      <c r="A82" s="14" t="s">
        <v>12</v>
      </c>
      <c r="B82" s="14" t="s">
        <v>176</v>
      </c>
      <c r="C82" s="24">
        <f t="shared" si="2"/>
        <v>60000</v>
      </c>
      <c r="D82" s="25">
        <v>0.0813</v>
      </c>
      <c r="E82" s="14">
        <v>4877.478</v>
      </c>
      <c r="F82" s="25">
        <v>0.8103</v>
      </c>
      <c r="G82" s="26">
        <v>48619.218</v>
      </c>
      <c r="H82" s="25">
        <v>0.0566</v>
      </c>
      <c r="I82" s="26">
        <v>3396.23</v>
      </c>
      <c r="J82" s="25">
        <v>0.1897</v>
      </c>
      <c r="K82" s="26">
        <v>11380.782</v>
      </c>
      <c r="L82" s="14" t="s">
        <v>85</v>
      </c>
      <c r="M82" s="14" t="s">
        <v>89</v>
      </c>
      <c r="N82" s="19">
        <v>60000</v>
      </c>
      <c r="O82" s="20">
        <f t="shared" si="3"/>
        <v>1</v>
      </c>
    </row>
    <row r="83" ht="28" spans="1:15">
      <c r="A83" s="14" t="s">
        <v>12</v>
      </c>
      <c r="B83" s="14" t="s">
        <v>177</v>
      </c>
      <c r="C83" s="23">
        <f t="shared" si="2"/>
        <v>28800</v>
      </c>
      <c r="D83" s="24">
        <v>0.9</v>
      </c>
      <c r="E83" s="24">
        <v>25920</v>
      </c>
      <c r="F83" s="24">
        <v>0.9566</v>
      </c>
      <c r="G83" s="24">
        <v>27550.19</v>
      </c>
      <c r="H83" s="24">
        <v>0.0566</v>
      </c>
      <c r="I83" s="24">
        <v>1630.19</v>
      </c>
      <c r="J83" s="24">
        <v>0.0434</v>
      </c>
      <c r="K83" s="24">
        <v>1249.81</v>
      </c>
      <c r="L83" s="14" t="s">
        <v>85</v>
      </c>
      <c r="M83" s="14" t="s">
        <v>178</v>
      </c>
      <c r="N83" s="23">
        <v>288000</v>
      </c>
      <c r="O83" s="20">
        <f t="shared" si="3"/>
        <v>0.1</v>
      </c>
    </row>
    <row r="84" ht="28" spans="1:15">
      <c r="A84" s="14" t="s">
        <v>12</v>
      </c>
      <c r="B84" s="14" t="s">
        <v>179</v>
      </c>
      <c r="C84" s="24">
        <f t="shared" si="2"/>
        <v>20000</v>
      </c>
      <c r="D84" s="25">
        <v>0.1698</v>
      </c>
      <c r="E84" s="14">
        <v>3396.2256</v>
      </c>
      <c r="F84" s="25">
        <v>0.2264</v>
      </c>
      <c r="G84" s="26">
        <v>4528.3056</v>
      </c>
      <c r="H84" s="25">
        <v>0.0566</v>
      </c>
      <c r="I84" s="26">
        <v>1132.08</v>
      </c>
      <c r="J84" s="25">
        <v>0.7736</v>
      </c>
      <c r="K84" s="26">
        <v>15471.6944</v>
      </c>
      <c r="L84" s="14" t="s">
        <v>85</v>
      </c>
      <c r="M84" s="14" t="s">
        <v>89</v>
      </c>
      <c r="N84" s="19">
        <v>200000</v>
      </c>
      <c r="O84" s="20">
        <f t="shared" si="3"/>
        <v>0.1</v>
      </c>
    </row>
    <row r="85" ht="28" spans="1:15">
      <c r="A85" s="14" t="s">
        <v>12</v>
      </c>
      <c r="B85" s="14" t="s">
        <v>180</v>
      </c>
      <c r="C85" s="23">
        <f t="shared" si="2"/>
        <v>17000</v>
      </c>
      <c r="D85" s="24">
        <v>0.9</v>
      </c>
      <c r="E85" s="24">
        <v>15300</v>
      </c>
      <c r="F85" s="24">
        <v>0.9566</v>
      </c>
      <c r="G85" s="24">
        <v>16262.26</v>
      </c>
      <c r="H85" s="24">
        <v>0.0566</v>
      </c>
      <c r="I85" s="24">
        <v>962.26</v>
      </c>
      <c r="J85" s="24">
        <v>0.0434</v>
      </c>
      <c r="K85" s="24">
        <v>737.74</v>
      </c>
      <c r="L85" s="14" t="s">
        <v>85</v>
      </c>
      <c r="M85" s="14" t="s">
        <v>92</v>
      </c>
      <c r="N85" s="23">
        <v>170000</v>
      </c>
      <c r="O85" s="20">
        <f t="shared" si="3"/>
        <v>0.1</v>
      </c>
    </row>
    <row r="86" ht="28" spans="1:15">
      <c r="A86" s="14" t="s">
        <v>12</v>
      </c>
      <c r="B86" s="14" t="s">
        <v>181</v>
      </c>
      <c r="C86" s="23">
        <f t="shared" si="2"/>
        <v>20000</v>
      </c>
      <c r="D86" s="24">
        <v>0.9</v>
      </c>
      <c r="E86" s="24">
        <v>18000</v>
      </c>
      <c r="F86" s="24">
        <v>0.9666</v>
      </c>
      <c r="G86" s="24">
        <v>19332.08</v>
      </c>
      <c r="H86" s="24">
        <v>0.0666</v>
      </c>
      <c r="I86" s="24">
        <v>1132.08</v>
      </c>
      <c r="J86" s="24">
        <v>0.0334</v>
      </c>
      <c r="K86" s="24">
        <v>667.92</v>
      </c>
      <c r="L86" s="14" t="s">
        <v>85</v>
      </c>
      <c r="M86" s="14" t="s">
        <v>92</v>
      </c>
      <c r="N86" s="23">
        <v>200000</v>
      </c>
      <c r="O86" s="20">
        <f t="shared" si="3"/>
        <v>0.1</v>
      </c>
    </row>
    <row r="87" ht="28" spans="1:15">
      <c r="A87" s="14" t="s">
        <v>12</v>
      </c>
      <c r="B87" s="14" t="s">
        <v>182</v>
      </c>
      <c r="C87" s="23">
        <f t="shared" si="2"/>
        <v>21000</v>
      </c>
      <c r="D87" s="24">
        <v>0.9</v>
      </c>
      <c r="E87" s="24">
        <v>18900</v>
      </c>
      <c r="F87" s="24">
        <v>0.9566</v>
      </c>
      <c r="G87" s="24">
        <v>20088.68</v>
      </c>
      <c r="H87" s="24">
        <v>0.0566</v>
      </c>
      <c r="I87" s="24">
        <v>1188.68</v>
      </c>
      <c r="J87" s="24">
        <v>0.0434</v>
      </c>
      <c r="K87" s="24">
        <v>911.32</v>
      </c>
      <c r="L87" s="14" t="s">
        <v>85</v>
      </c>
      <c r="M87" s="14" t="s">
        <v>92</v>
      </c>
      <c r="N87" s="23">
        <v>210000</v>
      </c>
      <c r="O87" s="20">
        <f t="shared" si="3"/>
        <v>0.1</v>
      </c>
    </row>
    <row r="88" ht="28" spans="1:15">
      <c r="A88" s="14" t="s">
        <v>12</v>
      </c>
      <c r="B88" s="14" t="s">
        <v>183</v>
      </c>
      <c r="C88" s="23">
        <f t="shared" si="2"/>
        <v>18000</v>
      </c>
      <c r="D88" s="24">
        <v>0.9</v>
      </c>
      <c r="E88" s="24">
        <v>16200</v>
      </c>
      <c r="F88" s="24">
        <v>0.9566</v>
      </c>
      <c r="G88" s="24">
        <v>17218.87</v>
      </c>
      <c r="H88" s="24">
        <v>0.0566</v>
      </c>
      <c r="I88" s="24">
        <v>1018.87</v>
      </c>
      <c r="J88" s="24">
        <v>0.0434</v>
      </c>
      <c r="K88" s="24">
        <v>781.13</v>
      </c>
      <c r="L88" s="14" t="s">
        <v>85</v>
      </c>
      <c r="M88" s="14" t="s">
        <v>178</v>
      </c>
      <c r="N88" s="23">
        <v>180000</v>
      </c>
      <c r="O88" s="20">
        <f t="shared" si="3"/>
        <v>0.1</v>
      </c>
    </row>
    <row r="89" ht="28" spans="1:15">
      <c r="A89" s="14" t="s">
        <v>12</v>
      </c>
      <c r="B89" s="14" t="s">
        <v>184</v>
      </c>
      <c r="C89" s="23">
        <f t="shared" si="2"/>
        <v>20000</v>
      </c>
      <c r="D89" s="24">
        <v>0.9</v>
      </c>
      <c r="E89" s="24">
        <v>18000</v>
      </c>
      <c r="F89" s="24">
        <v>0.9566</v>
      </c>
      <c r="G89" s="24">
        <v>19132.08</v>
      </c>
      <c r="H89" s="24">
        <v>0.0566</v>
      </c>
      <c r="I89" s="24">
        <v>1132.08</v>
      </c>
      <c r="J89" s="24">
        <v>0.0434</v>
      </c>
      <c r="K89" s="24">
        <v>867.92</v>
      </c>
      <c r="L89" s="14" t="s">
        <v>85</v>
      </c>
      <c r="M89" s="14" t="s">
        <v>92</v>
      </c>
      <c r="N89" s="23">
        <v>200000</v>
      </c>
      <c r="O89" s="20">
        <f t="shared" si="3"/>
        <v>0.1</v>
      </c>
    </row>
    <row r="90" ht="28" spans="1:15">
      <c r="A90" s="14" t="s">
        <v>12</v>
      </c>
      <c r="B90" s="14" t="s">
        <v>185</v>
      </c>
      <c r="C90" s="24">
        <f t="shared" si="2"/>
        <v>9000</v>
      </c>
      <c r="D90" s="25">
        <v>0.1698</v>
      </c>
      <c r="E90" s="14">
        <v>1528.3026</v>
      </c>
      <c r="F90" s="25">
        <v>0.2264</v>
      </c>
      <c r="G90" s="26">
        <v>2037.7326</v>
      </c>
      <c r="H90" s="25">
        <v>0.0566</v>
      </c>
      <c r="I90" s="26">
        <v>509.43</v>
      </c>
      <c r="J90" s="25">
        <v>0.7736</v>
      </c>
      <c r="K90" s="26">
        <v>6962.2674</v>
      </c>
      <c r="L90" s="14" t="s">
        <v>85</v>
      </c>
      <c r="M90" s="14" t="s">
        <v>89</v>
      </c>
      <c r="N90" s="19">
        <v>90000</v>
      </c>
      <c r="O90" s="20">
        <f t="shared" si="3"/>
        <v>0.1</v>
      </c>
    </row>
    <row r="91" ht="28" spans="1:15">
      <c r="A91" s="14" t="s">
        <v>12</v>
      </c>
      <c r="B91" s="14" t="s">
        <v>186</v>
      </c>
      <c r="C91" s="23">
        <f t="shared" si="2"/>
        <v>30000</v>
      </c>
      <c r="D91" s="24">
        <v>0.9</v>
      </c>
      <c r="E91" s="24">
        <v>27000</v>
      </c>
      <c r="F91" s="24">
        <v>0.9566</v>
      </c>
      <c r="G91" s="24">
        <v>28698.11</v>
      </c>
      <c r="H91" s="24">
        <v>0.0566</v>
      </c>
      <c r="I91" s="24">
        <v>1698.11</v>
      </c>
      <c r="J91" s="24">
        <v>0.0434</v>
      </c>
      <c r="K91" s="24">
        <v>1301.89</v>
      </c>
      <c r="L91" s="14" t="s">
        <v>85</v>
      </c>
      <c r="M91" s="14" t="s">
        <v>92</v>
      </c>
      <c r="N91" s="23">
        <v>300000</v>
      </c>
      <c r="O91" s="20">
        <f t="shared" si="3"/>
        <v>0.1</v>
      </c>
    </row>
    <row r="92" ht="28" spans="1:15">
      <c r="A92" s="14" t="s">
        <v>12</v>
      </c>
      <c r="B92" s="14" t="s">
        <v>187</v>
      </c>
      <c r="C92" s="24">
        <f t="shared" si="2"/>
        <v>32000</v>
      </c>
      <c r="D92" s="25">
        <v>0.1698</v>
      </c>
      <c r="E92" s="14">
        <v>5433.9624</v>
      </c>
      <c r="F92" s="25">
        <v>0.2264</v>
      </c>
      <c r="G92" s="26">
        <v>7245.2824</v>
      </c>
      <c r="H92" s="25">
        <v>0.0566</v>
      </c>
      <c r="I92" s="26">
        <v>1811.32</v>
      </c>
      <c r="J92" s="25">
        <v>0.7736</v>
      </c>
      <c r="K92" s="26">
        <v>24754.7176</v>
      </c>
      <c r="L92" s="14" t="s">
        <v>85</v>
      </c>
      <c r="M92" s="14" t="s">
        <v>89</v>
      </c>
      <c r="N92" s="19">
        <v>320000</v>
      </c>
      <c r="O92" s="20">
        <f t="shared" si="3"/>
        <v>0.1</v>
      </c>
    </row>
    <row r="93" ht="28" spans="1:15">
      <c r="A93" s="14" t="s">
        <v>12</v>
      </c>
      <c r="B93" s="14" t="s">
        <v>188</v>
      </c>
      <c r="C93" s="23">
        <f t="shared" si="2"/>
        <v>25200</v>
      </c>
      <c r="D93" s="24">
        <v>0.9</v>
      </c>
      <c r="E93" s="24">
        <v>22680</v>
      </c>
      <c r="F93" s="24">
        <v>0.9566</v>
      </c>
      <c r="G93" s="24">
        <v>24106.42</v>
      </c>
      <c r="H93" s="24">
        <v>0.0566</v>
      </c>
      <c r="I93" s="24">
        <v>1426.42</v>
      </c>
      <c r="J93" s="24">
        <v>0.0434</v>
      </c>
      <c r="K93" s="24">
        <v>1093.58</v>
      </c>
      <c r="L93" s="14" t="s">
        <v>85</v>
      </c>
      <c r="M93" s="14" t="s">
        <v>178</v>
      </c>
      <c r="N93" s="23">
        <v>252000</v>
      </c>
      <c r="O93" s="20">
        <f t="shared" si="3"/>
        <v>0.1</v>
      </c>
    </row>
    <row r="94" ht="28" spans="1:15">
      <c r="A94" s="14" t="s">
        <v>12</v>
      </c>
      <c r="B94" s="14" t="s">
        <v>189</v>
      </c>
      <c r="C94" s="24">
        <f t="shared" si="2"/>
        <v>10000</v>
      </c>
      <c r="D94" s="25">
        <v>0.1698</v>
      </c>
      <c r="E94" s="14">
        <v>1698.1128</v>
      </c>
      <c r="F94" s="25">
        <v>0.2264</v>
      </c>
      <c r="G94" s="26">
        <v>2264.1528</v>
      </c>
      <c r="H94" s="25">
        <v>0.0566</v>
      </c>
      <c r="I94" s="26">
        <v>566.04</v>
      </c>
      <c r="J94" s="25">
        <v>0.7736</v>
      </c>
      <c r="K94" s="26">
        <v>7735.8472</v>
      </c>
      <c r="L94" s="14" t="s">
        <v>85</v>
      </c>
      <c r="M94" s="14" t="s">
        <v>89</v>
      </c>
      <c r="N94" s="19">
        <v>100000</v>
      </c>
      <c r="O94" s="20">
        <f t="shared" si="3"/>
        <v>0.1</v>
      </c>
    </row>
    <row r="95" ht="28" spans="1:15">
      <c r="A95" s="14" t="s">
        <v>12</v>
      </c>
      <c r="B95" s="14" t="s">
        <v>190</v>
      </c>
      <c r="C95" s="23">
        <f t="shared" si="2"/>
        <v>16000</v>
      </c>
      <c r="D95" s="24">
        <v>0.9</v>
      </c>
      <c r="E95" s="24">
        <v>14400</v>
      </c>
      <c r="F95" s="24">
        <v>0.9566</v>
      </c>
      <c r="G95" s="24">
        <v>15305.66</v>
      </c>
      <c r="H95" s="24">
        <v>0.0566</v>
      </c>
      <c r="I95" s="24">
        <v>905.66</v>
      </c>
      <c r="J95" s="24">
        <v>0.0434</v>
      </c>
      <c r="K95" s="24">
        <v>694.34</v>
      </c>
      <c r="L95" s="14" t="s">
        <v>85</v>
      </c>
      <c r="M95" s="14" t="s">
        <v>178</v>
      </c>
      <c r="N95" s="23">
        <v>160000</v>
      </c>
      <c r="O95" s="20">
        <f t="shared" si="3"/>
        <v>0.1</v>
      </c>
    </row>
    <row r="96" ht="28" spans="1:15">
      <c r="A96" s="14" t="s">
        <v>12</v>
      </c>
      <c r="B96" s="14" t="s">
        <v>191</v>
      </c>
      <c r="C96" s="24">
        <f t="shared" si="2"/>
        <v>1800</v>
      </c>
      <c r="D96" s="25">
        <v>0.1698</v>
      </c>
      <c r="E96" s="14">
        <v>305.6598</v>
      </c>
      <c r="F96" s="25">
        <v>0.2264</v>
      </c>
      <c r="G96" s="26">
        <v>407.5498</v>
      </c>
      <c r="H96" s="25">
        <v>0.0566</v>
      </c>
      <c r="I96" s="26">
        <v>101.89</v>
      </c>
      <c r="J96" s="25">
        <v>0.7736</v>
      </c>
      <c r="K96" s="26">
        <v>1392.4502</v>
      </c>
      <c r="L96" s="14" t="s">
        <v>85</v>
      </c>
      <c r="M96" s="14" t="s">
        <v>89</v>
      </c>
      <c r="N96" s="19">
        <v>18000</v>
      </c>
      <c r="O96" s="20">
        <f t="shared" si="3"/>
        <v>0.1</v>
      </c>
    </row>
    <row r="97" ht="28" spans="1:15">
      <c r="A97" s="14" t="s">
        <v>12</v>
      </c>
      <c r="B97" s="14" t="s">
        <v>192</v>
      </c>
      <c r="C97" s="24">
        <f t="shared" si="2"/>
        <v>32000</v>
      </c>
      <c r="D97" s="25">
        <v>0.1698</v>
      </c>
      <c r="E97" s="14">
        <v>5433.9624</v>
      </c>
      <c r="F97" s="25">
        <v>0.2264</v>
      </c>
      <c r="G97" s="26">
        <v>7245.2824</v>
      </c>
      <c r="H97" s="25">
        <v>0.0566</v>
      </c>
      <c r="I97" s="26">
        <v>1811.32</v>
      </c>
      <c r="J97" s="25">
        <v>0.7736</v>
      </c>
      <c r="K97" s="26">
        <v>24754.7176</v>
      </c>
      <c r="L97" s="14" t="s">
        <v>85</v>
      </c>
      <c r="M97" s="14" t="s">
        <v>89</v>
      </c>
      <c r="N97" s="19">
        <v>320000</v>
      </c>
      <c r="O97" s="20">
        <f t="shared" si="3"/>
        <v>0.1</v>
      </c>
    </row>
    <row r="98" ht="28" spans="1:15">
      <c r="A98" s="14" t="s">
        <v>12</v>
      </c>
      <c r="B98" s="14" t="s">
        <v>193</v>
      </c>
      <c r="C98" s="24">
        <f t="shared" si="2"/>
        <v>12000</v>
      </c>
      <c r="D98" s="25">
        <v>0.1698</v>
      </c>
      <c r="E98" s="14">
        <v>2037.735</v>
      </c>
      <c r="F98" s="25">
        <v>0.2264</v>
      </c>
      <c r="G98" s="26">
        <v>2716.985</v>
      </c>
      <c r="H98" s="25">
        <v>0.0566</v>
      </c>
      <c r="I98" s="26">
        <v>679.25</v>
      </c>
      <c r="J98" s="25">
        <v>0.7736</v>
      </c>
      <c r="K98" s="26">
        <v>9283.015</v>
      </c>
      <c r="L98" s="14" t="s">
        <v>85</v>
      </c>
      <c r="M98" s="14" t="s">
        <v>89</v>
      </c>
      <c r="N98" s="19">
        <v>120000</v>
      </c>
      <c r="O98" s="20">
        <f t="shared" si="3"/>
        <v>0.1</v>
      </c>
    </row>
    <row r="99" ht="28" spans="1:15">
      <c r="A99" s="14" t="s">
        <v>12</v>
      </c>
      <c r="B99" s="14" t="s">
        <v>194</v>
      </c>
      <c r="C99" s="24">
        <f t="shared" si="2"/>
        <v>1080</v>
      </c>
      <c r="D99" s="25">
        <v>0.1698</v>
      </c>
      <c r="E99" s="14">
        <v>183.3966</v>
      </c>
      <c r="F99" s="25">
        <v>0.2264</v>
      </c>
      <c r="G99" s="26">
        <v>244.5266</v>
      </c>
      <c r="H99" s="25">
        <v>0.0566</v>
      </c>
      <c r="I99" s="26">
        <v>61.13</v>
      </c>
      <c r="J99" s="25">
        <v>0.7736</v>
      </c>
      <c r="K99" s="26">
        <v>835.4734</v>
      </c>
      <c r="L99" s="14" t="s">
        <v>85</v>
      </c>
      <c r="M99" s="14" t="s">
        <v>89</v>
      </c>
      <c r="N99" s="19">
        <v>10800</v>
      </c>
      <c r="O99" s="20">
        <f t="shared" si="3"/>
        <v>0.1</v>
      </c>
    </row>
    <row r="100" ht="28" spans="1:15">
      <c r="A100" s="14" t="s">
        <v>12</v>
      </c>
      <c r="B100" s="14" t="s">
        <v>195</v>
      </c>
      <c r="C100" s="24">
        <f t="shared" si="2"/>
        <v>33000</v>
      </c>
      <c r="D100" s="25">
        <v>0.1698</v>
      </c>
      <c r="E100" s="14">
        <v>5603.7744</v>
      </c>
      <c r="F100" s="25">
        <v>0.2264</v>
      </c>
      <c r="G100" s="26">
        <v>7471.6944</v>
      </c>
      <c r="H100" s="25">
        <v>0.0566</v>
      </c>
      <c r="I100" s="26">
        <v>1867.92</v>
      </c>
      <c r="J100" s="25">
        <v>0.7736</v>
      </c>
      <c r="K100" s="26">
        <v>25528.3056</v>
      </c>
      <c r="L100" s="14" t="s">
        <v>85</v>
      </c>
      <c r="M100" s="14" t="s">
        <v>89</v>
      </c>
      <c r="N100" s="19">
        <v>330000</v>
      </c>
      <c r="O100" s="20">
        <f t="shared" si="3"/>
        <v>0.1</v>
      </c>
    </row>
    <row r="101" ht="28" spans="1:15">
      <c r="A101" s="14" t="s">
        <v>12</v>
      </c>
      <c r="B101" s="14" t="s">
        <v>196</v>
      </c>
      <c r="C101" s="23">
        <f t="shared" si="2"/>
        <v>26000</v>
      </c>
      <c r="D101" s="24">
        <v>0.9</v>
      </c>
      <c r="E101" s="24">
        <v>23400</v>
      </c>
      <c r="F101" s="24">
        <v>0.9566</v>
      </c>
      <c r="G101" s="24">
        <v>24871.7</v>
      </c>
      <c r="H101" s="24">
        <v>0.0566</v>
      </c>
      <c r="I101" s="24">
        <v>1471.7</v>
      </c>
      <c r="J101" s="24">
        <v>0.0434</v>
      </c>
      <c r="K101" s="24">
        <v>1128.3</v>
      </c>
      <c r="L101" s="14" t="s">
        <v>85</v>
      </c>
      <c r="M101" s="14" t="s">
        <v>178</v>
      </c>
      <c r="N101" s="23">
        <v>260000</v>
      </c>
      <c r="O101" s="20">
        <f t="shared" si="3"/>
        <v>0.1</v>
      </c>
    </row>
    <row r="102" ht="28" spans="1:15">
      <c r="A102" s="14" t="s">
        <v>12</v>
      </c>
      <c r="B102" s="14" t="s">
        <v>197</v>
      </c>
      <c r="C102" s="23">
        <f t="shared" si="2"/>
        <v>120000</v>
      </c>
      <c r="D102" s="24">
        <v>0.05</v>
      </c>
      <c r="E102" s="24">
        <v>6000</v>
      </c>
      <c r="F102" s="24">
        <v>0.8666</v>
      </c>
      <c r="G102" s="24">
        <v>103992.45</v>
      </c>
      <c r="H102" s="24">
        <v>0.0566</v>
      </c>
      <c r="I102" s="24">
        <v>6792.45</v>
      </c>
      <c r="J102" s="24">
        <v>0.1334</v>
      </c>
      <c r="K102" s="24">
        <v>16007.55</v>
      </c>
      <c r="L102" s="14" t="s">
        <v>85</v>
      </c>
      <c r="M102" s="14" t="s">
        <v>86</v>
      </c>
      <c r="N102" s="23">
        <v>120000</v>
      </c>
      <c r="O102" s="20">
        <f t="shared" si="3"/>
        <v>1</v>
      </c>
    </row>
    <row r="103" ht="28" spans="1:15">
      <c r="A103" s="14" t="s">
        <v>12</v>
      </c>
      <c r="B103" s="14" t="s">
        <v>198</v>
      </c>
      <c r="C103" s="23">
        <f t="shared" si="2"/>
        <v>32000</v>
      </c>
      <c r="D103" s="24">
        <v>0.9</v>
      </c>
      <c r="E103" s="24">
        <v>28800</v>
      </c>
      <c r="F103" s="24">
        <v>0.9566</v>
      </c>
      <c r="G103" s="24">
        <v>30611.32</v>
      </c>
      <c r="H103" s="24">
        <v>0.0566</v>
      </c>
      <c r="I103" s="24">
        <v>1811.32</v>
      </c>
      <c r="J103" s="24">
        <v>0.0434</v>
      </c>
      <c r="K103" s="24">
        <v>1388.68</v>
      </c>
      <c r="L103" s="14" t="s">
        <v>85</v>
      </c>
      <c r="M103" s="14" t="s">
        <v>92</v>
      </c>
      <c r="N103" s="23">
        <v>320000</v>
      </c>
      <c r="O103" s="20">
        <f t="shared" si="3"/>
        <v>0.1</v>
      </c>
    </row>
    <row r="104" ht="28" spans="1:15">
      <c r="A104" s="14" t="s">
        <v>12</v>
      </c>
      <c r="B104" s="14" t="s">
        <v>199</v>
      </c>
      <c r="C104" s="24">
        <f t="shared" si="2"/>
        <v>16000</v>
      </c>
      <c r="D104" s="25">
        <v>0.1698</v>
      </c>
      <c r="E104" s="14">
        <v>2716.9812</v>
      </c>
      <c r="F104" s="25">
        <v>0.2264</v>
      </c>
      <c r="G104" s="26">
        <v>3622.6412</v>
      </c>
      <c r="H104" s="25">
        <v>0.0566</v>
      </c>
      <c r="I104" s="26">
        <v>905.66</v>
      </c>
      <c r="J104" s="25">
        <v>0.7736</v>
      </c>
      <c r="K104" s="26">
        <v>12377.3588</v>
      </c>
      <c r="L104" s="14" t="s">
        <v>85</v>
      </c>
      <c r="M104" s="14" t="s">
        <v>89</v>
      </c>
      <c r="N104" s="19">
        <v>160000</v>
      </c>
      <c r="O104" s="20">
        <f t="shared" si="3"/>
        <v>0.1</v>
      </c>
    </row>
    <row r="105" ht="28" spans="1:15">
      <c r="A105" s="14" t="s">
        <v>12</v>
      </c>
      <c r="B105" s="14" t="s">
        <v>200</v>
      </c>
      <c r="C105" s="24">
        <f t="shared" si="2"/>
        <v>16000</v>
      </c>
      <c r="D105" s="25">
        <v>0.1698</v>
      </c>
      <c r="E105" s="14">
        <v>2716.9812</v>
      </c>
      <c r="F105" s="25">
        <v>0.2264</v>
      </c>
      <c r="G105" s="26">
        <v>3622.6412</v>
      </c>
      <c r="H105" s="25">
        <v>0.0566</v>
      </c>
      <c r="I105" s="26">
        <v>905.66</v>
      </c>
      <c r="J105" s="25">
        <v>0.7736</v>
      </c>
      <c r="K105" s="26">
        <v>12377.3588</v>
      </c>
      <c r="L105" s="14" t="s">
        <v>85</v>
      </c>
      <c r="M105" s="14" t="s">
        <v>89</v>
      </c>
      <c r="N105" s="19">
        <v>160000</v>
      </c>
      <c r="O105" s="20">
        <f t="shared" si="3"/>
        <v>0.1</v>
      </c>
    </row>
    <row r="106" ht="28" spans="1:15">
      <c r="A106" s="14" t="s">
        <v>12</v>
      </c>
      <c r="B106" s="14" t="s">
        <v>201</v>
      </c>
      <c r="C106" s="24">
        <f t="shared" si="2"/>
        <v>40000</v>
      </c>
      <c r="D106" s="25">
        <v>0.1698</v>
      </c>
      <c r="E106" s="14">
        <v>6792.453</v>
      </c>
      <c r="F106" s="25">
        <v>0.2264</v>
      </c>
      <c r="G106" s="26">
        <v>9056.603</v>
      </c>
      <c r="H106" s="25">
        <v>0.0566</v>
      </c>
      <c r="I106" s="26">
        <v>2264.15</v>
      </c>
      <c r="J106" s="25">
        <v>0.7736</v>
      </c>
      <c r="K106" s="26">
        <v>30943.397</v>
      </c>
      <c r="L106" s="14" t="s">
        <v>85</v>
      </c>
      <c r="M106" s="14" t="s">
        <v>89</v>
      </c>
      <c r="N106" s="19">
        <v>400000</v>
      </c>
      <c r="O106" s="20">
        <f t="shared" si="3"/>
        <v>0.1</v>
      </c>
    </row>
    <row r="107" ht="28" spans="1:15">
      <c r="A107" s="14" t="s">
        <v>12</v>
      </c>
      <c r="B107" s="14" t="s">
        <v>202</v>
      </c>
      <c r="C107" s="24">
        <f t="shared" si="2"/>
        <v>1980</v>
      </c>
      <c r="D107" s="25">
        <v>0.1698</v>
      </c>
      <c r="E107" s="14">
        <v>336.2256</v>
      </c>
      <c r="F107" s="25">
        <v>0.2264</v>
      </c>
      <c r="G107" s="26">
        <v>448.3056</v>
      </c>
      <c r="H107" s="25">
        <v>0.0566</v>
      </c>
      <c r="I107" s="26">
        <v>112.08</v>
      </c>
      <c r="J107" s="25">
        <v>0.7736</v>
      </c>
      <c r="K107" s="26">
        <v>1531.6944</v>
      </c>
      <c r="L107" s="14" t="s">
        <v>85</v>
      </c>
      <c r="M107" s="14" t="s">
        <v>89</v>
      </c>
      <c r="N107" s="19">
        <v>19800</v>
      </c>
      <c r="O107" s="20">
        <f t="shared" si="3"/>
        <v>0.1</v>
      </c>
    </row>
    <row r="108" ht="28" spans="1:15">
      <c r="A108" s="14" t="s">
        <v>12</v>
      </c>
      <c r="B108" s="14" t="s">
        <v>164</v>
      </c>
      <c r="C108" s="23">
        <f t="shared" si="2"/>
        <v>20000</v>
      </c>
      <c r="D108" s="24">
        <v>0.9</v>
      </c>
      <c r="E108" s="24">
        <v>18000</v>
      </c>
      <c r="F108" s="24">
        <v>0.9566</v>
      </c>
      <c r="G108" s="24">
        <v>19132.08</v>
      </c>
      <c r="H108" s="24">
        <v>0.0566</v>
      </c>
      <c r="I108" s="24">
        <v>1132.08</v>
      </c>
      <c r="J108" s="24">
        <v>0.0434</v>
      </c>
      <c r="K108" s="24">
        <v>867.92</v>
      </c>
      <c r="L108" s="14" t="s">
        <v>85</v>
      </c>
      <c r="M108" s="14" t="s">
        <v>92</v>
      </c>
      <c r="N108" s="23">
        <v>200000</v>
      </c>
      <c r="O108" s="20">
        <f t="shared" si="3"/>
        <v>0.1</v>
      </c>
    </row>
    <row r="109" ht="28" spans="1:15">
      <c r="A109" s="14" t="s">
        <v>12</v>
      </c>
      <c r="B109" s="14" t="s">
        <v>203</v>
      </c>
      <c r="C109" s="23">
        <f t="shared" si="2"/>
        <v>9000</v>
      </c>
      <c r="D109" s="24">
        <v>0.9</v>
      </c>
      <c r="E109" s="24">
        <v>8100</v>
      </c>
      <c r="F109" s="24">
        <v>0.9566</v>
      </c>
      <c r="G109" s="24">
        <v>8609.43</v>
      </c>
      <c r="H109" s="24">
        <v>0.0566</v>
      </c>
      <c r="I109" s="24">
        <v>509.43</v>
      </c>
      <c r="J109" s="24">
        <v>0.0434</v>
      </c>
      <c r="K109" s="24">
        <v>390.57</v>
      </c>
      <c r="L109" s="14" t="s">
        <v>85</v>
      </c>
      <c r="M109" s="14" t="s">
        <v>92</v>
      </c>
      <c r="N109" s="23">
        <v>90000</v>
      </c>
      <c r="O109" s="20">
        <f t="shared" si="3"/>
        <v>0.1</v>
      </c>
    </row>
    <row r="110" ht="28" spans="1:15">
      <c r="A110" s="14" t="s">
        <v>12</v>
      </c>
      <c r="B110" s="14" t="s">
        <v>204</v>
      </c>
      <c r="C110" s="23">
        <f t="shared" si="2"/>
        <v>9000</v>
      </c>
      <c r="D110" s="24">
        <v>0.9</v>
      </c>
      <c r="E110" s="24">
        <v>8100</v>
      </c>
      <c r="F110" s="24">
        <v>0.9566</v>
      </c>
      <c r="G110" s="24">
        <v>8609.43</v>
      </c>
      <c r="H110" s="24">
        <v>0.0566</v>
      </c>
      <c r="I110" s="24">
        <v>509.43</v>
      </c>
      <c r="J110" s="24">
        <v>0.0434</v>
      </c>
      <c r="K110" s="24">
        <v>390.57</v>
      </c>
      <c r="L110" s="14" t="s">
        <v>85</v>
      </c>
      <c r="M110" s="14" t="s">
        <v>178</v>
      </c>
      <c r="N110" s="23">
        <v>90000</v>
      </c>
      <c r="O110" s="20">
        <f t="shared" si="3"/>
        <v>0.1</v>
      </c>
    </row>
    <row r="111" ht="28" spans="1:15">
      <c r="A111" s="14" t="s">
        <v>12</v>
      </c>
      <c r="B111" s="14" t="s">
        <v>205</v>
      </c>
      <c r="C111" s="23">
        <f t="shared" si="2"/>
        <v>42000</v>
      </c>
      <c r="D111" s="24">
        <v>0.9</v>
      </c>
      <c r="E111" s="24">
        <v>37800</v>
      </c>
      <c r="F111" s="24">
        <v>0.9566</v>
      </c>
      <c r="G111" s="24">
        <v>40177.36</v>
      </c>
      <c r="H111" s="24">
        <v>0.0566</v>
      </c>
      <c r="I111" s="24">
        <v>2377.36</v>
      </c>
      <c r="J111" s="24">
        <v>0.0434</v>
      </c>
      <c r="K111" s="24">
        <v>1822.64</v>
      </c>
      <c r="L111" s="14" t="s">
        <v>85</v>
      </c>
      <c r="M111" s="14" t="s">
        <v>178</v>
      </c>
      <c r="N111" s="23">
        <v>420000</v>
      </c>
      <c r="O111" s="20">
        <f t="shared" si="3"/>
        <v>0.1</v>
      </c>
    </row>
    <row r="112" ht="28" spans="1:15">
      <c r="A112" s="14" t="s">
        <v>12</v>
      </c>
      <c r="B112" s="14" t="s">
        <v>206</v>
      </c>
      <c r="C112" s="24">
        <f t="shared" si="2"/>
        <v>19000</v>
      </c>
      <c r="D112" s="25">
        <v>0.1698</v>
      </c>
      <c r="E112" s="14">
        <v>3226.4154</v>
      </c>
      <c r="F112" s="25">
        <v>0.2264</v>
      </c>
      <c r="G112" s="26">
        <v>4301.8854</v>
      </c>
      <c r="H112" s="25">
        <v>0.0566</v>
      </c>
      <c r="I112" s="26">
        <v>1075.47</v>
      </c>
      <c r="J112" s="25">
        <v>0.7736</v>
      </c>
      <c r="K112" s="26">
        <v>14698.1146</v>
      </c>
      <c r="L112" s="14" t="s">
        <v>85</v>
      </c>
      <c r="M112" s="14" t="s">
        <v>89</v>
      </c>
      <c r="N112" s="19">
        <v>190000</v>
      </c>
      <c r="O112" s="20">
        <f t="shared" si="3"/>
        <v>0.1</v>
      </c>
    </row>
    <row r="113" ht="28" spans="1:15">
      <c r="A113" s="14" t="s">
        <v>12</v>
      </c>
      <c r="B113" s="14" t="s">
        <v>207</v>
      </c>
      <c r="C113" s="24">
        <f t="shared" si="2"/>
        <v>19000</v>
      </c>
      <c r="D113" s="25">
        <v>0.1698</v>
      </c>
      <c r="E113" s="14">
        <v>3226.4154</v>
      </c>
      <c r="F113" s="25">
        <v>0.2264</v>
      </c>
      <c r="G113" s="26">
        <v>4301.8854</v>
      </c>
      <c r="H113" s="25">
        <v>0.0566</v>
      </c>
      <c r="I113" s="26">
        <v>1075.47</v>
      </c>
      <c r="J113" s="25">
        <v>0.7736</v>
      </c>
      <c r="K113" s="26">
        <v>14698.1146</v>
      </c>
      <c r="L113" s="14" t="s">
        <v>85</v>
      </c>
      <c r="M113" s="14" t="s">
        <v>89</v>
      </c>
      <c r="N113" s="19">
        <v>190000</v>
      </c>
      <c r="O113" s="20">
        <f t="shared" si="3"/>
        <v>0.1</v>
      </c>
    </row>
    <row r="114" ht="28" spans="1:15">
      <c r="A114" s="14" t="s">
        <v>12</v>
      </c>
      <c r="B114" s="14" t="s">
        <v>208</v>
      </c>
      <c r="C114" s="24">
        <f t="shared" si="2"/>
        <v>50000</v>
      </c>
      <c r="D114" s="25">
        <v>0.1698</v>
      </c>
      <c r="E114" s="14">
        <v>8490.5658</v>
      </c>
      <c r="F114" s="25">
        <v>0.2264</v>
      </c>
      <c r="G114" s="26">
        <v>11320.7558</v>
      </c>
      <c r="H114" s="25">
        <v>0.0566</v>
      </c>
      <c r="I114" s="26">
        <v>2830.19</v>
      </c>
      <c r="J114" s="25">
        <v>0.7736</v>
      </c>
      <c r="K114" s="26">
        <v>38679.2442</v>
      </c>
      <c r="L114" s="14" t="s">
        <v>85</v>
      </c>
      <c r="M114" s="14" t="s">
        <v>89</v>
      </c>
      <c r="N114" s="19">
        <v>500000</v>
      </c>
      <c r="O114" s="20">
        <f t="shared" si="3"/>
        <v>0.1</v>
      </c>
    </row>
    <row r="115" ht="28" spans="1:15">
      <c r="A115" s="14" t="s">
        <v>12</v>
      </c>
      <c r="B115" s="14" t="s">
        <v>209</v>
      </c>
      <c r="C115" s="24">
        <f t="shared" si="2"/>
        <v>1980</v>
      </c>
      <c r="D115" s="25">
        <v>0.1698</v>
      </c>
      <c r="E115" s="14">
        <v>336.2256</v>
      </c>
      <c r="F115" s="25">
        <v>0.2264</v>
      </c>
      <c r="G115" s="26">
        <v>448.3056</v>
      </c>
      <c r="H115" s="25">
        <v>0.0566</v>
      </c>
      <c r="I115" s="26">
        <v>112.08</v>
      </c>
      <c r="J115" s="25">
        <v>0.7736</v>
      </c>
      <c r="K115" s="26">
        <v>1531.6944</v>
      </c>
      <c r="L115" s="14" t="s">
        <v>85</v>
      </c>
      <c r="M115" s="14" t="s">
        <v>89</v>
      </c>
      <c r="N115" s="19">
        <v>19800</v>
      </c>
      <c r="O115" s="20">
        <f t="shared" si="3"/>
        <v>0.1</v>
      </c>
    </row>
    <row r="116" ht="28" spans="1:15">
      <c r="A116" s="14" t="s">
        <v>12</v>
      </c>
      <c r="B116" s="14" t="s">
        <v>210</v>
      </c>
      <c r="C116" s="23">
        <f t="shared" si="2"/>
        <v>36000</v>
      </c>
      <c r="D116" s="24">
        <v>0.9</v>
      </c>
      <c r="E116" s="24">
        <v>32400</v>
      </c>
      <c r="F116" s="24">
        <v>0.9566</v>
      </c>
      <c r="G116" s="24">
        <v>34437.74</v>
      </c>
      <c r="H116" s="24">
        <v>0.0566</v>
      </c>
      <c r="I116" s="24">
        <v>2037.74</v>
      </c>
      <c r="J116" s="24">
        <v>0.0434</v>
      </c>
      <c r="K116" s="24">
        <v>1562.26</v>
      </c>
      <c r="L116" s="14" t="s">
        <v>85</v>
      </c>
      <c r="M116" s="14" t="s">
        <v>178</v>
      </c>
      <c r="N116" s="23">
        <v>360000</v>
      </c>
      <c r="O116" s="20">
        <f t="shared" si="3"/>
        <v>0.1</v>
      </c>
    </row>
    <row r="117" ht="28" spans="1:15">
      <c r="A117" s="14" t="s">
        <v>12</v>
      </c>
      <c r="B117" s="14" t="s">
        <v>211</v>
      </c>
      <c r="C117" s="23">
        <f t="shared" si="2"/>
        <v>36000</v>
      </c>
      <c r="D117" s="24">
        <v>0.9</v>
      </c>
      <c r="E117" s="24">
        <v>32400</v>
      </c>
      <c r="F117" s="24">
        <v>0.9566</v>
      </c>
      <c r="G117" s="24">
        <v>34437.74</v>
      </c>
      <c r="H117" s="24">
        <v>0.0566</v>
      </c>
      <c r="I117" s="24">
        <v>2037.74</v>
      </c>
      <c r="J117" s="24">
        <v>0.0434</v>
      </c>
      <c r="K117" s="24">
        <v>1562.26</v>
      </c>
      <c r="L117" s="14" t="s">
        <v>85</v>
      </c>
      <c r="M117" s="14" t="s">
        <v>92</v>
      </c>
      <c r="N117" s="23">
        <v>360000</v>
      </c>
      <c r="O117" s="20">
        <f t="shared" si="3"/>
        <v>0.1</v>
      </c>
    </row>
    <row r="118" ht="28" spans="1:15">
      <c r="A118" s="14" t="s">
        <v>12</v>
      </c>
      <c r="B118" s="14" t="s">
        <v>212</v>
      </c>
      <c r="C118" s="23">
        <f t="shared" si="2"/>
        <v>14400</v>
      </c>
      <c r="D118" s="24">
        <v>0.9</v>
      </c>
      <c r="E118" s="24">
        <v>12960</v>
      </c>
      <c r="F118" s="24">
        <v>0.9566</v>
      </c>
      <c r="G118" s="24">
        <v>13775.09</v>
      </c>
      <c r="H118" s="24">
        <v>0.0566</v>
      </c>
      <c r="I118" s="24">
        <v>815.09</v>
      </c>
      <c r="J118" s="24">
        <v>0.0434</v>
      </c>
      <c r="K118" s="24">
        <v>624.91</v>
      </c>
      <c r="L118" s="14" t="s">
        <v>85</v>
      </c>
      <c r="M118" s="14" t="s">
        <v>178</v>
      </c>
      <c r="N118" s="23">
        <v>144000</v>
      </c>
      <c r="O118" s="20">
        <f t="shared" si="3"/>
        <v>0.1</v>
      </c>
    </row>
    <row r="119" ht="28" spans="1:15">
      <c r="A119" s="14" t="s">
        <v>12</v>
      </c>
      <c r="B119" s="14" t="s">
        <v>213</v>
      </c>
      <c r="C119" s="23">
        <f t="shared" si="2"/>
        <v>28000</v>
      </c>
      <c r="D119" s="24">
        <v>0.9</v>
      </c>
      <c r="E119" s="24">
        <v>25200</v>
      </c>
      <c r="F119" s="24">
        <v>0.9566</v>
      </c>
      <c r="G119" s="24">
        <v>26784.91</v>
      </c>
      <c r="H119" s="24">
        <v>0.0566</v>
      </c>
      <c r="I119" s="24">
        <v>1584.91</v>
      </c>
      <c r="J119" s="24">
        <v>0.0434</v>
      </c>
      <c r="K119" s="24">
        <v>1215.09</v>
      </c>
      <c r="L119" s="14" t="s">
        <v>85</v>
      </c>
      <c r="M119" s="14" t="s">
        <v>178</v>
      </c>
      <c r="N119" s="23">
        <v>280000</v>
      </c>
      <c r="O119" s="20">
        <f t="shared" si="3"/>
        <v>0.1</v>
      </c>
    </row>
    <row r="120" ht="28" spans="1:15">
      <c r="A120" s="14" t="s">
        <v>12</v>
      </c>
      <c r="B120" s="14" t="s">
        <v>214</v>
      </c>
      <c r="C120" s="23">
        <f t="shared" si="2"/>
        <v>14000</v>
      </c>
      <c r="D120" s="24">
        <v>0.9</v>
      </c>
      <c r="E120" s="24">
        <v>12600</v>
      </c>
      <c r="F120" s="24">
        <v>0.9566</v>
      </c>
      <c r="G120" s="24">
        <v>13392.45</v>
      </c>
      <c r="H120" s="24">
        <v>0.0566</v>
      </c>
      <c r="I120" s="24">
        <v>792.45</v>
      </c>
      <c r="J120" s="24">
        <v>0.0434</v>
      </c>
      <c r="K120" s="24">
        <v>607.55</v>
      </c>
      <c r="L120" s="14" t="s">
        <v>85</v>
      </c>
      <c r="M120" s="14" t="s">
        <v>92</v>
      </c>
      <c r="N120" s="23">
        <v>140000</v>
      </c>
      <c r="O120" s="20">
        <f t="shared" si="3"/>
        <v>0.1</v>
      </c>
    </row>
    <row r="121" ht="28" spans="1:15">
      <c r="A121" s="14" t="s">
        <v>12</v>
      </c>
      <c r="B121" s="14" t="s">
        <v>215</v>
      </c>
      <c r="C121" s="23">
        <f t="shared" si="2"/>
        <v>28000</v>
      </c>
      <c r="D121" s="24">
        <v>0.9</v>
      </c>
      <c r="E121" s="24">
        <v>25200</v>
      </c>
      <c r="F121" s="24">
        <v>0.9566</v>
      </c>
      <c r="G121" s="24">
        <v>26784.91</v>
      </c>
      <c r="H121" s="24">
        <v>0.0566</v>
      </c>
      <c r="I121" s="24">
        <v>1584.91</v>
      </c>
      <c r="J121" s="24">
        <v>0.0434</v>
      </c>
      <c r="K121" s="24">
        <v>1215.09</v>
      </c>
      <c r="L121" s="14" t="s">
        <v>85</v>
      </c>
      <c r="M121" s="14" t="s">
        <v>178</v>
      </c>
      <c r="N121" s="23">
        <v>280000</v>
      </c>
      <c r="O121" s="20">
        <f t="shared" si="3"/>
        <v>0.1</v>
      </c>
    </row>
    <row r="122" ht="28" spans="1:15">
      <c r="A122" s="14" t="s">
        <v>12</v>
      </c>
      <c r="B122" s="14" t="s">
        <v>216</v>
      </c>
      <c r="C122" s="23">
        <f t="shared" si="2"/>
        <v>12500</v>
      </c>
      <c r="D122" s="24">
        <v>0.9</v>
      </c>
      <c r="E122" s="24">
        <v>11250</v>
      </c>
      <c r="F122" s="24">
        <v>0.9566</v>
      </c>
      <c r="G122" s="24">
        <v>11957.55</v>
      </c>
      <c r="H122" s="24">
        <v>0.0566</v>
      </c>
      <c r="I122" s="24">
        <v>707.55</v>
      </c>
      <c r="J122" s="24">
        <v>0.0434</v>
      </c>
      <c r="K122" s="24">
        <v>542.45</v>
      </c>
      <c r="L122" s="14" t="s">
        <v>85</v>
      </c>
      <c r="M122" s="14" t="s">
        <v>178</v>
      </c>
      <c r="N122" s="23">
        <v>125000</v>
      </c>
      <c r="O122" s="20">
        <f t="shared" si="3"/>
        <v>0.1</v>
      </c>
    </row>
    <row r="123" ht="28" spans="1:15">
      <c r="A123" s="14" t="s">
        <v>12</v>
      </c>
      <c r="B123" s="14" t="s">
        <v>217</v>
      </c>
      <c r="C123" s="23">
        <f t="shared" si="2"/>
        <v>36000</v>
      </c>
      <c r="D123" s="24">
        <v>0.9</v>
      </c>
      <c r="E123" s="24">
        <v>32400</v>
      </c>
      <c r="F123" s="24">
        <v>0.9641</v>
      </c>
      <c r="G123" s="24">
        <v>34707.74</v>
      </c>
      <c r="H123" s="24">
        <v>0.0641</v>
      </c>
      <c r="I123" s="24">
        <v>2037.74</v>
      </c>
      <c r="J123" s="24">
        <v>0.0359</v>
      </c>
      <c r="K123" s="24">
        <v>1292.26</v>
      </c>
      <c r="L123" s="14" t="s">
        <v>85</v>
      </c>
      <c r="M123" s="14" t="s">
        <v>178</v>
      </c>
      <c r="N123" s="23">
        <v>360000</v>
      </c>
      <c r="O123" s="20">
        <f t="shared" si="3"/>
        <v>0.1</v>
      </c>
    </row>
    <row r="124" ht="28" spans="1:15">
      <c r="A124" s="14" t="s">
        <v>12</v>
      </c>
      <c r="B124" s="14" t="s">
        <v>218</v>
      </c>
      <c r="C124" s="23">
        <f t="shared" si="2"/>
        <v>18000</v>
      </c>
      <c r="D124" s="24">
        <v>0.9</v>
      </c>
      <c r="E124" s="24">
        <v>16200</v>
      </c>
      <c r="F124" s="24">
        <v>0.9566</v>
      </c>
      <c r="G124" s="24">
        <v>17218.87</v>
      </c>
      <c r="H124" s="24">
        <v>0.0566</v>
      </c>
      <c r="I124" s="24">
        <v>1018.87</v>
      </c>
      <c r="J124" s="24">
        <v>0.0434</v>
      </c>
      <c r="K124" s="24">
        <v>781.13</v>
      </c>
      <c r="L124" s="14" t="s">
        <v>85</v>
      </c>
      <c r="M124" s="14" t="s">
        <v>92</v>
      </c>
      <c r="N124" s="23">
        <v>180000</v>
      </c>
      <c r="O124" s="20">
        <f t="shared" si="3"/>
        <v>0.1</v>
      </c>
    </row>
    <row r="125" ht="28" spans="1:15">
      <c r="A125" s="14" t="s">
        <v>12</v>
      </c>
      <c r="B125" s="14" t="s">
        <v>219</v>
      </c>
      <c r="C125" s="23">
        <f t="shared" si="2"/>
        <v>5000</v>
      </c>
      <c r="D125" s="24">
        <v>0.9</v>
      </c>
      <c r="E125" s="24">
        <v>4500</v>
      </c>
      <c r="F125" s="24">
        <v>0.9566</v>
      </c>
      <c r="G125" s="24">
        <v>4783.02</v>
      </c>
      <c r="H125" s="24">
        <v>0.0566</v>
      </c>
      <c r="I125" s="24">
        <v>283.02</v>
      </c>
      <c r="J125" s="24">
        <v>0.0434</v>
      </c>
      <c r="K125" s="24">
        <v>216.98</v>
      </c>
      <c r="L125" s="14" t="s">
        <v>85</v>
      </c>
      <c r="M125" s="14" t="s">
        <v>178</v>
      </c>
      <c r="N125" s="23">
        <v>50000</v>
      </c>
      <c r="O125" s="20">
        <f t="shared" si="3"/>
        <v>0.1</v>
      </c>
    </row>
    <row r="126" ht="28" spans="1:15">
      <c r="A126" s="14" t="s">
        <v>12</v>
      </c>
      <c r="B126" s="14" t="s">
        <v>220</v>
      </c>
      <c r="C126" s="23">
        <f t="shared" si="2"/>
        <v>32000</v>
      </c>
      <c r="D126" s="24">
        <v>0.9</v>
      </c>
      <c r="E126" s="24">
        <v>28800</v>
      </c>
      <c r="F126" s="24">
        <v>0.9566</v>
      </c>
      <c r="G126" s="24">
        <v>30611.32</v>
      </c>
      <c r="H126" s="24">
        <v>0.0566</v>
      </c>
      <c r="I126" s="24">
        <v>1811.32</v>
      </c>
      <c r="J126" s="24">
        <v>0.0434</v>
      </c>
      <c r="K126" s="24">
        <v>1388.68</v>
      </c>
      <c r="L126" s="14" t="s">
        <v>85</v>
      </c>
      <c r="M126" s="14" t="s">
        <v>178</v>
      </c>
      <c r="N126" s="23">
        <v>320000</v>
      </c>
      <c r="O126" s="20">
        <f t="shared" si="3"/>
        <v>0.1</v>
      </c>
    </row>
    <row r="127" ht="28" spans="1:15">
      <c r="A127" s="14" t="s">
        <v>12</v>
      </c>
      <c r="B127" s="14" t="s">
        <v>221</v>
      </c>
      <c r="C127" s="23">
        <f t="shared" si="2"/>
        <v>16000</v>
      </c>
      <c r="D127" s="24">
        <v>0.9</v>
      </c>
      <c r="E127" s="24">
        <v>14400</v>
      </c>
      <c r="F127" s="24">
        <v>0.9566</v>
      </c>
      <c r="G127" s="24">
        <v>15305.66</v>
      </c>
      <c r="H127" s="24">
        <v>0.0566</v>
      </c>
      <c r="I127" s="24">
        <v>905.66</v>
      </c>
      <c r="J127" s="24">
        <v>0.0434</v>
      </c>
      <c r="K127" s="24">
        <v>694.34</v>
      </c>
      <c r="L127" s="14" t="s">
        <v>85</v>
      </c>
      <c r="M127" s="14" t="s">
        <v>92</v>
      </c>
      <c r="N127" s="23">
        <v>160000</v>
      </c>
      <c r="O127" s="20">
        <f t="shared" si="3"/>
        <v>0.1</v>
      </c>
    </row>
    <row r="128" ht="28" spans="1:15">
      <c r="A128" s="14" t="s">
        <v>12</v>
      </c>
      <c r="B128" s="14" t="s">
        <v>222</v>
      </c>
      <c r="C128" s="23">
        <f t="shared" si="2"/>
        <v>15000</v>
      </c>
      <c r="D128" s="24">
        <v>0.9</v>
      </c>
      <c r="E128" s="24">
        <v>13500</v>
      </c>
      <c r="F128" s="24">
        <v>0.9566</v>
      </c>
      <c r="G128" s="24">
        <v>14349.06</v>
      </c>
      <c r="H128" s="24">
        <v>0.0566</v>
      </c>
      <c r="I128" s="24">
        <v>849.06</v>
      </c>
      <c r="J128" s="24">
        <v>0.0434</v>
      </c>
      <c r="K128" s="24">
        <v>650.94</v>
      </c>
      <c r="L128" s="14" t="s">
        <v>85</v>
      </c>
      <c r="M128" s="14" t="s">
        <v>92</v>
      </c>
      <c r="N128" s="23">
        <v>150000</v>
      </c>
      <c r="O128" s="20">
        <f t="shared" si="3"/>
        <v>0.1</v>
      </c>
    </row>
    <row r="129" ht="28" spans="1:15">
      <c r="A129" s="14" t="s">
        <v>12</v>
      </c>
      <c r="B129" s="14" t="s">
        <v>223</v>
      </c>
      <c r="C129" s="24">
        <f t="shared" si="2"/>
        <v>15000</v>
      </c>
      <c r="D129" s="25">
        <v>0.1698</v>
      </c>
      <c r="E129" s="14">
        <v>2547.1692</v>
      </c>
      <c r="F129" s="25">
        <v>0.2264</v>
      </c>
      <c r="G129" s="26">
        <v>3396.2292</v>
      </c>
      <c r="H129" s="25">
        <v>0.0566</v>
      </c>
      <c r="I129" s="26">
        <v>849.06</v>
      </c>
      <c r="J129" s="25">
        <v>0.7736</v>
      </c>
      <c r="K129" s="26">
        <v>11603.7708</v>
      </c>
      <c r="L129" s="14" t="s">
        <v>85</v>
      </c>
      <c r="M129" s="14" t="s">
        <v>89</v>
      </c>
      <c r="N129" s="19">
        <v>150000</v>
      </c>
      <c r="O129" s="20">
        <f t="shared" si="3"/>
        <v>0.1</v>
      </c>
    </row>
    <row r="130" ht="28" spans="1:15">
      <c r="A130" s="14" t="s">
        <v>12</v>
      </c>
      <c r="B130" s="14" t="s">
        <v>91</v>
      </c>
      <c r="C130" s="23">
        <f t="shared" ref="C130:C193" si="4">G130+K130</f>
        <v>8000</v>
      </c>
      <c r="D130" s="24">
        <v>0.9</v>
      </c>
      <c r="E130" s="24">
        <v>7200</v>
      </c>
      <c r="F130" s="24">
        <v>0.9566</v>
      </c>
      <c r="G130" s="24">
        <v>7652.83</v>
      </c>
      <c r="H130" s="24">
        <v>0.0566</v>
      </c>
      <c r="I130" s="24">
        <v>452.83</v>
      </c>
      <c r="J130" s="24">
        <v>0.0434</v>
      </c>
      <c r="K130" s="24">
        <v>347.17</v>
      </c>
      <c r="L130" s="14" t="s">
        <v>85</v>
      </c>
      <c r="M130" s="14" t="s">
        <v>92</v>
      </c>
      <c r="N130" s="23">
        <v>80000</v>
      </c>
      <c r="O130" s="20">
        <f t="shared" ref="O130:O193" si="5">C130/N130</f>
        <v>0.1</v>
      </c>
    </row>
    <row r="131" ht="28" spans="1:15">
      <c r="A131" s="14" t="s">
        <v>26</v>
      </c>
      <c r="B131" s="14" t="s">
        <v>224</v>
      </c>
      <c r="C131" s="23">
        <f t="shared" si="4"/>
        <v>22500</v>
      </c>
      <c r="D131" s="24">
        <v>0.193</v>
      </c>
      <c r="E131" s="24">
        <v>4342.926</v>
      </c>
      <c r="F131" s="24">
        <v>0.5496</v>
      </c>
      <c r="G131" s="24">
        <v>12366.506</v>
      </c>
      <c r="H131" s="24">
        <v>0.0566</v>
      </c>
      <c r="I131" s="24">
        <v>1273.58</v>
      </c>
      <c r="J131" s="24">
        <v>0.4504</v>
      </c>
      <c r="K131" s="24">
        <v>10133.494</v>
      </c>
      <c r="L131" s="14" t="s">
        <v>85</v>
      </c>
      <c r="M131" s="14" t="s">
        <v>150</v>
      </c>
      <c r="N131" s="23">
        <v>22500</v>
      </c>
      <c r="O131" s="20">
        <f t="shared" si="5"/>
        <v>1</v>
      </c>
    </row>
    <row r="132" ht="28" spans="1:15">
      <c r="A132" s="14" t="s">
        <v>26</v>
      </c>
      <c r="B132" s="14" t="s">
        <v>225</v>
      </c>
      <c r="C132" s="23">
        <f t="shared" si="4"/>
        <v>30000</v>
      </c>
      <c r="D132" s="24">
        <v>0.1665</v>
      </c>
      <c r="E132" s="24">
        <v>4993.812</v>
      </c>
      <c r="F132" s="24">
        <v>0.6116</v>
      </c>
      <c r="G132" s="24">
        <v>18347.772</v>
      </c>
      <c r="H132" s="24">
        <v>0.0566</v>
      </c>
      <c r="I132" s="24">
        <v>1698.11</v>
      </c>
      <c r="J132" s="24">
        <v>0.3884</v>
      </c>
      <c r="K132" s="24">
        <v>11652.228</v>
      </c>
      <c r="L132" s="14" t="s">
        <v>85</v>
      </c>
      <c r="M132" s="14" t="s">
        <v>126</v>
      </c>
      <c r="N132" s="23">
        <v>30000</v>
      </c>
      <c r="O132" s="20">
        <f t="shared" si="5"/>
        <v>1</v>
      </c>
    </row>
    <row r="133" ht="28" spans="1:15">
      <c r="A133" s="14" t="s">
        <v>26</v>
      </c>
      <c r="B133" s="14" t="s">
        <v>226</v>
      </c>
      <c r="C133" s="23">
        <f t="shared" si="4"/>
        <v>37500</v>
      </c>
      <c r="D133" s="24">
        <v>0.12</v>
      </c>
      <c r="E133" s="24">
        <v>4500</v>
      </c>
      <c r="F133" s="24">
        <v>0.5266</v>
      </c>
      <c r="G133" s="24">
        <v>19747.64</v>
      </c>
      <c r="H133" s="24">
        <v>0.0566</v>
      </c>
      <c r="I133" s="24">
        <v>2122.64</v>
      </c>
      <c r="J133" s="24">
        <v>0.4734</v>
      </c>
      <c r="K133" s="24">
        <v>17752.36</v>
      </c>
      <c r="L133" s="14" t="s">
        <v>85</v>
      </c>
      <c r="M133" s="14" t="s">
        <v>107</v>
      </c>
      <c r="N133" s="23">
        <v>37500</v>
      </c>
      <c r="O133" s="20">
        <f t="shared" si="5"/>
        <v>1</v>
      </c>
    </row>
    <row r="134" ht="28" spans="1:15">
      <c r="A134" s="14" t="s">
        <v>26</v>
      </c>
      <c r="B134" s="14" t="s">
        <v>227</v>
      </c>
      <c r="C134" s="23">
        <f t="shared" si="4"/>
        <v>15000</v>
      </c>
      <c r="D134" s="24">
        <v>0.12</v>
      </c>
      <c r="E134" s="24">
        <v>1800</v>
      </c>
      <c r="F134" s="24">
        <v>0.4766</v>
      </c>
      <c r="G134" s="24">
        <v>7149.06</v>
      </c>
      <c r="H134" s="24">
        <v>0.0566</v>
      </c>
      <c r="I134" s="24">
        <v>849.06</v>
      </c>
      <c r="J134" s="24">
        <v>0.5234</v>
      </c>
      <c r="K134" s="24">
        <v>7850.94</v>
      </c>
      <c r="L134" s="14" t="s">
        <v>85</v>
      </c>
      <c r="M134" s="14" t="s">
        <v>107</v>
      </c>
      <c r="N134" s="23">
        <v>15000</v>
      </c>
      <c r="O134" s="20">
        <f t="shared" si="5"/>
        <v>1</v>
      </c>
    </row>
    <row r="135" ht="28" spans="1:15">
      <c r="A135" s="14" t="s">
        <v>26</v>
      </c>
      <c r="B135" s="14" t="s">
        <v>228</v>
      </c>
      <c r="C135" s="23">
        <f t="shared" si="4"/>
        <v>51250</v>
      </c>
      <c r="D135" s="24">
        <v>0.12</v>
      </c>
      <c r="E135" s="24">
        <v>6150</v>
      </c>
      <c r="F135" s="24">
        <v>0.4766</v>
      </c>
      <c r="G135" s="24">
        <v>24425.94</v>
      </c>
      <c r="H135" s="24">
        <v>0.0566</v>
      </c>
      <c r="I135" s="24">
        <v>2900.94</v>
      </c>
      <c r="J135" s="24">
        <v>0.5234</v>
      </c>
      <c r="K135" s="24">
        <v>26824.06</v>
      </c>
      <c r="L135" s="14" t="s">
        <v>85</v>
      </c>
      <c r="M135" s="14" t="s">
        <v>107</v>
      </c>
      <c r="N135" s="23">
        <v>51250</v>
      </c>
      <c r="O135" s="20">
        <f t="shared" si="5"/>
        <v>1</v>
      </c>
    </row>
    <row r="136" ht="28" spans="1:15">
      <c r="A136" s="14" t="s">
        <v>26</v>
      </c>
      <c r="B136" s="14" t="s">
        <v>229</v>
      </c>
      <c r="C136" s="23">
        <f t="shared" si="4"/>
        <v>11250</v>
      </c>
      <c r="D136" s="24">
        <v>0.12</v>
      </c>
      <c r="E136" s="24">
        <v>1350</v>
      </c>
      <c r="F136" s="24">
        <v>0.4766</v>
      </c>
      <c r="G136" s="24">
        <v>5361.79</v>
      </c>
      <c r="H136" s="24">
        <v>0.0566</v>
      </c>
      <c r="I136" s="24">
        <v>636.79</v>
      </c>
      <c r="J136" s="24">
        <v>0.5234</v>
      </c>
      <c r="K136" s="24">
        <v>5888.21</v>
      </c>
      <c r="L136" s="14" t="s">
        <v>85</v>
      </c>
      <c r="M136" s="14" t="s">
        <v>107</v>
      </c>
      <c r="N136" s="23">
        <v>11250</v>
      </c>
      <c r="O136" s="20">
        <f t="shared" si="5"/>
        <v>1</v>
      </c>
    </row>
    <row r="137" ht="28" spans="1:15">
      <c r="A137" s="14" t="s">
        <v>26</v>
      </c>
      <c r="B137" s="14" t="s">
        <v>230</v>
      </c>
      <c r="C137" s="24">
        <f t="shared" si="4"/>
        <v>5000</v>
      </c>
      <c r="D137" s="25">
        <v>0.08</v>
      </c>
      <c r="E137" s="14">
        <v>400</v>
      </c>
      <c r="F137" s="25">
        <v>0.8032</v>
      </c>
      <c r="G137" s="26">
        <v>4016.02</v>
      </c>
      <c r="H137" s="25">
        <v>0.0566</v>
      </c>
      <c r="I137" s="26">
        <v>283.02</v>
      </c>
      <c r="J137" s="25">
        <v>0.1968</v>
      </c>
      <c r="K137" s="26">
        <v>983.98</v>
      </c>
      <c r="L137" s="14" t="s">
        <v>85</v>
      </c>
      <c r="M137" s="14" t="s">
        <v>89</v>
      </c>
      <c r="N137" s="19">
        <v>5000</v>
      </c>
      <c r="O137" s="20">
        <f t="shared" si="5"/>
        <v>1</v>
      </c>
    </row>
    <row r="138" ht="28" spans="1:15">
      <c r="A138" s="14" t="s">
        <v>26</v>
      </c>
      <c r="B138" s="14" t="s">
        <v>231</v>
      </c>
      <c r="C138" s="24">
        <f t="shared" si="4"/>
        <v>30000</v>
      </c>
      <c r="D138" s="25">
        <v>0.08</v>
      </c>
      <c r="E138" s="14">
        <v>2400</v>
      </c>
      <c r="F138" s="25">
        <v>0.9228</v>
      </c>
      <c r="G138" s="26">
        <v>27684.91</v>
      </c>
      <c r="H138" s="25">
        <v>0.0566</v>
      </c>
      <c r="I138" s="26">
        <v>1698.11</v>
      </c>
      <c r="J138" s="25">
        <v>0.0772</v>
      </c>
      <c r="K138" s="26">
        <v>2315.09</v>
      </c>
      <c r="L138" s="14" t="s">
        <v>85</v>
      </c>
      <c r="M138" s="14" t="s">
        <v>89</v>
      </c>
      <c r="N138" s="19">
        <v>30000</v>
      </c>
      <c r="O138" s="20">
        <f t="shared" si="5"/>
        <v>1</v>
      </c>
    </row>
    <row r="139" ht="28" spans="1:15">
      <c r="A139" s="14" t="s">
        <v>26</v>
      </c>
      <c r="B139" s="14" t="s">
        <v>232</v>
      </c>
      <c r="C139" s="23">
        <f t="shared" si="4"/>
        <v>22500</v>
      </c>
      <c r="D139" s="24">
        <v>0.193</v>
      </c>
      <c r="E139" s="24">
        <v>4342.926</v>
      </c>
      <c r="F139" s="24">
        <v>0.5496</v>
      </c>
      <c r="G139" s="24">
        <v>12366.506</v>
      </c>
      <c r="H139" s="24">
        <v>0.0566</v>
      </c>
      <c r="I139" s="24">
        <v>1273.58</v>
      </c>
      <c r="J139" s="24">
        <v>0.4504</v>
      </c>
      <c r="K139" s="24">
        <v>10133.494</v>
      </c>
      <c r="L139" s="14" t="s">
        <v>85</v>
      </c>
      <c r="M139" s="14" t="s">
        <v>150</v>
      </c>
      <c r="N139" s="23">
        <v>22500</v>
      </c>
      <c r="O139" s="20">
        <f t="shared" si="5"/>
        <v>1</v>
      </c>
    </row>
    <row r="140" ht="28" spans="1:15">
      <c r="A140" s="14" t="s">
        <v>26</v>
      </c>
      <c r="B140" s="14" t="s">
        <v>233</v>
      </c>
      <c r="C140" s="23">
        <f t="shared" si="4"/>
        <v>30000</v>
      </c>
      <c r="D140" s="24">
        <v>0.163</v>
      </c>
      <c r="E140" s="24">
        <v>4890.567</v>
      </c>
      <c r="F140" s="24">
        <v>0.6196</v>
      </c>
      <c r="G140" s="24">
        <v>18588.677</v>
      </c>
      <c r="H140" s="24">
        <v>0.0566</v>
      </c>
      <c r="I140" s="24">
        <v>1698.11</v>
      </c>
      <c r="J140" s="24">
        <v>0.3804</v>
      </c>
      <c r="K140" s="24">
        <v>11411.323</v>
      </c>
      <c r="L140" s="14" t="s">
        <v>85</v>
      </c>
      <c r="M140" s="14" t="s">
        <v>104</v>
      </c>
      <c r="N140" s="23">
        <v>30000</v>
      </c>
      <c r="O140" s="20">
        <f t="shared" si="5"/>
        <v>1</v>
      </c>
    </row>
    <row r="141" ht="28" spans="1:15">
      <c r="A141" s="14" t="s">
        <v>26</v>
      </c>
      <c r="B141" s="14" t="s">
        <v>234</v>
      </c>
      <c r="C141" s="23">
        <f t="shared" si="4"/>
        <v>20000</v>
      </c>
      <c r="D141" s="24">
        <v>0.12</v>
      </c>
      <c r="E141" s="24">
        <v>2400</v>
      </c>
      <c r="F141" s="24">
        <v>0.5766</v>
      </c>
      <c r="G141" s="24">
        <v>11532.08</v>
      </c>
      <c r="H141" s="24">
        <v>0.0566</v>
      </c>
      <c r="I141" s="24">
        <v>1132.08</v>
      </c>
      <c r="J141" s="24">
        <v>0.4234</v>
      </c>
      <c r="K141" s="24">
        <v>8467.92</v>
      </c>
      <c r="L141" s="14" t="s">
        <v>85</v>
      </c>
      <c r="M141" s="14" t="s">
        <v>107</v>
      </c>
      <c r="N141" s="23">
        <v>20000</v>
      </c>
      <c r="O141" s="20">
        <f t="shared" si="5"/>
        <v>1</v>
      </c>
    </row>
    <row r="142" ht="28" spans="1:15">
      <c r="A142" s="14" t="s">
        <v>26</v>
      </c>
      <c r="B142" s="14" t="s">
        <v>122</v>
      </c>
      <c r="C142" s="23">
        <f t="shared" si="4"/>
        <v>45000</v>
      </c>
      <c r="D142" s="24">
        <v>0.163</v>
      </c>
      <c r="E142" s="24">
        <v>7335.849</v>
      </c>
      <c r="F142" s="24">
        <v>0.6196</v>
      </c>
      <c r="G142" s="24">
        <v>27883.019</v>
      </c>
      <c r="H142" s="24">
        <v>0.0566</v>
      </c>
      <c r="I142" s="24">
        <v>2547.17</v>
      </c>
      <c r="J142" s="24">
        <v>0.3804</v>
      </c>
      <c r="K142" s="24">
        <v>17116.981</v>
      </c>
      <c r="L142" s="14" t="s">
        <v>85</v>
      </c>
      <c r="M142" s="14" t="s">
        <v>104</v>
      </c>
      <c r="N142" s="23">
        <v>45000</v>
      </c>
      <c r="O142" s="20">
        <f t="shared" si="5"/>
        <v>1</v>
      </c>
    </row>
    <row r="143" ht="28" spans="1:15">
      <c r="A143" s="14" t="s">
        <v>26</v>
      </c>
      <c r="B143" s="14" t="s">
        <v>235</v>
      </c>
      <c r="C143" s="23">
        <f t="shared" si="4"/>
        <v>40000</v>
      </c>
      <c r="D143" s="24">
        <v>0.12</v>
      </c>
      <c r="E143" s="24">
        <v>4800</v>
      </c>
      <c r="F143" s="24">
        <v>0.592</v>
      </c>
      <c r="G143" s="24">
        <v>23680.54</v>
      </c>
      <c r="H143" s="24">
        <v>0.0566</v>
      </c>
      <c r="I143" s="24">
        <v>2264.15</v>
      </c>
      <c r="J143" s="24">
        <v>0.408</v>
      </c>
      <c r="K143" s="24">
        <v>16319.46</v>
      </c>
      <c r="L143" s="14" t="s">
        <v>85</v>
      </c>
      <c r="M143" s="14" t="s">
        <v>86</v>
      </c>
      <c r="N143" s="23">
        <v>40000</v>
      </c>
      <c r="O143" s="20">
        <f t="shared" si="5"/>
        <v>1</v>
      </c>
    </row>
    <row r="144" ht="28" spans="1:15">
      <c r="A144" s="14" t="s">
        <v>26</v>
      </c>
      <c r="B144" s="14" t="s">
        <v>124</v>
      </c>
      <c r="C144" s="23">
        <f t="shared" si="4"/>
        <v>30000</v>
      </c>
      <c r="D144" s="24">
        <v>0.12</v>
      </c>
      <c r="E144" s="24">
        <v>3600</v>
      </c>
      <c r="F144" s="24">
        <v>1.21</v>
      </c>
      <c r="G144" s="24">
        <v>36299.11</v>
      </c>
      <c r="H144" s="24">
        <v>0.0566</v>
      </c>
      <c r="I144" s="24">
        <v>1698.11</v>
      </c>
      <c r="J144" s="24">
        <v>-0.21</v>
      </c>
      <c r="K144" s="24">
        <v>-6299.11</v>
      </c>
      <c r="L144" s="14" t="s">
        <v>85</v>
      </c>
      <c r="M144" s="14" t="s">
        <v>86</v>
      </c>
      <c r="N144" s="23">
        <v>30000</v>
      </c>
      <c r="O144" s="20">
        <f t="shared" si="5"/>
        <v>1</v>
      </c>
    </row>
    <row r="145" ht="28" spans="1:15">
      <c r="A145" s="14" t="s">
        <v>26</v>
      </c>
      <c r="B145" s="14" t="s">
        <v>236</v>
      </c>
      <c r="C145" s="23">
        <f t="shared" si="4"/>
        <v>22500</v>
      </c>
      <c r="D145" s="24">
        <v>0.163</v>
      </c>
      <c r="E145" s="24">
        <v>3667.926</v>
      </c>
      <c r="F145" s="24">
        <v>0.6196</v>
      </c>
      <c r="G145" s="24">
        <v>13941.506</v>
      </c>
      <c r="H145" s="24">
        <v>0.0566</v>
      </c>
      <c r="I145" s="24">
        <v>1273.58</v>
      </c>
      <c r="J145" s="24">
        <v>0.3804</v>
      </c>
      <c r="K145" s="24">
        <v>8558.494</v>
      </c>
      <c r="L145" s="14" t="s">
        <v>85</v>
      </c>
      <c r="M145" s="14" t="s">
        <v>104</v>
      </c>
      <c r="N145" s="23">
        <v>22500</v>
      </c>
      <c r="O145" s="20">
        <f t="shared" si="5"/>
        <v>1</v>
      </c>
    </row>
    <row r="146" ht="28" spans="1:15">
      <c r="A146" s="14" t="s">
        <v>26</v>
      </c>
      <c r="B146" s="14" t="s">
        <v>237</v>
      </c>
      <c r="C146" s="23">
        <f t="shared" si="4"/>
        <v>27500</v>
      </c>
      <c r="D146" s="24">
        <v>0.193</v>
      </c>
      <c r="E146" s="24">
        <v>5308.02</v>
      </c>
      <c r="F146" s="24">
        <v>0.5496</v>
      </c>
      <c r="G146" s="24">
        <v>15114.62</v>
      </c>
      <c r="H146" s="24">
        <v>0.0566</v>
      </c>
      <c r="I146" s="24">
        <v>1556.6</v>
      </c>
      <c r="J146" s="24">
        <v>0.4504</v>
      </c>
      <c r="K146" s="24">
        <v>12385.38</v>
      </c>
      <c r="L146" s="14" t="s">
        <v>85</v>
      </c>
      <c r="M146" s="14" t="s">
        <v>150</v>
      </c>
      <c r="N146" s="23">
        <v>27500</v>
      </c>
      <c r="O146" s="20">
        <f t="shared" si="5"/>
        <v>1</v>
      </c>
    </row>
    <row r="147" ht="28" spans="1:15">
      <c r="A147" s="14" t="s">
        <v>26</v>
      </c>
      <c r="B147" s="14" t="s">
        <v>238</v>
      </c>
      <c r="C147" s="23">
        <f t="shared" si="4"/>
        <v>15000</v>
      </c>
      <c r="D147" s="24">
        <v>0.12</v>
      </c>
      <c r="E147" s="24">
        <v>1800</v>
      </c>
      <c r="F147" s="24">
        <v>0.5766</v>
      </c>
      <c r="G147" s="24">
        <v>8649.06</v>
      </c>
      <c r="H147" s="24">
        <v>0.0566</v>
      </c>
      <c r="I147" s="24">
        <v>849.06</v>
      </c>
      <c r="J147" s="24">
        <v>0.4234</v>
      </c>
      <c r="K147" s="24">
        <v>6350.94</v>
      </c>
      <c r="L147" s="14" t="s">
        <v>85</v>
      </c>
      <c r="M147" s="14" t="s">
        <v>107</v>
      </c>
      <c r="N147" s="23">
        <v>15000</v>
      </c>
      <c r="O147" s="20">
        <f t="shared" si="5"/>
        <v>1</v>
      </c>
    </row>
    <row r="148" ht="28" spans="1:15">
      <c r="A148" s="14" t="s">
        <v>26</v>
      </c>
      <c r="B148" s="14" t="s">
        <v>239</v>
      </c>
      <c r="C148" s="23">
        <f t="shared" si="4"/>
        <v>22500</v>
      </c>
      <c r="D148" s="24">
        <v>0.12</v>
      </c>
      <c r="E148" s="24">
        <v>2700</v>
      </c>
      <c r="F148" s="24">
        <v>0.5766</v>
      </c>
      <c r="G148" s="24">
        <v>12973.58</v>
      </c>
      <c r="H148" s="24">
        <v>0.0566</v>
      </c>
      <c r="I148" s="24">
        <v>1273.58</v>
      </c>
      <c r="J148" s="24">
        <v>0.4234</v>
      </c>
      <c r="K148" s="24">
        <v>9526.42</v>
      </c>
      <c r="L148" s="14" t="s">
        <v>85</v>
      </c>
      <c r="M148" s="14" t="s">
        <v>107</v>
      </c>
      <c r="N148" s="23">
        <v>22500</v>
      </c>
      <c r="O148" s="20">
        <f t="shared" si="5"/>
        <v>1</v>
      </c>
    </row>
    <row r="149" ht="28" spans="1:15">
      <c r="A149" s="14" t="s">
        <v>26</v>
      </c>
      <c r="B149" s="14" t="s">
        <v>240</v>
      </c>
      <c r="C149" s="23">
        <f t="shared" si="4"/>
        <v>22500</v>
      </c>
      <c r="D149" s="24">
        <v>0.12</v>
      </c>
      <c r="E149" s="24">
        <v>2700</v>
      </c>
      <c r="F149" s="24">
        <v>0.5766</v>
      </c>
      <c r="G149" s="24">
        <v>12973.58</v>
      </c>
      <c r="H149" s="24">
        <v>0.0566</v>
      </c>
      <c r="I149" s="24">
        <v>1273.58</v>
      </c>
      <c r="J149" s="24">
        <v>0.4234</v>
      </c>
      <c r="K149" s="24">
        <v>9526.42</v>
      </c>
      <c r="L149" s="14" t="s">
        <v>85</v>
      </c>
      <c r="M149" s="14" t="s">
        <v>107</v>
      </c>
      <c r="N149" s="23">
        <v>22500</v>
      </c>
      <c r="O149" s="20">
        <f t="shared" si="5"/>
        <v>1</v>
      </c>
    </row>
    <row r="150" ht="28" spans="1:15">
      <c r="A150" s="14" t="s">
        <v>26</v>
      </c>
      <c r="B150" s="14" t="s">
        <v>241</v>
      </c>
      <c r="C150" s="23">
        <f t="shared" si="4"/>
        <v>37500</v>
      </c>
      <c r="D150" s="24">
        <v>0.12</v>
      </c>
      <c r="E150" s="24">
        <v>4500</v>
      </c>
      <c r="F150" s="24">
        <v>0.5766</v>
      </c>
      <c r="G150" s="24">
        <v>21622.64</v>
      </c>
      <c r="H150" s="24">
        <v>0.0566</v>
      </c>
      <c r="I150" s="24">
        <v>2122.64</v>
      </c>
      <c r="J150" s="24">
        <v>0.4234</v>
      </c>
      <c r="K150" s="24">
        <v>15877.36</v>
      </c>
      <c r="L150" s="14" t="s">
        <v>85</v>
      </c>
      <c r="M150" s="14" t="s">
        <v>107</v>
      </c>
      <c r="N150" s="23">
        <v>37500</v>
      </c>
      <c r="O150" s="20">
        <f t="shared" si="5"/>
        <v>1</v>
      </c>
    </row>
    <row r="151" ht="28" spans="1:15">
      <c r="A151" s="14" t="s">
        <v>26</v>
      </c>
      <c r="B151" s="14" t="s">
        <v>242</v>
      </c>
      <c r="C151" s="23">
        <f t="shared" si="4"/>
        <v>22500</v>
      </c>
      <c r="D151" s="24">
        <v>0.12</v>
      </c>
      <c r="E151" s="24">
        <v>2700</v>
      </c>
      <c r="F151" s="24">
        <v>0.5766</v>
      </c>
      <c r="G151" s="24">
        <v>12973.58</v>
      </c>
      <c r="H151" s="24">
        <v>0.0566</v>
      </c>
      <c r="I151" s="24">
        <v>1273.58</v>
      </c>
      <c r="J151" s="24">
        <v>0.4234</v>
      </c>
      <c r="K151" s="24">
        <v>9526.42</v>
      </c>
      <c r="L151" s="14" t="s">
        <v>85</v>
      </c>
      <c r="M151" s="14" t="s">
        <v>107</v>
      </c>
      <c r="N151" s="23">
        <v>22500</v>
      </c>
      <c r="O151" s="20">
        <f t="shared" si="5"/>
        <v>1</v>
      </c>
    </row>
    <row r="152" ht="28" spans="1:15">
      <c r="A152" s="14" t="s">
        <v>26</v>
      </c>
      <c r="B152" s="14" t="s">
        <v>243</v>
      </c>
      <c r="C152" s="24">
        <f t="shared" si="4"/>
        <v>37500</v>
      </c>
      <c r="D152" s="25">
        <v>0.08</v>
      </c>
      <c r="E152" s="14">
        <v>3000</v>
      </c>
      <c r="F152" s="25">
        <v>0.4366</v>
      </c>
      <c r="G152" s="26">
        <v>16372.64</v>
      </c>
      <c r="H152" s="25">
        <v>0.0566</v>
      </c>
      <c r="I152" s="26">
        <v>2122.64</v>
      </c>
      <c r="J152" s="25">
        <v>0.5634</v>
      </c>
      <c r="K152" s="26">
        <v>21127.36</v>
      </c>
      <c r="L152" s="14" t="s">
        <v>85</v>
      </c>
      <c r="M152" s="14" t="s">
        <v>89</v>
      </c>
      <c r="N152" s="19">
        <v>37500</v>
      </c>
      <c r="O152" s="20">
        <f t="shared" si="5"/>
        <v>1</v>
      </c>
    </row>
    <row r="153" ht="28" spans="1:15">
      <c r="A153" s="14" t="s">
        <v>26</v>
      </c>
      <c r="B153" s="14" t="s">
        <v>244</v>
      </c>
      <c r="C153" s="23">
        <f t="shared" si="4"/>
        <v>60000</v>
      </c>
      <c r="D153" s="24">
        <v>0.163</v>
      </c>
      <c r="E153" s="24">
        <v>9781.131</v>
      </c>
      <c r="F153" s="24">
        <v>0.6196</v>
      </c>
      <c r="G153" s="24">
        <v>37177.361</v>
      </c>
      <c r="H153" s="24">
        <v>0.0566</v>
      </c>
      <c r="I153" s="24">
        <v>3396.23</v>
      </c>
      <c r="J153" s="24">
        <v>0.3804</v>
      </c>
      <c r="K153" s="24">
        <v>22822.639</v>
      </c>
      <c r="L153" s="14" t="s">
        <v>85</v>
      </c>
      <c r="M153" s="14" t="s">
        <v>104</v>
      </c>
      <c r="N153" s="23">
        <v>60000</v>
      </c>
      <c r="O153" s="20">
        <f t="shared" si="5"/>
        <v>1</v>
      </c>
    </row>
    <row r="154" ht="28" spans="1:15">
      <c r="A154" s="14" t="s">
        <v>26</v>
      </c>
      <c r="B154" s="14" t="s">
        <v>245</v>
      </c>
      <c r="C154" s="24">
        <f t="shared" si="4"/>
        <v>15000</v>
      </c>
      <c r="D154" s="25">
        <v>0.08</v>
      </c>
      <c r="E154" s="14">
        <v>1200</v>
      </c>
      <c r="F154" s="25">
        <v>0.5387</v>
      </c>
      <c r="G154" s="26">
        <v>8079.96</v>
      </c>
      <c r="H154" s="25">
        <v>0.0566</v>
      </c>
      <c r="I154" s="26">
        <v>849.06</v>
      </c>
      <c r="J154" s="25">
        <v>0.4613</v>
      </c>
      <c r="K154" s="26">
        <v>6920.04</v>
      </c>
      <c r="L154" s="14" t="s">
        <v>85</v>
      </c>
      <c r="M154" s="14" t="s">
        <v>89</v>
      </c>
      <c r="N154" s="19">
        <v>15000</v>
      </c>
      <c r="O154" s="20">
        <f t="shared" si="5"/>
        <v>1</v>
      </c>
    </row>
    <row r="155" ht="28" spans="1:15">
      <c r="A155" s="14" t="s">
        <v>34</v>
      </c>
      <c r="B155" s="14" t="s">
        <v>246</v>
      </c>
      <c r="C155" s="23">
        <f t="shared" si="4"/>
        <v>12500</v>
      </c>
      <c r="D155" s="24">
        <v>0.12</v>
      </c>
      <c r="E155" s="24">
        <v>1500</v>
      </c>
      <c r="F155" s="24">
        <v>0.4766</v>
      </c>
      <c r="G155" s="24">
        <v>5957.55</v>
      </c>
      <c r="H155" s="24">
        <v>0.0566</v>
      </c>
      <c r="I155" s="24">
        <v>707.55</v>
      </c>
      <c r="J155" s="24">
        <v>0.5234</v>
      </c>
      <c r="K155" s="24">
        <v>6542.45</v>
      </c>
      <c r="L155" s="14" t="s">
        <v>85</v>
      </c>
      <c r="M155" s="14" t="s">
        <v>107</v>
      </c>
      <c r="N155" s="23">
        <v>12500</v>
      </c>
      <c r="O155" s="20">
        <f t="shared" si="5"/>
        <v>1</v>
      </c>
    </row>
    <row r="156" ht="28" spans="1:15">
      <c r="A156" s="14" t="s">
        <v>34</v>
      </c>
      <c r="B156" s="14" t="s">
        <v>247</v>
      </c>
      <c r="C156" s="23">
        <f t="shared" si="4"/>
        <v>30000</v>
      </c>
      <c r="D156" s="24">
        <v>0.12</v>
      </c>
      <c r="E156" s="24">
        <v>3600</v>
      </c>
      <c r="F156" s="24">
        <v>0.5651</v>
      </c>
      <c r="G156" s="24">
        <v>16953.96</v>
      </c>
      <c r="H156" s="24">
        <v>0.0566</v>
      </c>
      <c r="I156" s="24">
        <v>1698.11</v>
      </c>
      <c r="J156" s="24">
        <v>0.4349</v>
      </c>
      <c r="K156" s="24">
        <v>13046.04</v>
      </c>
      <c r="L156" s="14" t="s">
        <v>85</v>
      </c>
      <c r="M156" s="14" t="s">
        <v>107</v>
      </c>
      <c r="N156" s="23">
        <v>30000</v>
      </c>
      <c r="O156" s="20">
        <f t="shared" si="5"/>
        <v>1</v>
      </c>
    </row>
    <row r="157" ht="28" spans="1:15">
      <c r="A157" s="14" t="s">
        <v>34</v>
      </c>
      <c r="B157" s="14" t="s">
        <v>248</v>
      </c>
      <c r="C157" s="23">
        <f t="shared" si="4"/>
        <v>53148</v>
      </c>
      <c r="D157" s="24">
        <v>0.12</v>
      </c>
      <c r="E157" s="24">
        <v>6377.76</v>
      </c>
      <c r="F157" s="24">
        <v>0.5421</v>
      </c>
      <c r="G157" s="24">
        <v>28811.14</v>
      </c>
      <c r="H157" s="24">
        <v>0.0566</v>
      </c>
      <c r="I157" s="24">
        <v>3008.38</v>
      </c>
      <c r="J157" s="24">
        <v>0.4579</v>
      </c>
      <c r="K157" s="24">
        <v>24336.86</v>
      </c>
      <c r="L157" s="14" t="s">
        <v>85</v>
      </c>
      <c r="M157" s="14" t="s">
        <v>107</v>
      </c>
      <c r="N157" s="23">
        <v>53148</v>
      </c>
      <c r="O157" s="20">
        <f t="shared" si="5"/>
        <v>1</v>
      </c>
    </row>
    <row r="158" ht="28" spans="1:15">
      <c r="A158" s="14" t="s">
        <v>34</v>
      </c>
      <c r="B158" s="14" t="s">
        <v>249</v>
      </c>
      <c r="C158" s="23">
        <f t="shared" si="4"/>
        <v>37500</v>
      </c>
      <c r="D158" s="24">
        <v>0.12</v>
      </c>
      <c r="E158" s="24">
        <v>4500</v>
      </c>
      <c r="F158" s="24">
        <v>0.6266</v>
      </c>
      <c r="G158" s="24">
        <v>23497.64</v>
      </c>
      <c r="H158" s="24">
        <v>0.0566</v>
      </c>
      <c r="I158" s="24">
        <v>2122.64</v>
      </c>
      <c r="J158" s="24">
        <v>0.3734</v>
      </c>
      <c r="K158" s="24">
        <v>14002.36</v>
      </c>
      <c r="L158" s="14" t="s">
        <v>85</v>
      </c>
      <c r="M158" s="14" t="s">
        <v>107</v>
      </c>
      <c r="N158" s="23">
        <v>37500</v>
      </c>
      <c r="O158" s="20">
        <f t="shared" si="5"/>
        <v>1</v>
      </c>
    </row>
    <row r="159" ht="28" spans="1:15">
      <c r="A159" s="14" t="s">
        <v>34</v>
      </c>
      <c r="B159" s="14" t="s">
        <v>114</v>
      </c>
      <c r="C159" s="24">
        <f t="shared" si="4"/>
        <v>30000</v>
      </c>
      <c r="D159" s="25">
        <v>0.08</v>
      </c>
      <c r="E159" s="14">
        <v>2400</v>
      </c>
      <c r="F159" s="25">
        <v>0.4366</v>
      </c>
      <c r="G159" s="26">
        <v>13098.11</v>
      </c>
      <c r="H159" s="25">
        <v>0.0566</v>
      </c>
      <c r="I159" s="26">
        <v>1698.11</v>
      </c>
      <c r="J159" s="25">
        <v>0.5634</v>
      </c>
      <c r="K159" s="26">
        <v>16901.89</v>
      </c>
      <c r="L159" s="14" t="s">
        <v>85</v>
      </c>
      <c r="M159" s="14" t="s">
        <v>89</v>
      </c>
      <c r="N159" s="19">
        <v>30000</v>
      </c>
      <c r="O159" s="20">
        <f t="shared" si="5"/>
        <v>1</v>
      </c>
    </row>
    <row r="160" ht="28" spans="1:15">
      <c r="A160" s="14" t="s">
        <v>34</v>
      </c>
      <c r="B160" s="14" t="s">
        <v>250</v>
      </c>
      <c r="C160" s="23">
        <f t="shared" si="4"/>
        <v>34500</v>
      </c>
      <c r="D160" s="24">
        <v>0.12</v>
      </c>
      <c r="E160" s="24">
        <v>4140</v>
      </c>
      <c r="F160" s="24">
        <v>0.5766</v>
      </c>
      <c r="G160" s="24">
        <v>19892.83</v>
      </c>
      <c r="H160" s="24">
        <v>0.0566</v>
      </c>
      <c r="I160" s="24">
        <v>1952.83</v>
      </c>
      <c r="J160" s="24">
        <v>0.4234</v>
      </c>
      <c r="K160" s="24">
        <v>14607.17</v>
      </c>
      <c r="L160" s="14" t="s">
        <v>85</v>
      </c>
      <c r="M160" s="14" t="s">
        <v>107</v>
      </c>
      <c r="N160" s="23">
        <v>34500</v>
      </c>
      <c r="O160" s="20">
        <f t="shared" si="5"/>
        <v>1</v>
      </c>
    </row>
    <row r="161" ht="28" spans="1:15">
      <c r="A161" s="14" t="s">
        <v>16</v>
      </c>
      <c r="B161" s="14" t="s">
        <v>251</v>
      </c>
      <c r="C161" s="24">
        <f t="shared" si="4"/>
        <v>72000</v>
      </c>
      <c r="D161" s="25">
        <v>0.1698</v>
      </c>
      <c r="E161" s="14">
        <v>12226.4154</v>
      </c>
      <c r="F161" s="25">
        <v>0.2264</v>
      </c>
      <c r="G161" s="26">
        <v>16301.8854</v>
      </c>
      <c r="H161" s="25">
        <v>0.0566</v>
      </c>
      <c r="I161" s="26">
        <v>4075.47</v>
      </c>
      <c r="J161" s="25">
        <v>0.7736</v>
      </c>
      <c r="K161" s="26">
        <v>55698.1146</v>
      </c>
      <c r="L161" s="14" t="s">
        <v>85</v>
      </c>
      <c r="M161" s="14" t="s">
        <v>89</v>
      </c>
      <c r="N161" s="19">
        <v>720000</v>
      </c>
      <c r="O161" s="20">
        <f t="shared" si="5"/>
        <v>0.1</v>
      </c>
    </row>
    <row r="162" ht="28" spans="1:15">
      <c r="A162" s="14" t="s">
        <v>16</v>
      </c>
      <c r="B162" s="14" t="s">
        <v>252</v>
      </c>
      <c r="C162" s="23">
        <f t="shared" si="4"/>
        <v>60000</v>
      </c>
      <c r="D162" s="24">
        <v>0.4717</v>
      </c>
      <c r="E162" s="24">
        <v>28301.885</v>
      </c>
      <c r="F162" s="24">
        <v>0.5283</v>
      </c>
      <c r="G162" s="24">
        <v>31698.115</v>
      </c>
      <c r="H162" s="24">
        <v>0.0566</v>
      </c>
      <c r="I162" s="24">
        <v>3396.23</v>
      </c>
      <c r="J162" s="24">
        <v>0.4717</v>
      </c>
      <c r="K162" s="24">
        <v>28301.885</v>
      </c>
      <c r="L162" s="14" t="s">
        <v>85</v>
      </c>
      <c r="M162" s="14" t="s">
        <v>104</v>
      </c>
      <c r="N162" s="23">
        <v>600000</v>
      </c>
      <c r="O162" s="20">
        <f t="shared" si="5"/>
        <v>0.1</v>
      </c>
    </row>
    <row r="163" ht="28" spans="1:15">
      <c r="A163" s="14" t="s">
        <v>16</v>
      </c>
      <c r="B163" s="14" t="s">
        <v>253</v>
      </c>
      <c r="C163" s="23">
        <f t="shared" si="4"/>
        <v>61000</v>
      </c>
      <c r="D163" s="24">
        <v>0.4717</v>
      </c>
      <c r="E163" s="24">
        <v>28773.585</v>
      </c>
      <c r="F163" s="24">
        <v>0.5283</v>
      </c>
      <c r="G163" s="24">
        <v>32226.415</v>
      </c>
      <c r="H163" s="24">
        <v>0.0566</v>
      </c>
      <c r="I163" s="24">
        <v>3452.83</v>
      </c>
      <c r="J163" s="24">
        <v>0.4717</v>
      </c>
      <c r="K163" s="24">
        <v>28773.585</v>
      </c>
      <c r="L163" s="14" t="s">
        <v>85</v>
      </c>
      <c r="M163" s="14" t="s">
        <v>104</v>
      </c>
      <c r="N163" s="23">
        <v>610000</v>
      </c>
      <c r="O163" s="20">
        <f t="shared" si="5"/>
        <v>0.1</v>
      </c>
    </row>
    <row r="164" ht="28" spans="1:15">
      <c r="A164" s="14" t="s">
        <v>43</v>
      </c>
      <c r="B164" s="14" t="s">
        <v>254</v>
      </c>
      <c r="C164" s="23">
        <f t="shared" si="4"/>
        <v>99640</v>
      </c>
      <c r="D164" s="24">
        <v>0.043</v>
      </c>
      <c r="E164" s="24">
        <v>4286.4</v>
      </c>
      <c r="F164" s="24">
        <v>0.8996</v>
      </c>
      <c r="G164" s="24">
        <v>89638.4</v>
      </c>
      <c r="H164" s="24">
        <v>0.0566</v>
      </c>
      <c r="I164" s="24">
        <v>5640</v>
      </c>
      <c r="J164" s="24">
        <v>0.1004</v>
      </c>
      <c r="K164" s="24">
        <v>10001.6</v>
      </c>
      <c r="L164" s="14" t="s">
        <v>85</v>
      </c>
      <c r="M164" s="14" t="s">
        <v>143</v>
      </c>
      <c r="N164" s="23">
        <v>99640</v>
      </c>
      <c r="O164" s="20">
        <f t="shared" si="5"/>
        <v>1</v>
      </c>
    </row>
    <row r="165" ht="28" spans="1:15">
      <c r="A165" s="14" t="s">
        <v>39</v>
      </c>
      <c r="B165" s="14" t="s">
        <v>131</v>
      </c>
      <c r="C165" s="23">
        <f t="shared" si="4"/>
        <v>120000</v>
      </c>
      <c r="D165" s="24">
        <v>0.1221</v>
      </c>
      <c r="E165" s="24">
        <v>14651.985</v>
      </c>
      <c r="F165" s="24">
        <v>0.7151</v>
      </c>
      <c r="G165" s="24">
        <v>85812.035</v>
      </c>
      <c r="H165" s="24">
        <v>0.0566</v>
      </c>
      <c r="I165" s="24">
        <v>6792.45</v>
      </c>
      <c r="J165" s="24">
        <v>0.2849</v>
      </c>
      <c r="K165" s="24">
        <v>34187.965</v>
      </c>
      <c r="L165" s="14" t="s">
        <v>85</v>
      </c>
      <c r="M165" s="14" t="s">
        <v>100</v>
      </c>
      <c r="N165" s="23">
        <v>120000</v>
      </c>
      <c r="O165" s="20">
        <f t="shared" si="5"/>
        <v>1</v>
      </c>
    </row>
    <row r="166" ht="28" spans="1:15">
      <c r="A166" s="14" t="s">
        <v>42</v>
      </c>
      <c r="B166" s="14" t="s">
        <v>255</v>
      </c>
      <c r="C166" s="24">
        <f t="shared" si="4"/>
        <v>80000</v>
      </c>
      <c r="D166" s="25">
        <v>0.0235</v>
      </c>
      <c r="E166" s="14">
        <v>1881.51</v>
      </c>
      <c r="F166" s="25">
        <v>0.9451</v>
      </c>
      <c r="G166" s="26">
        <v>75609.81</v>
      </c>
      <c r="H166" s="25">
        <v>0.0566</v>
      </c>
      <c r="I166" s="26">
        <v>4528.3</v>
      </c>
      <c r="J166" s="25">
        <v>0.0549</v>
      </c>
      <c r="K166" s="26">
        <v>4390.19</v>
      </c>
      <c r="L166" s="14" t="s">
        <v>85</v>
      </c>
      <c r="M166" s="14" t="s">
        <v>89</v>
      </c>
      <c r="N166" s="19">
        <v>80000</v>
      </c>
      <c r="O166" s="20">
        <f t="shared" si="5"/>
        <v>1</v>
      </c>
    </row>
    <row r="167" ht="28" spans="1:15">
      <c r="A167" s="14" t="s">
        <v>42</v>
      </c>
      <c r="B167" s="14" t="s">
        <v>256</v>
      </c>
      <c r="C167" s="24">
        <f t="shared" si="4"/>
        <v>20000</v>
      </c>
      <c r="D167" s="25">
        <v>0.0235</v>
      </c>
      <c r="E167" s="14">
        <v>470.376</v>
      </c>
      <c r="F167" s="25">
        <v>0.9451</v>
      </c>
      <c r="G167" s="26">
        <v>18902.456</v>
      </c>
      <c r="H167" s="25">
        <v>0.0566</v>
      </c>
      <c r="I167" s="26">
        <v>1132.08</v>
      </c>
      <c r="J167" s="25">
        <v>0.0549</v>
      </c>
      <c r="K167" s="26">
        <v>1097.544</v>
      </c>
      <c r="L167" s="14" t="s">
        <v>85</v>
      </c>
      <c r="M167" s="14" t="s">
        <v>89</v>
      </c>
      <c r="N167" s="19">
        <v>20000</v>
      </c>
      <c r="O167" s="20">
        <f t="shared" si="5"/>
        <v>1</v>
      </c>
    </row>
    <row r="168" ht="28" spans="1:15">
      <c r="A168" s="14" t="s">
        <v>20</v>
      </c>
      <c r="B168" s="14" t="s">
        <v>257</v>
      </c>
      <c r="C168" s="24">
        <f t="shared" si="4"/>
        <v>13861</v>
      </c>
      <c r="D168" s="25">
        <v>0.1698</v>
      </c>
      <c r="E168" s="14">
        <v>2353.7556</v>
      </c>
      <c r="F168" s="25">
        <v>0.2264</v>
      </c>
      <c r="G168" s="26">
        <v>3138.3356</v>
      </c>
      <c r="H168" s="25">
        <v>0.0566</v>
      </c>
      <c r="I168" s="26">
        <v>784.58</v>
      </c>
      <c r="J168" s="25">
        <v>0.7736</v>
      </c>
      <c r="K168" s="26">
        <v>10722.6644</v>
      </c>
      <c r="L168" s="14" t="s">
        <v>85</v>
      </c>
      <c r="M168" s="14" t="s">
        <v>89</v>
      </c>
      <c r="N168" s="19">
        <v>70000</v>
      </c>
      <c r="O168" s="20">
        <f t="shared" si="5"/>
        <v>0.198014285714286</v>
      </c>
    </row>
    <row r="169" ht="28" spans="1:15">
      <c r="A169" s="14" t="s">
        <v>20</v>
      </c>
      <c r="B169" s="14" t="s">
        <v>258</v>
      </c>
      <c r="C169" s="24">
        <f t="shared" si="4"/>
        <v>19307</v>
      </c>
      <c r="D169" s="25">
        <v>0.1698</v>
      </c>
      <c r="E169" s="14">
        <v>3278.547</v>
      </c>
      <c r="F169" s="25">
        <v>0.2264</v>
      </c>
      <c r="G169" s="26">
        <v>4371.397</v>
      </c>
      <c r="H169" s="25">
        <v>0.0566</v>
      </c>
      <c r="I169" s="26">
        <v>1092.85</v>
      </c>
      <c r="J169" s="25">
        <v>0.7736</v>
      </c>
      <c r="K169" s="26">
        <v>14935.603</v>
      </c>
      <c r="L169" s="14" t="s">
        <v>85</v>
      </c>
      <c r="M169" s="14" t="s">
        <v>89</v>
      </c>
      <c r="N169" s="19">
        <v>130000</v>
      </c>
      <c r="O169" s="20">
        <f t="shared" si="5"/>
        <v>0.148515384615385</v>
      </c>
    </row>
    <row r="170" ht="28" spans="1:15">
      <c r="A170" s="14" t="s">
        <v>20</v>
      </c>
      <c r="B170" s="14" t="s">
        <v>259</v>
      </c>
      <c r="C170" s="24">
        <f t="shared" si="4"/>
        <v>44554</v>
      </c>
      <c r="D170" s="25">
        <v>0.1698</v>
      </c>
      <c r="E170" s="14">
        <v>7565.7744</v>
      </c>
      <c r="F170" s="25">
        <v>0.2264</v>
      </c>
      <c r="G170" s="26">
        <v>10087.6944</v>
      </c>
      <c r="H170" s="25">
        <v>0.0566</v>
      </c>
      <c r="I170" s="26">
        <v>2521.92</v>
      </c>
      <c r="J170" s="25">
        <v>0.7736</v>
      </c>
      <c r="K170" s="26">
        <v>34466.3056</v>
      </c>
      <c r="L170" s="14" t="s">
        <v>85</v>
      </c>
      <c r="M170" s="14" t="s">
        <v>89</v>
      </c>
      <c r="N170" s="19">
        <v>300000</v>
      </c>
      <c r="O170" s="20">
        <f t="shared" si="5"/>
        <v>0.148513333333333</v>
      </c>
    </row>
    <row r="171" ht="28" spans="1:15">
      <c r="A171" s="14" t="s">
        <v>20</v>
      </c>
      <c r="B171" s="14" t="s">
        <v>260</v>
      </c>
      <c r="C171" s="24">
        <f t="shared" si="4"/>
        <v>59406</v>
      </c>
      <c r="D171" s="25">
        <v>0.1698</v>
      </c>
      <c r="E171" s="14">
        <v>10087.812</v>
      </c>
      <c r="F171" s="25">
        <v>0.2264</v>
      </c>
      <c r="G171" s="26">
        <v>13450.412</v>
      </c>
      <c r="H171" s="25">
        <v>0.0566</v>
      </c>
      <c r="I171" s="26">
        <v>3362.6</v>
      </c>
      <c r="J171" s="25">
        <v>0.7736</v>
      </c>
      <c r="K171" s="26">
        <v>45955.588</v>
      </c>
      <c r="L171" s="14" t="s">
        <v>85</v>
      </c>
      <c r="M171" s="14" t="s">
        <v>89</v>
      </c>
      <c r="N171" s="19">
        <v>400000</v>
      </c>
      <c r="O171" s="20">
        <f t="shared" si="5"/>
        <v>0.148515</v>
      </c>
    </row>
    <row r="172" ht="28" spans="1:15">
      <c r="A172" s="14" t="s">
        <v>20</v>
      </c>
      <c r="B172" s="14" t="s">
        <v>261</v>
      </c>
      <c r="C172" s="24">
        <f t="shared" si="4"/>
        <v>59406</v>
      </c>
      <c r="D172" s="25">
        <v>0.1698</v>
      </c>
      <c r="E172" s="14">
        <v>10087.812</v>
      </c>
      <c r="F172" s="25">
        <v>0.2264</v>
      </c>
      <c r="G172" s="26">
        <v>13450.412</v>
      </c>
      <c r="H172" s="25">
        <v>0.0566</v>
      </c>
      <c r="I172" s="26">
        <v>3362.6</v>
      </c>
      <c r="J172" s="25">
        <v>0.7736</v>
      </c>
      <c r="K172" s="26">
        <v>45955.588</v>
      </c>
      <c r="L172" s="14" t="s">
        <v>85</v>
      </c>
      <c r="M172" s="14" t="s">
        <v>89</v>
      </c>
      <c r="N172" s="19">
        <v>400000</v>
      </c>
      <c r="O172" s="20">
        <f t="shared" si="5"/>
        <v>0.148515</v>
      </c>
    </row>
    <row r="173" ht="28" spans="1:15">
      <c r="A173" s="14" t="s">
        <v>49</v>
      </c>
      <c r="B173" s="14" t="s">
        <v>262</v>
      </c>
      <c r="C173" s="23">
        <f t="shared" si="4"/>
        <v>50000</v>
      </c>
      <c r="D173" s="24">
        <v>0.0988</v>
      </c>
      <c r="E173" s="24">
        <v>4940.943</v>
      </c>
      <c r="F173" s="24">
        <v>0.7694</v>
      </c>
      <c r="G173" s="24">
        <v>38471.133</v>
      </c>
      <c r="H173" s="24">
        <v>0.0566</v>
      </c>
      <c r="I173" s="24">
        <v>2830.19</v>
      </c>
      <c r="J173" s="24">
        <v>0.2306</v>
      </c>
      <c r="K173" s="24">
        <v>11528.867</v>
      </c>
      <c r="L173" s="14" t="s">
        <v>85</v>
      </c>
      <c r="M173" s="14" t="s">
        <v>143</v>
      </c>
      <c r="N173" s="23">
        <v>50000</v>
      </c>
      <c r="O173" s="20">
        <f t="shared" si="5"/>
        <v>1</v>
      </c>
    </row>
    <row r="174" ht="28" spans="1:15">
      <c r="A174" s="14" t="s">
        <v>26</v>
      </c>
      <c r="B174" s="14" t="s">
        <v>263</v>
      </c>
      <c r="C174" s="23">
        <f t="shared" si="4"/>
        <v>60000</v>
      </c>
      <c r="D174" s="24">
        <v>0.12</v>
      </c>
      <c r="E174" s="24">
        <v>7200</v>
      </c>
      <c r="F174" s="24">
        <v>0.6766</v>
      </c>
      <c r="G174" s="24">
        <v>40596.23</v>
      </c>
      <c r="H174" s="24">
        <v>0.0566</v>
      </c>
      <c r="I174" s="24">
        <v>3396.23</v>
      </c>
      <c r="J174" s="24">
        <v>0.3234</v>
      </c>
      <c r="K174" s="24">
        <v>19403.77</v>
      </c>
      <c r="L174" s="14" t="s">
        <v>85</v>
      </c>
      <c r="M174" s="14" t="s">
        <v>86</v>
      </c>
      <c r="N174" s="23">
        <v>60000</v>
      </c>
      <c r="O174" s="20">
        <f t="shared" si="5"/>
        <v>1</v>
      </c>
    </row>
    <row r="175" ht="28" spans="1:15">
      <c r="A175" s="14" t="s">
        <v>24</v>
      </c>
      <c r="B175" s="14" t="s">
        <v>264</v>
      </c>
      <c r="C175" s="23">
        <f t="shared" si="4"/>
        <v>63600</v>
      </c>
      <c r="D175" s="24">
        <v>0.0943</v>
      </c>
      <c r="E175" s="24">
        <v>6000</v>
      </c>
      <c r="F175" s="24">
        <v>0.7799</v>
      </c>
      <c r="G175" s="24">
        <v>49600</v>
      </c>
      <c r="H175" s="24">
        <v>0.0566</v>
      </c>
      <c r="I175" s="24">
        <v>3600</v>
      </c>
      <c r="J175" s="24">
        <v>0.2201</v>
      </c>
      <c r="K175" s="24">
        <v>14000</v>
      </c>
      <c r="L175" s="14" t="s">
        <v>85</v>
      </c>
      <c r="M175" s="14" t="s">
        <v>100</v>
      </c>
      <c r="N175" s="23">
        <v>63600</v>
      </c>
      <c r="O175" s="20">
        <f t="shared" si="5"/>
        <v>1</v>
      </c>
    </row>
    <row r="176" ht="28" spans="1:15">
      <c r="A176" s="14" t="s">
        <v>24</v>
      </c>
      <c r="B176" s="14" t="s">
        <v>265</v>
      </c>
      <c r="C176" s="24">
        <f t="shared" si="4"/>
        <v>150000</v>
      </c>
      <c r="D176" s="25">
        <v>0.168</v>
      </c>
      <c r="E176" s="14">
        <v>25196.2974</v>
      </c>
      <c r="F176" s="25">
        <v>0.2348</v>
      </c>
      <c r="G176" s="26">
        <v>35216.8674</v>
      </c>
      <c r="H176" s="25">
        <v>0.0566</v>
      </c>
      <c r="I176" s="26">
        <v>8490.57</v>
      </c>
      <c r="J176" s="25">
        <v>0.7652</v>
      </c>
      <c r="K176" s="26">
        <v>114783.1326</v>
      </c>
      <c r="L176" s="14" t="s">
        <v>85</v>
      </c>
      <c r="M176" s="14" t="s">
        <v>89</v>
      </c>
      <c r="N176" s="19">
        <v>1000000</v>
      </c>
      <c r="O176" s="20">
        <f t="shared" si="5"/>
        <v>0.15</v>
      </c>
    </row>
    <row r="177" ht="28" spans="1:15">
      <c r="A177" s="14" t="s">
        <v>26</v>
      </c>
      <c r="B177" s="14" t="s">
        <v>266</v>
      </c>
      <c r="C177" s="23">
        <f t="shared" si="4"/>
        <v>100000</v>
      </c>
      <c r="D177" s="24">
        <v>0.12</v>
      </c>
      <c r="E177" s="24">
        <v>12000</v>
      </c>
      <c r="F177" s="24">
        <v>0.6766</v>
      </c>
      <c r="G177" s="24">
        <v>67660.38</v>
      </c>
      <c r="H177" s="24">
        <v>0.0566</v>
      </c>
      <c r="I177" s="24">
        <v>5660.38</v>
      </c>
      <c r="J177" s="24">
        <v>0.3234</v>
      </c>
      <c r="K177" s="24">
        <v>32339.62</v>
      </c>
      <c r="L177" s="14" t="s">
        <v>85</v>
      </c>
      <c r="M177" s="14" t="s">
        <v>86</v>
      </c>
      <c r="N177" s="23">
        <v>100000</v>
      </c>
      <c r="O177" s="20">
        <f t="shared" si="5"/>
        <v>1</v>
      </c>
    </row>
    <row r="178" ht="28" spans="1:15">
      <c r="A178" s="14" t="s">
        <v>47</v>
      </c>
      <c r="B178" s="14" t="s">
        <v>267</v>
      </c>
      <c r="C178" s="23">
        <f t="shared" si="4"/>
        <v>65000</v>
      </c>
      <c r="D178" s="24">
        <v>0.05</v>
      </c>
      <c r="E178" s="24">
        <v>3250</v>
      </c>
      <c r="F178" s="24">
        <v>0.742</v>
      </c>
      <c r="G178" s="24">
        <v>48229.25</v>
      </c>
      <c r="H178" s="24">
        <v>0.0566</v>
      </c>
      <c r="I178" s="24">
        <v>3679.25</v>
      </c>
      <c r="J178" s="24">
        <v>0.258</v>
      </c>
      <c r="K178" s="24">
        <v>16770.75</v>
      </c>
      <c r="L178" s="14" t="s">
        <v>85</v>
      </c>
      <c r="M178" s="14" t="s">
        <v>86</v>
      </c>
      <c r="N178" s="23">
        <v>65000</v>
      </c>
      <c r="O178" s="20">
        <f t="shared" si="5"/>
        <v>1</v>
      </c>
    </row>
    <row r="179" ht="28" spans="1:15">
      <c r="A179" s="14" t="s">
        <v>38</v>
      </c>
      <c r="B179" s="14" t="s">
        <v>254</v>
      </c>
      <c r="C179" s="24">
        <f t="shared" si="4"/>
        <v>134832</v>
      </c>
      <c r="D179" s="25">
        <v>0.0091</v>
      </c>
      <c r="E179" s="14">
        <v>1230.714</v>
      </c>
      <c r="F179" s="25">
        <v>0.9787</v>
      </c>
      <c r="G179" s="26">
        <v>131960.334</v>
      </c>
      <c r="H179" s="25">
        <v>0.0566</v>
      </c>
      <c r="I179" s="26">
        <v>7632</v>
      </c>
      <c r="J179" s="25">
        <v>0.0213</v>
      </c>
      <c r="K179" s="26">
        <v>2871.666</v>
      </c>
      <c r="L179" s="14" t="s">
        <v>85</v>
      </c>
      <c r="M179" s="14" t="s">
        <v>89</v>
      </c>
      <c r="N179" s="19">
        <v>134832</v>
      </c>
      <c r="O179" s="20">
        <f t="shared" si="5"/>
        <v>1</v>
      </c>
    </row>
    <row r="180" ht="28" spans="1:15">
      <c r="A180" s="14" t="s">
        <v>17</v>
      </c>
      <c r="B180" s="14" t="s">
        <v>268</v>
      </c>
      <c r="C180" s="24">
        <f t="shared" si="4"/>
        <v>40000</v>
      </c>
      <c r="D180" s="25">
        <v>0.1698</v>
      </c>
      <c r="E180" s="14">
        <v>6792.453</v>
      </c>
      <c r="F180" s="25">
        <v>0.2264</v>
      </c>
      <c r="G180" s="26">
        <v>9056.603</v>
      </c>
      <c r="H180" s="25">
        <v>0.0566</v>
      </c>
      <c r="I180" s="26">
        <v>2264.15</v>
      </c>
      <c r="J180" s="25">
        <v>0.7736</v>
      </c>
      <c r="K180" s="26">
        <v>30943.397</v>
      </c>
      <c r="L180" s="14" t="s">
        <v>85</v>
      </c>
      <c r="M180" s="14" t="s">
        <v>89</v>
      </c>
      <c r="N180" s="19">
        <v>400000</v>
      </c>
      <c r="O180" s="20">
        <f t="shared" si="5"/>
        <v>0.1</v>
      </c>
    </row>
    <row r="181" ht="28" spans="1:15">
      <c r="A181" s="14" t="s">
        <v>17</v>
      </c>
      <c r="B181" s="14" t="s">
        <v>269</v>
      </c>
      <c r="C181" s="24">
        <f t="shared" si="4"/>
        <v>13000</v>
      </c>
      <c r="D181" s="25">
        <v>0.1698</v>
      </c>
      <c r="E181" s="14">
        <v>2207.547</v>
      </c>
      <c r="F181" s="25">
        <v>0.2264</v>
      </c>
      <c r="G181" s="26">
        <v>2943.397</v>
      </c>
      <c r="H181" s="25">
        <v>0.0566</v>
      </c>
      <c r="I181" s="26">
        <v>735.85</v>
      </c>
      <c r="J181" s="25">
        <v>0.7736</v>
      </c>
      <c r="K181" s="26">
        <v>10056.603</v>
      </c>
      <c r="L181" s="14" t="s">
        <v>85</v>
      </c>
      <c r="M181" s="14" t="s">
        <v>89</v>
      </c>
      <c r="N181" s="19">
        <v>130000</v>
      </c>
      <c r="O181" s="20">
        <f t="shared" si="5"/>
        <v>0.1</v>
      </c>
    </row>
    <row r="182" ht="28" spans="1:15">
      <c r="A182" s="14" t="s">
        <v>17</v>
      </c>
      <c r="B182" s="14" t="s">
        <v>270</v>
      </c>
      <c r="C182" s="23">
        <f t="shared" si="4"/>
        <v>100000</v>
      </c>
      <c r="D182" s="24">
        <v>0.283</v>
      </c>
      <c r="E182" s="24">
        <v>28301.886</v>
      </c>
      <c r="F182" s="24">
        <v>0.3396</v>
      </c>
      <c r="G182" s="24">
        <v>33962.266</v>
      </c>
      <c r="H182" s="24">
        <v>0.0566</v>
      </c>
      <c r="I182" s="24">
        <v>5660.38</v>
      </c>
      <c r="J182" s="24">
        <v>0.6604</v>
      </c>
      <c r="K182" s="24">
        <v>66037.734</v>
      </c>
      <c r="L182" s="14" t="s">
        <v>85</v>
      </c>
      <c r="M182" s="14" t="s">
        <v>100</v>
      </c>
      <c r="N182" s="23">
        <v>1000000</v>
      </c>
      <c r="O182" s="20">
        <f t="shared" si="5"/>
        <v>0.1</v>
      </c>
    </row>
    <row r="183" ht="28" spans="1:15">
      <c r="A183" s="14" t="s">
        <v>71</v>
      </c>
      <c r="B183" s="14" t="s">
        <v>271</v>
      </c>
      <c r="C183" s="23">
        <f t="shared" si="4"/>
        <v>148170</v>
      </c>
      <c r="D183" s="24">
        <v>0.0759</v>
      </c>
      <c r="E183" s="24">
        <v>11240.442</v>
      </c>
      <c r="F183" s="24">
        <v>0.823</v>
      </c>
      <c r="G183" s="24">
        <v>121942.302</v>
      </c>
      <c r="H183" s="24">
        <v>0.0566</v>
      </c>
      <c r="I183" s="24">
        <v>8386.98</v>
      </c>
      <c r="J183" s="24">
        <v>0.177</v>
      </c>
      <c r="K183" s="24">
        <v>26227.698</v>
      </c>
      <c r="L183" s="14" t="s">
        <v>85</v>
      </c>
      <c r="M183" s="14" t="s">
        <v>143</v>
      </c>
      <c r="N183" s="23">
        <v>148170</v>
      </c>
      <c r="O183" s="20">
        <f t="shared" si="5"/>
        <v>1</v>
      </c>
    </row>
    <row r="184" s="17" customFormat="1" ht="28" spans="1:15">
      <c r="A184" s="14" t="s">
        <v>44</v>
      </c>
      <c r="B184" s="14" t="s">
        <v>272</v>
      </c>
      <c r="C184" s="23">
        <f t="shared" si="4"/>
        <v>95000</v>
      </c>
      <c r="D184" s="24">
        <v>0.1349</v>
      </c>
      <c r="E184" s="24">
        <v>12812.052</v>
      </c>
      <c r="F184" s="24">
        <v>0.6853</v>
      </c>
      <c r="G184" s="24">
        <v>65105.212</v>
      </c>
      <c r="H184" s="24">
        <v>0.0566</v>
      </c>
      <c r="I184" s="24">
        <v>5377.36</v>
      </c>
      <c r="J184" s="24">
        <v>0.3147</v>
      </c>
      <c r="K184" s="24">
        <v>29894.788</v>
      </c>
      <c r="L184" s="14" t="s">
        <v>85</v>
      </c>
      <c r="M184" s="14" t="s">
        <v>100</v>
      </c>
      <c r="N184" s="23">
        <v>95000</v>
      </c>
      <c r="O184" s="29">
        <f t="shared" si="5"/>
        <v>1</v>
      </c>
    </row>
    <row r="185" ht="28" spans="1:15">
      <c r="A185" s="14" t="s">
        <v>21</v>
      </c>
      <c r="B185" s="14" t="s">
        <v>234</v>
      </c>
      <c r="C185" s="23">
        <f t="shared" si="4"/>
        <v>146100</v>
      </c>
      <c r="D185" s="24">
        <v>0.09</v>
      </c>
      <c r="E185" s="24">
        <v>13149</v>
      </c>
      <c r="F185" s="24">
        <v>0.9955</v>
      </c>
      <c r="G185" s="24">
        <v>145441.12</v>
      </c>
      <c r="H185" s="24">
        <v>0.0566</v>
      </c>
      <c r="I185" s="24">
        <v>8269.81</v>
      </c>
      <c r="J185" s="24">
        <v>0.0045</v>
      </c>
      <c r="K185" s="24">
        <v>658.88</v>
      </c>
      <c r="L185" s="14" t="s">
        <v>85</v>
      </c>
      <c r="M185" s="14" t="s">
        <v>86</v>
      </c>
      <c r="N185" s="23">
        <v>146100</v>
      </c>
      <c r="O185" s="20">
        <f t="shared" si="5"/>
        <v>1</v>
      </c>
    </row>
    <row r="186" ht="28" spans="1:15">
      <c r="A186" s="14" t="s">
        <v>21</v>
      </c>
      <c r="B186" s="14" t="s">
        <v>84</v>
      </c>
      <c r="C186" s="23">
        <f t="shared" si="4"/>
        <v>106000</v>
      </c>
      <c r="D186" s="24">
        <v>0.0148</v>
      </c>
      <c r="E186" s="24">
        <v>1564.98</v>
      </c>
      <c r="F186" s="24">
        <v>0.9656</v>
      </c>
      <c r="G186" s="24">
        <v>102348.38</v>
      </c>
      <c r="H186" s="24">
        <v>0.0566</v>
      </c>
      <c r="I186" s="24">
        <v>6000</v>
      </c>
      <c r="J186" s="24">
        <v>0.0344</v>
      </c>
      <c r="K186" s="24">
        <v>3651.62</v>
      </c>
      <c r="L186" s="14" t="s">
        <v>85</v>
      </c>
      <c r="M186" s="14" t="s">
        <v>141</v>
      </c>
      <c r="N186" s="23">
        <v>106000</v>
      </c>
      <c r="O186" s="20">
        <f t="shared" si="5"/>
        <v>1</v>
      </c>
    </row>
    <row r="187" ht="28" spans="1:15">
      <c r="A187" s="14" t="s">
        <v>21</v>
      </c>
      <c r="B187" s="14" t="s">
        <v>110</v>
      </c>
      <c r="C187" s="24">
        <f t="shared" si="4"/>
        <v>100000</v>
      </c>
      <c r="D187" s="25">
        <v>0.0357</v>
      </c>
      <c r="E187" s="14">
        <v>3572.886</v>
      </c>
      <c r="F187" s="25">
        <v>0.9166</v>
      </c>
      <c r="G187" s="26">
        <v>91663.266</v>
      </c>
      <c r="H187" s="25">
        <v>0.0566</v>
      </c>
      <c r="I187" s="26">
        <v>5660.38</v>
      </c>
      <c r="J187" s="25">
        <v>0.0834</v>
      </c>
      <c r="K187" s="26">
        <v>8336.734</v>
      </c>
      <c r="L187" s="14" t="s">
        <v>85</v>
      </c>
      <c r="M187" s="14" t="s">
        <v>89</v>
      </c>
      <c r="N187" s="19">
        <v>100000</v>
      </c>
      <c r="O187" s="20">
        <f t="shared" si="5"/>
        <v>1</v>
      </c>
    </row>
    <row r="188" ht="28" spans="1:15">
      <c r="A188" s="14" t="s">
        <v>21</v>
      </c>
      <c r="B188" s="14" t="s">
        <v>114</v>
      </c>
      <c r="C188" s="24">
        <f t="shared" si="4"/>
        <v>100000</v>
      </c>
      <c r="D188" s="25">
        <v>0.0341</v>
      </c>
      <c r="E188" s="14">
        <v>3405.837</v>
      </c>
      <c r="F188" s="25">
        <v>0.9205</v>
      </c>
      <c r="G188" s="26">
        <v>92053.047</v>
      </c>
      <c r="H188" s="25">
        <v>0.0566</v>
      </c>
      <c r="I188" s="26">
        <v>5660.38</v>
      </c>
      <c r="J188" s="25">
        <v>0.0795</v>
      </c>
      <c r="K188" s="26">
        <v>7946.953</v>
      </c>
      <c r="L188" s="14" t="s">
        <v>85</v>
      </c>
      <c r="M188" s="14" t="s">
        <v>89</v>
      </c>
      <c r="N188" s="19">
        <v>100000</v>
      </c>
      <c r="O188" s="20">
        <f t="shared" si="5"/>
        <v>1</v>
      </c>
    </row>
    <row r="189" ht="28" spans="1:15">
      <c r="A189" s="14" t="s">
        <v>21</v>
      </c>
      <c r="B189" s="14" t="s">
        <v>273</v>
      </c>
      <c r="C189" s="24">
        <f t="shared" si="4"/>
        <v>48000</v>
      </c>
      <c r="D189" s="25">
        <v>0.0378</v>
      </c>
      <c r="E189" s="14">
        <v>1815.225</v>
      </c>
      <c r="F189" s="25">
        <v>0.9118</v>
      </c>
      <c r="G189" s="26">
        <v>43764.475</v>
      </c>
      <c r="H189" s="25">
        <v>0.0566</v>
      </c>
      <c r="I189" s="26">
        <v>2716.98</v>
      </c>
      <c r="J189" s="25">
        <v>0.0882</v>
      </c>
      <c r="K189" s="26">
        <v>4235.525</v>
      </c>
      <c r="L189" s="14" t="s">
        <v>85</v>
      </c>
      <c r="M189" s="14" t="s">
        <v>89</v>
      </c>
      <c r="N189" s="19">
        <v>48000</v>
      </c>
      <c r="O189" s="20">
        <f t="shared" si="5"/>
        <v>1</v>
      </c>
    </row>
    <row r="190" ht="28" spans="1:15">
      <c r="A190" s="14" t="s">
        <v>21</v>
      </c>
      <c r="B190" s="14" t="s">
        <v>274</v>
      </c>
      <c r="C190" s="24">
        <f t="shared" si="4"/>
        <v>24000</v>
      </c>
      <c r="D190" s="25">
        <v>0.0387</v>
      </c>
      <c r="E190" s="14">
        <v>928.869</v>
      </c>
      <c r="F190" s="25">
        <v>0.9097</v>
      </c>
      <c r="G190" s="26">
        <v>21832.639</v>
      </c>
      <c r="H190" s="25">
        <v>0.0566</v>
      </c>
      <c r="I190" s="26">
        <v>1358.49</v>
      </c>
      <c r="J190" s="25">
        <v>0.0903</v>
      </c>
      <c r="K190" s="26">
        <v>2167.361</v>
      </c>
      <c r="L190" s="14" t="s">
        <v>85</v>
      </c>
      <c r="M190" s="14" t="s">
        <v>89</v>
      </c>
      <c r="N190" s="19">
        <v>24000</v>
      </c>
      <c r="O190" s="20">
        <f t="shared" si="5"/>
        <v>1</v>
      </c>
    </row>
    <row r="191" ht="28" spans="1:15">
      <c r="A191" s="14" t="s">
        <v>21</v>
      </c>
      <c r="B191" s="14" t="s">
        <v>275</v>
      </c>
      <c r="C191" s="24">
        <f t="shared" si="4"/>
        <v>48000</v>
      </c>
      <c r="D191" s="25">
        <v>0.0387</v>
      </c>
      <c r="E191" s="14">
        <v>1857.735</v>
      </c>
      <c r="F191" s="25">
        <v>0.9097</v>
      </c>
      <c r="G191" s="26">
        <v>43665.285</v>
      </c>
      <c r="H191" s="25">
        <v>0.0566</v>
      </c>
      <c r="I191" s="26">
        <v>2716.98</v>
      </c>
      <c r="J191" s="25">
        <v>0.0903</v>
      </c>
      <c r="K191" s="26">
        <v>4334.715</v>
      </c>
      <c r="L191" s="14" t="s">
        <v>85</v>
      </c>
      <c r="M191" s="14" t="s">
        <v>89</v>
      </c>
      <c r="N191" s="19">
        <v>48000</v>
      </c>
      <c r="O191" s="20">
        <f t="shared" si="5"/>
        <v>1</v>
      </c>
    </row>
    <row r="192" ht="28" spans="1:15">
      <c r="A192" s="14" t="s">
        <v>21</v>
      </c>
      <c r="B192" s="14" t="s">
        <v>276</v>
      </c>
      <c r="C192" s="24">
        <f t="shared" si="4"/>
        <v>16000</v>
      </c>
      <c r="D192" s="25">
        <v>0.0387</v>
      </c>
      <c r="E192" s="14">
        <v>619.245</v>
      </c>
      <c r="F192" s="25">
        <v>0.9097</v>
      </c>
      <c r="G192" s="26">
        <v>14555.095</v>
      </c>
      <c r="H192" s="25">
        <v>0.0566</v>
      </c>
      <c r="I192" s="26">
        <v>905.66</v>
      </c>
      <c r="J192" s="25">
        <v>0.0903</v>
      </c>
      <c r="K192" s="26">
        <v>1444.905</v>
      </c>
      <c r="L192" s="14" t="s">
        <v>85</v>
      </c>
      <c r="M192" s="14" t="s">
        <v>89</v>
      </c>
      <c r="N192" s="19">
        <v>16000</v>
      </c>
      <c r="O192" s="20">
        <f t="shared" si="5"/>
        <v>1</v>
      </c>
    </row>
    <row r="193" ht="28" spans="1:15">
      <c r="A193" s="14" t="s">
        <v>21</v>
      </c>
      <c r="B193" s="14" t="s">
        <v>87</v>
      </c>
      <c r="C193" s="23">
        <f t="shared" si="4"/>
        <v>121950</v>
      </c>
      <c r="D193" s="24">
        <v>0.0284</v>
      </c>
      <c r="E193" s="24">
        <v>3464.151</v>
      </c>
      <c r="F193" s="24">
        <v>0.9337</v>
      </c>
      <c r="G193" s="24">
        <v>113866.981</v>
      </c>
      <c r="H193" s="24">
        <v>0.0566</v>
      </c>
      <c r="I193" s="24">
        <v>6902.83</v>
      </c>
      <c r="J193" s="24">
        <v>0.0663</v>
      </c>
      <c r="K193" s="24">
        <v>8083.019</v>
      </c>
      <c r="L193" s="14" t="s">
        <v>85</v>
      </c>
      <c r="M193" s="14" t="s">
        <v>143</v>
      </c>
      <c r="N193" s="23">
        <v>121950</v>
      </c>
      <c r="O193" s="20">
        <f t="shared" si="5"/>
        <v>1</v>
      </c>
    </row>
    <row r="194" ht="28" spans="1:15">
      <c r="A194" s="14" t="s">
        <v>21</v>
      </c>
      <c r="B194" s="14" t="s">
        <v>262</v>
      </c>
      <c r="C194" s="23">
        <f t="shared" ref="C194:C257" si="6">G194+K194</f>
        <v>104200</v>
      </c>
      <c r="D194" s="24">
        <v>0.05</v>
      </c>
      <c r="E194" s="24">
        <v>5210</v>
      </c>
      <c r="F194" s="24">
        <v>0.8897</v>
      </c>
      <c r="G194" s="24">
        <v>92708.11</v>
      </c>
      <c r="H194" s="24">
        <v>0.0566</v>
      </c>
      <c r="I194" s="24">
        <v>5898.11</v>
      </c>
      <c r="J194" s="24">
        <v>0.1103</v>
      </c>
      <c r="K194" s="24">
        <v>11491.89</v>
      </c>
      <c r="L194" s="14" t="s">
        <v>85</v>
      </c>
      <c r="M194" s="14" t="s">
        <v>86</v>
      </c>
      <c r="N194" s="23">
        <v>104200</v>
      </c>
      <c r="O194" s="20">
        <f t="shared" ref="O194:O257" si="7">C194/N194</f>
        <v>1</v>
      </c>
    </row>
    <row r="195" ht="28" spans="1:15">
      <c r="A195" s="14" t="s">
        <v>21</v>
      </c>
      <c r="B195" s="14" t="s">
        <v>277</v>
      </c>
      <c r="C195" s="24">
        <f t="shared" si="6"/>
        <v>25000</v>
      </c>
      <c r="D195" s="25">
        <v>0.0521</v>
      </c>
      <c r="E195" s="14">
        <v>1301.889</v>
      </c>
      <c r="F195" s="25">
        <v>0.8785</v>
      </c>
      <c r="G195" s="26">
        <v>21962.259</v>
      </c>
      <c r="H195" s="25">
        <v>0.0566</v>
      </c>
      <c r="I195" s="26">
        <v>1415.09</v>
      </c>
      <c r="J195" s="25">
        <v>0.1215</v>
      </c>
      <c r="K195" s="26">
        <v>3037.741</v>
      </c>
      <c r="L195" s="14" t="s">
        <v>85</v>
      </c>
      <c r="M195" s="14" t="s">
        <v>89</v>
      </c>
      <c r="N195" s="19">
        <v>25000</v>
      </c>
      <c r="O195" s="20">
        <f t="shared" si="7"/>
        <v>1</v>
      </c>
    </row>
    <row r="196" ht="28" spans="1:15">
      <c r="A196" s="14" t="s">
        <v>21</v>
      </c>
      <c r="B196" s="14" t="s">
        <v>278</v>
      </c>
      <c r="C196" s="24">
        <f t="shared" si="6"/>
        <v>25000</v>
      </c>
      <c r="D196" s="25">
        <v>0.0521</v>
      </c>
      <c r="E196" s="14">
        <v>1301.889</v>
      </c>
      <c r="F196" s="25">
        <v>0.8785</v>
      </c>
      <c r="G196" s="26">
        <v>21962.259</v>
      </c>
      <c r="H196" s="25">
        <v>0.0566</v>
      </c>
      <c r="I196" s="26">
        <v>1415.09</v>
      </c>
      <c r="J196" s="25">
        <v>0.1215</v>
      </c>
      <c r="K196" s="26">
        <v>3037.741</v>
      </c>
      <c r="L196" s="14" t="s">
        <v>85</v>
      </c>
      <c r="M196" s="14" t="s">
        <v>89</v>
      </c>
      <c r="N196" s="19">
        <v>25000</v>
      </c>
      <c r="O196" s="20">
        <f t="shared" si="7"/>
        <v>1</v>
      </c>
    </row>
    <row r="197" ht="28" spans="1:15">
      <c r="A197" s="14" t="s">
        <v>21</v>
      </c>
      <c r="B197" s="14" t="s">
        <v>279</v>
      </c>
      <c r="C197" s="23">
        <f t="shared" si="6"/>
        <v>29860</v>
      </c>
      <c r="D197" s="24">
        <v>0.0439</v>
      </c>
      <c r="E197" s="24">
        <v>1310.943</v>
      </c>
      <c r="F197" s="24">
        <v>0.8976</v>
      </c>
      <c r="G197" s="24">
        <v>26801.133</v>
      </c>
      <c r="H197" s="24">
        <v>0.0566</v>
      </c>
      <c r="I197" s="24">
        <v>1690.19</v>
      </c>
      <c r="J197" s="24">
        <v>0.1024</v>
      </c>
      <c r="K197" s="24">
        <v>3058.867</v>
      </c>
      <c r="L197" s="14" t="s">
        <v>85</v>
      </c>
      <c r="M197" s="14" t="s">
        <v>104</v>
      </c>
      <c r="N197" s="23">
        <v>29860</v>
      </c>
      <c r="O197" s="20">
        <f t="shared" si="7"/>
        <v>1</v>
      </c>
    </row>
    <row r="198" ht="28" spans="1:15">
      <c r="A198" s="14" t="s">
        <v>21</v>
      </c>
      <c r="B198" s="14" t="s">
        <v>280</v>
      </c>
      <c r="C198" s="23">
        <f t="shared" si="6"/>
        <v>102000</v>
      </c>
      <c r="D198" s="24">
        <v>0.05</v>
      </c>
      <c r="E198" s="24">
        <v>5100</v>
      </c>
      <c r="F198" s="24">
        <v>0.8941</v>
      </c>
      <c r="G198" s="24">
        <v>91198.58</v>
      </c>
      <c r="H198" s="24">
        <v>0.0566</v>
      </c>
      <c r="I198" s="24">
        <v>5773.58</v>
      </c>
      <c r="J198" s="24">
        <v>0.1059</v>
      </c>
      <c r="K198" s="24">
        <v>10801.42</v>
      </c>
      <c r="L198" s="14" t="s">
        <v>85</v>
      </c>
      <c r="M198" s="14" t="s">
        <v>86</v>
      </c>
      <c r="N198" s="23">
        <v>102000</v>
      </c>
      <c r="O198" s="20">
        <f t="shared" si="7"/>
        <v>1</v>
      </c>
    </row>
    <row r="199" ht="28" spans="1:15">
      <c r="A199" s="14" t="s">
        <v>21</v>
      </c>
      <c r="B199" s="14" t="s">
        <v>281</v>
      </c>
      <c r="C199" s="23">
        <f t="shared" si="6"/>
        <v>103199</v>
      </c>
      <c r="D199" s="24">
        <v>0.05</v>
      </c>
      <c r="E199" s="24">
        <v>5159.95</v>
      </c>
      <c r="F199" s="24">
        <v>0.885</v>
      </c>
      <c r="G199" s="24">
        <v>91326.4</v>
      </c>
      <c r="H199" s="24">
        <v>0.0566</v>
      </c>
      <c r="I199" s="24">
        <v>5841.45</v>
      </c>
      <c r="J199" s="24">
        <v>0.115</v>
      </c>
      <c r="K199" s="24">
        <v>11872.6</v>
      </c>
      <c r="L199" s="14" t="s">
        <v>85</v>
      </c>
      <c r="M199" s="14" t="s">
        <v>86</v>
      </c>
      <c r="N199" s="23">
        <v>103199</v>
      </c>
      <c r="O199" s="20">
        <f t="shared" si="7"/>
        <v>1</v>
      </c>
    </row>
    <row r="200" ht="28" spans="1:15">
      <c r="A200" s="14" t="s">
        <v>21</v>
      </c>
      <c r="B200" s="14" t="s">
        <v>282</v>
      </c>
      <c r="C200" s="23">
        <f t="shared" si="6"/>
        <v>14840</v>
      </c>
      <c r="D200" s="24">
        <v>0.0425</v>
      </c>
      <c r="E200" s="24">
        <v>630</v>
      </c>
      <c r="F200" s="24">
        <v>0.9009</v>
      </c>
      <c r="G200" s="24">
        <v>13370</v>
      </c>
      <c r="H200" s="24">
        <v>0.0566</v>
      </c>
      <c r="I200" s="24">
        <v>840</v>
      </c>
      <c r="J200" s="24">
        <v>0.0991</v>
      </c>
      <c r="K200" s="24">
        <v>1470</v>
      </c>
      <c r="L200" s="14" t="s">
        <v>85</v>
      </c>
      <c r="M200" s="14" t="s">
        <v>150</v>
      </c>
      <c r="N200" s="23">
        <v>14840</v>
      </c>
      <c r="O200" s="20">
        <f t="shared" si="7"/>
        <v>1</v>
      </c>
    </row>
    <row r="201" ht="28" spans="1:15">
      <c r="A201" s="14" t="s">
        <v>21</v>
      </c>
      <c r="B201" s="14" t="s">
        <v>283</v>
      </c>
      <c r="C201" s="24">
        <f t="shared" si="6"/>
        <v>12366</v>
      </c>
      <c r="D201" s="25">
        <v>0.0406</v>
      </c>
      <c r="E201" s="14">
        <v>501.912</v>
      </c>
      <c r="F201" s="25">
        <v>0.9053</v>
      </c>
      <c r="G201" s="26">
        <v>11194.872</v>
      </c>
      <c r="H201" s="25">
        <v>0.0566</v>
      </c>
      <c r="I201" s="26">
        <v>699.96</v>
      </c>
      <c r="J201" s="25">
        <v>0.0947</v>
      </c>
      <c r="K201" s="26">
        <v>1171.128</v>
      </c>
      <c r="L201" s="14" t="s">
        <v>85</v>
      </c>
      <c r="M201" s="14" t="s">
        <v>89</v>
      </c>
      <c r="N201" s="19">
        <v>12366</v>
      </c>
      <c r="O201" s="20">
        <f t="shared" si="7"/>
        <v>1</v>
      </c>
    </row>
    <row r="202" ht="28" spans="1:15">
      <c r="A202" s="14" t="s">
        <v>21</v>
      </c>
      <c r="B202" s="14" t="s">
        <v>284</v>
      </c>
      <c r="C202" s="23">
        <f t="shared" si="6"/>
        <v>80000</v>
      </c>
      <c r="D202" s="24">
        <v>0.0153</v>
      </c>
      <c r="E202" s="24">
        <v>1221.51</v>
      </c>
      <c r="F202" s="24">
        <v>0.9644</v>
      </c>
      <c r="G202" s="24">
        <v>77149.81</v>
      </c>
      <c r="H202" s="24">
        <v>0.0566</v>
      </c>
      <c r="I202" s="24">
        <v>4528.3</v>
      </c>
      <c r="J202" s="24">
        <v>0.0356</v>
      </c>
      <c r="K202" s="24">
        <v>2850.19</v>
      </c>
      <c r="L202" s="14" t="s">
        <v>85</v>
      </c>
      <c r="M202" s="14" t="s">
        <v>285</v>
      </c>
      <c r="N202" s="23">
        <v>80000</v>
      </c>
      <c r="O202" s="20">
        <f t="shared" si="7"/>
        <v>1</v>
      </c>
    </row>
    <row r="203" ht="28" spans="1:15">
      <c r="A203" s="14" t="s">
        <v>21</v>
      </c>
      <c r="B203" s="14" t="s">
        <v>286</v>
      </c>
      <c r="C203" s="23">
        <f t="shared" si="6"/>
        <v>14840</v>
      </c>
      <c r="D203" s="24">
        <v>0.0153</v>
      </c>
      <c r="E203" s="24">
        <v>226.8</v>
      </c>
      <c r="F203" s="24">
        <v>0.9643</v>
      </c>
      <c r="G203" s="24">
        <v>14310.8</v>
      </c>
      <c r="H203" s="24">
        <v>0.0566</v>
      </c>
      <c r="I203" s="24">
        <v>840</v>
      </c>
      <c r="J203" s="24">
        <v>0.0357</v>
      </c>
      <c r="K203" s="24">
        <v>529.2</v>
      </c>
      <c r="L203" s="14" t="s">
        <v>85</v>
      </c>
      <c r="M203" s="14" t="s">
        <v>287</v>
      </c>
      <c r="N203" s="23">
        <v>14840</v>
      </c>
      <c r="O203" s="20">
        <f t="shared" si="7"/>
        <v>1</v>
      </c>
    </row>
    <row r="204" ht="28" spans="1:15">
      <c r="A204" s="14" t="s">
        <v>21</v>
      </c>
      <c r="B204" s="14" t="s">
        <v>288</v>
      </c>
      <c r="C204" s="24">
        <f t="shared" si="6"/>
        <v>14840</v>
      </c>
      <c r="D204" s="25">
        <v>-0.0231</v>
      </c>
      <c r="E204" s="14">
        <v>-343.2</v>
      </c>
      <c r="F204" s="25">
        <v>1.054</v>
      </c>
      <c r="G204" s="26">
        <v>15640.8</v>
      </c>
      <c r="H204" s="25">
        <v>0.0566</v>
      </c>
      <c r="I204" s="26">
        <v>840</v>
      </c>
      <c r="J204" s="25">
        <v>-0.054</v>
      </c>
      <c r="K204" s="26">
        <v>-800.8</v>
      </c>
      <c r="L204" s="14" t="s">
        <v>85</v>
      </c>
      <c r="M204" s="14" t="s">
        <v>89</v>
      </c>
      <c r="N204" s="19">
        <v>14840</v>
      </c>
      <c r="O204" s="20">
        <f t="shared" si="7"/>
        <v>1</v>
      </c>
    </row>
    <row r="205" ht="28" spans="1:15">
      <c r="A205" s="14" t="s">
        <v>25</v>
      </c>
      <c r="B205" s="14" t="s">
        <v>289</v>
      </c>
      <c r="C205" s="23">
        <f t="shared" si="6"/>
        <v>86500</v>
      </c>
      <c r="D205" s="24">
        <v>0.0981</v>
      </c>
      <c r="E205" s="24">
        <v>8484.531</v>
      </c>
      <c r="F205" s="24">
        <v>0.7711</v>
      </c>
      <c r="G205" s="24">
        <v>66702.761</v>
      </c>
      <c r="H205" s="24">
        <v>0.0566</v>
      </c>
      <c r="I205" s="24">
        <v>4896.23</v>
      </c>
      <c r="J205" s="24">
        <v>0.2289</v>
      </c>
      <c r="K205" s="24">
        <v>19797.239</v>
      </c>
      <c r="L205" s="14" t="s">
        <v>85</v>
      </c>
      <c r="M205" s="14" t="s">
        <v>126</v>
      </c>
      <c r="N205" s="23">
        <v>86500</v>
      </c>
      <c r="O205" s="20">
        <f t="shared" si="7"/>
        <v>1</v>
      </c>
    </row>
    <row r="206" ht="28" spans="1:15">
      <c r="A206" s="14" t="s">
        <v>25</v>
      </c>
      <c r="B206" s="14" t="s">
        <v>290</v>
      </c>
      <c r="C206" s="23">
        <f t="shared" si="6"/>
        <v>20000</v>
      </c>
      <c r="D206" s="24">
        <v>0.0955</v>
      </c>
      <c r="E206" s="24">
        <v>1910.376</v>
      </c>
      <c r="F206" s="24">
        <v>0.7771</v>
      </c>
      <c r="G206" s="24">
        <v>15542.456</v>
      </c>
      <c r="H206" s="24">
        <v>0.0566</v>
      </c>
      <c r="I206" s="24">
        <v>1132.08</v>
      </c>
      <c r="J206" s="24">
        <v>0.2229</v>
      </c>
      <c r="K206" s="24">
        <v>4457.544</v>
      </c>
      <c r="L206" s="14" t="s">
        <v>85</v>
      </c>
      <c r="M206" s="14" t="s">
        <v>126</v>
      </c>
      <c r="N206" s="23">
        <v>20000</v>
      </c>
      <c r="O206" s="20">
        <f t="shared" si="7"/>
        <v>1</v>
      </c>
    </row>
    <row r="207" ht="28" spans="1:15">
      <c r="A207" s="14" t="s">
        <v>25</v>
      </c>
      <c r="B207" s="14" t="s">
        <v>291</v>
      </c>
      <c r="C207" s="23">
        <f t="shared" si="6"/>
        <v>80000</v>
      </c>
      <c r="D207" s="24">
        <v>0.0955</v>
      </c>
      <c r="E207" s="24">
        <v>7641.51</v>
      </c>
      <c r="F207" s="24">
        <v>0.7771</v>
      </c>
      <c r="G207" s="24">
        <v>62169.81</v>
      </c>
      <c r="H207" s="24">
        <v>0.0566</v>
      </c>
      <c r="I207" s="24">
        <v>4528.3</v>
      </c>
      <c r="J207" s="24">
        <v>0.2229</v>
      </c>
      <c r="K207" s="24">
        <v>17830.19</v>
      </c>
      <c r="L207" s="14" t="s">
        <v>85</v>
      </c>
      <c r="M207" s="14" t="s">
        <v>126</v>
      </c>
      <c r="N207" s="23">
        <v>80000</v>
      </c>
      <c r="O207" s="20">
        <f t="shared" si="7"/>
        <v>1</v>
      </c>
    </row>
    <row r="208" ht="28" spans="1:15">
      <c r="A208" s="14" t="s">
        <v>25</v>
      </c>
      <c r="B208" s="14" t="s">
        <v>292</v>
      </c>
      <c r="C208" s="23">
        <f t="shared" si="6"/>
        <v>86667.76</v>
      </c>
      <c r="D208" s="24">
        <v>0.1832</v>
      </c>
      <c r="E208" s="24">
        <v>15881.02</v>
      </c>
      <c r="F208" s="24">
        <v>0.8168</v>
      </c>
      <c r="G208" s="24">
        <v>70786.74</v>
      </c>
      <c r="H208" s="24">
        <v>0.0566</v>
      </c>
      <c r="I208" s="24">
        <v>4905.72</v>
      </c>
      <c r="J208" s="24">
        <v>0.1832</v>
      </c>
      <c r="K208" s="24">
        <v>15881.02</v>
      </c>
      <c r="L208" s="14" t="s">
        <v>85</v>
      </c>
      <c r="M208" s="14" t="s">
        <v>104</v>
      </c>
      <c r="N208" s="23">
        <v>86667.76</v>
      </c>
      <c r="O208" s="20">
        <f t="shared" si="7"/>
        <v>1</v>
      </c>
    </row>
    <row r="209" ht="28" spans="1:15">
      <c r="A209" s="14" t="s">
        <v>25</v>
      </c>
      <c r="B209" s="14" t="s">
        <v>164</v>
      </c>
      <c r="C209" s="23">
        <f t="shared" si="6"/>
        <v>80000</v>
      </c>
      <c r="D209" s="24">
        <v>0.1592</v>
      </c>
      <c r="E209" s="24">
        <v>12735.85</v>
      </c>
      <c r="F209" s="24">
        <v>0.8408</v>
      </c>
      <c r="G209" s="24">
        <v>67264.15</v>
      </c>
      <c r="H209" s="24">
        <v>0.0566</v>
      </c>
      <c r="I209" s="24">
        <v>4528.3</v>
      </c>
      <c r="J209" s="24">
        <v>0.1592</v>
      </c>
      <c r="K209" s="24">
        <v>12735.85</v>
      </c>
      <c r="L209" s="14" t="s">
        <v>85</v>
      </c>
      <c r="M209" s="14" t="s">
        <v>150</v>
      </c>
      <c r="N209" s="23">
        <v>80000</v>
      </c>
      <c r="O209" s="20">
        <f t="shared" si="7"/>
        <v>1</v>
      </c>
    </row>
    <row r="210" ht="28" spans="1:15">
      <c r="A210" s="14" t="s">
        <v>25</v>
      </c>
      <c r="B210" s="14" t="s">
        <v>293</v>
      </c>
      <c r="C210" s="23">
        <f t="shared" si="6"/>
        <v>190800</v>
      </c>
      <c r="D210" s="24">
        <v>0.09</v>
      </c>
      <c r="E210" s="24">
        <v>17172</v>
      </c>
      <c r="F210" s="24">
        <v>0.9328</v>
      </c>
      <c r="G210" s="24">
        <v>177972</v>
      </c>
      <c r="H210" s="24">
        <v>0.0566</v>
      </c>
      <c r="I210" s="24">
        <v>10800</v>
      </c>
      <c r="J210" s="24">
        <v>0.0672</v>
      </c>
      <c r="K210" s="24">
        <v>12828</v>
      </c>
      <c r="L210" s="14" t="s">
        <v>85</v>
      </c>
      <c r="M210" s="14" t="s">
        <v>107</v>
      </c>
      <c r="N210" s="23">
        <v>190800</v>
      </c>
      <c r="O210" s="20">
        <f t="shared" si="7"/>
        <v>1</v>
      </c>
    </row>
    <row r="211" ht="28" spans="1:15">
      <c r="A211" s="14" t="s">
        <v>25</v>
      </c>
      <c r="B211" s="14" t="s">
        <v>294</v>
      </c>
      <c r="C211" s="23">
        <f t="shared" si="6"/>
        <v>63600</v>
      </c>
      <c r="D211" s="24">
        <v>0.09</v>
      </c>
      <c r="E211" s="24">
        <v>5724</v>
      </c>
      <c r="F211" s="24">
        <v>0.9328</v>
      </c>
      <c r="G211" s="24">
        <v>59324</v>
      </c>
      <c r="H211" s="24">
        <v>0.0566</v>
      </c>
      <c r="I211" s="24">
        <v>3600</v>
      </c>
      <c r="J211" s="24">
        <v>0.0672</v>
      </c>
      <c r="K211" s="24">
        <v>4276</v>
      </c>
      <c r="L211" s="14" t="s">
        <v>85</v>
      </c>
      <c r="M211" s="14" t="s">
        <v>107</v>
      </c>
      <c r="N211" s="23">
        <v>63600</v>
      </c>
      <c r="O211" s="20">
        <f t="shared" si="7"/>
        <v>1</v>
      </c>
    </row>
    <row r="212" ht="28" spans="1:15">
      <c r="A212" s="14" t="s">
        <v>25</v>
      </c>
      <c r="B212" s="14" t="s">
        <v>295</v>
      </c>
      <c r="C212" s="23">
        <f t="shared" si="6"/>
        <v>63600</v>
      </c>
      <c r="D212" s="24">
        <v>0.09</v>
      </c>
      <c r="E212" s="24">
        <v>5724</v>
      </c>
      <c r="F212" s="24">
        <v>0.9328</v>
      </c>
      <c r="G212" s="24">
        <v>59324</v>
      </c>
      <c r="H212" s="24">
        <v>0.0566</v>
      </c>
      <c r="I212" s="24">
        <v>3600</v>
      </c>
      <c r="J212" s="24">
        <v>0.0672</v>
      </c>
      <c r="K212" s="24">
        <v>4276</v>
      </c>
      <c r="L212" s="14" t="s">
        <v>85</v>
      </c>
      <c r="M212" s="14" t="s">
        <v>107</v>
      </c>
      <c r="N212" s="23">
        <v>63600</v>
      </c>
      <c r="O212" s="20">
        <f t="shared" si="7"/>
        <v>1</v>
      </c>
    </row>
    <row r="213" ht="28" spans="1:15">
      <c r="A213" s="14" t="s">
        <v>25</v>
      </c>
      <c r="B213" s="14" t="s">
        <v>296</v>
      </c>
      <c r="C213" s="23">
        <f t="shared" si="6"/>
        <v>127200</v>
      </c>
      <c r="D213" s="24">
        <v>0.09</v>
      </c>
      <c r="E213" s="24">
        <v>11448</v>
      </c>
      <c r="F213" s="24">
        <v>0.9328</v>
      </c>
      <c r="G213" s="24">
        <v>118648</v>
      </c>
      <c r="H213" s="24">
        <v>0.0566</v>
      </c>
      <c r="I213" s="24">
        <v>7200</v>
      </c>
      <c r="J213" s="24">
        <v>0.0672</v>
      </c>
      <c r="K213" s="24">
        <v>8552</v>
      </c>
      <c r="L213" s="14" t="s">
        <v>85</v>
      </c>
      <c r="M213" s="14" t="s">
        <v>107</v>
      </c>
      <c r="N213" s="23">
        <v>127200</v>
      </c>
      <c r="O213" s="20">
        <f t="shared" si="7"/>
        <v>1</v>
      </c>
    </row>
    <row r="214" ht="28" spans="1:15">
      <c r="A214" s="14" t="s">
        <v>25</v>
      </c>
      <c r="B214" s="14" t="s">
        <v>297</v>
      </c>
      <c r="C214" s="23">
        <f t="shared" si="6"/>
        <v>84000</v>
      </c>
      <c r="D214" s="24">
        <v>0.05</v>
      </c>
      <c r="E214" s="24">
        <v>4200</v>
      </c>
      <c r="F214" s="24">
        <v>0.7432</v>
      </c>
      <c r="G214" s="24">
        <v>62428.65</v>
      </c>
      <c r="H214" s="24">
        <v>0.0566</v>
      </c>
      <c r="I214" s="24">
        <v>4754.72</v>
      </c>
      <c r="J214" s="24">
        <v>0.2568</v>
      </c>
      <c r="K214" s="24">
        <v>21571.35</v>
      </c>
      <c r="L214" s="14" t="s">
        <v>85</v>
      </c>
      <c r="M214" s="14" t="s">
        <v>107</v>
      </c>
      <c r="N214" s="23">
        <v>84000</v>
      </c>
      <c r="O214" s="20">
        <f t="shared" si="7"/>
        <v>1</v>
      </c>
    </row>
    <row r="215" ht="28" spans="1:15">
      <c r="A215" s="14" t="s">
        <v>25</v>
      </c>
      <c r="B215" s="14" t="s">
        <v>298</v>
      </c>
      <c r="C215" s="23">
        <f t="shared" si="6"/>
        <v>90000</v>
      </c>
      <c r="D215" s="24">
        <v>0.114</v>
      </c>
      <c r="E215" s="24">
        <v>10257.498</v>
      </c>
      <c r="F215" s="24">
        <v>0.7341</v>
      </c>
      <c r="G215" s="24">
        <v>66065.838</v>
      </c>
      <c r="H215" s="24">
        <v>0.0566</v>
      </c>
      <c r="I215" s="24">
        <v>5094.34</v>
      </c>
      <c r="J215" s="24">
        <v>0.2659</v>
      </c>
      <c r="K215" s="24">
        <v>23934.162</v>
      </c>
      <c r="L215" s="14" t="s">
        <v>85</v>
      </c>
      <c r="M215" s="14" t="s">
        <v>126</v>
      </c>
      <c r="N215" s="23">
        <v>90000</v>
      </c>
      <c r="O215" s="20">
        <f t="shared" si="7"/>
        <v>1</v>
      </c>
    </row>
    <row r="216" ht="28" spans="1:15">
      <c r="A216" s="14" t="s">
        <v>29</v>
      </c>
      <c r="B216" s="14" t="s">
        <v>299</v>
      </c>
      <c r="C216" s="23">
        <f t="shared" si="6"/>
        <v>91822.48</v>
      </c>
      <c r="D216" s="24">
        <v>0.05</v>
      </c>
      <c r="E216" s="24">
        <v>4591.124</v>
      </c>
      <c r="F216" s="24">
        <v>0.9389</v>
      </c>
      <c r="G216" s="24">
        <v>86211.104</v>
      </c>
      <c r="H216" s="24">
        <v>0.0566</v>
      </c>
      <c r="I216" s="24">
        <v>5197.5</v>
      </c>
      <c r="J216" s="24">
        <v>0.0611</v>
      </c>
      <c r="K216" s="24">
        <v>5611.376</v>
      </c>
      <c r="L216" s="14" t="s">
        <v>85</v>
      </c>
      <c r="M216" s="14" t="s">
        <v>86</v>
      </c>
      <c r="N216" s="23">
        <v>91822.48</v>
      </c>
      <c r="O216" s="20">
        <f t="shared" si="7"/>
        <v>1</v>
      </c>
    </row>
    <row r="217" ht="28" spans="1:15">
      <c r="A217" s="14" t="s">
        <v>29</v>
      </c>
      <c r="B217" s="14" t="s">
        <v>300</v>
      </c>
      <c r="C217" s="24">
        <f t="shared" si="6"/>
        <v>58000</v>
      </c>
      <c r="D217" s="25">
        <v>0.0496</v>
      </c>
      <c r="E217" s="14">
        <v>2874.294</v>
      </c>
      <c r="F217" s="25">
        <v>0.8844</v>
      </c>
      <c r="G217" s="26">
        <v>51293.314</v>
      </c>
      <c r="H217" s="25">
        <v>0.0566</v>
      </c>
      <c r="I217" s="26">
        <v>3283.02</v>
      </c>
      <c r="J217" s="25">
        <v>0.1156</v>
      </c>
      <c r="K217" s="26">
        <v>6706.686</v>
      </c>
      <c r="L217" s="14" t="s">
        <v>85</v>
      </c>
      <c r="M217" s="14" t="s">
        <v>89</v>
      </c>
      <c r="N217" s="19">
        <v>58000</v>
      </c>
      <c r="O217" s="20">
        <f t="shared" si="7"/>
        <v>1</v>
      </c>
    </row>
    <row r="218" ht="28" spans="1:15">
      <c r="A218" s="14" t="s">
        <v>29</v>
      </c>
      <c r="B218" s="14" t="s">
        <v>301</v>
      </c>
      <c r="C218" s="24">
        <f t="shared" si="6"/>
        <v>72000</v>
      </c>
      <c r="D218" s="25">
        <v>0.1698</v>
      </c>
      <c r="E218" s="14">
        <v>12226.4154</v>
      </c>
      <c r="F218" s="25">
        <v>0.2264</v>
      </c>
      <c r="G218" s="26">
        <v>16301.8854</v>
      </c>
      <c r="H218" s="25">
        <v>0.0566</v>
      </c>
      <c r="I218" s="26">
        <v>4075.47</v>
      </c>
      <c r="J218" s="25">
        <v>0.7736</v>
      </c>
      <c r="K218" s="26">
        <v>55698.1146</v>
      </c>
      <c r="L218" s="14" t="s">
        <v>85</v>
      </c>
      <c r="M218" s="14" t="s">
        <v>89</v>
      </c>
      <c r="N218" s="19">
        <v>360000</v>
      </c>
      <c r="O218" s="20">
        <f t="shared" si="7"/>
        <v>0.2</v>
      </c>
    </row>
    <row r="219" ht="28" spans="1:15">
      <c r="A219" s="14" t="s">
        <v>29</v>
      </c>
      <c r="B219" s="14" t="s">
        <v>302</v>
      </c>
      <c r="C219" s="23">
        <f t="shared" si="6"/>
        <v>45000</v>
      </c>
      <c r="D219" s="24">
        <v>0.145</v>
      </c>
      <c r="E219" s="24">
        <v>6526.415</v>
      </c>
      <c r="F219" s="24">
        <v>0.855</v>
      </c>
      <c r="G219" s="24">
        <v>38473.585</v>
      </c>
      <c r="H219" s="24">
        <v>0.0566</v>
      </c>
      <c r="I219" s="24">
        <v>2547.17</v>
      </c>
      <c r="J219" s="24">
        <v>0.145</v>
      </c>
      <c r="K219" s="24">
        <v>6526.415</v>
      </c>
      <c r="L219" s="14" t="s">
        <v>85</v>
      </c>
      <c r="M219" s="14" t="s">
        <v>104</v>
      </c>
      <c r="N219" s="23">
        <v>45000</v>
      </c>
      <c r="O219" s="20">
        <f t="shared" si="7"/>
        <v>1</v>
      </c>
    </row>
    <row r="220" ht="28" spans="1:15">
      <c r="A220" s="14" t="s">
        <v>28</v>
      </c>
      <c r="B220" s="14" t="s">
        <v>303</v>
      </c>
      <c r="C220" s="23">
        <f t="shared" si="6"/>
        <v>52500</v>
      </c>
      <c r="D220" s="24">
        <v>0.4717</v>
      </c>
      <c r="E220" s="24">
        <v>24764.15</v>
      </c>
      <c r="F220" s="24">
        <v>0.5283</v>
      </c>
      <c r="G220" s="24">
        <v>27735.85</v>
      </c>
      <c r="H220" s="24">
        <v>0.0566</v>
      </c>
      <c r="I220" s="24">
        <v>2971.7</v>
      </c>
      <c r="J220" s="24">
        <v>0.4717</v>
      </c>
      <c r="K220" s="24">
        <v>24764.15</v>
      </c>
      <c r="L220" s="14" t="s">
        <v>85</v>
      </c>
      <c r="M220" s="14" t="s">
        <v>104</v>
      </c>
      <c r="N220" s="23">
        <v>350000</v>
      </c>
      <c r="O220" s="20">
        <f t="shared" si="7"/>
        <v>0.15</v>
      </c>
    </row>
    <row r="221" ht="28" spans="1:15">
      <c r="A221" s="14" t="s">
        <v>28</v>
      </c>
      <c r="B221" s="14" t="s">
        <v>304</v>
      </c>
      <c r="C221" s="23">
        <f t="shared" si="6"/>
        <v>40500</v>
      </c>
      <c r="D221" s="24">
        <v>0.4717</v>
      </c>
      <c r="E221" s="24">
        <v>19103.775</v>
      </c>
      <c r="F221" s="24">
        <v>0.5283</v>
      </c>
      <c r="G221" s="24">
        <v>21396.225</v>
      </c>
      <c r="H221" s="24">
        <v>0.0566</v>
      </c>
      <c r="I221" s="24">
        <v>2292.45</v>
      </c>
      <c r="J221" s="24">
        <v>0.4717</v>
      </c>
      <c r="K221" s="24">
        <v>19103.775</v>
      </c>
      <c r="L221" s="14" t="s">
        <v>85</v>
      </c>
      <c r="M221" s="14" t="s">
        <v>104</v>
      </c>
      <c r="N221" s="23">
        <v>270000</v>
      </c>
      <c r="O221" s="20">
        <f t="shared" si="7"/>
        <v>0.15</v>
      </c>
    </row>
    <row r="222" ht="28" spans="1:15">
      <c r="A222" s="14" t="s">
        <v>14</v>
      </c>
      <c r="B222" s="14" t="s">
        <v>305</v>
      </c>
      <c r="C222" s="23">
        <f t="shared" si="6"/>
        <v>75600</v>
      </c>
      <c r="D222" s="24">
        <v>0.6001</v>
      </c>
      <c r="E222" s="24">
        <v>45367.56</v>
      </c>
      <c r="F222" s="24">
        <v>0.6567</v>
      </c>
      <c r="G222" s="24">
        <v>49646.81</v>
      </c>
      <c r="H222" s="24">
        <v>0.0566</v>
      </c>
      <c r="I222" s="24">
        <v>4279.25</v>
      </c>
      <c r="J222" s="24">
        <v>0.3433</v>
      </c>
      <c r="K222" s="24">
        <v>25953.19</v>
      </c>
      <c r="L222" s="14" t="s">
        <v>85</v>
      </c>
      <c r="M222" s="14" t="s">
        <v>104</v>
      </c>
      <c r="N222" s="23">
        <v>504000</v>
      </c>
      <c r="O222" s="20">
        <f t="shared" si="7"/>
        <v>0.15</v>
      </c>
    </row>
    <row r="223" ht="28" spans="1:15">
      <c r="A223" s="14" t="s">
        <v>14</v>
      </c>
      <c r="B223" s="14" t="s">
        <v>306</v>
      </c>
      <c r="C223" s="23">
        <f t="shared" si="6"/>
        <v>120000</v>
      </c>
      <c r="D223" s="24">
        <v>0.0717</v>
      </c>
      <c r="E223" s="24">
        <v>8603.775</v>
      </c>
      <c r="F223" s="24">
        <v>0.9283</v>
      </c>
      <c r="G223" s="24">
        <v>111396.225</v>
      </c>
      <c r="H223" s="24">
        <v>0.0566</v>
      </c>
      <c r="I223" s="24">
        <v>6792.45</v>
      </c>
      <c r="J223" s="24">
        <v>0.0717</v>
      </c>
      <c r="K223" s="24">
        <v>8603.775</v>
      </c>
      <c r="L223" s="14" t="s">
        <v>85</v>
      </c>
      <c r="M223" s="14" t="s">
        <v>104</v>
      </c>
      <c r="N223" s="23">
        <v>120000</v>
      </c>
      <c r="O223" s="20">
        <f t="shared" si="7"/>
        <v>1</v>
      </c>
    </row>
    <row r="224" ht="28" spans="1:15">
      <c r="A224" s="14" t="s">
        <v>14</v>
      </c>
      <c r="B224" s="14" t="s">
        <v>307</v>
      </c>
      <c r="C224" s="23">
        <f t="shared" si="6"/>
        <v>135000</v>
      </c>
      <c r="D224" s="24">
        <v>0.6001</v>
      </c>
      <c r="E224" s="24">
        <v>81013.5</v>
      </c>
      <c r="F224" s="24">
        <v>0.6567</v>
      </c>
      <c r="G224" s="24">
        <v>88655.01</v>
      </c>
      <c r="H224" s="24">
        <v>0.0566</v>
      </c>
      <c r="I224" s="24">
        <v>7641.51</v>
      </c>
      <c r="J224" s="24">
        <v>0.3433</v>
      </c>
      <c r="K224" s="24">
        <v>46344.99</v>
      </c>
      <c r="L224" s="14" t="s">
        <v>85</v>
      </c>
      <c r="M224" s="14" t="s">
        <v>92</v>
      </c>
      <c r="N224" s="23">
        <v>900000</v>
      </c>
      <c r="O224" s="20">
        <f t="shared" si="7"/>
        <v>0.15</v>
      </c>
    </row>
    <row r="225" ht="28" spans="1:15">
      <c r="A225" s="14" t="s">
        <v>14</v>
      </c>
      <c r="B225" s="14" t="s">
        <v>308</v>
      </c>
      <c r="C225" s="24">
        <f t="shared" si="6"/>
        <v>136000</v>
      </c>
      <c r="D225" s="25">
        <v>0.0263</v>
      </c>
      <c r="E225" s="14">
        <v>3580.626</v>
      </c>
      <c r="F225" s="25">
        <v>0.9386</v>
      </c>
      <c r="G225" s="26">
        <v>127645.206</v>
      </c>
      <c r="H225" s="25">
        <v>0.0566</v>
      </c>
      <c r="I225" s="26">
        <v>7698.11</v>
      </c>
      <c r="J225" s="25">
        <v>0.0614</v>
      </c>
      <c r="K225" s="26">
        <v>8354.794</v>
      </c>
      <c r="L225" s="14" t="s">
        <v>85</v>
      </c>
      <c r="M225" s="14" t="s">
        <v>89</v>
      </c>
      <c r="N225" s="19">
        <v>136000</v>
      </c>
      <c r="O225" s="20">
        <f t="shared" si="7"/>
        <v>1</v>
      </c>
    </row>
    <row r="226" ht="28" spans="1:15">
      <c r="A226" s="14" t="s">
        <v>14</v>
      </c>
      <c r="B226" s="14" t="s">
        <v>309</v>
      </c>
      <c r="C226" s="23">
        <f t="shared" si="6"/>
        <v>126000</v>
      </c>
      <c r="D226" s="24">
        <v>0.6001</v>
      </c>
      <c r="E226" s="24">
        <v>75612.6</v>
      </c>
      <c r="F226" s="24">
        <v>0.6567</v>
      </c>
      <c r="G226" s="24">
        <v>82744.68</v>
      </c>
      <c r="H226" s="24">
        <v>0.0566</v>
      </c>
      <c r="I226" s="24">
        <v>7132.08</v>
      </c>
      <c r="J226" s="24">
        <v>0.3433</v>
      </c>
      <c r="K226" s="24">
        <v>43255.32</v>
      </c>
      <c r="L226" s="14" t="s">
        <v>85</v>
      </c>
      <c r="M226" s="14" t="s">
        <v>92</v>
      </c>
      <c r="N226" s="23">
        <v>840000</v>
      </c>
      <c r="O226" s="20">
        <f t="shared" si="7"/>
        <v>0.15</v>
      </c>
    </row>
    <row r="227" ht="28" spans="1:15">
      <c r="A227" s="14" t="s">
        <v>14</v>
      </c>
      <c r="B227" s="14" t="s">
        <v>310</v>
      </c>
      <c r="C227" s="23">
        <f t="shared" si="6"/>
        <v>36000</v>
      </c>
      <c r="D227" s="24">
        <v>0.45</v>
      </c>
      <c r="E227" s="24">
        <v>16200</v>
      </c>
      <c r="F227" s="24">
        <v>0.5066</v>
      </c>
      <c r="G227" s="24">
        <v>18237.74</v>
      </c>
      <c r="H227" s="24">
        <v>0.0566</v>
      </c>
      <c r="I227" s="24">
        <v>2037.74</v>
      </c>
      <c r="J227" s="24">
        <v>0.4934</v>
      </c>
      <c r="K227" s="24">
        <v>17762.26</v>
      </c>
      <c r="L227" s="14" t="s">
        <v>85</v>
      </c>
      <c r="M227" s="14" t="s">
        <v>92</v>
      </c>
      <c r="N227" s="23">
        <v>180000</v>
      </c>
      <c r="O227" s="20">
        <f t="shared" si="7"/>
        <v>0.2</v>
      </c>
    </row>
    <row r="228" ht="28" spans="1:15">
      <c r="A228" s="14" t="s">
        <v>14</v>
      </c>
      <c r="B228" s="14" t="s">
        <v>311</v>
      </c>
      <c r="C228" s="23">
        <f t="shared" si="6"/>
        <v>58500</v>
      </c>
      <c r="D228" s="24">
        <v>0.6001</v>
      </c>
      <c r="E228" s="24">
        <v>35105.85</v>
      </c>
      <c r="F228" s="24">
        <v>0.6567</v>
      </c>
      <c r="G228" s="24">
        <v>38417.17</v>
      </c>
      <c r="H228" s="24">
        <v>0.0566</v>
      </c>
      <c r="I228" s="24">
        <v>3311.32</v>
      </c>
      <c r="J228" s="24">
        <v>0.3433</v>
      </c>
      <c r="K228" s="24">
        <v>20082.83</v>
      </c>
      <c r="L228" s="14" t="s">
        <v>85</v>
      </c>
      <c r="M228" s="14" t="s">
        <v>92</v>
      </c>
      <c r="N228" s="23">
        <v>390000</v>
      </c>
      <c r="O228" s="20">
        <f t="shared" si="7"/>
        <v>0.15</v>
      </c>
    </row>
    <row r="229" s="17" customFormat="1" ht="28" spans="1:15">
      <c r="A229" s="14" t="s">
        <v>33</v>
      </c>
      <c r="B229" s="14" t="s">
        <v>312</v>
      </c>
      <c r="C229" s="23">
        <f t="shared" si="6"/>
        <v>300000</v>
      </c>
      <c r="D229" s="24">
        <v>0</v>
      </c>
      <c r="E229" s="24">
        <v>0</v>
      </c>
      <c r="F229" s="24">
        <v>0.8008</v>
      </c>
      <c r="G229" s="24">
        <v>240226.72</v>
      </c>
      <c r="H229" s="24">
        <v>0.0566</v>
      </c>
      <c r="I229" s="24">
        <v>16981.14</v>
      </c>
      <c r="J229" s="24">
        <v>0.1992</v>
      </c>
      <c r="K229" s="24">
        <v>59773.28</v>
      </c>
      <c r="L229" s="14" t="s">
        <v>85</v>
      </c>
      <c r="M229" s="14" t="s">
        <v>141</v>
      </c>
      <c r="N229" s="23">
        <v>300000</v>
      </c>
      <c r="O229" s="29">
        <f t="shared" si="7"/>
        <v>1</v>
      </c>
    </row>
    <row r="230" ht="28" spans="1:15">
      <c r="A230" s="14" t="s">
        <v>13</v>
      </c>
      <c r="B230" s="14" t="s">
        <v>313</v>
      </c>
      <c r="C230" s="24">
        <f t="shared" si="6"/>
        <v>150000</v>
      </c>
      <c r="D230" s="25">
        <v>0.1698</v>
      </c>
      <c r="E230" s="14">
        <v>25471.6974</v>
      </c>
      <c r="F230" s="25">
        <v>0.2264</v>
      </c>
      <c r="G230" s="26">
        <v>33962.2674</v>
      </c>
      <c r="H230" s="25">
        <v>0.0566</v>
      </c>
      <c r="I230" s="26">
        <v>8490.57</v>
      </c>
      <c r="J230" s="25">
        <v>0.7736</v>
      </c>
      <c r="K230" s="26">
        <v>116037.7326</v>
      </c>
      <c r="L230" s="14" t="s">
        <v>85</v>
      </c>
      <c r="M230" s="14" t="s">
        <v>89</v>
      </c>
      <c r="N230" s="19">
        <v>1000000</v>
      </c>
      <c r="O230" s="20">
        <f t="shared" si="7"/>
        <v>0.15</v>
      </c>
    </row>
    <row r="231" ht="28" spans="1:15">
      <c r="A231" s="14" t="s">
        <v>13</v>
      </c>
      <c r="B231" s="14" t="s">
        <v>314</v>
      </c>
      <c r="C231" s="24">
        <f t="shared" si="6"/>
        <v>150000</v>
      </c>
      <c r="D231" s="25">
        <v>0.1698</v>
      </c>
      <c r="E231" s="14">
        <v>25471.6974</v>
      </c>
      <c r="F231" s="25">
        <v>0.2264</v>
      </c>
      <c r="G231" s="26">
        <v>33962.2674</v>
      </c>
      <c r="H231" s="25">
        <v>0.0566</v>
      </c>
      <c r="I231" s="26">
        <v>8490.57</v>
      </c>
      <c r="J231" s="25">
        <v>0.7736</v>
      </c>
      <c r="K231" s="26">
        <v>116037.7326</v>
      </c>
      <c r="L231" s="14" t="s">
        <v>85</v>
      </c>
      <c r="M231" s="14" t="s">
        <v>89</v>
      </c>
      <c r="N231" s="19">
        <v>1000000</v>
      </c>
      <c r="O231" s="20">
        <f t="shared" si="7"/>
        <v>0.15</v>
      </c>
    </row>
    <row r="232" ht="28" spans="1:15">
      <c r="A232" s="14" t="s">
        <v>13</v>
      </c>
      <c r="B232" s="14" t="s">
        <v>315</v>
      </c>
      <c r="C232" s="24">
        <f t="shared" si="6"/>
        <v>156000</v>
      </c>
      <c r="D232" s="25">
        <v>0.1698</v>
      </c>
      <c r="E232" s="14">
        <v>26490.5658</v>
      </c>
      <c r="F232" s="25">
        <v>0.2264</v>
      </c>
      <c r="G232" s="26">
        <v>35320.7558</v>
      </c>
      <c r="H232" s="25">
        <v>0.0566</v>
      </c>
      <c r="I232" s="26">
        <v>8830.19</v>
      </c>
      <c r="J232" s="25">
        <v>0.7736</v>
      </c>
      <c r="K232" s="26">
        <v>120679.2442</v>
      </c>
      <c r="L232" s="14" t="s">
        <v>85</v>
      </c>
      <c r="M232" s="14" t="s">
        <v>89</v>
      </c>
      <c r="N232" s="19">
        <v>1040000</v>
      </c>
      <c r="O232" s="20">
        <f t="shared" si="7"/>
        <v>0.15</v>
      </c>
    </row>
    <row r="233" ht="28" spans="1:15">
      <c r="A233" s="14" t="s">
        <v>13</v>
      </c>
      <c r="B233" s="14" t="s">
        <v>316</v>
      </c>
      <c r="C233" s="23">
        <f t="shared" si="6"/>
        <v>150000</v>
      </c>
      <c r="D233" s="24">
        <v>0.283</v>
      </c>
      <c r="E233" s="24">
        <v>42452.829</v>
      </c>
      <c r="F233" s="24">
        <v>0.3396</v>
      </c>
      <c r="G233" s="24">
        <v>50943.399</v>
      </c>
      <c r="H233" s="24">
        <v>0.0566</v>
      </c>
      <c r="I233" s="24">
        <v>8490.57</v>
      </c>
      <c r="J233" s="24">
        <v>0.6604</v>
      </c>
      <c r="K233" s="24">
        <v>99056.601</v>
      </c>
      <c r="L233" s="14" t="s">
        <v>85</v>
      </c>
      <c r="M233" s="14" t="s">
        <v>104</v>
      </c>
      <c r="N233" s="23">
        <v>1000000</v>
      </c>
      <c r="O233" s="20">
        <f t="shared" si="7"/>
        <v>0.15</v>
      </c>
    </row>
    <row r="234" ht="28" spans="1:15">
      <c r="A234" s="14" t="s">
        <v>13</v>
      </c>
      <c r="B234" s="14" t="s">
        <v>165</v>
      </c>
      <c r="C234" s="24">
        <f t="shared" si="6"/>
        <v>150000</v>
      </c>
      <c r="D234" s="25">
        <v>0.1698</v>
      </c>
      <c r="E234" s="14">
        <v>25471.6974</v>
      </c>
      <c r="F234" s="25">
        <v>0.2264</v>
      </c>
      <c r="G234" s="26">
        <v>33962.2674</v>
      </c>
      <c r="H234" s="25">
        <v>0.0566</v>
      </c>
      <c r="I234" s="26">
        <v>8490.57</v>
      </c>
      <c r="J234" s="25">
        <v>0.7736</v>
      </c>
      <c r="K234" s="26">
        <v>116037.7326</v>
      </c>
      <c r="L234" s="14" t="s">
        <v>85</v>
      </c>
      <c r="M234" s="14" t="s">
        <v>89</v>
      </c>
      <c r="N234" s="19">
        <v>1000000</v>
      </c>
      <c r="O234" s="20">
        <f t="shared" si="7"/>
        <v>0.15</v>
      </c>
    </row>
    <row r="235" ht="28" spans="1:15">
      <c r="A235" s="14" t="s">
        <v>13</v>
      </c>
      <c r="B235" s="14" t="s">
        <v>317</v>
      </c>
      <c r="C235" s="23">
        <f t="shared" si="6"/>
        <v>150000</v>
      </c>
      <c r="D235" s="24">
        <v>0.6001</v>
      </c>
      <c r="E235" s="24">
        <v>90015</v>
      </c>
      <c r="F235" s="24">
        <v>0.6567</v>
      </c>
      <c r="G235" s="24">
        <v>98505.57</v>
      </c>
      <c r="H235" s="24">
        <v>0.0566</v>
      </c>
      <c r="I235" s="24">
        <v>8490.57</v>
      </c>
      <c r="J235" s="24">
        <v>0.3433</v>
      </c>
      <c r="K235" s="24">
        <v>51494.43</v>
      </c>
      <c r="L235" s="14" t="s">
        <v>85</v>
      </c>
      <c r="M235" s="14" t="s">
        <v>92</v>
      </c>
      <c r="N235" s="23">
        <v>1000000</v>
      </c>
      <c r="O235" s="20">
        <f t="shared" si="7"/>
        <v>0.15</v>
      </c>
    </row>
    <row r="236" s="18" customFormat="1" ht="28" spans="1:15">
      <c r="A236" s="31" t="s">
        <v>37</v>
      </c>
      <c r="B236" s="31" t="s">
        <v>318</v>
      </c>
      <c r="C236" s="32">
        <f t="shared" si="6"/>
        <v>61774.96</v>
      </c>
      <c r="D236" s="33">
        <v>0.05</v>
      </c>
      <c r="E236" s="33">
        <v>3088.748</v>
      </c>
      <c r="F236" s="33">
        <v>0.4951</v>
      </c>
      <c r="G236" s="33">
        <v>30585.448</v>
      </c>
      <c r="H236" s="33">
        <v>0.0566</v>
      </c>
      <c r="I236" s="33">
        <v>3496.7</v>
      </c>
      <c r="J236" s="33">
        <v>0.5049</v>
      </c>
      <c r="K236" s="33">
        <v>31189.512</v>
      </c>
      <c r="L236" s="31" t="s">
        <v>85</v>
      </c>
      <c r="M236" s="31" t="s">
        <v>86</v>
      </c>
      <c r="N236" s="32">
        <v>61774.96</v>
      </c>
      <c r="O236" s="34">
        <f t="shared" si="7"/>
        <v>1</v>
      </c>
    </row>
    <row r="237" s="18" customFormat="1" ht="28" spans="1:15">
      <c r="A237" s="31" t="s">
        <v>37</v>
      </c>
      <c r="B237" s="31" t="s">
        <v>319</v>
      </c>
      <c r="C237" s="32">
        <f t="shared" si="6"/>
        <v>40000</v>
      </c>
      <c r="D237" s="33">
        <v>0.163</v>
      </c>
      <c r="E237" s="33">
        <v>6520.755</v>
      </c>
      <c r="F237" s="33">
        <v>0.6196</v>
      </c>
      <c r="G237" s="33">
        <v>24784.905</v>
      </c>
      <c r="H237" s="33">
        <v>0.0566</v>
      </c>
      <c r="I237" s="33">
        <v>2264.15</v>
      </c>
      <c r="J237" s="33">
        <v>0.3804</v>
      </c>
      <c r="K237" s="33">
        <v>15215.095</v>
      </c>
      <c r="L237" s="31" t="s">
        <v>85</v>
      </c>
      <c r="M237" s="31" t="s">
        <v>126</v>
      </c>
      <c r="N237" s="32">
        <v>40000</v>
      </c>
      <c r="O237" s="34">
        <f t="shared" si="7"/>
        <v>1</v>
      </c>
    </row>
    <row r="238" s="18" customFormat="1" ht="28" spans="1:15">
      <c r="A238" s="31" t="s">
        <v>37</v>
      </c>
      <c r="B238" s="31" t="s">
        <v>320</v>
      </c>
      <c r="C238" s="32">
        <f t="shared" si="6"/>
        <v>56000</v>
      </c>
      <c r="D238" s="33">
        <v>0.2717</v>
      </c>
      <c r="E238" s="33">
        <v>15215.095</v>
      </c>
      <c r="F238" s="33">
        <v>0.7283</v>
      </c>
      <c r="G238" s="33">
        <v>40784.905</v>
      </c>
      <c r="H238" s="33">
        <v>0.0566</v>
      </c>
      <c r="I238" s="33">
        <v>3169.81</v>
      </c>
      <c r="J238" s="33">
        <v>0.2717</v>
      </c>
      <c r="K238" s="33">
        <v>15215.095</v>
      </c>
      <c r="L238" s="31" t="s">
        <v>85</v>
      </c>
      <c r="M238" s="31" t="s">
        <v>150</v>
      </c>
      <c r="N238" s="32">
        <v>56000</v>
      </c>
      <c r="O238" s="34">
        <f t="shared" si="7"/>
        <v>1</v>
      </c>
    </row>
    <row r="239" ht="28" spans="1:15">
      <c r="A239" s="14" t="s">
        <v>15</v>
      </c>
      <c r="B239" s="14" t="s">
        <v>321</v>
      </c>
      <c r="C239" s="23">
        <f t="shared" si="6"/>
        <v>60000</v>
      </c>
      <c r="D239" s="24">
        <v>0.05</v>
      </c>
      <c r="E239" s="24">
        <v>3000</v>
      </c>
      <c r="F239" s="24">
        <v>0.9066</v>
      </c>
      <c r="G239" s="24">
        <v>54396.23</v>
      </c>
      <c r="H239" s="24">
        <v>0.0566</v>
      </c>
      <c r="I239" s="24">
        <v>3396.23</v>
      </c>
      <c r="J239" s="24">
        <v>0.0934</v>
      </c>
      <c r="K239" s="24">
        <v>5603.77</v>
      </c>
      <c r="L239" s="14" t="s">
        <v>85</v>
      </c>
      <c r="M239" s="14" t="s">
        <v>86</v>
      </c>
      <c r="N239" s="23">
        <v>60000</v>
      </c>
      <c r="O239" s="20">
        <f t="shared" si="7"/>
        <v>1</v>
      </c>
    </row>
    <row r="240" ht="28" spans="1:15">
      <c r="A240" s="14" t="s">
        <v>15</v>
      </c>
      <c r="B240" s="14" t="s">
        <v>322</v>
      </c>
      <c r="C240" s="23">
        <f t="shared" si="6"/>
        <v>60000</v>
      </c>
      <c r="D240" s="24">
        <v>0.05</v>
      </c>
      <c r="E240" s="24">
        <v>3000</v>
      </c>
      <c r="F240" s="24">
        <v>0.9066</v>
      </c>
      <c r="G240" s="24">
        <v>54396.23</v>
      </c>
      <c r="H240" s="24">
        <v>0.0566</v>
      </c>
      <c r="I240" s="24">
        <v>3396.23</v>
      </c>
      <c r="J240" s="24">
        <v>0.0934</v>
      </c>
      <c r="K240" s="24">
        <v>5603.77</v>
      </c>
      <c r="L240" s="14" t="s">
        <v>85</v>
      </c>
      <c r="M240" s="14" t="s">
        <v>86</v>
      </c>
      <c r="N240" s="23">
        <v>60000</v>
      </c>
      <c r="O240" s="20">
        <f t="shared" si="7"/>
        <v>1</v>
      </c>
    </row>
    <row r="241" ht="28" spans="1:15">
      <c r="A241" s="14" t="s">
        <v>15</v>
      </c>
      <c r="B241" s="14" t="s">
        <v>323</v>
      </c>
      <c r="C241" s="23">
        <f t="shared" si="6"/>
        <v>80000</v>
      </c>
      <c r="D241" s="24">
        <v>0.283</v>
      </c>
      <c r="E241" s="24">
        <v>22641.51</v>
      </c>
      <c r="F241" s="24">
        <v>0.3396</v>
      </c>
      <c r="G241" s="24">
        <v>27169.81</v>
      </c>
      <c r="H241" s="24">
        <v>0.0566</v>
      </c>
      <c r="I241" s="24">
        <v>4528.3</v>
      </c>
      <c r="J241" s="24">
        <v>0.6604</v>
      </c>
      <c r="K241" s="24">
        <v>52830.19</v>
      </c>
      <c r="L241" s="14" t="s">
        <v>85</v>
      </c>
      <c r="M241" s="14" t="s">
        <v>143</v>
      </c>
      <c r="N241" s="23">
        <v>2000000</v>
      </c>
      <c r="O241" s="20">
        <f t="shared" si="7"/>
        <v>0.04</v>
      </c>
    </row>
    <row r="242" ht="28" spans="1:15">
      <c r="A242" s="14" t="s">
        <v>15</v>
      </c>
      <c r="B242" s="14" t="s">
        <v>137</v>
      </c>
      <c r="C242" s="23">
        <f t="shared" si="6"/>
        <v>60000</v>
      </c>
      <c r="D242" s="24">
        <v>0.0717</v>
      </c>
      <c r="E242" s="24">
        <v>4301.885</v>
      </c>
      <c r="F242" s="24">
        <v>0.9283</v>
      </c>
      <c r="G242" s="24">
        <v>55698.115</v>
      </c>
      <c r="H242" s="24">
        <v>0.0566</v>
      </c>
      <c r="I242" s="24">
        <v>3396.23</v>
      </c>
      <c r="J242" s="24">
        <v>0.0717</v>
      </c>
      <c r="K242" s="24">
        <v>4301.885</v>
      </c>
      <c r="L242" s="14" t="s">
        <v>85</v>
      </c>
      <c r="M242" s="14" t="s">
        <v>150</v>
      </c>
      <c r="N242" s="23">
        <v>60000</v>
      </c>
      <c r="O242" s="20">
        <f t="shared" si="7"/>
        <v>1</v>
      </c>
    </row>
    <row r="243" ht="28" spans="1:15">
      <c r="A243" s="14" t="s">
        <v>46</v>
      </c>
      <c r="B243" s="14" t="s">
        <v>254</v>
      </c>
      <c r="C243" s="23">
        <f t="shared" si="6"/>
        <v>75000</v>
      </c>
      <c r="D243" s="24">
        <v>0.043</v>
      </c>
      <c r="E243" s="24">
        <v>3226.416</v>
      </c>
      <c r="F243" s="24">
        <v>0.8996</v>
      </c>
      <c r="G243" s="24">
        <v>67471.696</v>
      </c>
      <c r="H243" s="24">
        <v>0.0566</v>
      </c>
      <c r="I243" s="24">
        <v>4245.28</v>
      </c>
      <c r="J243" s="24">
        <v>0.1004</v>
      </c>
      <c r="K243" s="24">
        <v>7528.304</v>
      </c>
      <c r="L243" s="14" t="s">
        <v>85</v>
      </c>
      <c r="M243" s="14" t="s">
        <v>143</v>
      </c>
      <c r="N243" s="23">
        <v>75000</v>
      </c>
      <c r="O243" s="20">
        <f t="shared" si="7"/>
        <v>1</v>
      </c>
    </row>
    <row r="244" ht="28" spans="1:15">
      <c r="A244" s="14" t="s">
        <v>11</v>
      </c>
      <c r="B244" s="14" t="s">
        <v>227</v>
      </c>
      <c r="C244" s="23">
        <f t="shared" si="6"/>
        <v>79500</v>
      </c>
      <c r="D244" s="24">
        <v>0.0543</v>
      </c>
      <c r="E244" s="24">
        <v>4320</v>
      </c>
      <c r="F244" s="24">
        <v>0.8732</v>
      </c>
      <c r="G244" s="24">
        <v>69420</v>
      </c>
      <c r="H244" s="24">
        <v>0.0566</v>
      </c>
      <c r="I244" s="24">
        <v>4500</v>
      </c>
      <c r="J244" s="24">
        <v>0.1268</v>
      </c>
      <c r="K244" s="24">
        <v>10080</v>
      </c>
      <c r="L244" s="14" t="s">
        <v>85</v>
      </c>
      <c r="M244" s="14" t="s">
        <v>150</v>
      </c>
      <c r="N244" s="23">
        <v>79500</v>
      </c>
      <c r="O244" s="20">
        <f t="shared" si="7"/>
        <v>1</v>
      </c>
    </row>
    <row r="245" ht="28" spans="1:15">
      <c r="A245" s="14" t="s">
        <v>11</v>
      </c>
      <c r="B245" s="14" t="s">
        <v>228</v>
      </c>
      <c r="C245" s="23">
        <f t="shared" si="6"/>
        <v>26500</v>
      </c>
      <c r="D245" s="24">
        <v>0.09</v>
      </c>
      <c r="E245" s="24">
        <v>2385</v>
      </c>
      <c r="F245" s="24">
        <v>0.9013</v>
      </c>
      <c r="G245" s="24">
        <v>23885</v>
      </c>
      <c r="H245" s="24">
        <v>0.0566</v>
      </c>
      <c r="I245" s="24">
        <v>1500</v>
      </c>
      <c r="J245" s="24">
        <v>0.0987</v>
      </c>
      <c r="K245" s="24">
        <v>2615</v>
      </c>
      <c r="L245" s="14" t="s">
        <v>85</v>
      </c>
      <c r="M245" s="14" t="s">
        <v>107</v>
      </c>
      <c r="N245" s="23">
        <v>26500</v>
      </c>
      <c r="O245" s="20">
        <f t="shared" si="7"/>
        <v>1</v>
      </c>
    </row>
    <row r="246" ht="28" spans="1:15">
      <c r="A246" s="14" t="s">
        <v>11</v>
      </c>
      <c r="B246" s="14" t="s">
        <v>229</v>
      </c>
      <c r="C246" s="23">
        <f t="shared" si="6"/>
        <v>79500</v>
      </c>
      <c r="D246" s="24">
        <v>0.09</v>
      </c>
      <c r="E246" s="24">
        <v>7155</v>
      </c>
      <c r="F246" s="24">
        <v>0.9013</v>
      </c>
      <c r="G246" s="24">
        <v>71655</v>
      </c>
      <c r="H246" s="24">
        <v>0.0566</v>
      </c>
      <c r="I246" s="24">
        <v>4500</v>
      </c>
      <c r="J246" s="24">
        <v>0.0987</v>
      </c>
      <c r="K246" s="24">
        <v>7845</v>
      </c>
      <c r="L246" s="14" t="s">
        <v>85</v>
      </c>
      <c r="M246" s="14" t="s">
        <v>107</v>
      </c>
      <c r="N246" s="23">
        <v>79500</v>
      </c>
      <c r="O246" s="20">
        <f t="shared" si="7"/>
        <v>1</v>
      </c>
    </row>
    <row r="247" ht="28" spans="1:15">
      <c r="A247" s="14" t="s">
        <v>11</v>
      </c>
      <c r="B247" s="14" t="s">
        <v>324</v>
      </c>
      <c r="C247" s="23">
        <f t="shared" si="6"/>
        <v>79500</v>
      </c>
      <c r="D247" s="24">
        <v>0.09</v>
      </c>
      <c r="E247" s="24">
        <v>7155</v>
      </c>
      <c r="F247" s="24">
        <v>0.9013</v>
      </c>
      <c r="G247" s="24">
        <v>71655</v>
      </c>
      <c r="H247" s="24">
        <v>0.0566</v>
      </c>
      <c r="I247" s="24">
        <v>4500</v>
      </c>
      <c r="J247" s="24">
        <v>0.0987</v>
      </c>
      <c r="K247" s="24">
        <v>7845</v>
      </c>
      <c r="L247" s="14" t="s">
        <v>85</v>
      </c>
      <c r="M247" s="14" t="s">
        <v>107</v>
      </c>
      <c r="N247" s="23">
        <v>79500</v>
      </c>
      <c r="O247" s="20">
        <f t="shared" si="7"/>
        <v>1</v>
      </c>
    </row>
    <row r="248" ht="28" spans="1:15">
      <c r="A248" s="14" t="s">
        <v>11</v>
      </c>
      <c r="B248" s="14" t="s">
        <v>325</v>
      </c>
      <c r="C248" s="23">
        <f t="shared" si="6"/>
        <v>141333</v>
      </c>
      <c r="D248" s="24">
        <v>0.09</v>
      </c>
      <c r="E248" s="24">
        <v>12719.97</v>
      </c>
      <c r="F248" s="24">
        <v>0.9013</v>
      </c>
      <c r="G248" s="24">
        <v>127385.95</v>
      </c>
      <c r="H248" s="24">
        <v>0.0566</v>
      </c>
      <c r="I248" s="24">
        <v>7999.98</v>
      </c>
      <c r="J248" s="24">
        <v>0.0987</v>
      </c>
      <c r="K248" s="24">
        <v>13947.05</v>
      </c>
      <c r="L248" s="14" t="s">
        <v>85</v>
      </c>
      <c r="M248" s="14" t="s">
        <v>107</v>
      </c>
      <c r="N248" s="23">
        <v>141333</v>
      </c>
      <c r="O248" s="20">
        <f t="shared" si="7"/>
        <v>1</v>
      </c>
    </row>
    <row r="249" ht="28" spans="1:15">
      <c r="A249" s="14" t="s">
        <v>11</v>
      </c>
      <c r="B249" s="14" t="s">
        <v>326</v>
      </c>
      <c r="C249" s="23">
        <f t="shared" si="6"/>
        <v>106000</v>
      </c>
      <c r="D249" s="24">
        <v>0.09</v>
      </c>
      <c r="E249" s="24">
        <v>9540</v>
      </c>
      <c r="F249" s="24">
        <v>0.9013</v>
      </c>
      <c r="G249" s="24">
        <v>95540</v>
      </c>
      <c r="H249" s="24">
        <v>0.0566</v>
      </c>
      <c r="I249" s="24">
        <v>6000</v>
      </c>
      <c r="J249" s="24">
        <v>0.0987</v>
      </c>
      <c r="K249" s="24">
        <v>10460</v>
      </c>
      <c r="L249" s="14" t="s">
        <v>85</v>
      </c>
      <c r="M249" s="14" t="s">
        <v>107</v>
      </c>
      <c r="N249" s="23">
        <v>106000</v>
      </c>
      <c r="O249" s="20">
        <f t="shared" si="7"/>
        <v>1</v>
      </c>
    </row>
    <row r="250" ht="28" spans="1:15">
      <c r="A250" s="14" t="s">
        <v>11</v>
      </c>
      <c r="B250" s="14" t="s">
        <v>327</v>
      </c>
      <c r="C250" s="23">
        <f t="shared" si="6"/>
        <v>79500</v>
      </c>
      <c r="D250" s="24">
        <v>0.09</v>
      </c>
      <c r="E250" s="24">
        <v>7155</v>
      </c>
      <c r="F250" s="24">
        <v>0.9013</v>
      </c>
      <c r="G250" s="24">
        <v>71655</v>
      </c>
      <c r="H250" s="24">
        <v>0.0566</v>
      </c>
      <c r="I250" s="24">
        <v>4500</v>
      </c>
      <c r="J250" s="24">
        <v>0.0987</v>
      </c>
      <c r="K250" s="24">
        <v>7845</v>
      </c>
      <c r="L250" s="14" t="s">
        <v>85</v>
      </c>
      <c r="M250" s="14" t="s">
        <v>107</v>
      </c>
      <c r="N250" s="23">
        <v>79500</v>
      </c>
      <c r="O250" s="20">
        <f t="shared" si="7"/>
        <v>1</v>
      </c>
    </row>
    <row r="251" ht="28" spans="1:15">
      <c r="A251" s="14" t="s">
        <v>11</v>
      </c>
      <c r="B251" s="14" t="s">
        <v>328</v>
      </c>
      <c r="C251" s="23">
        <f t="shared" si="6"/>
        <v>132500</v>
      </c>
      <c r="D251" s="24">
        <v>0.09</v>
      </c>
      <c r="E251" s="24">
        <v>11925</v>
      </c>
      <c r="F251" s="24">
        <v>0.9013</v>
      </c>
      <c r="G251" s="24">
        <v>119425</v>
      </c>
      <c r="H251" s="24">
        <v>0.0566</v>
      </c>
      <c r="I251" s="24">
        <v>7500</v>
      </c>
      <c r="J251" s="24">
        <v>0.0987</v>
      </c>
      <c r="K251" s="24">
        <v>13075</v>
      </c>
      <c r="L251" s="14" t="s">
        <v>85</v>
      </c>
      <c r="M251" s="14" t="s">
        <v>107</v>
      </c>
      <c r="N251" s="23">
        <v>132500</v>
      </c>
      <c r="O251" s="20">
        <f t="shared" si="7"/>
        <v>1</v>
      </c>
    </row>
    <row r="252" ht="28" spans="1:15">
      <c r="A252" s="14" t="s">
        <v>11</v>
      </c>
      <c r="B252" s="14" t="s">
        <v>329</v>
      </c>
      <c r="C252" s="23">
        <f t="shared" si="6"/>
        <v>8833</v>
      </c>
      <c r="D252" s="24">
        <v>0.09</v>
      </c>
      <c r="E252" s="24">
        <v>794.97</v>
      </c>
      <c r="F252" s="24">
        <v>0.9013</v>
      </c>
      <c r="G252" s="24">
        <v>7961.62</v>
      </c>
      <c r="H252" s="24">
        <v>0.0566</v>
      </c>
      <c r="I252" s="24">
        <v>499.98</v>
      </c>
      <c r="J252" s="24">
        <v>0.0987</v>
      </c>
      <c r="K252" s="24">
        <v>871.38</v>
      </c>
      <c r="L252" s="14" t="s">
        <v>85</v>
      </c>
      <c r="M252" s="14" t="s">
        <v>107</v>
      </c>
      <c r="N252" s="23">
        <v>8833</v>
      </c>
      <c r="O252" s="20">
        <f t="shared" si="7"/>
        <v>1</v>
      </c>
    </row>
    <row r="253" ht="28" spans="1:15">
      <c r="A253" s="14" t="s">
        <v>11</v>
      </c>
      <c r="B253" s="14" t="s">
        <v>230</v>
      </c>
      <c r="C253" s="23">
        <f t="shared" si="6"/>
        <v>58000</v>
      </c>
      <c r="D253" s="24">
        <v>0.09</v>
      </c>
      <c r="E253" s="24">
        <v>5220</v>
      </c>
      <c r="F253" s="24">
        <v>0.9168</v>
      </c>
      <c r="G253" s="24">
        <v>53176.02</v>
      </c>
      <c r="H253" s="24">
        <v>0.0566</v>
      </c>
      <c r="I253" s="24">
        <v>3283.02</v>
      </c>
      <c r="J253" s="24">
        <v>0.0832</v>
      </c>
      <c r="K253" s="24">
        <v>4823.98</v>
      </c>
      <c r="L253" s="14" t="s">
        <v>85</v>
      </c>
      <c r="M253" s="14" t="s">
        <v>107</v>
      </c>
      <c r="N253" s="23">
        <v>58000</v>
      </c>
      <c r="O253" s="20">
        <f t="shared" si="7"/>
        <v>1</v>
      </c>
    </row>
    <row r="254" ht="28" spans="1:15">
      <c r="A254" s="14" t="s">
        <v>11</v>
      </c>
      <c r="B254" s="14" t="s">
        <v>231</v>
      </c>
      <c r="C254" s="23">
        <f t="shared" si="6"/>
        <v>116000</v>
      </c>
      <c r="D254" s="24">
        <v>0.09</v>
      </c>
      <c r="E254" s="24">
        <v>10440</v>
      </c>
      <c r="F254" s="24">
        <v>0.9013</v>
      </c>
      <c r="G254" s="24">
        <v>104552.04</v>
      </c>
      <c r="H254" s="24">
        <v>0.0566</v>
      </c>
      <c r="I254" s="24">
        <v>6566.04</v>
      </c>
      <c r="J254" s="24">
        <v>0.0987</v>
      </c>
      <c r="K254" s="24">
        <v>11447.96</v>
      </c>
      <c r="L254" s="14" t="s">
        <v>85</v>
      </c>
      <c r="M254" s="14" t="s">
        <v>109</v>
      </c>
      <c r="N254" s="23">
        <v>116000</v>
      </c>
      <c r="O254" s="20">
        <f t="shared" si="7"/>
        <v>1</v>
      </c>
    </row>
    <row r="255" ht="28" spans="1:15">
      <c r="A255" s="14" t="s">
        <v>11</v>
      </c>
      <c r="B255" s="14" t="s">
        <v>330</v>
      </c>
      <c r="C255" s="24">
        <f t="shared" si="6"/>
        <v>60000</v>
      </c>
      <c r="D255" s="25">
        <v>0.09</v>
      </c>
      <c r="E255" s="14">
        <v>5400</v>
      </c>
      <c r="F255" s="25">
        <v>0.9237</v>
      </c>
      <c r="G255" s="26">
        <v>55421.23</v>
      </c>
      <c r="H255" s="25">
        <v>0.0566</v>
      </c>
      <c r="I255" s="26">
        <v>3396.23</v>
      </c>
      <c r="J255" s="25">
        <v>0.0763</v>
      </c>
      <c r="K255" s="26">
        <v>4578.77</v>
      </c>
      <c r="L255" s="14" t="s">
        <v>85</v>
      </c>
      <c r="M255" s="14" t="s">
        <v>89</v>
      </c>
      <c r="N255" s="19">
        <v>60000</v>
      </c>
      <c r="O255" s="20">
        <f t="shared" si="7"/>
        <v>1</v>
      </c>
    </row>
    <row r="256" ht="28" spans="1:15">
      <c r="A256" s="14" t="s">
        <v>11</v>
      </c>
      <c r="B256" s="14" t="s">
        <v>331</v>
      </c>
      <c r="C256" s="24">
        <f t="shared" si="6"/>
        <v>88400</v>
      </c>
      <c r="D256" s="25">
        <v>0.09</v>
      </c>
      <c r="E256" s="14">
        <v>7956</v>
      </c>
      <c r="F256" s="25">
        <v>0.8996</v>
      </c>
      <c r="G256" s="26">
        <v>79524.25</v>
      </c>
      <c r="H256" s="25">
        <v>0.0566</v>
      </c>
      <c r="I256" s="26">
        <v>5003.77</v>
      </c>
      <c r="J256" s="25">
        <v>0.1004</v>
      </c>
      <c r="K256" s="26">
        <v>8875.75</v>
      </c>
      <c r="L256" s="14" t="s">
        <v>85</v>
      </c>
      <c r="M256" s="14" t="s">
        <v>89</v>
      </c>
      <c r="N256" s="19">
        <v>88400</v>
      </c>
      <c r="O256" s="20">
        <f t="shared" si="7"/>
        <v>1</v>
      </c>
    </row>
    <row r="257" ht="28" spans="1:15">
      <c r="A257" s="14" t="s">
        <v>11</v>
      </c>
      <c r="B257" s="14" t="s">
        <v>332</v>
      </c>
      <c r="C257" s="23">
        <f t="shared" si="6"/>
        <v>79500</v>
      </c>
      <c r="D257" s="24">
        <v>0.09</v>
      </c>
      <c r="E257" s="24">
        <v>7155</v>
      </c>
      <c r="F257" s="24">
        <v>0.9013</v>
      </c>
      <c r="G257" s="24">
        <v>71655</v>
      </c>
      <c r="H257" s="24">
        <v>0.0566</v>
      </c>
      <c r="I257" s="24">
        <v>4500</v>
      </c>
      <c r="J257" s="24">
        <v>0.0987</v>
      </c>
      <c r="K257" s="24">
        <v>7845</v>
      </c>
      <c r="L257" s="14" t="s">
        <v>85</v>
      </c>
      <c r="M257" s="14" t="s">
        <v>107</v>
      </c>
      <c r="N257" s="23">
        <v>79500</v>
      </c>
      <c r="O257" s="20">
        <f t="shared" si="7"/>
        <v>1</v>
      </c>
    </row>
    <row r="258" ht="28" spans="1:15">
      <c r="A258" s="14" t="s">
        <v>11</v>
      </c>
      <c r="B258" s="14" t="s">
        <v>333</v>
      </c>
      <c r="C258" s="23">
        <f t="shared" ref="C258:C321" si="8">G258+K258</f>
        <v>160500</v>
      </c>
      <c r="D258" s="24">
        <v>0.09</v>
      </c>
      <c r="E258" s="24">
        <v>14445</v>
      </c>
      <c r="F258" s="24">
        <v>0.8943</v>
      </c>
      <c r="G258" s="24">
        <v>143529.91</v>
      </c>
      <c r="H258" s="24">
        <v>0.0566</v>
      </c>
      <c r="I258" s="24">
        <v>9084.91</v>
      </c>
      <c r="J258" s="24">
        <v>0.1057</v>
      </c>
      <c r="K258" s="24">
        <v>16970.09</v>
      </c>
      <c r="L258" s="14" t="s">
        <v>85</v>
      </c>
      <c r="M258" s="14" t="s">
        <v>107</v>
      </c>
      <c r="N258" s="23">
        <v>160500</v>
      </c>
      <c r="O258" s="20">
        <f t="shared" ref="O258:O321" si="9">C258/N258</f>
        <v>1</v>
      </c>
    </row>
    <row r="259" ht="28" spans="1:15">
      <c r="A259" s="14" t="s">
        <v>11</v>
      </c>
      <c r="B259" s="14" t="s">
        <v>334</v>
      </c>
      <c r="C259" s="23">
        <f t="shared" si="8"/>
        <v>159000</v>
      </c>
      <c r="D259" s="24">
        <v>0.09</v>
      </c>
      <c r="E259" s="24">
        <v>14310</v>
      </c>
      <c r="F259" s="24">
        <v>0.9013</v>
      </c>
      <c r="G259" s="24">
        <v>143310</v>
      </c>
      <c r="H259" s="24">
        <v>0.0566</v>
      </c>
      <c r="I259" s="24">
        <v>9000</v>
      </c>
      <c r="J259" s="24">
        <v>0.0987</v>
      </c>
      <c r="K259" s="24">
        <v>15690</v>
      </c>
      <c r="L259" s="14" t="s">
        <v>85</v>
      </c>
      <c r="M259" s="14" t="s">
        <v>107</v>
      </c>
      <c r="N259" s="23">
        <v>159000</v>
      </c>
      <c r="O259" s="20">
        <f t="shared" si="9"/>
        <v>1</v>
      </c>
    </row>
    <row r="260" ht="28" spans="1:15">
      <c r="A260" s="14" t="s">
        <v>11</v>
      </c>
      <c r="B260" s="14" t="s">
        <v>335</v>
      </c>
      <c r="C260" s="23">
        <f t="shared" si="8"/>
        <v>159000</v>
      </c>
      <c r="D260" s="24">
        <v>0.09</v>
      </c>
      <c r="E260" s="24">
        <v>14310</v>
      </c>
      <c r="F260" s="24">
        <v>0.9013</v>
      </c>
      <c r="G260" s="24">
        <v>143310</v>
      </c>
      <c r="H260" s="24">
        <v>0.0566</v>
      </c>
      <c r="I260" s="24">
        <v>9000</v>
      </c>
      <c r="J260" s="24">
        <v>0.0987</v>
      </c>
      <c r="K260" s="24">
        <v>15690</v>
      </c>
      <c r="L260" s="14" t="s">
        <v>85</v>
      </c>
      <c r="M260" s="14" t="s">
        <v>107</v>
      </c>
      <c r="N260" s="23">
        <v>159000</v>
      </c>
      <c r="O260" s="20">
        <f t="shared" si="9"/>
        <v>1</v>
      </c>
    </row>
    <row r="261" ht="28" spans="1:15">
      <c r="A261" s="14" t="s">
        <v>11</v>
      </c>
      <c r="B261" s="14" t="s">
        <v>336</v>
      </c>
      <c r="C261" s="23">
        <f t="shared" si="8"/>
        <v>132500</v>
      </c>
      <c r="D261" s="24">
        <v>0.0566</v>
      </c>
      <c r="E261" s="24">
        <v>7500</v>
      </c>
      <c r="F261" s="24">
        <v>0.8679</v>
      </c>
      <c r="G261" s="24">
        <v>115000</v>
      </c>
      <c r="H261" s="24">
        <v>0.0566</v>
      </c>
      <c r="I261" s="24">
        <v>7500</v>
      </c>
      <c r="J261" s="24">
        <v>0.1321</v>
      </c>
      <c r="K261" s="24">
        <v>17500</v>
      </c>
      <c r="L261" s="14" t="s">
        <v>85</v>
      </c>
      <c r="M261" s="14" t="s">
        <v>104</v>
      </c>
      <c r="N261" s="23">
        <v>132500</v>
      </c>
      <c r="O261" s="20">
        <f t="shared" si="9"/>
        <v>1</v>
      </c>
    </row>
    <row r="262" ht="28" spans="1:15">
      <c r="A262" s="14" t="s">
        <v>11</v>
      </c>
      <c r="B262" s="14" t="s">
        <v>337</v>
      </c>
      <c r="C262" s="23">
        <f t="shared" si="8"/>
        <v>53000</v>
      </c>
      <c r="D262" s="24">
        <v>0.09</v>
      </c>
      <c r="E262" s="24">
        <v>4770</v>
      </c>
      <c r="F262" s="24">
        <v>0.9013</v>
      </c>
      <c r="G262" s="24">
        <v>47770</v>
      </c>
      <c r="H262" s="24">
        <v>0.0566</v>
      </c>
      <c r="I262" s="24">
        <v>3000</v>
      </c>
      <c r="J262" s="24">
        <v>0.0987</v>
      </c>
      <c r="K262" s="24">
        <v>5230</v>
      </c>
      <c r="L262" s="14" t="s">
        <v>85</v>
      </c>
      <c r="M262" s="14" t="s">
        <v>107</v>
      </c>
      <c r="N262" s="23">
        <v>53000</v>
      </c>
      <c r="O262" s="20">
        <f t="shared" si="9"/>
        <v>1</v>
      </c>
    </row>
    <row r="263" ht="28" spans="1:15">
      <c r="A263" s="14" t="s">
        <v>11</v>
      </c>
      <c r="B263" s="14" t="s">
        <v>338</v>
      </c>
      <c r="C263" s="23">
        <f t="shared" si="8"/>
        <v>159000</v>
      </c>
      <c r="D263" s="24">
        <v>0.09</v>
      </c>
      <c r="E263" s="24">
        <v>14310</v>
      </c>
      <c r="F263" s="24">
        <v>0.9013</v>
      </c>
      <c r="G263" s="24">
        <v>143310</v>
      </c>
      <c r="H263" s="24">
        <v>0.0566</v>
      </c>
      <c r="I263" s="24">
        <v>9000</v>
      </c>
      <c r="J263" s="24">
        <v>0.0987</v>
      </c>
      <c r="K263" s="24">
        <v>15690</v>
      </c>
      <c r="L263" s="14" t="s">
        <v>85</v>
      </c>
      <c r="M263" s="14" t="s">
        <v>107</v>
      </c>
      <c r="N263" s="23">
        <v>159000</v>
      </c>
      <c r="O263" s="20">
        <f t="shared" si="9"/>
        <v>1</v>
      </c>
    </row>
    <row r="264" ht="28" spans="1:15">
      <c r="A264" s="14" t="s">
        <v>11</v>
      </c>
      <c r="B264" s="14" t="s">
        <v>339</v>
      </c>
      <c r="C264" s="23">
        <f t="shared" si="8"/>
        <v>54500</v>
      </c>
      <c r="D264" s="24">
        <v>0.09</v>
      </c>
      <c r="E264" s="24">
        <v>4905</v>
      </c>
      <c r="F264" s="24">
        <v>0.9186</v>
      </c>
      <c r="G264" s="24">
        <v>50064.91</v>
      </c>
      <c r="H264" s="24">
        <v>0.0566</v>
      </c>
      <c r="I264" s="24">
        <v>3084.91</v>
      </c>
      <c r="J264" s="24">
        <v>0.0814</v>
      </c>
      <c r="K264" s="24">
        <v>4435.09</v>
      </c>
      <c r="L264" s="14" t="s">
        <v>85</v>
      </c>
      <c r="M264" s="14" t="s">
        <v>107</v>
      </c>
      <c r="N264" s="23">
        <v>54500</v>
      </c>
      <c r="O264" s="20">
        <f t="shared" si="9"/>
        <v>1</v>
      </c>
    </row>
    <row r="265" ht="28" spans="1:15">
      <c r="A265" s="14" t="s">
        <v>11</v>
      </c>
      <c r="B265" s="14" t="s">
        <v>340</v>
      </c>
      <c r="C265" s="23">
        <f t="shared" si="8"/>
        <v>54500</v>
      </c>
      <c r="D265" s="24">
        <v>0.09</v>
      </c>
      <c r="E265" s="24">
        <v>4905</v>
      </c>
      <c r="F265" s="24">
        <v>0.8805</v>
      </c>
      <c r="G265" s="24">
        <v>47989.91</v>
      </c>
      <c r="H265" s="24">
        <v>0.0566</v>
      </c>
      <c r="I265" s="24">
        <v>3084.91</v>
      </c>
      <c r="J265" s="24">
        <v>0.1195</v>
      </c>
      <c r="K265" s="24">
        <v>6510.09</v>
      </c>
      <c r="L265" s="14" t="s">
        <v>85</v>
      </c>
      <c r="M265" s="14" t="s">
        <v>126</v>
      </c>
      <c r="N265" s="23">
        <v>54500</v>
      </c>
      <c r="O265" s="20">
        <f t="shared" si="9"/>
        <v>1</v>
      </c>
    </row>
    <row r="266" ht="28" spans="1:15">
      <c r="A266" s="14" t="s">
        <v>11</v>
      </c>
      <c r="B266" s="14" t="s">
        <v>341</v>
      </c>
      <c r="C266" s="23">
        <f t="shared" si="8"/>
        <v>160500</v>
      </c>
      <c r="D266" s="24">
        <v>0.09</v>
      </c>
      <c r="E266" s="24">
        <v>14445</v>
      </c>
      <c r="F266" s="24">
        <v>0.8943</v>
      </c>
      <c r="G266" s="24">
        <v>143529.91</v>
      </c>
      <c r="H266" s="24">
        <v>0.0566</v>
      </c>
      <c r="I266" s="24">
        <v>9084.91</v>
      </c>
      <c r="J266" s="24">
        <v>0.1057</v>
      </c>
      <c r="K266" s="24">
        <v>16970.09</v>
      </c>
      <c r="L266" s="14" t="s">
        <v>85</v>
      </c>
      <c r="M266" s="14" t="s">
        <v>107</v>
      </c>
      <c r="N266" s="23">
        <v>160500</v>
      </c>
      <c r="O266" s="20">
        <f t="shared" si="9"/>
        <v>1</v>
      </c>
    </row>
    <row r="267" ht="28" spans="1:15">
      <c r="A267" s="14" t="s">
        <v>11</v>
      </c>
      <c r="B267" s="14" t="s">
        <v>342</v>
      </c>
      <c r="C267" s="23">
        <f t="shared" si="8"/>
        <v>132500</v>
      </c>
      <c r="D267" s="24">
        <v>0.09</v>
      </c>
      <c r="E267" s="24">
        <v>11925</v>
      </c>
      <c r="F267" s="24">
        <v>0.9358</v>
      </c>
      <c r="G267" s="24">
        <v>123993.76</v>
      </c>
      <c r="H267" s="24">
        <v>0.0566</v>
      </c>
      <c r="I267" s="24">
        <v>7500</v>
      </c>
      <c r="J267" s="24">
        <v>0.0642</v>
      </c>
      <c r="K267" s="24">
        <v>8506.24</v>
      </c>
      <c r="L267" s="14" t="s">
        <v>85</v>
      </c>
      <c r="M267" s="14" t="s">
        <v>107</v>
      </c>
      <c r="N267" s="23">
        <v>132500</v>
      </c>
      <c r="O267" s="20">
        <f t="shared" si="9"/>
        <v>1</v>
      </c>
    </row>
    <row r="268" ht="28" spans="1:15">
      <c r="A268" s="14" t="s">
        <v>11</v>
      </c>
      <c r="B268" s="14" t="s">
        <v>289</v>
      </c>
      <c r="C268" s="23">
        <f t="shared" si="8"/>
        <v>81900</v>
      </c>
      <c r="D268" s="24">
        <v>0.1054</v>
      </c>
      <c r="E268" s="24">
        <v>8632.075</v>
      </c>
      <c r="F268" s="24">
        <v>0.8946</v>
      </c>
      <c r="G268" s="24">
        <v>73267.925</v>
      </c>
      <c r="H268" s="24">
        <v>0.0566</v>
      </c>
      <c r="I268" s="24">
        <v>4635.85</v>
      </c>
      <c r="J268" s="24">
        <v>0.1054</v>
      </c>
      <c r="K268" s="24">
        <v>8632.075</v>
      </c>
      <c r="L268" s="14" t="s">
        <v>85</v>
      </c>
      <c r="M268" s="14" t="s">
        <v>150</v>
      </c>
      <c r="N268" s="23">
        <v>81900</v>
      </c>
      <c r="O268" s="20">
        <f t="shared" si="9"/>
        <v>1</v>
      </c>
    </row>
    <row r="269" ht="28" spans="1:15">
      <c r="A269" s="14" t="s">
        <v>11</v>
      </c>
      <c r="B269" s="14" t="s">
        <v>290</v>
      </c>
      <c r="C269" s="23">
        <f t="shared" si="8"/>
        <v>88145</v>
      </c>
      <c r="D269" s="24">
        <v>0.09</v>
      </c>
      <c r="E269" s="24">
        <v>7933.05</v>
      </c>
      <c r="F269" s="24">
        <v>0.8915</v>
      </c>
      <c r="G269" s="24">
        <v>78581.89</v>
      </c>
      <c r="H269" s="24">
        <v>0.0566</v>
      </c>
      <c r="I269" s="24">
        <v>4989.34</v>
      </c>
      <c r="J269" s="24">
        <v>0.1085</v>
      </c>
      <c r="K269" s="24">
        <v>9563.11</v>
      </c>
      <c r="L269" s="14" t="s">
        <v>85</v>
      </c>
      <c r="M269" s="14" t="s">
        <v>107</v>
      </c>
      <c r="N269" s="23">
        <v>88145</v>
      </c>
      <c r="O269" s="20">
        <f t="shared" si="9"/>
        <v>1</v>
      </c>
    </row>
    <row r="270" ht="28" spans="1:15">
      <c r="A270" s="14" t="s">
        <v>11</v>
      </c>
      <c r="B270" s="14" t="s">
        <v>179</v>
      </c>
      <c r="C270" s="23">
        <f t="shared" si="8"/>
        <v>58000</v>
      </c>
      <c r="D270" s="24">
        <v>0.09</v>
      </c>
      <c r="E270" s="24">
        <v>5220</v>
      </c>
      <c r="F270" s="24">
        <v>0.9117</v>
      </c>
      <c r="G270" s="24">
        <v>52876.02</v>
      </c>
      <c r="H270" s="24">
        <v>0.0566</v>
      </c>
      <c r="I270" s="24">
        <v>3283.02</v>
      </c>
      <c r="J270" s="24">
        <v>0.0883</v>
      </c>
      <c r="K270" s="24">
        <v>5123.98</v>
      </c>
      <c r="L270" s="14" t="s">
        <v>85</v>
      </c>
      <c r="M270" s="14" t="s">
        <v>107</v>
      </c>
      <c r="N270" s="23">
        <v>58000</v>
      </c>
      <c r="O270" s="20">
        <f t="shared" si="9"/>
        <v>1</v>
      </c>
    </row>
    <row r="271" ht="28" spans="1:15">
      <c r="A271" s="14" t="s">
        <v>11</v>
      </c>
      <c r="B271" s="14" t="s">
        <v>184</v>
      </c>
      <c r="C271" s="24">
        <f t="shared" si="8"/>
        <v>60000</v>
      </c>
      <c r="D271" s="25">
        <v>0.09</v>
      </c>
      <c r="E271" s="14">
        <v>5400</v>
      </c>
      <c r="F271" s="25">
        <v>0.8915</v>
      </c>
      <c r="G271" s="26">
        <v>53490.43</v>
      </c>
      <c r="H271" s="25">
        <v>0.0566</v>
      </c>
      <c r="I271" s="26">
        <v>3396.23</v>
      </c>
      <c r="J271" s="25">
        <v>0.1085</v>
      </c>
      <c r="K271" s="26">
        <v>6509.57</v>
      </c>
      <c r="L271" s="14" t="s">
        <v>85</v>
      </c>
      <c r="M271" s="14" t="s">
        <v>89</v>
      </c>
      <c r="N271" s="19">
        <v>60000</v>
      </c>
      <c r="O271" s="20">
        <f t="shared" si="9"/>
        <v>1</v>
      </c>
    </row>
    <row r="272" ht="28" spans="1:15">
      <c r="A272" s="14" t="s">
        <v>11</v>
      </c>
      <c r="B272" s="14" t="s">
        <v>343</v>
      </c>
      <c r="C272" s="23">
        <f t="shared" si="8"/>
        <v>145000</v>
      </c>
      <c r="D272" s="24">
        <v>0.09</v>
      </c>
      <c r="E272" s="24">
        <v>13050</v>
      </c>
      <c r="F272" s="24">
        <v>0.9126</v>
      </c>
      <c r="G272" s="24">
        <v>132320.45</v>
      </c>
      <c r="H272" s="24">
        <v>0.0566</v>
      </c>
      <c r="I272" s="24">
        <v>8207.55</v>
      </c>
      <c r="J272" s="24">
        <v>0.0874</v>
      </c>
      <c r="K272" s="24">
        <v>12679.55</v>
      </c>
      <c r="L272" s="14" t="s">
        <v>85</v>
      </c>
      <c r="M272" s="14" t="s">
        <v>109</v>
      </c>
      <c r="N272" s="23">
        <v>145000</v>
      </c>
      <c r="O272" s="20">
        <f t="shared" si="9"/>
        <v>1</v>
      </c>
    </row>
    <row r="273" ht="28" spans="1:15">
      <c r="A273" s="14" t="s">
        <v>11</v>
      </c>
      <c r="B273" s="14" t="s">
        <v>344</v>
      </c>
      <c r="C273" s="23">
        <f t="shared" si="8"/>
        <v>116000</v>
      </c>
      <c r="D273" s="24">
        <v>0.09</v>
      </c>
      <c r="E273" s="24">
        <v>10440</v>
      </c>
      <c r="F273" s="24">
        <v>0.9013</v>
      </c>
      <c r="G273" s="24">
        <v>104552.04</v>
      </c>
      <c r="H273" s="24">
        <v>0.0566</v>
      </c>
      <c r="I273" s="24">
        <v>6566.04</v>
      </c>
      <c r="J273" s="24">
        <v>0.0987</v>
      </c>
      <c r="K273" s="24">
        <v>11447.96</v>
      </c>
      <c r="L273" s="14" t="s">
        <v>85</v>
      </c>
      <c r="M273" s="14" t="s">
        <v>109</v>
      </c>
      <c r="N273" s="23">
        <v>116000</v>
      </c>
      <c r="O273" s="20">
        <f t="shared" si="9"/>
        <v>1</v>
      </c>
    </row>
    <row r="274" ht="28" spans="1:15">
      <c r="A274" s="14" t="s">
        <v>11</v>
      </c>
      <c r="B274" s="14" t="s">
        <v>345</v>
      </c>
      <c r="C274" s="23">
        <f t="shared" si="8"/>
        <v>53000</v>
      </c>
      <c r="D274" s="24">
        <v>0.0943</v>
      </c>
      <c r="E274" s="24">
        <v>5000</v>
      </c>
      <c r="F274" s="24">
        <v>0.9057</v>
      </c>
      <c r="G274" s="24">
        <v>48000</v>
      </c>
      <c r="H274" s="24">
        <v>0.0566</v>
      </c>
      <c r="I274" s="24">
        <v>3000</v>
      </c>
      <c r="J274" s="24">
        <v>0.0943</v>
      </c>
      <c r="K274" s="24">
        <v>5000</v>
      </c>
      <c r="L274" s="14" t="s">
        <v>85</v>
      </c>
      <c r="M274" s="14" t="s">
        <v>150</v>
      </c>
      <c r="N274" s="23">
        <v>53000</v>
      </c>
      <c r="O274" s="20">
        <f t="shared" si="9"/>
        <v>1</v>
      </c>
    </row>
    <row r="275" ht="28" spans="1:15">
      <c r="A275" s="14" t="s">
        <v>11</v>
      </c>
      <c r="B275" s="14" t="s">
        <v>346</v>
      </c>
      <c r="C275" s="24">
        <f t="shared" si="8"/>
        <v>116000</v>
      </c>
      <c r="D275" s="25">
        <v>0.0521</v>
      </c>
      <c r="E275" s="14">
        <v>6041.088</v>
      </c>
      <c r="F275" s="25">
        <v>0.8785</v>
      </c>
      <c r="G275" s="26">
        <v>101904.128</v>
      </c>
      <c r="H275" s="25">
        <v>0.0566</v>
      </c>
      <c r="I275" s="26">
        <v>6566.04</v>
      </c>
      <c r="J275" s="25">
        <v>0.1215</v>
      </c>
      <c r="K275" s="26">
        <v>14095.872</v>
      </c>
      <c r="L275" s="14" t="s">
        <v>85</v>
      </c>
      <c r="M275" s="14" t="s">
        <v>89</v>
      </c>
      <c r="N275" s="19">
        <v>116000</v>
      </c>
      <c r="O275" s="20">
        <f t="shared" si="9"/>
        <v>1</v>
      </c>
    </row>
    <row r="276" ht="28" spans="1:15">
      <c r="A276" s="14" t="s">
        <v>11</v>
      </c>
      <c r="B276" s="14" t="s">
        <v>306</v>
      </c>
      <c r="C276" s="23">
        <f t="shared" si="8"/>
        <v>53000</v>
      </c>
      <c r="D276" s="24">
        <v>0.0943</v>
      </c>
      <c r="E276" s="24">
        <v>5000</v>
      </c>
      <c r="F276" s="24">
        <v>0.9057</v>
      </c>
      <c r="G276" s="24">
        <v>48000</v>
      </c>
      <c r="H276" s="24">
        <v>0.0566</v>
      </c>
      <c r="I276" s="24">
        <v>3000</v>
      </c>
      <c r="J276" s="24">
        <v>0.0943</v>
      </c>
      <c r="K276" s="24">
        <v>5000</v>
      </c>
      <c r="L276" s="14" t="s">
        <v>85</v>
      </c>
      <c r="M276" s="14" t="s">
        <v>104</v>
      </c>
      <c r="N276" s="23">
        <v>53000</v>
      </c>
      <c r="O276" s="20">
        <f t="shared" si="9"/>
        <v>1</v>
      </c>
    </row>
    <row r="277" ht="28" spans="1:15">
      <c r="A277" s="14" t="s">
        <v>11</v>
      </c>
      <c r="B277" s="14" t="s">
        <v>347</v>
      </c>
      <c r="C277" s="24">
        <f t="shared" si="8"/>
        <v>87000</v>
      </c>
      <c r="D277" s="25">
        <v>0.09</v>
      </c>
      <c r="E277" s="14">
        <v>7830</v>
      </c>
      <c r="F277" s="25">
        <v>0.9013</v>
      </c>
      <c r="G277" s="26">
        <v>78414.91</v>
      </c>
      <c r="H277" s="25">
        <v>0.0566</v>
      </c>
      <c r="I277" s="26">
        <v>4924.53</v>
      </c>
      <c r="J277" s="25">
        <v>0.0987</v>
      </c>
      <c r="K277" s="26">
        <v>8585.09</v>
      </c>
      <c r="L277" s="14" t="s">
        <v>85</v>
      </c>
      <c r="M277" s="14" t="s">
        <v>89</v>
      </c>
      <c r="N277" s="19">
        <v>87000</v>
      </c>
      <c r="O277" s="20">
        <f t="shared" si="9"/>
        <v>1</v>
      </c>
    </row>
    <row r="278" ht="28" spans="1:15">
      <c r="A278" s="14" t="s">
        <v>11</v>
      </c>
      <c r="B278" s="14" t="s">
        <v>348</v>
      </c>
      <c r="C278" s="23">
        <f t="shared" si="8"/>
        <v>145000</v>
      </c>
      <c r="D278" s="24">
        <v>0.09</v>
      </c>
      <c r="E278" s="24">
        <v>13050</v>
      </c>
      <c r="F278" s="24">
        <v>0.9013</v>
      </c>
      <c r="G278" s="24">
        <v>130690.05</v>
      </c>
      <c r="H278" s="24">
        <v>0.0566</v>
      </c>
      <c r="I278" s="24">
        <v>8207.55</v>
      </c>
      <c r="J278" s="24">
        <v>0.0987</v>
      </c>
      <c r="K278" s="24">
        <v>14309.95</v>
      </c>
      <c r="L278" s="14" t="s">
        <v>85</v>
      </c>
      <c r="M278" s="14" t="s">
        <v>107</v>
      </c>
      <c r="N278" s="23">
        <v>145000</v>
      </c>
      <c r="O278" s="20">
        <f t="shared" si="9"/>
        <v>1</v>
      </c>
    </row>
    <row r="279" ht="28" spans="1:15">
      <c r="A279" s="14" t="s">
        <v>11</v>
      </c>
      <c r="B279" s="14" t="s">
        <v>349</v>
      </c>
      <c r="C279" s="23">
        <f t="shared" si="8"/>
        <v>79500</v>
      </c>
      <c r="D279" s="24">
        <v>0.0943</v>
      </c>
      <c r="E279" s="24">
        <v>7500</v>
      </c>
      <c r="F279" s="24">
        <v>0.9057</v>
      </c>
      <c r="G279" s="24">
        <v>72000</v>
      </c>
      <c r="H279" s="24">
        <v>0.0566</v>
      </c>
      <c r="I279" s="24">
        <v>4500</v>
      </c>
      <c r="J279" s="24">
        <v>0.0943</v>
      </c>
      <c r="K279" s="24">
        <v>7500</v>
      </c>
      <c r="L279" s="14" t="s">
        <v>85</v>
      </c>
      <c r="M279" s="14" t="s">
        <v>150</v>
      </c>
      <c r="N279" s="23">
        <v>79500</v>
      </c>
      <c r="O279" s="20">
        <f t="shared" si="9"/>
        <v>1</v>
      </c>
    </row>
    <row r="280" ht="28" spans="1:15">
      <c r="A280" s="14" t="s">
        <v>11</v>
      </c>
      <c r="B280" s="14" t="s">
        <v>234</v>
      </c>
      <c r="C280" s="23">
        <f t="shared" si="8"/>
        <v>90000</v>
      </c>
      <c r="D280" s="24">
        <v>0.09</v>
      </c>
      <c r="E280" s="24">
        <v>8100</v>
      </c>
      <c r="F280" s="24">
        <v>0.9013</v>
      </c>
      <c r="G280" s="24">
        <v>81118.87</v>
      </c>
      <c r="H280" s="24">
        <v>0.0566</v>
      </c>
      <c r="I280" s="24">
        <v>5094.34</v>
      </c>
      <c r="J280" s="24">
        <v>0.0987</v>
      </c>
      <c r="K280" s="24">
        <v>8881.13</v>
      </c>
      <c r="L280" s="14" t="s">
        <v>85</v>
      </c>
      <c r="M280" s="14" t="s">
        <v>107</v>
      </c>
      <c r="N280" s="23">
        <v>90000</v>
      </c>
      <c r="O280" s="20">
        <f t="shared" si="9"/>
        <v>1</v>
      </c>
    </row>
    <row r="281" ht="28" spans="1:15">
      <c r="A281" s="14" t="s">
        <v>11</v>
      </c>
      <c r="B281" s="14" t="s">
        <v>350</v>
      </c>
      <c r="C281" s="23">
        <f t="shared" si="8"/>
        <v>30000</v>
      </c>
      <c r="D281" s="24">
        <v>0.09</v>
      </c>
      <c r="E281" s="24">
        <v>2700</v>
      </c>
      <c r="F281" s="24">
        <v>0.9013</v>
      </c>
      <c r="G281" s="24">
        <v>27039.62</v>
      </c>
      <c r="H281" s="24">
        <v>0.0566</v>
      </c>
      <c r="I281" s="24">
        <v>1698.11</v>
      </c>
      <c r="J281" s="24">
        <v>0.0987</v>
      </c>
      <c r="K281" s="24">
        <v>2960.38</v>
      </c>
      <c r="L281" s="14" t="s">
        <v>85</v>
      </c>
      <c r="M281" s="14" t="s">
        <v>107</v>
      </c>
      <c r="N281" s="23">
        <v>30000</v>
      </c>
      <c r="O281" s="20">
        <f t="shared" si="9"/>
        <v>1</v>
      </c>
    </row>
    <row r="282" ht="28" spans="1:15">
      <c r="A282" s="14" t="s">
        <v>11</v>
      </c>
      <c r="B282" s="14" t="s">
        <v>248</v>
      </c>
      <c r="C282" s="23">
        <f t="shared" si="8"/>
        <v>145000</v>
      </c>
      <c r="D282" s="24">
        <v>0.09</v>
      </c>
      <c r="E282" s="24">
        <v>13050</v>
      </c>
      <c r="F282" s="24">
        <v>0.9058</v>
      </c>
      <c r="G282" s="24">
        <v>131338.05</v>
      </c>
      <c r="H282" s="24">
        <v>0.0566</v>
      </c>
      <c r="I282" s="24">
        <v>8207.55</v>
      </c>
      <c r="J282" s="24">
        <v>0.0942</v>
      </c>
      <c r="K282" s="24">
        <v>13661.95</v>
      </c>
      <c r="L282" s="14" t="s">
        <v>85</v>
      </c>
      <c r="M282" s="14" t="s">
        <v>107</v>
      </c>
      <c r="N282" s="23">
        <v>145000</v>
      </c>
      <c r="O282" s="20">
        <f t="shared" si="9"/>
        <v>1</v>
      </c>
    </row>
    <row r="283" ht="28" spans="1:15">
      <c r="A283" s="14" t="s">
        <v>11</v>
      </c>
      <c r="B283" s="14" t="s">
        <v>249</v>
      </c>
      <c r="C283" s="23">
        <f t="shared" si="8"/>
        <v>87000</v>
      </c>
      <c r="D283" s="24">
        <v>0.09</v>
      </c>
      <c r="E283" s="24">
        <v>7830</v>
      </c>
      <c r="F283" s="24">
        <v>0.9013</v>
      </c>
      <c r="G283" s="24">
        <v>78414.03</v>
      </c>
      <c r="H283" s="24">
        <v>0.0566</v>
      </c>
      <c r="I283" s="24">
        <v>4924.53</v>
      </c>
      <c r="J283" s="24">
        <v>0.0987</v>
      </c>
      <c r="K283" s="24">
        <v>8585.97</v>
      </c>
      <c r="L283" s="14" t="s">
        <v>85</v>
      </c>
      <c r="M283" s="14" t="s">
        <v>126</v>
      </c>
      <c r="N283" s="23">
        <v>87000</v>
      </c>
      <c r="O283" s="20">
        <f t="shared" si="9"/>
        <v>1</v>
      </c>
    </row>
    <row r="284" ht="28" spans="1:15">
      <c r="A284" s="14" t="s">
        <v>11</v>
      </c>
      <c r="B284" s="14" t="s">
        <v>351</v>
      </c>
      <c r="C284" s="23">
        <f t="shared" si="8"/>
        <v>79500</v>
      </c>
      <c r="D284" s="24">
        <v>0.09</v>
      </c>
      <c r="E284" s="24">
        <v>7155</v>
      </c>
      <c r="F284" s="24">
        <v>0.9033</v>
      </c>
      <c r="G284" s="24">
        <v>71809.56</v>
      </c>
      <c r="H284" s="24">
        <v>0.0566</v>
      </c>
      <c r="I284" s="24">
        <v>4500</v>
      </c>
      <c r="J284" s="24">
        <v>0.0967</v>
      </c>
      <c r="K284" s="24">
        <v>7690.44</v>
      </c>
      <c r="L284" s="14" t="s">
        <v>85</v>
      </c>
      <c r="M284" s="14" t="s">
        <v>107</v>
      </c>
      <c r="N284" s="23">
        <v>79500</v>
      </c>
      <c r="O284" s="20">
        <f t="shared" si="9"/>
        <v>1</v>
      </c>
    </row>
    <row r="285" ht="28" spans="1:15">
      <c r="A285" s="14" t="s">
        <v>11</v>
      </c>
      <c r="B285" s="14" t="s">
        <v>352</v>
      </c>
      <c r="C285" s="23">
        <f t="shared" si="8"/>
        <v>53000</v>
      </c>
      <c r="D285" s="24">
        <v>0.09</v>
      </c>
      <c r="E285" s="24">
        <v>4770</v>
      </c>
      <c r="F285" s="24">
        <v>0.9013</v>
      </c>
      <c r="G285" s="24">
        <v>47770</v>
      </c>
      <c r="H285" s="24">
        <v>0.0566</v>
      </c>
      <c r="I285" s="24">
        <v>3000</v>
      </c>
      <c r="J285" s="24">
        <v>0.0987</v>
      </c>
      <c r="K285" s="24">
        <v>5230</v>
      </c>
      <c r="L285" s="14" t="s">
        <v>85</v>
      </c>
      <c r="M285" s="14" t="s">
        <v>107</v>
      </c>
      <c r="N285" s="23">
        <v>53000</v>
      </c>
      <c r="O285" s="20">
        <f t="shared" si="9"/>
        <v>1</v>
      </c>
    </row>
    <row r="286" ht="28" spans="1:15">
      <c r="A286" s="14" t="s">
        <v>11</v>
      </c>
      <c r="B286" s="14" t="s">
        <v>353</v>
      </c>
      <c r="C286" s="24">
        <f t="shared" si="8"/>
        <v>53000</v>
      </c>
      <c r="D286" s="25">
        <v>0.09</v>
      </c>
      <c r="E286" s="14">
        <v>4770</v>
      </c>
      <c r="F286" s="25">
        <v>0.9013</v>
      </c>
      <c r="G286" s="26">
        <v>47770</v>
      </c>
      <c r="H286" s="25">
        <v>0.0566</v>
      </c>
      <c r="I286" s="26">
        <v>3000</v>
      </c>
      <c r="J286" s="25">
        <v>0.0987</v>
      </c>
      <c r="K286" s="26">
        <v>5230</v>
      </c>
      <c r="L286" s="14" t="s">
        <v>85</v>
      </c>
      <c r="M286" s="14" t="s">
        <v>89</v>
      </c>
      <c r="N286" s="19">
        <v>53000</v>
      </c>
      <c r="O286" s="20">
        <f t="shared" si="9"/>
        <v>1</v>
      </c>
    </row>
    <row r="287" ht="28" spans="1:15">
      <c r="A287" s="14" t="s">
        <v>11</v>
      </c>
      <c r="B287" s="14" t="s">
        <v>354</v>
      </c>
      <c r="C287" s="23">
        <f t="shared" si="8"/>
        <v>58000</v>
      </c>
      <c r="D287" s="24">
        <v>0.0463</v>
      </c>
      <c r="E287" s="24">
        <v>2683.02</v>
      </c>
      <c r="F287" s="24">
        <v>0.8921</v>
      </c>
      <c r="G287" s="24">
        <v>51739.62</v>
      </c>
      <c r="H287" s="24">
        <v>0.0566</v>
      </c>
      <c r="I287" s="24">
        <v>3283.02</v>
      </c>
      <c r="J287" s="24">
        <v>0.1079</v>
      </c>
      <c r="K287" s="24">
        <v>6260.38</v>
      </c>
      <c r="L287" s="14" t="s">
        <v>85</v>
      </c>
      <c r="M287" s="14" t="s">
        <v>150</v>
      </c>
      <c r="N287" s="23">
        <v>58000</v>
      </c>
      <c r="O287" s="20">
        <f t="shared" si="9"/>
        <v>1</v>
      </c>
    </row>
    <row r="288" ht="28" spans="1:15">
      <c r="A288" s="14" t="s">
        <v>11</v>
      </c>
      <c r="B288" s="14" t="s">
        <v>355</v>
      </c>
      <c r="C288" s="23">
        <f t="shared" si="8"/>
        <v>79500</v>
      </c>
      <c r="D288" s="24">
        <v>0.09</v>
      </c>
      <c r="E288" s="24">
        <v>7155</v>
      </c>
      <c r="F288" s="24">
        <v>0.9013</v>
      </c>
      <c r="G288" s="24">
        <v>71655</v>
      </c>
      <c r="H288" s="24">
        <v>0.0566</v>
      </c>
      <c r="I288" s="24">
        <v>4500</v>
      </c>
      <c r="J288" s="24">
        <v>0.0987</v>
      </c>
      <c r="K288" s="24">
        <v>7845</v>
      </c>
      <c r="L288" s="14" t="s">
        <v>85</v>
      </c>
      <c r="M288" s="14" t="s">
        <v>107</v>
      </c>
      <c r="N288" s="23">
        <v>79500</v>
      </c>
      <c r="O288" s="20">
        <f t="shared" si="9"/>
        <v>1</v>
      </c>
    </row>
    <row r="289" ht="28" spans="1:15">
      <c r="A289" s="14" t="s">
        <v>11</v>
      </c>
      <c r="B289" s="14" t="s">
        <v>356</v>
      </c>
      <c r="C289" s="23">
        <f t="shared" si="8"/>
        <v>116000</v>
      </c>
      <c r="D289" s="24">
        <v>0.09</v>
      </c>
      <c r="E289" s="24">
        <v>10440</v>
      </c>
      <c r="F289" s="24">
        <v>0.9013</v>
      </c>
      <c r="G289" s="24">
        <v>104553.21</v>
      </c>
      <c r="H289" s="24">
        <v>0.0566</v>
      </c>
      <c r="I289" s="24">
        <v>6566.04</v>
      </c>
      <c r="J289" s="24">
        <v>0.0987</v>
      </c>
      <c r="K289" s="24">
        <v>11446.79</v>
      </c>
      <c r="L289" s="14" t="s">
        <v>85</v>
      </c>
      <c r="M289" s="14" t="s">
        <v>107</v>
      </c>
      <c r="N289" s="23">
        <v>116000</v>
      </c>
      <c r="O289" s="20">
        <f t="shared" si="9"/>
        <v>1</v>
      </c>
    </row>
    <row r="290" ht="28" spans="1:15">
      <c r="A290" s="14" t="s">
        <v>11</v>
      </c>
      <c r="B290" s="14" t="s">
        <v>357</v>
      </c>
      <c r="C290" s="23">
        <f t="shared" si="8"/>
        <v>74500</v>
      </c>
      <c r="D290" s="24">
        <v>0.0537</v>
      </c>
      <c r="E290" s="24">
        <v>3997.68</v>
      </c>
      <c r="F290" s="24">
        <v>0.8748</v>
      </c>
      <c r="G290" s="24">
        <v>65172.08</v>
      </c>
      <c r="H290" s="24">
        <v>0.0566</v>
      </c>
      <c r="I290" s="24">
        <v>4216.98</v>
      </c>
      <c r="J290" s="24">
        <v>0.1252</v>
      </c>
      <c r="K290" s="24">
        <v>9327.92</v>
      </c>
      <c r="L290" s="14" t="s">
        <v>85</v>
      </c>
      <c r="M290" s="14" t="s">
        <v>150</v>
      </c>
      <c r="N290" s="23">
        <v>74500</v>
      </c>
      <c r="O290" s="20">
        <f t="shared" si="9"/>
        <v>1</v>
      </c>
    </row>
    <row r="291" ht="28" spans="1:15">
      <c r="A291" s="14" t="s">
        <v>11</v>
      </c>
      <c r="B291" s="14" t="s">
        <v>358</v>
      </c>
      <c r="C291" s="23">
        <f t="shared" si="8"/>
        <v>70667</v>
      </c>
      <c r="D291" s="24">
        <v>0.0566</v>
      </c>
      <c r="E291" s="24">
        <v>4000.194</v>
      </c>
      <c r="F291" s="24">
        <v>0.8679</v>
      </c>
      <c r="G291" s="24">
        <v>61333.214</v>
      </c>
      <c r="H291" s="24">
        <v>0.0566</v>
      </c>
      <c r="I291" s="24">
        <v>4000.02</v>
      </c>
      <c r="J291" s="24">
        <v>0.1321</v>
      </c>
      <c r="K291" s="24">
        <v>9333.786</v>
      </c>
      <c r="L291" s="14" t="s">
        <v>85</v>
      </c>
      <c r="M291" s="14" t="s">
        <v>150</v>
      </c>
      <c r="N291" s="23">
        <v>70667</v>
      </c>
      <c r="O291" s="20">
        <f t="shared" si="9"/>
        <v>1</v>
      </c>
    </row>
    <row r="292" ht="28" spans="1:15">
      <c r="A292" s="14" t="s">
        <v>11</v>
      </c>
      <c r="B292" s="14" t="s">
        <v>359</v>
      </c>
      <c r="C292" s="23">
        <f t="shared" si="8"/>
        <v>8833</v>
      </c>
      <c r="D292" s="24">
        <v>0.09</v>
      </c>
      <c r="E292" s="24">
        <v>794.97</v>
      </c>
      <c r="F292" s="24">
        <v>0.9013</v>
      </c>
      <c r="G292" s="24">
        <v>7961.62</v>
      </c>
      <c r="H292" s="24">
        <v>0.0566</v>
      </c>
      <c r="I292" s="24">
        <v>499.98</v>
      </c>
      <c r="J292" s="24">
        <v>0.0987</v>
      </c>
      <c r="K292" s="24">
        <v>871.38</v>
      </c>
      <c r="L292" s="14" t="s">
        <v>85</v>
      </c>
      <c r="M292" s="14" t="s">
        <v>107</v>
      </c>
      <c r="N292" s="23">
        <v>8833</v>
      </c>
      <c r="O292" s="20">
        <f t="shared" si="9"/>
        <v>1</v>
      </c>
    </row>
    <row r="293" ht="28" spans="1:15">
      <c r="A293" s="14" t="s">
        <v>11</v>
      </c>
      <c r="B293" s="14" t="s">
        <v>360</v>
      </c>
      <c r="C293" s="23">
        <f t="shared" si="8"/>
        <v>79500</v>
      </c>
      <c r="D293" s="24">
        <v>0.09</v>
      </c>
      <c r="E293" s="24">
        <v>7155</v>
      </c>
      <c r="F293" s="24">
        <v>0.9204</v>
      </c>
      <c r="G293" s="24">
        <v>73170.74</v>
      </c>
      <c r="H293" s="24">
        <v>0.0566</v>
      </c>
      <c r="I293" s="24">
        <v>4500</v>
      </c>
      <c r="J293" s="24">
        <v>0.0796</v>
      </c>
      <c r="K293" s="24">
        <v>6329.26</v>
      </c>
      <c r="L293" s="14" t="s">
        <v>85</v>
      </c>
      <c r="M293" s="14" t="s">
        <v>107</v>
      </c>
      <c r="N293" s="23">
        <v>79500</v>
      </c>
      <c r="O293" s="20">
        <f t="shared" si="9"/>
        <v>1</v>
      </c>
    </row>
    <row r="294" ht="28" spans="1:15">
      <c r="A294" s="14" t="s">
        <v>11</v>
      </c>
      <c r="B294" s="14" t="s">
        <v>108</v>
      </c>
      <c r="C294" s="23">
        <f t="shared" si="8"/>
        <v>212000</v>
      </c>
      <c r="D294" s="24">
        <v>0.09</v>
      </c>
      <c r="E294" s="24">
        <v>19080</v>
      </c>
      <c r="F294" s="24">
        <v>0.9013</v>
      </c>
      <c r="G294" s="24">
        <v>191080</v>
      </c>
      <c r="H294" s="24">
        <v>0.0566</v>
      </c>
      <c r="I294" s="24">
        <v>12000</v>
      </c>
      <c r="J294" s="24">
        <v>0.0987</v>
      </c>
      <c r="K294" s="24">
        <v>20920</v>
      </c>
      <c r="L294" s="14" t="s">
        <v>85</v>
      </c>
      <c r="M294" s="14" t="s">
        <v>107</v>
      </c>
      <c r="N294" s="23">
        <v>212000</v>
      </c>
      <c r="O294" s="20">
        <f t="shared" si="9"/>
        <v>1</v>
      </c>
    </row>
    <row r="295" ht="28" spans="1:15">
      <c r="A295" s="14" t="s">
        <v>11</v>
      </c>
      <c r="B295" s="14" t="s">
        <v>111</v>
      </c>
      <c r="C295" s="23">
        <f t="shared" si="8"/>
        <v>265000</v>
      </c>
      <c r="D295" s="24">
        <v>0.09</v>
      </c>
      <c r="E295" s="24">
        <v>23850</v>
      </c>
      <c r="F295" s="24">
        <v>0.9039</v>
      </c>
      <c r="G295" s="24">
        <v>239526.53</v>
      </c>
      <c r="H295" s="24">
        <v>0.0566</v>
      </c>
      <c r="I295" s="24">
        <v>15000</v>
      </c>
      <c r="J295" s="24">
        <v>0.0961</v>
      </c>
      <c r="K295" s="24">
        <v>25473.47</v>
      </c>
      <c r="L295" s="14" t="s">
        <v>85</v>
      </c>
      <c r="M295" s="14" t="s">
        <v>107</v>
      </c>
      <c r="N295" s="23">
        <v>265000</v>
      </c>
      <c r="O295" s="20">
        <f t="shared" si="9"/>
        <v>1</v>
      </c>
    </row>
    <row r="296" ht="28" spans="1:15">
      <c r="A296" s="14" t="s">
        <v>11</v>
      </c>
      <c r="B296" s="14" t="s">
        <v>112</v>
      </c>
      <c r="C296" s="23">
        <f t="shared" si="8"/>
        <v>159000</v>
      </c>
      <c r="D296" s="24">
        <v>0.09</v>
      </c>
      <c r="E296" s="24">
        <v>14310</v>
      </c>
      <c r="F296" s="24">
        <v>0.9039</v>
      </c>
      <c r="G296" s="24">
        <v>143713</v>
      </c>
      <c r="H296" s="24">
        <v>0.0566</v>
      </c>
      <c r="I296" s="24">
        <v>9000</v>
      </c>
      <c r="J296" s="24">
        <v>0.0961</v>
      </c>
      <c r="K296" s="24">
        <v>15287</v>
      </c>
      <c r="L296" s="14" t="s">
        <v>85</v>
      </c>
      <c r="M296" s="14" t="s">
        <v>107</v>
      </c>
      <c r="N296" s="23">
        <v>159000</v>
      </c>
      <c r="O296" s="20">
        <f t="shared" si="9"/>
        <v>1</v>
      </c>
    </row>
    <row r="297" ht="28" spans="1:15">
      <c r="A297" s="14" t="s">
        <v>11</v>
      </c>
      <c r="B297" s="14" t="s">
        <v>113</v>
      </c>
      <c r="C297" s="23">
        <f t="shared" si="8"/>
        <v>238500</v>
      </c>
      <c r="D297" s="24">
        <v>0.09</v>
      </c>
      <c r="E297" s="24">
        <v>21465</v>
      </c>
      <c r="F297" s="24">
        <v>0.903</v>
      </c>
      <c r="G297" s="24">
        <v>215368</v>
      </c>
      <c r="H297" s="24">
        <v>0.0566</v>
      </c>
      <c r="I297" s="24">
        <v>13500</v>
      </c>
      <c r="J297" s="24">
        <v>0.097</v>
      </c>
      <c r="K297" s="24">
        <v>23132</v>
      </c>
      <c r="L297" s="14" t="s">
        <v>85</v>
      </c>
      <c r="M297" s="14" t="s">
        <v>107</v>
      </c>
      <c r="N297" s="23">
        <v>238500</v>
      </c>
      <c r="O297" s="20">
        <f t="shared" si="9"/>
        <v>1</v>
      </c>
    </row>
    <row r="298" ht="28" spans="1:15">
      <c r="A298" s="14" t="s">
        <v>11</v>
      </c>
      <c r="B298" s="14" t="s">
        <v>114</v>
      </c>
      <c r="C298" s="23">
        <f t="shared" si="8"/>
        <v>132500</v>
      </c>
      <c r="D298" s="24">
        <v>0.0566</v>
      </c>
      <c r="E298" s="24">
        <v>7500</v>
      </c>
      <c r="F298" s="24">
        <v>0.8679</v>
      </c>
      <c r="G298" s="24">
        <v>115000</v>
      </c>
      <c r="H298" s="24">
        <v>0.0566</v>
      </c>
      <c r="I298" s="24">
        <v>7500</v>
      </c>
      <c r="J298" s="24">
        <v>0.1321</v>
      </c>
      <c r="K298" s="24">
        <v>17500</v>
      </c>
      <c r="L298" s="14" t="s">
        <v>85</v>
      </c>
      <c r="M298" s="14" t="s">
        <v>104</v>
      </c>
      <c r="N298" s="23">
        <v>132500</v>
      </c>
      <c r="O298" s="20">
        <f t="shared" si="9"/>
        <v>1</v>
      </c>
    </row>
    <row r="299" ht="28" spans="1:15">
      <c r="A299" s="14" t="s">
        <v>11</v>
      </c>
      <c r="B299" s="14" t="s">
        <v>115</v>
      </c>
      <c r="C299" s="23">
        <f t="shared" si="8"/>
        <v>106000</v>
      </c>
      <c r="D299" s="24">
        <v>0.09</v>
      </c>
      <c r="E299" s="24">
        <v>9540</v>
      </c>
      <c r="F299" s="24">
        <v>0.9063</v>
      </c>
      <c r="G299" s="24">
        <v>96073</v>
      </c>
      <c r="H299" s="24">
        <v>0.0566</v>
      </c>
      <c r="I299" s="24">
        <v>6000</v>
      </c>
      <c r="J299" s="24">
        <v>0.0937</v>
      </c>
      <c r="K299" s="24">
        <v>9927</v>
      </c>
      <c r="L299" s="14" t="s">
        <v>85</v>
      </c>
      <c r="M299" s="14" t="s">
        <v>107</v>
      </c>
      <c r="N299" s="23">
        <v>106000</v>
      </c>
      <c r="O299" s="20">
        <f t="shared" si="9"/>
        <v>1</v>
      </c>
    </row>
    <row r="300" ht="28" spans="1:15">
      <c r="A300" s="14" t="s">
        <v>11</v>
      </c>
      <c r="B300" s="14" t="s">
        <v>116</v>
      </c>
      <c r="C300" s="23">
        <f t="shared" si="8"/>
        <v>8833</v>
      </c>
      <c r="D300" s="24">
        <v>0.09</v>
      </c>
      <c r="E300" s="24">
        <v>794.97</v>
      </c>
      <c r="F300" s="24">
        <v>0.9013</v>
      </c>
      <c r="G300" s="24">
        <v>7961.62</v>
      </c>
      <c r="H300" s="24">
        <v>0.0566</v>
      </c>
      <c r="I300" s="24">
        <v>499.98</v>
      </c>
      <c r="J300" s="24">
        <v>0.0987</v>
      </c>
      <c r="K300" s="24">
        <v>871.38</v>
      </c>
      <c r="L300" s="14" t="s">
        <v>85</v>
      </c>
      <c r="M300" s="14" t="s">
        <v>107</v>
      </c>
      <c r="N300" s="23">
        <v>8833</v>
      </c>
      <c r="O300" s="20">
        <f t="shared" si="9"/>
        <v>1</v>
      </c>
    </row>
    <row r="301" ht="28" spans="1:15">
      <c r="A301" s="14" t="s">
        <v>11</v>
      </c>
      <c r="B301" s="14" t="s">
        <v>117</v>
      </c>
      <c r="C301" s="24">
        <f t="shared" si="8"/>
        <v>106000</v>
      </c>
      <c r="D301" s="25">
        <v>0.09</v>
      </c>
      <c r="E301" s="14">
        <v>9540</v>
      </c>
      <c r="F301" s="25">
        <v>0.9013</v>
      </c>
      <c r="G301" s="26">
        <v>95540</v>
      </c>
      <c r="H301" s="25">
        <v>0.0566</v>
      </c>
      <c r="I301" s="26">
        <v>6000</v>
      </c>
      <c r="J301" s="25">
        <v>0.0987</v>
      </c>
      <c r="K301" s="26">
        <v>10460</v>
      </c>
      <c r="L301" s="14" t="s">
        <v>85</v>
      </c>
      <c r="M301" s="14" t="s">
        <v>361</v>
      </c>
      <c r="N301" s="19">
        <v>106000</v>
      </c>
      <c r="O301" s="20">
        <f t="shared" si="9"/>
        <v>1</v>
      </c>
    </row>
    <row r="302" ht="28" spans="1:15">
      <c r="A302" s="14" t="s">
        <v>11</v>
      </c>
      <c r="B302" s="14" t="s">
        <v>118</v>
      </c>
      <c r="C302" s="24">
        <f t="shared" si="8"/>
        <v>106000</v>
      </c>
      <c r="D302" s="25">
        <v>0.09</v>
      </c>
      <c r="E302" s="14">
        <v>9540</v>
      </c>
      <c r="F302" s="25">
        <v>0.9074</v>
      </c>
      <c r="G302" s="26">
        <v>96188</v>
      </c>
      <c r="H302" s="25">
        <v>0.0566</v>
      </c>
      <c r="I302" s="26">
        <v>6000</v>
      </c>
      <c r="J302" s="25">
        <v>0.0926</v>
      </c>
      <c r="K302" s="26">
        <v>9812</v>
      </c>
      <c r="L302" s="14" t="s">
        <v>85</v>
      </c>
      <c r="M302" s="14" t="s">
        <v>89</v>
      </c>
      <c r="N302" s="19">
        <v>106000</v>
      </c>
      <c r="O302" s="20">
        <f t="shared" si="9"/>
        <v>1</v>
      </c>
    </row>
    <row r="303" ht="28" spans="1:15">
      <c r="A303" s="14" t="s">
        <v>11</v>
      </c>
      <c r="B303" s="14" t="s">
        <v>120</v>
      </c>
      <c r="C303" s="23">
        <f t="shared" si="8"/>
        <v>212000</v>
      </c>
      <c r="D303" s="24">
        <v>0.09</v>
      </c>
      <c r="E303" s="24">
        <v>19080</v>
      </c>
      <c r="F303" s="24">
        <v>0.9038</v>
      </c>
      <c r="G303" s="24">
        <v>191613</v>
      </c>
      <c r="H303" s="24">
        <v>0.0566</v>
      </c>
      <c r="I303" s="24">
        <v>12000</v>
      </c>
      <c r="J303" s="24">
        <v>0.0962</v>
      </c>
      <c r="K303" s="24">
        <v>20387</v>
      </c>
      <c r="L303" s="14" t="s">
        <v>85</v>
      </c>
      <c r="M303" s="14" t="s">
        <v>107</v>
      </c>
      <c r="N303" s="23">
        <v>212000</v>
      </c>
      <c r="O303" s="20">
        <f t="shared" si="9"/>
        <v>1</v>
      </c>
    </row>
    <row r="304" ht="28" spans="1:15">
      <c r="A304" s="14" t="s">
        <v>11</v>
      </c>
      <c r="B304" s="14" t="s">
        <v>121</v>
      </c>
      <c r="C304" s="23">
        <f t="shared" si="8"/>
        <v>155000</v>
      </c>
      <c r="D304" s="24">
        <v>0.0895</v>
      </c>
      <c r="E304" s="24">
        <v>13867.926</v>
      </c>
      <c r="F304" s="24">
        <v>0.7912</v>
      </c>
      <c r="G304" s="24">
        <v>122641.506</v>
      </c>
      <c r="H304" s="24">
        <v>0.0566</v>
      </c>
      <c r="I304" s="24">
        <v>8773.58</v>
      </c>
      <c r="J304" s="24">
        <v>0.2088</v>
      </c>
      <c r="K304" s="24">
        <v>32358.494</v>
      </c>
      <c r="L304" s="14" t="s">
        <v>85</v>
      </c>
      <c r="M304" s="14" t="s">
        <v>104</v>
      </c>
      <c r="N304" s="23">
        <v>155000</v>
      </c>
      <c r="O304" s="20">
        <f t="shared" si="9"/>
        <v>1</v>
      </c>
    </row>
    <row r="305" ht="28" spans="1:15">
      <c r="A305" s="14" t="s">
        <v>11</v>
      </c>
      <c r="B305" s="14" t="s">
        <v>164</v>
      </c>
      <c r="C305" s="24">
        <f t="shared" si="8"/>
        <v>58000</v>
      </c>
      <c r="D305" s="25">
        <v>0.09</v>
      </c>
      <c r="E305" s="14">
        <v>5220</v>
      </c>
      <c r="F305" s="25">
        <v>0.9013</v>
      </c>
      <c r="G305" s="26">
        <v>52276.02</v>
      </c>
      <c r="H305" s="25">
        <v>0.0566</v>
      </c>
      <c r="I305" s="26">
        <v>3283.02</v>
      </c>
      <c r="J305" s="25">
        <v>0.0987</v>
      </c>
      <c r="K305" s="26">
        <v>5723.98</v>
      </c>
      <c r="L305" s="14" t="s">
        <v>85</v>
      </c>
      <c r="M305" s="14" t="s">
        <v>89</v>
      </c>
      <c r="N305" s="19">
        <v>58000</v>
      </c>
      <c r="O305" s="20">
        <f t="shared" si="9"/>
        <v>1</v>
      </c>
    </row>
    <row r="306" ht="28" spans="1:15">
      <c r="A306" s="14" t="s">
        <v>11</v>
      </c>
      <c r="B306" s="14" t="s">
        <v>124</v>
      </c>
      <c r="C306" s="23">
        <f t="shared" si="8"/>
        <v>26500</v>
      </c>
      <c r="D306" s="24">
        <v>0.09</v>
      </c>
      <c r="E306" s="24">
        <v>2385</v>
      </c>
      <c r="F306" s="24">
        <v>0.9126</v>
      </c>
      <c r="G306" s="24">
        <v>24185</v>
      </c>
      <c r="H306" s="24">
        <v>0.0566</v>
      </c>
      <c r="I306" s="24">
        <v>1500</v>
      </c>
      <c r="J306" s="24">
        <v>0.0874</v>
      </c>
      <c r="K306" s="24">
        <v>2315</v>
      </c>
      <c r="L306" s="14" t="s">
        <v>85</v>
      </c>
      <c r="M306" s="14" t="s">
        <v>107</v>
      </c>
      <c r="N306" s="23">
        <v>26500</v>
      </c>
      <c r="O306" s="20">
        <f t="shared" si="9"/>
        <v>1</v>
      </c>
    </row>
    <row r="307" ht="28" spans="1:15">
      <c r="A307" s="14" t="s">
        <v>11</v>
      </c>
      <c r="B307" s="14" t="s">
        <v>362</v>
      </c>
      <c r="C307" s="23">
        <f t="shared" si="8"/>
        <v>79500</v>
      </c>
      <c r="D307" s="24">
        <v>0.0566</v>
      </c>
      <c r="E307" s="24">
        <v>4500</v>
      </c>
      <c r="F307" s="24">
        <v>0.8679</v>
      </c>
      <c r="G307" s="24">
        <v>69000</v>
      </c>
      <c r="H307" s="24">
        <v>0.0566</v>
      </c>
      <c r="I307" s="24">
        <v>4500</v>
      </c>
      <c r="J307" s="24">
        <v>0.1321</v>
      </c>
      <c r="K307" s="24">
        <v>10500</v>
      </c>
      <c r="L307" s="14" t="s">
        <v>85</v>
      </c>
      <c r="M307" s="14" t="s">
        <v>104</v>
      </c>
      <c r="N307" s="23">
        <v>79500</v>
      </c>
      <c r="O307" s="20">
        <f t="shared" si="9"/>
        <v>1</v>
      </c>
    </row>
    <row r="308" ht="28" spans="1:15">
      <c r="A308" s="14" t="s">
        <v>11</v>
      </c>
      <c r="B308" s="14" t="s">
        <v>363</v>
      </c>
      <c r="C308" s="23">
        <f t="shared" si="8"/>
        <v>79500</v>
      </c>
      <c r="D308" s="24">
        <v>0.09</v>
      </c>
      <c r="E308" s="24">
        <v>7155</v>
      </c>
      <c r="F308" s="24">
        <v>0.9013</v>
      </c>
      <c r="G308" s="24">
        <v>71655</v>
      </c>
      <c r="H308" s="24">
        <v>0.0566</v>
      </c>
      <c r="I308" s="24">
        <v>4500</v>
      </c>
      <c r="J308" s="24">
        <v>0.0987</v>
      </c>
      <c r="K308" s="24">
        <v>7845</v>
      </c>
      <c r="L308" s="14" t="s">
        <v>85</v>
      </c>
      <c r="M308" s="14" t="s">
        <v>107</v>
      </c>
      <c r="N308" s="23">
        <v>79500</v>
      </c>
      <c r="O308" s="20">
        <f t="shared" si="9"/>
        <v>1</v>
      </c>
    </row>
    <row r="309" ht="28" spans="1:15">
      <c r="A309" s="14" t="s">
        <v>11</v>
      </c>
      <c r="B309" s="14" t="s">
        <v>364</v>
      </c>
      <c r="C309" s="23">
        <f t="shared" si="8"/>
        <v>123666</v>
      </c>
      <c r="D309" s="24">
        <v>0.0566</v>
      </c>
      <c r="E309" s="24">
        <v>6999.912</v>
      </c>
      <c r="F309" s="24">
        <v>0.8679</v>
      </c>
      <c r="G309" s="24">
        <v>107332.872</v>
      </c>
      <c r="H309" s="24">
        <v>0.0566</v>
      </c>
      <c r="I309" s="24">
        <v>6999.96</v>
      </c>
      <c r="J309" s="24">
        <v>0.1321</v>
      </c>
      <c r="K309" s="24">
        <v>16333.128</v>
      </c>
      <c r="L309" s="14" t="s">
        <v>85</v>
      </c>
      <c r="M309" s="14" t="s">
        <v>104</v>
      </c>
      <c r="N309" s="23">
        <v>123666</v>
      </c>
      <c r="O309" s="20">
        <f t="shared" si="9"/>
        <v>1</v>
      </c>
    </row>
    <row r="310" ht="28" spans="1:15">
      <c r="A310" s="14" t="s">
        <v>11</v>
      </c>
      <c r="B310" s="14" t="s">
        <v>365</v>
      </c>
      <c r="C310" s="23">
        <f t="shared" si="8"/>
        <v>79500</v>
      </c>
      <c r="D310" s="24">
        <v>0.09</v>
      </c>
      <c r="E310" s="24">
        <v>7155</v>
      </c>
      <c r="F310" s="24">
        <v>0.9013</v>
      </c>
      <c r="G310" s="24">
        <v>71655</v>
      </c>
      <c r="H310" s="24">
        <v>0.0566</v>
      </c>
      <c r="I310" s="24">
        <v>4500</v>
      </c>
      <c r="J310" s="24">
        <v>0.0987</v>
      </c>
      <c r="K310" s="24">
        <v>7845</v>
      </c>
      <c r="L310" s="14" t="s">
        <v>85</v>
      </c>
      <c r="M310" s="14" t="s">
        <v>107</v>
      </c>
      <c r="N310" s="23">
        <v>79500</v>
      </c>
      <c r="O310" s="20">
        <f t="shared" si="9"/>
        <v>1</v>
      </c>
    </row>
    <row r="311" ht="28" spans="1:15">
      <c r="A311" s="14" t="s">
        <v>11</v>
      </c>
      <c r="B311" s="14" t="s">
        <v>366</v>
      </c>
      <c r="C311" s="23">
        <f t="shared" si="8"/>
        <v>50000</v>
      </c>
      <c r="D311" s="24">
        <v>0.09</v>
      </c>
      <c r="E311" s="24">
        <v>4500</v>
      </c>
      <c r="F311" s="24">
        <v>0.9161</v>
      </c>
      <c r="G311" s="24">
        <v>45805.92</v>
      </c>
      <c r="H311" s="24">
        <v>0.0566</v>
      </c>
      <c r="I311" s="24">
        <v>2830.19</v>
      </c>
      <c r="J311" s="24">
        <v>0.0839</v>
      </c>
      <c r="K311" s="24">
        <v>4194.08</v>
      </c>
      <c r="L311" s="14" t="s">
        <v>85</v>
      </c>
      <c r="M311" s="14" t="s">
        <v>107</v>
      </c>
      <c r="N311" s="23">
        <v>50000</v>
      </c>
      <c r="O311" s="20">
        <f t="shared" si="9"/>
        <v>1</v>
      </c>
    </row>
    <row r="312" ht="28" spans="1:15">
      <c r="A312" s="14" t="s">
        <v>11</v>
      </c>
      <c r="B312" s="14" t="s">
        <v>367</v>
      </c>
      <c r="C312" s="24">
        <f t="shared" si="8"/>
        <v>50000</v>
      </c>
      <c r="D312" s="25">
        <v>0.09</v>
      </c>
      <c r="E312" s="14">
        <v>4500</v>
      </c>
      <c r="F312" s="25">
        <v>0.9133</v>
      </c>
      <c r="G312" s="26">
        <v>45666.04</v>
      </c>
      <c r="H312" s="25">
        <v>0.0566</v>
      </c>
      <c r="I312" s="26">
        <v>2830.19</v>
      </c>
      <c r="J312" s="25">
        <v>0.0867</v>
      </c>
      <c r="K312" s="26">
        <v>4333.96</v>
      </c>
      <c r="L312" s="14" t="s">
        <v>85</v>
      </c>
      <c r="M312" s="14" t="s">
        <v>89</v>
      </c>
      <c r="N312" s="19">
        <v>50000</v>
      </c>
      <c r="O312" s="20">
        <f t="shared" si="9"/>
        <v>1</v>
      </c>
    </row>
    <row r="313" ht="28" spans="1:15">
      <c r="A313" s="14" t="s">
        <v>11</v>
      </c>
      <c r="B313" s="14" t="s">
        <v>368</v>
      </c>
      <c r="C313" s="24">
        <f t="shared" si="8"/>
        <v>25000</v>
      </c>
      <c r="D313" s="25">
        <v>0.09</v>
      </c>
      <c r="E313" s="14">
        <v>2250</v>
      </c>
      <c r="F313" s="25">
        <v>0.9013</v>
      </c>
      <c r="G313" s="26">
        <v>22533.01</v>
      </c>
      <c r="H313" s="25">
        <v>0.0566</v>
      </c>
      <c r="I313" s="26">
        <v>1415.09</v>
      </c>
      <c r="J313" s="25">
        <v>0.0987</v>
      </c>
      <c r="K313" s="26">
        <v>2466.99</v>
      </c>
      <c r="L313" s="14" t="s">
        <v>85</v>
      </c>
      <c r="M313" s="14" t="s">
        <v>89</v>
      </c>
      <c r="N313" s="19">
        <v>25000</v>
      </c>
      <c r="O313" s="20">
        <f t="shared" si="9"/>
        <v>1</v>
      </c>
    </row>
    <row r="314" ht="28" spans="1:15">
      <c r="A314" s="14" t="s">
        <v>11</v>
      </c>
      <c r="B314" s="14" t="s">
        <v>369</v>
      </c>
      <c r="C314" s="23">
        <f t="shared" si="8"/>
        <v>67364</v>
      </c>
      <c r="D314" s="24">
        <v>0.09</v>
      </c>
      <c r="E314" s="24">
        <v>6062.76</v>
      </c>
      <c r="F314" s="24">
        <v>0.8966</v>
      </c>
      <c r="G314" s="24">
        <v>60399.78</v>
      </c>
      <c r="H314" s="24">
        <v>0.0566</v>
      </c>
      <c r="I314" s="24">
        <v>3813.06</v>
      </c>
      <c r="J314" s="24">
        <v>0.1034</v>
      </c>
      <c r="K314" s="24">
        <v>6964.22</v>
      </c>
      <c r="L314" s="14" t="s">
        <v>85</v>
      </c>
      <c r="M314" s="14" t="s">
        <v>107</v>
      </c>
      <c r="N314" s="23">
        <v>67364</v>
      </c>
      <c r="O314" s="20">
        <f t="shared" si="9"/>
        <v>1</v>
      </c>
    </row>
    <row r="315" ht="28" spans="1:15">
      <c r="A315" s="14" t="s">
        <v>11</v>
      </c>
      <c r="B315" s="14" t="s">
        <v>370</v>
      </c>
      <c r="C315" s="23">
        <f t="shared" si="8"/>
        <v>50000</v>
      </c>
      <c r="D315" s="24">
        <v>0.09</v>
      </c>
      <c r="E315" s="24">
        <v>4500</v>
      </c>
      <c r="F315" s="24">
        <v>0.9373</v>
      </c>
      <c r="G315" s="24">
        <v>46866.04</v>
      </c>
      <c r="H315" s="24">
        <v>0.0566</v>
      </c>
      <c r="I315" s="24">
        <v>2830.19</v>
      </c>
      <c r="J315" s="24">
        <v>0.0627</v>
      </c>
      <c r="K315" s="24">
        <v>3133.96</v>
      </c>
      <c r="L315" s="14" t="s">
        <v>85</v>
      </c>
      <c r="M315" s="14" t="s">
        <v>107</v>
      </c>
      <c r="N315" s="23">
        <v>50000</v>
      </c>
      <c r="O315" s="20">
        <f t="shared" si="9"/>
        <v>1</v>
      </c>
    </row>
    <row r="316" ht="28" spans="1:15">
      <c r="A316" s="14" t="s">
        <v>11</v>
      </c>
      <c r="B316" s="14" t="s">
        <v>371</v>
      </c>
      <c r="C316" s="23">
        <f t="shared" si="8"/>
        <v>100000</v>
      </c>
      <c r="D316" s="24">
        <v>0.09</v>
      </c>
      <c r="E316" s="24">
        <v>9000</v>
      </c>
      <c r="F316" s="24">
        <v>0.9013</v>
      </c>
      <c r="G316" s="24">
        <v>90132.08</v>
      </c>
      <c r="H316" s="24">
        <v>0.0566</v>
      </c>
      <c r="I316" s="24">
        <v>5660.38</v>
      </c>
      <c r="J316" s="24">
        <v>0.0987</v>
      </c>
      <c r="K316" s="24">
        <v>9867.92</v>
      </c>
      <c r="L316" s="14" t="s">
        <v>85</v>
      </c>
      <c r="M316" s="14" t="s">
        <v>126</v>
      </c>
      <c r="N316" s="23">
        <v>100000</v>
      </c>
      <c r="O316" s="20">
        <f t="shared" si="9"/>
        <v>1</v>
      </c>
    </row>
    <row r="317" ht="28" spans="1:15">
      <c r="A317" s="14" t="s">
        <v>11</v>
      </c>
      <c r="B317" s="14" t="s">
        <v>372</v>
      </c>
      <c r="C317" s="23">
        <f t="shared" si="8"/>
        <v>75000</v>
      </c>
      <c r="D317" s="24">
        <v>0.09</v>
      </c>
      <c r="E317" s="24">
        <v>6750</v>
      </c>
      <c r="F317" s="24">
        <v>0.9133</v>
      </c>
      <c r="G317" s="24">
        <v>68499.05</v>
      </c>
      <c r="H317" s="24">
        <v>0.0566</v>
      </c>
      <c r="I317" s="24">
        <v>4245.28</v>
      </c>
      <c r="J317" s="24">
        <v>0.0867</v>
      </c>
      <c r="K317" s="24">
        <v>6500.95</v>
      </c>
      <c r="L317" s="14" t="s">
        <v>85</v>
      </c>
      <c r="M317" s="14" t="s">
        <v>107</v>
      </c>
      <c r="N317" s="23">
        <v>75000</v>
      </c>
      <c r="O317" s="20">
        <f t="shared" si="9"/>
        <v>1</v>
      </c>
    </row>
    <row r="318" ht="28" spans="1:15">
      <c r="A318" s="14" t="s">
        <v>11</v>
      </c>
      <c r="B318" s="14" t="s">
        <v>237</v>
      </c>
      <c r="C318" s="23">
        <f t="shared" si="8"/>
        <v>53000</v>
      </c>
      <c r="D318" s="24">
        <v>0.0566</v>
      </c>
      <c r="E318" s="24">
        <v>3000</v>
      </c>
      <c r="F318" s="24">
        <v>0.8679</v>
      </c>
      <c r="G318" s="24">
        <v>46000</v>
      </c>
      <c r="H318" s="24">
        <v>0.0566</v>
      </c>
      <c r="I318" s="24">
        <v>3000</v>
      </c>
      <c r="J318" s="24">
        <v>0.1321</v>
      </c>
      <c r="K318" s="24">
        <v>7000</v>
      </c>
      <c r="L318" s="14" t="s">
        <v>85</v>
      </c>
      <c r="M318" s="14" t="s">
        <v>104</v>
      </c>
      <c r="N318" s="23">
        <v>53000</v>
      </c>
      <c r="O318" s="20">
        <f t="shared" si="9"/>
        <v>1</v>
      </c>
    </row>
    <row r="319" ht="28" spans="1:15">
      <c r="A319" s="14" t="s">
        <v>11</v>
      </c>
      <c r="B319" s="14" t="s">
        <v>373</v>
      </c>
      <c r="C319" s="23">
        <f t="shared" si="8"/>
        <v>79500</v>
      </c>
      <c r="D319" s="24">
        <v>0.09</v>
      </c>
      <c r="E319" s="24">
        <v>7155</v>
      </c>
      <c r="F319" s="24">
        <v>0.9013</v>
      </c>
      <c r="G319" s="24">
        <v>71655</v>
      </c>
      <c r="H319" s="24">
        <v>0.0566</v>
      </c>
      <c r="I319" s="24">
        <v>4500</v>
      </c>
      <c r="J319" s="24">
        <v>0.0987</v>
      </c>
      <c r="K319" s="24">
        <v>7845</v>
      </c>
      <c r="L319" s="14" t="s">
        <v>85</v>
      </c>
      <c r="M319" s="14" t="s">
        <v>107</v>
      </c>
      <c r="N319" s="23">
        <v>79500</v>
      </c>
      <c r="O319" s="20">
        <f t="shared" si="9"/>
        <v>1</v>
      </c>
    </row>
    <row r="320" ht="28" spans="1:15">
      <c r="A320" s="14" t="s">
        <v>11</v>
      </c>
      <c r="B320" s="14" t="s">
        <v>374</v>
      </c>
      <c r="C320" s="23">
        <f t="shared" si="8"/>
        <v>159000</v>
      </c>
      <c r="D320" s="24">
        <v>0.09</v>
      </c>
      <c r="E320" s="24">
        <v>14310</v>
      </c>
      <c r="F320" s="24">
        <v>0.9013</v>
      </c>
      <c r="G320" s="24">
        <v>143310</v>
      </c>
      <c r="H320" s="24">
        <v>0.0566</v>
      </c>
      <c r="I320" s="24">
        <v>9000</v>
      </c>
      <c r="J320" s="24">
        <v>0.0987</v>
      </c>
      <c r="K320" s="24">
        <v>15690</v>
      </c>
      <c r="L320" s="14" t="s">
        <v>85</v>
      </c>
      <c r="M320" s="14" t="s">
        <v>107</v>
      </c>
      <c r="N320" s="23">
        <v>159000</v>
      </c>
      <c r="O320" s="20">
        <f t="shared" si="9"/>
        <v>1</v>
      </c>
    </row>
    <row r="321" ht="28" spans="1:15">
      <c r="A321" s="14" t="s">
        <v>11</v>
      </c>
      <c r="B321" s="14" t="s">
        <v>375</v>
      </c>
      <c r="C321" s="23">
        <f t="shared" si="8"/>
        <v>79500</v>
      </c>
      <c r="D321" s="24">
        <v>0.0566</v>
      </c>
      <c r="E321" s="24">
        <v>4500</v>
      </c>
      <c r="F321" s="24">
        <v>0.8679</v>
      </c>
      <c r="G321" s="24">
        <v>69000</v>
      </c>
      <c r="H321" s="24">
        <v>0.0566</v>
      </c>
      <c r="I321" s="24">
        <v>4500</v>
      </c>
      <c r="J321" s="24">
        <v>0.1321</v>
      </c>
      <c r="K321" s="24">
        <v>10500</v>
      </c>
      <c r="L321" s="14" t="s">
        <v>85</v>
      </c>
      <c r="M321" s="14" t="s">
        <v>150</v>
      </c>
      <c r="N321" s="23">
        <v>79500</v>
      </c>
      <c r="O321" s="20">
        <f t="shared" si="9"/>
        <v>1</v>
      </c>
    </row>
    <row r="322" ht="28" spans="1:15">
      <c r="A322" s="14" t="s">
        <v>11</v>
      </c>
      <c r="B322" s="14" t="s">
        <v>376</v>
      </c>
      <c r="C322" s="23">
        <f t="shared" ref="C322:C360" si="10">G322+K322</f>
        <v>79500</v>
      </c>
      <c r="D322" s="24">
        <v>0.09</v>
      </c>
      <c r="E322" s="24">
        <v>7155</v>
      </c>
      <c r="F322" s="24">
        <v>0.9108</v>
      </c>
      <c r="G322" s="24">
        <v>72404.96</v>
      </c>
      <c r="H322" s="24">
        <v>0.0566</v>
      </c>
      <c r="I322" s="24">
        <v>4500</v>
      </c>
      <c r="J322" s="24">
        <v>0.0892</v>
      </c>
      <c r="K322" s="24">
        <v>7095.04</v>
      </c>
      <c r="L322" s="14" t="s">
        <v>85</v>
      </c>
      <c r="M322" s="14" t="s">
        <v>107</v>
      </c>
      <c r="N322" s="23">
        <v>79500</v>
      </c>
      <c r="O322" s="20">
        <f t="shared" ref="O322:O360" si="11">C322/N322</f>
        <v>1</v>
      </c>
    </row>
    <row r="323" ht="28" spans="1:15">
      <c r="A323" s="14" t="s">
        <v>11</v>
      </c>
      <c r="B323" s="14" t="s">
        <v>377</v>
      </c>
      <c r="C323" s="23">
        <f t="shared" si="10"/>
        <v>220833.33</v>
      </c>
      <c r="D323" s="24">
        <v>0.09</v>
      </c>
      <c r="E323" s="24">
        <v>19874.9997</v>
      </c>
      <c r="F323" s="24">
        <v>0.9013</v>
      </c>
      <c r="G323" s="24">
        <v>199041.6697</v>
      </c>
      <c r="H323" s="24">
        <v>0.0566</v>
      </c>
      <c r="I323" s="24">
        <v>12500</v>
      </c>
      <c r="J323" s="24">
        <v>0.0987</v>
      </c>
      <c r="K323" s="24">
        <v>21791.6603</v>
      </c>
      <c r="L323" s="14" t="s">
        <v>85</v>
      </c>
      <c r="M323" s="14" t="s">
        <v>107</v>
      </c>
      <c r="N323" s="23">
        <v>220833.33</v>
      </c>
      <c r="O323" s="20">
        <f t="shared" si="11"/>
        <v>1</v>
      </c>
    </row>
    <row r="324" ht="28" spans="1:15">
      <c r="A324" s="14" t="s">
        <v>11</v>
      </c>
      <c r="B324" s="14" t="s">
        <v>378</v>
      </c>
      <c r="C324" s="24">
        <f t="shared" si="10"/>
        <v>116000</v>
      </c>
      <c r="D324" s="25">
        <v>0.09</v>
      </c>
      <c r="E324" s="14">
        <v>10440</v>
      </c>
      <c r="F324" s="25">
        <v>0.9013</v>
      </c>
      <c r="G324" s="26">
        <v>104552.04</v>
      </c>
      <c r="H324" s="25">
        <v>0.0566</v>
      </c>
      <c r="I324" s="26">
        <v>6566.04</v>
      </c>
      <c r="J324" s="25">
        <v>0.0987</v>
      </c>
      <c r="K324" s="26">
        <v>11447.96</v>
      </c>
      <c r="L324" s="14" t="s">
        <v>85</v>
      </c>
      <c r="M324" s="14" t="s">
        <v>89</v>
      </c>
      <c r="N324" s="19">
        <v>116000</v>
      </c>
      <c r="O324" s="20">
        <f t="shared" si="11"/>
        <v>1</v>
      </c>
    </row>
    <row r="325" ht="28" spans="1:15">
      <c r="A325" s="14" t="s">
        <v>11</v>
      </c>
      <c r="B325" s="14" t="s">
        <v>379</v>
      </c>
      <c r="C325" s="23">
        <f t="shared" si="10"/>
        <v>53000</v>
      </c>
      <c r="D325" s="24">
        <v>0.09</v>
      </c>
      <c r="E325" s="24">
        <v>4770</v>
      </c>
      <c r="F325" s="24">
        <v>0.9013</v>
      </c>
      <c r="G325" s="24">
        <v>47770</v>
      </c>
      <c r="H325" s="24">
        <v>0.0566</v>
      </c>
      <c r="I325" s="24">
        <v>3000</v>
      </c>
      <c r="J325" s="24">
        <v>0.0987</v>
      </c>
      <c r="K325" s="24">
        <v>5230</v>
      </c>
      <c r="L325" s="14" t="s">
        <v>85</v>
      </c>
      <c r="M325" s="14" t="s">
        <v>107</v>
      </c>
      <c r="N325" s="23">
        <v>53000</v>
      </c>
      <c r="O325" s="20">
        <f t="shared" si="11"/>
        <v>1</v>
      </c>
    </row>
    <row r="326" ht="28" spans="1:15">
      <c r="A326" s="14" t="s">
        <v>11</v>
      </c>
      <c r="B326" s="14" t="s">
        <v>380</v>
      </c>
      <c r="C326" s="24">
        <f t="shared" si="10"/>
        <v>53000</v>
      </c>
      <c r="D326" s="25">
        <v>0.05</v>
      </c>
      <c r="E326" s="14">
        <v>2650</v>
      </c>
      <c r="F326" s="25">
        <v>0.8613</v>
      </c>
      <c r="G326" s="26">
        <v>45650</v>
      </c>
      <c r="H326" s="25">
        <v>0.0566</v>
      </c>
      <c r="I326" s="26">
        <v>3000</v>
      </c>
      <c r="J326" s="25">
        <v>0.1387</v>
      </c>
      <c r="K326" s="26">
        <v>7350</v>
      </c>
      <c r="L326" s="14" t="s">
        <v>85</v>
      </c>
      <c r="M326" s="14" t="s">
        <v>89</v>
      </c>
      <c r="N326" s="19">
        <v>53000</v>
      </c>
      <c r="O326" s="20">
        <f t="shared" si="11"/>
        <v>1</v>
      </c>
    </row>
    <row r="327" ht="28" spans="1:15">
      <c r="A327" s="14" t="s">
        <v>11</v>
      </c>
      <c r="B327" s="14" t="s">
        <v>381</v>
      </c>
      <c r="C327" s="23">
        <f t="shared" si="10"/>
        <v>53000</v>
      </c>
      <c r="D327" s="24">
        <v>0.0566</v>
      </c>
      <c r="E327" s="24">
        <v>3000</v>
      </c>
      <c r="F327" s="24">
        <v>0.8679</v>
      </c>
      <c r="G327" s="24">
        <v>46000</v>
      </c>
      <c r="H327" s="24">
        <v>0.0566</v>
      </c>
      <c r="I327" s="24">
        <v>3000</v>
      </c>
      <c r="J327" s="24">
        <v>0.1321</v>
      </c>
      <c r="K327" s="24">
        <v>7000</v>
      </c>
      <c r="L327" s="14" t="s">
        <v>85</v>
      </c>
      <c r="M327" s="14" t="s">
        <v>104</v>
      </c>
      <c r="N327" s="23">
        <v>53000</v>
      </c>
      <c r="O327" s="20">
        <f t="shared" si="11"/>
        <v>1</v>
      </c>
    </row>
    <row r="328" ht="28" spans="1:15">
      <c r="A328" s="14" t="s">
        <v>11</v>
      </c>
      <c r="B328" s="14" t="s">
        <v>382</v>
      </c>
      <c r="C328" s="23">
        <f t="shared" si="10"/>
        <v>106000</v>
      </c>
      <c r="D328" s="24">
        <v>0.09</v>
      </c>
      <c r="E328" s="24">
        <v>9540</v>
      </c>
      <c r="F328" s="24">
        <v>0.9013</v>
      </c>
      <c r="G328" s="24">
        <v>95540</v>
      </c>
      <c r="H328" s="24">
        <v>0.0566</v>
      </c>
      <c r="I328" s="24">
        <v>6000</v>
      </c>
      <c r="J328" s="24">
        <v>0.0987</v>
      </c>
      <c r="K328" s="24">
        <v>10460</v>
      </c>
      <c r="L328" s="14" t="s">
        <v>85</v>
      </c>
      <c r="M328" s="14" t="s">
        <v>107</v>
      </c>
      <c r="N328" s="23">
        <v>106000</v>
      </c>
      <c r="O328" s="20">
        <f t="shared" si="11"/>
        <v>1</v>
      </c>
    </row>
    <row r="329" ht="28" spans="1:15">
      <c r="A329" s="14" t="s">
        <v>11</v>
      </c>
      <c r="B329" s="14" t="s">
        <v>383</v>
      </c>
      <c r="C329" s="24">
        <f t="shared" si="10"/>
        <v>53000</v>
      </c>
      <c r="D329" s="25">
        <v>0.05</v>
      </c>
      <c r="E329" s="14">
        <v>2650</v>
      </c>
      <c r="F329" s="25">
        <v>0.8613</v>
      </c>
      <c r="G329" s="26">
        <v>45650</v>
      </c>
      <c r="H329" s="25">
        <v>0.0566</v>
      </c>
      <c r="I329" s="26">
        <v>3000</v>
      </c>
      <c r="J329" s="25">
        <v>0.1387</v>
      </c>
      <c r="K329" s="26">
        <v>7350</v>
      </c>
      <c r="L329" s="14" t="s">
        <v>85</v>
      </c>
      <c r="M329" s="14" t="s">
        <v>89</v>
      </c>
      <c r="N329" s="19">
        <v>53000</v>
      </c>
      <c r="O329" s="20">
        <f t="shared" si="11"/>
        <v>1</v>
      </c>
    </row>
    <row r="330" ht="28" spans="1:15">
      <c r="A330" s="14" t="s">
        <v>11</v>
      </c>
      <c r="B330" s="14" t="s">
        <v>384</v>
      </c>
      <c r="C330" s="23">
        <f t="shared" si="10"/>
        <v>53000</v>
      </c>
      <c r="D330" s="24">
        <v>0.0566</v>
      </c>
      <c r="E330" s="24">
        <v>3000</v>
      </c>
      <c r="F330" s="24">
        <v>0.8679</v>
      </c>
      <c r="G330" s="24">
        <v>46000</v>
      </c>
      <c r="H330" s="24">
        <v>0.0566</v>
      </c>
      <c r="I330" s="24">
        <v>3000</v>
      </c>
      <c r="J330" s="24">
        <v>0.1321</v>
      </c>
      <c r="K330" s="24">
        <v>7000</v>
      </c>
      <c r="L330" s="14" t="s">
        <v>85</v>
      </c>
      <c r="M330" s="14" t="s">
        <v>104</v>
      </c>
      <c r="N330" s="23">
        <v>53000</v>
      </c>
      <c r="O330" s="20">
        <f t="shared" si="11"/>
        <v>1</v>
      </c>
    </row>
    <row r="331" ht="28" spans="1:15">
      <c r="A331" s="14" t="s">
        <v>11</v>
      </c>
      <c r="B331" s="14" t="s">
        <v>238</v>
      </c>
      <c r="C331" s="23">
        <f t="shared" si="10"/>
        <v>79500</v>
      </c>
      <c r="D331" s="24">
        <v>0.0943</v>
      </c>
      <c r="E331" s="24">
        <v>7500</v>
      </c>
      <c r="F331" s="24">
        <v>0.9057</v>
      </c>
      <c r="G331" s="24">
        <v>72000</v>
      </c>
      <c r="H331" s="24">
        <v>0.0566</v>
      </c>
      <c r="I331" s="24">
        <v>4500</v>
      </c>
      <c r="J331" s="24">
        <v>0.0943</v>
      </c>
      <c r="K331" s="24">
        <v>7500</v>
      </c>
      <c r="L331" s="14" t="s">
        <v>85</v>
      </c>
      <c r="M331" s="14" t="s">
        <v>104</v>
      </c>
      <c r="N331" s="23">
        <v>79500</v>
      </c>
      <c r="O331" s="20">
        <f t="shared" si="11"/>
        <v>1</v>
      </c>
    </row>
    <row r="332" ht="28" spans="1:15">
      <c r="A332" s="14" t="s">
        <v>11</v>
      </c>
      <c r="B332" s="14" t="s">
        <v>385</v>
      </c>
      <c r="C332" s="23">
        <f t="shared" si="10"/>
        <v>87000</v>
      </c>
      <c r="D332" s="24">
        <v>0.09</v>
      </c>
      <c r="E332" s="24">
        <v>7830</v>
      </c>
      <c r="F332" s="24">
        <v>0.9013</v>
      </c>
      <c r="G332" s="24">
        <v>78414.03</v>
      </c>
      <c r="H332" s="24">
        <v>0.0566</v>
      </c>
      <c r="I332" s="24">
        <v>4924.53</v>
      </c>
      <c r="J332" s="24">
        <v>0.0987</v>
      </c>
      <c r="K332" s="24">
        <v>8585.97</v>
      </c>
      <c r="L332" s="14" t="s">
        <v>85</v>
      </c>
      <c r="M332" s="14" t="s">
        <v>107</v>
      </c>
      <c r="N332" s="23">
        <v>87000</v>
      </c>
      <c r="O332" s="20">
        <f t="shared" si="11"/>
        <v>1</v>
      </c>
    </row>
    <row r="333" ht="28" spans="1:15">
      <c r="A333" s="14" t="s">
        <v>11</v>
      </c>
      <c r="B333" s="14" t="s">
        <v>239</v>
      </c>
      <c r="C333" s="23">
        <f t="shared" si="10"/>
        <v>87000</v>
      </c>
      <c r="D333" s="24">
        <v>0.09</v>
      </c>
      <c r="E333" s="24">
        <v>7830</v>
      </c>
      <c r="F333" s="24">
        <v>0.9099</v>
      </c>
      <c r="G333" s="24">
        <v>79165.53</v>
      </c>
      <c r="H333" s="24">
        <v>0.0566</v>
      </c>
      <c r="I333" s="24">
        <v>4924.53</v>
      </c>
      <c r="J333" s="24">
        <v>0.0901</v>
      </c>
      <c r="K333" s="24">
        <v>7834.47</v>
      </c>
      <c r="L333" s="14" t="s">
        <v>85</v>
      </c>
      <c r="M333" s="14" t="s">
        <v>107</v>
      </c>
      <c r="N333" s="23">
        <v>87000</v>
      </c>
      <c r="O333" s="20">
        <f t="shared" si="11"/>
        <v>1</v>
      </c>
    </row>
    <row r="334" ht="28" spans="1:15">
      <c r="A334" s="14" t="s">
        <v>11</v>
      </c>
      <c r="B334" s="14" t="s">
        <v>386</v>
      </c>
      <c r="C334" s="23">
        <f t="shared" si="10"/>
        <v>87000</v>
      </c>
      <c r="D334" s="24">
        <v>0.09</v>
      </c>
      <c r="E334" s="24">
        <v>7830</v>
      </c>
      <c r="F334" s="24">
        <v>0.9082</v>
      </c>
      <c r="G334" s="24">
        <v>79014.03</v>
      </c>
      <c r="H334" s="24">
        <v>0.0566</v>
      </c>
      <c r="I334" s="24">
        <v>4924.53</v>
      </c>
      <c r="J334" s="24">
        <v>0.0918</v>
      </c>
      <c r="K334" s="24">
        <v>7985.97</v>
      </c>
      <c r="L334" s="14" t="s">
        <v>85</v>
      </c>
      <c r="M334" s="14" t="s">
        <v>107</v>
      </c>
      <c r="N334" s="23">
        <v>87000</v>
      </c>
      <c r="O334" s="20">
        <f t="shared" si="11"/>
        <v>1</v>
      </c>
    </row>
    <row r="335" ht="28" spans="1:15">
      <c r="A335" s="14" t="s">
        <v>11</v>
      </c>
      <c r="B335" s="14" t="s">
        <v>387</v>
      </c>
      <c r="C335" s="23">
        <f t="shared" si="10"/>
        <v>58000</v>
      </c>
      <c r="D335" s="24">
        <v>0.09</v>
      </c>
      <c r="E335" s="24">
        <v>5220</v>
      </c>
      <c r="F335" s="24">
        <v>0.9013</v>
      </c>
      <c r="G335" s="24">
        <v>52276.02</v>
      </c>
      <c r="H335" s="24">
        <v>0.0566</v>
      </c>
      <c r="I335" s="24">
        <v>3283.02</v>
      </c>
      <c r="J335" s="24">
        <v>0.0987</v>
      </c>
      <c r="K335" s="24">
        <v>5723.98</v>
      </c>
      <c r="L335" s="14" t="s">
        <v>85</v>
      </c>
      <c r="M335" s="14" t="s">
        <v>107</v>
      </c>
      <c r="N335" s="23">
        <v>58000</v>
      </c>
      <c r="O335" s="20">
        <f t="shared" si="11"/>
        <v>1</v>
      </c>
    </row>
    <row r="336" ht="28" spans="1:15">
      <c r="A336" s="14" t="s">
        <v>11</v>
      </c>
      <c r="B336" s="14" t="s">
        <v>388</v>
      </c>
      <c r="C336" s="23">
        <f t="shared" si="10"/>
        <v>174000</v>
      </c>
      <c r="D336" s="24">
        <v>0.09</v>
      </c>
      <c r="E336" s="24">
        <v>15660</v>
      </c>
      <c r="F336" s="24">
        <v>0.9048</v>
      </c>
      <c r="G336" s="24">
        <v>157428.06</v>
      </c>
      <c r="H336" s="24">
        <v>0.0566</v>
      </c>
      <c r="I336" s="24">
        <v>9849.06</v>
      </c>
      <c r="J336" s="24">
        <v>0.0952</v>
      </c>
      <c r="K336" s="24">
        <v>16571.94</v>
      </c>
      <c r="L336" s="14" t="s">
        <v>85</v>
      </c>
      <c r="M336" s="14" t="s">
        <v>107</v>
      </c>
      <c r="N336" s="23">
        <v>174000</v>
      </c>
      <c r="O336" s="20">
        <f t="shared" si="11"/>
        <v>1</v>
      </c>
    </row>
    <row r="337" ht="28" spans="1:15">
      <c r="A337" s="14" t="s">
        <v>11</v>
      </c>
      <c r="B337" s="14" t="s">
        <v>240</v>
      </c>
      <c r="C337" s="23">
        <f t="shared" si="10"/>
        <v>58000</v>
      </c>
      <c r="D337" s="24">
        <v>0.09</v>
      </c>
      <c r="E337" s="24">
        <v>5220</v>
      </c>
      <c r="F337" s="24">
        <v>0.9013</v>
      </c>
      <c r="G337" s="24">
        <v>52276.02</v>
      </c>
      <c r="H337" s="24">
        <v>0.0566</v>
      </c>
      <c r="I337" s="24">
        <v>3283.02</v>
      </c>
      <c r="J337" s="24">
        <v>0.0987</v>
      </c>
      <c r="K337" s="24">
        <v>5723.98</v>
      </c>
      <c r="L337" s="14" t="s">
        <v>85</v>
      </c>
      <c r="M337" s="14" t="s">
        <v>107</v>
      </c>
      <c r="N337" s="23">
        <v>58000</v>
      </c>
      <c r="O337" s="20">
        <f t="shared" si="11"/>
        <v>1</v>
      </c>
    </row>
    <row r="338" ht="28" spans="1:15">
      <c r="A338" s="14" t="s">
        <v>11</v>
      </c>
      <c r="B338" s="14" t="s">
        <v>389</v>
      </c>
      <c r="C338" s="23">
        <f t="shared" si="10"/>
        <v>58000</v>
      </c>
      <c r="D338" s="24">
        <v>0.09</v>
      </c>
      <c r="E338" s="24">
        <v>5220</v>
      </c>
      <c r="F338" s="24">
        <v>0.9013</v>
      </c>
      <c r="G338" s="24">
        <v>52276.02</v>
      </c>
      <c r="H338" s="24">
        <v>0.0566</v>
      </c>
      <c r="I338" s="24">
        <v>3283.02</v>
      </c>
      <c r="J338" s="24">
        <v>0.0987</v>
      </c>
      <c r="K338" s="24">
        <v>5723.98</v>
      </c>
      <c r="L338" s="14" t="s">
        <v>85</v>
      </c>
      <c r="M338" s="14" t="s">
        <v>126</v>
      </c>
      <c r="N338" s="23">
        <v>58000</v>
      </c>
      <c r="O338" s="20">
        <f t="shared" si="11"/>
        <v>1</v>
      </c>
    </row>
    <row r="339" ht="28" spans="1:15">
      <c r="A339" s="14" t="s">
        <v>11</v>
      </c>
      <c r="B339" s="14" t="s">
        <v>390</v>
      </c>
      <c r="C339" s="23">
        <f t="shared" si="10"/>
        <v>87000</v>
      </c>
      <c r="D339" s="24">
        <v>0.09</v>
      </c>
      <c r="E339" s="24">
        <v>7830</v>
      </c>
      <c r="F339" s="24">
        <v>0.9013</v>
      </c>
      <c r="G339" s="24">
        <v>78415.53</v>
      </c>
      <c r="H339" s="24">
        <v>0.0566</v>
      </c>
      <c r="I339" s="24">
        <v>4924.53</v>
      </c>
      <c r="J339" s="24">
        <v>0.0987</v>
      </c>
      <c r="K339" s="24">
        <v>8584.47</v>
      </c>
      <c r="L339" s="14" t="s">
        <v>85</v>
      </c>
      <c r="M339" s="14" t="s">
        <v>107</v>
      </c>
      <c r="N339" s="23">
        <v>87000</v>
      </c>
      <c r="O339" s="20">
        <f t="shared" si="11"/>
        <v>1</v>
      </c>
    </row>
    <row r="340" ht="28" spans="1:15">
      <c r="A340" s="14" t="s">
        <v>11</v>
      </c>
      <c r="B340" s="14" t="s">
        <v>391</v>
      </c>
      <c r="C340" s="23">
        <f t="shared" si="10"/>
        <v>87000</v>
      </c>
      <c r="D340" s="24">
        <v>0.09</v>
      </c>
      <c r="E340" s="24">
        <v>7830</v>
      </c>
      <c r="F340" s="24">
        <v>0.9013</v>
      </c>
      <c r="G340" s="24">
        <v>78415.53</v>
      </c>
      <c r="H340" s="24">
        <v>0.0566</v>
      </c>
      <c r="I340" s="24">
        <v>4924.53</v>
      </c>
      <c r="J340" s="24">
        <v>0.0987</v>
      </c>
      <c r="K340" s="24">
        <v>8584.47</v>
      </c>
      <c r="L340" s="14" t="s">
        <v>85</v>
      </c>
      <c r="M340" s="14" t="s">
        <v>107</v>
      </c>
      <c r="N340" s="23">
        <v>87000</v>
      </c>
      <c r="O340" s="20">
        <f t="shared" si="11"/>
        <v>1</v>
      </c>
    </row>
    <row r="341" ht="28" spans="1:15">
      <c r="A341" s="14" t="s">
        <v>11</v>
      </c>
      <c r="B341" s="14" t="s">
        <v>392</v>
      </c>
      <c r="C341" s="23">
        <f t="shared" si="10"/>
        <v>53000</v>
      </c>
      <c r="D341" s="24">
        <v>0.09</v>
      </c>
      <c r="E341" s="24">
        <v>4770</v>
      </c>
      <c r="F341" s="24">
        <v>0.9013</v>
      </c>
      <c r="G341" s="24">
        <v>47770</v>
      </c>
      <c r="H341" s="24">
        <v>0.0566</v>
      </c>
      <c r="I341" s="24">
        <v>3000</v>
      </c>
      <c r="J341" s="24">
        <v>0.0987</v>
      </c>
      <c r="K341" s="24">
        <v>5230</v>
      </c>
      <c r="L341" s="14" t="s">
        <v>85</v>
      </c>
      <c r="M341" s="14" t="s">
        <v>107</v>
      </c>
      <c r="N341" s="23">
        <v>53000</v>
      </c>
      <c r="O341" s="20">
        <f t="shared" si="11"/>
        <v>1</v>
      </c>
    </row>
    <row r="342" ht="28" spans="1:15">
      <c r="A342" s="14" t="s">
        <v>11</v>
      </c>
      <c r="B342" s="14" t="s">
        <v>393</v>
      </c>
      <c r="C342" s="23">
        <f t="shared" si="10"/>
        <v>61833</v>
      </c>
      <c r="D342" s="24">
        <v>0.09</v>
      </c>
      <c r="E342" s="24">
        <v>5564.97</v>
      </c>
      <c r="F342" s="24">
        <v>0.9078</v>
      </c>
      <c r="G342" s="24">
        <v>56131.35</v>
      </c>
      <c r="H342" s="24">
        <v>0.0566</v>
      </c>
      <c r="I342" s="24">
        <v>3499.98</v>
      </c>
      <c r="J342" s="24">
        <v>0.0922</v>
      </c>
      <c r="K342" s="24">
        <v>5701.65</v>
      </c>
      <c r="L342" s="14" t="s">
        <v>85</v>
      </c>
      <c r="M342" s="14" t="s">
        <v>107</v>
      </c>
      <c r="N342" s="23">
        <v>61833</v>
      </c>
      <c r="O342" s="20">
        <f t="shared" si="11"/>
        <v>1</v>
      </c>
    </row>
    <row r="343" ht="28" spans="1:15">
      <c r="A343" s="14" t="s">
        <v>11</v>
      </c>
      <c r="B343" s="14" t="s">
        <v>394</v>
      </c>
      <c r="C343" s="23">
        <f t="shared" si="10"/>
        <v>116000</v>
      </c>
      <c r="D343" s="24">
        <v>0.09</v>
      </c>
      <c r="E343" s="24">
        <v>10440</v>
      </c>
      <c r="F343" s="24">
        <v>0.9013</v>
      </c>
      <c r="G343" s="24">
        <v>104552.04</v>
      </c>
      <c r="H343" s="24">
        <v>0.0566</v>
      </c>
      <c r="I343" s="24">
        <v>6566.04</v>
      </c>
      <c r="J343" s="24">
        <v>0.0987</v>
      </c>
      <c r="K343" s="24">
        <v>11447.96</v>
      </c>
      <c r="L343" s="14" t="s">
        <v>85</v>
      </c>
      <c r="M343" s="14" t="s">
        <v>107</v>
      </c>
      <c r="N343" s="23">
        <v>116000</v>
      </c>
      <c r="O343" s="20">
        <f t="shared" si="11"/>
        <v>1</v>
      </c>
    </row>
    <row r="344" ht="28" spans="1:15">
      <c r="A344" s="14" t="s">
        <v>11</v>
      </c>
      <c r="B344" s="14" t="s">
        <v>395</v>
      </c>
      <c r="C344" s="23">
        <f t="shared" si="10"/>
        <v>8833.33</v>
      </c>
      <c r="D344" s="24">
        <v>0.09</v>
      </c>
      <c r="E344" s="24">
        <v>794.9997</v>
      </c>
      <c r="F344" s="24">
        <v>0.9013</v>
      </c>
      <c r="G344" s="24">
        <v>7961.6697</v>
      </c>
      <c r="H344" s="24">
        <v>0.0566</v>
      </c>
      <c r="I344" s="24">
        <v>500</v>
      </c>
      <c r="J344" s="24">
        <v>0.0987</v>
      </c>
      <c r="K344" s="24">
        <v>871.6603</v>
      </c>
      <c r="L344" s="14" t="s">
        <v>85</v>
      </c>
      <c r="M344" s="14" t="s">
        <v>107</v>
      </c>
      <c r="N344" s="23">
        <v>8833.33</v>
      </c>
      <c r="O344" s="20">
        <f t="shared" si="11"/>
        <v>1</v>
      </c>
    </row>
    <row r="345" ht="28" spans="1:15">
      <c r="A345" s="14" t="s">
        <v>11</v>
      </c>
      <c r="B345" s="14" t="s">
        <v>396</v>
      </c>
      <c r="C345" s="23">
        <f t="shared" si="10"/>
        <v>58000</v>
      </c>
      <c r="D345" s="24">
        <v>0.09</v>
      </c>
      <c r="E345" s="24">
        <v>5220</v>
      </c>
      <c r="F345" s="24">
        <v>0.9013</v>
      </c>
      <c r="G345" s="24">
        <v>52276.02</v>
      </c>
      <c r="H345" s="24">
        <v>0.0566</v>
      </c>
      <c r="I345" s="24">
        <v>3283.02</v>
      </c>
      <c r="J345" s="24">
        <v>0.0987</v>
      </c>
      <c r="K345" s="24">
        <v>5723.98</v>
      </c>
      <c r="L345" s="14" t="s">
        <v>85</v>
      </c>
      <c r="M345" s="14" t="s">
        <v>107</v>
      </c>
      <c r="N345" s="23">
        <v>58000</v>
      </c>
      <c r="O345" s="20">
        <f t="shared" si="11"/>
        <v>1</v>
      </c>
    </row>
    <row r="346" ht="28" spans="1:15">
      <c r="A346" s="14" t="s">
        <v>11</v>
      </c>
      <c r="B346" s="14" t="s">
        <v>397</v>
      </c>
      <c r="C346" s="23">
        <f t="shared" si="10"/>
        <v>79500</v>
      </c>
      <c r="D346" s="24">
        <v>0.0566</v>
      </c>
      <c r="E346" s="24">
        <v>4500</v>
      </c>
      <c r="F346" s="24">
        <v>0.8679</v>
      </c>
      <c r="G346" s="24">
        <v>69000</v>
      </c>
      <c r="H346" s="24">
        <v>0.0566</v>
      </c>
      <c r="I346" s="24">
        <v>4500</v>
      </c>
      <c r="J346" s="24">
        <v>0.1321</v>
      </c>
      <c r="K346" s="24">
        <v>10500</v>
      </c>
      <c r="L346" s="14" t="s">
        <v>85</v>
      </c>
      <c r="M346" s="14" t="s">
        <v>150</v>
      </c>
      <c r="N346" s="23">
        <v>79500</v>
      </c>
      <c r="O346" s="20">
        <f t="shared" si="11"/>
        <v>1</v>
      </c>
    </row>
    <row r="347" ht="28" spans="1:15">
      <c r="A347" s="14" t="s">
        <v>11</v>
      </c>
      <c r="B347" s="14" t="s">
        <v>103</v>
      </c>
      <c r="C347" s="23">
        <f t="shared" si="10"/>
        <v>79500</v>
      </c>
      <c r="D347" s="24">
        <v>0.0943</v>
      </c>
      <c r="E347" s="24">
        <v>7500</v>
      </c>
      <c r="F347" s="24">
        <v>0.9057</v>
      </c>
      <c r="G347" s="24">
        <v>72000</v>
      </c>
      <c r="H347" s="24">
        <v>0.0566</v>
      </c>
      <c r="I347" s="24">
        <v>4500</v>
      </c>
      <c r="J347" s="24">
        <v>0.0943</v>
      </c>
      <c r="K347" s="24">
        <v>7500</v>
      </c>
      <c r="L347" s="14" t="s">
        <v>85</v>
      </c>
      <c r="M347" s="14" t="s">
        <v>104</v>
      </c>
      <c r="N347" s="23">
        <v>79500</v>
      </c>
      <c r="O347" s="20">
        <f t="shared" si="11"/>
        <v>1</v>
      </c>
    </row>
    <row r="348" ht="28" spans="1:15">
      <c r="A348" s="14" t="s">
        <v>11</v>
      </c>
      <c r="B348" s="14" t="s">
        <v>398</v>
      </c>
      <c r="C348" s="23">
        <f t="shared" si="10"/>
        <v>50000</v>
      </c>
      <c r="D348" s="24">
        <v>0.09</v>
      </c>
      <c r="E348" s="24">
        <v>4500</v>
      </c>
      <c r="F348" s="24">
        <v>0.9466</v>
      </c>
      <c r="G348" s="24">
        <v>47330.19</v>
      </c>
      <c r="H348" s="24">
        <v>0.0566</v>
      </c>
      <c r="I348" s="24">
        <v>2830.19</v>
      </c>
      <c r="J348" s="24">
        <v>0.0534</v>
      </c>
      <c r="K348" s="24">
        <v>2669.81</v>
      </c>
      <c r="L348" s="14" t="s">
        <v>85</v>
      </c>
      <c r="M348" s="14" t="s">
        <v>107</v>
      </c>
      <c r="N348" s="23">
        <v>50000</v>
      </c>
      <c r="O348" s="20">
        <f t="shared" si="11"/>
        <v>1</v>
      </c>
    </row>
    <row r="349" ht="28" spans="1:15">
      <c r="A349" s="14" t="s">
        <v>11</v>
      </c>
      <c r="B349" s="14" t="s">
        <v>399</v>
      </c>
      <c r="C349" s="23">
        <f t="shared" si="10"/>
        <v>58000</v>
      </c>
      <c r="D349" s="24">
        <v>0.05</v>
      </c>
      <c r="E349" s="24">
        <v>2900</v>
      </c>
      <c r="F349" s="24">
        <v>0.8751</v>
      </c>
      <c r="G349" s="24">
        <v>50756.02</v>
      </c>
      <c r="H349" s="24">
        <v>0.0566</v>
      </c>
      <c r="I349" s="24">
        <v>3283.02</v>
      </c>
      <c r="J349" s="24">
        <v>0.1249</v>
      </c>
      <c r="K349" s="24">
        <v>7243.98</v>
      </c>
      <c r="L349" s="14" t="s">
        <v>85</v>
      </c>
      <c r="M349" s="14" t="s">
        <v>107</v>
      </c>
      <c r="N349" s="23">
        <v>58000</v>
      </c>
      <c r="O349" s="20">
        <f t="shared" si="11"/>
        <v>1</v>
      </c>
    </row>
    <row r="350" ht="28" spans="1:15">
      <c r="A350" s="14" t="s">
        <v>11</v>
      </c>
      <c r="B350" s="14" t="s">
        <v>400</v>
      </c>
      <c r="C350" s="23">
        <f t="shared" si="10"/>
        <v>79500</v>
      </c>
      <c r="D350" s="24">
        <v>0.09</v>
      </c>
      <c r="E350" s="24">
        <v>7155</v>
      </c>
      <c r="F350" s="24">
        <v>0.9013</v>
      </c>
      <c r="G350" s="24">
        <v>71655</v>
      </c>
      <c r="H350" s="24">
        <v>0.0566</v>
      </c>
      <c r="I350" s="24">
        <v>4500</v>
      </c>
      <c r="J350" s="24">
        <v>0.0987</v>
      </c>
      <c r="K350" s="24">
        <v>7845</v>
      </c>
      <c r="L350" s="14" t="s">
        <v>85</v>
      </c>
      <c r="M350" s="14" t="s">
        <v>107</v>
      </c>
      <c r="N350" s="23">
        <v>79500</v>
      </c>
      <c r="O350" s="20">
        <f t="shared" si="11"/>
        <v>1</v>
      </c>
    </row>
    <row r="351" ht="28" spans="1:15">
      <c r="A351" s="14" t="s">
        <v>11</v>
      </c>
      <c r="B351" s="14" t="s">
        <v>401</v>
      </c>
      <c r="C351" s="23">
        <f t="shared" si="10"/>
        <v>17666.67</v>
      </c>
      <c r="D351" s="24">
        <v>0.0566</v>
      </c>
      <c r="E351" s="24">
        <v>999.998999999999</v>
      </c>
      <c r="F351" s="24">
        <v>0.8679</v>
      </c>
      <c r="G351" s="24">
        <v>15333.339</v>
      </c>
      <c r="H351" s="24">
        <v>0.0566</v>
      </c>
      <c r="I351" s="24">
        <v>1000</v>
      </c>
      <c r="J351" s="24">
        <v>0.1321</v>
      </c>
      <c r="K351" s="24">
        <v>2333.331</v>
      </c>
      <c r="L351" s="14" t="s">
        <v>85</v>
      </c>
      <c r="M351" s="14" t="s">
        <v>150</v>
      </c>
      <c r="N351" s="23">
        <v>17666.67</v>
      </c>
      <c r="O351" s="20">
        <f t="shared" si="11"/>
        <v>1</v>
      </c>
    </row>
    <row r="352" ht="28" spans="1:15">
      <c r="A352" s="14" t="s">
        <v>11</v>
      </c>
      <c r="B352" s="14" t="s">
        <v>302</v>
      </c>
      <c r="C352" s="23">
        <f t="shared" si="10"/>
        <v>128000</v>
      </c>
      <c r="D352" s="24">
        <v>0.06</v>
      </c>
      <c r="E352" s="24">
        <v>7680</v>
      </c>
      <c r="F352" s="24">
        <v>0.4724</v>
      </c>
      <c r="G352" s="24">
        <v>60466.01</v>
      </c>
      <c r="H352" s="24">
        <v>0.0566</v>
      </c>
      <c r="I352" s="24">
        <v>7245.28</v>
      </c>
      <c r="J352" s="24">
        <v>0.5276</v>
      </c>
      <c r="K352" s="24">
        <v>67533.99</v>
      </c>
      <c r="L352" s="14" t="s">
        <v>85</v>
      </c>
      <c r="M352" s="14" t="s">
        <v>109</v>
      </c>
      <c r="N352" s="23">
        <v>128000</v>
      </c>
      <c r="O352" s="20">
        <f t="shared" si="11"/>
        <v>1</v>
      </c>
    </row>
    <row r="353" ht="28" spans="1:15">
      <c r="A353" s="14" t="s">
        <v>11</v>
      </c>
      <c r="B353" s="14" t="s">
        <v>402</v>
      </c>
      <c r="C353" s="24">
        <f t="shared" si="10"/>
        <v>64000</v>
      </c>
      <c r="D353" s="25">
        <v>0.09</v>
      </c>
      <c r="E353" s="14">
        <v>5760</v>
      </c>
      <c r="F353" s="25">
        <v>0.8243</v>
      </c>
      <c r="G353" s="26">
        <v>52755.64</v>
      </c>
      <c r="H353" s="25">
        <v>0.0566</v>
      </c>
      <c r="I353" s="26">
        <v>3622.64</v>
      </c>
      <c r="J353" s="25">
        <v>0.1757</v>
      </c>
      <c r="K353" s="26">
        <v>11244.36</v>
      </c>
      <c r="L353" s="14" t="s">
        <v>85</v>
      </c>
      <c r="M353" s="14" t="s">
        <v>89</v>
      </c>
      <c r="N353" s="19">
        <v>64000</v>
      </c>
      <c r="O353" s="20">
        <f t="shared" si="11"/>
        <v>1</v>
      </c>
    </row>
    <row r="354" ht="28" spans="1:15">
      <c r="A354" s="14" t="s">
        <v>11</v>
      </c>
      <c r="B354" s="14" t="s">
        <v>403</v>
      </c>
      <c r="C354" s="24">
        <f t="shared" si="10"/>
        <v>180000</v>
      </c>
      <c r="D354" s="25">
        <v>0.09</v>
      </c>
      <c r="E354" s="14">
        <v>16200</v>
      </c>
      <c r="F354" s="25">
        <v>0.8946</v>
      </c>
      <c r="G354" s="26">
        <v>161026.25</v>
      </c>
      <c r="H354" s="25">
        <v>0.0566</v>
      </c>
      <c r="I354" s="26">
        <v>10188.68</v>
      </c>
      <c r="J354" s="25">
        <v>0.1054</v>
      </c>
      <c r="K354" s="26">
        <v>18973.75</v>
      </c>
      <c r="L354" s="14" t="s">
        <v>85</v>
      </c>
      <c r="M354" s="14" t="s">
        <v>89</v>
      </c>
      <c r="N354" s="19">
        <v>180000</v>
      </c>
      <c r="O354" s="20">
        <f t="shared" si="11"/>
        <v>1</v>
      </c>
    </row>
    <row r="355" ht="28" spans="1:15">
      <c r="A355" s="14" t="s">
        <v>11</v>
      </c>
      <c r="B355" s="14" t="s">
        <v>404</v>
      </c>
      <c r="C355" s="24">
        <f t="shared" si="10"/>
        <v>122000</v>
      </c>
      <c r="D355" s="25">
        <v>0.09</v>
      </c>
      <c r="E355" s="14">
        <v>10980</v>
      </c>
      <c r="F355" s="25">
        <v>0.8642</v>
      </c>
      <c r="G355" s="26">
        <v>105431.66</v>
      </c>
      <c r="H355" s="25">
        <v>0.0566</v>
      </c>
      <c r="I355" s="26">
        <v>6905.66</v>
      </c>
      <c r="J355" s="25">
        <v>0.1358</v>
      </c>
      <c r="K355" s="26">
        <v>16568.34</v>
      </c>
      <c r="L355" s="14" t="s">
        <v>85</v>
      </c>
      <c r="M355" s="14" t="s">
        <v>89</v>
      </c>
      <c r="N355" s="19">
        <v>122000</v>
      </c>
      <c r="O355" s="20">
        <f t="shared" si="11"/>
        <v>1</v>
      </c>
    </row>
    <row r="356" ht="28" spans="1:15">
      <c r="A356" s="14" t="s">
        <v>11</v>
      </c>
      <c r="B356" s="14" t="s">
        <v>245</v>
      </c>
      <c r="C356" s="24">
        <f t="shared" si="10"/>
        <v>58000</v>
      </c>
      <c r="D356" s="25">
        <v>0.09</v>
      </c>
      <c r="E356" s="14">
        <v>5220</v>
      </c>
      <c r="F356" s="25">
        <v>0.9013</v>
      </c>
      <c r="G356" s="26">
        <v>52276.02</v>
      </c>
      <c r="H356" s="25">
        <v>0.0566</v>
      </c>
      <c r="I356" s="26">
        <v>3283.02</v>
      </c>
      <c r="J356" s="25">
        <v>0.0987</v>
      </c>
      <c r="K356" s="26">
        <v>5723.98</v>
      </c>
      <c r="L356" s="14" t="s">
        <v>85</v>
      </c>
      <c r="M356" s="14" t="s">
        <v>89</v>
      </c>
      <c r="N356" s="19">
        <v>58000</v>
      </c>
      <c r="O356" s="20">
        <f t="shared" si="11"/>
        <v>1</v>
      </c>
    </row>
    <row r="357" ht="28" spans="1:15">
      <c r="A357" s="14" t="s">
        <v>11</v>
      </c>
      <c r="B357" s="14" t="s">
        <v>405</v>
      </c>
      <c r="C357" s="24">
        <f t="shared" si="10"/>
        <v>58000</v>
      </c>
      <c r="D357" s="25">
        <v>0.09</v>
      </c>
      <c r="E357" s="14">
        <v>5220</v>
      </c>
      <c r="F357" s="25">
        <v>0.9013</v>
      </c>
      <c r="G357" s="26">
        <v>52276.02</v>
      </c>
      <c r="H357" s="25">
        <v>0.0566</v>
      </c>
      <c r="I357" s="26">
        <v>3283.02</v>
      </c>
      <c r="J357" s="25">
        <v>0.0987</v>
      </c>
      <c r="K357" s="26">
        <v>5723.98</v>
      </c>
      <c r="L357" s="14" t="s">
        <v>85</v>
      </c>
      <c r="M357" s="14" t="s">
        <v>89</v>
      </c>
      <c r="N357" s="19">
        <v>58000</v>
      </c>
      <c r="O357" s="20">
        <f t="shared" si="11"/>
        <v>1</v>
      </c>
    </row>
    <row r="358" ht="28" spans="1:15">
      <c r="A358" s="14" t="s">
        <v>11</v>
      </c>
      <c r="B358" s="14" t="s">
        <v>406</v>
      </c>
      <c r="C358" s="24">
        <f t="shared" si="10"/>
        <v>58000</v>
      </c>
      <c r="D358" s="25">
        <v>0.09</v>
      </c>
      <c r="E358" s="14">
        <v>5220</v>
      </c>
      <c r="F358" s="25">
        <v>0.9013</v>
      </c>
      <c r="G358" s="26">
        <v>52276.02</v>
      </c>
      <c r="H358" s="25">
        <v>0.0566</v>
      </c>
      <c r="I358" s="26">
        <v>3283.02</v>
      </c>
      <c r="J358" s="25">
        <v>0.0987</v>
      </c>
      <c r="K358" s="26">
        <v>5723.98</v>
      </c>
      <c r="L358" s="14" t="s">
        <v>85</v>
      </c>
      <c r="M358" s="14" t="s">
        <v>89</v>
      </c>
      <c r="N358" s="19">
        <v>58000</v>
      </c>
      <c r="O358" s="20">
        <f t="shared" si="11"/>
        <v>1</v>
      </c>
    </row>
    <row r="359" ht="28" spans="1:15">
      <c r="A359" s="14" t="s">
        <v>11</v>
      </c>
      <c r="B359" s="14" t="s">
        <v>407</v>
      </c>
      <c r="C359" s="23">
        <f t="shared" si="10"/>
        <v>116000</v>
      </c>
      <c r="D359" s="24">
        <v>0.09</v>
      </c>
      <c r="E359" s="24">
        <v>10440</v>
      </c>
      <c r="F359" s="24">
        <v>0.9013</v>
      </c>
      <c r="G359" s="24">
        <v>104552.04</v>
      </c>
      <c r="H359" s="24">
        <v>0.0566</v>
      </c>
      <c r="I359" s="24">
        <v>6566.04</v>
      </c>
      <c r="J359" s="24">
        <v>0.0987</v>
      </c>
      <c r="K359" s="24">
        <v>11447.96</v>
      </c>
      <c r="L359" s="14" t="s">
        <v>85</v>
      </c>
      <c r="M359" s="14" t="s">
        <v>107</v>
      </c>
      <c r="N359" s="23">
        <v>116000</v>
      </c>
      <c r="O359" s="20">
        <f t="shared" si="11"/>
        <v>1</v>
      </c>
    </row>
    <row r="360" ht="28" spans="1:15">
      <c r="A360" s="14" t="s">
        <v>11</v>
      </c>
      <c r="B360" s="14" t="s">
        <v>91</v>
      </c>
      <c r="C360" s="23">
        <f t="shared" si="10"/>
        <v>145000</v>
      </c>
      <c r="D360" s="24">
        <v>0.0514</v>
      </c>
      <c r="E360" s="24">
        <v>7457.985</v>
      </c>
      <c r="F360" s="24">
        <v>0.88</v>
      </c>
      <c r="G360" s="24">
        <v>127598.035</v>
      </c>
      <c r="H360" s="24">
        <v>0.0566</v>
      </c>
      <c r="I360" s="24">
        <v>8207.55</v>
      </c>
      <c r="J360" s="24">
        <v>0.12</v>
      </c>
      <c r="K360" s="24">
        <v>17401.965</v>
      </c>
      <c r="L360" s="14" t="s">
        <v>85</v>
      </c>
      <c r="M360" s="14" t="s">
        <v>126</v>
      </c>
      <c r="N360" s="23">
        <v>145000</v>
      </c>
      <c r="O360" s="20">
        <f t="shared" si="11"/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G34" sqref="G34"/>
    </sheetView>
  </sheetViews>
  <sheetFormatPr defaultColWidth="8.25" defaultRowHeight="14" outlineLevelCol="2"/>
  <cols>
    <col min="1" max="1" width="20" style="1" customWidth="1"/>
    <col min="2" max="2" width="13.9166666666667" style="3" customWidth="1"/>
    <col min="3" max="3" width="18.3333333333333" style="4" customWidth="1"/>
    <col min="4" max="16361" width="8.25" style="1"/>
    <col min="16362" max="16384" width="8.25" style="5"/>
  </cols>
  <sheetData>
    <row r="1" s="1" customFormat="1" ht="15.5" spans="1:3">
      <c r="A1" s="6" t="s">
        <v>4</v>
      </c>
      <c r="B1" s="7" t="s">
        <v>7</v>
      </c>
      <c r="C1" s="6" t="s">
        <v>8</v>
      </c>
    </row>
    <row r="2" s="1" customFormat="1" spans="1:3">
      <c r="A2" s="8" t="s">
        <v>12</v>
      </c>
      <c r="B2" s="9">
        <v>11290000</v>
      </c>
      <c r="C2" s="10">
        <v>1</v>
      </c>
    </row>
    <row r="3" s="1" customFormat="1" spans="1:3">
      <c r="A3" s="8" t="s">
        <v>11</v>
      </c>
      <c r="B3" s="9">
        <v>10238201.6</v>
      </c>
      <c r="C3" s="10">
        <v>2</v>
      </c>
    </row>
    <row r="4" s="1" customFormat="1" spans="1:3">
      <c r="A4" s="8" t="s">
        <v>18</v>
      </c>
      <c r="B4" s="9">
        <v>3556300</v>
      </c>
      <c r="C4" s="10">
        <v>3</v>
      </c>
    </row>
    <row r="5" s="1" customFormat="1" spans="1:3">
      <c r="A5" s="8" t="s">
        <v>22</v>
      </c>
      <c r="B5" s="9">
        <v>3520650</v>
      </c>
      <c r="C5" s="10">
        <v>4</v>
      </c>
    </row>
    <row r="6" s="1" customFormat="1" spans="1:3">
      <c r="A6" s="8" t="s">
        <v>32</v>
      </c>
      <c r="B6" s="9">
        <v>2845000</v>
      </c>
      <c r="C6" s="10">
        <v>5</v>
      </c>
    </row>
    <row r="7" s="1" customFormat="1" spans="1:3">
      <c r="A7" s="8" t="s">
        <v>27</v>
      </c>
      <c r="B7" s="9">
        <v>2185000</v>
      </c>
      <c r="C7" s="10">
        <v>6</v>
      </c>
    </row>
    <row r="8" s="1" customFormat="1" spans="1:3">
      <c r="A8" s="8" t="s">
        <v>15</v>
      </c>
      <c r="B8" s="9">
        <v>2180000</v>
      </c>
      <c r="C8" s="10">
        <v>7</v>
      </c>
    </row>
    <row r="9" s="1" customFormat="1" spans="1:3">
      <c r="A9" s="8" t="s">
        <v>20</v>
      </c>
      <c r="B9" s="9">
        <v>2013800</v>
      </c>
      <c r="C9" s="10">
        <v>8</v>
      </c>
    </row>
    <row r="10" s="1" customFormat="1" spans="1:3">
      <c r="A10" s="8" t="s">
        <v>26</v>
      </c>
      <c r="B10" s="9">
        <v>1655539</v>
      </c>
      <c r="C10" s="10">
        <v>14</v>
      </c>
    </row>
    <row r="11" s="1" customFormat="1" spans="1:3">
      <c r="A11" s="8" t="s">
        <v>14</v>
      </c>
      <c r="B11" s="9">
        <v>1555900</v>
      </c>
      <c r="C11" s="10">
        <v>9</v>
      </c>
    </row>
    <row r="12" s="1" customFormat="1" spans="1:3">
      <c r="A12" s="8" t="s">
        <v>21</v>
      </c>
      <c r="B12" s="9">
        <v>1440940</v>
      </c>
      <c r="C12" s="10">
        <v>10</v>
      </c>
    </row>
    <row r="13" s="1" customFormat="1" spans="1:3">
      <c r="A13" s="8" t="s">
        <v>13</v>
      </c>
      <c r="B13" s="9">
        <v>1220000</v>
      </c>
      <c r="C13" s="10">
        <v>11</v>
      </c>
    </row>
    <row r="14" s="1" customFormat="1" spans="1:3">
      <c r="A14" s="8" t="s">
        <v>30</v>
      </c>
      <c r="B14" s="9">
        <v>1041980</v>
      </c>
      <c r="C14" s="10">
        <v>12</v>
      </c>
    </row>
    <row r="15" s="1" customFormat="1" spans="1:3">
      <c r="A15" s="8" t="s">
        <v>23</v>
      </c>
      <c r="B15" s="9">
        <v>948840</v>
      </c>
      <c r="C15" s="10">
        <v>13</v>
      </c>
    </row>
    <row r="16" s="1" customFormat="1" spans="1:3">
      <c r="A16" s="8" t="s">
        <v>16</v>
      </c>
      <c r="B16" s="9">
        <v>864000</v>
      </c>
      <c r="C16" s="10">
        <v>15</v>
      </c>
    </row>
    <row r="17" s="1" customFormat="1" spans="1:3">
      <c r="A17" s="8" t="s">
        <v>28</v>
      </c>
      <c r="B17" s="9">
        <v>687500</v>
      </c>
      <c r="C17" s="10">
        <v>16</v>
      </c>
    </row>
    <row r="18" s="1" customFormat="1" spans="1:3">
      <c r="A18" s="8" t="s">
        <v>31</v>
      </c>
      <c r="B18" s="9">
        <v>632500</v>
      </c>
      <c r="C18" s="10">
        <v>17</v>
      </c>
    </row>
    <row r="19" s="1" customFormat="1" spans="1:3">
      <c r="A19" s="8" t="s">
        <v>52</v>
      </c>
      <c r="B19" s="9">
        <v>250000</v>
      </c>
      <c r="C19" s="10">
        <v>19</v>
      </c>
    </row>
    <row r="20" s="1" customFormat="1" spans="1:3">
      <c r="A20" s="8" t="s">
        <v>19</v>
      </c>
      <c r="B20" s="9">
        <v>220000</v>
      </c>
      <c r="C20" s="10">
        <v>21</v>
      </c>
    </row>
    <row r="21" s="1" customFormat="1" spans="1:3">
      <c r="A21" s="8" t="s">
        <v>53</v>
      </c>
      <c r="B21" s="9">
        <v>185000</v>
      </c>
      <c r="C21" s="10">
        <v>22</v>
      </c>
    </row>
    <row r="22" s="1" customFormat="1" spans="1:3">
      <c r="A22" s="8" t="s">
        <v>48</v>
      </c>
      <c r="B22" s="9">
        <v>166000</v>
      </c>
      <c r="C22" s="10">
        <v>23</v>
      </c>
    </row>
    <row r="23" s="1" customFormat="1" spans="1:3">
      <c r="A23" s="8" t="s">
        <v>54</v>
      </c>
      <c r="B23" s="9">
        <v>160000</v>
      </c>
      <c r="C23" s="10">
        <v>24</v>
      </c>
    </row>
    <row r="24" s="1" customFormat="1" spans="1:3">
      <c r="A24" s="8" t="s">
        <v>37</v>
      </c>
      <c r="B24" s="9">
        <v>150000</v>
      </c>
      <c r="C24" s="10">
        <v>25</v>
      </c>
    </row>
    <row r="25" s="1" customFormat="1" spans="1:3">
      <c r="A25" s="8" t="s">
        <v>39</v>
      </c>
      <c r="B25" s="9">
        <v>150000</v>
      </c>
      <c r="C25" s="10">
        <v>26</v>
      </c>
    </row>
    <row r="26" s="1" customFormat="1" spans="1:3">
      <c r="A26" s="8" t="s">
        <v>25</v>
      </c>
      <c r="B26" s="9">
        <v>140000</v>
      </c>
      <c r="C26" s="10">
        <v>27</v>
      </c>
    </row>
    <row r="27" s="1" customFormat="1" spans="1:3">
      <c r="A27" s="8" t="s">
        <v>55</v>
      </c>
      <c r="B27" s="9">
        <v>110000</v>
      </c>
      <c r="C27" s="10">
        <v>28</v>
      </c>
    </row>
    <row r="28" s="1" customFormat="1" spans="1:3">
      <c r="A28" s="8" t="s">
        <v>56</v>
      </c>
      <c r="B28" s="9">
        <v>100000</v>
      </c>
      <c r="C28" s="10">
        <v>29</v>
      </c>
    </row>
    <row r="29" s="1" customFormat="1" spans="1:3">
      <c r="A29" s="8" t="s">
        <v>35</v>
      </c>
      <c r="B29" s="9">
        <v>90000</v>
      </c>
      <c r="C29" s="10">
        <v>30</v>
      </c>
    </row>
    <row r="30" s="1" customFormat="1" spans="1:3">
      <c r="A30" s="8" t="s">
        <v>57</v>
      </c>
      <c r="B30" s="9">
        <v>55000</v>
      </c>
      <c r="C30" s="10">
        <v>31</v>
      </c>
    </row>
    <row r="31" s="1" customFormat="1" spans="1:3">
      <c r="A31" s="8" t="s">
        <v>58</v>
      </c>
      <c r="B31" s="9">
        <v>50000</v>
      </c>
      <c r="C31" s="10">
        <v>32</v>
      </c>
    </row>
    <row r="32" s="1" customFormat="1" spans="1:3">
      <c r="A32" s="8" t="s">
        <v>59</v>
      </c>
      <c r="B32" s="9">
        <v>25000</v>
      </c>
      <c r="C32" s="10">
        <v>33</v>
      </c>
    </row>
    <row r="33" s="2" customFormat="1" spans="1:3">
      <c r="A33" s="11" t="s">
        <v>60</v>
      </c>
      <c r="B33" s="12">
        <f>SUM(B2:B32)</f>
        <v>49727150.6</v>
      </c>
      <c r="C33" s="13"/>
    </row>
    <row r="34" s="1" customFormat="1" spans="1:3">
      <c r="A34" s="14"/>
      <c r="B34" s="3"/>
      <c r="C34" s="15"/>
    </row>
    <row r="35" s="1" customFormat="1" spans="2:3">
      <c r="B35" s="3"/>
      <c r="C35" s="15"/>
    </row>
  </sheetData>
  <autoFilter ref="A1:XFD33">
    <extLst/>
  </autoFilter>
  <sortState ref="A2:C37">
    <sortCondition ref="B2" descending="1"/>
  </sortState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2022年咨询内训GMV与2021年对比</vt:lpstr>
      <vt:lpstr>2022年咨询内训利润表</vt:lpstr>
      <vt:lpstr>2022年1-12月咨询内训原表</vt:lpstr>
      <vt:lpstr>2021年1-12月咨询内训GMV排名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CHENYANQIN</dc:creator>
  <cp:lastModifiedBy>陈延琴</cp:lastModifiedBy>
  <dcterms:created xsi:type="dcterms:W3CDTF">2015-06-05T18:17:00Z</dcterms:created>
  <dcterms:modified xsi:type="dcterms:W3CDTF">2023-01-16T12:13:49Z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591BEB52E200498BA4CDF9C01EDD2EAE</vt:lpwstr>
  </property>
  <property fmtid="{D5CDD505-2E9C-101B-9397-08002B2CF9AE}" pid="3" name="KSOProductBuildVer">
    <vt:lpwstr>2052-11.1.0.12970</vt:lpwstr>
  </property>
</Properties>
</file>