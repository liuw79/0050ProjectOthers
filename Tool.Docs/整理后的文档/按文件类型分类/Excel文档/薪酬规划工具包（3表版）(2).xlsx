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40" windowHeight="11740" tabRatio="929"/>
  </bookViews>
  <sheets>
    <sheet name="数据表说明" sheetId="24" r:id="rId1"/>
    <sheet name="5_2024年公司薪酬包基线" sheetId="16" r:id="rId2"/>
    <sheet name="3_2023年1-12月人力成本 " sheetId="7" state="hidden" r:id="rId3"/>
    <sheet name="7_公司薪酬包自上而下" sheetId="15" r:id="rId4"/>
    <sheet name="9_部门奖金公式" sheetId="29" r:id="rId5"/>
    <sheet name="6_公司人力成本预算" sheetId="18" r:id="rId6"/>
    <sheet name="参考_公司薪酬包弹性关系" sheetId="14" r:id="rId7"/>
    <sheet name="WpsReserved_CellImgList" sheetId="26" state="veryHidden" r:id="rId8"/>
  </sheets>
  <externalReferences>
    <externalReference r:id="rId12"/>
    <externalReference r:id="rId13"/>
  </externalReferences>
  <definedNames>
    <definedName name="_xlnm._FilterDatabase" localSheetId="2" hidden="1">'3_2023年1-12月人力成本 '!$A$2:$V$18</definedName>
  </definedName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B142527CA60E452B9C85A80D6D21C285" descr="upload_post_object_v2_719181495"/>
        <xdr:cNvPicPr/>
      </xdr:nvPicPr>
      <xdr:blipFill>
        <a:blip r:embed="rId1"/>
        <a:stretch>
          <a:fillRect/>
        </a:stretch>
      </xdr:blipFill>
      <xdr:spPr>
        <a:xfrm>
          <a:off x="0" y="0"/>
          <a:ext cx="3561715" cy="1957070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Unknown User</author>
    <author>lixiaoyi</author>
  </authors>
  <commentList>
    <comment ref="E1" authorId="0">
      <text>
        <r>
          <rPr>
            <b/>
            <sz val="9"/>
            <rFont val="宋体"/>
            <charset val="0"/>
          </rPr>
          <t>cuijing:</t>
        </r>
        <r>
          <rPr>
            <sz val="9"/>
            <rFont val="宋体"/>
            <charset val="0"/>
          </rPr>
          <t xml:space="preserve">
请Vic确认
</t>
        </r>
      </text>
    </comment>
    <comment ref="N1" authorId="0">
      <text>
        <r>
          <rPr>
            <b/>
            <sz val="9"/>
            <rFont val="宋体"/>
            <charset val="0"/>
          </rPr>
          <t>cuijing:</t>
        </r>
        <r>
          <rPr>
            <sz val="9"/>
            <rFont val="宋体"/>
            <charset val="0"/>
          </rPr>
          <t xml:space="preserve">
请Vic确认公式
</t>
        </r>
      </text>
    </comment>
    <comment ref="N4" authorId="0">
      <text>
        <r>
          <rPr>
            <b/>
            <sz val="9"/>
            <rFont val="宋体"/>
            <charset val="0"/>
          </rPr>
          <t>cuijing:</t>
        </r>
        <r>
          <rPr>
            <sz val="9"/>
            <rFont val="宋体"/>
            <charset val="0"/>
          </rPr>
          <t xml:space="preserve">
人工成本直接驱动“毛利”，通过改进“成本”，提高“毛利”，间接驱动“收入”；
人工成本和净利润正向比较，可同时增大，共同改进“费用”，不设置上限。</t>
        </r>
        <r>
          <rPr>
            <b/>
            <sz val="9"/>
            <rFont val="宋体"/>
            <charset val="0"/>
          </rPr>
          <t xml:space="preserve">
cuijing:</t>
        </r>
        <r>
          <rPr>
            <sz val="9"/>
            <rFont val="宋体"/>
            <charset val="0"/>
          </rPr>
          <t xml:space="preserve">
上限10%；下限6.88%</t>
        </r>
        <r>
          <rPr>
            <b/>
            <sz val="9"/>
            <rFont val="宋体"/>
            <charset val="0"/>
          </rPr>
          <t xml:space="preserve">
cuijing:</t>
        </r>
        <r>
          <rPr>
            <sz val="9"/>
            <rFont val="宋体"/>
            <charset val="0"/>
          </rPr>
          <t xml:space="preserve">
2024公司薪酬包基线=毛利✖️7%（牵引盈力）
</t>
        </r>
      </text>
    </comment>
    <comment ref="U4" authorId="0">
      <text/>
    </comment>
    <comment ref="W4" authorId="0">
      <text>
        <r>
          <rPr>
            <b/>
            <sz val="9"/>
            <rFont val="宋体"/>
            <charset val="0"/>
          </rPr>
          <t>cuijing:</t>
        </r>
        <r>
          <rPr>
            <sz val="9"/>
            <rFont val="宋体"/>
            <charset val="0"/>
          </rPr>
          <t xml:space="preserve">
公式对应=月工资*月份*调薪涨幅*调薪*覆盖比例*9个月生效*工资包放大系数
</t>
        </r>
      </text>
    </comment>
    <comment ref="X4" authorId="0">
      <text>
        <r>
          <rPr>
            <b/>
            <sz val="9"/>
            <rFont val="宋体"/>
            <charset val="0"/>
          </rPr>
          <t>cuijing:</t>
        </r>
        <r>
          <rPr>
            <sz val="9"/>
            <rFont val="宋体"/>
            <charset val="0"/>
          </rPr>
          <t xml:space="preserve">
取决于表8
</t>
        </r>
      </text>
    </comment>
    <comment ref="AF4" authorId="0">
      <text>
        <r>
          <rPr>
            <b/>
            <sz val="9"/>
            <rFont val="宋体"/>
            <charset val="0"/>
          </rPr>
          <t>cuijing:</t>
        </r>
        <r>
          <rPr>
            <sz val="9"/>
            <rFont val="宋体"/>
            <charset val="0"/>
          </rPr>
          <t xml:space="preserve">
待定
</t>
        </r>
      </text>
    </comment>
    <comment ref="AA5" authorId="1">
      <text>
        <r>
          <rPr>
            <sz val="9"/>
            <rFont val="宋体"/>
            <charset val="0"/>
          </rPr>
          <t>预计绩效奖金预支总额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E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陈倩婷</t>
        </r>
      </text>
    </comment>
    <comment ref="F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梁炜杰</t>
        </r>
      </text>
    </comment>
    <comment ref="H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何鸿燕、叶树钰、郭秀英、段志远</t>
        </r>
      </text>
    </comment>
    <comment ref="C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春节福利费</t>
        </r>
      </text>
    </comment>
    <comment ref="D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春节开工利是</t>
        </r>
      </text>
    </comment>
    <comment ref="H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端午福利</t>
        </r>
      </text>
    </comment>
    <comment ref="K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中秋福利</t>
        </r>
      </text>
    </comment>
    <comment ref="H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深圳+中山兼职</t>
        </r>
      </text>
    </comment>
  </commentList>
</comments>
</file>

<file path=xl/comments3.xml><?xml version="1.0" encoding="utf-8"?>
<comments xmlns="http://schemas.openxmlformats.org/spreadsheetml/2006/main">
  <authors>
    <author>lixiaoyi</author>
  </authors>
  <commentList>
    <comment ref="B2" authorId="0">
      <text>
        <r>
          <rPr>
            <sz val="9"/>
            <rFont val="宋体"/>
            <charset val="0"/>
          </rPr>
          <t>经营后，可填入目标值</t>
        </r>
      </text>
    </comment>
    <comment ref="B7" authorId="0">
      <text>
        <r>
          <rPr>
            <sz val="9"/>
            <rFont val="宋体"/>
            <charset val="0"/>
          </rPr>
          <t>待确认</t>
        </r>
      </text>
    </comment>
  </commentList>
</comments>
</file>

<file path=xl/comments4.xml><?xml version="1.0" encoding="utf-8"?>
<comments xmlns="http://schemas.openxmlformats.org/spreadsheetml/2006/main">
  <authors>
    <author>Administrator</author>
    <author>Unknown User</author>
  </authors>
  <commentList>
    <comment ref="C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截止目前在岗人数</t>
        </r>
      </text>
    </comment>
    <comment ref="A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空缺人数</t>
        </r>
      </text>
    </comment>
    <comment ref="C4" authorId="0">
      <text>
        <r>
          <rPr>
            <sz val="9"/>
            <rFont val="宋体"/>
            <charset val="0"/>
          </rPr>
          <t>Administrator:
摄影师1，工程师1，计划经理1，欧亚负责人1，门店运营4，服饰设计师3，品类规划经理1</t>
        </r>
      </text>
    </comment>
    <comment ref="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深圳会计兼职（中山的会计兼职算劳务费用）</t>
        </r>
      </text>
    </comment>
    <comment ref="C7" authorId="1">
      <text>
        <r>
          <rPr>
            <b/>
            <sz val="9"/>
            <rFont val="宋体"/>
            <charset val="0"/>
          </rPr>
          <t>廖海群:</t>
        </r>
        <r>
          <rPr>
            <sz val="9"/>
            <rFont val="宋体"/>
            <charset val="0"/>
          </rPr>
          <t xml:space="preserve">
参考23年1-12月费用
</t>
        </r>
      </text>
    </comment>
    <comment ref="C14" authorId="1">
      <text>
        <r>
          <rPr>
            <b/>
            <sz val="9"/>
            <rFont val="宋体"/>
            <charset val="0"/>
          </rPr>
          <t>廖海群:</t>
        </r>
        <r>
          <rPr>
            <sz val="9"/>
            <rFont val="宋体"/>
            <charset val="0"/>
          </rPr>
          <t xml:space="preserve">
23年费用+24新增人员费用预估
</t>
        </r>
      </text>
    </comment>
    <comment ref="A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提成</t>
        </r>
      </text>
    </comment>
    <comment ref="C23" authorId="1">
      <text>
        <r>
          <rPr>
            <b/>
            <sz val="9"/>
            <rFont val="宋体"/>
            <charset val="0"/>
          </rPr>
          <t>cuijing:</t>
        </r>
        <r>
          <rPr>
            <sz val="9"/>
            <rFont val="宋体"/>
            <charset val="0"/>
          </rPr>
          <t xml:space="preserve">
黄色底的部分要再次确认一下，与表1数据对齐
</t>
        </r>
      </text>
    </comment>
  </commentList>
</comments>
</file>

<file path=xl/comments5.xml><?xml version="1.0" encoding="utf-8"?>
<comments xmlns="http://schemas.openxmlformats.org/spreadsheetml/2006/main">
  <authors>
    <author>lixiaoyi</author>
  </authors>
  <commentList>
    <comment ref="A10" authorId="0">
      <text>
        <r>
          <rPr>
            <b/>
            <sz val="9"/>
            <rFont val="宋体"/>
            <charset val="134"/>
          </rPr>
          <t>lixiaoyi:</t>
        </r>
        <r>
          <rPr>
            <sz val="9"/>
            <rFont val="宋体"/>
            <charset val="134"/>
          </rPr>
          <t xml:space="preserve">
包括工资、绩效、补偿</t>
        </r>
      </text>
    </comment>
    <comment ref="A12" authorId="0">
      <text>
        <r>
          <rPr>
            <b/>
            <sz val="9"/>
            <rFont val="宋体"/>
            <charset val="134"/>
          </rPr>
          <t>lixiaoyi:</t>
        </r>
        <r>
          <rPr>
            <sz val="9"/>
            <rFont val="宋体"/>
            <charset val="134"/>
          </rPr>
          <t xml:space="preserve">
包括年终、提成</t>
        </r>
      </text>
    </comment>
    <comment ref="A23" authorId="0">
      <text>
        <r>
          <rPr>
            <b/>
            <sz val="9"/>
            <rFont val="宋体"/>
            <charset val="134"/>
          </rPr>
          <t>lixiaoyi:</t>
        </r>
        <r>
          <rPr>
            <sz val="9"/>
            <rFont val="宋体"/>
            <charset val="134"/>
          </rPr>
          <t xml:space="preserve">
包括工资、绩效、补偿</t>
        </r>
      </text>
    </comment>
    <comment ref="A25" authorId="0">
      <text>
        <r>
          <rPr>
            <b/>
            <sz val="9"/>
            <rFont val="宋体"/>
            <charset val="134"/>
          </rPr>
          <t>lixiaoyi:</t>
        </r>
        <r>
          <rPr>
            <sz val="9"/>
            <rFont val="宋体"/>
            <charset val="134"/>
          </rPr>
          <t xml:space="preserve">
包括年终、提成</t>
        </r>
      </text>
    </comment>
  </commentList>
</comments>
</file>

<file path=xl/sharedStrings.xml><?xml version="1.0" encoding="utf-8"?>
<sst xmlns="http://schemas.openxmlformats.org/spreadsheetml/2006/main" count="403" uniqueCount="330">
  <si>
    <t>此数据套表主要用于每年测算公司级人力成本和薪酬包数据</t>
  </si>
  <si>
    <t>序号</t>
  </si>
  <si>
    <t>表格内容</t>
  </si>
  <si>
    <t>用途</t>
  </si>
  <si>
    <t>注意事项</t>
  </si>
  <si>
    <t>参与人</t>
  </si>
  <si>
    <t>2024年定稿</t>
  </si>
  <si>
    <t>近年经营数据</t>
  </si>
  <si>
    <t>分析营收情况和薪酬效益</t>
  </si>
  <si>
    <t>战略负责人、CEO</t>
  </si>
  <si>
    <t>附表1</t>
  </si>
  <si>
    <t>历史近2年人力成本数据</t>
  </si>
  <si>
    <t>分析历史人工成本结构和各项水平</t>
  </si>
  <si>
    <t>每次需要参考提前2年，作为比较参考和增长规划</t>
  </si>
  <si>
    <t>财务负责人</t>
  </si>
  <si>
    <t>附表2</t>
  </si>
  <si>
    <t>历史近1年人力成本数据</t>
  </si>
  <si>
    <t>附表3</t>
  </si>
  <si>
    <t>人力盘点表</t>
  </si>
  <si>
    <t>划分责任单元，明确历史人工水平</t>
  </si>
  <si>
    <t>按照people manager管理责任盘点人力，单人不可拆分</t>
  </si>
  <si>
    <t>责任中心负责人</t>
  </si>
  <si>
    <t>附表4</t>
  </si>
  <si>
    <t>2024年公司薪酬包基线化</t>
  </si>
  <si>
    <t>明确薪酬规划目标值和空间值</t>
  </si>
  <si>
    <t>CEO、财务负责人</t>
  </si>
  <si>
    <t>附表5</t>
  </si>
  <si>
    <t>2024年公司人力成本预算</t>
  </si>
  <si>
    <t>明确人力成本各项目标值，年度预算表，用于利润中心过程跟踪</t>
  </si>
  <si>
    <t>附表6</t>
  </si>
  <si>
    <t>2024年公司薪酬包分配规划</t>
  </si>
  <si>
    <t>明确公司薪酬规划目标落实“到部门、到项目”</t>
  </si>
  <si>
    <t>1、与表4强关联
2、与表1强关联</t>
  </si>
  <si>
    <t>责任中心负责人、项目负责人</t>
  </si>
  <si>
    <t>附表7</t>
  </si>
  <si>
    <t>2024年工资与编制预算表</t>
  </si>
  <si>
    <t>明确刚性工资包分配明细和编制明细</t>
  </si>
  <si>
    <t>CEO</t>
  </si>
  <si>
    <t>飞书《2024职级工资测算》</t>
  </si>
  <si>
    <t>2024年部门薪酬包公式</t>
  </si>
  <si>
    <t>明确部门奖金弹性关联要素和水平，用以授权日常经营管理</t>
  </si>
  <si>
    <t>与BSC责任强关联</t>
  </si>
  <si>
    <t>附表9</t>
  </si>
  <si>
    <t>人力成本其他明细表</t>
  </si>
  <si>
    <t>明确福利包、招培包、保障包明细和水平</t>
  </si>
  <si>
    <t>附表10</t>
  </si>
  <si>
    <t>销售费用率</t>
  </si>
  <si>
    <t>物流费</t>
  </si>
  <si>
    <t>仓储费</t>
  </si>
  <si>
    <t>货损费</t>
  </si>
  <si>
    <t>每年几百万</t>
  </si>
  <si>
    <t>财务</t>
  </si>
  <si>
    <t>IT服务费</t>
  </si>
  <si>
    <t>质量流程</t>
  </si>
  <si>
    <t>头程费</t>
  </si>
  <si>
    <t>产品采购的7%</t>
  </si>
  <si>
    <t>供应链</t>
  </si>
  <si>
    <t>尾程费</t>
  </si>
  <si>
    <t>仓储包采费</t>
  </si>
  <si>
    <t>检测费</t>
  </si>
  <si>
    <t>辅料费</t>
  </si>
  <si>
    <t>时间</t>
  </si>
  <si>
    <t>收入</t>
  </si>
  <si>
    <t>（呆滞）</t>
  </si>
  <si>
    <t>成本</t>
  </si>
  <si>
    <t>毛利</t>
  </si>
  <si>
    <t>毛利率</t>
  </si>
  <si>
    <t>销售费用</t>
  </si>
  <si>
    <t>管理费用</t>
  </si>
  <si>
    <t>财务费用</t>
  </si>
  <si>
    <t>人工成本</t>
  </si>
  <si>
    <r>
      <rPr>
        <b/>
        <sz val="12"/>
        <color rgb="FFFFFFFF"/>
        <rFont val="Calibri"/>
        <charset val="134"/>
      </rPr>
      <t xml:space="preserve">净利润
</t>
    </r>
    <r>
      <rPr>
        <sz val="9"/>
        <color rgb="FFFFFFFF"/>
        <rFont val="Calibri"/>
        <charset val="134"/>
      </rPr>
      <t>（净利润=收入总额-成本-费用-人工）</t>
    </r>
  </si>
  <si>
    <r>
      <t>净利率</t>
    </r>
    <r>
      <rPr>
        <b/>
        <sz val="9"/>
        <color rgb="FFFFFFFF"/>
        <rFont val="宋体"/>
        <charset val="134"/>
      </rPr>
      <t>（净利润/收入）</t>
    </r>
  </si>
  <si>
    <t>净利润/毛利</t>
  </si>
  <si>
    <t>薪酬基线方案</t>
  </si>
  <si>
    <r>
      <t xml:space="preserve">E/R
</t>
    </r>
    <r>
      <rPr>
        <b/>
        <sz val="9"/>
        <color rgb="FFFFFFFF"/>
        <rFont val="宋体"/>
        <charset val="134"/>
        <scheme val="minor"/>
      </rPr>
      <t>（每年要改进）</t>
    </r>
  </si>
  <si>
    <t>C1招培</t>
  </si>
  <si>
    <t>C2福利</t>
  </si>
  <si>
    <t>C3保障</t>
  </si>
  <si>
    <r>
      <t xml:space="preserve">C4薪酬包
</t>
    </r>
    <r>
      <rPr>
        <b/>
        <sz val="8"/>
        <color rgb="FFFFFFFF"/>
        <rFont val="宋体"/>
        <charset val="134"/>
      </rPr>
      <t>（不低于人工75%，不高于人工90%）</t>
    </r>
  </si>
  <si>
    <r>
      <t xml:space="preserve">1-工资包
</t>
    </r>
    <r>
      <rPr>
        <sz val="8"/>
        <color rgb="FFFFFFFF"/>
        <rFont val="宋体"/>
        <charset val="134"/>
        <scheme val="minor"/>
      </rPr>
      <t>（合理规划固浮比，刚性成本谨慎）</t>
    </r>
  </si>
  <si>
    <t>M1存量</t>
  </si>
  <si>
    <t>M2涨薪</t>
  </si>
  <si>
    <t>M3新增</t>
  </si>
  <si>
    <t>M4补偿</t>
  </si>
  <si>
    <t>2-奖金包</t>
  </si>
  <si>
    <t>B1经营奖金包</t>
  </si>
  <si>
    <t>B2专项奖金包</t>
  </si>
  <si>
    <t>B2-1爆单奖</t>
  </si>
  <si>
    <t>B2-新品商业成功奖</t>
  </si>
  <si>
    <t>B3-战略突破奖</t>
  </si>
  <si>
    <t>人数</t>
  </si>
  <si>
    <r>
      <rPr>
        <b/>
        <sz val="12"/>
        <color rgb="FFFFFFFF"/>
        <rFont val="宋体"/>
        <charset val="134"/>
      </rPr>
      <t xml:space="preserve">薪酬回报
</t>
    </r>
    <r>
      <rPr>
        <b/>
        <sz val="9"/>
        <color rgb="FFFFFFFF"/>
        <rFont val="宋体"/>
        <charset val="134"/>
      </rPr>
      <t>（薪酬包/人数）</t>
    </r>
  </si>
  <si>
    <t>人均创利</t>
  </si>
  <si>
    <t>人均创收</t>
  </si>
  <si>
    <t>人均薪酬增速</t>
  </si>
  <si>
    <r>
      <t xml:space="preserve">超额节约
</t>
    </r>
    <r>
      <rPr>
        <sz val="8"/>
        <color rgb="FF000000"/>
        <rFont val="宋体"/>
        <charset val="134"/>
      </rPr>
      <t>（人工成本上限测算）</t>
    </r>
  </si>
  <si>
    <r>
      <t xml:space="preserve">超额利润
</t>
    </r>
    <r>
      <rPr>
        <sz val="8"/>
        <color rgb="FF000000"/>
        <rFont val="宋体"/>
        <charset val="134"/>
      </rPr>
      <t>（利润上限测算）</t>
    </r>
  </si>
  <si>
    <t>超额利润奖金</t>
  </si>
  <si>
    <r>
      <t xml:space="preserve">总奖金包
</t>
    </r>
    <r>
      <rPr>
        <sz val="8"/>
        <color rgb="FF000000"/>
        <rFont val="宋体"/>
        <charset val="134"/>
      </rPr>
      <t>（上限）</t>
    </r>
  </si>
  <si>
    <t>E/C值</t>
  </si>
  <si>
    <t>E/R值</t>
  </si>
  <si>
    <t>22-公司</t>
  </si>
  <si>
    <t>/</t>
  </si>
  <si>
    <t>23-公司</t>
  </si>
  <si>
    <t>24-公司-</t>
  </si>
  <si>
    <t>人工成本/毛利=X%（牵引盈利）
人工成本/收入=X%（牵引增长）</t>
  </si>
  <si>
    <t xml:space="preserve">最近1个月工资项*12*薪酬包较工资项放大系数*
</t>
  </si>
  <si>
    <t>工资项*调幅*体现时间*薪酬包较工资项放大系数*</t>
  </si>
  <si>
    <t xml:space="preserve">不同层级人员数量*费率*平均在岗时间
</t>
  </si>
  <si>
    <t>按往年各层级人员发生数量和发生金额占薪酬包比例计提</t>
  </si>
  <si>
    <t>Y</t>
  </si>
  <si>
    <t>Z</t>
  </si>
  <si>
    <t>A</t>
  </si>
  <si>
    <t>2023年SMX人力成本与费用分析表</t>
  </si>
  <si>
    <t>-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</si>
  <si>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</si>
  <si>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</si>
  <si>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</si>
  <si>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</si>
  <si>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</si>
  <si>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</si>
  <si>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</si>
  <si>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</si>
  <si>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</si>
  <si>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</si>
  <si>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</si>
  <si>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</si>
  <si>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1-12月</t>
  </si>
  <si>
    <t>占比</t>
  </si>
  <si>
    <t>在岗人数（期初+期末）/2</t>
  </si>
  <si>
    <t>1、工资总额（应发工资总额）</t>
  </si>
  <si>
    <t>1.1 基本工资总额</t>
  </si>
  <si>
    <t>工资包</t>
  </si>
  <si>
    <t>薪酬包</t>
  </si>
  <si>
    <t>1.2 绩效工资总额</t>
  </si>
  <si>
    <t>奖金包</t>
  </si>
  <si>
    <t>1.3 提成总额</t>
  </si>
  <si>
    <t>保障包</t>
  </si>
  <si>
    <t>2、社保费用（公司缴纳部分）</t>
  </si>
  <si>
    <t>福利包</t>
  </si>
  <si>
    <t>3、公积金费用（公司缴纳部分）</t>
  </si>
  <si>
    <t>4、其他费用（病假补贴、加班费、其他补贴、其他奖金）</t>
  </si>
  <si>
    <r>
      <rPr>
        <b/>
        <sz val="10"/>
        <color rgb="FF000000"/>
        <rFont val="等线"/>
        <charset val="134"/>
      </rPr>
      <t>5、年终奖</t>
    </r>
    <r>
      <rPr>
        <b/>
        <sz val="10"/>
        <color rgb="FF000000"/>
        <rFont val="汉仪书宋二KW"/>
        <charset val="134"/>
      </rPr>
      <t>（</t>
    </r>
    <r>
      <rPr>
        <b/>
        <sz val="10"/>
        <color rgb="FF000000"/>
        <rFont val="等线"/>
        <charset val="134"/>
      </rPr>
      <t>应发</t>
    </r>
    <r>
      <rPr>
        <b/>
        <sz val="10"/>
        <color rgb="FF000000"/>
        <rFont val="汉仪书宋二KW"/>
        <charset val="134"/>
      </rPr>
      <t>）</t>
    </r>
  </si>
  <si>
    <t>6、离职成本（经济补偿、代通知金等）</t>
  </si>
  <si>
    <t>7、顾问咨询费</t>
  </si>
  <si>
    <t>管理费</t>
  </si>
  <si>
    <t>8、其他福利费（餐费、团建、节日等）</t>
  </si>
  <si>
    <t>9、会计兼职费用</t>
  </si>
  <si>
    <t>10、仓储临时工费用</t>
  </si>
  <si>
    <t>合计</t>
  </si>
  <si>
    <t>【2024年度】经营性奖金包到部门（202401）——此工具也用作经营结果后做自上而下分配</t>
  </si>
  <si>
    <t>目标经营奖金</t>
  </si>
  <si>
    <t>目标工资包</t>
  </si>
  <si>
    <t>目标工资包（不含操作级）</t>
  </si>
  <si>
    <t>兑换系数</t>
  </si>
  <si>
    <t>24工资放大系数</t>
  </si>
  <si>
    <t>23年工资总额</t>
  </si>
  <si>
    <t>部门</t>
  </si>
  <si>
    <t>现有人数</t>
  </si>
  <si>
    <t>24年编制</t>
  </si>
  <si>
    <t>工资总额</t>
  </si>
  <si>
    <t>新增编制包</t>
  </si>
  <si>
    <t>兑换后工资总额</t>
  </si>
  <si>
    <t>工资总额占比</t>
  </si>
  <si>
    <t>人均工资</t>
  </si>
  <si>
    <t>部门奖金方案</t>
  </si>
  <si>
    <t>目标奖金包</t>
  </si>
  <si>
    <t>目标人均奖金</t>
  </si>
  <si>
    <t>24年目标人均薪酬</t>
  </si>
  <si>
    <t>贡献评估系数</t>
  </si>
  <si>
    <t>效率评估系数</t>
  </si>
  <si>
    <t>绩效评估系数</t>
  </si>
  <si>
    <t>实际人均奖金</t>
  </si>
  <si>
    <t>23年人均薪酬</t>
  </si>
  <si>
    <t>人均薪酬增长</t>
  </si>
  <si>
    <t>平均增速</t>
  </si>
  <si>
    <t>总计</t>
  </si>
  <si>
    <t>操作级（专包专用）</t>
  </si>
  <si>
    <t>【2024年度】战略性奖金包（202401）</t>
  </si>
  <si>
    <t>奖项名称</t>
  </si>
  <si>
    <t>管理责任
（负责提名、激励建议、激励申报、荣誉沟通）</t>
  </si>
  <si>
    <t>组织责任
（组织评审、执行发放、颁奖表彰、荣誉宣传）</t>
  </si>
  <si>
    <t>总奖金包上限</t>
  </si>
  <si>
    <t>核算方法</t>
  </si>
  <si>
    <t>管理周期</t>
  </si>
  <si>
    <t>预估参与角色</t>
  </si>
  <si>
    <t>2024年各组织奖金包生成方案</t>
  </si>
  <si>
    <t>过程执行</t>
  </si>
  <si>
    <t>奖金分配</t>
  </si>
  <si>
    <t>部门名称</t>
  </si>
  <si>
    <t>粮食考核要求</t>
  </si>
  <si>
    <t>人均薪酬增长目标</t>
  </si>
  <si>
    <t>粮食包公式（可多个粮食来源）</t>
  </si>
  <si>
    <t>火车头奖金公式1</t>
  </si>
  <si>
    <t>火车头奖金公式2</t>
  </si>
  <si>
    <t>员工奖金公式
（基础奖金=（部门奖金包-）/Σ（个人职级系数*个人考核系数））</t>
  </si>
  <si>
    <t>成本占比收入</t>
  </si>
  <si>
    <t>费用占比收入</t>
  </si>
  <si>
    <t>净利润占比收入</t>
  </si>
  <si>
    <t>人工占比收入</t>
  </si>
  <si>
    <t>奖金目标值</t>
  </si>
  <si>
    <t>23年奖金</t>
  </si>
  <si>
    <t>火车头目标值</t>
  </si>
  <si>
    <t>人员编制</t>
  </si>
  <si>
    <r>
      <rPr>
        <b/>
        <sz val="12"/>
        <color theme="0"/>
        <rFont val="宋体"/>
        <charset val="134"/>
      </rPr>
      <t xml:space="preserve">编外人员
</t>
    </r>
    <r>
      <rPr>
        <b/>
        <sz val="10"/>
        <color theme="0"/>
        <rFont val="宋体"/>
        <charset val="134"/>
      </rPr>
      <t>（扩展看明细）</t>
    </r>
  </si>
  <si>
    <t>美1</t>
  </si>
  <si>
    <t>美2</t>
  </si>
  <si>
    <t>加</t>
  </si>
  <si>
    <t>英</t>
  </si>
  <si>
    <t>欧</t>
  </si>
  <si>
    <t>日</t>
  </si>
  <si>
    <t>中</t>
  </si>
  <si>
    <t>DA</t>
  </si>
  <si>
    <t>ST</t>
  </si>
  <si>
    <t>GE</t>
  </si>
  <si>
    <t>CBB</t>
  </si>
  <si>
    <t>供应</t>
  </si>
  <si>
    <t>市场</t>
  </si>
  <si>
    <t>公司</t>
  </si>
  <si>
    <t>流程</t>
  </si>
  <si>
    <t>财经</t>
  </si>
  <si>
    <t>HR</t>
  </si>
  <si>
    <t>薪酬包目标</t>
  </si>
  <si>
    <t>E/R值
（公司3.81%）</t>
  </si>
  <si>
    <t>对比公司差值</t>
  </si>
  <si>
    <t>收入累计</t>
  </si>
  <si>
    <t>毛利累计</t>
  </si>
  <si>
    <t>工资额累计</t>
  </si>
  <si>
    <t>经营奖金包累计①</t>
  </si>
  <si>
    <t>专项奖金包累计②</t>
  </si>
  <si>
    <t>业务改进计划</t>
  </si>
  <si>
    <t>奖金预提累计
③</t>
  </si>
  <si>
    <t>奖金包剩余
（=①+②-③）</t>
  </si>
  <si>
    <t>人均奖金累计</t>
  </si>
  <si>
    <t>项目</t>
  </si>
  <si>
    <t>逻辑关系</t>
  </si>
  <si>
    <t>2024年预算</t>
  </si>
  <si>
    <t>1月执行</t>
  </si>
  <si>
    <t>2月执行</t>
  </si>
  <si>
    <t>3月执行</t>
  </si>
  <si>
    <t>2季度执行</t>
  </si>
  <si>
    <t>累计执行</t>
  </si>
  <si>
    <t>执行效率</t>
  </si>
  <si>
    <t>一、全年平均人数</t>
  </si>
  <si>
    <t>1=2+3+4</t>
  </si>
  <si>
    <t>其中，在岗平均人数</t>
  </si>
  <si>
    <t xml:space="preserve">            不在岗平均人数</t>
  </si>
  <si>
    <t xml:space="preserve">            其他从业人员平均人数</t>
  </si>
  <si>
    <t>二、工资总额</t>
  </si>
  <si>
    <t>5=6+7+8</t>
  </si>
  <si>
    <t>其中，在岗员工工资总额</t>
  </si>
  <si>
    <t xml:space="preserve">            不在岗员工工资总额</t>
  </si>
  <si>
    <t xml:space="preserve">            其他从业人员报酬</t>
  </si>
  <si>
    <t>三、平均工资</t>
  </si>
  <si>
    <t>10=5/2</t>
  </si>
  <si>
    <t xml:space="preserve">            全部人员平均工资</t>
  </si>
  <si>
    <t>11=5/1</t>
  </si>
  <si>
    <t>四、人工成本</t>
  </si>
  <si>
    <t>12=5+13+14+15+16+17</t>
  </si>
  <si>
    <t>其中，保障费用（社保公积金）</t>
  </si>
  <si>
    <t xml:space="preserve">            福利费用</t>
  </si>
  <si>
    <t xml:space="preserve">            招培费用</t>
  </si>
  <si>
    <t xml:space="preserve">            补偿</t>
  </si>
  <si>
    <t>五、奖金总额（按奖金公式核算）</t>
  </si>
  <si>
    <t>其中，绩效奖（提成）</t>
  </si>
  <si>
    <t xml:space="preserve">            专项奖</t>
  </si>
  <si>
    <t xml:space="preserve">            （剩余）年终奖</t>
  </si>
  <si>
    <t>20=17-18</t>
  </si>
  <si>
    <t>六、主要财务指标（按对应利润中心核算）</t>
  </si>
  <si>
    <t>其中，销售收入</t>
  </si>
  <si>
    <t xml:space="preserve">            成本总额</t>
  </si>
  <si>
    <t xml:space="preserve">            毛利总额</t>
  </si>
  <si>
    <t xml:space="preserve">            销售费用</t>
  </si>
  <si>
    <t xml:space="preserve">            管理费用</t>
  </si>
  <si>
    <t xml:space="preserve">            财税费用</t>
  </si>
  <si>
    <t xml:space="preserve">            营业利润</t>
  </si>
  <si>
    <t xml:space="preserve">            净利润</t>
  </si>
  <si>
    <t>七、投入产出分析</t>
  </si>
  <si>
    <t>其中，人工成本/毛利总额</t>
  </si>
  <si>
    <t>29=12/23</t>
  </si>
  <si>
    <t xml:space="preserve">            薪酬包/毛利总额</t>
  </si>
  <si>
    <t>30=（5+17）/23</t>
  </si>
  <si>
    <t xml:space="preserve">            薪酬包/收入总额</t>
  </si>
  <si>
    <t>31=（5+17）/21</t>
  </si>
  <si>
    <t xml:space="preserve">            净利润/毛利总额</t>
  </si>
  <si>
    <t>31=28/23</t>
  </si>
  <si>
    <t xml:space="preserve">            销售收入/平均人数</t>
  </si>
  <si>
    <t>32=21/1</t>
  </si>
  <si>
    <t xml:space="preserve">            净利润/平均人数</t>
  </si>
  <si>
    <t>33=28/2</t>
  </si>
  <si>
    <t>人均薪酬</t>
  </si>
  <si>
    <t>举例</t>
  </si>
  <si>
    <t>特征</t>
  </si>
  <si>
    <t>薪酬要素</t>
  </si>
  <si>
    <t>24年</t>
  </si>
  <si>
    <t>预测1:毛利完成100%</t>
  </si>
  <si>
    <t>预测2:毛利完成80%</t>
  </si>
  <si>
    <t>预测2:毛利完成110%</t>
  </si>
  <si>
    <t>收入目标</t>
  </si>
  <si>
    <t>毛利目标</t>
  </si>
  <si>
    <t>净利目标</t>
  </si>
  <si>
    <t>薪酬包基线</t>
  </si>
  <si>
    <t>毛利*7%*75%</t>
  </si>
  <si>
    <t>测算薪酬包总额</t>
  </si>
  <si>
    <t>薪酬包总额</t>
  </si>
  <si>
    <t>经营产生</t>
  </si>
  <si>
    <t>固浮结构目标</t>
  </si>
  <si>
    <t>60%：40%</t>
  </si>
  <si>
    <t>工资包基线比例</t>
  </si>
  <si>
    <t>薪酬包*60%</t>
  </si>
  <si>
    <t>工资包实际占比</t>
  </si>
  <si>
    <t>刚性成本占比与经营水平负相关</t>
  </si>
  <si>
    <t>工资包总额</t>
  </si>
  <si>
    <t>工资包使用</t>
  </si>
  <si>
    <t>刚性成本投资不变</t>
  </si>
  <si>
    <t>奖金包基线比例</t>
  </si>
  <si>
    <t>薪酬包*40%</t>
  </si>
  <si>
    <t>奖金包实际占比</t>
  </si>
  <si>
    <t>弹性投入占比与经营水平正相关</t>
  </si>
  <si>
    <t>目标奖金值</t>
  </si>
  <si>
    <t>奖金包累计</t>
  </si>
  <si>
    <t>弹性投入随经营波动</t>
  </si>
  <si>
    <t>实际</t>
  </si>
  <si>
    <t>23年</t>
  </si>
  <si>
    <t>25177.3万元</t>
  </si>
  <si>
    <t>1664.3万元</t>
  </si>
  <si>
    <t>刚性成本</t>
  </si>
  <si>
    <t>弹性收入占比与经营水平正相关</t>
  </si>
  <si>
    <t>随经营波动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</si>
</sst>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176" formatCode="_-* #,##0.00_-;\-* #,##0.00_-;_-* &quot;-&quot;??_-;_-@_-"/>
    <numFmt numFmtId="177" formatCode="_-&quot;￥&quot;* #,##0.00_-;\-&quot;￥&quot;* #,##0.00_-;_-&quot;￥&quot;* &quot;-&quot;??_-;_-@_-"/>
    <numFmt numFmtId="178" formatCode="_-* #,##0_-;\-* #,##0_-;_-* &quot;-&quot;_-;_-@_-"/>
    <numFmt numFmtId="179" formatCode="_-&quot;￥&quot;* #,##0_-;\-&quot;￥&quot;* #,##0_-;_-&quot;￥&quot;* &quot;-&quot;_-;_-@_-"/>
    <numFmt numFmtId="180" formatCode="0&quot;.&quot;0,&quot;万&quot;"/>
    <numFmt numFmtId="181" formatCode="0&quot;.&quot;0,&quot;万元&quot;"/>
    <numFmt numFmtId="182" formatCode="0.0%"/>
    <numFmt numFmtId="183" formatCode="0.00_ "/>
    <numFmt numFmtId="184" formatCode="0.0_ "/>
    <numFmt numFmtId="185" formatCode="0.00000_ "/>
    <numFmt numFmtId="186" formatCode="0_ "/>
  </numFmts>
  <fonts count="79">
    <font>
      <sz val="12"/>
      <name val="宋体"/>
      <charset val="134"/>
    </font>
    <font>
      <sz val="12"/>
      <color theme="1"/>
      <name val="宋体"/>
      <charset val="134"/>
    </font>
    <font>
      <b/>
      <sz val="12"/>
      <color theme="0"/>
      <name val="宋体"/>
      <charset val="134"/>
    </font>
    <font>
      <sz val="12"/>
      <color theme="0"/>
      <name val="宋体"/>
      <charset val="134"/>
    </font>
    <font>
      <sz val="12"/>
      <color rgb="FF000000"/>
      <name val="宋体"/>
      <charset val="134"/>
    </font>
    <font>
      <sz val="12"/>
      <color rgb="FFFF0000"/>
      <name val="宋体"/>
      <charset val="134"/>
    </font>
    <font>
      <sz val="14"/>
      <name val="宋体"/>
      <charset val="134"/>
    </font>
    <font>
      <b/>
      <sz val="12"/>
      <color rgb="FFFFFFFF"/>
      <name val="宋体"/>
      <charset val="134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sz val="11"/>
      <color theme="1"/>
      <name val="微软雅黑"/>
      <charset val="134"/>
    </font>
    <font>
      <b/>
      <sz val="14"/>
      <name val="宋体"/>
      <charset val="134"/>
    </font>
    <font>
      <sz val="12"/>
      <color theme="4"/>
      <name val="宋体"/>
      <charset val="134"/>
    </font>
    <font>
      <b/>
      <sz val="20"/>
      <color rgb="FF000000"/>
      <name val="微软雅黑"/>
      <charset val="134"/>
    </font>
    <font>
      <sz val="16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b/>
      <sz val="14"/>
      <color rgb="FFFF0000"/>
      <name val="宋体"/>
      <charset val="134"/>
    </font>
    <font>
      <b/>
      <sz val="16"/>
      <name val="宋体"/>
      <charset val="134"/>
    </font>
    <font>
      <sz val="12"/>
      <color rgb="FFFFFF00"/>
      <name val="宋体"/>
      <charset val="134"/>
    </font>
    <font>
      <sz val="16"/>
      <color theme="0"/>
      <name val="宋体"/>
      <charset val="134"/>
    </font>
    <font>
      <b/>
      <sz val="10"/>
      <name val="宋体"/>
      <charset val="134"/>
    </font>
    <font>
      <sz val="10"/>
      <color rgb="FF245BDB"/>
      <name val="宋体"/>
      <charset val="134"/>
    </font>
    <font>
      <sz val="10"/>
      <color theme="4"/>
      <name val="宋体"/>
      <charset val="134"/>
    </font>
    <font>
      <sz val="12"/>
      <color rgb="FFFFFFFF"/>
      <name val="宋体"/>
      <charset val="134"/>
    </font>
    <font>
      <sz val="10"/>
      <name val="宋体"/>
      <charset val="134"/>
    </font>
    <font>
      <b/>
      <sz val="14"/>
      <name val="等线"/>
      <charset val="134"/>
    </font>
    <font>
      <b/>
      <sz val="10"/>
      <name val="等线"/>
      <charset val="134"/>
    </font>
    <font>
      <sz val="10"/>
      <name val="等线"/>
      <charset val="134"/>
    </font>
    <font>
      <sz val="10"/>
      <color rgb="FF000000"/>
      <name val="等线"/>
      <charset val="134"/>
    </font>
    <font>
      <b/>
      <sz val="10"/>
      <color rgb="FF000000"/>
      <name val="等线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b/>
      <sz val="12"/>
      <color rgb="FFFFFFFF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2"/>
      <color rgb="FFFFFFFF"/>
      <name val="Calibri"/>
      <charset val="134"/>
    </font>
    <font>
      <sz val="10"/>
      <color rgb="FF0070C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i/>
      <sz val="10"/>
      <color rgb="FFBFBFBF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2"/>
      <color rgb="FFFFFFFF"/>
      <name val="宋体"/>
      <charset val="134"/>
      <scheme val="minor"/>
    </font>
    <font>
      <sz val="6"/>
      <color rgb="FF0070C0"/>
      <name val="宋体"/>
      <charset val="134"/>
      <scheme val="minor"/>
    </font>
    <font>
      <sz val="10"/>
      <color rgb="FF4472C4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2"/>
      <color theme="10"/>
      <name val="宋体"/>
      <charset val="134"/>
    </font>
    <font>
      <u/>
      <sz val="12"/>
      <color theme="11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0"/>
      <name val="Arial"/>
      <charset val="0"/>
    </font>
    <font>
      <b/>
      <sz val="10"/>
      <color theme="0"/>
      <name val="宋体"/>
      <charset val="134"/>
    </font>
    <font>
      <b/>
      <sz val="10"/>
      <color rgb="FF000000"/>
      <name val="汉仪书宋二KW"/>
      <charset val="134"/>
    </font>
    <font>
      <sz val="9"/>
      <color rgb="FFFFFFFF"/>
      <name val="Calibri"/>
      <charset val="134"/>
    </font>
    <font>
      <b/>
      <sz val="9"/>
      <color rgb="FFFFFFFF"/>
      <name val="宋体"/>
      <charset val="134"/>
    </font>
    <font>
      <b/>
      <sz val="9"/>
      <color rgb="FFFFFFFF"/>
      <name val="宋体"/>
      <charset val="134"/>
      <scheme val="minor"/>
    </font>
    <font>
      <b/>
      <sz val="8"/>
      <color rgb="FFFFFFFF"/>
      <name val="宋体"/>
      <charset val="134"/>
    </font>
    <font>
      <sz val="8"/>
      <color rgb="FFFFFFFF"/>
      <name val="宋体"/>
      <charset val="134"/>
      <scheme val="minor"/>
    </font>
    <font>
      <sz val="8"/>
      <color rgb="FF000000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10"/>
      <name val="宋体"/>
      <charset val="134"/>
    </font>
    <font>
      <sz val="9"/>
      <name val="宋体"/>
      <charset val="0"/>
    </font>
    <font>
      <b/>
      <sz val="9"/>
      <name val="宋体"/>
      <charset val="0"/>
    </font>
  </fonts>
  <fills count="4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245BDB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4" fillId="22" borderId="3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32" applyNumberFormat="0" applyFill="0" applyAlignment="0" applyProtection="0">
      <alignment vertical="center"/>
    </xf>
    <xf numFmtId="0" fontId="51" fillId="0" borderId="33" applyNumberFormat="0" applyFill="0" applyAlignment="0" applyProtection="0">
      <alignment vertical="center"/>
    </xf>
    <xf numFmtId="0" fontId="52" fillId="0" borderId="34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23" borderId="35" applyNumberFormat="0" applyAlignment="0" applyProtection="0">
      <alignment vertical="center"/>
    </xf>
    <xf numFmtId="0" fontId="54" fillId="24" borderId="36" applyNumberFormat="0" applyAlignment="0" applyProtection="0">
      <alignment vertical="center"/>
    </xf>
    <xf numFmtId="0" fontId="55" fillId="24" borderId="35" applyNumberFormat="0" applyAlignment="0" applyProtection="0">
      <alignment vertical="center"/>
    </xf>
    <xf numFmtId="0" fontId="56" fillId="25" borderId="37" applyNumberFormat="0" applyAlignment="0" applyProtection="0">
      <alignment vertical="center"/>
    </xf>
    <xf numFmtId="0" fontId="57" fillId="0" borderId="38" applyNumberFormat="0" applyFill="0" applyAlignment="0" applyProtection="0">
      <alignment vertical="center"/>
    </xf>
    <xf numFmtId="0" fontId="58" fillId="0" borderId="39" applyNumberFormat="0" applyFill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3" fillId="34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36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2" fillId="39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2" fillId="42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6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</cellStyleXfs>
  <cellXfs count="286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80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180" fontId="1" fillId="3" borderId="1" xfId="0" applyNumberFormat="1" applyFont="1" applyFill="1" applyBorder="1" applyAlignment="1">
      <alignment horizontal="center" vertical="center"/>
    </xf>
    <xf numFmtId="0" fontId="1" fillId="3" borderId="8" xfId="0" applyFont="1" applyFill="1" applyBorder="1">
      <alignment vertical="center"/>
    </xf>
    <xf numFmtId="180" fontId="1" fillId="3" borderId="8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9" xfId="0" applyBorder="1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182" fontId="1" fillId="0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180" fontId="1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>
      <alignment vertical="center"/>
    </xf>
    <xf numFmtId="180" fontId="5" fillId="5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80" fontId="6" fillId="0" borderId="10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1" xfId="0" applyNumberForma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180" fontId="1" fillId="3" borderId="11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182" fontId="1" fillId="0" borderId="11" xfId="0" applyNumberFormat="1" applyFont="1" applyFill="1" applyBorder="1" applyAlignment="1">
      <alignment horizontal="center" vertical="center"/>
    </xf>
    <xf numFmtId="180" fontId="1" fillId="4" borderId="11" xfId="0" applyNumberFormat="1" applyFont="1" applyFill="1" applyBorder="1" applyAlignment="1">
      <alignment horizontal="center" vertical="center"/>
    </xf>
    <xf numFmtId="180" fontId="5" fillId="5" borderId="11" xfId="0" applyNumberFormat="1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5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4" xfId="0" applyBorder="1" applyAlignment="1">
      <alignment horizontal="center" vertical="center"/>
    </xf>
    <xf numFmtId="180" fontId="0" fillId="0" borderId="15" xfId="0" applyNumberFormat="1" applyFont="1" applyFill="1" applyBorder="1" applyAlignment="1">
      <alignment horizontal="center" vertical="center"/>
    </xf>
    <xf numFmtId="180" fontId="0" fillId="0" borderId="16" xfId="0" applyNumberFormat="1" applyFont="1" applyFill="1" applyBorder="1" applyAlignment="1">
      <alignment horizontal="center" vertical="center"/>
    </xf>
    <xf numFmtId="181" fontId="0" fillId="0" borderId="1" xfId="0" applyNumberFormat="1" applyFont="1" applyBorder="1" applyAlignment="1">
      <alignment horizontal="center" vertical="center"/>
    </xf>
    <xf numFmtId="0" fontId="0" fillId="6" borderId="0" xfId="0" applyFill="1">
      <alignment vertical="center"/>
    </xf>
    <xf numFmtId="0" fontId="2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81" fontId="9" fillId="0" borderId="1" xfId="0" applyNumberFormat="1" applyFont="1" applyBorder="1" applyAlignment="1">
      <alignment horizontal="right" vertical="center"/>
    </xf>
    <xf numFmtId="181" fontId="4" fillId="0" borderId="1" xfId="0" applyNumberFormat="1" applyFont="1" applyFill="1" applyBorder="1" applyAlignment="1">
      <alignment horizontal="center" vertical="center"/>
    </xf>
    <xf numFmtId="181" fontId="0" fillId="0" borderId="1" xfId="0" applyNumberFormat="1" applyBorder="1" applyAlignment="1">
      <alignment horizontal="right" vertical="center"/>
    </xf>
    <xf numFmtId="181" fontId="0" fillId="0" borderId="1" xfId="0" applyNumberForma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181" fontId="4" fillId="0" borderId="16" xfId="0" applyNumberFormat="1" applyFont="1" applyFill="1" applyBorder="1" applyAlignment="1">
      <alignment horizontal="right" vertical="center" wrapText="1"/>
    </xf>
    <xf numFmtId="181" fontId="4" fillId="8" borderId="16" xfId="0" applyNumberFormat="1" applyFont="1" applyFill="1" applyBorder="1" applyAlignment="1">
      <alignment horizontal="right" vertical="center" wrapText="1"/>
    </xf>
    <xf numFmtId="181" fontId="4" fillId="8" borderId="16" xfId="0" applyNumberFormat="1" applyFont="1" applyFill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0" fontId="4" fillId="6" borderId="0" xfId="0" applyFont="1" applyFill="1">
      <alignment vertical="center"/>
    </xf>
    <xf numFmtId="181" fontId="0" fillId="6" borderId="0" xfId="0" applyNumberFormat="1" applyFill="1" applyAlignment="1">
      <alignment horizontal="center" vertical="center"/>
    </xf>
    <xf numFmtId="0" fontId="4" fillId="0" borderId="0" xfId="0" applyFont="1">
      <alignment vertical="center"/>
    </xf>
    <xf numFmtId="180" fontId="0" fillId="0" borderId="0" xfId="0" applyNumberFormat="1">
      <alignment vertical="center"/>
    </xf>
    <xf numFmtId="0" fontId="2" fillId="9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2" fillId="7" borderId="1" xfId="0" applyFont="1" applyFill="1" applyBorder="1" applyAlignment="1">
      <alignment horizontal="center" vertical="center" wrapText="1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Fill="1">
      <alignment vertical="center"/>
    </xf>
    <xf numFmtId="0" fontId="2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 wrapTex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180" fontId="14" fillId="8" borderId="0" xfId="0" applyNumberFormat="1" applyFon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80" fontId="0" fillId="11" borderId="0" xfId="0" applyNumberFormat="1" applyFill="1" applyAlignment="1">
      <alignment horizontal="center" vertical="center"/>
    </xf>
    <xf numFmtId="180" fontId="5" fillId="11" borderId="0" xfId="0" applyNumberFormat="1" applyFont="1" applyFill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80" fontId="0" fillId="8" borderId="0" xfId="0" applyNumberForma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80" fontId="11" fillId="0" borderId="1" xfId="0" applyNumberFormat="1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180" fontId="0" fillId="12" borderId="1" xfId="0" applyNumberForma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top" wrapText="1"/>
    </xf>
    <xf numFmtId="183" fontId="0" fillId="0" borderId="0" xfId="0" applyNumberFormat="1">
      <alignment vertical="center"/>
    </xf>
    <xf numFmtId="180" fontId="5" fillId="0" borderId="1" xfId="0" applyNumberFormat="1" applyFont="1" applyFill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182" fontId="0" fillId="0" borderId="1" xfId="0" applyNumberFormat="1" applyFill="1" applyBorder="1" applyAlignment="1">
      <alignment horizontal="center" vertical="center"/>
    </xf>
    <xf numFmtId="180" fontId="17" fillId="8" borderId="1" xfId="0" applyNumberFormat="1" applyFont="1" applyFill="1" applyBorder="1" applyAlignment="1">
      <alignment horizontal="center" vertical="center"/>
    </xf>
    <xf numFmtId="10" fontId="11" fillId="0" borderId="1" xfId="0" applyNumberFormat="1" applyFont="1" applyFill="1" applyBorder="1" applyAlignment="1">
      <alignment horizontal="center" vertical="center"/>
    </xf>
    <xf numFmtId="180" fontId="18" fillId="0" borderId="1" xfId="0" applyNumberFormat="1" applyFont="1" applyBorder="1" applyAlignment="1">
      <alignment horizontal="center" vertical="center"/>
    </xf>
    <xf numFmtId="182" fontId="0" fillId="12" borderId="1" xfId="0" applyNumberForma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5" fillId="0" borderId="1" xfId="0" applyFont="1" applyBorder="1" applyAlignment="1">
      <alignment horizontal="left" vertical="top" wrapText="1"/>
    </xf>
    <xf numFmtId="0" fontId="0" fillId="0" borderId="8" xfId="0" applyBorder="1">
      <alignment vertical="center"/>
    </xf>
    <xf numFmtId="0" fontId="4" fillId="0" borderId="0" xfId="0" applyFont="1" applyAlignment="1">
      <alignment horizontal="left" vertical="center" wrapText="1"/>
    </xf>
    <xf numFmtId="0" fontId="19" fillId="7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1" fillId="0" borderId="1" xfId="0" applyFont="1" applyBorder="1">
      <alignment vertical="center"/>
    </xf>
    <xf numFmtId="10" fontId="0" fillId="12" borderId="1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20" fillId="7" borderId="1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vertical="center" wrapText="1"/>
    </xf>
    <xf numFmtId="0" fontId="21" fillId="0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22" fillId="0" borderId="0" xfId="0" applyFont="1" applyFill="1" applyBorder="1" applyAlignment="1">
      <alignment vertical="center" wrapText="1"/>
    </xf>
    <xf numFmtId="0" fontId="22" fillId="0" borderId="0" xfId="0" applyFont="1" applyFill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vertical="center" wrapText="1"/>
    </xf>
    <xf numFmtId="0" fontId="23" fillId="0" borderId="0" xfId="0" applyFont="1" applyFill="1" applyAlignment="1">
      <alignment vertical="center" wrapText="1"/>
    </xf>
    <xf numFmtId="0" fontId="24" fillId="13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183" fontId="0" fillId="0" borderId="1" xfId="0" applyNumberFormat="1" applyBorder="1" applyAlignment="1">
      <alignment vertical="center"/>
    </xf>
    <xf numFmtId="183" fontId="0" fillId="0" borderId="1" xfId="0" applyNumberForma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0" fillId="14" borderId="1" xfId="0" applyFill="1" applyBorder="1">
      <alignment vertical="center"/>
    </xf>
    <xf numFmtId="9" fontId="0" fillId="14" borderId="1" xfId="0" applyNumberFormat="1" applyFill="1" applyBorder="1" applyAlignment="1">
      <alignment horizontal="center" vertical="center"/>
    </xf>
    <xf numFmtId="0" fontId="25" fillId="0" borderId="0" xfId="0" applyFont="1">
      <alignment vertical="center"/>
    </xf>
    <xf numFmtId="0" fontId="25" fillId="0" borderId="0" xfId="0" applyFont="1" applyFill="1">
      <alignment vertical="center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0" fontId="25" fillId="15" borderId="0" xfId="0" applyFont="1" applyFill="1" applyAlignment="1">
      <alignment horizontal="center" vertical="center" wrapText="1"/>
    </xf>
    <xf numFmtId="183" fontId="25" fillId="0" borderId="0" xfId="0" applyNumberFormat="1" applyFont="1">
      <alignment vertical="center"/>
    </xf>
    <xf numFmtId="0" fontId="26" fillId="0" borderId="0" xfId="0" applyFont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19" xfId="0" applyFont="1" applyBorder="1" applyAlignment="1">
      <alignment vertical="center" wrapText="1"/>
    </xf>
    <xf numFmtId="184" fontId="28" fillId="0" borderId="20" xfId="0" applyNumberFormat="1" applyFont="1" applyBorder="1" applyAlignment="1">
      <alignment horizontal="center" vertical="center" wrapText="1"/>
    </xf>
    <xf numFmtId="184" fontId="28" fillId="0" borderId="21" xfId="0" applyNumberFormat="1" applyFont="1" applyBorder="1" applyAlignment="1">
      <alignment horizontal="center" vertical="center" wrapText="1"/>
    </xf>
    <xf numFmtId="0" fontId="28" fillId="0" borderId="22" xfId="0" applyFont="1" applyBorder="1" applyAlignment="1">
      <alignment vertical="center" wrapText="1"/>
    </xf>
    <xf numFmtId="183" fontId="28" fillId="0" borderId="12" xfId="0" applyNumberFormat="1" applyFont="1" applyBorder="1" applyAlignment="1">
      <alignment horizontal="center" vertical="center" wrapText="1"/>
    </xf>
    <xf numFmtId="0" fontId="28" fillId="16" borderId="22" xfId="0" applyFont="1" applyFill="1" applyBorder="1" applyAlignment="1">
      <alignment vertical="center" wrapText="1"/>
    </xf>
    <xf numFmtId="183" fontId="29" fillId="16" borderId="12" xfId="0" applyNumberFormat="1" applyFont="1" applyFill="1" applyBorder="1" applyAlignment="1">
      <alignment horizontal="center" vertical="center" wrapText="1"/>
    </xf>
    <xf numFmtId="183" fontId="28" fillId="16" borderId="12" xfId="0" applyNumberFormat="1" applyFont="1" applyFill="1" applyBorder="1" applyAlignment="1">
      <alignment horizontal="center" vertical="center" wrapText="1"/>
    </xf>
    <xf numFmtId="183" fontId="28" fillId="16" borderId="1" xfId="0" applyNumberFormat="1" applyFont="1" applyFill="1" applyBorder="1" applyAlignment="1">
      <alignment horizontal="center" vertical="center" wrapText="1"/>
    </xf>
    <xf numFmtId="183" fontId="29" fillId="0" borderId="12" xfId="0" applyNumberFormat="1" applyFont="1" applyBorder="1" applyAlignment="1">
      <alignment horizontal="center" vertical="center" wrapText="1"/>
    </xf>
    <xf numFmtId="183" fontId="28" fillId="0" borderId="1" xfId="0" applyNumberFormat="1" applyFont="1" applyBorder="1" applyAlignment="1">
      <alignment horizontal="center" vertical="center" wrapText="1"/>
    </xf>
    <xf numFmtId="0" fontId="28" fillId="0" borderId="23" xfId="0" applyFont="1" applyBorder="1" applyAlignment="1">
      <alignment vertical="center" wrapText="1"/>
    </xf>
    <xf numFmtId="183" fontId="29" fillId="0" borderId="24" xfId="0" applyNumberFormat="1" applyFont="1" applyBorder="1" applyAlignment="1">
      <alignment horizontal="center" vertical="center" wrapText="1"/>
    </xf>
    <xf numFmtId="183" fontId="28" fillId="0" borderId="24" xfId="0" applyNumberFormat="1" applyFont="1" applyBorder="1" applyAlignment="1">
      <alignment horizontal="center" vertical="center" wrapText="1"/>
    </xf>
    <xf numFmtId="0" fontId="30" fillId="0" borderId="23" xfId="0" applyFont="1" applyFill="1" applyBorder="1" applyAlignment="1">
      <alignment vertical="center" wrapText="1"/>
    </xf>
    <xf numFmtId="183" fontId="29" fillId="0" borderId="24" xfId="0" applyNumberFormat="1" applyFont="1" applyFill="1" applyBorder="1" applyAlignment="1">
      <alignment horizontal="center" vertical="center" wrapText="1"/>
    </xf>
    <xf numFmtId="183" fontId="28" fillId="0" borderId="24" xfId="0" applyNumberFormat="1" applyFont="1" applyFill="1" applyBorder="1" applyAlignment="1">
      <alignment horizontal="center" vertical="center" wrapText="1"/>
    </xf>
    <xf numFmtId="0" fontId="28" fillId="17" borderId="22" xfId="0" applyFont="1" applyFill="1" applyBorder="1" applyAlignment="1">
      <alignment vertical="center" wrapText="1"/>
    </xf>
    <xf numFmtId="183" fontId="28" fillId="17" borderId="12" xfId="0" applyNumberFormat="1" applyFont="1" applyFill="1" applyBorder="1" applyAlignment="1">
      <alignment horizontal="center" vertical="center" wrapText="1"/>
    </xf>
    <xf numFmtId="183" fontId="28" fillId="17" borderId="1" xfId="0" applyNumberFormat="1" applyFont="1" applyFill="1" applyBorder="1" applyAlignment="1">
      <alignment horizontal="center" vertical="center" wrapText="1"/>
    </xf>
    <xf numFmtId="0" fontId="28" fillId="0" borderId="22" xfId="0" applyFont="1" applyFill="1" applyBorder="1" applyAlignment="1">
      <alignment vertical="center" wrapText="1"/>
    </xf>
    <xf numFmtId="183" fontId="29" fillId="0" borderId="12" xfId="0" applyNumberFormat="1" applyFont="1" applyFill="1" applyBorder="1" applyAlignment="1">
      <alignment horizontal="center" vertical="center" wrapText="1"/>
    </xf>
    <xf numFmtId="183" fontId="28" fillId="0" borderId="1" xfId="0" applyNumberFormat="1" applyFont="1" applyFill="1" applyBorder="1" applyAlignment="1">
      <alignment horizontal="center" vertical="center" wrapText="1"/>
    </xf>
    <xf numFmtId="183" fontId="29" fillId="17" borderId="12" xfId="0" applyNumberFormat="1" applyFont="1" applyFill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183" fontId="28" fillId="0" borderId="2" xfId="0" applyNumberFormat="1" applyFont="1" applyBorder="1" applyAlignment="1">
      <alignment horizontal="center" vertical="center" wrapText="1"/>
    </xf>
    <xf numFmtId="183" fontId="28" fillId="0" borderId="2" xfId="0" applyNumberFormat="1" applyFont="1" applyFill="1" applyBorder="1" applyAlignment="1">
      <alignment horizontal="center" vertical="center" wrapText="1"/>
    </xf>
    <xf numFmtId="0" fontId="26" fillId="15" borderId="0" xfId="0" applyFont="1" applyFill="1" applyAlignment="1">
      <alignment horizontal="center" vertical="center" wrapText="1"/>
    </xf>
    <xf numFmtId="0" fontId="27" fillId="15" borderId="18" xfId="0" applyFont="1" applyFill="1" applyBorder="1" applyAlignment="1">
      <alignment horizontal="center" vertical="center" wrapText="1"/>
    </xf>
    <xf numFmtId="184" fontId="28" fillId="15" borderId="21" xfId="0" applyNumberFormat="1" applyFont="1" applyFill="1" applyBorder="1" applyAlignment="1">
      <alignment horizontal="center" vertical="center" wrapText="1"/>
    </xf>
    <xf numFmtId="184" fontId="28" fillId="0" borderId="21" xfId="0" applyNumberFormat="1" applyFont="1" applyFill="1" applyBorder="1" applyAlignment="1">
      <alignment horizontal="center" vertical="center" wrapText="1"/>
    </xf>
    <xf numFmtId="183" fontId="28" fillId="15" borderId="1" xfId="0" applyNumberFormat="1" applyFont="1" applyFill="1" applyBorder="1" applyAlignment="1">
      <alignment horizontal="center" vertical="center" wrapText="1"/>
    </xf>
    <xf numFmtId="0" fontId="27" fillId="15" borderId="25" xfId="0" applyFont="1" applyFill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183" fontId="28" fillId="0" borderId="27" xfId="0" applyNumberFormat="1" applyFont="1" applyBorder="1" applyAlignment="1">
      <alignment horizontal="center" vertical="center" wrapText="1"/>
    </xf>
    <xf numFmtId="183" fontId="28" fillId="0" borderId="28" xfId="0" applyNumberFormat="1" applyFont="1" applyBorder="1" applyAlignment="1">
      <alignment horizontal="center" vertical="center" wrapText="1"/>
    </xf>
    <xf numFmtId="183" fontId="28" fillId="16" borderId="28" xfId="0" applyNumberFormat="1" applyFont="1" applyFill="1" applyBorder="1" applyAlignment="1">
      <alignment horizontal="center" vertical="center" wrapText="1"/>
    </xf>
    <xf numFmtId="183" fontId="28" fillId="0" borderId="28" xfId="0" applyNumberFormat="1" applyFont="1" applyFill="1" applyBorder="1" applyAlignment="1">
      <alignment horizontal="center" vertical="center" wrapText="1"/>
    </xf>
    <xf numFmtId="183" fontId="25" fillId="0" borderId="0" xfId="0" applyNumberFormat="1" applyFont="1" applyFill="1">
      <alignment vertical="center"/>
    </xf>
    <xf numFmtId="184" fontId="28" fillId="17" borderId="21" xfId="0" applyNumberFormat="1" applyFont="1" applyFill="1" applyBorder="1" applyAlignment="1">
      <alignment horizontal="center" vertical="center" wrapText="1"/>
    </xf>
    <xf numFmtId="183" fontId="28" fillId="17" borderId="28" xfId="0" applyNumberFormat="1" applyFont="1" applyFill="1" applyBorder="1" applyAlignment="1">
      <alignment horizontal="center" vertical="center" wrapText="1"/>
    </xf>
    <xf numFmtId="180" fontId="25" fillId="0" borderId="0" xfId="0" applyNumberFormat="1" applyFont="1" applyAlignment="1">
      <alignment horizontal="center" vertical="center" wrapText="1"/>
    </xf>
    <xf numFmtId="183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0" fontId="25" fillId="0" borderId="0" xfId="0" applyNumberFormat="1" applyFont="1" applyAlignment="1">
      <alignment horizontal="center" vertical="center"/>
    </xf>
    <xf numFmtId="180" fontId="25" fillId="14" borderId="0" xfId="0" applyNumberFormat="1" applyFont="1" applyFill="1" applyAlignment="1">
      <alignment horizontal="center" vertical="center"/>
    </xf>
    <xf numFmtId="185" fontId="25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10" fontId="32" fillId="0" borderId="0" xfId="0" applyNumberFormat="1" applyFont="1" applyAlignment="1">
      <alignment horizontal="center" vertical="center"/>
    </xf>
    <xf numFmtId="10" fontId="25" fillId="0" borderId="0" xfId="0" applyNumberFormat="1" applyFont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0" fontId="25" fillId="0" borderId="0" xfId="0" applyNumberFormat="1" applyFont="1" applyFill="1" applyAlignment="1">
      <alignment horizontal="center" vertical="center"/>
    </xf>
    <xf numFmtId="186" fontId="2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31" fillId="0" borderId="0" xfId="0" applyFont="1" applyFill="1" applyAlignment="1">
      <alignment horizontal="left" vertical="center"/>
    </xf>
    <xf numFmtId="0" fontId="0" fillId="0" borderId="0" xfId="0" applyAlignment="1">
      <alignment horizontal="right" vertical="center"/>
    </xf>
    <xf numFmtId="0" fontId="7" fillId="18" borderId="16" xfId="0" applyFont="1" applyFill="1" applyBorder="1" applyAlignment="1">
      <alignment horizontal="center" vertical="center"/>
    </xf>
    <xf numFmtId="0" fontId="33" fillId="18" borderId="16" xfId="0" applyFont="1" applyFill="1" applyBorder="1" applyAlignment="1">
      <alignment horizontal="center" vertical="center"/>
    </xf>
    <xf numFmtId="0" fontId="31" fillId="0" borderId="16" xfId="0" applyFont="1" applyFill="1" applyBorder="1" applyAlignment="1">
      <alignment horizontal="left" vertical="center"/>
    </xf>
    <xf numFmtId="181" fontId="34" fillId="0" borderId="16" xfId="0" applyNumberFormat="1" applyFont="1" applyFill="1" applyBorder="1" applyAlignment="1">
      <alignment horizontal="left" vertical="center" wrapText="1"/>
    </xf>
    <xf numFmtId="0" fontId="34" fillId="0" borderId="16" xfId="0" applyFont="1" applyFill="1" applyBorder="1" applyAlignment="1">
      <alignment horizontal="left" vertical="center" wrapText="1"/>
    </xf>
    <xf numFmtId="0" fontId="31" fillId="0" borderId="29" xfId="0" applyFont="1" applyFill="1" applyBorder="1" applyAlignment="1">
      <alignment horizontal="left" vertical="center"/>
    </xf>
    <xf numFmtId="181" fontId="34" fillId="0" borderId="29" xfId="0" applyNumberFormat="1" applyFont="1" applyFill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/>
    </xf>
    <xf numFmtId="180" fontId="25" fillId="0" borderId="1" xfId="0" applyNumberFormat="1" applyFont="1" applyFill="1" applyBorder="1" applyAlignment="1">
      <alignment horizontal="left" vertical="center"/>
    </xf>
    <xf numFmtId="181" fontId="34" fillId="0" borderId="30" xfId="0" applyNumberFormat="1" applyFont="1" applyFill="1" applyBorder="1" applyAlignment="1">
      <alignment horizontal="left" vertical="center" wrapText="1"/>
    </xf>
    <xf numFmtId="0" fontId="25" fillId="0" borderId="16" xfId="0" applyFont="1" applyBorder="1">
      <alignment vertical="center"/>
    </xf>
    <xf numFmtId="0" fontId="4" fillId="0" borderId="0" xfId="0" applyFont="1" applyAlignment="1">
      <alignment horizontal="left" vertical="center"/>
    </xf>
    <xf numFmtId="10" fontId="34" fillId="0" borderId="16" xfId="0" applyNumberFormat="1" applyFont="1" applyFill="1" applyBorder="1" applyAlignment="1">
      <alignment horizontal="left" vertical="center" wrapText="1"/>
    </xf>
    <xf numFmtId="180" fontId="25" fillId="0" borderId="16" xfId="0" applyNumberFormat="1" applyFont="1" applyFill="1" applyBorder="1" applyAlignment="1">
      <alignment horizontal="left" vertical="center"/>
    </xf>
    <xf numFmtId="0" fontId="35" fillId="18" borderId="16" xfId="0" applyFont="1" applyFill="1" applyBorder="1" applyAlignment="1">
      <alignment horizontal="left" vertical="center" wrapText="1"/>
    </xf>
    <xf numFmtId="0" fontId="7" fillId="18" borderId="16" xfId="0" applyFont="1" applyFill="1" applyBorder="1" applyAlignment="1">
      <alignment horizontal="center" vertical="center" wrapText="1"/>
    </xf>
    <xf numFmtId="181" fontId="36" fillId="0" borderId="30" xfId="0" applyNumberFormat="1" applyFont="1" applyFill="1" applyBorder="1" applyAlignment="1">
      <alignment horizontal="left" vertical="center" wrapText="1"/>
    </xf>
    <xf numFmtId="180" fontId="37" fillId="0" borderId="1" xfId="0" applyNumberFormat="1" applyFont="1" applyFill="1" applyBorder="1" applyAlignment="1">
      <alignment horizontal="left" vertical="center"/>
    </xf>
    <xf numFmtId="0" fontId="7" fillId="18" borderId="10" xfId="0" applyFont="1" applyFill="1" applyBorder="1" applyAlignment="1">
      <alignment horizontal="center" vertical="center" wrapText="1"/>
    </xf>
    <xf numFmtId="0" fontId="33" fillId="19" borderId="1" xfId="0" applyFont="1" applyFill="1" applyBorder="1" applyAlignment="1">
      <alignment horizontal="center" vertical="center"/>
    </xf>
    <xf numFmtId="0" fontId="33" fillId="20" borderId="12" xfId="0" applyFont="1" applyFill="1" applyBorder="1" applyAlignment="1">
      <alignment horizontal="center" vertical="center" wrapText="1"/>
    </xf>
    <xf numFmtId="0" fontId="33" fillId="19" borderId="30" xfId="0" applyFont="1" applyFill="1" applyBorder="1" applyAlignment="1">
      <alignment horizontal="center" vertical="center"/>
    </xf>
    <xf numFmtId="10" fontId="34" fillId="0" borderId="10" xfId="0" applyNumberFormat="1" applyFont="1" applyFill="1" applyBorder="1" applyAlignment="1">
      <alignment horizontal="left" vertical="center" wrapText="1"/>
    </xf>
    <xf numFmtId="0" fontId="31" fillId="0" borderId="1" xfId="0" applyFont="1" applyFill="1" applyBorder="1" applyAlignment="1">
      <alignment horizontal="left" vertical="center"/>
    </xf>
    <xf numFmtId="181" fontId="34" fillId="0" borderId="12" xfId="0" applyNumberFormat="1" applyFont="1" applyFill="1" applyBorder="1" applyAlignment="1">
      <alignment horizontal="left" vertical="center" wrapText="1"/>
    </xf>
    <xf numFmtId="0" fontId="31" fillId="0" borderId="1" xfId="0" applyFont="1" applyBorder="1" applyAlignment="1">
      <alignment vertical="center" wrapText="1"/>
    </xf>
    <xf numFmtId="10" fontId="36" fillId="0" borderId="12" xfId="0" applyNumberFormat="1" applyFont="1" applyFill="1" applyBorder="1" applyAlignment="1">
      <alignment horizontal="center" vertical="center" wrapText="1"/>
    </xf>
    <xf numFmtId="0" fontId="33" fillId="19" borderId="16" xfId="0" applyFont="1" applyFill="1" applyBorder="1" applyAlignment="1">
      <alignment horizontal="center" vertical="center"/>
    </xf>
    <xf numFmtId="0" fontId="7" fillId="19" borderId="16" xfId="0" applyFont="1" applyFill="1" applyBorder="1" applyAlignment="1">
      <alignment horizontal="center" vertical="center" wrapText="1"/>
    </xf>
    <xf numFmtId="10" fontId="38" fillId="0" borderId="16" xfId="0" applyNumberFormat="1" applyFont="1" applyFill="1" applyBorder="1" applyAlignment="1">
      <alignment horizontal="left" vertical="center"/>
    </xf>
    <xf numFmtId="181" fontId="36" fillId="0" borderId="16" xfId="0" applyNumberFormat="1" applyFont="1" applyFill="1" applyBorder="1" applyAlignment="1">
      <alignment horizontal="left" vertical="center" wrapText="1"/>
    </xf>
    <xf numFmtId="181" fontId="39" fillId="0" borderId="16" xfId="0" applyNumberFormat="1" applyFont="1" applyFill="1" applyBorder="1" applyAlignment="1">
      <alignment horizontal="left" vertical="center" wrapText="1"/>
    </xf>
    <xf numFmtId="0" fontId="40" fillId="19" borderId="16" xfId="0" applyFont="1" applyFill="1" applyBorder="1" applyAlignment="1">
      <alignment horizontal="center" vertical="center" wrapText="1"/>
    </xf>
    <xf numFmtId="181" fontId="34" fillId="0" borderId="16" xfId="0" applyNumberFormat="1" applyFont="1" applyFill="1" applyBorder="1" applyAlignment="1">
      <alignment horizontal="left" vertical="center"/>
    </xf>
    <xf numFmtId="181" fontId="39" fillId="0" borderId="16" xfId="0" applyNumberFormat="1" applyFont="1" applyFill="1" applyBorder="1" applyAlignment="1">
      <alignment horizontal="left" vertical="center"/>
    </xf>
    <xf numFmtId="181" fontId="41" fillId="0" borderId="16" xfId="0" applyNumberFormat="1" applyFont="1" applyFill="1" applyBorder="1" applyAlignment="1">
      <alignment horizontal="left" vertical="center" wrapText="1"/>
    </xf>
    <xf numFmtId="181" fontId="41" fillId="0" borderId="16" xfId="0" applyNumberFormat="1" applyFont="1" applyFill="1" applyBorder="1" applyAlignment="1">
      <alignment horizontal="left" vertical="center"/>
    </xf>
    <xf numFmtId="181" fontId="41" fillId="0" borderId="16" xfId="0" applyNumberFormat="1" applyFont="1" applyFill="1" applyBorder="1" applyAlignment="1">
      <alignment horizontal="left" vertical="center" wrapText="1"/>
    </xf>
    <xf numFmtId="181" fontId="0" fillId="0" borderId="0" xfId="0" applyNumberFormat="1" applyAlignment="1">
      <alignment horizontal="left" vertical="center"/>
    </xf>
    <xf numFmtId="181" fontId="34" fillId="8" borderId="16" xfId="0" applyNumberFormat="1" applyFont="1" applyFill="1" applyBorder="1" applyAlignment="1">
      <alignment horizontal="left" vertical="center"/>
    </xf>
    <xf numFmtId="181" fontId="41" fillId="0" borderId="16" xfId="0" applyNumberFormat="1" applyFont="1" applyFill="1" applyBorder="1" applyAlignment="1">
      <alignment horizontal="left" vertical="center"/>
    </xf>
    <xf numFmtId="181" fontId="36" fillId="0" borderId="16" xfId="0" applyNumberFormat="1" applyFont="1" applyFill="1" applyBorder="1" applyAlignment="1">
      <alignment horizontal="left" vertical="center"/>
    </xf>
    <xf numFmtId="181" fontId="25" fillId="0" borderId="0" xfId="0" applyNumberFormat="1" applyFont="1" applyAlignment="1">
      <alignment horizontal="left" vertical="center"/>
    </xf>
    <xf numFmtId="0" fontId="33" fillId="21" borderId="16" xfId="0" applyFont="1" applyFill="1" applyBorder="1" applyAlignment="1">
      <alignment horizontal="center" vertical="center"/>
    </xf>
    <xf numFmtId="0" fontId="34" fillId="0" borderId="16" xfId="0" applyFont="1" applyFill="1" applyBorder="1" applyAlignment="1">
      <alignment horizontal="left" vertical="center"/>
    </xf>
    <xf numFmtId="0" fontId="42" fillId="0" borderId="16" xfId="0" applyFont="1" applyBorder="1" applyAlignment="1">
      <alignment horizontal="left" vertical="center"/>
    </xf>
    <xf numFmtId="0" fontId="7" fillId="21" borderId="16" xfId="0" applyFont="1" applyFill="1" applyBorder="1" applyAlignment="1">
      <alignment horizontal="center" vertical="center" wrapText="1"/>
    </xf>
    <xf numFmtId="10" fontId="43" fillId="0" borderId="16" xfId="0" applyNumberFormat="1" applyFont="1" applyFill="1" applyBorder="1" applyAlignment="1">
      <alignment horizontal="left" vertical="center"/>
    </xf>
    <xf numFmtId="10" fontId="36" fillId="0" borderId="16" xfId="0" applyNumberFormat="1" applyFont="1" applyFill="1" applyBorder="1" applyAlignment="1">
      <alignment horizontal="left" vertical="center"/>
    </xf>
    <xf numFmtId="0" fontId="4" fillId="8" borderId="16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left" vertical="center"/>
    </xf>
    <xf numFmtId="0" fontId="31" fillId="0" borderId="16" xfId="0" applyFont="1" applyBorder="1">
      <alignment vertical="center"/>
    </xf>
    <xf numFmtId="0" fontId="31" fillId="0" borderId="10" xfId="0" applyFont="1" applyBorder="1">
      <alignment vertical="center"/>
    </xf>
    <xf numFmtId="0" fontId="4" fillId="8" borderId="1" xfId="0" applyFont="1" applyFill="1" applyBorder="1" applyAlignment="1">
      <alignment horizontal="center" vertical="center"/>
    </xf>
    <xf numFmtId="10" fontId="25" fillId="0" borderId="1" xfId="0" applyNumberFormat="1" applyFont="1" applyBorder="1">
      <alignment vertical="center"/>
    </xf>
    <xf numFmtId="0" fontId="15" fillId="0" borderId="0" xfId="0" applyFont="1">
      <alignment vertical="center"/>
    </xf>
    <xf numFmtId="0" fontId="31" fillId="8" borderId="16" xfId="0" applyFont="1" applyFill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31" fillId="0" borderId="16" xfId="0" applyFont="1" applyBorder="1" applyAlignment="1">
      <alignment vertical="center" wrapText="1"/>
    </xf>
    <xf numFmtId="0" fontId="25" fillId="0" borderId="16" xfId="0" applyFont="1" applyBorder="1" applyAlignment="1">
      <alignment vertical="center" wrapText="1"/>
    </xf>
    <xf numFmtId="0" fontId="25" fillId="0" borderId="16" xfId="0" applyFont="1" applyFill="1" applyBorder="1">
      <alignment vertical="center"/>
    </xf>
    <xf numFmtId="0" fontId="32" fillId="0" borderId="16" xfId="0" applyFont="1" applyFill="1" applyBorder="1">
      <alignment vertical="center"/>
    </xf>
    <xf numFmtId="0" fontId="4" fillId="2" borderId="0" xfId="0" applyFont="1" applyFill="1">
      <alignment vertical="center"/>
    </xf>
    <xf numFmtId="0" fontId="0" fillId="2" borderId="0" xfId="0" applyFill="1">
      <alignment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to易才全钰" xfId="51"/>
    <cellStyle name="常规 159" xfId="52"/>
    <cellStyle name="常规 10 2 2 10" xfId="53"/>
    <cellStyle name="常规 23" xfId="54"/>
    <cellStyle name="常规 10" xfId="55"/>
    <cellStyle name="常规 14" xfId="56"/>
  </cellStyles>
  <tableStyles count="0" defaultTableStyle="TableStyleMedium9" defaultPivotStyle="PivotStyleLight16"/>
  <colors>
    <mruColors>
      <color rgb="00DDEDE0"/>
      <color rgb="00DDEBF7"/>
      <color rgb="00A5A5A5"/>
      <color rgb="00EDEDED"/>
      <color rgb="00E2EFDA"/>
      <color rgb="00FCE4D6"/>
      <color rgb="00FFF2CC"/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www.wps.cn/officeDocument/2020/cellImage" Target="cellimages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xiaoyi/Downloads/F:/D&#30424;/&#29141;&#33673;/&#34218;&#37228;/19&#24180;&#20844;&#21496;&#24037;&#36164;&#34920;/&#29141;&#33673;/&#20837;&#32844;&#25163;&#32493;/&#21271;&#20140;&#24605;&#36808;&#26032;&#30005;&#23376;&#21830;&#21153;&#26377;&#38480;&#20844;&#21496;&#20154;&#21592;&#33457;&#21517;&#20876;3-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xiaoyi/Downloads/F:/D&#30424;/&#29141;&#33673;/&#34218;&#37228;/19&#24180;&#20844;&#21496;&#24037;&#36164;&#34920;/&#34218;&#37228;/19&#24180;5&#26376;&#24037;&#36164;&#20854;&#20182;&#20449;&#24687;/2019&#24180;&#20010;&#31246;&#32047;&#35745;&#25187;&#38500;&#20449;&#24687;&#65288;&#20844;&#21496;&#65289;6.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6.17更新"/>
      <sheetName val="花名册明细"/>
      <sheetName val="劳动合同签订登记"/>
      <sheetName val="银行卡号"/>
      <sheetName val="Sheet2"/>
      <sheetName val="Dropdown Lists"/>
      <sheetName val="attributePTDM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12月工资实际1月所得 "/>
      <sheetName val="1月工资实际2月所得"/>
      <sheetName val="2月 "/>
      <sheetName val="2月工资实际3月所得"/>
      <sheetName val="3月工资实际4月所得"/>
      <sheetName val="4月工资实际5月所得 "/>
      <sheetName val="5月工资实际6月所得  "/>
      <sheetName val="Sheet1"/>
      <sheetName val="Sheet3"/>
      <sheetName val="Dropdown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zoomScale="122" zoomScaleNormal="122" workbookViewId="0">
      <selection activeCell="B8" sqref="B8"/>
    </sheetView>
  </sheetViews>
  <sheetFormatPr defaultColWidth="9" defaultRowHeight="17.6" outlineLevelCol="5"/>
  <cols>
    <col min="1" max="1" width="7.5" customWidth="1"/>
    <col min="2" max="2" width="26.3392857142857" customWidth="1"/>
    <col min="3" max="3" width="52.8125" customWidth="1"/>
    <col min="4" max="4" width="40.375" customWidth="1"/>
    <col min="5" max="5" width="22.875" customWidth="1"/>
    <col min="6" max="6" width="15.375" customWidth="1"/>
  </cols>
  <sheetData>
    <row r="1" spans="1:1">
      <c r="A1" s="277" t="s">
        <v>0</v>
      </c>
    </row>
    <row r="2" s="155" customFormat="1" ht="15.2" spans="1:6">
      <c r="A2" s="278" t="s">
        <v>1</v>
      </c>
      <c r="B2" s="278" t="s">
        <v>2</v>
      </c>
      <c r="C2" s="278" t="s">
        <v>3</v>
      </c>
      <c r="D2" s="278" t="s">
        <v>4</v>
      </c>
      <c r="E2" s="278" t="s">
        <v>5</v>
      </c>
      <c r="F2" s="278" t="s">
        <v>6</v>
      </c>
    </row>
    <row r="3" s="155" customFormat="1" ht="20.25" customHeight="1" spans="1:6">
      <c r="A3" s="279">
        <v>1</v>
      </c>
      <c r="B3" s="230" t="s">
        <v>7</v>
      </c>
      <c r="C3" s="273" t="s">
        <v>8</v>
      </c>
      <c r="D3" s="230"/>
      <c r="E3" s="273" t="s">
        <v>9</v>
      </c>
      <c r="F3" s="230" t="s">
        <v>10</v>
      </c>
    </row>
    <row r="4" s="155" customFormat="1" ht="20.25" customHeight="1" spans="1:6">
      <c r="A4" s="279">
        <v>2</v>
      </c>
      <c r="B4" s="230" t="s">
        <v>11</v>
      </c>
      <c r="C4" s="273" t="s">
        <v>12</v>
      </c>
      <c r="D4" s="280" t="s">
        <v>13</v>
      </c>
      <c r="E4" s="273" t="s">
        <v>14</v>
      </c>
      <c r="F4" s="230" t="s">
        <v>15</v>
      </c>
    </row>
    <row r="5" s="155" customFormat="1" ht="20.25" customHeight="1" spans="1:6">
      <c r="A5" s="279">
        <v>3</v>
      </c>
      <c r="B5" s="230" t="s">
        <v>16</v>
      </c>
      <c r="C5" s="273" t="s">
        <v>12</v>
      </c>
      <c r="D5" s="281"/>
      <c r="E5" s="273" t="s">
        <v>14</v>
      </c>
      <c r="F5" s="230" t="s">
        <v>17</v>
      </c>
    </row>
    <row r="6" s="155" customFormat="1" ht="20.25" customHeight="1" spans="1:6">
      <c r="A6" s="279">
        <v>4</v>
      </c>
      <c r="B6" s="282" t="s">
        <v>18</v>
      </c>
      <c r="C6" s="273" t="s">
        <v>19</v>
      </c>
      <c r="D6" s="280" t="s">
        <v>20</v>
      </c>
      <c r="E6" s="273" t="s">
        <v>21</v>
      </c>
      <c r="F6" s="230" t="s">
        <v>22</v>
      </c>
    </row>
    <row r="7" s="155" customFormat="1" ht="20.25" customHeight="1" spans="1:6">
      <c r="A7" s="279">
        <v>5</v>
      </c>
      <c r="B7" s="283" t="s">
        <v>23</v>
      </c>
      <c r="C7" s="273" t="s">
        <v>24</v>
      </c>
      <c r="D7" s="281"/>
      <c r="E7" s="273" t="s">
        <v>25</v>
      </c>
      <c r="F7" s="230" t="s">
        <v>26</v>
      </c>
    </row>
    <row r="8" s="155" customFormat="1" ht="20.25" customHeight="1" spans="1:6">
      <c r="A8" s="279">
        <v>6</v>
      </c>
      <c r="B8" s="282" t="s">
        <v>27</v>
      </c>
      <c r="C8" s="273" t="s">
        <v>28</v>
      </c>
      <c r="D8" s="281"/>
      <c r="E8" s="273" t="s">
        <v>21</v>
      </c>
      <c r="F8" s="230" t="s">
        <v>29</v>
      </c>
    </row>
    <row r="9" s="155" customFormat="1" ht="20.25" customHeight="1" spans="1:6">
      <c r="A9" s="279">
        <v>7</v>
      </c>
      <c r="B9" s="283" t="s">
        <v>30</v>
      </c>
      <c r="C9" s="273" t="s">
        <v>31</v>
      </c>
      <c r="D9" s="280" t="s">
        <v>32</v>
      </c>
      <c r="E9" s="273" t="s">
        <v>33</v>
      </c>
      <c r="F9" s="230" t="s">
        <v>34</v>
      </c>
    </row>
    <row r="10" s="155" customFormat="1" ht="20.25" customHeight="1" spans="1:6">
      <c r="A10" s="279">
        <v>8</v>
      </c>
      <c r="B10" s="282" t="s">
        <v>35</v>
      </c>
      <c r="C10" s="273" t="s">
        <v>36</v>
      </c>
      <c r="D10" s="280"/>
      <c r="E10" s="273" t="s">
        <v>37</v>
      </c>
      <c r="F10" s="230" t="s">
        <v>38</v>
      </c>
    </row>
    <row r="11" s="155" customFormat="1" ht="20.25" customHeight="1" spans="1:6">
      <c r="A11" s="279">
        <v>9</v>
      </c>
      <c r="B11" s="283" t="s">
        <v>39</v>
      </c>
      <c r="C11" s="273" t="s">
        <v>40</v>
      </c>
      <c r="D11" s="280" t="s">
        <v>41</v>
      </c>
      <c r="E11" s="273" t="s">
        <v>21</v>
      </c>
      <c r="F11" s="230" t="s">
        <v>42</v>
      </c>
    </row>
    <row r="12" s="155" customFormat="1" ht="20.25" customHeight="1" spans="1:6">
      <c r="A12" s="279">
        <v>10</v>
      </c>
      <c r="B12" s="230" t="s">
        <v>43</v>
      </c>
      <c r="C12" s="273" t="s">
        <v>44</v>
      </c>
      <c r="D12" s="281"/>
      <c r="E12" s="273" t="s">
        <v>37</v>
      </c>
      <c r="F12" s="230" t="s">
        <v>45</v>
      </c>
    </row>
    <row r="14" hidden="1" spans="2:2">
      <c r="B14" t="s">
        <v>46</v>
      </c>
    </row>
    <row r="15" ht="15" hidden="1" customHeight="1" spans="2:4">
      <c r="B15" s="284" t="s">
        <v>47</v>
      </c>
      <c r="C15" s="69"/>
      <c r="D15" s="69"/>
    </row>
    <row r="16" ht="15" hidden="1" customHeight="1" spans="2:4">
      <c r="B16" s="69" t="s">
        <v>48</v>
      </c>
      <c r="C16" s="69"/>
      <c r="D16" s="69"/>
    </row>
    <row r="17" ht="15" hidden="1" customHeight="1" spans="2:4">
      <c r="B17" s="285" t="s">
        <v>49</v>
      </c>
      <c r="C17" t="s">
        <v>50</v>
      </c>
      <c r="D17" t="s">
        <v>51</v>
      </c>
    </row>
    <row r="18" ht="15" hidden="1" customHeight="1" spans="2:4">
      <c r="B18" t="s">
        <v>52</v>
      </c>
      <c r="D18" t="s">
        <v>53</v>
      </c>
    </row>
    <row r="19" ht="15" hidden="1" customHeight="1" spans="2:4">
      <c r="B19" s="285" t="s">
        <v>54</v>
      </c>
      <c r="C19" t="s">
        <v>55</v>
      </c>
      <c r="D19" t="s">
        <v>56</v>
      </c>
    </row>
    <row r="20" hidden="1" spans="2:2">
      <c r="B20" t="s">
        <v>57</v>
      </c>
    </row>
    <row r="21" hidden="1" spans="2:2">
      <c r="B21" t="s">
        <v>58</v>
      </c>
    </row>
    <row r="22" hidden="1" spans="2:2">
      <c r="B22" t="s">
        <v>59</v>
      </c>
    </row>
    <row r="23" hidden="1" spans="2:2">
      <c r="B23" t="s">
        <v>60</v>
      </c>
    </row>
    <row r="39" spans="2:3">
      <c r="B39" s="11" t="str">
        <f>_xlfn.DISPIMG("ID_B142527CA60E452B9C85A80D6D21C285",1)</f>
        <v>=DISPIMG("ID_B142527CA60E452B9C85A80D6D21C285",1)</v>
      </c>
      <c r="C39" s="11"/>
    </row>
    <row r="40" spans="2:3">
      <c r="B40" s="11"/>
      <c r="C40" s="11"/>
    </row>
    <row r="41" spans="2:3">
      <c r="B41" s="11"/>
      <c r="C41" s="11"/>
    </row>
    <row r="42" spans="2:3">
      <c r="B42" s="11"/>
      <c r="C42" s="11"/>
    </row>
    <row r="43" spans="2:3">
      <c r="B43" s="11"/>
      <c r="C43" s="11"/>
    </row>
    <row r="44" spans="2:3">
      <c r="B44" s="11"/>
      <c r="C44" s="11"/>
    </row>
    <row r="45" spans="2:3">
      <c r="B45" s="11"/>
      <c r="C45" s="11"/>
    </row>
  </sheetData>
  <sheetProtection formatCells="0" insertHyperlinks="0" autoFilter="0"/>
  <mergeCells count="1">
    <mergeCell ref="B39:C4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zoomScale="130" zoomScaleNormal="130" workbookViewId="0">
      <pane xSplit="1" ySplit="1" topLeftCell="V2" activePane="bottomRight" state="frozen"/>
      <selection/>
      <selection pane="topRight"/>
      <selection pane="bottomLeft"/>
      <selection pane="bottomRight" activeCell="AO7" sqref="AO7"/>
    </sheetView>
  </sheetViews>
  <sheetFormatPr defaultColWidth="9.14285714285714" defaultRowHeight="17.6" outlineLevelRow="6"/>
  <cols>
    <col min="1" max="1" width="17.6607142857143" style="219" customWidth="1"/>
    <col min="2" max="2" width="14.9285714285714" customWidth="1"/>
    <col min="3" max="3" width="12" customWidth="1"/>
    <col min="4" max="4" width="10.9375" customWidth="1"/>
    <col min="5" max="5" width="14.4464285714286" customWidth="1"/>
    <col min="6" max="6" width="9.74107142857143" customWidth="1"/>
    <col min="7" max="8" width="12.1964285714286" customWidth="1"/>
    <col min="9" max="9" width="11.875" customWidth="1"/>
    <col min="10" max="10" width="11.4553571428571" customWidth="1"/>
    <col min="11" max="11" width="18.75"/>
    <col min="12" max="12" width="11.875"/>
    <col min="13" max="13" width="10.8303571428571" customWidth="1"/>
    <col min="14" max="14" width="19" customWidth="1"/>
    <col min="15" max="16" width="13.8214285714286" customWidth="1" outlineLevel="1"/>
    <col min="17" max="17" width="13.375" customWidth="1" outlineLevel="1"/>
    <col min="18" max="18" width="14.25" customWidth="1" outlineLevel="1"/>
    <col min="19" max="19" width="15.25" outlineLevel="1"/>
    <col min="20" max="20" width="14.7946428571429" customWidth="1"/>
    <col min="21" max="21" width="14.7946428571429" customWidth="1" outlineLevel="1"/>
    <col min="22" max="22" width="13.2142857142857" customWidth="1" outlineLevel="1"/>
    <col min="23" max="24" width="10.8571428571429" customWidth="1" outlineLevel="1"/>
    <col min="25" max="25" width="14.1696428571429" customWidth="1"/>
    <col min="26" max="26" width="15.4732142857143" customWidth="1"/>
    <col min="27" max="27" width="20.0089285714286" customWidth="1"/>
    <col min="28" max="28" width="15.4107142857143" customWidth="1"/>
    <col min="29" max="29" width="12.8125" hidden="1" customWidth="1"/>
    <col min="30" max="30" width="14.2142857142857" hidden="1" customWidth="1"/>
    <col min="31" max="31" width="14.375" hidden="1" customWidth="1"/>
    <col min="33" max="33" width="15.6964285714286" customWidth="1"/>
    <col min="34" max="34" width="15.875"/>
    <col min="35" max="35" width="14.5"/>
    <col min="36" max="36" width="18.6607142857143" customWidth="1"/>
    <col min="37" max="38" width="15.6964285714286" customWidth="1"/>
    <col min="39" max="39" width="16.0178571428571" customWidth="1"/>
    <col min="40" max="40" width="15.8125" customWidth="1"/>
    <col min="41" max="41" width="10.2767857142857" customWidth="1"/>
    <col min="42" max="42" width="10.9285714285714"/>
  </cols>
  <sheetData>
    <row r="1" s="217" customFormat="1" ht="45" spans="1:42">
      <c r="A1" s="220" t="s">
        <v>61</v>
      </c>
      <c r="B1" s="221" t="s">
        <v>62</v>
      </c>
      <c r="C1" s="220" t="s">
        <v>63</v>
      </c>
      <c r="D1" s="220" t="s">
        <v>64</v>
      </c>
      <c r="E1" s="221" t="s">
        <v>65</v>
      </c>
      <c r="F1" s="221" t="s">
        <v>66</v>
      </c>
      <c r="G1" s="220" t="s">
        <v>67</v>
      </c>
      <c r="H1" s="220" t="s">
        <v>68</v>
      </c>
      <c r="I1" s="220" t="s">
        <v>69</v>
      </c>
      <c r="J1" s="220" t="s">
        <v>70</v>
      </c>
      <c r="K1" s="234" t="s">
        <v>71</v>
      </c>
      <c r="L1" s="235" t="s">
        <v>72</v>
      </c>
      <c r="M1" s="238" t="s">
        <v>73</v>
      </c>
      <c r="N1" s="239" t="s">
        <v>74</v>
      </c>
      <c r="O1" s="240" t="s">
        <v>75</v>
      </c>
      <c r="P1" s="241" t="s">
        <v>70</v>
      </c>
      <c r="Q1" s="247" t="s">
        <v>76</v>
      </c>
      <c r="R1" s="247" t="s">
        <v>77</v>
      </c>
      <c r="S1" s="247" t="s">
        <v>78</v>
      </c>
      <c r="T1" s="248" t="s">
        <v>79</v>
      </c>
      <c r="U1" s="252" t="s">
        <v>80</v>
      </c>
      <c r="V1" s="247" t="s">
        <v>81</v>
      </c>
      <c r="W1" s="247" t="s">
        <v>82</v>
      </c>
      <c r="X1" s="247" t="s">
        <v>83</v>
      </c>
      <c r="Y1" s="247" t="s">
        <v>84</v>
      </c>
      <c r="Z1" s="247" t="s">
        <v>85</v>
      </c>
      <c r="AA1" s="247" t="s">
        <v>86</v>
      </c>
      <c r="AB1" s="247" t="s">
        <v>87</v>
      </c>
      <c r="AC1" s="247" t="s">
        <v>88</v>
      </c>
      <c r="AD1" s="247" t="s">
        <v>89</v>
      </c>
      <c r="AE1" s="247" t="s">
        <v>90</v>
      </c>
      <c r="AF1" s="263" t="s">
        <v>91</v>
      </c>
      <c r="AG1" s="266" t="s">
        <v>92</v>
      </c>
      <c r="AH1" s="266" t="s">
        <v>93</v>
      </c>
      <c r="AI1" s="263" t="s">
        <v>94</v>
      </c>
      <c r="AJ1" s="263" t="s">
        <v>95</v>
      </c>
      <c r="AK1" s="269" t="s">
        <v>96</v>
      </c>
      <c r="AL1" s="269" t="s">
        <v>97</v>
      </c>
      <c r="AM1" s="270" t="s">
        <v>98</v>
      </c>
      <c r="AN1" s="271" t="s">
        <v>99</v>
      </c>
      <c r="AO1" s="275" t="s">
        <v>100</v>
      </c>
      <c r="AP1" s="275" t="s">
        <v>101</v>
      </c>
    </row>
    <row r="2" s="218" customFormat="1" ht="18.35" customHeight="1" spans="1:42">
      <c r="A2" s="222" t="s">
        <v>102</v>
      </c>
      <c r="B2" s="223"/>
      <c r="C2" s="224"/>
      <c r="D2" s="224"/>
      <c r="E2" s="224"/>
      <c r="F2" s="232" t="e">
        <f>E2/B2</f>
        <v>#DIV/0!</v>
      </c>
      <c r="G2" s="232"/>
      <c r="H2" s="232"/>
      <c r="I2" s="232"/>
      <c r="J2" s="232"/>
      <c r="K2" s="223">
        <v>5001000</v>
      </c>
      <c r="L2" s="232">
        <v>0.0215</v>
      </c>
      <c r="M2" s="242">
        <v>0.0322</v>
      </c>
      <c r="N2" s="243" t="s">
        <v>103</v>
      </c>
      <c r="O2" s="244"/>
      <c r="P2" s="229">
        <v>16533807</v>
      </c>
      <c r="Q2" s="222"/>
      <c r="R2" s="222"/>
      <c r="S2" s="222"/>
      <c r="T2" s="249"/>
      <c r="U2" s="253">
        <v>13651990</v>
      </c>
      <c r="V2" s="222"/>
      <c r="W2" s="222"/>
      <c r="X2" s="222"/>
      <c r="Y2" s="222"/>
      <c r="Z2" s="253">
        <v>1344551</v>
      </c>
      <c r="AA2" s="222"/>
      <c r="AB2" s="222">
        <v>0</v>
      </c>
      <c r="AC2" s="222"/>
      <c r="AD2" s="222"/>
      <c r="AE2" s="222"/>
      <c r="AF2" s="264">
        <v>120.19</v>
      </c>
      <c r="AG2" s="253">
        <f>P2/AF2</f>
        <v>137563.915467177</v>
      </c>
      <c r="AH2" s="253">
        <f>K2/AF2</f>
        <v>41609.1188950828</v>
      </c>
      <c r="AI2" s="253">
        <f>B2/AF2</f>
        <v>0</v>
      </c>
      <c r="AJ2" s="253" t="s">
        <v>103</v>
      </c>
      <c r="AK2" s="222"/>
      <c r="AL2" s="222"/>
      <c r="AM2" s="222"/>
      <c r="AN2" s="272"/>
      <c r="AO2" s="243"/>
      <c r="AP2" s="243"/>
    </row>
    <row r="3" s="218" customFormat="1" ht="17.5" customHeight="1" spans="1:42">
      <c r="A3" s="225" t="s">
        <v>104</v>
      </c>
      <c r="B3" s="226"/>
      <c r="C3" s="223"/>
      <c r="D3" s="223"/>
      <c r="E3" s="223"/>
      <c r="F3" s="232" t="e">
        <f>E3/B3</f>
        <v>#DIV/0!</v>
      </c>
      <c r="G3" s="232"/>
      <c r="H3" s="232"/>
      <c r="I3" s="232"/>
      <c r="J3" s="232"/>
      <c r="K3" s="223">
        <v>15682080.695825</v>
      </c>
      <c r="L3" s="232" t="e">
        <f>K3/B3</f>
        <v>#DIV/0!</v>
      </c>
      <c r="M3" s="242" t="e">
        <f>K3/E3</f>
        <v>#DIV/0!</v>
      </c>
      <c r="N3" s="243" t="s">
        <v>103</v>
      </c>
      <c r="O3" s="244"/>
      <c r="P3" s="229">
        <v>12736952.8760082</v>
      </c>
      <c r="Q3" s="222"/>
      <c r="R3" s="222"/>
      <c r="S3" s="222"/>
      <c r="T3" s="249"/>
      <c r="U3" s="253">
        <v>12736952.8760082</v>
      </c>
      <c r="V3" s="222"/>
      <c r="W3" s="222"/>
      <c r="X3" s="222"/>
      <c r="Y3" s="222"/>
      <c r="Z3" s="259">
        <v>710826.796172839</v>
      </c>
      <c r="AA3" s="222"/>
      <c r="AB3" s="222">
        <v>0</v>
      </c>
      <c r="AC3" s="222"/>
      <c r="AD3" s="222"/>
      <c r="AE3" s="222"/>
      <c r="AF3" s="264">
        <v>105.75</v>
      </c>
      <c r="AG3" s="253">
        <f>T3/AF3</f>
        <v>0</v>
      </c>
      <c r="AH3" s="253">
        <v>148293.907289125</v>
      </c>
      <c r="AI3" s="253">
        <v>2380841.60756501</v>
      </c>
      <c r="AJ3" s="267">
        <f>AG3/AG2</f>
        <v>0</v>
      </c>
      <c r="AK3" s="222"/>
      <c r="AL3" s="222"/>
      <c r="AM3" s="222"/>
      <c r="AN3" s="272"/>
      <c r="AO3" s="243"/>
      <c r="AP3" s="276"/>
    </row>
    <row r="4" s="155" customFormat="1" ht="18.75" customHeight="1" spans="1:42">
      <c r="A4" s="227" t="s">
        <v>105</v>
      </c>
      <c r="B4" s="228"/>
      <c r="C4" s="229"/>
      <c r="D4" s="230"/>
      <c r="E4" s="233"/>
      <c r="F4" s="232" t="e">
        <f>E4/B4</f>
        <v>#DIV/0!</v>
      </c>
      <c r="G4" s="232"/>
      <c r="H4" s="232"/>
      <c r="I4" s="232"/>
      <c r="J4" s="236"/>
      <c r="K4" s="237" t="e">
        <f>#REF!</f>
        <v>#REF!</v>
      </c>
      <c r="L4" s="232" t="e">
        <f>K4/B4</f>
        <v>#REF!</v>
      </c>
      <c r="M4" s="242" t="e">
        <f>K4/E4</f>
        <v>#REF!</v>
      </c>
      <c r="N4" s="245" t="s">
        <v>106</v>
      </c>
      <c r="O4" s="246" t="e">
        <f>P4/B4</f>
        <v>#DIV/0!</v>
      </c>
      <c r="P4" s="236">
        <f>E4*7%</f>
        <v>0</v>
      </c>
      <c r="Q4" s="250">
        <f>P4*8%</f>
        <v>0</v>
      </c>
      <c r="R4" s="250">
        <f>P4*7%</f>
        <v>0</v>
      </c>
      <c r="S4" s="250">
        <f>P4*10%</f>
        <v>0</v>
      </c>
      <c r="T4" s="251">
        <f>P4*75%</f>
        <v>0</v>
      </c>
      <c r="U4" s="254">
        <f>T4*55%</f>
        <v>0</v>
      </c>
      <c r="V4" s="255" t="s">
        <v>107</v>
      </c>
      <c r="W4" s="256" t="s">
        <v>108</v>
      </c>
      <c r="X4" s="257" t="s">
        <v>109</v>
      </c>
      <c r="Y4" s="260" t="s">
        <v>110</v>
      </c>
      <c r="Z4" s="254">
        <f>T4*45%</f>
        <v>0</v>
      </c>
      <c r="AA4" s="261">
        <f>Z4*80%</f>
        <v>0</v>
      </c>
      <c r="AB4" s="261">
        <f>Z4*20%</f>
        <v>0</v>
      </c>
      <c r="AC4" s="261">
        <v>400000</v>
      </c>
      <c r="AD4" s="261">
        <v>500000</v>
      </c>
      <c r="AE4" s="261">
        <v>550000</v>
      </c>
      <c r="AF4" s="265">
        <v>112</v>
      </c>
      <c r="AG4" s="261">
        <f>T4/AF4</f>
        <v>0</v>
      </c>
      <c r="AH4" s="261" t="e">
        <f>K4/AF4</f>
        <v>#REF!</v>
      </c>
      <c r="AI4" s="261">
        <f>B4/AF4</f>
        <v>0</v>
      </c>
      <c r="AJ4" s="268" t="e">
        <f>AG4/AG3</f>
        <v>#DIV/0!</v>
      </c>
      <c r="AK4" s="273" t="s">
        <v>111</v>
      </c>
      <c r="AL4" s="273" t="s">
        <v>112</v>
      </c>
      <c r="AM4" s="230" t="e">
        <f>AK4*30%+Z*40%</f>
        <v>#VALUE!</v>
      </c>
      <c r="AN4" s="274" t="s">
        <v>113</v>
      </c>
      <c r="AO4" s="276" t="e">
        <f>T4/E4</f>
        <v>#DIV/0!</v>
      </c>
      <c r="AP4" s="276" t="e">
        <f>T4/B4</f>
        <v>#DIV/0!</v>
      </c>
    </row>
    <row r="5" ht="18.75" customHeight="1" spans="1:27">
      <c r="A5" s="231"/>
      <c r="T5" s="114"/>
      <c r="V5" s="258"/>
      <c r="AA5" s="262"/>
    </row>
    <row r="6" ht="24.1" customHeight="1"/>
    <row r="7" ht="24.1" customHeight="1"/>
  </sheetData>
  <sheetProtection formatCells="0" insertHyperlinks="0" autoFilter="0"/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8"/>
  <sheetViews>
    <sheetView workbookViewId="0">
      <selection activeCell="O17" sqref="O17"/>
    </sheetView>
  </sheetViews>
  <sheetFormatPr defaultColWidth="9" defaultRowHeight="17.6"/>
  <cols>
    <col min="1" max="1" width="26.25" style="157" customWidth="1"/>
    <col min="2" max="2" width="15.0267857142857" style="157" customWidth="1"/>
    <col min="3" max="3" width="12.3482142857143" style="157" hidden="1" customWidth="1"/>
    <col min="4" max="4" width="15.4732142857143" style="157" hidden="1" customWidth="1"/>
    <col min="5" max="11" width="15.4732142857143" style="158" hidden="1" customWidth="1"/>
    <col min="12" max="14" width="9.52678571428571" style="159" hidden="1" customWidth="1"/>
    <col min="15" max="15" width="12.5" style="158" customWidth="1"/>
    <col min="16" max="16" width="15.6160714285714" style="160" hidden="1" customWidth="1"/>
    <col min="17" max="17" width="12.0535714285714" hidden="1" customWidth="1"/>
    <col min="18" max="19" width="10.9285714285714" hidden="1" customWidth="1"/>
    <col min="20" max="20" width="12.3482142857143" hidden="1" customWidth="1"/>
    <col min="21" max="21" width="13.625" style="11" customWidth="1"/>
    <col min="22" max="22" width="12.625" style="11" customWidth="1"/>
  </cols>
  <sheetData>
    <row r="1" s="155" customFormat="1" ht="36" customHeight="1" spans="1:22">
      <c r="A1" s="161" t="s">
        <v>114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91"/>
      <c r="M1" s="191"/>
      <c r="N1" s="191"/>
      <c r="O1" s="161"/>
      <c r="P1" s="160"/>
      <c r="U1" s="207"/>
      <c r="V1" s="207"/>
    </row>
    <row r="2" s="155" customFormat="1" ht="28.5" customHeight="1" spans="1:22">
      <c r="A2" s="162" t="s">
        <v>115</v>
      </c>
      <c r="B2" s="163"/>
      <c r="C2" s="163" t="s">
        <v>116</v>
      </c>
      <c r="D2" s="163" t="s">
        <v>117</v>
      </c>
      <c r="E2" s="163" t="s">
        <v>118</v>
      </c>
      <c r="F2" s="163" t="s">
        <v>119</v>
      </c>
      <c r="G2" s="163" t="s">
        <v>120</v>
      </c>
      <c r="H2" s="163" t="s">
        <v>121</v>
      </c>
      <c r="I2" s="163" t="s">
        <v>122</v>
      </c>
      <c r="J2" s="163" t="s">
        <v>123</v>
      </c>
      <c r="K2" s="163" t="s">
        <v>124</v>
      </c>
      <c r="L2" s="192" t="s">
        <v>125</v>
      </c>
      <c r="M2" s="192" t="s">
        <v>126</v>
      </c>
      <c r="N2" s="196" t="s">
        <v>127</v>
      </c>
      <c r="O2" s="197" t="s">
        <v>128</v>
      </c>
      <c r="P2" s="160"/>
      <c r="U2" s="211" t="s">
        <v>70</v>
      </c>
      <c r="V2" s="211" t="s">
        <v>129</v>
      </c>
    </row>
    <row r="3" s="155" customFormat="1" ht="28.5" customHeight="1" spans="1:22">
      <c r="A3" s="164" t="s">
        <v>130</v>
      </c>
      <c r="B3" s="165"/>
      <c r="C3" s="166">
        <v>113</v>
      </c>
      <c r="D3" s="166">
        <v>112.5</v>
      </c>
      <c r="E3" s="166">
        <v>112.5</v>
      </c>
      <c r="F3" s="166">
        <v>112.5</v>
      </c>
      <c r="G3" s="188">
        <v>112.5</v>
      </c>
      <c r="H3" s="188">
        <v>108.5</v>
      </c>
      <c r="I3" s="166">
        <v>106</v>
      </c>
      <c r="J3" s="188">
        <v>105.5</v>
      </c>
      <c r="K3" s="188">
        <v>104</v>
      </c>
      <c r="L3" s="193">
        <f t="shared" ref="L3:L6" si="0">AVERAGE(C3:K3)</f>
        <v>109.666666666667</v>
      </c>
      <c r="M3" s="193">
        <f>AVERAGE(D3:L3)</f>
        <v>109.296296296296</v>
      </c>
      <c r="N3" s="193">
        <f t="shared" ref="N3:N10" si="1">AVERAGE(E3:M3)</f>
        <v>108.940329218107</v>
      </c>
      <c r="O3" s="198">
        <f>SUM(C3:N3)/12</f>
        <v>109.575274348423</v>
      </c>
      <c r="P3" s="160">
        <v>109.575274348423</v>
      </c>
      <c r="U3" s="207"/>
      <c r="V3" s="207"/>
    </row>
    <row r="4" s="155" customFormat="1" ht="28.5" customHeight="1" spans="1:22">
      <c r="A4" s="167" t="s">
        <v>131</v>
      </c>
      <c r="B4" s="168"/>
      <c r="C4" s="168">
        <f>1043966.15</f>
        <v>1043966.15</v>
      </c>
      <c r="D4" s="168">
        <v>1043657.44</v>
      </c>
      <c r="E4" s="168">
        <v>1149903.14</v>
      </c>
      <c r="F4" s="168">
        <v>1111808.14</v>
      </c>
      <c r="G4" s="168">
        <v>1088210.67</v>
      </c>
      <c r="H4" s="168">
        <v>1312652.77</v>
      </c>
      <c r="I4" s="168">
        <v>1096958.37</v>
      </c>
      <c r="J4" s="168">
        <v>1066846.91</v>
      </c>
      <c r="K4" s="168">
        <v>1104782.78</v>
      </c>
      <c r="L4" s="193">
        <f t="shared" si="0"/>
        <v>1113198.48555556</v>
      </c>
      <c r="M4" s="193">
        <f t="shared" ref="M4:M10" si="2">AVERAGE(D4:L4)</f>
        <v>1120890.96728395</v>
      </c>
      <c r="N4" s="193">
        <f t="shared" si="1"/>
        <v>1129472.4703155</v>
      </c>
      <c r="O4" s="199">
        <f t="shared" ref="O4:O16" si="3">SUM(C4:N4)</f>
        <v>13382348.293155</v>
      </c>
      <c r="P4" s="160">
        <v>13382348.293155</v>
      </c>
      <c r="Q4" s="155" t="s">
        <v>91</v>
      </c>
      <c r="S4" s="206">
        <f>O3</f>
        <v>109.575274348423</v>
      </c>
      <c r="U4" s="207"/>
      <c r="V4" s="207"/>
    </row>
    <row r="5" s="155" customFormat="1" ht="28.5" customHeight="1" spans="1:22">
      <c r="A5" s="169" t="s">
        <v>132</v>
      </c>
      <c r="B5" s="170" t="s">
        <v>133</v>
      </c>
      <c r="C5" s="171">
        <v>841600</v>
      </c>
      <c r="D5" s="171">
        <v>844910.54</v>
      </c>
      <c r="E5" s="171">
        <v>847499.85</v>
      </c>
      <c r="F5" s="172">
        <v>858665.24</v>
      </c>
      <c r="G5" s="172">
        <v>853822.73</v>
      </c>
      <c r="H5" s="172">
        <v>849417.01</v>
      </c>
      <c r="I5" s="172">
        <v>808607.94</v>
      </c>
      <c r="J5" s="172">
        <v>815241.83</v>
      </c>
      <c r="K5" s="172">
        <v>796225.02</v>
      </c>
      <c r="L5" s="193">
        <f t="shared" si="0"/>
        <v>835110.017777778</v>
      </c>
      <c r="M5" s="193">
        <f t="shared" si="2"/>
        <v>834388.908641975</v>
      </c>
      <c r="N5" s="193">
        <f t="shared" si="1"/>
        <v>833219.838491084</v>
      </c>
      <c r="O5" s="200">
        <f t="shared" si="3"/>
        <v>10018708.9249108</v>
      </c>
      <c r="P5" s="160">
        <f>O5</f>
        <v>10018708.9249108</v>
      </c>
      <c r="Q5" s="207" t="s">
        <v>134</v>
      </c>
      <c r="R5" s="155" t="s">
        <v>133</v>
      </c>
      <c r="S5" s="208">
        <f>O5+O6+O10+O12</f>
        <v>12736952.8760082</v>
      </c>
      <c r="U5" s="207">
        <f t="shared" ref="U5:U12" si="4">O5</f>
        <v>10018708.9249108</v>
      </c>
      <c r="V5" s="212">
        <f>U5/U17</f>
        <v>0.645664982017764</v>
      </c>
    </row>
    <row r="6" s="155" customFormat="1" ht="28.5" customHeight="1" spans="1:22">
      <c r="A6" s="169" t="s">
        <v>135</v>
      </c>
      <c r="B6" s="170" t="s">
        <v>133</v>
      </c>
      <c r="C6" s="172">
        <v>138881.41</v>
      </c>
      <c r="D6" s="172">
        <v>140093.66</v>
      </c>
      <c r="E6" s="172">
        <v>229759.18</v>
      </c>
      <c r="F6" s="172">
        <v>187592.66</v>
      </c>
      <c r="G6" s="172">
        <v>189089.77</v>
      </c>
      <c r="H6" s="172">
        <v>276176.08</v>
      </c>
      <c r="I6" s="172">
        <v>184736.43</v>
      </c>
      <c r="J6" s="172">
        <v>178059.73</v>
      </c>
      <c r="K6" s="172">
        <v>255560.7</v>
      </c>
      <c r="L6" s="193">
        <f t="shared" si="0"/>
        <v>197772.18</v>
      </c>
      <c r="M6" s="193">
        <f t="shared" si="2"/>
        <v>204315.598888889</v>
      </c>
      <c r="N6" s="193">
        <f t="shared" si="1"/>
        <v>211451.369876543</v>
      </c>
      <c r="O6" s="200">
        <f t="shared" si="3"/>
        <v>2393488.76876543</v>
      </c>
      <c r="P6" s="160">
        <v>2393488.76876543</v>
      </c>
      <c r="Q6" s="207"/>
      <c r="R6" s="155" t="s">
        <v>136</v>
      </c>
      <c r="S6" s="209">
        <f>O7</f>
        <v>710826.796172839</v>
      </c>
      <c r="T6" s="208">
        <f>S5+S6</f>
        <v>13447779.6721811</v>
      </c>
      <c r="U6" s="207">
        <f t="shared" si="4"/>
        <v>2393488.76876543</v>
      </c>
      <c r="V6" s="213">
        <f>U6/U17</f>
        <v>0.154250601991454</v>
      </c>
    </row>
    <row r="7" s="155" customFormat="1" ht="28.5" customHeight="1" spans="1:22">
      <c r="A7" s="169" t="s">
        <v>137</v>
      </c>
      <c r="B7" s="170" t="s">
        <v>136</v>
      </c>
      <c r="C7" s="172">
        <v>60285.53</v>
      </c>
      <c r="D7" s="172">
        <v>44297.16</v>
      </c>
      <c r="E7" s="172">
        <v>53751.44</v>
      </c>
      <c r="F7" s="172">
        <v>61606.04</v>
      </c>
      <c r="G7" s="172">
        <v>48889.12</v>
      </c>
      <c r="H7" s="172">
        <v>73236.03</v>
      </c>
      <c r="I7" s="172">
        <v>90830.19</v>
      </c>
      <c r="J7" s="172">
        <v>59839.04</v>
      </c>
      <c r="K7" s="172">
        <v>39355.08</v>
      </c>
      <c r="L7" s="193">
        <f t="shared" ref="L7:L12" si="5">AVERAGE(C7:K7)</f>
        <v>59121.07</v>
      </c>
      <c r="M7" s="193">
        <f t="shared" si="2"/>
        <v>58991.6855555556</v>
      </c>
      <c r="N7" s="193">
        <f t="shared" si="1"/>
        <v>60624.4106172839</v>
      </c>
      <c r="O7" s="200">
        <f t="shared" si="3"/>
        <v>710826.796172839</v>
      </c>
      <c r="P7" s="160">
        <v>710826.796172839</v>
      </c>
      <c r="Q7" s="207" t="s">
        <v>138</v>
      </c>
      <c r="S7" s="208">
        <f>O8+O9</f>
        <v>1390059.26435336</v>
      </c>
      <c r="U7" s="207">
        <f t="shared" si="4"/>
        <v>710826.796172839</v>
      </c>
      <c r="V7" s="213">
        <f>U7/U17</f>
        <v>0.0458098916745169</v>
      </c>
    </row>
    <row r="8" s="155" customFormat="1" ht="28.5" customHeight="1" spans="1:22">
      <c r="A8" s="167" t="s">
        <v>139</v>
      </c>
      <c r="B8" s="173" t="s">
        <v>138</v>
      </c>
      <c r="C8" s="168">
        <v>91973.6432</v>
      </c>
      <c r="D8" s="168">
        <v>91973.6432</v>
      </c>
      <c r="E8" s="174">
        <v>91278.4732</v>
      </c>
      <c r="F8" s="174">
        <v>91278.4732</v>
      </c>
      <c r="G8" s="174">
        <v>91021.67</v>
      </c>
      <c r="H8" s="174">
        <v>91009.27</v>
      </c>
      <c r="I8" s="174">
        <v>98763.61</v>
      </c>
      <c r="J8" s="174">
        <v>101066.47</v>
      </c>
      <c r="K8" s="174">
        <v>99032.02</v>
      </c>
      <c r="L8" s="193">
        <f t="shared" si="5"/>
        <v>94155.2525333333</v>
      </c>
      <c r="M8" s="193">
        <f t="shared" si="2"/>
        <v>94397.6535703704</v>
      </c>
      <c r="N8" s="193">
        <f t="shared" si="1"/>
        <v>94666.9880559671</v>
      </c>
      <c r="O8" s="199">
        <f t="shared" si="3"/>
        <v>1130617.16695967</v>
      </c>
      <c r="P8" s="160">
        <v>1130617.16695967</v>
      </c>
      <c r="Q8" s="207" t="s">
        <v>140</v>
      </c>
      <c r="S8" s="208">
        <f>P14</f>
        <v>45655.0017832647</v>
      </c>
      <c r="U8" s="207">
        <f t="shared" si="4"/>
        <v>1130617.16695967</v>
      </c>
      <c r="V8" s="213">
        <f>U8/U17</f>
        <v>0.0728636711821117</v>
      </c>
    </row>
    <row r="9" s="155" customFormat="1" ht="28.5" customHeight="1" spans="1:22">
      <c r="A9" s="167" t="s">
        <v>141</v>
      </c>
      <c r="B9" s="173" t="s">
        <v>138</v>
      </c>
      <c r="C9" s="174">
        <v>21728</v>
      </c>
      <c r="D9" s="174">
        <v>21583</v>
      </c>
      <c r="E9" s="174">
        <v>21438</v>
      </c>
      <c r="F9" s="174">
        <v>21438</v>
      </c>
      <c r="G9" s="174">
        <v>21148</v>
      </c>
      <c r="H9" s="174">
        <v>21148</v>
      </c>
      <c r="I9" s="174">
        <v>22393</v>
      </c>
      <c r="J9" s="174">
        <v>22078</v>
      </c>
      <c r="K9" s="174">
        <v>21643</v>
      </c>
      <c r="L9" s="193">
        <f t="shared" si="5"/>
        <v>21621.8888888889</v>
      </c>
      <c r="M9" s="193">
        <f t="shared" si="2"/>
        <v>21610.0987654321</v>
      </c>
      <c r="N9" s="193">
        <f t="shared" si="1"/>
        <v>21613.109739369</v>
      </c>
      <c r="O9" s="199">
        <f t="shared" si="3"/>
        <v>259442.09739369</v>
      </c>
      <c r="P9" s="160">
        <v>259442.09739369</v>
      </c>
      <c r="U9" s="207">
        <f t="shared" si="4"/>
        <v>259442.09739369</v>
      </c>
      <c r="V9" s="213">
        <f>U10/U17</f>
        <v>0.0127543278753868</v>
      </c>
    </row>
    <row r="10" s="155" customFormat="1" ht="28.5" customHeight="1" spans="1:22">
      <c r="A10" s="175" t="s">
        <v>142</v>
      </c>
      <c r="B10" s="176" t="s">
        <v>133</v>
      </c>
      <c r="C10" s="177">
        <v>6418.48</v>
      </c>
      <c r="D10" s="177">
        <v>17562</v>
      </c>
      <c r="E10" s="177">
        <v>22234.14</v>
      </c>
      <c r="F10" s="189">
        <v>5205.67</v>
      </c>
      <c r="G10" s="189">
        <v>6093.42</v>
      </c>
      <c r="H10" s="189">
        <v>36298.11</v>
      </c>
      <c r="I10" s="189">
        <v>16924.49</v>
      </c>
      <c r="J10" s="189">
        <v>18311.31</v>
      </c>
      <c r="K10" s="189">
        <v>17746.98</v>
      </c>
      <c r="L10" s="193">
        <f t="shared" si="5"/>
        <v>16310.5111111111</v>
      </c>
      <c r="M10" s="193">
        <f t="shared" si="2"/>
        <v>17409.6256790123</v>
      </c>
      <c r="N10" s="193">
        <f t="shared" si="1"/>
        <v>17392.6951989026</v>
      </c>
      <c r="O10" s="199">
        <f t="shared" si="3"/>
        <v>197907.431989026</v>
      </c>
      <c r="P10" s="160">
        <v>197907.431989026</v>
      </c>
      <c r="U10" s="207">
        <f t="shared" si="4"/>
        <v>197907.431989026</v>
      </c>
      <c r="V10" s="213">
        <f>U10/U17</f>
        <v>0.0127543278753868</v>
      </c>
    </row>
    <row r="11" s="156" customFormat="1" ht="28.5" customHeight="1" spans="1:22">
      <c r="A11" s="178" t="s">
        <v>143</v>
      </c>
      <c r="B11" s="179" t="s">
        <v>136</v>
      </c>
      <c r="C11" s="180">
        <v>585827.4</v>
      </c>
      <c r="D11" s="180">
        <v>0</v>
      </c>
      <c r="E11" s="190">
        <v>0</v>
      </c>
      <c r="F11" s="190">
        <v>0</v>
      </c>
      <c r="G11" s="190">
        <v>0</v>
      </c>
      <c r="H11" s="190">
        <v>0</v>
      </c>
      <c r="I11" s="190">
        <v>0</v>
      </c>
      <c r="J11" s="190">
        <v>0</v>
      </c>
      <c r="K11" s="190">
        <v>0</v>
      </c>
      <c r="L11" s="190">
        <v>0</v>
      </c>
      <c r="M11" s="190">
        <v>0</v>
      </c>
      <c r="N11" s="190">
        <v>0</v>
      </c>
      <c r="O11" s="201">
        <f t="shared" si="3"/>
        <v>585827.4</v>
      </c>
      <c r="P11" s="202">
        <v>585827.4</v>
      </c>
      <c r="U11" s="214">
        <f t="shared" si="4"/>
        <v>585827.4</v>
      </c>
      <c r="V11" s="215">
        <f>U11/U17</f>
        <v>0.0377541897385625</v>
      </c>
    </row>
    <row r="12" s="155" customFormat="1" ht="28.5" customHeight="1" spans="1:22">
      <c r="A12" s="167" t="s">
        <v>144</v>
      </c>
      <c r="B12" s="173" t="s">
        <v>133</v>
      </c>
      <c r="C12" s="174">
        <v>0</v>
      </c>
      <c r="D12" s="174">
        <v>0</v>
      </c>
      <c r="E12" s="174">
        <v>9000</v>
      </c>
      <c r="F12" s="174">
        <v>2000</v>
      </c>
      <c r="G12" s="174">
        <v>0</v>
      </c>
      <c r="H12" s="174">
        <v>81472.01</v>
      </c>
      <c r="I12" s="174">
        <v>0</v>
      </c>
      <c r="J12" s="174">
        <v>0</v>
      </c>
      <c r="K12" s="174">
        <v>0</v>
      </c>
      <c r="L12" s="193">
        <f t="shared" si="5"/>
        <v>10274.6677777778</v>
      </c>
      <c r="M12" s="193">
        <f t="shared" ref="M12:M16" si="6">AVERAGE(D12:L12)</f>
        <v>11416.2975308642</v>
      </c>
      <c r="N12" s="193">
        <f t="shared" ref="N12:N16" si="7">AVERAGE(E12:M12)</f>
        <v>12684.7750342936</v>
      </c>
      <c r="O12" s="199">
        <f t="shared" si="3"/>
        <v>126847.750342936</v>
      </c>
      <c r="P12" s="160">
        <v>126847.750342936</v>
      </c>
      <c r="R12" s="210"/>
      <c r="U12" s="207">
        <f t="shared" si="4"/>
        <v>126847.750342936</v>
      </c>
      <c r="V12" s="213">
        <f>U12/U17</f>
        <v>0.00817482083350317</v>
      </c>
    </row>
    <row r="13" s="155" customFormat="1" ht="28.5" customHeight="1" spans="1:22">
      <c r="A13" s="181" t="s">
        <v>145</v>
      </c>
      <c r="B13" s="182" t="s">
        <v>146</v>
      </c>
      <c r="C13" s="183">
        <v>30000</v>
      </c>
      <c r="D13" s="183">
        <v>30000</v>
      </c>
      <c r="E13" s="183">
        <v>30000</v>
      </c>
      <c r="F13" s="183">
        <v>30000</v>
      </c>
      <c r="G13" s="183">
        <v>51428.57</v>
      </c>
      <c r="H13" s="183">
        <v>45000</v>
      </c>
      <c r="I13" s="183">
        <v>45000</v>
      </c>
      <c r="J13" s="183">
        <v>45000</v>
      </c>
      <c r="K13" s="183">
        <v>30000</v>
      </c>
      <c r="L13" s="183">
        <v>30000</v>
      </c>
      <c r="M13" s="203">
        <f t="shared" si="6"/>
        <v>37380.9522222222</v>
      </c>
      <c r="N13" s="203">
        <f t="shared" si="7"/>
        <v>38201.0580246914</v>
      </c>
      <c r="O13" s="204">
        <f t="shared" si="3"/>
        <v>442010.580246914</v>
      </c>
      <c r="P13" s="160">
        <v>442010.580246914</v>
      </c>
      <c r="R13" s="210"/>
      <c r="U13" s="207"/>
      <c r="V13" s="213"/>
    </row>
    <row r="14" s="155" customFormat="1" ht="28.5" customHeight="1" spans="1:22">
      <c r="A14" s="184" t="s">
        <v>147</v>
      </c>
      <c r="B14" s="185" t="s">
        <v>140</v>
      </c>
      <c r="C14" s="186">
        <v>12754.7</v>
      </c>
      <c r="D14" s="186">
        <v>10150</v>
      </c>
      <c r="E14" s="186">
        <v>0</v>
      </c>
      <c r="F14" s="186">
        <v>0</v>
      </c>
      <c r="G14" s="186">
        <v>0</v>
      </c>
      <c r="H14" s="186">
        <v>6864</v>
      </c>
      <c r="I14" s="186">
        <v>0</v>
      </c>
      <c r="J14" s="186">
        <v>0</v>
      </c>
      <c r="K14" s="186">
        <v>6517</v>
      </c>
      <c r="L14" s="194">
        <f>AVERAGE(C14:K14)</f>
        <v>4031.74444444444</v>
      </c>
      <c r="M14" s="194">
        <f t="shared" si="6"/>
        <v>3062.52716049383</v>
      </c>
      <c r="N14" s="194">
        <f t="shared" si="7"/>
        <v>2275.03017832647</v>
      </c>
      <c r="O14" s="201">
        <f t="shared" si="3"/>
        <v>45655.0017832647</v>
      </c>
      <c r="P14" s="160">
        <v>45655.0017832647</v>
      </c>
      <c r="U14" s="207">
        <f>O14</f>
        <v>45655.0017832647</v>
      </c>
      <c r="V14" s="213">
        <f>U14/U17</f>
        <v>0.0029422789030349</v>
      </c>
    </row>
    <row r="15" s="155" customFormat="1" ht="28.5" customHeight="1" spans="1:22">
      <c r="A15" s="184" t="s">
        <v>148</v>
      </c>
      <c r="B15" s="185" t="s">
        <v>133</v>
      </c>
      <c r="C15" s="186">
        <v>5445.78</v>
      </c>
      <c r="D15" s="186">
        <v>2979.16</v>
      </c>
      <c r="E15" s="186">
        <v>3000.52</v>
      </c>
      <c r="F15" s="186">
        <v>5687.82</v>
      </c>
      <c r="G15" s="186">
        <v>3961.38</v>
      </c>
      <c r="H15" s="186">
        <v>8425.19</v>
      </c>
      <c r="I15" s="186">
        <v>4114.5</v>
      </c>
      <c r="J15" s="186">
        <v>0</v>
      </c>
      <c r="K15" s="186">
        <v>3587.81</v>
      </c>
      <c r="L15" s="186">
        <v>2626.79</v>
      </c>
      <c r="M15" s="194">
        <f t="shared" si="6"/>
        <v>3820.35222222222</v>
      </c>
      <c r="N15" s="194">
        <f t="shared" si="7"/>
        <v>3913.81802469136</v>
      </c>
      <c r="O15" s="201">
        <f t="shared" si="3"/>
        <v>47563.1202469136</v>
      </c>
      <c r="P15" s="160">
        <v>47563.1202469136</v>
      </c>
      <c r="U15" s="207">
        <f>O15</f>
        <v>47563.1202469136</v>
      </c>
      <c r="V15" s="213">
        <f>U15/U17</f>
        <v>0.00306524936587131</v>
      </c>
    </row>
    <row r="16" s="155" customFormat="1" ht="28.5" customHeight="1" spans="1:22">
      <c r="A16" s="181" t="s">
        <v>149</v>
      </c>
      <c r="B16" s="187" t="s">
        <v>146</v>
      </c>
      <c r="C16" s="183">
        <v>12516.78</v>
      </c>
      <c r="D16" s="183">
        <v>0</v>
      </c>
      <c r="E16" s="183">
        <v>0</v>
      </c>
      <c r="F16" s="183">
        <v>0</v>
      </c>
      <c r="G16" s="183">
        <v>0</v>
      </c>
      <c r="H16" s="183">
        <v>0</v>
      </c>
      <c r="I16" s="183">
        <v>0</v>
      </c>
      <c r="J16" s="183">
        <v>6060</v>
      </c>
      <c r="K16" s="183">
        <v>0</v>
      </c>
      <c r="L16" s="183">
        <v>0</v>
      </c>
      <c r="M16" s="203">
        <f t="shared" si="6"/>
        <v>673.333333333333</v>
      </c>
      <c r="N16" s="203">
        <f t="shared" si="7"/>
        <v>748.148148148148</v>
      </c>
      <c r="O16" s="204">
        <f t="shared" si="3"/>
        <v>19998.2614814815</v>
      </c>
      <c r="P16" s="160">
        <v>19998.2614814815</v>
      </c>
      <c r="U16" s="207"/>
      <c r="V16" s="207"/>
    </row>
    <row r="17" s="155" customFormat="1" ht="28.5" customHeight="1" spans="1:22">
      <c r="A17" s="167" t="s">
        <v>150</v>
      </c>
      <c r="B17" s="168"/>
      <c r="C17" s="174">
        <f t="shared" ref="C17:O17" si="8">SUBTOTAL(9,C4,C8,C9,C11,C13,C14,C15,C16)</f>
        <v>1804212.4532</v>
      </c>
      <c r="D17" s="174">
        <f t="shared" si="8"/>
        <v>1200343.2432</v>
      </c>
      <c r="E17" s="174">
        <f t="shared" si="8"/>
        <v>1295620.1332</v>
      </c>
      <c r="F17" s="174">
        <f t="shared" si="8"/>
        <v>1260212.4332</v>
      </c>
      <c r="G17" s="174">
        <f t="shared" si="8"/>
        <v>1255770.29</v>
      </c>
      <c r="H17" s="174">
        <f t="shared" si="8"/>
        <v>1485099.23</v>
      </c>
      <c r="I17" s="174">
        <f t="shared" si="8"/>
        <v>1267229.48</v>
      </c>
      <c r="J17" s="174">
        <f t="shared" si="8"/>
        <v>1241051.38</v>
      </c>
      <c r="K17" s="174">
        <f t="shared" si="8"/>
        <v>1265562.61</v>
      </c>
      <c r="L17" s="195">
        <f t="shared" si="8"/>
        <v>1265634.16142222</v>
      </c>
      <c r="M17" s="195">
        <f t="shared" si="8"/>
        <v>1281835.88455802</v>
      </c>
      <c r="N17" s="195">
        <f t="shared" si="8"/>
        <v>1290890.62248669</v>
      </c>
      <c r="O17" s="174">
        <f t="shared" si="8"/>
        <v>15913461.9212669</v>
      </c>
      <c r="P17" s="160">
        <v>15913461.9212669</v>
      </c>
      <c r="U17" s="216">
        <f>SUM(U5:U16)</f>
        <v>15516884.4585646</v>
      </c>
      <c r="V17" s="207"/>
    </row>
    <row r="18" spans="3:15">
      <c r="C18" s="157">
        <f>C7+C11</f>
        <v>646112.93</v>
      </c>
      <c r="O18" s="205">
        <f>O17-O13-O15-O16</f>
        <v>15403889.9592916</v>
      </c>
    </row>
  </sheetData>
  <sheetProtection formatCells="0" insertHyperlinks="0" autoFilter="0"/>
  <mergeCells count="2">
    <mergeCell ref="A1:O1"/>
    <mergeCell ref="Q5:Q6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1"/>
  <sheetViews>
    <sheetView zoomScale="92" zoomScaleNormal="92" workbookViewId="0">
      <pane xSplit="1" topLeftCell="B1" activePane="topRight" state="frozen"/>
      <selection/>
      <selection pane="topRight" activeCell="I9" sqref="I9"/>
    </sheetView>
  </sheetViews>
  <sheetFormatPr defaultColWidth="9.14285714285714" defaultRowHeight="17.6"/>
  <cols>
    <col min="1" max="1" width="28.6160714285714" style="11" customWidth="1"/>
    <col min="2" max="2" width="17.2946428571429" style="11" customWidth="1"/>
    <col min="3" max="3" width="17.2946428571429" customWidth="1"/>
    <col min="4" max="5" width="17.2946428571429" style="11" customWidth="1"/>
    <col min="6" max="6" width="17.625" style="11" customWidth="1"/>
    <col min="7" max="11" width="17.625" customWidth="1"/>
    <col min="12" max="12" width="21.9910714285714" customWidth="1"/>
    <col min="13" max="13" width="13.5892857142857" customWidth="1"/>
    <col min="14" max="14" width="12.6160714285714" customWidth="1"/>
    <col min="15" max="15" width="13.7410714285714" customWidth="1"/>
    <col min="16" max="16" width="16.8214285714286" customWidth="1"/>
    <col min="17" max="17" width="15.5267857142857" customWidth="1"/>
    <col min="18" max="18" width="18.4732142857143" customWidth="1"/>
    <col min="19" max="19" width="13.0982142857143" customWidth="1"/>
  </cols>
  <sheetData>
    <row r="1" s="83" customFormat="1" ht="29" customHeight="1" spans="1:2">
      <c r="A1" s="86" t="s">
        <v>151</v>
      </c>
      <c r="B1" s="86"/>
    </row>
    <row r="2" ht="18" customHeight="1" spans="1:5">
      <c r="A2" s="87" t="s">
        <v>152</v>
      </c>
      <c r="B2" s="88">
        <f>'5_2024年公司薪酬包基线'!AA4</f>
        <v>0</v>
      </c>
      <c r="D2" s="89"/>
      <c r="E2" s="89"/>
    </row>
    <row r="3" ht="18" customHeight="1" spans="1:2">
      <c r="A3" s="87" t="s">
        <v>153</v>
      </c>
      <c r="B3" s="90" t="e">
        <f>'5_2024年公司薪酬包基线'!U4-'5_2024年公司薪酬包基线'!Y4</f>
        <v>#VALUE!</v>
      </c>
    </row>
    <row r="4" ht="18" customHeight="1" spans="1:5">
      <c r="A4" s="87" t="s">
        <v>154</v>
      </c>
      <c r="B4" s="91" t="e">
        <f>B3-D17</f>
        <v>#VALUE!</v>
      </c>
      <c r="D4" s="92"/>
      <c r="E4" s="92"/>
    </row>
    <row r="5" ht="18" customHeight="1" spans="1:6">
      <c r="A5" s="87" t="s">
        <v>155</v>
      </c>
      <c r="B5" s="93" t="e">
        <f>B4/E16</f>
        <v>#VALUE!</v>
      </c>
      <c r="F5" s="93"/>
    </row>
    <row r="6" ht="18" customHeight="1" spans="1:12">
      <c r="A6" s="87" t="s">
        <v>156</v>
      </c>
      <c r="B6" s="93">
        <f>'5_2024年公司薪酬包基线'!T4*0.55/B7</f>
        <v>0</v>
      </c>
      <c r="H6" s="114"/>
      <c r="I6" s="114"/>
      <c r="J6" s="114"/>
      <c r="K6" s="114"/>
      <c r="L6" s="114"/>
    </row>
    <row r="7" ht="18" customHeight="1" spans="1:12">
      <c r="A7" s="87" t="s">
        <v>157</v>
      </c>
      <c r="B7" s="94">
        <v>9904000</v>
      </c>
      <c r="H7" s="114"/>
      <c r="I7" s="114"/>
      <c r="J7" s="114"/>
      <c r="K7" s="114"/>
      <c r="L7" s="114"/>
    </row>
    <row r="8" ht="25" customHeight="1" spans="1:19">
      <c r="A8" s="95" t="s">
        <v>158</v>
      </c>
      <c r="B8" s="95" t="s">
        <v>159</v>
      </c>
      <c r="C8" s="95" t="s">
        <v>160</v>
      </c>
      <c r="D8" s="95" t="s">
        <v>161</v>
      </c>
      <c r="E8" s="95" t="s">
        <v>162</v>
      </c>
      <c r="F8" s="95" t="s">
        <v>163</v>
      </c>
      <c r="G8" s="95" t="s">
        <v>164</v>
      </c>
      <c r="H8" s="95" t="s">
        <v>165</v>
      </c>
      <c r="I8" s="95" t="s">
        <v>166</v>
      </c>
      <c r="J8" s="95" t="s">
        <v>167</v>
      </c>
      <c r="K8" s="95" t="s">
        <v>168</v>
      </c>
      <c r="L8" s="129" t="s">
        <v>169</v>
      </c>
      <c r="M8" s="4" t="s">
        <v>170</v>
      </c>
      <c r="N8" s="4" t="s">
        <v>171</v>
      </c>
      <c r="O8" s="4" t="s">
        <v>172</v>
      </c>
      <c r="P8" s="4" t="s">
        <v>173</v>
      </c>
      <c r="Q8" s="146" t="s">
        <v>174</v>
      </c>
      <c r="R8" s="147" t="s">
        <v>175</v>
      </c>
      <c r="S8" s="147" t="s">
        <v>176</v>
      </c>
    </row>
    <row r="9" ht="25" customHeight="1" spans="1:19">
      <c r="A9" s="96"/>
      <c r="B9" s="32">
        <v>20</v>
      </c>
      <c r="C9" s="97">
        <f>B9</f>
        <v>20</v>
      </c>
      <c r="D9" s="98" t="e">
        <f>#REF!*$B$6</f>
        <v>#REF!</v>
      </c>
      <c r="E9" s="98"/>
      <c r="F9" s="115" t="e">
        <f>D9*$B$5</f>
        <v>#REF!</v>
      </c>
      <c r="G9" s="116" t="e">
        <f>F9/$B$3</f>
        <v>#REF!</v>
      </c>
      <c r="H9" s="7" t="e">
        <f>F9/C9</f>
        <v>#REF!</v>
      </c>
      <c r="I9" s="7"/>
      <c r="J9" s="7"/>
      <c r="K9" s="7"/>
      <c r="L9" s="7" t="e">
        <f>H9+K9</f>
        <v>#REF!</v>
      </c>
      <c r="M9" s="130">
        <v>1.2</v>
      </c>
      <c r="N9" s="130">
        <v>1</v>
      </c>
      <c r="O9" s="130">
        <v>1</v>
      </c>
      <c r="P9" s="130"/>
      <c r="Q9" s="148" t="e">
        <f>#REF!</f>
        <v>#REF!</v>
      </c>
      <c r="R9" s="149" t="e">
        <f>#REF!/Q9</f>
        <v>#REF!</v>
      </c>
      <c r="S9" s="150"/>
    </row>
    <row r="10" ht="25" customHeight="1" spans="1:19">
      <c r="A10" s="96"/>
      <c r="B10" s="32">
        <v>2</v>
      </c>
      <c r="C10" s="97">
        <f>B10</f>
        <v>2</v>
      </c>
      <c r="D10" s="98" t="e">
        <f>#REF!*$B$6</f>
        <v>#REF!</v>
      </c>
      <c r="E10" s="98"/>
      <c r="F10" s="115" t="e">
        <f>D10*$B$5</f>
        <v>#REF!</v>
      </c>
      <c r="G10" s="116" t="e">
        <f>F10/$B$3</f>
        <v>#REF!</v>
      </c>
      <c r="H10" s="7" t="e">
        <f t="shared" ref="H10:H26" si="0">F10/C10</f>
        <v>#REF!</v>
      </c>
      <c r="I10" s="7"/>
      <c r="J10" s="7"/>
      <c r="K10" s="7"/>
      <c r="L10" s="7" t="e">
        <f t="shared" ref="L10:L16" si="1">H10+K10</f>
        <v>#REF!</v>
      </c>
      <c r="M10" s="130">
        <v>1.2</v>
      </c>
      <c r="N10" s="130">
        <v>1</v>
      </c>
      <c r="O10" s="130">
        <v>1</v>
      </c>
      <c r="P10" s="130"/>
      <c r="Q10" s="148" t="e">
        <f>#REF!</f>
        <v>#REF!</v>
      </c>
      <c r="R10" s="149" t="e">
        <f>#REF!/Q10</f>
        <v>#REF!</v>
      </c>
      <c r="S10" s="150"/>
    </row>
    <row r="11" ht="25" customHeight="1" spans="1:19">
      <c r="A11" s="96"/>
      <c r="B11" s="32">
        <v>1</v>
      </c>
      <c r="C11" s="97">
        <f>B11</f>
        <v>1</v>
      </c>
      <c r="D11" s="98" t="e">
        <f>#REF!*$B$6</f>
        <v>#REF!</v>
      </c>
      <c r="E11" s="98"/>
      <c r="F11" s="115" t="e">
        <f>D11*$B$5</f>
        <v>#REF!</v>
      </c>
      <c r="G11" s="116" t="e">
        <f>F11/$B$3</f>
        <v>#REF!</v>
      </c>
      <c r="H11" s="7" t="e">
        <f t="shared" si="0"/>
        <v>#REF!</v>
      </c>
      <c r="I11" s="7"/>
      <c r="J11" s="7"/>
      <c r="K11" s="7"/>
      <c r="L11" s="7" t="e">
        <f t="shared" si="1"/>
        <v>#REF!</v>
      </c>
      <c r="M11" s="130">
        <v>1.2</v>
      </c>
      <c r="N11" s="130">
        <v>1</v>
      </c>
      <c r="O11" s="130">
        <v>1</v>
      </c>
      <c r="P11" s="130"/>
      <c r="Q11" s="148" t="e">
        <f>#REF!</f>
        <v>#REF!</v>
      </c>
      <c r="R11" s="149" t="e">
        <f>#REF!/Q11</f>
        <v>#REF!</v>
      </c>
      <c r="S11" s="150"/>
    </row>
    <row r="12" ht="25" customHeight="1" spans="1:19">
      <c r="A12" s="96"/>
      <c r="B12" s="32">
        <v>2</v>
      </c>
      <c r="C12" s="97">
        <f>B12</f>
        <v>2</v>
      </c>
      <c r="D12" s="98" t="e">
        <f>#REF!*$B$6</f>
        <v>#REF!</v>
      </c>
      <c r="E12" s="98"/>
      <c r="F12" s="115" t="e">
        <f>D12*$B$5</f>
        <v>#REF!</v>
      </c>
      <c r="G12" s="116" t="e">
        <f>F12/$B$3</f>
        <v>#REF!</v>
      </c>
      <c r="H12" s="7" t="e">
        <f t="shared" si="0"/>
        <v>#REF!</v>
      </c>
      <c r="I12" s="7"/>
      <c r="J12" s="7"/>
      <c r="K12" s="7"/>
      <c r="L12" s="7" t="e">
        <f t="shared" si="1"/>
        <v>#REF!</v>
      </c>
      <c r="M12" s="130">
        <v>1.2</v>
      </c>
      <c r="N12" s="130">
        <v>1</v>
      </c>
      <c r="O12" s="130">
        <v>1</v>
      </c>
      <c r="P12" s="130"/>
      <c r="Q12" s="148" t="e">
        <f>#REF!</f>
        <v>#REF!</v>
      </c>
      <c r="R12" s="149" t="e">
        <f>#REF!/Q12</f>
        <v>#REF!</v>
      </c>
      <c r="S12" s="150"/>
    </row>
    <row r="13" s="77" customFormat="1" ht="25" customHeight="1" spans="1:19">
      <c r="A13" s="99"/>
      <c r="B13" s="100">
        <v>1</v>
      </c>
      <c r="C13" s="101">
        <f>B13</f>
        <v>1</v>
      </c>
      <c r="D13" s="98" t="e">
        <f>#REF!*$B$6</f>
        <v>#REF!</v>
      </c>
      <c r="E13" s="98"/>
      <c r="F13" s="115" t="e">
        <f>D13*$B$5</f>
        <v>#REF!</v>
      </c>
      <c r="G13" s="117" t="e">
        <f>F13/$B$3</f>
        <v>#REF!</v>
      </c>
      <c r="H13" s="7" t="e">
        <f t="shared" si="0"/>
        <v>#REF!</v>
      </c>
      <c r="I13" s="7"/>
      <c r="J13" s="7"/>
      <c r="K13" s="7"/>
      <c r="L13" s="7" t="e">
        <f t="shared" si="1"/>
        <v>#REF!</v>
      </c>
      <c r="M13" s="131">
        <v>1.2</v>
      </c>
      <c r="N13" s="130">
        <v>1</v>
      </c>
      <c r="O13" s="131">
        <v>1</v>
      </c>
      <c r="P13" s="131"/>
      <c r="Q13" s="148" t="e">
        <f>#REF!</f>
        <v>#REF!</v>
      </c>
      <c r="R13" s="149" t="e">
        <f>#REF!/Q13</f>
        <v>#REF!</v>
      </c>
      <c r="S13" s="151"/>
    </row>
    <row r="14" s="77" customFormat="1" ht="25" customHeight="1" spans="1:19">
      <c r="A14" s="99"/>
      <c r="B14" s="100">
        <v>1</v>
      </c>
      <c r="C14" s="101">
        <f>B14</f>
        <v>1</v>
      </c>
      <c r="D14" s="98" t="e">
        <f>#REF!*$B$6</f>
        <v>#REF!</v>
      </c>
      <c r="E14" s="98"/>
      <c r="F14" s="115" t="e">
        <f>D14*$B$5</f>
        <v>#REF!</v>
      </c>
      <c r="G14" s="117" t="e">
        <f>F14/$B$3</f>
        <v>#REF!</v>
      </c>
      <c r="H14" s="7" t="e">
        <f t="shared" si="0"/>
        <v>#REF!</v>
      </c>
      <c r="I14" s="7"/>
      <c r="J14" s="7"/>
      <c r="K14" s="7"/>
      <c r="L14" s="7" t="e">
        <f t="shared" si="1"/>
        <v>#REF!</v>
      </c>
      <c r="M14" s="131">
        <v>1.2</v>
      </c>
      <c r="N14" s="130">
        <v>1</v>
      </c>
      <c r="O14" s="131">
        <v>1</v>
      </c>
      <c r="P14" s="131"/>
      <c r="Q14" s="148" t="e">
        <f>#REF!</f>
        <v>#REF!</v>
      </c>
      <c r="R14" s="149" t="e">
        <f>#REF!/Q14</f>
        <v>#REF!</v>
      </c>
      <c r="S14" s="151"/>
    </row>
    <row r="15" s="77" customFormat="1" ht="25" customHeight="1" spans="1:19">
      <c r="A15" s="102"/>
      <c r="B15" s="100">
        <v>5</v>
      </c>
      <c r="C15" s="101">
        <v>5</v>
      </c>
      <c r="D15" s="98" t="e">
        <f>#REF!*$B$6</f>
        <v>#REF!</v>
      </c>
      <c r="E15" s="98"/>
      <c r="F15" s="115" t="e">
        <f>D15*$B$5</f>
        <v>#REF!</v>
      </c>
      <c r="G15" s="117" t="e">
        <f>F15/$B$3</f>
        <v>#REF!</v>
      </c>
      <c r="H15" s="7" t="e">
        <f t="shared" si="0"/>
        <v>#REF!</v>
      </c>
      <c r="I15" s="7"/>
      <c r="J15" s="7"/>
      <c r="K15" s="7"/>
      <c r="L15" s="7" t="e">
        <f t="shared" si="1"/>
        <v>#REF!</v>
      </c>
      <c r="M15" s="131">
        <v>1</v>
      </c>
      <c r="N15" s="130">
        <v>1</v>
      </c>
      <c r="O15" s="131">
        <v>1</v>
      </c>
      <c r="P15" s="131"/>
      <c r="Q15" s="148" t="e">
        <f>#REF!</f>
        <v>#REF!</v>
      </c>
      <c r="R15" s="149" t="e">
        <f>#REF!/Q15</f>
        <v>#REF!</v>
      </c>
      <c r="S15" s="150"/>
    </row>
    <row r="16" s="84" customFormat="1" ht="25" customHeight="1" spans="1:19">
      <c r="A16" s="103" t="s">
        <v>177</v>
      </c>
      <c r="B16" s="103">
        <f>SUM(B9:B15)</f>
        <v>32</v>
      </c>
      <c r="C16" s="103">
        <f>SUM(C9:C15)</f>
        <v>32</v>
      </c>
      <c r="D16" s="104" t="e">
        <f>SUM(D9:D15)</f>
        <v>#REF!</v>
      </c>
      <c r="E16" s="104" t="e">
        <f>D16+SUM(E9:E15)</f>
        <v>#REF!</v>
      </c>
      <c r="F16" s="118" t="e">
        <f>SUM(F9:F15)</f>
        <v>#REF!</v>
      </c>
      <c r="G16" s="119" t="e">
        <f>SUM(G9:G15)</f>
        <v>#REF!</v>
      </c>
      <c r="H16" s="120" t="e">
        <f>F16/C16</f>
        <v>#REF!</v>
      </c>
      <c r="I16" s="120"/>
      <c r="J16" s="120"/>
      <c r="K16" s="120"/>
      <c r="L16" s="7" t="e">
        <f t="shared" si="1"/>
        <v>#REF!</v>
      </c>
      <c r="M16" s="103"/>
      <c r="N16" s="132"/>
      <c r="O16" s="132"/>
      <c r="P16" s="132"/>
      <c r="Q16" s="152"/>
      <c r="R16" s="119" t="e">
        <f>AVERAGE(R9:R15)</f>
        <v>#REF!</v>
      </c>
      <c r="S16" s="132"/>
    </row>
    <row r="17" s="77" customFormat="1" spans="1:19">
      <c r="A17" s="105" t="s">
        <v>178</v>
      </c>
      <c r="B17" s="106">
        <v>7</v>
      </c>
      <c r="C17" s="107">
        <v>7</v>
      </c>
      <c r="D17" s="108" t="e">
        <f>#REF!*$B$6</f>
        <v>#REF!</v>
      </c>
      <c r="E17" s="108"/>
      <c r="F17" s="108" t="e">
        <f>D17</f>
        <v>#REF!</v>
      </c>
      <c r="G17" s="121"/>
      <c r="H17" s="108" t="e">
        <f>F17/C17</f>
        <v>#REF!</v>
      </c>
      <c r="I17" s="108"/>
      <c r="J17" s="108"/>
      <c r="K17" s="108"/>
      <c r="L17" s="108"/>
      <c r="M17" s="107"/>
      <c r="N17" s="133"/>
      <c r="O17" s="107"/>
      <c r="P17" s="107"/>
      <c r="Q17" s="153"/>
      <c r="R17" s="154">
        <v>1.1</v>
      </c>
      <c r="S17" s="153"/>
    </row>
    <row r="19" s="83" customFormat="1" ht="29" customHeight="1" spans="1:15">
      <c r="A19" s="86" t="s">
        <v>179</v>
      </c>
      <c r="B19" s="86"/>
      <c r="N19" s="134"/>
      <c r="O19" s="134"/>
    </row>
    <row r="20" spans="14:16">
      <c r="N20" s="135"/>
      <c r="O20" s="135"/>
      <c r="P20" s="136"/>
    </row>
    <row r="21" customFormat="1" ht="23.2" spans="1:16">
      <c r="A21" s="95" t="s">
        <v>180</v>
      </c>
      <c r="B21" s="95">
        <v>1</v>
      </c>
      <c r="C21" s="95">
        <v>2</v>
      </c>
      <c r="D21" s="95">
        <v>3</v>
      </c>
      <c r="E21" s="95">
        <v>4</v>
      </c>
      <c r="F21" s="95"/>
      <c r="G21" s="95"/>
      <c r="H21" s="95"/>
      <c r="I21" s="95"/>
      <c r="J21" s="95"/>
      <c r="K21" s="95"/>
      <c r="L21" s="95"/>
      <c r="M21" s="137" t="s">
        <v>177</v>
      </c>
      <c r="N21" s="135"/>
      <c r="O21" s="138"/>
      <c r="P21" s="139"/>
    </row>
    <row r="22" customFormat="1" ht="53" spans="1:16">
      <c r="A22" s="109" t="s">
        <v>181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40"/>
      <c r="N22" s="135"/>
      <c r="O22" s="141"/>
      <c r="P22" s="142"/>
    </row>
    <row r="23" customFormat="1" ht="53" spans="1:16">
      <c r="A23" s="109" t="s">
        <v>182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40"/>
      <c r="N23" s="135"/>
      <c r="O23" s="141"/>
      <c r="P23" s="142"/>
    </row>
    <row r="24" customFormat="1" ht="20.4" spans="1:16">
      <c r="A24" s="111" t="s">
        <v>183</v>
      </c>
      <c r="B24" s="32"/>
      <c r="C24" s="32"/>
      <c r="D24" s="32"/>
      <c r="E24" s="32"/>
      <c r="F24" s="32"/>
      <c r="G24" s="122"/>
      <c r="H24" s="122"/>
      <c r="I24" s="122"/>
      <c r="J24" s="122"/>
      <c r="K24" s="122"/>
      <c r="L24" s="122"/>
      <c r="M24" s="140"/>
      <c r="N24" s="135"/>
      <c r="O24" s="141"/>
      <c r="P24" s="142"/>
    </row>
    <row r="25" s="85" customFormat="1" ht="28" customHeight="1" spans="1:16">
      <c r="A25" s="111" t="s">
        <v>184</v>
      </c>
      <c r="B25" s="112"/>
      <c r="C25" s="112"/>
      <c r="D25" s="112"/>
      <c r="E25" s="123"/>
      <c r="F25" s="124"/>
      <c r="G25" s="112"/>
      <c r="H25" s="112"/>
      <c r="I25" s="112"/>
      <c r="J25" s="112"/>
      <c r="K25" s="112"/>
      <c r="L25" s="112"/>
      <c r="M25" s="140"/>
      <c r="N25" s="143"/>
      <c r="O25" s="144"/>
      <c r="P25" s="145"/>
    </row>
    <row r="26" customFormat="1" spans="1:16">
      <c r="A26" s="111" t="s">
        <v>185</v>
      </c>
      <c r="B26" s="32"/>
      <c r="C26" s="32"/>
      <c r="D26" s="32"/>
      <c r="E26" s="125"/>
      <c r="F26" s="125"/>
      <c r="G26" s="125"/>
      <c r="H26" s="125"/>
      <c r="I26" s="125"/>
      <c r="J26" s="125"/>
      <c r="K26" s="125"/>
      <c r="L26" s="125"/>
      <c r="M26" s="6"/>
      <c r="N26" s="135"/>
      <c r="O26" s="141"/>
      <c r="P26" s="142"/>
    </row>
    <row r="27" customFormat="1" spans="1:16">
      <c r="A27" s="111" t="s">
        <v>186</v>
      </c>
      <c r="B27" s="113"/>
      <c r="C27" s="113"/>
      <c r="D27" s="113"/>
      <c r="E27" s="113"/>
      <c r="F27" s="126"/>
      <c r="G27" s="127"/>
      <c r="H27" s="127"/>
      <c r="I27" s="127"/>
      <c r="J27" s="127"/>
      <c r="K27" s="127"/>
      <c r="L27" s="127"/>
      <c r="M27" s="127"/>
      <c r="N27" s="135"/>
      <c r="O27" s="141"/>
      <c r="P27" s="142"/>
    </row>
    <row r="28" spans="7:16">
      <c r="G28" s="128"/>
      <c r="N28" s="135"/>
      <c r="O28" s="141"/>
      <c r="P28" s="142"/>
    </row>
    <row r="29" spans="2:16">
      <c r="B29" s="87"/>
      <c r="G29" s="128"/>
      <c r="N29" s="135"/>
      <c r="O29" s="141"/>
      <c r="P29" s="142"/>
    </row>
    <row r="30" spans="2:16">
      <c r="B30" s="87"/>
      <c r="G30" s="128"/>
      <c r="N30" s="135"/>
      <c r="O30" s="141"/>
      <c r="P30" s="142"/>
    </row>
    <row r="31" spans="14:16">
      <c r="N31" s="135"/>
      <c r="O31" s="141"/>
      <c r="P31" s="142"/>
    </row>
    <row r="32" spans="14:16">
      <c r="N32" s="135"/>
      <c r="O32" s="141"/>
      <c r="P32" s="142"/>
    </row>
    <row r="33" spans="14:16">
      <c r="N33" s="135"/>
      <c r="O33" s="141"/>
      <c r="P33" s="142"/>
    </row>
    <row r="34" spans="14:16">
      <c r="N34" s="135"/>
      <c r="O34" s="141"/>
      <c r="P34" s="142"/>
    </row>
    <row r="35" spans="14:16">
      <c r="N35" s="135"/>
      <c r="O35" s="141"/>
      <c r="P35" s="142"/>
    </row>
    <row r="36" spans="14:16">
      <c r="N36" s="135"/>
      <c r="O36" s="141"/>
      <c r="P36" s="142"/>
    </row>
    <row r="37" spans="14:16">
      <c r="N37" s="135"/>
      <c r="O37" s="141"/>
      <c r="P37" s="142"/>
    </row>
    <row r="38" spans="14:16">
      <c r="N38" s="135"/>
      <c r="O38" s="141"/>
      <c r="P38" s="142"/>
    </row>
    <row r="39" spans="14:16">
      <c r="N39" s="135"/>
      <c r="O39" s="141"/>
      <c r="P39" s="142"/>
    </row>
    <row r="40" spans="14:16">
      <c r="N40" s="135"/>
      <c r="O40" s="141"/>
      <c r="P40" s="142"/>
    </row>
    <row r="41" spans="14:16">
      <c r="N41" s="135"/>
      <c r="O41" s="141"/>
      <c r="P41" s="142"/>
    </row>
  </sheetData>
  <sheetProtection formatCells="0" insertHyperlinks="0" autoFilter="0"/>
  <mergeCells count="1">
    <mergeCell ref="E25:F25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6"/>
  <sheetViews>
    <sheetView zoomScale="90" zoomScaleNormal="90" workbookViewId="0">
      <pane xSplit="3" ySplit="1" topLeftCell="D2" activePane="bottomRight" state="frozen"/>
      <selection/>
      <selection pane="topRight"/>
      <selection pane="bottomLeft"/>
      <selection pane="bottomRight" activeCell="D12" sqref="D12"/>
    </sheetView>
  </sheetViews>
  <sheetFormatPr defaultColWidth="9.14285714285714" defaultRowHeight="17.6" outlineLevelRow="5"/>
  <cols>
    <col min="1" max="1" width="15.8571428571429" style="11" customWidth="1"/>
    <col min="2" max="2" width="17.0267857142857" customWidth="1"/>
    <col min="3" max="3" width="17.6696428571429" customWidth="1"/>
    <col min="4" max="4" width="45.7946428571429" customWidth="1"/>
    <col min="5" max="5" width="41.8571428571429" customWidth="1"/>
    <col min="6" max="6" width="38.4821428571429" customWidth="1"/>
    <col min="7" max="7" width="39.0535714285714" customWidth="1"/>
    <col min="8" max="9" width="13.5803571428571" customWidth="1"/>
    <col min="10" max="10" width="9.8125" customWidth="1"/>
    <col min="11" max="11" width="9.82142857142857" customWidth="1"/>
    <col min="12" max="12" width="13.6875" customWidth="1"/>
    <col min="13" max="14" width="15.3214285714286" customWidth="1"/>
    <col min="15" max="15" width="10.5625" customWidth="1"/>
    <col min="16" max="16" width="14.5803571428571" customWidth="1"/>
    <col min="17" max="26" width="6.39285714285714" hidden="1" customWidth="1" outlineLevel="1"/>
    <col min="27" max="27" width="6.54464285714286" hidden="1" customWidth="1" outlineLevel="1"/>
    <col min="28" max="28" width="6.39285714285714" hidden="1" customWidth="1" outlineLevel="1"/>
    <col min="29" max="33" width="6.54464285714286" hidden="1" customWidth="1" outlineLevel="1"/>
    <col min="34" max="34" width="12.3482142857143" customWidth="1" collapsed="1"/>
    <col min="35" max="35" width="13.25" customWidth="1"/>
    <col min="36" max="36" width="17.2589285714286" customWidth="1"/>
    <col min="37" max="44" width="16.0625" customWidth="1"/>
    <col min="45" max="46" width="20.0803571428571" customWidth="1"/>
    <col min="47" max="47" width="16.3660714285714" customWidth="1"/>
  </cols>
  <sheetData>
    <row r="1" ht="34" customHeight="1" spans="1:47">
      <c r="A1" s="72" t="s">
        <v>187</v>
      </c>
      <c r="B1" s="72"/>
      <c r="C1" s="72"/>
      <c r="D1" s="72"/>
      <c r="E1" s="72"/>
      <c r="F1" s="72"/>
      <c r="G1" s="72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1" t="s">
        <v>188</v>
      </c>
      <c r="AL1" s="71"/>
      <c r="AM1" s="71"/>
      <c r="AN1" s="71"/>
      <c r="AO1" s="71"/>
      <c r="AP1" s="71"/>
      <c r="AQ1" s="71"/>
      <c r="AR1" s="71"/>
      <c r="AS1" s="80" t="s">
        <v>189</v>
      </c>
      <c r="AT1" s="80"/>
      <c r="AU1" s="80"/>
    </row>
    <row r="2" ht="91" customHeight="1" spans="1:47">
      <c r="A2" s="51" t="s">
        <v>190</v>
      </c>
      <c r="B2" s="51" t="s">
        <v>191</v>
      </c>
      <c r="C2" s="51" t="s">
        <v>192</v>
      </c>
      <c r="D2" s="51" t="s">
        <v>193</v>
      </c>
      <c r="E2" s="51" t="s">
        <v>194</v>
      </c>
      <c r="F2" s="51" t="s">
        <v>195</v>
      </c>
      <c r="G2" s="74" t="s">
        <v>196</v>
      </c>
      <c r="H2" s="74" t="s">
        <v>197</v>
      </c>
      <c r="I2" s="74" t="s">
        <v>198</v>
      </c>
      <c r="J2" s="74" t="s">
        <v>199</v>
      </c>
      <c r="K2" s="74" t="s">
        <v>200</v>
      </c>
      <c r="L2" s="51" t="s">
        <v>201</v>
      </c>
      <c r="M2" s="51" t="s">
        <v>202</v>
      </c>
      <c r="N2" s="51" t="s">
        <v>203</v>
      </c>
      <c r="O2" s="51" t="s">
        <v>204</v>
      </c>
      <c r="P2" s="74" t="s">
        <v>205</v>
      </c>
      <c r="Q2" s="51" t="s">
        <v>206</v>
      </c>
      <c r="R2" s="51" t="s">
        <v>207</v>
      </c>
      <c r="S2" s="51" t="s">
        <v>208</v>
      </c>
      <c r="T2" s="51" t="s">
        <v>209</v>
      </c>
      <c r="U2" s="51" t="s">
        <v>210</v>
      </c>
      <c r="V2" s="51" t="s">
        <v>211</v>
      </c>
      <c r="W2" s="51" t="s">
        <v>212</v>
      </c>
      <c r="X2" s="51" t="s">
        <v>213</v>
      </c>
      <c r="Y2" s="51" t="s">
        <v>214</v>
      </c>
      <c r="Z2" s="51" t="s">
        <v>215</v>
      </c>
      <c r="AA2" s="51" t="s">
        <v>216</v>
      </c>
      <c r="AB2" s="51" t="s">
        <v>217</v>
      </c>
      <c r="AC2" s="51" t="s">
        <v>218</v>
      </c>
      <c r="AD2" s="51" t="s">
        <v>219</v>
      </c>
      <c r="AE2" s="51" t="s">
        <v>220</v>
      </c>
      <c r="AF2" s="51" t="s">
        <v>221</v>
      </c>
      <c r="AG2" s="51" t="s">
        <v>222</v>
      </c>
      <c r="AH2" s="51" t="s">
        <v>161</v>
      </c>
      <c r="AI2" s="51" t="s">
        <v>223</v>
      </c>
      <c r="AJ2" s="74" t="s">
        <v>224</v>
      </c>
      <c r="AK2" s="71" t="s">
        <v>225</v>
      </c>
      <c r="AL2" s="71" t="s">
        <v>226</v>
      </c>
      <c r="AM2" s="71" t="s">
        <v>227</v>
      </c>
      <c r="AN2" s="78" t="s">
        <v>228</v>
      </c>
      <c r="AO2" s="79" t="s">
        <v>229</v>
      </c>
      <c r="AP2" s="79" t="s">
        <v>230</v>
      </c>
      <c r="AQ2" s="71" t="s">
        <v>100</v>
      </c>
      <c r="AR2" s="79" t="s">
        <v>231</v>
      </c>
      <c r="AS2" s="81" t="s">
        <v>232</v>
      </c>
      <c r="AT2" s="82" t="s">
        <v>233</v>
      </c>
      <c r="AU2" s="80" t="s">
        <v>234</v>
      </c>
    </row>
    <row r="3" customFormat="1" spans="1:35">
      <c r="A3" s="11"/>
      <c r="J3" s="75"/>
      <c r="M3" s="76"/>
      <c r="N3" s="76"/>
      <c r="O3" s="76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 customFormat="1" spans="1:15">
      <c r="A4" s="11"/>
      <c r="J4" s="75"/>
      <c r="M4" s="76"/>
      <c r="N4" s="76"/>
      <c r="O4" s="76"/>
    </row>
    <row r="5" customFormat="1" spans="1:16">
      <c r="A5" s="11"/>
      <c r="J5" s="75"/>
      <c r="M5" s="76"/>
      <c r="N5" s="76"/>
      <c r="O5" s="76"/>
      <c r="P5" s="77"/>
    </row>
    <row r="6" customFormat="1" spans="1:16">
      <c r="A6" s="11"/>
      <c r="P6" s="77"/>
    </row>
  </sheetData>
  <sheetProtection formatCells="0" insertHyperlinks="0" autoFilter="0"/>
  <mergeCells count="3">
    <mergeCell ref="A1:G1"/>
    <mergeCell ref="AK1:AR1"/>
    <mergeCell ref="AS1:AU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19" sqref="B19"/>
    </sheetView>
  </sheetViews>
  <sheetFormatPr defaultColWidth="9.14285714285714" defaultRowHeight="17.6"/>
  <cols>
    <col min="1" max="1" width="32.8303571428571" customWidth="1"/>
    <col min="2" max="2" width="21.4553571428571" customWidth="1"/>
    <col min="3" max="3" width="18.4464285714286" customWidth="1"/>
    <col min="4" max="4" width="11.4553571428571" customWidth="1"/>
    <col min="5" max="8" width="12.1964285714286" customWidth="1"/>
    <col min="9" max="9" width="11.75" customWidth="1"/>
    <col min="11" max="11" width="17" customWidth="1"/>
  </cols>
  <sheetData>
    <row r="1" ht="35" customHeight="1" spans="1:9">
      <c r="A1" s="51" t="s">
        <v>235</v>
      </c>
      <c r="B1" s="51" t="s">
        <v>236</v>
      </c>
      <c r="C1" s="52" t="s">
        <v>237</v>
      </c>
      <c r="D1" s="51" t="s">
        <v>238</v>
      </c>
      <c r="E1" s="51" t="s">
        <v>239</v>
      </c>
      <c r="F1" s="51" t="s">
        <v>240</v>
      </c>
      <c r="G1" s="51" t="s">
        <v>241</v>
      </c>
      <c r="H1" s="71" t="s">
        <v>242</v>
      </c>
      <c r="I1" s="71" t="s">
        <v>243</v>
      </c>
    </row>
    <row r="2" spans="1:9">
      <c r="A2" s="53" t="s">
        <v>244</v>
      </c>
      <c r="B2" s="54" t="s">
        <v>245</v>
      </c>
      <c r="C2" s="55">
        <v>112</v>
      </c>
      <c r="D2" s="6"/>
      <c r="E2" s="6"/>
      <c r="F2" s="6"/>
      <c r="G2" s="6"/>
      <c r="H2" s="6"/>
      <c r="I2" s="6"/>
    </row>
    <row r="3" spans="1:9">
      <c r="A3" s="6" t="s">
        <v>246</v>
      </c>
      <c r="B3" s="54">
        <v>2</v>
      </c>
      <c r="C3" s="56"/>
      <c r="D3" s="6"/>
      <c r="E3" s="6"/>
      <c r="F3" s="6"/>
      <c r="G3" s="6"/>
      <c r="I3" s="6"/>
    </row>
    <row r="4" spans="1:9">
      <c r="A4" s="6" t="s">
        <v>247</v>
      </c>
      <c r="B4" s="54">
        <v>3</v>
      </c>
      <c r="C4" s="56"/>
      <c r="D4" s="6"/>
      <c r="E4" s="6"/>
      <c r="F4" s="6"/>
      <c r="G4" s="6"/>
      <c r="H4" s="6"/>
      <c r="I4" s="6"/>
    </row>
    <row r="5" spans="1:9">
      <c r="A5" s="6" t="s">
        <v>248</v>
      </c>
      <c r="B5" s="54">
        <v>4</v>
      </c>
      <c r="C5" s="56"/>
      <c r="D5" s="6"/>
      <c r="E5" s="6"/>
      <c r="F5" s="6"/>
      <c r="G5" s="6"/>
      <c r="H5" s="6"/>
      <c r="I5" s="6"/>
    </row>
    <row r="6" spans="1:9">
      <c r="A6" s="53" t="s">
        <v>249</v>
      </c>
      <c r="B6" s="6" t="s">
        <v>250</v>
      </c>
      <c r="C6" s="57"/>
      <c r="D6" s="58"/>
      <c r="E6" s="6"/>
      <c r="F6" s="6"/>
      <c r="G6" s="6"/>
      <c r="H6" s="6"/>
      <c r="I6" s="6"/>
    </row>
    <row r="7" spans="1:9">
      <c r="A7" s="6" t="s">
        <v>251</v>
      </c>
      <c r="B7" s="54">
        <v>6</v>
      </c>
      <c r="C7" s="59"/>
      <c r="D7" s="13"/>
      <c r="E7" s="6"/>
      <c r="F7" s="6"/>
      <c r="G7" s="6"/>
      <c r="H7" s="6"/>
      <c r="I7" s="6"/>
    </row>
    <row r="8" spans="1:9">
      <c r="A8" s="6" t="s">
        <v>252</v>
      </c>
      <c r="B8" s="54">
        <v>7</v>
      </c>
      <c r="C8" s="59"/>
      <c r="D8" s="6"/>
      <c r="E8" s="6"/>
      <c r="F8" s="6"/>
      <c r="G8" s="6"/>
      <c r="H8" s="6"/>
      <c r="I8" s="6"/>
    </row>
    <row r="9" spans="1:9">
      <c r="A9" s="6" t="s">
        <v>253</v>
      </c>
      <c r="B9" s="54">
        <v>8</v>
      </c>
      <c r="C9" s="60"/>
      <c r="D9" s="6"/>
      <c r="E9" s="6"/>
      <c r="F9" s="6"/>
      <c r="G9" s="6"/>
      <c r="H9" s="6"/>
      <c r="I9" s="6"/>
    </row>
    <row r="10" spans="1:9">
      <c r="A10" s="53" t="s">
        <v>254</v>
      </c>
      <c r="B10" s="54">
        <v>9</v>
      </c>
      <c r="C10" s="57"/>
      <c r="D10" s="61"/>
      <c r="E10" s="6"/>
      <c r="F10" s="6"/>
      <c r="G10" s="6"/>
      <c r="H10" s="6"/>
      <c r="I10" s="6"/>
    </row>
    <row r="11" spans="1:9">
      <c r="A11" s="6" t="s">
        <v>251</v>
      </c>
      <c r="B11" s="54" t="s">
        <v>255</v>
      </c>
      <c r="C11" s="59"/>
      <c r="D11" s="6"/>
      <c r="E11" s="6"/>
      <c r="F11" s="6"/>
      <c r="G11" s="6"/>
      <c r="H11" s="6"/>
      <c r="I11" s="6"/>
    </row>
    <row r="12" spans="1:9">
      <c r="A12" s="6" t="s">
        <v>256</v>
      </c>
      <c r="B12" s="54" t="s">
        <v>257</v>
      </c>
      <c r="C12" s="59"/>
      <c r="D12" s="6"/>
      <c r="E12" s="6"/>
      <c r="F12" s="6"/>
      <c r="G12" s="6"/>
      <c r="H12" s="6"/>
      <c r="I12" s="6"/>
    </row>
    <row r="13" spans="1:9">
      <c r="A13" s="53" t="s">
        <v>258</v>
      </c>
      <c r="B13" s="54" t="s">
        <v>259</v>
      </c>
      <c r="C13" s="57"/>
      <c r="D13" s="6"/>
      <c r="E13" s="6"/>
      <c r="F13" s="6"/>
      <c r="G13" s="6"/>
      <c r="H13" s="6"/>
      <c r="I13" s="6"/>
    </row>
    <row r="14" spans="1:9">
      <c r="A14" s="6" t="s">
        <v>260</v>
      </c>
      <c r="B14" s="54">
        <v>13</v>
      </c>
      <c r="C14" s="59"/>
      <c r="D14" s="6"/>
      <c r="E14" s="6"/>
      <c r="F14" s="6"/>
      <c r="G14" s="6"/>
      <c r="H14" s="6"/>
      <c r="I14" s="6"/>
    </row>
    <row r="15" spans="1:9">
      <c r="A15" s="6" t="s">
        <v>261</v>
      </c>
      <c r="B15" s="54">
        <v>14</v>
      </c>
      <c r="C15" s="59"/>
      <c r="D15" s="6"/>
      <c r="E15" s="6"/>
      <c r="F15" s="6"/>
      <c r="G15" s="6"/>
      <c r="H15" s="6"/>
      <c r="I15" s="6"/>
    </row>
    <row r="16" spans="1:9">
      <c r="A16" s="6" t="s">
        <v>262</v>
      </c>
      <c r="B16" s="54">
        <v>15</v>
      </c>
      <c r="C16" s="59"/>
      <c r="D16" s="6"/>
      <c r="E16" s="6"/>
      <c r="F16" s="6"/>
      <c r="G16" s="6"/>
      <c r="H16" s="6"/>
      <c r="I16" s="6"/>
    </row>
    <row r="17" spans="1:9">
      <c r="A17" s="6" t="s">
        <v>263</v>
      </c>
      <c r="B17" s="54">
        <v>16</v>
      </c>
      <c r="C17" s="59"/>
      <c r="D17" s="6"/>
      <c r="E17" s="6"/>
      <c r="F17" s="6"/>
      <c r="G17" s="6"/>
      <c r="H17" s="6"/>
      <c r="I17" s="6"/>
    </row>
    <row r="18" spans="1:9">
      <c r="A18" s="53" t="s">
        <v>264</v>
      </c>
      <c r="B18" s="54">
        <v>17</v>
      </c>
      <c r="C18" s="57"/>
      <c r="D18" s="62"/>
      <c r="E18" s="6"/>
      <c r="F18" s="6"/>
      <c r="G18" s="6"/>
      <c r="H18" s="6"/>
      <c r="I18" s="6"/>
    </row>
    <row r="19" spans="1:9">
      <c r="A19" s="6" t="s">
        <v>265</v>
      </c>
      <c r="B19" s="54">
        <v>18</v>
      </c>
      <c r="C19" s="59"/>
      <c r="D19" s="6"/>
      <c r="E19" s="6"/>
      <c r="F19" s="6"/>
      <c r="G19" s="6"/>
      <c r="H19" s="6"/>
      <c r="I19" s="6"/>
    </row>
    <row r="20" spans="1:9">
      <c r="A20" s="6" t="s">
        <v>266</v>
      </c>
      <c r="B20" s="54">
        <v>19</v>
      </c>
      <c r="C20" s="59"/>
      <c r="D20" s="6"/>
      <c r="E20" s="6"/>
      <c r="F20" s="6"/>
      <c r="G20" s="6"/>
      <c r="H20" s="6"/>
      <c r="I20" s="6"/>
    </row>
    <row r="21" spans="1:9">
      <c r="A21" s="6" t="s">
        <v>267</v>
      </c>
      <c r="B21" s="54" t="s">
        <v>268</v>
      </c>
      <c r="C21" s="59"/>
      <c r="D21" s="6"/>
      <c r="E21" s="6"/>
      <c r="F21" s="6"/>
      <c r="G21" s="6"/>
      <c r="H21" s="6"/>
      <c r="I21" s="6"/>
    </row>
    <row r="22" spans="1:9">
      <c r="A22" s="53" t="s">
        <v>269</v>
      </c>
      <c r="B22" s="54"/>
      <c r="C22" s="56"/>
      <c r="D22" s="6"/>
      <c r="E22" s="6"/>
      <c r="F22" s="6"/>
      <c r="G22" s="6"/>
      <c r="H22" s="6"/>
      <c r="I22" s="6"/>
    </row>
    <row r="23" spans="1:9">
      <c r="A23" s="6" t="s">
        <v>270</v>
      </c>
      <c r="B23" s="54">
        <v>21</v>
      </c>
      <c r="C23" s="63"/>
      <c r="D23" s="6"/>
      <c r="E23" s="6"/>
      <c r="F23" s="6"/>
      <c r="G23" s="6"/>
      <c r="H23" s="6"/>
      <c r="I23" s="6"/>
    </row>
    <row r="24" spans="1:9">
      <c r="A24" s="6" t="s">
        <v>271</v>
      </c>
      <c r="B24" s="54">
        <v>22</v>
      </c>
      <c r="C24" s="64"/>
      <c r="D24" s="6"/>
      <c r="E24" s="6"/>
      <c r="F24" s="6"/>
      <c r="G24" s="6"/>
      <c r="H24" s="6"/>
      <c r="I24" s="6"/>
    </row>
    <row r="25" spans="1:9">
      <c r="A25" s="6" t="s">
        <v>272</v>
      </c>
      <c r="B25" s="54">
        <v>23</v>
      </c>
      <c r="C25" s="65"/>
      <c r="D25" s="6"/>
      <c r="E25" s="6"/>
      <c r="F25" s="6"/>
      <c r="G25" s="6"/>
      <c r="H25" s="6"/>
      <c r="I25" s="6"/>
    </row>
    <row r="26" spans="1:9">
      <c r="A26" s="6" t="s">
        <v>273</v>
      </c>
      <c r="B26" s="54">
        <v>24</v>
      </c>
      <c r="C26" s="64"/>
      <c r="D26" s="6"/>
      <c r="E26" s="6"/>
      <c r="F26" s="6"/>
      <c r="G26" s="6"/>
      <c r="H26" s="6"/>
      <c r="I26" s="6"/>
    </row>
    <row r="27" spans="1:9">
      <c r="A27" s="6" t="s">
        <v>274</v>
      </c>
      <c r="B27" s="54">
        <v>25</v>
      </c>
      <c r="C27" s="64"/>
      <c r="D27" s="6"/>
      <c r="E27" s="6"/>
      <c r="F27" s="6"/>
      <c r="G27" s="6"/>
      <c r="H27" s="6"/>
      <c r="I27" s="6"/>
    </row>
    <row r="28" spans="1:9">
      <c r="A28" s="6" t="s">
        <v>275</v>
      </c>
      <c r="B28" s="54">
        <v>26</v>
      </c>
      <c r="C28" s="64"/>
      <c r="D28" s="6"/>
      <c r="E28" s="6"/>
      <c r="F28" s="6"/>
      <c r="G28" s="6"/>
      <c r="H28" s="6"/>
      <c r="I28" s="6"/>
    </row>
    <row r="29" spans="1:9">
      <c r="A29" s="6" t="s">
        <v>276</v>
      </c>
      <c r="B29" s="54">
        <v>27</v>
      </c>
      <c r="C29" s="64"/>
      <c r="D29" s="6"/>
      <c r="E29" s="6"/>
      <c r="F29" s="6"/>
      <c r="G29" s="6"/>
      <c r="H29" s="6"/>
      <c r="I29" s="6"/>
    </row>
    <row r="30" spans="1:9">
      <c r="A30" s="6" t="s">
        <v>277</v>
      </c>
      <c r="B30" s="54">
        <v>28</v>
      </c>
      <c r="C30" s="63"/>
      <c r="D30" s="6"/>
      <c r="E30" s="6"/>
      <c r="F30" s="6"/>
      <c r="G30" s="6"/>
      <c r="H30" s="6"/>
      <c r="I30" s="6"/>
    </row>
    <row r="31" spans="1:9">
      <c r="A31" s="53" t="s">
        <v>278</v>
      </c>
      <c r="B31" s="6"/>
      <c r="C31" s="56"/>
      <c r="D31" s="62"/>
      <c r="E31" s="6"/>
      <c r="F31" s="6"/>
      <c r="G31" s="6"/>
      <c r="H31" s="6"/>
      <c r="I31" s="6"/>
    </row>
    <row r="32" spans="1:9">
      <c r="A32" s="6" t="s">
        <v>279</v>
      </c>
      <c r="B32" s="6" t="s">
        <v>280</v>
      </c>
      <c r="C32" s="66" t="e">
        <f>C13/C25</f>
        <v>#DIV/0!</v>
      </c>
      <c r="D32" s="6"/>
      <c r="E32" s="6"/>
      <c r="F32" s="6"/>
      <c r="G32" s="6"/>
      <c r="H32" s="6"/>
      <c r="I32" s="6"/>
    </row>
    <row r="33" spans="1:9">
      <c r="A33" s="54" t="s">
        <v>281</v>
      </c>
      <c r="B33" s="6" t="s">
        <v>282</v>
      </c>
      <c r="C33" s="66" t="e">
        <f>(C6+C18)/C25</f>
        <v>#DIV/0!</v>
      </c>
      <c r="D33" s="62"/>
      <c r="E33" s="6"/>
      <c r="F33" s="6"/>
      <c r="G33" s="6"/>
      <c r="H33" s="6"/>
      <c r="I33" s="6"/>
    </row>
    <row r="34" spans="1:9">
      <c r="A34" s="54" t="s">
        <v>283</v>
      </c>
      <c r="B34" s="6" t="s">
        <v>284</v>
      </c>
      <c r="C34" s="66" t="e">
        <f>(C6+C18)/C23</f>
        <v>#DIV/0!</v>
      </c>
      <c r="D34" s="62"/>
      <c r="E34" s="6"/>
      <c r="F34" s="6"/>
      <c r="G34" s="6"/>
      <c r="H34" s="6"/>
      <c r="I34" s="6"/>
    </row>
    <row r="35" spans="1:9">
      <c r="A35" s="6" t="s">
        <v>285</v>
      </c>
      <c r="B35" s="6" t="s">
        <v>286</v>
      </c>
      <c r="C35" s="66" t="e">
        <f>C30/C25</f>
        <v>#DIV/0!</v>
      </c>
      <c r="D35" s="6"/>
      <c r="E35" s="6"/>
      <c r="F35" s="6"/>
      <c r="G35" s="6"/>
      <c r="H35" s="6"/>
      <c r="I35" s="6"/>
    </row>
    <row r="36" spans="1:9">
      <c r="A36" s="6" t="s">
        <v>287</v>
      </c>
      <c r="B36" s="6" t="s">
        <v>288</v>
      </c>
      <c r="C36" s="59">
        <f>C23/C2</f>
        <v>0</v>
      </c>
      <c r="D36" s="62"/>
      <c r="E36" s="6"/>
      <c r="F36" s="6"/>
      <c r="G36" s="6"/>
      <c r="H36" s="6"/>
      <c r="I36" s="6"/>
    </row>
    <row r="37" spans="1:9">
      <c r="A37" s="6" t="s">
        <v>289</v>
      </c>
      <c r="B37" s="6" t="s">
        <v>290</v>
      </c>
      <c r="C37" s="59" t="e">
        <f>C30/C3</f>
        <v>#DIV/0!</v>
      </c>
      <c r="D37" s="6"/>
      <c r="E37" s="6"/>
      <c r="F37" s="6"/>
      <c r="G37" s="6"/>
      <c r="H37" s="6"/>
      <c r="I37" s="6"/>
    </row>
    <row r="38" s="50" customFormat="1" spans="1:3">
      <c r="A38" s="67" t="s">
        <v>291</v>
      </c>
      <c r="C38" s="68">
        <f>(C6+C18)/C2</f>
        <v>0</v>
      </c>
    </row>
    <row r="39" spans="4:4">
      <c r="D39" s="69"/>
    </row>
    <row r="40" spans="4:4">
      <c r="D40" s="69"/>
    </row>
    <row r="41" spans="3:3">
      <c r="C41" s="11"/>
    </row>
    <row r="42" spans="2:3">
      <c r="B42" s="69"/>
      <c r="C42" s="69"/>
    </row>
    <row r="43" spans="2:3">
      <c r="B43" s="69"/>
      <c r="C43" s="70"/>
    </row>
    <row r="44" spans="2:3">
      <c r="B44" s="69"/>
      <c r="C44" s="70"/>
    </row>
    <row r="45" spans="2:3">
      <c r="B45" s="69"/>
      <c r="C45" s="70"/>
    </row>
    <row r="46" spans="2:3">
      <c r="B46" s="69"/>
      <c r="C46" s="70"/>
    </row>
    <row r="47" spans="3:3">
      <c r="C47" s="70"/>
    </row>
    <row r="48" spans="3:3">
      <c r="C48" s="70"/>
    </row>
    <row r="49" spans="3:3">
      <c r="C49" s="70"/>
    </row>
    <row r="50" spans="3:3">
      <c r="C50" s="70"/>
    </row>
  </sheetData>
  <sheetProtection formatCells="0" insertHyperlinks="0" autoFilter="0"/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J8" sqref="J8"/>
    </sheetView>
  </sheetViews>
  <sheetFormatPr defaultColWidth="9.14285714285714" defaultRowHeight="17.6"/>
  <cols>
    <col min="1" max="1" width="22.1696428571429" customWidth="1"/>
    <col min="2" max="2" width="17.5535714285714" customWidth="1"/>
    <col min="3" max="3" width="18.1517857142857" customWidth="1"/>
    <col min="4" max="4" width="15.3214285714286" customWidth="1"/>
    <col min="5" max="5" width="17.8571428571429" customWidth="1"/>
    <col min="6" max="6" width="14.5892857142857" customWidth="1"/>
    <col min="7" max="7" width="15.9107142857143" customWidth="1"/>
    <col min="8" max="8" width="9.42857142857143"/>
    <col min="9" max="9" width="30.5" customWidth="1"/>
    <col min="10" max="10" width="19.4910714285714" customWidth="1"/>
  </cols>
  <sheetData>
    <row r="1" spans="1:9">
      <c r="A1" s="3" t="s">
        <v>292</v>
      </c>
      <c r="B1" s="3"/>
      <c r="C1" s="3"/>
      <c r="D1" s="3"/>
      <c r="E1" s="3"/>
      <c r="F1" s="3"/>
      <c r="G1" s="3"/>
      <c r="H1" s="3"/>
      <c r="I1" s="30" t="s">
        <v>293</v>
      </c>
    </row>
    <row r="2" s="1" customFormat="1" spans="1:9">
      <c r="A2" s="4" t="s">
        <v>294</v>
      </c>
      <c r="B2" s="4" t="s">
        <v>295</v>
      </c>
      <c r="C2" s="5" t="s">
        <v>296</v>
      </c>
      <c r="D2" s="5"/>
      <c r="E2" s="35" t="s">
        <v>297</v>
      </c>
      <c r="F2" s="36"/>
      <c r="G2" s="35" t="s">
        <v>298</v>
      </c>
      <c r="H2" s="37"/>
      <c r="I2" s="30"/>
    </row>
    <row r="3" spans="1:9">
      <c r="A3" s="6" t="s">
        <v>299</v>
      </c>
      <c r="B3" s="7">
        <v>100000000</v>
      </c>
      <c r="C3" s="8"/>
      <c r="D3" s="9"/>
      <c r="E3" s="9"/>
      <c r="F3" s="9"/>
      <c r="G3" s="9"/>
      <c r="H3" s="9"/>
      <c r="I3" s="43"/>
    </row>
    <row r="4" spans="1:9">
      <c r="A4" s="6" t="s">
        <v>300</v>
      </c>
      <c r="B4" s="7">
        <v>70000000</v>
      </c>
      <c r="C4" s="10"/>
      <c r="D4" s="11"/>
      <c r="E4" s="11"/>
      <c r="F4" s="11"/>
      <c r="G4" s="11"/>
      <c r="H4" s="11"/>
      <c r="I4" s="43"/>
    </row>
    <row r="5" spans="1:9">
      <c r="A5" s="6" t="s">
        <v>301</v>
      </c>
      <c r="B5" s="12">
        <v>10500000</v>
      </c>
      <c r="C5" s="10"/>
      <c r="D5" s="11"/>
      <c r="E5" s="11"/>
      <c r="F5" s="11"/>
      <c r="G5" s="11"/>
      <c r="H5" s="11"/>
      <c r="I5" s="43"/>
    </row>
    <row r="6" spans="1:9">
      <c r="A6" s="6" t="s">
        <v>302</v>
      </c>
      <c r="B6" s="13" t="s">
        <v>303</v>
      </c>
      <c r="C6" s="14"/>
      <c r="D6" s="15"/>
      <c r="E6" s="15"/>
      <c r="F6" s="15"/>
      <c r="G6" s="15"/>
      <c r="H6" s="15"/>
      <c r="I6" s="43"/>
    </row>
    <row r="7" s="2" customFormat="1" spans="1:9">
      <c r="A7" s="16" t="s">
        <v>304</v>
      </c>
      <c r="B7" s="17">
        <f>B4*0.75*0.07</f>
        <v>3675000</v>
      </c>
      <c r="C7" s="18" t="s">
        <v>305</v>
      </c>
      <c r="D7" s="19">
        <f>B4*7%*75%</f>
        <v>3675000</v>
      </c>
      <c r="E7" s="16" t="s">
        <v>305</v>
      </c>
      <c r="F7" s="17">
        <f>B4*80%*0.75*0.07</f>
        <v>2940000</v>
      </c>
      <c r="G7" s="18" t="s">
        <v>305</v>
      </c>
      <c r="H7" s="38">
        <f>B4*110%*0.75*0.07</f>
        <v>4042500</v>
      </c>
      <c r="I7" s="16" t="s">
        <v>306</v>
      </c>
    </row>
    <row r="8" spans="1:9">
      <c r="A8" s="6" t="s">
        <v>307</v>
      </c>
      <c r="B8" s="20" t="s">
        <v>308</v>
      </c>
      <c r="C8" s="21"/>
      <c r="D8" s="22"/>
      <c r="E8" s="21"/>
      <c r="F8" s="22"/>
      <c r="G8" s="21"/>
      <c r="H8" s="39"/>
      <c r="I8" s="43"/>
    </row>
    <row r="9" s="2" customFormat="1" spans="1:9">
      <c r="A9" s="23" t="s">
        <v>309</v>
      </c>
      <c r="B9" s="24" t="s">
        <v>310</v>
      </c>
      <c r="C9" s="23" t="s">
        <v>311</v>
      </c>
      <c r="D9" s="25">
        <f t="shared" ref="D9:H9" si="0">D10/D7</f>
        <v>0.6</v>
      </c>
      <c r="E9" s="23" t="s">
        <v>311</v>
      </c>
      <c r="F9" s="25">
        <f t="shared" si="0"/>
        <v>0.75</v>
      </c>
      <c r="G9" s="23" t="s">
        <v>311</v>
      </c>
      <c r="H9" s="40">
        <f t="shared" si="0"/>
        <v>0.545454545454545</v>
      </c>
      <c r="I9" s="23" t="s">
        <v>312</v>
      </c>
    </row>
    <row r="10" s="2" customFormat="1" spans="1:9">
      <c r="A10" s="26" t="s">
        <v>313</v>
      </c>
      <c r="B10" s="27">
        <f>B7*0.6</f>
        <v>2205000</v>
      </c>
      <c r="C10" s="26" t="s">
        <v>314</v>
      </c>
      <c r="D10" s="27">
        <f>B7*0.6</f>
        <v>2205000</v>
      </c>
      <c r="E10" s="26" t="s">
        <v>314</v>
      </c>
      <c r="F10" s="27">
        <f>D10</f>
        <v>2205000</v>
      </c>
      <c r="G10" s="26" t="s">
        <v>314</v>
      </c>
      <c r="H10" s="41">
        <f>F10</f>
        <v>2205000</v>
      </c>
      <c r="I10" s="26" t="s">
        <v>315</v>
      </c>
    </row>
    <row r="11" s="2" customFormat="1" spans="1:9">
      <c r="A11" s="23" t="s">
        <v>316</v>
      </c>
      <c r="B11" s="24" t="s">
        <v>317</v>
      </c>
      <c r="C11" s="23" t="s">
        <v>318</v>
      </c>
      <c r="D11" s="25">
        <f t="shared" ref="D11:H11" si="1">D12/D7</f>
        <v>0.4</v>
      </c>
      <c r="E11" s="23" t="s">
        <v>318</v>
      </c>
      <c r="F11" s="25">
        <f t="shared" si="1"/>
        <v>0.25</v>
      </c>
      <c r="G11" s="23" t="s">
        <v>318</v>
      </c>
      <c r="H11" s="40">
        <f t="shared" si="1"/>
        <v>0.454545454545455</v>
      </c>
      <c r="I11" s="23" t="s">
        <v>319</v>
      </c>
    </row>
    <row r="12" spans="1:9">
      <c r="A12" s="28" t="s">
        <v>320</v>
      </c>
      <c r="B12" s="29">
        <f>B7*0.4</f>
        <v>1470000</v>
      </c>
      <c r="C12" s="28" t="s">
        <v>321</v>
      </c>
      <c r="D12" s="29">
        <f t="shared" ref="D12:H12" si="2">D7-D10</f>
        <v>1470000</v>
      </c>
      <c r="E12" s="28" t="s">
        <v>321</v>
      </c>
      <c r="F12" s="29">
        <f t="shared" si="2"/>
        <v>735000</v>
      </c>
      <c r="G12" s="28" t="s">
        <v>321</v>
      </c>
      <c r="H12" s="42">
        <f t="shared" si="2"/>
        <v>1837500</v>
      </c>
      <c r="I12" s="44" t="s">
        <v>322</v>
      </c>
    </row>
    <row r="14" spans="1:10">
      <c r="A14" s="30" t="s">
        <v>323</v>
      </c>
      <c r="B14" s="30"/>
      <c r="C14" s="30"/>
      <c r="D14" s="30"/>
      <c r="E14" s="30"/>
      <c r="F14" s="30"/>
      <c r="G14" s="30"/>
      <c r="H14" s="30"/>
      <c r="I14" s="30" t="s">
        <v>293</v>
      </c>
      <c r="J14" s="45"/>
    </row>
    <row r="15" spans="1:10">
      <c r="A15" s="4" t="s">
        <v>294</v>
      </c>
      <c r="B15" s="4" t="s">
        <v>295</v>
      </c>
      <c r="C15" s="5" t="s">
        <v>296</v>
      </c>
      <c r="D15" s="5"/>
      <c r="E15" s="35" t="s">
        <v>297</v>
      </c>
      <c r="F15" s="36"/>
      <c r="G15" s="35" t="s">
        <v>298</v>
      </c>
      <c r="H15" s="37"/>
      <c r="I15" s="30"/>
      <c r="J15" s="4" t="s">
        <v>324</v>
      </c>
    </row>
    <row r="16" ht="20.4" spans="1:10">
      <c r="A16" s="6" t="s">
        <v>299</v>
      </c>
      <c r="B16" s="31">
        <v>520831727</v>
      </c>
      <c r="C16" s="32"/>
      <c r="D16" s="32"/>
      <c r="E16" s="32"/>
      <c r="F16" s="32"/>
      <c r="G16" s="32"/>
      <c r="H16" s="32"/>
      <c r="I16" s="46"/>
      <c r="J16" s="47" t="s">
        <v>325</v>
      </c>
    </row>
    <row r="17" ht="20.4" spans="1:10">
      <c r="A17" s="6" t="s">
        <v>300</v>
      </c>
      <c r="B17" s="31">
        <v>363352026.7</v>
      </c>
      <c r="C17" s="32"/>
      <c r="D17" s="32"/>
      <c r="E17" s="32"/>
      <c r="F17" s="32"/>
      <c r="G17" s="32"/>
      <c r="H17" s="32"/>
      <c r="I17" s="46"/>
      <c r="J17" s="48">
        <v>177726000</v>
      </c>
    </row>
    <row r="18" spans="1:10">
      <c r="A18" s="6" t="s">
        <v>301</v>
      </c>
      <c r="B18" s="33">
        <v>55571000</v>
      </c>
      <c r="C18" s="32"/>
      <c r="D18" s="32"/>
      <c r="E18" s="32"/>
      <c r="F18" s="32"/>
      <c r="G18" s="32"/>
      <c r="H18" s="32"/>
      <c r="I18" s="46"/>
      <c r="J18" s="49" t="s">
        <v>326</v>
      </c>
    </row>
    <row r="19" spans="1:10">
      <c r="A19" s="6" t="s">
        <v>302</v>
      </c>
      <c r="B19" s="34" t="s">
        <v>303</v>
      </c>
      <c r="C19" s="32"/>
      <c r="D19" s="32"/>
      <c r="E19" s="32"/>
      <c r="F19" s="32"/>
      <c r="G19" s="32"/>
      <c r="H19" s="32"/>
      <c r="I19" s="46"/>
      <c r="J19" s="13" t="s">
        <v>303</v>
      </c>
    </row>
    <row r="20" spans="1:10">
      <c r="A20" s="16" t="s">
        <v>304</v>
      </c>
      <c r="B20" s="17">
        <f>B17*0.75*0.07</f>
        <v>19075981.40175</v>
      </c>
      <c r="C20" s="18" t="s">
        <v>305</v>
      </c>
      <c r="D20" s="19">
        <f>B17*7%*75%</f>
        <v>19075981.40175</v>
      </c>
      <c r="E20" s="16" t="s">
        <v>305</v>
      </c>
      <c r="F20" s="17">
        <f>B17*80%*0.75*0.07</f>
        <v>15260785.1214</v>
      </c>
      <c r="G20" s="18" t="s">
        <v>305</v>
      </c>
      <c r="H20" s="38">
        <f>B17*110%*0.75*0.07</f>
        <v>20983579.541925</v>
      </c>
      <c r="I20" s="16" t="s">
        <v>306</v>
      </c>
      <c r="J20" s="17">
        <f>J17*0.75*0.07</f>
        <v>9330615</v>
      </c>
    </row>
    <row r="21" spans="1:10">
      <c r="A21" s="6" t="s">
        <v>307</v>
      </c>
      <c r="B21" s="20" t="s">
        <v>308</v>
      </c>
      <c r="C21" s="21"/>
      <c r="D21" s="22"/>
      <c r="E21" s="21"/>
      <c r="F21" s="22"/>
      <c r="G21" s="21"/>
      <c r="H21" s="39"/>
      <c r="I21" s="43"/>
      <c r="J21" s="20"/>
    </row>
    <row r="22" spans="1:10">
      <c r="A22" s="23" t="s">
        <v>309</v>
      </c>
      <c r="B22" s="24" t="s">
        <v>310</v>
      </c>
      <c r="C22" s="23" t="s">
        <v>311</v>
      </c>
      <c r="D22" s="25">
        <f t="shared" ref="D22:H22" si="3">D23/D20</f>
        <v>0.6</v>
      </c>
      <c r="E22" s="23" t="s">
        <v>311</v>
      </c>
      <c r="F22" s="25">
        <f t="shared" si="3"/>
        <v>0.75</v>
      </c>
      <c r="G22" s="23" t="s">
        <v>311</v>
      </c>
      <c r="H22" s="40">
        <f t="shared" si="3"/>
        <v>0.545454545454545</v>
      </c>
      <c r="I22" s="23" t="s">
        <v>312</v>
      </c>
      <c r="J22" s="25">
        <f>J23/J20</f>
        <v>1.36507614985722</v>
      </c>
    </row>
    <row r="23" spans="1:10">
      <c r="A23" s="26" t="s">
        <v>313</v>
      </c>
      <c r="B23" s="27">
        <f>B20*0.6</f>
        <v>11445588.84105</v>
      </c>
      <c r="C23" s="26" t="s">
        <v>314</v>
      </c>
      <c r="D23" s="27">
        <f>B20*0.6</f>
        <v>11445588.84105</v>
      </c>
      <c r="E23" s="26" t="s">
        <v>314</v>
      </c>
      <c r="F23" s="27">
        <f>D23</f>
        <v>11445588.84105</v>
      </c>
      <c r="G23" s="26" t="s">
        <v>314</v>
      </c>
      <c r="H23" s="41">
        <f>F23</f>
        <v>11445588.84105</v>
      </c>
      <c r="I23" s="26" t="s">
        <v>327</v>
      </c>
      <c r="J23" s="27">
        <v>12737000</v>
      </c>
    </row>
    <row r="24" spans="1:10">
      <c r="A24" s="23" t="s">
        <v>316</v>
      </c>
      <c r="B24" s="24" t="s">
        <v>317</v>
      </c>
      <c r="C24" s="23" t="s">
        <v>318</v>
      </c>
      <c r="D24" s="25">
        <f t="shared" ref="D24:H24" si="4">D25/D20</f>
        <v>0.4</v>
      </c>
      <c r="E24" s="23" t="s">
        <v>318</v>
      </c>
      <c r="F24" s="25">
        <f t="shared" si="4"/>
        <v>0.25</v>
      </c>
      <c r="G24" s="23" t="s">
        <v>318</v>
      </c>
      <c r="H24" s="40">
        <f t="shared" si="4"/>
        <v>0.454545454545455</v>
      </c>
      <c r="I24" s="23" t="s">
        <v>328</v>
      </c>
      <c r="J24" s="25">
        <f>J25/J20</f>
        <v>0.0964566644320873</v>
      </c>
    </row>
    <row r="25" spans="1:10">
      <c r="A25" s="28" t="s">
        <v>320</v>
      </c>
      <c r="B25" s="29">
        <f>B20*0.4</f>
        <v>7630392.5607</v>
      </c>
      <c r="C25" s="28" t="s">
        <v>321</v>
      </c>
      <c r="D25" s="29">
        <f t="shared" ref="D25:H25" si="5">D20-D23</f>
        <v>7630392.5607</v>
      </c>
      <c r="E25" s="28" t="s">
        <v>321</v>
      </c>
      <c r="F25" s="29">
        <f t="shared" si="5"/>
        <v>3815196.28035</v>
      </c>
      <c r="G25" s="28" t="s">
        <v>321</v>
      </c>
      <c r="H25" s="42">
        <f t="shared" si="5"/>
        <v>9537990.70087501</v>
      </c>
      <c r="I25" s="44" t="s">
        <v>329</v>
      </c>
      <c r="J25" s="29">
        <v>900000</v>
      </c>
    </row>
  </sheetData>
  <sheetProtection formatCells="0" insertHyperlinks="0" autoFilter="0"/>
  <mergeCells count="17">
    <mergeCell ref="A1:H1"/>
    <mergeCell ref="C2:D2"/>
    <mergeCell ref="E2:F2"/>
    <mergeCell ref="G2:H2"/>
    <mergeCell ref="A14:H14"/>
    <mergeCell ref="C15:D15"/>
    <mergeCell ref="E15:F15"/>
    <mergeCell ref="G15:H15"/>
    <mergeCell ref="I1:I2"/>
    <mergeCell ref="I14:I15"/>
    <mergeCell ref="I16:I19"/>
    <mergeCell ref="C3:D6"/>
    <mergeCell ref="E3:F6"/>
    <mergeCell ref="G3:H6"/>
    <mergeCell ref="C16:D19"/>
    <mergeCell ref="E16:F19"/>
    <mergeCell ref="G16:H19"/>
  </mergeCell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6"/>
  <sheetData/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��t^8h�{	g�f�e��]�QFT�n%N�Q�e ��%N;`�NZf�bzzY8h�~r��^r��R24t^�^�vh0nx����ċ���VYnx���T^�"�~gZ OK�	c`O�N�va���R�+Tn�NVYёu�SfTWs^~��9�(u%f��%f��_�])R/f�zHS���y)R9�-N�y�y)RH�)PwZ�h�ppgUO?��q0�Sh��0��y�0�k�_܏%f���y)R9�%f��_�])R/f�zHS�y)R-N�y�y)R�m3W+-Nq\|QL�H�)PwZ�h�ppgUO?��q0�Sh��0��y�0�k�_܏�^wm�:
O���m3W|QL�9�(u>e�N�]b,g�-Nq\|QL�9�(u^\�R�R9��R_eQ�{t9�(u%f���y)R9�%f��_�])R/f�zHS�y)R-N�y�y)R��Vicnx����Vicnx��lQ_�N�]b,g�v�cq��R �k)R ��Ǐ9eۏ b,g ��cؚ �k)R ����cq��R 6eeQ �
�N�]b,g�T�Q)R�mckT�k����ST�e�X'Y�qQT9eۏ 9�(u �N��n
NP�0
NP�10%�NP�lQ�S��l�S�W�~=�k)R'�7%�ur_�v�R	��~_g�]D�SNVYёSR+R`S�k60%0lQ_�[�^=g�]D�*g�N*����mE^*���*���v�k�O*9*NguHe*�]D�S>e'Y�|pe�S�Q�Nh��_�[�^wm��R`*bbk�vMR(W�\�Npezz:�NpeDdq_^1��]z^1���R�~t1�'k�N�#��N1�蕗^Џ%�4�gp�����^3��T{|ĉR�~t�m3WO��|QL��-Nq\�vO��|QL��{�R�R9�(u	��m3WO��|QL�6g-10g�W,g+�~He+vQ�N��uGPe�4�+�R�s9�+vQ�Ne�4�	��^wm��S�23t^g9�(u�m3WO��|QL�g9�(u�N�]b,g=�]D�;`��+�O��9�(u+�y)R9�(u+�bX��W��9�(u+�~Nme�P+�cb+t^�~VY�^wm�t^9�(u+24�e�X�NXT9�(u��0O�cbt^t^�~VYpenct^t^�~VYpencĞr��^�v�R���Q!knx��NN�Nh�1penc�[P��Th�5�vT4�[P�S�b�]D�0�~He0e�PS�bt^�~0�cb*bbk�vMR(W�\�Npezz:�NpeDdq_^1��]z^1���R�~t1�'k�N�#��N1�蕗^Џ%�4�gp�����^3��T{|ĉR�~t�m3WO��|QL��-Nq\�vO��|QL��{�R�R9�(u	��m3WO��|QL�6g-10g�W,g+�~He+vQ�N��uGPe�4�+�R�s9�+vQ�Ne�4�	��^wm��S�23t^g9�(u�m3WO��|QL�g9�(u�N�]b,g=�]D�;`��+�O��9�(u+�y)R9�(u+�bX��W��9�(u+�~Nme�P+�cb+t^�~VY�^wm�t^9�(u+24�e�X�NXT9�(u��0O�cbt^t^�~VYpenct^t^�~VYpenct^8h�{	g�f�e��]�QFT�n%N�Q�e ��%N;`�NZf�bzzY8h�~r��^r��R24t^�^�vh0nx����ċ���VYnx���T^�"�~gZ OK�	c`O�N�va���R�
</file>

<file path=customXml/item2.xml>��penc�Ɖh�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WPS Office WWO_feishu_20230531100529-62b4f7f279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数据表说明</vt:lpstr>
      <vt:lpstr>5_2024年公司薪酬包基线</vt:lpstr>
      <vt:lpstr>3_2023年1-12月人力成本 </vt:lpstr>
      <vt:lpstr>7_公司薪酬包自上而下</vt:lpstr>
      <vt:lpstr>9_部门奖金公式</vt:lpstr>
      <vt:lpstr>6_公司人力成本预算</vt:lpstr>
      <vt:lpstr>参考_公司薪酬包弹性关系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siow</dc:creator>
  <cp:lastModifiedBy>拾荒少年</cp:lastModifiedBy>
  <dcterms:created xsi:type="dcterms:W3CDTF">2011-07-22T20:56:00Z</dcterms:created>
  <cp:lastPrinted>2011-07-22T21:03:00Z</cp:lastPrinted>
  <dcterms:modified xsi:type="dcterms:W3CDTF">2024-05-17T00:07:35Z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2052-6.5.1.8687</vt:lpwstr>
  </property>
  <property fmtid="{D5CDD505-2E9C-101B-9397-08002B2CF9AE}" pid="3" name="ICV">
    <vt:lpwstr>C0FB6F20C7E272BC472F466664EB44A8_43</vt:lpwstr>
  </property>
</Properties>
</file>