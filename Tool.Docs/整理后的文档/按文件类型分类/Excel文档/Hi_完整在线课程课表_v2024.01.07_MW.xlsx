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micha\Desktop\1\"/>
    </mc:Choice>
  </mc:AlternateContent>
  <xr:revisionPtr revIDLastSave="0" documentId="13_ncr:1_{EB499C7E-A2E6-4C6F-B93D-3D46EBBCCAA8}" xr6:coauthVersionLast="47" xr6:coauthVersionMax="47" xr10:uidLastSave="{00000000-0000-0000-0000-000000000000}"/>
  <bookViews>
    <workbookView xWindow="-110" yWindow="-110" windowWidth="22620" windowHeight="13500" tabRatio="720" activeTab="3" xr2:uid="{00000000-000D-0000-FFFF-FFFF00000000}"/>
  </bookViews>
  <sheets>
    <sheet name="目录" sheetId="19" r:id="rId1"/>
    <sheet name="Hi-Finance_完整课表" sheetId="3" r:id="rId2"/>
    <sheet name="Hi-Management_完整课表" sheetId="20" r:id="rId3"/>
    <sheet name="Hi_讲书系列（仅限企业端）" sheetId="6" r:id="rId4"/>
    <sheet name="3月新上线" sheetId="17" state="hidden" r:id="rId5"/>
  </sheets>
  <definedNames>
    <definedName name="_xlnm._FilterDatabase" localSheetId="1" hidden="1">'Hi-Finance_完整课表'!$A$10:$M$639</definedName>
    <definedName name="_xlnm.Print_Area" localSheetId="4">'3月新上线'!$A$1:$J$18</definedName>
    <definedName name="_xlnm.Print_Area" localSheetId="3">'Hi_讲书系列（仅限企业端）'!$A$1:$I$89</definedName>
    <definedName name="_xlnm.Print_Area" localSheetId="1">'Hi-Finance_完整课表'!$A$1:$M$639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4" i="3" l="1"/>
  <c r="L203" i="3"/>
  <c r="L321" i="3"/>
  <c r="L130" i="3"/>
  <c r="L129" i="3"/>
  <c r="L128" i="3"/>
  <c r="L127" i="3"/>
  <c r="L126" i="3"/>
  <c r="L125" i="3"/>
  <c r="L124" i="3"/>
  <c r="L123" i="3"/>
  <c r="L122" i="3"/>
  <c r="L121" i="3"/>
  <c r="L120" i="3"/>
  <c r="L119" i="3"/>
  <c r="L99" i="20"/>
  <c r="L98" i="20"/>
  <c r="L97" i="20"/>
  <c r="L96" i="20"/>
  <c r="L579" i="3"/>
  <c r="L578" i="3"/>
  <c r="L577" i="3"/>
  <c r="L576" i="3"/>
  <c r="L247" i="3"/>
  <c r="L118" i="3"/>
  <c r="L117" i="3"/>
  <c r="L224" i="3"/>
  <c r="H19" i="17"/>
  <c r="I19" i="17" s="1"/>
  <c r="F19" i="17"/>
  <c r="I18" i="17"/>
  <c r="I17" i="17"/>
  <c r="I16" i="17"/>
  <c r="A16" i="17"/>
  <c r="A17" i="17" s="1"/>
  <c r="A18" i="17" s="1"/>
  <c r="I15" i="17"/>
  <c r="I13" i="17"/>
  <c r="I12" i="17"/>
  <c r="A13" i="6"/>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2" i="6" s="1"/>
  <c r="A83" i="6" s="1"/>
  <c r="A84" i="6" s="1"/>
  <c r="A85" i="6" s="1"/>
  <c r="A86" i="6" s="1"/>
  <c r="A87" i="6" s="1"/>
  <c r="A88" i="6" s="1"/>
  <c r="A89" i="6" s="1"/>
  <c r="L118" i="20"/>
  <c r="L117" i="20"/>
  <c r="L116" i="20"/>
  <c r="L115" i="20"/>
  <c r="L114" i="20"/>
  <c r="L113" i="20"/>
  <c r="L112" i="20"/>
  <c r="L111" i="20"/>
  <c r="L110" i="20"/>
  <c r="L109" i="20"/>
  <c r="L108" i="20"/>
  <c r="L107" i="20"/>
  <c r="L106" i="20"/>
  <c r="L105" i="20"/>
  <c r="L104" i="20"/>
  <c r="L103" i="20"/>
  <c r="L101" i="20"/>
  <c r="L100" i="20"/>
  <c r="L95" i="20"/>
  <c r="L94" i="20"/>
  <c r="L93" i="20"/>
  <c r="L92" i="20"/>
  <c r="L91" i="20"/>
  <c r="L90" i="20"/>
  <c r="L89" i="20"/>
  <c r="L87" i="20"/>
  <c r="L86" i="20"/>
  <c r="L85" i="20"/>
  <c r="L84" i="20"/>
  <c r="L83" i="20"/>
  <c r="L82" i="20"/>
  <c r="L81" i="20"/>
  <c r="L80" i="20"/>
  <c r="L79" i="20"/>
  <c r="L78" i="20"/>
  <c r="L77" i="20"/>
  <c r="L76" i="20"/>
  <c r="L75" i="20"/>
  <c r="L74" i="20"/>
  <c r="L73" i="20"/>
  <c r="L72" i="20"/>
  <c r="L71" i="20"/>
  <c r="L70" i="20"/>
  <c r="L69" i="20"/>
  <c r="L68" i="20"/>
  <c r="L67" i="20"/>
  <c r="L66" i="20"/>
  <c r="L65" i="20"/>
  <c r="L64" i="20"/>
  <c r="L63" i="20"/>
  <c r="L61" i="20"/>
  <c r="L60" i="20"/>
  <c r="L59" i="20"/>
  <c r="L58" i="20"/>
  <c r="L57" i="20"/>
  <c r="L56" i="20"/>
  <c r="L55" i="20"/>
  <c r="L54" i="20"/>
  <c r="L53" i="20"/>
  <c r="L52" i="20"/>
  <c r="L51" i="20"/>
  <c r="L50" i="20"/>
  <c r="L49" i="20"/>
  <c r="L48" i="20"/>
  <c r="L47" i="20"/>
  <c r="L46" i="20"/>
  <c r="L45" i="20"/>
  <c r="L44" i="20"/>
  <c r="L43" i="20"/>
  <c r="L42" i="20"/>
  <c r="L41" i="20"/>
  <c r="L40" i="20"/>
  <c r="L39" i="20"/>
  <c r="L38" i="20"/>
  <c r="L37" i="20"/>
  <c r="L36" i="20"/>
  <c r="L34" i="20"/>
  <c r="L33" i="20"/>
  <c r="L32" i="20"/>
  <c r="L31" i="20"/>
  <c r="L30" i="20"/>
  <c r="L29" i="20"/>
  <c r="L28" i="20"/>
  <c r="L27" i="20"/>
  <c r="L26" i="20"/>
  <c r="L25" i="20"/>
  <c r="L24" i="20"/>
  <c r="L23" i="20"/>
  <c r="L22" i="20"/>
  <c r="L21" i="20"/>
  <c r="L20" i="20"/>
  <c r="L19" i="20"/>
  <c r="L18" i="20"/>
  <c r="L17" i="20"/>
  <c r="L16" i="20"/>
  <c r="L15" i="20"/>
  <c r="L14" i="20"/>
  <c r="L13" i="20"/>
  <c r="A13" i="20"/>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3" i="20" s="1"/>
  <c r="A64" i="20" s="1"/>
  <c r="A65" i="20" s="1"/>
  <c r="A66" i="20" s="1"/>
  <c r="A67" i="20" s="1"/>
  <c r="A68" i="20" s="1"/>
  <c r="A69" i="20" s="1"/>
  <c r="A70" i="20" s="1"/>
  <c r="A71" i="20" s="1"/>
  <c r="A72" i="20" s="1"/>
  <c r="A73" i="20" s="1"/>
  <c r="A74" i="20" s="1"/>
  <c r="A75" i="20" s="1"/>
  <c r="A76" i="20" s="1"/>
  <c r="A77" i="20" s="1"/>
  <c r="A78" i="20" s="1"/>
  <c r="L12" i="20"/>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5" i="3"/>
  <c r="L574" i="3"/>
  <c r="L573" i="3"/>
  <c r="L572"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2" i="3"/>
  <c r="L541" i="3"/>
  <c r="L540" i="3"/>
  <c r="L539" i="3"/>
  <c r="L538" i="3"/>
  <c r="L537" i="3"/>
  <c r="L536" i="3"/>
  <c r="L535" i="3"/>
  <c r="L534" i="3"/>
  <c r="L533" i="3"/>
  <c r="L532" i="3"/>
  <c r="L531" i="3"/>
  <c r="L530" i="3"/>
  <c r="L529"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8" i="3"/>
  <c r="L437" i="3"/>
  <c r="L436" i="3"/>
  <c r="L435" i="3"/>
  <c r="L434" i="3"/>
  <c r="L433" i="3"/>
  <c r="L432" i="3"/>
  <c r="L431" i="3"/>
  <c r="L430"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3" i="3"/>
  <c r="L332" i="3"/>
  <c r="L331" i="3"/>
  <c r="L330" i="3"/>
  <c r="L329" i="3"/>
  <c r="L328" i="3"/>
  <c r="L327" i="3"/>
  <c r="L326" i="3"/>
  <c r="L325" i="3"/>
  <c r="L324" i="3"/>
  <c r="L323" i="3"/>
  <c r="L322" i="3"/>
  <c r="L320" i="3"/>
  <c r="L319" i="3"/>
  <c r="L318" i="3"/>
  <c r="L317" i="3"/>
  <c r="L316" i="3"/>
  <c r="L315" i="3"/>
  <c r="L314" i="3"/>
  <c r="L313" i="3"/>
  <c r="L312" i="3"/>
  <c r="L311" i="3"/>
  <c r="L310" i="3"/>
  <c r="L309"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6" i="3"/>
  <c r="L244" i="3"/>
  <c r="L243" i="3"/>
  <c r="L242" i="3"/>
  <c r="L241" i="3"/>
  <c r="L240" i="3"/>
  <c r="L239" i="3"/>
  <c r="L238" i="3"/>
  <c r="L237" i="3"/>
  <c r="L236" i="3"/>
  <c r="L235" i="3"/>
  <c r="L228" i="3"/>
  <c r="L234" i="3"/>
  <c r="L233" i="3"/>
  <c r="L232" i="3"/>
  <c r="L223" i="3"/>
  <c r="L222" i="3"/>
  <c r="L221" i="3"/>
  <c r="L220" i="3"/>
  <c r="L219" i="3"/>
  <c r="L218" i="3"/>
  <c r="L217" i="3"/>
  <c r="L216" i="3"/>
  <c r="L215" i="3"/>
  <c r="L213" i="3"/>
  <c r="L211" i="3"/>
  <c r="L210" i="3"/>
  <c r="L209" i="3"/>
  <c r="L208" i="3"/>
  <c r="L207" i="3"/>
  <c r="L206" i="3"/>
  <c r="L205" i="3"/>
  <c r="L202" i="3"/>
  <c r="L201" i="3"/>
  <c r="L231" i="3"/>
  <c r="L200" i="3"/>
  <c r="L199" i="3"/>
  <c r="L198" i="3"/>
  <c r="L197" i="3"/>
  <c r="L196" i="3"/>
  <c r="L195" i="3"/>
  <c r="L194" i="3"/>
  <c r="L193" i="3"/>
  <c r="L192" i="3"/>
  <c r="L191" i="3"/>
  <c r="L190" i="3"/>
  <c r="L189" i="3"/>
  <c r="L188" i="3"/>
  <c r="L187" i="3"/>
  <c r="L186" i="3"/>
  <c r="L185" i="3"/>
  <c r="L184" i="3"/>
  <c r="L226" i="3"/>
  <c r="L225" i="3"/>
  <c r="L183" i="3"/>
  <c r="L227" i="3"/>
  <c r="L214"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6" i="3"/>
  <c r="L155" i="3"/>
  <c r="L154" i="3"/>
  <c r="L153" i="3"/>
  <c r="L152" i="3"/>
  <c r="L151" i="3"/>
  <c r="L150" i="3"/>
  <c r="L149" i="3"/>
  <c r="L148" i="3"/>
  <c r="L147" i="3"/>
  <c r="L230" i="3"/>
  <c r="L229" i="3"/>
  <c r="L145" i="3"/>
  <c r="L144" i="3"/>
  <c r="L143" i="3"/>
  <c r="L142" i="3"/>
  <c r="L141" i="3"/>
  <c r="L140" i="3"/>
  <c r="L139" i="3"/>
  <c r="L138" i="3"/>
  <c r="L137" i="3"/>
  <c r="L136" i="3"/>
  <c r="L135" i="3"/>
  <c r="L134" i="3"/>
  <c r="L133" i="3"/>
  <c r="L132" i="3"/>
  <c r="L131" i="3"/>
  <c r="L116" i="3"/>
  <c r="L115" i="3"/>
  <c r="L114" i="3"/>
  <c r="L113" i="3"/>
  <c r="L112" i="3"/>
  <c r="L111" i="3"/>
  <c r="L110" i="3"/>
  <c r="L109" i="3"/>
  <c r="L108" i="3"/>
  <c r="L107"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A13" i="3"/>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L12" i="3"/>
  <c r="E7" i="19"/>
  <c r="E8" i="19" s="1"/>
  <c r="E9" i="19" s="1"/>
  <c r="C7" i="19"/>
  <c r="C8" i="19" s="1"/>
  <c r="C9" i="19" s="1"/>
  <c r="C10" i="19" s="1"/>
  <c r="A7" i="19"/>
  <c r="A8" i="19" s="1"/>
  <c r="A9" i="19" s="1"/>
  <c r="A10" i="19" s="1"/>
  <c r="A11" i="19" s="1"/>
  <c r="A12" i="19" s="1"/>
  <c r="A13" i="19" s="1"/>
  <c r="A14" i="19" s="1"/>
  <c r="A15" i="19" s="1"/>
  <c r="A16" i="19" s="1"/>
  <c r="A17" i="19" s="1"/>
  <c r="A18" i="19" s="1"/>
  <c r="A19" i="19" s="1"/>
  <c r="A20" i="19" s="1"/>
  <c r="A21" i="19" s="1"/>
  <c r="A132" i="3" l="1"/>
  <c r="A133" i="3" s="1"/>
  <c r="A134" i="3" s="1"/>
  <c r="A135" i="3" s="1"/>
  <c r="A136" i="3" s="1"/>
  <c r="A137" i="3" s="1"/>
  <c r="A138" i="3" s="1"/>
  <c r="A139" i="3" s="1"/>
  <c r="A140" i="3" s="1"/>
  <c r="A141" i="3" s="1"/>
  <c r="A142" i="3" s="1"/>
  <c r="A143" i="3" s="1"/>
  <c r="A144" i="3" s="1"/>
  <c r="A145" i="3" s="1"/>
  <c r="A147" i="3" s="1"/>
  <c r="A148" i="3" s="1"/>
  <c r="A149" i="3" s="1"/>
  <c r="A150" i="3" s="1"/>
  <c r="A151" i="3" s="1"/>
  <c r="A152" i="3" s="1"/>
  <c r="A153" i="3" s="1"/>
  <c r="A154" i="3" s="1"/>
  <c r="A155" i="3" s="1"/>
  <c r="A156"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79" i="20"/>
  <c r="A80" i="20" s="1"/>
  <c r="A81" i="20" s="1"/>
  <c r="A82" i="20" s="1"/>
  <c r="A83" i="20" s="1"/>
  <c r="A84" i="20" s="1"/>
  <c r="A85" i="20" s="1"/>
  <c r="A86" i="20" s="1"/>
  <c r="A87" i="20" s="1"/>
  <c r="A89" i="20" s="1"/>
  <c r="A90" i="20" s="1"/>
  <c r="A91" i="20" s="1"/>
  <c r="A92" i="20" s="1"/>
  <c r="A93" i="20" s="1"/>
  <c r="A94" i="20" s="1"/>
  <c r="A95" i="20" s="1"/>
  <c r="A203" i="3" l="1"/>
  <c r="A204" i="3" s="1"/>
  <c r="A205" i="3" s="1"/>
  <c r="A206" i="3" s="1"/>
  <c r="A207" i="3" s="1"/>
  <c r="A208" i="3" s="1"/>
  <c r="A209" i="3" s="1"/>
  <c r="A210" i="3" s="1"/>
  <c r="A211" i="3" s="1"/>
  <c r="A213" i="3" s="1"/>
  <c r="A214" i="3" s="1"/>
  <c r="A215" i="3" s="1"/>
  <c r="A216" i="3" s="1"/>
  <c r="A217" i="3" s="1"/>
  <c r="A218" i="3" s="1"/>
  <c r="A219" i="3" s="1"/>
  <c r="A220" i="3" s="1"/>
  <c r="A221" i="3" s="1"/>
  <c r="A222" i="3" s="1"/>
  <c r="A223" i="3" s="1"/>
  <c r="A224" i="3" s="1"/>
  <c r="A225" i="3" s="1"/>
  <c r="A226" i="3" s="1"/>
  <c r="A96" i="20"/>
  <c r="A97" i="20" l="1"/>
  <c r="A98" i="20" s="1"/>
  <c r="A99" i="20" s="1"/>
  <c r="A100" i="20" s="1"/>
  <c r="A101" i="20" s="1"/>
  <c r="A103" i="20" s="1"/>
  <c r="A104" i="20" s="1"/>
  <c r="A105" i="20" s="1"/>
  <c r="A106" i="20" s="1"/>
  <c r="A107" i="20" s="1"/>
  <c r="A108" i="20" s="1"/>
  <c r="A109" i="20" s="1"/>
  <c r="A110" i="20" s="1"/>
  <c r="A111" i="20" s="1"/>
  <c r="A112" i="20" s="1"/>
  <c r="A113" i="20" s="1"/>
  <c r="A114" i="20" s="1"/>
  <c r="A115" i="20" s="1"/>
  <c r="A116" i="20" s="1"/>
  <c r="A117" i="20" s="1"/>
  <c r="A118" i="20" s="1"/>
  <c r="A227" i="3"/>
  <c r="A228" i="3" s="1"/>
  <c r="A229" i="3" s="1"/>
  <c r="A230" i="3" s="1"/>
  <c r="A231" i="3" s="1"/>
  <c r="A232" i="3" l="1"/>
  <c r="A233" i="3" s="1"/>
  <c r="A234" i="3" s="1"/>
  <c r="A235" i="3" s="1"/>
  <c r="A236" i="3" s="1"/>
  <c r="A237" i="3" s="1"/>
  <c r="A238" i="3" s="1"/>
  <c r="A239" i="3" s="1"/>
  <c r="A240" i="3" s="1"/>
  <c r="A241" i="3" s="1"/>
  <c r="A242" i="3" s="1"/>
  <c r="A243" i="3" s="1"/>
  <c r="A244" i="3" s="1"/>
  <c r="A246" i="3" s="1"/>
  <c r="A247" i="3" l="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9" i="3" s="1"/>
  <c r="A310" i="3" s="1"/>
  <c r="A311" i="3" s="1"/>
  <c r="A312" i="3" s="1"/>
  <c r="A313" i="3" s="1"/>
  <c r="A314" i="3" s="1"/>
  <c r="A315" i="3" s="1"/>
  <c r="A316" i="3" s="1"/>
  <c r="A317" i="3" s="1"/>
  <c r="A318" i="3" s="1"/>
  <c r="A319" i="3" s="1"/>
  <c r="A320" i="3" s="1"/>
  <c r="A321" i="3" s="1"/>
  <c r="A322" i="3" s="1"/>
  <c r="A323" i="3" s="1"/>
  <c r="A324" i="3" l="1"/>
  <c r="A325" i="3" s="1"/>
  <c r="A326" i="3" s="1"/>
  <c r="A327" i="3" s="1"/>
  <c r="A328" i="3" s="1"/>
  <c r="A329" i="3" s="1"/>
  <c r="A330" i="3" s="1"/>
  <c r="A331" i="3" s="1"/>
  <c r="A332" i="3" s="1"/>
  <c r="A333"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30" i="3" s="1"/>
  <c r="A431" i="3" s="1"/>
  <c r="A432" i="3" s="1"/>
  <c r="A433" i="3" s="1"/>
  <c r="A434" i="3" s="1"/>
  <c r="A435" i="3" s="1"/>
  <c r="A436" i="3" s="1"/>
  <c r="A437" i="3" s="1"/>
  <c r="A438"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9" i="3" s="1"/>
  <c r="A530" i="3" s="1"/>
  <c r="A531" i="3" s="1"/>
  <c r="A532" i="3" s="1"/>
  <c r="A533" i="3" s="1"/>
  <c r="A534" i="3" s="1"/>
  <c r="A535" i="3" s="1"/>
  <c r="A536" i="3" s="1"/>
  <c r="A537" i="3" s="1"/>
  <c r="A538" i="3" s="1"/>
  <c r="A539" i="3" s="1"/>
  <c r="A540" i="3" s="1"/>
  <c r="A541" i="3" s="1"/>
  <c r="A542"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alcChain>
</file>

<file path=xl/sharedStrings.xml><?xml version="1.0" encoding="utf-8"?>
<sst xmlns="http://schemas.openxmlformats.org/spreadsheetml/2006/main" count="3845" uniqueCount="1507">
  <si>
    <t>Hi-Finance，专业系统学金融，专注于金融在线教育的内容生产、服务与运营</t>
  </si>
  <si>
    <t>Hi-Finance</t>
  </si>
  <si>
    <t>Hi-Management</t>
  </si>
  <si>
    <t>讲书系列</t>
  </si>
  <si>
    <t>金融通识</t>
  </si>
  <si>
    <t>职场新人</t>
  </si>
  <si>
    <t>金融书籍</t>
  </si>
  <si>
    <t>金融行业基础技能</t>
  </si>
  <si>
    <t>通用职场</t>
  </si>
  <si>
    <t>职场与商业类</t>
  </si>
  <si>
    <t>数字化</t>
  </si>
  <si>
    <t>中高层管理者</t>
  </si>
  <si>
    <t>销售类</t>
  </si>
  <si>
    <t>宏观经济</t>
  </si>
  <si>
    <t>在线TTT/内训师</t>
  </si>
  <si>
    <t>Wiley系列</t>
  </si>
  <si>
    <t>金融产品与营销</t>
  </si>
  <si>
    <t>企业运营</t>
  </si>
  <si>
    <t>证券经纪</t>
  </si>
  <si>
    <t>财富管理</t>
  </si>
  <si>
    <t>公募基金</t>
  </si>
  <si>
    <t>商业银行</t>
  </si>
  <si>
    <t>保险</t>
  </si>
  <si>
    <t>金融科技</t>
  </si>
  <si>
    <t>投行、投资与研究</t>
  </si>
  <si>
    <t>私募基金与量化投资</t>
  </si>
  <si>
    <t>资产证券化、融资租赁与房地产</t>
  </si>
  <si>
    <t>金融法律法规与合规风控</t>
  </si>
  <si>
    <t>从业证书</t>
  </si>
  <si>
    <t>保密级别：高级</t>
  </si>
  <si>
    <t>公司地址</t>
  </si>
  <si>
    <t>上海市长宁区金钟路658号东华大学国家科技园11号楼1楼</t>
  </si>
  <si>
    <t>联系人员</t>
  </si>
  <si>
    <t>Hi-Finance课程清单</t>
  </si>
  <si>
    <t>公司电话</t>
  </si>
  <si>
    <t>(021) 62413220</t>
  </si>
  <si>
    <t>联系方式</t>
  </si>
  <si>
    <t>官方网址</t>
  </si>
  <si>
    <t>www.hi-finance.com.cn</t>
  </si>
  <si>
    <t>联系邮箱</t>
  </si>
  <si>
    <t>客户信息</t>
  </si>
  <si>
    <t>单位名称</t>
  </si>
  <si>
    <t>省份城市</t>
  </si>
  <si>
    <t>课程序号</t>
  </si>
  <si>
    <t>课程主题</t>
  </si>
  <si>
    <t>课程模块</t>
  </si>
  <si>
    <t>模块介绍</t>
  </si>
  <si>
    <t>课程名称</t>
  </si>
  <si>
    <t>课程ID</t>
  </si>
  <si>
    <t>分级</t>
  </si>
  <si>
    <t>讲师</t>
  </si>
  <si>
    <t>课件数
（个）</t>
  </si>
  <si>
    <t>课程形式</t>
  </si>
  <si>
    <t>课程时长
（分钟）</t>
  </si>
  <si>
    <t>课程时长
（小时）</t>
  </si>
  <si>
    <t>备注</t>
  </si>
  <si>
    <r>
      <rPr>
        <b/>
        <sz val="11"/>
        <color theme="0"/>
        <rFont val="微软雅黑"/>
        <family val="2"/>
        <charset val="134"/>
      </rPr>
      <t>一、金融通识：金融行业</t>
    </r>
    <r>
      <rPr>
        <b/>
        <sz val="11"/>
        <color rgb="FFFFFF00"/>
        <rFont val="微软雅黑"/>
        <family val="2"/>
        <charset val="134"/>
      </rPr>
      <t>非金融/经管/财会背景</t>
    </r>
    <r>
      <rPr>
        <b/>
        <sz val="11"/>
        <color theme="0"/>
        <rFont val="微软雅黑"/>
        <family val="2"/>
        <charset val="134"/>
      </rPr>
      <t>的金融课程/金融行业入门课程</t>
    </r>
  </si>
  <si>
    <t>金融基础与
金融思维</t>
  </si>
  <si>
    <t>金融思维</t>
  </si>
  <si>
    <t>除了知晓金融行业的知识点，非金融背景的金融行业专业人士依然需要构建基础的金融思维与常识感觉，这是【金融思维】板块所需要我们掌握的内容</t>
  </si>
  <si>
    <t>Hi-Finance，22大金融基础知识点浅析</t>
  </si>
  <si>
    <t>入门</t>
  </si>
  <si>
    <t>王老师</t>
  </si>
  <si>
    <t>MP4</t>
  </si>
  <si>
    <t>21天掌握金融思维</t>
  </si>
  <si>
    <t>巴菲特的价值投资概述</t>
  </si>
  <si>
    <t>小白理财第一课-走向财富自由之路</t>
  </si>
  <si>
    <t>金融六大底层思维</t>
  </si>
  <si>
    <t>财富管理入门</t>
  </si>
  <si>
    <t>黑话特区</t>
  </si>
  <si>
    <t>融入一个新行业的最快方式是学会用金融的思维去思考，用金融的语言去沟通，【黑化特区】教你听懂圈内人的专业“暗语”</t>
  </si>
  <si>
    <t>黑话特区之行为金融学</t>
  </si>
  <si>
    <t>黑话特区之投资基础</t>
  </si>
  <si>
    <t>金融行业入门</t>
  </si>
  <si>
    <t>1小时行业入门</t>
  </si>
  <si>
    <t>了解金融行业的内部结构，是非金融背景的金融行业专业人士做自我规划的第一步，短小精悍的【1小时行业入门】课程带你快速领略金融行业的核心运作逻辑</t>
  </si>
  <si>
    <t>1小时入门金融行业</t>
  </si>
  <si>
    <t>1小时入门投资银行</t>
  </si>
  <si>
    <t>1小时入门咨询行业</t>
  </si>
  <si>
    <t>1小时入门市场营销</t>
  </si>
  <si>
    <t>1小时入门CFA</t>
  </si>
  <si>
    <t>1小时识破非法网贷</t>
  </si>
  <si>
    <t>第三方支付业务模式与资金流运作机制</t>
  </si>
  <si>
    <t>初级</t>
  </si>
  <si>
    <t>华尔街大咖
带你学金融
/
《金融学》
体系课程</t>
  </si>
  <si>
    <t>金融和金融体系</t>
  </si>
  <si>
    <t>依托于北美经典的《金融学》教材，诺贝尔经济学奖获得者的扛鼎之作，【金融和金融体系】课程将为你解开金融市场、金融机构和管理财务的秘密</t>
  </si>
  <si>
    <t>怎样学好金融学</t>
  </si>
  <si>
    <t>金融市场与金融机构</t>
  </si>
  <si>
    <t>管理财务健康状况和业绩</t>
  </si>
  <si>
    <t>时间与资源配置</t>
  </si>
  <si>
    <t>“时间是最好的老师”【时间与资源配置】从长、中、短三个周期为你带来资产配置的正确认知</t>
  </si>
  <si>
    <t>跨期配置资源</t>
  </si>
  <si>
    <t>居民户的储蓄和投资决策</t>
  </si>
  <si>
    <t>投资项目分析</t>
  </si>
  <si>
    <t>价值评估模型</t>
  </si>
  <si>
    <t>不管是金融专业人士还是非金融专业人士，了解和评估投资项目的价值是投资决策的基础【价值评估模型】带你掌握估值的基础逻辑</t>
  </si>
  <si>
    <t>市场估值原理</t>
  </si>
  <si>
    <t>已知现金流的价值评估</t>
  </si>
  <si>
    <t>普通股的价值评估</t>
  </si>
  <si>
    <t>风险管理与资产组合理论</t>
  </si>
  <si>
    <t>“投资有风险，投资需谨慎”风险管理是投资的必备常识【风险管理与资产组合理论】为你提供风险管理和资产组合的全面基础内容</t>
  </si>
  <si>
    <t>风险管理的原理</t>
  </si>
  <si>
    <t>对冲、投保和分散化</t>
  </si>
  <si>
    <t>资产组合机会和选择</t>
  </si>
  <si>
    <t>资产定价</t>
  </si>
  <si>
    <t>资产定价模型作为资本市场的基础应用模型，远期市场与期货、期权市场有哪些不一样的逻辑？【资产定价】课程为你一一揭晓</t>
  </si>
  <si>
    <t>资本市场均衡</t>
  </si>
  <si>
    <t>远期市场与期货市场</t>
  </si>
  <si>
    <t>期权市场与或有索取权市场</t>
  </si>
  <si>
    <t>公司金融</t>
  </si>
  <si>
    <t>什么是一个企业的财务结构？财务结构又是什么？【公司金融】为你一一解答</t>
  </si>
  <si>
    <t>企业的财务结构</t>
  </si>
  <si>
    <t>二、金融行业基础技能</t>
  </si>
  <si>
    <t>专业文书撰写</t>
  </si>
  <si>
    <t>Teaser</t>
  </si>
  <si>
    <t>一份好的项目概要是吸引投资人走入交易下一步的关键。【Teaser】课程教你快速抓住投资人眼球，撰写一份优质项目概要</t>
  </si>
  <si>
    <t>如何撰写与解读项目概要（Teaser）</t>
  </si>
  <si>
    <t>Pitchbook</t>
  </si>
  <si>
    <t>投行人少不了要与Pitchbook打交道，如何高效率写出一本让所有人都满意的Pitchbook？【Pitchbook】课程为你带来答案</t>
  </si>
  <si>
    <t>如何撰写Pitchbook</t>
  </si>
  <si>
    <t>PPT</t>
  </si>
  <si>
    <t>PPT作为辅助展示的工具，无论是在学习还是工作中都是不可更缺的。【PPT】课程手把手教学如何做出一份优质的行业PPT，帮助学员获得更多的认可</t>
  </si>
  <si>
    <t>PPT实务操作</t>
  </si>
  <si>
    <t>金融行业PPT制作</t>
  </si>
  <si>
    <t>中级</t>
  </si>
  <si>
    <t>张老师</t>
  </si>
  <si>
    <t>金融礼仪与软技能</t>
  </si>
  <si>
    <t>金融商务礼仪</t>
  </si>
  <si>
    <t>金融精英的专业感，从商务礼仪开始，不要因为礼仪而丢掉客户，给合作伙伴展现一个专业金融人的形象是合作展开的第一步，【金融商务礼仪】带你玩转商务场景，不放过任何一个细节</t>
  </si>
  <si>
    <t>拜访客户/合作伙伴，应该注意什么</t>
  </si>
  <si>
    <t>如何构建完美个人品牌？</t>
  </si>
  <si>
    <t>出差、握手与和客户约饭的小技巧</t>
  </si>
  <si>
    <t>商务礼仪五个实务小案例</t>
  </si>
  <si>
    <t>如何机智处理职场中的突发事件</t>
  </si>
  <si>
    <t>金融拜访实务礼仪（女士版本）</t>
  </si>
  <si>
    <t>刘老师</t>
  </si>
  <si>
    <t>商务交往礼仪</t>
  </si>
  <si>
    <t>任老师</t>
  </si>
  <si>
    <t>联合出品</t>
  </si>
  <si>
    <t>中式商务宴请</t>
  </si>
  <si>
    <t>职业形象塑造</t>
  </si>
  <si>
    <t>一席茶间展风华-商务礼仪与茶礼素养提升</t>
  </si>
  <si>
    <t>唐老师</t>
  </si>
  <si>
    <t>社交礼仪</t>
  </si>
  <si>
    <t>社交是金融人职场必备一环，好的社交可以实现好的资源互换，如何给对方留下较好的第一印象？如何通过关键社交获得优质资源？【社交礼仪】课程手把手教你做金融社交达人</t>
  </si>
  <si>
    <t>社交礼仪与人脉拓展</t>
  </si>
  <si>
    <t>金融行业新人必知的软技能</t>
  </si>
  <si>
    <t>不可不知的酒桌礼仪</t>
  </si>
  <si>
    <t>公司与行业
研究</t>
  </si>
  <si>
    <t>公司与行业
研究基础</t>
  </si>
  <si>
    <t>公司与行业研究，是任何一个投行人与投资人在分析行业、调研公司的时候所必须掌握的技能，迅速看清商业模式、寻找数据、理清市场规模和竞争环境，【公司与行业研究】带你一一破解</t>
  </si>
  <si>
    <t>公司与行业研究基础</t>
  </si>
  <si>
    <t>如何做好研究中的数据收集</t>
  </si>
  <si>
    <t>邓老师</t>
  </si>
  <si>
    <t>公司与行业研究之券商基础</t>
  </si>
  <si>
    <t>如何做好公司研究</t>
  </si>
  <si>
    <t>如何做好行业研究</t>
  </si>
  <si>
    <t>公司与行业
研究案例</t>
  </si>
  <si>
    <t>实战，是金融实务技能永恒的核心，如何知道医药、消费、新零售等行业的趋势与机遇在哪里？浑水是如何看透一家公司的？【公司与行业研究案例】手把手带你摸清行业与公司命脉</t>
  </si>
  <si>
    <t>浑水机构做空报告全解读</t>
  </si>
  <si>
    <t>高级</t>
  </si>
  <si>
    <t>新零售的未来</t>
  </si>
  <si>
    <t>TMT投资实战</t>
  </si>
  <si>
    <t>陈老师</t>
  </si>
  <si>
    <t>私募股权投资实务与消费行业机遇</t>
  </si>
  <si>
    <t>翁老师</t>
  </si>
  <si>
    <t>消费品投资逻辑</t>
  </si>
  <si>
    <t>消费行业研究方法与投资框架</t>
  </si>
  <si>
    <t>做好行业产业研究的5步核心方法论</t>
  </si>
  <si>
    <t>医药企业投资并购实战</t>
  </si>
  <si>
    <t>李老师</t>
  </si>
  <si>
    <t>医药大健康产业的改革与机遇探析</t>
  </si>
  <si>
    <t>虞老师</t>
  </si>
  <si>
    <t>财务报表分析</t>
  </si>
  <si>
    <t>财报分析，金融人的基本功，无论是看懂三张报表，还是尽调公司，或者做相关的运营研究，不入坑、不瞎蒙，【财务报表分析】带给学员数字背后的逻辑与解释</t>
  </si>
  <si>
    <t>财务报表分析基础</t>
  </si>
  <si>
    <t>损益表分析</t>
  </si>
  <si>
    <t>资产负债表分析</t>
  </si>
  <si>
    <t>财务报表分析实务专题与案例</t>
  </si>
  <si>
    <t>做投资必学的财务分析课</t>
  </si>
  <si>
    <t>杨老师</t>
  </si>
  <si>
    <t>信贷视角下财务报表分析与舞弊识别</t>
  </si>
  <si>
    <t>马老师</t>
  </si>
  <si>
    <t>财务分析与价值创造</t>
  </si>
  <si>
    <t>专业的投资人是如何做财务分析的</t>
  </si>
  <si>
    <t>戚老师</t>
  </si>
  <si>
    <t>用销售合同台账与序时账进行勾稽验证</t>
  </si>
  <si>
    <t>如何写好投资建议书中的财务分析</t>
  </si>
  <si>
    <t>手把手教你做财务分析实操</t>
  </si>
  <si>
    <t>读懂招股书</t>
  </si>
  <si>
    <t>与招股书打交道是金融人的日常，如何看懂招股书？如何快速从招股书中获得关键信息？【读懂招股书】从案例出发，一步步带你拆分招股书的关键信息</t>
  </si>
  <si>
    <t>以沪江和21世纪教育为例，4步读懂招股书</t>
  </si>
  <si>
    <t>Frank老师</t>
  </si>
  <si>
    <t>以灿古和优信为例，看懂汽车行业招股书</t>
  </si>
  <si>
    <t>财务造假识别</t>
  </si>
  <si>
    <t>财务造假是金融行业常见的问题，但是它往往隐藏在复杂的数字和报表逻辑背后，如何看懂财务数字？如何理解数字与商业逻辑直接的联系？【财务造假识别】课程带你识破数字陷阱</t>
  </si>
  <si>
    <t>财务造假识别与报表分析</t>
  </si>
  <si>
    <t>韩老师</t>
  </si>
  <si>
    <t>识别财务造假-销售收入专题</t>
  </si>
  <si>
    <t>财务造假：从“康得新122亿现金不见了”说起</t>
  </si>
  <si>
    <t>饶老师</t>
  </si>
  <si>
    <t>这样的公司能投资吗？</t>
  </si>
  <si>
    <t>财务报表舞弊识别</t>
  </si>
  <si>
    <t>估值建模</t>
  </si>
  <si>
    <t>公司与股票估值</t>
  </si>
  <si>
    <t>如何快速评估一家公司的股权价值与股票价值？如何根据不同行业和发展不同阶段来判断不同公司的估值水平，【公司与股票估值】板块会将这些细节逐层拆解，让学员可以落地实操，自己可以根据研究的目标公司，给出相应的适当估值区间指标</t>
  </si>
  <si>
    <t>什么是估值？估值背后的商业逻辑</t>
  </si>
  <si>
    <t>1214</t>
  </si>
  <si>
    <t>估值框架与执行流程</t>
  </si>
  <si>
    <t>1215</t>
  </si>
  <si>
    <t>贴现现金流模型</t>
  </si>
  <si>
    <t>1216</t>
  </si>
  <si>
    <t>可比公司法模型</t>
  </si>
  <si>
    <t>1217</t>
  </si>
  <si>
    <t>先前交易法与剩余收益法模型</t>
  </si>
  <si>
    <t>1218</t>
  </si>
  <si>
    <t>估值案例解析：GMV、ARPU与FCF/EBITDA</t>
  </si>
  <si>
    <t>1219</t>
  </si>
  <si>
    <t>估值案例更新：九鼎、黑石、瑞幸和茅台的案例</t>
  </si>
  <si>
    <t>1220</t>
  </si>
  <si>
    <t>分类加总法与估值总结</t>
  </si>
  <si>
    <t>1221</t>
  </si>
  <si>
    <t>倍数套利</t>
  </si>
  <si>
    <t>财务建模</t>
  </si>
  <si>
    <t>构建一家公司的财务模型，帮助我们理清企业的核心业务与经营能力，从而更好地为未来预测做准备，三张报表的勾稽关系又是如何，【财务建模】板块将会带你学会损益表、资产负债表和现金流量表的配平和收益率的计算</t>
  </si>
  <si>
    <t>Excel快捷键</t>
  </si>
  <si>
    <t>基础财务建模</t>
  </si>
  <si>
    <t>并购财务建模</t>
  </si>
  <si>
    <t>杠杆收购财务建模</t>
  </si>
  <si>
    <t>三、数字化</t>
  </si>
  <si>
    <t>在线直播</t>
  </si>
  <si>
    <t>做好在线直播，已经成为新经济时代各行各业的新技能要求，如何面对镜头、如何设计脚本与策划、如何讲好直播做好运营和分发，如何做好直播中的互动，都是我们需要具备的新技能。直播是什么？直播间是学员和用户“常回家看看”的地方，做好内容，才能在数字内容的时代，持续锁定学员和用户的注意力，将“流量”变成“留量”</t>
  </si>
  <si>
    <t>数字化时代，专业人士如何讲好在线直播</t>
  </si>
  <si>
    <t>直播大时代，商业直播师速成秘籍</t>
  </si>
  <si>
    <t>直播法律操作实务</t>
  </si>
  <si>
    <t>陆老师</t>
  </si>
  <si>
    <t>线上路演策略及直播技能专题培训</t>
  </si>
  <si>
    <t>金融行业案例</t>
  </si>
  <si>
    <t>金融直播合规</t>
  </si>
  <si>
    <t>数字化时代，HR如何借力直播为业务赋能</t>
  </si>
  <si>
    <t>HR行业案例</t>
  </si>
  <si>
    <t>HR借力直播赋能业务之案例分享</t>
  </si>
  <si>
    <t>直播如何赋能新零售</t>
  </si>
  <si>
    <t>新零售行业案例</t>
  </si>
  <si>
    <t>用户旅程、业务旅程与数据旅程，重构商业直播策划与运营</t>
  </si>
  <si>
    <t>商业银行直播策划与运营必备技能</t>
  </si>
  <si>
    <t>保险行业直播技巧与案例分析</t>
  </si>
  <si>
    <t>短视频</t>
  </si>
  <si>
    <t>新时代的数字化，直播路演+短视频+私域流量+社群运营+新媒体运营，已经成为了各个企业和机构的标配。【短视频】课程带你玩转短视频，找到挖掘客户、服务客户、深耕客户需求的钥匙</t>
  </si>
  <si>
    <t>短视频制作与运营</t>
  </si>
  <si>
    <t>安老师</t>
  </si>
  <si>
    <t>新媒体短视频快捷制作</t>
  </si>
  <si>
    <t>蔡老师</t>
  </si>
  <si>
    <t>数字化时代，如何玩转短视频与视频号</t>
  </si>
  <si>
    <t>券商短视频制作的常见问题点与优化要点</t>
  </si>
  <si>
    <t>在线运营</t>
  </si>
  <si>
    <t>新时代的数字化，直播路演+短视频+私域流量+社群运营+新媒体运营，已经成为了各个企业和机构的标配。【在线运营】课程手把手教学互联网运营的那些获客技巧</t>
  </si>
  <si>
    <t>金融机构个人用户在线社群运营的必知技巧</t>
  </si>
  <si>
    <t>Una老师</t>
  </si>
  <si>
    <t>如何运用在线投教课程带来新客增长与业务转化</t>
  </si>
  <si>
    <t>新时代获客与客户关系建立：社群营销和微信经营</t>
  </si>
  <si>
    <t>郑老师</t>
  </si>
  <si>
    <t>疫情后金融机构如何合规营销和做好在线客户服务</t>
  </si>
  <si>
    <t>秀米微信图文制作</t>
  </si>
  <si>
    <t>傅老师</t>
  </si>
  <si>
    <t>银行私域流量之社群运营</t>
  </si>
  <si>
    <t>黄老师</t>
  </si>
  <si>
    <t>银行私域流量之文案海报设计</t>
  </si>
  <si>
    <t>个人IP</t>
  </si>
  <si>
    <t>数字化时代，专业人士如何形成自己的影响力，打造个人IP是必备的相关技能，通过打造个人IP实现商业闭环，在公司内部和客户与合作伙伴心目中占据相应的品类标签，是实现品牌复利的长期价值</t>
  </si>
  <si>
    <t>金融行业个人IP打造之模型与案例拆解</t>
  </si>
  <si>
    <t>数字化时代，专业人士如何打造个人IP</t>
  </si>
  <si>
    <t>证券专业人员如何借力个人IP实现业务闭环</t>
  </si>
  <si>
    <t>专业内容降维化讲解的七大技巧</t>
  </si>
  <si>
    <t>蒋老师</t>
  </si>
  <si>
    <t>投顾专业人员如何做好线上产品包装</t>
  </si>
  <si>
    <t>投顾专业人员如何写好线上资讯内容与做好产品包装</t>
  </si>
  <si>
    <t>四、宏观经济</t>
  </si>
  <si>
    <t>国内宏观经济</t>
  </si>
  <si>
    <t>疫情以来，国内新基建和双循环不断升温，解读未来十年的中国【国内宏观经济】，知悉十四五规划和国企改制等政策与大趋势，是金融人和所有职场人的必备大局观</t>
  </si>
  <si>
    <t>2020年新基建行业发展与新基建金融对策</t>
  </si>
  <si>
    <t>邬老师</t>
  </si>
  <si>
    <t>十四五规划构建中国经济发展新格局</t>
  </si>
  <si>
    <t>宋老师</t>
  </si>
  <si>
    <t>国企改革三年行动方案（2020-2022年）解读</t>
  </si>
  <si>
    <t>“十四五、双循环、可持续发展” 金融业的机遇与挑战</t>
  </si>
  <si>
    <t>双碳关键概念</t>
  </si>
  <si>
    <t>徐老师&amp;姬老师</t>
  </si>
  <si>
    <t>碳汇交易</t>
  </si>
  <si>
    <t>碳市场碳管理</t>
  </si>
  <si>
    <t>姬老师</t>
  </si>
  <si>
    <t>全球经济</t>
  </si>
  <si>
    <t>2020年的全球经济和金融市场大幅波动，中美贸易既有竞争，也有合作，如何解读2021年开始的【全球经济】都是我们要注意的要点</t>
  </si>
  <si>
    <t>中美贸易战之缘起及应对</t>
  </si>
  <si>
    <t>倪老师</t>
  </si>
  <si>
    <t>中美经贸持续摩擦下的企业应对</t>
  </si>
  <si>
    <t>下一个黑天鹅？美国大选对经济贸易战的影响</t>
  </si>
  <si>
    <t>五、金融产品与营销</t>
  </si>
  <si>
    <t>金融产品</t>
  </si>
  <si>
    <t>金融产品基础</t>
  </si>
  <si>
    <t>在金融市场上，公募产品、私募产品、指数基金以及信托产品是任何从业人员都应该掌握的实务知识，【金融产品基础】带给学员基于金融市场的产品视角</t>
  </si>
  <si>
    <t>常见投资品投资的策略与典型案例</t>
  </si>
  <si>
    <t>金融投资必知的中国金融机构简介</t>
  </si>
  <si>
    <t>金融产品入门</t>
  </si>
  <si>
    <t>1小时产品入门</t>
  </si>
  <si>
    <t>公募、指数和私募基金是基金产品的基础种类，信托产品则是金融市场品类中极为重要的一类资产，在【1小时产品入门】，我们会带你快速领略常见资产的特点与特性</t>
  </si>
  <si>
    <t>6节课快速搞懂“固收+”</t>
  </si>
  <si>
    <t>1小时快速搞懂养老FOF基金</t>
  </si>
  <si>
    <t>1小时快速搞懂券商收益凭证、质押回购与报价回购</t>
  </si>
  <si>
    <t>8节课快速搞懂结构化产品</t>
  </si>
  <si>
    <t>1小时快速搞懂ETF基金</t>
  </si>
  <si>
    <t>1小时快速搞懂信用债基金</t>
  </si>
  <si>
    <t>周老师</t>
  </si>
  <si>
    <t>1小时快速搞懂债券基金</t>
  </si>
  <si>
    <t>1小时搞懂公募基金</t>
  </si>
  <si>
    <t>1小时搞懂指数基金</t>
  </si>
  <si>
    <t>1小时搞懂私募基金</t>
  </si>
  <si>
    <t>1小时搞懂信托产品</t>
  </si>
  <si>
    <t>股权与固定收益</t>
  </si>
  <si>
    <t>Equity（股票与股权）和Fixed Income（固定收益）是金融产品的两大基石，【股权与固定收益】课程带你完整掌握金融市场中相关知识的所有细节</t>
  </si>
  <si>
    <t>股票与股权</t>
  </si>
  <si>
    <t>固定收益</t>
  </si>
  <si>
    <t>金融产品原理与设计</t>
  </si>
  <si>
    <t>常见金融产品设计原理</t>
  </si>
  <si>
    <t>知其然还要知其所以然，【金融产品设计】板块专注于向学员讲解金融市场中的常见产品的背后设计思路，运作机制以及如何高屋建瓴的重新审视这些产品的构造与发展</t>
  </si>
  <si>
    <t>金融产品设计概述</t>
  </si>
  <si>
    <t>资本市场与金融产品</t>
  </si>
  <si>
    <t>保证金货币基金产品(现金宝与货币ETF)</t>
  </si>
  <si>
    <t>永恒的资金池产品</t>
  </si>
  <si>
    <t>基金估值理论与方法</t>
  </si>
  <si>
    <t>FOF的过去、现在与未来</t>
  </si>
  <si>
    <t>保本基金结构与发展</t>
  </si>
  <si>
    <t>金融产品营销服务技能</t>
  </si>
  <si>
    <t>客户获取</t>
  </si>
  <si>
    <t>在面向客户的营销过程中，如何有效地获取客户，不管是线上渠道还是线下渠道，如何通过打造个人影响力获取更多新客户，【客户获取】板块专注于客户数量的提升</t>
  </si>
  <si>
    <t>如何有效获客</t>
  </si>
  <si>
    <t>数字化时代下的远程服务与获客</t>
  </si>
  <si>
    <t>券商新人获客的六种方式</t>
  </si>
  <si>
    <t>券商展业之如何高效地寻求客户转介绍</t>
  </si>
  <si>
    <t>渠道营销</t>
  </si>
  <si>
    <t>渠道，是每一个销售人员的必备武器，综合利用多种资源，实现目标客户的全覆盖，【渠道营销】带给你落地的实操技巧</t>
  </si>
  <si>
    <t>客户活动渠道开拓及组织技巧</t>
  </si>
  <si>
    <t>柳老师</t>
  </si>
  <si>
    <t>券商展业之银行渠道拓展必杀技</t>
  </si>
  <si>
    <t>券商银行渠道营销实战指南</t>
  </si>
  <si>
    <t>昌老师</t>
  </si>
  <si>
    <t>线下客户营销</t>
  </si>
  <si>
    <t>线上越发达，线下越发达，在数字化的时代，线下如何与线上融合，如何借力线下做好客户服务与精细化运营，是【线下客户营销】板块的深耕内容</t>
  </si>
  <si>
    <t>客户邀约的有效技巧</t>
  </si>
  <si>
    <t>精细化沙龙活动策划</t>
  </si>
  <si>
    <t>KYC</t>
  </si>
  <si>
    <t>了解客户的基本情况，了解客户的需求，了解客户你能了解的一切，这是我们服务好客户的前提，【KYC】板块从话术到方法论，再到异议处理与解答，带给你完整的KYC流程</t>
  </si>
  <si>
    <t>KYC常见技巧与策略</t>
  </si>
  <si>
    <t>孙老师</t>
  </si>
  <si>
    <t>客户KYC的话术及技巧</t>
  </si>
  <si>
    <t>赵老师</t>
  </si>
  <si>
    <t>客户KYC的十八条分析法则</t>
  </si>
  <si>
    <t>客户KYC的异议分析及解答</t>
  </si>
  <si>
    <t>客户邀约与跟进</t>
  </si>
  <si>
    <t>找到了新用户，促活了老用户，如何有效地跟进客户，每一次拜访或者每一次沟通都是面向最终达单来推进，【客户跟进】板块致力于解决客户沟通效率的提升</t>
  </si>
  <si>
    <t>客户邀约秘籍与实战经验</t>
  </si>
  <si>
    <t>有效客户跟进技巧上篇</t>
  </si>
  <si>
    <t>有效客户跟进技巧下篇</t>
  </si>
  <si>
    <t>金融产品沟通与销售</t>
  </si>
  <si>
    <t>针对不同的金融产品，如何做好对用户的高效沟通，【金融产品沟通与销售】从公募基金、私募基金、信托产品和黄金产品等金融产品的宏观层面和微观层面着手，带给学员完整体系的线上与线下金融产品沟通视角与营销实操经验，从基础到进阶，随着市场的演化和进步，越来越多的复杂金融产品开始出现，该模块也不断加入新的复杂性金融产品营销介绍内容，帮助专业人员快速跟上市场变化</t>
  </si>
  <si>
    <t>金融产品销售</t>
  </si>
  <si>
    <t>信托产品销售</t>
  </si>
  <si>
    <t>黄金线上及线下营销</t>
  </si>
  <si>
    <t>喻老师</t>
  </si>
  <si>
    <t>私募证券基金营销</t>
  </si>
  <si>
    <t>私募基金产品介绍与分析</t>
  </si>
  <si>
    <t>复杂性金融产品营销基础技巧</t>
  </si>
  <si>
    <t>独家联合出品</t>
  </si>
  <si>
    <t>复杂性产品营销技巧之地产固收类产品</t>
  </si>
  <si>
    <t>复杂性产品营销技巧之二级市场私募基金</t>
  </si>
  <si>
    <t>投顾产品线上签约引导与异议处理场景分析</t>
  </si>
  <si>
    <t>金融产品销售异议处理32大场景与话术技巧</t>
  </si>
  <si>
    <t>银行系公募基金营销中常见亮点分析与异议回复话术技巧</t>
  </si>
  <si>
    <t>林老师</t>
  </si>
  <si>
    <t>券商同业与银行的差异化竞争亮点探究</t>
  </si>
  <si>
    <t>兰老师</t>
  </si>
  <si>
    <t>固收产品亮点挖掘与寻找</t>
  </si>
  <si>
    <t>全金融产品亮点挖掘与寻找</t>
  </si>
  <si>
    <t>乐老师</t>
  </si>
  <si>
    <t>销售技巧</t>
  </si>
  <si>
    <t>金牌销售是如何炼成的？从客户出发，解决客户需求才是销售的王道，【销售技巧】为你打造立足客户的视角，结合技术迭代，树立新的销售方式</t>
  </si>
  <si>
    <t>理财经理素质养成及营销技能速训</t>
  </si>
  <si>
    <t>金融营销人必备沟通技巧</t>
  </si>
  <si>
    <t>顾问式高级销售技巧</t>
  </si>
  <si>
    <t>姚老师</t>
  </si>
  <si>
    <t>大客户销售-探寻需求</t>
  </si>
  <si>
    <t>让客户倒追你的营销技能</t>
  </si>
  <si>
    <t>六、证券经纪</t>
  </si>
  <si>
    <t>证券投顾
业务技能</t>
  </si>
  <si>
    <t>证券经纪新人</t>
  </si>
  <si>
    <t>证券新人培养是任何机构必不可少的一环，【证券经纪新人】板块为机构带来最细致的证券新人培养体系</t>
  </si>
  <si>
    <t>证券营销业务全解析</t>
  </si>
  <si>
    <t>证券新人如何做好内部存量资源获客</t>
  </si>
  <si>
    <t>证券新人如何有效利用自身资源获客</t>
  </si>
  <si>
    <t>证券新人如何快速了解客户</t>
  </si>
  <si>
    <t>新人如何成交客户</t>
  </si>
  <si>
    <t>面对客户如何匹配合适的产品</t>
  </si>
  <si>
    <t>证券新人必知的异议处理方式方法</t>
  </si>
  <si>
    <t>证券新人如何持续服务客户</t>
  </si>
  <si>
    <t>证券新人如何做好老客户转介绍</t>
  </si>
  <si>
    <t>证券新人成长案例</t>
  </si>
  <si>
    <t>资本市场与证券业务</t>
  </si>
  <si>
    <t>了解中国资本市场的全构造，是每一个进入金融行业的从业者必备的基础知识，【资本市场与证券业务】模块会详细讲解中国资本市场体系和证券各板块的相关业务</t>
  </si>
  <si>
    <t>中国资本市场体系与监管</t>
  </si>
  <si>
    <t>证券行业各业务部门运作机制与盈利模式</t>
  </si>
  <si>
    <t>证券经纪业务知识</t>
  </si>
  <si>
    <t>二级市场</t>
  </si>
  <si>
    <t>技术分析作为投顾的底层技能，做好客户的交易型需求服务，是每一个投顾必备的知识要点</t>
  </si>
  <si>
    <t>快速搭建自我投研框架</t>
  </si>
  <si>
    <t>如何选股票</t>
  </si>
  <si>
    <t>股票技术分析</t>
  </si>
  <si>
    <t>丁老师</t>
  </si>
  <si>
    <t>股票技术分析进阶</t>
  </si>
  <si>
    <t>融资融券与质押回购</t>
  </si>
  <si>
    <t>“两融”作为一个自带杠杆作用的工具，它到底是如何操作的？【融资融券与质押回购】课程为你详细介绍融资融券与质押回购业务的来龙去脉</t>
  </si>
  <si>
    <t>融资融券交易策略与实务分享</t>
  </si>
  <si>
    <t>股票质押式回购交易业务</t>
  </si>
  <si>
    <t>债券质押式回购业务</t>
  </si>
  <si>
    <t>二级市场联动</t>
  </si>
  <si>
    <t>波动性极强的二级市场都有哪些玩法？【二级市场联动】这门课带你认识沪伦通、沪港通等二级市场的参与方法，其业务是如何展开以及市场的游戏规则究竟如何</t>
  </si>
  <si>
    <t>沪伦通业务培训</t>
  </si>
  <si>
    <t>Steven老师</t>
  </si>
  <si>
    <t>沪港通业务培训</t>
  </si>
  <si>
    <t>CDR投资机会全解读</t>
  </si>
  <si>
    <t>彭老师</t>
  </si>
  <si>
    <t>市场化债转股</t>
  </si>
  <si>
    <t>尤老师</t>
  </si>
  <si>
    <t>七、财富管理</t>
  </si>
  <si>
    <t>财富管理数字化</t>
  </si>
  <si>
    <t>财富管理发展趋势与数字化</t>
  </si>
  <si>
    <t>数字化一定要结合行业发展趋势来理解，【财富管理发展趋势与数字化】致力于解读整个财富管理行业数字化转型的新趋势</t>
  </si>
  <si>
    <t>证券公司财富管理数字化转型重点能力与建设</t>
  </si>
  <si>
    <t>数字化投资者教育实践经验</t>
  </si>
  <si>
    <t>una老师</t>
  </si>
  <si>
    <t>财富管理数字化转型的八大趋势</t>
  </si>
  <si>
    <t>财富管理人员打赢数字化转型战役的秘诀</t>
  </si>
  <si>
    <t>高净值客户</t>
  </si>
  <si>
    <t>高净值客户服务</t>
  </si>
  <si>
    <t>在财富管理的大时代，努力提升自己以服务高净值用户已经成为每一个高级财富管理人员的共识，【高净值客户服务】板块为学员展示如何实现这一目标的专业路径</t>
  </si>
  <si>
    <t>财富顾问必备的高净值人群的KYC清单</t>
  </si>
  <si>
    <t>成交公式：赢取高净值客户信任的必杀技</t>
  </si>
  <si>
    <t>卓越销售：基于客户风格的金融卓越销售技巧</t>
  </si>
  <si>
    <t>高净值客户经营与维护</t>
  </si>
  <si>
    <t>高客经营，精准开拓，价值经营</t>
  </si>
  <si>
    <t>高净值客户的开拓、经营与维护</t>
  </si>
  <si>
    <t>透视高净值客户需求及风险喜好的顾问式销售</t>
  </si>
  <si>
    <t>资产配置</t>
  </si>
  <si>
    <t>投资顾问/IC</t>
  </si>
  <si>
    <t>投资顾问是和客户沟通的专业信赖人员，是金融机构品牌的承载，【投资顾问】板块致力于提高投资顾问的专业能力，始终如一</t>
  </si>
  <si>
    <t>投资顾问 (IC) 的必备才能</t>
  </si>
  <si>
    <t>资产配置入门</t>
  </si>
  <si>
    <t>配置股票？配置黄金？配置债券？配置基金？如何正确理解不同的资产品类？如何知悉在资产配置的时候是否正确得当？【资产配置入门】将会为你进行全面的讲解</t>
  </si>
  <si>
    <t>11节课入门资产配置</t>
  </si>
  <si>
    <t>资产配置之各个大类资产类别介绍</t>
  </si>
  <si>
    <t>伍老师</t>
  </si>
  <si>
    <t>资产配置之金融投资理论及应用</t>
  </si>
  <si>
    <t>资产配置之错误的投资习惯</t>
  </si>
  <si>
    <t>资产配置之基金深度分析</t>
  </si>
  <si>
    <t>资产配置之科学资产配置</t>
  </si>
  <si>
    <t>财富管理之各个基金的分析方法</t>
  </si>
  <si>
    <t>大类资产配置策略</t>
  </si>
  <si>
    <t>资产配置究竟如何配置？如何寻找到低相关性的资产？如何基于目标收益和风险进行产品匹配？针对不同的宏观经济形势，如何做好优化调整？这是【大类资产配置策略】需要解决的问题</t>
  </si>
  <si>
    <t>资产配置实务技巧</t>
  </si>
  <si>
    <t>典型客户类型资产配置案例分析</t>
  </si>
  <si>
    <t>大类资产投资逻辑与宏观市场趋势</t>
  </si>
  <si>
    <t>资产配置在财富管理中的应用</t>
  </si>
  <si>
    <t>Grace老师</t>
  </si>
  <si>
    <t>疫情之后的资产配置策略—兼评大类资产2020年的走势</t>
  </si>
  <si>
    <t>当前格局下的配置之道</t>
  </si>
  <si>
    <t>梅老师</t>
  </si>
  <si>
    <t>资产配置建议书与财务规划书</t>
  </si>
  <si>
    <t>对于财富管理的专业人员，做好财务规划书与资产配置建议书是必备的核心技能，知悉客户的全面财富需求，做好客户的终生财富顾问</t>
  </si>
  <si>
    <t>如何撰写投资规划书</t>
  </si>
  <si>
    <t>如何在线面对客户做好财务规划书</t>
  </si>
  <si>
    <t>1157</t>
  </si>
  <si>
    <t>高净值客户资产配置与家庭风险管理</t>
  </si>
  <si>
    <t>高净值客户资产配置建议书制作与呈现</t>
  </si>
  <si>
    <t>海外资产配置</t>
  </si>
  <si>
    <t>都说国外资产价格便宜，但是海外的资产应该如何配置，如何判断与选择，这些都是我们在【海外资产配置】板块为你带来的知识框架与要点</t>
  </si>
  <si>
    <t>中产资产家庭资产配置</t>
  </si>
  <si>
    <t>实物资产</t>
  </si>
  <si>
    <t>过去30年，哪个资产最赚钱？无疑是房地产。作为居民资产配置的一环，如何做好房产与实物资产配置，知悉购买逻辑与避免踩坑，是【实物资产】板块的内容核心</t>
  </si>
  <si>
    <t>1小时速懂个人住房按揭贷款</t>
  </si>
  <si>
    <t>Jill老师</t>
  </si>
  <si>
    <t>另类投资</t>
  </si>
  <si>
    <t>在各个金融工具中，除了传统的股票和债券投资，以基金、REITs和大宗商品等为代表的另类投资是近几年越来越受到市场重视的金融工具，【另类投资】板块带给学员一套系统的另类投资工具知识框架图</t>
  </si>
  <si>
    <t>另类投资基础</t>
  </si>
  <si>
    <t>另类投资之基金GP与LP</t>
  </si>
  <si>
    <t>另类投资之PEVC</t>
  </si>
  <si>
    <t>另类投资之房地产投资</t>
  </si>
  <si>
    <t>另类投资之REITs入门</t>
  </si>
  <si>
    <t>另类投资之大宗商品</t>
  </si>
  <si>
    <t>另类投资之对冲基金</t>
  </si>
  <si>
    <t>家族财富传承</t>
  </si>
  <si>
    <t>家族传承</t>
  </si>
  <si>
    <t>面对潜在的高净值客户，帮助他们有效地传承财富，实现合理的税务筹划，创造更多的价值，这就是【家族传承】板块帮助理财师们更好的服务客户的要义</t>
  </si>
  <si>
    <t>私人财富的代际传承与资产隔离</t>
  </si>
  <si>
    <t>许老师</t>
  </si>
  <si>
    <t>新时代背景下的家族财富传承</t>
  </si>
  <si>
    <t>企业家守富之道</t>
  </si>
  <si>
    <t>财富传承</t>
  </si>
  <si>
    <t>财富保全与【财富传承】，是每一个财富管理专业顾问必须要懂的话题，因为这是客户的核心理财需求出发点和目标，为了保护家族财富不被侵蚀，实现人生资产的安全平稳的过渡与传承，这就要求专业人士要懂产品懂工具，会借力各个金融产品和工具满足客户的实际需求</t>
  </si>
  <si>
    <t>传承金字塔的主体构成与触发需求</t>
  </si>
  <si>
    <t>方老师</t>
  </si>
  <si>
    <t>传承金字塔之家业篇</t>
  </si>
  <si>
    <t>传承金字塔之限定篇</t>
  </si>
  <si>
    <t>传承金字塔之目标篇</t>
  </si>
  <si>
    <t>传承金字塔之信息收集</t>
  </si>
  <si>
    <t>传承金字塔之资产解决方案与内核解决方案</t>
  </si>
  <si>
    <t>传承金字塔之保险解决方案</t>
  </si>
  <si>
    <t>传承金字塔之大额保单解决方案</t>
  </si>
  <si>
    <t>传承金字塔之保单与遗嘱解决方案</t>
  </si>
  <si>
    <t>传承金字塔之信托解决方案</t>
  </si>
  <si>
    <t>美国注册财务规划师协会（RFP）
官方认证课程</t>
  </si>
  <si>
    <t>注册财务策划师（ARFP）
认证课程</t>
  </si>
  <si>
    <t>对于一名优秀的理财顾问，如何帮助客户做好个人与家庭的理财规划，是构建长期客户关系的基础，【理财规划】带给理财师一个完整的以终为始的规划视角</t>
  </si>
  <si>
    <t>个人理财与家庭理财的基础</t>
  </si>
  <si>
    <t>理财规划之财务管理基础</t>
  </si>
  <si>
    <t>财务管理应用：家庭财务管理与规划</t>
  </si>
  <si>
    <t>理财规划之社保与员工福利</t>
  </si>
  <si>
    <t>Delphy老师</t>
  </si>
  <si>
    <t>理财规划之房地产基础</t>
  </si>
  <si>
    <t>郭老师</t>
  </si>
  <si>
    <t>理财规划之商业银行业务全貌</t>
  </si>
  <si>
    <t>吴老师</t>
  </si>
  <si>
    <t>理财规划之经济学</t>
  </si>
  <si>
    <t>理财规划之人生规划</t>
  </si>
  <si>
    <t>综合理财规划分析</t>
  </si>
  <si>
    <t>八、公募基金</t>
  </si>
  <si>
    <t>公募基金投资入门</t>
  </si>
  <si>
    <t>如何进行公募基金的投资理财？投资如何降低亏损，从短期视角变成长期视角？各类型的基金产品如何挑选？这就是【公募基金投资入门】带给你的内容</t>
  </si>
  <si>
    <t>基金投资第一课：这样买基金才靠谱</t>
  </si>
  <si>
    <t>公募基金分类</t>
  </si>
  <si>
    <t>1小时搞懂股票型基金</t>
  </si>
  <si>
    <t>1小时搞懂债券型基金</t>
  </si>
  <si>
    <t>7节课搞懂指数型基金</t>
  </si>
  <si>
    <t>公募基金投资进阶</t>
  </si>
  <si>
    <t>知悉公募基金的投资策略，知悉投资者如何更好地选择公募基金产品，知悉基金投资中的那些思路，避免公募基金投资中的大坑，这就是【公募基金投资进阶】板块的专业内容</t>
  </si>
  <si>
    <t>如何使用工具筛选基金</t>
  </si>
  <si>
    <t>基金定投策略</t>
  </si>
  <si>
    <t>2020明星基金解读分析</t>
  </si>
  <si>
    <t>基金买卖时机的选择</t>
  </si>
  <si>
    <t>基金投资中常见的十大坑</t>
  </si>
  <si>
    <t>基金投资中的那些事</t>
  </si>
  <si>
    <t>经济周期下的基金资产配置</t>
  </si>
  <si>
    <t>顾老师</t>
  </si>
  <si>
    <t>公募基金除了产品要好，如何让客户产生认同，无论是对公募基金公司的价值认同，还是对基金经理和基金产品的认同，这是与公募基金产品营销相关的所有金融从业人员需要掌握的基础性思维，如何理解客户的基金投资需求？如何进行高效配置？【公募基金产品营销】对于营销人员的要求是：每一步都要做对，为什么？因为每一步都很重要</t>
  </si>
  <si>
    <t>公募基金实战营销技巧</t>
  </si>
  <si>
    <t>基金收入、分仓收入的来源</t>
  </si>
  <si>
    <t>公募基金销售技巧</t>
  </si>
  <si>
    <t>基金诊断解析投资与实战营销</t>
  </si>
  <si>
    <t>基金产品、路演行销</t>
  </si>
  <si>
    <t>追本溯源，化繁为简，亏损的识别及套牢客户的维护</t>
  </si>
  <si>
    <t>基金净值波动处理与客户维护</t>
  </si>
  <si>
    <t>25堂互联网思维下的知识营销体系</t>
  </si>
  <si>
    <t>1179</t>
  </si>
  <si>
    <t>万老师&amp;昌老师</t>
  </si>
  <si>
    <t>金融营销人的高阶之路——以基金定投为案例</t>
  </si>
  <si>
    <t>1175</t>
  </si>
  <si>
    <t>财富管理端的资产配置——理财师的第一堂必修课</t>
  </si>
  <si>
    <t>1178</t>
  </si>
  <si>
    <t>万老师</t>
  </si>
  <si>
    <t>从公募营销菜鸟到高手，你只需要17堂课</t>
  </si>
  <si>
    <t>1177</t>
  </si>
  <si>
    <t>正在进行时的买方投顾——买方投顾的20节必修课</t>
  </si>
  <si>
    <t>1174</t>
  </si>
  <si>
    <t>万老师&amp;吴老师&amp;江老师</t>
  </si>
  <si>
    <t>高效营销：20堂公募营销必修课</t>
  </si>
  <si>
    <t>1176</t>
  </si>
  <si>
    <t>九、商业银行</t>
  </si>
  <si>
    <t>发展趋势与数字化</t>
  </si>
  <si>
    <t>商业银行宏观发展趋势与数字化</t>
  </si>
  <si>
    <t>商业银行的数字化转型，是从战略到组织，从技术、产品到营销、再到组织和分支行的层层落地的过程，【商业银行宏观发展趋势与数字化】解决的不仅有客户旅程的体验和规划，更有业务旅程的体验和规划</t>
  </si>
  <si>
    <t>乡村振兴与银行业务实战</t>
  </si>
  <si>
    <t>游老师</t>
  </si>
  <si>
    <t>银行转型下半场，决战金融科技</t>
  </si>
  <si>
    <t>中小银行金融科技发展困境与突围之道</t>
  </si>
  <si>
    <t>招商银行数字化转型案例研究</t>
  </si>
  <si>
    <t>坚老师</t>
  </si>
  <si>
    <t>平安银行对公业务数字化转型案例</t>
  </si>
  <si>
    <t>银行数字化转型痛点、路径与对策</t>
  </si>
  <si>
    <t>银行网点数字化转型-经营策略</t>
  </si>
  <si>
    <t>商业银行数字化转型-营销篇</t>
  </si>
  <si>
    <t>农商行数字化转型案例研究</t>
  </si>
  <si>
    <t>城商行数字化转型案例研究</t>
  </si>
  <si>
    <t>商业银行理财业务发展历程及未来展望</t>
  </si>
  <si>
    <t>银行管理</t>
  </si>
  <si>
    <t>商业银行管理</t>
  </si>
  <si>
    <t>随着商业银行数字化转型的加速，如何快速提升新时期下的管理层能力，就是【银行管理者领导力提升】板块希望解决的要点</t>
  </si>
  <si>
    <t>营业网点应急管理与投诉处理</t>
  </si>
  <si>
    <t>高老师</t>
  </si>
  <si>
    <t>理财经理规范化一日工作流程</t>
  </si>
  <si>
    <t>金融对公营销团队建设</t>
  </si>
  <si>
    <t>银行管理者领导力提升</t>
  </si>
  <si>
    <t>完美起点-95后银行新锐智慧启航</t>
  </si>
  <si>
    <t>网点负责人数字化时代全方位管理能力提升</t>
  </si>
  <si>
    <t>对公业务</t>
  </si>
  <si>
    <t>商业银行对公信贷</t>
  </si>
  <si>
    <t>【商业银行风险管理与对公对私信贷】，尤其是是小微信贷是尤为重要的组成部分，在这一部分，我们会从实务和微观出发来进行详细探讨</t>
  </si>
  <si>
    <t>银行小微企业信贷风险要点</t>
  </si>
  <si>
    <t>戴老师</t>
  </si>
  <si>
    <t>严监管形势下小微企业信贷全流程业务实务</t>
  </si>
  <si>
    <t>对公信贷业务反欺诈与风险管理</t>
  </si>
  <si>
    <t>三农信贷合规操作实务</t>
  </si>
  <si>
    <t>汤老师</t>
  </si>
  <si>
    <t>对公客户贷前调查、贷后管理与风控技术</t>
  </si>
  <si>
    <t>如何撰写一份优质的信贷报告</t>
  </si>
  <si>
    <t>数字化背景下小微企业客户分析与获客方法</t>
  </si>
  <si>
    <t>江老师</t>
  </si>
  <si>
    <t>国际业务</t>
  </si>
  <si>
    <t>【银行国际业务】，为企业跨境经贸往来（包括贸易、非贸易、投资、融资）提供结算、融资、货币兑换交易、金融市场风险管理、现金管理、存款理财等服务的银行产品线</t>
  </si>
  <si>
    <t>国际业务基础知识</t>
  </si>
  <si>
    <t>零售业务</t>
  </si>
  <si>
    <t>商业银行信用卡</t>
  </si>
  <si>
    <t>商业银行的信用卡业务是除了APP以外的零售业务重要组成部分，在数字化的时代，如何做好卡营销和电话营销，是【商业银行信用卡】板块不断深耕的要点</t>
  </si>
  <si>
    <t>商业银行信用卡营销技巧</t>
  </si>
  <si>
    <t>商业银行零售产品电话营销</t>
  </si>
  <si>
    <t>对于商业银行，对公重要还是对私重要？这永远是一个难题，但是，做不好零售业务，一个商业银行肯定无法成功，【零售业务】板块，致力于助力商业银行的零售业务持续发展</t>
  </si>
  <si>
    <t>个人贷款合规操作实务</t>
  </si>
  <si>
    <t>零售产品营销新思路</t>
  </si>
  <si>
    <t>肖老师</t>
  </si>
  <si>
    <t>私人银行</t>
  </si>
  <si>
    <t>随着中国高净值人群的不断增加，可投资资产的持续上升，如何为这些客户提供有温度的服务变成了日益重要的核心服务要点。【私人银行】板块致力于帮助相关业务人员从0到1理解私行的服务要点、与客户的沟通技巧和持续深耕客户的秘诀</t>
  </si>
  <si>
    <t>财富管理：私人银行与零售银行的异同</t>
  </si>
  <si>
    <t>如何建立客户的信任感？如何赢得营销的机会？</t>
  </si>
  <si>
    <t>私行从业人员角色的价值定位：过去、现在与未来</t>
  </si>
  <si>
    <t>专业私人银行家的四大领域应知应会-资产配置</t>
  </si>
  <si>
    <t>专业私人银行家的四大领域应知应会-财富规划与传承</t>
  </si>
  <si>
    <t>专业私人银行家的四大领域应知应会-面谈技巧</t>
  </si>
  <si>
    <t>专业私人银行家的四大领域应知应会-高效习惯和心态</t>
  </si>
  <si>
    <t>国内外私人银行与财富中心运作模式分析</t>
  </si>
  <si>
    <t>从客户、产品和客户经理层面解构国内私人银行战略规划</t>
  </si>
  <si>
    <t>国内私人银行顶级客户经理养成之路</t>
  </si>
  <si>
    <t>风控合规与法律法规</t>
  </si>
  <si>
    <t>合规与反洗钱</t>
  </si>
  <si>
    <t>从案例出发、从经验出发、从岗位职责出发，带给学员商业银行的风控【合规和反洗钱】管理中的实操要点</t>
  </si>
  <si>
    <t>商业银行合规管理与案件防控</t>
  </si>
  <si>
    <t>银行业反洗钱履职要求与操作实务</t>
  </si>
  <si>
    <t>民法典与商业银行</t>
  </si>
  <si>
    <t>民法典是一项基础法典，对于金融机构的业务有着深远的影响，【民法典与商业银行】希望为学员带来这部法典对于商业银行的持续性影响的深广度探析</t>
  </si>
  <si>
    <t>民法典之借款合同</t>
  </si>
  <si>
    <t>民法典时代信贷业务法律风险控制</t>
  </si>
  <si>
    <t>GARP协会
官方认证</t>
  </si>
  <si>
    <t>商业银行风控入门</t>
  </si>
  <si>
    <t>【商业银行风控入门】带你零基础入门风控，全面了解GARP协会、FRM与FRR的基础知识</t>
  </si>
  <si>
    <t>ICBRR &amp; GARP介绍性课程</t>
  </si>
  <si>
    <t>朱老师</t>
  </si>
  <si>
    <t>风险管理基础知识框架体系</t>
  </si>
  <si>
    <t>市场风险管理</t>
  </si>
  <si>
    <t>市场风险在金融市场必然存在，所以有效管理至关重要。【市场风险管理】课程为你带来不同市场的风险分析和不同的管理工具，实际解决市场风险的管理痛点</t>
  </si>
  <si>
    <t>银行风险管理概述</t>
  </si>
  <si>
    <t>外汇市场、工具和风险</t>
  </si>
  <si>
    <t>利率市场、工具和风险</t>
  </si>
  <si>
    <t>股权和商品市场，工具和风险</t>
  </si>
  <si>
    <t>风险计量过程</t>
  </si>
  <si>
    <t>银行交易策略中的风险</t>
  </si>
  <si>
    <t>市场风险组织和报告</t>
  </si>
  <si>
    <t>信用风险管理</t>
  </si>
  <si>
    <t>信用风险是机构交易中不可忽视的风险要点，如何判断交易对手方的信用，如何评估自己的风险敞口，【信用风险管理】课程带你了解信用风险从评估到组合管理到监管的全面知识点</t>
  </si>
  <si>
    <t>信用风险评估</t>
  </si>
  <si>
    <t>信用产品的风险</t>
  </si>
  <si>
    <t>信用风险组合管理</t>
  </si>
  <si>
    <t>信用风险的监管视角</t>
  </si>
  <si>
    <t>操作风险管理</t>
  </si>
  <si>
    <t>金融机构的运营虽然在逐步数字化，但是由人为因素带来的操作风险无法彻底清除，【操作风险管理】一一为你讲解如何实现操作风险的管理</t>
  </si>
  <si>
    <t>操作风险概述</t>
  </si>
  <si>
    <t>操作风险的识别与评估</t>
  </si>
  <si>
    <t>操作风险的计量</t>
  </si>
  <si>
    <t>操作风险：缓释与控制</t>
  </si>
  <si>
    <t>操作风险：监控与报告</t>
  </si>
  <si>
    <t>资产负债管理</t>
  </si>
  <si>
    <t>对于银行来讲，资产负债管理是银行现金流和账户流动性管理的基石，【资产负债管理】课程详细讲解银行资本管理的具体内容</t>
  </si>
  <si>
    <t>资产负债管理概述</t>
  </si>
  <si>
    <t>银行账户的利率风险</t>
  </si>
  <si>
    <t>银行账户的流动性风险</t>
  </si>
  <si>
    <t>银行资本管理</t>
  </si>
  <si>
    <t>十、保险</t>
  </si>
  <si>
    <t>保险入门</t>
  </si>
  <si>
    <t>保险的重要性正在被越来越多的人意识到。然而，保险的类型、费用、保障内容五花八门，到底保险该怎么选、哪个好，【保险入门】课程详细讲解到底什么样的保险算是好保险？如何挑选适合自己的产品。</t>
  </si>
  <si>
    <t>1小时快速搞懂百万医疗险</t>
  </si>
  <si>
    <t>1小时快速搞懂重疾险</t>
  </si>
  <si>
    <t>保险业务</t>
  </si>
  <si>
    <t>保险行业的各个业务究竟如何运作，其中的盈利模式又是如何，作为保险行业新人，想要快速上手保险基础，【保险业务】给你带来体系性的架构</t>
  </si>
  <si>
    <t>保险行业各业务部门运作机制与盈利模式</t>
  </si>
  <si>
    <t>年金险</t>
  </si>
  <si>
    <t>商业养老年金保险是寿险的一种特殊形式，如何面向客户做好需求区分与分层，针对中产家庭做好年金产品匹配，是【年金险】板块致力于呈现的专业内容</t>
  </si>
  <si>
    <t>商业年金与客户经营</t>
  </si>
  <si>
    <t>工薪及中产家庭商业年金配置</t>
  </si>
  <si>
    <t>大众富裕家庭商业年金配置</t>
  </si>
  <si>
    <t>终身寿险</t>
  </si>
  <si>
    <t>在老龄化不断加剧的当下社会时代，终身寿险可以在被保险人生存期间可以部分退保领取部分现金价值，可以解决养老问题，然而，如何正确的匹配客户画像，并形成自我的营销认知，是本模块要解决的核心问题</t>
  </si>
  <si>
    <t>终身寿客户画像与销售逻辑</t>
  </si>
  <si>
    <t>鄢老师</t>
  </si>
  <si>
    <t>终身寿场景营销六脉神剑</t>
  </si>
  <si>
    <t>终身寿销售的正确认知</t>
  </si>
  <si>
    <t>终身寿全逻辑销售</t>
  </si>
  <si>
    <t>保单营销</t>
  </si>
  <si>
    <t>作为金融行业从业人员最庞大的产业，保险行业一直有着非常成熟的产品销售逻辑。而保险产品也一直以来是每一个客户的基础投资理财配置之一。可是，落地到每一个业务人员，如何进行落地销售？如何沟通实际的保险需求？如何洞悉他们对不同保险产品的真实偏好？如何像保险大咖学习？这就是【保单营销】板块的基础课程策划</t>
  </si>
  <si>
    <t>资产配置与大额保单</t>
  </si>
  <si>
    <t>1小时颠覆传统保险营销方法</t>
  </si>
  <si>
    <t>年入百万保险营销秘技</t>
  </si>
  <si>
    <t>资产配置下的保险策略营销</t>
  </si>
  <si>
    <t>以始为终的发问技巧</t>
  </si>
  <si>
    <t>成交的八大法门</t>
  </si>
  <si>
    <t>范老师</t>
  </si>
  <si>
    <t>以保险为核心的家庭财务规划</t>
  </si>
  <si>
    <t>如何销售保障型产品</t>
  </si>
  <si>
    <t>如何一天成交108件保单</t>
  </si>
  <si>
    <t>连续1486天开单的秘诀</t>
  </si>
  <si>
    <t>保险与民法典</t>
  </si>
  <si>
    <t>《中华人民共和国民法典》被称为“社会生活的百科全书”，是市场经济的基本法，详细了解《民法典》，对保险业务人员有着重要的影响。掌握《民法典》相关知识，从而更好地做好保险相关业务，对所在机构和对客户负责。</t>
  </si>
  <si>
    <t>保险营销合规实务</t>
  </si>
  <si>
    <t>民法典解读概述+担保物权</t>
  </si>
  <si>
    <t>《民法典》最新解读与法商修养</t>
  </si>
  <si>
    <t>民法典寿险营销</t>
  </si>
  <si>
    <t>民法典对保险业务的影响</t>
  </si>
  <si>
    <t>民法典对保险合同的影响</t>
  </si>
  <si>
    <t>民法典后时代保险业的应对</t>
  </si>
  <si>
    <t>《保险法》解读</t>
  </si>
  <si>
    <t>十一、金融科技</t>
  </si>
  <si>
    <t>Fintech，到底是金融重要，还是技术重要？金融是需求的底层，技术是插上翅膀的工具，A（人工智能）、B（区块链）、C（云）和D（大数据）是这其中的核心板块，随着金融科技的不断深入，NFT和Web 3.0也走上了数字经济的前沿，需要我们仔细了解它的特点与要点</t>
  </si>
  <si>
    <t>2小时速懂金融科技（2020年版本）</t>
  </si>
  <si>
    <t>人工智能入门</t>
  </si>
  <si>
    <t>俞老师</t>
  </si>
  <si>
    <t>金融市场大数据和机器学习</t>
  </si>
  <si>
    <t>在线直播版本</t>
  </si>
  <si>
    <t>金融机构大数据治理与智能风控应用</t>
  </si>
  <si>
    <t>数字货币30讲</t>
  </si>
  <si>
    <t>1小时快速搞懂Web3.0</t>
  </si>
  <si>
    <t>1小时快速搞懂NFT</t>
  </si>
  <si>
    <t>区块链</t>
  </si>
  <si>
    <t>什么是区块链？区块链与比特币又有哪些区别和联系？【区块链】将带你零基础入门区块链，这里有你想知道的关于区块链的一切知识</t>
  </si>
  <si>
    <t>零基础入门区块链</t>
  </si>
  <si>
    <t>王老师&amp;曹老师&amp;王老师</t>
  </si>
  <si>
    <t>区块链从0到1与在金融等不同行业的应用</t>
  </si>
  <si>
    <t>十二、投行、投资与研究</t>
  </si>
  <si>
    <t>投行上市</t>
  </si>
  <si>
    <t>上市IPO</t>
  </si>
  <si>
    <t>投行客户面访的20大常见沟通话术与场景案例分析</t>
  </si>
  <si>
    <t>投行项目开拓的5大高效渠道与必备技能</t>
  </si>
  <si>
    <t>魏老师</t>
  </si>
  <si>
    <t>管中窥豹！快速做好投行项目实控人KYC的必备技能</t>
  </si>
  <si>
    <t>投行业务如何辨别合适的目标企业、判断上市资质与潜力</t>
  </si>
  <si>
    <t>心有灵犀！投行业务人员与企业实控人的沟通必知技巧</t>
  </si>
  <si>
    <t>投资银行理论与实务</t>
  </si>
  <si>
    <t>米老师</t>
  </si>
  <si>
    <t>赴港上市新规及模式解读</t>
  </si>
  <si>
    <t>香港上市新规及案例解读</t>
  </si>
  <si>
    <t>中概股上市及私有化</t>
  </si>
  <si>
    <t>中国企业海外上市新趋势</t>
  </si>
  <si>
    <t>中国企业跨境上市对比及案例实操</t>
  </si>
  <si>
    <t>劳老师</t>
  </si>
  <si>
    <t>科创板新规解读及关注事项</t>
  </si>
  <si>
    <t>殷老师</t>
  </si>
  <si>
    <t>挂牌新三板：从入门到精通</t>
  </si>
  <si>
    <t>K先生/葛老师</t>
  </si>
  <si>
    <t>IPO被否案例解读</t>
  </si>
  <si>
    <t>定增借壳</t>
  </si>
  <si>
    <t>如何做定向增发？如何做借壳上市？过去的中国A股市场，【定增与借壳】为什么如此火爆，他们满足了哪些上市公司的刚需，待专业老师一一进行讲解和分析</t>
  </si>
  <si>
    <t>定增项目操作实务</t>
  </si>
  <si>
    <t>借壳上市</t>
  </si>
  <si>
    <t>并购重组</t>
  </si>
  <si>
    <t>并购，金融业务皇冠上的明珠，如何在A股市场做好上市公司并购与重组，【并购重组】板块是投行人又一大核心技能板块</t>
  </si>
  <si>
    <t>企业并购实操</t>
  </si>
  <si>
    <t>A股并购重组与并购基金设立探讨</t>
  </si>
  <si>
    <t>田老师</t>
  </si>
  <si>
    <t>新三板并购重组</t>
  </si>
  <si>
    <t>新三板转主板IPO法律实操及案例解析</t>
  </si>
  <si>
    <t>并购的方式、意义、途径</t>
  </si>
  <si>
    <t>沈老师</t>
  </si>
  <si>
    <t>混改3.0 格力电器并购案解析</t>
  </si>
  <si>
    <t>市值管理</t>
  </si>
  <si>
    <t>市值管理是上市公司与基金公司关注的“结构设计”，无论是产业层面的经营，还是资本层面的估值，都属于这个范畴，【市值管理】课程带你深度认识上市公司的管理与经营</t>
  </si>
  <si>
    <t>市值管理-PE与上市公司的合作</t>
  </si>
  <si>
    <t>海外并购</t>
  </si>
  <si>
    <t>如何理清海外收购的流程脉络，如何成功完成一笔海外并购的项目，这中间有哪些坑需要注意，【海外并购】板块是金融人在日益全球化的金融市场活动中需要掌握的知识与技能</t>
  </si>
  <si>
    <t>海外并购流程简介</t>
  </si>
  <si>
    <t>中国企业海外投资监管政策变化及应对方式（2020年版）</t>
  </si>
  <si>
    <t>1181</t>
  </si>
  <si>
    <t>余老师</t>
  </si>
  <si>
    <t>中国企业海外投资并购</t>
  </si>
  <si>
    <t>中美贸易战对海外并购的影响及其应对</t>
  </si>
  <si>
    <t>详解并购文书LOI&amp;SPA</t>
  </si>
  <si>
    <t>中欧跨境并购交易案例</t>
  </si>
  <si>
    <t>尽职调查与
交易结构</t>
  </si>
  <si>
    <t>尽职调查</t>
  </si>
  <si>
    <t>做项目的过程中，尽职调查是十分重要的一环，无论财务还是法律，任何环节的疏忽，都可能成为项目失败的缘由，这也是我们希望在【尽职调查】章节为学员带来的解决方案，一套全面的实务操作体系</t>
  </si>
  <si>
    <t>如何进行科学尽调访谈</t>
  </si>
  <si>
    <t>精细化财务尽调-通过序时账进行收入分析</t>
  </si>
  <si>
    <t>财务尽调-企业盈利性预测</t>
  </si>
  <si>
    <t>如何正确看待第三方财务尽调</t>
  </si>
  <si>
    <t>数字经济行业尽职调查</t>
  </si>
  <si>
    <t>集成电路行业尽职调查</t>
  </si>
  <si>
    <t>医院并购尽职调查</t>
  </si>
  <si>
    <t>财务尽职调查体系课</t>
  </si>
  <si>
    <t>王老师 &amp; Alan老师</t>
  </si>
  <si>
    <t>财务尽职调查（线下版）</t>
  </si>
  <si>
    <t>Bill老师</t>
  </si>
  <si>
    <t>财务尽职调查案例分享</t>
  </si>
  <si>
    <t>并购交易法律尽职调查实务</t>
  </si>
  <si>
    <t>并购中的尽职调查</t>
  </si>
  <si>
    <t>钱老师</t>
  </si>
  <si>
    <t>或有负债的尽职调查</t>
  </si>
  <si>
    <t>并购中的商业尽调</t>
  </si>
  <si>
    <t>1小时入门投前管理层背景调查</t>
  </si>
  <si>
    <t>房地产项目的并购尽调</t>
  </si>
  <si>
    <t>投资并购的尽职调查实操</t>
  </si>
  <si>
    <t>交易结构</t>
  </si>
  <si>
    <t>如何根据上市或者并购交易的形式，或者股权交易和资产交易的需求，或者境内结构和境外架构的搭建，设计合理的交易结构，这就是【交易结构】板块所解决的核心问题</t>
  </si>
  <si>
    <t>1小时入门交易结构</t>
  </si>
  <si>
    <t>并购交易结构设计10大技巧</t>
  </si>
  <si>
    <t>并购法律实务：并购协议条款设计详解与风险防范</t>
  </si>
  <si>
    <t>庞老师</t>
  </si>
  <si>
    <t>红筹架构设计</t>
  </si>
  <si>
    <t>单老师</t>
  </si>
  <si>
    <t>PE/VC/私募基金</t>
  </si>
  <si>
    <t>PE/VC
资本运作</t>
  </si>
  <si>
    <t>【PE/VC资本运作】板块的课程内容，致力于讲解清楚PE/VC/母基金的运作机制、市场玩家和盈利模式、整个行业的发展历史、以及“募-投-管-退”的全流程拆解</t>
  </si>
  <si>
    <t>PE/VC理论与实务</t>
  </si>
  <si>
    <t>杠杆收购基础</t>
  </si>
  <si>
    <t>杠杆收购交易实操流程</t>
  </si>
  <si>
    <t>母基金的发展、运作模式及典型案例</t>
  </si>
  <si>
    <t>母基金发展主要模式解析</t>
  </si>
  <si>
    <t>并购基金</t>
  </si>
  <si>
    <t>并购基金专注于从事企业并购投资操作，涉及杠杆收购、投后管理、上市与拍卖退出等多个环节，它是如何运作的？海外并购基金是如何设立的？【并购基金】这门课结合理论与实务，为你深度讲解并购基金的实操</t>
  </si>
  <si>
    <t>并购基金运作实务</t>
  </si>
  <si>
    <t>并购基金典型交易案例解析</t>
  </si>
  <si>
    <t>海外基金设立实操</t>
  </si>
  <si>
    <t>罗老师</t>
  </si>
  <si>
    <t>Term Sheet</t>
  </si>
  <si>
    <t>修改Term Sheet，与创业者针对Term Sheet中的条款进行讲解、谈判和说服，是投资与融资中必备的文书技能，如何看【Term Sheet】中的条款不再头痛，这就是本章节对于学员的价值</t>
  </si>
  <si>
    <t>Term Sheet全解读</t>
  </si>
  <si>
    <t>投资条款清单案例解析-AK47</t>
  </si>
  <si>
    <t>投后管理</t>
  </si>
  <si>
    <t>“投而不管”是国内众多投资机构需要提升的意识与技能，可是，如何管理？如何用投资思维为企业增长赋能？如何从企业的维度思考他们在管理和运营中更需要什么？这就是在【投后管理】章节，我们将会讲解的内容逻辑</t>
  </si>
  <si>
    <t>投后管理之我和供应商的那点事儿</t>
  </si>
  <si>
    <t>私募基金合规</t>
  </si>
  <si>
    <t>一方面，我们管理被投企业，另一方面，我们需要管理私募基金自身的合规问题，面对监管和中国基金业协会的规章制度，我们如何了解合规过程中的监管思维与流程，这是在【私募基金合规章节】会进行讲解的内容</t>
  </si>
  <si>
    <t>PE/VC合规实操</t>
  </si>
  <si>
    <t>私募基金合规要点解读及案例分析</t>
  </si>
  <si>
    <t>谭老师</t>
  </si>
  <si>
    <t>详解最新私募基金备案焦点问题</t>
  </si>
  <si>
    <t>私募产品备案常见反馈问题汇总</t>
  </si>
  <si>
    <t>基金税务筹划</t>
  </si>
  <si>
    <t>在投资和并购之中，税收因素是常常我们想重视，但是又不知道从何下手的内容，【税务】板块为学员带来专业系统的投资并购的税收筹划介绍</t>
  </si>
  <si>
    <t>创投基金“税收新政“影响解读</t>
  </si>
  <si>
    <t>投资并购税收筹划与风险管理</t>
  </si>
  <si>
    <t>股权投资基金税务稽查风暴解读及应对</t>
  </si>
  <si>
    <t>创投基金涉税政策全解读</t>
  </si>
  <si>
    <t>柴老师</t>
  </si>
  <si>
    <t>创投私募基金税收管理</t>
  </si>
  <si>
    <t>1184</t>
  </si>
  <si>
    <t>投资并购重组涉税风险与规划</t>
  </si>
  <si>
    <t>1185</t>
  </si>
  <si>
    <t>回购</t>
  </si>
  <si>
    <t>除了上市和并购退出，由被投企业或者股东回购也是投资中十分重要的退出方式，作为正常退出渠道的补充知识，【回购】板块为学员介绍清楚市场常见的回购情形以及相应条款</t>
  </si>
  <si>
    <t>私募股权投资回购</t>
  </si>
  <si>
    <t>私募基金体系之律师视角</t>
  </si>
  <si>
    <t>监管趋严，私募基金如何合规运作极为关键，【私募基金体系之律师视角】从法律的角度出发，为学员建立一套完备的私募基金运作规范体系</t>
  </si>
  <si>
    <t>私募基金运作全套-法律视角</t>
  </si>
  <si>
    <t>尤律说私募之LP资源</t>
  </si>
  <si>
    <t>尤律说私募之募资</t>
  </si>
  <si>
    <t>尤律说私募之对赌</t>
  </si>
  <si>
    <t>尤律说私募之投后管理</t>
  </si>
  <si>
    <t>尤律说私募之投资</t>
  </si>
  <si>
    <t>尤律说私募之退出</t>
  </si>
  <si>
    <t>资产管理</t>
  </si>
  <si>
    <t>资产管理是将资金和风险进行合理配置，大热的FOF究竟是什么？保险如何做资金管理？【资产管理】课程从具体的产品和行业出发，为你解读资产管理落地实操</t>
  </si>
  <si>
    <t>保险资金另类投资实务操作与案例解析</t>
  </si>
  <si>
    <t>大类资产主动管理之FOF</t>
  </si>
  <si>
    <t>卢老师</t>
  </si>
  <si>
    <t>不良资产</t>
  </si>
  <si>
    <t>不良资产处置是中国金融市场中的重要组成部分，不管是商业银行，还是财务顾问，又或者是相关参与者，都在这个大市场中逐浪弄潮，【不良资产】板块带给你这个行业最落地实操的技能</t>
  </si>
  <si>
    <t>不良资产尽调</t>
  </si>
  <si>
    <t>白老师</t>
  </si>
  <si>
    <t>不良资产实务解析</t>
  </si>
  <si>
    <t>不良资产债务人恶意逃避债务及应对</t>
  </si>
  <si>
    <t>违约潮下的债权追索：财产保全</t>
  </si>
  <si>
    <t>清收不良资产的观察与操作</t>
  </si>
  <si>
    <t>1227</t>
  </si>
  <si>
    <t>十三、私募基金与量化投资</t>
  </si>
  <si>
    <t>量化投资</t>
  </si>
  <si>
    <t>量化投资入门</t>
  </si>
  <si>
    <t>【量化投资入门】板块的课程内容，致力于讲解清楚如何成为一名专业的量化投资者，以及在自身职业成长过程中，应该注意哪些技能类型的培养</t>
  </si>
  <si>
    <t>量化交易入门</t>
  </si>
  <si>
    <t>于老师</t>
  </si>
  <si>
    <t>量化投资之基础数学</t>
  </si>
  <si>
    <t>量化金融概述</t>
  </si>
  <si>
    <t>量化投资策略</t>
  </si>
  <si>
    <t>对于任何量化人，策略都是必须要提前思考清楚的，虽然编程很重要、模型不可少，但是如果策略没搞对，再好的模型也没有用武之地，这就是【量化投资策略】板块的核心</t>
  </si>
  <si>
    <t>量化策略 vs. 金融科技</t>
  </si>
  <si>
    <t>量化投资与对冲基金</t>
  </si>
  <si>
    <t>量化投资之Alpha策略</t>
  </si>
  <si>
    <t>Haksun老师</t>
  </si>
  <si>
    <t>期货与期权投资交易</t>
  </si>
  <si>
    <t>期权、期货、大宗商品及其他衍生品，一直以来都是全球金融市场量化交易的核心品种与金融工具，【期权、期货及其他衍生品】板块专注于对于各个金融工具的正确理解</t>
  </si>
  <si>
    <t>期权、期货及其他衍生产品</t>
  </si>
  <si>
    <t>大宗商品与期货</t>
  </si>
  <si>
    <t>卓老师</t>
  </si>
  <si>
    <t>期货交易的数字密码</t>
  </si>
  <si>
    <t>产品设计</t>
  </si>
  <si>
    <t>量化与私募产品设计</t>
  </si>
  <si>
    <t>金融产品是如何设计出来的？量化产品和私募产品的诞生逻辑是怎样的？【量化与私募产品设计】带你从原理出发，透彻认识金融产品的本质</t>
  </si>
  <si>
    <t>量化产品设计</t>
  </si>
  <si>
    <t>私募产品设计</t>
  </si>
  <si>
    <t>Python</t>
  </si>
  <si>
    <t>随着人工智能打败象棋国际大师李世石，随着越来越多的量化交易使用计算机语言，【Python】已经成为了金融人必备的新时代的技能</t>
  </si>
  <si>
    <t>金融人必知的Python入门课</t>
  </si>
  <si>
    <t>Python实战建模-基础运用</t>
  </si>
  <si>
    <t>1148</t>
  </si>
  <si>
    <t>Python实战建模-量化策略</t>
  </si>
  <si>
    <t>1149</t>
  </si>
  <si>
    <t>十四、资产证券化、融资租赁与房地产</t>
  </si>
  <si>
    <t>资产证券化与PPP</t>
  </si>
  <si>
    <t>资产证券化</t>
  </si>
  <si>
    <t>资产证券化是近年来的热门话题，什么是资产证券化？资产证券化的交易流程是怎么样的？【资产证券化】将结合实际案例告诉你答案，帮助你零基础入门资产证券化</t>
  </si>
  <si>
    <t>ABS资产证券化零基础入门</t>
  </si>
  <si>
    <t>资产证券化：理论、实务与项目的交易流程</t>
  </si>
  <si>
    <t>资产证券化：主要参与者与法律关系</t>
  </si>
  <si>
    <t>资产证券化：实务分析之购房尾款资产证券化中
的法律问题和操作要点解析</t>
  </si>
  <si>
    <t>HIGO</t>
  </si>
  <si>
    <t>资产证券化：专家主题分享之律师事务所视角</t>
  </si>
  <si>
    <t>资产证券化：实务分析之类REITs资产证券化中的法律问题和操作要点解析</t>
  </si>
  <si>
    <t>资产证券化：资产证券化评估实务与案例解析</t>
  </si>
  <si>
    <t>ABS投资及风险控制</t>
  </si>
  <si>
    <t>PPP</t>
  </si>
  <si>
    <t>PPP项目是公共工程领域政府与非政府主体共赢式的合作供给，我国政府正大力推广PPP模式，【PPP】将告诉你什么样的项目才最适合PPP以及PPP项目的典型交易结构</t>
  </si>
  <si>
    <t>PPP理论与实务</t>
  </si>
  <si>
    <t>融资租赁与供应链金融</t>
  </si>
  <si>
    <t>融资租赁</t>
  </si>
  <si>
    <t>融资租赁已经从一个微乎其微的小版块，发展成六万多亿规模的高增长行业，【融资租赁】将带你了解融资租赁业务热点，并从实务角度解读租赁物件管理的相关细节</t>
  </si>
  <si>
    <t>融资租赁热点事件聚焦与评述</t>
  </si>
  <si>
    <t>融资租赁业务——租赁物件管理实务</t>
  </si>
  <si>
    <t>万老师&amp;程老师</t>
  </si>
  <si>
    <t>供应链金融</t>
  </si>
  <si>
    <t>资产证券化有一套完备的法律关系，那么供应链金融资产证券化有什么样的法律细节？【供应链金融】将为你详细拆解供应链金融资产证券化背后的法律逻辑</t>
  </si>
  <si>
    <t>供应链金融资产证券化的法律逻辑</t>
  </si>
  <si>
    <t>温老师</t>
  </si>
  <si>
    <t>物流供应链金融的创新发展及法律问题解析</t>
  </si>
  <si>
    <t>民法典下保理行业变化</t>
  </si>
  <si>
    <t>房地产项目运作与投融资</t>
  </si>
  <si>
    <t>房地产投融资</t>
  </si>
  <si>
    <t>房地产行业作为经济周期之母，往往与经济发展有着深刻的内在联系，在新时代中，地产行业有什么样的转变和机遇？【房地产投融资】带你入门房地产投资</t>
  </si>
  <si>
    <t>房地产投资入门</t>
  </si>
  <si>
    <t>Evan老师</t>
  </si>
  <si>
    <t>地产私募基金入门</t>
  </si>
  <si>
    <t>房地产融资并购中的税务筹划</t>
  </si>
  <si>
    <t>物流行业保理的业务模式及法律问题解析</t>
  </si>
  <si>
    <t>房地产资产证券化</t>
  </si>
  <si>
    <t>【房地产资产证券化】板块将带你了解房地产行业保理以及房地产行业资产证券化的业务模式，商业地产资产证券化有哪些产品，他们的交易架构是什么样的</t>
  </si>
  <si>
    <t>地产保理及ABS</t>
  </si>
  <si>
    <t>田老师/项老师</t>
  </si>
  <si>
    <t>房地产资产证券化理论及实务分析</t>
  </si>
  <si>
    <t>汪老师</t>
  </si>
  <si>
    <t>复旦国顺大资管直播系列课程（2020.6）</t>
  </si>
  <si>
    <t>复旦大学管理学院在2020年发起了“国顺论坛”，汇聚业界、学界、监管等多方专业人士和核心机构共同推广中国不动产资管的健康发展与前行，为国内不动产和金融服务供给侧改革推波助力，大资管系列直播就是论坛的在线延续和补充</t>
  </si>
  <si>
    <t>资本与商管“双轮驱动”赋能老建筑的思考与实践</t>
  </si>
  <si>
    <t>不动产证券化的时机与标的选择</t>
  </si>
  <si>
    <t>可持续发展蓝图“赋能”不动产资产管理</t>
  </si>
  <si>
    <t>孟老师</t>
  </si>
  <si>
    <t>公募REITs与中国投资实践</t>
  </si>
  <si>
    <t>车老师</t>
  </si>
  <si>
    <t>“城市群”建设开足马力，地产金融如何健康布局</t>
  </si>
  <si>
    <t>资产证券化价值与评估</t>
  </si>
  <si>
    <t>曹老师</t>
  </si>
  <si>
    <t>十五、金融党建文化、法律法规与合规风控</t>
  </si>
  <si>
    <t>党建文化</t>
  </si>
  <si>
    <t>金融党建</t>
  </si>
  <si>
    <t>金融报国是在这个时代党和国家赋予金融人必须牢记的使命！金融机构与金融人如何不忘初心，为实现普惠金融而努力，这就是【金融党建】板块的重中之重</t>
  </si>
  <si>
    <t>学党史.金融人守初心担使命</t>
  </si>
  <si>
    <t>党建共创，金融普惠——建设有温度的银行金融系统</t>
  </si>
  <si>
    <t>从业道德</t>
  </si>
  <si>
    <t>金融从业道德与职业行为准则（2020新版）</t>
  </si>
  <si>
    <t>金融从业道德与职业行为准则（一级市场）</t>
  </si>
  <si>
    <t>证券行业从业人员应该遵循证券行业行为准则，【证券行业从业道德与职业行为准则】致力于为学员带来专业与接地气的从业道德规范操作行为解读</t>
  </si>
  <si>
    <t>证券从业人员的禁区</t>
  </si>
  <si>
    <t>证券人员行为守则</t>
  </si>
  <si>
    <t>法律法规</t>
  </si>
  <si>
    <t>金融法律法规</t>
  </si>
  <si>
    <t>【金融法律法规】作为每一个金融人在从业过程中必备的知识要素，我们必须时刻紧跟时事动态和脉搏，这也是从业人员要深耕的底层基础素养</t>
  </si>
  <si>
    <t>法律基础与民法</t>
  </si>
  <si>
    <t>反垄断法与反不当竞争法</t>
  </si>
  <si>
    <t>金融产品九民纪要</t>
  </si>
  <si>
    <t>非法集资类案件罪名案例解析</t>
  </si>
  <si>
    <t>证券市场法律法规解读</t>
  </si>
  <si>
    <t>金融行业作为离金钱最近的地方，离人性也最近，证券从业人员不仅受道德约束，更受相关法律的约束，【证券市场法律法规解读】将带你了解证券从业人员与证券市场的禁区，知悉法律，敬畏法律，才是市场参与者们的必须遵守之道</t>
  </si>
  <si>
    <t>证券市场的法律法规体系</t>
  </si>
  <si>
    <t>证券市场典型违法违规行为及法律责任（一级市场）</t>
  </si>
  <si>
    <t>证券市场典型违法违规行为及法律责任（二级市场）</t>
  </si>
  <si>
    <t>证券从业人员法律基础之刑法</t>
  </si>
  <si>
    <t>证券从业人员法律基础之公司法</t>
  </si>
  <si>
    <t>证券从业人员法律基础之合伙企业法</t>
  </si>
  <si>
    <t>证券从业人员法律基础之担保法</t>
  </si>
  <si>
    <t>证券从业人员法律基础之合同法</t>
  </si>
  <si>
    <t>证券从业人员法律基础之期货交易管理条例</t>
  </si>
  <si>
    <t>证券从业人员法律基础之证券投资基金法</t>
  </si>
  <si>
    <t>证券市场七宗罪</t>
  </si>
  <si>
    <t>1187</t>
  </si>
  <si>
    <t>证券法修改要点解读</t>
  </si>
  <si>
    <t>《期货和衍生品法》解读</t>
  </si>
  <si>
    <t>风险管理</t>
  </si>
  <si>
    <t>金融行业业务风险研究</t>
  </si>
  <si>
    <t>风险管理不管是对个人投资还是公司成长都至关重要，【金融行业业务风险研究】研究了一些因为不重视风险管控而一夜回到解放前的大佬们，希望能带给学员足够的启示</t>
  </si>
  <si>
    <t>风险管理失败案例研究</t>
  </si>
  <si>
    <t>非标业务常见风险及应对</t>
  </si>
  <si>
    <t>严老师</t>
  </si>
  <si>
    <t>从瑞幸咖啡和原油宝等风险事件来看金融市场中的风险防范</t>
  </si>
  <si>
    <t>从《大空头》看金融机构风险防范</t>
  </si>
  <si>
    <t>互联网金融风险防控</t>
  </si>
  <si>
    <t>作为普通投资者，如何防范和识别非法网贷？作为互联网金融创业者，如何防控其中的风险？【互联网金融风险防控】为你指一条明路</t>
  </si>
  <si>
    <t>互联网金融的监管与金融创新</t>
  </si>
  <si>
    <t>互联网金融创业的风险与防控</t>
  </si>
  <si>
    <t>商业逻辑之天上不会掉馅饼</t>
  </si>
  <si>
    <t>十六、从业证书</t>
  </si>
  <si>
    <t>从业证书考试</t>
  </si>
  <si>
    <t>证券从业</t>
  </si>
  <si>
    <t>证券从业资格是进入证券行业的必备证书，是进入银行或非银行金融机构、上市公司、投资公司、大型企业集团、财经媒体、政府经济部门的重要参考。【金融市场基础知识】将首先为你介绍几大投资市场，了解整个金融市场的大布局才是从业的基础</t>
  </si>
  <si>
    <t>金融市场体系</t>
  </si>
  <si>
    <t>证券市场主体</t>
  </si>
  <si>
    <t>股票市场</t>
  </si>
  <si>
    <t>债券市场</t>
  </si>
  <si>
    <t>证券投资基金与衍生工具</t>
  </si>
  <si>
    <t>金融风险管理</t>
  </si>
  <si>
    <t>金融行业作为离金钱最近的地方，离人性也最近，证券从业人员不仅受道德约束，更受相关法律的约束，【证券市场法律法规】为你详细解读证券从业人员立足于证券市场应该要遵守的法律法规，做一个遵纪守法的专业人员</t>
  </si>
  <si>
    <t>证券市场基本法律法规</t>
  </si>
  <si>
    <t>证券经营机构管理规范</t>
  </si>
  <si>
    <t>证券公司业务规范及行为规范</t>
  </si>
  <si>
    <t>证券投顾胜任力</t>
  </si>
  <si>
    <t>投顾胜任力证书，作为券商投顾能力不断提升的重要一环，是券商财富管理转型道路中的重要一步，每一个立志深耕客户长期价值的投资顾问都应该掌握【证券投顾胜任力】必备知识与技能</t>
  </si>
  <si>
    <t>证券投资顾问之业务监管</t>
  </si>
  <si>
    <t>证券投资顾问之生命周期理论</t>
  </si>
  <si>
    <t>证券投资顾问之货币的时间价值</t>
  </si>
  <si>
    <t>证券投资顾问之证券投资理论</t>
  </si>
  <si>
    <t>证券投资顾问之资本资产定价理论</t>
  </si>
  <si>
    <t>证券投资顾问之有效市场假说</t>
  </si>
  <si>
    <t>证券投资顾问之客户分析</t>
  </si>
  <si>
    <t>证券投资顾问之证券分析方法</t>
  </si>
  <si>
    <t>证券投资顾问之宏观经济与证券市场价格</t>
  </si>
  <si>
    <t>证券投资顾问之公司分析</t>
  </si>
  <si>
    <t>证券投资顾问之证券估值</t>
  </si>
  <si>
    <t>证券投资顾问之技术分析</t>
  </si>
  <si>
    <t>证券投资顾问之风险管理</t>
  </si>
  <si>
    <t>证券投资顾问之理财规划</t>
  </si>
  <si>
    <t>证券投资顾问之行业分析</t>
  </si>
  <si>
    <t>证券投资顾问之投资组合</t>
  </si>
  <si>
    <t>证券投资顾问之品种选择</t>
  </si>
  <si>
    <t>基金从业</t>
  </si>
  <si>
    <t>基金从业资格是进入基金行业的必备证书。【基金从业证书内容】以基金考试为基础，为学员实现零基础掌握证书考试内容的重点</t>
  </si>
  <si>
    <t>科目一：基金法律法规、职业道德与业务规范</t>
  </si>
  <si>
    <t>科目二：证券投资基金基础知识</t>
  </si>
  <si>
    <t>科目三：私募股权投资基金基础知识</t>
  </si>
  <si>
    <t>期货从业</t>
  </si>
  <si>
    <t>期货从业资格作为金融市场从业的又一必备证书，如何实现知识的快速全面掌握？【期货从业基础知识】为学员来带详细的内容讲解</t>
  </si>
  <si>
    <t>期货从业基础知识</t>
  </si>
  <si>
    <t>金融行业作为离金钱最近的地方，离人性也最近，所有从业人员不仅受道德约束，更受相关法律的约束【期货从业法律法规】将为学员带来期货从业的行为准则和必须要遵守的法律法规，实现学员的专业合规之路</t>
  </si>
  <si>
    <t>期货从业法律法规</t>
  </si>
  <si>
    <t>Hi-Finance简介</t>
  </si>
  <si>
    <t>Hi-Finance致力于解决金融行业理论知识与实务应用技能的脱节痛点，协助专业人士不再“一听就懂、一看就会、一做就错、一实践就悲剧”。
Hi-Finance与金融机构的HR部门紧密合作，共同构建专业人才的岗位技能图谱与体系课程，并提供线上或混学式（线上+线下）项目制学习的运营实施。
同时，我们还为金融机构的业务部门提供专业服务，比如：
1）证券公司总部、经纪业务/财富管理部门、网金部、投行部、研究所和分公司/营业部；
2）商业银行总行、零售银行、私人银行、数字银行和分支行网点等；
3）保险公司总部、寿险/财险、内勤岗和团队长等；
4）基金公司市场营销部、网金部和品牌部等；
5）期货公司、信托公司、三方财富、金融科技公司与其他金融机构服务商的业务条线等。
网址：www.hi-finance.com.cn 
公众号：hifinance金融学堂</t>
  </si>
  <si>
    <t>Hi-Management，致力于提升全行业专业人士的管理能力与通用职场能力</t>
  </si>
  <si>
    <t>Hi-Management课程清单</t>
  </si>
  <si>
    <t>级别</t>
  </si>
  <si>
    <t>一、职场新人通用技能体系课程</t>
  </si>
  <si>
    <t>Hi-Management新人体系</t>
  </si>
  <si>
    <t>角色力</t>
  </si>
  <si>
    <t>进入职场我们应该迅速脱离学生身份，完成职场的角色转变，适应职场新环境【角色力】课程为你带来如何从校园到职场的快速角色转变和正确的自我定位</t>
  </si>
  <si>
    <t>从校园到职场，如何迅速适应角色转变</t>
  </si>
  <si>
    <t>新人如何快速适应职场，找到自我定位</t>
  </si>
  <si>
    <t>从学校到银行 - 银行新人的基础思维与必备技能</t>
  </si>
  <si>
    <t>自驱力</t>
  </si>
  <si>
    <t>进入职场后，自我的内在驱动影响着一个人的不断成长迭代【自驱力】课程以实际案例为学员带来提升自驱力的思维习惯和方法</t>
  </si>
  <si>
    <t>不甘平凡，如何持续保持斗志，不断成长与迭代</t>
  </si>
  <si>
    <t>高效职场，新人必备的思维习惯</t>
  </si>
  <si>
    <t>成长型思维 vs. 固定型思维：我的职场我做主</t>
  </si>
  <si>
    <t>沟通力</t>
  </si>
  <si>
    <t>如何快速掌握职场必备的沟通与执行技能？【沟通力】课程从自我介绍开始，为你带来面对面时、微信沟通时应该具备的沟通技巧和必备礼仪</t>
  </si>
  <si>
    <t>新入职场必备的沟通原则与表达技巧</t>
  </si>
  <si>
    <t>如何做好机会来临时的一分钟自我介绍</t>
  </si>
  <si>
    <t>新人与上级沟通的必备技巧</t>
  </si>
  <si>
    <t>如何在微信中高效沟通，不被误解</t>
  </si>
  <si>
    <t>职场新人不可不知的商务礼仪</t>
  </si>
  <si>
    <t>MBTI性格类型与沟通技巧</t>
  </si>
  <si>
    <t>执行力</t>
  </si>
  <si>
    <t>作为职场新人拥有高效的时间管理能力和超强的执行力一定会在团队中脱颖而出【执行力】课程告诉你如何高效管理时间，完美的执行好被分配的任务，在团队里实现自己的最大价值</t>
  </si>
  <si>
    <t>快速证明自己，新人如何最大化自己在团队中的价值</t>
  </si>
  <si>
    <t>新人如何干净利落地执行好被分配的任务</t>
  </si>
  <si>
    <t>如何在工作中高效管理时间</t>
  </si>
  <si>
    <t>复原力</t>
  </si>
  <si>
    <t>996/007，职场的压力是必然存在的，要如何承受住这些压力，释放它们，将它们转化成动力【复原力】为你带来职场情绪管理小技巧，帮助你发现职场高压下的隐藏出口</t>
  </si>
  <si>
    <t>承受压力，释放压力，化压力为动力</t>
  </si>
  <si>
    <t>职场压力下的情绪管理小技巧</t>
  </si>
  <si>
    <t>正确开口求助，打开职场中新的一扇窗</t>
  </si>
  <si>
    <t>思考力</t>
  </si>
  <si>
    <t>我们的一举一动都代表着我们的思维方式，在职场，结构化思维逐渐成为晋升和与人沟通的一个核心环节【思考力】课程为你解释结构化思维，带你学习思维导图逆袭职场</t>
  </si>
  <si>
    <t>金字塔原理与结构化思维，让你的上级刮目相看</t>
  </si>
  <si>
    <t>撰写思维导图，逆袭职场，迅速得到老板赏识</t>
  </si>
  <si>
    <t>学习力</t>
  </si>
  <si>
    <t>新人初入职场如何快速学习职场知识，适应职场环境，脱颖而出？【学习力】课程以职场大佬的亲身经历告诉你要学什么？怎么学？可以实现肉眼可见的成长</t>
  </si>
  <si>
    <t>学什么？怎么学？可以实现入职一年后肉眼可见的成长</t>
  </si>
  <si>
    <t>规划力</t>
  </si>
  <si>
    <t>职业规划的重要性是决定了整个职业生涯的走向【规划力】课程以职场大佬的实景案例为你讲述初入职场要如何进行职场规划</t>
  </si>
  <si>
    <t>职场大佬养成记，过来人的路，我也走走看</t>
  </si>
  <si>
    <t>初入职场我该有怎样的职场规划</t>
  </si>
  <si>
    <t>二、通用职场必备技能</t>
  </si>
  <si>
    <t>个人职场必备技能</t>
  </si>
  <si>
    <t>专业文书技能</t>
  </si>
  <si>
    <t>写好工作与项目计划、年终总结和工作邮件等专业文书，是提高工作质量与效率的重要手段，也是职场人必备的专业技能，【专业文书技能】教会你各种文种的写作要求和写作框架结构，从容应对各种职场文书难题，通过文书让领导眼前一亮！</t>
  </si>
  <si>
    <t>公文写作基础</t>
  </si>
  <si>
    <t>公文写作场景案例分析</t>
  </si>
  <si>
    <t>如何撰写一份老板满意的文件材料</t>
  </si>
  <si>
    <t>如何撰写一份优质的会议纪要</t>
  </si>
  <si>
    <t>如何撰写一份重点突出的工作总结</t>
  </si>
  <si>
    <t>如何撰写一份优质的项目文案与合作方案</t>
  </si>
  <si>
    <t>如何得体地撰写与回复邮件</t>
  </si>
  <si>
    <t>如何和老板沟通和撰写工作总结报告（精简版）</t>
  </si>
  <si>
    <t>打工人不能错过的高效工作汇报技能</t>
  </si>
  <si>
    <t>高效沟通</t>
  </si>
  <si>
    <t>利用各种沟通技巧，解决职场和生活中难以应对的各种难题，【高效沟通】带给你有效的沟通方法提升职场发展</t>
  </si>
  <si>
    <t>如何利用OKR工作原理</t>
  </si>
  <si>
    <t>高效能沟通：男女思维大不同</t>
  </si>
  <si>
    <t>商务谈判</t>
  </si>
  <si>
    <t>如何切实解决商务活动的沟通问题，达成理解和认同，【商务谈判】教你解决一切谈判难题，赢得在商场上的主动权</t>
  </si>
  <si>
    <t>金融商务谈判快速入门</t>
  </si>
  <si>
    <t>金融商务谈判全流程解析</t>
  </si>
  <si>
    <t>投融资谈判实战技巧</t>
  </si>
  <si>
    <t>演讲技巧与影响力</t>
  </si>
  <si>
    <t>演讲几乎无处不在，人生处处是舞台，如何提升培养正确的演说思维呢？【演讲技巧与影响力】高效表达你的演说目的同时产生强大的个人影响力</t>
  </si>
  <si>
    <t>高效演讲技巧</t>
  </si>
  <si>
    <t>高效能沟通：七条必知的演讲技巧</t>
  </si>
  <si>
    <t>如何打造个人影响力更好获客</t>
  </si>
  <si>
    <t>如何吸引他人的眼球</t>
  </si>
  <si>
    <t>客户投诉管理</t>
  </si>
  <si>
    <t>本课程从认识投诉、处理投诉、预防投诉和管理投诉四个方面，深刻全面地分析了客户投诉管理，面对客户不再畏手畏脚，而是能知悉客户实际需求，并做出相关的应对之道</t>
  </si>
  <si>
    <t>客户投诉管理概述</t>
  </si>
  <si>
    <t>客户投诉的原因分析</t>
  </si>
  <si>
    <t>客户投诉的心理与处理技巧</t>
  </si>
  <si>
    <t>客户投诉的处理流程与指导原则</t>
  </si>
  <si>
    <t>客户投诉的有关标准</t>
  </si>
  <si>
    <t>建立有效的客户投诉管理体系</t>
  </si>
  <si>
    <t>客户投诉危机的管理</t>
  </si>
  <si>
    <t>客户投诉的预防管理</t>
  </si>
  <si>
    <t>三、中高层管理必备技能课程</t>
  </si>
  <si>
    <t>管理技能</t>
  </si>
  <si>
    <t>新晋中层管理</t>
  </si>
  <si>
    <t>新晋中层是每个企业管理和运营中的基石，是不可或缺和不可替代的重要环节，然而，如何提高他们的管理效能，如何让他们迅速从专业走向管理，如何让他们在面对不同管理场景时有的放矢，知悉解决方案，这是【新晋中层管理】板块致力解决的问题，从单兵作战到团队高效协同才是终极目标</t>
  </si>
  <si>
    <t>从业务精英走向管理第一课</t>
  </si>
  <si>
    <t>新晋中层管理之高效会议</t>
  </si>
  <si>
    <t>徐老师</t>
  </si>
  <si>
    <t>新晋中层管理之高效复盘</t>
  </si>
  <si>
    <t>新晋中层管理之团队管理</t>
  </si>
  <si>
    <t>三步法解读团队赋能与激励</t>
  </si>
  <si>
    <t>团队协作与高效沟通</t>
  </si>
  <si>
    <t>高效营销团队搭建与流程梳理</t>
  </si>
  <si>
    <t>三步搞定招聘</t>
  </si>
  <si>
    <t>销售管理</t>
  </si>
  <si>
    <t>当从新人成长为中层，当我们面对销售团队的管理，如何通过全脑模型更好的理解每个人的诉求，【销售管理】带给你的不仅是客户的视角，还有下属与整体团队的视角</t>
  </si>
  <si>
    <t>全脑销售管理</t>
  </si>
  <si>
    <t>管理效能加速度</t>
  </si>
  <si>
    <t>1098</t>
  </si>
  <si>
    <t>如何带销售新人</t>
  </si>
  <si>
    <t>从销售菜鸟到专家</t>
  </si>
  <si>
    <t>团队文化</t>
  </si>
  <si>
    <t>营造积极向上、拼命向前冲的团队文化，是任何企业和团队的目标，【团队文化】板块致力于教会你如何打造狼性团队和正向的团队氛围</t>
  </si>
  <si>
    <t>如何打造一支狼性团队</t>
  </si>
  <si>
    <t>时间管理</t>
  </si>
  <si>
    <t>时间管理对于每个人来说都是至关重要的，但是对于管理者来说特别重要，【时间管理】带给你有效的时间管理方法，制定合理的时间规划、合理分配时间、使用时间监控工具，进行时间反思，为每一位管理者在工作与生活中取得更好的成果</t>
  </si>
  <si>
    <t>面向管理者的时间管理</t>
  </si>
  <si>
    <t>执行力是每一个专业人士在职场的生存基础，是值得他人新来的宝石，【执行力】为学员展示如何在数字化时代构建自己的执行力品牌</t>
  </si>
  <si>
    <t>新时代高效执行力</t>
  </si>
  <si>
    <t>市场营销</t>
  </si>
  <si>
    <t>市场营销是企业营销管理中的必要一环，如何做好新时代的营销矩阵，是我们必备掌握的技能之一</t>
  </si>
  <si>
    <t>营销创新四步法</t>
  </si>
  <si>
    <t>科叔</t>
  </si>
  <si>
    <t>管理团队</t>
  </si>
  <si>
    <t>如何管理团队，知悉现在90后的所思所想、语言和逻辑体系，是当前管理者的难题，【管理团队】既侧重于全员，也会覆盖到新人的管理</t>
  </si>
  <si>
    <t>庙算-管理情景分析与管理策略选择</t>
  </si>
  <si>
    <t>券商营销管理者的团队管理与赋能技巧</t>
  </si>
  <si>
    <t>管理者的角色认知</t>
  </si>
  <si>
    <t>90后员工心态建设及心理辅导</t>
  </si>
  <si>
    <t>制度与流程管理</t>
  </si>
  <si>
    <t>管理者必知的招聘面试技巧</t>
  </si>
  <si>
    <t>招聘面试不仅是人力资源的招聘者重要的技能，也是每一位管理者的技能，【管理者必知的招聘面试技巧】提供有针对性的面试策略为企业选拔出优秀的人才</t>
  </si>
  <si>
    <t>如何快速招聘</t>
  </si>
  <si>
    <t>有效的面试技巧</t>
  </si>
  <si>
    <t>专业HRBP必备的7个“硬功夫”</t>
  </si>
  <si>
    <t>高效能面试官的7个秘籍</t>
  </si>
  <si>
    <t>四、在线讲师授课技能提升体系（数字化线上TTT/内训师技能提升）</t>
  </si>
  <si>
    <t>数字化时代，专业人士如何讲好在线课</t>
  </si>
  <si>
    <t>会讲在线视频课，已经变成新时代的各行各业的专业人士必备技能之一，【在线讲师授课技能提升】帮助所有专业人士克服对镜头的恐惧，打造个人品牌</t>
  </si>
  <si>
    <t>数字化时代，如何做好一门在线课程</t>
  </si>
  <si>
    <t>一门优质在线课程的课程设计</t>
  </si>
  <si>
    <t>做好在线课程的镜头技巧与工具</t>
  </si>
  <si>
    <t>专业人士做好在线内容的视频讲解技巧</t>
  </si>
  <si>
    <t>Hi-Finance的讲师评分表（雷达图）</t>
  </si>
  <si>
    <t>在线课程制作技巧：场地布置与录制实操</t>
  </si>
  <si>
    <t>如何做好投教课程设计：定位与框架的案例分析</t>
  </si>
  <si>
    <t>保险内训师之增员内容授课技能提升</t>
  </si>
  <si>
    <t>保险业务岗位内容授课技能提升</t>
  </si>
  <si>
    <t>五、企业运营知识体系</t>
  </si>
  <si>
    <t>企业运营
知识体系</t>
  </si>
  <si>
    <t>企业融资</t>
  </si>
  <si>
    <t>企业寻求融资时，如何在短时间内打动投资人？【企业融资】板块将告诉你都有哪些技巧，以及后续如何防范融资中可能存在的法律风险</t>
  </si>
  <si>
    <t>如何60秒迅速吸引投资人眼球</t>
  </si>
  <si>
    <t>企业融资中的法律风险防范</t>
  </si>
  <si>
    <t>对接资本市场的内部控制要求与体系建设</t>
  </si>
  <si>
    <t>商业模式</t>
  </si>
  <si>
    <t>读懂商业模式是金融人必须具备的基础能力之一，它的背后隐藏着企业成长的核心，为什么企业可以快速扩张？为什么有的企业成功了，有的却失败了？【商业模式】带你看懂企业高速成长的秘密</t>
  </si>
  <si>
    <t>企业成长的逻辑：速度与并购</t>
  </si>
  <si>
    <t>创业企业</t>
  </si>
  <si>
    <t>【初创企业基础】板块将带给新成立公司的负责人在创立企业过程中的所有流程与如何避开那些坑</t>
  </si>
  <si>
    <t>企业融资-创业者实操专场</t>
  </si>
  <si>
    <t>避开这些坑，创业才靠谱：找钱、找人和做好运营</t>
  </si>
  <si>
    <t>公司治理与股权激励</t>
  </si>
  <si>
    <t>在进行股权激励的同时，如何防范控制权转移的风险？【公司治理与股权激励】将从咨询与律师两个视角告诉你，股权激励的利与弊</t>
  </si>
  <si>
    <t>公司法下公司运行规则及控制权风险防范</t>
  </si>
  <si>
    <t>股权激励之咨询视角解读</t>
  </si>
  <si>
    <t>股权激励之律师视角解读</t>
  </si>
  <si>
    <t>企业税务必知</t>
  </si>
  <si>
    <t>企业难免会遇到一些财税硬伤，如何走出现金的困局 ?不是只有财务才需要看懂现金流量表，公司负责人更需要，【企业税务必知】将告诉你如何搭建专业的财务团队</t>
  </si>
  <si>
    <t>公司常见的财税硬伤及应对</t>
  </si>
  <si>
    <t>姚老师/李老师</t>
  </si>
  <si>
    <t>中小企业税务风险管控</t>
  </si>
  <si>
    <t>企业税务预测预警指标分析</t>
  </si>
  <si>
    <t>陶老师</t>
  </si>
  <si>
    <t>企业税务稽查中的三大常见方向</t>
  </si>
  <si>
    <t>企业财务</t>
  </si>
  <si>
    <t>预算管理如何做 ?内部控制又如何做？不是只有财务才需要预算管理与内控，公司负责人更需要，【企业财务】将告诉你内控、预算管理里面都有哪些坑</t>
  </si>
  <si>
    <t>每个管理者必须知道的财务知识</t>
  </si>
  <si>
    <t>小米老师</t>
  </si>
  <si>
    <t>【非财精品课】</t>
  </si>
  <si>
    <t>全面预算管理</t>
  </si>
  <si>
    <t>胡老师</t>
  </si>
  <si>
    <t>企业内部控制建设</t>
  </si>
  <si>
    <t>Hi-Management简介</t>
  </si>
  <si>
    <t>专业力、通用力和文化力，构成了一个职场人必备的三大核心能力。我们除了重视专业能力的培养，还为企业提供管理力和通用技能力的能力模型体系搭建与人才培养服务，协助新人从懵懂到独当一面，协助新晋中层从优秀到卓越。迄今，Hi-Management已经服务了近100家大中型企业。
Hi-Management主要内容方向：
* 新人：从0到1的新人职场能力体系（校招/社招）
* 新晋中层：新晋中层的管理能力提升（战略解码、团队管理、组织架构与组织文化建设）等
* 全员专项技能：TTT/内训师、企业内部讲师直播技能提升、职场公文写作、商务谈判、商务礼仪、高效沟通、时间管理、项目管理、非财、非人等
* 特定岗位：券商营业部总经理/团队长、银行分支行行长/高潜/储备干部和金融网点负责人的管理能力提升、保险业务团队总监等</t>
  </si>
  <si>
    <t>Hi-Finance讲书系列</t>
  </si>
  <si>
    <t>课程版块</t>
  </si>
  <si>
    <t>一句话内容介绍</t>
  </si>
  <si>
    <t>金融书籍讲解</t>
  </si>
  <si>
    <t>金融必读经典</t>
  </si>
  <si>
    <t>读经典，站在巨人的肩膀上，可以让我们成长的更快，视野更加宽广，【金融必读经典】选取的都是金融行业中销量和口碑经过数十年验证的书籍，带给学员腹有诗书气自华的感觉</t>
  </si>
  <si>
    <t>《说谎者的扑克牌》</t>
  </si>
  <si>
    <t>如何把华尔街看做一个丛林，这本书就是必备的存活指南</t>
  </si>
  <si>
    <t>《漫步华尔街》</t>
  </si>
  <si>
    <t>揭示如何在华尔街上赚到钱，并持续长期赚到钱的方法论</t>
  </si>
  <si>
    <t>《原则》</t>
  </si>
  <si>
    <r>
      <rPr>
        <sz val="9"/>
        <color theme="1"/>
        <rFont val="微软雅黑"/>
        <family val="2"/>
        <charset val="134"/>
      </rPr>
      <t>世界知名对冲基金桥水创始人瑞</t>
    </r>
    <r>
      <rPr>
        <sz val="9"/>
        <color theme="1"/>
        <rFont val="Wingdings"/>
        <charset val="2"/>
      </rPr>
      <t></t>
    </r>
    <r>
      <rPr>
        <sz val="9"/>
        <color theme="1"/>
        <rFont val="微软雅黑"/>
        <family val="2"/>
        <charset val="134"/>
      </rPr>
      <t>达里奥著作</t>
    </r>
  </si>
  <si>
    <t>《投资最重要的事》</t>
  </si>
  <si>
    <t>橡树资本创始人经典之做，巴菲特鼎力推荐</t>
  </si>
  <si>
    <t>价值投资</t>
  </si>
  <si>
    <t>究竟什么是价值投资？格雷厄姆、巴菲特和查理•芒格，他们的理论又有何异同，【价值投资】板块通过讲解每个人的核心价值观，从而带给学员全方位的深入思考</t>
  </si>
  <si>
    <t>《证券分析》</t>
  </si>
  <si>
    <t>价值投资之父格雷厄姆的开山之作，公司与证券分析底层</t>
  </si>
  <si>
    <t>《聪明的投资者》</t>
  </si>
  <si>
    <t>价值投资之父格雷厄姆的顶峰之作，长期投资的法宝</t>
  </si>
  <si>
    <t>《巴菲特之道》</t>
  </si>
  <si>
    <t>揭秘巴菲特如何挑选公司的众多秘籍与经验</t>
  </si>
  <si>
    <t>《穷查理宝典》</t>
  </si>
  <si>
    <t>巴菲特背后的大脑，投资界大道至简的智慧</t>
  </si>
  <si>
    <t>在这个财富管理的大时代，如何成为一名令人信赖的理财顾问，如何搞懂富豪的心理，如何知晓市场运作的规律，【财富管理】带给你完整的知识结构，参考财富管理巨头嘉信理财的成功经验，知悉行业发展趋势与自身职场的成功之路</t>
  </si>
  <si>
    <t>《投资 - 嘉信理财持续创新之道》</t>
  </si>
  <si>
    <t>财富管理行业巨擘嘉信理财的成长、成熟与成功之路</t>
  </si>
  <si>
    <t>《富豪的心理-财富精英的隐秘知识》</t>
  </si>
  <si>
    <t>想要服务富豪，就必须了解他们之所以富有背后的奥秘</t>
  </si>
  <si>
    <t>《富人的逻辑》</t>
  </si>
  <si>
    <t>如何成为富豪？如何创造财富？揭秘富人独特的思维方式</t>
  </si>
  <si>
    <t>《如何成为令人信赖的理财顾问》（讲书版）</t>
  </si>
  <si>
    <t>作为财富管理行业新手，这是能让你快速上手的必备宝典</t>
  </si>
  <si>
    <t>《如何成为令人信赖的理财顾问》（案例版）</t>
  </si>
  <si>
    <t>当你度过从0到1的阶段，案例版将会让你的业绩再次提升</t>
  </si>
  <si>
    <t>财商入门</t>
  </si>
  <si>
    <t>作为零基础的理财小白，如何树立正确的理财意识和思维？如何看清金融市场中的众多套路？如何使得自己的资产保值增值？【财商入门】是每个人投资理财的第一课</t>
  </si>
  <si>
    <t>《小狗钱钱》</t>
  </si>
  <si>
    <t>不管你是否理过财、投过资，这本书都会重新打开一扇窗</t>
  </si>
  <si>
    <t>《贫穷的本质》</t>
  </si>
  <si>
    <t>贫穷的人真的是缺钱么？如何摆脱贫穷的意识才是正解！</t>
  </si>
  <si>
    <t>《投资的常识》</t>
  </si>
  <si>
    <t>著名投资大咖们退休后的思想沉淀，简单易行，少走弯路</t>
  </si>
  <si>
    <t>《富爸爸穷爸爸》</t>
  </si>
  <si>
    <t>为什么有人富、有人穷？投资理财原来可以很简单</t>
  </si>
  <si>
    <t>行为金融</t>
  </si>
  <si>
    <t>人到底是理性还是感性？金融市场到底是理性还是感性？为什么我们常常会在顶点买入和低点卖出？为什么我们总错处错误的决定？这就是【行为金融】板块所要解决的核心问题</t>
  </si>
  <si>
    <t>《非理性繁荣》</t>
  </si>
  <si>
    <r>
      <rPr>
        <sz val="9"/>
        <color theme="1"/>
        <rFont val="微软雅黑"/>
        <family val="2"/>
        <charset val="134"/>
      </rPr>
      <t>诺贝尔经济学奖罗伯特</t>
    </r>
    <r>
      <rPr>
        <sz val="9"/>
        <color theme="1"/>
        <rFont val="Wingdings"/>
        <charset val="2"/>
      </rPr>
      <t></t>
    </r>
    <r>
      <rPr>
        <sz val="9"/>
        <color theme="1"/>
        <rFont val="微软雅黑"/>
        <family val="2"/>
        <charset val="134"/>
      </rPr>
      <t>希勒的精准市场心理研究</t>
    </r>
  </si>
  <si>
    <t>《错误的行为》</t>
  </si>
  <si>
    <t>投资是跟着感性还是理性？改变错误的行为，从今天开始</t>
  </si>
  <si>
    <t>知名金融机构
与人物</t>
  </si>
  <si>
    <t>金融机构如何从小做到大，职场大佬在职场的发展和成长过程中，如何确立自己的价值观？如何找到努力的方向？如何设立正确的目标？【知名金融机构与任务】章节将会详细揭示金融巨头和金融大佬的成长之路</t>
  </si>
  <si>
    <t>《金融之王-毁了世界的银行家》</t>
  </si>
  <si>
    <t>金融是枪，政治告你何时扣动扳机，银行与政治的博弈史</t>
  </si>
  <si>
    <t>《高盛帝国》</t>
  </si>
  <si>
    <t>揭示高盛如何在大起大落之后，成为金融行业的王者</t>
  </si>
  <si>
    <t>《美第奇银行的兴衰》</t>
  </si>
  <si>
    <t>曾经掌管教皇资产的意大利最有权势的银行兴衰史</t>
  </si>
  <si>
    <t>《戴维斯王朝》</t>
  </si>
  <si>
    <t>如何将5万资产翻10000倍？戴维斯双击给你揭秘</t>
  </si>
  <si>
    <t>《黑石的起点，我的顶点》</t>
  </si>
  <si>
    <t>黑石创始人带你开悟，如何在每一步做出“正确”选择</t>
  </si>
  <si>
    <t>股市风云与量化交易</t>
  </si>
  <si>
    <t>在量化交易与股票市场上，LTCM、麦哲伦基金的彼得•林奇、高盛的金融工程大咖德曼等人可谓是众星之中最璀璨的几颗，他们的成功之道与经验教训都是什么？【量化交易与股市风云】会带来二级市场的独特视角，在这里，看懂市场风云，知悉金融投资的背后逻辑，避开市场的雷区</t>
  </si>
  <si>
    <t>《股票作手回忆录》</t>
  </si>
  <si>
    <t>华尔街最伟大交易员的人生传记，走入那个激荡的时代</t>
  </si>
  <si>
    <t>《战胜华尔街》</t>
  </si>
  <si>
    <t>你想不想战胜华尔街，获得超额收益？如果想，跟他走！</t>
  </si>
  <si>
    <t>《赌金者》</t>
  </si>
  <si>
    <t>天才们从惊天收益到陨落破产，一起去探索隐藏的秘密</t>
  </si>
  <si>
    <t>《宽客人生》</t>
  </si>
  <si>
    <t>前高盛高管、华尔街金融工程大咖德曼的量化成长经历</t>
  </si>
  <si>
    <t>《投资中最简单的事》</t>
  </si>
  <si>
    <t>大音希声、大象无形，仔细学习著名投资人的思维模型</t>
  </si>
  <si>
    <t>《避开股市的地雷》</t>
  </si>
  <si>
    <t>55分钟</t>
  </si>
  <si>
    <t>教你识别股市地雷的方法论著作，保卫自我与客户的资产</t>
  </si>
  <si>
    <t>资本运作</t>
  </si>
  <si>
    <t>金融机构如何遴选项目，在资本市场翻手为云覆手为雨？并购交易为什么被称之为皇冠上的明珠，又有哪些巨型金融公司靠并购获得成功，【资本运作】章节将会详细一一道来</t>
  </si>
  <si>
    <t>《资本之王》</t>
  </si>
  <si>
    <t>黑石成为全球最大投资集团之一的成功方法论</t>
  </si>
  <si>
    <t>《门口的野蛮人》</t>
  </si>
  <si>
    <t>如果只读一本并购市场的书，非它莫属</t>
  </si>
  <si>
    <t>《3G资本帝国》</t>
  </si>
  <si>
    <t>不一样的视角，全球最大酒商的背后资本创业与运作史</t>
  </si>
  <si>
    <t>《孵化皮克斯》</t>
  </si>
  <si>
    <t>看完它，除了感动，就是感动，这是属于乔布斯的时代</t>
  </si>
  <si>
    <t>《花旗帝国》</t>
  </si>
  <si>
    <t>记录花旗帝国缔造师的银行保险并购史与背后决策逻辑</t>
  </si>
  <si>
    <t>宏观经济与金融监管</t>
  </si>
  <si>
    <t>华尔街与美联储，他们如何一步步发展起来的，他们是全球经济规则的制定者，在这里有哪些我们所不知道的信息，在这里是如何监管者全球的经济脉动，【宏观经济与金融监管】带给学员不一样的风险管理视角</t>
  </si>
  <si>
    <t>《伟大的博弈》</t>
  </si>
  <si>
    <t>揭秘华尔街和美国金融市场过去300年变迁史</t>
  </si>
  <si>
    <t>《极端经济》</t>
  </si>
  <si>
    <t>在这里，你会感慨经济的韧性、生命力与不断求索的人性</t>
  </si>
  <si>
    <t>《我在美联储监管银行》</t>
  </si>
  <si>
    <t>一场奇妙的职场履历，背后是对美联储体系的全方位认知</t>
  </si>
  <si>
    <t>《这次不一样-八百年金融危机史》</t>
  </si>
  <si>
    <t>金融危机从来都不是突然出现，背后都有着共同的原因</t>
  </si>
  <si>
    <t>《骗局之王》</t>
  </si>
  <si>
    <t>庞氏骗局缔造者的自我发迹、癫狂与灭亡的人生回忆录</t>
  </si>
  <si>
    <t>职场与商业类讲书</t>
  </si>
  <si>
    <t>领导力、管理力和战略力</t>
  </si>
  <si>
    <t>对于新晋中层，如何快速的掌握带领团队和下属的能力至关重要，而中层的《领导力》、《管理力》和《战略力》，不单纯是向下管理，还有平级管理，以及向上管理，这些都是中层在面临全方位职场压力的时候，需要有的放矢合适处理的关键能力</t>
  </si>
  <si>
    <t>《领导力21法则》</t>
  </si>
  <si>
    <t>快速入门领导力的必备书籍，21条法则助力成为真正领导</t>
  </si>
  <si>
    <t>《领导力》（曼联主教练弗格森）</t>
  </si>
  <si>
    <t>在这里领略将一只濒临降级的球队打造为全球王者的奥秘</t>
  </si>
  <si>
    <t>《好战略，坏战略》</t>
  </si>
  <si>
    <t>如何制定出适当的战略？不仅需要方法，更需要思维转型</t>
  </si>
  <si>
    <t>《中层领导力》（360°管理）</t>
  </si>
  <si>
    <t>中层管理者必备的向上管理、平级管理和向下管理技巧</t>
  </si>
  <si>
    <t>《中层领导力》（自我修行篇）</t>
  </si>
  <si>
    <t>在这里，学会中层管理者自我迭代进阶、走向卓越的武器</t>
  </si>
  <si>
    <t>数字化营销</t>
  </si>
  <si>
    <t>数字化时代，如何玩转线上营销，是长尾能赚钱，还是爆款能带来更高收益？如何洞悉大众心理玩转价格游戏？价格策略究竟如何为企业带来更高利润？消费者究竟为什么买单？这都是我们需要搞懂的营销思维</t>
  </si>
  <si>
    <t>《无价》</t>
  </si>
  <si>
    <t>价格机制是心理的游戏，带你走入顾客内心的真实世界</t>
  </si>
  <si>
    <t>《爆款：如何打造超级IP》</t>
  </si>
  <si>
    <t>放弃长尾，打造爆款！掌握必备的打造爆款的核心技巧</t>
  </si>
  <si>
    <t>《人心红利》</t>
  </si>
  <si>
    <t>想获得人口与流量红利以外的财富，就要抓住消费者的心</t>
  </si>
  <si>
    <t>《周鸿祎自述：我的互联网方法论》</t>
  </si>
  <si>
    <t>数字化时代，我们应该借鉴的互联网产品和运营先进经验</t>
  </si>
  <si>
    <t>企业经营</t>
  </si>
  <si>
    <t>各个知名公司是如何从起步走向成功？他们的创始人有哪些特质值得我们学习和借鉴？他们有哪些不为外人道也的【企业经营】策略与经验，他们的商业逻辑如何影响着一代代的经营者不断走向卓越？我们在这里会揭示他们不断走向伟大背后的秘密</t>
  </si>
  <si>
    <t>《富甲美国》（沃尔玛创始人）</t>
  </si>
  <si>
    <t>一场不为人知的微起步，成就了商业史上伟大的旅途</t>
  </si>
  <si>
    <t>《海底捞你学不会》</t>
  </si>
  <si>
    <t>海底捞的内核真的是服务么？为你阐述它的成功之道</t>
  </si>
  <si>
    <t>《西贝的服务员为什么总爱笑》</t>
  </si>
  <si>
    <t>为啥西贝的菜品SKU越来越少？揭示小步快跑背后的力量</t>
  </si>
  <si>
    <t>《鼎泰丰自述：有温度的完美》</t>
  </si>
  <si>
    <t>天下武功唯快不破，而鼎泰丰告诉我们，慢也是商业的快</t>
  </si>
  <si>
    <t>《快鱼战略，黄记煌的经营智慧》</t>
  </si>
  <si>
    <t>想复制中国的肯德基？中国餐饮行业标准化的实操历程</t>
  </si>
  <si>
    <t>思维与工作习惯</t>
  </si>
  <si>
    <t>如何掌握高效的工作方法？如何提升思考、表达、解决问题的能力？如何找到自己的定位？【思维与工作习惯】帮助您给自己的职业生涯打下坚实有力的根基</t>
  </si>
  <si>
    <t>《麦肯锡入职培训第一课》</t>
  </si>
  <si>
    <t>职场新人的必修课，职场老人温故而知新的手册</t>
  </si>
  <si>
    <t>《金字塔原理》</t>
  </si>
  <si>
    <t>思维逻辑、语言表达与公文写作都需要的方法论底层</t>
  </si>
  <si>
    <t>《全脑优势》</t>
  </si>
  <si>
    <t>如何洞悉对方思路高效沟通？这是大脑思维模型的威力</t>
  </si>
  <si>
    <t>《OKR工作法》</t>
  </si>
  <si>
    <t>KPI已死？与员工协同的目标O匹配关键结果KR才是未来</t>
  </si>
  <si>
    <t>《自控力》</t>
  </si>
  <si>
    <t>教你掌握如何控制自己注意力、情绪力和欲望力的方法</t>
  </si>
  <si>
    <t>有效沟通</t>
  </si>
  <si>
    <t>谈话目标是什么？当别人不认同你的观点，你该如何侃侃而谈？当别人沉默或暴力来应对你的谈话，你又该如何解决？【有效沟通】帮助学员轻松面对各种难以应付的局面</t>
  </si>
  <si>
    <t>《关键对话》</t>
  </si>
  <si>
    <t>目标至上、找到对方核心诉求，这是打开沟通共赢的钥匙</t>
  </si>
  <si>
    <t>《九型人格》</t>
  </si>
  <si>
    <t>掌握每个人的性格分析思路，掌握职场高品质沟通的艺术</t>
  </si>
  <si>
    <t>个人管理</t>
  </si>
  <si>
    <t>如何合理分配、充分利用你一天的注意力，分出轻重缓急，做出最明智的工作决策？【个人管理】帮助学员掌握足以颠覆工作习惯的高效技巧</t>
  </si>
  <si>
    <t>《高效时间管理》</t>
  </si>
  <si>
    <t>降低无效时间、创造时间和告别拖延症的解决方法与路径</t>
  </si>
  <si>
    <t>《精力管理》</t>
  </si>
  <si>
    <t>解决“为什么会疲劳、如何保持持久稳定的精力”的难题</t>
  </si>
  <si>
    <t>《如何高效阅读一本书》</t>
  </si>
  <si>
    <t>速读？精读？快速入门高质量读书的底层思维逻辑与视角</t>
  </si>
  <si>
    <t>职涯规划</t>
  </si>
  <si>
    <t>不同于虚无缥缈的成功学，真正的成功是脚踏实地又有不断冒险的信念，坚守原则做正确的事，【职涯规划】告诉您创造机会抓住机会，获得属于自己的成功</t>
  </si>
  <si>
    <t>《将心注入》（星巴克前CEO）</t>
  </si>
  <si>
    <t>星巴克从初创、成长到成功、仿徨与再出发的经营历程</t>
  </si>
  <si>
    <t>《这样的店长很抢手：餐饮店长脱胎换股之特训书册》</t>
  </si>
  <si>
    <t>专才做店长管理的运营、人才管理和标准化流程梳理方法</t>
  </si>
  <si>
    <t>《从服务员开始，开挂人生》</t>
  </si>
  <si>
    <t>做到极致服务，需要的是极致思维，一起领略高手的绝学</t>
  </si>
  <si>
    <t>《海底捞店长日记》</t>
  </si>
  <si>
    <t>店长如何定战略、管理新员工与淡旺季业务的一线经验</t>
  </si>
  <si>
    <t>销售类讲书</t>
  </si>
  <si>
    <t>销售基础与销售思维</t>
  </si>
  <si>
    <t>销售是一场心理博弈战，怎么做才能有更多的客户？怎么说才能打动客户的心？【销售基础与销售思维】提供给您有效的销售策略、方法和技巧，学会与客户进行真诚的沟通</t>
  </si>
  <si>
    <t>《阿里铁军》</t>
  </si>
  <si>
    <t>要想打造战斗力卓越的部队，就要学习阿里铁军的制度</t>
  </si>
  <si>
    <t>《销售就是搞定人》</t>
  </si>
  <si>
    <t>谈话与心理，利他与服务，成为超级销售，一个都不能少</t>
  </si>
  <si>
    <t>《高情商销售》</t>
  </si>
  <si>
    <t>如何快速与陌生客户建立信任关系的十二大执行步骤</t>
  </si>
  <si>
    <t>销售话术与大订单销售</t>
  </si>
  <si>
    <t>如何一步步的制订销售计划与方向，如何以晋级承诺为核心一步步走向达单，【销售话术与大订单销售】为学员详细讲解销售背后的心理学，以及如何面对高净值人群与大客户</t>
  </si>
  <si>
    <t>《销售就是卖故事》</t>
  </si>
  <si>
    <t>如何善用故事？成为销售中能使用的最厉害武器的执剑者</t>
  </si>
  <si>
    <t>《销售巨人 - 大订单销售训练手册》</t>
  </si>
  <si>
    <t>掌握SPIN技能，快速搞定大客户，了解他们的决策逻辑</t>
  </si>
  <si>
    <t>销售冠军</t>
  </si>
  <si>
    <t>销售冠军之所以是冠军，一定有不为常人所知的过人之处，向冠军学习，我们也必将走上销冠之路，在【销售冠军】板块，我们为您详细讲解销售冠军成功的技巧和经验</t>
  </si>
  <si>
    <t>《给成交一个理由》</t>
  </si>
  <si>
    <t>中国保险女皇的成长历程，向她学习，跨进优质人生</t>
  </si>
  <si>
    <t>《抢单手记，销售就是要搞定人》</t>
  </si>
  <si>
    <t>To B企业销售的必备技巧，揭秘你不知道的那些销售门道</t>
  </si>
  <si>
    <t>《世界上最伟大的销售员》</t>
  </si>
  <si>
    <t>从食不果腹到全球汽车行业销冠，跟着他，这是一种信念</t>
  </si>
  <si>
    <t>课程类内容</t>
  </si>
  <si>
    <t>管理后台</t>
  </si>
  <si>
    <t>Hi-Finance
每月新课清单</t>
  </si>
  <si>
    <t>课程板块</t>
  </si>
  <si>
    <t>报价单号：SH-HQ2021.4</t>
  </si>
  <si>
    <t>通用管理</t>
  </si>
  <si>
    <t>CHRIS ZHANG</t>
  </si>
  <si>
    <t>2020.3上新</t>
  </si>
  <si>
    <t>安洋</t>
  </si>
  <si>
    <t>听书类内容</t>
  </si>
  <si>
    <t>量化交易
与股市风云</t>
  </si>
  <si>
    <t>商业逻辑与企业经营</t>
  </si>
  <si>
    <t>证券公司财富顾问</t>
    <phoneticPr fontId="42" type="noConversion"/>
  </si>
  <si>
    <t>证券公司投资顾问</t>
    <phoneticPr fontId="42" type="noConversion"/>
  </si>
  <si>
    <t>如何说服企业上市？去哪里上市？上市的流程又是什么？对于投行人与投资人，从A股到港股，从美股到科创板，【上市IPO】永远是投行人/投资人与金融机构企业服务必备的核心技能</t>
    <phoneticPr fontId="42" type="noConversion"/>
  </si>
  <si>
    <t>证券公司财富顾问是客户营销、沟通与服务的一线人员，如何和客户进行良好的互动与专业信任建立，这都是财富顾问要做好的基本功</t>
    <phoneticPr fontId="42" type="noConversion"/>
  </si>
  <si>
    <t>证券公司投资顾问是证券公司的基本盘，无论佮数字化转型，投资顾问都是核心主业，无论是营销型投顾还是生产型投顾，从投研到行业研究，专业性的提升是客户服务的基石</t>
    <phoneticPr fontId="42" type="noConversion"/>
  </si>
  <si>
    <t>金融机构直播技能提升之七步法</t>
    <phoneticPr fontId="42" type="noConversion"/>
  </si>
  <si>
    <t>证券公司经纪业务与财富管理展业流程业务全景图与诊断分析</t>
    <phoneticPr fontId="42" type="noConversion"/>
  </si>
  <si>
    <t>《证券经营机构及其工作人员廉洁从业实施细则》解读</t>
    <phoneticPr fontId="42" type="noConversion"/>
  </si>
  <si>
    <t>证券公司文化建设与从业人员职业道德（基础篇）</t>
    <phoneticPr fontId="42" type="noConversion"/>
  </si>
  <si>
    <t>证券行业从业人员行为规范（基础篇）</t>
    <phoneticPr fontId="42" type="noConversion"/>
  </si>
  <si>
    <t>证券行业违规案例剖析</t>
    <phoneticPr fontId="42" type="noConversion"/>
  </si>
  <si>
    <t>3</t>
    <phoneticPr fontId="42" type="noConversion"/>
  </si>
  <si>
    <t>范老师</t>
    <phoneticPr fontId="42" type="noConversion"/>
  </si>
  <si>
    <t>优秀培训师的三项训练</t>
    <phoneticPr fontId="42" type="noConversion"/>
  </si>
  <si>
    <t>11</t>
    <phoneticPr fontId="42" type="noConversion"/>
  </si>
  <si>
    <t>金融从业道德是每一个金融从业者都必须学习的基础底层</t>
    <phoneticPr fontId="42" type="noConversion"/>
  </si>
  <si>
    <t>证券文化建设与从业道德是每一个证券从业者都必须学习的基础底层</t>
    <phoneticPr fontId="42" type="noConversion"/>
  </si>
  <si>
    <t>从业道德、文化建设与职业行为准则</t>
    <phoneticPr fontId="42" type="noConversion"/>
  </si>
  <si>
    <t>内训师/数字化TTT</t>
    <phoneticPr fontId="42" type="noConversion"/>
  </si>
  <si>
    <t>企业微信如何赋能银行营销</t>
    <phoneticPr fontId="42" type="noConversion"/>
  </si>
  <si>
    <t>6</t>
    <phoneticPr fontId="42" type="noConversion"/>
  </si>
  <si>
    <t>卜老师</t>
    <phoneticPr fontId="42" type="noConversion"/>
  </si>
  <si>
    <t>银行企业微信配置技巧</t>
    <phoneticPr fontId="42" type="noConversion"/>
  </si>
  <si>
    <t>企业微信如何高效添加客户</t>
    <phoneticPr fontId="42" type="noConversion"/>
  </si>
  <si>
    <t>企业微信的客户标签应用技巧</t>
    <phoneticPr fontId="42" type="noConversion"/>
  </si>
  <si>
    <t>企业微信中的个人对外形象打造</t>
    <phoneticPr fontId="42" type="noConversion"/>
  </si>
  <si>
    <t>企业微信客户群建设和运营技巧</t>
    <phoneticPr fontId="42" type="noConversion"/>
  </si>
  <si>
    <t>企业微信特色社群建设和运营</t>
    <phoneticPr fontId="42" type="noConversion"/>
  </si>
  <si>
    <t>应用企业微信做好代发客户运营</t>
    <phoneticPr fontId="42" type="noConversion"/>
  </si>
  <si>
    <t>8</t>
    <phoneticPr fontId="42" type="noConversion"/>
  </si>
  <si>
    <t>7</t>
    <phoneticPr fontId="42" type="noConversion"/>
  </si>
  <si>
    <t>4</t>
    <phoneticPr fontId="42" type="noConversion"/>
  </si>
  <si>
    <t>胡老师</t>
    <phoneticPr fontId="42" type="noConversion"/>
  </si>
  <si>
    <t>5</t>
    <phoneticPr fontId="42" type="noConversion"/>
  </si>
  <si>
    <t>徐老师</t>
    <phoneticPr fontId="42" type="noConversion"/>
  </si>
  <si>
    <t>贾老师</t>
    <phoneticPr fontId="42" type="noConversion"/>
  </si>
  <si>
    <t>直营团队如何运用企业微信提升客户经营能力</t>
    <phoneticPr fontId="42" type="noConversion"/>
  </si>
  <si>
    <t>李老师</t>
    <phoneticPr fontId="42" type="noConversion"/>
  </si>
  <si>
    <t>机构内训师十五大培训技巧秘籍</t>
    <phoneticPr fontId="42" type="noConversion"/>
  </si>
  <si>
    <t>15</t>
    <phoneticPr fontId="42" type="noConversion"/>
  </si>
  <si>
    <t>培训理论模型大全</t>
    <phoneticPr fontId="42" type="noConversion"/>
  </si>
  <si>
    <t>18</t>
    <phoneticPr fontId="42" type="noConversion"/>
  </si>
  <si>
    <t>企业微信社群营销实操</t>
    <phoneticPr fontId="42" type="noConversion"/>
  </si>
  <si>
    <t>微信生态的1V1微信营销</t>
    <phoneticPr fontId="42" type="noConversion"/>
  </si>
  <si>
    <t>打造现象级私域个人IP</t>
    <phoneticPr fontId="42" type="noConversion"/>
  </si>
  <si>
    <t>王老师</t>
    <phoneticPr fontId="42" type="noConversion"/>
  </si>
  <si>
    <t>机构内训师如何玩转TTT</t>
    <phoneticPr fontId="42" type="noConversion"/>
  </si>
  <si>
    <t>21</t>
    <phoneticPr fontId="42" type="noConversion"/>
  </si>
  <si>
    <t>高效应对客户常问的基金定投18大高频问题</t>
    <phoneticPr fontId="42" type="noConversion"/>
  </si>
  <si>
    <t>许老师</t>
    <phoneticPr fontId="42" type="noConversion"/>
  </si>
  <si>
    <t>私募基金销售异议处理12大场景与话术技巧</t>
    <phoneticPr fontId="42" type="noConversion"/>
  </si>
  <si>
    <t>报价单号：SH-HQ2023.12</t>
    <phoneticPr fontId="42" type="noConversion"/>
  </si>
  <si>
    <t>企业微信</t>
    <phoneticPr fontId="42" type="noConversion"/>
  </si>
  <si>
    <t>初级</t>
    <phoneticPr fontId="42" type="noConversion"/>
  </si>
  <si>
    <t>中级</t>
    <phoneticPr fontId="42" type="noConversion"/>
  </si>
  <si>
    <t>【企业微信】支持与微信进行互通，如何配置？如何高效的添加客户？客户标签怎么贴？客户群建设以及运营，提升客户经营能力，赋能企业员工更好的进行客户管理，达成业绩。</t>
    <phoneticPr fontId="42" type="noConversion"/>
  </si>
  <si>
    <t>公募基金产品营销</t>
    <phoneticPr fontId="42" type="noConversion"/>
  </si>
  <si>
    <t>刘老师</t>
    <phoneticPr fontId="42" type="noConversion"/>
  </si>
  <si>
    <t>金融产品沟通与销售</t>
    <phoneticPr fontId="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</si>
</sst>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76" formatCode="#\ &quot;分钟&quot;"/>
    <numFmt numFmtId="177" formatCode="0.0\ &quot;小时&quot;"/>
    <numFmt numFmtId="178" formatCode="#&quot; 分钟&quot;"/>
    <numFmt numFmtId="179" formatCode="0.0&quot; 小时&quot;"/>
    <numFmt numFmtId="180" formatCode="0_);[Red]\(0\)"/>
  </numFmts>
  <fonts count="49" x14ac:knownFonts="1">
    <font>
      <sz val="11"/>
      <color theme="1"/>
      <name val="宋体"/>
      <charset val="134"/>
      <scheme val="minor"/>
    </font>
    <font>
      <sz val="11"/>
      <color theme="1"/>
      <name val="微软雅黑"/>
      <family val="2"/>
      <charset val="134"/>
    </font>
    <font>
      <b/>
      <i/>
      <sz val="11"/>
      <color rgb="FF0070C0"/>
      <name val="微软雅黑"/>
      <family val="2"/>
      <charset val="134"/>
    </font>
    <font>
      <sz val="9"/>
      <name val="微软雅黑"/>
      <family val="2"/>
      <charset val="134"/>
    </font>
    <font>
      <sz val="9"/>
      <color indexed="63"/>
      <name val="微软雅黑"/>
      <family val="2"/>
      <charset val="134"/>
    </font>
    <font>
      <sz val="9"/>
      <color theme="1"/>
      <name val="微软雅黑"/>
      <family val="2"/>
      <charset val="134"/>
    </font>
    <font>
      <i/>
      <u/>
      <sz val="9"/>
      <color indexed="12"/>
      <name val="微软雅黑"/>
      <family val="2"/>
      <charset val="134"/>
    </font>
    <font>
      <b/>
      <sz val="11"/>
      <color indexed="63"/>
      <name val="微软雅黑"/>
      <family val="2"/>
      <charset val="134"/>
    </font>
    <font>
      <sz val="11"/>
      <name val="微软雅黑"/>
      <family val="2"/>
      <charset val="134"/>
    </font>
    <font>
      <b/>
      <sz val="11"/>
      <name val="微软雅黑"/>
      <family val="2"/>
      <charset val="134"/>
    </font>
    <font>
      <sz val="11"/>
      <color rgb="FF333333"/>
      <name val="微软雅黑"/>
      <family val="2"/>
      <charset val="134"/>
    </font>
    <font>
      <b/>
      <sz val="10"/>
      <name val="微软雅黑"/>
      <family val="2"/>
      <charset val="134"/>
    </font>
    <font>
      <b/>
      <sz val="11"/>
      <color theme="0"/>
      <name val="微软雅黑"/>
      <family val="2"/>
      <charset val="134"/>
    </font>
    <font>
      <sz val="9"/>
      <color indexed="8"/>
      <name val="微软雅黑"/>
      <family val="2"/>
      <charset val="134"/>
    </font>
    <font>
      <b/>
      <sz val="9"/>
      <name val="微软雅黑"/>
      <family val="2"/>
      <charset val="134"/>
    </font>
    <font>
      <b/>
      <sz val="10"/>
      <color indexed="63"/>
      <name val="微软雅黑"/>
      <family val="2"/>
      <charset val="134"/>
    </font>
    <font>
      <b/>
      <sz val="18"/>
      <color theme="0"/>
      <name val="微软雅黑"/>
      <family val="2"/>
      <charset val="134"/>
    </font>
    <font>
      <sz val="8"/>
      <color theme="1"/>
      <name val="微软雅黑"/>
      <family val="2"/>
      <charset val="134"/>
    </font>
    <font>
      <sz val="8"/>
      <color indexed="63"/>
      <name val="微软雅黑"/>
      <family val="2"/>
      <charset val="134"/>
    </font>
    <font>
      <u/>
      <sz val="8"/>
      <color indexed="12"/>
      <name val="微软雅黑"/>
      <family val="2"/>
      <charset val="134"/>
    </font>
    <font>
      <sz val="8"/>
      <name val="微软雅黑"/>
      <family val="2"/>
      <charset val="134"/>
    </font>
    <font>
      <b/>
      <sz val="14"/>
      <color theme="0"/>
      <name val="微软雅黑"/>
      <family val="2"/>
      <charset val="134"/>
    </font>
    <font>
      <sz val="9"/>
      <color rgb="FF000000"/>
      <name val="微软雅黑"/>
      <family val="2"/>
      <charset val="134"/>
    </font>
    <font>
      <sz val="9"/>
      <color rgb="FF333333"/>
      <name val="微软雅黑"/>
      <family val="2"/>
      <charset val="134"/>
    </font>
    <font>
      <sz val="6"/>
      <name val="微软雅黑"/>
      <family val="2"/>
      <charset val="134"/>
    </font>
    <font>
      <b/>
      <sz val="16"/>
      <color theme="0"/>
      <name val="微软雅黑"/>
      <family val="2"/>
      <charset val="134"/>
    </font>
    <font>
      <i/>
      <sz val="9"/>
      <color rgb="FF0070C0"/>
      <name val="微软雅黑"/>
      <family val="2"/>
      <charset val="134"/>
    </font>
    <font>
      <sz val="9"/>
      <color rgb="FF000000"/>
      <name val="Microsoft YaHei UI"/>
      <family val="2"/>
      <charset val="134"/>
    </font>
    <font>
      <sz val="11"/>
      <color theme="0"/>
      <name val="微软雅黑"/>
      <family val="2"/>
      <charset val="134"/>
    </font>
    <font>
      <sz val="8"/>
      <color theme="0"/>
      <name val="微软雅黑"/>
      <family val="2"/>
      <charset val="134"/>
    </font>
    <font>
      <sz val="10"/>
      <color theme="1"/>
      <name val="华文楷体"/>
      <family val="3"/>
      <charset val="134"/>
    </font>
    <font>
      <b/>
      <sz val="10"/>
      <color rgb="FF0070C0"/>
      <name val="微软雅黑"/>
      <family val="2"/>
      <charset val="134"/>
    </font>
    <font>
      <b/>
      <i/>
      <sz val="11"/>
      <color rgb="FF0070C0"/>
      <name val="华文楷体"/>
      <family val="3"/>
      <charset val="134"/>
    </font>
    <font>
      <b/>
      <sz val="6"/>
      <color rgb="FF0070C0"/>
      <name val="微软雅黑"/>
      <family val="2"/>
      <charset val="134"/>
    </font>
    <font>
      <b/>
      <sz val="9"/>
      <color rgb="FF0070C0"/>
      <name val="微软雅黑"/>
      <family val="2"/>
      <charset val="134"/>
    </font>
    <font>
      <sz val="11"/>
      <color rgb="FF0000FF"/>
      <name val="华文楷体"/>
      <family val="3"/>
      <charset val="134"/>
    </font>
    <font>
      <sz val="12"/>
      <color rgb="FF0000FF"/>
      <name val="华文楷体"/>
      <family val="3"/>
      <charset val="134"/>
    </font>
    <font>
      <u/>
      <sz val="12"/>
      <color indexed="12"/>
      <name val="宋体"/>
      <family val="3"/>
      <charset val="134"/>
    </font>
    <font>
      <sz val="11"/>
      <color theme="1"/>
      <name val="宋体"/>
      <family val="3"/>
      <charset val="134"/>
      <scheme val="minor"/>
    </font>
    <font>
      <sz val="11"/>
      <color rgb="FF000000"/>
      <name val="Calibri"/>
      <family val="2"/>
    </font>
    <font>
      <sz val="9"/>
      <color theme="1"/>
      <name val="Wingdings"/>
      <charset val="2"/>
    </font>
    <font>
      <b/>
      <sz val="11"/>
      <color rgb="FFFFFF00"/>
      <name val="微软雅黑"/>
      <family val="2"/>
      <charset val="134"/>
    </font>
    <font>
      <sz val="9"/>
      <name val="宋体"/>
      <family val="3"/>
      <charset val="134"/>
      <scheme val="minor"/>
    </font>
    <font>
      <sz val="9"/>
      <color theme="1"/>
      <name val="微软雅黑"/>
      <family val="2"/>
      <charset val="134"/>
    </font>
    <font>
      <sz val="8"/>
      <color theme="1"/>
      <name val="微软雅黑"/>
      <family val="2"/>
      <charset val="134"/>
    </font>
    <font>
      <sz val="9"/>
      <color indexed="8"/>
      <name val="微软雅黑"/>
      <family val="2"/>
      <charset val="134"/>
    </font>
    <font>
      <b/>
      <sz val="10"/>
      <color indexed="63"/>
      <name val="微软雅黑"/>
      <family val="2"/>
      <charset val="134"/>
    </font>
    <font>
      <sz val="9"/>
      <name val="微软雅黑"/>
      <family val="2"/>
      <charset val="134"/>
    </font>
    <font>
      <b/>
      <sz val="9"/>
      <color theme="1"/>
      <name val="微软雅黑"/>
      <family val="2"/>
      <charset val="134"/>
    </font>
  </fonts>
  <fills count="7">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indexed="9"/>
        <bgColor indexed="64"/>
      </patternFill>
    </fill>
    <fill>
      <patternFill patternType="solid">
        <fgColor rgb="FFFFFFFF"/>
        <bgColor rgb="FF000000"/>
      </patternFill>
    </fill>
    <fill>
      <patternFill patternType="solid">
        <fgColor theme="4"/>
        <bgColor indexed="64"/>
      </patternFill>
    </fill>
  </fills>
  <borders count="47">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style="thick">
        <color rgb="FF0070C0"/>
      </top>
      <bottom/>
      <diagonal/>
    </border>
    <border>
      <left/>
      <right/>
      <top style="thick">
        <color rgb="FF0070C0"/>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diagonal/>
    </border>
    <border>
      <left/>
      <right style="medium">
        <color auto="1"/>
      </right>
      <top style="thin">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medium">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indexed="8"/>
      </right>
      <top style="thin">
        <color auto="1"/>
      </top>
      <bottom/>
      <diagonal/>
    </border>
    <border>
      <left style="thin">
        <color auto="1"/>
      </left>
      <right style="thin">
        <color auto="1"/>
      </right>
      <top style="thin">
        <color indexed="8"/>
      </top>
      <bottom style="thin">
        <color auto="1"/>
      </bottom>
      <diagonal/>
    </border>
    <border>
      <left style="thin">
        <color auto="1"/>
      </left>
      <right style="thin">
        <color indexed="8"/>
      </right>
      <top/>
      <bottom/>
      <diagonal/>
    </border>
    <border>
      <left/>
      <right/>
      <top style="thin">
        <color indexed="8"/>
      </top>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indexed="8"/>
      </right>
      <top/>
      <bottom style="thin">
        <color indexed="8"/>
      </bottom>
      <diagonal/>
    </border>
    <border>
      <left/>
      <right style="thin">
        <color auto="1"/>
      </right>
      <top style="thin">
        <color auto="1"/>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medium">
        <color auto="1"/>
      </left>
      <right/>
      <top style="thin">
        <color auto="1"/>
      </top>
      <bottom/>
      <diagonal/>
    </border>
    <border>
      <left style="medium">
        <color auto="1"/>
      </left>
      <right/>
      <top/>
      <bottom style="thin">
        <color auto="1"/>
      </bottom>
      <diagonal/>
    </border>
    <border>
      <left/>
      <right/>
      <top/>
      <bottom style="thin">
        <color auto="1"/>
      </bottom>
      <diagonal/>
    </border>
    <border>
      <left style="thin">
        <color indexed="64"/>
      </left>
      <right style="thin">
        <color indexed="64"/>
      </right>
      <top style="thin">
        <color indexed="64"/>
      </top>
      <bottom style="thin">
        <color indexed="64"/>
      </bottom>
      <diagonal/>
    </border>
  </borders>
  <cellStyleXfs count="7">
    <xf numFmtId="0" fontId="0" fillId="0" borderId="0"/>
    <xf numFmtId="43" fontId="38" fillId="0" borderId="0" applyFont="0" applyFill="0" applyBorder="0" applyAlignment="0" applyProtection="0">
      <alignment vertical="center"/>
    </xf>
    <xf numFmtId="0" fontId="37" fillId="0" borderId="0" applyNumberFormat="0" applyFill="0" applyBorder="0" applyAlignment="0" applyProtection="0">
      <alignment vertical="top"/>
      <protection locked="0"/>
    </xf>
    <xf numFmtId="0" fontId="38" fillId="0" borderId="0"/>
    <xf numFmtId="0" fontId="38" fillId="0" borderId="0"/>
    <xf numFmtId="0" fontId="39" fillId="0" borderId="0"/>
    <xf numFmtId="0" fontId="38" fillId="0" borderId="0">
      <alignment vertical="center"/>
    </xf>
  </cellStyleXfs>
  <cellXfs count="364">
    <xf numFmtId="0" fontId="0" fillId="0" borderId="0" xfId="0"/>
    <xf numFmtId="0" fontId="1" fillId="0" borderId="0" xfId="0" applyFont="1"/>
    <xf numFmtId="0" fontId="3" fillId="0" borderId="3" xfId="0" applyFont="1" applyBorder="1" applyAlignment="1" applyProtection="1">
      <alignment horizontal="center" vertical="center"/>
      <protection locked="0"/>
    </xf>
    <xf numFmtId="0" fontId="4" fillId="0" borderId="0" xfId="0" applyFont="1" applyAlignment="1">
      <alignment vertical="center"/>
    </xf>
    <xf numFmtId="0" fontId="5" fillId="0" borderId="0" xfId="0" applyFont="1"/>
    <xf numFmtId="0" fontId="4" fillId="0" borderId="0" xfId="0" applyFont="1" applyAlignment="1">
      <alignment horizontal="center" vertical="center"/>
    </xf>
    <xf numFmtId="0" fontId="3" fillId="0" borderId="3" xfId="0" applyFont="1" applyBorder="1" applyAlignment="1">
      <alignment horizontal="center" vertical="center"/>
    </xf>
    <xf numFmtId="0" fontId="6" fillId="0" borderId="0" xfId="2" applyFont="1" applyFill="1" applyBorder="1" applyAlignment="1" applyProtection="1">
      <alignment vertical="center"/>
    </xf>
    <xf numFmtId="0" fontId="7" fillId="0" borderId="0" xfId="0" applyFont="1" applyAlignment="1">
      <alignment horizontal="center" vertical="center"/>
    </xf>
    <xf numFmtId="0" fontId="1" fillId="0" borderId="4" xfId="0" applyFont="1" applyBorder="1" applyAlignment="1">
      <alignment horizontal="center"/>
    </xf>
    <xf numFmtId="0" fontId="1" fillId="0" borderId="5" xfId="0" applyFont="1" applyBorder="1"/>
    <xf numFmtId="0" fontId="8" fillId="0" borderId="0" xfId="0" applyFont="1" applyAlignment="1">
      <alignment vertical="center"/>
    </xf>
    <xf numFmtId="0" fontId="9" fillId="0" borderId="0" xfId="0" applyFont="1" applyAlignment="1">
      <alignment horizontal="left" vertical="center"/>
    </xf>
    <xf numFmtId="0" fontId="8" fillId="0" borderId="0" xfId="0" applyFont="1" applyAlignment="1">
      <alignment horizontal="center" vertical="center"/>
    </xf>
    <xf numFmtId="0" fontId="10" fillId="0" borderId="0" xfId="0" applyFont="1" applyAlignment="1">
      <alignment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7"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3" fillId="0" borderId="7" xfId="0" applyFont="1" applyBorder="1" applyAlignment="1">
      <alignment horizontal="left" vertical="center" wrapText="1"/>
    </xf>
    <xf numFmtId="0" fontId="13" fillId="0" borderId="7" xfId="0" applyFont="1" applyBorder="1" applyAlignment="1">
      <alignment horizontal="left" vertical="center"/>
    </xf>
    <xf numFmtId="49" fontId="3" fillId="0" borderId="7" xfId="0" applyNumberFormat="1"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176" fontId="3" fillId="0" borderId="7" xfId="0" applyNumberFormat="1" applyFont="1" applyBorder="1" applyAlignment="1" applyProtection="1">
      <alignment horizontal="center" vertical="center" wrapText="1"/>
      <protection locked="0"/>
    </xf>
    <xf numFmtId="176" fontId="3" fillId="0" borderId="7" xfId="0" applyNumberFormat="1" applyFont="1" applyBorder="1" applyAlignment="1" applyProtection="1">
      <alignment horizontal="right" vertical="center" wrapText="1"/>
      <protection locked="0"/>
    </xf>
    <xf numFmtId="0" fontId="3" fillId="0" borderId="7" xfId="0" applyFont="1" applyBorder="1" applyAlignment="1">
      <alignment horizontal="center" vertical="center" wrapText="1"/>
    </xf>
    <xf numFmtId="0" fontId="5" fillId="0" borderId="7" xfId="0" applyFont="1" applyBorder="1" applyAlignment="1">
      <alignment vertical="center" wrapText="1"/>
    </xf>
    <xf numFmtId="0" fontId="5" fillId="0" borderId="8" xfId="0" applyFont="1" applyBorder="1" applyAlignment="1">
      <alignment horizontal="center" vertical="center" wrapText="1"/>
    </xf>
    <xf numFmtId="0" fontId="14" fillId="0" borderId="8" xfId="0" applyFont="1" applyBorder="1" applyAlignment="1" applyProtection="1">
      <alignment horizontal="center" vertical="center" wrapText="1"/>
      <protection locked="0"/>
    </xf>
    <xf numFmtId="176" fontId="14" fillId="0" borderId="8" xfId="0" applyNumberFormat="1" applyFont="1" applyBorder="1" applyAlignment="1" applyProtection="1">
      <alignment horizontal="right" vertical="center" wrapText="1"/>
      <protection locked="0"/>
    </xf>
    <xf numFmtId="0" fontId="1" fillId="0" borderId="14" xfId="0" applyFont="1" applyBorder="1"/>
    <xf numFmtId="0" fontId="11" fillId="0" borderId="17" xfId="0" applyFont="1" applyBorder="1" applyAlignment="1">
      <alignment horizontal="center" vertical="center" wrapText="1"/>
    </xf>
    <xf numFmtId="177" fontId="3" fillId="3" borderId="7" xfId="0" applyNumberFormat="1" applyFont="1" applyFill="1" applyBorder="1" applyAlignment="1">
      <alignment horizontal="right" vertical="center" wrapText="1"/>
    </xf>
    <xf numFmtId="49" fontId="3" fillId="0" borderId="17" xfId="0" applyNumberFormat="1" applyFont="1" applyBorder="1" applyAlignment="1" applyProtection="1">
      <alignment horizontal="left" vertical="center" wrapText="1"/>
      <protection locked="0"/>
    </xf>
    <xf numFmtId="177" fontId="14" fillId="3" borderId="8" xfId="0" applyNumberFormat="1" applyFont="1" applyFill="1" applyBorder="1" applyAlignment="1">
      <alignment horizontal="right" vertical="center" wrapText="1"/>
    </xf>
    <xf numFmtId="0" fontId="1" fillId="0" borderId="0" xfId="0" applyFont="1" applyAlignment="1">
      <alignment horizontal="center"/>
    </xf>
    <xf numFmtId="0" fontId="5" fillId="0" borderId="0" xfId="0" applyFont="1" applyAlignment="1">
      <alignment horizontal="center"/>
    </xf>
    <xf numFmtId="0" fontId="1" fillId="0" borderId="5" xfId="0" applyFont="1" applyBorder="1" applyAlignment="1">
      <alignment horizontal="center"/>
    </xf>
    <xf numFmtId="0" fontId="5" fillId="3" borderId="7" xfId="0" applyFont="1" applyFill="1" applyBorder="1" applyAlignment="1">
      <alignment horizontal="center" vertical="center" wrapText="1"/>
    </xf>
    <xf numFmtId="0" fontId="5" fillId="0" borderId="21" xfId="0" applyFont="1" applyBorder="1" applyAlignment="1">
      <alignment horizontal="center" vertical="center" wrapText="1"/>
    </xf>
    <xf numFmtId="49" fontId="13" fillId="0" borderId="7" xfId="0" applyNumberFormat="1" applyFont="1" applyBorder="1" applyAlignment="1">
      <alignment horizontal="left" vertical="center" wrapText="1"/>
    </xf>
    <xf numFmtId="0" fontId="13" fillId="0" borderId="7" xfId="4" applyFont="1" applyBorder="1" applyAlignment="1">
      <alignment horizontal="center" vertical="center" wrapText="1"/>
    </xf>
    <xf numFmtId="178" fontId="13" fillId="0" borderId="7" xfId="4" applyNumberFormat="1" applyFont="1" applyBorder="1" applyAlignment="1">
      <alignment horizontal="right" vertical="center" wrapText="1"/>
    </xf>
    <xf numFmtId="49" fontId="13" fillId="0" borderId="7" xfId="0" applyNumberFormat="1" applyFont="1" applyBorder="1" applyAlignment="1">
      <alignment horizontal="center" vertical="center" wrapText="1"/>
    </xf>
    <xf numFmtId="179" fontId="13" fillId="0" borderId="7" xfId="4" applyNumberFormat="1" applyFont="1" applyBorder="1" applyAlignment="1">
      <alignment horizontal="right" vertical="center" wrapText="1"/>
    </xf>
    <xf numFmtId="0" fontId="4" fillId="0" borderId="0" xfId="0" applyFont="1" applyAlignment="1">
      <alignment horizontal="left" vertical="center"/>
    </xf>
    <xf numFmtId="0" fontId="6" fillId="0" borderId="0" xfId="2" applyFont="1" applyFill="1" applyBorder="1" applyAlignment="1" applyProtection="1">
      <alignment horizontal="left" vertical="center"/>
    </xf>
    <xf numFmtId="0" fontId="10" fillId="0" borderId="0" xfId="0" applyFont="1" applyAlignment="1">
      <alignment horizontal="center" vertical="center"/>
    </xf>
    <xf numFmtId="0" fontId="3" fillId="3" borderId="7" xfId="0" applyFont="1" applyFill="1" applyBorder="1" applyAlignment="1">
      <alignment horizontal="left" vertical="center" wrapText="1"/>
    </xf>
    <xf numFmtId="0" fontId="3" fillId="0" borderId="7" xfId="0" applyFont="1" applyBorder="1" applyAlignment="1">
      <alignment horizontal="center" vertical="center"/>
    </xf>
    <xf numFmtId="0" fontId="5" fillId="0" borderId="7" xfId="0" applyFont="1" applyBorder="1" applyAlignment="1">
      <alignment horizontal="left" vertical="center" wrapText="1"/>
    </xf>
    <xf numFmtId="49" fontId="3" fillId="0" borderId="7" xfId="0" applyNumberFormat="1" applyFont="1" applyBorder="1" applyAlignment="1" applyProtection="1">
      <alignment horizontal="center" vertical="center"/>
      <protection locked="0"/>
    </xf>
    <xf numFmtId="0" fontId="5" fillId="0" borderId="24" xfId="0" applyFont="1" applyBorder="1" applyAlignment="1">
      <alignment horizontal="left" vertical="center" wrapText="1"/>
    </xf>
    <xf numFmtId="0" fontId="5" fillId="0" borderId="24" xfId="0" applyFont="1" applyBorder="1" applyAlignment="1">
      <alignment horizontal="left" vertical="center"/>
    </xf>
    <xf numFmtId="0" fontId="3" fillId="0" borderId="7" xfId="0" applyFont="1" applyBorder="1" applyAlignment="1" applyProtection="1">
      <alignment horizontal="center" vertical="center"/>
      <protection locked="0"/>
    </xf>
    <xf numFmtId="0" fontId="5" fillId="0" borderId="7" xfId="0" applyFont="1" applyBorder="1" applyAlignment="1">
      <alignment horizontal="center" vertical="center"/>
    </xf>
    <xf numFmtId="0" fontId="3" fillId="0" borderId="24" xfId="0" applyFont="1" applyBorder="1" applyAlignment="1">
      <alignment horizontal="left" vertical="center" wrapText="1"/>
    </xf>
    <xf numFmtId="0" fontId="13" fillId="0" borderId="7" xfId="0" applyFont="1" applyBorder="1" applyAlignment="1">
      <alignment horizontal="center" vertical="center"/>
    </xf>
    <xf numFmtId="0" fontId="3" fillId="0" borderId="7" xfId="0" applyFont="1" applyBorder="1" applyAlignment="1">
      <alignment horizontal="left" vertical="center"/>
    </xf>
    <xf numFmtId="0" fontId="5" fillId="3" borderId="24" xfId="0" applyFont="1" applyFill="1" applyBorder="1" applyAlignment="1">
      <alignment horizontal="left" vertical="center" wrapText="1"/>
    </xf>
    <xf numFmtId="0" fontId="5" fillId="3" borderId="7" xfId="0" applyFont="1" applyFill="1" applyBorder="1" applyAlignment="1">
      <alignment horizontal="left" vertical="center" wrapText="1"/>
    </xf>
    <xf numFmtId="49" fontId="3" fillId="3" borderId="7" xfId="0" applyNumberFormat="1" applyFont="1" applyFill="1" applyBorder="1" applyAlignment="1" applyProtection="1">
      <alignment horizontal="center" vertical="center" wrapText="1"/>
      <protection locked="0"/>
    </xf>
    <xf numFmtId="0" fontId="3" fillId="3" borderId="7" xfId="0" applyFont="1" applyFill="1" applyBorder="1" applyAlignment="1" applyProtection="1">
      <alignment horizontal="center" vertical="center" wrapText="1"/>
      <protection locked="0"/>
    </xf>
    <xf numFmtId="176" fontId="3" fillId="0" borderId="7" xfId="0" applyNumberFormat="1" applyFont="1" applyBorder="1" applyAlignment="1" applyProtection="1">
      <alignment vertical="center" wrapText="1"/>
      <protection locked="0"/>
    </xf>
    <xf numFmtId="177" fontId="3" fillId="0" borderId="7" xfId="0" applyNumberFormat="1" applyFont="1" applyBorder="1" applyAlignment="1">
      <alignment horizontal="right" vertical="center" wrapText="1"/>
    </xf>
    <xf numFmtId="49" fontId="3" fillId="0" borderId="7" xfId="0" applyNumberFormat="1" applyFont="1" applyBorder="1" applyAlignment="1" applyProtection="1">
      <alignment horizontal="left" vertical="center" wrapText="1"/>
      <protection locked="0"/>
    </xf>
    <xf numFmtId="176" fontId="3" fillId="3" borderId="7" xfId="0" applyNumberFormat="1" applyFont="1" applyFill="1" applyBorder="1" applyAlignment="1" applyProtection="1">
      <alignment vertical="center" wrapText="1"/>
      <protection locked="0"/>
    </xf>
    <xf numFmtId="0" fontId="17" fillId="0" borderId="0" xfId="0" applyFont="1" applyAlignment="1">
      <alignment horizontal="left" wrapText="1"/>
    </xf>
    <xf numFmtId="0" fontId="18" fillId="0" borderId="0" xfId="0" applyFont="1" applyAlignment="1">
      <alignment horizontal="left" vertical="center" wrapText="1"/>
    </xf>
    <xf numFmtId="0" fontId="19" fillId="0" borderId="0" xfId="2" applyFont="1" applyFill="1" applyBorder="1" applyAlignment="1" applyProtection="1">
      <alignment horizontal="left" vertical="center" wrapText="1"/>
    </xf>
    <xf numFmtId="0" fontId="17" fillId="0" borderId="5" xfId="0" applyFont="1" applyBorder="1" applyAlignment="1">
      <alignment horizontal="left" wrapText="1"/>
    </xf>
    <xf numFmtId="0" fontId="5" fillId="0" borderId="7" xfId="0" applyFont="1" applyBorder="1" applyAlignment="1">
      <alignment vertical="center"/>
    </xf>
    <xf numFmtId="0" fontId="3" fillId="0" borderId="7" xfId="0" applyFont="1" applyBorder="1" applyAlignment="1">
      <alignment vertical="center"/>
    </xf>
    <xf numFmtId="0" fontId="5" fillId="3" borderId="7" xfId="0" applyFont="1" applyFill="1" applyBorder="1" applyAlignment="1">
      <alignment horizontal="center" vertical="center"/>
    </xf>
    <xf numFmtId="176" fontId="3" fillId="3" borderId="7" xfId="0" applyNumberFormat="1" applyFont="1" applyFill="1" applyBorder="1" applyAlignment="1" applyProtection="1">
      <alignment horizontal="center" vertical="center" wrapText="1"/>
      <protection locked="0"/>
    </xf>
    <xf numFmtId="0" fontId="3" fillId="3" borderId="7" xfId="0" applyFont="1" applyFill="1" applyBorder="1" applyAlignment="1">
      <alignment vertical="center"/>
    </xf>
    <xf numFmtId="0" fontId="17" fillId="0" borderId="7" xfId="0" applyFont="1" applyBorder="1" applyAlignment="1">
      <alignment horizontal="left" vertical="top" wrapText="1"/>
    </xf>
    <xf numFmtId="0" fontId="5" fillId="0" borderId="7" xfId="0" applyFont="1" applyBorder="1" applyAlignment="1">
      <alignment horizontal="center"/>
    </xf>
    <xf numFmtId="0" fontId="15" fillId="0" borderId="23" xfId="0" applyFont="1" applyBorder="1" applyAlignment="1">
      <alignment vertical="center"/>
    </xf>
    <xf numFmtId="176" fontId="5" fillId="0" borderId="7" xfId="0" applyNumberFormat="1" applyFont="1" applyBorder="1" applyAlignment="1" applyProtection="1">
      <alignment horizontal="left" vertical="center"/>
      <protection locked="0"/>
    </xf>
    <xf numFmtId="176" fontId="5" fillId="0" borderId="7" xfId="0" applyNumberFormat="1" applyFont="1" applyBorder="1" applyAlignment="1" applyProtection="1">
      <alignment horizontal="left" vertical="center" wrapText="1"/>
      <protection locked="0"/>
    </xf>
    <xf numFmtId="180" fontId="5" fillId="0" borderId="7" xfId="0" applyNumberFormat="1" applyFont="1" applyBorder="1" applyAlignment="1" applyProtection="1">
      <alignment horizontal="left" vertical="center"/>
      <protection locked="0"/>
    </xf>
    <xf numFmtId="0" fontId="22" fillId="5" borderId="7" xfId="0" applyFont="1" applyFill="1" applyBorder="1" applyAlignment="1">
      <alignment vertical="center"/>
    </xf>
    <xf numFmtId="0" fontId="3" fillId="5" borderId="7" xfId="0" applyFont="1" applyFill="1" applyBorder="1" applyAlignment="1">
      <alignment vertical="center"/>
    </xf>
    <xf numFmtId="0" fontId="1" fillId="0" borderId="0" xfId="0" applyFont="1" applyAlignment="1">
      <alignment horizontal="left"/>
    </xf>
    <xf numFmtId="0" fontId="6" fillId="0" borderId="0" xfId="2" applyFont="1" applyFill="1" applyBorder="1" applyAlignment="1" applyProtection="1">
      <alignment horizontal="center" vertical="center"/>
    </xf>
    <xf numFmtId="0" fontId="5" fillId="0" borderId="5" xfId="0" applyFont="1" applyBorder="1"/>
    <xf numFmtId="0" fontId="3" fillId="0" borderId="0" xfId="0" applyFont="1" applyAlignment="1">
      <alignment vertical="center"/>
    </xf>
    <xf numFmtId="0" fontId="23" fillId="0" borderId="0" xfId="0" applyFont="1" applyAlignment="1">
      <alignment vertical="center"/>
    </xf>
    <xf numFmtId="0" fontId="17" fillId="0" borderId="21" xfId="0" applyFont="1" applyBorder="1" applyAlignment="1">
      <alignment horizontal="left" vertical="top" wrapText="1"/>
    </xf>
    <xf numFmtId="49" fontId="13" fillId="4" borderId="31" xfId="0" applyNumberFormat="1" applyFont="1" applyFill="1" applyBorder="1" applyAlignment="1">
      <alignment horizontal="left" vertical="center" wrapText="1"/>
    </xf>
    <xf numFmtId="0" fontId="13" fillId="4" borderId="31" xfId="0" applyFont="1" applyFill="1" applyBorder="1" applyAlignment="1">
      <alignment horizontal="center" vertical="center" wrapText="1"/>
    </xf>
    <xf numFmtId="49" fontId="13" fillId="4" borderId="31" xfId="0" applyNumberFormat="1" applyFont="1" applyFill="1" applyBorder="1" applyAlignment="1">
      <alignment horizontal="center" vertical="center" wrapText="1"/>
    </xf>
    <xf numFmtId="49" fontId="13" fillId="0" borderId="32" xfId="0" applyNumberFormat="1" applyFont="1" applyBorder="1" applyAlignment="1">
      <alignment horizontal="left" vertical="center" wrapText="1"/>
    </xf>
    <xf numFmtId="0" fontId="13" fillId="0" borderId="31" xfId="0" applyFont="1" applyBorder="1" applyAlignment="1">
      <alignment horizontal="center" vertical="center" wrapText="1"/>
    </xf>
    <xf numFmtId="49" fontId="22" fillId="0" borderId="7" xfId="0" applyNumberFormat="1" applyFont="1" applyBorder="1" applyAlignment="1">
      <alignment horizontal="center" vertical="center" wrapText="1"/>
    </xf>
    <xf numFmtId="49" fontId="13" fillId="3" borderId="7" xfId="0" applyNumberFormat="1" applyFont="1" applyFill="1" applyBorder="1" applyAlignment="1">
      <alignment horizontal="left" vertical="center" wrapText="1"/>
    </xf>
    <xf numFmtId="0" fontId="13" fillId="3" borderId="7"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24" fillId="0" borderId="7" xfId="0" applyFont="1" applyBorder="1" applyAlignment="1">
      <alignment horizontal="center" vertical="center" wrapText="1"/>
    </xf>
    <xf numFmtId="49" fontId="13" fillId="3" borderId="32" xfId="0" applyNumberFormat="1" applyFont="1" applyFill="1" applyBorder="1" applyAlignment="1">
      <alignment horizontal="left" vertical="center" wrapText="1"/>
    </xf>
    <xf numFmtId="0" fontId="13" fillId="3" borderId="34" xfId="0" applyFont="1" applyFill="1" applyBorder="1" applyAlignment="1">
      <alignment horizontal="center" vertical="center"/>
    </xf>
    <xf numFmtId="49" fontId="13" fillId="3" borderId="34" xfId="0" applyNumberFormat="1" applyFont="1" applyFill="1" applyBorder="1" applyAlignment="1">
      <alignment horizontal="center" vertical="center" wrapText="1"/>
    </xf>
    <xf numFmtId="49" fontId="13" fillId="3" borderId="31" xfId="0" applyNumberFormat="1" applyFont="1" applyFill="1" applyBorder="1" applyAlignment="1">
      <alignment horizontal="left" vertical="center" wrapText="1"/>
    </xf>
    <xf numFmtId="0" fontId="13" fillId="3" borderId="31" xfId="0" applyFont="1" applyFill="1" applyBorder="1" applyAlignment="1">
      <alignment horizontal="center" vertical="center" wrapText="1"/>
    </xf>
    <xf numFmtId="49" fontId="13" fillId="3" borderId="31" xfId="0" applyNumberFormat="1" applyFont="1" applyFill="1" applyBorder="1" applyAlignment="1">
      <alignment horizontal="center" vertical="center" wrapText="1"/>
    </xf>
    <xf numFmtId="0" fontId="15" fillId="0" borderId="21" xfId="0" applyFont="1" applyBorder="1" applyAlignment="1">
      <alignment vertical="center"/>
    </xf>
    <xf numFmtId="0" fontId="26" fillId="0" borderId="7" xfId="0" applyFont="1" applyBorder="1" applyAlignment="1">
      <alignment horizontal="left" vertical="center"/>
    </xf>
    <xf numFmtId="178" fontId="13" fillId="4" borderId="31" xfId="0" applyNumberFormat="1" applyFont="1" applyFill="1" applyBorder="1" applyAlignment="1">
      <alignment horizontal="right" vertical="center" wrapText="1"/>
    </xf>
    <xf numFmtId="178" fontId="13" fillId="0" borderId="31" xfId="0" applyNumberFormat="1" applyFont="1" applyBorder="1" applyAlignment="1">
      <alignment horizontal="right" vertical="center" wrapText="1"/>
    </xf>
    <xf numFmtId="49" fontId="3" fillId="0" borderId="20" xfId="0" applyNumberFormat="1" applyFont="1" applyBorder="1" applyAlignment="1" applyProtection="1">
      <alignment horizontal="left" vertical="center" wrapText="1"/>
      <protection locked="0"/>
    </xf>
    <xf numFmtId="178" fontId="13" fillId="3" borderId="7" xfId="0" applyNumberFormat="1" applyFont="1" applyFill="1" applyBorder="1" applyAlignment="1">
      <alignment horizontal="right" vertical="center" wrapText="1"/>
    </xf>
    <xf numFmtId="0" fontId="13" fillId="3" borderId="34" xfId="0" applyFont="1" applyFill="1" applyBorder="1" applyAlignment="1">
      <alignment horizontal="center" vertical="center" wrapText="1"/>
    </xf>
    <xf numFmtId="178" fontId="13" fillId="3" borderId="34" xfId="0" applyNumberFormat="1" applyFont="1" applyFill="1" applyBorder="1" applyAlignment="1">
      <alignment horizontal="right" vertical="center" wrapText="1"/>
    </xf>
    <xf numFmtId="179" fontId="13" fillId="3" borderId="31" xfId="0" applyNumberFormat="1" applyFont="1" applyFill="1" applyBorder="1" applyAlignment="1">
      <alignment horizontal="right" vertical="center" wrapText="1"/>
    </xf>
    <xf numFmtId="178" fontId="13" fillId="3" borderId="31" xfId="0" applyNumberFormat="1" applyFont="1" applyFill="1" applyBorder="1" applyAlignment="1">
      <alignment horizontal="right" vertical="center" wrapText="1"/>
    </xf>
    <xf numFmtId="49" fontId="13" fillId="3" borderId="7" xfId="0" applyNumberFormat="1" applyFont="1" applyFill="1" applyBorder="1" applyAlignment="1">
      <alignment horizontal="center" vertical="center" wrapText="1"/>
    </xf>
    <xf numFmtId="0" fontId="17" fillId="3" borderId="7" xfId="0" applyFont="1" applyFill="1" applyBorder="1" applyAlignment="1">
      <alignment horizontal="left" vertical="top" wrapText="1"/>
    </xf>
    <xf numFmtId="0" fontId="13" fillId="3" borderId="7" xfId="0" applyFont="1" applyFill="1" applyBorder="1" applyAlignment="1">
      <alignment horizontal="center" vertical="center"/>
    </xf>
    <xf numFmtId="49" fontId="13" fillId="0" borderId="36" xfId="0" applyNumberFormat="1" applyFont="1" applyBorder="1" applyAlignment="1">
      <alignment horizontal="left" vertical="center" wrapText="1"/>
    </xf>
    <xf numFmtId="0" fontId="13" fillId="0" borderId="34" xfId="0" applyFont="1" applyBorder="1" applyAlignment="1">
      <alignment horizontal="center" vertical="center" wrapText="1"/>
    </xf>
    <xf numFmtId="49" fontId="13" fillId="0" borderId="34" xfId="0" applyNumberFormat="1" applyFont="1" applyBorder="1" applyAlignment="1">
      <alignment horizontal="center" vertical="center" wrapText="1"/>
    </xf>
    <xf numFmtId="0" fontId="27" fillId="3" borderId="7" xfId="0" applyFont="1" applyFill="1" applyBorder="1" applyAlignment="1">
      <alignment vertical="center"/>
    </xf>
    <xf numFmtId="0" fontId="13" fillId="3" borderId="37" xfId="0" applyFont="1" applyFill="1" applyBorder="1" applyAlignment="1">
      <alignment horizontal="center" vertical="center" wrapText="1"/>
    </xf>
    <xf numFmtId="49" fontId="13" fillId="3" borderId="8" xfId="0" applyNumberFormat="1" applyFont="1" applyFill="1" applyBorder="1" applyAlignment="1">
      <alignment horizontal="center" vertical="center" wrapText="1"/>
    </xf>
    <xf numFmtId="49" fontId="13" fillId="0" borderId="31" xfId="0" applyNumberFormat="1" applyFont="1" applyBorder="1" applyAlignment="1">
      <alignment horizontal="center" vertical="center" wrapText="1"/>
    </xf>
    <xf numFmtId="0" fontId="5" fillId="0" borderId="19" xfId="0" applyFont="1" applyBorder="1" applyAlignment="1">
      <alignment horizontal="center" vertical="center" wrapText="1"/>
    </xf>
    <xf numFmtId="49" fontId="5" fillId="0" borderId="7" xfId="0" applyNumberFormat="1" applyFont="1" applyBorder="1" applyAlignment="1" applyProtection="1">
      <alignment horizontal="center" vertical="center"/>
      <protection locked="0"/>
    </xf>
    <xf numFmtId="0" fontId="5" fillId="3" borderId="7" xfId="0" applyFont="1" applyFill="1" applyBorder="1" applyAlignment="1">
      <alignment vertical="center"/>
    </xf>
    <xf numFmtId="0" fontId="5" fillId="3" borderId="7" xfId="0" applyFont="1" applyFill="1" applyBorder="1" applyAlignment="1">
      <alignment horizontal="left" vertical="center"/>
    </xf>
    <xf numFmtId="177" fontId="3" fillId="0" borderId="20" xfId="0" applyNumberFormat="1" applyFont="1" applyBorder="1" applyAlignment="1">
      <alignment horizontal="right" vertical="center" wrapText="1"/>
    </xf>
    <xf numFmtId="176" fontId="3" fillId="3" borderId="7" xfId="0" applyNumberFormat="1" applyFont="1" applyFill="1" applyBorder="1" applyAlignment="1" applyProtection="1">
      <alignment horizontal="right" vertical="center" wrapText="1"/>
      <protection locked="0"/>
    </xf>
    <xf numFmtId="178" fontId="13" fillId="0" borderId="7" xfId="0" applyNumberFormat="1" applyFont="1" applyBorder="1" applyAlignment="1">
      <alignment horizontal="right" vertical="center" wrapText="1"/>
    </xf>
    <xf numFmtId="0" fontId="13" fillId="3" borderId="8" xfId="0" applyFont="1" applyFill="1" applyBorder="1" applyAlignment="1">
      <alignment horizontal="center" vertical="center" wrapText="1"/>
    </xf>
    <xf numFmtId="178" fontId="13" fillId="3" borderId="8" xfId="0" applyNumberFormat="1" applyFont="1" applyFill="1" applyBorder="1" applyAlignment="1">
      <alignment horizontal="right" vertical="center" wrapText="1"/>
    </xf>
    <xf numFmtId="177" fontId="3" fillId="0" borderId="7" xfId="0" applyNumberFormat="1" applyFont="1" applyBorder="1" applyAlignment="1">
      <alignment horizontal="left" vertical="center" wrapText="1"/>
    </xf>
    <xf numFmtId="0" fontId="5" fillId="3" borderId="7" xfId="0" applyFont="1" applyFill="1" applyBorder="1" applyAlignment="1" applyProtection="1">
      <alignment horizontal="center" vertical="center" wrapText="1"/>
      <protection locked="0"/>
    </xf>
    <xf numFmtId="49" fontId="5" fillId="0" borderId="7" xfId="0" applyNumberFormat="1" applyFont="1" applyBorder="1" applyAlignment="1" applyProtection="1">
      <alignment horizontal="center" vertical="center" wrapText="1"/>
      <protection locked="0"/>
    </xf>
    <xf numFmtId="176" fontId="5" fillId="3" borderId="7" xfId="0" applyNumberFormat="1" applyFont="1" applyFill="1" applyBorder="1" applyAlignment="1" applyProtection="1">
      <alignment vertical="center" wrapText="1"/>
      <protection locked="0"/>
    </xf>
    <xf numFmtId="177" fontId="3" fillId="0" borderId="38" xfId="0" applyNumberFormat="1" applyFont="1" applyBorder="1" applyAlignment="1">
      <alignment horizontal="right" vertical="center" wrapText="1"/>
    </xf>
    <xf numFmtId="0" fontId="5" fillId="0" borderId="7" xfId="0" applyFont="1" applyBorder="1" applyAlignment="1" applyProtection="1">
      <alignment horizontal="center" vertical="center" wrapText="1"/>
      <protection locked="0"/>
    </xf>
    <xf numFmtId="176" fontId="5" fillId="0" borderId="7" xfId="0" applyNumberFormat="1" applyFont="1" applyBorder="1" applyAlignment="1" applyProtection="1">
      <alignment vertical="center" wrapText="1"/>
      <protection locked="0"/>
    </xf>
    <xf numFmtId="49" fontId="5" fillId="3" borderId="7" xfId="0" applyNumberFormat="1" applyFont="1" applyFill="1" applyBorder="1" applyAlignment="1" applyProtection="1">
      <alignment horizontal="center" vertical="center" wrapText="1"/>
      <protection locked="0"/>
    </xf>
    <xf numFmtId="0" fontId="28" fillId="0" borderId="0" xfId="0" applyFont="1"/>
    <xf numFmtId="0" fontId="29" fillId="0" borderId="0" xfId="0" applyFont="1" applyAlignment="1">
      <alignment horizontal="left"/>
    </xf>
    <xf numFmtId="0" fontId="1" fillId="3" borderId="0" xfId="0" applyFont="1" applyFill="1"/>
    <xf numFmtId="0" fontId="8" fillId="0" borderId="0" xfId="0" applyFont="1"/>
    <xf numFmtId="0" fontId="1" fillId="0" borderId="0" xfId="0" applyFont="1" applyAlignment="1">
      <alignment horizontal="center" vertical="center"/>
    </xf>
    <xf numFmtId="0" fontId="1" fillId="0" borderId="5" xfId="0" applyFont="1" applyBorder="1" applyAlignment="1">
      <alignment horizontal="center" vertical="center"/>
    </xf>
    <xf numFmtId="0" fontId="17" fillId="0" borderId="7"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8" xfId="0" applyFont="1" applyBorder="1" applyAlignment="1">
      <alignment horizontal="center" vertical="center" wrapText="1"/>
    </xf>
    <xf numFmtId="0" fontId="5" fillId="0" borderId="7" xfId="0" applyFont="1" applyBorder="1" applyAlignment="1">
      <alignment horizontal="left" vertical="center"/>
    </xf>
    <xf numFmtId="49" fontId="13" fillId="4" borderId="32" xfId="0" applyNumberFormat="1" applyFont="1" applyFill="1" applyBorder="1" applyAlignment="1">
      <alignment horizontal="left" vertical="center" wrapText="1"/>
    </xf>
    <xf numFmtId="49" fontId="13" fillId="0" borderId="39" xfId="0" applyNumberFormat="1" applyFont="1" applyBorder="1" applyAlignment="1">
      <alignment horizontal="left" vertical="center" wrapText="1"/>
    </xf>
    <xf numFmtId="0" fontId="28" fillId="0" borderId="7" xfId="0" applyFont="1" applyBorder="1"/>
    <xf numFmtId="176" fontId="3" fillId="0" borderId="7" xfId="0" applyNumberFormat="1" applyFont="1" applyBorder="1" applyAlignment="1" applyProtection="1">
      <alignment horizontal="right" vertical="center"/>
      <protection locked="0"/>
    </xf>
    <xf numFmtId="177" fontId="19" fillId="0" borderId="7" xfId="2" applyNumberFormat="1" applyFont="1" applyFill="1" applyBorder="1" applyAlignment="1" applyProtection="1">
      <alignment vertical="center"/>
      <protection locked="0"/>
    </xf>
    <xf numFmtId="49" fontId="3" fillId="3" borderId="20" xfId="0" applyNumberFormat="1" applyFont="1" applyFill="1" applyBorder="1" applyAlignment="1" applyProtection="1">
      <alignment horizontal="left" vertical="center" wrapText="1"/>
      <protection locked="0"/>
    </xf>
    <xf numFmtId="180" fontId="3" fillId="0" borderId="7" xfId="1" applyNumberFormat="1" applyFont="1" applyFill="1" applyBorder="1" applyAlignment="1" applyProtection="1">
      <alignment horizontal="center" vertical="center" wrapText="1"/>
      <protection locked="0"/>
    </xf>
    <xf numFmtId="49" fontId="3" fillId="3" borderId="7" xfId="0" applyNumberFormat="1" applyFont="1" applyFill="1" applyBorder="1" applyAlignment="1" applyProtection="1">
      <alignment horizontal="center" vertical="center"/>
      <protection locked="0"/>
    </xf>
    <xf numFmtId="0" fontId="13" fillId="0" borderId="7" xfId="0" applyFont="1" applyBorder="1" applyAlignment="1">
      <alignment horizontal="center" vertical="center" wrapText="1"/>
    </xf>
    <xf numFmtId="0" fontId="13" fillId="0" borderId="34" xfId="0" applyFont="1" applyBorder="1" applyAlignment="1">
      <alignment horizontal="center" vertical="center"/>
    </xf>
    <xf numFmtId="49" fontId="5" fillId="3" borderId="7" xfId="0" applyNumberFormat="1" applyFont="1" applyFill="1" applyBorder="1" applyAlignment="1">
      <alignment horizontal="center" vertical="center" wrapText="1"/>
    </xf>
    <xf numFmtId="177" fontId="19" fillId="3" borderId="7" xfId="2" applyNumberFormat="1" applyFont="1" applyFill="1" applyBorder="1" applyAlignment="1" applyProtection="1">
      <alignment vertical="center"/>
      <protection locked="0"/>
    </xf>
    <xf numFmtId="177" fontId="3" fillId="3" borderId="7" xfId="0" applyNumberFormat="1" applyFont="1" applyFill="1" applyBorder="1" applyAlignment="1">
      <alignment horizontal="left" vertical="center" wrapText="1"/>
    </xf>
    <xf numFmtId="0" fontId="13" fillId="3" borderId="41" xfId="0" applyFont="1" applyFill="1" applyBorder="1" applyAlignment="1">
      <alignment horizontal="center" vertical="center" wrapText="1"/>
    </xf>
    <xf numFmtId="0" fontId="13" fillId="0" borderId="42" xfId="0" applyFont="1" applyBorder="1" applyAlignment="1">
      <alignment horizontal="center" vertical="center" wrapText="1"/>
    </xf>
    <xf numFmtId="49" fontId="13" fillId="3" borderId="24" xfId="0" applyNumberFormat="1" applyFont="1" applyFill="1" applyBorder="1" applyAlignment="1">
      <alignment horizontal="left" vertical="center" wrapText="1"/>
    </xf>
    <xf numFmtId="0" fontId="13" fillId="3" borderId="38" xfId="0" applyFont="1" applyFill="1" applyBorder="1" applyAlignment="1">
      <alignment horizontal="center" vertical="center" wrapText="1"/>
    </xf>
    <xf numFmtId="0" fontId="5" fillId="0" borderId="20" xfId="0" applyFont="1" applyBorder="1" applyAlignment="1">
      <alignment horizontal="center" vertical="center" wrapText="1"/>
    </xf>
    <xf numFmtId="49" fontId="13" fillId="0" borderId="24" xfId="0" applyNumberFormat="1" applyFont="1" applyBorder="1" applyAlignment="1">
      <alignment horizontal="left" vertical="center" wrapText="1"/>
    </xf>
    <xf numFmtId="49" fontId="13" fillId="3" borderId="32" xfId="0" applyNumberFormat="1" applyFont="1" applyFill="1" applyBorder="1" applyAlignment="1">
      <alignment horizontal="center" vertical="center" wrapText="1"/>
    </xf>
    <xf numFmtId="49" fontId="13" fillId="3" borderId="24" xfId="0" applyNumberFormat="1" applyFont="1" applyFill="1" applyBorder="1" applyAlignment="1">
      <alignment horizontal="center" vertical="center" wrapText="1"/>
    </xf>
    <xf numFmtId="0" fontId="3" fillId="3" borderId="7" xfId="0" applyFont="1" applyFill="1" applyBorder="1" applyAlignment="1">
      <alignment horizontal="center" vertical="center"/>
    </xf>
    <xf numFmtId="49" fontId="3" fillId="3" borderId="7" xfId="0" applyNumberFormat="1" applyFont="1" applyFill="1" applyBorder="1" applyAlignment="1" applyProtection="1">
      <alignment horizontal="left" vertical="center" wrapText="1"/>
      <protection locked="0"/>
    </xf>
    <xf numFmtId="177" fontId="19" fillId="0" borderId="38" xfId="2" applyNumberFormat="1" applyFont="1" applyFill="1" applyBorder="1" applyAlignment="1" applyProtection="1">
      <alignment vertical="center"/>
      <protection locked="0"/>
    </xf>
    <xf numFmtId="177" fontId="19" fillId="3" borderId="38" xfId="2" applyNumberFormat="1" applyFont="1" applyFill="1" applyBorder="1" applyAlignment="1" applyProtection="1">
      <alignment vertical="center"/>
      <protection locked="0"/>
    </xf>
    <xf numFmtId="176" fontId="5" fillId="0" borderId="7" xfId="0" applyNumberFormat="1" applyFont="1" applyBorder="1" applyAlignment="1" applyProtection="1">
      <alignment horizontal="right" vertical="center" wrapText="1"/>
      <protection locked="0"/>
    </xf>
    <xf numFmtId="177" fontId="19" fillId="0" borderId="20" xfId="2" applyNumberFormat="1" applyFont="1" applyFill="1" applyBorder="1" applyAlignment="1" applyProtection="1">
      <alignment vertical="center"/>
      <protection locked="0"/>
    </xf>
    <xf numFmtId="176" fontId="5" fillId="3" borderId="7" xfId="0" applyNumberFormat="1" applyFont="1" applyFill="1" applyBorder="1" applyAlignment="1" applyProtection="1">
      <alignment horizontal="right" vertical="center" wrapText="1"/>
      <protection locked="0"/>
    </xf>
    <xf numFmtId="0" fontId="17" fillId="3" borderId="7" xfId="0" applyFont="1" applyFill="1" applyBorder="1" applyAlignment="1">
      <alignment horizontal="center" vertical="center" wrapText="1"/>
    </xf>
    <xf numFmtId="0" fontId="3" fillId="3" borderId="24" xfId="0" applyFont="1" applyFill="1" applyBorder="1" applyAlignment="1">
      <alignment horizontal="left" vertical="center" wrapText="1"/>
    </xf>
    <xf numFmtId="49" fontId="13" fillId="3" borderId="36" xfId="0" applyNumberFormat="1" applyFont="1" applyFill="1" applyBorder="1" applyAlignment="1">
      <alignment horizontal="left" vertical="center" wrapText="1"/>
    </xf>
    <xf numFmtId="0" fontId="5" fillId="0" borderId="24" xfId="0" applyFont="1" applyBorder="1" applyAlignment="1">
      <alignment horizontal="center" vertical="center" wrapText="1"/>
    </xf>
    <xf numFmtId="0" fontId="26" fillId="3" borderId="7" xfId="0" applyFont="1" applyFill="1" applyBorder="1" applyAlignment="1">
      <alignment horizontal="left" vertical="center"/>
    </xf>
    <xf numFmtId="0" fontId="4" fillId="0" borderId="7" xfId="0" applyFont="1" applyBorder="1" applyAlignment="1">
      <alignment horizontal="center" vertical="center"/>
    </xf>
    <xf numFmtId="0" fontId="3" fillId="3" borderId="7" xfId="0" applyFont="1" applyFill="1" applyBorder="1" applyAlignment="1">
      <alignment horizontal="left" vertical="center"/>
    </xf>
    <xf numFmtId="0" fontId="3" fillId="3" borderId="7" xfId="0" applyFont="1" applyFill="1" applyBorder="1" applyAlignment="1" applyProtection="1">
      <alignment horizontal="center" vertical="center"/>
      <protection locked="0"/>
    </xf>
    <xf numFmtId="0" fontId="17" fillId="0" borderId="7" xfId="0" applyFont="1" applyBorder="1" applyAlignment="1">
      <alignment vertical="center" wrapText="1"/>
    </xf>
    <xf numFmtId="49" fontId="3" fillId="0" borderId="7" xfId="0" applyNumberFormat="1" applyFont="1" applyBorder="1" applyAlignment="1">
      <alignment vertical="center" wrapText="1"/>
    </xf>
    <xf numFmtId="176" fontId="3" fillId="3" borderId="8" xfId="0" applyNumberFormat="1" applyFont="1" applyFill="1" applyBorder="1" applyAlignment="1" applyProtection="1">
      <alignment horizontal="right" vertical="center" wrapText="1"/>
      <protection locked="0"/>
    </xf>
    <xf numFmtId="0" fontId="3" fillId="3" borderId="20" xfId="0" applyFont="1" applyFill="1" applyBorder="1" applyAlignment="1">
      <alignment horizontal="center" vertical="center" wrapText="1"/>
    </xf>
    <xf numFmtId="49" fontId="5" fillId="3" borderId="7" xfId="0" applyNumberFormat="1" applyFont="1" applyFill="1" applyBorder="1" applyAlignment="1" applyProtection="1">
      <alignment horizontal="center" vertical="center"/>
      <protection locked="0"/>
    </xf>
    <xf numFmtId="0" fontId="12" fillId="3" borderId="20" xfId="0" applyFont="1" applyFill="1" applyBorder="1" applyAlignment="1">
      <alignment horizontal="left" vertical="center" wrapText="1"/>
    </xf>
    <xf numFmtId="0" fontId="1" fillId="0" borderId="7" xfId="0" applyFont="1" applyBorder="1"/>
    <xf numFmtId="0" fontId="1" fillId="3" borderId="7" xfId="0" applyFont="1" applyFill="1" applyBorder="1"/>
    <xf numFmtId="49" fontId="3" fillId="3" borderId="38" xfId="0" applyNumberFormat="1" applyFont="1" applyFill="1" applyBorder="1" applyAlignment="1" applyProtection="1">
      <alignment horizontal="left" vertical="center" wrapText="1"/>
      <protection locked="0"/>
    </xf>
    <xf numFmtId="179" fontId="13" fillId="0" borderId="31" xfId="0" applyNumberFormat="1" applyFont="1" applyBorder="1" applyAlignment="1">
      <alignment horizontal="right" vertical="center" wrapText="1"/>
    </xf>
    <xf numFmtId="180" fontId="3" fillId="3" borderId="7" xfId="1" applyNumberFormat="1" applyFont="1" applyFill="1" applyBorder="1" applyAlignment="1" applyProtection="1">
      <alignment horizontal="center" vertical="center" wrapText="1"/>
      <protection locked="0"/>
    </xf>
    <xf numFmtId="177" fontId="20" fillId="0" borderId="7" xfId="2" applyNumberFormat="1" applyFont="1" applyFill="1" applyBorder="1" applyAlignment="1" applyProtection="1">
      <alignment horizontal="left" vertical="center"/>
      <protection locked="0"/>
    </xf>
    <xf numFmtId="0" fontId="3" fillId="0" borderId="8" xfId="0" applyFont="1" applyBorder="1" applyAlignment="1">
      <alignment horizontal="left" vertical="center" wrapText="1"/>
    </xf>
    <xf numFmtId="0" fontId="3" fillId="0" borderId="37" xfId="0" applyFont="1" applyBorder="1" applyAlignment="1">
      <alignment horizontal="center" vertical="center" wrapText="1"/>
    </xf>
    <xf numFmtId="0" fontId="3" fillId="0" borderId="24" xfId="0" applyFont="1" applyBorder="1" applyAlignment="1">
      <alignment vertical="center"/>
    </xf>
    <xf numFmtId="0" fontId="4" fillId="3" borderId="7" xfId="0" applyFont="1" applyFill="1" applyBorder="1" applyAlignment="1">
      <alignment horizontal="center" vertical="center"/>
    </xf>
    <xf numFmtId="176" fontId="3" fillId="0" borderId="8" xfId="0" applyNumberFormat="1" applyFont="1" applyBorder="1" applyAlignment="1" applyProtection="1">
      <alignment vertical="center" wrapText="1"/>
      <protection locked="0"/>
    </xf>
    <xf numFmtId="177" fontId="20" fillId="0" borderId="20" xfId="0" applyNumberFormat="1" applyFont="1" applyBorder="1" applyAlignment="1">
      <alignment horizontal="left" vertical="center" wrapText="1"/>
    </xf>
    <xf numFmtId="177" fontId="3" fillId="3" borderId="7" xfId="0" applyNumberFormat="1" applyFont="1" applyFill="1" applyBorder="1" applyAlignment="1" applyProtection="1">
      <alignment horizontal="right" vertical="center" wrapText="1"/>
      <protection locked="0"/>
    </xf>
    <xf numFmtId="0" fontId="30" fillId="3" borderId="0" xfId="0" applyFont="1" applyFill="1"/>
    <xf numFmtId="0" fontId="0" fillId="3" borderId="0" xfId="0" applyFill="1"/>
    <xf numFmtId="0" fontId="31" fillId="0" borderId="0" xfId="0" applyFont="1" applyAlignment="1">
      <alignment horizontal="left" vertical="center"/>
    </xf>
    <xf numFmtId="0" fontId="32" fillId="3" borderId="0" xfId="0" applyFont="1" applyFill="1"/>
    <xf numFmtId="0" fontId="33" fillId="3" borderId="0" xfId="0" applyFont="1" applyFill="1" applyAlignment="1">
      <alignment horizontal="right" vertical="center"/>
    </xf>
    <xf numFmtId="0" fontId="34" fillId="3" borderId="0" xfId="0" applyFont="1" applyFill="1" applyAlignment="1">
      <alignment horizontal="left" vertical="center"/>
    </xf>
    <xf numFmtId="0" fontId="33" fillId="3" borderId="0" xfId="0" applyFont="1" applyFill="1" applyAlignment="1">
      <alignment horizontal="left" vertical="center"/>
    </xf>
    <xf numFmtId="0" fontId="35" fillId="3" borderId="0" xfId="0" applyFont="1" applyFill="1"/>
    <xf numFmtId="0" fontId="35" fillId="3" borderId="0" xfId="0" applyFont="1" applyFill="1" applyAlignment="1">
      <alignment horizontal="left" indent="1"/>
    </xf>
    <xf numFmtId="0" fontId="36" fillId="3" borderId="0" xfId="0" applyFont="1" applyFill="1" applyAlignment="1">
      <alignment horizontal="left" indent="1"/>
    </xf>
    <xf numFmtId="0" fontId="13" fillId="3" borderId="7" xfId="4" applyFont="1" applyFill="1" applyBorder="1" applyAlignment="1">
      <alignment horizontal="center" vertical="center" wrapText="1"/>
    </xf>
    <xf numFmtId="178" fontId="13" fillId="3" borderId="7" xfId="4" applyNumberFormat="1" applyFont="1" applyFill="1" applyBorder="1" applyAlignment="1">
      <alignment horizontal="right" vertical="center" wrapText="1"/>
    </xf>
    <xf numFmtId="179" fontId="13" fillId="3" borderId="7" xfId="4" applyNumberFormat="1" applyFont="1" applyFill="1" applyBorder="1" applyAlignment="1">
      <alignment horizontal="right" vertical="center" wrapText="1"/>
    </xf>
    <xf numFmtId="0" fontId="28" fillId="3" borderId="7" xfId="0" applyFont="1" applyFill="1" applyBorder="1"/>
    <xf numFmtId="177" fontId="3" fillId="3" borderId="20" xfId="0" applyNumberFormat="1" applyFont="1" applyFill="1" applyBorder="1" applyAlignment="1">
      <alignment horizontal="right" vertical="center" wrapText="1"/>
    </xf>
    <xf numFmtId="0" fontId="46" fillId="0" borderId="9" xfId="0" applyFont="1" applyBorder="1" applyAlignment="1">
      <alignment horizontal="left" vertical="center"/>
    </xf>
    <xf numFmtId="0" fontId="46" fillId="0" borderId="9" xfId="0" applyFont="1" applyBorder="1" applyAlignment="1">
      <alignment vertical="center"/>
    </xf>
    <xf numFmtId="0" fontId="46" fillId="0" borderId="7" xfId="0" applyFont="1" applyBorder="1" applyAlignment="1">
      <alignment horizontal="left" vertical="center"/>
    </xf>
    <xf numFmtId="49" fontId="45" fillId="3" borderId="7" xfId="0" applyNumberFormat="1" applyFont="1" applyFill="1" applyBorder="1" applyAlignment="1">
      <alignment horizontal="left" vertical="center" wrapText="1"/>
    </xf>
    <xf numFmtId="49" fontId="45" fillId="3" borderId="7" xfId="0" applyNumberFormat="1" applyFont="1" applyFill="1" applyBorder="1" applyAlignment="1">
      <alignment horizontal="center" vertical="center" wrapText="1"/>
    </xf>
    <xf numFmtId="49" fontId="13" fillId="3" borderId="24" xfId="0" applyNumberFormat="1" applyFont="1" applyFill="1" applyBorder="1" applyAlignment="1">
      <alignment vertical="center" wrapText="1"/>
    </xf>
    <xf numFmtId="178" fontId="13" fillId="3" borderId="7" xfId="0" applyNumberFormat="1" applyFont="1" applyFill="1" applyBorder="1" applyAlignment="1">
      <alignment vertical="center" wrapText="1"/>
    </xf>
    <xf numFmtId="49" fontId="45" fillId="3" borderId="24" xfId="0" applyNumberFormat="1" applyFont="1" applyFill="1" applyBorder="1" applyAlignment="1">
      <alignment horizontal="left" vertical="center" wrapText="1"/>
    </xf>
    <xf numFmtId="0" fontId="47" fillId="3" borderId="7" xfId="0" applyFont="1" applyFill="1" applyBorder="1" applyAlignment="1">
      <alignment horizontal="center" vertical="center" wrapText="1"/>
    </xf>
    <xf numFmtId="0" fontId="2" fillId="3" borderId="3" xfId="0" applyFont="1" applyFill="1" applyBorder="1" applyAlignment="1">
      <alignment horizontal="left" wrapText="1"/>
    </xf>
    <xf numFmtId="0" fontId="2" fillId="3" borderId="0" xfId="0" applyFont="1" applyFill="1" applyAlignment="1">
      <alignment horizontal="left" wrapText="1"/>
    </xf>
    <xf numFmtId="0" fontId="2" fillId="3" borderId="44" xfId="0" applyFont="1" applyFill="1" applyBorder="1" applyAlignment="1">
      <alignment horizontal="left" wrapText="1"/>
    </xf>
    <xf numFmtId="0" fontId="2" fillId="3" borderId="45" xfId="0" applyFont="1" applyFill="1" applyBorder="1" applyAlignment="1">
      <alignment horizontal="left" wrapText="1"/>
    </xf>
    <xf numFmtId="0" fontId="17" fillId="3" borderId="7" xfId="0" applyFont="1" applyFill="1" applyBorder="1" applyAlignment="1">
      <alignment horizontal="center" vertical="center" wrapText="1"/>
    </xf>
    <xf numFmtId="0" fontId="21" fillId="2" borderId="28" xfId="0" applyFont="1" applyFill="1" applyBorder="1" applyAlignment="1">
      <alignment horizontal="center" vertical="center"/>
    </xf>
    <xf numFmtId="0" fontId="21" fillId="2" borderId="29" xfId="0" applyFont="1" applyFill="1" applyBorder="1" applyAlignment="1">
      <alignment horizontal="center" vertical="center"/>
    </xf>
    <xf numFmtId="0" fontId="21" fillId="2" borderId="30" xfId="0" applyFont="1" applyFill="1" applyBorder="1" applyAlignment="1">
      <alignment horizontal="center" vertical="center"/>
    </xf>
    <xf numFmtId="0" fontId="2" fillId="0" borderId="3" xfId="0" applyFont="1" applyBorder="1" applyAlignment="1">
      <alignment horizontal="left" wrapText="1"/>
    </xf>
    <xf numFmtId="0" fontId="2" fillId="0" borderId="0" xfId="0" applyFont="1" applyAlignment="1">
      <alignment horizontal="left" wrapText="1"/>
    </xf>
    <xf numFmtId="0" fontId="2" fillId="0" borderId="0" xfId="0" applyFont="1" applyAlignment="1">
      <alignment horizontal="center" vertical="center" wrapText="1"/>
    </xf>
    <xf numFmtId="0" fontId="43" fillId="3" borderId="21" xfId="0" applyFont="1" applyFill="1" applyBorder="1" applyAlignment="1">
      <alignment horizontal="center" vertical="center" wrapText="1"/>
    </xf>
    <xf numFmtId="0" fontId="43" fillId="3" borderId="22"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44" fillId="3" borderId="21" xfId="0" applyFont="1" applyFill="1" applyBorder="1" applyAlignment="1">
      <alignment horizontal="left" vertical="center" wrapText="1"/>
    </xf>
    <xf numFmtId="0" fontId="17" fillId="3" borderId="22" xfId="0" applyFont="1" applyFill="1" applyBorder="1" applyAlignment="1">
      <alignment horizontal="left" vertical="center" wrapText="1"/>
    </xf>
    <xf numFmtId="0" fontId="17" fillId="0" borderId="21"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22" xfId="0" applyFont="1" applyBorder="1" applyAlignment="1">
      <alignment horizontal="center" vertical="center" wrapText="1"/>
    </xf>
    <xf numFmtId="0" fontId="44" fillId="3" borderId="21"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3" borderId="21" xfId="0" applyFont="1" applyFill="1" applyBorder="1" applyAlignment="1">
      <alignment horizontal="center" vertical="center" wrapText="1"/>
    </xf>
    <xf numFmtId="0" fontId="44" fillId="3" borderId="22" xfId="0" applyFont="1" applyFill="1" applyBorder="1" applyAlignment="1">
      <alignment horizontal="center" vertical="center" wrapText="1"/>
    </xf>
    <xf numFmtId="0" fontId="44" fillId="3" borderId="8" xfId="0" applyFont="1" applyFill="1" applyBorder="1" applyAlignment="1">
      <alignment horizontal="center" vertical="center" wrapText="1"/>
    </xf>
    <xf numFmtId="0" fontId="44" fillId="0" borderId="21" xfId="0" applyFont="1" applyBorder="1" applyAlignment="1">
      <alignment horizontal="left" vertical="center" wrapText="1"/>
    </xf>
    <xf numFmtId="0" fontId="17" fillId="0" borderId="22" xfId="0" applyFont="1" applyBorder="1" applyAlignment="1">
      <alignment horizontal="left" vertical="center" wrapText="1"/>
    </xf>
    <xf numFmtId="0" fontId="17" fillId="0" borderId="8" xfId="0" applyFont="1" applyBorder="1" applyAlignment="1">
      <alignment horizontal="left" vertical="center" wrapText="1"/>
    </xf>
    <xf numFmtId="49" fontId="20" fillId="0" borderId="21" xfId="0" applyNumberFormat="1" applyFont="1" applyBorder="1" applyAlignment="1">
      <alignment horizontal="center" vertical="center" wrapText="1"/>
    </xf>
    <xf numFmtId="49" fontId="20" fillId="0" borderId="8" xfId="0" applyNumberFormat="1" applyFont="1" applyBorder="1" applyAlignment="1">
      <alignment horizontal="center" vertical="center" wrapText="1"/>
    </xf>
    <xf numFmtId="49" fontId="20" fillId="0" borderId="22" xfId="0" applyNumberFormat="1" applyFont="1" applyBorder="1" applyAlignment="1">
      <alignment horizontal="center" vertical="center" wrapText="1"/>
    </xf>
    <xf numFmtId="0" fontId="17" fillId="3" borderId="22" xfId="0" applyFont="1" applyFill="1" applyBorder="1" applyAlignment="1">
      <alignment horizontal="center" vertical="center" wrapText="1"/>
    </xf>
    <xf numFmtId="0" fontId="17" fillId="3" borderId="40" xfId="0" applyFont="1" applyFill="1" applyBorder="1" applyAlignment="1">
      <alignment horizontal="center" vertical="center" wrapText="1"/>
    </xf>
    <xf numFmtId="0" fontId="17" fillId="3" borderId="18" xfId="0" applyFont="1" applyFill="1" applyBorder="1" applyAlignment="1">
      <alignment horizontal="center" vertical="center" wrapText="1"/>
    </xf>
    <xf numFmtId="0" fontId="17" fillId="3" borderId="46" xfId="0" applyFont="1" applyFill="1" applyBorder="1" applyAlignment="1">
      <alignment horizontal="center" vertical="center" wrapText="1"/>
    </xf>
    <xf numFmtId="0" fontId="17" fillId="0" borderId="40"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37"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8" xfId="0" applyFont="1" applyBorder="1" applyAlignment="1">
      <alignment horizontal="center" vertical="center" wrapText="1"/>
    </xf>
    <xf numFmtId="0" fontId="12" fillId="2" borderId="19" xfId="0" applyFont="1" applyFill="1" applyBorder="1" applyAlignment="1">
      <alignment horizontal="left" vertical="center" wrapText="1"/>
    </xf>
    <xf numFmtId="0" fontId="12" fillId="2" borderId="20" xfId="0" applyFont="1" applyFill="1" applyBorder="1" applyAlignment="1">
      <alignment horizontal="left" vertical="center" wrapText="1"/>
    </xf>
    <xf numFmtId="0" fontId="12" fillId="2" borderId="20" xfId="0" applyFont="1" applyFill="1" applyBorder="1" applyAlignment="1">
      <alignment horizontal="center" vertical="center" wrapText="1"/>
    </xf>
    <xf numFmtId="0" fontId="43" fillId="3" borderId="7"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0" borderId="7" xfId="0" applyFont="1" applyBorder="1" applyAlignment="1">
      <alignment horizontal="center" vertical="center" wrapText="1"/>
    </xf>
    <xf numFmtId="49" fontId="3" fillId="0" borderId="7" xfId="0" applyNumberFormat="1" applyFont="1" applyBorder="1" applyAlignment="1">
      <alignment horizontal="center" vertical="center" wrapText="1"/>
    </xf>
    <xf numFmtId="0" fontId="43" fillId="0" borderId="21" xfId="0" applyFont="1" applyBorder="1" applyAlignment="1">
      <alignment horizontal="center" vertical="center" wrapText="1"/>
    </xf>
    <xf numFmtId="0" fontId="5" fillId="3" borderId="2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43" fillId="0" borderId="40" xfId="0" applyFont="1" applyBorder="1" applyAlignment="1">
      <alignment horizontal="center" vertical="center" wrapText="1"/>
    </xf>
    <xf numFmtId="0" fontId="5" fillId="0" borderId="18" xfId="0" applyFont="1" applyBorder="1" applyAlignment="1">
      <alignment horizontal="center" vertical="center" wrapText="1"/>
    </xf>
    <xf numFmtId="0" fontId="3" fillId="0" borderId="7"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1" xfId="0" applyFont="1" applyBorder="1" applyAlignment="1">
      <alignment vertical="center" wrapText="1"/>
    </xf>
    <xf numFmtId="0" fontId="5" fillId="0" borderId="22" xfId="0" applyFont="1" applyBorder="1" applyAlignment="1">
      <alignment vertical="center" wrapText="1"/>
    </xf>
    <xf numFmtId="0" fontId="5" fillId="0" borderId="8" xfId="0" applyFont="1" applyBorder="1" applyAlignment="1">
      <alignment vertical="center" wrapText="1"/>
    </xf>
    <xf numFmtId="0" fontId="5" fillId="0" borderId="7" xfId="0" applyFont="1" applyBorder="1" applyAlignment="1">
      <alignment horizontal="left" vertical="center"/>
    </xf>
    <xf numFmtId="49" fontId="3" fillId="4" borderId="7" xfId="0" applyNumberFormat="1"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5" fillId="0" borderId="7" xfId="0" applyFont="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8" xfId="0" applyFont="1" applyFill="1" applyBorder="1" applyAlignment="1">
      <alignment horizontal="center" vertical="center"/>
    </xf>
    <xf numFmtId="0" fontId="5" fillId="0" borderId="24" xfId="0" applyFont="1" applyBorder="1" applyAlignment="1">
      <alignment horizontal="center" vertical="center"/>
    </xf>
    <xf numFmtId="0" fontId="12" fillId="6" borderId="19" xfId="0" applyFont="1" applyFill="1" applyBorder="1" applyAlignment="1">
      <alignment horizontal="left" vertical="center"/>
    </xf>
    <xf numFmtId="0" fontId="12" fillId="6" borderId="20" xfId="0" applyFont="1" applyFill="1" applyBorder="1" applyAlignment="1">
      <alignment horizontal="left" vertical="center"/>
    </xf>
    <xf numFmtId="0" fontId="12" fillId="6" borderId="20" xfId="0" applyFont="1" applyFill="1" applyBorder="1" applyAlignment="1">
      <alignment horizontal="center" vertical="center"/>
    </xf>
    <xf numFmtId="0" fontId="3" fillId="0" borderId="43" xfId="0" applyFont="1" applyBorder="1" applyAlignment="1">
      <alignment horizontal="left" vertical="center" wrapText="1"/>
    </xf>
    <xf numFmtId="0" fontId="3" fillId="0" borderId="25" xfId="0" applyFont="1" applyBorder="1" applyAlignment="1">
      <alignment horizontal="left" vertical="center"/>
    </xf>
    <xf numFmtId="0" fontId="3" fillId="0" borderId="25" xfId="0" applyFont="1" applyBorder="1" applyAlignment="1">
      <alignment horizontal="center" vertical="center"/>
    </xf>
    <xf numFmtId="0" fontId="12" fillId="2" borderId="6"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2" fillId="2" borderId="7" xfId="0" applyFont="1" applyFill="1" applyBorder="1" applyAlignment="1">
      <alignment horizontal="center" vertical="center" wrapText="1"/>
    </xf>
    <xf numFmtId="0" fontId="12" fillId="2" borderId="38"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25" fillId="2" borderId="29" xfId="0" applyFont="1" applyFill="1" applyBorder="1" applyAlignment="1">
      <alignment horizontal="center" vertical="center"/>
    </xf>
    <xf numFmtId="0" fontId="25" fillId="2" borderId="30" xfId="0" applyFont="1" applyFill="1" applyBorder="1" applyAlignment="1">
      <alignment horizontal="center" vertical="center"/>
    </xf>
    <xf numFmtId="0" fontId="17" fillId="0" borderId="21" xfId="0" applyFont="1" applyBorder="1" applyAlignment="1">
      <alignment vertical="top" wrapText="1"/>
    </xf>
    <xf numFmtId="0" fontId="17" fillId="0" borderId="22" xfId="0" applyFont="1" applyBorder="1" applyAlignment="1">
      <alignment vertical="top" wrapText="1"/>
    </xf>
    <xf numFmtId="0" fontId="17" fillId="0" borderId="8" xfId="0" applyFont="1" applyBorder="1" applyAlignment="1">
      <alignment vertical="top" wrapText="1"/>
    </xf>
    <xf numFmtId="0" fontId="17" fillId="3" borderId="21" xfId="0" applyFont="1" applyFill="1" applyBorder="1" applyAlignment="1">
      <alignment horizontal="left" vertical="center" wrapText="1"/>
    </xf>
    <xf numFmtId="0" fontId="17" fillId="3" borderId="8" xfId="0" applyFont="1" applyFill="1" applyBorder="1" applyAlignment="1">
      <alignment horizontal="left" vertical="center" wrapText="1"/>
    </xf>
    <xf numFmtId="0" fontId="17" fillId="0" borderId="21" xfId="0" applyFont="1" applyBorder="1" applyAlignment="1">
      <alignment horizontal="left" vertical="top" wrapText="1"/>
    </xf>
    <xf numFmtId="0" fontId="17" fillId="0" borderId="8" xfId="0" applyFont="1" applyBorder="1" applyAlignment="1">
      <alignment horizontal="left" vertical="top" wrapText="1"/>
    </xf>
    <xf numFmtId="0" fontId="17" fillId="0" borderId="22" xfId="0" applyFont="1" applyBorder="1" applyAlignment="1">
      <alignment horizontal="left" vertical="top" wrapText="1"/>
    </xf>
    <xf numFmtId="0" fontId="17" fillId="0" borderId="21" xfId="0" applyFont="1" applyBorder="1" applyAlignment="1">
      <alignment horizontal="left" vertical="center" wrapText="1"/>
    </xf>
    <xf numFmtId="0" fontId="20" fillId="0" borderId="33" xfId="0" applyFont="1" applyBorder="1" applyAlignment="1">
      <alignment horizontal="left" vertical="top" wrapText="1"/>
    </xf>
    <xf numFmtId="0" fontId="20" fillId="0" borderId="35" xfId="0" applyFont="1" applyBorder="1" applyAlignment="1">
      <alignment horizontal="left" vertical="top" wrapText="1"/>
    </xf>
    <xf numFmtId="0" fontId="20" fillId="0" borderId="21" xfId="0" applyFont="1" applyBorder="1" applyAlignment="1">
      <alignment horizontal="left" vertical="top" wrapText="1"/>
    </xf>
    <xf numFmtId="0" fontId="20" fillId="0" borderId="22" xfId="0" applyFont="1" applyBorder="1" applyAlignment="1">
      <alignment horizontal="left" vertical="top" wrapText="1"/>
    </xf>
    <xf numFmtId="0" fontId="20" fillId="0" borderId="8" xfId="0" applyFont="1" applyBorder="1" applyAlignment="1">
      <alignment horizontal="left" vertical="top" wrapText="1"/>
    </xf>
    <xf numFmtId="0" fontId="17" fillId="3" borderId="21" xfId="0" applyFont="1" applyFill="1" applyBorder="1" applyAlignment="1">
      <alignment horizontal="center" vertical="top" wrapText="1"/>
    </xf>
    <xf numFmtId="0" fontId="17" fillId="3" borderId="22" xfId="0" applyFont="1" applyFill="1" applyBorder="1" applyAlignment="1">
      <alignment horizontal="center" vertical="top" wrapText="1"/>
    </xf>
    <xf numFmtId="0" fontId="17" fillId="3" borderId="8" xfId="0" applyFont="1" applyFill="1" applyBorder="1" applyAlignment="1">
      <alignment horizontal="center" vertical="top" wrapText="1"/>
    </xf>
    <xf numFmtId="0" fontId="17" fillId="3" borderId="7" xfId="0" applyFont="1" applyFill="1" applyBorder="1" applyAlignment="1">
      <alignment horizontal="left" vertical="top" wrapText="1"/>
    </xf>
    <xf numFmtId="0" fontId="3" fillId="0" borderId="19" xfId="0" applyFont="1" applyBorder="1" applyAlignment="1">
      <alignment horizontal="left" vertical="center" wrapText="1"/>
    </xf>
    <xf numFmtId="0" fontId="3" fillId="0" borderId="20" xfId="0" applyFont="1" applyBorder="1" applyAlignment="1">
      <alignment horizontal="left" vertical="center" wrapText="1"/>
    </xf>
    <xf numFmtId="0" fontId="3" fillId="3" borderId="7" xfId="0"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8" xfId="0" applyFont="1" applyBorder="1" applyAlignment="1">
      <alignment horizontal="center" vertical="center" wrapText="1"/>
    </xf>
    <xf numFmtId="0" fontId="17" fillId="0" borderId="7" xfId="0" applyFont="1" applyBorder="1" applyAlignment="1">
      <alignment horizontal="left" vertical="top" wrapText="1"/>
    </xf>
    <xf numFmtId="0" fontId="2" fillId="0" borderId="1" xfId="0" applyFont="1" applyBorder="1" applyAlignment="1">
      <alignment horizontal="left" wrapText="1"/>
    </xf>
    <xf numFmtId="0" fontId="2" fillId="0" borderId="2" xfId="0" applyFont="1" applyBorder="1" applyAlignment="1">
      <alignment horizontal="left" wrapText="1"/>
    </xf>
    <xf numFmtId="0" fontId="17" fillId="0" borderId="21" xfId="0" applyFont="1" applyBorder="1" applyAlignment="1">
      <alignment horizontal="center" vertical="top" wrapText="1"/>
    </xf>
    <xf numFmtId="0" fontId="17" fillId="0" borderId="8" xfId="0" applyFont="1" applyBorder="1" applyAlignment="1">
      <alignment horizontal="center" vertical="top" wrapText="1"/>
    </xf>
    <xf numFmtId="0" fontId="17" fillId="0" borderId="7" xfId="0" applyFont="1" applyBorder="1" applyAlignment="1">
      <alignment vertical="top" wrapText="1"/>
    </xf>
    <xf numFmtId="0" fontId="17" fillId="0" borderId="7" xfId="0" applyFont="1" applyBorder="1" applyAlignment="1">
      <alignment horizontal="left" vertical="center" wrapText="1"/>
    </xf>
    <xf numFmtId="0" fontId="20" fillId="3" borderId="11" xfId="0" applyFont="1" applyFill="1" applyBorder="1" applyAlignment="1">
      <alignment horizontal="left" vertical="center" wrapText="1"/>
    </xf>
    <xf numFmtId="0" fontId="20" fillId="3" borderId="26" xfId="0" applyFont="1" applyFill="1" applyBorder="1" applyAlignment="1">
      <alignment horizontal="left" vertical="center" wrapText="1"/>
    </xf>
    <xf numFmtId="0" fontId="20" fillId="3" borderId="27" xfId="0" applyFont="1" applyFill="1" applyBorder="1" applyAlignment="1">
      <alignment horizontal="left" vertical="center" wrapText="1"/>
    </xf>
    <xf numFmtId="0" fontId="20" fillId="3" borderId="7" xfId="0" applyFont="1" applyFill="1" applyBorder="1" applyAlignment="1">
      <alignment horizontal="left" vertical="center" wrapText="1"/>
    </xf>
    <xf numFmtId="0" fontId="20" fillId="3" borderId="7" xfId="0" applyFont="1" applyFill="1" applyBorder="1" applyAlignment="1">
      <alignment horizontal="left" vertical="top" wrapText="1"/>
    </xf>
    <xf numFmtId="0" fontId="16" fillId="2" borderId="1" xfId="0" applyFont="1" applyFill="1" applyBorder="1" applyAlignment="1">
      <alignment horizontal="center" vertical="center" wrapText="1"/>
    </xf>
    <xf numFmtId="0" fontId="16" fillId="2" borderId="13"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14" xfId="0" applyFont="1" applyFill="1" applyBorder="1" applyAlignment="1">
      <alignment horizontal="center" vertical="center"/>
    </xf>
    <xf numFmtId="0" fontId="16" fillId="2" borderId="15" xfId="0" applyFont="1" applyFill="1" applyBorder="1" applyAlignment="1">
      <alignment horizontal="center" vertical="center"/>
    </xf>
    <xf numFmtId="0" fontId="16" fillId="2" borderId="16" xfId="0" applyFont="1" applyFill="1" applyBorder="1" applyAlignment="1">
      <alignment horizontal="center" vertical="center"/>
    </xf>
    <xf numFmtId="0" fontId="15" fillId="0" borderId="10" xfId="0" applyFont="1" applyBorder="1" applyAlignment="1">
      <alignment horizontal="left" vertical="center"/>
    </xf>
    <xf numFmtId="0" fontId="15" fillId="0" borderId="11" xfId="0" applyFont="1" applyBorder="1" applyAlignment="1">
      <alignment horizontal="left" vertical="center"/>
    </xf>
    <xf numFmtId="0" fontId="15" fillId="0" borderId="12" xfId="0" applyFont="1" applyBorder="1" applyAlignment="1">
      <alignment horizontal="left" vertical="center"/>
    </xf>
    <xf numFmtId="0" fontId="15" fillId="0" borderId="9" xfId="0" applyFont="1" applyBorder="1" applyAlignment="1">
      <alignment horizontal="left" vertical="center"/>
    </xf>
    <xf numFmtId="0" fontId="12" fillId="2" borderId="17" xfId="0" applyFont="1" applyFill="1" applyBorder="1" applyAlignment="1">
      <alignment horizontal="left" vertical="center" wrapText="1"/>
    </xf>
    <xf numFmtId="0" fontId="14" fillId="0" borderId="7" xfId="0" applyFont="1" applyBorder="1" applyAlignment="1">
      <alignment vertical="center"/>
    </xf>
    <xf numFmtId="0" fontId="48" fillId="0" borderId="7" xfId="0" applyFont="1" applyBorder="1" applyAlignment="1">
      <alignment horizontal="left" vertical="center" wrapText="1"/>
    </xf>
    <xf numFmtId="0" fontId="14" fillId="0" borderId="7" xfId="0" applyFont="1" applyBorder="1" applyAlignment="1">
      <alignment horizontal="left" vertical="center" wrapText="1"/>
    </xf>
  </cellXfs>
  <cellStyles count="7">
    <cellStyle name="常规" xfId="0" builtinId="0"/>
    <cellStyle name="常规 2" xfId="3" xr:uid="{00000000-0005-0000-0000-000031000000}"/>
    <cellStyle name="常规 3" xfId="4" xr:uid="{00000000-0005-0000-0000-000032000000}"/>
    <cellStyle name="常规 4" xfId="5" xr:uid="{00000000-0005-0000-0000-000033000000}"/>
    <cellStyle name="常规 5" xfId="6" xr:uid="{00000000-0005-0000-0000-000034000000}"/>
    <cellStyle name="超链接" xfId="2" builtinId="8"/>
    <cellStyle name="千位分隔" xfId="1" builtinId="3"/>
  </cellStyles>
  <dxfs count="0"/>
  <tableStyles count="0" defaultTableStyle="TableStyleMedium2" defaultPivotStyle="PivotStyleMedium7"/>
  <colors>
    <mruColors>
      <color rgb="FF0BA588"/>
      <color rgb="FF09A76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76965</xdr:colOff>
      <xdr:row>0</xdr:row>
      <xdr:rowOff>79767</xdr:rowOff>
    </xdr:from>
    <xdr:to>
      <xdr:col>1</xdr:col>
      <xdr:colOff>1435472</xdr:colOff>
      <xdr:row>1</xdr:row>
      <xdr:rowOff>118640</xdr:rowOff>
    </xdr:to>
    <xdr:pic>
      <xdr:nvPicPr>
        <xdr:cNvPr id="6" name="图片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35135"/>
        <a:stretch>
          <a:fillRect/>
        </a:stretch>
      </xdr:blipFill>
      <xdr:spPr>
        <a:xfrm>
          <a:off x="76835" y="79375"/>
          <a:ext cx="1626235" cy="4197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81392</xdr:colOff>
      <xdr:row>0</xdr:row>
      <xdr:rowOff>81196</xdr:rowOff>
    </xdr:from>
    <xdr:to>
      <xdr:col>2</xdr:col>
      <xdr:colOff>437321</xdr:colOff>
      <xdr:row>1</xdr:row>
      <xdr:rowOff>116756</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35135"/>
        <a:stretch>
          <a:fillRect/>
        </a:stretch>
      </xdr:blipFill>
      <xdr:spPr>
        <a:xfrm>
          <a:off x="81280" y="80645"/>
          <a:ext cx="1627505" cy="416560"/>
        </a:xfrm>
        <a:prstGeom prst="rect">
          <a:avLst/>
        </a:prstGeom>
      </xdr:spPr>
    </xdr:pic>
    <xdr:clientData/>
  </xdr:twoCellAnchor>
  <xdr:twoCellAnchor editAs="oneCell">
    <xdr:from>
      <xdr:col>12</xdr:col>
      <xdr:colOff>119270</xdr:colOff>
      <xdr:row>638</xdr:row>
      <xdr:rowOff>371062</xdr:rowOff>
    </xdr:from>
    <xdr:to>
      <xdr:col>12</xdr:col>
      <xdr:colOff>1964095</xdr:colOff>
      <xdr:row>638</xdr:row>
      <xdr:rowOff>2215887</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34165" y="148953855"/>
          <a:ext cx="1845310" cy="1844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53009</xdr:colOff>
      <xdr:row>0</xdr:row>
      <xdr:rowOff>79514</xdr:rowOff>
    </xdr:from>
    <xdr:to>
      <xdr:col>3</xdr:col>
      <xdr:colOff>564074</xdr:colOff>
      <xdr:row>1</xdr:row>
      <xdr:rowOff>109201</xdr:rowOff>
    </xdr:to>
    <xdr:pic>
      <xdr:nvPicPr>
        <xdr:cNvPr id="6" name="图片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4782" t="22501" r="5077" b="22215"/>
        <a:stretch>
          <a:fillRect/>
        </a:stretch>
      </xdr:blipFill>
      <xdr:spPr>
        <a:xfrm>
          <a:off x="52705" y="79375"/>
          <a:ext cx="2524760" cy="4102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79513</xdr:colOff>
      <xdr:row>0</xdr:row>
      <xdr:rowOff>79513</xdr:rowOff>
    </xdr:from>
    <xdr:to>
      <xdr:col>2</xdr:col>
      <xdr:colOff>190277</xdr:colOff>
      <xdr:row>1</xdr:row>
      <xdr:rowOff>115073</xdr:rowOff>
    </xdr:to>
    <xdr:pic>
      <xdr:nvPicPr>
        <xdr:cNvPr id="6" name="图片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35135"/>
        <a:stretch>
          <a:fillRect/>
        </a:stretch>
      </xdr:blipFill>
      <xdr:spPr>
        <a:xfrm>
          <a:off x="79375" y="79375"/>
          <a:ext cx="1625600" cy="4165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81392</xdr:colOff>
      <xdr:row>0</xdr:row>
      <xdr:rowOff>81196</xdr:rowOff>
    </xdr:from>
    <xdr:to>
      <xdr:col>2</xdr:col>
      <xdr:colOff>73468</xdr:colOff>
      <xdr:row>1</xdr:row>
      <xdr:rowOff>116756</xdr:rowOff>
    </xdr:to>
    <xdr:pic>
      <xdr:nvPicPr>
        <xdr:cNvPr id="2" name="图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35135"/>
        <a:stretch>
          <a:fillRect/>
        </a:stretch>
      </xdr:blipFill>
      <xdr:spPr>
        <a:xfrm>
          <a:off x="81280" y="80645"/>
          <a:ext cx="1500505" cy="41656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hi-finance.com.cn/"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hi-finance.com.cn/"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hi-finance.com.cn/"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hi-finance.com.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view="pageBreakPreview" zoomScale="115" zoomScaleNormal="115" workbookViewId="0">
      <selection sqref="A1:M2"/>
    </sheetView>
  </sheetViews>
  <sheetFormatPr defaultColWidth="8.90625" defaultRowHeight="14" x14ac:dyDescent="0.25"/>
  <cols>
    <col min="1" max="1" width="3.90625" style="210" customWidth="1"/>
    <col min="2" max="2" width="23.54296875" style="210" customWidth="1"/>
    <col min="3" max="3" width="1.6328125" style="210" customWidth="1"/>
    <col min="4" max="4" width="23.54296875" style="210" customWidth="1"/>
    <col min="5" max="5" width="1.6328125" style="210" customWidth="1"/>
    <col min="6" max="6" width="23.54296875" style="210" customWidth="1"/>
    <col min="7" max="16384" width="8.90625" style="210"/>
  </cols>
  <sheetData>
    <row r="1" spans="1:13" s="146" customFormat="1" ht="30" customHeight="1" x14ac:dyDescent="0.45">
      <c r="A1" s="233" t="s">
        <v>0</v>
      </c>
      <c r="B1" s="234"/>
      <c r="C1" s="234"/>
      <c r="D1" s="234"/>
      <c r="E1" s="234"/>
      <c r="F1" s="234"/>
      <c r="G1" s="234"/>
      <c r="H1" s="234"/>
      <c r="I1" s="234"/>
      <c r="J1" s="234"/>
      <c r="K1" s="234"/>
      <c r="L1" s="234"/>
      <c r="M1" s="234"/>
    </row>
    <row r="2" spans="1:13" s="146" customFormat="1" ht="30" customHeight="1" x14ac:dyDescent="0.45">
      <c r="A2" s="235"/>
      <c r="B2" s="236"/>
      <c r="C2" s="236"/>
      <c r="D2" s="236"/>
      <c r="E2" s="236"/>
      <c r="F2" s="236"/>
      <c r="G2" s="236"/>
      <c r="H2" s="236"/>
      <c r="I2" s="236"/>
      <c r="J2" s="236"/>
      <c r="K2" s="236"/>
      <c r="L2" s="236"/>
      <c r="M2" s="236"/>
    </row>
    <row r="4" spans="1:13" s="209" customFormat="1" ht="15" customHeight="1" x14ac:dyDescent="0.35">
      <c r="B4" s="211" t="s">
        <v>1</v>
      </c>
      <c r="D4" s="211" t="s">
        <v>2</v>
      </c>
      <c r="F4" s="211" t="s">
        <v>3</v>
      </c>
    </row>
    <row r="5" spans="1:13" s="209" customFormat="1" ht="6" customHeight="1" x14ac:dyDescent="0.4">
      <c r="B5" s="212"/>
    </row>
    <row r="6" spans="1:13" s="209" customFormat="1" x14ac:dyDescent="0.35">
      <c r="A6" s="213">
        <v>1</v>
      </c>
      <c r="B6" s="214" t="s">
        <v>4</v>
      </c>
      <c r="C6" s="215">
        <v>1</v>
      </c>
      <c r="D6" s="214" t="s">
        <v>5</v>
      </c>
      <c r="E6" s="215">
        <v>1</v>
      </c>
      <c r="F6" s="214" t="s">
        <v>6</v>
      </c>
    </row>
    <row r="7" spans="1:13" s="209" customFormat="1" x14ac:dyDescent="0.35">
      <c r="A7" s="213">
        <f>A6+1</f>
        <v>2</v>
      </c>
      <c r="B7" s="214" t="s">
        <v>7</v>
      </c>
      <c r="C7" s="215">
        <f>C6+1</f>
        <v>2</v>
      </c>
      <c r="D7" s="214" t="s">
        <v>8</v>
      </c>
      <c r="E7" s="215">
        <f>E6+1</f>
        <v>2</v>
      </c>
      <c r="F7" s="214" t="s">
        <v>9</v>
      </c>
    </row>
    <row r="8" spans="1:13" s="209" customFormat="1" x14ac:dyDescent="0.35">
      <c r="A8" s="213">
        <f t="shared" ref="A8:E21" si="0">A7+1</f>
        <v>3</v>
      </c>
      <c r="B8" s="214" t="s">
        <v>10</v>
      </c>
      <c r="C8" s="215">
        <f t="shared" si="0"/>
        <v>3</v>
      </c>
      <c r="D8" s="214" t="s">
        <v>11</v>
      </c>
      <c r="E8" s="215">
        <f t="shared" si="0"/>
        <v>3</v>
      </c>
      <c r="F8" s="214" t="s">
        <v>12</v>
      </c>
    </row>
    <row r="9" spans="1:13" s="209" customFormat="1" x14ac:dyDescent="0.35">
      <c r="A9" s="213">
        <f t="shared" si="0"/>
        <v>4</v>
      </c>
      <c r="B9" s="214" t="s">
        <v>13</v>
      </c>
      <c r="C9" s="215">
        <f t="shared" si="0"/>
        <v>4</v>
      </c>
      <c r="D9" s="214" t="s">
        <v>14</v>
      </c>
      <c r="E9" s="215">
        <f t="shared" si="0"/>
        <v>4</v>
      </c>
      <c r="F9" s="214" t="s">
        <v>15</v>
      </c>
    </row>
    <row r="10" spans="1:13" s="209" customFormat="1" ht="15.5" x14ac:dyDescent="0.4">
      <c r="A10" s="213">
        <f t="shared" si="0"/>
        <v>5</v>
      </c>
      <c r="B10" s="214" t="s">
        <v>16</v>
      </c>
      <c r="C10" s="215">
        <f t="shared" si="0"/>
        <v>5</v>
      </c>
      <c r="D10" s="214" t="s">
        <v>17</v>
      </c>
      <c r="E10" s="214"/>
      <c r="F10" s="216"/>
    </row>
    <row r="11" spans="1:13" s="209" customFormat="1" ht="15.5" x14ac:dyDescent="0.4">
      <c r="A11" s="213">
        <f t="shared" si="0"/>
        <v>6</v>
      </c>
      <c r="B11" s="214" t="s">
        <v>18</v>
      </c>
      <c r="C11" s="214"/>
      <c r="D11" s="217"/>
      <c r="E11" s="214"/>
      <c r="F11" s="217"/>
    </row>
    <row r="12" spans="1:13" s="209" customFormat="1" ht="15.5" x14ac:dyDescent="0.4">
      <c r="A12" s="213">
        <f t="shared" si="0"/>
        <v>7</v>
      </c>
      <c r="B12" s="214" t="s">
        <v>19</v>
      </c>
      <c r="C12" s="214"/>
      <c r="D12" s="217"/>
      <c r="E12" s="214"/>
      <c r="F12" s="217"/>
    </row>
    <row r="13" spans="1:13" s="209" customFormat="1" ht="15.5" x14ac:dyDescent="0.4">
      <c r="A13" s="213">
        <f t="shared" si="0"/>
        <v>8</v>
      </c>
      <c r="B13" s="214" t="s">
        <v>20</v>
      </c>
      <c r="C13" s="214"/>
      <c r="D13" s="217"/>
      <c r="E13" s="214"/>
      <c r="F13" s="217"/>
    </row>
    <row r="14" spans="1:13" s="209" customFormat="1" ht="15.5" x14ac:dyDescent="0.4">
      <c r="A14" s="213">
        <f t="shared" si="0"/>
        <v>9</v>
      </c>
      <c r="B14" s="214" t="s">
        <v>21</v>
      </c>
      <c r="F14" s="217"/>
    </row>
    <row r="15" spans="1:13" s="209" customFormat="1" ht="15.5" x14ac:dyDescent="0.4">
      <c r="A15" s="213">
        <f t="shared" si="0"/>
        <v>10</v>
      </c>
      <c r="B15" s="214" t="s">
        <v>22</v>
      </c>
      <c r="D15" s="217"/>
      <c r="F15" s="217"/>
    </row>
    <row r="16" spans="1:13" s="209" customFormat="1" ht="15.5" x14ac:dyDescent="0.4">
      <c r="A16" s="213">
        <f t="shared" si="0"/>
        <v>11</v>
      </c>
      <c r="B16" s="214" t="s">
        <v>23</v>
      </c>
      <c r="D16" s="217"/>
      <c r="F16" s="217"/>
    </row>
    <row r="17" spans="1:6" s="209" customFormat="1" ht="15.5" x14ac:dyDescent="0.4">
      <c r="A17" s="213">
        <f t="shared" si="0"/>
        <v>12</v>
      </c>
      <c r="B17" s="214" t="s">
        <v>24</v>
      </c>
      <c r="D17" s="217"/>
      <c r="F17" s="217"/>
    </row>
    <row r="18" spans="1:6" s="209" customFormat="1" ht="15.5" x14ac:dyDescent="0.4">
      <c r="A18" s="213">
        <f t="shared" si="0"/>
        <v>13</v>
      </c>
      <c r="B18" s="214" t="s">
        <v>25</v>
      </c>
      <c r="D18" s="217"/>
      <c r="F18" s="217"/>
    </row>
    <row r="19" spans="1:6" s="209" customFormat="1" ht="15.5" x14ac:dyDescent="0.4">
      <c r="A19" s="213">
        <f t="shared" si="0"/>
        <v>14</v>
      </c>
      <c r="B19" s="214" t="s">
        <v>26</v>
      </c>
      <c r="D19" s="217"/>
      <c r="F19" s="217"/>
    </row>
    <row r="20" spans="1:6" s="209" customFormat="1" ht="15.5" x14ac:dyDescent="0.4">
      <c r="A20" s="213">
        <f t="shared" si="0"/>
        <v>15</v>
      </c>
      <c r="B20" s="214" t="s">
        <v>27</v>
      </c>
      <c r="D20" s="217"/>
      <c r="F20" s="217"/>
    </row>
    <row r="21" spans="1:6" s="209" customFormat="1" ht="15.5" x14ac:dyDescent="0.4">
      <c r="A21" s="213">
        <f t="shared" si="0"/>
        <v>16</v>
      </c>
      <c r="B21" s="214" t="s">
        <v>28</v>
      </c>
      <c r="D21" s="217"/>
      <c r="F21" s="217"/>
    </row>
    <row r="22" spans="1:6" s="209" customFormat="1" ht="16.5" x14ac:dyDescent="0.4">
      <c r="B22" s="218"/>
      <c r="D22" s="217"/>
      <c r="F22" s="217"/>
    </row>
    <row r="23" spans="1:6" s="209" customFormat="1" ht="15.5" x14ac:dyDescent="0.4">
      <c r="D23" s="217"/>
      <c r="F23" s="217"/>
    </row>
    <row r="24" spans="1:6" s="209" customFormat="1" ht="16.5" x14ac:dyDescent="0.4">
      <c r="B24" s="218"/>
      <c r="D24" s="217"/>
      <c r="F24" s="217"/>
    </row>
    <row r="25" spans="1:6" s="209" customFormat="1" x14ac:dyDescent="0.35"/>
  </sheetData>
  <mergeCells count="1">
    <mergeCell ref="A1:M2"/>
  </mergeCells>
  <phoneticPr fontId="42" type="noConversion"/>
  <dataValidations count="1">
    <dataValidation allowBlank="1" showErrorMessage="1" sqref="A1" xr:uid="{00000000-0002-0000-0000-000000000000}"/>
  </dataValidations>
  <pageMargins left="0.7" right="0.7" top="0.75" bottom="0.75" header="0.3" footer="0.3"/>
  <pageSetup paperSize="9"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48"/>
  <sheetViews>
    <sheetView view="pageBreakPreview" zoomScale="115" zoomScaleNormal="130" workbookViewId="0">
      <selection activeCell="E13" sqref="E13"/>
    </sheetView>
  </sheetViews>
  <sheetFormatPr defaultColWidth="9" defaultRowHeight="18.899999999999999" customHeight="1" x14ac:dyDescent="0.45"/>
  <cols>
    <col min="1" max="1" width="9.54296875" style="1" customWidth="1"/>
    <col min="2" max="2" width="9" style="4" customWidth="1"/>
    <col min="3" max="3" width="10.81640625" style="4" customWidth="1"/>
    <col min="4" max="4" width="19.1796875" style="148" customWidth="1"/>
    <col min="5" max="5" width="57.36328125" style="1" customWidth="1"/>
    <col min="6" max="6" width="7.6328125" style="36" hidden="1" customWidth="1"/>
    <col min="7" max="7" width="7.1796875" style="36" customWidth="1"/>
    <col min="8" max="8" width="10.08984375" style="1" customWidth="1"/>
    <col min="9" max="9" width="9.453125" style="1" customWidth="1"/>
    <col min="10" max="10" width="8.36328125" style="1" customWidth="1"/>
    <col min="11" max="12" width="9.453125" style="1" customWidth="1"/>
    <col min="13" max="13" width="29.36328125" style="85" customWidth="1"/>
    <col min="14" max="14" width="11.08984375" style="1" customWidth="1"/>
    <col min="15" max="16384" width="9" style="1"/>
  </cols>
  <sheetData>
    <row r="1" spans="1:13" ht="30" customHeight="1" x14ac:dyDescent="0.45">
      <c r="A1" s="241" t="s">
        <v>0</v>
      </c>
      <c r="B1" s="242"/>
      <c r="C1" s="242"/>
      <c r="D1" s="243"/>
      <c r="E1" s="242"/>
      <c r="F1" s="242"/>
      <c r="G1" s="242"/>
      <c r="H1" s="242"/>
      <c r="I1" s="242"/>
      <c r="J1" s="242"/>
      <c r="K1" s="242"/>
      <c r="L1" s="242"/>
      <c r="M1" s="224" t="s">
        <v>1499</v>
      </c>
    </row>
    <row r="2" spans="1:13" ht="30" customHeight="1" x14ac:dyDescent="0.45">
      <c r="A2" s="241"/>
      <c r="B2" s="242"/>
      <c r="C2" s="242"/>
      <c r="D2" s="243"/>
      <c r="E2" s="242"/>
      <c r="F2" s="242"/>
      <c r="G2" s="242"/>
      <c r="H2" s="242"/>
      <c r="I2" s="242"/>
      <c r="J2" s="242"/>
      <c r="K2" s="242"/>
      <c r="L2" s="242"/>
      <c r="M2" s="79" t="s">
        <v>29</v>
      </c>
    </row>
    <row r="3" spans="1:13" ht="16.5" customHeight="1" x14ac:dyDescent="0.45">
      <c r="A3" s="2" t="s">
        <v>30</v>
      </c>
      <c r="B3" s="3" t="s">
        <v>31</v>
      </c>
      <c r="C3" s="3"/>
      <c r="D3" s="5"/>
      <c r="E3" s="4"/>
      <c r="F3" s="37"/>
      <c r="G3" s="37"/>
      <c r="I3" s="5" t="s">
        <v>32</v>
      </c>
      <c r="J3" s="3"/>
      <c r="M3" s="238" t="s">
        <v>33</v>
      </c>
    </row>
    <row r="4" spans="1:13" ht="16.5" customHeight="1" x14ac:dyDescent="0.45">
      <c r="A4" s="6" t="s">
        <v>34</v>
      </c>
      <c r="B4" s="3" t="s">
        <v>35</v>
      </c>
      <c r="C4" s="3"/>
      <c r="D4" s="5"/>
      <c r="E4" s="3"/>
      <c r="F4" s="5"/>
      <c r="G4" s="5"/>
      <c r="I4" s="5" t="s">
        <v>36</v>
      </c>
      <c r="J4" s="3"/>
      <c r="M4" s="239"/>
    </row>
    <row r="5" spans="1:13" ht="17.25" customHeight="1" x14ac:dyDescent="0.45">
      <c r="A5" s="2" t="s">
        <v>37</v>
      </c>
      <c r="B5" s="7" t="s">
        <v>38</v>
      </c>
      <c r="C5" s="7"/>
      <c r="D5" s="86"/>
      <c r="E5" s="4"/>
      <c r="F5" s="37"/>
      <c r="G5" s="37"/>
      <c r="H5" s="4"/>
      <c r="I5" s="5" t="s">
        <v>39</v>
      </c>
      <c r="J5" s="3"/>
      <c r="K5" s="8"/>
      <c r="L5" s="8"/>
      <c r="M5" s="240"/>
    </row>
    <row r="6" spans="1:13" ht="6.75" customHeight="1" x14ac:dyDescent="0.45">
      <c r="A6" s="9"/>
      <c r="B6" s="87"/>
      <c r="C6" s="87"/>
      <c r="D6" s="149"/>
      <c r="E6" s="10"/>
      <c r="F6" s="38"/>
      <c r="G6" s="38"/>
      <c r="H6" s="10"/>
      <c r="I6" s="10"/>
      <c r="J6" s="10"/>
      <c r="K6" s="10"/>
      <c r="L6" s="10"/>
      <c r="M6" s="1"/>
    </row>
    <row r="7" spans="1:13" ht="16.5" x14ac:dyDescent="0.45">
      <c r="A7" s="2" t="s">
        <v>40</v>
      </c>
      <c r="B7" s="3"/>
      <c r="C7" s="88"/>
      <c r="D7" s="13"/>
      <c r="E7" s="11"/>
      <c r="F7" s="13"/>
      <c r="G7" s="13"/>
      <c r="I7" s="12"/>
      <c r="J7" s="13"/>
      <c r="M7" s="1"/>
    </row>
    <row r="8" spans="1:13" ht="16.5" x14ac:dyDescent="0.45">
      <c r="A8" s="6" t="s">
        <v>41</v>
      </c>
      <c r="B8" s="3"/>
      <c r="C8" s="89"/>
      <c r="D8" s="48"/>
      <c r="I8" s="5" t="s">
        <v>32</v>
      </c>
      <c r="M8" s="1"/>
    </row>
    <row r="9" spans="1:13" ht="16.5" x14ac:dyDescent="0.45">
      <c r="A9" s="2" t="s">
        <v>42</v>
      </c>
      <c r="B9" s="3"/>
      <c r="C9" s="89"/>
      <c r="D9" s="48"/>
      <c r="I9" s="5" t="s">
        <v>36</v>
      </c>
      <c r="M9" s="1"/>
    </row>
    <row r="10" spans="1:13" ht="30" customHeight="1" x14ac:dyDescent="0.45">
      <c r="A10" s="15" t="s">
        <v>43</v>
      </c>
      <c r="B10" s="16" t="s">
        <v>44</v>
      </c>
      <c r="C10" s="16" t="s">
        <v>45</v>
      </c>
      <c r="D10" s="16" t="s">
        <v>46</v>
      </c>
      <c r="E10" s="16" t="s">
        <v>47</v>
      </c>
      <c r="F10" s="16" t="s">
        <v>48</v>
      </c>
      <c r="G10" s="16" t="s">
        <v>49</v>
      </c>
      <c r="H10" s="16" t="s">
        <v>50</v>
      </c>
      <c r="I10" s="17" t="s">
        <v>51</v>
      </c>
      <c r="J10" s="16" t="s">
        <v>52</v>
      </c>
      <c r="K10" s="17" t="s">
        <v>53</v>
      </c>
      <c r="L10" s="17" t="s">
        <v>54</v>
      </c>
      <c r="M10" s="32" t="s">
        <v>55</v>
      </c>
    </row>
    <row r="11" spans="1:13" ht="19.5" customHeight="1" x14ac:dyDescent="0.45">
      <c r="A11" s="307" t="s">
        <v>56</v>
      </c>
      <c r="B11" s="308"/>
      <c r="C11" s="308"/>
      <c r="D11" s="309"/>
      <c r="E11" s="308"/>
      <c r="F11" s="308"/>
      <c r="G11" s="308"/>
      <c r="H11" s="308"/>
      <c r="I11" s="308"/>
      <c r="J11" s="308"/>
      <c r="K11" s="308"/>
      <c r="L11" s="308"/>
      <c r="M11" s="310"/>
    </row>
    <row r="12" spans="1:13" s="144" customFormat="1" ht="18.899999999999999" customHeight="1" x14ac:dyDescent="0.45">
      <c r="A12" s="127">
        <v>1</v>
      </c>
      <c r="B12" s="279" t="s">
        <v>57</v>
      </c>
      <c r="C12" s="279" t="s">
        <v>58</v>
      </c>
      <c r="D12" s="254" t="s">
        <v>59</v>
      </c>
      <c r="E12" s="20" t="s">
        <v>60</v>
      </c>
      <c r="F12" s="26">
        <v>117</v>
      </c>
      <c r="G12" s="26" t="s">
        <v>61</v>
      </c>
      <c r="H12" s="52" t="s">
        <v>62</v>
      </c>
      <c r="I12" s="22">
        <v>22</v>
      </c>
      <c r="J12" s="22" t="s">
        <v>63</v>
      </c>
      <c r="K12" s="64">
        <v>87</v>
      </c>
      <c r="L12" s="65">
        <f>K12/60</f>
        <v>1.45</v>
      </c>
      <c r="M12" s="156"/>
    </row>
    <row r="13" spans="1:13" s="144" customFormat="1" ht="18.899999999999999" customHeight="1" x14ac:dyDescent="0.45">
      <c r="A13" s="127">
        <f t="shared" ref="A13:A42" si="0">A12+1</f>
        <v>2</v>
      </c>
      <c r="B13" s="279"/>
      <c r="C13" s="279"/>
      <c r="D13" s="254"/>
      <c r="E13" s="20" t="s">
        <v>64</v>
      </c>
      <c r="F13" s="26">
        <v>1226</v>
      </c>
      <c r="G13" s="26" t="s">
        <v>61</v>
      </c>
      <c r="H13" s="52" t="s">
        <v>62</v>
      </c>
      <c r="I13" s="23">
        <v>41</v>
      </c>
      <c r="J13" s="22" t="s">
        <v>63</v>
      </c>
      <c r="K13" s="64">
        <v>466</v>
      </c>
      <c r="L13" s="65">
        <f t="shared" ref="L13:L42" si="1">K13/60</f>
        <v>7.7666666666666666</v>
      </c>
      <c r="M13" s="156"/>
    </row>
    <row r="14" spans="1:13" s="144" customFormat="1" ht="18.899999999999999" customHeight="1" x14ac:dyDescent="0.45">
      <c r="A14" s="127">
        <f t="shared" si="0"/>
        <v>3</v>
      </c>
      <c r="B14" s="279"/>
      <c r="C14" s="279"/>
      <c r="D14" s="254"/>
      <c r="E14" s="20" t="s">
        <v>65</v>
      </c>
      <c r="F14" s="26">
        <v>838</v>
      </c>
      <c r="G14" s="26" t="s">
        <v>61</v>
      </c>
      <c r="H14" s="52" t="s">
        <v>62</v>
      </c>
      <c r="I14" s="23">
        <v>6</v>
      </c>
      <c r="J14" s="22" t="s">
        <v>63</v>
      </c>
      <c r="K14" s="64">
        <v>80</v>
      </c>
      <c r="L14" s="65">
        <f t="shared" si="1"/>
        <v>1.3333333333333333</v>
      </c>
      <c r="M14" s="156"/>
    </row>
    <row r="15" spans="1:13" s="144" customFormat="1" ht="18.899999999999999" customHeight="1" x14ac:dyDescent="0.45">
      <c r="A15" s="127">
        <f t="shared" si="0"/>
        <v>4</v>
      </c>
      <c r="B15" s="279"/>
      <c r="C15" s="279"/>
      <c r="D15" s="254"/>
      <c r="E15" s="20" t="s">
        <v>66</v>
      </c>
      <c r="F15" s="19">
        <v>1126</v>
      </c>
      <c r="G15" s="26" t="s">
        <v>61</v>
      </c>
      <c r="H15" s="52" t="s">
        <v>62</v>
      </c>
      <c r="I15" s="23">
        <v>7</v>
      </c>
      <c r="J15" s="22" t="s">
        <v>63</v>
      </c>
      <c r="K15" s="64">
        <v>96</v>
      </c>
      <c r="L15" s="65">
        <f t="shared" si="1"/>
        <v>1.6</v>
      </c>
      <c r="M15" s="156"/>
    </row>
    <row r="16" spans="1:13" s="144" customFormat="1" ht="18.899999999999999" customHeight="1" x14ac:dyDescent="0.45">
      <c r="A16" s="127">
        <f t="shared" si="0"/>
        <v>5</v>
      </c>
      <c r="B16" s="279"/>
      <c r="C16" s="279"/>
      <c r="D16" s="254"/>
      <c r="E16" s="49" t="s">
        <v>67</v>
      </c>
      <c r="F16" s="99">
        <v>1530</v>
      </c>
      <c r="G16" s="26" t="s">
        <v>61</v>
      </c>
      <c r="H16" s="62" t="s">
        <v>62</v>
      </c>
      <c r="I16" s="99">
        <v>6</v>
      </c>
      <c r="J16" s="39" t="s">
        <v>63</v>
      </c>
      <c r="K16" s="132">
        <v>75</v>
      </c>
      <c r="L16" s="65">
        <f t="shared" si="1"/>
        <v>1.25</v>
      </c>
      <c r="M16" s="156"/>
    </row>
    <row r="17" spans="1:13" s="144" customFormat="1" ht="18.899999999999999" customHeight="1" x14ac:dyDescent="0.45">
      <c r="A17" s="127">
        <f t="shared" si="0"/>
        <v>6</v>
      </c>
      <c r="B17" s="279"/>
      <c r="C17" s="279"/>
      <c r="D17" s="254"/>
      <c r="E17" s="20" t="s">
        <v>68</v>
      </c>
      <c r="F17" s="26">
        <v>7</v>
      </c>
      <c r="G17" s="26" t="s">
        <v>61</v>
      </c>
      <c r="H17" s="52" t="s">
        <v>62</v>
      </c>
      <c r="I17" s="26">
        <v>16</v>
      </c>
      <c r="J17" s="26" t="s">
        <v>63</v>
      </c>
      <c r="K17" s="64">
        <v>161</v>
      </c>
      <c r="L17" s="65">
        <f t="shared" si="1"/>
        <v>2.6833333333333331</v>
      </c>
      <c r="M17" s="156"/>
    </row>
    <row r="18" spans="1:13" s="144" customFormat="1" ht="18.899999999999999" customHeight="1" x14ac:dyDescent="0.45">
      <c r="A18" s="127">
        <f t="shared" si="0"/>
        <v>7</v>
      </c>
      <c r="B18" s="279"/>
      <c r="C18" s="279" t="s">
        <v>69</v>
      </c>
      <c r="D18" s="249" t="s">
        <v>70</v>
      </c>
      <c r="E18" s="61" t="s">
        <v>71</v>
      </c>
      <c r="F18" s="19">
        <v>6</v>
      </c>
      <c r="G18" s="26" t="s">
        <v>61</v>
      </c>
      <c r="H18" s="26" t="s">
        <v>62</v>
      </c>
      <c r="I18" s="39">
        <v>2</v>
      </c>
      <c r="J18" s="39" t="s">
        <v>63</v>
      </c>
      <c r="K18" s="67">
        <v>18</v>
      </c>
      <c r="L18" s="65">
        <f t="shared" si="1"/>
        <v>0.3</v>
      </c>
      <c r="M18" s="156"/>
    </row>
    <row r="19" spans="1:13" s="144" customFormat="1" ht="18.899999999999999" customHeight="1" x14ac:dyDescent="0.45">
      <c r="A19" s="127">
        <f t="shared" si="0"/>
        <v>8</v>
      </c>
      <c r="B19" s="279"/>
      <c r="C19" s="279"/>
      <c r="D19" s="250"/>
      <c r="E19" s="61" t="s">
        <v>72</v>
      </c>
      <c r="F19" s="19">
        <v>14</v>
      </c>
      <c r="G19" s="26" t="s">
        <v>61</v>
      </c>
      <c r="H19" s="26" t="s">
        <v>62</v>
      </c>
      <c r="I19" s="39">
        <v>6</v>
      </c>
      <c r="J19" s="39" t="s">
        <v>63</v>
      </c>
      <c r="K19" s="67">
        <v>77</v>
      </c>
      <c r="L19" s="65">
        <f t="shared" si="1"/>
        <v>1.2833333333333334</v>
      </c>
      <c r="M19" s="156"/>
    </row>
    <row r="20" spans="1:13" s="144" customFormat="1" ht="18.899999999999999" customHeight="1" x14ac:dyDescent="0.45">
      <c r="A20" s="127">
        <f t="shared" si="0"/>
        <v>9</v>
      </c>
      <c r="B20" s="271" t="s">
        <v>73</v>
      </c>
      <c r="C20" s="279" t="s">
        <v>74</v>
      </c>
      <c r="D20" s="249" t="s">
        <v>75</v>
      </c>
      <c r="E20" s="20" t="s">
        <v>76</v>
      </c>
      <c r="F20" s="19">
        <v>749</v>
      </c>
      <c r="G20" s="26" t="s">
        <v>61</v>
      </c>
      <c r="H20" s="26" t="s">
        <v>62</v>
      </c>
      <c r="I20" s="39">
        <v>8</v>
      </c>
      <c r="J20" s="39" t="s">
        <v>63</v>
      </c>
      <c r="K20" s="67">
        <v>68</v>
      </c>
      <c r="L20" s="65">
        <f t="shared" si="1"/>
        <v>1.1333333333333333</v>
      </c>
      <c r="M20" s="156"/>
    </row>
    <row r="21" spans="1:13" s="144" customFormat="1" ht="18.899999999999999" customHeight="1" x14ac:dyDescent="0.45">
      <c r="A21" s="127">
        <f t="shared" si="0"/>
        <v>10</v>
      </c>
      <c r="B21" s="272"/>
      <c r="C21" s="279"/>
      <c r="D21" s="251"/>
      <c r="E21" s="51" t="s">
        <v>77</v>
      </c>
      <c r="F21" s="19">
        <v>751</v>
      </c>
      <c r="G21" s="26" t="s">
        <v>61</v>
      </c>
      <c r="H21" s="26" t="s">
        <v>62</v>
      </c>
      <c r="I21" s="39">
        <v>7</v>
      </c>
      <c r="J21" s="39" t="s">
        <v>63</v>
      </c>
      <c r="K21" s="67">
        <v>50</v>
      </c>
      <c r="L21" s="65">
        <f t="shared" si="1"/>
        <v>0.83333333333333337</v>
      </c>
      <c r="M21" s="156"/>
    </row>
    <row r="22" spans="1:13" s="145" customFormat="1" ht="18.899999999999999" customHeight="1" x14ac:dyDescent="0.45">
      <c r="A22" s="127">
        <f t="shared" si="0"/>
        <v>11</v>
      </c>
      <c r="B22" s="272"/>
      <c r="C22" s="292"/>
      <c r="D22" s="251"/>
      <c r="E22" s="153" t="s">
        <v>78</v>
      </c>
      <c r="F22" s="56">
        <v>753</v>
      </c>
      <c r="G22" s="26" t="s">
        <v>61</v>
      </c>
      <c r="H22" s="26" t="s">
        <v>62</v>
      </c>
      <c r="I22" s="56">
        <v>10</v>
      </c>
      <c r="J22" s="56" t="s">
        <v>63</v>
      </c>
      <c r="K22" s="157">
        <v>98</v>
      </c>
      <c r="L22" s="65">
        <f t="shared" si="1"/>
        <v>1.6333333333333333</v>
      </c>
      <c r="M22" s="156"/>
    </row>
    <row r="23" spans="1:13" ht="18.899999999999999" customHeight="1" x14ac:dyDescent="0.45">
      <c r="A23" s="127">
        <f t="shared" si="0"/>
        <v>12</v>
      </c>
      <c r="B23" s="272"/>
      <c r="C23" s="279"/>
      <c r="D23" s="251"/>
      <c r="E23" s="51" t="s">
        <v>79</v>
      </c>
      <c r="F23" s="26">
        <v>937</v>
      </c>
      <c r="G23" s="26" t="s">
        <v>61</v>
      </c>
      <c r="H23" s="26" t="s">
        <v>62</v>
      </c>
      <c r="I23" s="39">
        <v>11</v>
      </c>
      <c r="J23" s="39" t="s">
        <v>63</v>
      </c>
      <c r="K23" s="67">
        <v>84</v>
      </c>
      <c r="L23" s="65">
        <f t="shared" si="1"/>
        <v>1.4</v>
      </c>
      <c r="M23" s="156"/>
    </row>
    <row r="24" spans="1:13" ht="18.899999999999999" customHeight="1" x14ac:dyDescent="0.45">
      <c r="A24" s="127">
        <f t="shared" si="0"/>
        <v>13</v>
      </c>
      <c r="B24" s="272"/>
      <c r="C24" s="279"/>
      <c r="D24" s="251"/>
      <c r="E24" s="154" t="s">
        <v>80</v>
      </c>
      <c r="F24" s="92">
        <v>1564</v>
      </c>
      <c r="G24" s="26" t="s">
        <v>61</v>
      </c>
      <c r="H24" s="93" t="s">
        <v>62</v>
      </c>
      <c r="I24" s="92">
        <v>5</v>
      </c>
      <c r="J24" s="26" t="s">
        <v>63</v>
      </c>
      <c r="K24" s="109">
        <v>70</v>
      </c>
      <c r="L24" s="65">
        <f t="shared" si="1"/>
        <v>1.1666666666666667</v>
      </c>
      <c r="M24" s="156"/>
    </row>
    <row r="25" spans="1:13" ht="18.899999999999999" customHeight="1" x14ac:dyDescent="0.45">
      <c r="A25" s="127">
        <f t="shared" si="0"/>
        <v>14</v>
      </c>
      <c r="B25" s="272"/>
      <c r="C25" s="279"/>
      <c r="D25" s="251"/>
      <c r="E25" s="61" t="s">
        <v>81</v>
      </c>
      <c r="F25" s="19">
        <v>270</v>
      </c>
      <c r="G25" s="26" t="s">
        <v>61</v>
      </c>
      <c r="H25" s="26" t="s">
        <v>62</v>
      </c>
      <c r="I25" s="39">
        <v>12</v>
      </c>
      <c r="J25" s="39" t="s">
        <v>63</v>
      </c>
      <c r="K25" s="67">
        <v>68</v>
      </c>
      <c r="L25" s="65">
        <f t="shared" si="1"/>
        <v>1.1333333333333333</v>
      </c>
      <c r="M25" s="156"/>
    </row>
    <row r="26" spans="1:13" ht="18.899999999999999" customHeight="1" x14ac:dyDescent="0.45">
      <c r="A26" s="127">
        <f t="shared" si="0"/>
        <v>15</v>
      </c>
      <c r="B26" s="273"/>
      <c r="C26" s="279"/>
      <c r="D26" s="250"/>
      <c r="E26" s="20" t="s">
        <v>82</v>
      </c>
      <c r="F26" s="58">
        <v>1392</v>
      </c>
      <c r="G26" s="58" t="s">
        <v>83</v>
      </c>
      <c r="H26" s="58" t="s">
        <v>62</v>
      </c>
      <c r="I26" s="23">
        <v>6</v>
      </c>
      <c r="J26" s="24" t="s">
        <v>63</v>
      </c>
      <c r="K26" s="25">
        <v>93</v>
      </c>
      <c r="L26" s="65">
        <f t="shared" si="1"/>
        <v>1.55</v>
      </c>
      <c r="M26" s="156"/>
    </row>
    <row r="27" spans="1:13" ht="18.899999999999999" customHeight="1" x14ac:dyDescent="0.45">
      <c r="A27" s="127">
        <f t="shared" si="0"/>
        <v>16</v>
      </c>
      <c r="B27" s="271" t="s">
        <v>84</v>
      </c>
      <c r="C27" s="271" t="s">
        <v>85</v>
      </c>
      <c r="D27" s="254" t="s">
        <v>86</v>
      </c>
      <c r="E27" s="20" t="s">
        <v>87</v>
      </c>
      <c r="F27" s="26">
        <v>102</v>
      </c>
      <c r="G27" s="26" t="s">
        <v>83</v>
      </c>
      <c r="H27" s="26" t="s">
        <v>62</v>
      </c>
      <c r="I27" s="26">
        <v>10</v>
      </c>
      <c r="J27" s="22" t="s">
        <v>63</v>
      </c>
      <c r="K27" s="25">
        <v>111</v>
      </c>
      <c r="L27" s="65">
        <f t="shared" si="1"/>
        <v>1.85</v>
      </c>
      <c r="M27" s="156"/>
    </row>
    <row r="28" spans="1:13" ht="18.899999999999999" customHeight="1" x14ac:dyDescent="0.45">
      <c r="A28" s="127">
        <f t="shared" si="0"/>
        <v>17</v>
      </c>
      <c r="B28" s="272"/>
      <c r="C28" s="272"/>
      <c r="D28" s="254"/>
      <c r="E28" s="20" t="s">
        <v>88</v>
      </c>
      <c r="F28" s="26">
        <v>104</v>
      </c>
      <c r="G28" s="26" t="s">
        <v>83</v>
      </c>
      <c r="H28" s="26" t="s">
        <v>62</v>
      </c>
      <c r="I28" s="26">
        <v>14</v>
      </c>
      <c r="J28" s="22" t="s">
        <v>63</v>
      </c>
      <c r="K28" s="25">
        <v>143</v>
      </c>
      <c r="L28" s="65">
        <f t="shared" si="1"/>
        <v>2.3833333333333333</v>
      </c>
      <c r="M28" s="156"/>
    </row>
    <row r="29" spans="1:13" ht="18.899999999999999" customHeight="1" x14ac:dyDescent="0.45">
      <c r="A29" s="127">
        <f t="shared" si="0"/>
        <v>18</v>
      </c>
      <c r="B29" s="272"/>
      <c r="C29" s="273"/>
      <c r="D29" s="254"/>
      <c r="E29" s="20" t="s">
        <v>89</v>
      </c>
      <c r="F29" s="26">
        <v>108</v>
      </c>
      <c r="G29" s="26" t="s">
        <v>83</v>
      </c>
      <c r="H29" s="26" t="s">
        <v>62</v>
      </c>
      <c r="I29" s="26">
        <v>13</v>
      </c>
      <c r="J29" s="22" t="s">
        <v>63</v>
      </c>
      <c r="K29" s="25">
        <v>121</v>
      </c>
      <c r="L29" s="65">
        <f t="shared" si="1"/>
        <v>2.0166666666666666</v>
      </c>
      <c r="M29" s="156"/>
    </row>
    <row r="30" spans="1:13" ht="18.899999999999999" customHeight="1" x14ac:dyDescent="0.45">
      <c r="A30" s="127">
        <f t="shared" si="0"/>
        <v>19</v>
      </c>
      <c r="B30" s="272"/>
      <c r="C30" s="271" t="s">
        <v>90</v>
      </c>
      <c r="D30" s="249" t="s">
        <v>91</v>
      </c>
      <c r="E30" s="20" t="s">
        <v>92</v>
      </c>
      <c r="F30" s="26">
        <v>112</v>
      </c>
      <c r="G30" s="26" t="s">
        <v>83</v>
      </c>
      <c r="H30" s="26" t="s">
        <v>62</v>
      </c>
      <c r="I30" s="26">
        <v>13</v>
      </c>
      <c r="J30" s="22" t="s">
        <v>63</v>
      </c>
      <c r="K30" s="25">
        <v>94</v>
      </c>
      <c r="L30" s="65">
        <f t="shared" si="1"/>
        <v>1.5666666666666667</v>
      </c>
      <c r="M30" s="156"/>
    </row>
    <row r="31" spans="1:13" ht="18.899999999999999" customHeight="1" x14ac:dyDescent="0.45">
      <c r="A31" s="127">
        <f t="shared" si="0"/>
        <v>20</v>
      </c>
      <c r="B31" s="272"/>
      <c r="C31" s="272"/>
      <c r="D31" s="251"/>
      <c r="E31" s="20" t="s">
        <v>93</v>
      </c>
      <c r="F31" s="26">
        <v>137</v>
      </c>
      <c r="G31" s="26" t="s">
        <v>83</v>
      </c>
      <c r="H31" s="26" t="s">
        <v>62</v>
      </c>
      <c r="I31" s="26">
        <v>5</v>
      </c>
      <c r="J31" s="22" t="s">
        <v>63</v>
      </c>
      <c r="K31" s="25">
        <v>40</v>
      </c>
      <c r="L31" s="65">
        <f t="shared" si="1"/>
        <v>0.66666666666666663</v>
      </c>
      <c r="M31" s="156"/>
    </row>
    <row r="32" spans="1:13" ht="18.899999999999999" customHeight="1" x14ac:dyDescent="0.45">
      <c r="A32" s="127">
        <f t="shared" si="0"/>
        <v>21</v>
      </c>
      <c r="B32" s="272"/>
      <c r="C32" s="273"/>
      <c r="D32" s="250"/>
      <c r="E32" s="20" t="s">
        <v>94</v>
      </c>
      <c r="F32" s="26">
        <v>181</v>
      </c>
      <c r="G32" s="26" t="s">
        <v>83</v>
      </c>
      <c r="H32" s="26" t="s">
        <v>62</v>
      </c>
      <c r="I32" s="26">
        <v>10</v>
      </c>
      <c r="J32" s="22" t="s">
        <v>63</v>
      </c>
      <c r="K32" s="25">
        <v>55</v>
      </c>
      <c r="L32" s="65">
        <f t="shared" si="1"/>
        <v>0.91666666666666663</v>
      </c>
      <c r="M32" s="156"/>
    </row>
    <row r="33" spans="1:13" ht="18.899999999999999" customHeight="1" x14ac:dyDescent="0.45">
      <c r="A33" s="127">
        <f t="shared" si="0"/>
        <v>22</v>
      </c>
      <c r="B33" s="272"/>
      <c r="C33" s="271" t="s">
        <v>95</v>
      </c>
      <c r="D33" s="254" t="s">
        <v>96</v>
      </c>
      <c r="E33" s="20" t="s">
        <v>97</v>
      </c>
      <c r="F33" s="26">
        <v>143</v>
      </c>
      <c r="G33" s="26" t="s">
        <v>83</v>
      </c>
      <c r="H33" s="26" t="s">
        <v>62</v>
      </c>
      <c r="I33" s="26">
        <v>11</v>
      </c>
      <c r="J33" s="22" t="s">
        <v>63</v>
      </c>
      <c r="K33" s="25">
        <v>73</v>
      </c>
      <c r="L33" s="65">
        <f t="shared" si="1"/>
        <v>1.2166666666666666</v>
      </c>
      <c r="M33" s="156"/>
    </row>
    <row r="34" spans="1:13" ht="18.899999999999999" customHeight="1" x14ac:dyDescent="0.45">
      <c r="A34" s="127">
        <f t="shared" si="0"/>
        <v>23</v>
      </c>
      <c r="B34" s="272"/>
      <c r="C34" s="272"/>
      <c r="D34" s="254"/>
      <c r="E34" s="20" t="s">
        <v>98</v>
      </c>
      <c r="F34" s="26">
        <v>157</v>
      </c>
      <c r="G34" s="26" t="s">
        <v>83</v>
      </c>
      <c r="H34" s="26" t="s">
        <v>62</v>
      </c>
      <c r="I34" s="26">
        <v>7</v>
      </c>
      <c r="J34" s="22" t="s">
        <v>63</v>
      </c>
      <c r="K34" s="25">
        <v>48</v>
      </c>
      <c r="L34" s="65">
        <f t="shared" si="1"/>
        <v>0.8</v>
      </c>
      <c r="M34" s="156"/>
    </row>
    <row r="35" spans="1:13" ht="18.899999999999999" customHeight="1" x14ac:dyDescent="0.45">
      <c r="A35" s="127">
        <f t="shared" si="0"/>
        <v>24</v>
      </c>
      <c r="B35" s="272"/>
      <c r="C35" s="273"/>
      <c r="D35" s="254"/>
      <c r="E35" s="20" t="s">
        <v>99</v>
      </c>
      <c r="F35" s="26">
        <v>187</v>
      </c>
      <c r="G35" s="26" t="s">
        <v>83</v>
      </c>
      <c r="H35" s="26" t="s">
        <v>62</v>
      </c>
      <c r="I35" s="26">
        <v>5</v>
      </c>
      <c r="J35" s="22" t="s">
        <v>63</v>
      </c>
      <c r="K35" s="25">
        <v>43</v>
      </c>
      <c r="L35" s="65">
        <f t="shared" si="1"/>
        <v>0.71666666666666667</v>
      </c>
      <c r="M35" s="156"/>
    </row>
    <row r="36" spans="1:13" ht="18.899999999999999" customHeight="1" x14ac:dyDescent="0.45">
      <c r="A36" s="127">
        <f t="shared" si="0"/>
        <v>25</v>
      </c>
      <c r="B36" s="272"/>
      <c r="C36" s="271" t="s">
        <v>100</v>
      </c>
      <c r="D36" s="254" t="s">
        <v>101</v>
      </c>
      <c r="E36" s="20" t="s">
        <v>102</v>
      </c>
      <c r="F36" s="26">
        <v>687</v>
      </c>
      <c r="G36" s="26" t="s">
        <v>83</v>
      </c>
      <c r="H36" s="26" t="s">
        <v>62</v>
      </c>
      <c r="I36" s="26">
        <v>9</v>
      </c>
      <c r="J36" s="22" t="s">
        <v>63</v>
      </c>
      <c r="K36" s="25">
        <v>68</v>
      </c>
      <c r="L36" s="65">
        <f t="shared" si="1"/>
        <v>1.1333333333333333</v>
      </c>
      <c r="M36" s="156"/>
    </row>
    <row r="37" spans="1:13" ht="18.899999999999999" customHeight="1" x14ac:dyDescent="0.45">
      <c r="A37" s="127">
        <f t="shared" si="0"/>
        <v>26</v>
      </c>
      <c r="B37" s="272"/>
      <c r="C37" s="272"/>
      <c r="D37" s="254"/>
      <c r="E37" s="20" t="s">
        <v>103</v>
      </c>
      <c r="F37" s="26">
        <v>688</v>
      </c>
      <c r="G37" s="26" t="s">
        <v>83</v>
      </c>
      <c r="H37" s="26" t="s">
        <v>62</v>
      </c>
      <c r="I37" s="26">
        <v>11</v>
      </c>
      <c r="J37" s="22" t="s">
        <v>63</v>
      </c>
      <c r="K37" s="25">
        <v>74</v>
      </c>
      <c r="L37" s="65">
        <f t="shared" si="1"/>
        <v>1.2333333333333334</v>
      </c>
      <c r="M37" s="156"/>
    </row>
    <row r="38" spans="1:13" ht="18.899999999999999" customHeight="1" x14ac:dyDescent="0.45">
      <c r="A38" s="127">
        <f t="shared" si="0"/>
        <v>27</v>
      </c>
      <c r="B38" s="272"/>
      <c r="C38" s="273"/>
      <c r="D38" s="254"/>
      <c r="E38" s="20" t="s">
        <v>104</v>
      </c>
      <c r="F38" s="26">
        <v>689</v>
      </c>
      <c r="G38" s="26" t="s">
        <v>83</v>
      </c>
      <c r="H38" s="26" t="s">
        <v>62</v>
      </c>
      <c r="I38" s="26">
        <v>3</v>
      </c>
      <c r="J38" s="22" t="s">
        <v>63</v>
      </c>
      <c r="K38" s="25">
        <v>28</v>
      </c>
      <c r="L38" s="65">
        <f t="shared" si="1"/>
        <v>0.46666666666666667</v>
      </c>
      <c r="M38" s="156"/>
    </row>
    <row r="39" spans="1:13" ht="18.899999999999999" customHeight="1" x14ac:dyDescent="0.45">
      <c r="A39" s="127">
        <f t="shared" si="0"/>
        <v>28</v>
      </c>
      <c r="B39" s="272"/>
      <c r="C39" s="271" t="s">
        <v>105</v>
      </c>
      <c r="D39" s="254" t="s">
        <v>106</v>
      </c>
      <c r="E39" s="20" t="s">
        <v>107</v>
      </c>
      <c r="F39" s="26">
        <v>698</v>
      </c>
      <c r="G39" s="26" t="s">
        <v>83</v>
      </c>
      <c r="H39" s="26" t="s">
        <v>62</v>
      </c>
      <c r="I39" s="26">
        <v>6</v>
      </c>
      <c r="J39" s="22" t="s">
        <v>63</v>
      </c>
      <c r="K39" s="25">
        <v>43</v>
      </c>
      <c r="L39" s="65">
        <f t="shared" si="1"/>
        <v>0.71666666666666667</v>
      </c>
      <c r="M39" s="156"/>
    </row>
    <row r="40" spans="1:13" ht="18.899999999999999" customHeight="1" x14ac:dyDescent="0.45">
      <c r="A40" s="127">
        <f t="shared" si="0"/>
        <v>29</v>
      </c>
      <c r="B40" s="272"/>
      <c r="C40" s="272"/>
      <c r="D40" s="254"/>
      <c r="E40" s="20" t="s">
        <v>108</v>
      </c>
      <c r="F40" s="26">
        <v>700</v>
      </c>
      <c r="G40" s="26" t="s">
        <v>83</v>
      </c>
      <c r="H40" s="26" t="s">
        <v>62</v>
      </c>
      <c r="I40" s="26">
        <v>13</v>
      </c>
      <c r="J40" s="22" t="s">
        <v>63</v>
      </c>
      <c r="K40" s="25">
        <v>67</v>
      </c>
      <c r="L40" s="65">
        <f t="shared" si="1"/>
        <v>1.1166666666666667</v>
      </c>
      <c r="M40" s="156"/>
    </row>
    <row r="41" spans="1:13" ht="18.899999999999999" customHeight="1" x14ac:dyDescent="0.45">
      <c r="A41" s="127">
        <f t="shared" si="0"/>
        <v>30</v>
      </c>
      <c r="B41" s="272"/>
      <c r="C41" s="273"/>
      <c r="D41" s="254"/>
      <c r="E41" s="20" t="s">
        <v>109</v>
      </c>
      <c r="F41" s="26">
        <v>699</v>
      </c>
      <c r="G41" s="26" t="s">
        <v>83</v>
      </c>
      <c r="H41" s="26" t="s">
        <v>62</v>
      </c>
      <c r="I41" s="26">
        <v>11</v>
      </c>
      <c r="J41" s="22" t="s">
        <v>63</v>
      </c>
      <c r="K41" s="25">
        <v>77</v>
      </c>
      <c r="L41" s="65">
        <f t="shared" si="1"/>
        <v>1.2833333333333334</v>
      </c>
      <c r="M41" s="65"/>
    </row>
    <row r="42" spans="1:13" ht="18.899999999999999" customHeight="1" x14ac:dyDescent="0.45">
      <c r="A42" s="127">
        <f t="shared" si="0"/>
        <v>31</v>
      </c>
      <c r="B42" s="273"/>
      <c r="C42" s="19" t="s">
        <v>110</v>
      </c>
      <c r="D42" s="152" t="s">
        <v>111</v>
      </c>
      <c r="E42" s="20" t="s">
        <v>112</v>
      </c>
      <c r="F42" s="55">
        <v>729</v>
      </c>
      <c r="G42" s="26" t="s">
        <v>83</v>
      </c>
      <c r="H42" s="26" t="s">
        <v>62</v>
      </c>
      <c r="I42" s="26">
        <v>10</v>
      </c>
      <c r="J42" s="22" t="s">
        <v>63</v>
      </c>
      <c r="K42" s="25">
        <v>63</v>
      </c>
      <c r="L42" s="65">
        <f t="shared" si="1"/>
        <v>1.05</v>
      </c>
      <c r="M42" s="65"/>
    </row>
    <row r="43" spans="1:13" ht="18.899999999999999" customHeight="1" x14ac:dyDescent="0.45">
      <c r="A43" s="274" t="s">
        <v>113</v>
      </c>
      <c r="B43" s="275"/>
      <c r="C43" s="275"/>
      <c r="D43" s="276"/>
      <c r="E43" s="275"/>
      <c r="F43" s="275"/>
      <c r="G43" s="275"/>
      <c r="H43" s="275"/>
      <c r="I43" s="275"/>
      <c r="J43" s="275"/>
      <c r="K43" s="275"/>
      <c r="L43" s="275"/>
      <c r="M43" s="275"/>
    </row>
    <row r="44" spans="1:13" ht="18.899999999999999" customHeight="1" x14ac:dyDescent="0.45">
      <c r="A44" s="18">
        <f>A42+1</f>
        <v>32</v>
      </c>
      <c r="B44" s="271" t="s">
        <v>114</v>
      </c>
      <c r="C44" s="19" t="s">
        <v>115</v>
      </c>
      <c r="D44" s="150" t="s">
        <v>116</v>
      </c>
      <c r="E44" s="51" t="s">
        <v>117</v>
      </c>
      <c r="F44" s="19">
        <v>1044</v>
      </c>
      <c r="G44" s="19" t="s">
        <v>83</v>
      </c>
      <c r="H44" s="26" t="s">
        <v>62</v>
      </c>
      <c r="I44" s="19">
        <v>6</v>
      </c>
      <c r="J44" s="19" t="s">
        <v>63</v>
      </c>
      <c r="K44" s="64">
        <v>92</v>
      </c>
      <c r="L44" s="65">
        <f>K44/60</f>
        <v>1.5333333333333334</v>
      </c>
      <c r="M44" s="156"/>
    </row>
    <row r="45" spans="1:13" ht="18.899999999999999" customHeight="1" x14ac:dyDescent="0.45">
      <c r="A45" s="18">
        <f t="shared" ref="A45:A58" si="2">A44+1</f>
        <v>33</v>
      </c>
      <c r="B45" s="272"/>
      <c r="C45" s="19" t="s">
        <v>118</v>
      </c>
      <c r="D45" s="150" t="s">
        <v>119</v>
      </c>
      <c r="E45" s="51" t="s">
        <v>120</v>
      </c>
      <c r="F45" s="19">
        <v>1043</v>
      </c>
      <c r="G45" s="19" t="s">
        <v>83</v>
      </c>
      <c r="H45" s="26" t="s">
        <v>62</v>
      </c>
      <c r="I45" s="19">
        <v>3</v>
      </c>
      <c r="J45" s="19" t="s">
        <v>63</v>
      </c>
      <c r="K45" s="64">
        <v>40</v>
      </c>
      <c r="L45" s="65">
        <f t="shared" ref="L45:L76" si="3">K45/60</f>
        <v>0.66666666666666663</v>
      </c>
      <c r="M45" s="65"/>
    </row>
    <row r="46" spans="1:13" ht="18.899999999999999" customHeight="1" x14ac:dyDescent="0.45">
      <c r="A46" s="18">
        <f t="shared" si="2"/>
        <v>34</v>
      </c>
      <c r="B46" s="272"/>
      <c r="C46" s="271" t="s">
        <v>121</v>
      </c>
      <c r="D46" s="251" t="s">
        <v>122</v>
      </c>
      <c r="E46" s="51" t="s">
        <v>123</v>
      </c>
      <c r="F46" s="19">
        <v>32</v>
      </c>
      <c r="G46" s="19" t="s">
        <v>83</v>
      </c>
      <c r="H46" s="26" t="s">
        <v>62</v>
      </c>
      <c r="I46" s="19">
        <v>19</v>
      </c>
      <c r="J46" s="19" t="s">
        <v>63</v>
      </c>
      <c r="K46" s="64">
        <v>145</v>
      </c>
      <c r="L46" s="65">
        <f t="shared" si="3"/>
        <v>2.4166666666666665</v>
      </c>
      <c r="M46" s="65"/>
    </row>
    <row r="47" spans="1:13" ht="18.899999999999999" customHeight="1" x14ac:dyDescent="0.45">
      <c r="A47" s="18">
        <f t="shared" si="2"/>
        <v>35</v>
      </c>
      <c r="B47" s="273"/>
      <c r="C47" s="273"/>
      <c r="D47" s="250"/>
      <c r="E47" s="20" t="s">
        <v>124</v>
      </c>
      <c r="F47" s="58">
        <v>1336</v>
      </c>
      <c r="G47" s="58" t="s">
        <v>125</v>
      </c>
      <c r="H47" s="22" t="s">
        <v>126</v>
      </c>
      <c r="I47" s="19">
        <v>8</v>
      </c>
      <c r="J47" s="19" t="s">
        <v>63</v>
      </c>
      <c r="K47" s="64">
        <v>121</v>
      </c>
      <c r="L47" s="65">
        <f t="shared" si="3"/>
        <v>2.0166666666666666</v>
      </c>
      <c r="M47" s="65"/>
    </row>
    <row r="48" spans="1:13" ht="18.899999999999999" customHeight="1" x14ac:dyDescent="0.45">
      <c r="A48" s="18">
        <f t="shared" si="2"/>
        <v>36</v>
      </c>
      <c r="B48" s="271" t="s">
        <v>127</v>
      </c>
      <c r="C48" s="271" t="s">
        <v>128</v>
      </c>
      <c r="D48" s="249" t="s">
        <v>129</v>
      </c>
      <c r="E48" s="59" t="s">
        <v>130</v>
      </c>
      <c r="F48" s="26">
        <v>245</v>
      </c>
      <c r="G48" s="19" t="s">
        <v>83</v>
      </c>
      <c r="H48" s="26" t="s">
        <v>62</v>
      </c>
      <c r="I48" s="26">
        <v>8</v>
      </c>
      <c r="J48" s="22" t="s">
        <v>63</v>
      </c>
      <c r="K48" s="64">
        <v>60</v>
      </c>
      <c r="L48" s="65">
        <f t="shared" si="3"/>
        <v>1</v>
      </c>
      <c r="M48" s="158"/>
    </row>
    <row r="49" spans="1:13" ht="18.899999999999999" customHeight="1" x14ac:dyDescent="0.45">
      <c r="A49" s="18">
        <f t="shared" si="2"/>
        <v>37</v>
      </c>
      <c r="B49" s="272"/>
      <c r="C49" s="272"/>
      <c r="D49" s="251"/>
      <c r="E49" s="59" t="s">
        <v>131</v>
      </c>
      <c r="F49" s="26">
        <v>971</v>
      </c>
      <c r="G49" s="19" t="s">
        <v>83</v>
      </c>
      <c r="H49" s="26" t="s">
        <v>62</v>
      </c>
      <c r="I49" s="26">
        <v>7</v>
      </c>
      <c r="J49" s="22" t="s">
        <v>63</v>
      </c>
      <c r="K49" s="64">
        <v>63</v>
      </c>
      <c r="L49" s="65">
        <f t="shared" si="3"/>
        <v>1.05</v>
      </c>
      <c r="M49" s="158"/>
    </row>
    <row r="50" spans="1:13" ht="18.899999999999999" customHeight="1" x14ac:dyDescent="0.45">
      <c r="A50" s="18">
        <f t="shared" si="2"/>
        <v>38</v>
      </c>
      <c r="B50" s="272"/>
      <c r="C50" s="272"/>
      <c r="D50" s="251"/>
      <c r="E50" s="20" t="s">
        <v>132</v>
      </c>
      <c r="F50" s="26">
        <v>259</v>
      </c>
      <c r="G50" s="19" t="s">
        <v>83</v>
      </c>
      <c r="H50" s="26" t="s">
        <v>62</v>
      </c>
      <c r="I50" s="99">
        <v>9</v>
      </c>
      <c r="J50" s="62" t="s">
        <v>63</v>
      </c>
      <c r="K50" s="64">
        <v>60</v>
      </c>
      <c r="L50" s="65">
        <f t="shared" si="3"/>
        <v>1</v>
      </c>
      <c r="M50" s="158"/>
    </row>
    <row r="51" spans="1:13" ht="18.899999999999999" customHeight="1" x14ac:dyDescent="0.45">
      <c r="A51" s="18">
        <f t="shared" si="2"/>
        <v>39</v>
      </c>
      <c r="B51" s="272"/>
      <c r="C51" s="272"/>
      <c r="D51" s="251"/>
      <c r="E51" s="51" t="s">
        <v>133</v>
      </c>
      <c r="F51" s="19">
        <v>260</v>
      </c>
      <c r="G51" s="19" t="s">
        <v>83</v>
      </c>
      <c r="H51" s="26" t="s">
        <v>62</v>
      </c>
      <c r="I51" s="23">
        <v>5</v>
      </c>
      <c r="J51" s="22" t="s">
        <v>63</v>
      </c>
      <c r="K51" s="64">
        <v>42</v>
      </c>
      <c r="L51" s="65">
        <f t="shared" si="3"/>
        <v>0.7</v>
      </c>
      <c r="M51" s="158"/>
    </row>
    <row r="52" spans="1:13" ht="18.899999999999999" customHeight="1" x14ac:dyDescent="0.45">
      <c r="A52" s="18">
        <f t="shared" si="2"/>
        <v>40</v>
      </c>
      <c r="B52" s="272"/>
      <c r="C52" s="272"/>
      <c r="D52" s="251"/>
      <c r="E52" s="59" t="s">
        <v>134</v>
      </c>
      <c r="F52" s="99">
        <v>258</v>
      </c>
      <c r="G52" s="19" t="s">
        <v>83</v>
      </c>
      <c r="H52" s="26" t="s">
        <v>62</v>
      </c>
      <c r="I52" s="26">
        <v>7</v>
      </c>
      <c r="J52" s="62" t="s">
        <v>63</v>
      </c>
      <c r="K52" s="64">
        <v>50</v>
      </c>
      <c r="L52" s="65">
        <f t="shared" si="3"/>
        <v>0.83333333333333337</v>
      </c>
      <c r="M52" s="158"/>
    </row>
    <row r="53" spans="1:13" ht="18.899999999999999" customHeight="1" x14ac:dyDescent="0.45">
      <c r="A53" s="18">
        <f t="shared" si="2"/>
        <v>41</v>
      </c>
      <c r="B53" s="272"/>
      <c r="C53" s="272"/>
      <c r="D53" s="251"/>
      <c r="E53" s="20" t="s">
        <v>135</v>
      </c>
      <c r="F53" s="58">
        <v>1375</v>
      </c>
      <c r="G53" s="19" t="s">
        <v>83</v>
      </c>
      <c r="H53" s="22" t="s">
        <v>136</v>
      </c>
      <c r="I53" s="23">
        <v>13</v>
      </c>
      <c r="J53" s="24" t="s">
        <v>63</v>
      </c>
      <c r="K53" s="25">
        <v>175</v>
      </c>
      <c r="L53" s="65">
        <f t="shared" si="3"/>
        <v>2.9166666666666665</v>
      </c>
      <c r="M53" s="158"/>
    </row>
    <row r="54" spans="1:13" ht="18.899999999999999" customHeight="1" x14ac:dyDescent="0.45">
      <c r="A54" s="18">
        <f t="shared" si="2"/>
        <v>42</v>
      </c>
      <c r="B54" s="272"/>
      <c r="C54" s="272"/>
      <c r="D54" s="251"/>
      <c r="E54" s="97" t="s">
        <v>137</v>
      </c>
      <c r="F54" s="113">
        <v>1619</v>
      </c>
      <c r="G54" s="19" t="s">
        <v>83</v>
      </c>
      <c r="H54" s="106" t="s">
        <v>138</v>
      </c>
      <c r="I54" s="113">
        <v>8</v>
      </c>
      <c r="J54" s="39" t="s">
        <v>63</v>
      </c>
      <c r="K54" s="116">
        <v>96</v>
      </c>
      <c r="L54" s="65">
        <f t="shared" si="3"/>
        <v>1.6</v>
      </c>
      <c r="M54" s="159" t="s">
        <v>139</v>
      </c>
    </row>
    <row r="55" spans="1:13" ht="18.899999999999999" customHeight="1" x14ac:dyDescent="0.45">
      <c r="A55" s="18">
        <f t="shared" si="2"/>
        <v>43</v>
      </c>
      <c r="B55" s="272"/>
      <c r="C55" s="272"/>
      <c r="D55" s="251"/>
      <c r="E55" s="155" t="s">
        <v>140</v>
      </c>
      <c r="F55" s="95">
        <v>1615</v>
      </c>
      <c r="G55" s="58" t="s">
        <v>125</v>
      </c>
      <c r="H55" s="126" t="s">
        <v>138</v>
      </c>
      <c r="I55" s="95">
        <v>14</v>
      </c>
      <c r="J55" s="19" t="s">
        <v>63</v>
      </c>
      <c r="K55" s="110">
        <v>141</v>
      </c>
      <c r="L55" s="65">
        <f t="shared" si="3"/>
        <v>2.35</v>
      </c>
      <c r="M55" s="111" t="s">
        <v>139</v>
      </c>
    </row>
    <row r="56" spans="1:13" ht="18.899999999999999" customHeight="1" x14ac:dyDescent="0.45">
      <c r="A56" s="18">
        <f t="shared" si="2"/>
        <v>44</v>
      </c>
      <c r="B56" s="272"/>
      <c r="C56" s="272"/>
      <c r="D56" s="251"/>
      <c r="E56" s="120" t="s">
        <v>141</v>
      </c>
      <c r="F56" s="121">
        <v>1630</v>
      </c>
      <c r="G56" s="58" t="s">
        <v>125</v>
      </c>
      <c r="H56" s="122" t="s">
        <v>138</v>
      </c>
      <c r="I56" s="121">
        <v>9</v>
      </c>
      <c r="J56" s="19" t="s">
        <v>63</v>
      </c>
      <c r="K56" s="133">
        <v>86</v>
      </c>
      <c r="L56" s="65">
        <f t="shared" si="3"/>
        <v>1.4333333333333333</v>
      </c>
      <c r="M56" s="111" t="s">
        <v>139</v>
      </c>
    </row>
    <row r="57" spans="1:13" ht="18.899999999999999" customHeight="1" x14ac:dyDescent="0.45">
      <c r="A57" s="18">
        <f t="shared" si="2"/>
        <v>45</v>
      </c>
      <c r="B57" s="272"/>
      <c r="C57" s="272"/>
      <c r="D57" s="251"/>
      <c r="E57" s="120" t="s">
        <v>142</v>
      </c>
      <c r="F57" s="121">
        <v>1627</v>
      </c>
      <c r="G57" s="58" t="s">
        <v>125</v>
      </c>
      <c r="H57" s="122" t="s">
        <v>143</v>
      </c>
      <c r="I57" s="121">
        <v>13</v>
      </c>
      <c r="J57" s="19" t="s">
        <v>63</v>
      </c>
      <c r="K57" s="133">
        <v>119</v>
      </c>
      <c r="L57" s="65">
        <f t="shared" si="3"/>
        <v>1.9833333333333334</v>
      </c>
      <c r="M57" s="111" t="s">
        <v>139</v>
      </c>
    </row>
    <row r="58" spans="1:13" ht="18.899999999999999" customHeight="1" x14ac:dyDescent="0.45">
      <c r="A58" s="18">
        <f t="shared" si="2"/>
        <v>46</v>
      </c>
      <c r="B58" s="272"/>
      <c r="C58" s="271" t="s">
        <v>144</v>
      </c>
      <c r="D58" s="249" t="s">
        <v>145</v>
      </c>
      <c r="E58" s="51" t="s">
        <v>146</v>
      </c>
      <c r="F58" s="19">
        <v>5</v>
      </c>
      <c r="G58" s="19" t="s">
        <v>83</v>
      </c>
      <c r="H58" s="26" t="s">
        <v>62</v>
      </c>
      <c r="I58" s="160">
        <v>6</v>
      </c>
      <c r="J58" s="22" t="s">
        <v>63</v>
      </c>
      <c r="K58" s="64">
        <v>43</v>
      </c>
      <c r="L58" s="65">
        <f t="shared" si="3"/>
        <v>0.71666666666666667</v>
      </c>
      <c r="M58" s="158"/>
    </row>
    <row r="59" spans="1:13" ht="18.899999999999999" customHeight="1" x14ac:dyDescent="0.45">
      <c r="A59" s="18">
        <f t="shared" ref="A59:A92" si="4">A58+1</f>
        <v>47</v>
      </c>
      <c r="B59" s="272"/>
      <c r="C59" s="272"/>
      <c r="D59" s="251"/>
      <c r="E59" s="51" t="s">
        <v>147</v>
      </c>
      <c r="F59" s="19">
        <v>1014</v>
      </c>
      <c r="G59" s="19" t="s">
        <v>83</v>
      </c>
      <c r="H59" s="26" t="s">
        <v>62</v>
      </c>
      <c r="I59" s="19">
        <v>9</v>
      </c>
      <c r="J59" s="19" t="s">
        <v>63</v>
      </c>
      <c r="K59" s="64">
        <v>105</v>
      </c>
      <c r="L59" s="65">
        <f t="shared" si="3"/>
        <v>1.75</v>
      </c>
      <c r="M59" s="158"/>
    </row>
    <row r="60" spans="1:13" ht="18.899999999999999" customHeight="1" x14ac:dyDescent="0.45">
      <c r="A60" s="18">
        <f t="shared" si="4"/>
        <v>48</v>
      </c>
      <c r="B60" s="273"/>
      <c r="C60" s="273"/>
      <c r="D60" s="250"/>
      <c r="E60" s="51" t="s">
        <v>148</v>
      </c>
      <c r="F60" s="19">
        <v>1094</v>
      </c>
      <c r="G60" s="58" t="s">
        <v>125</v>
      </c>
      <c r="H60" s="26" t="s">
        <v>62</v>
      </c>
      <c r="I60" s="19">
        <v>1</v>
      </c>
      <c r="J60" s="19" t="s">
        <v>63</v>
      </c>
      <c r="K60" s="64">
        <v>45</v>
      </c>
      <c r="L60" s="65">
        <f t="shared" si="3"/>
        <v>0.75</v>
      </c>
      <c r="M60" s="158"/>
    </row>
    <row r="61" spans="1:13" ht="18.899999999999999" customHeight="1" x14ac:dyDescent="0.45">
      <c r="A61" s="18">
        <f t="shared" si="4"/>
        <v>49</v>
      </c>
      <c r="B61" s="271" t="s">
        <v>149</v>
      </c>
      <c r="C61" s="271" t="s">
        <v>150</v>
      </c>
      <c r="D61" s="249" t="s">
        <v>151</v>
      </c>
      <c r="E61" s="72" t="s">
        <v>152</v>
      </c>
      <c r="F61" s="19">
        <v>1067</v>
      </c>
      <c r="G61" s="19" t="s">
        <v>83</v>
      </c>
      <c r="H61" s="26" t="s">
        <v>62</v>
      </c>
      <c r="I61" s="141">
        <v>8</v>
      </c>
      <c r="J61" s="138" t="s">
        <v>63</v>
      </c>
      <c r="K61" s="64">
        <v>191</v>
      </c>
      <c r="L61" s="65">
        <f t="shared" si="3"/>
        <v>3.1833333333333331</v>
      </c>
      <c r="M61" s="65"/>
    </row>
    <row r="62" spans="1:13" ht="18.899999999999999" customHeight="1" x14ac:dyDescent="0.45">
      <c r="A62" s="18">
        <f t="shared" si="4"/>
        <v>50</v>
      </c>
      <c r="B62" s="272"/>
      <c r="C62" s="272"/>
      <c r="D62" s="251"/>
      <c r="E62" s="73" t="s">
        <v>153</v>
      </c>
      <c r="F62" s="50">
        <v>928</v>
      </c>
      <c r="G62" s="19" t="s">
        <v>83</v>
      </c>
      <c r="H62" s="52" t="s">
        <v>154</v>
      </c>
      <c r="I62" s="141">
        <v>5</v>
      </c>
      <c r="J62" s="138" t="s">
        <v>63</v>
      </c>
      <c r="K62" s="64">
        <v>60</v>
      </c>
      <c r="L62" s="65">
        <f t="shared" si="3"/>
        <v>1</v>
      </c>
      <c r="M62" s="65"/>
    </row>
    <row r="63" spans="1:13" ht="18.899999999999999" customHeight="1" x14ac:dyDescent="0.45">
      <c r="A63" s="18">
        <f t="shared" si="4"/>
        <v>51</v>
      </c>
      <c r="B63" s="272"/>
      <c r="C63" s="272"/>
      <c r="D63" s="251"/>
      <c r="E63" s="72" t="s">
        <v>155</v>
      </c>
      <c r="F63" s="56">
        <v>1068</v>
      </c>
      <c r="G63" s="19" t="s">
        <v>83</v>
      </c>
      <c r="H63" s="26" t="s">
        <v>62</v>
      </c>
      <c r="I63" s="141">
        <v>8</v>
      </c>
      <c r="J63" s="138" t="s">
        <v>63</v>
      </c>
      <c r="K63" s="64">
        <v>82</v>
      </c>
      <c r="L63" s="65">
        <f t="shared" si="3"/>
        <v>1.3666666666666667</v>
      </c>
      <c r="M63" s="65"/>
    </row>
    <row r="64" spans="1:13" ht="18.899999999999999" customHeight="1" x14ac:dyDescent="0.45">
      <c r="A64" s="18">
        <f t="shared" si="4"/>
        <v>52</v>
      </c>
      <c r="B64" s="272"/>
      <c r="C64" s="272"/>
      <c r="D64" s="251"/>
      <c r="E64" s="72" t="s">
        <v>156</v>
      </c>
      <c r="F64" s="56">
        <v>1069</v>
      </c>
      <c r="G64" s="19" t="s">
        <v>83</v>
      </c>
      <c r="H64" s="26" t="s">
        <v>62</v>
      </c>
      <c r="I64" s="141">
        <v>12</v>
      </c>
      <c r="J64" s="138" t="s">
        <v>63</v>
      </c>
      <c r="K64" s="64">
        <v>182</v>
      </c>
      <c r="L64" s="65">
        <f t="shared" si="3"/>
        <v>3.0333333333333332</v>
      </c>
      <c r="M64" s="65"/>
    </row>
    <row r="65" spans="1:13" ht="18.899999999999999" customHeight="1" x14ac:dyDescent="0.45">
      <c r="A65" s="18">
        <f t="shared" si="4"/>
        <v>53</v>
      </c>
      <c r="B65" s="272"/>
      <c r="C65" s="273"/>
      <c r="D65" s="250"/>
      <c r="E65" s="72" t="s">
        <v>157</v>
      </c>
      <c r="F65" s="56">
        <v>1070</v>
      </c>
      <c r="G65" s="19" t="s">
        <v>83</v>
      </c>
      <c r="H65" s="26" t="s">
        <v>62</v>
      </c>
      <c r="I65" s="141">
        <v>13</v>
      </c>
      <c r="J65" s="138" t="s">
        <v>63</v>
      </c>
      <c r="K65" s="64">
        <v>229</v>
      </c>
      <c r="L65" s="65">
        <f t="shared" si="3"/>
        <v>3.8166666666666669</v>
      </c>
      <c r="M65" s="65"/>
    </row>
    <row r="66" spans="1:13" ht="18.899999999999999" customHeight="1" x14ac:dyDescent="0.45">
      <c r="A66" s="18">
        <f t="shared" si="4"/>
        <v>54</v>
      </c>
      <c r="B66" s="272"/>
      <c r="C66" s="271" t="s">
        <v>158</v>
      </c>
      <c r="D66" s="249" t="s">
        <v>159</v>
      </c>
      <c r="E66" s="129" t="s">
        <v>160</v>
      </c>
      <c r="F66" s="19">
        <v>905</v>
      </c>
      <c r="G66" s="19" t="s">
        <v>161</v>
      </c>
      <c r="H66" s="52" t="s">
        <v>62</v>
      </c>
      <c r="I66" s="137">
        <v>9</v>
      </c>
      <c r="J66" s="143" t="s">
        <v>63</v>
      </c>
      <c r="K66" s="67">
        <v>409</v>
      </c>
      <c r="L66" s="65">
        <f t="shared" si="3"/>
        <v>6.8166666666666664</v>
      </c>
      <c r="M66" s="65"/>
    </row>
    <row r="67" spans="1:13" ht="18.899999999999999" customHeight="1" x14ac:dyDescent="0.45">
      <c r="A67" s="18">
        <f t="shared" si="4"/>
        <v>55</v>
      </c>
      <c r="B67" s="272"/>
      <c r="C67" s="272"/>
      <c r="D67" s="251"/>
      <c r="E67" s="61" t="s">
        <v>162</v>
      </c>
      <c r="F67" s="19">
        <v>707</v>
      </c>
      <c r="G67" s="19" t="s">
        <v>125</v>
      </c>
      <c r="H67" s="26" t="s">
        <v>62</v>
      </c>
      <c r="I67" s="99">
        <v>10</v>
      </c>
      <c r="J67" s="39" t="s">
        <v>63</v>
      </c>
      <c r="K67" s="67">
        <v>113</v>
      </c>
      <c r="L67" s="65">
        <f t="shared" si="3"/>
        <v>1.8833333333333333</v>
      </c>
      <c r="M67" s="65"/>
    </row>
    <row r="68" spans="1:13" ht="18.899999999999999" customHeight="1" x14ac:dyDescent="0.45">
      <c r="A68" s="18">
        <f t="shared" si="4"/>
        <v>56</v>
      </c>
      <c r="B68" s="272"/>
      <c r="C68" s="272"/>
      <c r="D68" s="251"/>
      <c r="E68" s="61" t="s">
        <v>163</v>
      </c>
      <c r="F68" s="19">
        <v>126</v>
      </c>
      <c r="G68" s="19" t="s">
        <v>125</v>
      </c>
      <c r="H68" s="161" t="s">
        <v>164</v>
      </c>
      <c r="I68" s="99">
        <v>12</v>
      </c>
      <c r="J68" s="39" t="s">
        <v>63</v>
      </c>
      <c r="K68" s="67">
        <v>149</v>
      </c>
      <c r="L68" s="65">
        <f t="shared" si="3"/>
        <v>2.4833333333333334</v>
      </c>
      <c r="M68" s="65"/>
    </row>
    <row r="69" spans="1:13" ht="18.899999999999999" customHeight="1" x14ac:dyDescent="0.45">
      <c r="A69" s="18">
        <f t="shared" si="4"/>
        <v>57</v>
      </c>
      <c r="B69" s="272"/>
      <c r="C69" s="272"/>
      <c r="D69" s="251"/>
      <c r="E69" s="61" t="s">
        <v>165</v>
      </c>
      <c r="F69" s="19">
        <v>336</v>
      </c>
      <c r="G69" s="19" t="s">
        <v>125</v>
      </c>
      <c r="H69" s="161" t="s">
        <v>166</v>
      </c>
      <c r="I69" s="99">
        <v>5</v>
      </c>
      <c r="J69" s="39" t="s">
        <v>63</v>
      </c>
      <c r="K69" s="67">
        <v>127</v>
      </c>
      <c r="L69" s="65">
        <f t="shared" si="3"/>
        <v>2.1166666666666667</v>
      </c>
      <c r="M69" s="65"/>
    </row>
    <row r="70" spans="1:13" ht="18.899999999999999" customHeight="1" x14ac:dyDescent="0.45">
      <c r="A70" s="18">
        <f t="shared" si="4"/>
        <v>58</v>
      </c>
      <c r="B70" s="272"/>
      <c r="C70" s="272"/>
      <c r="D70" s="251"/>
      <c r="E70" s="61" t="s">
        <v>167</v>
      </c>
      <c r="F70" s="19">
        <v>131</v>
      </c>
      <c r="G70" s="19" t="s">
        <v>125</v>
      </c>
      <c r="H70" s="161" t="s">
        <v>166</v>
      </c>
      <c r="I70" s="99">
        <v>10</v>
      </c>
      <c r="J70" s="39" t="s">
        <v>63</v>
      </c>
      <c r="K70" s="67">
        <v>116</v>
      </c>
      <c r="L70" s="65">
        <f t="shared" si="3"/>
        <v>1.9333333333333333</v>
      </c>
      <c r="M70" s="65"/>
    </row>
    <row r="71" spans="1:13" ht="18.899999999999999" customHeight="1" x14ac:dyDescent="0.45">
      <c r="A71" s="18">
        <f t="shared" si="4"/>
        <v>59</v>
      </c>
      <c r="B71" s="272"/>
      <c r="C71" s="272"/>
      <c r="D71" s="251"/>
      <c r="E71" s="61" t="s">
        <v>168</v>
      </c>
      <c r="F71" s="19">
        <v>1328</v>
      </c>
      <c r="G71" s="19" t="s">
        <v>125</v>
      </c>
      <c r="H71" s="161" t="s">
        <v>166</v>
      </c>
      <c r="I71" s="99">
        <v>21</v>
      </c>
      <c r="J71" s="39" t="s">
        <v>63</v>
      </c>
      <c r="K71" s="67">
        <v>269</v>
      </c>
      <c r="L71" s="65">
        <f t="shared" si="3"/>
        <v>4.4833333333333334</v>
      </c>
      <c r="M71" s="136"/>
    </row>
    <row r="72" spans="1:13" ht="18.899999999999999" customHeight="1" x14ac:dyDescent="0.45">
      <c r="A72" s="18">
        <f t="shared" si="4"/>
        <v>60</v>
      </c>
      <c r="B72" s="272"/>
      <c r="C72" s="272"/>
      <c r="D72" s="251"/>
      <c r="E72" s="49" t="s">
        <v>169</v>
      </c>
      <c r="F72" s="99">
        <v>1533</v>
      </c>
      <c r="G72" s="99" t="s">
        <v>83</v>
      </c>
      <c r="H72" s="62" t="s">
        <v>62</v>
      </c>
      <c r="I72" s="99">
        <v>8</v>
      </c>
      <c r="J72" s="39" t="s">
        <v>63</v>
      </c>
      <c r="K72" s="132">
        <v>88</v>
      </c>
      <c r="L72" s="65">
        <f t="shared" si="3"/>
        <v>1.4666666666666666</v>
      </c>
      <c r="M72" s="136"/>
    </row>
    <row r="73" spans="1:13" ht="18.899999999999999" customHeight="1" x14ac:dyDescent="0.45">
      <c r="A73" s="18">
        <f t="shared" si="4"/>
        <v>61</v>
      </c>
      <c r="B73" s="272"/>
      <c r="C73" s="272"/>
      <c r="D73" s="251"/>
      <c r="E73" s="61" t="s">
        <v>170</v>
      </c>
      <c r="F73" s="19">
        <v>800</v>
      </c>
      <c r="G73" s="19" t="s">
        <v>161</v>
      </c>
      <c r="H73" s="161" t="s">
        <v>171</v>
      </c>
      <c r="I73" s="39">
        <v>15</v>
      </c>
      <c r="J73" s="62" t="s">
        <v>63</v>
      </c>
      <c r="K73" s="67">
        <v>181</v>
      </c>
      <c r="L73" s="65">
        <f t="shared" si="3"/>
        <v>3.0166666666666666</v>
      </c>
      <c r="M73" s="65"/>
    </row>
    <row r="74" spans="1:13" ht="18.899999999999999" customHeight="1" x14ac:dyDescent="0.45">
      <c r="A74" s="18">
        <f t="shared" si="4"/>
        <v>62</v>
      </c>
      <c r="B74" s="272"/>
      <c r="C74" s="273"/>
      <c r="D74" s="250"/>
      <c r="E74" s="61" t="s">
        <v>172</v>
      </c>
      <c r="F74" s="19">
        <v>830</v>
      </c>
      <c r="G74" s="19" t="s">
        <v>161</v>
      </c>
      <c r="H74" s="161" t="s">
        <v>173</v>
      </c>
      <c r="I74" s="39">
        <v>13</v>
      </c>
      <c r="J74" s="62" t="s">
        <v>63</v>
      </c>
      <c r="K74" s="67">
        <v>135</v>
      </c>
      <c r="L74" s="65">
        <f t="shared" si="3"/>
        <v>2.25</v>
      </c>
      <c r="M74" s="65"/>
    </row>
    <row r="75" spans="1:13" ht="18.899999999999999" customHeight="1" x14ac:dyDescent="0.45">
      <c r="A75" s="18">
        <f t="shared" si="4"/>
        <v>63</v>
      </c>
      <c r="B75" s="271" t="s">
        <v>174</v>
      </c>
      <c r="C75" s="271" t="s">
        <v>174</v>
      </c>
      <c r="D75" s="249" t="s">
        <v>175</v>
      </c>
      <c r="E75" s="51" t="s">
        <v>176</v>
      </c>
      <c r="F75" s="19">
        <v>1210</v>
      </c>
      <c r="G75" s="19" t="s">
        <v>83</v>
      </c>
      <c r="H75" s="26" t="s">
        <v>62</v>
      </c>
      <c r="I75" s="23">
        <v>6</v>
      </c>
      <c r="J75" s="22" t="s">
        <v>63</v>
      </c>
      <c r="K75" s="64">
        <v>41</v>
      </c>
      <c r="L75" s="65">
        <f t="shared" si="3"/>
        <v>0.68333333333333335</v>
      </c>
      <c r="M75" s="158"/>
    </row>
    <row r="76" spans="1:13" ht="18.899999999999999" customHeight="1" x14ac:dyDescent="0.45">
      <c r="A76" s="18">
        <f t="shared" si="4"/>
        <v>64</v>
      </c>
      <c r="B76" s="272"/>
      <c r="C76" s="272"/>
      <c r="D76" s="251"/>
      <c r="E76" s="51" t="s">
        <v>177</v>
      </c>
      <c r="F76" s="19">
        <v>1211</v>
      </c>
      <c r="G76" s="19" t="s">
        <v>83</v>
      </c>
      <c r="H76" s="26" t="s">
        <v>62</v>
      </c>
      <c r="I76" s="23">
        <v>15</v>
      </c>
      <c r="J76" s="22" t="s">
        <v>63</v>
      </c>
      <c r="K76" s="64">
        <v>103</v>
      </c>
      <c r="L76" s="65">
        <f t="shared" si="3"/>
        <v>1.7166666666666666</v>
      </c>
      <c r="M76" s="158"/>
    </row>
    <row r="77" spans="1:13" ht="18.899999999999999" customHeight="1" x14ac:dyDescent="0.45">
      <c r="A77" s="18">
        <f t="shared" si="4"/>
        <v>65</v>
      </c>
      <c r="B77" s="272"/>
      <c r="C77" s="272"/>
      <c r="D77" s="251"/>
      <c r="E77" s="51" t="s">
        <v>178</v>
      </c>
      <c r="F77" s="19">
        <v>1212</v>
      </c>
      <c r="G77" s="19" t="s">
        <v>83</v>
      </c>
      <c r="H77" s="26" t="s">
        <v>62</v>
      </c>
      <c r="I77" s="23">
        <v>18</v>
      </c>
      <c r="J77" s="22" t="s">
        <v>63</v>
      </c>
      <c r="K77" s="64">
        <v>135</v>
      </c>
      <c r="L77" s="65">
        <f t="shared" ref="L77:L85" si="5">K77/60</f>
        <v>2.25</v>
      </c>
      <c r="M77" s="158"/>
    </row>
    <row r="78" spans="1:13" ht="18.899999999999999" customHeight="1" x14ac:dyDescent="0.45">
      <c r="A78" s="18">
        <f t="shared" si="4"/>
        <v>66</v>
      </c>
      <c r="B78" s="272"/>
      <c r="C78" s="272"/>
      <c r="D78" s="251"/>
      <c r="E78" s="51" t="s">
        <v>179</v>
      </c>
      <c r="F78" s="19">
        <v>1213</v>
      </c>
      <c r="G78" s="19" t="s">
        <v>83</v>
      </c>
      <c r="H78" s="26" t="s">
        <v>62</v>
      </c>
      <c r="I78" s="23">
        <v>5</v>
      </c>
      <c r="J78" s="22" t="s">
        <v>63</v>
      </c>
      <c r="K78" s="64">
        <v>34</v>
      </c>
      <c r="L78" s="65">
        <f t="shared" si="5"/>
        <v>0.56666666666666665</v>
      </c>
      <c r="M78" s="158"/>
    </row>
    <row r="79" spans="1:13" ht="18.899999999999999" customHeight="1" x14ac:dyDescent="0.45">
      <c r="A79" s="18">
        <f t="shared" si="4"/>
        <v>67</v>
      </c>
      <c r="B79" s="272"/>
      <c r="C79" s="272"/>
      <c r="D79" s="251"/>
      <c r="E79" s="61" t="s">
        <v>180</v>
      </c>
      <c r="F79" s="39">
        <v>812</v>
      </c>
      <c r="G79" s="19" t="s">
        <v>125</v>
      </c>
      <c r="H79" s="39" t="s">
        <v>181</v>
      </c>
      <c r="I79" s="63">
        <v>11</v>
      </c>
      <c r="J79" s="62" t="s">
        <v>63</v>
      </c>
      <c r="K79" s="67">
        <v>149</v>
      </c>
      <c r="L79" s="65">
        <f t="shared" si="5"/>
        <v>2.4833333333333334</v>
      </c>
      <c r="M79" s="158"/>
    </row>
    <row r="80" spans="1:13" ht="18.899999999999999" customHeight="1" x14ac:dyDescent="0.45">
      <c r="A80" s="18">
        <f t="shared" si="4"/>
        <v>68</v>
      </c>
      <c r="B80" s="272"/>
      <c r="C80" s="272"/>
      <c r="D80" s="251"/>
      <c r="E80" s="104" t="s">
        <v>182</v>
      </c>
      <c r="F80" s="105">
        <v>1595</v>
      </c>
      <c r="G80" s="105" t="s">
        <v>161</v>
      </c>
      <c r="H80" s="106" t="s">
        <v>183</v>
      </c>
      <c r="I80" s="105">
        <v>17</v>
      </c>
      <c r="J80" s="39" t="s">
        <v>63</v>
      </c>
      <c r="K80" s="116">
        <v>266</v>
      </c>
      <c r="L80" s="65">
        <f t="shared" si="5"/>
        <v>4.4333333333333336</v>
      </c>
      <c r="M80" s="159" t="s">
        <v>139</v>
      </c>
    </row>
    <row r="81" spans="1:13" ht="18.899999999999999" customHeight="1" x14ac:dyDescent="0.45">
      <c r="A81" s="18">
        <f t="shared" si="4"/>
        <v>69</v>
      </c>
      <c r="B81" s="272"/>
      <c r="C81" s="272"/>
      <c r="D81" s="251"/>
      <c r="E81" s="41" t="s">
        <v>184</v>
      </c>
      <c r="F81" s="162">
        <v>1599</v>
      </c>
      <c r="G81" s="162" t="s">
        <v>125</v>
      </c>
      <c r="H81" s="44" t="s">
        <v>183</v>
      </c>
      <c r="I81" s="162">
        <v>21</v>
      </c>
      <c r="J81" s="19" t="s">
        <v>63</v>
      </c>
      <c r="K81" s="133">
        <v>323</v>
      </c>
      <c r="L81" s="65">
        <f t="shared" si="5"/>
        <v>5.3833333333333337</v>
      </c>
      <c r="M81" s="111" t="s">
        <v>139</v>
      </c>
    </row>
    <row r="82" spans="1:13" ht="18.899999999999999" customHeight="1" x14ac:dyDescent="0.45">
      <c r="A82" s="18">
        <f t="shared" si="4"/>
        <v>70</v>
      </c>
      <c r="B82" s="272"/>
      <c r="C82" s="272"/>
      <c r="D82" s="251"/>
      <c r="E82" s="120" t="s">
        <v>185</v>
      </c>
      <c r="F82" s="121">
        <v>1645</v>
      </c>
      <c r="G82" s="19" t="s">
        <v>125</v>
      </c>
      <c r="H82" s="122" t="s">
        <v>186</v>
      </c>
      <c r="I82" s="162">
        <v>4</v>
      </c>
      <c r="J82" s="19" t="s">
        <v>63</v>
      </c>
      <c r="K82" s="43">
        <v>63</v>
      </c>
      <c r="L82" s="45">
        <f t="shared" si="5"/>
        <v>1.05</v>
      </c>
      <c r="M82" s="159" t="s">
        <v>139</v>
      </c>
    </row>
    <row r="83" spans="1:13" ht="18.899999999999999" customHeight="1" x14ac:dyDescent="0.45">
      <c r="A83" s="18">
        <f t="shared" si="4"/>
        <v>71</v>
      </c>
      <c r="B83" s="272"/>
      <c r="C83" s="272"/>
      <c r="D83" s="251"/>
      <c r="E83" s="94" t="s">
        <v>187</v>
      </c>
      <c r="F83" s="163">
        <v>1647</v>
      </c>
      <c r="G83" s="19" t="s">
        <v>125</v>
      </c>
      <c r="H83" s="122" t="s">
        <v>186</v>
      </c>
      <c r="I83" s="162">
        <v>5</v>
      </c>
      <c r="J83" s="19" t="s">
        <v>63</v>
      </c>
      <c r="K83" s="43">
        <v>66</v>
      </c>
      <c r="L83" s="45">
        <f t="shared" si="5"/>
        <v>1.1000000000000001</v>
      </c>
      <c r="M83" s="111" t="s">
        <v>139</v>
      </c>
    </row>
    <row r="84" spans="1:13" ht="18.899999999999999" customHeight="1" x14ac:dyDescent="0.45">
      <c r="A84" s="18">
        <f t="shared" si="4"/>
        <v>72</v>
      </c>
      <c r="B84" s="272"/>
      <c r="C84" s="272"/>
      <c r="D84" s="251"/>
      <c r="E84" s="94" t="s">
        <v>188</v>
      </c>
      <c r="F84" s="42">
        <v>1652</v>
      </c>
      <c r="G84" s="19" t="s">
        <v>125</v>
      </c>
      <c r="H84" s="122" t="s">
        <v>186</v>
      </c>
      <c r="I84" s="42">
        <v>4</v>
      </c>
      <c r="J84" s="19" t="s">
        <v>63</v>
      </c>
      <c r="K84" s="43">
        <v>60</v>
      </c>
      <c r="L84" s="45">
        <f t="shared" si="5"/>
        <v>1</v>
      </c>
      <c r="M84" s="159" t="s">
        <v>139</v>
      </c>
    </row>
    <row r="85" spans="1:13" ht="18.899999999999999" customHeight="1" x14ac:dyDescent="0.45">
      <c r="A85" s="18">
        <f t="shared" si="4"/>
        <v>73</v>
      </c>
      <c r="B85" s="272"/>
      <c r="C85" s="273"/>
      <c r="D85" s="250"/>
      <c r="E85" s="120" t="s">
        <v>189</v>
      </c>
      <c r="F85" s="42">
        <v>1653</v>
      </c>
      <c r="G85" s="19" t="s">
        <v>125</v>
      </c>
      <c r="H85" s="122" t="s">
        <v>186</v>
      </c>
      <c r="I85" s="42">
        <v>6</v>
      </c>
      <c r="J85" s="19" t="s">
        <v>63</v>
      </c>
      <c r="K85" s="43">
        <v>68</v>
      </c>
      <c r="L85" s="45">
        <f t="shared" si="5"/>
        <v>1.1333333333333333</v>
      </c>
      <c r="M85" s="111" t="s">
        <v>139</v>
      </c>
    </row>
    <row r="86" spans="1:13" ht="18.899999999999999" customHeight="1" x14ac:dyDescent="0.45">
      <c r="A86" s="18">
        <f t="shared" si="4"/>
        <v>74</v>
      </c>
      <c r="B86" s="272"/>
      <c r="C86" s="271" t="s">
        <v>190</v>
      </c>
      <c r="D86" s="249" t="s">
        <v>191</v>
      </c>
      <c r="E86" s="61" t="s">
        <v>192</v>
      </c>
      <c r="F86" s="19">
        <v>806</v>
      </c>
      <c r="G86" s="162" t="s">
        <v>125</v>
      </c>
      <c r="H86" s="62" t="s">
        <v>193</v>
      </c>
      <c r="I86" s="63">
        <v>6</v>
      </c>
      <c r="J86" s="62" t="s">
        <v>63</v>
      </c>
      <c r="K86" s="67">
        <v>48</v>
      </c>
      <c r="L86" s="65">
        <f t="shared" ref="L86:L105" si="6">K86/60</f>
        <v>0.8</v>
      </c>
      <c r="M86" s="158"/>
    </row>
    <row r="87" spans="1:13" ht="18.899999999999999" customHeight="1" x14ac:dyDescent="0.45">
      <c r="A87" s="18">
        <f t="shared" si="4"/>
        <v>75</v>
      </c>
      <c r="B87" s="272"/>
      <c r="C87" s="273"/>
      <c r="D87" s="250"/>
      <c r="E87" s="49" t="s">
        <v>194</v>
      </c>
      <c r="F87" s="19">
        <v>1016</v>
      </c>
      <c r="G87" s="162" t="s">
        <v>125</v>
      </c>
      <c r="H87" s="62" t="s">
        <v>193</v>
      </c>
      <c r="I87" s="99">
        <v>2</v>
      </c>
      <c r="J87" s="39" t="s">
        <v>63</v>
      </c>
      <c r="K87" s="67">
        <v>50</v>
      </c>
      <c r="L87" s="65">
        <f t="shared" si="6"/>
        <v>0.83333333333333337</v>
      </c>
      <c r="M87" s="158"/>
    </row>
    <row r="88" spans="1:13" ht="18.899999999999999" customHeight="1" x14ac:dyDescent="0.45">
      <c r="A88" s="18">
        <f t="shared" si="4"/>
        <v>76</v>
      </c>
      <c r="B88" s="272"/>
      <c r="C88" s="289" t="s">
        <v>195</v>
      </c>
      <c r="D88" s="249" t="s">
        <v>196</v>
      </c>
      <c r="E88" s="20" t="s">
        <v>197</v>
      </c>
      <c r="F88" s="26">
        <v>1004</v>
      </c>
      <c r="G88" s="39" t="s">
        <v>125</v>
      </c>
      <c r="H88" s="26" t="s">
        <v>198</v>
      </c>
      <c r="I88" s="19">
        <v>18</v>
      </c>
      <c r="J88" s="19" t="s">
        <v>63</v>
      </c>
      <c r="K88" s="25">
        <v>203</v>
      </c>
      <c r="L88" s="65">
        <f t="shared" si="6"/>
        <v>3.3833333333333333</v>
      </c>
      <c r="M88" s="158"/>
    </row>
    <row r="89" spans="1:13" ht="18.899999999999999" customHeight="1" x14ac:dyDescent="0.45">
      <c r="A89" s="18">
        <f t="shared" si="4"/>
        <v>77</v>
      </c>
      <c r="B89" s="272"/>
      <c r="C89" s="290"/>
      <c r="D89" s="251"/>
      <c r="E89" s="51" t="s">
        <v>199</v>
      </c>
      <c r="F89" s="39">
        <v>48</v>
      </c>
      <c r="G89" s="39" t="s">
        <v>125</v>
      </c>
      <c r="H89" s="26" t="s">
        <v>62</v>
      </c>
      <c r="I89" s="63">
        <v>8</v>
      </c>
      <c r="J89" s="62" t="s">
        <v>63</v>
      </c>
      <c r="K89" s="67">
        <v>40</v>
      </c>
      <c r="L89" s="65">
        <f t="shared" si="6"/>
        <v>0.66666666666666663</v>
      </c>
      <c r="M89" s="158"/>
    </row>
    <row r="90" spans="1:13" ht="18.899999999999999" customHeight="1" x14ac:dyDescent="0.45">
      <c r="A90" s="18">
        <f t="shared" si="4"/>
        <v>78</v>
      </c>
      <c r="B90" s="272"/>
      <c r="C90" s="290"/>
      <c r="D90" s="251"/>
      <c r="E90" s="49" t="s">
        <v>200</v>
      </c>
      <c r="F90" s="19">
        <v>1037</v>
      </c>
      <c r="G90" s="19" t="s">
        <v>161</v>
      </c>
      <c r="H90" s="52" t="s">
        <v>201</v>
      </c>
      <c r="I90" s="19">
        <v>9</v>
      </c>
      <c r="J90" s="19" t="s">
        <v>63</v>
      </c>
      <c r="K90" s="64">
        <v>122</v>
      </c>
      <c r="L90" s="65">
        <f t="shared" si="6"/>
        <v>2.0333333333333332</v>
      </c>
      <c r="M90" s="158"/>
    </row>
    <row r="91" spans="1:13" ht="18.899999999999999" customHeight="1" x14ac:dyDescent="0.45">
      <c r="A91" s="18">
        <f t="shared" si="4"/>
        <v>79</v>
      </c>
      <c r="B91" s="272"/>
      <c r="C91" s="290"/>
      <c r="D91" s="251"/>
      <c r="E91" s="51" t="s">
        <v>202</v>
      </c>
      <c r="F91" s="19">
        <v>1048</v>
      </c>
      <c r="G91" s="19" t="s">
        <v>161</v>
      </c>
      <c r="H91" s="52" t="s">
        <v>201</v>
      </c>
      <c r="I91" s="19">
        <v>6</v>
      </c>
      <c r="J91" s="19" t="s">
        <v>63</v>
      </c>
      <c r="K91" s="64">
        <v>89</v>
      </c>
      <c r="L91" s="65">
        <f t="shared" si="6"/>
        <v>1.4833333333333334</v>
      </c>
      <c r="M91" s="158"/>
    </row>
    <row r="92" spans="1:13" ht="18.899999999999999" customHeight="1" x14ac:dyDescent="0.45">
      <c r="A92" s="18">
        <f t="shared" si="4"/>
        <v>80</v>
      </c>
      <c r="B92" s="273"/>
      <c r="C92" s="291"/>
      <c r="D92" s="250"/>
      <c r="E92" s="94" t="s">
        <v>203</v>
      </c>
      <c r="F92" s="95">
        <v>1601</v>
      </c>
      <c r="G92" s="19" t="s">
        <v>161</v>
      </c>
      <c r="H92" s="126" t="s">
        <v>183</v>
      </c>
      <c r="I92" s="95">
        <v>19</v>
      </c>
      <c r="J92" s="19" t="s">
        <v>63</v>
      </c>
      <c r="K92" s="110">
        <v>276</v>
      </c>
      <c r="L92" s="65">
        <f t="shared" si="6"/>
        <v>4.5999999999999996</v>
      </c>
      <c r="M92" s="158"/>
    </row>
    <row r="93" spans="1:13" ht="18.899999999999999" customHeight="1" x14ac:dyDescent="0.45">
      <c r="A93" s="18">
        <f t="shared" ref="A93:A105" si="7">A92+1</f>
        <v>81</v>
      </c>
      <c r="B93" s="271" t="s">
        <v>204</v>
      </c>
      <c r="C93" s="271" t="s">
        <v>205</v>
      </c>
      <c r="D93" s="249" t="s">
        <v>206</v>
      </c>
      <c r="E93" s="61" t="s">
        <v>207</v>
      </c>
      <c r="F93" s="164" t="s">
        <v>208</v>
      </c>
      <c r="G93" s="26" t="s">
        <v>83</v>
      </c>
      <c r="H93" s="26" t="s">
        <v>62</v>
      </c>
      <c r="I93" s="63">
        <v>6</v>
      </c>
      <c r="J93" s="62" t="s">
        <v>63</v>
      </c>
      <c r="K93" s="67">
        <v>78</v>
      </c>
      <c r="L93" s="65">
        <f t="shared" si="6"/>
        <v>1.3</v>
      </c>
      <c r="M93" s="158"/>
    </row>
    <row r="94" spans="1:13" ht="18.899999999999999" customHeight="1" x14ac:dyDescent="0.45">
      <c r="A94" s="18">
        <f t="shared" si="7"/>
        <v>82</v>
      </c>
      <c r="B94" s="272"/>
      <c r="C94" s="272"/>
      <c r="D94" s="251"/>
      <c r="E94" s="61" t="s">
        <v>209</v>
      </c>
      <c r="F94" s="164" t="s">
        <v>210</v>
      </c>
      <c r="G94" s="26" t="s">
        <v>83</v>
      </c>
      <c r="H94" s="26" t="s">
        <v>62</v>
      </c>
      <c r="I94" s="63">
        <v>4</v>
      </c>
      <c r="J94" s="62" t="s">
        <v>63</v>
      </c>
      <c r="K94" s="67">
        <v>47</v>
      </c>
      <c r="L94" s="65">
        <f t="shared" si="6"/>
        <v>0.78333333333333333</v>
      </c>
      <c r="M94" s="158"/>
    </row>
    <row r="95" spans="1:13" ht="18.899999999999999" customHeight="1" x14ac:dyDescent="0.45">
      <c r="A95" s="18">
        <f t="shared" si="7"/>
        <v>83</v>
      </c>
      <c r="B95" s="272"/>
      <c r="C95" s="272"/>
      <c r="D95" s="251"/>
      <c r="E95" s="61" t="s">
        <v>211</v>
      </c>
      <c r="F95" s="164" t="s">
        <v>212</v>
      </c>
      <c r="G95" s="26" t="s">
        <v>83</v>
      </c>
      <c r="H95" s="26" t="s">
        <v>62</v>
      </c>
      <c r="I95" s="63">
        <v>15</v>
      </c>
      <c r="J95" s="62" t="s">
        <v>63</v>
      </c>
      <c r="K95" s="67">
        <v>138</v>
      </c>
      <c r="L95" s="65">
        <f t="shared" si="6"/>
        <v>2.2999999999999998</v>
      </c>
      <c r="M95" s="158"/>
    </row>
    <row r="96" spans="1:13" ht="18.899999999999999" customHeight="1" x14ac:dyDescent="0.45">
      <c r="A96" s="18">
        <f t="shared" si="7"/>
        <v>84</v>
      </c>
      <c r="B96" s="272"/>
      <c r="C96" s="272"/>
      <c r="D96" s="251"/>
      <c r="E96" s="61" t="s">
        <v>213</v>
      </c>
      <c r="F96" s="164" t="s">
        <v>214</v>
      </c>
      <c r="G96" s="26" t="s">
        <v>83</v>
      </c>
      <c r="H96" s="26" t="s">
        <v>62</v>
      </c>
      <c r="I96" s="63">
        <v>10</v>
      </c>
      <c r="J96" s="62" t="s">
        <v>63</v>
      </c>
      <c r="K96" s="67">
        <v>101</v>
      </c>
      <c r="L96" s="65">
        <f t="shared" si="6"/>
        <v>1.6833333333333333</v>
      </c>
      <c r="M96" s="158"/>
    </row>
    <row r="97" spans="1:13" ht="18.899999999999999" customHeight="1" x14ac:dyDescent="0.45">
      <c r="A97" s="18">
        <f t="shared" si="7"/>
        <v>85</v>
      </c>
      <c r="B97" s="272"/>
      <c r="C97" s="272"/>
      <c r="D97" s="251"/>
      <c r="E97" s="61" t="s">
        <v>215</v>
      </c>
      <c r="F97" s="164" t="s">
        <v>216</v>
      </c>
      <c r="G97" s="26" t="s">
        <v>83</v>
      </c>
      <c r="H97" s="26" t="s">
        <v>62</v>
      </c>
      <c r="I97" s="63">
        <v>4</v>
      </c>
      <c r="J97" s="62" t="s">
        <v>63</v>
      </c>
      <c r="K97" s="67">
        <v>38</v>
      </c>
      <c r="L97" s="65">
        <f t="shared" si="6"/>
        <v>0.6333333333333333</v>
      </c>
      <c r="M97" s="158"/>
    </row>
    <row r="98" spans="1:13" ht="18.899999999999999" customHeight="1" x14ac:dyDescent="0.45">
      <c r="A98" s="18">
        <f t="shared" si="7"/>
        <v>86</v>
      </c>
      <c r="B98" s="272"/>
      <c r="C98" s="272"/>
      <c r="D98" s="251"/>
      <c r="E98" s="51" t="s">
        <v>217</v>
      </c>
      <c r="F98" s="164" t="s">
        <v>218</v>
      </c>
      <c r="G98" s="164" t="s">
        <v>125</v>
      </c>
      <c r="H98" s="26" t="s">
        <v>62</v>
      </c>
      <c r="I98" s="63">
        <v>8</v>
      </c>
      <c r="J98" s="62" t="s">
        <v>63</v>
      </c>
      <c r="K98" s="67">
        <v>88</v>
      </c>
      <c r="L98" s="65">
        <f t="shared" si="6"/>
        <v>1.4666666666666666</v>
      </c>
      <c r="M98" s="165"/>
    </row>
    <row r="99" spans="1:13" ht="18.899999999999999" customHeight="1" x14ac:dyDescent="0.45">
      <c r="A99" s="18">
        <f t="shared" si="7"/>
        <v>87</v>
      </c>
      <c r="B99" s="272"/>
      <c r="C99" s="272"/>
      <c r="D99" s="251"/>
      <c r="E99" s="153" t="s">
        <v>219</v>
      </c>
      <c r="F99" s="164" t="s">
        <v>220</v>
      </c>
      <c r="G99" s="164" t="s">
        <v>125</v>
      </c>
      <c r="H99" s="26" t="s">
        <v>62</v>
      </c>
      <c r="I99" s="63">
        <v>4</v>
      </c>
      <c r="J99" s="62" t="s">
        <v>63</v>
      </c>
      <c r="K99" s="67">
        <v>53</v>
      </c>
      <c r="L99" s="65">
        <f t="shared" si="6"/>
        <v>0.8833333333333333</v>
      </c>
      <c r="M99" s="165"/>
    </row>
    <row r="100" spans="1:13" ht="18.899999999999999" customHeight="1" x14ac:dyDescent="0.45">
      <c r="A100" s="18">
        <f t="shared" si="7"/>
        <v>88</v>
      </c>
      <c r="B100" s="272"/>
      <c r="C100" s="272"/>
      <c r="D100" s="251"/>
      <c r="E100" s="61" t="s">
        <v>221</v>
      </c>
      <c r="F100" s="164" t="s">
        <v>222</v>
      </c>
      <c r="G100" s="26" t="s">
        <v>83</v>
      </c>
      <c r="H100" s="26" t="s">
        <v>62</v>
      </c>
      <c r="I100" s="23">
        <v>3</v>
      </c>
      <c r="J100" s="22" t="s">
        <v>63</v>
      </c>
      <c r="K100" s="64">
        <v>29</v>
      </c>
      <c r="L100" s="65">
        <f t="shared" si="6"/>
        <v>0.48333333333333334</v>
      </c>
      <c r="M100" s="158"/>
    </row>
    <row r="101" spans="1:13" ht="18.899999999999999" customHeight="1" x14ac:dyDescent="0.45">
      <c r="A101" s="18">
        <f t="shared" si="7"/>
        <v>89</v>
      </c>
      <c r="B101" s="272"/>
      <c r="C101" s="273"/>
      <c r="D101" s="250"/>
      <c r="E101" s="51" t="s">
        <v>223</v>
      </c>
      <c r="F101" s="19">
        <v>39</v>
      </c>
      <c r="G101" s="164" t="s">
        <v>125</v>
      </c>
      <c r="H101" s="26" t="s">
        <v>62</v>
      </c>
      <c r="I101" s="19">
        <v>3</v>
      </c>
      <c r="J101" s="19" t="s">
        <v>63</v>
      </c>
      <c r="K101" s="142">
        <v>25</v>
      </c>
      <c r="L101" s="65">
        <f t="shared" si="6"/>
        <v>0.41666666666666669</v>
      </c>
      <c r="M101" s="158"/>
    </row>
    <row r="102" spans="1:13" ht="18.899999999999999" customHeight="1" x14ac:dyDescent="0.45">
      <c r="A102" s="18">
        <f t="shared" si="7"/>
        <v>90</v>
      </c>
      <c r="B102" s="272"/>
      <c r="C102" s="271" t="s">
        <v>224</v>
      </c>
      <c r="D102" s="249" t="s">
        <v>225</v>
      </c>
      <c r="E102" s="20" t="s">
        <v>226</v>
      </c>
      <c r="F102" s="26">
        <v>8</v>
      </c>
      <c r="G102" s="26" t="s">
        <v>83</v>
      </c>
      <c r="H102" s="26" t="s">
        <v>62</v>
      </c>
      <c r="I102" s="19">
        <v>17</v>
      </c>
      <c r="J102" s="19" t="s">
        <v>63</v>
      </c>
      <c r="K102" s="64">
        <v>199</v>
      </c>
      <c r="L102" s="65">
        <f t="shared" si="6"/>
        <v>3.3166666666666669</v>
      </c>
      <c r="M102" s="158"/>
    </row>
    <row r="103" spans="1:13" ht="18.899999999999999" customHeight="1" x14ac:dyDescent="0.45">
      <c r="A103" s="18">
        <f t="shared" si="7"/>
        <v>91</v>
      </c>
      <c r="B103" s="272"/>
      <c r="C103" s="272"/>
      <c r="D103" s="251"/>
      <c r="E103" s="61" t="s">
        <v>227</v>
      </c>
      <c r="F103" s="19">
        <v>116</v>
      </c>
      <c r="G103" s="19" t="s">
        <v>125</v>
      </c>
      <c r="H103" s="26" t="s">
        <v>62</v>
      </c>
      <c r="I103" s="63">
        <v>35</v>
      </c>
      <c r="J103" s="62" t="s">
        <v>63</v>
      </c>
      <c r="K103" s="67">
        <v>316</v>
      </c>
      <c r="L103" s="65">
        <f t="shared" si="6"/>
        <v>5.2666666666666666</v>
      </c>
      <c r="M103" s="158"/>
    </row>
    <row r="104" spans="1:13" ht="18.899999999999999" customHeight="1" x14ac:dyDescent="0.45">
      <c r="A104" s="18">
        <f t="shared" si="7"/>
        <v>92</v>
      </c>
      <c r="B104" s="272"/>
      <c r="C104" s="272"/>
      <c r="D104" s="251"/>
      <c r="E104" s="61" t="s">
        <v>228</v>
      </c>
      <c r="F104" s="19">
        <v>713</v>
      </c>
      <c r="G104" s="19" t="s">
        <v>161</v>
      </c>
      <c r="H104" s="26" t="s">
        <v>62</v>
      </c>
      <c r="I104" s="39">
        <v>18</v>
      </c>
      <c r="J104" s="39" t="s">
        <v>63</v>
      </c>
      <c r="K104" s="67">
        <v>249</v>
      </c>
      <c r="L104" s="65">
        <f t="shared" si="6"/>
        <v>4.1500000000000004</v>
      </c>
      <c r="M104" s="158"/>
    </row>
    <row r="105" spans="1:13" ht="18.899999999999999" customHeight="1" x14ac:dyDescent="0.45">
      <c r="A105" s="18">
        <f t="shared" si="7"/>
        <v>93</v>
      </c>
      <c r="B105" s="273"/>
      <c r="C105" s="273"/>
      <c r="D105" s="250"/>
      <c r="E105" s="61" t="s">
        <v>229</v>
      </c>
      <c r="F105" s="19">
        <v>840</v>
      </c>
      <c r="G105" s="19" t="s">
        <v>161</v>
      </c>
      <c r="H105" s="26" t="s">
        <v>62</v>
      </c>
      <c r="I105" s="63">
        <v>23</v>
      </c>
      <c r="J105" s="62" t="s">
        <v>63</v>
      </c>
      <c r="K105" s="67">
        <v>345</v>
      </c>
      <c r="L105" s="65">
        <f t="shared" si="6"/>
        <v>5.75</v>
      </c>
      <c r="M105" s="158"/>
    </row>
    <row r="106" spans="1:13" ht="19.5" customHeight="1" x14ac:dyDescent="0.45">
      <c r="A106" s="274" t="s">
        <v>230</v>
      </c>
      <c r="B106" s="275"/>
      <c r="C106" s="275"/>
      <c r="D106" s="276"/>
      <c r="E106" s="275"/>
      <c r="F106" s="275"/>
      <c r="G106" s="275"/>
      <c r="H106" s="275"/>
      <c r="I106" s="275"/>
      <c r="J106" s="275"/>
      <c r="K106" s="275"/>
      <c r="L106" s="275"/>
      <c r="M106" s="275"/>
    </row>
    <row r="107" spans="1:13" ht="18.899999999999999" customHeight="1" x14ac:dyDescent="0.45">
      <c r="A107" s="18">
        <f>A105+1</f>
        <v>94</v>
      </c>
      <c r="B107" s="271" t="s">
        <v>10</v>
      </c>
      <c r="C107" s="278" t="s">
        <v>231</v>
      </c>
      <c r="D107" s="267" t="s">
        <v>232</v>
      </c>
      <c r="E107" s="183" t="s">
        <v>233</v>
      </c>
      <c r="F107" s="119">
        <v>1362</v>
      </c>
      <c r="G107" s="119" t="s">
        <v>83</v>
      </c>
      <c r="H107" s="62" t="s">
        <v>62</v>
      </c>
      <c r="I107" s="63">
        <v>25</v>
      </c>
      <c r="J107" s="75" t="s">
        <v>63</v>
      </c>
      <c r="K107" s="132">
        <v>272</v>
      </c>
      <c r="L107" s="33">
        <f>K107/60</f>
        <v>4.5333333333333332</v>
      </c>
      <c r="M107" s="176"/>
    </row>
    <row r="108" spans="1:13" ht="18.899999999999999" customHeight="1" x14ac:dyDescent="0.45">
      <c r="A108" s="18">
        <f t="shared" ref="A108:A134" si="8">A107+1</f>
        <v>95</v>
      </c>
      <c r="B108" s="272"/>
      <c r="C108" s="278"/>
      <c r="D108" s="267"/>
      <c r="E108" s="183" t="s">
        <v>234</v>
      </c>
      <c r="F108" s="119">
        <v>1361</v>
      </c>
      <c r="G108" s="119" t="s">
        <v>83</v>
      </c>
      <c r="H108" s="62" t="s">
        <v>62</v>
      </c>
      <c r="I108" s="63">
        <v>34</v>
      </c>
      <c r="J108" s="75" t="s">
        <v>63</v>
      </c>
      <c r="K108" s="132">
        <v>328</v>
      </c>
      <c r="L108" s="33">
        <f t="shared" ref="L108:L142" si="9">K108/60</f>
        <v>5.4666666666666668</v>
      </c>
      <c r="M108" s="166"/>
    </row>
    <row r="109" spans="1:13" ht="18.899999999999999" customHeight="1" x14ac:dyDescent="0.45">
      <c r="A109" s="18">
        <f t="shared" si="8"/>
        <v>96</v>
      </c>
      <c r="B109" s="272"/>
      <c r="C109" s="278"/>
      <c r="D109" s="267"/>
      <c r="E109" s="183" t="s">
        <v>235</v>
      </c>
      <c r="F109" s="119">
        <v>1364</v>
      </c>
      <c r="G109" s="119" t="s">
        <v>83</v>
      </c>
      <c r="H109" s="62" t="s">
        <v>236</v>
      </c>
      <c r="I109" s="63">
        <v>11</v>
      </c>
      <c r="J109" s="75" t="s">
        <v>63</v>
      </c>
      <c r="K109" s="132">
        <v>222</v>
      </c>
      <c r="L109" s="33">
        <f t="shared" si="9"/>
        <v>3.7</v>
      </c>
      <c r="M109" s="176"/>
    </row>
    <row r="110" spans="1:13" ht="18.899999999999999" customHeight="1" x14ac:dyDescent="0.45">
      <c r="A110" s="18">
        <f t="shared" si="8"/>
        <v>97</v>
      </c>
      <c r="B110" s="272"/>
      <c r="C110" s="278"/>
      <c r="D110" s="267"/>
      <c r="E110" s="60" t="s">
        <v>237</v>
      </c>
      <c r="F110" s="39">
        <v>1110</v>
      </c>
      <c r="G110" s="39" t="s">
        <v>125</v>
      </c>
      <c r="H110" s="62" t="s">
        <v>62</v>
      </c>
      <c r="I110" s="39">
        <v>7</v>
      </c>
      <c r="J110" s="39" t="s">
        <v>63</v>
      </c>
      <c r="K110" s="67">
        <v>127</v>
      </c>
      <c r="L110" s="33">
        <f t="shared" si="9"/>
        <v>2.1166666666666667</v>
      </c>
      <c r="M110" s="166" t="s">
        <v>238</v>
      </c>
    </row>
    <row r="111" spans="1:13" ht="18.899999999999999" customHeight="1" x14ac:dyDescent="0.45">
      <c r="A111" s="18">
        <f t="shared" si="8"/>
        <v>98</v>
      </c>
      <c r="B111" s="272"/>
      <c r="C111" s="278"/>
      <c r="D111" s="267"/>
      <c r="E111" s="183" t="s">
        <v>239</v>
      </c>
      <c r="F111" s="119">
        <v>1374</v>
      </c>
      <c r="G111" s="119" t="s">
        <v>125</v>
      </c>
      <c r="H111" s="62" t="s">
        <v>236</v>
      </c>
      <c r="I111" s="63">
        <v>7</v>
      </c>
      <c r="J111" s="75" t="s">
        <v>63</v>
      </c>
      <c r="K111" s="132">
        <v>170</v>
      </c>
      <c r="L111" s="33">
        <f t="shared" si="9"/>
        <v>2.8333333333333335</v>
      </c>
      <c r="M111" s="166" t="s">
        <v>238</v>
      </c>
    </row>
    <row r="112" spans="1:13" ht="18.899999999999999" customHeight="1" x14ac:dyDescent="0.45">
      <c r="A112" s="18">
        <f t="shared" si="8"/>
        <v>99</v>
      </c>
      <c r="B112" s="272"/>
      <c r="C112" s="278"/>
      <c r="D112" s="267"/>
      <c r="E112" s="183" t="s">
        <v>240</v>
      </c>
      <c r="F112" s="119">
        <v>1189</v>
      </c>
      <c r="G112" s="119" t="s">
        <v>83</v>
      </c>
      <c r="H112" s="62" t="s">
        <v>62</v>
      </c>
      <c r="I112" s="63">
        <v>9</v>
      </c>
      <c r="J112" s="75" t="s">
        <v>63</v>
      </c>
      <c r="K112" s="132">
        <v>100</v>
      </c>
      <c r="L112" s="33">
        <f t="shared" si="9"/>
        <v>1.6666666666666667</v>
      </c>
      <c r="M112" s="166" t="s">
        <v>241</v>
      </c>
    </row>
    <row r="113" spans="1:13" ht="18.899999999999999" customHeight="1" x14ac:dyDescent="0.45">
      <c r="A113" s="18">
        <f t="shared" si="8"/>
        <v>100</v>
      </c>
      <c r="B113" s="272"/>
      <c r="C113" s="278"/>
      <c r="D113" s="267"/>
      <c r="E113" s="183" t="s">
        <v>242</v>
      </c>
      <c r="F113" s="119">
        <v>1190</v>
      </c>
      <c r="G113" s="119" t="s">
        <v>83</v>
      </c>
      <c r="H113" s="62" t="s">
        <v>62</v>
      </c>
      <c r="I113" s="63">
        <v>8</v>
      </c>
      <c r="J113" s="75" t="s">
        <v>63</v>
      </c>
      <c r="K113" s="132">
        <v>115</v>
      </c>
      <c r="L113" s="33">
        <f t="shared" si="9"/>
        <v>1.9166666666666667</v>
      </c>
      <c r="M113" s="166" t="s">
        <v>241</v>
      </c>
    </row>
    <row r="114" spans="1:13" ht="18.899999999999999" customHeight="1" x14ac:dyDescent="0.45">
      <c r="A114" s="18">
        <f t="shared" si="8"/>
        <v>101</v>
      </c>
      <c r="B114" s="272"/>
      <c r="C114" s="278"/>
      <c r="D114" s="267"/>
      <c r="E114" s="229" t="s">
        <v>243</v>
      </c>
      <c r="F114" s="119">
        <v>1192</v>
      </c>
      <c r="G114" s="119" t="s">
        <v>83</v>
      </c>
      <c r="H114" s="62" t="s">
        <v>62</v>
      </c>
      <c r="I114" s="63">
        <v>6</v>
      </c>
      <c r="J114" s="117" t="s">
        <v>63</v>
      </c>
      <c r="K114" s="230">
        <v>90</v>
      </c>
      <c r="L114" s="33">
        <f t="shared" si="9"/>
        <v>1.5</v>
      </c>
      <c r="M114" s="166" t="s">
        <v>244</v>
      </c>
    </row>
    <row r="115" spans="1:13" ht="18.899999999999999" customHeight="1" x14ac:dyDescent="0.45">
      <c r="A115" s="18">
        <f t="shared" si="8"/>
        <v>102</v>
      </c>
      <c r="B115" s="272"/>
      <c r="C115" s="278"/>
      <c r="D115" s="267"/>
      <c r="E115" s="183" t="s">
        <v>245</v>
      </c>
      <c r="F115" s="99">
        <v>1525</v>
      </c>
      <c r="G115" s="99" t="s">
        <v>125</v>
      </c>
      <c r="H115" s="62" t="s">
        <v>62</v>
      </c>
      <c r="I115" s="99">
        <v>8</v>
      </c>
      <c r="J115" s="39" t="s">
        <v>63</v>
      </c>
      <c r="K115" s="132">
        <v>80</v>
      </c>
      <c r="L115" s="33">
        <f t="shared" si="9"/>
        <v>1.3333333333333333</v>
      </c>
      <c r="M115" s="166"/>
    </row>
    <row r="116" spans="1:13" ht="18.899999999999999" customHeight="1" x14ac:dyDescent="0.45">
      <c r="A116" s="18">
        <f t="shared" si="8"/>
        <v>103</v>
      </c>
      <c r="B116" s="272"/>
      <c r="C116" s="278"/>
      <c r="D116" s="267"/>
      <c r="E116" s="183" t="s">
        <v>246</v>
      </c>
      <c r="F116" s="99">
        <v>1523</v>
      </c>
      <c r="G116" s="99" t="s">
        <v>161</v>
      </c>
      <c r="H116" s="62" t="s">
        <v>62</v>
      </c>
      <c r="I116" s="99">
        <v>6</v>
      </c>
      <c r="J116" s="39" t="s">
        <v>63</v>
      </c>
      <c r="K116" s="132">
        <v>54</v>
      </c>
      <c r="L116" s="33">
        <f t="shared" si="9"/>
        <v>0.9</v>
      </c>
      <c r="M116" s="176"/>
    </row>
    <row r="117" spans="1:13" ht="18.899999999999999" customHeight="1" x14ac:dyDescent="0.45">
      <c r="A117" s="18">
        <f t="shared" si="8"/>
        <v>104</v>
      </c>
      <c r="B117" s="272"/>
      <c r="C117" s="278"/>
      <c r="D117" s="267"/>
      <c r="E117" s="101" t="s">
        <v>247</v>
      </c>
      <c r="F117" s="105">
        <v>1593</v>
      </c>
      <c r="G117" s="99" t="s">
        <v>161</v>
      </c>
      <c r="H117" s="106" t="s">
        <v>236</v>
      </c>
      <c r="I117" s="105">
        <v>5</v>
      </c>
      <c r="J117" s="39" t="s">
        <v>63</v>
      </c>
      <c r="K117" s="116">
        <v>77</v>
      </c>
      <c r="L117" s="33">
        <f t="shared" ref="L117" si="10">K117/60</f>
        <v>1.2833333333333334</v>
      </c>
      <c r="M117" s="176"/>
    </row>
    <row r="118" spans="1:13" ht="18.899999999999999" customHeight="1" x14ac:dyDescent="0.45">
      <c r="A118" s="18">
        <f t="shared" si="8"/>
        <v>105</v>
      </c>
      <c r="B118" s="272"/>
      <c r="C118" s="278"/>
      <c r="D118" s="267"/>
      <c r="E118" s="231" t="s">
        <v>1453</v>
      </c>
      <c r="F118" s="219">
        <v>1674</v>
      </c>
      <c r="G118" s="99" t="s">
        <v>161</v>
      </c>
      <c r="H118" s="117" t="s">
        <v>62</v>
      </c>
      <c r="I118" s="219">
        <v>14</v>
      </c>
      <c r="J118" s="39" t="s">
        <v>63</v>
      </c>
      <c r="K118" s="220">
        <v>133</v>
      </c>
      <c r="L118" s="221">
        <f>K118/60</f>
        <v>2.2166666666666668</v>
      </c>
      <c r="M118" s="166" t="s">
        <v>139</v>
      </c>
    </row>
    <row r="119" spans="1:13" ht="18.899999999999999" customHeight="1" x14ac:dyDescent="0.45">
      <c r="A119" s="18">
        <f t="shared" si="8"/>
        <v>106</v>
      </c>
      <c r="B119" s="272"/>
      <c r="C119" s="244" t="s">
        <v>1500</v>
      </c>
      <c r="D119" s="252" t="s">
        <v>1503</v>
      </c>
      <c r="E119" s="227" t="s">
        <v>1467</v>
      </c>
      <c r="F119" s="219">
        <v>1682</v>
      </c>
      <c r="G119" s="232" t="s">
        <v>1501</v>
      </c>
      <c r="H119" s="228" t="s">
        <v>1469</v>
      </c>
      <c r="I119" s="228" t="s">
        <v>1468</v>
      </c>
      <c r="J119" s="39" t="s">
        <v>63</v>
      </c>
      <c r="K119" s="220">
        <v>15</v>
      </c>
      <c r="L119" s="221">
        <f t="shared" ref="L119:L130" si="11">K119/60</f>
        <v>0.25</v>
      </c>
      <c r="M119" s="166" t="s">
        <v>139</v>
      </c>
    </row>
    <row r="120" spans="1:13" ht="18.899999999999999" customHeight="1" x14ac:dyDescent="0.45">
      <c r="A120" s="18">
        <f t="shared" si="8"/>
        <v>107</v>
      </c>
      <c r="B120" s="272"/>
      <c r="C120" s="283"/>
      <c r="D120" s="264"/>
      <c r="E120" s="227" t="s">
        <v>1470</v>
      </c>
      <c r="F120" s="219">
        <v>1683</v>
      </c>
      <c r="G120" s="232" t="s">
        <v>1501</v>
      </c>
      <c r="H120" s="228" t="s">
        <v>1480</v>
      </c>
      <c r="I120" s="228" t="s">
        <v>1477</v>
      </c>
      <c r="J120" s="39" t="s">
        <v>63</v>
      </c>
      <c r="K120" s="220">
        <v>23</v>
      </c>
      <c r="L120" s="221">
        <f t="shared" si="11"/>
        <v>0.38333333333333336</v>
      </c>
      <c r="M120" s="166" t="s">
        <v>139</v>
      </c>
    </row>
    <row r="121" spans="1:13" ht="18.899999999999999" customHeight="1" x14ac:dyDescent="0.45">
      <c r="A121" s="18">
        <f t="shared" si="8"/>
        <v>108</v>
      </c>
      <c r="B121" s="272"/>
      <c r="C121" s="283"/>
      <c r="D121" s="264"/>
      <c r="E121" s="227" t="s">
        <v>1471</v>
      </c>
      <c r="F121" s="219">
        <v>1684</v>
      </c>
      <c r="G121" s="232" t="s">
        <v>1501</v>
      </c>
      <c r="H121" s="228" t="s">
        <v>1469</v>
      </c>
      <c r="I121" s="228" t="s">
        <v>1478</v>
      </c>
      <c r="J121" s="39" t="s">
        <v>63</v>
      </c>
      <c r="K121" s="220">
        <v>16</v>
      </c>
      <c r="L121" s="221">
        <f t="shared" si="11"/>
        <v>0.26666666666666666</v>
      </c>
      <c r="M121" s="166" t="s">
        <v>139</v>
      </c>
    </row>
    <row r="122" spans="1:13" ht="18.899999999999999" customHeight="1" x14ac:dyDescent="0.45">
      <c r="A122" s="18">
        <f t="shared" si="8"/>
        <v>109</v>
      </c>
      <c r="B122" s="272"/>
      <c r="C122" s="283"/>
      <c r="D122" s="264"/>
      <c r="E122" s="227" t="s">
        <v>1472</v>
      </c>
      <c r="F122" s="219">
        <v>1685</v>
      </c>
      <c r="G122" s="232" t="s">
        <v>1501</v>
      </c>
      <c r="H122" s="228" t="s">
        <v>1469</v>
      </c>
      <c r="I122" s="228" t="s">
        <v>1479</v>
      </c>
      <c r="J122" s="39" t="s">
        <v>63</v>
      </c>
      <c r="K122" s="220">
        <v>10</v>
      </c>
      <c r="L122" s="221">
        <f t="shared" si="11"/>
        <v>0.16666666666666666</v>
      </c>
      <c r="M122" s="166" t="s">
        <v>139</v>
      </c>
    </row>
    <row r="123" spans="1:13" ht="18.899999999999999" customHeight="1" x14ac:dyDescent="0.45">
      <c r="A123" s="18">
        <f t="shared" si="8"/>
        <v>110</v>
      </c>
      <c r="B123" s="272"/>
      <c r="C123" s="283"/>
      <c r="D123" s="264"/>
      <c r="E123" s="227" t="s">
        <v>1473</v>
      </c>
      <c r="F123" s="219">
        <v>1686</v>
      </c>
      <c r="G123" s="232" t="s">
        <v>1501</v>
      </c>
      <c r="H123" s="228" t="s">
        <v>1469</v>
      </c>
      <c r="I123" s="228" t="s">
        <v>1479</v>
      </c>
      <c r="J123" s="39" t="s">
        <v>63</v>
      </c>
      <c r="K123" s="220">
        <v>12</v>
      </c>
      <c r="L123" s="221">
        <f t="shared" si="11"/>
        <v>0.2</v>
      </c>
      <c r="M123" s="166" t="s">
        <v>139</v>
      </c>
    </row>
    <row r="124" spans="1:13" ht="18.899999999999999" customHeight="1" x14ac:dyDescent="0.45">
      <c r="A124" s="18">
        <f t="shared" si="8"/>
        <v>111</v>
      </c>
      <c r="B124" s="272"/>
      <c r="C124" s="283"/>
      <c r="D124" s="264"/>
      <c r="E124" s="227" t="s">
        <v>1474</v>
      </c>
      <c r="F124" s="219">
        <v>1687</v>
      </c>
      <c r="G124" s="232" t="s">
        <v>1501</v>
      </c>
      <c r="H124" s="228" t="s">
        <v>1482</v>
      </c>
      <c r="I124" s="228" t="s">
        <v>1481</v>
      </c>
      <c r="J124" s="39" t="s">
        <v>63</v>
      </c>
      <c r="K124" s="220">
        <v>13</v>
      </c>
      <c r="L124" s="221">
        <f t="shared" si="11"/>
        <v>0.21666666666666667</v>
      </c>
      <c r="M124" s="166" t="s">
        <v>139</v>
      </c>
    </row>
    <row r="125" spans="1:13" ht="18.899999999999999" customHeight="1" x14ac:dyDescent="0.45">
      <c r="A125" s="18">
        <f t="shared" si="8"/>
        <v>112</v>
      </c>
      <c r="B125" s="272"/>
      <c r="C125" s="283"/>
      <c r="D125" s="264"/>
      <c r="E125" s="227" t="s">
        <v>1475</v>
      </c>
      <c r="F125" s="219">
        <v>1688</v>
      </c>
      <c r="G125" s="232" t="s">
        <v>1501</v>
      </c>
      <c r="H125" s="228" t="s">
        <v>1483</v>
      </c>
      <c r="I125" s="228" t="s">
        <v>1479</v>
      </c>
      <c r="J125" s="39" t="s">
        <v>63</v>
      </c>
      <c r="K125" s="220">
        <v>24</v>
      </c>
      <c r="L125" s="221">
        <f t="shared" si="11"/>
        <v>0.4</v>
      </c>
      <c r="M125" s="166" t="s">
        <v>139</v>
      </c>
    </row>
    <row r="126" spans="1:13" ht="18.899999999999999" customHeight="1" x14ac:dyDescent="0.45">
      <c r="A126" s="18">
        <f t="shared" si="8"/>
        <v>113</v>
      </c>
      <c r="B126" s="272"/>
      <c r="C126" s="283"/>
      <c r="D126" s="264"/>
      <c r="E126" s="227" t="s">
        <v>1476</v>
      </c>
      <c r="F126" s="219">
        <v>1689</v>
      </c>
      <c r="G126" s="232" t="s">
        <v>1501</v>
      </c>
      <c r="H126" s="228" t="s">
        <v>1483</v>
      </c>
      <c r="I126" s="228" t="s">
        <v>1479</v>
      </c>
      <c r="J126" s="39" t="s">
        <v>63</v>
      </c>
      <c r="K126" s="220">
        <v>22</v>
      </c>
      <c r="L126" s="221">
        <f t="shared" si="11"/>
        <v>0.36666666666666664</v>
      </c>
      <c r="M126" s="166" t="s">
        <v>139</v>
      </c>
    </row>
    <row r="127" spans="1:13" ht="18.899999999999999" customHeight="1" x14ac:dyDescent="0.45">
      <c r="A127" s="18">
        <f t="shared" si="8"/>
        <v>114</v>
      </c>
      <c r="B127" s="272"/>
      <c r="C127" s="283"/>
      <c r="D127" s="264"/>
      <c r="E127" s="227" t="s">
        <v>1484</v>
      </c>
      <c r="F127" s="219">
        <v>1690</v>
      </c>
      <c r="G127" s="232" t="s">
        <v>1501</v>
      </c>
      <c r="H127" s="228" t="s">
        <v>1485</v>
      </c>
      <c r="I127" s="228" t="s">
        <v>1481</v>
      </c>
      <c r="J127" s="39" t="s">
        <v>63</v>
      </c>
      <c r="K127" s="220">
        <v>31</v>
      </c>
      <c r="L127" s="221">
        <f t="shared" si="11"/>
        <v>0.51666666666666672</v>
      </c>
      <c r="M127" s="166" t="s">
        <v>139</v>
      </c>
    </row>
    <row r="128" spans="1:13" ht="18.899999999999999" customHeight="1" x14ac:dyDescent="0.45">
      <c r="A128" s="18">
        <f t="shared" si="8"/>
        <v>115</v>
      </c>
      <c r="B128" s="272"/>
      <c r="C128" s="283"/>
      <c r="D128" s="264"/>
      <c r="E128" s="227" t="s">
        <v>1490</v>
      </c>
      <c r="F128" s="219">
        <v>1693</v>
      </c>
      <c r="G128" s="232" t="s">
        <v>1502</v>
      </c>
      <c r="H128" s="228" t="s">
        <v>1493</v>
      </c>
      <c r="I128" s="228" t="s">
        <v>1478</v>
      </c>
      <c r="J128" s="39" t="s">
        <v>63</v>
      </c>
      <c r="K128" s="220">
        <v>78</v>
      </c>
      <c r="L128" s="221">
        <f t="shared" si="11"/>
        <v>1.3</v>
      </c>
      <c r="M128" s="166" t="s">
        <v>139</v>
      </c>
    </row>
    <row r="129" spans="1:13" ht="18.899999999999999" customHeight="1" x14ac:dyDescent="0.45">
      <c r="A129" s="18">
        <f t="shared" si="8"/>
        <v>116</v>
      </c>
      <c r="B129" s="272"/>
      <c r="C129" s="283"/>
      <c r="D129" s="264"/>
      <c r="E129" s="227" t="s">
        <v>1491</v>
      </c>
      <c r="F129" s="219">
        <v>1694</v>
      </c>
      <c r="G129" s="232" t="s">
        <v>1502</v>
      </c>
      <c r="H129" s="228" t="s">
        <v>1493</v>
      </c>
      <c r="I129" s="228" t="s">
        <v>1481</v>
      </c>
      <c r="J129" s="39" t="s">
        <v>63</v>
      </c>
      <c r="K129" s="220">
        <v>67</v>
      </c>
      <c r="L129" s="221">
        <f t="shared" si="11"/>
        <v>1.1166666666666667</v>
      </c>
      <c r="M129" s="166" t="s">
        <v>139</v>
      </c>
    </row>
    <row r="130" spans="1:13" ht="18.899999999999999" customHeight="1" x14ac:dyDescent="0.45">
      <c r="A130" s="18">
        <f t="shared" si="8"/>
        <v>117</v>
      </c>
      <c r="B130" s="272"/>
      <c r="C130" s="246"/>
      <c r="D130" s="253"/>
      <c r="E130" s="227" t="s">
        <v>1492</v>
      </c>
      <c r="F130" s="219">
        <v>1695</v>
      </c>
      <c r="G130" s="232" t="s">
        <v>1502</v>
      </c>
      <c r="H130" s="228" t="s">
        <v>1493</v>
      </c>
      <c r="I130" s="228" t="s">
        <v>1468</v>
      </c>
      <c r="J130" s="39" t="s">
        <v>63</v>
      </c>
      <c r="K130" s="220">
        <v>62</v>
      </c>
      <c r="L130" s="221">
        <f t="shared" si="11"/>
        <v>1.0333333333333334</v>
      </c>
      <c r="M130" s="166" t="s">
        <v>139</v>
      </c>
    </row>
    <row r="131" spans="1:13" ht="18.899999999999999" customHeight="1" x14ac:dyDescent="0.45">
      <c r="A131" s="18">
        <f t="shared" si="8"/>
        <v>118</v>
      </c>
      <c r="B131" s="272"/>
      <c r="C131" s="279" t="s">
        <v>248</v>
      </c>
      <c r="D131" s="249" t="s">
        <v>249</v>
      </c>
      <c r="E131" s="72" t="s">
        <v>250</v>
      </c>
      <c r="F131" s="23">
        <v>1183</v>
      </c>
      <c r="G131" s="23" t="s">
        <v>83</v>
      </c>
      <c r="H131" s="22" t="s">
        <v>251</v>
      </c>
      <c r="I131" s="23">
        <v>10</v>
      </c>
      <c r="J131" s="22" t="s">
        <v>63</v>
      </c>
      <c r="K131" s="64">
        <v>86</v>
      </c>
      <c r="L131" s="33">
        <f t="shared" si="9"/>
        <v>1.4333333333333333</v>
      </c>
      <c r="M131" s="65"/>
    </row>
    <row r="132" spans="1:13" ht="18.899999999999999" customHeight="1" x14ac:dyDescent="0.45">
      <c r="A132" s="18">
        <f t="shared" si="8"/>
        <v>119</v>
      </c>
      <c r="B132" s="272"/>
      <c r="C132" s="279"/>
      <c r="D132" s="251"/>
      <c r="E132" s="120" t="s">
        <v>252</v>
      </c>
      <c r="F132" s="121">
        <v>1633</v>
      </c>
      <c r="G132" s="23" t="s">
        <v>83</v>
      </c>
      <c r="H132" s="122" t="s">
        <v>253</v>
      </c>
      <c r="I132" s="121">
        <v>6</v>
      </c>
      <c r="J132" s="19" t="s">
        <v>63</v>
      </c>
      <c r="K132" s="133">
        <v>89</v>
      </c>
      <c r="L132" s="33">
        <f t="shared" si="9"/>
        <v>1.4833333333333334</v>
      </c>
      <c r="M132" s="136" t="s">
        <v>139</v>
      </c>
    </row>
    <row r="133" spans="1:13" ht="18.899999999999999" customHeight="1" x14ac:dyDescent="0.45">
      <c r="A133" s="18">
        <f t="shared" si="8"/>
        <v>120</v>
      </c>
      <c r="B133" s="272"/>
      <c r="C133" s="279"/>
      <c r="D133" s="251"/>
      <c r="E133" s="20" t="s">
        <v>254</v>
      </c>
      <c r="F133" s="22">
        <v>1410</v>
      </c>
      <c r="G133" s="23" t="s">
        <v>83</v>
      </c>
      <c r="H133" s="22" t="s">
        <v>62</v>
      </c>
      <c r="I133" s="23">
        <v>27</v>
      </c>
      <c r="J133" s="22" t="s">
        <v>63</v>
      </c>
      <c r="K133" s="25">
        <v>233</v>
      </c>
      <c r="L133" s="33">
        <f t="shared" si="9"/>
        <v>3.8833333333333333</v>
      </c>
      <c r="M133" s="65"/>
    </row>
    <row r="134" spans="1:13" ht="18.899999999999999" customHeight="1" x14ac:dyDescent="0.45">
      <c r="A134" s="18">
        <f t="shared" si="8"/>
        <v>121</v>
      </c>
      <c r="B134" s="272"/>
      <c r="C134" s="279"/>
      <c r="D134" s="250"/>
      <c r="E134" s="101" t="s">
        <v>255</v>
      </c>
      <c r="F134" s="105">
        <v>1589</v>
      </c>
      <c r="G134" s="105" t="s">
        <v>161</v>
      </c>
      <c r="H134" s="106" t="s">
        <v>251</v>
      </c>
      <c r="I134" s="105">
        <v>6</v>
      </c>
      <c r="J134" s="39" t="s">
        <v>63</v>
      </c>
      <c r="K134" s="116">
        <v>84</v>
      </c>
      <c r="L134" s="33">
        <f t="shared" si="9"/>
        <v>1.4</v>
      </c>
      <c r="M134" s="65"/>
    </row>
    <row r="135" spans="1:13" ht="18.899999999999999" customHeight="1" x14ac:dyDescent="0.45">
      <c r="A135" s="18">
        <f t="shared" ref="A135:A140" si="12">A134+1</f>
        <v>122</v>
      </c>
      <c r="B135" s="272"/>
      <c r="C135" s="286" t="s">
        <v>256</v>
      </c>
      <c r="D135" s="268" t="s">
        <v>257</v>
      </c>
      <c r="E135" s="104" t="s">
        <v>258</v>
      </c>
      <c r="F135" s="105">
        <v>1592</v>
      </c>
      <c r="G135" s="105" t="s">
        <v>125</v>
      </c>
      <c r="H135" s="106" t="s">
        <v>259</v>
      </c>
      <c r="I135" s="105">
        <v>9</v>
      </c>
      <c r="J135" s="39" t="s">
        <v>63</v>
      </c>
      <c r="K135" s="116">
        <v>111</v>
      </c>
      <c r="L135" s="33">
        <f t="shared" si="9"/>
        <v>1.85</v>
      </c>
      <c r="M135" s="136" t="s">
        <v>238</v>
      </c>
    </row>
    <row r="136" spans="1:13" ht="18.899999999999999" customHeight="1" x14ac:dyDescent="0.45">
      <c r="A136" s="18">
        <f t="shared" si="12"/>
        <v>123</v>
      </c>
      <c r="B136" s="272"/>
      <c r="C136" s="286"/>
      <c r="D136" s="269"/>
      <c r="E136" s="104" t="s">
        <v>260</v>
      </c>
      <c r="F136" s="105">
        <v>1591</v>
      </c>
      <c r="G136" s="105" t="s">
        <v>161</v>
      </c>
      <c r="H136" s="106" t="s">
        <v>259</v>
      </c>
      <c r="I136" s="105">
        <v>10</v>
      </c>
      <c r="J136" s="39" t="s">
        <v>63</v>
      </c>
      <c r="K136" s="116">
        <v>149</v>
      </c>
      <c r="L136" s="33">
        <f t="shared" si="9"/>
        <v>2.4833333333333334</v>
      </c>
      <c r="M136" s="136" t="s">
        <v>238</v>
      </c>
    </row>
    <row r="137" spans="1:13" ht="18.899999999999999" customHeight="1" x14ac:dyDescent="0.45">
      <c r="A137" s="18">
        <f t="shared" si="12"/>
        <v>124</v>
      </c>
      <c r="B137" s="272"/>
      <c r="C137" s="286"/>
      <c r="D137" s="269"/>
      <c r="E137" s="20" t="s">
        <v>261</v>
      </c>
      <c r="F137" s="58">
        <v>1335</v>
      </c>
      <c r="G137" s="58" t="s">
        <v>83</v>
      </c>
      <c r="H137" s="22" t="s">
        <v>262</v>
      </c>
      <c r="I137" s="23">
        <v>8</v>
      </c>
      <c r="J137" s="24" t="s">
        <v>63</v>
      </c>
      <c r="K137" s="25">
        <v>110</v>
      </c>
      <c r="L137" s="33">
        <f t="shared" si="9"/>
        <v>1.8333333333333333</v>
      </c>
      <c r="M137" s="136" t="s">
        <v>139</v>
      </c>
    </row>
    <row r="138" spans="1:13" ht="18.899999999999999" customHeight="1" x14ac:dyDescent="0.45">
      <c r="A138" s="18">
        <f t="shared" si="12"/>
        <v>125</v>
      </c>
      <c r="B138" s="272"/>
      <c r="C138" s="286"/>
      <c r="D138" s="269"/>
      <c r="E138" s="20" t="s">
        <v>263</v>
      </c>
      <c r="F138" s="19">
        <v>1119</v>
      </c>
      <c r="G138" s="19" t="s">
        <v>125</v>
      </c>
      <c r="H138" s="22" t="s">
        <v>62</v>
      </c>
      <c r="I138" s="23">
        <v>1</v>
      </c>
      <c r="J138" s="22" t="s">
        <v>63</v>
      </c>
      <c r="K138" s="64">
        <v>57</v>
      </c>
      <c r="L138" s="33">
        <f t="shared" si="9"/>
        <v>0.95</v>
      </c>
      <c r="M138" s="136" t="s">
        <v>238</v>
      </c>
    </row>
    <row r="139" spans="1:13" ht="18.899999999999999" customHeight="1" x14ac:dyDescent="0.45">
      <c r="A139" s="18">
        <f t="shared" si="12"/>
        <v>126</v>
      </c>
      <c r="B139" s="272"/>
      <c r="C139" s="286"/>
      <c r="D139" s="269"/>
      <c r="E139" s="49" t="s">
        <v>264</v>
      </c>
      <c r="F139" s="119">
        <v>1512</v>
      </c>
      <c r="G139" s="58" t="s">
        <v>83</v>
      </c>
      <c r="H139" s="62" t="s">
        <v>265</v>
      </c>
      <c r="I139" s="119">
        <v>14</v>
      </c>
      <c r="J139" s="62" t="s">
        <v>63</v>
      </c>
      <c r="K139" s="132">
        <v>95</v>
      </c>
      <c r="L139" s="33">
        <f t="shared" si="9"/>
        <v>1.5833333333333333</v>
      </c>
      <c r="M139" s="111" t="s">
        <v>139</v>
      </c>
    </row>
    <row r="140" spans="1:13" ht="18.899999999999999" customHeight="1" x14ac:dyDescent="0.45">
      <c r="A140" s="18">
        <f t="shared" si="12"/>
        <v>127</v>
      </c>
      <c r="B140" s="272"/>
      <c r="C140" s="286"/>
      <c r="D140" s="269"/>
      <c r="E140" s="104" t="s">
        <v>266</v>
      </c>
      <c r="F140" s="105">
        <v>1547</v>
      </c>
      <c r="G140" s="105" t="s">
        <v>125</v>
      </c>
      <c r="H140" s="106" t="s">
        <v>267</v>
      </c>
      <c r="I140" s="105">
        <v>7</v>
      </c>
      <c r="J140" s="99" t="s">
        <v>63</v>
      </c>
      <c r="K140" s="116">
        <v>71</v>
      </c>
      <c r="L140" s="33">
        <f t="shared" si="9"/>
        <v>1.1833333333333333</v>
      </c>
      <c r="M140" s="166"/>
    </row>
    <row r="141" spans="1:13" ht="18.899999999999999" customHeight="1" x14ac:dyDescent="0.45">
      <c r="A141" s="18">
        <f t="shared" ref="A141:A145" si="13">A140+1</f>
        <v>128</v>
      </c>
      <c r="B141" s="272"/>
      <c r="C141" s="286"/>
      <c r="D141" s="270"/>
      <c r="E141" s="104" t="s">
        <v>268</v>
      </c>
      <c r="F141" s="105">
        <v>1549</v>
      </c>
      <c r="G141" s="105" t="s">
        <v>125</v>
      </c>
      <c r="H141" s="106" t="s">
        <v>267</v>
      </c>
      <c r="I141" s="105">
        <v>6</v>
      </c>
      <c r="J141" s="99" t="s">
        <v>63</v>
      </c>
      <c r="K141" s="116">
        <v>73</v>
      </c>
      <c r="L141" s="33">
        <f t="shared" si="9"/>
        <v>1.2166666666666666</v>
      </c>
      <c r="M141" s="159"/>
    </row>
    <row r="142" spans="1:13" ht="18.899999999999999" customHeight="1" x14ac:dyDescent="0.45">
      <c r="A142" s="18">
        <f t="shared" si="13"/>
        <v>129</v>
      </c>
      <c r="B142" s="279" t="s">
        <v>269</v>
      </c>
      <c r="C142" s="287" t="s">
        <v>269</v>
      </c>
      <c r="D142" s="237" t="s">
        <v>270</v>
      </c>
      <c r="E142" s="97" t="s">
        <v>271</v>
      </c>
      <c r="F142" s="219">
        <v>1673</v>
      </c>
      <c r="G142" s="105" t="s">
        <v>161</v>
      </c>
      <c r="H142" s="117" t="s">
        <v>62</v>
      </c>
      <c r="I142" s="219">
        <v>7</v>
      </c>
      <c r="J142" s="39" t="s">
        <v>63</v>
      </c>
      <c r="K142" s="220">
        <v>60</v>
      </c>
      <c r="L142" s="221">
        <f t="shared" si="9"/>
        <v>1</v>
      </c>
      <c r="M142" s="159"/>
    </row>
    <row r="143" spans="1:13" ht="18.899999999999999" customHeight="1" x14ac:dyDescent="0.45">
      <c r="A143" s="18">
        <f t="shared" si="13"/>
        <v>130</v>
      </c>
      <c r="B143" s="279"/>
      <c r="C143" s="288"/>
      <c r="D143" s="237"/>
      <c r="E143" s="101" t="s">
        <v>272</v>
      </c>
      <c r="F143" s="105">
        <v>1552</v>
      </c>
      <c r="G143" s="105" t="s">
        <v>83</v>
      </c>
      <c r="H143" s="106" t="s">
        <v>62</v>
      </c>
      <c r="I143" s="105">
        <v>8</v>
      </c>
      <c r="J143" s="99" t="s">
        <v>63</v>
      </c>
      <c r="K143" s="116">
        <v>82</v>
      </c>
      <c r="L143" s="33">
        <f>K143/60</f>
        <v>1.3666666666666667</v>
      </c>
      <c r="M143" s="66"/>
    </row>
    <row r="144" spans="1:13" ht="18.899999999999999" customHeight="1" x14ac:dyDescent="0.45">
      <c r="A144" s="18">
        <f t="shared" si="13"/>
        <v>131</v>
      </c>
      <c r="B144" s="279"/>
      <c r="C144" s="288"/>
      <c r="D144" s="237"/>
      <c r="E144" s="101" t="s">
        <v>273</v>
      </c>
      <c r="F144" s="105">
        <v>1555</v>
      </c>
      <c r="G144" s="105" t="s">
        <v>125</v>
      </c>
      <c r="H144" s="106" t="s">
        <v>62</v>
      </c>
      <c r="I144" s="105">
        <v>9</v>
      </c>
      <c r="J144" s="75" t="s">
        <v>63</v>
      </c>
      <c r="K144" s="116">
        <v>89</v>
      </c>
      <c r="L144" s="33">
        <f>K144/60</f>
        <v>1.4833333333333334</v>
      </c>
      <c r="M144" s="66"/>
    </row>
    <row r="145" spans="1:13" ht="18.899999999999999" customHeight="1" x14ac:dyDescent="0.45">
      <c r="A145" s="18">
        <f t="shared" si="13"/>
        <v>132</v>
      </c>
      <c r="B145" s="279"/>
      <c r="C145" s="288"/>
      <c r="D145" s="237"/>
      <c r="E145" s="94" t="s">
        <v>274</v>
      </c>
      <c r="F145" s="95">
        <v>1565</v>
      </c>
      <c r="G145" s="167" t="s">
        <v>83</v>
      </c>
      <c r="H145" s="126" t="s">
        <v>275</v>
      </c>
      <c r="I145" s="95">
        <v>9</v>
      </c>
      <c r="J145" s="24" t="s">
        <v>63</v>
      </c>
      <c r="K145" s="110">
        <v>112</v>
      </c>
      <c r="L145" s="33">
        <f>K145/60</f>
        <v>1.8666666666666667</v>
      </c>
      <c r="M145" s="66"/>
    </row>
    <row r="146" spans="1:13" ht="18.899999999999999" customHeight="1" x14ac:dyDescent="0.45">
      <c r="A146" s="310" t="s">
        <v>278</v>
      </c>
      <c r="B146" s="275"/>
      <c r="C146" s="275"/>
      <c r="D146" s="276"/>
      <c r="E146" s="275"/>
      <c r="F146" s="275"/>
      <c r="G146" s="275"/>
      <c r="H146" s="275"/>
      <c r="I146" s="275"/>
      <c r="J146" s="275"/>
      <c r="K146" s="275"/>
      <c r="L146" s="275"/>
      <c r="M146" s="311"/>
    </row>
    <row r="147" spans="1:13" ht="18.899999999999999" customHeight="1" x14ac:dyDescent="0.45">
      <c r="A147" s="171">
        <f>A145+1</f>
        <v>133</v>
      </c>
      <c r="B147" s="279" t="s">
        <v>13</v>
      </c>
      <c r="C147" s="271" t="s">
        <v>279</v>
      </c>
      <c r="D147" s="255" t="s">
        <v>280</v>
      </c>
      <c r="E147" s="20" t="s">
        <v>281</v>
      </c>
      <c r="F147" s="19">
        <v>1136</v>
      </c>
      <c r="G147" s="19" t="s">
        <v>161</v>
      </c>
      <c r="H147" s="22" t="s">
        <v>282</v>
      </c>
      <c r="I147" s="23">
        <v>1</v>
      </c>
      <c r="J147" s="22" t="s">
        <v>63</v>
      </c>
      <c r="K147" s="64">
        <v>81</v>
      </c>
      <c r="L147" s="65">
        <f>K147/60</f>
        <v>1.35</v>
      </c>
      <c r="M147" s="158"/>
    </row>
    <row r="148" spans="1:13" ht="18.899999999999999" customHeight="1" x14ac:dyDescent="0.45">
      <c r="A148" s="171">
        <f t="shared" ref="A148:A156" si="14">A147+1</f>
        <v>134</v>
      </c>
      <c r="B148" s="279"/>
      <c r="C148" s="272"/>
      <c r="D148" s="264"/>
      <c r="E148" s="20" t="s">
        <v>283</v>
      </c>
      <c r="F148" s="58">
        <v>1338</v>
      </c>
      <c r="G148" s="19" t="s">
        <v>161</v>
      </c>
      <c r="H148" s="22" t="s">
        <v>284</v>
      </c>
      <c r="I148" s="23">
        <v>9</v>
      </c>
      <c r="J148" s="22" t="s">
        <v>63</v>
      </c>
      <c r="K148" s="64">
        <v>197</v>
      </c>
      <c r="L148" s="65">
        <f t="shared" ref="L148:L156" si="15">K148/60</f>
        <v>3.2833333333333332</v>
      </c>
      <c r="M148" s="158"/>
    </row>
    <row r="149" spans="1:13" ht="18.899999999999999" customHeight="1" x14ac:dyDescent="0.45">
      <c r="A149" s="171">
        <f t="shared" si="14"/>
        <v>135</v>
      </c>
      <c r="B149" s="279"/>
      <c r="C149" s="272"/>
      <c r="D149" s="264"/>
      <c r="E149" s="20" t="s">
        <v>285</v>
      </c>
      <c r="F149" s="58">
        <v>1339</v>
      </c>
      <c r="G149" s="19" t="s">
        <v>161</v>
      </c>
      <c r="H149" s="22" t="s">
        <v>284</v>
      </c>
      <c r="I149" s="23">
        <v>11</v>
      </c>
      <c r="J149" s="22" t="s">
        <v>63</v>
      </c>
      <c r="K149" s="64">
        <v>207</v>
      </c>
      <c r="L149" s="65">
        <f t="shared" si="15"/>
        <v>3.45</v>
      </c>
      <c r="M149" s="177"/>
    </row>
    <row r="150" spans="1:13" ht="18.899999999999999" customHeight="1" x14ac:dyDescent="0.45">
      <c r="A150" s="171">
        <f t="shared" si="14"/>
        <v>136</v>
      </c>
      <c r="B150" s="279"/>
      <c r="C150" s="272"/>
      <c r="D150" s="264"/>
      <c r="E150" s="172" t="s">
        <v>286</v>
      </c>
      <c r="F150" s="162">
        <v>1610</v>
      </c>
      <c r="G150" s="19" t="s">
        <v>161</v>
      </c>
      <c r="H150" s="44" t="s">
        <v>136</v>
      </c>
      <c r="I150" s="162">
        <v>7</v>
      </c>
      <c r="J150" s="19" t="s">
        <v>63</v>
      </c>
      <c r="K150" s="133">
        <v>77</v>
      </c>
      <c r="L150" s="65">
        <f t="shared" si="15"/>
        <v>1.2833333333333334</v>
      </c>
      <c r="M150" s="111" t="s">
        <v>139</v>
      </c>
    </row>
    <row r="151" spans="1:13" ht="18.899999999999999" customHeight="1" x14ac:dyDescent="0.45">
      <c r="A151" s="171">
        <f t="shared" si="14"/>
        <v>137</v>
      </c>
      <c r="B151" s="279"/>
      <c r="C151" s="272"/>
      <c r="D151" s="264"/>
      <c r="E151" s="97" t="s">
        <v>287</v>
      </c>
      <c r="F151" s="113">
        <v>1621</v>
      </c>
      <c r="G151" s="98" t="s">
        <v>83</v>
      </c>
      <c r="H151" s="173" t="s">
        <v>288</v>
      </c>
      <c r="I151" s="113">
        <v>9</v>
      </c>
      <c r="J151" s="39" t="s">
        <v>63</v>
      </c>
      <c r="K151" s="116">
        <v>73</v>
      </c>
      <c r="L151" s="65">
        <f t="shared" si="15"/>
        <v>1.2166666666666666</v>
      </c>
      <c r="M151" s="159" t="s">
        <v>139</v>
      </c>
    </row>
    <row r="152" spans="1:13" ht="18.899999999999999" customHeight="1" x14ac:dyDescent="0.45">
      <c r="A152" s="171">
        <f t="shared" si="14"/>
        <v>138</v>
      </c>
      <c r="B152" s="279"/>
      <c r="C152" s="272"/>
      <c r="D152" s="264"/>
      <c r="E152" s="97" t="s">
        <v>289</v>
      </c>
      <c r="F152" s="113">
        <v>1623</v>
      </c>
      <c r="G152" s="98" t="s">
        <v>125</v>
      </c>
      <c r="H152" s="174" t="s">
        <v>171</v>
      </c>
      <c r="I152" s="113">
        <v>5</v>
      </c>
      <c r="J152" s="39" t="s">
        <v>63</v>
      </c>
      <c r="K152" s="116">
        <v>39</v>
      </c>
      <c r="L152" s="65">
        <f t="shared" si="15"/>
        <v>0.65</v>
      </c>
      <c r="M152" s="159" t="s">
        <v>139</v>
      </c>
    </row>
    <row r="153" spans="1:13" ht="18.899999999999999" customHeight="1" x14ac:dyDescent="0.45">
      <c r="A153" s="171">
        <f t="shared" si="14"/>
        <v>139</v>
      </c>
      <c r="B153" s="279"/>
      <c r="C153" s="272"/>
      <c r="D153" s="264"/>
      <c r="E153" s="97" t="s">
        <v>290</v>
      </c>
      <c r="F153" s="113">
        <v>1622</v>
      </c>
      <c r="G153" s="98" t="s">
        <v>125</v>
      </c>
      <c r="H153" s="173" t="s">
        <v>291</v>
      </c>
      <c r="I153" s="113">
        <v>6</v>
      </c>
      <c r="J153" s="39" t="s">
        <v>63</v>
      </c>
      <c r="K153" s="116">
        <v>49</v>
      </c>
      <c r="L153" s="65">
        <f t="shared" si="15"/>
        <v>0.81666666666666665</v>
      </c>
      <c r="M153" s="159" t="s">
        <v>139</v>
      </c>
    </row>
    <row r="154" spans="1:13" ht="18.899999999999999" customHeight="1" x14ac:dyDescent="0.45">
      <c r="A154" s="171">
        <f t="shared" si="14"/>
        <v>140</v>
      </c>
      <c r="B154" s="279"/>
      <c r="C154" s="271" t="s">
        <v>292</v>
      </c>
      <c r="D154" s="255" t="s">
        <v>293</v>
      </c>
      <c r="E154" s="49" t="s">
        <v>294</v>
      </c>
      <c r="F154" s="99">
        <v>708</v>
      </c>
      <c r="G154" s="19" t="s">
        <v>161</v>
      </c>
      <c r="H154" s="175" t="s">
        <v>295</v>
      </c>
      <c r="I154" s="99">
        <v>6</v>
      </c>
      <c r="J154" s="39" t="s">
        <v>63</v>
      </c>
      <c r="K154" s="67">
        <v>78</v>
      </c>
      <c r="L154" s="65">
        <f t="shared" si="15"/>
        <v>1.3</v>
      </c>
      <c r="M154" s="178"/>
    </row>
    <row r="155" spans="1:13" ht="18.899999999999999" customHeight="1" x14ac:dyDescent="0.45">
      <c r="A155" s="171">
        <f t="shared" si="14"/>
        <v>141</v>
      </c>
      <c r="B155" s="279"/>
      <c r="C155" s="272"/>
      <c r="D155" s="264"/>
      <c r="E155" s="20" t="s">
        <v>296</v>
      </c>
      <c r="F155" s="23">
        <v>1247</v>
      </c>
      <c r="G155" s="19" t="s">
        <v>161</v>
      </c>
      <c r="H155" s="22" t="s">
        <v>295</v>
      </c>
      <c r="I155" s="23">
        <v>5</v>
      </c>
      <c r="J155" s="24" t="s">
        <v>63</v>
      </c>
      <c r="K155" s="25">
        <v>142</v>
      </c>
      <c r="L155" s="65">
        <f t="shared" si="15"/>
        <v>2.3666666666666667</v>
      </c>
      <c r="M155" s="177"/>
    </row>
    <row r="156" spans="1:13" ht="18.899999999999999" customHeight="1" x14ac:dyDescent="0.45">
      <c r="A156" s="171">
        <f t="shared" si="14"/>
        <v>142</v>
      </c>
      <c r="B156" s="279"/>
      <c r="C156" s="272"/>
      <c r="D156" s="264"/>
      <c r="E156" s="20" t="s">
        <v>297</v>
      </c>
      <c r="F156" s="19">
        <v>1137</v>
      </c>
      <c r="G156" s="19" t="s">
        <v>161</v>
      </c>
      <c r="H156" s="22" t="s">
        <v>282</v>
      </c>
      <c r="I156" s="23">
        <v>1</v>
      </c>
      <c r="J156" s="22" t="s">
        <v>63</v>
      </c>
      <c r="K156" s="64">
        <v>64</v>
      </c>
      <c r="L156" s="65">
        <f t="shared" si="15"/>
        <v>1.0666666666666667</v>
      </c>
      <c r="M156" s="177"/>
    </row>
    <row r="157" spans="1:13" ht="18.899999999999999" customHeight="1" x14ac:dyDescent="0.45">
      <c r="A157" s="310" t="s">
        <v>298</v>
      </c>
      <c r="B157" s="275"/>
      <c r="C157" s="275"/>
      <c r="D157" s="276"/>
      <c r="E157" s="275"/>
      <c r="F157" s="275"/>
      <c r="G157" s="275"/>
      <c r="H157" s="275"/>
      <c r="I157" s="275"/>
      <c r="J157" s="275"/>
      <c r="K157" s="275"/>
      <c r="L157" s="275"/>
      <c r="M157" s="311"/>
    </row>
    <row r="158" spans="1:13" ht="18.899999999999999" customHeight="1" x14ac:dyDescent="0.45">
      <c r="A158" s="171">
        <f>A156+1</f>
        <v>143</v>
      </c>
      <c r="B158" s="271" t="s">
        <v>299</v>
      </c>
      <c r="C158" s="271" t="s">
        <v>300</v>
      </c>
      <c r="D158" s="249" t="s">
        <v>301</v>
      </c>
      <c r="E158" s="20" t="s">
        <v>302</v>
      </c>
      <c r="F158" s="58">
        <v>1377</v>
      </c>
      <c r="G158" s="58" t="s">
        <v>83</v>
      </c>
      <c r="H158" s="22" t="s">
        <v>284</v>
      </c>
      <c r="I158" s="23">
        <v>8</v>
      </c>
      <c r="J158" s="24" t="s">
        <v>63</v>
      </c>
      <c r="K158" s="25">
        <v>128</v>
      </c>
      <c r="L158" s="33">
        <f t="shared" ref="L158:L164" si="16">K158/60</f>
        <v>2.1333333333333333</v>
      </c>
      <c r="M158" s="156"/>
    </row>
    <row r="159" spans="1:13" ht="18.899999999999999" customHeight="1" x14ac:dyDescent="0.45">
      <c r="A159" s="171">
        <f t="shared" ref="A159:A166" si="17">A158+1</f>
        <v>144</v>
      </c>
      <c r="B159" s="272"/>
      <c r="C159" s="272"/>
      <c r="D159" s="251"/>
      <c r="E159" s="20" t="s">
        <v>303</v>
      </c>
      <c r="F159" s="58">
        <v>1379</v>
      </c>
      <c r="G159" s="58" t="s">
        <v>83</v>
      </c>
      <c r="H159" s="22" t="s">
        <v>284</v>
      </c>
      <c r="I159" s="23">
        <v>8</v>
      </c>
      <c r="J159" s="24" t="s">
        <v>63</v>
      </c>
      <c r="K159" s="25">
        <v>155</v>
      </c>
      <c r="L159" s="33">
        <f t="shared" si="16"/>
        <v>2.5833333333333335</v>
      </c>
      <c r="M159" s="156"/>
    </row>
    <row r="160" spans="1:13" ht="18.899999999999999" customHeight="1" x14ac:dyDescent="0.45">
      <c r="A160" s="171">
        <f t="shared" si="17"/>
        <v>145</v>
      </c>
      <c r="B160" s="272"/>
      <c r="C160" s="273"/>
      <c r="D160" s="250"/>
      <c r="E160" s="20" t="s">
        <v>304</v>
      </c>
      <c r="F160" s="58">
        <v>1259</v>
      </c>
      <c r="G160" s="58" t="s">
        <v>83</v>
      </c>
      <c r="H160" s="22" t="s">
        <v>251</v>
      </c>
      <c r="I160" s="23">
        <v>10</v>
      </c>
      <c r="J160" s="24" t="s">
        <v>63</v>
      </c>
      <c r="K160" s="25">
        <v>153</v>
      </c>
      <c r="L160" s="33">
        <f t="shared" si="16"/>
        <v>2.5499999999999998</v>
      </c>
      <c r="M160" s="156"/>
    </row>
    <row r="161" spans="1:13" ht="18.899999999999999" customHeight="1" x14ac:dyDescent="0.45">
      <c r="A161" s="171">
        <f t="shared" si="17"/>
        <v>146</v>
      </c>
      <c r="B161" s="272"/>
      <c r="C161" s="271" t="s">
        <v>305</v>
      </c>
      <c r="D161" s="249" t="s">
        <v>306</v>
      </c>
      <c r="E161" s="97" t="s">
        <v>307</v>
      </c>
      <c r="F161" s="219">
        <v>1659</v>
      </c>
      <c r="G161" s="119" t="s">
        <v>83</v>
      </c>
      <c r="H161" s="117" t="s">
        <v>275</v>
      </c>
      <c r="I161" s="219">
        <v>6</v>
      </c>
      <c r="J161" s="39" t="s">
        <v>63</v>
      </c>
      <c r="K161" s="220">
        <v>58</v>
      </c>
      <c r="L161" s="221">
        <f t="shared" si="16"/>
        <v>0.96666666666666667</v>
      </c>
      <c r="M161" s="222"/>
    </row>
    <row r="162" spans="1:13" ht="18.899999999999999" customHeight="1" x14ac:dyDescent="0.45">
      <c r="A162" s="171">
        <f t="shared" si="17"/>
        <v>147</v>
      </c>
      <c r="B162" s="272"/>
      <c r="C162" s="272"/>
      <c r="D162" s="251"/>
      <c r="E162" s="97" t="s">
        <v>308</v>
      </c>
      <c r="F162" s="219">
        <v>1667</v>
      </c>
      <c r="G162" s="119" t="s">
        <v>83</v>
      </c>
      <c r="H162" s="117" t="s">
        <v>275</v>
      </c>
      <c r="I162" s="219">
        <v>7</v>
      </c>
      <c r="J162" s="39" t="s">
        <v>63</v>
      </c>
      <c r="K162" s="220">
        <v>75</v>
      </c>
      <c r="L162" s="221">
        <f t="shared" si="16"/>
        <v>1.25</v>
      </c>
      <c r="M162" s="222"/>
    </row>
    <row r="163" spans="1:13" ht="18.899999999999999" customHeight="1" x14ac:dyDescent="0.45">
      <c r="A163" s="171">
        <f t="shared" si="17"/>
        <v>148</v>
      </c>
      <c r="B163" s="272"/>
      <c r="C163" s="272"/>
      <c r="D163" s="251"/>
      <c r="E163" s="97" t="s">
        <v>309</v>
      </c>
      <c r="F163" s="219">
        <v>1663</v>
      </c>
      <c r="G163" s="119" t="s">
        <v>83</v>
      </c>
      <c r="H163" s="117" t="s">
        <v>171</v>
      </c>
      <c r="I163" s="219">
        <v>6</v>
      </c>
      <c r="J163" s="39" t="s">
        <v>63</v>
      </c>
      <c r="K163" s="220">
        <v>58</v>
      </c>
      <c r="L163" s="221">
        <f t="shared" si="16"/>
        <v>0.96666666666666667</v>
      </c>
      <c r="M163" s="222"/>
    </row>
    <row r="164" spans="1:13" ht="18.899999999999999" customHeight="1" x14ac:dyDescent="0.45">
      <c r="A164" s="171">
        <f t="shared" si="17"/>
        <v>149</v>
      </c>
      <c r="B164" s="272"/>
      <c r="C164" s="272"/>
      <c r="D164" s="251"/>
      <c r="E164" s="97" t="s">
        <v>310</v>
      </c>
      <c r="F164" s="219">
        <v>1672</v>
      </c>
      <c r="G164" s="119" t="s">
        <v>83</v>
      </c>
      <c r="H164" s="117" t="s">
        <v>275</v>
      </c>
      <c r="I164" s="219">
        <v>8</v>
      </c>
      <c r="J164" s="39" t="s">
        <v>63</v>
      </c>
      <c r="K164" s="220">
        <v>68</v>
      </c>
      <c r="L164" s="221">
        <f t="shared" si="16"/>
        <v>1.1333333333333333</v>
      </c>
      <c r="M164" s="222"/>
    </row>
    <row r="165" spans="1:13" ht="18.899999999999999" customHeight="1" x14ac:dyDescent="0.45">
      <c r="A165" s="171">
        <f t="shared" si="17"/>
        <v>150</v>
      </c>
      <c r="B165" s="272"/>
      <c r="C165" s="272"/>
      <c r="D165" s="251"/>
      <c r="E165" s="20" t="s">
        <v>311</v>
      </c>
      <c r="F165" s="58">
        <v>1636</v>
      </c>
      <c r="G165" s="58" t="s">
        <v>83</v>
      </c>
      <c r="H165" s="22" t="s">
        <v>251</v>
      </c>
      <c r="I165" s="23">
        <v>9</v>
      </c>
      <c r="J165" s="24" t="s">
        <v>63</v>
      </c>
      <c r="K165" s="25">
        <v>81</v>
      </c>
      <c r="L165" s="33">
        <f>K165/60</f>
        <v>1.35</v>
      </c>
      <c r="M165" s="156"/>
    </row>
    <row r="166" spans="1:13" ht="18.899999999999999" customHeight="1" x14ac:dyDescent="0.45">
      <c r="A166" s="171">
        <f t="shared" si="17"/>
        <v>151</v>
      </c>
      <c r="B166" s="272"/>
      <c r="C166" s="272"/>
      <c r="D166" s="251"/>
      <c r="E166" s="20" t="s">
        <v>312</v>
      </c>
      <c r="F166" s="58">
        <v>1643</v>
      </c>
      <c r="G166" s="58" t="s">
        <v>83</v>
      </c>
      <c r="H166" s="22" t="s">
        <v>313</v>
      </c>
      <c r="I166" s="23">
        <v>6</v>
      </c>
      <c r="J166" s="24" t="s">
        <v>63</v>
      </c>
      <c r="K166" s="25">
        <v>62</v>
      </c>
      <c r="L166" s="33">
        <f t="shared" ref="L166:L211" si="18">K166/60</f>
        <v>1.0333333333333334</v>
      </c>
      <c r="M166" s="156"/>
    </row>
    <row r="167" spans="1:13" ht="18.899999999999999" customHeight="1" x14ac:dyDescent="0.45">
      <c r="A167" s="171">
        <f t="shared" ref="A167:A184" si="19">A166+1</f>
        <v>152</v>
      </c>
      <c r="B167" s="272"/>
      <c r="C167" s="272"/>
      <c r="D167" s="251"/>
      <c r="E167" s="20" t="s">
        <v>314</v>
      </c>
      <c r="F167" s="58">
        <v>1638</v>
      </c>
      <c r="G167" s="58" t="s">
        <v>83</v>
      </c>
      <c r="H167" s="22" t="s">
        <v>313</v>
      </c>
      <c r="I167" s="23">
        <v>7</v>
      </c>
      <c r="J167" s="24" t="s">
        <v>63</v>
      </c>
      <c r="K167" s="25">
        <v>64</v>
      </c>
      <c r="L167" s="33">
        <f t="shared" si="18"/>
        <v>1.0666666666666667</v>
      </c>
      <c r="M167" s="156"/>
    </row>
    <row r="168" spans="1:13" ht="18.899999999999999" customHeight="1" x14ac:dyDescent="0.45">
      <c r="A168" s="171">
        <f t="shared" si="19"/>
        <v>153</v>
      </c>
      <c r="B168" s="272"/>
      <c r="C168" s="272"/>
      <c r="D168" s="251"/>
      <c r="E168" s="66" t="s">
        <v>315</v>
      </c>
      <c r="F168" s="26">
        <v>999</v>
      </c>
      <c r="G168" s="58" t="s">
        <v>83</v>
      </c>
      <c r="H168" s="26" t="s">
        <v>171</v>
      </c>
      <c r="I168" s="141">
        <v>4</v>
      </c>
      <c r="J168" s="138" t="s">
        <v>63</v>
      </c>
      <c r="K168" s="179">
        <v>58</v>
      </c>
      <c r="L168" s="33">
        <f t="shared" si="18"/>
        <v>0.96666666666666667</v>
      </c>
      <c r="M168" s="156"/>
    </row>
    <row r="169" spans="1:13" ht="18.899999999999999" customHeight="1" x14ac:dyDescent="0.45">
      <c r="A169" s="171">
        <f t="shared" si="19"/>
        <v>154</v>
      </c>
      <c r="B169" s="272"/>
      <c r="C169" s="272"/>
      <c r="D169" s="251"/>
      <c r="E169" s="66" t="s">
        <v>316</v>
      </c>
      <c r="F169" s="26">
        <v>1003</v>
      </c>
      <c r="G169" s="58" t="s">
        <v>83</v>
      </c>
      <c r="H169" s="26" t="s">
        <v>171</v>
      </c>
      <c r="I169" s="141">
        <v>5</v>
      </c>
      <c r="J169" s="138" t="s">
        <v>63</v>
      </c>
      <c r="K169" s="179">
        <v>54</v>
      </c>
      <c r="L169" s="33">
        <f t="shared" si="18"/>
        <v>0.9</v>
      </c>
      <c r="M169" s="156"/>
    </row>
    <row r="170" spans="1:13" ht="18.899999999999999" customHeight="1" x14ac:dyDescent="0.45">
      <c r="A170" s="171">
        <f t="shared" si="19"/>
        <v>155</v>
      </c>
      <c r="B170" s="272"/>
      <c r="C170" s="272"/>
      <c r="D170" s="251"/>
      <c r="E170" s="66" t="s">
        <v>317</v>
      </c>
      <c r="F170" s="26">
        <v>1000</v>
      </c>
      <c r="G170" s="58" t="s">
        <v>83</v>
      </c>
      <c r="H170" s="26" t="s">
        <v>171</v>
      </c>
      <c r="I170" s="141">
        <v>5</v>
      </c>
      <c r="J170" s="138" t="s">
        <v>63</v>
      </c>
      <c r="K170" s="179">
        <v>61</v>
      </c>
      <c r="L170" s="33">
        <f t="shared" si="18"/>
        <v>1.0166666666666666</v>
      </c>
      <c r="M170" s="156"/>
    </row>
    <row r="171" spans="1:13" ht="18.899999999999999" customHeight="1" x14ac:dyDescent="0.45">
      <c r="A171" s="171">
        <f t="shared" si="19"/>
        <v>156</v>
      </c>
      <c r="B171" s="272"/>
      <c r="C171" s="272"/>
      <c r="D171" s="251"/>
      <c r="E171" s="66" t="s">
        <v>318</v>
      </c>
      <c r="F171" s="26">
        <v>997</v>
      </c>
      <c r="G171" s="58" t="s">
        <v>83</v>
      </c>
      <c r="H171" s="26" t="s">
        <v>171</v>
      </c>
      <c r="I171" s="141">
        <v>8</v>
      </c>
      <c r="J171" s="138" t="s">
        <v>63</v>
      </c>
      <c r="K171" s="179">
        <v>58</v>
      </c>
      <c r="L171" s="33">
        <f t="shared" si="18"/>
        <v>0.96666666666666667</v>
      </c>
      <c r="M171" s="156"/>
    </row>
    <row r="172" spans="1:13" ht="18.899999999999999" customHeight="1" x14ac:dyDescent="0.45">
      <c r="A172" s="171">
        <f t="shared" si="19"/>
        <v>157</v>
      </c>
      <c r="B172" s="272"/>
      <c r="C172" s="271" t="s">
        <v>319</v>
      </c>
      <c r="D172" s="249" t="s">
        <v>320</v>
      </c>
      <c r="E172" s="20" t="s">
        <v>321</v>
      </c>
      <c r="F172" s="50">
        <v>933</v>
      </c>
      <c r="G172" s="58" t="s">
        <v>83</v>
      </c>
      <c r="H172" s="52" t="s">
        <v>62</v>
      </c>
      <c r="I172" s="26">
        <v>13</v>
      </c>
      <c r="J172" s="19" t="s">
        <v>63</v>
      </c>
      <c r="K172" s="64">
        <v>189</v>
      </c>
      <c r="L172" s="33">
        <f t="shared" si="18"/>
        <v>3.15</v>
      </c>
      <c r="M172" s="156"/>
    </row>
    <row r="173" spans="1:13" ht="18.899999999999999" customHeight="1" x14ac:dyDescent="0.45">
      <c r="A173" s="171">
        <f t="shared" si="19"/>
        <v>158</v>
      </c>
      <c r="B173" s="273"/>
      <c r="C173" s="273"/>
      <c r="D173" s="250"/>
      <c r="E173" s="20" t="s">
        <v>322</v>
      </c>
      <c r="F173" s="26">
        <v>79</v>
      </c>
      <c r="G173" s="58" t="s">
        <v>83</v>
      </c>
      <c r="H173" s="26" t="s">
        <v>62</v>
      </c>
      <c r="I173" s="26">
        <v>21</v>
      </c>
      <c r="J173" s="19" t="s">
        <v>63</v>
      </c>
      <c r="K173" s="64">
        <v>195</v>
      </c>
      <c r="L173" s="33">
        <f t="shared" si="18"/>
        <v>3.25</v>
      </c>
      <c r="M173" s="156"/>
    </row>
    <row r="174" spans="1:13" ht="18.899999999999999" customHeight="1" x14ac:dyDescent="0.45">
      <c r="A174" s="171">
        <f t="shared" si="19"/>
        <v>159</v>
      </c>
      <c r="B174" s="271" t="s">
        <v>323</v>
      </c>
      <c r="C174" s="271" t="s">
        <v>324</v>
      </c>
      <c r="D174" s="249" t="s">
        <v>325</v>
      </c>
      <c r="E174" s="20" t="s">
        <v>326</v>
      </c>
      <c r="F174" s="26">
        <v>1231</v>
      </c>
      <c r="G174" s="26" t="s">
        <v>125</v>
      </c>
      <c r="H174" s="26" t="s">
        <v>262</v>
      </c>
      <c r="I174" s="26">
        <v>5</v>
      </c>
      <c r="J174" s="26" t="s">
        <v>63</v>
      </c>
      <c r="K174" s="64">
        <v>44</v>
      </c>
      <c r="L174" s="33">
        <f t="shared" si="18"/>
        <v>0.73333333333333328</v>
      </c>
      <c r="M174" s="158"/>
    </row>
    <row r="175" spans="1:13" ht="18.899999999999999" customHeight="1" x14ac:dyDescent="0.45">
      <c r="A175" s="171">
        <f t="shared" si="19"/>
        <v>160</v>
      </c>
      <c r="B175" s="272"/>
      <c r="C175" s="272"/>
      <c r="D175" s="251"/>
      <c r="E175" s="20" t="s">
        <v>327</v>
      </c>
      <c r="F175" s="26">
        <v>1232</v>
      </c>
      <c r="G175" s="26" t="s">
        <v>125</v>
      </c>
      <c r="H175" s="26" t="s">
        <v>262</v>
      </c>
      <c r="I175" s="26">
        <v>6</v>
      </c>
      <c r="J175" s="26" t="s">
        <v>63</v>
      </c>
      <c r="K175" s="64">
        <v>47</v>
      </c>
      <c r="L175" s="33">
        <f t="shared" si="18"/>
        <v>0.78333333333333333</v>
      </c>
      <c r="M175" s="158"/>
    </row>
    <row r="176" spans="1:13" ht="18.899999999999999" customHeight="1" x14ac:dyDescent="0.45">
      <c r="A176" s="171">
        <f t="shared" si="19"/>
        <v>161</v>
      </c>
      <c r="B176" s="272"/>
      <c r="C176" s="272"/>
      <c r="D176" s="251"/>
      <c r="E176" s="20" t="s">
        <v>328</v>
      </c>
      <c r="F176" s="26">
        <v>1234</v>
      </c>
      <c r="G176" s="26" t="s">
        <v>125</v>
      </c>
      <c r="H176" s="26" t="s">
        <v>262</v>
      </c>
      <c r="I176" s="26">
        <v>8</v>
      </c>
      <c r="J176" s="26" t="s">
        <v>63</v>
      </c>
      <c r="K176" s="64">
        <v>79</v>
      </c>
      <c r="L176" s="33">
        <f t="shared" si="18"/>
        <v>1.3166666666666667</v>
      </c>
      <c r="M176" s="158"/>
    </row>
    <row r="177" spans="1:13" ht="18.899999999999999" customHeight="1" x14ac:dyDescent="0.45">
      <c r="A177" s="171">
        <f t="shared" si="19"/>
        <v>162</v>
      </c>
      <c r="B177" s="272"/>
      <c r="C177" s="272"/>
      <c r="D177" s="251"/>
      <c r="E177" s="20" t="s">
        <v>329</v>
      </c>
      <c r="F177" s="26">
        <v>1235</v>
      </c>
      <c r="G177" s="26" t="s">
        <v>125</v>
      </c>
      <c r="H177" s="26" t="s">
        <v>262</v>
      </c>
      <c r="I177" s="26">
        <v>4</v>
      </c>
      <c r="J177" s="26" t="s">
        <v>63</v>
      </c>
      <c r="K177" s="64">
        <v>48</v>
      </c>
      <c r="L177" s="33">
        <f t="shared" si="18"/>
        <v>0.8</v>
      </c>
      <c r="M177" s="158"/>
    </row>
    <row r="178" spans="1:13" ht="18.899999999999999" customHeight="1" x14ac:dyDescent="0.45">
      <c r="A178" s="171">
        <f t="shared" si="19"/>
        <v>163</v>
      </c>
      <c r="B178" s="272"/>
      <c r="C178" s="272"/>
      <c r="D178" s="251"/>
      <c r="E178" s="20" t="s">
        <v>330</v>
      </c>
      <c r="F178" s="26">
        <v>1236</v>
      </c>
      <c r="G178" s="26" t="s">
        <v>125</v>
      </c>
      <c r="H178" s="26" t="s">
        <v>262</v>
      </c>
      <c r="I178" s="26">
        <v>6</v>
      </c>
      <c r="J178" s="26" t="s">
        <v>63</v>
      </c>
      <c r="K178" s="64">
        <v>47</v>
      </c>
      <c r="L178" s="33">
        <f t="shared" si="18"/>
        <v>0.78333333333333333</v>
      </c>
      <c r="M178" s="158"/>
    </row>
    <row r="179" spans="1:13" ht="18.899999999999999" customHeight="1" x14ac:dyDescent="0.45">
      <c r="A179" s="171">
        <f t="shared" si="19"/>
        <v>164</v>
      </c>
      <c r="B179" s="272"/>
      <c r="C179" s="272"/>
      <c r="D179" s="251"/>
      <c r="E179" s="20" t="s">
        <v>331</v>
      </c>
      <c r="F179" s="26">
        <v>1238</v>
      </c>
      <c r="G179" s="26" t="s">
        <v>125</v>
      </c>
      <c r="H179" s="26" t="s">
        <v>262</v>
      </c>
      <c r="I179" s="26">
        <v>9</v>
      </c>
      <c r="J179" s="26" t="s">
        <v>63</v>
      </c>
      <c r="K179" s="64">
        <v>110</v>
      </c>
      <c r="L179" s="33">
        <f t="shared" si="18"/>
        <v>1.8333333333333333</v>
      </c>
      <c r="M179" s="158"/>
    </row>
    <row r="180" spans="1:13" ht="18.899999999999999" customHeight="1" x14ac:dyDescent="0.45">
      <c r="A180" s="171">
        <f t="shared" si="19"/>
        <v>165</v>
      </c>
      <c r="B180" s="272"/>
      <c r="C180" s="273"/>
      <c r="D180" s="250"/>
      <c r="E180" s="20" t="s">
        <v>332</v>
      </c>
      <c r="F180" s="26">
        <v>1237</v>
      </c>
      <c r="G180" s="26" t="s">
        <v>125</v>
      </c>
      <c r="H180" s="26" t="s">
        <v>262</v>
      </c>
      <c r="I180" s="26">
        <v>4</v>
      </c>
      <c r="J180" s="26" t="s">
        <v>63</v>
      </c>
      <c r="K180" s="64">
        <v>36</v>
      </c>
      <c r="L180" s="33">
        <f t="shared" si="18"/>
        <v>0.6</v>
      </c>
      <c r="M180" s="158"/>
    </row>
    <row r="181" spans="1:13" ht="18.899999999999999" customHeight="1" x14ac:dyDescent="0.45">
      <c r="A181" s="171">
        <f t="shared" si="19"/>
        <v>166</v>
      </c>
      <c r="B181" s="279" t="s">
        <v>333</v>
      </c>
      <c r="C181" s="271" t="s">
        <v>334</v>
      </c>
      <c r="D181" s="249" t="s">
        <v>335</v>
      </c>
      <c r="E181" s="20" t="s">
        <v>336</v>
      </c>
      <c r="F181" s="39">
        <v>998</v>
      </c>
      <c r="G181" s="39" t="s">
        <v>83</v>
      </c>
      <c r="H181" s="26" t="s">
        <v>171</v>
      </c>
      <c r="I181" s="141">
        <v>6</v>
      </c>
      <c r="J181" s="138" t="s">
        <v>63</v>
      </c>
      <c r="K181" s="179">
        <v>60</v>
      </c>
      <c r="L181" s="33">
        <f t="shared" si="18"/>
        <v>1</v>
      </c>
      <c r="M181" s="158"/>
    </row>
    <row r="182" spans="1:13" ht="18.899999999999999" customHeight="1" x14ac:dyDescent="0.45">
      <c r="A182" s="171">
        <f t="shared" si="19"/>
        <v>167</v>
      </c>
      <c r="B182" s="279"/>
      <c r="C182" s="272"/>
      <c r="D182" s="251"/>
      <c r="E182" s="51" t="s">
        <v>337</v>
      </c>
      <c r="F182" s="19">
        <v>1111</v>
      </c>
      <c r="G182" s="39" t="s">
        <v>83</v>
      </c>
      <c r="H182" s="26" t="s">
        <v>251</v>
      </c>
      <c r="I182" s="19">
        <v>3</v>
      </c>
      <c r="J182" s="19" t="s">
        <v>63</v>
      </c>
      <c r="K182" s="64">
        <v>88</v>
      </c>
      <c r="L182" s="33">
        <f t="shared" si="18"/>
        <v>1.4666666666666666</v>
      </c>
      <c r="M182" s="158"/>
    </row>
    <row r="183" spans="1:13" ht="18.899999999999999" customHeight="1" x14ac:dyDescent="0.45">
      <c r="A183" s="171">
        <f t="shared" si="19"/>
        <v>168</v>
      </c>
      <c r="B183" s="279"/>
      <c r="C183" s="19" t="s">
        <v>340</v>
      </c>
      <c r="D183" s="151" t="s">
        <v>341</v>
      </c>
      <c r="E183" s="20" t="s">
        <v>342</v>
      </c>
      <c r="F183" s="26">
        <v>985</v>
      </c>
      <c r="G183" s="39" t="s">
        <v>83</v>
      </c>
      <c r="H183" s="22" t="s">
        <v>343</v>
      </c>
      <c r="I183" s="26">
        <v>4</v>
      </c>
      <c r="J183" s="19" t="s">
        <v>63</v>
      </c>
      <c r="K183" s="64">
        <v>64</v>
      </c>
      <c r="L183" s="33">
        <f t="shared" si="18"/>
        <v>1.0666666666666667</v>
      </c>
      <c r="M183" s="158"/>
    </row>
    <row r="184" spans="1:13" ht="18.899999999999999" customHeight="1" x14ac:dyDescent="0.45">
      <c r="A184" s="171">
        <f t="shared" si="19"/>
        <v>169</v>
      </c>
      <c r="B184" s="279"/>
      <c r="C184" s="279" t="s">
        <v>347</v>
      </c>
      <c r="D184" s="254" t="s">
        <v>348</v>
      </c>
      <c r="E184" s="176" t="s">
        <v>349</v>
      </c>
      <c r="F184" s="99">
        <v>1005</v>
      </c>
      <c r="G184" s="99" t="s">
        <v>125</v>
      </c>
      <c r="H184" s="99" t="s">
        <v>171</v>
      </c>
      <c r="I184" s="137">
        <v>4</v>
      </c>
      <c r="J184" s="143" t="s">
        <v>63</v>
      </c>
      <c r="K184" s="181">
        <v>45</v>
      </c>
      <c r="L184" s="33">
        <f t="shared" si="18"/>
        <v>0.75</v>
      </c>
      <c r="M184" s="158"/>
    </row>
    <row r="185" spans="1:13" ht="18.899999999999999" customHeight="1" x14ac:dyDescent="0.45">
      <c r="A185" s="171">
        <f t="shared" ref="A185:A211" si="20">A184+1</f>
        <v>170</v>
      </c>
      <c r="B185" s="279"/>
      <c r="C185" s="279"/>
      <c r="D185" s="254"/>
      <c r="E185" s="49" t="s">
        <v>350</v>
      </c>
      <c r="F185" s="119">
        <v>1239</v>
      </c>
      <c r="G185" s="99" t="s">
        <v>125</v>
      </c>
      <c r="H185" s="62" t="s">
        <v>267</v>
      </c>
      <c r="I185" s="63">
        <v>20</v>
      </c>
      <c r="J185" s="75" t="s">
        <v>63</v>
      </c>
      <c r="K185" s="132">
        <v>272</v>
      </c>
      <c r="L185" s="33">
        <f t="shared" si="18"/>
        <v>4.5333333333333332</v>
      </c>
      <c r="M185" s="158"/>
    </row>
    <row r="186" spans="1:13" ht="18.899999999999999" customHeight="1" x14ac:dyDescent="0.45">
      <c r="A186" s="171">
        <f t="shared" si="20"/>
        <v>171</v>
      </c>
      <c r="B186" s="279"/>
      <c r="C186" s="271" t="s">
        <v>351</v>
      </c>
      <c r="D186" s="255" t="s">
        <v>352</v>
      </c>
      <c r="E186" s="97" t="s">
        <v>353</v>
      </c>
      <c r="F186" s="98">
        <v>1575</v>
      </c>
      <c r="G186" s="98" t="s">
        <v>83</v>
      </c>
      <c r="H186" s="117" t="s">
        <v>354</v>
      </c>
      <c r="I186" s="98">
        <v>6</v>
      </c>
      <c r="J186" s="39" t="s">
        <v>63</v>
      </c>
      <c r="K186" s="112">
        <v>43</v>
      </c>
      <c r="L186" s="33">
        <f t="shared" si="18"/>
        <v>0.71666666666666667</v>
      </c>
      <c r="M186" s="158"/>
    </row>
    <row r="187" spans="1:13" ht="18.899999999999999" customHeight="1" x14ac:dyDescent="0.45">
      <c r="A187" s="171">
        <f t="shared" si="20"/>
        <v>172</v>
      </c>
      <c r="B187" s="279"/>
      <c r="C187" s="272"/>
      <c r="D187" s="264"/>
      <c r="E187" s="51" t="s">
        <v>355</v>
      </c>
      <c r="F187" s="56">
        <v>923</v>
      </c>
      <c r="G187" s="56" t="s">
        <v>125</v>
      </c>
      <c r="H187" s="52" t="s">
        <v>356</v>
      </c>
      <c r="I187" s="141">
        <v>4</v>
      </c>
      <c r="J187" s="138" t="s">
        <v>63</v>
      </c>
      <c r="K187" s="142">
        <v>56</v>
      </c>
      <c r="L187" s="33">
        <f t="shared" si="18"/>
        <v>0.93333333333333335</v>
      </c>
      <c r="M187" s="158"/>
    </row>
    <row r="188" spans="1:13" ht="18.899999999999999" customHeight="1" x14ac:dyDescent="0.45">
      <c r="A188" s="171">
        <f t="shared" si="20"/>
        <v>173</v>
      </c>
      <c r="B188" s="279"/>
      <c r="C188" s="272"/>
      <c r="D188" s="264"/>
      <c r="E188" s="51" t="s">
        <v>357</v>
      </c>
      <c r="F188" s="56">
        <v>924</v>
      </c>
      <c r="G188" s="56" t="s">
        <v>125</v>
      </c>
      <c r="H188" s="52" t="s">
        <v>356</v>
      </c>
      <c r="I188" s="23">
        <v>7</v>
      </c>
      <c r="J188" s="138" t="s">
        <v>63</v>
      </c>
      <c r="K188" s="142">
        <v>71</v>
      </c>
      <c r="L188" s="33">
        <f t="shared" si="18"/>
        <v>1.1833333333333333</v>
      </c>
      <c r="M188" s="158"/>
    </row>
    <row r="189" spans="1:13" ht="18.899999999999999" customHeight="1" x14ac:dyDescent="0.45">
      <c r="A189" s="171">
        <f t="shared" si="20"/>
        <v>174</v>
      </c>
      <c r="B189" s="279"/>
      <c r="C189" s="273"/>
      <c r="D189" s="253"/>
      <c r="E189" s="51" t="s">
        <v>358</v>
      </c>
      <c r="F189" s="56">
        <v>926</v>
      </c>
      <c r="G189" s="56" t="s">
        <v>125</v>
      </c>
      <c r="H189" s="52" t="s">
        <v>356</v>
      </c>
      <c r="I189" s="141">
        <v>4</v>
      </c>
      <c r="J189" s="138" t="s">
        <v>63</v>
      </c>
      <c r="K189" s="142">
        <v>64</v>
      </c>
      <c r="L189" s="33">
        <f t="shared" si="18"/>
        <v>1.0666666666666667</v>
      </c>
      <c r="M189" s="158"/>
    </row>
    <row r="190" spans="1:13" ht="18.899999999999999" customHeight="1" x14ac:dyDescent="0.45">
      <c r="A190" s="171">
        <f t="shared" si="20"/>
        <v>175</v>
      </c>
      <c r="B190" s="279"/>
      <c r="C190" s="271" t="s">
        <v>359</v>
      </c>
      <c r="D190" s="255" t="s">
        <v>360</v>
      </c>
      <c r="E190" s="61" t="s">
        <v>361</v>
      </c>
      <c r="F190" s="58">
        <v>1447</v>
      </c>
      <c r="G190" s="58" t="s">
        <v>125</v>
      </c>
      <c r="H190" s="58" t="s">
        <v>354</v>
      </c>
      <c r="I190" s="23">
        <v>6</v>
      </c>
      <c r="J190" s="26" t="s">
        <v>63</v>
      </c>
      <c r="K190" s="25">
        <v>73</v>
      </c>
      <c r="L190" s="33">
        <f t="shared" si="18"/>
        <v>1.2166666666666666</v>
      </c>
      <c r="M190" s="158"/>
    </row>
    <row r="191" spans="1:13" ht="18.899999999999999" customHeight="1" x14ac:dyDescent="0.45">
      <c r="A191" s="171">
        <f t="shared" si="20"/>
        <v>176</v>
      </c>
      <c r="B191" s="279"/>
      <c r="C191" s="272"/>
      <c r="D191" s="264"/>
      <c r="E191" s="61" t="s">
        <v>362</v>
      </c>
      <c r="F191" s="39">
        <v>1001</v>
      </c>
      <c r="G191" s="58" t="s">
        <v>125</v>
      </c>
      <c r="H191" s="26" t="s">
        <v>171</v>
      </c>
      <c r="I191" s="141">
        <v>6</v>
      </c>
      <c r="J191" s="138" t="s">
        <v>63</v>
      </c>
      <c r="K191" s="179">
        <v>67</v>
      </c>
      <c r="L191" s="33">
        <f t="shared" si="18"/>
        <v>1.1166666666666667</v>
      </c>
      <c r="M191" s="158"/>
    </row>
    <row r="192" spans="1:13" ht="18.899999999999999" customHeight="1" x14ac:dyDescent="0.45">
      <c r="A192" s="171">
        <f t="shared" si="20"/>
        <v>177</v>
      </c>
      <c r="B192" s="279"/>
      <c r="C192" s="273"/>
      <c r="D192" s="253"/>
      <c r="E192" s="61" t="s">
        <v>363</v>
      </c>
      <c r="F192" s="39">
        <v>1002</v>
      </c>
      <c r="G192" s="58" t="s">
        <v>125</v>
      </c>
      <c r="H192" s="26" t="s">
        <v>171</v>
      </c>
      <c r="I192" s="141">
        <v>2</v>
      </c>
      <c r="J192" s="138" t="s">
        <v>63</v>
      </c>
      <c r="K192" s="179">
        <v>27</v>
      </c>
      <c r="L192" s="33">
        <f t="shared" si="18"/>
        <v>0.45</v>
      </c>
      <c r="M192" s="158"/>
    </row>
    <row r="193" spans="1:13" ht="18.899999999999999" customHeight="1" x14ac:dyDescent="0.45">
      <c r="A193" s="171">
        <f t="shared" si="20"/>
        <v>178</v>
      </c>
      <c r="B193" s="279"/>
      <c r="C193" s="284" t="s">
        <v>1506</v>
      </c>
      <c r="D193" s="249" t="s">
        <v>365</v>
      </c>
      <c r="E193" s="20" t="s">
        <v>366</v>
      </c>
      <c r="F193" s="26">
        <v>994</v>
      </c>
      <c r="G193" s="58" t="s">
        <v>125</v>
      </c>
      <c r="H193" s="22" t="s">
        <v>171</v>
      </c>
      <c r="I193" s="26">
        <v>11</v>
      </c>
      <c r="J193" s="19" t="s">
        <v>63</v>
      </c>
      <c r="K193" s="64">
        <v>136</v>
      </c>
      <c r="L193" s="33">
        <f t="shared" si="18"/>
        <v>2.2666666666666666</v>
      </c>
      <c r="M193" s="158"/>
    </row>
    <row r="194" spans="1:13" ht="18.899999999999999" customHeight="1" x14ac:dyDescent="0.45">
      <c r="A194" s="171">
        <f t="shared" si="20"/>
        <v>179</v>
      </c>
      <c r="B194" s="279"/>
      <c r="C194" s="285"/>
      <c r="D194" s="251"/>
      <c r="E194" s="20" t="s">
        <v>367</v>
      </c>
      <c r="F194" s="26">
        <v>936</v>
      </c>
      <c r="G194" s="58" t="s">
        <v>125</v>
      </c>
      <c r="H194" s="52" t="s">
        <v>251</v>
      </c>
      <c r="I194" s="23">
        <v>5</v>
      </c>
      <c r="J194" s="138" t="s">
        <v>63</v>
      </c>
      <c r="K194" s="142">
        <v>105</v>
      </c>
      <c r="L194" s="33">
        <f t="shared" si="18"/>
        <v>1.75</v>
      </c>
      <c r="M194" s="158"/>
    </row>
    <row r="195" spans="1:13" ht="18.899999999999999" customHeight="1" x14ac:dyDescent="0.45">
      <c r="A195" s="171">
        <f t="shared" si="20"/>
        <v>180</v>
      </c>
      <c r="B195" s="279"/>
      <c r="C195" s="285"/>
      <c r="D195" s="251"/>
      <c r="E195" s="49" t="s">
        <v>368</v>
      </c>
      <c r="F195" s="58">
        <v>1463</v>
      </c>
      <c r="G195" s="58" t="s">
        <v>125</v>
      </c>
      <c r="H195" s="22" t="s">
        <v>369</v>
      </c>
      <c r="I195" s="23">
        <v>7</v>
      </c>
      <c r="J195" s="26" t="s">
        <v>63</v>
      </c>
      <c r="K195" s="25">
        <v>128</v>
      </c>
      <c r="L195" s="33">
        <f t="shared" si="18"/>
        <v>2.1333333333333333</v>
      </c>
      <c r="M195" s="177"/>
    </row>
    <row r="196" spans="1:13" ht="18.899999999999999" customHeight="1" x14ac:dyDescent="0.45">
      <c r="A196" s="171">
        <f t="shared" si="20"/>
        <v>181</v>
      </c>
      <c r="B196" s="279"/>
      <c r="C196" s="285"/>
      <c r="D196" s="251"/>
      <c r="E196" s="49" t="s">
        <v>370</v>
      </c>
      <c r="F196" s="119">
        <v>1490</v>
      </c>
      <c r="G196" s="119" t="s">
        <v>161</v>
      </c>
      <c r="H196" s="62" t="s">
        <v>136</v>
      </c>
      <c r="I196" s="63">
        <v>8</v>
      </c>
      <c r="J196" s="39" t="s">
        <v>63</v>
      </c>
      <c r="K196" s="132">
        <v>118</v>
      </c>
      <c r="L196" s="33">
        <f t="shared" si="18"/>
        <v>1.9666666666666666</v>
      </c>
      <c r="M196" s="180"/>
    </row>
    <row r="197" spans="1:13" ht="18.899999999999999" customHeight="1" x14ac:dyDescent="0.45">
      <c r="A197" s="171">
        <f t="shared" si="20"/>
        <v>182</v>
      </c>
      <c r="B197" s="279"/>
      <c r="C197" s="285"/>
      <c r="D197" s="251"/>
      <c r="E197" s="41" t="s">
        <v>371</v>
      </c>
      <c r="F197" s="162">
        <v>1590</v>
      </c>
      <c r="G197" s="119" t="s">
        <v>161</v>
      </c>
      <c r="H197" s="44" t="s">
        <v>313</v>
      </c>
      <c r="I197" s="162">
        <v>10</v>
      </c>
      <c r="J197" s="19" t="s">
        <v>63</v>
      </c>
      <c r="K197" s="133">
        <v>93</v>
      </c>
      <c r="L197" s="33">
        <f t="shared" si="18"/>
        <v>1.55</v>
      </c>
      <c r="M197" s="180"/>
    </row>
    <row r="198" spans="1:13" ht="18.899999999999999" customHeight="1" x14ac:dyDescent="0.45">
      <c r="A198" s="171">
        <f t="shared" si="20"/>
        <v>183</v>
      </c>
      <c r="B198" s="279"/>
      <c r="C198" s="285"/>
      <c r="D198" s="251"/>
      <c r="E198" s="49" t="s">
        <v>372</v>
      </c>
      <c r="F198" s="99">
        <v>1528</v>
      </c>
      <c r="G198" s="119" t="s">
        <v>161</v>
      </c>
      <c r="H198" s="62" t="s">
        <v>262</v>
      </c>
      <c r="I198" s="99">
        <v>5</v>
      </c>
      <c r="J198" s="39" t="s">
        <v>63</v>
      </c>
      <c r="K198" s="132">
        <v>62</v>
      </c>
      <c r="L198" s="33">
        <f t="shared" si="18"/>
        <v>1.0333333333333334</v>
      </c>
      <c r="M198" s="159" t="s">
        <v>373</v>
      </c>
    </row>
    <row r="199" spans="1:13" ht="18.899999999999999" customHeight="1" x14ac:dyDescent="0.45">
      <c r="A199" s="171">
        <f t="shared" si="20"/>
        <v>184</v>
      </c>
      <c r="B199" s="279"/>
      <c r="C199" s="285"/>
      <c r="D199" s="251"/>
      <c r="E199" s="49" t="s">
        <v>374</v>
      </c>
      <c r="F199" s="99">
        <v>1529</v>
      </c>
      <c r="G199" s="119" t="s">
        <v>161</v>
      </c>
      <c r="H199" s="62" t="s">
        <v>262</v>
      </c>
      <c r="I199" s="99">
        <v>3</v>
      </c>
      <c r="J199" s="39" t="s">
        <v>63</v>
      </c>
      <c r="K199" s="132">
        <v>51</v>
      </c>
      <c r="L199" s="33">
        <f t="shared" si="18"/>
        <v>0.85</v>
      </c>
      <c r="M199" s="159" t="s">
        <v>373</v>
      </c>
    </row>
    <row r="200" spans="1:13" ht="18.899999999999999" customHeight="1" x14ac:dyDescent="0.45">
      <c r="A200" s="171">
        <f t="shared" si="20"/>
        <v>185</v>
      </c>
      <c r="B200" s="279"/>
      <c r="C200" s="285"/>
      <c r="D200" s="251"/>
      <c r="E200" s="104" t="s">
        <v>375</v>
      </c>
      <c r="F200" s="105">
        <v>1542</v>
      </c>
      <c r="G200" s="119" t="s">
        <v>161</v>
      </c>
      <c r="H200" s="62" t="s">
        <v>262</v>
      </c>
      <c r="I200" s="105">
        <v>5</v>
      </c>
      <c r="J200" s="99" t="s">
        <v>63</v>
      </c>
      <c r="K200" s="116">
        <v>86</v>
      </c>
      <c r="L200" s="33">
        <f t="shared" si="18"/>
        <v>1.4333333333333333</v>
      </c>
      <c r="M200" s="159" t="s">
        <v>373</v>
      </c>
    </row>
    <row r="201" spans="1:13" ht="18.899999999999999" customHeight="1" x14ac:dyDescent="0.45">
      <c r="A201" s="171">
        <f t="shared" si="20"/>
        <v>186</v>
      </c>
      <c r="B201" s="279"/>
      <c r="C201" s="285"/>
      <c r="D201" s="251"/>
      <c r="E201" s="97" t="s">
        <v>377</v>
      </c>
      <c r="F201" s="98">
        <v>1566</v>
      </c>
      <c r="G201" s="119" t="s">
        <v>161</v>
      </c>
      <c r="H201" s="117" t="s">
        <v>171</v>
      </c>
      <c r="I201" s="98">
        <v>21</v>
      </c>
      <c r="J201" s="39" t="s">
        <v>63</v>
      </c>
      <c r="K201" s="112">
        <v>224</v>
      </c>
      <c r="L201" s="33">
        <f t="shared" si="18"/>
        <v>3.7333333333333334</v>
      </c>
      <c r="M201" s="159"/>
    </row>
    <row r="202" spans="1:13" ht="18.899999999999999" customHeight="1" x14ac:dyDescent="0.45">
      <c r="A202" s="171">
        <f t="shared" si="20"/>
        <v>187</v>
      </c>
      <c r="B202" s="279"/>
      <c r="C202" s="285"/>
      <c r="D202" s="251"/>
      <c r="E202" s="97" t="s">
        <v>378</v>
      </c>
      <c r="F202" s="219">
        <v>1662</v>
      </c>
      <c r="G202" s="119" t="s">
        <v>161</v>
      </c>
      <c r="H202" s="117" t="s">
        <v>379</v>
      </c>
      <c r="I202" s="219">
        <v>10</v>
      </c>
      <c r="J202" s="39" t="s">
        <v>63</v>
      </c>
      <c r="K202" s="220">
        <v>156</v>
      </c>
      <c r="L202" s="221">
        <f t="shared" si="18"/>
        <v>2.6</v>
      </c>
      <c r="M202" s="159"/>
    </row>
    <row r="203" spans="1:13" ht="18.899999999999999" customHeight="1" x14ac:dyDescent="0.45">
      <c r="A203" s="171">
        <f t="shared" si="20"/>
        <v>188</v>
      </c>
      <c r="B203" s="279"/>
      <c r="C203" s="285"/>
      <c r="D203" s="251"/>
      <c r="E203" s="227" t="s">
        <v>1496</v>
      </c>
      <c r="F203" s="219">
        <v>1697</v>
      </c>
      <c r="G203" s="119" t="s">
        <v>161</v>
      </c>
      <c r="H203" s="228" t="s">
        <v>1497</v>
      </c>
      <c r="I203" s="228" t="s">
        <v>1489</v>
      </c>
      <c r="J203" s="39" t="s">
        <v>63</v>
      </c>
      <c r="K203" s="220">
        <v>76</v>
      </c>
      <c r="L203" s="221">
        <f t="shared" si="18"/>
        <v>1.2666666666666666</v>
      </c>
      <c r="M203" s="159"/>
    </row>
    <row r="204" spans="1:13" ht="18.899999999999999" customHeight="1" x14ac:dyDescent="0.45">
      <c r="A204" s="171">
        <f t="shared" si="20"/>
        <v>189</v>
      </c>
      <c r="B204" s="279"/>
      <c r="C204" s="285"/>
      <c r="D204" s="251"/>
      <c r="E204" s="227" t="s">
        <v>1498</v>
      </c>
      <c r="F204" s="219">
        <v>1699</v>
      </c>
      <c r="G204" s="119" t="s">
        <v>161</v>
      </c>
      <c r="H204" s="228" t="s">
        <v>1505</v>
      </c>
      <c r="I204" s="228" t="s">
        <v>1462</v>
      </c>
      <c r="J204" s="39" t="s">
        <v>63</v>
      </c>
      <c r="K204" s="220">
        <v>123</v>
      </c>
      <c r="L204" s="221">
        <f t="shared" si="18"/>
        <v>2.0499999999999998</v>
      </c>
      <c r="M204" s="159"/>
    </row>
    <row r="205" spans="1:13" ht="18.899999999999999" customHeight="1" x14ac:dyDescent="0.45">
      <c r="A205" s="171">
        <f t="shared" si="20"/>
        <v>190</v>
      </c>
      <c r="B205" s="279"/>
      <c r="C205" s="285"/>
      <c r="D205" s="251"/>
      <c r="E205" s="94" t="s">
        <v>382</v>
      </c>
      <c r="F205" s="95">
        <v>1604</v>
      </c>
      <c r="G205" s="119" t="s">
        <v>161</v>
      </c>
      <c r="H205" s="126" t="s">
        <v>379</v>
      </c>
      <c r="I205" s="95">
        <v>13</v>
      </c>
      <c r="J205" s="19" t="s">
        <v>63</v>
      </c>
      <c r="K205" s="110">
        <v>140</v>
      </c>
      <c r="L205" s="33">
        <f t="shared" si="18"/>
        <v>2.3333333333333335</v>
      </c>
      <c r="M205" s="159"/>
    </row>
    <row r="206" spans="1:13" ht="18.899999999999999" customHeight="1" x14ac:dyDescent="0.45">
      <c r="A206" s="171">
        <f t="shared" si="20"/>
        <v>191</v>
      </c>
      <c r="B206" s="279"/>
      <c r="C206" s="285"/>
      <c r="D206" s="251"/>
      <c r="E206" s="41" t="s">
        <v>383</v>
      </c>
      <c r="F206" s="162">
        <v>1607</v>
      </c>
      <c r="G206" s="119" t="s">
        <v>161</v>
      </c>
      <c r="H206" s="44" t="s">
        <v>384</v>
      </c>
      <c r="I206" s="162">
        <v>17</v>
      </c>
      <c r="J206" s="19" t="s">
        <v>63</v>
      </c>
      <c r="K206" s="133">
        <v>221</v>
      </c>
      <c r="L206" s="33">
        <f t="shared" si="18"/>
        <v>3.6833333333333331</v>
      </c>
      <c r="M206" s="111"/>
    </row>
    <row r="207" spans="1:13" ht="18.899999999999999" customHeight="1" x14ac:dyDescent="0.45">
      <c r="A207" s="171">
        <f t="shared" si="20"/>
        <v>192</v>
      </c>
      <c r="B207" s="279"/>
      <c r="C207" s="279" t="s">
        <v>385</v>
      </c>
      <c r="D207" s="265" t="s">
        <v>386</v>
      </c>
      <c r="E207" s="120" t="s">
        <v>387</v>
      </c>
      <c r="F207" s="121">
        <v>1634</v>
      </c>
      <c r="G207" s="121" t="s">
        <v>83</v>
      </c>
      <c r="H207" s="122" t="s">
        <v>356</v>
      </c>
      <c r="I207" s="121">
        <v>6</v>
      </c>
      <c r="J207" s="19" t="s">
        <v>63</v>
      </c>
      <c r="K207" s="133">
        <v>68</v>
      </c>
      <c r="L207" s="33">
        <f t="shared" si="18"/>
        <v>1.1333333333333333</v>
      </c>
      <c r="M207" s="159" t="s">
        <v>139</v>
      </c>
    </row>
    <row r="208" spans="1:13" ht="18.899999999999999" customHeight="1" x14ac:dyDescent="0.45">
      <c r="A208" s="171">
        <f t="shared" si="20"/>
        <v>193</v>
      </c>
      <c r="B208" s="279"/>
      <c r="C208" s="279"/>
      <c r="D208" s="266"/>
      <c r="E208" s="49" t="s">
        <v>388</v>
      </c>
      <c r="F208" s="119">
        <v>1503</v>
      </c>
      <c r="G208" s="121" t="s">
        <v>83</v>
      </c>
      <c r="H208" s="62" t="s">
        <v>346</v>
      </c>
      <c r="I208" s="63">
        <v>8</v>
      </c>
      <c r="J208" s="75" t="s">
        <v>63</v>
      </c>
      <c r="K208" s="132">
        <v>118</v>
      </c>
      <c r="L208" s="33">
        <f t="shared" si="18"/>
        <v>1.9666666666666666</v>
      </c>
      <c r="M208" s="159" t="s">
        <v>139</v>
      </c>
    </row>
    <row r="209" spans="1:13" ht="18.899999999999999" customHeight="1" x14ac:dyDescent="0.45">
      <c r="A209" s="171">
        <f t="shared" si="20"/>
        <v>194</v>
      </c>
      <c r="B209" s="279"/>
      <c r="C209" s="279"/>
      <c r="D209" s="266"/>
      <c r="E209" s="49" t="s">
        <v>389</v>
      </c>
      <c r="F209" s="99">
        <v>1058</v>
      </c>
      <c r="G209" s="99" t="s">
        <v>125</v>
      </c>
      <c r="H209" s="161" t="s">
        <v>390</v>
      </c>
      <c r="I209" s="99">
        <v>7</v>
      </c>
      <c r="J209" s="39" t="s">
        <v>63</v>
      </c>
      <c r="K209" s="67">
        <v>104</v>
      </c>
      <c r="L209" s="33">
        <f t="shared" si="18"/>
        <v>1.7333333333333334</v>
      </c>
      <c r="M209" s="186"/>
    </row>
    <row r="210" spans="1:13" ht="18.899999999999999" customHeight="1" x14ac:dyDescent="0.45">
      <c r="A210" s="171">
        <f t="shared" si="20"/>
        <v>195</v>
      </c>
      <c r="B210" s="279"/>
      <c r="C210" s="279"/>
      <c r="D210" s="266"/>
      <c r="E210" s="49" t="s">
        <v>391</v>
      </c>
      <c r="F210" s="26">
        <v>1186</v>
      </c>
      <c r="G210" s="99" t="s">
        <v>125</v>
      </c>
      <c r="H210" s="22" t="s">
        <v>136</v>
      </c>
      <c r="I210" s="23">
        <v>5</v>
      </c>
      <c r="J210" s="24" t="s">
        <v>63</v>
      </c>
      <c r="K210" s="25">
        <v>74</v>
      </c>
      <c r="L210" s="33">
        <f t="shared" si="18"/>
        <v>1.2333333333333334</v>
      </c>
      <c r="M210" s="108"/>
    </row>
    <row r="211" spans="1:13" ht="18.899999999999999" customHeight="1" x14ac:dyDescent="0.45">
      <c r="A211" s="171">
        <f t="shared" si="20"/>
        <v>196</v>
      </c>
      <c r="B211" s="279"/>
      <c r="C211" s="279"/>
      <c r="D211" s="266"/>
      <c r="E211" s="49" t="s">
        <v>392</v>
      </c>
      <c r="F211" s="119">
        <v>1349</v>
      </c>
      <c r="G211" s="99" t="s">
        <v>125</v>
      </c>
      <c r="H211" s="62" t="s">
        <v>166</v>
      </c>
      <c r="I211" s="63">
        <v>7</v>
      </c>
      <c r="J211" s="75" t="s">
        <v>63</v>
      </c>
      <c r="K211" s="132">
        <v>65</v>
      </c>
      <c r="L211" s="33">
        <f t="shared" si="18"/>
        <v>1.0833333333333333</v>
      </c>
      <c r="M211" s="136" t="s">
        <v>139</v>
      </c>
    </row>
    <row r="212" spans="1:13" ht="18.899999999999999" customHeight="1" x14ac:dyDescent="0.45">
      <c r="A212" s="310" t="s">
        <v>393</v>
      </c>
      <c r="B212" s="275"/>
      <c r="C212" s="275"/>
      <c r="D212" s="276"/>
      <c r="E212" s="275"/>
      <c r="F212" s="275"/>
      <c r="G212" s="275"/>
      <c r="H212" s="275"/>
      <c r="I212" s="275"/>
      <c r="J212" s="275"/>
      <c r="K212" s="275"/>
      <c r="L212" s="275"/>
      <c r="M212" s="311"/>
    </row>
    <row r="213" spans="1:13" ht="18.899999999999999" customHeight="1" x14ac:dyDescent="0.45">
      <c r="A213" s="171">
        <f>A211+1</f>
        <v>197</v>
      </c>
      <c r="B213" s="271" t="s">
        <v>394</v>
      </c>
      <c r="C213" s="282" t="s">
        <v>395</v>
      </c>
      <c r="D213" s="237" t="s">
        <v>396</v>
      </c>
      <c r="E213" s="183" t="s">
        <v>397</v>
      </c>
      <c r="F213" s="99">
        <v>1527</v>
      </c>
      <c r="G213" s="99" t="s">
        <v>83</v>
      </c>
      <c r="H213" s="62" t="s">
        <v>251</v>
      </c>
      <c r="I213" s="99">
        <v>4</v>
      </c>
      <c r="J213" s="39" t="s">
        <v>63</v>
      </c>
      <c r="K213" s="132">
        <v>47</v>
      </c>
      <c r="L213" s="33">
        <f t="shared" ref="L213:L223" si="21">K213/60</f>
        <v>0.78333333333333333</v>
      </c>
      <c r="M213" s="158"/>
    </row>
    <row r="214" spans="1:13" ht="18.899999999999999" customHeight="1" x14ac:dyDescent="0.45">
      <c r="A214" s="171">
        <f>A213+1</f>
        <v>198</v>
      </c>
      <c r="B214" s="272"/>
      <c r="C214" s="283"/>
      <c r="D214" s="237"/>
      <c r="E214" s="20" t="s">
        <v>338</v>
      </c>
      <c r="F214" s="58">
        <v>1248</v>
      </c>
      <c r="G214" s="39" t="s">
        <v>83</v>
      </c>
      <c r="H214" s="26" t="s">
        <v>251</v>
      </c>
      <c r="I214" s="23">
        <v>5</v>
      </c>
      <c r="J214" s="24" t="s">
        <v>63</v>
      </c>
      <c r="K214" s="25">
        <v>54</v>
      </c>
      <c r="L214" s="33">
        <f>K214/60</f>
        <v>0.9</v>
      </c>
      <c r="M214" s="158"/>
    </row>
    <row r="215" spans="1:13" ht="18.899999999999999" customHeight="1" x14ac:dyDescent="0.45">
      <c r="A215" s="171">
        <f t="shared" ref="A215:A220" si="22">A214+1</f>
        <v>199</v>
      </c>
      <c r="B215" s="272"/>
      <c r="C215" s="283"/>
      <c r="D215" s="237"/>
      <c r="E215" s="101" t="s">
        <v>398</v>
      </c>
      <c r="F215" s="105">
        <v>1545</v>
      </c>
      <c r="G215" s="99" t="s">
        <v>83</v>
      </c>
      <c r="H215" s="62" t="s">
        <v>251</v>
      </c>
      <c r="I215" s="105">
        <v>7</v>
      </c>
      <c r="J215" s="99" t="s">
        <v>63</v>
      </c>
      <c r="K215" s="116">
        <v>55</v>
      </c>
      <c r="L215" s="33">
        <f t="shared" si="21"/>
        <v>0.91666666666666663</v>
      </c>
      <c r="M215" s="165"/>
    </row>
    <row r="216" spans="1:13" ht="18.899999999999999" customHeight="1" x14ac:dyDescent="0.45">
      <c r="A216" s="171">
        <f t="shared" si="22"/>
        <v>200</v>
      </c>
      <c r="B216" s="272"/>
      <c r="C216" s="283"/>
      <c r="D216" s="237"/>
      <c r="E216" s="101" t="s">
        <v>399</v>
      </c>
      <c r="F216" s="105">
        <v>1546</v>
      </c>
      <c r="G216" s="99" t="s">
        <v>83</v>
      </c>
      <c r="H216" s="62" t="s">
        <v>251</v>
      </c>
      <c r="I216" s="105">
        <v>7</v>
      </c>
      <c r="J216" s="39" t="s">
        <v>63</v>
      </c>
      <c r="K216" s="116">
        <v>53</v>
      </c>
      <c r="L216" s="33">
        <f t="shared" si="21"/>
        <v>0.8833333333333333</v>
      </c>
      <c r="M216" s="165"/>
    </row>
    <row r="217" spans="1:13" ht="18.899999999999999" customHeight="1" x14ac:dyDescent="0.45">
      <c r="A217" s="171">
        <f t="shared" si="22"/>
        <v>201</v>
      </c>
      <c r="B217" s="272"/>
      <c r="C217" s="283"/>
      <c r="D217" s="237"/>
      <c r="E217" s="104" t="s">
        <v>400</v>
      </c>
      <c r="F217" s="105">
        <v>1553</v>
      </c>
      <c r="G217" s="99" t="s">
        <v>83</v>
      </c>
      <c r="H217" s="106" t="s">
        <v>251</v>
      </c>
      <c r="I217" s="105">
        <v>15</v>
      </c>
      <c r="J217" s="99" t="s">
        <v>63</v>
      </c>
      <c r="K217" s="116">
        <v>125</v>
      </c>
      <c r="L217" s="33">
        <f t="shared" si="21"/>
        <v>2.0833333333333335</v>
      </c>
      <c r="M217" s="165"/>
    </row>
    <row r="218" spans="1:13" ht="18.899999999999999" customHeight="1" x14ac:dyDescent="0.45">
      <c r="A218" s="171">
        <f t="shared" si="22"/>
        <v>202</v>
      </c>
      <c r="B218" s="272"/>
      <c r="C218" s="283"/>
      <c r="D218" s="237"/>
      <c r="E218" s="120" t="s">
        <v>401</v>
      </c>
      <c r="F218" s="121">
        <v>1635</v>
      </c>
      <c r="G218" s="99" t="s">
        <v>83</v>
      </c>
      <c r="H218" s="122" t="s">
        <v>251</v>
      </c>
      <c r="I218" s="121">
        <v>16</v>
      </c>
      <c r="J218" s="19" t="s">
        <v>63</v>
      </c>
      <c r="K218" s="110">
        <v>126</v>
      </c>
      <c r="L218" s="33">
        <f t="shared" si="21"/>
        <v>2.1</v>
      </c>
      <c r="M218" s="165"/>
    </row>
    <row r="219" spans="1:13" ht="18.899999999999999" customHeight="1" x14ac:dyDescent="0.45">
      <c r="A219" s="171">
        <f t="shared" si="22"/>
        <v>203</v>
      </c>
      <c r="B219" s="272"/>
      <c r="C219" s="283"/>
      <c r="D219" s="237"/>
      <c r="E219" s="184" t="s">
        <v>402</v>
      </c>
      <c r="F219" s="113">
        <v>1640</v>
      </c>
      <c r="G219" s="99" t="s">
        <v>83</v>
      </c>
      <c r="H219" s="103" t="s">
        <v>251</v>
      </c>
      <c r="I219" s="113">
        <v>10</v>
      </c>
      <c r="J219" s="39" t="s">
        <v>63</v>
      </c>
      <c r="K219" s="116">
        <v>76</v>
      </c>
      <c r="L219" s="115">
        <f t="shared" si="21"/>
        <v>1.2666666666666666</v>
      </c>
      <c r="M219" s="165"/>
    </row>
    <row r="220" spans="1:13" ht="18.899999999999999" customHeight="1" x14ac:dyDescent="0.45">
      <c r="A220" s="171">
        <f t="shared" si="22"/>
        <v>204</v>
      </c>
      <c r="B220" s="272"/>
      <c r="C220" s="283"/>
      <c r="D220" s="237"/>
      <c r="E220" s="184" t="s">
        <v>403</v>
      </c>
      <c r="F220" s="113">
        <v>1641</v>
      </c>
      <c r="G220" s="99" t="s">
        <v>83</v>
      </c>
      <c r="H220" s="103" t="s">
        <v>251</v>
      </c>
      <c r="I220" s="113">
        <v>12</v>
      </c>
      <c r="J220" s="39" t="s">
        <v>63</v>
      </c>
      <c r="K220" s="112">
        <v>102</v>
      </c>
      <c r="L220" s="115">
        <f t="shared" si="21"/>
        <v>1.7</v>
      </c>
      <c r="M220" s="165"/>
    </row>
    <row r="221" spans="1:13" ht="18.899999999999999" customHeight="1" x14ac:dyDescent="0.45">
      <c r="A221" s="171">
        <f t="shared" ref="A221:A238" si="23">A220+1</f>
        <v>205</v>
      </c>
      <c r="B221" s="272"/>
      <c r="C221" s="283"/>
      <c r="D221" s="237"/>
      <c r="E221" s="120" t="s">
        <v>404</v>
      </c>
      <c r="F221" s="121">
        <v>1649</v>
      </c>
      <c r="G221" s="26" t="s">
        <v>83</v>
      </c>
      <c r="H221" s="122" t="s">
        <v>251</v>
      </c>
      <c r="I221" s="162">
        <v>10</v>
      </c>
      <c r="J221" s="19" t="s">
        <v>63</v>
      </c>
      <c r="K221" s="43">
        <v>98</v>
      </c>
      <c r="L221" s="45">
        <f t="shared" si="21"/>
        <v>1.6333333333333333</v>
      </c>
      <c r="M221" s="165"/>
    </row>
    <row r="222" spans="1:13" ht="18.899999999999999" customHeight="1" x14ac:dyDescent="0.45">
      <c r="A222" s="171">
        <f t="shared" si="23"/>
        <v>206</v>
      </c>
      <c r="B222" s="272"/>
      <c r="C222" s="283"/>
      <c r="D222" s="237"/>
      <c r="E222" s="120" t="s">
        <v>405</v>
      </c>
      <c r="F222" s="121">
        <v>1644</v>
      </c>
      <c r="G222" s="26" t="s">
        <v>83</v>
      </c>
      <c r="H222" s="122" t="s">
        <v>251</v>
      </c>
      <c r="I222" s="162">
        <v>13</v>
      </c>
      <c r="J222" s="19" t="s">
        <v>63</v>
      </c>
      <c r="K222" s="43">
        <v>99</v>
      </c>
      <c r="L222" s="45">
        <f t="shared" si="21"/>
        <v>1.65</v>
      </c>
      <c r="M222" s="165"/>
    </row>
    <row r="223" spans="1:13" ht="18.899999999999999" customHeight="1" x14ac:dyDescent="0.45">
      <c r="A223" s="171">
        <f>A222+1</f>
        <v>207</v>
      </c>
      <c r="B223" s="272"/>
      <c r="C223" s="246"/>
      <c r="D223" s="237"/>
      <c r="E223" s="184" t="s">
        <v>406</v>
      </c>
      <c r="F223" s="113">
        <v>1642</v>
      </c>
      <c r="G223" s="99" t="s">
        <v>83</v>
      </c>
      <c r="H223" s="103" t="s">
        <v>251</v>
      </c>
      <c r="I223" s="113">
        <v>3</v>
      </c>
      <c r="J223" s="39" t="s">
        <v>63</v>
      </c>
      <c r="K223" s="112">
        <v>41</v>
      </c>
      <c r="L223" s="115">
        <f t="shared" si="21"/>
        <v>0.68333333333333335</v>
      </c>
      <c r="M223" s="165"/>
    </row>
    <row r="224" spans="1:13" ht="18.899999999999999" customHeight="1" x14ac:dyDescent="0.45">
      <c r="A224" s="171">
        <f t="shared" si="23"/>
        <v>208</v>
      </c>
      <c r="B224" s="272"/>
      <c r="C224" s="244" t="s">
        <v>1448</v>
      </c>
      <c r="D224" s="247" t="s">
        <v>1451</v>
      </c>
      <c r="E224" s="97" t="s">
        <v>380</v>
      </c>
      <c r="F224" s="219">
        <v>1661</v>
      </c>
      <c r="G224" s="119" t="s">
        <v>125</v>
      </c>
      <c r="H224" s="117" t="s">
        <v>381</v>
      </c>
      <c r="I224" s="219">
        <v>5</v>
      </c>
      <c r="J224" s="39" t="s">
        <v>63</v>
      </c>
      <c r="K224" s="220">
        <v>65</v>
      </c>
      <c r="L224" s="221">
        <f t="shared" ref="L224:L231" si="24">K224/60</f>
        <v>1.0833333333333333</v>
      </c>
      <c r="M224" s="165"/>
    </row>
    <row r="225" spans="1:13" ht="18.899999999999999" customHeight="1" x14ac:dyDescent="0.45">
      <c r="A225" s="171">
        <f t="shared" si="23"/>
        <v>209</v>
      </c>
      <c r="B225" s="272"/>
      <c r="C225" s="245"/>
      <c r="D225" s="248"/>
      <c r="E225" s="101" t="s">
        <v>344</v>
      </c>
      <c r="F225" s="105">
        <v>1613</v>
      </c>
      <c r="G225" s="39" t="s">
        <v>83</v>
      </c>
      <c r="H225" s="106" t="s">
        <v>164</v>
      </c>
      <c r="I225" s="105">
        <v>7</v>
      </c>
      <c r="J225" s="39" t="s">
        <v>63</v>
      </c>
      <c r="K225" s="116">
        <v>93</v>
      </c>
      <c r="L225" s="33">
        <f t="shared" si="24"/>
        <v>1.55</v>
      </c>
      <c r="M225" s="180"/>
    </row>
    <row r="226" spans="1:13" ht="18.899999999999999" customHeight="1" x14ac:dyDescent="0.45">
      <c r="A226" s="171">
        <f t="shared" si="23"/>
        <v>210</v>
      </c>
      <c r="B226" s="272"/>
      <c r="C226" s="245"/>
      <c r="D226" s="248"/>
      <c r="E226" s="49" t="s">
        <v>345</v>
      </c>
      <c r="F226" s="119">
        <v>1495</v>
      </c>
      <c r="G226" s="39" t="s">
        <v>83</v>
      </c>
      <c r="H226" s="62" t="s">
        <v>346</v>
      </c>
      <c r="I226" s="63">
        <v>10</v>
      </c>
      <c r="J226" s="39" t="s">
        <v>63</v>
      </c>
      <c r="K226" s="132">
        <v>119</v>
      </c>
      <c r="L226" s="33">
        <f t="shared" si="24"/>
        <v>1.9833333333333334</v>
      </c>
      <c r="M226" s="111" t="s">
        <v>139</v>
      </c>
    </row>
    <row r="227" spans="1:13" ht="18.899999999999999" customHeight="1" x14ac:dyDescent="0.45">
      <c r="A227" s="171">
        <f t="shared" si="23"/>
        <v>211</v>
      </c>
      <c r="B227" s="272"/>
      <c r="C227" s="245"/>
      <c r="D227" s="248"/>
      <c r="E227" s="172" t="s">
        <v>339</v>
      </c>
      <c r="F227" s="162">
        <v>1614</v>
      </c>
      <c r="G227" s="39" t="s">
        <v>83</v>
      </c>
      <c r="H227" s="126" t="s">
        <v>164</v>
      </c>
      <c r="I227" s="162">
        <v>7</v>
      </c>
      <c r="J227" s="19" t="s">
        <v>63</v>
      </c>
      <c r="K227" s="133">
        <v>86</v>
      </c>
      <c r="L227" s="33">
        <f t="shared" si="24"/>
        <v>1.4333333333333333</v>
      </c>
      <c r="M227" s="111"/>
    </row>
    <row r="228" spans="1:13" ht="18.899999999999999" customHeight="1" x14ac:dyDescent="0.45">
      <c r="A228" s="171">
        <f t="shared" si="23"/>
        <v>212</v>
      </c>
      <c r="B228" s="272"/>
      <c r="C228" s="244" t="s">
        <v>1449</v>
      </c>
      <c r="D228" s="247" t="s">
        <v>1452</v>
      </c>
      <c r="E228" s="97" t="s">
        <v>414</v>
      </c>
      <c r="F228" s="219">
        <v>1665</v>
      </c>
      <c r="G228" s="99" t="s">
        <v>125</v>
      </c>
      <c r="H228" s="117" t="s">
        <v>126</v>
      </c>
      <c r="I228" s="219">
        <v>6</v>
      </c>
      <c r="J228" s="39" t="s">
        <v>63</v>
      </c>
      <c r="K228" s="220">
        <v>117</v>
      </c>
      <c r="L228" s="221">
        <f t="shared" si="24"/>
        <v>1.95</v>
      </c>
      <c r="M228" s="165"/>
    </row>
    <row r="229" spans="1:13" ht="18.899999999999999" customHeight="1" x14ac:dyDescent="0.45">
      <c r="A229" s="171">
        <f t="shared" si="23"/>
        <v>213</v>
      </c>
      <c r="B229" s="272"/>
      <c r="C229" s="245"/>
      <c r="D229" s="248"/>
      <c r="E229" s="94" t="s">
        <v>276</v>
      </c>
      <c r="F229" s="168">
        <v>1587</v>
      </c>
      <c r="G229" s="162" t="s">
        <v>161</v>
      </c>
      <c r="H229" s="96" t="s">
        <v>171</v>
      </c>
      <c r="I229" s="95">
        <v>7</v>
      </c>
      <c r="J229" s="19" t="s">
        <v>63</v>
      </c>
      <c r="K229" s="110">
        <v>128</v>
      </c>
      <c r="L229" s="33">
        <f t="shared" si="24"/>
        <v>2.1333333333333333</v>
      </c>
      <c r="M229" s="165"/>
    </row>
    <row r="230" spans="1:13" ht="18.899999999999999" customHeight="1" x14ac:dyDescent="0.45">
      <c r="A230" s="171">
        <f t="shared" si="23"/>
        <v>214</v>
      </c>
      <c r="B230" s="272"/>
      <c r="C230" s="245"/>
      <c r="D230" s="248"/>
      <c r="E230" s="169" t="s">
        <v>277</v>
      </c>
      <c r="F230" s="170">
        <v>1584</v>
      </c>
      <c r="G230" s="162" t="s">
        <v>161</v>
      </c>
      <c r="H230" s="117" t="s">
        <v>251</v>
      </c>
      <c r="I230" s="98">
        <v>5</v>
      </c>
      <c r="J230" s="39" t="s">
        <v>63</v>
      </c>
      <c r="K230" s="112">
        <v>82</v>
      </c>
      <c r="L230" s="33">
        <f t="shared" si="24"/>
        <v>1.3666666666666667</v>
      </c>
      <c r="M230" s="165"/>
    </row>
    <row r="231" spans="1:13" ht="18.899999999999999" customHeight="1" x14ac:dyDescent="0.45">
      <c r="A231" s="171">
        <f t="shared" si="23"/>
        <v>215</v>
      </c>
      <c r="B231" s="272"/>
      <c r="C231" s="246"/>
      <c r="D231" s="248"/>
      <c r="E231" s="104" t="s">
        <v>376</v>
      </c>
      <c r="F231" s="105">
        <v>1583</v>
      </c>
      <c r="G231" s="119" t="s">
        <v>161</v>
      </c>
      <c r="H231" s="62" t="s">
        <v>171</v>
      </c>
      <c r="I231" s="105">
        <v>6</v>
      </c>
      <c r="J231" s="99" t="s">
        <v>63</v>
      </c>
      <c r="K231" s="116">
        <v>120</v>
      </c>
      <c r="L231" s="33">
        <f t="shared" si="24"/>
        <v>2</v>
      </c>
      <c r="M231" s="165"/>
    </row>
    <row r="232" spans="1:13" ht="18.899999999999999" customHeight="1" x14ac:dyDescent="0.45">
      <c r="A232" s="171">
        <f t="shared" si="23"/>
        <v>216</v>
      </c>
      <c r="B232" s="272"/>
      <c r="C232" s="271" t="s">
        <v>407</v>
      </c>
      <c r="D232" s="249" t="s">
        <v>408</v>
      </c>
      <c r="E232" s="20" t="s">
        <v>409</v>
      </c>
      <c r="F232" s="58">
        <v>1381</v>
      </c>
      <c r="G232" s="99" t="s">
        <v>83</v>
      </c>
      <c r="H232" s="22" t="s">
        <v>284</v>
      </c>
      <c r="I232" s="23">
        <v>8</v>
      </c>
      <c r="J232" s="24" t="s">
        <v>63</v>
      </c>
      <c r="K232" s="25">
        <v>138</v>
      </c>
      <c r="L232" s="33">
        <f t="shared" ref="L232:L234" si="25">K232/60</f>
        <v>2.2999999999999998</v>
      </c>
      <c r="M232" s="158"/>
    </row>
    <row r="233" spans="1:13" ht="18.899999999999999" customHeight="1" x14ac:dyDescent="0.45">
      <c r="A233" s="171">
        <f t="shared" si="23"/>
        <v>217</v>
      </c>
      <c r="B233" s="272"/>
      <c r="C233" s="272"/>
      <c r="D233" s="251"/>
      <c r="E233" s="20" t="s">
        <v>410</v>
      </c>
      <c r="F233" s="58">
        <v>1380</v>
      </c>
      <c r="G233" s="99" t="s">
        <v>83</v>
      </c>
      <c r="H233" s="22" t="s">
        <v>284</v>
      </c>
      <c r="I233" s="23">
        <v>11</v>
      </c>
      <c r="J233" s="24" t="s">
        <v>63</v>
      </c>
      <c r="K233" s="25">
        <v>257</v>
      </c>
      <c r="L233" s="33">
        <f t="shared" si="25"/>
        <v>4.2833333333333332</v>
      </c>
      <c r="M233" s="158"/>
    </row>
    <row r="234" spans="1:13" ht="18.899999999999999" customHeight="1" x14ac:dyDescent="0.45">
      <c r="A234" s="171">
        <f t="shared" si="23"/>
        <v>218</v>
      </c>
      <c r="B234" s="272"/>
      <c r="C234" s="273"/>
      <c r="D234" s="250"/>
      <c r="E234" s="51" t="s">
        <v>411</v>
      </c>
      <c r="F234" s="19">
        <v>1074</v>
      </c>
      <c r="G234" s="99" t="s">
        <v>83</v>
      </c>
      <c r="H234" s="52" t="s">
        <v>171</v>
      </c>
      <c r="I234" s="56">
        <v>6</v>
      </c>
      <c r="J234" s="19" t="s">
        <v>63</v>
      </c>
      <c r="K234" s="64">
        <v>56</v>
      </c>
      <c r="L234" s="33">
        <f t="shared" si="25"/>
        <v>0.93333333333333335</v>
      </c>
      <c r="M234" s="158"/>
    </row>
    <row r="235" spans="1:13" ht="18.899999999999999" customHeight="1" x14ac:dyDescent="0.45">
      <c r="A235" s="171">
        <f t="shared" si="23"/>
        <v>219</v>
      </c>
      <c r="B235" s="272"/>
      <c r="C235" s="279" t="s">
        <v>412</v>
      </c>
      <c r="D235" s="254" t="s">
        <v>413</v>
      </c>
      <c r="E235" s="97" t="s">
        <v>415</v>
      </c>
      <c r="F235" s="113">
        <v>1618</v>
      </c>
      <c r="G235" s="99" t="s">
        <v>83</v>
      </c>
      <c r="H235" s="106" t="s">
        <v>251</v>
      </c>
      <c r="I235" s="113">
        <v>27</v>
      </c>
      <c r="J235" s="39" t="s">
        <v>63</v>
      </c>
      <c r="K235" s="112">
        <v>262</v>
      </c>
      <c r="L235" s="33">
        <f>K235/60</f>
        <v>4.3666666666666663</v>
      </c>
      <c r="M235" s="165"/>
    </row>
    <row r="236" spans="1:13" ht="18.899999999999999" customHeight="1" x14ac:dyDescent="0.45">
      <c r="A236" s="171">
        <f t="shared" si="23"/>
        <v>220</v>
      </c>
      <c r="B236" s="272"/>
      <c r="C236" s="279"/>
      <c r="D236" s="254"/>
      <c r="E236" s="49" t="s">
        <v>416</v>
      </c>
      <c r="F236" s="99">
        <v>1145</v>
      </c>
      <c r="G236" s="99" t="s">
        <v>83</v>
      </c>
      <c r="H236" s="62" t="s">
        <v>417</v>
      </c>
      <c r="I236" s="63">
        <v>11</v>
      </c>
      <c r="J236" s="62" t="s">
        <v>63</v>
      </c>
      <c r="K236" s="67">
        <v>121</v>
      </c>
      <c r="L236" s="33">
        <f>K236/60</f>
        <v>2.0166666666666666</v>
      </c>
      <c r="M236" s="165"/>
    </row>
    <row r="237" spans="1:13" ht="18.899999999999999" customHeight="1" x14ac:dyDescent="0.45">
      <c r="A237" s="171">
        <f t="shared" si="23"/>
        <v>221</v>
      </c>
      <c r="B237" s="272"/>
      <c r="C237" s="279"/>
      <c r="D237" s="254"/>
      <c r="E237" s="49" t="s">
        <v>418</v>
      </c>
      <c r="F237" s="99">
        <v>1337</v>
      </c>
      <c r="G237" s="99" t="s">
        <v>125</v>
      </c>
      <c r="H237" s="62" t="s">
        <v>417</v>
      </c>
      <c r="I237" s="63">
        <v>11</v>
      </c>
      <c r="J237" s="62" t="s">
        <v>63</v>
      </c>
      <c r="K237" s="67">
        <v>102</v>
      </c>
      <c r="L237" s="33">
        <f>K237/60</f>
        <v>1.7</v>
      </c>
      <c r="M237" s="165"/>
    </row>
    <row r="238" spans="1:13" ht="18.899999999999999" customHeight="1" x14ac:dyDescent="0.45">
      <c r="A238" s="171">
        <f t="shared" si="23"/>
        <v>222</v>
      </c>
      <c r="B238" s="272"/>
      <c r="C238" s="279" t="s">
        <v>419</v>
      </c>
      <c r="D238" s="254" t="s">
        <v>420</v>
      </c>
      <c r="E238" s="176" t="s">
        <v>421</v>
      </c>
      <c r="F238" s="99">
        <v>1019</v>
      </c>
      <c r="G238" s="99" t="s">
        <v>161</v>
      </c>
      <c r="H238" s="99" t="s">
        <v>62</v>
      </c>
      <c r="I238" s="137">
        <v>9</v>
      </c>
      <c r="J238" s="143" t="s">
        <v>63</v>
      </c>
      <c r="K238" s="181">
        <v>59</v>
      </c>
      <c r="L238" s="33">
        <f t="shared" ref="L238:L244" si="26">K238/60</f>
        <v>0.98333333333333328</v>
      </c>
      <c r="M238" s="165"/>
    </row>
    <row r="239" spans="1:13" ht="18.899999999999999" customHeight="1" x14ac:dyDescent="0.45">
      <c r="A239" s="171">
        <f t="shared" ref="A239:A244" si="27">A238+1</f>
        <v>223</v>
      </c>
      <c r="B239" s="272"/>
      <c r="C239" s="279"/>
      <c r="D239" s="254"/>
      <c r="E239" s="176" t="s">
        <v>422</v>
      </c>
      <c r="F239" s="99">
        <v>1021</v>
      </c>
      <c r="G239" s="99" t="s">
        <v>125</v>
      </c>
      <c r="H239" s="99" t="s">
        <v>62</v>
      </c>
      <c r="I239" s="137">
        <v>8</v>
      </c>
      <c r="J239" s="143" t="s">
        <v>63</v>
      </c>
      <c r="K239" s="181">
        <v>75</v>
      </c>
      <c r="L239" s="33">
        <f t="shared" si="26"/>
        <v>1.25</v>
      </c>
      <c r="M239" s="165"/>
    </row>
    <row r="240" spans="1:13" ht="18.899999999999999" customHeight="1" x14ac:dyDescent="0.45">
      <c r="A240" s="171">
        <f t="shared" si="27"/>
        <v>224</v>
      </c>
      <c r="B240" s="272"/>
      <c r="C240" s="279"/>
      <c r="D240" s="254"/>
      <c r="E240" s="66" t="s">
        <v>423</v>
      </c>
      <c r="F240" s="26">
        <v>1020</v>
      </c>
      <c r="G240" s="99" t="s">
        <v>125</v>
      </c>
      <c r="H240" s="26" t="s">
        <v>62</v>
      </c>
      <c r="I240" s="141">
        <v>4</v>
      </c>
      <c r="J240" s="138" t="s">
        <v>63</v>
      </c>
      <c r="K240" s="179">
        <v>51</v>
      </c>
      <c r="L240" s="33">
        <f t="shared" si="26"/>
        <v>0.85</v>
      </c>
      <c r="M240" s="158"/>
    </row>
    <row r="241" spans="1:13" ht="18.899999999999999" customHeight="1" x14ac:dyDescent="0.45">
      <c r="A241" s="171">
        <f t="shared" si="27"/>
        <v>225</v>
      </c>
      <c r="B241" s="272"/>
      <c r="C241" s="279" t="s">
        <v>424</v>
      </c>
      <c r="D241" s="254" t="s">
        <v>425</v>
      </c>
      <c r="E241" s="66" t="s">
        <v>426</v>
      </c>
      <c r="F241" s="26">
        <v>1026</v>
      </c>
      <c r="G241" s="26" t="s">
        <v>83</v>
      </c>
      <c r="H241" s="26" t="s">
        <v>427</v>
      </c>
      <c r="I241" s="141">
        <v>3</v>
      </c>
      <c r="J241" s="138" t="s">
        <v>63</v>
      </c>
      <c r="K241" s="179">
        <v>47</v>
      </c>
      <c r="L241" s="33">
        <f t="shared" si="26"/>
        <v>0.78333333333333333</v>
      </c>
      <c r="M241" s="158"/>
    </row>
    <row r="242" spans="1:13" ht="18.899999999999999" customHeight="1" x14ac:dyDescent="0.45">
      <c r="A242" s="171">
        <f t="shared" si="27"/>
        <v>226</v>
      </c>
      <c r="B242" s="272"/>
      <c r="C242" s="279"/>
      <c r="D242" s="254"/>
      <c r="E242" s="66" t="s">
        <v>428</v>
      </c>
      <c r="F242" s="26">
        <v>1028</v>
      </c>
      <c r="G242" s="26" t="s">
        <v>83</v>
      </c>
      <c r="H242" s="26" t="s">
        <v>427</v>
      </c>
      <c r="I242" s="26">
        <v>7</v>
      </c>
      <c r="J242" s="23" t="s">
        <v>63</v>
      </c>
      <c r="K242" s="25">
        <v>66</v>
      </c>
      <c r="L242" s="33">
        <f t="shared" si="26"/>
        <v>1.1000000000000001</v>
      </c>
      <c r="M242" s="158"/>
    </row>
    <row r="243" spans="1:13" ht="18.899999999999999" customHeight="1" x14ac:dyDescent="0.45">
      <c r="A243" s="171">
        <f t="shared" si="27"/>
        <v>227</v>
      </c>
      <c r="B243" s="272"/>
      <c r="C243" s="279"/>
      <c r="D243" s="254"/>
      <c r="E243" s="20" t="s">
        <v>429</v>
      </c>
      <c r="F243" s="26">
        <v>737</v>
      </c>
      <c r="G243" s="26" t="s">
        <v>125</v>
      </c>
      <c r="H243" s="50" t="s">
        <v>430</v>
      </c>
      <c r="I243" s="26">
        <v>6</v>
      </c>
      <c r="J243" s="19" t="s">
        <v>63</v>
      </c>
      <c r="K243" s="64">
        <v>61</v>
      </c>
      <c r="L243" s="33">
        <f t="shared" si="26"/>
        <v>1.0166666666666666</v>
      </c>
      <c r="M243" s="158"/>
    </row>
    <row r="244" spans="1:13" ht="18.899999999999999" customHeight="1" x14ac:dyDescent="0.45">
      <c r="A244" s="171">
        <f t="shared" si="27"/>
        <v>228</v>
      </c>
      <c r="B244" s="272"/>
      <c r="C244" s="279"/>
      <c r="D244" s="254"/>
      <c r="E244" s="20" t="s">
        <v>431</v>
      </c>
      <c r="F244" s="26">
        <v>717</v>
      </c>
      <c r="G244" s="26" t="s">
        <v>125</v>
      </c>
      <c r="H244" s="19" t="s">
        <v>432</v>
      </c>
      <c r="I244" s="26">
        <v>16</v>
      </c>
      <c r="J244" s="19" t="s">
        <v>63</v>
      </c>
      <c r="K244" s="64">
        <v>130</v>
      </c>
      <c r="L244" s="33">
        <f t="shared" si="26"/>
        <v>2.1666666666666665</v>
      </c>
      <c r="M244" s="158"/>
    </row>
    <row r="245" spans="1:13" ht="19.5" customHeight="1" x14ac:dyDescent="0.45">
      <c r="A245" s="310" t="s">
        <v>433</v>
      </c>
      <c r="B245" s="275"/>
      <c r="C245" s="275"/>
      <c r="D245" s="276"/>
      <c r="E245" s="275"/>
      <c r="F245" s="275"/>
      <c r="G245" s="275"/>
      <c r="H245" s="275"/>
      <c r="I245" s="275"/>
      <c r="J245" s="275"/>
      <c r="K245" s="275"/>
      <c r="L245" s="275"/>
      <c r="M245" s="311"/>
    </row>
    <row r="246" spans="1:13" ht="19.5" customHeight="1" x14ac:dyDescent="0.45">
      <c r="A246" s="19">
        <f>A244+1</f>
        <v>229</v>
      </c>
      <c r="B246" s="282" t="s">
        <v>434</v>
      </c>
      <c r="C246" s="282" t="s">
        <v>435</v>
      </c>
      <c r="D246" s="255" t="s">
        <v>436</v>
      </c>
      <c r="E246" s="97" t="s">
        <v>437</v>
      </c>
      <c r="F246" s="219">
        <v>1670</v>
      </c>
      <c r="G246" s="99" t="s">
        <v>125</v>
      </c>
      <c r="H246" s="117" t="s">
        <v>62</v>
      </c>
      <c r="I246" s="219">
        <v>5</v>
      </c>
      <c r="J246" s="39" t="s">
        <v>63</v>
      </c>
      <c r="K246" s="220">
        <v>47</v>
      </c>
      <c r="L246" s="221">
        <f t="shared" ref="L246:L252" si="28">K246/60</f>
        <v>0.78333333333333333</v>
      </c>
      <c r="M246" s="158"/>
    </row>
    <row r="247" spans="1:13" ht="19.5" customHeight="1" x14ac:dyDescent="0.45">
      <c r="A247" s="19">
        <f>A246+1</f>
        <v>230</v>
      </c>
      <c r="B247" s="283"/>
      <c r="C247" s="283"/>
      <c r="D247" s="264"/>
      <c r="E247" s="227" t="s">
        <v>1454</v>
      </c>
      <c r="F247" s="219">
        <v>1675</v>
      </c>
      <c r="G247" s="99" t="s">
        <v>125</v>
      </c>
      <c r="H247" s="117" t="s">
        <v>62</v>
      </c>
      <c r="I247" s="219">
        <v>4</v>
      </c>
      <c r="J247" s="39" t="s">
        <v>63</v>
      </c>
      <c r="K247" s="220">
        <v>52</v>
      </c>
      <c r="L247" s="221">
        <f>K247/60</f>
        <v>0.8666666666666667</v>
      </c>
      <c r="M247" s="158"/>
    </row>
    <row r="248" spans="1:13" ht="19.5" customHeight="1" x14ac:dyDescent="0.45">
      <c r="A248" s="19">
        <f>A247+1</f>
        <v>231</v>
      </c>
      <c r="B248" s="283"/>
      <c r="C248" s="283"/>
      <c r="D248" s="264"/>
      <c r="E248" s="97" t="s">
        <v>438</v>
      </c>
      <c r="F248" s="219">
        <v>1671</v>
      </c>
      <c r="G248" s="99" t="s">
        <v>125</v>
      </c>
      <c r="H248" s="117" t="s">
        <v>439</v>
      </c>
      <c r="I248" s="219">
        <v>5</v>
      </c>
      <c r="J248" s="39" t="s">
        <v>63</v>
      </c>
      <c r="K248" s="220">
        <v>70</v>
      </c>
      <c r="L248" s="221">
        <f t="shared" si="28"/>
        <v>1.1666666666666667</v>
      </c>
      <c r="M248" s="158"/>
    </row>
    <row r="249" spans="1:13" ht="19.5" customHeight="1" x14ac:dyDescent="0.45">
      <c r="A249" s="19">
        <f>A248+1</f>
        <v>232</v>
      </c>
      <c r="B249" s="283"/>
      <c r="C249" s="283"/>
      <c r="D249" s="264"/>
      <c r="E249" s="49" t="s">
        <v>440</v>
      </c>
      <c r="F249" s="99">
        <v>1532</v>
      </c>
      <c r="G249" s="99" t="s">
        <v>125</v>
      </c>
      <c r="H249" s="62" t="s">
        <v>62</v>
      </c>
      <c r="I249" s="99">
        <v>8</v>
      </c>
      <c r="J249" s="39" t="s">
        <v>63</v>
      </c>
      <c r="K249" s="132">
        <v>81</v>
      </c>
      <c r="L249" s="33">
        <f t="shared" si="28"/>
        <v>1.35</v>
      </c>
      <c r="M249" s="158"/>
    </row>
    <row r="250" spans="1:13" ht="19.5" customHeight="1" x14ac:dyDescent="0.45">
      <c r="A250" s="19">
        <f>A249+1</f>
        <v>233</v>
      </c>
      <c r="B250" s="283"/>
      <c r="C250" s="283"/>
      <c r="D250" s="264"/>
      <c r="E250" s="49" t="s">
        <v>441</v>
      </c>
      <c r="F250" s="99">
        <v>1531</v>
      </c>
      <c r="G250" s="99" t="s">
        <v>125</v>
      </c>
      <c r="H250" s="62" t="s">
        <v>62</v>
      </c>
      <c r="I250" s="99">
        <v>6</v>
      </c>
      <c r="J250" s="39" t="s">
        <v>63</v>
      </c>
      <c r="K250" s="132">
        <v>67</v>
      </c>
      <c r="L250" s="33">
        <f t="shared" si="28"/>
        <v>1.1166666666666667</v>
      </c>
      <c r="M250" s="158"/>
    </row>
    <row r="251" spans="1:13" ht="19.5" customHeight="1" x14ac:dyDescent="0.45">
      <c r="A251" s="19">
        <f t="shared" ref="A251:A276" si="29">A250+1</f>
        <v>234</v>
      </c>
      <c r="B251" s="279" t="s">
        <v>442</v>
      </c>
      <c r="C251" s="279" t="s">
        <v>443</v>
      </c>
      <c r="D251" s="237" t="s">
        <v>444</v>
      </c>
      <c r="E251" s="97" t="s">
        <v>445</v>
      </c>
      <c r="F251" s="219">
        <v>1666</v>
      </c>
      <c r="G251" s="99" t="s">
        <v>125</v>
      </c>
      <c r="H251" s="117" t="s">
        <v>354</v>
      </c>
      <c r="I251" s="219">
        <v>6</v>
      </c>
      <c r="J251" s="39" t="s">
        <v>63</v>
      </c>
      <c r="K251" s="220">
        <v>52</v>
      </c>
      <c r="L251" s="221">
        <f t="shared" si="28"/>
        <v>0.8666666666666667</v>
      </c>
      <c r="M251" s="158"/>
    </row>
    <row r="252" spans="1:13" ht="19.5" customHeight="1" x14ac:dyDescent="0.45">
      <c r="A252" s="19">
        <f t="shared" si="29"/>
        <v>235</v>
      </c>
      <c r="B252" s="279"/>
      <c r="C252" s="279"/>
      <c r="D252" s="237"/>
      <c r="E252" s="101" t="s">
        <v>446</v>
      </c>
      <c r="F252" s="105">
        <v>1596</v>
      </c>
      <c r="G252" s="99" t="s">
        <v>83</v>
      </c>
      <c r="H252" s="106" t="s">
        <v>354</v>
      </c>
      <c r="I252" s="105">
        <v>6</v>
      </c>
      <c r="J252" s="39" t="s">
        <v>63</v>
      </c>
      <c r="K252" s="116">
        <v>48</v>
      </c>
      <c r="L252" s="33">
        <f t="shared" si="28"/>
        <v>0.8</v>
      </c>
      <c r="M252" s="158"/>
    </row>
    <row r="253" spans="1:13" ht="19.5" customHeight="1" x14ac:dyDescent="0.45">
      <c r="A253" s="19">
        <f t="shared" si="29"/>
        <v>236</v>
      </c>
      <c r="B253" s="279"/>
      <c r="C253" s="279"/>
      <c r="D253" s="237"/>
      <c r="E253" s="41" t="s">
        <v>447</v>
      </c>
      <c r="F253" s="162">
        <v>1598</v>
      </c>
      <c r="G253" s="26" t="s">
        <v>125</v>
      </c>
      <c r="H253" s="126" t="s">
        <v>354</v>
      </c>
      <c r="I253" s="162">
        <v>6</v>
      </c>
      <c r="J253" s="19" t="s">
        <v>63</v>
      </c>
      <c r="K253" s="133">
        <v>58</v>
      </c>
      <c r="L253" s="33">
        <f t="shared" ref="L253:L268" si="30">K253/60</f>
        <v>0.96666666666666667</v>
      </c>
      <c r="M253" s="158"/>
    </row>
    <row r="254" spans="1:13" ht="19.5" customHeight="1" x14ac:dyDescent="0.45">
      <c r="A254" s="19">
        <f t="shared" si="29"/>
        <v>237</v>
      </c>
      <c r="B254" s="279"/>
      <c r="C254" s="279"/>
      <c r="D254" s="237"/>
      <c r="E254" s="183" t="s">
        <v>448</v>
      </c>
      <c r="F254" s="119">
        <v>1496</v>
      </c>
      <c r="G254" s="99" t="s">
        <v>161</v>
      </c>
      <c r="H254" s="62" t="s">
        <v>136</v>
      </c>
      <c r="I254" s="63">
        <v>9</v>
      </c>
      <c r="J254" s="39" t="s">
        <v>63</v>
      </c>
      <c r="K254" s="132">
        <v>124</v>
      </c>
      <c r="L254" s="33">
        <f t="shared" si="30"/>
        <v>2.0666666666666669</v>
      </c>
      <c r="M254" s="158"/>
    </row>
    <row r="255" spans="1:13" ht="19.5" customHeight="1" x14ac:dyDescent="0.45">
      <c r="A255" s="19">
        <f t="shared" si="29"/>
        <v>238</v>
      </c>
      <c r="B255" s="279"/>
      <c r="C255" s="279"/>
      <c r="D255" s="237"/>
      <c r="E255" s="183" t="s">
        <v>449</v>
      </c>
      <c r="F255" s="119">
        <v>1485</v>
      </c>
      <c r="G255" s="99" t="s">
        <v>161</v>
      </c>
      <c r="H255" s="62" t="s">
        <v>126</v>
      </c>
      <c r="I255" s="63">
        <v>10</v>
      </c>
      <c r="J255" s="39" t="s">
        <v>63</v>
      </c>
      <c r="K255" s="132">
        <v>188</v>
      </c>
      <c r="L255" s="33">
        <f t="shared" si="30"/>
        <v>3.1333333333333333</v>
      </c>
      <c r="M255" s="165"/>
    </row>
    <row r="256" spans="1:13" ht="19.5" customHeight="1" x14ac:dyDescent="0.45">
      <c r="A256" s="19">
        <f t="shared" si="29"/>
        <v>239</v>
      </c>
      <c r="B256" s="279"/>
      <c r="C256" s="279"/>
      <c r="D256" s="237"/>
      <c r="E256" s="183" t="s">
        <v>450</v>
      </c>
      <c r="F256" s="99">
        <v>1534</v>
      </c>
      <c r="G256" s="99" t="s">
        <v>161</v>
      </c>
      <c r="H256" s="62" t="s">
        <v>262</v>
      </c>
      <c r="I256" s="99">
        <v>12</v>
      </c>
      <c r="J256" s="39" t="s">
        <v>63</v>
      </c>
      <c r="K256" s="132">
        <v>163</v>
      </c>
      <c r="L256" s="33">
        <f t="shared" si="30"/>
        <v>2.7166666666666668</v>
      </c>
      <c r="M256" s="159" t="s">
        <v>373</v>
      </c>
    </row>
    <row r="257" spans="1:13" ht="19.5" customHeight="1" x14ac:dyDescent="0.45">
      <c r="A257" s="19">
        <f t="shared" si="29"/>
        <v>240</v>
      </c>
      <c r="B257" s="279"/>
      <c r="C257" s="279"/>
      <c r="D257" s="237"/>
      <c r="E257" s="101" t="s">
        <v>451</v>
      </c>
      <c r="F257" s="105">
        <v>1541</v>
      </c>
      <c r="G257" s="99" t="s">
        <v>161</v>
      </c>
      <c r="H257" s="62" t="s">
        <v>262</v>
      </c>
      <c r="I257" s="105">
        <v>15</v>
      </c>
      <c r="J257" s="99" t="s">
        <v>63</v>
      </c>
      <c r="K257" s="116">
        <v>164</v>
      </c>
      <c r="L257" s="33">
        <f t="shared" si="30"/>
        <v>2.7333333333333334</v>
      </c>
      <c r="M257" s="159" t="s">
        <v>373</v>
      </c>
    </row>
    <row r="258" spans="1:13" ht="18.899999999999999" customHeight="1" x14ac:dyDescent="0.45">
      <c r="A258" s="19">
        <f t="shared" si="29"/>
        <v>241</v>
      </c>
      <c r="B258" s="271" t="s">
        <v>452</v>
      </c>
      <c r="C258" s="185" t="s">
        <v>453</v>
      </c>
      <c r="D258" s="182" t="s">
        <v>454</v>
      </c>
      <c r="E258" s="49" t="s">
        <v>455</v>
      </c>
      <c r="F258" s="119">
        <v>1510</v>
      </c>
      <c r="G258" s="119" t="s">
        <v>83</v>
      </c>
      <c r="H258" s="62" t="s">
        <v>262</v>
      </c>
      <c r="I258" s="119">
        <v>12</v>
      </c>
      <c r="J258" s="99" t="s">
        <v>63</v>
      </c>
      <c r="K258" s="132">
        <v>136</v>
      </c>
      <c r="L258" s="33">
        <f t="shared" si="30"/>
        <v>2.2666666666666666</v>
      </c>
      <c r="M258" s="159" t="s">
        <v>139</v>
      </c>
    </row>
    <row r="259" spans="1:13" ht="18.899999999999999" customHeight="1" x14ac:dyDescent="0.45">
      <c r="A259" s="19">
        <f t="shared" si="29"/>
        <v>242</v>
      </c>
      <c r="B259" s="272"/>
      <c r="C259" s="271" t="s">
        <v>456</v>
      </c>
      <c r="D259" s="255" t="s">
        <v>457</v>
      </c>
      <c r="E259" s="97" t="s">
        <v>458</v>
      </c>
      <c r="F259" s="219">
        <v>1658</v>
      </c>
      <c r="G259" s="119" t="s">
        <v>83</v>
      </c>
      <c r="H259" s="117" t="s">
        <v>275</v>
      </c>
      <c r="I259" s="219">
        <v>11</v>
      </c>
      <c r="J259" s="39" t="s">
        <v>63</v>
      </c>
      <c r="K259" s="220">
        <v>82</v>
      </c>
      <c r="L259" s="221">
        <f t="shared" si="30"/>
        <v>1.3666666666666667</v>
      </c>
    </row>
    <row r="260" spans="1:13" ht="18.899999999999999" customHeight="1" x14ac:dyDescent="0.45">
      <c r="A260" s="19">
        <f t="shared" si="29"/>
        <v>243</v>
      </c>
      <c r="B260" s="272"/>
      <c r="C260" s="272"/>
      <c r="D260" s="264"/>
      <c r="E260" s="49" t="s">
        <v>459</v>
      </c>
      <c r="F260" s="99">
        <v>1006</v>
      </c>
      <c r="G260" s="119" t="s">
        <v>83</v>
      </c>
      <c r="H260" s="161" t="s">
        <v>460</v>
      </c>
      <c r="I260" s="99">
        <v>9</v>
      </c>
      <c r="J260" s="99" t="s">
        <v>63</v>
      </c>
      <c r="K260" s="67">
        <v>99</v>
      </c>
      <c r="L260" s="33">
        <f t="shared" si="30"/>
        <v>1.65</v>
      </c>
      <c r="M260" s="176" t="s">
        <v>139</v>
      </c>
    </row>
    <row r="261" spans="1:13" ht="18.899999999999999" customHeight="1" x14ac:dyDescent="0.45">
      <c r="A261" s="19">
        <f t="shared" si="29"/>
        <v>244</v>
      </c>
      <c r="B261" s="272"/>
      <c r="C261" s="272"/>
      <c r="D261" s="264"/>
      <c r="E261" s="49" t="s">
        <v>461</v>
      </c>
      <c r="F261" s="99">
        <v>1007</v>
      </c>
      <c r="G261" s="119" t="s">
        <v>83</v>
      </c>
      <c r="H261" s="161" t="s">
        <v>460</v>
      </c>
      <c r="I261" s="99">
        <v>9</v>
      </c>
      <c r="J261" s="99" t="s">
        <v>63</v>
      </c>
      <c r="K261" s="67">
        <v>99</v>
      </c>
      <c r="L261" s="33">
        <f t="shared" si="30"/>
        <v>1.65</v>
      </c>
      <c r="M261" s="176" t="s">
        <v>139</v>
      </c>
    </row>
    <row r="262" spans="1:13" ht="18.899999999999999" customHeight="1" x14ac:dyDescent="0.45">
      <c r="A262" s="19">
        <f t="shared" si="29"/>
        <v>245</v>
      </c>
      <c r="B262" s="272"/>
      <c r="C262" s="272"/>
      <c r="D262" s="264"/>
      <c r="E262" s="49" t="s">
        <v>462</v>
      </c>
      <c r="F262" s="99">
        <v>1008</v>
      </c>
      <c r="G262" s="119" t="s">
        <v>83</v>
      </c>
      <c r="H262" s="161" t="s">
        <v>460</v>
      </c>
      <c r="I262" s="99">
        <v>7</v>
      </c>
      <c r="J262" s="99" t="s">
        <v>63</v>
      </c>
      <c r="K262" s="67">
        <v>61</v>
      </c>
      <c r="L262" s="33">
        <f t="shared" si="30"/>
        <v>1.0166666666666666</v>
      </c>
      <c r="M262" s="176" t="s">
        <v>139</v>
      </c>
    </row>
    <row r="263" spans="1:13" ht="18.899999999999999" customHeight="1" x14ac:dyDescent="0.45">
      <c r="A263" s="19">
        <f t="shared" si="29"/>
        <v>246</v>
      </c>
      <c r="B263" s="272"/>
      <c r="C263" s="272"/>
      <c r="D263" s="264"/>
      <c r="E263" s="49" t="s">
        <v>463</v>
      </c>
      <c r="F263" s="99">
        <v>1009</v>
      </c>
      <c r="G263" s="119" t="s">
        <v>83</v>
      </c>
      <c r="H263" s="161" t="s">
        <v>460</v>
      </c>
      <c r="I263" s="99">
        <v>9</v>
      </c>
      <c r="J263" s="99" t="s">
        <v>63</v>
      </c>
      <c r="K263" s="67">
        <v>81</v>
      </c>
      <c r="L263" s="33">
        <f t="shared" si="30"/>
        <v>1.35</v>
      </c>
      <c r="M263" s="176" t="s">
        <v>139</v>
      </c>
    </row>
    <row r="264" spans="1:13" ht="18.899999999999999" customHeight="1" x14ac:dyDescent="0.45">
      <c r="A264" s="19">
        <f t="shared" si="29"/>
        <v>247</v>
      </c>
      <c r="B264" s="272"/>
      <c r="C264" s="272"/>
      <c r="D264" s="264"/>
      <c r="E264" s="49" t="s">
        <v>464</v>
      </c>
      <c r="F264" s="99">
        <v>1010</v>
      </c>
      <c r="G264" s="119" t="s">
        <v>83</v>
      </c>
      <c r="H264" s="161" t="s">
        <v>460</v>
      </c>
      <c r="I264" s="99">
        <v>8</v>
      </c>
      <c r="J264" s="99" t="s">
        <v>63</v>
      </c>
      <c r="K264" s="67">
        <v>84</v>
      </c>
      <c r="L264" s="33">
        <f t="shared" si="30"/>
        <v>1.4</v>
      </c>
      <c r="M264" s="176" t="s">
        <v>139</v>
      </c>
    </row>
    <row r="265" spans="1:13" ht="18.899999999999999" customHeight="1" x14ac:dyDescent="0.45">
      <c r="A265" s="19">
        <f t="shared" si="29"/>
        <v>248</v>
      </c>
      <c r="B265" s="272"/>
      <c r="C265" s="273"/>
      <c r="D265" s="253"/>
      <c r="E265" s="49" t="s">
        <v>465</v>
      </c>
      <c r="F265" s="99">
        <v>1012</v>
      </c>
      <c r="G265" s="119" t="s">
        <v>83</v>
      </c>
      <c r="H265" s="161" t="s">
        <v>460</v>
      </c>
      <c r="I265" s="99">
        <v>10</v>
      </c>
      <c r="J265" s="99" t="s">
        <v>63</v>
      </c>
      <c r="K265" s="67">
        <v>98</v>
      </c>
      <c r="L265" s="33">
        <f t="shared" si="30"/>
        <v>1.6333333333333333</v>
      </c>
      <c r="M265" s="176" t="s">
        <v>139</v>
      </c>
    </row>
    <row r="266" spans="1:13" ht="18.899999999999999" customHeight="1" x14ac:dyDescent="0.45">
      <c r="A266" s="19">
        <f t="shared" si="29"/>
        <v>249</v>
      </c>
      <c r="B266" s="272"/>
      <c r="C266" s="279" t="s">
        <v>466</v>
      </c>
      <c r="D266" s="237" t="s">
        <v>467</v>
      </c>
      <c r="E266" s="97" t="s">
        <v>468</v>
      </c>
      <c r="F266" s="219">
        <v>1660</v>
      </c>
      <c r="G266" s="119" t="s">
        <v>125</v>
      </c>
      <c r="H266" s="117" t="s">
        <v>379</v>
      </c>
      <c r="I266" s="219">
        <v>9</v>
      </c>
      <c r="J266" s="39" t="s">
        <v>63</v>
      </c>
      <c r="K266" s="220">
        <v>109</v>
      </c>
      <c r="L266" s="221">
        <f t="shared" si="30"/>
        <v>1.8166666666666667</v>
      </c>
      <c r="M266" s="176"/>
    </row>
    <row r="267" spans="1:13" ht="18.899999999999999" customHeight="1" x14ac:dyDescent="0.45">
      <c r="A267" s="19">
        <f t="shared" si="29"/>
        <v>250</v>
      </c>
      <c r="B267" s="272"/>
      <c r="C267" s="279"/>
      <c r="D267" s="237"/>
      <c r="E267" s="41" t="s">
        <v>469</v>
      </c>
      <c r="F267" s="42">
        <v>1655</v>
      </c>
      <c r="G267" s="121" t="s">
        <v>161</v>
      </c>
      <c r="H267" s="44" t="s">
        <v>379</v>
      </c>
      <c r="I267" s="42">
        <v>15</v>
      </c>
      <c r="J267" s="19" t="s">
        <v>63</v>
      </c>
      <c r="K267" s="43">
        <v>168</v>
      </c>
      <c r="L267" s="45">
        <f t="shared" si="30"/>
        <v>2.8</v>
      </c>
      <c r="M267" s="176"/>
    </row>
    <row r="268" spans="1:13" ht="18.899999999999999" customHeight="1" x14ac:dyDescent="0.45">
      <c r="A268" s="19">
        <f t="shared" si="29"/>
        <v>251</v>
      </c>
      <c r="B268" s="272"/>
      <c r="C268" s="279"/>
      <c r="D268" s="237"/>
      <c r="E268" s="120" t="s">
        <v>470</v>
      </c>
      <c r="F268" s="121">
        <v>1625</v>
      </c>
      <c r="G268" s="121" t="s">
        <v>161</v>
      </c>
      <c r="H268" s="122" t="s">
        <v>262</v>
      </c>
      <c r="I268" s="121">
        <v>7</v>
      </c>
      <c r="J268" s="19" t="s">
        <v>63</v>
      </c>
      <c r="K268" s="110">
        <v>134</v>
      </c>
      <c r="L268" s="33">
        <f t="shared" si="30"/>
        <v>2.2333333333333334</v>
      </c>
      <c r="M268" s="176" t="s">
        <v>139</v>
      </c>
    </row>
    <row r="269" spans="1:13" ht="18.899999999999999" customHeight="1" x14ac:dyDescent="0.45">
      <c r="A269" s="19">
        <f t="shared" si="29"/>
        <v>252</v>
      </c>
      <c r="B269" s="272"/>
      <c r="C269" s="279"/>
      <c r="D269" s="237"/>
      <c r="E269" s="51" t="s">
        <v>471</v>
      </c>
      <c r="F269" s="19">
        <v>1097</v>
      </c>
      <c r="G269" s="19" t="s">
        <v>125</v>
      </c>
      <c r="H269" s="52" t="s">
        <v>472</v>
      </c>
      <c r="I269" s="19">
        <v>24</v>
      </c>
      <c r="J269" s="19" t="s">
        <v>63</v>
      </c>
      <c r="K269" s="64">
        <v>350</v>
      </c>
      <c r="L269" s="33">
        <f t="shared" ref="L269:L285" si="31">K269/60</f>
        <v>5.833333333333333</v>
      </c>
    </row>
    <row r="270" spans="1:13" ht="18.899999999999999" customHeight="1" x14ac:dyDescent="0.45">
      <c r="A270" s="19">
        <f t="shared" si="29"/>
        <v>253</v>
      </c>
      <c r="B270" s="272"/>
      <c r="C270" s="279"/>
      <c r="D270" s="237"/>
      <c r="E270" s="153" t="s">
        <v>473</v>
      </c>
      <c r="F270" s="19">
        <v>1135</v>
      </c>
      <c r="G270" s="121" t="s">
        <v>161</v>
      </c>
      <c r="H270" s="26" t="s">
        <v>282</v>
      </c>
      <c r="I270" s="19">
        <v>1</v>
      </c>
      <c r="J270" s="19" t="s">
        <v>63</v>
      </c>
      <c r="K270" s="64">
        <v>104</v>
      </c>
      <c r="L270" s="33">
        <f t="shared" si="31"/>
        <v>1.7333333333333334</v>
      </c>
      <c r="M270" s="158"/>
    </row>
    <row r="271" spans="1:13" ht="18.899999999999999" customHeight="1" x14ac:dyDescent="0.45">
      <c r="A271" s="19">
        <f t="shared" si="29"/>
        <v>254</v>
      </c>
      <c r="B271" s="272"/>
      <c r="C271" s="279"/>
      <c r="D271" s="237"/>
      <c r="E271" s="20" t="s">
        <v>474</v>
      </c>
      <c r="F271" s="26">
        <v>966</v>
      </c>
      <c r="G271" s="19" t="s">
        <v>125</v>
      </c>
      <c r="H271" s="22" t="s">
        <v>475</v>
      </c>
      <c r="I271" s="26">
        <v>3</v>
      </c>
      <c r="J271" s="19" t="s">
        <v>63</v>
      </c>
      <c r="K271" s="64">
        <v>43</v>
      </c>
      <c r="L271" s="33">
        <f t="shared" si="31"/>
        <v>0.71666666666666667</v>
      </c>
      <c r="M271" s="158"/>
    </row>
    <row r="272" spans="1:13" ht="18.899999999999999" customHeight="1" x14ac:dyDescent="0.45">
      <c r="A272" s="19">
        <f t="shared" si="29"/>
        <v>255</v>
      </c>
      <c r="B272" s="272"/>
      <c r="C272" s="279" t="s">
        <v>476</v>
      </c>
      <c r="D272" s="237" t="s">
        <v>477</v>
      </c>
      <c r="E272" s="104" t="s">
        <v>478</v>
      </c>
      <c r="F272" s="105">
        <v>1543</v>
      </c>
      <c r="G272" s="105" t="s">
        <v>83</v>
      </c>
      <c r="H272" s="106" t="s">
        <v>275</v>
      </c>
      <c r="I272" s="105">
        <v>11</v>
      </c>
      <c r="J272" s="99" t="s">
        <v>63</v>
      </c>
      <c r="K272" s="116">
        <v>105</v>
      </c>
      <c r="L272" s="33">
        <f t="shared" si="31"/>
        <v>1.75</v>
      </c>
      <c r="M272" s="165"/>
    </row>
    <row r="273" spans="1:13" ht="18.899999999999999" customHeight="1" x14ac:dyDescent="0.45">
      <c r="A273" s="19">
        <f t="shared" si="29"/>
        <v>256</v>
      </c>
      <c r="B273" s="272"/>
      <c r="C273" s="279"/>
      <c r="D273" s="237"/>
      <c r="E273" s="20" t="s">
        <v>479</v>
      </c>
      <c r="F273" s="22" t="s">
        <v>480</v>
      </c>
      <c r="G273" s="22" t="s">
        <v>125</v>
      </c>
      <c r="H273" s="22" t="s">
        <v>475</v>
      </c>
      <c r="I273" s="23">
        <v>8</v>
      </c>
      <c r="J273" s="22" t="s">
        <v>63</v>
      </c>
      <c r="K273" s="64">
        <v>134</v>
      </c>
      <c r="L273" s="33">
        <f t="shared" si="31"/>
        <v>2.2333333333333334</v>
      </c>
      <c r="M273" s="158"/>
    </row>
    <row r="274" spans="1:13" ht="18.899999999999999" customHeight="1" x14ac:dyDescent="0.45">
      <c r="A274" s="19">
        <f t="shared" si="29"/>
        <v>257</v>
      </c>
      <c r="B274" s="272"/>
      <c r="C274" s="279"/>
      <c r="D274" s="237"/>
      <c r="E274" s="153" t="s">
        <v>481</v>
      </c>
      <c r="F274" s="58">
        <v>1333</v>
      </c>
      <c r="G274" s="58" t="s">
        <v>161</v>
      </c>
      <c r="H274" s="26" t="s">
        <v>126</v>
      </c>
      <c r="I274" s="19">
        <v>12</v>
      </c>
      <c r="J274" s="19" t="s">
        <v>63</v>
      </c>
      <c r="K274" s="64">
        <v>132</v>
      </c>
      <c r="L274" s="33">
        <f t="shared" si="31"/>
        <v>2.2000000000000002</v>
      </c>
      <c r="M274" s="158"/>
    </row>
    <row r="275" spans="1:13" ht="18.899999999999999" customHeight="1" x14ac:dyDescent="0.45">
      <c r="A275" s="19">
        <f t="shared" si="29"/>
        <v>258</v>
      </c>
      <c r="B275" s="272"/>
      <c r="C275" s="279"/>
      <c r="D275" s="237"/>
      <c r="E275" s="153" t="s">
        <v>482</v>
      </c>
      <c r="F275" s="58">
        <v>1332</v>
      </c>
      <c r="G275" s="58" t="s">
        <v>161</v>
      </c>
      <c r="H275" s="26" t="s">
        <v>126</v>
      </c>
      <c r="I275" s="19">
        <v>9</v>
      </c>
      <c r="J275" s="19" t="s">
        <v>63</v>
      </c>
      <c r="K275" s="64">
        <v>132</v>
      </c>
      <c r="L275" s="33">
        <f t="shared" si="31"/>
        <v>2.2000000000000002</v>
      </c>
      <c r="M275" s="158"/>
    </row>
    <row r="276" spans="1:13" ht="18.899999999999999" customHeight="1" x14ac:dyDescent="0.45">
      <c r="A276" s="19">
        <f t="shared" si="29"/>
        <v>259</v>
      </c>
      <c r="B276" s="272"/>
      <c r="C276" s="279" t="s">
        <v>483</v>
      </c>
      <c r="D276" s="254" t="s">
        <v>484</v>
      </c>
      <c r="E276" s="20" t="s">
        <v>483</v>
      </c>
      <c r="F276" s="26">
        <v>929</v>
      </c>
      <c r="G276" s="26" t="s">
        <v>125</v>
      </c>
      <c r="H276" s="22" t="s">
        <v>472</v>
      </c>
      <c r="I276" s="23">
        <v>6</v>
      </c>
      <c r="J276" s="19" t="s">
        <v>63</v>
      </c>
      <c r="K276" s="64">
        <v>74</v>
      </c>
      <c r="L276" s="33">
        <f t="shared" si="31"/>
        <v>1.2333333333333334</v>
      </c>
      <c r="M276" s="158"/>
    </row>
    <row r="277" spans="1:13" ht="18.899999999999999" customHeight="1" x14ac:dyDescent="0.45">
      <c r="A277" s="19">
        <f t="shared" ref="A277:A291" si="32">A276+1</f>
        <v>260</v>
      </c>
      <c r="B277" s="272"/>
      <c r="C277" s="279"/>
      <c r="D277" s="254"/>
      <c r="E277" s="20" t="s">
        <v>485</v>
      </c>
      <c r="F277" s="58">
        <v>1229</v>
      </c>
      <c r="G277" s="26" t="s">
        <v>125</v>
      </c>
      <c r="H277" s="22" t="s">
        <v>472</v>
      </c>
      <c r="I277" s="23">
        <v>1</v>
      </c>
      <c r="J277" s="24" t="s">
        <v>63</v>
      </c>
      <c r="K277" s="25">
        <v>52</v>
      </c>
      <c r="L277" s="33">
        <f t="shared" si="31"/>
        <v>0.8666666666666667</v>
      </c>
      <c r="M277" s="158"/>
    </row>
    <row r="278" spans="1:13" ht="18.899999999999999" customHeight="1" x14ac:dyDescent="0.45">
      <c r="A278" s="19">
        <f t="shared" si="32"/>
        <v>261</v>
      </c>
      <c r="B278" s="272"/>
      <c r="C278" s="56" t="s">
        <v>486</v>
      </c>
      <c r="D278" s="150" t="s">
        <v>487</v>
      </c>
      <c r="E278" s="61" t="s">
        <v>488</v>
      </c>
      <c r="F278" s="19">
        <v>133</v>
      </c>
      <c r="G278" s="19" t="s">
        <v>83</v>
      </c>
      <c r="H278" s="161" t="s">
        <v>489</v>
      </c>
      <c r="I278" s="39">
        <v>7</v>
      </c>
      <c r="J278" s="39" t="s">
        <v>63</v>
      </c>
      <c r="K278" s="67">
        <v>74</v>
      </c>
      <c r="L278" s="33">
        <f t="shared" si="31"/>
        <v>1.2333333333333334</v>
      </c>
      <c r="M278" s="158"/>
    </row>
    <row r="279" spans="1:13" ht="18.899999999999999" customHeight="1" x14ac:dyDescent="0.45">
      <c r="A279" s="19">
        <f t="shared" si="32"/>
        <v>262</v>
      </c>
      <c r="B279" s="272"/>
      <c r="C279" s="271" t="s">
        <v>490</v>
      </c>
      <c r="D279" s="249" t="s">
        <v>491</v>
      </c>
      <c r="E279" s="73" t="s">
        <v>492</v>
      </c>
      <c r="F279" s="187">
        <v>326</v>
      </c>
      <c r="G279" s="19" t="s">
        <v>83</v>
      </c>
      <c r="H279" s="26" t="s">
        <v>62</v>
      </c>
      <c r="I279" s="160">
        <v>3</v>
      </c>
      <c r="J279" s="22" t="s">
        <v>63</v>
      </c>
      <c r="K279" s="64">
        <v>19</v>
      </c>
      <c r="L279" s="33">
        <f t="shared" si="31"/>
        <v>0.31666666666666665</v>
      </c>
      <c r="M279" s="158"/>
    </row>
    <row r="280" spans="1:13" ht="18.899999999999999" customHeight="1" x14ac:dyDescent="0.45">
      <c r="A280" s="19">
        <f t="shared" si="32"/>
        <v>263</v>
      </c>
      <c r="B280" s="272"/>
      <c r="C280" s="272"/>
      <c r="D280" s="251"/>
      <c r="E280" s="73" t="s">
        <v>493</v>
      </c>
      <c r="F280" s="187">
        <v>334</v>
      </c>
      <c r="G280" s="19" t="s">
        <v>83</v>
      </c>
      <c r="H280" s="26" t="s">
        <v>62</v>
      </c>
      <c r="I280" s="160">
        <v>5</v>
      </c>
      <c r="J280" s="22" t="s">
        <v>63</v>
      </c>
      <c r="K280" s="64">
        <v>33</v>
      </c>
      <c r="L280" s="33">
        <f t="shared" si="31"/>
        <v>0.55000000000000004</v>
      </c>
      <c r="M280" s="158"/>
    </row>
    <row r="281" spans="1:13" ht="18.899999999999999" customHeight="1" x14ac:dyDescent="0.45">
      <c r="A281" s="19">
        <f t="shared" si="32"/>
        <v>264</v>
      </c>
      <c r="B281" s="272"/>
      <c r="C281" s="272"/>
      <c r="D281" s="251"/>
      <c r="E281" s="73" t="s">
        <v>494</v>
      </c>
      <c r="F281" s="187">
        <v>612</v>
      </c>
      <c r="G281" s="19" t="s">
        <v>83</v>
      </c>
      <c r="H281" s="26" t="s">
        <v>62</v>
      </c>
      <c r="I281" s="160">
        <v>18</v>
      </c>
      <c r="J281" s="22" t="s">
        <v>63</v>
      </c>
      <c r="K281" s="64">
        <v>123</v>
      </c>
      <c r="L281" s="33">
        <f t="shared" si="31"/>
        <v>2.0499999999999998</v>
      </c>
      <c r="M281" s="158"/>
    </row>
    <row r="282" spans="1:13" ht="18.899999999999999" customHeight="1" x14ac:dyDescent="0.45">
      <c r="A282" s="19">
        <f t="shared" si="32"/>
        <v>265</v>
      </c>
      <c r="B282" s="272"/>
      <c r="C282" s="272"/>
      <c r="D282" s="251"/>
      <c r="E282" s="73" t="s">
        <v>495</v>
      </c>
      <c r="F282" s="187">
        <v>339</v>
      </c>
      <c r="G282" s="19" t="s">
        <v>83</v>
      </c>
      <c r="H282" s="26" t="s">
        <v>62</v>
      </c>
      <c r="I282" s="160">
        <v>6</v>
      </c>
      <c r="J282" s="22" t="s">
        <v>63</v>
      </c>
      <c r="K282" s="64">
        <v>38</v>
      </c>
      <c r="L282" s="33">
        <f t="shared" si="31"/>
        <v>0.6333333333333333</v>
      </c>
      <c r="M282" s="158"/>
    </row>
    <row r="283" spans="1:13" ht="18.899999999999999" customHeight="1" x14ac:dyDescent="0.45">
      <c r="A283" s="19">
        <f t="shared" si="32"/>
        <v>266</v>
      </c>
      <c r="B283" s="272"/>
      <c r="C283" s="272"/>
      <c r="D283" s="251"/>
      <c r="E283" s="73" t="s">
        <v>496</v>
      </c>
      <c r="F283" s="187">
        <v>343</v>
      </c>
      <c r="G283" s="19" t="s">
        <v>83</v>
      </c>
      <c r="H283" s="26" t="s">
        <v>62</v>
      </c>
      <c r="I283" s="160">
        <v>3</v>
      </c>
      <c r="J283" s="22" t="s">
        <v>63</v>
      </c>
      <c r="K283" s="64">
        <v>19</v>
      </c>
      <c r="L283" s="33">
        <f t="shared" si="31"/>
        <v>0.31666666666666665</v>
      </c>
      <c r="M283" s="158"/>
    </row>
    <row r="284" spans="1:13" ht="18.899999999999999" customHeight="1" x14ac:dyDescent="0.45">
      <c r="A284" s="19">
        <f t="shared" si="32"/>
        <v>267</v>
      </c>
      <c r="B284" s="272"/>
      <c r="C284" s="272"/>
      <c r="D284" s="251"/>
      <c r="E284" s="73" t="s">
        <v>497</v>
      </c>
      <c r="F284" s="187">
        <v>609</v>
      </c>
      <c r="G284" s="19" t="s">
        <v>83</v>
      </c>
      <c r="H284" s="26" t="s">
        <v>62</v>
      </c>
      <c r="I284" s="160">
        <v>5</v>
      </c>
      <c r="J284" s="22" t="s">
        <v>63</v>
      </c>
      <c r="K284" s="64">
        <v>34</v>
      </c>
      <c r="L284" s="33">
        <f t="shared" si="31"/>
        <v>0.56666666666666665</v>
      </c>
      <c r="M284" s="158"/>
    </row>
    <row r="285" spans="1:13" ht="18.899999999999999" customHeight="1" x14ac:dyDescent="0.45">
      <c r="A285" s="19">
        <f t="shared" si="32"/>
        <v>268</v>
      </c>
      <c r="B285" s="273"/>
      <c r="C285" s="273"/>
      <c r="D285" s="250"/>
      <c r="E285" s="73" t="s">
        <v>498</v>
      </c>
      <c r="F285" s="56">
        <v>935</v>
      </c>
      <c r="G285" s="19" t="s">
        <v>83</v>
      </c>
      <c r="H285" s="26" t="s">
        <v>62</v>
      </c>
      <c r="I285" s="160">
        <v>5</v>
      </c>
      <c r="J285" s="22" t="s">
        <v>63</v>
      </c>
      <c r="K285" s="64">
        <v>28</v>
      </c>
      <c r="L285" s="33">
        <f t="shared" si="31"/>
        <v>0.46666666666666667</v>
      </c>
      <c r="M285" s="158"/>
    </row>
    <row r="286" spans="1:13" ht="18.899999999999999" customHeight="1" x14ac:dyDescent="0.45">
      <c r="A286" s="19">
        <f t="shared" si="32"/>
        <v>269</v>
      </c>
      <c r="B286" s="271" t="s">
        <v>499</v>
      </c>
      <c r="C286" s="271" t="s">
        <v>500</v>
      </c>
      <c r="D286" s="249" t="s">
        <v>501</v>
      </c>
      <c r="E286" s="20" t="s">
        <v>502</v>
      </c>
      <c r="F286" s="26">
        <v>916</v>
      </c>
      <c r="G286" s="26" t="s">
        <v>161</v>
      </c>
      <c r="H286" s="26" t="s">
        <v>503</v>
      </c>
      <c r="I286" s="19">
        <v>2</v>
      </c>
      <c r="J286" s="19" t="s">
        <v>63</v>
      </c>
      <c r="K286" s="64">
        <v>27</v>
      </c>
      <c r="L286" s="33">
        <f t="shared" ref="L286:L307" si="33">K286/60</f>
        <v>0.45</v>
      </c>
      <c r="M286" s="158"/>
    </row>
    <row r="287" spans="1:13" ht="18.899999999999999" customHeight="1" x14ac:dyDescent="0.45">
      <c r="A287" s="19">
        <f t="shared" si="32"/>
        <v>270</v>
      </c>
      <c r="B287" s="272"/>
      <c r="C287" s="272"/>
      <c r="D287" s="251"/>
      <c r="E287" s="66" t="s">
        <v>504</v>
      </c>
      <c r="F287" s="55">
        <v>931</v>
      </c>
      <c r="G287" s="26" t="s">
        <v>161</v>
      </c>
      <c r="H287" s="26" t="s">
        <v>503</v>
      </c>
      <c r="I287" s="23">
        <v>3</v>
      </c>
      <c r="J287" s="19" t="s">
        <v>63</v>
      </c>
      <c r="K287" s="64">
        <v>31</v>
      </c>
      <c r="L287" s="33">
        <f t="shared" si="33"/>
        <v>0.51666666666666672</v>
      </c>
      <c r="M287" s="158"/>
    </row>
    <row r="288" spans="1:13" ht="18.899999999999999" customHeight="1" x14ac:dyDescent="0.45">
      <c r="A288" s="19">
        <f t="shared" si="32"/>
        <v>271</v>
      </c>
      <c r="B288" s="272"/>
      <c r="C288" s="273"/>
      <c r="D288" s="250"/>
      <c r="E288" s="49" t="s">
        <v>505</v>
      </c>
      <c r="F288" s="99">
        <v>921</v>
      </c>
      <c r="G288" s="99" t="s">
        <v>125</v>
      </c>
      <c r="H288" s="22" t="s">
        <v>475</v>
      </c>
      <c r="I288" s="23">
        <v>8</v>
      </c>
      <c r="J288" s="19" t="s">
        <v>63</v>
      </c>
      <c r="K288" s="64">
        <v>41</v>
      </c>
      <c r="L288" s="33">
        <f t="shared" si="33"/>
        <v>0.68333333333333335</v>
      </c>
      <c r="M288" s="158"/>
    </row>
    <row r="289" spans="1:13" ht="18.899999999999999" customHeight="1" x14ac:dyDescent="0.45">
      <c r="A289" s="19">
        <f t="shared" si="32"/>
        <v>272</v>
      </c>
      <c r="B289" s="272"/>
      <c r="C289" s="271" t="s">
        <v>506</v>
      </c>
      <c r="D289" s="249" t="s">
        <v>507</v>
      </c>
      <c r="E289" s="49" t="s">
        <v>508</v>
      </c>
      <c r="F289" s="119">
        <v>1440</v>
      </c>
      <c r="G289" s="119" t="s">
        <v>125</v>
      </c>
      <c r="H289" s="62" t="s">
        <v>509</v>
      </c>
      <c r="I289" s="63">
        <v>6</v>
      </c>
      <c r="J289" s="75" t="s">
        <v>63</v>
      </c>
      <c r="K289" s="132">
        <v>163</v>
      </c>
      <c r="L289" s="33">
        <f t="shared" si="33"/>
        <v>2.7166666666666668</v>
      </c>
      <c r="M289" s="176" t="s">
        <v>139</v>
      </c>
    </row>
    <row r="290" spans="1:13" ht="18.899999999999999" customHeight="1" x14ac:dyDescent="0.45">
      <c r="A290" s="19">
        <f t="shared" si="32"/>
        <v>273</v>
      </c>
      <c r="B290" s="272"/>
      <c r="C290" s="272"/>
      <c r="D290" s="251"/>
      <c r="E290" s="49" t="s">
        <v>510</v>
      </c>
      <c r="F290" s="119">
        <v>1430</v>
      </c>
      <c r="G290" s="119" t="s">
        <v>125</v>
      </c>
      <c r="H290" s="62" t="s">
        <v>509</v>
      </c>
      <c r="I290" s="63">
        <v>2</v>
      </c>
      <c r="J290" s="75" t="s">
        <v>63</v>
      </c>
      <c r="K290" s="132">
        <v>62</v>
      </c>
      <c r="L290" s="33">
        <f t="shared" si="33"/>
        <v>1.0333333333333334</v>
      </c>
      <c r="M290" s="176" t="s">
        <v>139</v>
      </c>
    </row>
    <row r="291" spans="1:13" ht="18.899999999999999" customHeight="1" x14ac:dyDescent="0.45">
      <c r="A291" s="19">
        <f t="shared" si="32"/>
        <v>274</v>
      </c>
      <c r="B291" s="272"/>
      <c r="C291" s="272"/>
      <c r="D291" s="251"/>
      <c r="E291" s="49" t="s">
        <v>511</v>
      </c>
      <c r="F291" s="119">
        <v>1431</v>
      </c>
      <c r="G291" s="119" t="s">
        <v>125</v>
      </c>
      <c r="H291" s="62" t="s">
        <v>509</v>
      </c>
      <c r="I291" s="63">
        <v>4</v>
      </c>
      <c r="J291" s="75" t="s">
        <v>63</v>
      </c>
      <c r="K291" s="132">
        <v>122</v>
      </c>
      <c r="L291" s="33">
        <f t="shared" si="33"/>
        <v>2.0333333333333332</v>
      </c>
      <c r="M291" s="176" t="s">
        <v>139</v>
      </c>
    </row>
    <row r="292" spans="1:13" ht="18.899999999999999" customHeight="1" x14ac:dyDescent="0.45">
      <c r="A292" s="19">
        <f t="shared" ref="A292:A307" si="34">A291+1</f>
        <v>275</v>
      </c>
      <c r="B292" s="272"/>
      <c r="C292" s="272"/>
      <c r="D292" s="251"/>
      <c r="E292" s="49" t="s">
        <v>512</v>
      </c>
      <c r="F292" s="119">
        <v>1432</v>
      </c>
      <c r="G292" s="119" t="s">
        <v>125</v>
      </c>
      <c r="H292" s="62" t="s">
        <v>509</v>
      </c>
      <c r="I292" s="63">
        <v>3</v>
      </c>
      <c r="J292" s="75" t="s">
        <v>63</v>
      </c>
      <c r="K292" s="132">
        <v>63</v>
      </c>
      <c r="L292" s="33">
        <f t="shared" si="33"/>
        <v>1.05</v>
      </c>
      <c r="M292" s="176" t="s">
        <v>139</v>
      </c>
    </row>
    <row r="293" spans="1:13" ht="18.899999999999999" customHeight="1" x14ac:dyDescent="0.45">
      <c r="A293" s="19">
        <f t="shared" si="34"/>
        <v>276</v>
      </c>
      <c r="B293" s="272"/>
      <c r="C293" s="272"/>
      <c r="D293" s="251"/>
      <c r="E293" s="49" t="s">
        <v>513</v>
      </c>
      <c r="F293" s="119">
        <v>1433</v>
      </c>
      <c r="G293" s="119" t="s">
        <v>125</v>
      </c>
      <c r="H293" s="62" t="s">
        <v>509</v>
      </c>
      <c r="I293" s="63">
        <v>4</v>
      </c>
      <c r="J293" s="75" t="s">
        <v>63</v>
      </c>
      <c r="K293" s="132">
        <v>124</v>
      </c>
      <c r="L293" s="33">
        <f t="shared" si="33"/>
        <v>2.0666666666666669</v>
      </c>
      <c r="M293" s="176" t="s">
        <v>139</v>
      </c>
    </row>
    <row r="294" spans="1:13" ht="18.899999999999999" customHeight="1" x14ac:dyDescent="0.45">
      <c r="A294" s="19">
        <f t="shared" si="34"/>
        <v>277</v>
      </c>
      <c r="B294" s="272"/>
      <c r="C294" s="272"/>
      <c r="D294" s="251"/>
      <c r="E294" s="49" t="s">
        <v>514</v>
      </c>
      <c r="F294" s="119">
        <v>1434</v>
      </c>
      <c r="G294" s="119" t="s">
        <v>125</v>
      </c>
      <c r="H294" s="62" t="s">
        <v>509</v>
      </c>
      <c r="I294" s="63">
        <v>6</v>
      </c>
      <c r="J294" s="75" t="s">
        <v>63</v>
      </c>
      <c r="K294" s="132">
        <v>183</v>
      </c>
      <c r="L294" s="33">
        <f t="shared" si="33"/>
        <v>3.05</v>
      </c>
      <c r="M294" s="176" t="s">
        <v>139</v>
      </c>
    </row>
    <row r="295" spans="1:13" ht="18.899999999999999" customHeight="1" x14ac:dyDescent="0.45">
      <c r="A295" s="19">
        <f t="shared" si="34"/>
        <v>278</v>
      </c>
      <c r="B295" s="272"/>
      <c r="C295" s="272"/>
      <c r="D295" s="251"/>
      <c r="E295" s="49" t="s">
        <v>515</v>
      </c>
      <c r="F295" s="119">
        <v>1435</v>
      </c>
      <c r="G295" s="119" t="s">
        <v>125</v>
      </c>
      <c r="H295" s="62" t="s">
        <v>509</v>
      </c>
      <c r="I295" s="63">
        <v>3</v>
      </c>
      <c r="J295" s="75" t="s">
        <v>63</v>
      </c>
      <c r="K295" s="132">
        <v>75</v>
      </c>
      <c r="L295" s="33">
        <f t="shared" si="33"/>
        <v>1.25</v>
      </c>
      <c r="M295" s="176" t="s">
        <v>139</v>
      </c>
    </row>
    <row r="296" spans="1:13" ht="18.899999999999999" customHeight="1" x14ac:dyDescent="0.45">
      <c r="A296" s="19">
        <f t="shared" si="34"/>
        <v>279</v>
      </c>
      <c r="B296" s="272"/>
      <c r="C296" s="272"/>
      <c r="D296" s="251"/>
      <c r="E296" s="49" t="s">
        <v>516</v>
      </c>
      <c r="F296" s="119">
        <v>1436</v>
      </c>
      <c r="G296" s="119" t="s">
        <v>125</v>
      </c>
      <c r="H296" s="62" t="s">
        <v>509</v>
      </c>
      <c r="I296" s="63">
        <v>6</v>
      </c>
      <c r="J296" s="75" t="s">
        <v>63</v>
      </c>
      <c r="K296" s="132">
        <v>151</v>
      </c>
      <c r="L296" s="33">
        <f t="shared" si="33"/>
        <v>2.5166666666666666</v>
      </c>
      <c r="M296" s="176" t="s">
        <v>139</v>
      </c>
    </row>
    <row r="297" spans="1:13" ht="18.899999999999999" customHeight="1" x14ac:dyDescent="0.45">
      <c r="A297" s="19">
        <f t="shared" si="34"/>
        <v>280</v>
      </c>
      <c r="B297" s="272"/>
      <c r="C297" s="272"/>
      <c r="D297" s="251"/>
      <c r="E297" s="49" t="s">
        <v>517</v>
      </c>
      <c r="F297" s="119">
        <v>1437</v>
      </c>
      <c r="G297" s="119" t="s">
        <v>125</v>
      </c>
      <c r="H297" s="62" t="s">
        <v>509</v>
      </c>
      <c r="I297" s="63">
        <v>11</v>
      </c>
      <c r="J297" s="75" t="s">
        <v>63</v>
      </c>
      <c r="K297" s="132">
        <v>275</v>
      </c>
      <c r="L297" s="33">
        <f t="shared" si="33"/>
        <v>4.583333333333333</v>
      </c>
      <c r="M297" s="176" t="s">
        <v>139</v>
      </c>
    </row>
    <row r="298" spans="1:13" ht="18.899999999999999" customHeight="1" x14ac:dyDescent="0.45">
      <c r="A298" s="19">
        <f t="shared" si="34"/>
        <v>281</v>
      </c>
      <c r="B298" s="272"/>
      <c r="C298" s="272"/>
      <c r="D298" s="251"/>
      <c r="E298" s="49" t="s">
        <v>518</v>
      </c>
      <c r="F298" s="119">
        <v>1438</v>
      </c>
      <c r="G298" s="119" t="s">
        <v>125</v>
      </c>
      <c r="H298" s="62" t="s">
        <v>509</v>
      </c>
      <c r="I298" s="39">
        <v>12</v>
      </c>
      <c r="J298" s="75" t="s">
        <v>63</v>
      </c>
      <c r="K298" s="67">
        <v>284</v>
      </c>
      <c r="L298" s="33">
        <f t="shared" si="33"/>
        <v>4.7333333333333334</v>
      </c>
      <c r="M298" s="176" t="s">
        <v>139</v>
      </c>
    </row>
    <row r="299" spans="1:13" ht="18.899999999999999" customHeight="1" x14ac:dyDescent="0.45">
      <c r="A299" s="19">
        <f t="shared" si="34"/>
        <v>282</v>
      </c>
      <c r="B299" s="271" t="s">
        <v>519</v>
      </c>
      <c r="C299" s="271" t="s">
        <v>520</v>
      </c>
      <c r="D299" s="249" t="s">
        <v>521</v>
      </c>
      <c r="E299" s="61" t="s">
        <v>522</v>
      </c>
      <c r="F299" s="26">
        <v>964</v>
      </c>
      <c r="G299" s="26" t="s">
        <v>83</v>
      </c>
      <c r="H299" s="26" t="s">
        <v>475</v>
      </c>
      <c r="I299" s="56">
        <v>11</v>
      </c>
      <c r="J299" s="19" t="s">
        <v>63</v>
      </c>
      <c r="K299" s="142">
        <v>141</v>
      </c>
      <c r="L299" s="33">
        <f t="shared" si="33"/>
        <v>2.35</v>
      </c>
      <c r="M299" s="158"/>
    </row>
    <row r="300" spans="1:13" ht="18.899999999999999" customHeight="1" x14ac:dyDescent="0.45">
      <c r="A300" s="19">
        <f t="shared" si="34"/>
        <v>283</v>
      </c>
      <c r="B300" s="272"/>
      <c r="C300" s="272"/>
      <c r="D300" s="251"/>
      <c r="E300" s="61" t="s">
        <v>523</v>
      </c>
      <c r="F300" s="26">
        <v>967</v>
      </c>
      <c r="G300" s="26" t="s">
        <v>83</v>
      </c>
      <c r="H300" s="26" t="s">
        <v>62</v>
      </c>
      <c r="I300" s="56">
        <v>7</v>
      </c>
      <c r="J300" s="19" t="s">
        <v>63</v>
      </c>
      <c r="K300" s="142">
        <v>146</v>
      </c>
      <c r="L300" s="33">
        <f t="shared" si="33"/>
        <v>2.4333333333333331</v>
      </c>
      <c r="M300" s="158"/>
    </row>
    <row r="301" spans="1:13" ht="18.899999999999999" customHeight="1" x14ac:dyDescent="0.45">
      <c r="A301" s="19">
        <f t="shared" si="34"/>
        <v>284</v>
      </c>
      <c r="B301" s="272"/>
      <c r="C301" s="272"/>
      <c r="D301" s="251"/>
      <c r="E301" s="51" t="s">
        <v>524</v>
      </c>
      <c r="F301" s="26">
        <v>969</v>
      </c>
      <c r="G301" s="26" t="s">
        <v>83</v>
      </c>
      <c r="H301" s="26" t="s">
        <v>475</v>
      </c>
      <c r="I301" s="56">
        <v>8</v>
      </c>
      <c r="J301" s="19" t="s">
        <v>63</v>
      </c>
      <c r="K301" s="142">
        <v>100</v>
      </c>
      <c r="L301" s="33">
        <f t="shared" si="33"/>
        <v>1.6666666666666667</v>
      </c>
      <c r="M301" s="158"/>
    </row>
    <row r="302" spans="1:13" ht="18.899999999999999" customHeight="1" x14ac:dyDescent="0.45">
      <c r="A302" s="19">
        <f t="shared" si="34"/>
        <v>285</v>
      </c>
      <c r="B302" s="272"/>
      <c r="C302" s="272"/>
      <c r="D302" s="251"/>
      <c r="E302" s="61" t="s">
        <v>525</v>
      </c>
      <c r="F302" s="26">
        <v>970</v>
      </c>
      <c r="G302" s="26" t="s">
        <v>83</v>
      </c>
      <c r="H302" s="26" t="s">
        <v>526</v>
      </c>
      <c r="I302" s="56">
        <v>5</v>
      </c>
      <c r="J302" s="26" t="s">
        <v>63</v>
      </c>
      <c r="K302" s="142">
        <v>42</v>
      </c>
      <c r="L302" s="33">
        <f t="shared" si="33"/>
        <v>0.7</v>
      </c>
      <c r="M302" s="158"/>
    </row>
    <row r="303" spans="1:13" ht="18.899999999999999" customHeight="1" x14ac:dyDescent="0.45">
      <c r="A303" s="19">
        <f t="shared" si="34"/>
        <v>286</v>
      </c>
      <c r="B303" s="272"/>
      <c r="C303" s="272"/>
      <c r="D303" s="251"/>
      <c r="E303" s="61" t="s">
        <v>527</v>
      </c>
      <c r="F303" s="26">
        <v>977</v>
      </c>
      <c r="G303" s="26" t="s">
        <v>83</v>
      </c>
      <c r="H303" s="26" t="s">
        <v>528</v>
      </c>
      <c r="I303" s="56">
        <v>9</v>
      </c>
      <c r="J303" s="19" t="s">
        <v>63</v>
      </c>
      <c r="K303" s="142">
        <v>113</v>
      </c>
      <c r="L303" s="33">
        <f t="shared" si="33"/>
        <v>1.8833333333333333</v>
      </c>
      <c r="M303" s="158"/>
    </row>
    <row r="304" spans="1:13" ht="18.899999999999999" customHeight="1" x14ac:dyDescent="0.45">
      <c r="A304" s="19">
        <f t="shared" si="34"/>
        <v>287</v>
      </c>
      <c r="B304" s="272"/>
      <c r="C304" s="272"/>
      <c r="D304" s="251"/>
      <c r="E304" s="61" t="s">
        <v>529</v>
      </c>
      <c r="F304" s="26">
        <v>1023</v>
      </c>
      <c r="G304" s="26" t="s">
        <v>83</v>
      </c>
      <c r="H304" s="26" t="s">
        <v>530</v>
      </c>
      <c r="I304" s="56">
        <v>18</v>
      </c>
      <c r="J304" s="19" t="s">
        <v>63</v>
      </c>
      <c r="K304" s="142">
        <v>347</v>
      </c>
      <c r="L304" s="33">
        <f t="shared" si="33"/>
        <v>5.7833333333333332</v>
      </c>
      <c r="M304" s="158"/>
    </row>
    <row r="305" spans="1:13" ht="18.899999999999999" customHeight="1" x14ac:dyDescent="0.45">
      <c r="A305" s="19">
        <f t="shared" si="34"/>
        <v>288</v>
      </c>
      <c r="B305" s="272"/>
      <c r="C305" s="272"/>
      <c r="D305" s="251"/>
      <c r="E305" s="51" t="s">
        <v>531</v>
      </c>
      <c r="F305" s="26">
        <v>1024</v>
      </c>
      <c r="G305" s="26" t="s">
        <v>83</v>
      </c>
      <c r="H305" s="26" t="s">
        <v>136</v>
      </c>
      <c r="I305" s="56">
        <v>19</v>
      </c>
      <c r="J305" s="19" t="s">
        <v>63</v>
      </c>
      <c r="K305" s="142">
        <v>348</v>
      </c>
      <c r="L305" s="33">
        <f t="shared" si="33"/>
        <v>5.8</v>
      </c>
      <c r="M305" s="158"/>
    </row>
    <row r="306" spans="1:13" ht="18.899999999999999" customHeight="1" x14ac:dyDescent="0.45">
      <c r="A306" s="19">
        <f t="shared" si="34"/>
        <v>289</v>
      </c>
      <c r="B306" s="272"/>
      <c r="C306" s="272"/>
      <c r="D306" s="251"/>
      <c r="E306" s="51" t="s">
        <v>532</v>
      </c>
      <c r="F306" s="26">
        <v>1022</v>
      </c>
      <c r="G306" s="26" t="s">
        <v>83</v>
      </c>
      <c r="H306" s="26" t="s">
        <v>275</v>
      </c>
      <c r="I306" s="56">
        <v>11</v>
      </c>
      <c r="J306" s="19" t="s">
        <v>63</v>
      </c>
      <c r="K306" s="142">
        <v>116</v>
      </c>
      <c r="L306" s="33">
        <f t="shared" si="33"/>
        <v>1.9333333333333333</v>
      </c>
      <c r="M306" s="158"/>
    </row>
    <row r="307" spans="1:13" ht="18.899999999999999" customHeight="1" x14ac:dyDescent="0.45">
      <c r="A307" s="19">
        <f t="shared" si="34"/>
        <v>290</v>
      </c>
      <c r="B307" s="273"/>
      <c r="C307" s="273"/>
      <c r="D307" s="250"/>
      <c r="E307" s="61" t="s">
        <v>533</v>
      </c>
      <c r="F307" s="26">
        <v>993</v>
      </c>
      <c r="G307" s="26" t="s">
        <v>125</v>
      </c>
      <c r="H307" s="26" t="s">
        <v>475</v>
      </c>
      <c r="I307" s="56">
        <v>16</v>
      </c>
      <c r="J307" s="19" t="s">
        <v>63</v>
      </c>
      <c r="K307" s="142">
        <v>244</v>
      </c>
      <c r="L307" s="33">
        <f t="shared" si="33"/>
        <v>4.0666666666666664</v>
      </c>
      <c r="M307" s="158"/>
    </row>
    <row r="308" spans="1:13" ht="18.899999999999999" customHeight="1" x14ac:dyDescent="0.45">
      <c r="A308" s="310" t="s">
        <v>534</v>
      </c>
      <c r="B308" s="275"/>
      <c r="C308" s="275"/>
      <c r="D308" s="276"/>
      <c r="E308" s="275"/>
      <c r="F308" s="275"/>
      <c r="G308" s="275"/>
      <c r="H308" s="275"/>
      <c r="I308" s="275"/>
      <c r="J308" s="275"/>
      <c r="K308" s="275"/>
      <c r="L308" s="275"/>
      <c r="M308" s="311"/>
    </row>
    <row r="309" spans="1:13" ht="18.899999999999999" customHeight="1" x14ac:dyDescent="0.45">
      <c r="A309" s="18">
        <f>A307+1</f>
        <v>291</v>
      </c>
      <c r="B309" s="271" t="s">
        <v>20</v>
      </c>
      <c r="C309" s="271" t="s">
        <v>535</v>
      </c>
      <c r="D309" s="255" t="s">
        <v>536</v>
      </c>
      <c r="E309" s="20" t="s">
        <v>537</v>
      </c>
      <c r="F309" s="19">
        <v>1209</v>
      </c>
      <c r="G309" s="19" t="s">
        <v>83</v>
      </c>
      <c r="H309" s="52" t="s">
        <v>62</v>
      </c>
      <c r="I309" s="23">
        <v>9</v>
      </c>
      <c r="J309" s="22" t="s">
        <v>63</v>
      </c>
      <c r="K309" s="64">
        <v>111</v>
      </c>
      <c r="L309" s="33">
        <f>K309/60</f>
        <v>1.85</v>
      </c>
      <c r="M309" s="156"/>
    </row>
    <row r="310" spans="1:13" ht="18.899999999999999" customHeight="1" x14ac:dyDescent="0.45">
      <c r="A310" s="18">
        <f>A309+1</f>
        <v>292</v>
      </c>
      <c r="B310" s="272"/>
      <c r="C310" s="272"/>
      <c r="D310" s="264"/>
      <c r="E310" s="66" t="s">
        <v>538</v>
      </c>
      <c r="F310" s="26">
        <v>1412</v>
      </c>
      <c r="G310" s="19" t="s">
        <v>83</v>
      </c>
      <c r="H310" s="26" t="s">
        <v>251</v>
      </c>
      <c r="I310" s="141">
        <v>4</v>
      </c>
      <c r="J310" s="138" t="s">
        <v>63</v>
      </c>
      <c r="K310" s="179">
        <v>57</v>
      </c>
      <c r="L310" s="33">
        <f t="shared" ref="L310:L333" si="35">K310/60</f>
        <v>0.95</v>
      </c>
      <c r="M310" s="156"/>
    </row>
    <row r="311" spans="1:13" ht="18.899999999999999" customHeight="1" x14ac:dyDescent="0.45">
      <c r="A311" s="18">
        <f t="shared" ref="A311:A312" si="36">A310+1</f>
        <v>293</v>
      </c>
      <c r="B311" s="272"/>
      <c r="C311" s="272"/>
      <c r="D311" s="264"/>
      <c r="E311" s="66" t="s">
        <v>539</v>
      </c>
      <c r="F311" s="26">
        <v>1422</v>
      </c>
      <c r="G311" s="19" t="s">
        <v>83</v>
      </c>
      <c r="H311" s="26" t="s">
        <v>251</v>
      </c>
      <c r="I311" s="141">
        <v>3</v>
      </c>
      <c r="J311" s="138" t="s">
        <v>63</v>
      </c>
      <c r="K311" s="179">
        <v>43</v>
      </c>
      <c r="L311" s="33">
        <f t="shared" si="35"/>
        <v>0.71666666666666667</v>
      </c>
      <c r="M311" s="156"/>
    </row>
    <row r="312" spans="1:13" ht="18.899999999999999" customHeight="1" x14ac:dyDescent="0.45">
      <c r="A312" s="18">
        <f t="shared" si="36"/>
        <v>294</v>
      </c>
      <c r="B312" s="272"/>
      <c r="C312" s="272"/>
      <c r="D312" s="264"/>
      <c r="E312" s="66" t="s">
        <v>540</v>
      </c>
      <c r="F312" s="26">
        <v>1423</v>
      </c>
      <c r="G312" s="19" t="s">
        <v>83</v>
      </c>
      <c r="H312" s="26" t="s">
        <v>251</v>
      </c>
      <c r="I312" s="141">
        <v>6</v>
      </c>
      <c r="J312" s="138" t="s">
        <v>63</v>
      </c>
      <c r="K312" s="179">
        <v>57</v>
      </c>
      <c r="L312" s="33">
        <f t="shared" si="35"/>
        <v>0.95</v>
      </c>
      <c r="M312" s="156"/>
    </row>
    <row r="313" spans="1:13" ht="18.899999999999999" customHeight="1" x14ac:dyDescent="0.45">
      <c r="A313" s="18">
        <f t="shared" ref="A313:A333" si="37">A312+1</f>
        <v>295</v>
      </c>
      <c r="B313" s="272"/>
      <c r="C313" s="272"/>
      <c r="D313" s="264"/>
      <c r="E313" s="66" t="s">
        <v>541</v>
      </c>
      <c r="F313" s="26">
        <v>1426</v>
      </c>
      <c r="G313" s="19" t="s">
        <v>83</v>
      </c>
      <c r="H313" s="26" t="s">
        <v>251</v>
      </c>
      <c r="I313" s="141">
        <v>7</v>
      </c>
      <c r="J313" s="138" t="s">
        <v>63</v>
      </c>
      <c r="K313" s="179">
        <v>100</v>
      </c>
      <c r="L313" s="33">
        <f t="shared" si="35"/>
        <v>1.6666666666666667</v>
      </c>
      <c r="M313" s="156"/>
    </row>
    <row r="314" spans="1:13" ht="18.899999999999999" customHeight="1" x14ac:dyDescent="0.45">
      <c r="A314" s="18">
        <f t="shared" si="37"/>
        <v>296</v>
      </c>
      <c r="B314" s="272"/>
      <c r="C314" s="271" t="s">
        <v>542</v>
      </c>
      <c r="D314" s="255" t="s">
        <v>543</v>
      </c>
      <c r="E314" s="66" t="s">
        <v>544</v>
      </c>
      <c r="F314" s="26">
        <v>1414</v>
      </c>
      <c r="G314" s="26" t="s">
        <v>125</v>
      </c>
      <c r="H314" s="26" t="s">
        <v>251</v>
      </c>
      <c r="I314" s="141">
        <v>5</v>
      </c>
      <c r="J314" s="138" t="s">
        <v>63</v>
      </c>
      <c r="K314" s="179">
        <v>57</v>
      </c>
      <c r="L314" s="33">
        <f t="shared" si="35"/>
        <v>0.95</v>
      </c>
      <c r="M314" s="156"/>
    </row>
    <row r="315" spans="1:13" ht="18.899999999999999" customHeight="1" x14ac:dyDescent="0.45">
      <c r="A315" s="18">
        <f t="shared" si="37"/>
        <v>297</v>
      </c>
      <c r="B315" s="272"/>
      <c r="C315" s="272"/>
      <c r="D315" s="264"/>
      <c r="E315" s="66" t="s">
        <v>545</v>
      </c>
      <c r="F315" s="26">
        <v>1397</v>
      </c>
      <c r="G315" s="26" t="s">
        <v>125</v>
      </c>
      <c r="H315" s="26" t="s">
        <v>251</v>
      </c>
      <c r="I315" s="141">
        <v>4</v>
      </c>
      <c r="J315" s="138" t="s">
        <v>63</v>
      </c>
      <c r="K315" s="179">
        <v>65</v>
      </c>
      <c r="L315" s="33">
        <f t="shared" si="35"/>
        <v>1.0833333333333333</v>
      </c>
      <c r="M315" s="156"/>
    </row>
    <row r="316" spans="1:13" ht="18.899999999999999" customHeight="1" x14ac:dyDescent="0.45">
      <c r="A316" s="18">
        <f t="shared" si="37"/>
        <v>298</v>
      </c>
      <c r="B316" s="272"/>
      <c r="C316" s="272"/>
      <c r="D316" s="264"/>
      <c r="E316" s="66" t="s">
        <v>546</v>
      </c>
      <c r="F316" s="26">
        <v>1425</v>
      </c>
      <c r="G316" s="26" t="s">
        <v>125</v>
      </c>
      <c r="H316" s="26" t="s">
        <v>251</v>
      </c>
      <c r="I316" s="141">
        <v>4</v>
      </c>
      <c r="J316" s="138" t="s">
        <v>63</v>
      </c>
      <c r="K316" s="179">
        <v>35</v>
      </c>
      <c r="L316" s="33">
        <f t="shared" si="35"/>
        <v>0.58333333333333337</v>
      </c>
      <c r="M316" s="156"/>
    </row>
    <row r="317" spans="1:13" ht="18.899999999999999" customHeight="1" x14ac:dyDescent="0.45">
      <c r="A317" s="18">
        <f t="shared" si="37"/>
        <v>299</v>
      </c>
      <c r="B317" s="272"/>
      <c r="C317" s="272"/>
      <c r="D317" s="264"/>
      <c r="E317" s="66" t="s">
        <v>547</v>
      </c>
      <c r="F317" s="26">
        <v>1424</v>
      </c>
      <c r="G317" s="26" t="s">
        <v>125</v>
      </c>
      <c r="H317" s="26" t="s">
        <v>251</v>
      </c>
      <c r="I317" s="141">
        <v>6</v>
      </c>
      <c r="J317" s="138" t="s">
        <v>63</v>
      </c>
      <c r="K317" s="179">
        <v>61</v>
      </c>
      <c r="L317" s="33">
        <f t="shared" si="35"/>
        <v>1.0166666666666666</v>
      </c>
      <c r="M317" s="156"/>
    </row>
    <row r="318" spans="1:13" ht="18.899999999999999" customHeight="1" x14ac:dyDescent="0.45">
      <c r="A318" s="18">
        <f t="shared" si="37"/>
        <v>300</v>
      </c>
      <c r="B318" s="272"/>
      <c r="C318" s="272"/>
      <c r="D318" s="264"/>
      <c r="E318" s="66" t="s">
        <v>548</v>
      </c>
      <c r="F318" s="26">
        <v>1413</v>
      </c>
      <c r="G318" s="26" t="s">
        <v>125</v>
      </c>
      <c r="H318" s="26" t="s">
        <v>251</v>
      </c>
      <c r="I318" s="141">
        <v>10</v>
      </c>
      <c r="J318" s="138" t="s">
        <v>63</v>
      </c>
      <c r="K318" s="179">
        <v>50</v>
      </c>
      <c r="L318" s="33">
        <f t="shared" si="35"/>
        <v>0.83333333333333337</v>
      </c>
      <c r="M318" s="156"/>
    </row>
    <row r="319" spans="1:13" ht="18.899999999999999" customHeight="1" x14ac:dyDescent="0.45">
      <c r="A319" s="18">
        <f t="shared" si="37"/>
        <v>301</v>
      </c>
      <c r="B319" s="272"/>
      <c r="C319" s="272"/>
      <c r="D319" s="264"/>
      <c r="E319" s="20" t="s">
        <v>549</v>
      </c>
      <c r="F319" s="22">
        <v>1411</v>
      </c>
      <c r="G319" s="26" t="s">
        <v>125</v>
      </c>
      <c r="H319" s="26" t="s">
        <v>251</v>
      </c>
      <c r="I319" s="23">
        <v>4</v>
      </c>
      <c r="J319" s="138" t="s">
        <v>63</v>
      </c>
      <c r="K319" s="25">
        <v>34</v>
      </c>
      <c r="L319" s="33">
        <f t="shared" si="35"/>
        <v>0.56666666666666665</v>
      </c>
      <c r="M319" s="156"/>
    </row>
    <row r="320" spans="1:13" ht="18.899999999999999" customHeight="1" x14ac:dyDescent="0.45">
      <c r="A320" s="18">
        <f t="shared" si="37"/>
        <v>302</v>
      </c>
      <c r="B320" s="272"/>
      <c r="C320" s="272"/>
      <c r="D320" s="264"/>
      <c r="E320" s="104" t="s">
        <v>550</v>
      </c>
      <c r="F320" s="105">
        <v>1544</v>
      </c>
      <c r="G320" s="105" t="s">
        <v>161</v>
      </c>
      <c r="H320" s="106" t="s">
        <v>551</v>
      </c>
      <c r="I320" s="105">
        <v>8</v>
      </c>
      <c r="J320" s="75" t="s">
        <v>63</v>
      </c>
      <c r="K320" s="116">
        <v>112</v>
      </c>
      <c r="L320" s="33">
        <f t="shared" si="35"/>
        <v>1.8666666666666667</v>
      </c>
      <c r="M320" s="156"/>
    </row>
    <row r="321" spans="1:13" ht="18.899999999999999" customHeight="1" x14ac:dyDescent="0.45">
      <c r="A321" s="18">
        <f>A320+1</f>
        <v>303</v>
      </c>
      <c r="B321" s="272"/>
      <c r="C321" s="281" t="s">
        <v>1504</v>
      </c>
      <c r="D321" s="255" t="s">
        <v>552</v>
      </c>
      <c r="E321" s="49" t="s">
        <v>553</v>
      </c>
      <c r="F321" s="119">
        <v>1519</v>
      </c>
      <c r="G321" s="119" t="s">
        <v>125</v>
      </c>
      <c r="H321" s="62" t="s">
        <v>313</v>
      </c>
      <c r="I321" s="63">
        <v>11</v>
      </c>
      <c r="J321" s="143" t="s">
        <v>63</v>
      </c>
      <c r="K321" s="132">
        <v>127</v>
      </c>
      <c r="L321" s="33">
        <f t="shared" ref="L321" si="38">K321/60</f>
        <v>2.1166666666666667</v>
      </c>
      <c r="M321" s="156"/>
    </row>
    <row r="322" spans="1:13" ht="18.899999999999999" customHeight="1" x14ac:dyDescent="0.45">
      <c r="A322" s="18">
        <f t="shared" ref="A322:A323" si="39">A321+1</f>
        <v>304</v>
      </c>
      <c r="B322" s="272"/>
      <c r="C322" s="272"/>
      <c r="D322" s="264"/>
      <c r="E322" s="49" t="s">
        <v>554</v>
      </c>
      <c r="F322" s="119">
        <v>1499</v>
      </c>
      <c r="G322" s="58" t="s">
        <v>83</v>
      </c>
      <c r="H322" s="62" t="s">
        <v>236</v>
      </c>
      <c r="I322" s="63">
        <v>6</v>
      </c>
      <c r="J322" s="39" t="s">
        <v>63</v>
      </c>
      <c r="K322" s="132">
        <v>53</v>
      </c>
      <c r="L322" s="33">
        <f t="shared" si="35"/>
        <v>0.8833333333333333</v>
      </c>
      <c r="M322" s="156"/>
    </row>
    <row r="323" spans="1:13" ht="18.899999999999999" customHeight="1" x14ac:dyDescent="0.45">
      <c r="A323" s="18">
        <f t="shared" si="39"/>
        <v>305</v>
      </c>
      <c r="B323" s="272"/>
      <c r="C323" s="272"/>
      <c r="D323" s="264"/>
      <c r="E323" s="20" t="s">
        <v>555</v>
      </c>
      <c r="F323" s="26">
        <v>1318</v>
      </c>
      <c r="G323" s="58" t="s">
        <v>125</v>
      </c>
      <c r="H323" s="52" t="s">
        <v>251</v>
      </c>
      <c r="I323" s="23">
        <v>16</v>
      </c>
      <c r="J323" s="24" t="s">
        <v>63</v>
      </c>
      <c r="K323" s="25">
        <v>200</v>
      </c>
      <c r="L323" s="33">
        <f t="shared" si="35"/>
        <v>3.3333333333333335</v>
      </c>
      <c r="M323" s="177"/>
    </row>
    <row r="324" spans="1:13" ht="18.899999999999999" customHeight="1" x14ac:dyDescent="0.45">
      <c r="A324" s="18">
        <f t="shared" si="37"/>
        <v>306</v>
      </c>
      <c r="B324" s="272"/>
      <c r="C324" s="272"/>
      <c r="D324" s="264"/>
      <c r="E324" s="49" t="s">
        <v>556</v>
      </c>
      <c r="F324" s="58">
        <v>1464</v>
      </c>
      <c r="G324" s="58" t="s">
        <v>161</v>
      </c>
      <c r="H324" s="22" t="s">
        <v>369</v>
      </c>
      <c r="I324" s="23">
        <v>8</v>
      </c>
      <c r="J324" s="26" t="s">
        <v>63</v>
      </c>
      <c r="K324" s="25">
        <v>134</v>
      </c>
      <c r="L324" s="33">
        <f t="shared" si="35"/>
        <v>2.2333333333333334</v>
      </c>
      <c r="M324" s="177"/>
    </row>
    <row r="325" spans="1:13" ht="18.899999999999999" customHeight="1" x14ac:dyDescent="0.45">
      <c r="A325" s="18">
        <f t="shared" si="37"/>
        <v>307</v>
      </c>
      <c r="B325" s="272"/>
      <c r="C325" s="272"/>
      <c r="D325" s="264"/>
      <c r="E325" s="49" t="s">
        <v>557</v>
      </c>
      <c r="F325" s="119">
        <v>1509</v>
      </c>
      <c r="G325" s="58" t="s">
        <v>125</v>
      </c>
      <c r="H325" s="62" t="s">
        <v>126</v>
      </c>
      <c r="I325" s="63">
        <v>11</v>
      </c>
      <c r="J325" s="39" t="s">
        <v>63</v>
      </c>
      <c r="K325" s="132">
        <v>120</v>
      </c>
      <c r="L325" s="33">
        <f t="shared" si="35"/>
        <v>2</v>
      </c>
      <c r="M325" s="177"/>
    </row>
    <row r="326" spans="1:13" ht="18.899999999999999" customHeight="1" x14ac:dyDescent="0.45">
      <c r="A326" s="18">
        <f t="shared" si="37"/>
        <v>308</v>
      </c>
      <c r="B326" s="272"/>
      <c r="C326" s="272"/>
      <c r="D326" s="264"/>
      <c r="E326" s="49" t="s">
        <v>558</v>
      </c>
      <c r="F326" s="119">
        <v>1502</v>
      </c>
      <c r="G326" s="58" t="s">
        <v>125</v>
      </c>
      <c r="H326" s="62" t="s">
        <v>346</v>
      </c>
      <c r="I326" s="63">
        <v>5</v>
      </c>
      <c r="J326" s="39" t="s">
        <v>63</v>
      </c>
      <c r="K326" s="132">
        <v>63</v>
      </c>
      <c r="L326" s="33">
        <f t="shared" si="35"/>
        <v>1.05</v>
      </c>
      <c r="M326" s="111" t="s">
        <v>139</v>
      </c>
    </row>
    <row r="327" spans="1:13" ht="18.899999999999999" customHeight="1" x14ac:dyDescent="0.45">
      <c r="A327" s="18">
        <f t="shared" si="37"/>
        <v>309</v>
      </c>
      <c r="B327" s="272"/>
      <c r="C327" s="272"/>
      <c r="D327" s="264"/>
      <c r="E327" s="120" t="s">
        <v>559</v>
      </c>
      <c r="F327" s="121">
        <v>1632</v>
      </c>
      <c r="G327" s="58" t="s">
        <v>125</v>
      </c>
      <c r="H327" s="122" t="s">
        <v>262</v>
      </c>
      <c r="I327" s="121">
        <v>13</v>
      </c>
      <c r="J327" s="19" t="s">
        <v>63</v>
      </c>
      <c r="K327" s="133">
        <v>216</v>
      </c>
      <c r="L327" s="33">
        <f t="shared" si="35"/>
        <v>3.6</v>
      </c>
      <c r="M327" s="111" t="s">
        <v>139</v>
      </c>
    </row>
    <row r="328" spans="1:13" ht="18.899999999999999" customHeight="1" x14ac:dyDescent="0.45">
      <c r="A328" s="18">
        <f t="shared" si="37"/>
        <v>310</v>
      </c>
      <c r="B328" s="272"/>
      <c r="C328" s="272"/>
      <c r="D328" s="264"/>
      <c r="E328" s="49" t="s">
        <v>560</v>
      </c>
      <c r="F328" s="62" t="s">
        <v>561</v>
      </c>
      <c r="G328" s="119" t="s">
        <v>125</v>
      </c>
      <c r="H328" s="63" t="s">
        <v>562</v>
      </c>
      <c r="I328" s="62">
        <v>25</v>
      </c>
      <c r="J328" s="75" t="s">
        <v>63</v>
      </c>
      <c r="K328" s="132">
        <v>556</v>
      </c>
      <c r="L328" s="33">
        <f t="shared" si="35"/>
        <v>9.2666666666666675</v>
      </c>
      <c r="M328" s="76" t="s">
        <v>139</v>
      </c>
    </row>
    <row r="329" spans="1:13" ht="18.899999999999999" customHeight="1" x14ac:dyDescent="0.45">
      <c r="A329" s="18">
        <f t="shared" si="37"/>
        <v>311</v>
      </c>
      <c r="B329" s="272"/>
      <c r="C329" s="272"/>
      <c r="D329" s="264"/>
      <c r="E329" s="49" t="s">
        <v>563</v>
      </c>
      <c r="F329" s="62" t="s">
        <v>564</v>
      </c>
      <c r="G329" s="62" t="s">
        <v>161</v>
      </c>
      <c r="H329" s="62" t="s">
        <v>346</v>
      </c>
      <c r="I329" s="62">
        <v>25</v>
      </c>
      <c r="J329" s="75" t="s">
        <v>63</v>
      </c>
      <c r="K329" s="132">
        <v>487</v>
      </c>
      <c r="L329" s="33">
        <f t="shared" si="35"/>
        <v>8.1166666666666671</v>
      </c>
      <c r="M329" s="76" t="s">
        <v>139</v>
      </c>
    </row>
    <row r="330" spans="1:13" ht="18.899999999999999" customHeight="1" x14ac:dyDescent="0.45">
      <c r="A330" s="18">
        <f t="shared" si="37"/>
        <v>312</v>
      </c>
      <c r="B330" s="272"/>
      <c r="C330" s="272"/>
      <c r="D330" s="264"/>
      <c r="E330" s="188" t="s">
        <v>565</v>
      </c>
      <c r="F330" s="62" t="s">
        <v>566</v>
      </c>
      <c r="G330" s="62" t="s">
        <v>125</v>
      </c>
      <c r="H330" s="63" t="s">
        <v>567</v>
      </c>
      <c r="I330" s="62">
        <v>25</v>
      </c>
      <c r="J330" s="75" t="s">
        <v>63</v>
      </c>
      <c r="K330" s="132">
        <v>361</v>
      </c>
      <c r="L330" s="33">
        <f t="shared" si="35"/>
        <v>6.0166666666666666</v>
      </c>
      <c r="M330" s="76" t="s">
        <v>139</v>
      </c>
    </row>
    <row r="331" spans="1:13" ht="18.899999999999999" customHeight="1" x14ac:dyDescent="0.45">
      <c r="A331" s="18">
        <f t="shared" si="37"/>
        <v>313</v>
      </c>
      <c r="B331" s="272"/>
      <c r="C331" s="272"/>
      <c r="D331" s="264"/>
      <c r="E331" s="188" t="s">
        <v>568</v>
      </c>
      <c r="F331" s="62" t="s">
        <v>569</v>
      </c>
      <c r="G331" s="62" t="s">
        <v>125</v>
      </c>
      <c r="H331" s="62" t="s">
        <v>346</v>
      </c>
      <c r="I331" s="62">
        <v>17</v>
      </c>
      <c r="J331" s="75" t="s">
        <v>63</v>
      </c>
      <c r="K331" s="132">
        <v>211</v>
      </c>
      <c r="L331" s="33">
        <f t="shared" si="35"/>
        <v>3.5166666666666666</v>
      </c>
      <c r="M331" s="76" t="s">
        <v>139</v>
      </c>
    </row>
    <row r="332" spans="1:13" ht="18.899999999999999" customHeight="1" x14ac:dyDescent="0.45">
      <c r="A332" s="18">
        <f t="shared" si="37"/>
        <v>314</v>
      </c>
      <c r="B332" s="272"/>
      <c r="C332" s="272"/>
      <c r="D332" s="264"/>
      <c r="E332" s="188" t="s">
        <v>570</v>
      </c>
      <c r="F332" s="62" t="s">
        <v>571</v>
      </c>
      <c r="G332" s="62" t="s">
        <v>125</v>
      </c>
      <c r="H332" s="189" t="s">
        <v>572</v>
      </c>
      <c r="I332" s="63">
        <v>21</v>
      </c>
      <c r="J332" s="75" t="s">
        <v>63</v>
      </c>
      <c r="K332" s="132">
        <v>534</v>
      </c>
      <c r="L332" s="33">
        <f t="shared" si="35"/>
        <v>8.9</v>
      </c>
      <c r="M332" s="76" t="s">
        <v>139</v>
      </c>
    </row>
    <row r="333" spans="1:13" ht="18.899999999999999" customHeight="1" x14ac:dyDescent="0.45">
      <c r="A333" s="18">
        <f t="shared" si="37"/>
        <v>315</v>
      </c>
      <c r="B333" s="273"/>
      <c r="C333" s="273"/>
      <c r="D333" s="253"/>
      <c r="E333" s="49" t="s">
        <v>573</v>
      </c>
      <c r="F333" s="62" t="s">
        <v>574</v>
      </c>
      <c r="G333" s="62" t="s">
        <v>161</v>
      </c>
      <c r="H333" s="62" t="s">
        <v>346</v>
      </c>
      <c r="I333" s="63">
        <v>20</v>
      </c>
      <c r="J333" s="75" t="s">
        <v>63</v>
      </c>
      <c r="K333" s="132">
        <v>473</v>
      </c>
      <c r="L333" s="33">
        <f t="shared" si="35"/>
        <v>7.8833333333333337</v>
      </c>
      <c r="M333" s="76" t="s">
        <v>139</v>
      </c>
    </row>
    <row r="334" spans="1:13" ht="18.899999999999999" customHeight="1" x14ac:dyDescent="0.45">
      <c r="A334" s="274" t="s">
        <v>575</v>
      </c>
      <c r="B334" s="275"/>
      <c r="C334" s="275"/>
      <c r="D334" s="276"/>
      <c r="E334" s="275"/>
      <c r="F334" s="275"/>
      <c r="G334" s="275"/>
      <c r="H334" s="275"/>
      <c r="I334" s="275"/>
      <c r="J334" s="275"/>
      <c r="K334" s="275"/>
      <c r="L334" s="275"/>
      <c r="M334" s="275"/>
    </row>
    <row r="335" spans="1:13" ht="18.899999999999999" customHeight="1" x14ac:dyDescent="0.45">
      <c r="A335" s="19">
        <f>A333+1</f>
        <v>316</v>
      </c>
      <c r="B335" s="271" t="s">
        <v>576</v>
      </c>
      <c r="C335" s="271" t="s">
        <v>577</v>
      </c>
      <c r="D335" s="255" t="s">
        <v>578</v>
      </c>
      <c r="E335" s="20" t="s">
        <v>579</v>
      </c>
      <c r="F335" s="58">
        <v>1407</v>
      </c>
      <c r="G335" s="58" t="s">
        <v>161</v>
      </c>
      <c r="H335" s="22" t="s">
        <v>580</v>
      </c>
      <c r="I335" s="23">
        <v>5</v>
      </c>
      <c r="J335" s="22" t="s">
        <v>63</v>
      </c>
      <c r="K335" s="64">
        <v>93</v>
      </c>
      <c r="L335" s="65">
        <f>K335/60</f>
        <v>1.55</v>
      </c>
      <c r="M335" s="111" t="s">
        <v>139</v>
      </c>
    </row>
    <row r="336" spans="1:13" ht="18.899999999999999" customHeight="1" x14ac:dyDescent="0.45">
      <c r="A336" s="18">
        <f t="shared" ref="A336:A349" si="40">A335+1</f>
        <v>317</v>
      </c>
      <c r="B336" s="272"/>
      <c r="C336" s="272"/>
      <c r="D336" s="264"/>
      <c r="E336" s="20" t="s">
        <v>581</v>
      </c>
      <c r="F336" s="19">
        <v>1138</v>
      </c>
      <c r="G336" s="19" t="s">
        <v>125</v>
      </c>
      <c r="H336" s="22" t="s">
        <v>282</v>
      </c>
      <c r="I336" s="23">
        <v>1</v>
      </c>
      <c r="J336" s="22" t="s">
        <v>63</v>
      </c>
      <c r="K336" s="64">
        <v>86</v>
      </c>
      <c r="L336" s="65">
        <f t="shared" ref="L336:L368" si="41">K336/60</f>
        <v>1.4333333333333333</v>
      </c>
      <c r="M336" s="111"/>
    </row>
    <row r="337" spans="1:13" ht="18.899999999999999" customHeight="1" x14ac:dyDescent="0.45">
      <c r="A337" s="18">
        <f t="shared" si="40"/>
        <v>318</v>
      </c>
      <c r="B337" s="272"/>
      <c r="C337" s="272"/>
      <c r="D337" s="264"/>
      <c r="E337" s="20" t="s">
        <v>582</v>
      </c>
      <c r="F337" s="23">
        <v>1152</v>
      </c>
      <c r="G337" s="23" t="s">
        <v>161</v>
      </c>
      <c r="H337" s="22" t="s">
        <v>164</v>
      </c>
      <c r="I337" s="23">
        <v>1</v>
      </c>
      <c r="J337" s="22" t="s">
        <v>63</v>
      </c>
      <c r="K337" s="64">
        <v>70</v>
      </c>
      <c r="L337" s="65">
        <f t="shared" si="41"/>
        <v>1.1666666666666667</v>
      </c>
      <c r="M337" s="111"/>
    </row>
    <row r="338" spans="1:13" ht="18.899999999999999" customHeight="1" x14ac:dyDescent="0.45">
      <c r="A338" s="18">
        <f t="shared" si="40"/>
        <v>319</v>
      </c>
      <c r="B338" s="272"/>
      <c r="C338" s="272"/>
      <c r="D338" s="264"/>
      <c r="E338" s="49" t="s">
        <v>583</v>
      </c>
      <c r="F338" s="56">
        <v>1427</v>
      </c>
      <c r="G338" s="23" t="s">
        <v>161</v>
      </c>
      <c r="H338" s="22" t="s">
        <v>584</v>
      </c>
      <c r="I338" s="56">
        <v>9</v>
      </c>
      <c r="J338" s="99" t="s">
        <v>63</v>
      </c>
      <c r="K338" s="25">
        <v>168</v>
      </c>
      <c r="L338" s="65">
        <f t="shared" si="41"/>
        <v>2.8</v>
      </c>
      <c r="M338" s="111"/>
    </row>
    <row r="339" spans="1:13" ht="18.899999999999999" customHeight="1" x14ac:dyDescent="0.45">
      <c r="A339" s="18">
        <f t="shared" si="40"/>
        <v>320</v>
      </c>
      <c r="B339" s="272"/>
      <c r="C339" s="272"/>
      <c r="D339" s="264"/>
      <c r="E339" s="49" t="s">
        <v>585</v>
      </c>
      <c r="F339" s="56">
        <v>1429</v>
      </c>
      <c r="G339" s="23" t="s">
        <v>161</v>
      </c>
      <c r="H339" s="22" t="s">
        <v>584</v>
      </c>
      <c r="I339" s="56">
        <v>8</v>
      </c>
      <c r="J339" s="26" t="s">
        <v>63</v>
      </c>
      <c r="K339" s="25">
        <v>83</v>
      </c>
      <c r="L339" s="65">
        <f t="shared" si="41"/>
        <v>1.3833333333333333</v>
      </c>
      <c r="M339" s="111"/>
    </row>
    <row r="340" spans="1:13" ht="18.899999999999999" customHeight="1" x14ac:dyDescent="0.45">
      <c r="A340" s="18">
        <f t="shared" si="40"/>
        <v>321</v>
      </c>
      <c r="B340" s="272"/>
      <c r="C340" s="272"/>
      <c r="D340" s="264"/>
      <c r="E340" s="49" t="s">
        <v>586</v>
      </c>
      <c r="F340" s="56">
        <v>1428</v>
      </c>
      <c r="G340" s="23" t="s">
        <v>161</v>
      </c>
      <c r="H340" s="22" t="s">
        <v>584</v>
      </c>
      <c r="I340" s="56">
        <v>9</v>
      </c>
      <c r="J340" s="26" t="s">
        <v>63</v>
      </c>
      <c r="K340" s="25">
        <v>135</v>
      </c>
      <c r="L340" s="65">
        <f t="shared" si="41"/>
        <v>2.25</v>
      </c>
      <c r="M340" s="111"/>
    </row>
    <row r="341" spans="1:13" ht="18.899999999999999" customHeight="1" x14ac:dyDescent="0.45">
      <c r="A341" s="18">
        <f t="shared" si="40"/>
        <v>322</v>
      </c>
      <c r="B341" s="272"/>
      <c r="C341" s="272"/>
      <c r="D341" s="264"/>
      <c r="E341" s="49" t="s">
        <v>587</v>
      </c>
      <c r="F341" s="58">
        <v>1444</v>
      </c>
      <c r="G341" s="23" t="s">
        <v>161</v>
      </c>
      <c r="H341" s="22" t="s">
        <v>530</v>
      </c>
      <c r="I341" s="23">
        <v>10</v>
      </c>
      <c r="J341" s="26" t="s">
        <v>63</v>
      </c>
      <c r="K341" s="25">
        <v>131</v>
      </c>
      <c r="L341" s="65">
        <f t="shared" si="41"/>
        <v>2.1833333333333331</v>
      </c>
      <c r="M341" s="111"/>
    </row>
    <row r="342" spans="1:13" ht="18.899999999999999" customHeight="1" x14ac:dyDescent="0.45">
      <c r="A342" s="18">
        <f t="shared" si="40"/>
        <v>323</v>
      </c>
      <c r="B342" s="272"/>
      <c r="C342" s="272"/>
      <c r="D342" s="264"/>
      <c r="E342" s="155" t="s">
        <v>588</v>
      </c>
      <c r="F342" s="95">
        <v>1600</v>
      </c>
      <c r="G342" s="23" t="s">
        <v>125</v>
      </c>
      <c r="H342" s="126" t="s">
        <v>62</v>
      </c>
      <c r="I342" s="95">
        <v>14</v>
      </c>
      <c r="J342" s="19" t="s">
        <v>63</v>
      </c>
      <c r="K342" s="110">
        <v>135</v>
      </c>
      <c r="L342" s="65">
        <f t="shared" si="41"/>
        <v>2.25</v>
      </c>
      <c r="M342" s="111"/>
    </row>
    <row r="343" spans="1:13" ht="18.899999999999999" customHeight="1" x14ac:dyDescent="0.45">
      <c r="A343" s="18">
        <f t="shared" si="40"/>
        <v>324</v>
      </c>
      <c r="B343" s="272"/>
      <c r="C343" s="272"/>
      <c r="D343" s="264"/>
      <c r="E343" s="104" t="s">
        <v>589</v>
      </c>
      <c r="F343" s="105">
        <v>1586</v>
      </c>
      <c r="G343" s="23" t="s">
        <v>161</v>
      </c>
      <c r="H343" s="106" t="s">
        <v>584</v>
      </c>
      <c r="I343" s="105">
        <v>14</v>
      </c>
      <c r="J343" s="39" t="s">
        <v>63</v>
      </c>
      <c r="K343" s="116">
        <v>143</v>
      </c>
      <c r="L343" s="65">
        <f t="shared" si="41"/>
        <v>2.3833333333333333</v>
      </c>
      <c r="M343" s="111"/>
    </row>
    <row r="344" spans="1:13" ht="18.899999999999999" customHeight="1" x14ac:dyDescent="0.45">
      <c r="A344" s="18">
        <f t="shared" si="40"/>
        <v>325</v>
      </c>
      <c r="B344" s="272"/>
      <c r="C344" s="272"/>
      <c r="D344" s="264"/>
      <c r="E344" s="104" t="s">
        <v>590</v>
      </c>
      <c r="F344" s="105">
        <v>1585</v>
      </c>
      <c r="G344" s="23" t="s">
        <v>161</v>
      </c>
      <c r="H344" s="106" t="s">
        <v>584</v>
      </c>
      <c r="I344" s="105">
        <v>15</v>
      </c>
      <c r="J344" s="39" t="s">
        <v>63</v>
      </c>
      <c r="K344" s="116">
        <v>208</v>
      </c>
      <c r="L344" s="65">
        <f t="shared" si="41"/>
        <v>3.4666666666666668</v>
      </c>
      <c r="M344" s="111"/>
    </row>
    <row r="345" spans="1:13" ht="18.899999999999999" customHeight="1" x14ac:dyDescent="0.45">
      <c r="A345" s="18">
        <f t="shared" si="40"/>
        <v>326</v>
      </c>
      <c r="B345" s="272"/>
      <c r="C345" s="272"/>
      <c r="D345" s="264"/>
      <c r="E345" s="94" t="s">
        <v>591</v>
      </c>
      <c r="F345" s="95">
        <v>1612</v>
      </c>
      <c r="G345" s="23" t="s">
        <v>161</v>
      </c>
      <c r="H345" s="126" t="s">
        <v>356</v>
      </c>
      <c r="I345" s="95">
        <v>10</v>
      </c>
      <c r="J345" s="19" t="s">
        <v>63</v>
      </c>
      <c r="K345" s="110">
        <v>129</v>
      </c>
      <c r="L345" s="65">
        <f t="shared" si="41"/>
        <v>2.15</v>
      </c>
      <c r="M345" s="111" t="s">
        <v>139</v>
      </c>
    </row>
    <row r="346" spans="1:13" ht="18.899999999999999" customHeight="1" x14ac:dyDescent="0.45">
      <c r="A346" s="18">
        <f t="shared" si="40"/>
        <v>327</v>
      </c>
      <c r="B346" s="271" t="s">
        <v>592</v>
      </c>
      <c r="C346" s="271" t="s">
        <v>593</v>
      </c>
      <c r="D346" s="255" t="s">
        <v>594</v>
      </c>
      <c r="E346" s="120" t="s">
        <v>595</v>
      </c>
      <c r="F346" s="121">
        <v>1631</v>
      </c>
      <c r="G346" s="58" t="s">
        <v>125</v>
      </c>
      <c r="H346" s="122" t="s">
        <v>596</v>
      </c>
      <c r="I346" s="121">
        <v>6</v>
      </c>
      <c r="J346" s="19" t="s">
        <v>63</v>
      </c>
      <c r="K346" s="133">
        <v>75</v>
      </c>
      <c r="L346" s="65">
        <f t="shared" si="41"/>
        <v>1.25</v>
      </c>
      <c r="M346" s="111" t="s">
        <v>139</v>
      </c>
    </row>
    <row r="347" spans="1:13" ht="18.899999999999999" customHeight="1" x14ac:dyDescent="0.45">
      <c r="A347" s="18">
        <f t="shared" si="40"/>
        <v>328</v>
      </c>
      <c r="B347" s="272"/>
      <c r="C347" s="272"/>
      <c r="D347" s="264"/>
      <c r="E347" s="172" t="s">
        <v>597</v>
      </c>
      <c r="F347" s="162">
        <v>1597</v>
      </c>
      <c r="G347" s="162" t="s">
        <v>83</v>
      </c>
      <c r="H347" s="44" t="s">
        <v>262</v>
      </c>
      <c r="I347" s="162">
        <v>5</v>
      </c>
      <c r="J347" s="19" t="s">
        <v>63</v>
      </c>
      <c r="K347" s="133">
        <v>73</v>
      </c>
      <c r="L347" s="65">
        <f t="shared" si="41"/>
        <v>1.2166666666666666</v>
      </c>
      <c r="M347" s="159" t="s">
        <v>373</v>
      </c>
    </row>
    <row r="348" spans="1:13" ht="18.899999999999999" customHeight="1" x14ac:dyDescent="0.45">
      <c r="A348" s="18">
        <f t="shared" si="40"/>
        <v>329</v>
      </c>
      <c r="B348" s="272"/>
      <c r="C348" s="272"/>
      <c r="D348" s="264"/>
      <c r="E348" s="20" t="s">
        <v>598</v>
      </c>
      <c r="F348" s="58">
        <v>1486</v>
      </c>
      <c r="G348" s="58" t="s">
        <v>83</v>
      </c>
      <c r="H348" s="22" t="s">
        <v>530</v>
      </c>
      <c r="I348" s="23">
        <v>8</v>
      </c>
      <c r="J348" s="19" t="s">
        <v>63</v>
      </c>
      <c r="K348" s="25">
        <v>121</v>
      </c>
      <c r="L348" s="65">
        <f t="shared" si="41"/>
        <v>2.0166666666666666</v>
      </c>
      <c r="M348" s="111"/>
    </row>
    <row r="349" spans="1:13" ht="18.899999999999999" customHeight="1" x14ac:dyDescent="0.45">
      <c r="A349" s="18">
        <f t="shared" si="40"/>
        <v>330</v>
      </c>
      <c r="B349" s="272"/>
      <c r="C349" s="272"/>
      <c r="D349" s="264"/>
      <c r="E349" s="20" t="s">
        <v>599</v>
      </c>
      <c r="F349" s="58">
        <v>1446</v>
      </c>
      <c r="G349" s="58" t="s">
        <v>125</v>
      </c>
      <c r="H349" s="58" t="s">
        <v>136</v>
      </c>
      <c r="I349" s="23">
        <v>9</v>
      </c>
      <c r="J349" s="26" t="s">
        <v>63</v>
      </c>
      <c r="K349" s="25">
        <v>163</v>
      </c>
      <c r="L349" s="65">
        <f t="shared" si="41"/>
        <v>2.7166666666666668</v>
      </c>
      <c r="M349" s="111"/>
    </row>
    <row r="350" spans="1:13" ht="18.899999999999999" customHeight="1" x14ac:dyDescent="0.45">
      <c r="A350" s="18">
        <f t="shared" ref="A350:A360" si="42">A349+1</f>
        <v>331</v>
      </c>
      <c r="B350" s="272"/>
      <c r="C350" s="272"/>
      <c r="D350" s="264"/>
      <c r="E350" s="94" t="s">
        <v>600</v>
      </c>
      <c r="F350" s="95">
        <v>1616</v>
      </c>
      <c r="G350" s="58" t="s">
        <v>83</v>
      </c>
      <c r="H350" s="126" t="s">
        <v>143</v>
      </c>
      <c r="I350" s="95">
        <v>9</v>
      </c>
      <c r="J350" s="19" t="s">
        <v>63</v>
      </c>
      <c r="K350" s="110">
        <v>97</v>
      </c>
      <c r="L350" s="65">
        <f t="shared" si="41"/>
        <v>1.6166666666666667</v>
      </c>
      <c r="M350" s="111"/>
    </row>
    <row r="351" spans="1:13" ht="18.899999999999999" customHeight="1" x14ac:dyDescent="0.45">
      <c r="A351" s="18">
        <f t="shared" si="42"/>
        <v>332</v>
      </c>
      <c r="B351" s="272"/>
      <c r="C351" s="272"/>
      <c r="D351" s="253"/>
      <c r="E351" s="94" t="s">
        <v>601</v>
      </c>
      <c r="F351" s="95">
        <v>1609</v>
      </c>
      <c r="G351" s="58" t="s">
        <v>125</v>
      </c>
      <c r="H351" s="126" t="s">
        <v>62</v>
      </c>
      <c r="I351" s="95">
        <v>12</v>
      </c>
      <c r="J351" s="19" t="s">
        <v>63</v>
      </c>
      <c r="K351" s="110">
        <v>128</v>
      </c>
      <c r="L351" s="65">
        <f t="shared" si="41"/>
        <v>2.1333333333333333</v>
      </c>
      <c r="M351" s="111" t="s">
        <v>139</v>
      </c>
    </row>
    <row r="352" spans="1:13" ht="18.899999999999999" customHeight="1" x14ac:dyDescent="0.45">
      <c r="A352" s="18">
        <f t="shared" si="42"/>
        <v>333</v>
      </c>
      <c r="B352" s="271" t="s">
        <v>602</v>
      </c>
      <c r="C352" s="271" t="s">
        <v>603</v>
      </c>
      <c r="D352" s="249" t="s">
        <v>604</v>
      </c>
      <c r="E352" s="20" t="s">
        <v>605</v>
      </c>
      <c r="F352" s="58">
        <v>1240</v>
      </c>
      <c r="G352" s="58" t="s">
        <v>125</v>
      </c>
      <c r="H352" s="22" t="s">
        <v>606</v>
      </c>
      <c r="I352" s="23">
        <v>4</v>
      </c>
      <c r="J352" s="24" t="s">
        <v>63</v>
      </c>
      <c r="K352" s="25">
        <v>124</v>
      </c>
      <c r="L352" s="65">
        <f t="shared" si="41"/>
        <v>2.0666666666666669</v>
      </c>
      <c r="M352" s="158"/>
    </row>
    <row r="353" spans="1:13" ht="18.899999999999999" customHeight="1" x14ac:dyDescent="0.45">
      <c r="A353" s="18">
        <f t="shared" si="42"/>
        <v>334</v>
      </c>
      <c r="B353" s="272"/>
      <c r="C353" s="272"/>
      <c r="D353" s="251"/>
      <c r="E353" s="20" t="s">
        <v>607</v>
      </c>
      <c r="F353" s="58">
        <v>1241</v>
      </c>
      <c r="G353" s="58" t="s">
        <v>125</v>
      </c>
      <c r="H353" s="22" t="s">
        <v>126</v>
      </c>
      <c r="I353" s="23">
        <v>4</v>
      </c>
      <c r="J353" s="24" t="s">
        <v>63</v>
      </c>
      <c r="K353" s="25">
        <v>97</v>
      </c>
      <c r="L353" s="65">
        <f t="shared" si="41"/>
        <v>1.6166666666666667</v>
      </c>
      <c r="M353" s="158"/>
    </row>
    <row r="354" spans="1:13" ht="18.899999999999999" customHeight="1" x14ac:dyDescent="0.45">
      <c r="A354" s="18">
        <f t="shared" si="42"/>
        <v>335</v>
      </c>
      <c r="B354" s="272"/>
      <c r="C354" s="272"/>
      <c r="D354" s="251"/>
      <c r="E354" s="20" t="s">
        <v>608</v>
      </c>
      <c r="F354" s="58">
        <v>1378</v>
      </c>
      <c r="G354" s="58" t="s">
        <v>125</v>
      </c>
      <c r="H354" s="22" t="s">
        <v>62</v>
      </c>
      <c r="I354" s="23">
        <v>5</v>
      </c>
      <c r="J354" s="24" t="s">
        <v>63</v>
      </c>
      <c r="K354" s="25">
        <v>152</v>
      </c>
      <c r="L354" s="65">
        <f t="shared" si="41"/>
        <v>2.5333333333333332</v>
      </c>
      <c r="M354" s="158"/>
    </row>
    <row r="355" spans="1:13" ht="18.899999999999999" customHeight="1" x14ac:dyDescent="0.45">
      <c r="A355" s="18">
        <f t="shared" si="42"/>
        <v>336</v>
      </c>
      <c r="B355" s="272"/>
      <c r="C355" s="272"/>
      <c r="D355" s="251"/>
      <c r="E355" s="20" t="s">
        <v>609</v>
      </c>
      <c r="F355" s="58">
        <v>1415</v>
      </c>
      <c r="G355" s="58" t="s">
        <v>125</v>
      </c>
      <c r="H355" s="22" t="s">
        <v>610</v>
      </c>
      <c r="I355" s="23">
        <v>7</v>
      </c>
      <c r="J355" s="24" t="s">
        <v>63</v>
      </c>
      <c r="K355" s="25">
        <v>70</v>
      </c>
      <c r="L355" s="65">
        <f t="shared" si="41"/>
        <v>1.1666666666666667</v>
      </c>
      <c r="M355" s="158"/>
    </row>
    <row r="356" spans="1:13" ht="18.899999999999999" customHeight="1" x14ac:dyDescent="0.45">
      <c r="A356" s="18">
        <f t="shared" si="42"/>
        <v>337</v>
      </c>
      <c r="B356" s="272"/>
      <c r="C356" s="272"/>
      <c r="D356" s="251"/>
      <c r="E356" s="49" t="s">
        <v>611</v>
      </c>
      <c r="F356" s="99">
        <v>1524</v>
      </c>
      <c r="G356" s="58" t="s">
        <v>125</v>
      </c>
      <c r="H356" s="62" t="s">
        <v>610</v>
      </c>
      <c r="I356" s="99">
        <v>10</v>
      </c>
      <c r="J356" s="39" t="s">
        <v>63</v>
      </c>
      <c r="K356" s="132">
        <v>130</v>
      </c>
      <c r="L356" s="65">
        <f t="shared" si="41"/>
        <v>2.1666666666666665</v>
      </c>
      <c r="M356" s="158"/>
    </row>
    <row r="357" spans="1:13" ht="18.899999999999999" customHeight="1" x14ac:dyDescent="0.45">
      <c r="A357" s="18">
        <f t="shared" si="42"/>
        <v>338</v>
      </c>
      <c r="B357" s="272"/>
      <c r="C357" s="272"/>
      <c r="D357" s="251"/>
      <c r="E357" s="49" t="s">
        <v>612</v>
      </c>
      <c r="F357" s="99">
        <v>1526</v>
      </c>
      <c r="G357" s="58" t="s">
        <v>125</v>
      </c>
      <c r="H357" s="62" t="s">
        <v>610</v>
      </c>
      <c r="I357" s="99">
        <v>8</v>
      </c>
      <c r="J357" s="39" t="s">
        <v>63</v>
      </c>
      <c r="K357" s="132">
        <v>125</v>
      </c>
      <c r="L357" s="65">
        <f t="shared" si="41"/>
        <v>2.0833333333333335</v>
      </c>
      <c r="M357" s="158"/>
    </row>
    <row r="358" spans="1:13" ht="18.899999999999999" customHeight="1" x14ac:dyDescent="0.45">
      <c r="A358" s="18">
        <f t="shared" si="42"/>
        <v>339</v>
      </c>
      <c r="B358" s="272"/>
      <c r="C358" s="272"/>
      <c r="D358" s="250"/>
      <c r="E358" s="94" t="s">
        <v>613</v>
      </c>
      <c r="F358" s="95">
        <v>1605</v>
      </c>
      <c r="G358" s="58" t="s">
        <v>125</v>
      </c>
      <c r="H358" s="126" t="s">
        <v>614</v>
      </c>
      <c r="I358" s="95">
        <v>5</v>
      </c>
      <c r="J358" s="19" t="s">
        <v>63</v>
      </c>
      <c r="K358" s="110">
        <v>80</v>
      </c>
      <c r="L358" s="65">
        <f t="shared" si="41"/>
        <v>1.3333333333333333</v>
      </c>
      <c r="M358" s="111" t="s">
        <v>139</v>
      </c>
    </row>
    <row r="359" spans="1:13" ht="18.899999999999999" customHeight="1" x14ac:dyDescent="0.45">
      <c r="A359" s="18">
        <f t="shared" si="42"/>
        <v>340</v>
      </c>
      <c r="B359" s="273"/>
      <c r="C359" s="19" t="s">
        <v>615</v>
      </c>
      <c r="D359" s="190" t="s">
        <v>616</v>
      </c>
      <c r="E359" s="41" t="s">
        <v>617</v>
      </c>
      <c r="F359" s="42">
        <v>1654</v>
      </c>
      <c r="G359" s="58" t="s">
        <v>83</v>
      </c>
      <c r="H359" s="126" t="s">
        <v>313</v>
      </c>
      <c r="I359" s="42">
        <v>9</v>
      </c>
      <c r="J359" s="19" t="s">
        <v>63</v>
      </c>
      <c r="K359" s="43">
        <v>139</v>
      </c>
      <c r="L359" s="45">
        <f t="shared" si="41"/>
        <v>2.3166666666666669</v>
      </c>
      <c r="M359" s="111"/>
    </row>
    <row r="360" spans="1:13" ht="18.899999999999999" customHeight="1" x14ac:dyDescent="0.45">
      <c r="A360" s="18">
        <f t="shared" si="42"/>
        <v>341</v>
      </c>
      <c r="B360" s="271" t="s">
        <v>618</v>
      </c>
      <c r="C360" s="279" t="s">
        <v>619</v>
      </c>
      <c r="D360" s="237" t="s">
        <v>620</v>
      </c>
      <c r="E360" s="20" t="s">
        <v>621</v>
      </c>
      <c r="F360" s="58">
        <v>1252</v>
      </c>
      <c r="G360" s="58" t="s">
        <v>83</v>
      </c>
      <c r="H360" s="26" t="s">
        <v>183</v>
      </c>
      <c r="I360" s="26">
        <v>15</v>
      </c>
      <c r="J360" s="26" t="s">
        <v>63</v>
      </c>
      <c r="K360" s="25">
        <v>129</v>
      </c>
      <c r="L360" s="65">
        <f t="shared" si="41"/>
        <v>2.15</v>
      </c>
      <c r="M360" s="158"/>
    </row>
    <row r="361" spans="1:13" ht="18.899999999999999" customHeight="1" x14ac:dyDescent="0.45">
      <c r="A361" s="18">
        <f t="shared" ref="A361:A396" si="43">A360+1</f>
        <v>342</v>
      </c>
      <c r="B361" s="272"/>
      <c r="C361" s="279"/>
      <c r="D361" s="237"/>
      <c r="E361" s="20" t="s">
        <v>622</v>
      </c>
      <c r="F361" s="58">
        <v>1253</v>
      </c>
      <c r="G361" s="58" t="s">
        <v>83</v>
      </c>
      <c r="H361" s="26" t="s">
        <v>183</v>
      </c>
      <c r="I361" s="26">
        <v>14</v>
      </c>
      <c r="J361" s="26" t="s">
        <v>63</v>
      </c>
      <c r="K361" s="25">
        <v>133</v>
      </c>
      <c r="L361" s="65">
        <f t="shared" si="41"/>
        <v>2.2166666666666668</v>
      </c>
      <c r="M361" s="158"/>
    </row>
    <row r="362" spans="1:13" ht="18.899999999999999" customHeight="1" x14ac:dyDescent="0.45">
      <c r="A362" s="18">
        <f t="shared" si="43"/>
        <v>343</v>
      </c>
      <c r="B362" s="272"/>
      <c r="C362" s="271" t="s">
        <v>618</v>
      </c>
      <c r="D362" s="255" t="s">
        <v>623</v>
      </c>
      <c r="E362" s="20" t="s">
        <v>624</v>
      </c>
      <c r="F362" s="58">
        <v>1416</v>
      </c>
      <c r="G362" s="58" t="s">
        <v>125</v>
      </c>
      <c r="H362" s="22" t="s">
        <v>610</v>
      </c>
      <c r="I362" s="23">
        <v>7</v>
      </c>
      <c r="J362" s="24" t="s">
        <v>63</v>
      </c>
      <c r="K362" s="25">
        <v>76</v>
      </c>
      <c r="L362" s="65">
        <f t="shared" si="41"/>
        <v>1.2666666666666666</v>
      </c>
      <c r="M362" s="158"/>
    </row>
    <row r="363" spans="1:13" ht="18.899999999999999" customHeight="1" x14ac:dyDescent="0.45">
      <c r="A363" s="18">
        <f t="shared" si="43"/>
        <v>344</v>
      </c>
      <c r="B363" s="273"/>
      <c r="C363" s="273"/>
      <c r="D363" s="253"/>
      <c r="E363" s="20" t="s">
        <v>625</v>
      </c>
      <c r="F363" s="58">
        <v>1482</v>
      </c>
      <c r="G363" s="58" t="s">
        <v>125</v>
      </c>
      <c r="H363" s="22" t="s">
        <v>626</v>
      </c>
      <c r="I363" s="23">
        <v>10</v>
      </c>
      <c r="J363" s="26" t="s">
        <v>63</v>
      </c>
      <c r="K363" s="192">
        <v>111</v>
      </c>
      <c r="L363" s="65">
        <f t="shared" si="41"/>
        <v>1.85</v>
      </c>
      <c r="M363" s="158"/>
    </row>
    <row r="364" spans="1:13" ht="18.899999999999999" customHeight="1" x14ac:dyDescent="0.45">
      <c r="A364" s="18">
        <f t="shared" si="43"/>
        <v>345</v>
      </c>
      <c r="B364" s="271" t="s">
        <v>627</v>
      </c>
      <c r="C364" s="271" t="s">
        <v>627</v>
      </c>
      <c r="D364" s="255" t="s">
        <v>628</v>
      </c>
      <c r="E364" s="49" t="s">
        <v>629</v>
      </c>
      <c r="F364" s="99">
        <v>1465</v>
      </c>
      <c r="G364" s="99" t="s">
        <v>83</v>
      </c>
      <c r="H364" s="99" t="s">
        <v>171</v>
      </c>
      <c r="I364" s="23">
        <v>3</v>
      </c>
      <c r="J364" s="26" t="s">
        <v>63</v>
      </c>
      <c r="K364" s="132">
        <v>39</v>
      </c>
      <c r="L364" s="65">
        <f t="shared" si="41"/>
        <v>0.65</v>
      </c>
      <c r="M364" s="158"/>
    </row>
    <row r="365" spans="1:13" ht="18.899999999999999" customHeight="1" x14ac:dyDescent="0.45">
      <c r="A365" s="18">
        <f t="shared" si="43"/>
        <v>346</v>
      </c>
      <c r="B365" s="272"/>
      <c r="C365" s="272"/>
      <c r="D365" s="264"/>
      <c r="E365" s="49" t="s">
        <v>630</v>
      </c>
      <c r="F365" s="99">
        <v>1466</v>
      </c>
      <c r="G365" s="99" t="s">
        <v>83</v>
      </c>
      <c r="H365" s="99" t="s">
        <v>171</v>
      </c>
      <c r="I365" s="23">
        <v>4</v>
      </c>
      <c r="J365" s="26" t="s">
        <v>63</v>
      </c>
      <c r="K365" s="132">
        <v>63</v>
      </c>
      <c r="L365" s="65">
        <f t="shared" si="41"/>
        <v>1.05</v>
      </c>
      <c r="M365" s="158"/>
    </row>
    <row r="366" spans="1:13" ht="18.899999999999999" customHeight="1" x14ac:dyDescent="0.45">
      <c r="A366" s="18">
        <f t="shared" si="43"/>
        <v>347</v>
      </c>
      <c r="B366" s="272"/>
      <c r="C366" s="272"/>
      <c r="D366" s="264"/>
      <c r="E366" s="49" t="s">
        <v>631</v>
      </c>
      <c r="F366" s="99">
        <v>1467</v>
      </c>
      <c r="G366" s="99" t="s">
        <v>83</v>
      </c>
      <c r="H366" s="99" t="s">
        <v>171</v>
      </c>
      <c r="I366" s="23">
        <v>2</v>
      </c>
      <c r="J366" s="26" t="s">
        <v>63</v>
      </c>
      <c r="K366" s="132">
        <v>40</v>
      </c>
      <c r="L366" s="65">
        <f t="shared" si="41"/>
        <v>0.66666666666666663</v>
      </c>
      <c r="M366" s="158"/>
    </row>
    <row r="367" spans="1:13" ht="18.899999999999999" customHeight="1" x14ac:dyDescent="0.45">
      <c r="A367" s="18">
        <f t="shared" si="43"/>
        <v>348</v>
      </c>
      <c r="B367" s="272"/>
      <c r="C367" s="272"/>
      <c r="D367" s="264"/>
      <c r="E367" s="49" t="s">
        <v>632</v>
      </c>
      <c r="F367" s="99">
        <v>1468</v>
      </c>
      <c r="G367" s="99" t="s">
        <v>83</v>
      </c>
      <c r="H367" s="99" t="s">
        <v>171</v>
      </c>
      <c r="I367" s="23">
        <v>5</v>
      </c>
      <c r="J367" s="26" t="s">
        <v>63</v>
      </c>
      <c r="K367" s="132">
        <v>89</v>
      </c>
      <c r="L367" s="65">
        <f t="shared" si="41"/>
        <v>1.4833333333333334</v>
      </c>
      <c r="M367" s="158"/>
    </row>
    <row r="368" spans="1:13" ht="18.899999999999999" customHeight="1" x14ac:dyDescent="0.45">
      <c r="A368" s="18">
        <f t="shared" si="43"/>
        <v>349</v>
      </c>
      <c r="B368" s="272"/>
      <c r="C368" s="272"/>
      <c r="D368" s="264"/>
      <c r="E368" s="49" t="s">
        <v>633</v>
      </c>
      <c r="F368" s="99">
        <v>1469</v>
      </c>
      <c r="G368" s="99" t="s">
        <v>83</v>
      </c>
      <c r="H368" s="99" t="s">
        <v>171</v>
      </c>
      <c r="I368" s="23">
        <v>3</v>
      </c>
      <c r="J368" s="26" t="s">
        <v>63</v>
      </c>
      <c r="K368" s="132">
        <v>56</v>
      </c>
      <c r="L368" s="65">
        <f t="shared" si="41"/>
        <v>0.93333333333333335</v>
      </c>
      <c r="M368" s="158"/>
    </row>
    <row r="369" spans="1:13" ht="18.899999999999999" customHeight="1" x14ac:dyDescent="0.45">
      <c r="A369" s="18">
        <f t="shared" si="43"/>
        <v>350</v>
      </c>
      <c r="B369" s="272"/>
      <c r="C369" s="272"/>
      <c r="D369" s="264"/>
      <c r="E369" s="49" t="s">
        <v>634</v>
      </c>
      <c r="F369" s="99">
        <v>1470</v>
      </c>
      <c r="G369" s="99" t="s">
        <v>83</v>
      </c>
      <c r="H369" s="99" t="s">
        <v>171</v>
      </c>
      <c r="I369" s="23">
        <v>2</v>
      </c>
      <c r="J369" s="26" t="s">
        <v>63</v>
      </c>
      <c r="K369" s="132">
        <v>31</v>
      </c>
      <c r="L369" s="65">
        <f t="shared" ref="L369:L399" si="44">K369/60</f>
        <v>0.51666666666666672</v>
      </c>
      <c r="M369" s="158"/>
    </row>
    <row r="370" spans="1:13" ht="18.899999999999999" customHeight="1" x14ac:dyDescent="0.45">
      <c r="A370" s="18">
        <f t="shared" si="43"/>
        <v>351</v>
      </c>
      <c r="B370" s="272"/>
      <c r="C370" s="272"/>
      <c r="D370" s="264"/>
      <c r="E370" s="49" t="s">
        <v>635</v>
      </c>
      <c r="F370" s="99">
        <v>1471</v>
      </c>
      <c r="G370" s="99" t="s">
        <v>83</v>
      </c>
      <c r="H370" s="99" t="s">
        <v>171</v>
      </c>
      <c r="I370" s="23">
        <v>2</v>
      </c>
      <c r="J370" s="26" t="s">
        <v>63</v>
      </c>
      <c r="K370" s="132">
        <v>22</v>
      </c>
      <c r="L370" s="65">
        <f t="shared" si="44"/>
        <v>0.36666666666666664</v>
      </c>
      <c r="M370" s="158"/>
    </row>
    <row r="371" spans="1:13" ht="18.899999999999999" customHeight="1" x14ac:dyDescent="0.45">
      <c r="A371" s="18">
        <f t="shared" si="43"/>
        <v>352</v>
      </c>
      <c r="B371" s="272"/>
      <c r="C371" s="272"/>
      <c r="D371" s="264"/>
      <c r="E371" s="49" t="s">
        <v>636</v>
      </c>
      <c r="F371" s="119">
        <v>1520</v>
      </c>
      <c r="G371" s="99" t="s">
        <v>83</v>
      </c>
      <c r="H371" s="62" t="s">
        <v>379</v>
      </c>
      <c r="I371" s="63">
        <v>6</v>
      </c>
      <c r="J371" s="99" t="s">
        <v>63</v>
      </c>
      <c r="K371" s="132">
        <v>70</v>
      </c>
      <c r="L371" s="65">
        <f t="shared" si="44"/>
        <v>1.1666666666666667</v>
      </c>
      <c r="M371" s="158"/>
    </row>
    <row r="372" spans="1:13" ht="18.899999999999999" customHeight="1" x14ac:dyDescent="0.45">
      <c r="A372" s="18">
        <f t="shared" si="43"/>
        <v>353</v>
      </c>
      <c r="B372" s="272"/>
      <c r="C372" s="272"/>
      <c r="D372" s="264"/>
      <c r="E372" s="49" t="s">
        <v>637</v>
      </c>
      <c r="F372" s="119">
        <v>1521</v>
      </c>
      <c r="G372" s="99" t="s">
        <v>83</v>
      </c>
      <c r="H372" s="62" t="s">
        <v>379</v>
      </c>
      <c r="I372" s="63">
        <v>7</v>
      </c>
      <c r="J372" s="99" t="s">
        <v>63</v>
      </c>
      <c r="K372" s="132">
        <v>97</v>
      </c>
      <c r="L372" s="65">
        <f t="shared" si="44"/>
        <v>1.6166666666666667</v>
      </c>
      <c r="M372" s="158"/>
    </row>
    <row r="373" spans="1:13" ht="18.899999999999999" customHeight="1" x14ac:dyDescent="0.45">
      <c r="A373" s="18">
        <f t="shared" si="43"/>
        <v>354</v>
      </c>
      <c r="B373" s="273"/>
      <c r="C373" s="273"/>
      <c r="D373" s="253"/>
      <c r="E373" s="49" t="s">
        <v>638</v>
      </c>
      <c r="F373" s="119">
        <v>1522</v>
      </c>
      <c r="G373" s="99" t="s">
        <v>83</v>
      </c>
      <c r="H373" s="62" t="s">
        <v>379</v>
      </c>
      <c r="I373" s="63">
        <v>3</v>
      </c>
      <c r="J373" s="99" t="s">
        <v>63</v>
      </c>
      <c r="K373" s="132">
        <v>38</v>
      </c>
      <c r="L373" s="65">
        <f t="shared" si="44"/>
        <v>0.6333333333333333</v>
      </c>
      <c r="M373" s="158"/>
    </row>
    <row r="374" spans="1:13" ht="18.899999999999999" customHeight="1" x14ac:dyDescent="0.45">
      <c r="A374" s="18">
        <f t="shared" si="43"/>
        <v>355</v>
      </c>
      <c r="B374" s="271" t="s">
        <v>639</v>
      </c>
      <c r="C374" s="271" t="s">
        <v>640</v>
      </c>
      <c r="D374" s="255" t="s">
        <v>641</v>
      </c>
      <c r="E374" s="20" t="s">
        <v>642</v>
      </c>
      <c r="F374" s="58">
        <v>1249</v>
      </c>
      <c r="G374" s="58" t="s">
        <v>161</v>
      </c>
      <c r="H374" s="22" t="s">
        <v>62</v>
      </c>
      <c r="I374" s="23">
        <v>12</v>
      </c>
      <c r="J374" s="24" t="s">
        <v>63</v>
      </c>
      <c r="K374" s="25">
        <v>115</v>
      </c>
      <c r="L374" s="65">
        <f t="shared" si="44"/>
        <v>1.9166666666666667</v>
      </c>
      <c r="M374" s="158"/>
    </row>
    <row r="375" spans="1:13" ht="18.899999999999999" customHeight="1" x14ac:dyDescent="0.45">
      <c r="A375" s="18">
        <f t="shared" si="43"/>
        <v>356</v>
      </c>
      <c r="B375" s="272"/>
      <c r="C375" s="273"/>
      <c r="D375" s="253"/>
      <c r="E375" s="20" t="s">
        <v>643</v>
      </c>
      <c r="F375" s="58">
        <v>1250</v>
      </c>
      <c r="G375" s="58" t="s">
        <v>161</v>
      </c>
      <c r="H375" s="22" t="s">
        <v>62</v>
      </c>
      <c r="I375" s="23">
        <v>10</v>
      </c>
      <c r="J375" s="24" t="s">
        <v>63</v>
      </c>
      <c r="K375" s="25">
        <v>109</v>
      </c>
      <c r="L375" s="65">
        <f t="shared" si="44"/>
        <v>1.8166666666666667</v>
      </c>
      <c r="M375" s="158"/>
    </row>
    <row r="376" spans="1:13" ht="18.899999999999999" customHeight="1" x14ac:dyDescent="0.45">
      <c r="A376" s="18">
        <f t="shared" si="43"/>
        <v>357</v>
      </c>
      <c r="B376" s="272"/>
      <c r="C376" s="271" t="s">
        <v>644</v>
      </c>
      <c r="D376" s="255" t="s">
        <v>645</v>
      </c>
      <c r="E376" s="20" t="s">
        <v>646</v>
      </c>
      <c r="F376" s="58">
        <v>1245</v>
      </c>
      <c r="G376" s="58" t="s">
        <v>125</v>
      </c>
      <c r="H376" s="22" t="s">
        <v>236</v>
      </c>
      <c r="I376" s="23">
        <v>7</v>
      </c>
      <c r="J376" s="24" t="s">
        <v>63</v>
      </c>
      <c r="K376" s="25">
        <v>56</v>
      </c>
      <c r="L376" s="65">
        <f t="shared" si="44"/>
        <v>0.93333333333333335</v>
      </c>
      <c r="M376" s="158"/>
    </row>
    <row r="377" spans="1:13" ht="18.899999999999999" customHeight="1" x14ac:dyDescent="0.45">
      <c r="A377" s="18">
        <f t="shared" si="43"/>
        <v>358</v>
      </c>
      <c r="B377" s="272"/>
      <c r="C377" s="273"/>
      <c r="D377" s="253"/>
      <c r="E377" s="51" t="s">
        <v>647</v>
      </c>
      <c r="F377" s="58">
        <v>1400</v>
      </c>
      <c r="G377" s="58" t="s">
        <v>125</v>
      </c>
      <c r="H377" s="22" t="s">
        <v>262</v>
      </c>
      <c r="I377" s="23">
        <v>4</v>
      </c>
      <c r="J377" s="24" t="s">
        <v>63</v>
      </c>
      <c r="K377" s="25">
        <v>100</v>
      </c>
      <c r="L377" s="65">
        <f t="shared" si="44"/>
        <v>1.6666666666666667</v>
      </c>
      <c r="M377" s="111" t="s">
        <v>139</v>
      </c>
    </row>
    <row r="378" spans="1:13" ht="18.899999999999999" customHeight="1" x14ac:dyDescent="0.45">
      <c r="A378" s="18">
        <f t="shared" si="43"/>
        <v>359</v>
      </c>
      <c r="B378" s="293" t="s">
        <v>648</v>
      </c>
      <c r="C378" s="280" t="s">
        <v>649</v>
      </c>
      <c r="D378" s="261" t="s">
        <v>650</v>
      </c>
      <c r="E378" s="191" t="s">
        <v>651</v>
      </c>
      <c r="F378" s="26">
        <v>1283</v>
      </c>
      <c r="G378" s="26" t="s">
        <v>83</v>
      </c>
      <c r="H378" s="56" t="s">
        <v>652</v>
      </c>
      <c r="I378" s="56">
        <v>1</v>
      </c>
      <c r="J378" s="19" t="s">
        <v>63</v>
      </c>
      <c r="K378" s="179">
        <v>8</v>
      </c>
      <c r="L378" s="65">
        <f t="shared" si="44"/>
        <v>0.13333333333333333</v>
      </c>
      <c r="M378" s="158"/>
    </row>
    <row r="379" spans="1:13" ht="18.899999999999999" customHeight="1" x14ac:dyDescent="0.45">
      <c r="A379" s="18">
        <f t="shared" si="43"/>
        <v>360</v>
      </c>
      <c r="B379" s="293"/>
      <c r="C379" s="280"/>
      <c r="D379" s="262"/>
      <c r="E379" s="191" t="s">
        <v>653</v>
      </c>
      <c r="F379" s="26">
        <v>1284</v>
      </c>
      <c r="G379" s="26" t="s">
        <v>83</v>
      </c>
      <c r="H379" s="56" t="s">
        <v>652</v>
      </c>
      <c r="I379" s="56">
        <v>1</v>
      </c>
      <c r="J379" s="19" t="s">
        <v>63</v>
      </c>
      <c r="K379" s="179">
        <v>13</v>
      </c>
      <c r="L379" s="65">
        <f t="shared" si="44"/>
        <v>0.21666666666666667</v>
      </c>
      <c r="M379" s="158"/>
    </row>
    <row r="380" spans="1:13" ht="18.899999999999999" customHeight="1" x14ac:dyDescent="0.45">
      <c r="A380" s="18">
        <f t="shared" si="43"/>
        <v>361</v>
      </c>
      <c r="B380" s="293"/>
      <c r="C380" s="280" t="s">
        <v>654</v>
      </c>
      <c r="D380" s="261" t="s">
        <v>655</v>
      </c>
      <c r="E380" s="191" t="s">
        <v>656</v>
      </c>
      <c r="F380" s="26">
        <v>1285</v>
      </c>
      <c r="G380" s="26" t="s">
        <v>83</v>
      </c>
      <c r="H380" s="56" t="s">
        <v>652</v>
      </c>
      <c r="I380" s="56">
        <v>5</v>
      </c>
      <c r="J380" s="19" t="s">
        <v>63</v>
      </c>
      <c r="K380" s="179">
        <v>70</v>
      </c>
      <c r="L380" s="65">
        <f t="shared" si="44"/>
        <v>1.1666666666666667</v>
      </c>
      <c r="M380" s="158"/>
    </row>
    <row r="381" spans="1:13" ht="18.899999999999999" customHeight="1" x14ac:dyDescent="0.45">
      <c r="A381" s="18">
        <f t="shared" si="43"/>
        <v>362</v>
      </c>
      <c r="B381" s="293"/>
      <c r="C381" s="280"/>
      <c r="D381" s="263"/>
      <c r="E381" s="191" t="s">
        <v>657</v>
      </c>
      <c r="F381" s="26">
        <v>1286</v>
      </c>
      <c r="G381" s="26" t="s">
        <v>83</v>
      </c>
      <c r="H381" s="56" t="s">
        <v>652</v>
      </c>
      <c r="I381" s="56">
        <v>9</v>
      </c>
      <c r="J381" s="19" t="s">
        <v>63</v>
      </c>
      <c r="K381" s="179">
        <v>104</v>
      </c>
      <c r="L381" s="65">
        <f t="shared" si="44"/>
        <v>1.7333333333333334</v>
      </c>
      <c r="M381" s="158"/>
    </row>
    <row r="382" spans="1:13" ht="18.899999999999999" customHeight="1" x14ac:dyDescent="0.45">
      <c r="A382" s="18">
        <f t="shared" si="43"/>
        <v>363</v>
      </c>
      <c r="B382" s="293"/>
      <c r="C382" s="280"/>
      <c r="D382" s="263"/>
      <c r="E382" s="191" t="s">
        <v>658</v>
      </c>
      <c r="F382" s="26">
        <v>1287</v>
      </c>
      <c r="G382" s="26" t="s">
        <v>83</v>
      </c>
      <c r="H382" s="56" t="s">
        <v>652</v>
      </c>
      <c r="I382" s="56">
        <v>6</v>
      </c>
      <c r="J382" s="19" t="s">
        <v>63</v>
      </c>
      <c r="K382" s="179">
        <v>49</v>
      </c>
      <c r="L382" s="65">
        <f t="shared" si="44"/>
        <v>0.81666666666666665</v>
      </c>
      <c r="M382" s="158"/>
    </row>
    <row r="383" spans="1:13" ht="18.899999999999999" customHeight="1" x14ac:dyDescent="0.45">
      <c r="A383" s="18">
        <f t="shared" si="43"/>
        <v>364</v>
      </c>
      <c r="B383" s="293"/>
      <c r="C383" s="280"/>
      <c r="D383" s="263"/>
      <c r="E383" s="191" t="s">
        <v>659</v>
      </c>
      <c r="F383" s="26">
        <v>1288</v>
      </c>
      <c r="G383" s="26" t="s">
        <v>83</v>
      </c>
      <c r="H383" s="56" t="s">
        <v>652</v>
      </c>
      <c r="I383" s="56">
        <v>5</v>
      </c>
      <c r="J383" s="19" t="s">
        <v>63</v>
      </c>
      <c r="K383" s="179">
        <v>51</v>
      </c>
      <c r="L383" s="65">
        <f t="shared" si="44"/>
        <v>0.85</v>
      </c>
      <c r="M383" s="158"/>
    </row>
    <row r="384" spans="1:13" ht="18.899999999999999" customHeight="1" x14ac:dyDescent="0.45">
      <c r="A384" s="18">
        <f t="shared" si="43"/>
        <v>365</v>
      </c>
      <c r="B384" s="293"/>
      <c r="C384" s="280"/>
      <c r="D384" s="263"/>
      <c r="E384" s="191" t="s">
        <v>660</v>
      </c>
      <c r="F384" s="26">
        <v>1289</v>
      </c>
      <c r="G384" s="26" t="s">
        <v>83</v>
      </c>
      <c r="H384" s="56" t="s">
        <v>652</v>
      </c>
      <c r="I384" s="56">
        <v>9</v>
      </c>
      <c r="J384" s="19" t="s">
        <v>63</v>
      </c>
      <c r="K384" s="179">
        <v>69</v>
      </c>
      <c r="L384" s="65">
        <f t="shared" si="44"/>
        <v>1.1499999999999999</v>
      </c>
      <c r="M384" s="158"/>
    </row>
    <row r="385" spans="1:13" ht="18.899999999999999" customHeight="1" x14ac:dyDescent="0.45">
      <c r="A385" s="18">
        <f t="shared" si="43"/>
        <v>366</v>
      </c>
      <c r="B385" s="293"/>
      <c r="C385" s="280"/>
      <c r="D385" s="263"/>
      <c r="E385" s="191" t="s">
        <v>661</v>
      </c>
      <c r="F385" s="26">
        <v>1290</v>
      </c>
      <c r="G385" s="26" t="s">
        <v>83</v>
      </c>
      <c r="H385" s="56" t="s">
        <v>652</v>
      </c>
      <c r="I385" s="56">
        <v>6</v>
      </c>
      <c r="J385" s="19" t="s">
        <v>63</v>
      </c>
      <c r="K385" s="179">
        <v>44</v>
      </c>
      <c r="L385" s="65">
        <f t="shared" si="44"/>
        <v>0.73333333333333328</v>
      </c>
      <c r="M385" s="158"/>
    </row>
    <row r="386" spans="1:13" ht="18.899999999999999" customHeight="1" x14ac:dyDescent="0.45">
      <c r="A386" s="18">
        <f t="shared" si="43"/>
        <v>367</v>
      </c>
      <c r="B386" s="293"/>
      <c r="C386" s="280"/>
      <c r="D386" s="262"/>
      <c r="E386" s="191" t="s">
        <v>662</v>
      </c>
      <c r="F386" s="26">
        <v>1291</v>
      </c>
      <c r="G386" s="26" t="s">
        <v>83</v>
      </c>
      <c r="H386" s="56" t="s">
        <v>652</v>
      </c>
      <c r="I386" s="56">
        <v>6</v>
      </c>
      <c r="J386" s="19" t="s">
        <v>63</v>
      </c>
      <c r="K386" s="179">
        <v>46</v>
      </c>
      <c r="L386" s="65">
        <f t="shared" si="44"/>
        <v>0.76666666666666672</v>
      </c>
      <c r="M386" s="158"/>
    </row>
    <row r="387" spans="1:13" ht="18.899999999999999" customHeight="1" x14ac:dyDescent="0.45">
      <c r="A387" s="18">
        <f t="shared" si="43"/>
        <v>368</v>
      </c>
      <c r="B387" s="293"/>
      <c r="C387" s="280" t="s">
        <v>663</v>
      </c>
      <c r="D387" s="261" t="s">
        <v>664</v>
      </c>
      <c r="E387" s="191" t="s">
        <v>665</v>
      </c>
      <c r="F387" s="26">
        <v>1292</v>
      </c>
      <c r="G387" s="26" t="s">
        <v>83</v>
      </c>
      <c r="H387" s="26" t="s">
        <v>62</v>
      </c>
      <c r="I387" s="56">
        <v>8</v>
      </c>
      <c r="J387" s="19" t="s">
        <v>63</v>
      </c>
      <c r="K387" s="179">
        <v>100</v>
      </c>
      <c r="L387" s="65">
        <f t="shared" si="44"/>
        <v>1.6666666666666667</v>
      </c>
      <c r="M387" s="140"/>
    </row>
    <row r="388" spans="1:13" ht="18.899999999999999" customHeight="1" x14ac:dyDescent="0.45">
      <c r="A388" s="18">
        <f t="shared" si="43"/>
        <v>369</v>
      </c>
      <c r="B388" s="293"/>
      <c r="C388" s="280"/>
      <c r="D388" s="263"/>
      <c r="E388" s="191" t="s">
        <v>666</v>
      </c>
      <c r="F388" s="26">
        <v>1293</v>
      </c>
      <c r="G388" s="26" t="s">
        <v>83</v>
      </c>
      <c r="H388" s="26" t="s">
        <v>62</v>
      </c>
      <c r="I388" s="56">
        <v>5</v>
      </c>
      <c r="J388" s="19" t="s">
        <v>63</v>
      </c>
      <c r="K388" s="179">
        <v>61</v>
      </c>
      <c r="L388" s="65">
        <f t="shared" si="44"/>
        <v>1.0166666666666666</v>
      </c>
      <c r="M388" s="140"/>
    </row>
    <row r="389" spans="1:13" ht="18.899999999999999" customHeight="1" x14ac:dyDescent="0.45">
      <c r="A389" s="18">
        <f t="shared" si="43"/>
        <v>370</v>
      </c>
      <c r="B389" s="293"/>
      <c r="C389" s="280"/>
      <c r="D389" s="263"/>
      <c r="E389" s="191" t="s">
        <v>667</v>
      </c>
      <c r="F389" s="26">
        <v>1294</v>
      </c>
      <c r="G389" s="26" t="s">
        <v>83</v>
      </c>
      <c r="H389" s="26" t="s">
        <v>62</v>
      </c>
      <c r="I389" s="56">
        <v>8</v>
      </c>
      <c r="J389" s="19" t="s">
        <v>63</v>
      </c>
      <c r="K389" s="179">
        <v>89</v>
      </c>
      <c r="L389" s="65">
        <f t="shared" si="44"/>
        <v>1.4833333333333334</v>
      </c>
      <c r="M389" s="140"/>
    </row>
    <row r="390" spans="1:13" ht="18.899999999999999" customHeight="1" x14ac:dyDescent="0.45">
      <c r="A390" s="18">
        <f t="shared" si="43"/>
        <v>371</v>
      </c>
      <c r="B390" s="293"/>
      <c r="C390" s="280"/>
      <c r="D390" s="262"/>
      <c r="E390" s="191" t="s">
        <v>668</v>
      </c>
      <c r="F390" s="26">
        <v>1295</v>
      </c>
      <c r="G390" s="26" t="s">
        <v>83</v>
      </c>
      <c r="H390" s="26" t="s">
        <v>62</v>
      </c>
      <c r="I390" s="56">
        <v>7</v>
      </c>
      <c r="J390" s="19" t="s">
        <v>63</v>
      </c>
      <c r="K390" s="179">
        <v>70</v>
      </c>
      <c r="L390" s="65">
        <f t="shared" si="44"/>
        <v>1.1666666666666667</v>
      </c>
      <c r="M390" s="140"/>
    </row>
    <row r="391" spans="1:13" ht="18.899999999999999" customHeight="1" x14ac:dyDescent="0.45">
      <c r="A391" s="18">
        <f t="shared" si="43"/>
        <v>372</v>
      </c>
      <c r="B391" s="293"/>
      <c r="C391" s="280" t="s">
        <v>669</v>
      </c>
      <c r="D391" s="261" t="s">
        <v>670</v>
      </c>
      <c r="E391" s="191" t="s">
        <v>671</v>
      </c>
      <c r="F391" s="26">
        <v>1296</v>
      </c>
      <c r="G391" s="26" t="s">
        <v>83</v>
      </c>
      <c r="H391" s="56" t="s">
        <v>652</v>
      </c>
      <c r="I391" s="56">
        <v>5</v>
      </c>
      <c r="J391" s="19" t="s">
        <v>63</v>
      </c>
      <c r="K391" s="179">
        <v>59</v>
      </c>
      <c r="L391" s="65">
        <f t="shared" si="44"/>
        <v>0.98333333333333328</v>
      </c>
      <c r="M391" s="140"/>
    </row>
    <row r="392" spans="1:13" ht="18.899999999999999" customHeight="1" x14ac:dyDescent="0.45">
      <c r="A392" s="18">
        <f t="shared" si="43"/>
        <v>373</v>
      </c>
      <c r="B392" s="293"/>
      <c r="C392" s="280"/>
      <c r="D392" s="263"/>
      <c r="E392" s="191" t="s">
        <v>672</v>
      </c>
      <c r="F392" s="26">
        <v>1297</v>
      </c>
      <c r="G392" s="26" t="s">
        <v>83</v>
      </c>
      <c r="H392" s="56" t="s">
        <v>652</v>
      </c>
      <c r="I392" s="56">
        <v>3</v>
      </c>
      <c r="J392" s="19" t="s">
        <v>63</v>
      </c>
      <c r="K392" s="179">
        <v>24</v>
      </c>
      <c r="L392" s="65">
        <f t="shared" si="44"/>
        <v>0.4</v>
      </c>
      <c r="M392" s="140"/>
    </row>
    <row r="393" spans="1:13" ht="18.899999999999999" customHeight="1" x14ac:dyDescent="0.45">
      <c r="A393" s="18">
        <f t="shared" si="43"/>
        <v>374</v>
      </c>
      <c r="B393" s="293"/>
      <c r="C393" s="280"/>
      <c r="D393" s="263"/>
      <c r="E393" s="191" t="s">
        <v>673</v>
      </c>
      <c r="F393" s="26">
        <v>1298</v>
      </c>
      <c r="G393" s="26" t="s">
        <v>83</v>
      </c>
      <c r="H393" s="56" t="s">
        <v>652</v>
      </c>
      <c r="I393" s="56">
        <v>5</v>
      </c>
      <c r="J393" s="19" t="s">
        <v>63</v>
      </c>
      <c r="K393" s="179">
        <v>55</v>
      </c>
      <c r="L393" s="65">
        <f t="shared" si="44"/>
        <v>0.91666666666666663</v>
      </c>
      <c r="M393" s="140"/>
    </row>
    <row r="394" spans="1:13" ht="18.899999999999999" customHeight="1" x14ac:dyDescent="0.45">
      <c r="A394" s="18">
        <f t="shared" si="43"/>
        <v>375</v>
      </c>
      <c r="B394" s="293"/>
      <c r="C394" s="280"/>
      <c r="D394" s="263"/>
      <c r="E394" s="191" t="s">
        <v>674</v>
      </c>
      <c r="F394" s="26">
        <v>1299</v>
      </c>
      <c r="G394" s="26" t="s">
        <v>83</v>
      </c>
      <c r="H394" s="56" t="s">
        <v>652</v>
      </c>
      <c r="I394" s="56">
        <v>3</v>
      </c>
      <c r="J394" s="19" t="s">
        <v>63</v>
      </c>
      <c r="K394" s="179">
        <v>33</v>
      </c>
      <c r="L394" s="65">
        <f t="shared" si="44"/>
        <v>0.55000000000000004</v>
      </c>
      <c r="M394" s="140"/>
    </row>
    <row r="395" spans="1:13" ht="18.899999999999999" customHeight="1" x14ac:dyDescent="0.45">
      <c r="A395" s="18">
        <f t="shared" si="43"/>
        <v>376</v>
      </c>
      <c r="B395" s="293"/>
      <c r="C395" s="280"/>
      <c r="D395" s="262"/>
      <c r="E395" s="191" t="s">
        <v>675</v>
      </c>
      <c r="F395" s="26">
        <v>1300</v>
      </c>
      <c r="G395" s="26" t="s">
        <v>83</v>
      </c>
      <c r="H395" s="56" t="s">
        <v>652</v>
      </c>
      <c r="I395" s="56">
        <v>2</v>
      </c>
      <c r="J395" s="19" t="s">
        <v>63</v>
      </c>
      <c r="K395" s="179">
        <v>24</v>
      </c>
      <c r="L395" s="65">
        <f t="shared" si="44"/>
        <v>0.4</v>
      </c>
      <c r="M395" s="140"/>
    </row>
    <row r="396" spans="1:13" ht="18.899999999999999" customHeight="1" x14ac:dyDescent="0.45">
      <c r="A396" s="19">
        <f t="shared" si="43"/>
        <v>377</v>
      </c>
      <c r="B396" s="293"/>
      <c r="C396" s="280" t="s">
        <v>676</v>
      </c>
      <c r="D396" s="261" t="s">
        <v>677</v>
      </c>
      <c r="E396" s="191" t="s">
        <v>678</v>
      </c>
      <c r="F396" s="26">
        <v>1301</v>
      </c>
      <c r="G396" s="26" t="s">
        <v>83</v>
      </c>
      <c r="H396" s="26" t="s">
        <v>62</v>
      </c>
      <c r="I396" s="56">
        <v>8</v>
      </c>
      <c r="J396" s="19" t="s">
        <v>63</v>
      </c>
      <c r="K396" s="179">
        <v>70</v>
      </c>
      <c r="L396" s="65">
        <f t="shared" si="44"/>
        <v>1.1666666666666667</v>
      </c>
      <c r="M396" s="140"/>
    </row>
    <row r="397" spans="1:13" ht="18.899999999999999" customHeight="1" x14ac:dyDescent="0.45">
      <c r="A397" s="19">
        <f t="shared" ref="A397:A399" si="45">A396+1</f>
        <v>378</v>
      </c>
      <c r="B397" s="293"/>
      <c r="C397" s="280"/>
      <c r="D397" s="263"/>
      <c r="E397" s="191" t="s">
        <v>679</v>
      </c>
      <c r="F397" s="26">
        <v>1302</v>
      </c>
      <c r="G397" s="26" t="s">
        <v>83</v>
      </c>
      <c r="H397" s="26" t="s">
        <v>62</v>
      </c>
      <c r="I397" s="56">
        <v>4</v>
      </c>
      <c r="J397" s="19" t="s">
        <v>63</v>
      </c>
      <c r="K397" s="179">
        <v>34</v>
      </c>
      <c r="L397" s="65">
        <f t="shared" si="44"/>
        <v>0.56666666666666665</v>
      </c>
      <c r="M397" s="140"/>
    </row>
    <row r="398" spans="1:13" ht="18.899999999999999" customHeight="1" x14ac:dyDescent="0.45">
      <c r="A398" s="19">
        <f t="shared" si="45"/>
        <v>379</v>
      </c>
      <c r="B398" s="293"/>
      <c r="C398" s="280"/>
      <c r="D398" s="263"/>
      <c r="E398" s="191" t="s">
        <v>680</v>
      </c>
      <c r="F398" s="26">
        <v>1303</v>
      </c>
      <c r="G398" s="26" t="s">
        <v>83</v>
      </c>
      <c r="H398" s="26" t="s">
        <v>62</v>
      </c>
      <c r="I398" s="56">
        <v>12</v>
      </c>
      <c r="J398" s="19" t="s">
        <v>63</v>
      </c>
      <c r="K398" s="179">
        <v>101</v>
      </c>
      <c r="L398" s="65">
        <f t="shared" si="44"/>
        <v>1.6833333333333333</v>
      </c>
      <c r="M398" s="140"/>
    </row>
    <row r="399" spans="1:13" ht="18.899999999999999" customHeight="1" x14ac:dyDescent="0.45">
      <c r="A399" s="19">
        <f t="shared" si="45"/>
        <v>380</v>
      </c>
      <c r="B399" s="293"/>
      <c r="C399" s="280"/>
      <c r="D399" s="262"/>
      <c r="E399" s="191" t="s">
        <v>681</v>
      </c>
      <c r="F399" s="26">
        <v>1304</v>
      </c>
      <c r="G399" s="26" t="s">
        <v>83</v>
      </c>
      <c r="H399" s="26" t="s">
        <v>62</v>
      </c>
      <c r="I399" s="56">
        <v>10</v>
      </c>
      <c r="J399" s="19" t="s">
        <v>63</v>
      </c>
      <c r="K399" s="179">
        <v>80</v>
      </c>
      <c r="L399" s="65">
        <f t="shared" si="44"/>
        <v>1.3333333333333333</v>
      </c>
      <c r="M399" s="140"/>
    </row>
    <row r="400" spans="1:13" ht="19.5" customHeight="1" x14ac:dyDescent="0.45">
      <c r="A400" s="274" t="s">
        <v>682</v>
      </c>
      <c r="B400" s="275"/>
      <c r="C400" s="275"/>
      <c r="D400" s="276"/>
      <c r="E400" s="275"/>
      <c r="F400" s="275"/>
      <c r="G400" s="275"/>
      <c r="H400" s="275"/>
      <c r="I400" s="275"/>
      <c r="J400" s="275"/>
      <c r="K400" s="275"/>
      <c r="L400" s="275"/>
      <c r="M400" s="275"/>
    </row>
    <row r="401" spans="1:13" s="146" customFormat="1" ht="19.5" customHeight="1" x14ac:dyDescent="0.45">
      <c r="A401" s="193">
        <f>A399+1</f>
        <v>381</v>
      </c>
      <c r="B401" s="293" t="s">
        <v>22</v>
      </c>
      <c r="C401" s="294" t="s">
        <v>683</v>
      </c>
      <c r="D401" s="249" t="s">
        <v>684</v>
      </c>
      <c r="E401" s="94" t="s">
        <v>685</v>
      </c>
      <c r="F401" s="95">
        <v>1602</v>
      </c>
      <c r="G401" s="26" t="s">
        <v>83</v>
      </c>
      <c r="H401" s="126" t="s">
        <v>384</v>
      </c>
      <c r="I401" s="95">
        <v>6</v>
      </c>
      <c r="J401" s="19" t="s">
        <v>63</v>
      </c>
      <c r="K401" s="110">
        <v>41</v>
      </c>
      <c r="L401" s="65">
        <f>K401/60</f>
        <v>0.68333333333333335</v>
      </c>
      <c r="M401" s="195"/>
    </row>
    <row r="402" spans="1:13" s="146" customFormat="1" ht="19.5" customHeight="1" x14ac:dyDescent="0.45">
      <c r="A402" s="193">
        <f t="shared" ref="A402:A407" si="46">A401+1</f>
        <v>382</v>
      </c>
      <c r="B402" s="293"/>
      <c r="C402" s="295"/>
      <c r="D402" s="250"/>
      <c r="E402" s="94" t="s">
        <v>686</v>
      </c>
      <c r="F402" s="95">
        <v>1603</v>
      </c>
      <c r="G402" s="26" t="s">
        <v>83</v>
      </c>
      <c r="H402" s="126" t="s">
        <v>384</v>
      </c>
      <c r="I402" s="95">
        <v>8</v>
      </c>
      <c r="J402" s="19" t="s">
        <v>63</v>
      </c>
      <c r="K402" s="110">
        <v>65</v>
      </c>
      <c r="L402" s="65">
        <f t="shared" ref="L402:L428" si="47">K402/60</f>
        <v>1.0833333333333333</v>
      </c>
      <c r="M402" s="195"/>
    </row>
    <row r="403" spans="1:13" s="146" customFormat="1" ht="19.5" customHeight="1" x14ac:dyDescent="0.45">
      <c r="A403" s="193">
        <f t="shared" si="46"/>
        <v>383</v>
      </c>
      <c r="B403" s="293"/>
      <c r="C403" s="99" t="s">
        <v>687</v>
      </c>
      <c r="D403" s="182" t="s">
        <v>688</v>
      </c>
      <c r="E403" s="49" t="s">
        <v>689</v>
      </c>
      <c r="F403" s="58">
        <v>1477</v>
      </c>
      <c r="G403" s="26" t="s">
        <v>83</v>
      </c>
      <c r="H403" s="22" t="s">
        <v>267</v>
      </c>
      <c r="I403" s="23">
        <v>12</v>
      </c>
      <c r="J403" s="26" t="s">
        <v>63</v>
      </c>
      <c r="K403" s="132">
        <v>212</v>
      </c>
      <c r="L403" s="65">
        <f t="shared" si="47"/>
        <v>3.5333333333333332</v>
      </c>
      <c r="M403" s="195"/>
    </row>
    <row r="404" spans="1:13" ht="18.899999999999999" customHeight="1" x14ac:dyDescent="0.45">
      <c r="A404" s="193">
        <f t="shared" si="46"/>
        <v>384</v>
      </c>
      <c r="B404" s="293"/>
      <c r="C404" s="296" t="s">
        <v>690</v>
      </c>
      <c r="D404" s="249" t="s">
        <v>691</v>
      </c>
      <c r="E404" s="49" t="s">
        <v>692</v>
      </c>
      <c r="F404" s="119">
        <v>1513</v>
      </c>
      <c r="G404" s="119" t="s">
        <v>125</v>
      </c>
      <c r="H404" s="62" t="s">
        <v>126</v>
      </c>
      <c r="I404" s="63">
        <v>4</v>
      </c>
      <c r="J404" s="62" t="s">
        <v>63</v>
      </c>
      <c r="K404" s="132">
        <v>48</v>
      </c>
      <c r="L404" s="65">
        <f t="shared" si="47"/>
        <v>0.8</v>
      </c>
      <c r="M404" s="196"/>
    </row>
    <row r="405" spans="1:13" ht="18.899999999999999" customHeight="1" x14ac:dyDescent="0.45">
      <c r="A405" s="193">
        <f t="shared" si="46"/>
        <v>385</v>
      </c>
      <c r="B405" s="293"/>
      <c r="C405" s="296"/>
      <c r="D405" s="251"/>
      <c r="E405" s="49" t="s">
        <v>693</v>
      </c>
      <c r="F405" s="119">
        <v>1514</v>
      </c>
      <c r="G405" s="119" t="s">
        <v>125</v>
      </c>
      <c r="H405" s="62" t="s">
        <v>126</v>
      </c>
      <c r="I405" s="63">
        <v>5</v>
      </c>
      <c r="J405" s="39" t="s">
        <v>63</v>
      </c>
      <c r="K405" s="132">
        <v>53</v>
      </c>
      <c r="L405" s="65">
        <f t="shared" si="47"/>
        <v>0.8833333333333333</v>
      </c>
      <c r="M405" s="196"/>
    </row>
    <row r="406" spans="1:13" ht="18.899999999999999" customHeight="1" x14ac:dyDescent="0.45">
      <c r="A406" s="193">
        <f t="shared" si="46"/>
        <v>386</v>
      </c>
      <c r="B406" s="293"/>
      <c r="C406" s="296"/>
      <c r="D406" s="250"/>
      <c r="E406" s="49" t="s">
        <v>694</v>
      </c>
      <c r="F406" s="119">
        <v>1515</v>
      </c>
      <c r="G406" s="119" t="s">
        <v>125</v>
      </c>
      <c r="H406" s="62" t="s">
        <v>126</v>
      </c>
      <c r="I406" s="63">
        <v>4</v>
      </c>
      <c r="J406" s="75" t="s">
        <v>63</v>
      </c>
      <c r="K406" s="132">
        <v>52</v>
      </c>
      <c r="L406" s="65">
        <f t="shared" si="47"/>
        <v>0.8666666666666667</v>
      </c>
      <c r="M406" s="196"/>
    </row>
    <row r="407" spans="1:13" ht="18.899999999999999" customHeight="1" x14ac:dyDescent="0.45">
      <c r="A407" s="193">
        <f t="shared" si="46"/>
        <v>387</v>
      </c>
      <c r="B407" s="293"/>
      <c r="C407" s="297" t="s">
        <v>695</v>
      </c>
      <c r="D407" s="255" t="s">
        <v>696</v>
      </c>
      <c r="E407" s="97" t="s">
        <v>697</v>
      </c>
      <c r="F407" s="98">
        <v>1572</v>
      </c>
      <c r="G407" s="119" t="s">
        <v>125</v>
      </c>
      <c r="H407" s="117" t="s">
        <v>698</v>
      </c>
      <c r="I407" s="98">
        <v>5</v>
      </c>
      <c r="J407" s="39" t="s">
        <v>63</v>
      </c>
      <c r="K407" s="112">
        <v>78</v>
      </c>
      <c r="L407" s="65">
        <f t="shared" si="47"/>
        <v>1.3</v>
      </c>
      <c r="M407" s="197"/>
    </row>
    <row r="408" spans="1:13" ht="18.899999999999999" customHeight="1" x14ac:dyDescent="0.45">
      <c r="A408" s="193">
        <f t="shared" ref="A408:A412" si="48">A407+1</f>
        <v>388</v>
      </c>
      <c r="B408" s="293"/>
      <c r="C408" s="298"/>
      <c r="D408" s="264"/>
      <c r="E408" s="97" t="s">
        <v>699</v>
      </c>
      <c r="F408" s="98">
        <v>1570</v>
      </c>
      <c r="G408" s="119" t="s">
        <v>125</v>
      </c>
      <c r="H408" s="117" t="s">
        <v>698</v>
      </c>
      <c r="I408" s="98">
        <v>5</v>
      </c>
      <c r="J408" s="39" t="s">
        <v>63</v>
      </c>
      <c r="K408" s="112">
        <v>66</v>
      </c>
      <c r="L408" s="65">
        <f t="shared" si="47"/>
        <v>1.1000000000000001</v>
      </c>
      <c r="M408" s="197"/>
    </row>
    <row r="409" spans="1:13" ht="18.899999999999999" customHeight="1" x14ac:dyDescent="0.45">
      <c r="A409" s="193">
        <f t="shared" si="48"/>
        <v>389</v>
      </c>
      <c r="B409" s="293"/>
      <c r="C409" s="298"/>
      <c r="D409" s="264"/>
      <c r="E409" s="97" t="s">
        <v>700</v>
      </c>
      <c r="F409" s="98">
        <v>1569</v>
      </c>
      <c r="G409" s="119" t="s">
        <v>125</v>
      </c>
      <c r="H409" s="117" t="s">
        <v>698</v>
      </c>
      <c r="I409" s="98">
        <v>4</v>
      </c>
      <c r="J409" s="39" t="s">
        <v>63</v>
      </c>
      <c r="K409" s="112">
        <v>72</v>
      </c>
      <c r="L409" s="65">
        <f t="shared" si="47"/>
        <v>1.2</v>
      </c>
      <c r="M409" s="197"/>
    </row>
    <row r="410" spans="1:13" ht="18.899999999999999" customHeight="1" x14ac:dyDescent="0.45">
      <c r="A410" s="193">
        <f t="shared" si="48"/>
        <v>390</v>
      </c>
      <c r="B410" s="293"/>
      <c r="C410" s="299"/>
      <c r="D410" s="253"/>
      <c r="E410" s="97" t="s">
        <v>701</v>
      </c>
      <c r="F410" s="98">
        <v>1568</v>
      </c>
      <c r="G410" s="119" t="s">
        <v>125</v>
      </c>
      <c r="H410" s="117" t="s">
        <v>698</v>
      </c>
      <c r="I410" s="98">
        <v>1</v>
      </c>
      <c r="J410" s="39" t="s">
        <v>63</v>
      </c>
      <c r="K410" s="112">
        <v>16</v>
      </c>
      <c r="L410" s="65">
        <f t="shared" si="47"/>
        <v>0.26666666666666666</v>
      </c>
      <c r="M410" s="197"/>
    </row>
    <row r="411" spans="1:13" ht="18.899999999999999" customHeight="1" x14ac:dyDescent="0.45">
      <c r="A411" s="193">
        <f t="shared" si="48"/>
        <v>391</v>
      </c>
      <c r="B411" s="293"/>
      <c r="C411" s="296" t="s">
        <v>702</v>
      </c>
      <c r="D411" s="237" t="s">
        <v>703</v>
      </c>
      <c r="E411" s="49" t="s">
        <v>704</v>
      </c>
      <c r="F411" s="99">
        <v>946</v>
      </c>
      <c r="G411" s="99" t="s">
        <v>61</v>
      </c>
      <c r="H411" s="161" t="s">
        <v>62</v>
      </c>
      <c r="I411" s="63">
        <v>1</v>
      </c>
      <c r="J411" s="62" t="s">
        <v>63</v>
      </c>
      <c r="K411" s="67">
        <v>24</v>
      </c>
      <c r="L411" s="65">
        <f t="shared" si="47"/>
        <v>0.4</v>
      </c>
      <c r="M411" s="196"/>
    </row>
    <row r="412" spans="1:13" ht="18.899999999999999" customHeight="1" x14ac:dyDescent="0.45">
      <c r="A412" s="193">
        <f t="shared" si="48"/>
        <v>392</v>
      </c>
      <c r="B412" s="293"/>
      <c r="C412" s="296"/>
      <c r="D412" s="237"/>
      <c r="E412" s="49" t="s">
        <v>705</v>
      </c>
      <c r="F412" s="99">
        <v>952</v>
      </c>
      <c r="G412" s="99" t="s">
        <v>83</v>
      </c>
      <c r="H412" s="161" t="s">
        <v>262</v>
      </c>
      <c r="I412" s="99">
        <v>6</v>
      </c>
      <c r="J412" s="39" t="s">
        <v>63</v>
      </c>
      <c r="K412" s="67">
        <v>59</v>
      </c>
      <c r="L412" s="65">
        <f t="shared" si="47"/>
        <v>0.98333333333333328</v>
      </c>
      <c r="M412" s="196"/>
    </row>
    <row r="413" spans="1:13" ht="18.899999999999999" customHeight="1" x14ac:dyDescent="0.45">
      <c r="A413" s="127">
        <f t="shared" ref="A413:A424" si="49">A412+1</f>
        <v>393</v>
      </c>
      <c r="B413" s="293"/>
      <c r="C413" s="296"/>
      <c r="D413" s="237"/>
      <c r="E413" s="20" t="s">
        <v>706</v>
      </c>
      <c r="F413" s="58">
        <v>1334</v>
      </c>
      <c r="G413" s="58" t="s">
        <v>161</v>
      </c>
      <c r="H413" s="161" t="s">
        <v>262</v>
      </c>
      <c r="I413" s="23">
        <v>8</v>
      </c>
      <c r="J413" s="24" t="s">
        <v>63</v>
      </c>
      <c r="K413" s="25">
        <v>95</v>
      </c>
      <c r="L413" s="65">
        <f t="shared" si="47"/>
        <v>1.5833333333333333</v>
      </c>
      <c r="M413" s="111" t="s">
        <v>139</v>
      </c>
    </row>
    <row r="414" spans="1:13" ht="18.899999999999999" customHeight="1" x14ac:dyDescent="0.45">
      <c r="A414" s="127">
        <f t="shared" si="49"/>
        <v>394</v>
      </c>
      <c r="B414" s="293"/>
      <c r="C414" s="296"/>
      <c r="D414" s="237"/>
      <c r="E414" s="49" t="s">
        <v>707</v>
      </c>
      <c r="F414" s="58">
        <v>1445</v>
      </c>
      <c r="G414" s="58" t="s">
        <v>161</v>
      </c>
      <c r="H414" s="22" t="s">
        <v>267</v>
      </c>
      <c r="I414" s="23">
        <v>6</v>
      </c>
      <c r="J414" s="26" t="s">
        <v>63</v>
      </c>
      <c r="K414" s="25">
        <v>98</v>
      </c>
      <c r="L414" s="65">
        <f t="shared" si="47"/>
        <v>1.6333333333333333</v>
      </c>
      <c r="M414" s="111"/>
    </row>
    <row r="415" spans="1:13" ht="18.899999999999999" customHeight="1" x14ac:dyDescent="0.45">
      <c r="A415" s="127">
        <f t="shared" si="49"/>
        <v>395</v>
      </c>
      <c r="B415" s="293"/>
      <c r="C415" s="296"/>
      <c r="D415" s="237"/>
      <c r="E415" s="49" t="s">
        <v>708</v>
      </c>
      <c r="F415" s="99">
        <v>1208</v>
      </c>
      <c r="G415" s="58" t="s">
        <v>161</v>
      </c>
      <c r="H415" s="175" t="s">
        <v>171</v>
      </c>
      <c r="I415" s="39">
        <v>8</v>
      </c>
      <c r="J415" s="39" t="s">
        <v>63</v>
      </c>
      <c r="K415" s="67">
        <v>87</v>
      </c>
      <c r="L415" s="65">
        <f t="shared" si="47"/>
        <v>1.45</v>
      </c>
      <c r="M415" s="111" t="s">
        <v>139</v>
      </c>
    </row>
    <row r="416" spans="1:13" ht="18.899999999999999" customHeight="1" x14ac:dyDescent="0.45">
      <c r="A416" s="127">
        <f t="shared" si="49"/>
        <v>396</v>
      </c>
      <c r="B416" s="293"/>
      <c r="C416" s="296"/>
      <c r="D416" s="237"/>
      <c r="E416" s="49" t="s">
        <v>709</v>
      </c>
      <c r="F416" s="99">
        <v>1203</v>
      </c>
      <c r="G416" s="58" t="s">
        <v>125</v>
      </c>
      <c r="H416" s="175" t="s">
        <v>710</v>
      </c>
      <c r="I416" s="39">
        <v>9</v>
      </c>
      <c r="J416" s="39" t="s">
        <v>63</v>
      </c>
      <c r="K416" s="67">
        <v>91</v>
      </c>
      <c r="L416" s="65">
        <f t="shared" si="47"/>
        <v>1.5166666666666666</v>
      </c>
      <c r="M416" s="111" t="s">
        <v>139</v>
      </c>
    </row>
    <row r="417" spans="1:13" ht="18.899999999999999" customHeight="1" x14ac:dyDescent="0.45">
      <c r="A417" s="127">
        <f t="shared" si="49"/>
        <v>397</v>
      </c>
      <c r="B417" s="293"/>
      <c r="C417" s="296"/>
      <c r="D417" s="237"/>
      <c r="E417" s="49" t="s">
        <v>711</v>
      </c>
      <c r="F417" s="99">
        <v>1207</v>
      </c>
      <c r="G417" s="58" t="s">
        <v>161</v>
      </c>
      <c r="H417" s="175" t="s">
        <v>262</v>
      </c>
      <c r="I417" s="39">
        <v>6</v>
      </c>
      <c r="J417" s="39" t="s">
        <v>63</v>
      </c>
      <c r="K417" s="67">
        <v>61</v>
      </c>
      <c r="L417" s="65">
        <f t="shared" si="47"/>
        <v>1.0166666666666666</v>
      </c>
      <c r="M417" s="111" t="s">
        <v>139</v>
      </c>
    </row>
    <row r="418" spans="1:13" ht="18.899999999999999" customHeight="1" x14ac:dyDescent="0.45">
      <c r="A418" s="127">
        <f t="shared" si="49"/>
        <v>398</v>
      </c>
      <c r="B418" s="293"/>
      <c r="C418" s="296"/>
      <c r="D418" s="237"/>
      <c r="E418" s="49" t="s">
        <v>712</v>
      </c>
      <c r="F418" s="99">
        <v>1205</v>
      </c>
      <c r="G418" s="58" t="s">
        <v>125</v>
      </c>
      <c r="H418" s="175" t="s">
        <v>154</v>
      </c>
      <c r="I418" s="39">
        <v>5</v>
      </c>
      <c r="J418" s="39" t="s">
        <v>63</v>
      </c>
      <c r="K418" s="67">
        <v>52</v>
      </c>
      <c r="L418" s="65">
        <f t="shared" si="47"/>
        <v>0.8666666666666667</v>
      </c>
      <c r="M418" s="111" t="s">
        <v>139</v>
      </c>
    </row>
    <row r="419" spans="1:13" ht="18.899999999999999" customHeight="1" x14ac:dyDescent="0.45">
      <c r="A419" s="127">
        <f t="shared" si="49"/>
        <v>399</v>
      </c>
      <c r="B419" s="293"/>
      <c r="C419" s="296"/>
      <c r="D419" s="237"/>
      <c r="E419" s="49" t="s">
        <v>713</v>
      </c>
      <c r="F419" s="99">
        <v>1206</v>
      </c>
      <c r="G419" s="58" t="s">
        <v>161</v>
      </c>
      <c r="H419" s="175" t="s">
        <v>154</v>
      </c>
      <c r="I419" s="39">
        <v>5</v>
      </c>
      <c r="J419" s="39" t="s">
        <v>63</v>
      </c>
      <c r="K419" s="67">
        <v>46</v>
      </c>
      <c r="L419" s="65">
        <f t="shared" si="47"/>
        <v>0.76666666666666672</v>
      </c>
      <c r="M419" s="111" t="s">
        <v>139</v>
      </c>
    </row>
    <row r="420" spans="1:13" ht="18.899999999999999" customHeight="1" x14ac:dyDescent="0.45">
      <c r="A420" s="127">
        <f t="shared" si="49"/>
        <v>400</v>
      </c>
      <c r="B420" s="293"/>
      <c r="C420" s="296"/>
      <c r="D420" s="237"/>
      <c r="E420" s="49" t="s">
        <v>714</v>
      </c>
      <c r="F420" s="99">
        <v>1204</v>
      </c>
      <c r="G420" s="58" t="s">
        <v>161</v>
      </c>
      <c r="H420" s="175" t="s">
        <v>253</v>
      </c>
      <c r="I420" s="39">
        <v>5</v>
      </c>
      <c r="J420" s="39" t="s">
        <v>63</v>
      </c>
      <c r="K420" s="67">
        <v>82</v>
      </c>
      <c r="L420" s="65">
        <f t="shared" si="47"/>
        <v>1.3666666666666667</v>
      </c>
      <c r="M420" s="111" t="s">
        <v>139</v>
      </c>
    </row>
    <row r="421" spans="1:13" ht="18.899999999999999" customHeight="1" x14ac:dyDescent="0.45">
      <c r="A421" s="127">
        <f t="shared" si="49"/>
        <v>401</v>
      </c>
      <c r="B421" s="293"/>
      <c r="C421" s="300" t="s">
        <v>715</v>
      </c>
      <c r="D421" s="254" t="s">
        <v>716</v>
      </c>
      <c r="E421" s="94" t="s">
        <v>717</v>
      </c>
      <c r="F421" s="95">
        <v>1617</v>
      </c>
      <c r="G421" s="95" t="s">
        <v>161</v>
      </c>
      <c r="H421" s="126" t="s">
        <v>236</v>
      </c>
      <c r="I421" s="95">
        <v>10</v>
      </c>
      <c r="J421" s="19" t="s">
        <v>63</v>
      </c>
      <c r="K421" s="110">
        <v>107</v>
      </c>
      <c r="L421" s="65">
        <f t="shared" si="47"/>
        <v>1.7833333333333334</v>
      </c>
      <c r="M421" s="196"/>
    </row>
    <row r="422" spans="1:13" ht="18.899999999999999" customHeight="1" x14ac:dyDescent="0.45">
      <c r="A422" s="127">
        <f t="shared" si="49"/>
        <v>402</v>
      </c>
      <c r="B422" s="293"/>
      <c r="C422" s="300"/>
      <c r="D422" s="254"/>
      <c r="E422" s="20" t="s">
        <v>718</v>
      </c>
      <c r="F422" s="58">
        <v>1244</v>
      </c>
      <c r="G422" s="95" t="s">
        <v>161</v>
      </c>
      <c r="H422" s="22" t="s">
        <v>236</v>
      </c>
      <c r="I422" s="23">
        <v>12</v>
      </c>
      <c r="J422" s="24" t="s">
        <v>63</v>
      </c>
      <c r="K422" s="25">
        <v>109</v>
      </c>
      <c r="L422" s="65">
        <f t="shared" si="47"/>
        <v>1.8166666666666667</v>
      </c>
      <c r="M422" s="111"/>
    </row>
    <row r="423" spans="1:13" ht="18.899999999999999" customHeight="1" x14ac:dyDescent="0.45">
      <c r="A423" s="127">
        <f t="shared" si="49"/>
        <v>403</v>
      </c>
      <c r="B423" s="293"/>
      <c r="C423" s="300"/>
      <c r="D423" s="254"/>
      <c r="E423" s="51" t="s">
        <v>719</v>
      </c>
      <c r="F423" s="58">
        <v>1406</v>
      </c>
      <c r="G423" s="95" t="s">
        <v>161</v>
      </c>
      <c r="H423" s="22" t="s">
        <v>143</v>
      </c>
      <c r="I423" s="23">
        <v>5</v>
      </c>
      <c r="J423" s="24" t="s">
        <v>63</v>
      </c>
      <c r="K423" s="25">
        <v>91</v>
      </c>
      <c r="L423" s="65">
        <f t="shared" si="47"/>
        <v>1.5166666666666666</v>
      </c>
      <c r="M423" s="111" t="s">
        <v>139</v>
      </c>
    </row>
    <row r="424" spans="1:13" ht="18.899999999999999" customHeight="1" x14ac:dyDescent="0.45">
      <c r="A424" s="127">
        <f t="shared" si="49"/>
        <v>404</v>
      </c>
      <c r="B424" s="293"/>
      <c r="C424" s="300"/>
      <c r="D424" s="254"/>
      <c r="E424" s="51" t="s">
        <v>720</v>
      </c>
      <c r="F424" s="58">
        <v>1246</v>
      </c>
      <c r="G424" s="58" t="s">
        <v>83</v>
      </c>
      <c r="H424" s="22" t="s">
        <v>236</v>
      </c>
      <c r="I424" s="23">
        <v>6</v>
      </c>
      <c r="J424" s="24" t="s">
        <v>63</v>
      </c>
      <c r="K424" s="25">
        <v>56</v>
      </c>
      <c r="L424" s="65">
        <f t="shared" si="47"/>
        <v>0.93333333333333335</v>
      </c>
      <c r="M424" s="158"/>
    </row>
    <row r="425" spans="1:13" ht="18.899999999999999" customHeight="1" x14ac:dyDescent="0.45">
      <c r="A425" s="127">
        <f t="shared" ref="A425:A428" si="50">A424+1</f>
        <v>405</v>
      </c>
      <c r="B425" s="293"/>
      <c r="C425" s="300"/>
      <c r="D425" s="254"/>
      <c r="E425" s="51" t="s">
        <v>721</v>
      </c>
      <c r="F425" s="58">
        <v>1393</v>
      </c>
      <c r="G425" s="95" t="s">
        <v>161</v>
      </c>
      <c r="H425" s="22" t="s">
        <v>236</v>
      </c>
      <c r="I425" s="23">
        <v>8</v>
      </c>
      <c r="J425" s="24" t="s">
        <v>63</v>
      </c>
      <c r="K425" s="25">
        <v>110</v>
      </c>
      <c r="L425" s="65">
        <f t="shared" si="47"/>
        <v>1.8333333333333333</v>
      </c>
      <c r="M425" s="158"/>
    </row>
    <row r="426" spans="1:13" ht="18.899999999999999" customHeight="1" x14ac:dyDescent="0.45">
      <c r="A426" s="127">
        <f t="shared" si="50"/>
        <v>406</v>
      </c>
      <c r="B426" s="293"/>
      <c r="C426" s="300"/>
      <c r="D426" s="254"/>
      <c r="E426" s="51" t="s">
        <v>722</v>
      </c>
      <c r="F426" s="58">
        <v>1405</v>
      </c>
      <c r="G426" s="95" t="s">
        <v>161</v>
      </c>
      <c r="H426" s="22" t="s">
        <v>236</v>
      </c>
      <c r="I426" s="23">
        <v>7</v>
      </c>
      <c r="J426" s="24" t="s">
        <v>63</v>
      </c>
      <c r="K426" s="25">
        <v>49</v>
      </c>
      <c r="L426" s="65">
        <f t="shared" si="47"/>
        <v>0.81666666666666665</v>
      </c>
      <c r="M426" s="158"/>
    </row>
    <row r="427" spans="1:13" ht="18.899999999999999" customHeight="1" x14ac:dyDescent="0.45">
      <c r="A427" s="127">
        <f t="shared" si="50"/>
        <v>407</v>
      </c>
      <c r="B427" s="293"/>
      <c r="C427" s="300"/>
      <c r="D427" s="254"/>
      <c r="E427" s="51" t="s">
        <v>723</v>
      </c>
      <c r="F427" s="58">
        <v>1394</v>
      </c>
      <c r="G427" s="58" t="s">
        <v>125</v>
      </c>
      <c r="H427" s="22" t="s">
        <v>236</v>
      </c>
      <c r="I427" s="23">
        <v>5</v>
      </c>
      <c r="J427" s="24" t="s">
        <v>63</v>
      </c>
      <c r="K427" s="25">
        <v>63</v>
      </c>
      <c r="L427" s="65">
        <f t="shared" si="47"/>
        <v>1.05</v>
      </c>
      <c r="M427" s="158"/>
    </row>
    <row r="428" spans="1:13" ht="18.899999999999999" customHeight="1" x14ac:dyDescent="0.45">
      <c r="A428" s="127">
        <f t="shared" si="50"/>
        <v>408</v>
      </c>
      <c r="B428" s="293"/>
      <c r="C428" s="300"/>
      <c r="D428" s="254"/>
      <c r="E428" s="51" t="s">
        <v>724</v>
      </c>
      <c r="F428" s="58">
        <v>1448</v>
      </c>
      <c r="G428" s="58" t="s">
        <v>125</v>
      </c>
      <c r="H428" s="22" t="s">
        <v>236</v>
      </c>
      <c r="I428" s="23">
        <v>9</v>
      </c>
      <c r="J428" s="24" t="s">
        <v>63</v>
      </c>
      <c r="K428" s="25">
        <v>156</v>
      </c>
      <c r="L428" s="65">
        <f t="shared" si="47"/>
        <v>2.6</v>
      </c>
      <c r="M428" s="158"/>
    </row>
    <row r="429" spans="1:13" ht="18.899999999999999" customHeight="1" x14ac:dyDescent="0.45">
      <c r="A429" s="274" t="s">
        <v>725</v>
      </c>
      <c r="B429" s="275"/>
      <c r="C429" s="275"/>
      <c r="D429" s="276"/>
      <c r="E429" s="275"/>
      <c r="F429" s="275"/>
      <c r="G429" s="275"/>
      <c r="H429" s="275"/>
      <c r="I429" s="275"/>
      <c r="J429" s="275"/>
      <c r="K429" s="275"/>
      <c r="L429" s="275"/>
      <c r="M429" s="275"/>
    </row>
    <row r="430" spans="1:13" ht="18.899999999999999" customHeight="1" x14ac:dyDescent="0.45">
      <c r="A430" s="127">
        <f>A428+1</f>
        <v>409</v>
      </c>
      <c r="B430" s="271" t="s">
        <v>23</v>
      </c>
      <c r="C430" s="271" t="s">
        <v>23</v>
      </c>
      <c r="D430" s="249" t="s">
        <v>726</v>
      </c>
      <c r="E430" s="51" t="s">
        <v>727</v>
      </c>
      <c r="F430" s="26">
        <v>1170</v>
      </c>
      <c r="G430" s="26" t="s">
        <v>83</v>
      </c>
      <c r="H430" s="26" t="s">
        <v>62</v>
      </c>
      <c r="I430" s="39">
        <v>9</v>
      </c>
      <c r="J430" s="39" t="s">
        <v>63</v>
      </c>
      <c r="K430" s="67">
        <v>123</v>
      </c>
      <c r="L430" s="65">
        <f>K430/60</f>
        <v>2.0499999999999998</v>
      </c>
      <c r="M430" s="34"/>
    </row>
    <row r="431" spans="1:13" ht="18.899999999999999" customHeight="1" x14ac:dyDescent="0.45">
      <c r="A431" s="127">
        <f>A430+1</f>
        <v>410</v>
      </c>
      <c r="B431" s="272"/>
      <c r="C431" s="272"/>
      <c r="D431" s="251"/>
      <c r="E431" s="20" t="s">
        <v>728</v>
      </c>
      <c r="F431" s="19">
        <v>1154</v>
      </c>
      <c r="G431" s="26" t="s">
        <v>83</v>
      </c>
      <c r="H431" s="22" t="s">
        <v>729</v>
      </c>
      <c r="I431" s="23">
        <v>1</v>
      </c>
      <c r="J431" s="22" t="s">
        <v>63</v>
      </c>
      <c r="K431" s="64">
        <v>46</v>
      </c>
      <c r="L431" s="65">
        <f t="shared" ref="L431:L438" si="51">K431/60</f>
        <v>0.76666666666666672</v>
      </c>
      <c r="M431" s="34"/>
    </row>
    <row r="432" spans="1:13" ht="18.899999999999999" customHeight="1" x14ac:dyDescent="0.45">
      <c r="A432" s="127">
        <f t="shared" ref="A432:A438" si="52">A431+1</f>
        <v>411</v>
      </c>
      <c r="B432" s="272"/>
      <c r="C432" s="272"/>
      <c r="D432" s="251"/>
      <c r="E432" s="20" t="s">
        <v>730</v>
      </c>
      <c r="F432" s="19">
        <v>1122</v>
      </c>
      <c r="G432" s="19" t="s">
        <v>125</v>
      </c>
      <c r="H432" s="22" t="s">
        <v>354</v>
      </c>
      <c r="I432" s="23">
        <v>1</v>
      </c>
      <c r="J432" s="22" t="s">
        <v>63</v>
      </c>
      <c r="K432" s="64">
        <v>54</v>
      </c>
      <c r="L432" s="65">
        <f t="shared" si="51"/>
        <v>0.9</v>
      </c>
      <c r="M432" s="136" t="s">
        <v>731</v>
      </c>
    </row>
    <row r="433" spans="1:13" ht="18.899999999999999" customHeight="1" x14ac:dyDescent="0.45">
      <c r="A433" s="127">
        <f t="shared" si="52"/>
        <v>412</v>
      </c>
      <c r="B433" s="272"/>
      <c r="C433" s="272"/>
      <c r="D433" s="251"/>
      <c r="E433" s="20" t="s">
        <v>732</v>
      </c>
      <c r="F433" s="19">
        <v>1130</v>
      </c>
      <c r="G433" s="19" t="s">
        <v>161</v>
      </c>
      <c r="H433" s="22" t="s">
        <v>126</v>
      </c>
      <c r="I433" s="23">
        <v>1</v>
      </c>
      <c r="J433" s="22" t="s">
        <v>63</v>
      </c>
      <c r="K433" s="64">
        <v>54</v>
      </c>
      <c r="L433" s="65">
        <f t="shared" si="51"/>
        <v>0.9</v>
      </c>
      <c r="M433" s="136" t="s">
        <v>731</v>
      </c>
    </row>
    <row r="434" spans="1:13" ht="18.899999999999999" customHeight="1" x14ac:dyDescent="0.45">
      <c r="A434" s="127">
        <f t="shared" si="52"/>
        <v>413</v>
      </c>
      <c r="B434" s="272"/>
      <c r="C434" s="272"/>
      <c r="D434" s="251"/>
      <c r="E434" s="20" t="s">
        <v>733</v>
      </c>
      <c r="F434" s="58">
        <v>1258</v>
      </c>
      <c r="G434" s="58" t="s">
        <v>83</v>
      </c>
      <c r="H434" s="22" t="s">
        <v>62</v>
      </c>
      <c r="I434" s="23">
        <v>30</v>
      </c>
      <c r="J434" s="24" t="s">
        <v>63</v>
      </c>
      <c r="K434" s="25">
        <v>351</v>
      </c>
      <c r="L434" s="65">
        <f t="shared" si="51"/>
        <v>5.85</v>
      </c>
      <c r="M434" s="34"/>
    </row>
    <row r="435" spans="1:13" ht="18.899999999999999" customHeight="1" x14ac:dyDescent="0.45">
      <c r="A435" s="127">
        <f t="shared" si="52"/>
        <v>414</v>
      </c>
      <c r="B435" s="272"/>
      <c r="C435" s="272"/>
      <c r="D435" s="251"/>
      <c r="E435" s="97" t="s">
        <v>734</v>
      </c>
      <c r="F435" s="98">
        <v>1582</v>
      </c>
      <c r="G435" s="58" t="s">
        <v>83</v>
      </c>
      <c r="H435" s="117" t="s">
        <v>126</v>
      </c>
      <c r="I435" s="98">
        <v>6</v>
      </c>
      <c r="J435" s="39" t="s">
        <v>63</v>
      </c>
      <c r="K435" s="112">
        <v>52</v>
      </c>
      <c r="L435" s="65">
        <f t="shared" si="51"/>
        <v>0.8666666666666667</v>
      </c>
      <c r="M435" s="198"/>
    </row>
    <row r="436" spans="1:13" ht="18.899999999999999" customHeight="1" x14ac:dyDescent="0.45">
      <c r="A436" s="127">
        <f t="shared" si="52"/>
        <v>415</v>
      </c>
      <c r="B436" s="272"/>
      <c r="C436" s="273"/>
      <c r="D436" s="250"/>
      <c r="E436" s="97" t="s">
        <v>735</v>
      </c>
      <c r="F436" s="98">
        <v>1578</v>
      </c>
      <c r="G436" s="58" t="s">
        <v>83</v>
      </c>
      <c r="H436" s="117" t="s">
        <v>126</v>
      </c>
      <c r="I436" s="98">
        <v>5</v>
      </c>
      <c r="J436" s="39" t="s">
        <v>63</v>
      </c>
      <c r="K436" s="112">
        <v>68</v>
      </c>
      <c r="L436" s="65">
        <f t="shared" si="51"/>
        <v>1.1333333333333333</v>
      </c>
      <c r="M436" s="198"/>
    </row>
    <row r="437" spans="1:13" ht="18.899999999999999" customHeight="1" x14ac:dyDescent="0.45">
      <c r="A437" s="127">
        <f t="shared" si="52"/>
        <v>416</v>
      </c>
      <c r="B437" s="272"/>
      <c r="C437" s="271" t="s">
        <v>736</v>
      </c>
      <c r="D437" s="249" t="s">
        <v>737</v>
      </c>
      <c r="E437" s="20" t="s">
        <v>738</v>
      </c>
      <c r="F437" s="26">
        <v>342</v>
      </c>
      <c r="G437" s="58" t="s">
        <v>83</v>
      </c>
      <c r="H437" s="50" t="s">
        <v>739</v>
      </c>
      <c r="I437" s="19">
        <v>23</v>
      </c>
      <c r="J437" s="19" t="s">
        <v>63</v>
      </c>
      <c r="K437" s="64">
        <v>298</v>
      </c>
      <c r="L437" s="65">
        <f t="shared" si="51"/>
        <v>4.9666666666666668</v>
      </c>
      <c r="M437" s="158"/>
    </row>
    <row r="438" spans="1:13" ht="18.899999999999999" customHeight="1" x14ac:dyDescent="0.45">
      <c r="A438" s="127">
        <f t="shared" si="52"/>
        <v>417</v>
      </c>
      <c r="B438" s="272"/>
      <c r="C438" s="273"/>
      <c r="D438" s="250"/>
      <c r="E438" s="20" t="s">
        <v>740</v>
      </c>
      <c r="F438" s="19">
        <v>1125</v>
      </c>
      <c r="G438" s="58" t="s">
        <v>83</v>
      </c>
      <c r="H438" s="22" t="s">
        <v>62</v>
      </c>
      <c r="I438" s="23">
        <v>1</v>
      </c>
      <c r="J438" s="22" t="s">
        <v>63</v>
      </c>
      <c r="K438" s="64">
        <v>56</v>
      </c>
      <c r="L438" s="65">
        <f t="shared" si="51"/>
        <v>0.93333333333333335</v>
      </c>
      <c r="M438" s="136" t="s">
        <v>731</v>
      </c>
    </row>
    <row r="439" spans="1:13" ht="18.899999999999999" customHeight="1" x14ac:dyDescent="0.45">
      <c r="A439" s="274" t="s">
        <v>741</v>
      </c>
      <c r="B439" s="275"/>
      <c r="C439" s="275"/>
      <c r="D439" s="276"/>
      <c r="E439" s="275"/>
      <c r="F439" s="275"/>
      <c r="G439" s="275"/>
      <c r="H439" s="275"/>
      <c r="I439" s="275"/>
      <c r="J439" s="275"/>
      <c r="K439" s="275"/>
      <c r="L439" s="275"/>
      <c r="M439" s="275"/>
    </row>
    <row r="440" spans="1:13" ht="18.899999999999999" customHeight="1" x14ac:dyDescent="0.45">
      <c r="A440" s="18">
        <f>A438+1</f>
        <v>418</v>
      </c>
      <c r="B440" s="271" t="s">
        <v>742</v>
      </c>
      <c r="C440" s="271" t="s">
        <v>743</v>
      </c>
      <c r="D440" s="258" t="s">
        <v>1450</v>
      </c>
      <c r="E440" s="184" t="s">
        <v>744</v>
      </c>
      <c r="F440" s="113">
        <v>1629</v>
      </c>
      <c r="G440" s="113" t="s">
        <v>161</v>
      </c>
      <c r="H440" s="103" t="s">
        <v>381</v>
      </c>
      <c r="I440" s="113">
        <v>21</v>
      </c>
      <c r="J440" s="39" t="s">
        <v>63</v>
      </c>
      <c r="K440" s="135">
        <v>156</v>
      </c>
      <c r="L440" s="115">
        <f t="shared" ref="L440:L444" si="53">K440/60</f>
        <v>2.6</v>
      </c>
      <c r="M440" s="158"/>
    </row>
    <row r="441" spans="1:13" ht="18.899999999999999" customHeight="1" x14ac:dyDescent="0.45">
      <c r="A441" s="18">
        <f t="shared" ref="A441:A446" si="54">A440+1</f>
        <v>419</v>
      </c>
      <c r="B441" s="272"/>
      <c r="C441" s="272"/>
      <c r="D441" s="259"/>
      <c r="E441" s="184" t="s">
        <v>745</v>
      </c>
      <c r="F441" s="113">
        <v>1628</v>
      </c>
      <c r="G441" s="113" t="s">
        <v>125</v>
      </c>
      <c r="H441" s="103" t="s">
        <v>746</v>
      </c>
      <c r="I441" s="113">
        <v>14</v>
      </c>
      <c r="J441" s="39" t="s">
        <v>63</v>
      </c>
      <c r="K441" s="112">
        <v>111</v>
      </c>
      <c r="L441" s="115">
        <f t="shared" si="53"/>
        <v>1.85</v>
      </c>
      <c r="M441" s="158"/>
    </row>
    <row r="442" spans="1:13" ht="18.899999999999999" customHeight="1" x14ac:dyDescent="0.45">
      <c r="A442" s="18">
        <f t="shared" si="54"/>
        <v>420</v>
      </c>
      <c r="B442" s="272"/>
      <c r="C442" s="272"/>
      <c r="D442" s="259"/>
      <c r="E442" s="97" t="s">
        <v>747</v>
      </c>
      <c r="F442" s="219">
        <v>1656</v>
      </c>
      <c r="G442" s="98" t="s">
        <v>125</v>
      </c>
      <c r="H442" s="117" t="s">
        <v>171</v>
      </c>
      <c r="I442" s="219">
        <v>8</v>
      </c>
      <c r="J442" s="39" t="s">
        <v>63</v>
      </c>
      <c r="K442" s="220">
        <v>101</v>
      </c>
      <c r="L442" s="221">
        <f t="shared" si="53"/>
        <v>1.6833333333333333</v>
      </c>
      <c r="M442" s="158"/>
    </row>
    <row r="443" spans="1:13" ht="18.899999999999999" customHeight="1" x14ac:dyDescent="0.45">
      <c r="A443" s="18">
        <f t="shared" si="54"/>
        <v>421</v>
      </c>
      <c r="B443" s="272"/>
      <c r="C443" s="272"/>
      <c r="D443" s="259"/>
      <c r="E443" s="97" t="s">
        <v>748</v>
      </c>
      <c r="F443" s="219">
        <v>1657</v>
      </c>
      <c r="G443" s="98" t="s">
        <v>125</v>
      </c>
      <c r="H443" s="117" t="s">
        <v>186</v>
      </c>
      <c r="I443" s="219">
        <v>10</v>
      </c>
      <c r="J443" s="39" t="s">
        <v>63</v>
      </c>
      <c r="K443" s="220">
        <v>145</v>
      </c>
      <c r="L443" s="221">
        <f t="shared" si="53"/>
        <v>2.4166666666666665</v>
      </c>
      <c r="M443" s="158"/>
    </row>
    <row r="444" spans="1:13" ht="18.899999999999999" customHeight="1" x14ac:dyDescent="0.45">
      <c r="A444" s="18">
        <f t="shared" si="54"/>
        <v>422</v>
      </c>
      <c r="B444" s="272"/>
      <c r="C444" s="272"/>
      <c r="D444" s="259"/>
      <c r="E444" s="97" t="s">
        <v>749</v>
      </c>
      <c r="F444" s="219">
        <v>1664</v>
      </c>
      <c r="G444" s="98" t="s">
        <v>125</v>
      </c>
      <c r="H444" s="117" t="s">
        <v>381</v>
      </c>
      <c r="I444" s="219">
        <v>10</v>
      </c>
      <c r="J444" s="39" t="s">
        <v>63</v>
      </c>
      <c r="K444" s="220">
        <v>109</v>
      </c>
      <c r="L444" s="221">
        <f t="shared" si="53"/>
        <v>1.8166666666666667</v>
      </c>
      <c r="M444" s="158"/>
    </row>
    <row r="445" spans="1:13" ht="18.899999999999999" customHeight="1" x14ac:dyDescent="0.45">
      <c r="A445" s="18">
        <f t="shared" si="54"/>
        <v>423</v>
      </c>
      <c r="B445" s="272"/>
      <c r="C445" s="272"/>
      <c r="D445" s="259"/>
      <c r="E445" s="61" t="s">
        <v>750</v>
      </c>
      <c r="F445" s="39">
        <v>780</v>
      </c>
      <c r="G445" s="39" t="s">
        <v>83</v>
      </c>
      <c r="H445" s="39" t="s">
        <v>751</v>
      </c>
      <c r="I445" s="39">
        <v>18</v>
      </c>
      <c r="J445" s="39" t="s">
        <v>63</v>
      </c>
      <c r="K445" s="67">
        <v>202</v>
      </c>
      <c r="L445" s="115">
        <f t="shared" ref="L445:L473" si="55">K445/60</f>
        <v>3.3666666666666667</v>
      </c>
      <c r="M445" s="158"/>
    </row>
    <row r="446" spans="1:13" ht="18.899999999999999" customHeight="1" x14ac:dyDescent="0.45">
      <c r="A446" s="18">
        <f t="shared" si="54"/>
        <v>424</v>
      </c>
      <c r="B446" s="272"/>
      <c r="C446" s="272"/>
      <c r="D446" s="259"/>
      <c r="E446" s="61" t="s">
        <v>752</v>
      </c>
      <c r="F446" s="39">
        <v>807</v>
      </c>
      <c r="G446" s="39" t="s">
        <v>125</v>
      </c>
      <c r="H446" s="39" t="s">
        <v>267</v>
      </c>
      <c r="I446" s="39">
        <v>8</v>
      </c>
      <c r="J446" s="39" t="s">
        <v>63</v>
      </c>
      <c r="K446" s="67">
        <v>126</v>
      </c>
      <c r="L446" s="115">
        <f t="shared" si="55"/>
        <v>2.1</v>
      </c>
      <c r="M446" s="158"/>
    </row>
    <row r="447" spans="1:13" ht="18.899999999999999" customHeight="1" x14ac:dyDescent="0.45">
      <c r="A447" s="18">
        <f t="shared" ref="A447:A462" si="56">A446+1</f>
        <v>425</v>
      </c>
      <c r="B447" s="272"/>
      <c r="C447" s="272"/>
      <c r="D447" s="259"/>
      <c r="E447" s="51" t="s">
        <v>753</v>
      </c>
      <c r="F447" s="19">
        <v>746</v>
      </c>
      <c r="G447" s="39" t="s">
        <v>125</v>
      </c>
      <c r="H447" s="19" t="s">
        <v>430</v>
      </c>
      <c r="I447" s="19">
        <v>9</v>
      </c>
      <c r="J447" s="19" t="s">
        <v>63</v>
      </c>
      <c r="K447" s="64">
        <v>127</v>
      </c>
      <c r="L447" s="199">
        <f t="shared" si="55"/>
        <v>2.1166666666666667</v>
      </c>
      <c r="M447" s="158"/>
    </row>
    <row r="448" spans="1:13" ht="18.899999999999999" customHeight="1" x14ac:dyDescent="0.45">
      <c r="A448" s="18">
        <f t="shared" si="56"/>
        <v>426</v>
      </c>
      <c r="B448" s="272"/>
      <c r="C448" s="272"/>
      <c r="D448" s="259"/>
      <c r="E448" s="51" t="s">
        <v>754</v>
      </c>
      <c r="F448" s="19">
        <v>120</v>
      </c>
      <c r="G448" s="19" t="s">
        <v>161</v>
      </c>
      <c r="H448" s="19" t="s">
        <v>171</v>
      </c>
      <c r="I448" s="19">
        <v>19</v>
      </c>
      <c r="J448" s="19" t="s">
        <v>63</v>
      </c>
      <c r="K448" s="64">
        <v>230</v>
      </c>
      <c r="L448" s="199">
        <f t="shared" si="55"/>
        <v>3.8333333333333335</v>
      </c>
      <c r="M448" s="158"/>
    </row>
    <row r="449" spans="1:13" ht="18.899999999999999" customHeight="1" x14ac:dyDescent="0.45">
      <c r="A449" s="18">
        <f t="shared" si="56"/>
        <v>427</v>
      </c>
      <c r="B449" s="272"/>
      <c r="C449" s="272"/>
      <c r="D449" s="259"/>
      <c r="E449" s="51" t="s">
        <v>755</v>
      </c>
      <c r="F449" s="19">
        <v>254</v>
      </c>
      <c r="G449" s="19" t="s">
        <v>125</v>
      </c>
      <c r="H449" s="19" t="s">
        <v>171</v>
      </c>
      <c r="I449" s="19">
        <v>16</v>
      </c>
      <c r="J449" s="19" t="s">
        <v>63</v>
      </c>
      <c r="K449" s="64">
        <v>163</v>
      </c>
      <c r="L449" s="199">
        <f t="shared" si="55"/>
        <v>2.7166666666666668</v>
      </c>
      <c r="M449" s="158"/>
    </row>
    <row r="450" spans="1:13" ht="18.899999999999999" customHeight="1" x14ac:dyDescent="0.45">
      <c r="A450" s="18">
        <f t="shared" si="56"/>
        <v>428</v>
      </c>
      <c r="B450" s="272"/>
      <c r="C450" s="272"/>
      <c r="D450" s="259"/>
      <c r="E450" s="51" t="s">
        <v>756</v>
      </c>
      <c r="F450" s="19">
        <v>836</v>
      </c>
      <c r="G450" s="19" t="s">
        <v>161</v>
      </c>
      <c r="H450" s="19" t="s">
        <v>757</v>
      </c>
      <c r="I450" s="19">
        <v>9</v>
      </c>
      <c r="J450" s="19" t="s">
        <v>63</v>
      </c>
      <c r="K450" s="64">
        <v>117</v>
      </c>
      <c r="L450" s="199">
        <f t="shared" si="55"/>
        <v>1.95</v>
      </c>
      <c r="M450" s="158"/>
    </row>
    <row r="451" spans="1:13" ht="18.899999999999999" customHeight="1" x14ac:dyDescent="0.45">
      <c r="A451" s="18">
        <f t="shared" si="56"/>
        <v>429</v>
      </c>
      <c r="B451" s="272"/>
      <c r="C451" s="272"/>
      <c r="D451" s="259"/>
      <c r="E451" s="51" t="s">
        <v>758</v>
      </c>
      <c r="F451" s="19">
        <v>884</v>
      </c>
      <c r="G451" s="19" t="s">
        <v>161</v>
      </c>
      <c r="H451" s="19" t="s">
        <v>759</v>
      </c>
      <c r="I451" s="19">
        <v>9</v>
      </c>
      <c r="J451" s="19" t="s">
        <v>63</v>
      </c>
      <c r="K451" s="64">
        <v>125</v>
      </c>
      <c r="L451" s="199">
        <f t="shared" si="55"/>
        <v>2.0833333333333335</v>
      </c>
      <c r="M451" s="158"/>
    </row>
    <row r="452" spans="1:13" ht="18.899999999999999" customHeight="1" x14ac:dyDescent="0.45">
      <c r="A452" s="18">
        <f t="shared" si="56"/>
        <v>430</v>
      </c>
      <c r="B452" s="272"/>
      <c r="C452" s="272"/>
      <c r="D452" s="259"/>
      <c r="E452" s="51" t="s">
        <v>760</v>
      </c>
      <c r="F452" s="19">
        <v>67</v>
      </c>
      <c r="G452" s="19" t="s">
        <v>83</v>
      </c>
      <c r="H452" s="19" t="s">
        <v>761</v>
      </c>
      <c r="I452" s="19">
        <v>23</v>
      </c>
      <c r="J452" s="19" t="s">
        <v>63</v>
      </c>
      <c r="K452" s="64">
        <v>263</v>
      </c>
      <c r="L452" s="199">
        <f t="shared" si="55"/>
        <v>4.3833333333333337</v>
      </c>
      <c r="M452" s="158"/>
    </row>
    <row r="453" spans="1:13" ht="18.899999999999999" customHeight="1" x14ac:dyDescent="0.45">
      <c r="A453" s="18">
        <f t="shared" si="56"/>
        <v>431</v>
      </c>
      <c r="B453" s="272"/>
      <c r="C453" s="273"/>
      <c r="D453" s="260"/>
      <c r="E453" s="51" t="s">
        <v>762</v>
      </c>
      <c r="F453" s="19">
        <v>344</v>
      </c>
      <c r="G453" s="19" t="s">
        <v>161</v>
      </c>
      <c r="H453" s="26" t="s">
        <v>136</v>
      </c>
      <c r="I453" s="19">
        <v>5</v>
      </c>
      <c r="J453" s="19" t="s">
        <v>63</v>
      </c>
      <c r="K453" s="64">
        <v>112</v>
      </c>
      <c r="L453" s="199">
        <f t="shared" si="55"/>
        <v>1.8666666666666667</v>
      </c>
      <c r="M453" s="158"/>
    </row>
    <row r="454" spans="1:13" ht="18.899999999999999" customHeight="1" x14ac:dyDescent="0.45">
      <c r="A454" s="18">
        <f t="shared" si="56"/>
        <v>432</v>
      </c>
      <c r="B454" s="272"/>
      <c r="C454" s="271" t="s">
        <v>763</v>
      </c>
      <c r="D454" s="249" t="s">
        <v>764</v>
      </c>
      <c r="E454" s="20" t="s">
        <v>765</v>
      </c>
      <c r="F454" s="26">
        <v>218</v>
      </c>
      <c r="G454" s="26" t="s">
        <v>83</v>
      </c>
      <c r="H454" s="19" t="s">
        <v>652</v>
      </c>
      <c r="I454" s="26">
        <v>13</v>
      </c>
      <c r="J454" s="26" t="s">
        <v>63</v>
      </c>
      <c r="K454" s="64">
        <v>209</v>
      </c>
      <c r="L454" s="199">
        <f t="shared" si="55"/>
        <v>3.4833333333333334</v>
      </c>
      <c r="M454" s="158"/>
    </row>
    <row r="455" spans="1:13" ht="18.899999999999999" customHeight="1" x14ac:dyDescent="0.45">
      <c r="A455" s="18">
        <f t="shared" si="56"/>
        <v>433</v>
      </c>
      <c r="B455" s="273"/>
      <c r="C455" s="273"/>
      <c r="D455" s="250"/>
      <c r="E455" s="51" t="s">
        <v>766</v>
      </c>
      <c r="F455" s="19">
        <v>84</v>
      </c>
      <c r="G455" s="26" t="s">
        <v>83</v>
      </c>
      <c r="H455" s="19" t="s">
        <v>173</v>
      </c>
      <c r="I455" s="19">
        <v>25</v>
      </c>
      <c r="J455" s="19" t="s">
        <v>63</v>
      </c>
      <c r="K455" s="64">
        <v>284</v>
      </c>
      <c r="L455" s="199">
        <f t="shared" si="55"/>
        <v>4.7333333333333334</v>
      </c>
      <c r="M455" s="158"/>
    </row>
    <row r="456" spans="1:13" ht="18.899999999999999" customHeight="1" x14ac:dyDescent="0.45">
      <c r="A456" s="18">
        <f t="shared" si="56"/>
        <v>434</v>
      </c>
      <c r="B456" s="271" t="s">
        <v>767</v>
      </c>
      <c r="C456" s="271" t="s">
        <v>767</v>
      </c>
      <c r="D456" s="249" t="s">
        <v>768</v>
      </c>
      <c r="E456" s="72" t="s">
        <v>769</v>
      </c>
      <c r="F456" s="74">
        <v>781</v>
      </c>
      <c r="G456" s="74" t="s">
        <v>125</v>
      </c>
      <c r="H456" s="161" t="s">
        <v>430</v>
      </c>
      <c r="I456" s="200">
        <v>12</v>
      </c>
      <c r="J456" s="62" t="s">
        <v>63</v>
      </c>
      <c r="K456" s="67">
        <v>142</v>
      </c>
      <c r="L456" s="199">
        <f t="shared" si="55"/>
        <v>2.3666666666666667</v>
      </c>
      <c r="M456" s="158"/>
    </row>
    <row r="457" spans="1:13" ht="18.899999999999999" customHeight="1" x14ac:dyDescent="0.45">
      <c r="A457" s="18">
        <f t="shared" si="56"/>
        <v>435</v>
      </c>
      <c r="B457" s="272"/>
      <c r="C457" s="272"/>
      <c r="D457" s="251"/>
      <c r="E457" s="61" t="s">
        <v>770</v>
      </c>
      <c r="F457" s="39">
        <v>82</v>
      </c>
      <c r="G457" s="39" t="s">
        <v>161</v>
      </c>
      <c r="H457" s="194" t="s">
        <v>771</v>
      </c>
      <c r="I457" s="39">
        <v>16</v>
      </c>
      <c r="J457" s="39" t="s">
        <v>63</v>
      </c>
      <c r="K457" s="139">
        <v>265</v>
      </c>
      <c r="L457" s="199">
        <f t="shared" si="55"/>
        <v>4.416666666666667</v>
      </c>
      <c r="M457" s="158"/>
    </row>
    <row r="458" spans="1:13" ht="18.899999999999999" customHeight="1" x14ac:dyDescent="0.45">
      <c r="A458" s="18">
        <f t="shared" si="56"/>
        <v>436</v>
      </c>
      <c r="B458" s="272"/>
      <c r="C458" s="272"/>
      <c r="D458" s="251"/>
      <c r="E458" s="61" t="s">
        <v>772</v>
      </c>
      <c r="F458" s="39">
        <v>144</v>
      </c>
      <c r="G458" s="74" t="s">
        <v>125</v>
      </c>
      <c r="H458" s="39" t="s">
        <v>262</v>
      </c>
      <c r="I458" s="39">
        <v>18</v>
      </c>
      <c r="J458" s="39" t="s">
        <v>63</v>
      </c>
      <c r="K458" s="139">
        <v>253</v>
      </c>
      <c r="L458" s="199">
        <f t="shared" si="55"/>
        <v>4.2166666666666668</v>
      </c>
      <c r="M458" s="158"/>
    </row>
    <row r="459" spans="1:13" ht="18.899999999999999" customHeight="1" x14ac:dyDescent="0.45">
      <c r="A459" s="18">
        <f t="shared" si="56"/>
        <v>437</v>
      </c>
      <c r="B459" s="272"/>
      <c r="C459" s="272"/>
      <c r="D459" s="251"/>
      <c r="E459" s="61" t="s">
        <v>773</v>
      </c>
      <c r="F459" s="39">
        <v>690</v>
      </c>
      <c r="G459" s="39" t="s">
        <v>161</v>
      </c>
      <c r="H459" s="194" t="s">
        <v>267</v>
      </c>
      <c r="I459" s="39">
        <v>9</v>
      </c>
      <c r="J459" s="39" t="s">
        <v>63</v>
      </c>
      <c r="K459" s="139">
        <v>114</v>
      </c>
      <c r="L459" s="199">
        <f t="shared" si="55"/>
        <v>1.9</v>
      </c>
      <c r="M459" s="158"/>
    </row>
    <row r="460" spans="1:13" ht="18.899999999999999" customHeight="1" x14ac:dyDescent="0.45">
      <c r="A460" s="18">
        <f t="shared" si="56"/>
        <v>438</v>
      </c>
      <c r="B460" s="272"/>
      <c r="C460" s="272"/>
      <c r="D460" s="251"/>
      <c r="E460" s="20" t="s">
        <v>774</v>
      </c>
      <c r="F460" s="19">
        <v>1129</v>
      </c>
      <c r="G460" s="74" t="s">
        <v>125</v>
      </c>
      <c r="H460" s="22" t="s">
        <v>775</v>
      </c>
      <c r="I460" s="23">
        <v>5</v>
      </c>
      <c r="J460" s="22" t="s">
        <v>63</v>
      </c>
      <c r="K460" s="25">
        <v>63</v>
      </c>
      <c r="L460" s="199">
        <f t="shared" si="55"/>
        <v>1.05</v>
      </c>
      <c r="M460" s="201"/>
    </row>
    <row r="461" spans="1:13" ht="18.899999999999999" customHeight="1" x14ac:dyDescent="0.45">
      <c r="A461" s="18">
        <f t="shared" si="56"/>
        <v>439</v>
      </c>
      <c r="B461" s="272"/>
      <c r="C461" s="273"/>
      <c r="D461" s="250"/>
      <c r="E461" s="20" t="s">
        <v>776</v>
      </c>
      <c r="F461" s="19">
        <v>1127</v>
      </c>
      <c r="G461" s="39" t="s">
        <v>161</v>
      </c>
      <c r="H461" s="22" t="s">
        <v>775</v>
      </c>
      <c r="I461" s="23">
        <v>5</v>
      </c>
      <c r="J461" s="22" t="s">
        <v>63</v>
      </c>
      <c r="K461" s="25">
        <v>65</v>
      </c>
      <c r="L461" s="199">
        <f t="shared" si="55"/>
        <v>1.0833333333333333</v>
      </c>
      <c r="M461" s="201"/>
    </row>
    <row r="462" spans="1:13" ht="18.899999999999999" customHeight="1" x14ac:dyDescent="0.45">
      <c r="A462" s="18">
        <f t="shared" si="56"/>
        <v>440</v>
      </c>
      <c r="B462" s="272"/>
      <c r="C462" s="40" t="s">
        <v>777</v>
      </c>
      <c r="D462" s="151" t="s">
        <v>778</v>
      </c>
      <c r="E462" s="51" t="s">
        <v>779</v>
      </c>
      <c r="F462" s="19">
        <v>43</v>
      </c>
      <c r="G462" s="39" t="s">
        <v>161</v>
      </c>
      <c r="H462" s="26" t="s">
        <v>62</v>
      </c>
      <c r="I462" s="19">
        <v>13</v>
      </c>
      <c r="J462" s="19" t="s">
        <v>63</v>
      </c>
      <c r="K462" s="142">
        <v>94</v>
      </c>
      <c r="L462" s="199">
        <f t="shared" si="55"/>
        <v>1.5666666666666667</v>
      </c>
      <c r="M462" s="158"/>
    </row>
    <row r="463" spans="1:13" ht="18.899999999999999" customHeight="1" x14ac:dyDescent="0.45">
      <c r="A463" s="18">
        <f t="shared" ref="A463:A477" si="57">A462+1</f>
        <v>441</v>
      </c>
      <c r="B463" s="272"/>
      <c r="C463" s="271" t="s">
        <v>780</v>
      </c>
      <c r="D463" s="249" t="s">
        <v>781</v>
      </c>
      <c r="E463" s="72" t="s">
        <v>782</v>
      </c>
      <c r="F463" s="56">
        <v>40</v>
      </c>
      <c r="G463" s="56" t="s">
        <v>83</v>
      </c>
      <c r="H463" s="26" t="s">
        <v>62</v>
      </c>
      <c r="I463" s="160">
        <v>22</v>
      </c>
      <c r="J463" s="22" t="s">
        <v>63</v>
      </c>
      <c r="K463" s="64">
        <v>265</v>
      </c>
      <c r="L463" s="199">
        <f t="shared" si="55"/>
        <v>4.416666666666667</v>
      </c>
      <c r="M463" s="158"/>
    </row>
    <row r="464" spans="1:13" ht="18.899999999999999" customHeight="1" x14ac:dyDescent="0.45">
      <c r="A464" s="18">
        <f t="shared" si="57"/>
        <v>442</v>
      </c>
      <c r="B464" s="272"/>
      <c r="C464" s="272"/>
      <c r="D464" s="251"/>
      <c r="E464" s="72" t="s">
        <v>783</v>
      </c>
      <c r="F464" s="22" t="s">
        <v>784</v>
      </c>
      <c r="G464" s="22" t="s">
        <v>161</v>
      </c>
      <c r="H464" s="22" t="s">
        <v>785</v>
      </c>
      <c r="I464" s="23">
        <v>6</v>
      </c>
      <c r="J464" s="24" t="s">
        <v>63</v>
      </c>
      <c r="K464" s="25">
        <v>116</v>
      </c>
      <c r="L464" s="199">
        <f t="shared" si="55"/>
        <v>1.9333333333333333</v>
      </c>
      <c r="M464" s="158"/>
    </row>
    <row r="465" spans="1:13" ht="18.899999999999999" customHeight="1" x14ac:dyDescent="0.45">
      <c r="A465" s="18">
        <f t="shared" si="57"/>
        <v>443</v>
      </c>
      <c r="B465" s="272"/>
      <c r="C465" s="272"/>
      <c r="D465" s="251"/>
      <c r="E465" s="51" t="s">
        <v>786</v>
      </c>
      <c r="F465" s="19">
        <v>89</v>
      </c>
      <c r="G465" s="19" t="s">
        <v>125</v>
      </c>
      <c r="H465" s="22" t="s">
        <v>785</v>
      </c>
      <c r="I465" s="19">
        <v>19</v>
      </c>
      <c r="J465" s="19" t="s">
        <v>63</v>
      </c>
      <c r="K465" s="142">
        <v>228</v>
      </c>
      <c r="L465" s="199">
        <f t="shared" si="55"/>
        <v>3.8</v>
      </c>
      <c r="M465" s="158"/>
    </row>
    <row r="466" spans="1:13" ht="18.899999999999999" customHeight="1" x14ac:dyDescent="0.45">
      <c r="A466" s="18">
        <f t="shared" si="57"/>
        <v>444</v>
      </c>
      <c r="B466" s="272"/>
      <c r="C466" s="272"/>
      <c r="D466" s="251"/>
      <c r="E466" s="51" t="s">
        <v>787</v>
      </c>
      <c r="F466" s="19">
        <v>810</v>
      </c>
      <c r="G466" s="39" t="s">
        <v>161</v>
      </c>
      <c r="H466" s="22" t="s">
        <v>785</v>
      </c>
      <c r="I466" s="19">
        <v>6</v>
      </c>
      <c r="J466" s="19" t="s">
        <v>63</v>
      </c>
      <c r="K466" s="142">
        <v>129</v>
      </c>
      <c r="L466" s="199">
        <f t="shared" si="55"/>
        <v>2.15</v>
      </c>
      <c r="M466" s="158"/>
    </row>
    <row r="467" spans="1:13" ht="18.899999999999999" customHeight="1" x14ac:dyDescent="0.45">
      <c r="A467" s="18">
        <f t="shared" si="57"/>
        <v>445</v>
      </c>
      <c r="B467" s="272"/>
      <c r="C467" s="272"/>
      <c r="D467" s="251"/>
      <c r="E467" s="51" t="s">
        <v>788</v>
      </c>
      <c r="F467" s="39">
        <v>142</v>
      </c>
      <c r="G467" s="39" t="s">
        <v>161</v>
      </c>
      <c r="H467" s="22" t="s">
        <v>785</v>
      </c>
      <c r="I467" s="137">
        <v>13</v>
      </c>
      <c r="J467" s="143" t="s">
        <v>63</v>
      </c>
      <c r="K467" s="139">
        <v>158</v>
      </c>
      <c r="L467" s="199">
        <f t="shared" si="55"/>
        <v>2.6333333333333333</v>
      </c>
      <c r="M467" s="158"/>
    </row>
    <row r="468" spans="1:13" ht="18.899999999999999" customHeight="1" x14ac:dyDescent="0.45">
      <c r="A468" s="18">
        <f t="shared" si="57"/>
        <v>446</v>
      </c>
      <c r="B468" s="273"/>
      <c r="C468" s="273"/>
      <c r="D468" s="250"/>
      <c r="E468" s="20" t="s">
        <v>789</v>
      </c>
      <c r="F468" s="58">
        <v>1230</v>
      </c>
      <c r="G468" s="39" t="s">
        <v>161</v>
      </c>
      <c r="H468" s="22" t="s">
        <v>126</v>
      </c>
      <c r="I468" s="23">
        <v>1</v>
      </c>
      <c r="J468" s="24" t="s">
        <v>63</v>
      </c>
      <c r="K468" s="25">
        <v>59</v>
      </c>
      <c r="L468" s="199">
        <f t="shared" si="55"/>
        <v>0.98333333333333328</v>
      </c>
      <c r="M468" s="34"/>
    </row>
    <row r="469" spans="1:13" ht="18.899999999999999" customHeight="1" x14ac:dyDescent="0.45">
      <c r="A469" s="18">
        <f t="shared" si="57"/>
        <v>447</v>
      </c>
      <c r="B469" s="271" t="s">
        <v>790</v>
      </c>
      <c r="C469" s="271" t="s">
        <v>791</v>
      </c>
      <c r="D469" s="249" t="s">
        <v>792</v>
      </c>
      <c r="E469" s="120" t="s">
        <v>793</v>
      </c>
      <c r="F469" s="121">
        <v>1648</v>
      </c>
      <c r="G469" s="19" t="s">
        <v>125</v>
      </c>
      <c r="H469" s="122" t="s">
        <v>186</v>
      </c>
      <c r="I469" s="162">
        <v>4</v>
      </c>
      <c r="J469" s="19" t="s">
        <v>63</v>
      </c>
      <c r="K469" s="43">
        <v>74</v>
      </c>
      <c r="L469" s="45">
        <f t="shared" si="55"/>
        <v>1.2333333333333334</v>
      </c>
      <c r="M469" s="111" t="s">
        <v>139</v>
      </c>
    </row>
    <row r="470" spans="1:13" ht="18.899999999999999" customHeight="1" x14ac:dyDescent="0.45">
      <c r="A470" s="18">
        <f t="shared" si="57"/>
        <v>448</v>
      </c>
      <c r="B470" s="272"/>
      <c r="C470" s="272"/>
      <c r="D470" s="251"/>
      <c r="E470" s="120" t="s">
        <v>794</v>
      </c>
      <c r="F470" s="42">
        <v>1646</v>
      </c>
      <c r="G470" s="19" t="s">
        <v>125</v>
      </c>
      <c r="H470" s="122" t="s">
        <v>186</v>
      </c>
      <c r="I470" s="42">
        <v>4</v>
      </c>
      <c r="J470" s="19" t="s">
        <v>63</v>
      </c>
      <c r="K470" s="43">
        <v>55</v>
      </c>
      <c r="L470" s="45">
        <f t="shared" si="55"/>
        <v>0.91666666666666663</v>
      </c>
      <c r="M470" s="111" t="s">
        <v>139</v>
      </c>
    </row>
    <row r="471" spans="1:13" ht="18.899999999999999" customHeight="1" x14ac:dyDescent="0.45">
      <c r="A471" s="18">
        <f t="shared" si="57"/>
        <v>449</v>
      </c>
      <c r="B471" s="272"/>
      <c r="C471" s="272"/>
      <c r="D471" s="251"/>
      <c r="E471" s="120" t="s">
        <v>795</v>
      </c>
      <c r="F471" s="42">
        <v>1650</v>
      </c>
      <c r="G471" s="19" t="s">
        <v>125</v>
      </c>
      <c r="H471" s="122" t="s">
        <v>186</v>
      </c>
      <c r="I471" s="42">
        <v>3</v>
      </c>
      <c r="J471" s="19" t="s">
        <v>63</v>
      </c>
      <c r="K471" s="43">
        <v>52</v>
      </c>
      <c r="L471" s="45">
        <f t="shared" si="55"/>
        <v>0.8666666666666667</v>
      </c>
      <c r="M471" s="111" t="s">
        <v>139</v>
      </c>
    </row>
    <row r="472" spans="1:13" ht="18.899999999999999" customHeight="1" x14ac:dyDescent="0.45">
      <c r="A472" s="18">
        <f t="shared" si="57"/>
        <v>450</v>
      </c>
      <c r="B472" s="272"/>
      <c r="C472" s="272"/>
      <c r="D472" s="251"/>
      <c r="E472" s="120" t="s">
        <v>796</v>
      </c>
      <c r="F472" s="42">
        <v>1651</v>
      </c>
      <c r="G472" s="19" t="s">
        <v>125</v>
      </c>
      <c r="H472" s="122" t="s">
        <v>186</v>
      </c>
      <c r="I472" s="42">
        <v>4</v>
      </c>
      <c r="J472" s="19" t="s">
        <v>63</v>
      </c>
      <c r="K472" s="43">
        <v>59</v>
      </c>
      <c r="L472" s="45">
        <f t="shared" si="55"/>
        <v>0.98333333333333328</v>
      </c>
      <c r="M472" s="111" t="s">
        <v>139</v>
      </c>
    </row>
    <row r="473" spans="1:13" ht="18.899999999999999" customHeight="1" x14ac:dyDescent="0.45">
      <c r="A473" s="18">
        <f t="shared" si="57"/>
        <v>451</v>
      </c>
      <c r="B473" s="272"/>
      <c r="C473" s="272"/>
      <c r="D473" s="251"/>
      <c r="E473" s="184" t="s">
        <v>797</v>
      </c>
      <c r="F473" s="113">
        <v>1639</v>
      </c>
      <c r="G473" s="39" t="s">
        <v>161</v>
      </c>
      <c r="H473" s="103" t="s">
        <v>236</v>
      </c>
      <c r="I473" s="113">
        <v>10</v>
      </c>
      <c r="J473" s="39" t="s">
        <v>63</v>
      </c>
      <c r="K473" s="112">
        <v>100</v>
      </c>
      <c r="L473" s="115">
        <f t="shared" si="55"/>
        <v>1.6666666666666667</v>
      </c>
      <c r="M473" s="158"/>
    </row>
    <row r="474" spans="1:13" ht="18.899999999999999" customHeight="1" x14ac:dyDescent="0.45">
      <c r="A474" s="18">
        <f t="shared" si="57"/>
        <v>452</v>
      </c>
      <c r="B474" s="272"/>
      <c r="C474" s="272"/>
      <c r="D474" s="251"/>
      <c r="E474" s="97" t="s">
        <v>798</v>
      </c>
      <c r="F474" s="113">
        <v>1624</v>
      </c>
      <c r="G474" s="39" t="s">
        <v>161</v>
      </c>
      <c r="H474" s="106" t="s">
        <v>236</v>
      </c>
      <c r="I474" s="113">
        <v>8</v>
      </c>
      <c r="J474" s="39" t="s">
        <v>63</v>
      </c>
      <c r="K474" s="112">
        <v>84</v>
      </c>
      <c r="L474" s="199">
        <f t="shared" ref="L474:L480" si="58">K474/60</f>
        <v>1.4</v>
      </c>
      <c r="M474" s="158"/>
    </row>
    <row r="475" spans="1:13" ht="18.899999999999999" customHeight="1" x14ac:dyDescent="0.45">
      <c r="A475" s="18">
        <f t="shared" si="57"/>
        <v>453</v>
      </c>
      <c r="B475" s="272"/>
      <c r="C475" s="272"/>
      <c r="D475" s="251"/>
      <c r="E475" s="97" t="s">
        <v>799</v>
      </c>
      <c r="F475" s="113">
        <v>1620</v>
      </c>
      <c r="G475" s="39" t="s">
        <v>161</v>
      </c>
      <c r="H475" s="106" t="s">
        <v>236</v>
      </c>
      <c r="I475" s="113">
        <v>13</v>
      </c>
      <c r="J475" s="39" t="s">
        <v>63</v>
      </c>
      <c r="K475" s="112">
        <v>97</v>
      </c>
      <c r="L475" s="199">
        <f t="shared" si="58"/>
        <v>1.6166666666666667</v>
      </c>
      <c r="M475" s="158"/>
    </row>
    <row r="476" spans="1:13" ht="18.899999999999999" customHeight="1" x14ac:dyDescent="0.45">
      <c r="A476" s="18">
        <f t="shared" si="57"/>
        <v>454</v>
      </c>
      <c r="B476" s="272"/>
      <c r="C476" s="272"/>
      <c r="D476" s="251"/>
      <c r="E476" s="129" t="s">
        <v>800</v>
      </c>
      <c r="F476" s="74">
        <v>748</v>
      </c>
      <c r="G476" s="74" t="s">
        <v>83</v>
      </c>
      <c r="H476" s="161" t="s">
        <v>801</v>
      </c>
      <c r="I476" s="63">
        <v>34</v>
      </c>
      <c r="J476" s="62" t="s">
        <v>63</v>
      </c>
      <c r="K476" s="67">
        <v>270</v>
      </c>
      <c r="L476" s="199">
        <f t="shared" si="58"/>
        <v>4.5</v>
      </c>
      <c r="M476" s="158"/>
    </row>
    <row r="477" spans="1:13" ht="18.899999999999999" customHeight="1" x14ac:dyDescent="0.45">
      <c r="A477" s="18">
        <f t="shared" si="57"/>
        <v>455</v>
      </c>
      <c r="B477" s="272"/>
      <c r="C477" s="272"/>
      <c r="D477" s="251"/>
      <c r="E477" s="72" t="s">
        <v>802</v>
      </c>
      <c r="F477" s="56">
        <v>76</v>
      </c>
      <c r="G477" s="74" t="s">
        <v>83</v>
      </c>
      <c r="H477" s="52" t="s">
        <v>803</v>
      </c>
      <c r="I477" s="23">
        <v>26</v>
      </c>
      <c r="J477" s="22" t="s">
        <v>63</v>
      </c>
      <c r="K477" s="64">
        <v>309</v>
      </c>
      <c r="L477" s="199">
        <f t="shared" si="58"/>
        <v>5.15</v>
      </c>
      <c r="M477" s="158"/>
    </row>
    <row r="478" spans="1:13" ht="18.899999999999999" customHeight="1" x14ac:dyDescent="0.45">
      <c r="A478" s="18">
        <f t="shared" ref="A478:A501" si="59">A477+1</f>
        <v>456</v>
      </c>
      <c r="B478" s="272"/>
      <c r="C478" s="272"/>
      <c r="D478" s="251"/>
      <c r="E478" s="72" t="s">
        <v>804</v>
      </c>
      <c r="F478" s="56">
        <v>1417</v>
      </c>
      <c r="G478" s="39" t="s">
        <v>161</v>
      </c>
      <c r="H478" s="52" t="s">
        <v>803</v>
      </c>
      <c r="I478" s="23">
        <v>8</v>
      </c>
      <c r="J478" s="22" t="s">
        <v>63</v>
      </c>
      <c r="K478" s="64">
        <v>129</v>
      </c>
      <c r="L478" s="199">
        <f t="shared" si="58"/>
        <v>2.15</v>
      </c>
      <c r="M478" s="158"/>
    </row>
    <row r="479" spans="1:13" ht="18.899999999999999" customHeight="1" x14ac:dyDescent="0.45">
      <c r="A479" s="18">
        <f t="shared" si="59"/>
        <v>457</v>
      </c>
      <c r="B479" s="272"/>
      <c r="C479" s="272"/>
      <c r="D479" s="251"/>
      <c r="E479" s="51" t="s">
        <v>805</v>
      </c>
      <c r="F479" s="19">
        <v>833</v>
      </c>
      <c r="G479" s="39" t="s">
        <v>161</v>
      </c>
      <c r="H479" s="52" t="s">
        <v>759</v>
      </c>
      <c r="I479" s="23">
        <v>12</v>
      </c>
      <c r="J479" s="22" t="s">
        <v>63</v>
      </c>
      <c r="K479" s="64">
        <v>141</v>
      </c>
      <c r="L479" s="199">
        <f t="shared" si="58"/>
        <v>2.35</v>
      </c>
      <c r="M479" s="158"/>
    </row>
    <row r="480" spans="1:13" ht="18.899999999999999" customHeight="1" x14ac:dyDescent="0.45">
      <c r="A480" s="18">
        <f t="shared" si="59"/>
        <v>458</v>
      </c>
      <c r="B480" s="272"/>
      <c r="C480" s="272"/>
      <c r="D480" s="251"/>
      <c r="E480" s="51" t="s">
        <v>806</v>
      </c>
      <c r="F480" s="19">
        <v>741</v>
      </c>
      <c r="G480" s="39" t="s">
        <v>161</v>
      </c>
      <c r="H480" s="19" t="s">
        <v>807</v>
      </c>
      <c r="I480" s="19">
        <v>13</v>
      </c>
      <c r="J480" s="19" t="s">
        <v>63</v>
      </c>
      <c r="K480" s="64">
        <v>115</v>
      </c>
      <c r="L480" s="199">
        <f t="shared" si="58"/>
        <v>1.9166666666666667</v>
      </c>
      <c r="M480" s="158"/>
    </row>
    <row r="481" spans="1:13" ht="18.899999999999999" customHeight="1" x14ac:dyDescent="0.45">
      <c r="A481" s="18">
        <f t="shared" si="59"/>
        <v>459</v>
      </c>
      <c r="B481" s="272"/>
      <c r="C481" s="272"/>
      <c r="D481" s="251"/>
      <c r="E481" s="51" t="s">
        <v>808</v>
      </c>
      <c r="F481" s="39">
        <v>138</v>
      </c>
      <c r="G481" s="39" t="s">
        <v>125</v>
      </c>
      <c r="H481" s="39" t="s">
        <v>432</v>
      </c>
      <c r="I481" s="39">
        <v>10</v>
      </c>
      <c r="J481" s="39" t="s">
        <v>63</v>
      </c>
      <c r="K481" s="67">
        <v>100</v>
      </c>
      <c r="L481" s="199">
        <f t="shared" ref="L481:L527" si="60">K481/60</f>
        <v>1.6666666666666667</v>
      </c>
      <c r="M481" s="158"/>
    </row>
    <row r="482" spans="1:13" ht="18.899999999999999" customHeight="1" x14ac:dyDescent="0.45">
      <c r="A482" s="18">
        <f t="shared" si="59"/>
        <v>460</v>
      </c>
      <c r="B482" s="272"/>
      <c r="C482" s="272"/>
      <c r="D482" s="251"/>
      <c r="E482" s="20" t="s">
        <v>809</v>
      </c>
      <c r="F482" s="26">
        <v>913</v>
      </c>
      <c r="G482" s="39" t="s">
        <v>125</v>
      </c>
      <c r="H482" s="39" t="s">
        <v>432</v>
      </c>
      <c r="I482" s="19">
        <v>12</v>
      </c>
      <c r="J482" s="19" t="s">
        <v>63</v>
      </c>
      <c r="K482" s="25">
        <v>129</v>
      </c>
      <c r="L482" s="199">
        <f t="shared" si="60"/>
        <v>2.15</v>
      </c>
      <c r="M482" s="158"/>
    </row>
    <row r="483" spans="1:13" ht="18.899999999999999" customHeight="1" x14ac:dyDescent="0.45">
      <c r="A483" s="18">
        <f t="shared" si="59"/>
        <v>461</v>
      </c>
      <c r="B483" s="272"/>
      <c r="C483" s="272"/>
      <c r="D483" s="251"/>
      <c r="E483" s="61" t="s">
        <v>810</v>
      </c>
      <c r="F483" s="26">
        <v>756</v>
      </c>
      <c r="G483" s="26" t="s">
        <v>83</v>
      </c>
      <c r="H483" s="26" t="s">
        <v>62</v>
      </c>
      <c r="I483" s="39">
        <v>5</v>
      </c>
      <c r="J483" s="39" t="s">
        <v>63</v>
      </c>
      <c r="K483" s="67">
        <v>56</v>
      </c>
      <c r="L483" s="199">
        <f t="shared" si="60"/>
        <v>0.93333333333333335</v>
      </c>
      <c r="M483" s="158"/>
    </row>
    <row r="484" spans="1:13" ht="18.899999999999999" customHeight="1" x14ac:dyDescent="0.45">
      <c r="A484" s="18">
        <f t="shared" si="59"/>
        <v>462</v>
      </c>
      <c r="B484" s="272"/>
      <c r="C484" s="272"/>
      <c r="D484" s="251"/>
      <c r="E484" s="49" t="s">
        <v>811</v>
      </c>
      <c r="F484" s="26">
        <v>902</v>
      </c>
      <c r="G484" s="26" t="s">
        <v>161</v>
      </c>
      <c r="H484" s="26" t="s">
        <v>267</v>
      </c>
      <c r="I484" s="19">
        <v>11</v>
      </c>
      <c r="J484" s="19" t="s">
        <v>63</v>
      </c>
      <c r="K484" s="64">
        <v>115</v>
      </c>
      <c r="L484" s="199">
        <f t="shared" si="60"/>
        <v>1.9166666666666667</v>
      </c>
      <c r="M484" s="158"/>
    </row>
    <row r="485" spans="1:13" ht="18.899999999999999" customHeight="1" x14ac:dyDescent="0.45">
      <c r="A485" s="18">
        <f t="shared" si="59"/>
        <v>463</v>
      </c>
      <c r="B485" s="272"/>
      <c r="C485" s="273"/>
      <c r="D485" s="250"/>
      <c r="E485" s="61" t="s">
        <v>812</v>
      </c>
      <c r="F485" s="19">
        <v>1050</v>
      </c>
      <c r="G485" s="19" t="s">
        <v>125</v>
      </c>
      <c r="H485" s="52" t="s">
        <v>154</v>
      </c>
      <c r="I485" s="19">
        <v>8</v>
      </c>
      <c r="J485" s="19" t="s">
        <v>63</v>
      </c>
      <c r="K485" s="64">
        <v>124</v>
      </c>
      <c r="L485" s="199">
        <f t="shared" si="60"/>
        <v>2.0666666666666669</v>
      </c>
      <c r="M485" s="111" t="s">
        <v>139</v>
      </c>
    </row>
    <row r="486" spans="1:13" ht="18.899999999999999" customHeight="1" x14ac:dyDescent="0.45">
      <c r="A486" s="18">
        <f t="shared" si="59"/>
        <v>464</v>
      </c>
      <c r="B486" s="272"/>
      <c r="C486" s="271" t="s">
        <v>813</v>
      </c>
      <c r="D486" s="249" t="s">
        <v>814</v>
      </c>
      <c r="E486" s="61" t="s">
        <v>813</v>
      </c>
      <c r="F486" s="39">
        <v>313</v>
      </c>
      <c r="G486" s="19" t="s">
        <v>125</v>
      </c>
      <c r="H486" s="39" t="s">
        <v>354</v>
      </c>
      <c r="I486" s="137">
        <v>18</v>
      </c>
      <c r="J486" s="143" t="s">
        <v>63</v>
      </c>
      <c r="K486" s="139">
        <v>208</v>
      </c>
      <c r="L486" s="199">
        <f t="shared" si="60"/>
        <v>3.4666666666666668</v>
      </c>
      <c r="M486" s="158"/>
    </row>
    <row r="487" spans="1:13" ht="18.899999999999999" customHeight="1" x14ac:dyDescent="0.45">
      <c r="A487" s="18">
        <f t="shared" si="59"/>
        <v>465</v>
      </c>
      <c r="B487" s="272"/>
      <c r="C487" s="272"/>
      <c r="D487" s="251"/>
      <c r="E487" s="61" t="s">
        <v>815</v>
      </c>
      <c r="F487" s="19">
        <v>757</v>
      </c>
      <c r="G487" s="19" t="s">
        <v>61</v>
      </c>
      <c r="H487" s="26" t="s">
        <v>62</v>
      </c>
      <c r="I487" s="39">
        <v>6</v>
      </c>
      <c r="J487" s="39" t="s">
        <v>63</v>
      </c>
      <c r="K487" s="67">
        <v>78</v>
      </c>
      <c r="L487" s="199">
        <f t="shared" si="60"/>
        <v>1.3</v>
      </c>
      <c r="M487" s="158"/>
    </row>
    <row r="488" spans="1:13" ht="18.899999999999999" customHeight="1" x14ac:dyDescent="0.45">
      <c r="A488" s="18">
        <f t="shared" si="59"/>
        <v>466</v>
      </c>
      <c r="B488" s="272"/>
      <c r="C488" s="272"/>
      <c r="D488" s="251"/>
      <c r="E488" s="49" t="s">
        <v>816</v>
      </c>
      <c r="F488" s="26">
        <v>938</v>
      </c>
      <c r="G488" s="26" t="s">
        <v>161</v>
      </c>
      <c r="H488" s="26" t="s">
        <v>775</v>
      </c>
      <c r="I488" s="26">
        <v>11</v>
      </c>
      <c r="J488" s="19" t="s">
        <v>63</v>
      </c>
      <c r="K488" s="64">
        <v>114</v>
      </c>
      <c r="L488" s="199">
        <f t="shared" si="60"/>
        <v>1.9</v>
      </c>
      <c r="M488" s="158"/>
    </row>
    <row r="489" spans="1:13" ht="18.899999999999999" customHeight="1" x14ac:dyDescent="0.45">
      <c r="A489" s="18">
        <f t="shared" si="59"/>
        <v>467</v>
      </c>
      <c r="B489" s="272"/>
      <c r="C489" s="272"/>
      <c r="D489" s="251"/>
      <c r="E489" s="49" t="s">
        <v>817</v>
      </c>
      <c r="F489" s="19">
        <v>1331</v>
      </c>
      <c r="G489" s="26" t="s">
        <v>161</v>
      </c>
      <c r="H489" s="22" t="s">
        <v>818</v>
      </c>
      <c r="I489" s="23">
        <v>28</v>
      </c>
      <c r="J489" s="22" t="s">
        <v>63</v>
      </c>
      <c r="K489" s="25">
        <v>544</v>
      </c>
      <c r="L489" s="199">
        <f t="shared" si="60"/>
        <v>9.0666666666666664</v>
      </c>
      <c r="M489" s="111" t="s">
        <v>139</v>
      </c>
    </row>
    <row r="490" spans="1:13" ht="18.899999999999999" customHeight="1" x14ac:dyDescent="0.45">
      <c r="A490" s="18">
        <f t="shared" si="59"/>
        <v>468</v>
      </c>
      <c r="B490" s="273"/>
      <c r="C490" s="273"/>
      <c r="D490" s="250"/>
      <c r="E490" s="49" t="s">
        <v>819</v>
      </c>
      <c r="F490" s="26">
        <v>996</v>
      </c>
      <c r="G490" s="26" t="s">
        <v>161</v>
      </c>
      <c r="H490" s="26" t="s">
        <v>820</v>
      </c>
      <c r="I490" s="19">
        <v>9</v>
      </c>
      <c r="J490" s="19" t="s">
        <v>63</v>
      </c>
      <c r="K490" s="25">
        <v>115</v>
      </c>
      <c r="L490" s="199">
        <f t="shared" si="60"/>
        <v>1.9166666666666667</v>
      </c>
      <c r="M490" s="158"/>
    </row>
    <row r="491" spans="1:13" ht="18.899999999999999" customHeight="1" x14ac:dyDescent="0.45">
      <c r="A491" s="18">
        <f t="shared" si="59"/>
        <v>469</v>
      </c>
      <c r="B491" s="271" t="s">
        <v>821</v>
      </c>
      <c r="C491" s="271" t="s">
        <v>822</v>
      </c>
      <c r="D491" s="249" t="s">
        <v>823</v>
      </c>
      <c r="E491" s="59" t="s">
        <v>824</v>
      </c>
      <c r="F491" s="26">
        <v>127</v>
      </c>
      <c r="G491" s="26" t="s">
        <v>83</v>
      </c>
      <c r="H491" s="26" t="s">
        <v>62</v>
      </c>
      <c r="I491" s="19">
        <v>37</v>
      </c>
      <c r="J491" s="22" t="s">
        <v>63</v>
      </c>
      <c r="K491" s="25">
        <v>381</v>
      </c>
      <c r="L491" s="199">
        <f t="shared" si="60"/>
        <v>6.35</v>
      </c>
      <c r="M491" s="158"/>
    </row>
    <row r="492" spans="1:13" ht="18.899999999999999" customHeight="1" x14ac:dyDescent="0.45">
      <c r="A492" s="19">
        <f t="shared" si="59"/>
        <v>470</v>
      </c>
      <c r="B492" s="272"/>
      <c r="C492" s="272"/>
      <c r="D492" s="251"/>
      <c r="E492" s="20" t="s">
        <v>825</v>
      </c>
      <c r="F492" s="26">
        <v>118</v>
      </c>
      <c r="G492" s="26" t="s">
        <v>125</v>
      </c>
      <c r="H492" s="26" t="s">
        <v>62</v>
      </c>
      <c r="I492" s="19">
        <v>16</v>
      </c>
      <c r="J492" s="22" t="s">
        <v>63</v>
      </c>
      <c r="K492" s="25">
        <v>127</v>
      </c>
      <c r="L492" s="199">
        <f t="shared" si="60"/>
        <v>2.1166666666666667</v>
      </c>
      <c r="M492" s="158"/>
    </row>
    <row r="493" spans="1:13" ht="18.899999999999999" customHeight="1" x14ac:dyDescent="0.45">
      <c r="A493" s="19">
        <f t="shared" si="59"/>
        <v>471</v>
      </c>
      <c r="B493" s="272"/>
      <c r="C493" s="272"/>
      <c r="D493" s="251"/>
      <c r="E493" s="20" t="s">
        <v>826</v>
      </c>
      <c r="F493" s="58">
        <v>1182</v>
      </c>
      <c r="G493" s="58" t="s">
        <v>161</v>
      </c>
      <c r="H493" s="26" t="s">
        <v>62</v>
      </c>
      <c r="I493" s="23">
        <v>19</v>
      </c>
      <c r="J493" s="24" t="s">
        <v>63</v>
      </c>
      <c r="K493" s="25">
        <v>248</v>
      </c>
      <c r="L493" s="199">
        <f t="shared" si="60"/>
        <v>4.1333333333333337</v>
      </c>
      <c r="M493" s="158"/>
    </row>
    <row r="494" spans="1:13" ht="18.899999999999999" customHeight="1" x14ac:dyDescent="0.45">
      <c r="A494" s="19">
        <f t="shared" si="59"/>
        <v>472</v>
      </c>
      <c r="B494" s="272"/>
      <c r="C494" s="272"/>
      <c r="D494" s="251"/>
      <c r="E494" s="59" t="s">
        <v>827</v>
      </c>
      <c r="F494" s="26">
        <v>948</v>
      </c>
      <c r="G494" s="26" t="s">
        <v>125</v>
      </c>
      <c r="H494" s="26" t="s">
        <v>236</v>
      </c>
      <c r="I494" s="19">
        <v>4</v>
      </c>
      <c r="J494" s="22" t="s">
        <v>63</v>
      </c>
      <c r="K494" s="25">
        <v>83</v>
      </c>
      <c r="L494" s="199">
        <f t="shared" si="60"/>
        <v>1.3833333333333333</v>
      </c>
      <c r="M494" s="158"/>
    </row>
    <row r="495" spans="1:13" ht="18.899999999999999" customHeight="1" x14ac:dyDescent="0.45">
      <c r="A495" s="19">
        <f t="shared" si="59"/>
        <v>473</v>
      </c>
      <c r="B495" s="272"/>
      <c r="C495" s="273"/>
      <c r="D495" s="250"/>
      <c r="E495" s="53" t="s">
        <v>828</v>
      </c>
      <c r="F495" s="19">
        <v>1079</v>
      </c>
      <c r="G495" s="26" t="s">
        <v>125</v>
      </c>
      <c r="H495" s="26" t="s">
        <v>236</v>
      </c>
      <c r="I495" s="19">
        <v>10</v>
      </c>
      <c r="J495" s="19" t="s">
        <v>63</v>
      </c>
      <c r="K495" s="64">
        <v>139</v>
      </c>
      <c r="L495" s="199">
        <f t="shared" si="60"/>
        <v>2.3166666666666669</v>
      </c>
      <c r="M495" s="158"/>
    </row>
    <row r="496" spans="1:13" ht="18.899999999999999" customHeight="1" x14ac:dyDescent="0.45">
      <c r="A496" s="19">
        <f t="shared" si="59"/>
        <v>474</v>
      </c>
      <c r="B496" s="272"/>
      <c r="C496" s="271" t="s">
        <v>829</v>
      </c>
      <c r="D496" s="249" t="s">
        <v>830</v>
      </c>
      <c r="E496" s="51" t="s">
        <v>831</v>
      </c>
      <c r="F496" s="19">
        <v>277</v>
      </c>
      <c r="G496" s="26" t="s">
        <v>125</v>
      </c>
      <c r="H496" s="19" t="s">
        <v>432</v>
      </c>
      <c r="I496" s="19">
        <v>10</v>
      </c>
      <c r="J496" s="19" t="s">
        <v>63</v>
      </c>
      <c r="K496" s="142">
        <v>232</v>
      </c>
      <c r="L496" s="199">
        <f t="shared" si="60"/>
        <v>3.8666666666666667</v>
      </c>
      <c r="M496" s="158"/>
    </row>
    <row r="497" spans="1:13" ht="18.899999999999999" customHeight="1" x14ac:dyDescent="0.45">
      <c r="A497" s="19">
        <f t="shared" si="59"/>
        <v>475</v>
      </c>
      <c r="B497" s="272"/>
      <c r="C497" s="272"/>
      <c r="D497" s="251"/>
      <c r="E497" s="51" t="s">
        <v>832</v>
      </c>
      <c r="F497" s="19">
        <v>325</v>
      </c>
      <c r="G497" s="26" t="s">
        <v>125</v>
      </c>
      <c r="H497" s="19" t="s">
        <v>432</v>
      </c>
      <c r="I497" s="19">
        <v>9</v>
      </c>
      <c r="J497" s="19" t="s">
        <v>63</v>
      </c>
      <c r="K497" s="142">
        <v>117</v>
      </c>
      <c r="L497" s="199">
        <f t="shared" si="60"/>
        <v>1.95</v>
      </c>
      <c r="M497" s="158"/>
    </row>
    <row r="498" spans="1:13" ht="18.899999999999999" customHeight="1" x14ac:dyDescent="0.45">
      <c r="A498" s="19">
        <f t="shared" si="59"/>
        <v>476</v>
      </c>
      <c r="B498" s="272"/>
      <c r="C498" s="273"/>
      <c r="D498" s="250"/>
      <c r="E498" s="51" t="s">
        <v>833</v>
      </c>
      <c r="F498" s="19">
        <v>316</v>
      </c>
      <c r="G498" s="26" t="s">
        <v>125</v>
      </c>
      <c r="H498" s="19" t="s">
        <v>834</v>
      </c>
      <c r="I498" s="19">
        <v>5</v>
      </c>
      <c r="J498" s="19" t="s">
        <v>63</v>
      </c>
      <c r="K498" s="142">
        <v>91</v>
      </c>
      <c r="L498" s="199">
        <f t="shared" si="60"/>
        <v>1.5166666666666666</v>
      </c>
      <c r="M498" s="158"/>
    </row>
    <row r="499" spans="1:13" ht="18.899999999999999" customHeight="1" x14ac:dyDescent="0.45">
      <c r="A499" s="19">
        <f t="shared" si="59"/>
        <v>477</v>
      </c>
      <c r="B499" s="272"/>
      <c r="C499" s="271" t="s">
        <v>835</v>
      </c>
      <c r="D499" s="249" t="s">
        <v>836</v>
      </c>
      <c r="E499" s="72" t="s">
        <v>837</v>
      </c>
      <c r="F499" s="56">
        <v>1073</v>
      </c>
      <c r="G499" s="26" t="s">
        <v>125</v>
      </c>
      <c r="H499" s="26" t="s">
        <v>62</v>
      </c>
      <c r="I499" s="141">
        <v>31</v>
      </c>
      <c r="J499" s="138" t="s">
        <v>63</v>
      </c>
      <c r="K499" s="142">
        <v>323</v>
      </c>
      <c r="L499" s="199">
        <f t="shared" si="60"/>
        <v>5.3833333333333337</v>
      </c>
      <c r="M499" s="158"/>
    </row>
    <row r="500" spans="1:13" ht="18.899999999999999" customHeight="1" x14ac:dyDescent="0.45">
      <c r="A500" s="19">
        <f t="shared" si="59"/>
        <v>478</v>
      </c>
      <c r="B500" s="272"/>
      <c r="C500" s="273"/>
      <c r="D500" s="250"/>
      <c r="E500" s="129" t="s">
        <v>838</v>
      </c>
      <c r="F500" s="74">
        <v>684</v>
      </c>
      <c r="G500" s="26" t="s">
        <v>161</v>
      </c>
      <c r="H500" s="26" t="s">
        <v>62</v>
      </c>
      <c r="I500" s="137">
        <v>6</v>
      </c>
      <c r="J500" s="143" t="s">
        <v>63</v>
      </c>
      <c r="K500" s="139">
        <v>43</v>
      </c>
      <c r="L500" s="199">
        <f t="shared" si="60"/>
        <v>0.71666666666666667</v>
      </c>
      <c r="M500" s="158"/>
    </row>
    <row r="501" spans="1:13" ht="18.899999999999999" customHeight="1" x14ac:dyDescent="0.45">
      <c r="A501" s="19">
        <f t="shared" si="59"/>
        <v>479</v>
      </c>
      <c r="B501" s="272"/>
      <c r="C501" s="271" t="s">
        <v>839</v>
      </c>
      <c r="D501" s="249" t="s">
        <v>840</v>
      </c>
      <c r="E501" s="72" t="s">
        <v>839</v>
      </c>
      <c r="F501" s="56">
        <v>834</v>
      </c>
      <c r="G501" s="56" t="s">
        <v>83</v>
      </c>
      <c r="H501" s="26" t="s">
        <v>62</v>
      </c>
      <c r="I501" s="141">
        <v>22</v>
      </c>
      <c r="J501" s="138" t="s">
        <v>63</v>
      </c>
      <c r="K501" s="142">
        <v>273</v>
      </c>
      <c r="L501" s="199">
        <f t="shared" si="60"/>
        <v>4.55</v>
      </c>
      <c r="M501" s="158"/>
    </row>
    <row r="502" spans="1:13" ht="18.899999999999999" customHeight="1" x14ac:dyDescent="0.45">
      <c r="A502" s="19">
        <f t="shared" ref="A502:A527" si="61">A501+1</f>
        <v>480</v>
      </c>
      <c r="B502" s="272"/>
      <c r="C502" s="273"/>
      <c r="D502" s="250"/>
      <c r="E502" s="129" t="s">
        <v>841</v>
      </c>
      <c r="F502" s="74">
        <v>4</v>
      </c>
      <c r="G502" s="56" t="s">
        <v>83</v>
      </c>
      <c r="H502" s="26" t="s">
        <v>62</v>
      </c>
      <c r="I502" s="137">
        <v>18</v>
      </c>
      <c r="J502" s="143" t="s">
        <v>63</v>
      </c>
      <c r="K502" s="139">
        <v>177</v>
      </c>
      <c r="L502" s="199">
        <f t="shared" si="60"/>
        <v>2.95</v>
      </c>
      <c r="M502" s="158"/>
    </row>
    <row r="503" spans="1:13" ht="18.899999999999999" customHeight="1" x14ac:dyDescent="0.45">
      <c r="A503" s="19">
        <f t="shared" si="61"/>
        <v>481</v>
      </c>
      <c r="B503" s="272"/>
      <c r="C503" s="271" t="s">
        <v>842</v>
      </c>
      <c r="D503" s="249" t="s">
        <v>843</v>
      </c>
      <c r="E503" s="51" t="s">
        <v>844</v>
      </c>
      <c r="F503" s="19">
        <v>885</v>
      </c>
      <c r="G503" s="56" t="s">
        <v>125</v>
      </c>
      <c r="H503" s="19" t="s">
        <v>126</v>
      </c>
      <c r="I503" s="19">
        <v>19</v>
      </c>
      <c r="J503" s="19" t="s">
        <v>63</v>
      </c>
      <c r="K503" s="142">
        <v>234</v>
      </c>
      <c r="L503" s="199">
        <f t="shared" si="60"/>
        <v>3.9</v>
      </c>
      <c r="M503" s="158"/>
    </row>
    <row r="504" spans="1:13" ht="18.899999999999999" customHeight="1" x14ac:dyDescent="0.45">
      <c r="A504" s="19">
        <f t="shared" si="61"/>
        <v>482</v>
      </c>
      <c r="B504" s="272"/>
      <c r="C504" s="272"/>
      <c r="D504" s="251"/>
      <c r="E504" s="49" t="s">
        <v>845</v>
      </c>
      <c r="F504" s="99">
        <v>912</v>
      </c>
      <c r="G504" s="99" t="s">
        <v>161</v>
      </c>
      <c r="H504" s="194" t="s">
        <v>846</v>
      </c>
      <c r="I504" s="137">
        <v>17</v>
      </c>
      <c r="J504" s="143" t="s">
        <v>63</v>
      </c>
      <c r="K504" s="139">
        <v>159</v>
      </c>
      <c r="L504" s="199">
        <f t="shared" si="60"/>
        <v>2.65</v>
      </c>
      <c r="M504" s="158"/>
    </row>
    <row r="505" spans="1:13" ht="18.899999999999999" customHeight="1" x14ac:dyDescent="0.45">
      <c r="A505" s="19">
        <f t="shared" si="61"/>
        <v>483</v>
      </c>
      <c r="B505" s="272"/>
      <c r="C505" s="272"/>
      <c r="D505" s="251"/>
      <c r="E505" s="20" t="s">
        <v>847</v>
      </c>
      <c r="F505" s="26">
        <v>1065</v>
      </c>
      <c r="G505" s="99" t="s">
        <v>161</v>
      </c>
      <c r="H505" s="128" t="s">
        <v>236</v>
      </c>
      <c r="I505" s="141">
        <v>6</v>
      </c>
      <c r="J505" s="138" t="s">
        <v>63</v>
      </c>
      <c r="K505" s="142">
        <v>57</v>
      </c>
      <c r="L505" s="199">
        <f t="shared" si="60"/>
        <v>0.95</v>
      </c>
      <c r="M505" s="158"/>
    </row>
    <row r="506" spans="1:13" ht="18.899999999999999" customHeight="1" x14ac:dyDescent="0.45">
      <c r="A506" s="19">
        <f t="shared" si="61"/>
        <v>484</v>
      </c>
      <c r="B506" s="272"/>
      <c r="C506" s="273"/>
      <c r="D506" s="250"/>
      <c r="E506" s="20" t="s">
        <v>848</v>
      </c>
      <c r="F506" s="19">
        <v>1141</v>
      </c>
      <c r="G506" s="99" t="s">
        <v>161</v>
      </c>
      <c r="H506" s="22" t="s">
        <v>236</v>
      </c>
      <c r="I506" s="23">
        <v>7</v>
      </c>
      <c r="J506" s="22" t="s">
        <v>63</v>
      </c>
      <c r="K506" s="25">
        <v>125</v>
      </c>
      <c r="L506" s="199">
        <f t="shared" si="60"/>
        <v>2.0833333333333335</v>
      </c>
      <c r="M506" s="158"/>
    </row>
    <row r="507" spans="1:13" ht="18.899999999999999" customHeight="1" x14ac:dyDescent="0.45">
      <c r="A507" s="19">
        <f t="shared" si="61"/>
        <v>485</v>
      </c>
      <c r="B507" s="272"/>
      <c r="C507" s="271" t="s">
        <v>849</v>
      </c>
      <c r="D507" s="249" t="s">
        <v>850</v>
      </c>
      <c r="E507" s="20" t="s">
        <v>851</v>
      </c>
      <c r="F507" s="26">
        <v>808</v>
      </c>
      <c r="G507" s="99" t="s">
        <v>161</v>
      </c>
      <c r="H507" s="26" t="s">
        <v>136</v>
      </c>
      <c r="I507" s="19">
        <v>5</v>
      </c>
      <c r="J507" s="19" t="s">
        <v>63</v>
      </c>
      <c r="K507" s="64">
        <v>60</v>
      </c>
      <c r="L507" s="199">
        <f t="shared" si="60"/>
        <v>1</v>
      </c>
      <c r="M507" s="158"/>
    </row>
    <row r="508" spans="1:13" ht="18.899999999999999" customHeight="1" x14ac:dyDescent="0.45">
      <c r="A508" s="19">
        <f t="shared" si="61"/>
        <v>486</v>
      </c>
      <c r="B508" s="272"/>
      <c r="C508" s="272"/>
      <c r="D508" s="251"/>
      <c r="E508" s="20" t="s">
        <v>852</v>
      </c>
      <c r="F508" s="26">
        <v>814</v>
      </c>
      <c r="G508" s="99" t="s">
        <v>125</v>
      </c>
      <c r="H508" s="26" t="s">
        <v>136</v>
      </c>
      <c r="I508" s="19">
        <v>7</v>
      </c>
      <c r="J508" s="19" t="s">
        <v>63</v>
      </c>
      <c r="K508" s="64">
        <v>118</v>
      </c>
      <c r="L508" s="199">
        <f t="shared" si="60"/>
        <v>1.9666666666666666</v>
      </c>
      <c r="M508" s="158"/>
    </row>
    <row r="509" spans="1:13" ht="18.899999999999999" customHeight="1" x14ac:dyDescent="0.45">
      <c r="A509" s="19">
        <f t="shared" si="61"/>
        <v>487</v>
      </c>
      <c r="B509" s="272"/>
      <c r="C509" s="272"/>
      <c r="D509" s="251"/>
      <c r="E509" s="20" t="s">
        <v>853</v>
      </c>
      <c r="F509" s="26">
        <v>804</v>
      </c>
      <c r="G509" s="99" t="s">
        <v>161</v>
      </c>
      <c r="H509" s="26" t="s">
        <v>390</v>
      </c>
      <c r="I509" s="19">
        <v>3</v>
      </c>
      <c r="J509" s="19" t="s">
        <v>63</v>
      </c>
      <c r="K509" s="64">
        <v>51</v>
      </c>
      <c r="L509" s="199">
        <f t="shared" si="60"/>
        <v>0.85</v>
      </c>
      <c r="M509" s="65"/>
    </row>
    <row r="510" spans="1:13" ht="18.899999999999999" customHeight="1" x14ac:dyDescent="0.45">
      <c r="A510" s="19">
        <f t="shared" si="61"/>
        <v>488</v>
      </c>
      <c r="B510" s="272"/>
      <c r="C510" s="272"/>
      <c r="D510" s="251"/>
      <c r="E510" s="20" t="s">
        <v>854</v>
      </c>
      <c r="F510" s="19">
        <v>1118</v>
      </c>
      <c r="G510" s="99" t="s">
        <v>125</v>
      </c>
      <c r="H510" s="22" t="s">
        <v>855</v>
      </c>
      <c r="I510" s="23">
        <v>6</v>
      </c>
      <c r="J510" s="22" t="s">
        <v>63</v>
      </c>
      <c r="K510" s="64">
        <v>70</v>
      </c>
      <c r="L510" s="199">
        <f t="shared" si="60"/>
        <v>1.1666666666666667</v>
      </c>
      <c r="M510" s="65"/>
    </row>
    <row r="511" spans="1:13" ht="18.899999999999999" customHeight="1" x14ac:dyDescent="0.45">
      <c r="A511" s="19">
        <f t="shared" si="61"/>
        <v>489</v>
      </c>
      <c r="B511" s="272"/>
      <c r="C511" s="272"/>
      <c r="D511" s="251"/>
      <c r="E511" s="20" t="s">
        <v>856</v>
      </c>
      <c r="F511" s="22" t="s">
        <v>857</v>
      </c>
      <c r="G511" s="99" t="s">
        <v>125</v>
      </c>
      <c r="H511" s="22" t="s">
        <v>855</v>
      </c>
      <c r="I511" s="23">
        <v>6</v>
      </c>
      <c r="J511" s="24" t="s">
        <v>63</v>
      </c>
      <c r="K511" s="25">
        <v>116</v>
      </c>
      <c r="L511" s="199">
        <f t="shared" si="60"/>
        <v>1.9333333333333333</v>
      </c>
      <c r="M511" s="65"/>
    </row>
    <row r="512" spans="1:13" ht="18.899999999999999" customHeight="1" x14ac:dyDescent="0.45">
      <c r="A512" s="19">
        <f t="shared" si="61"/>
        <v>490</v>
      </c>
      <c r="B512" s="272"/>
      <c r="C512" s="273"/>
      <c r="D512" s="250"/>
      <c r="E512" s="20" t="s">
        <v>858</v>
      </c>
      <c r="F512" s="22" t="s">
        <v>859</v>
      </c>
      <c r="G512" s="99" t="s">
        <v>161</v>
      </c>
      <c r="H512" s="22" t="s">
        <v>855</v>
      </c>
      <c r="I512" s="23">
        <v>7</v>
      </c>
      <c r="J512" s="24" t="s">
        <v>63</v>
      </c>
      <c r="K512" s="25">
        <v>148</v>
      </c>
      <c r="L512" s="199">
        <f t="shared" si="60"/>
        <v>2.4666666666666668</v>
      </c>
      <c r="M512" s="65"/>
    </row>
    <row r="513" spans="1:13" ht="18.899999999999999" customHeight="1" x14ac:dyDescent="0.45">
      <c r="A513" s="19">
        <f t="shared" si="61"/>
        <v>491</v>
      </c>
      <c r="B513" s="272"/>
      <c r="C513" s="19" t="s">
        <v>860</v>
      </c>
      <c r="D513" s="150" t="s">
        <v>861</v>
      </c>
      <c r="E513" s="20" t="s">
        <v>862</v>
      </c>
      <c r="F513" s="26">
        <v>945</v>
      </c>
      <c r="G513" s="99" t="s">
        <v>125</v>
      </c>
      <c r="H513" s="26" t="s">
        <v>136</v>
      </c>
      <c r="I513" s="26">
        <v>14</v>
      </c>
      <c r="J513" s="19" t="s">
        <v>63</v>
      </c>
      <c r="K513" s="64">
        <v>116</v>
      </c>
      <c r="L513" s="199">
        <f t="shared" si="60"/>
        <v>1.9333333333333333</v>
      </c>
      <c r="M513" s="158"/>
    </row>
    <row r="514" spans="1:13" ht="18.899999999999999" customHeight="1" x14ac:dyDescent="0.45">
      <c r="A514" s="19">
        <f t="shared" si="61"/>
        <v>492</v>
      </c>
      <c r="B514" s="272"/>
      <c r="C514" s="271" t="s">
        <v>863</v>
      </c>
      <c r="D514" s="249" t="s">
        <v>864</v>
      </c>
      <c r="E514" s="51" t="s">
        <v>865</v>
      </c>
      <c r="F514" s="19">
        <v>264</v>
      </c>
      <c r="G514" s="99" t="s">
        <v>83</v>
      </c>
      <c r="H514" s="39" t="s">
        <v>236</v>
      </c>
      <c r="I514" s="19">
        <v>27</v>
      </c>
      <c r="J514" s="19" t="s">
        <v>63</v>
      </c>
      <c r="K514" s="142">
        <v>460</v>
      </c>
      <c r="L514" s="199">
        <f t="shared" si="60"/>
        <v>7.666666666666667</v>
      </c>
      <c r="M514" s="158"/>
    </row>
    <row r="515" spans="1:13" ht="18.899999999999999" customHeight="1" x14ac:dyDescent="0.45">
      <c r="A515" s="19">
        <f t="shared" si="61"/>
        <v>493</v>
      </c>
      <c r="B515" s="272"/>
      <c r="C515" s="272"/>
      <c r="D515" s="251"/>
      <c r="E515" s="51" t="s">
        <v>866</v>
      </c>
      <c r="F515" s="19">
        <v>63</v>
      </c>
      <c r="G515" s="99" t="s">
        <v>83</v>
      </c>
      <c r="H515" s="19" t="s">
        <v>432</v>
      </c>
      <c r="I515" s="19">
        <v>12</v>
      </c>
      <c r="J515" s="19" t="s">
        <v>63</v>
      </c>
      <c r="K515" s="142">
        <v>148</v>
      </c>
      <c r="L515" s="199">
        <f t="shared" si="60"/>
        <v>2.4666666666666668</v>
      </c>
      <c r="M515" s="158"/>
    </row>
    <row r="516" spans="1:13" ht="18.899999999999999" customHeight="1" x14ac:dyDescent="0.45">
      <c r="A516" s="19">
        <f t="shared" si="61"/>
        <v>494</v>
      </c>
      <c r="B516" s="272"/>
      <c r="C516" s="272"/>
      <c r="D516" s="251"/>
      <c r="E516" s="51" t="s">
        <v>867</v>
      </c>
      <c r="F516" s="19">
        <v>44</v>
      </c>
      <c r="G516" s="99" t="s">
        <v>83</v>
      </c>
      <c r="H516" s="19" t="s">
        <v>432</v>
      </c>
      <c r="I516" s="19">
        <v>7</v>
      </c>
      <c r="J516" s="19" t="s">
        <v>63</v>
      </c>
      <c r="K516" s="142">
        <v>69</v>
      </c>
      <c r="L516" s="199">
        <f t="shared" si="60"/>
        <v>1.1499999999999999</v>
      </c>
      <c r="M516" s="158"/>
    </row>
    <row r="517" spans="1:13" ht="18.899999999999999" customHeight="1" x14ac:dyDescent="0.45">
      <c r="A517" s="19">
        <f t="shared" si="61"/>
        <v>495</v>
      </c>
      <c r="B517" s="272"/>
      <c r="C517" s="272"/>
      <c r="D517" s="251"/>
      <c r="E517" s="51" t="s">
        <v>868</v>
      </c>
      <c r="F517" s="19">
        <v>57</v>
      </c>
      <c r="G517" s="99" t="s">
        <v>83</v>
      </c>
      <c r="H517" s="19" t="s">
        <v>432</v>
      </c>
      <c r="I517" s="19">
        <v>7</v>
      </c>
      <c r="J517" s="19" t="s">
        <v>63</v>
      </c>
      <c r="K517" s="64">
        <v>56</v>
      </c>
      <c r="L517" s="199">
        <f t="shared" si="60"/>
        <v>0.93333333333333335</v>
      </c>
      <c r="M517" s="158"/>
    </row>
    <row r="518" spans="1:13" ht="18.899999999999999" customHeight="1" x14ac:dyDescent="0.45">
      <c r="A518" s="19">
        <f t="shared" si="61"/>
        <v>496</v>
      </c>
      <c r="B518" s="272"/>
      <c r="C518" s="272"/>
      <c r="D518" s="251"/>
      <c r="E518" s="51" t="s">
        <v>869</v>
      </c>
      <c r="F518" s="19">
        <v>55</v>
      </c>
      <c r="G518" s="99" t="s">
        <v>83</v>
      </c>
      <c r="H518" s="19" t="s">
        <v>432</v>
      </c>
      <c r="I518" s="19">
        <v>8</v>
      </c>
      <c r="J518" s="19" t="s">
        <v>63</v>
      </c>
      <c r="K518" s="64">
        <v>101</v>
      </c>
      <c r="L518" s="199">
        <f t="shared" si="60"/>
        <v>1.6833333333333333</v>
      </c>
      <c r="M518" s="158"/>
    </row>
    <row r="519" spans="1:13" ht="18.899999999999999" customHeight="1" x14ac:dyDescent="0.45">
      <c r="A519" s="19">
        <f t="shared" si="61"/>
        <v>497</v>
      </c>
      <c r="B519" s="272"/>
      <c r="C519" s="272"/>
      <c r="D519" s="251"/>
      <c r="E519" s="51" t="s">
        <v>870</v>
      </c>
      <c r="F519" s="19">
        <v>50</v>
      </c>
      <c r="G519" s="99" t="s">
        <v>83</v>
      </c>
      <c r="H519" s="19" t="s">
        <v>432</v>
      </c>
      <c r="I519" s="19">
        <v>7</v>
      </c>
      <c r="J519" s="19" t="s">
        <v>63</v>
      </c>
      <c r="K519" s="64">
        <v>99</v>
      </c>
      <c r="L519" s="199">
        <f t="shared" si="60"/>
        <v>1.65</v>
      </c>
      <c r="M519" s="158"/>
    </row>
    <row r="520" spans="1:13" ht="18.899999999999999" customHeight="1" x14ac:dyDescent="0.45">
      <c r="A520" s="19">
        <f t="shared" si="61"/>
        <v>498</v>
      </c>
      <c r="B520" s="273"/>
      <c r="C520" s="273"/>
      <c r="D520" s="250"/>
      <c r="E520" s="51" t="s">
        <v>871</v>
      </c>
      <c r="F520" s="19">
        <v>51</v>
      </c>
      <c r="G520" s="99" t="s">
        <v>83</v>
      </c>
      <c r="H520" s="19" t="s">
        <v>432</v>
      </c>
      <c r="I520" s="19">
        <v>7</v>
      </c>
      <c r="J520" s="19" t="s">
        <v>63</v>
      </c>
      <c r="K520" s="142">
        <v>96</v>
      </c>
      <c r="L520" s="199">
        <f t="shared" si="60"/>
        <v>1.6</v>
      </c>
      <c r="M520" s="158"/>
    </row>
    <row r="521" spans="1:13" ht="18.899999999999999" customHeight="1" x14ac:dyDescent="0.45">
      <c r="A521" s="19">
        <f t="shared" si="61"/>
        <v>499</v>
      </c>
      <c r="B521" s="271" t="s">
        <v>872</v>
      </c>
      <c r="C521" s="271" t="s">
        <v>872</v>
      </c>
      <c r="D521" s="249" t="s">
        <v>873</v>
      </c>
      <c r="E521" s="49" t="s">
        <v>874</v>
      </c>
      <c r="F521" s="99">
        <v>225</v>
      </c>
      <c r="G521" s="99" t="s">
        <v>161</v>
      </c>
      <c r="H521" s="161" t="s">
        <v>390</v>
      </c>
      <c r="I521" s="39">
        <v>14</v>
      </c>
      <c r="J521" s="39" t="s">
        <v>63</v>
      </c>
      <c r="K521" s="67">
        <v>166</v>
      </c>
      <c r="L521" s="199">
        <f t="shared" si="60"/>
        <v>2.7666666666666666</v>
      </c>
      <c r="M521" s="158"/>
    </row>
    <row r="522" spans="1:13" ht="18.899999999999999" customHeight="1" x14ac:dyDescent="0.45">
      <c r="A522" s="19">
        <f t="shared" si="61"/>
        <v>500</v>
      </c>
      <c r="B522" s="272"/>
      <c r="C522" s="273"/>
      <c r="D522" s="250"/>
      <c r="E522" s="49" t="s">
        <v>875</v>
      </c>
      <c r="F522" s="99">
        <v>275</v>
      </c>
      <c r="G522" s="99" t="s">
        <v>83</v>
      </c>
      <c r="H522" s="161" t="s">
        <v>876</v>
      </c>
      <c r="I522" s="39">
        <v>3</v>
      </c>
      <c r="J522" s="99" t="s">
        <v>63</v>
      </c>
      <c r="K522" s="67">
        <v>62</v>
      </c>
      <c r="L522" s="199">
        <f t="shared" si="60"/>
        <v>1.0333333333333334</v>
      </c>
      <c r="M522" s="158"/>
    </row>
    <row r="523" spans="1:13" ht="18.899999999999999" customHeight="1" x14ac:dyDescent="0.45">
      <c r="A523" s="19">
        <f t="shared" si="61"/>
        <v>501</v>
      </c>
      <c r="B523" s="272"/>
      <c r="C523" s="271" t="s">
        <v>877</v>
      </c>
      <c r="D523" s="249" t="s">
        <v>878</v>
      </c>
      <c r="E523" s="20" t="s">
        <v>879</v>
      </c>
      <c r="F523" s="58">
        <v>1228</v>
      </c>
      <c r="G523" s="19" t="s">
        <v>125</v>
      </c>
      <c r="H523" s="22" t="s">
        <v>880</v>
      </c>
      <c r="I523" s="23">
        <v>1</v>
      </c>
      <c r="J523" s="24" t="s">
        <v>63</v>
      </c>
      <c r="K523" s="25">
        <v>54</v>
      </c>
      <c r="L523" s="199">
        <f t="shared" si="60"/>
        <v>0.9</v>
      </c>
      <c r="M523" s="158"/>
    </row>
    <row r="524" spans="1:13" ht="18.899999999999999" customHeight="1" x14ac:dyDescent="0.45">
      <c r="A524" s="19">
        <f t="shared" si="61"/>
        <v>502</v>
      </c>
      <c r="B524" s="272"/>
      <c r="C524" s="272"/>
      <c r="D524" s="251"/>
      <c r="E524" s="53" t="s">
        <v>881</v>
      </c>
      <c r="F524" s="19">
        <v>1103</v>
      </c>
      <c r="G524" s="19" t="s">
        <v>161</v>
      </c>
      <c r="H524" s="52" t="s">
        <v>880</v>
      </c>
      <c r="I524" s="56">
        <v>8</v>
      </c>
      <c r="J524" s="19" t="s">
        <v>63</v>
      </c>
      <c r="K524" s="64">
        <v>89</v>
      </c>
      <c r="L524" s="199">
        <f t="shared" si="60"/>
        <v>1.4833333333333334</v>
      </c>
      <c r="M524" s="158"/>
    </row>
    <row r="525" spans="1:13" ht="18.899999999999999" customHeight="1" x14ac:dyDescent="0.45">
      <c r="A525" s="19">
        <f t="shared" si="61"/>
        <v>503</v>
      </c>
      <c r="B525" s="272"/>
      <c r="C525" s="272"/>
      <c r="D525" s="251"/>
      <c r="E525" s="57" t="s">
        <v>882</v>
      </c>
      <c r="F525" s="19">
        <v>1114</v>
      </c>
      <c r="G525" s="19" t="s">
        <v>161</v>
      </c>
      <c r="H525" s="22" t="s">
        <v>267</v>
      </c>
      <c r="I525" s="23">
        <v>4</v>
      </c>
      <c r="J525" s="22" t="s">
        <v>63</v>
      </c>
      <c r="K525" s="64">
        <v>65</v>
      </c>
      <c r="L525" s="199">
        <f t="shared" si="60"/>
        <v>1.0833333333333333</v>
      </c>
      <c r="M525" s="158"/>
    </row>
    <row r="526" spans="1:13" ht="18.899999999999999" customHeight="1" x14ac:dyDescent="0.45">
      <c r="A526" s="19">
        <f t="shared" si="61"/>
        <v>504</v>
      </c>
      <c r="B526" s="272"/>
      <c r="C526" s="272"/>
      <c r="D526" s="251"/>
      <c r="E526" s="20" t="s">
        <v>883</v>
      </c>
      <c r="F526" s="19">
        <v>1146</v>
      </c>
      <c r="G526" s="19" t="s">
        <v>161</v>
      </c>
      <c r="H526" s="22" t="s">
        <v>267</v>
      </c>
      <c r="I526" s="23">
        <v>6</v>
      </c>
      <c r="J526" s="22" t="s">
        <v>63</v>
      </c>
      <c r="K526" s="64">
        <v>60</v>
      </c>
      <c r="L526" s="199">
        <f t="shared" si="60"/>
        <v>1</v>
      </c>
      <c r="M526" s="158"/>
    </row>
    <row r="527" spans="1:13" ht="18.899999999999999" customHeight="1" x14ac:dyDescent="0.45">
      <c r="A527" s="19">
        <f t="shared" si="61"/>
        <v>505</v>
      </c>
      <c r="B527" s="272"/>
      <c r="C527" s="272"/>
      <c r="D527" s="251"/>
      <c r="E527" s="20" t="s">
        <v>884</v>
      </c>
      <c r="F527" s="22" t="s">
        <v>885</v>
      </c>
      <c r="G527" s="19" t="s">
        <v>161</v>
      </c>
      <c r="H527" s="22" t="s">
        <v>183</v>
      </c>
      <c r="I527" s="23">
        <v>4</v>
      </c>
      <c r="J527" s="24" t="s">
        <v>63</v>
      </c>
      <c r="K527" s="25">
        <v>119</v>
      </c>
      <c r="L527" s="199">
        <f t="shared" si="60"/>
        <v>1.9833333333333334</v>
      </c>
      <c r="M527" s="34"/>
    </row>
    <row r="528" spans="1:13" ht="18.899999999999999" customHeight="1" x14ac:dyDescent="0.45">
      <c r="A528" s="274" t="s">
        <v>886</v>
      </c>
      <c r="B528" s="275"/>
      <c r="C528" s="275"/>
      <c r="D528" s="276"/>
      <c r="E528" s="275"/>
      <c r="F528" s="275"/>
      <c r="G528" s="275"/>
      <c r="H528" s="275"/>
      <c r="I528" s="275"/>
      <c r="J528" s="275"/>
      <c r="K528" s="275"/>
      <c r="L528" s="275"/>
      <c r="M528" s="275"/>
    </row>
    <row r="529" spans="1:13" ht="18.899999999999999" customHeight="1" x14ac:dyDescent="0.45">
      <c r="A529" s="18">
        <f>A527+1</f>
        <v>506</v>
      </c>
      <c r="B529" s="271" t="s">
        <v>887</v>
      </c>
      <c r="C529" s="271" t="s">
        <v>888</v>
      </c>
      <c r="D529" s="249" t="s">
        <v>889</v>
      </c>
      <c r="E529" s="20" t="s">
        <v>890</v>
      </c>
      <c r="F529" s="26">
        <v>91</v>
      </c>
      <c r="G529" s="26" t="s">
        <v>83</v>
      </c>
      <c r="H529" s="26" t="s">
        <v>891</v>
      </c>
      <c r="I529" s="19">
        <v>9</v>
      </c>
      <c r="J529" s="19" t="s">
        <v>63</v>
      </c>
      <c r="K529" s="64">
        <v>108</v>
      </c>
      <c r="L529" s="65">
        <f>K529/60</f>
        <v>1.8</v>
      </c>
      <c r="M529" s="158"/>
    </row>
    <row r="530" spans="1:13" ht="18.899999999999999" customHeight="1" x14ac:dyDescent="0.45">
      <c r="A530" s="18">
        <f t="shared" ref="A530:A539" si="62">A529+1</f>
        <v>507</v>
      </c>
      <c r="B530" s="272"/>
      <c r="C530" s="272"/>
      <c r="D530" s="251"/>
      <c r="E530" s="61" t="s">
        <v>892</v>
      </c>
      <c r="F530" s="19">
        <v>1071</v>
      </c>
      <c r="G530" s="26" t="s">
        <v>83</v>
      </c>
      <c r="H530" s="52" t="s">
        <v>354</v>
      </c>
      <c r="I530" s="19">
        <v>5</v>
      </c>
      <c r="J530" s="19" t="s">
        <v>63</v>
      </c>
      <c r="K530" s="64">
        <v>62</v>
      </c>
      <c r="L530" s="65">
        <f t="shared" ref="L530:L542" si="63">K530/60</f>
        <v>1.0333333333333334</v>
      </c>
      <c r="M530" s="158"/>
    </row>
    <row r="531" spans="1:13" ht="18.899999999999999" customHeight="1" x14ac:dyDescent="0.45">
      <c r="A531" s="18">
        <f t="shared" si="62"/>
        <v>508</v>
      </c>
      <c r="B531" s="272"/>
      <c r="C531" s="273"/>
      <c r="D531" s="250"/>
      <c r="E531" s="49" t="s">
        <v>893</v>
      </c>
      <c r="F531" s="19">
        <v>1072</v>
      </c>
      <c r="G531" s="26" t="s">
        <v>83</v>
      </c>
      <c r="H531" s="26" t="s">
        <v>354</v>
      </c>
      <c r="I531" s="19">
        <v>2</v>
      </c>
      <c r="J531" s="19" t="s">
        <v>63</v>
      </c>
      <c r="K531" s="64">
        <v>139</v>
      </c>
      <c r="L531" s="65">
        <f t="shared" si="63"/>
        <v>2.3166666666666669</v>
      </c>
      <c r="M531" s="158"/>
    </row>
    <row r="532" spans="1:13" ht="18.899999999999999" customHeight="1" x14ac:dyDescent="0.45">
      <c r="A532" s="18">
        <f t="shared" si="62"/>
        <v>509</v>
      </c>
      <c r="B532" s="272"/>
      <c r="C532" s="271" t="s">
        <v>894</v>
      </c>
      <c r="D532" s="249" t="s">
        <v>895</v>
      </c>
      <c r="E532" s="20" t="s">
        <v>896</v>
      </c>
      <c r="F532" s="50">
        <v>262</v>
      </c>
      <c r="G532" s="50" t="s">
        <v>125</v>
      </c>
      <c r="H532" s="26" t="s">
        <v>356</v>
      </c>
      <c r="I532" s="26">
        <v>14</v>
      </c>
      <c r="J532" s="26" t="s">
        <v>63</v>
      </c>
      <c r="K532" s="64">
        <v>250</v>
      </c>
      <c r="L532" s="65">
        <f t="shared" si="63"/>
        <v>4.166666666666667</v>
      </c>
      <c r="M532" s="158"/>
    </row>
    <row r="533" spans="1:13" ht="18.899999999999999" customHeight="1" x14ac:dyDescent="0.45">
      <c r="A533" s="18">
        <f t="shared" si="62"/>
        <v>510</v>
      </c>
      <c r="B533" s="272"/>
      <c r="C533" s="272"/>
      <c r="D533" s="251"/>
      <c r="E533" s="20" t="s">
        <v>897</v>
      </c>
      <c r="F533" s="26">
        <v>90</v>
      </c>
      <c r="G533" s="50" t="s">
        <v>125</v>
      </c>
      <c r="H533" s="26" t="s">
        <v>171</v>
      </c>
      <c r="I533" s="19">
        <v>12</v>
      </c>
      <c r="J533" s="19" t="s">
        <v>63</v>
      </c>
      <c r="K533" s="64">
        <v>139</v>
      </c>
      <c r="L533" s="65">
        <f t="shared" si="63"/>
        <v>2.3166666666666669</v>
      </c>
      <c r="M533" s="158"/>
    </row>
    <row r="534" spans="1:13" ht="18.899999999999999" customHeight="1" x14ac:dyDescent="0.45">
      <c r="A534" s="18">
        <f t="shared" si="62"/>
        <v>511</v>
      </c>
      <c r="B534" s="272"/>
      <c r="C534" s="273"/>
      <c r="D534" s="250"/>
      <c r="E534" s="20" t="s">
        <v>898</v>
      </c>
      <c r="F534" s="50">
        <v>233</v>
      </c>
      <c r="G534" s="50" t="s">
        <v>161</v>
      </c>
      <c r="H534" s="26" t="s">
        <v>899</v>
      </c>
      <c r="I534" s="19">
        <v>12</v>
      </c>
      <c r="J534" s="19" t="s">
        <v>63</v>
      </c>
      <c r="K534" s="64">
        <v>163</v>
      </c>
      <c r="L534" s="65">
        <f t="shared" si="63"/>
        <v>2.7166666666666668</v>
      </c>
      <c r="M534" s="158"/>
    </row>
    <row r="535" spans="1:13" ht="18.899999999999999" customHeight="1" x14ac:dyDescent="0.45">
      <c r="A535" s="18">
        <f t="shared" si="62"/>
        <v>512</v>
      </c>
      <c r="B535" s="272"/>
      <c r="C535" s="271" t="s">
        <v>900</v>
      </c>
      <c r="D535" s="249" t="s">
        <v>901</v>
      </c>
      <c r="E535" s="20" t="s">
        <v>902</v>
      </c>
      <c r="F535" s="26">
        <v>94</v>
      </c>
      <c r="G535" s="26" t="s">
        <v>83</v>
      </c>
      <c r="H535" s="26" t="s">
        <v>126</v>
      </c>
      <c r="I535" s="19">
        <v>42</v>
      </c>
      <c r="J535" s="19" t="s">
        <v>63</v>
      </c>
      <c r="K535" s="64">
        <v>536</v>
      </c>
      <c r="L535" s="65">
        <f t="shared" si="63"/>
        <v>8.9333333333333336</v>
      </c>
      <c r="M535" s="158"/>
    </row>
    <row r="536" spans="1:13" ht="18.899999999999999" customHeight="1" x14ac:dyDescent="0.45">
      <c r="A536" s="18">
        <f t="shared" si="62"/>
        <v>513</v>
      </c>
      <c r="B536" s="272"/>
      <c r="C536" s="272"/>
      <c r="D536" s="251"/>
      <c r="E536" s="49" t="s">
        <v>903</v>
      </c>
      <c r="F536" s="99">
        <v>167</v>
      </c>
      <c r="G536" s="26" t="s">
        <v>83</v>
      </c>
      <c r="H536" s="99" t="s">
        <v>904</v>
      </c>
      <c r="I536" s="39">
        <v>16</v>
      </c>
      <c r="J536" s="39" t="s">
        <v>63</v>
      </c>
      <c r="K536" s="67">
        <v>164</v>
      </c>
      <c r="L536" s="65">
        <f t="shared" si="63"/>
        <v>2.7333333333333334</v>
      </c>
      <c r="M536" s="158"/>
    </row>
    <row r="537" spans="1:13" ht="18.899999999999999" customHeight="1" x14ac:dyDescent="0.45">
      <c r="A537" s="18">
        <f t="shared" si="62"/>
        <v>514</v>
      </c>
      <c r="B537" s="273"/>
      <c r="C537" s="273"/>
      <c r="D537" s="250"/>
      <c r="E537" s="51" t="s">
        <v>905</v>
      </c>
      <c r="F537" s="19">
        <v>1025</v>
      </c>
      <c r="G537" s="19" t="s">
        <v>125</v>
      </c>
      <c r="H537" s="52" t="s">
        <v>181</v>
      </c>
      <c r="I537" s="19">
        <v>11</v>
      </c>
      <c r="J537" s="19" t="s">
        <v>63</v>
      </c>
      <c r="K537" s="64">
        <v>122</v>
      </c>
      <c r="L537" s="65">
        <f t="shared" si="63"/>
        <v>2.0333333333333332</v>
      </c>
      <c r="M537" s="158"/>
    </row>
    <row r="538" spans="1:13" ht="18.899999999999999" customHeight="1" x14ac:dyDescent="0.45">
      <c r="A538" s="18">
        <f t="shared" si="62"/>
        <v>515</v>
      </c>
      <c r="B538" s="282" t="s">
        <v>906</v>
      </c>
      <c r="C538" s="282" t="s">
        <v>907</v>
      </c>
      <c r="D538" s="255" t="s">
        <v>908</v>
      </c>
      <c r="E538" s="20" t="s">
        <v>909</v>
      </c>
      <c r="F538" s="26">
        <v>887</v>
      </c>
      <c r="G538" s="19" t="s">
        <v>125</v>
      </c>
      <c r="H538" s="26" t="s">
        <v>356</v>
      </c>
      <c r="I538" s="19">
        <v>12</v>
      </c>
      <c r="J538" s="19" t="s">
        <v>63</v>
      </c>
      <c r="K538" s="64">
        <v>321</v>
      </c>
      <c r="L538" s="65">
        <f t="shared" si="63"/>
        <v>5.35</v>
      </c>
      <c r="M538" s="158"/>
    </row>
    <row r="539" spans="1:13" ht="18.899999999999999" customHeight="1" x14ac:dyDescent="0.45">
      <c r="A539" s="18">
        <f t="shared" si="62"/>
        <v>516</v>
      </c>
      <c r="B539" s="246"/>
      <c r="C539" s="246"/>
      <c r="D539" s="253"/>
      <c r="E539" s="20" t="s">
        <v>910</v>
      </c>
      <c r="F539" s="26">
        <v>886</v>
      </c>
      <c r="G539" s="19" t="s">
        <v>125</v>
      </c>
      <c r="H539" s="26" t="s">
        <v>62</v>
      </c>
      <c r="I539" s="19">
        <v>10</v>
      </c>
      <c r="J539" s="19" t="s">
        <v>63</v>
      </c>
      <c r="K539" s="64">
        <v>205</v>
      </c>
      <c r="L539" s="65">
        <f t="shared" si="63"/>
        <v>3.4166666666666665</v>
      </c>
      <c r="M539" s="158"/>
    </row>
    <row r="540" spans="1:13" ht="18.899999999999999" customHeight="1" x14ac:dyDescent="0.45">
      <c r="A540" s="18">
        <f t="shared" ref="A540:A542" si="64">A539+1</f>
        <v>517</v>
      </c>
      <c r="B540" s="271" t="s">
        <v>911</v>
      </c>
      <c r="C540" s="271" t="s">
        <v>911</v>
      </c>
      <c r="D540" s="249" t="s">
        <v>912</v>
      </c>
      <c r="E540" s="202" t="s">
        <v>913</v>
      </c>
      <c r="F540" s="203">
        <v>704</v>
      </c>
      <c r="G540" s="203" t="s">
        <v>83</v>
      </c>
      <c r="H540" s="28" t="s">
        <v>126</v>
      </c>
      <c r="I540" s="28">
        <v>6</v>
      </c>
      <c r="J540" s="28" t="s">
        <v>63</v>
      </c>
      <c r="K540" s="206">
        <v>513</v>
      </c>
      <c r="L540" s="65">
        <f t="shared" si="63"/>
        <v>8.5500000000000007</v>
      </c>
      <c r="M540" s="158"/>
    </row>
    <row r="541" spans="1:13" ht="18.899999999999999" customHeight="1" x14ac:dyDescent="0.45">
      <c r="A541" s="18">
        <f t="shared" si="64"/>
        <v>518</v>
      </c>
      <c r="B541" s="272"/>
      <c r="C541" s="272"/>
      <c r="D541" s="251"/>
      <c r="E541" s="20" t="s">
        <v>914</v>
      </c>
      <c r="F541" s="22" t="s">
        <v>915</v>
      </c>
      <c r="G541" s="203" t="s">
        <v>125</v>
      </c>
      <c r="H541" s="22" t="s">
        <v>354</v>
      </c>
      <c r="I541" s="23">
        <v>1</v>
      </c>
      <c r="J541" s="24" t="s">
        <v>63</v>
      </c>
      <c r="K541" s="25">
        <v>56</v>
      </c>
      <c r="L541" s="65">
        <f t="shared" si="63"/>
        <v>0.93333333333333335</v>
      </c>
      <c r="M541" s="34"/>
    </row>
    <row r="542" spans="1:13" ht="18.899999999999999" customHeight="1" x14ac:dyDescent="0.45">
      <c r="A542" s="18">
        <f t="shared" si="64"/>
        <v>519</v>
      </c>
      <c r="B542" s="273"/>
      <c r="C542" s="273"/>
      <c r="D542" s="250"/>
      <c r="E542" s="20" t="s">
        <v>916</v>
      </c>
      <c r="F542" s="22" t="s">
        <v>917</v>
      </c>
      <c r="G542" s="203" t="s">
        <v>125</v>
      </c>
      <c r="H542" s="22" t="s">
        <v>354</v>
      </c>
      <c r="I542" s="23">
        <v>1</v>
      </c>
      <c r="J542" s="24" t="s">
        <v>63</v>
      </c>
      <c r="K542" s="25">
        <v>56</v>
      </c>
      <c r="L542" s="65">
        <f t="shared" si="63"/>
        <v>0.93333333333333335</v>
      </c>
      <c r="M542" s="34"/>
    </row>
    <row r="543" spans="1:13" ht="19.5" customHeight="1" x14ac:dyDescent="0.45">
      <c r="A543" s="274" t="s">
        <v>918</v>
      </c>
      <c r="B543" s="275"/>
      <c r="C543" s="275"/>
      <c r="D543" s="276"/>
      <c r="E543" s="275"/>
      <c r="F543" s="275"/>
      <c r="G543" s="275"/>
      <c r="H543" s="275"/>
      <c r="I543" s="275"/>
      <c r="J543" s="275"/>
      <c r="K543" s="275"/>
      <c r="L543" s="275"/>
      <c r="M543" s="275"/>
    </row>
    <row r="544" spans="1:13" ht="18.899999999999999" customHeight="1" x14ac:dyDescent="0.45">
      <c r="A544" s="127">
        <f>A542+1</f>
        <v>520</v>
      </c>
      <c r="B544" s="271" t="s">
        <v>919</v>
      </c>
      <c r="C544" s="271" t="s">
        <v>920</v>
      </c>
      <c r="D544" s="249" t="s">
        <v>921</v>
      </c>
      <c r="E544" s="204" t="s">
        <v>922</v>
      </c>
      <c r="F544" s="205">
        <v>122</v>
      </c>
      <c r="G544" s="205" t="s">
        <v>83</v>
      </c>
      <c r="H544" s="161" t="s">
        <v>236</v>
      </c>
      <c r="I544" s="63">
        <v>27</v>
      </c>
      <c r="J544" s="62" t="s">
        <v>63</v>
      </c>
      <c r="K544" s="67">
        <v>286</v>
      </c>
      <c r="L544" s="65">
        <f>K544/60</f>
        <v>4.7666666666666666</v>
      </c>
      <c r="M544" s="140"/>
    </row>
    <row r="545" spans="1:13" ht="18.899999999999999" customHeight="1" x14ac:dyDescent="0.45">
      <c r="A545" s="18">
        <f>A544+1</f>
        <v>521</v>
      </c>
      <c r="B545" s="272"/>
      <c r="C545" s="272"/>
      <c r="D545" s="251"/>
      <c r="E545" s="204" t="s">
        <v>923</v>
      </c>
      <c r="F545" s="39">
        <v>1268</v>
      </c>
      <c r="G545" s="205" t="s">
        <v>83</v>
      </c>
      <c r="H545" s="26" t="s">
        <v>62</v>
      </c>
      <c r="I545" s="63">
        <v>6</v>
      </c>
      <c r="J545" s="62" t="s">
        <v>63</v>
      </c>
      <c r="K545" s="67">
        <v>54</v>
      </c>
      <c r="L545" s="65">
        <f t="shared" ref="L545:L570" si="65">K545/60</f>
        <v>0.9</v>
      </c>
      <c r="M545" s="140"/>
    </row>
    <row r="546" spans="1:13" ht="18.899999999999999" customHeight="1" x14ac:dyDescent="0.45">
      <c r="A546" s="18">
        <f>A545+1</f>
        <v>522</v>
      </c>
      <c r="B546" s="272"/>
      <c r="C546" s="272"/>
      <c r="D546" s="251"/>
      <c r="E546" s="204" t="s">
        <v>924</v>
      </c>
      <c r="F546" s="39">
        <v>1269</v>
      </c>
      <c r="G546" s="205" t="s">
        <v>83</v>
      </c>
      <c r="H546" s="26" t="s">
        <v>62</v>
      </c>
      <c r="I546" s="63">
        <v>8</v>
      </c>
      <c r="J546" s="62" t="s">
        <v>63</v>
      </c>
      <c r="K546" s="67">
        <v>78</v>
      </c>
      <c r="L546" s="65">
        <f t="shared" si="65"/>
        <v>1.3</v>
      </c>
      <c r="M546" s="140"/>
    </row>
    <row r="547" spans="1:13" ht="18.899999999999999" customHeight="1" x14ac:dyDescent="0.45">
      <c r="A547" s="18">
        <f t="shared" ref="A547:A553" si="66">A546+1</f>
        <v>523</v>
      </c>
      <c r="B547" s="272"/>
      <c r="C547" s="272"/>
      <c r="D547" s="251"/>
      <c r="E547" s="204" t="s">
        <v>925</v>
      </c>
      <c r="F547" s="39">
        <v>1270</v>
      </c>
      <c r="G547" s="205" t="s">
        <v>83</v>
      </c>
      <c r="H547" s="26" t="s">
        <v>926</v>
      </c>
      <c r="I547" s="23">
        <v>7</v>
      </c>
      <c r="J547" s="22" t="s">
        <v>63</v>
      </c>
      <c r="K547" s="64">
        <v>37</v>
      </c>
      <c r="L547" s="65">
        <f t="shared" si="65"/>
        <v>0.6166666666666667</v>
      </c>
      <c r="M547" s="140"/>
    </row>
    <row r="548" spans="1:13" ht="18.899999999999999" customHeight="1" x14ac:dyDescent="0.45">
      <c r="A548" s="18">
        <f t="shared" si="66"/>
        <v>524</v>
      </c>
      <c r="B548" s="272"/>
      <c r="C548" s="272"/>
      <c r="D548" s="251"/>
      <c r="E548" s="204" t="s">
        <v>927</v>
      </c>
      <c r="F548" s="39">
        <v>1273</v>
      </c>
      <c r="G548" s="39" t="s">
        <v>125</v>
      </c>
      <c r="H548" s="99" t="s">
        <v>354</v>
      </c>
      <c r="I548" s="63">
        <v>8</v>
      </c>
      <c r="J548" s="62" t="s">
        <v>63</v>
      </c>
      <c r="K548" s="67">
        <v>62</v>
      </c>
      <c r="L548" s="65">
        <f t="shared" si="65"/>
        <v>1.0333333333333334</v>
      </c>
      <c r="M548" s="140"/>
    </row>
    <row r="549" spans="1:13" ht="18.899999999999999" customHeight="1" x14ac:dyDescent="0.45">
      <c r="A549" s="18">
        <f t="shared" si="66"/>
        <v>525</v>
      </c>
      <c r="B549" s="272"/>
      <c r="C549" s="272"/>
      <c r="D549" s="251"/>
      <c r="E549" s="204" t="s">
        <v>928</v>
      </c>
      <c r="F549" s="39">
        <v>1271</v>
      </c>
      <c r="G549" s="39" t="s">
        <v>161</v>
      </c>
      <c r="H549" s="99" t="s">
        <v>759</v>
      </c>
      <c r="I549" s="63">
        <v>4</v>
      </c>
      <c r="J549" s="62" t="s">
        <v>63</v>
      </c>
      <c r="K549" s="67">
        <v>50</v>
      </c>
      <c r="L549" s="65">
        <f t="shared" si="65"/>
        <v>0.83333333333333337</v>
      </c>
      <c r="M549" s="140"/>
    </row>
    <row r="550" spans="1:13" ht="18.899999999999999" customHeight="1" x14ac:dyDescent="0.45">
      <c r="A550" s="18">
        <f t="shared" si="66"/>
        <v>526</v>
      </c>
      <c r="B550" s="272"/>
      <c r="C550" s="272"/>
      <c r="D550" s="251"/>
      <c r="E550" s="204" t="s">
        <v>929</v>
      </c>
      <c r="F550" s="39">
        <v>1272</v>
      </c>
      <c r="G550" s="39" t="s">
        <v>161</v>
      </c>
      <c r="H550" s="50" t="s">
        <v>164</v>
      </c>
      <c r="I550" s="23">
        <v>15</v>
      </c>
      <c r="J550" s="22" t="s">
        <v>63</v>
      </c>
      <c r="K550" s="64">
        <v>134</v>
      </c>
      <c r="L550" s="65">
        <f t="shared" si="65"/>
        <v>2.2333333333333334</v>
      </c>
      <c r="M550" s="140"/>
    </row>
    <row r="551" spans="1:13" ht="18.899999999999999" customHeight="1" x14ac:dyDescent="0.45">
      <c r="A551" s="18">
        <f t="shared" si="66"/>
        <v>527</v>
      </c>
      <c r="B551" s="272"/>
      <c r="C551" s="273"/>
      <c r="D551" s="250"/>
      <c r="E551" s="57" t="s">
        <v>930</v>
      </c>
      <c r="F551" s="26">
        <v>1142</v>
      </c>
      <c r="G551" s="39" t="s">
        <v>125</v>
      </c>
      <c r="H551" s="22" t="s">
        <v>62</v>
      </c>
      <c r="I551" s="23">
        <v>7</v>
      </c>
      <c r="J551" s="22" t="s">
        <v>63</v>
      </c>
      <c r="K551" s="25">
        <v>142</v>
      </c>
      <c r="L551" s="65">
        <f t="shared" si="65"/>
        <v>2.3666666666666667</v>
      </c>
      <c r="M551" s="207"/>
    </row>
    <row r="552" spans="1:13" ht="18.899999999999999" customHeight="1" x14ac:dyDescent="0.45">
      <c r="A552" s="18">
        <f t="shared" si="66"/>
        <v>528</v>
      </c>
      <c r="B552" s="273"/>
      <c r="C552" s="19" t="s">
        <v>931</v>
      </c>
      <c r="D552" s="150" t="s">
        <v>932</v>
      </c>
      <c r="E552" s="49" t="s">
        <v>933</v>
      </c>
      <c r="F552" s="99">
        <v>165</v>
      </c>
      <c r="G552" s="205" t="s">
        <v>83</v>
      </c>
      <c r="H552" s="161" t="s">
        <v>136</v>
      </c>
      <c r="I552" s="99">
        <v>25</v>
      </c>
      <c r="J552" s="99" t="s">
        <v>63</v>
      </c>
      <c r="K552" s="67">
        <v>250</v>
      </c>
      <c r="L552" s="65">
        <f t="shared" si="65"/>
        <v>4.166666666666667</v>
      </c>
      <c r="M552" s="140"/>
    </row>
    <row r="553" spans="1:13" ht="18.899999999999999" customHeight="1" x14ac:dyDescent="0.45">
      <c r="A553" s="18">
        <f t="shared" si="66"/>
        <v>529</v>
      </c>
      <c r="B553" s="271" t="s">
        <v>934</v>
      </c>
      <c r="C553" s="271" t="s">
        <v>935</v>
      </c>
      <c r="D553" s="249" t="s">
        <v>936</v>
      </c>
      <c r="E553" s="204" t="s">
        <v>937</v>
      </c>
      <c r="F553" s="50">
        <v>910</v>
      </c>
      <c r="G553" s="39" t="s">
        <v>125</v>
      </c>
      <c r="H553" s="50" t="s">
        <v>164</v>
      </c>
      <c r="I553" s="26">
        <v>14</v>
      </c>
      <c r="J553" s="26" t="s">
        <v>63</v>
      </c>
      <c r="K553" s="64">
        <v>134</v>
      </c>
      <c r="L553" s="65">
        <f t="shared" si="65"/>
        <v>2.2333333333333334</v>
      </c>
      <c r="M553" s="140"/>
    </row>
    <row r="554" spans="1:13" ht="18.899999999999999" customHeight="1" x14ac:dyDescent="0.45">
      <c r="A554" s="18">
        <f t="shared" ref="A554:A559" si="67">A553+1</f>
        <v>530</v>
      </c>
      <c r="B554" s="272"/>
      <c r="C554" s="272"/>
      <c r="D554" s="251"/>
      <c r="E554" s="57" t="s">
        <v>938</v>
      </c>
      <c r="F554" s="26">
        <v>879</v>
      </c>
      <c r="G554" s="39" t="s">
        <v>125</v>
      </c>
      <c r="H554" s="52" t="s">
        <v>154</v>
      </c>
      <c r="I554" s="26">
        <v>9</v>
      </c>
      <c r="J554" s="26" t="s">
        <v>63</v>
      </c>
      <c r="K554" s="64">
        <v>157</v>
      </c>
      <c r="L554" s="65">
        <f t="shared" si="65"/>
        <v>2.6166666666666667</v>
      </c>
      <c r="M554" s="140"/>
    </row>
    <row r="555" spans="1:13" ht="18.899999999999999" customHeight="1" x14ac:dyDescent="0.45">
      <c r="A555" s="18">
        <f t="shared" si="67"/>
        <v>531</v>
      </c>
      <c r="B555" s="272"/>
      <c r="C555" s="273"/>
      <c r="D555" s="250"/>
      <c r="E555" s="57" t="s">
        <v>935</v>
      </c>
      <c r="F555" s="26">
        <v>1104</v>
      </c>
      <c r="G555" s="205" t="s">
        <v>83</v>
      </c>
      <c r="H555" s="52" t="s">
        <v>939</v>
      </c>
      <c r="I555" s="50">
        <v>2</v>
      </c>
      <c r="J555" s="26" t="s">
        <v>63</v>
      </c>
      <c r="K555" s="64">
        <v>47</v>
      </c>
      <c r="L555" s="65">
        <f t="shared" si="65"/>
        <v>0.78333333333333333</v>
      </c>
      <c r="M555" s="65"/>
    </row>
    <row r="556" spans="1:13" s="147" customFormat="1" ht="18.899999999999999" customHeight="1" x14ac:dyDescent="0.45">
      <c r="A556" s="18">
        <f t="shared" si="67"/>
        <v>532</v>
      </c>
      <c r="B556" s="272"/>
      <c r="C556" s="271" t="s">
        <v>940</v>
      </c>
      <c r="D556" s="249" t="s">
        <v>941</v>
      </c>
      <c r="E556" s="204" t="s">
        <v>942</v>
      </c>
      <c r="F556" s="50">
        <v>888</v>
      </c>
      <c r="G556" s="39" t="s">
        <v>125</v>
      </c>
      <c r="H556" s="50" t="s">
        <v>943</v>
      </c>
      <c r="I556" s="26">
        <v>18</v>
      </c>
      <c r="J556" s="26" t="s">
        <v>63</v>
      </c>
      <c r="K556" s="64">
        <v>150</v>
      </c>
      <c r="L556" s="65">
        <f t="shared" si="65"/>
        <v>2.5</v>
      </c>
      <c r="M556" s="140"/>
    </row>
    <row r="557" spans="1:13" s="147" customFormat="1" ht="18.899999999999999" customHeight="1" x14ac:dyDescent="0.45">
      <c r="A557" s="18">
        <f t="shared" si="67"/>
        <v>533</v>
      </c>
      <c r="B557" s="272"/>
      <c r="C557" s="272"/>
      <c r="D557" s="251"/>
      <c r="E557" s="57" t="s">
        <v>944</v>
      </c>
      <c r="F557" s="26">
        <v>1131</v>
      </c>
      <c r="G557" s="39" t="s">
        <v>161</v>
      </c>
      <c r="H557" s="22" t="s">
        <v>771</v>
      </c>
      <c r="I557" s="23">
        <v>8</v>
      </c>
      <c r="J557" s="22" t="s">
        <v>63</v>
      </c>
      <c r="K557" s="64">
        <v>164</v>
      </c>
      <c r="L557" s="65">
        <f t="shared" si="65"/>
        <v>2.7333333333333334</v>
      </c>
      <c r="M557" s="131"/>
    </row>
    <row r="558" spans="1:13" s="147" customFormat="1" ht="18.899999999999999" customHeight="1" x14ac:dyDescent="0.45">
      <c r="A558" s="18">
        <f t="shared" si="67"/>
        <v>534</v>
      </c>
      <c r="B558" s="273"/>
      <c r="C558" s="273"/>
      <c r="D558" s="250"/>
      <c r="E558" s="20" t="s">
        <v>945</v>
      </c>
      <c r="F558" s="58">
        <v>1233</v>
      </c>
      <c r="G558" s="39" t="s">
        <v>161</v>
      </c>
      <c r="H558" s="22" t="s">
        <v>771</v>
      </c>
      <c r="I558" s="23">
        <v>5</v>
      </c>
      <c r="J558" s="24" t="s">
        <v>63</v>
      </c>
      <c r="K558" s="25">
        <v>57</v>
      </c>
      <c r="L558" s="65">
        <f t="shared" si="65"/>
        <v>0.95</v>
      </c>
      <c r="M558" s="34"/>
    </row>
    <row r="559" spans="1:13" ht="18.899999999999999" customHeight="1" x14ac:dyDescent="0.45">
      <c r="A559" s="18">
        <f t="shared" si="67"/>
        <v>535</v>
      </c>
      <c r="B559" s="271" t="s">
        <v>946</v>
      </c>
      <c r="C559" s="271" t="s">
        <v>947</v>
      </c>
      <c r="D559" s="249" t="s">
        <v>948</v>
      </c>
      <c r="E559" s="20" t="s">
        <v>949</v>
      </c>
      <c r="F559" s="26">
        <v>826</v>
      </c>
      <c r="G559" s="26" t="s">
        <v>83</v>
      </c>
      <c r="H559" s="26" t="s">
        <v>950</v>
      </c>
      <c r="I559" s="26">
        <v>17</v>
      </c>
      <c r="J559" s="26" t="s">
        <v>63</v>
      </c>
      <c r="K559" s="64">
        <v>168</v>
      </c>
      <c r="L559" s="65">
        <f t="shared" si="65"/>
        <v>2.8</v>
      </c>
      <c r="M559" s="140"/>
    </row>
    <row r="560" spans="1:13" ht="18.899999999999999" customHeight="1" x14ac:dyDescent="0.45">
      <c r="A560" s="18">
        <f t="shared" ref="A560:A570" si="68">A559+1</f>
        <v>536</v>
      </c>
      <c r="B560" s="272"/>
      <c r="C560" s="272"/>
      <c r="D560" s="251"/>
      <c r="E560" s="20" t="s">
        <v>951</v>
      </c>
      <c r="F560" s="26">
        <v>809</v>
      </c>
      <c r="G560" s="26" t="s">
        <v>83</v>
      </c>
      <c r="H560" s="26" t="s">
        <v>262</v>
      </c>
      <c r="I560" s="26">
        <v>10</v>
      </c>
      <c r="J560" s="26" t="s">
        <v>63</v>
      </c>
      <c r="K560" s="64">
        <v>112</v>
      </c>
      <c r="L560" s="65">
        <f t="shared" si="65"/>
        <v>1.8666666666666667</v>
      </c>
      <c r="M560" s="140"/>
    </row>
    <row r="561" spans="1:13" ht="18.899999999999999" customHeight="1" x14ac:dyDescent="0.45">
      <c r="A561" s="18">
        <f t="shared" si="68"/>
        <v>537</v>
      </c>
      <c r="B561" s="272"/>
      <c r="C561" s="272"/>
      <c r="D561" s="251"/>
      <c r="E561" s="20" t="s">
        <v>952</v>
      </c>
      <c r="F561" s="26">
        <v>747</v>
      </c>
      <c r="G561" s="26" t="s">
        <v>161</v>
      </c>
      <c r="H561" s="26" t="s">
        <v>171</v>
      </c>
      <c r="I561" s="26">
        <v>2</v>
      </c>
      <c r="J561" s="26" t="s">
        <v>63</v>
      </c>
      <c r="K561" s="64">
        <v>115</v>
      </c>
      <c r="L561" s="65">
        <f t="shared" si="65"/>
        <v>1.9166666666666667</v>
      </c>
      <c r="M561" s="140"/>
    </row>
    <row r="562" spans="1:13" ht="18.899999999999999" customHeight="1" x14ac:dyDescent="0.45">
      <c r="A562" s="18">
        <f t="shared" si="68"/>
        <v>538</v>
      </c>
      <c r="B562" s="272"/>
      <c r="C562" s="273"/>
      <c r="D562" s="250"/>
      <c r="E562" s="20" t="s">
        <v>953</v>
      </c>
      <c r="F562" s="26">
        <v>932</v>
      </c>
      <c r="G562" s="26" t="s">
        <v>161</v>
      </c>
      <c r="H562" s="26" t="s">
        <v>771</v>
      </c>
      <c r="I562" s="26">
        <v>7</v>
      </c>
      <c r="J562" s="26" t="s">
        <v>63</v>
      </c>
      <c r="K562" s="64">
        <v>78</v>
      </c>
      <c r="L562" s="65">
        <f t="shared" si="65"/>
        <v>1.3</v>
      </c>
      <c r="M562" s="140"/>
    </row>
    <row r="563" spans="1:13" ht="18.899999999999999" customHeight="1" x14ac:dyDescent="0.45">
      <c r="A563" s="18">
        <f t="shared" si="68"/>
        <v>539</v>
      </c>
      <c r="B563" s="272"/>
      <c r="C563" s="271" t="s">
        <v>954</v>
      </c>
      <c r="D563" s="249" t="s">
        <v>955</v>
      </c>
      <c r="E563" s="20" t="s">
        <v>956</v>
      </c>
      <c r="F563" s="26">
        <v>950</v>
      </c>
      <c r="G563" s="26" t="s">
        <v>125</v>
      </c>
      <c r="H563" s="52" t="s">
        <v>957</v>
      </c>
      <c r="I563" s="26">
        <v>19</v>
      </c>
      <c r="J563" s="26" t="s">
        <v>63</v>
      </c>
      <c r="K563" s="64">
        <v>156</v>
      </c>
      <c r="L563" s="65">
        <f t="shared" si="65"/>
        <v>2.6</v>
      </c>
      <c r="M563" s="140"/>
    </row>
    <row r="564" spans="1:13" ht="18.899999999999999" customHeight="1" x14ac:dyDescent="0.45">
      <c r="A564" s="18">
        <f t="shared" si="68"/>
        <v>540</v>
      </c>
      <c r="B564" s="272"/>
      <c r="C564" s="273"/>
      <c r="D564" s="250"/>
      <c r="E564" s="73" t="s">
        <v>958</v>
      </c>
      <c r="F564" s="50">
        <v>911</v>
      </c>
      <c r="G564" s="50" t="s">
        <v>161</v>
      </c>
      <c r="H564" s="50" t="s">
        <v>959</v>
      </c>
      <c r="I564" s="23">
        <v>14</v>
      </c>
      <c r="J564" s="22" t="s">
        <v>63</v>
      </c>
      <c r="K564" s="64">
        <v>123</v>
      </c>
      <c r="L564" s="65">
        <f t="shared" si="65"/>
        <v>2.0499999999999998</v>
      </c>
      <c r="M564" s="140"/>
    </row>
    <row r="565" spans="1:13" ht="18.899999999999999" customHeight="1" x14ac:dyDescent="0.45">
      <c r="A565" s="18">
        <f t="shared" si="68"/>
        <v>541</v>
      </c>
      <c r="B565" s="272"/>
      <c r="C565" s="271" t="s">
        <v>960</v>
      </c>
      <c r="D565" s="249" t="s">
        <v>961</v>
      </c>
      <c r="E565" s="20" t="s">
        <v>962</v>
      </c>
      <c r="F565" s="56">
        <v>1322</v>
      </c>
      <c r="G565" s="56" t="s">
        <v>125</v>
      </c>
      <c r="H565" s="22" t="s">
        <v>181</v>
      </c>
      <c r="I565" s="26">
        <v>1</v>
      </c>
      <c r="J565" s="24" t="s">
        <v>63</v>
      </c>
      <c r="K565" s="25">
        <v>52</v>
      </c>
      <c r="L565" s="65">
        <f t="shared" si="65"/>
        <v>0.8666666666666667</v>
      </c>
      <c r="M565" s="34"/>
    </row>
    <row r="566" spans="1:13" ht="18.899999999999999" customHeight="1" x14ac:dyDescent="0.45">
      <c r="A566" s="18">
        <f t="shared" si="68"/>
        <v>542</v>
      </c>
      <c r="B566" s="272"/>
      <c r="C566" s="272"/>
      <c r="D566" s="251"/>
      <c r="E566" s="20" t="s">
        <v>963</v>
      </c>
      <c r="F566" s="56">
        <v>1323</v>
      </c>
      <c r="G566" s="56" t="s">
        <v>125</v>
      </c>
      <c r="H566" s="22" t="s">
        <v>530</v>
      </c>
      <c r="I566" s="26">
        <v>5</v>
      </c>
      <c r="J566" s="24" t="s">
        <v>63</v>
      </c>
      <c r="K566" s="25">
        <v>67</v>
      </c>
      <c r="L566" s="65">
        <f t="shared" si="65"/>
        <v>1.1166666666666667</v>
      </c>
      <c r="M566" s="34"/>
    </row>
    <row r="567" spans="1:13" ht="18.899999999999999" customHeight="1" x14ac:dyDescent="0.45">
      <c r="A567" s="18">
        <f t="shared" si="68"/>
        <v>543</v>
      </c>
      <c r="B567" s="272"/>
      <c r="C567" s="272"/>
      <c r="D567" s="251"/>
      <c r="E567" s="20" t="s">
        <v>964</v>
      </c>
      <c r="F567" s="56">
        <v>1324</v>
      </c>
      <c r="G567" s="56" t="s">
        <v>125</v>
      </c>
      <c r="H567" s="22" t="s">
        <v>965</v>
      </c>
      <c r="I567" s="26">
        <v>4</v>
      </c>
      <c r="J567" s="24" t="s">
        <v>63</v>
      </c>
      <c r="K567" s="25">
        <v>54</v>
      </c>
      <c r="L567" s="65">
        <f t="shared" si="65"/>
        <v>0.9</v>
      </c>
      <c r="M567" s="34"/>
    </row>
    <row r="568" spans="1:13" ht="18.899999999999999" customHeight="1" x14ac:dyDescent="0.45">
      <c r="A568" s="18">
        <f t="shared" si="68"/>
        <v>544</v>
      </c>
      <c r="B568" s="272"/>
      <c r="C568" s="272"/>
      <c r="D568" s="251"/>
      <c r="E568" s="20" t="s">
        <v>966</v>
      </c>
      <c r="F568" s="56">
        <v>1343</v>
      </c>
      <c r="G568" s="56" t="s">
        <v>125</v>
      </c>
      <c r="H568" s="26" t="s">
        <v>967</v>
      </c>
      <c r="I568" s="26">
        <v>1</v>
      </c>
      <c r="J568" s="24" t="s">
        <v>63</v>
      </c>
      <c r="K568" s="25">
        <v>64</v>
      </c>
      <c r="L568" s="65">
        <f t="shared" si="65"/>
        <v>1.0666666666666667</v>
      </c>
      <c r="M568" s="34"/>
    </row>
    <row r="569" spans="1:13" ht="18.899999999999999" customHeight="1" x14ac:dyDescent="0.45">
      <c r="A569" s="18">
        <f t="shared" si="68"/>
        <v>545</v>
      </c>
      <c r="B569" s="272"/>
      <c r="C569" s="272"/>
      <c r="D569" s="251"/>
      <c r="E569" s="20" t="s">
        <v>968</v>
      </c>
      <c r="F569" s="56">
        <v>1351</v>
      </c>
      <c r="G569" s="56" t="s">
        <v>125</v>
      </c>
      <c r="H569" s="26" t="s">
        <v>181</v>
      </c>
      <c r="I569" s="26">
        <v>1</v>
      </c>
      <c r="J569" s="24" t="s">
        <v>63</v>
      </c>
      <c r="K569" s="25">
        <v>68</v>
      </c>
      <c r="L569" s="65">
        <f t="shared" si="65"/>
        <v>1.1333333333333333</v>
      </c>
      <c r="M569" s="34"/>
    </row>
    <row r="570" spans="1:13" ht="18.899999999999999" customHeight="1" x14ac:dyDescent="0.45">
      <c r="A570" s="18">
        <f t="shared" si="68"/>
        <v>546</v>
      </c>
      <c r="B570" s="273"/>
      <c r="C570" s="273"/>
      <c r="D570" s="250"/>
      <c r="E570" s="20" t="s">
        <v>969</v>
      </c>
      <c r="F570" s="56">
        <v>1355</v>
      </c>
      <c r="G570" s="56" t="s">
        <v>125</v>
      </c>
      <c r="H570" s="26" t="s">
        <v>970</v>
      </c>
      <c r="I570" s="26">
        <v>1</v>
      </c>
      <c r="J570" s="24" t="s">
        <v>63</v>
      </c>
      <c r="K570" s="25">
        <v>52</v>
      </c>
      <c r="L570" s="65">
        <f t="shared" si="65"/>
        <v>0.8666666666666667</v>
      </c>
      <c r="M570" s="34"/>
    </row>
    <row r="571" spans="1:13" ht="19.5" customHeight="1" x14ac:dyDescent="0.45">
      <c r="A571" s="274" t="s">
        <v>971</v>
      </c>
      <c r="B571" s="275"/>
      <c r="C571" s="275"/>
      <c r="D571" s="276"/>
      <c r="E571" s="275"/>
      <c r="F571" s="275"/>
      <c r="G571" s="275"/>
      <c r="H571" s="275"/>
      <c r="I571" s="275"/>
      <c r="J571" s="275"/>
      <c r="K571" s="275"/>
      <c r="L571" s="275"/>
      <c r="M571" s="275"/>
    </row>
    <row r="572" spans="1:13" ht="18.899999999999999" customHeight="1" x14ac:dyDescent="0.45">
      <c r="A572" s="18">
        <f>A570+1</f>
        <v>547</v>
      </c>
      <c r="B572" s="271" t="s">
        <v>972</v>
      </c>
      <c r="C572" s="271" t="s">
        <v>973</v>
      </c>
      <c r="D572" s="237" t="s">
        <v>974</v>
      </c>
      <c r="E572" s="49" t="s">
        <v>975</v>
      </c>
      <c r="F572" s="119">
        <v>1363</v>
      </c>
      <c r="G572" s="119" t="s">
        <v>83</v>
      </c>
      <c r="H572" s="62" t="s">
        <v>652</v>
      </c>
      <c r="I572" s="63">
        <v>10</v>
      </c>
      <c r="J572" s="75" t="s">
        <v>63</v>
      </c>
      <c r="K572" s="132">
        <v>182</v>
      </c>
      <c r="L572" s="33">
        <f>K572/60</f>
        <v>3.0333333333333332</v>
      </c>
      <c r="M572" s="111" t="s">
        <v>139</v>
      </c>
    </row>
    <row r="573" spans="1:13" ht="18.899999999999999" customHeight="1" x14ac:dyDescent="0.45">
      <c r="A573" s="18">
        <f>A572+1</f>
        <v>548</v>
      </c>
      <c r="B573" s="272"/>
      <c r="C573" s="272"/>
      <c r="D573" s="237"/>
      <c r="E573" s="49" t="s">
        <v>976</v>
      </c>
      <c r="F573" s="119">
        <v>1348</v>
      </c>
      <c r="G573" s="119" t="s">
        <v>125</v>
      </c>
      <c r="H573" s="62" t="s">
        <v>143</v>
      </c>
      <c r="I573" s="63">
        <v>4</v>
      </c>
      <c r="J573" s="75" t="s">
        <v>63</v>
      </c>
      <c r="K573" s="132">
        <v>59</v>
      </c>
      <c r="L573" s="33">
        <f t="shared" ref="L573:L605" si="69">K573/60</f>
        <v>0.98333333333333328</v>
      </c>
      <c r="M573" s="111" t="s">
        <v>139</v>
      </c>
    </row>
    <row r="574" spans="1:13" ht="18.899999999999999" customHeight="1" x14ac:dyDescent="0.45">
      <c r="A574" s="18">
        <f>A573+1</f>
        <v>549</v>
      </c>
      <c r="B574" s="279" t="s">
        <v>977</v>
      </c>
      <c r="C574" s="277" t="s">
        <v>1465</v>
      </c>
      <c r="D574" s="252" t="s">
        <v>1463</v>
      </c>
      <c r="E574" s="61" t="s">
        <v>978</v>
      </c>
      <c r="F574" s="99">
        <v>1121</v>
      </c>
      <c r="G574" s="99" t="s">
        <v>83</v>
      </c>
      <c r="H574" s="99" t="s">
        <v>62</v>
      </c>
      <c r="I574" s="39">
        <v>22</v>
      </c>
      <c r="J574" s="39" t="s">
        <v>63</v>
      </c>
      <c r="K574" s="67">
        <v>235</v>
      </c>
      <c r="L574" s="33">
        <f t="shared" si="69"/>
        <v>3.9166666666666665</v>
      </c>
      <c r="M574" s="201"/>
    </row>
    <row r="575" spans="1:13" ht="18.899999999999999" customHeight="1" x14ac:dyDescent="0.45">
      <c r="A575" s="18">
        <f t="shared" ref="A575:A580" si="70">A574+1</f>
        <v>550</v>
      </c>
      <c r="B575" s="279"/>
      <c r="C575" s="278"/>
      <c r="D575" s="253"/>
      <c r="E575" s="61" t="s">
        <v>979</v>
      </c>
      <c r="F575" s="99">
        <v>1409</v>
      </c>
      <c r="G575" s="99" t="s">
        <v>83</v>
      </c>
      <c r="H575" s="62" t="s">
        <v>236</v>
      </c>
      <c r="I575" s="63">
        <v>6</v>
      </c>
      <c r="J575" s="75" t="s">
        <v>63</v>
      </c>
      <c r="K575" s="132">
        <v>92</v>
      </c>
      <c r="L575" s="33">
        <f t="shared" si="69"/>
        <v>1.5333333333333334</v>
      </c>
      <c r="M575" s="201"/>
    </row>
    <row r="576" spans="1:13" ht="18.899999999999999" customHeight="1" x14ac:dyDescent="0.45">
      <c r="A576" s="18">
        <f t="shared" si="70"/>
        <v>551</v>
      </c>
      <c r="B576" s="279"/>
      <c r="C576" s="278"/>
      <c r="D576" s="252" t="s">
        <v>1464</v>
      </c>
      <c r="E576" s="227" t="s">
        <v>1455</v>
      </c>
      <c r="F576" s="219">
        <v>1676</v>
      </c>
      <c r="G576" s="119" t="s">
        <v>125</v>
      </c>
      <c r="H576" s="117" t="s">
        <v>62</v>
      </c>
      <c r="I576" s="219">
        <v>2</v>
      </c>
      <c r="J576" s="39" t="s">
        <v>63</v>
      </c>
      <c r="K576" s="220">
        <v>32</v>
      </c>
      <c r="L576" s="221">
        <f>K576/60</f>
        <v>0.53333333333333333</v>
      </c>
      <c r="M576" s="201"/>
    </row>
    <row r="577" spans="1:13" ht="18.899999999999999" customHeight="1" x14ac:dyDescent="0.45">
      <c r="A577" s="18">
        <f t="shared" si="70"/>
        <v>552</v>
      </c>
      <c r="B577" s="279"/>
      <c r="C577" s="278"/>
      <c r="D577" s="256"/>
      <c r="E577" s="227" t="s">
        <v>1456</v>
      </c>
      <c r="F577" s="219">
        <v>1677</v>
      </c>
      <c r="G577" s="99" t="s">
        <v>83</v>
      </c>
      <c r="H577" s="117" t="s">
        <v>62</v>
      </c>
      <c r="I577" s="219">
        <v>8</v>
      </c>
      <c r="J577" s="39" t="s">
        <v>63</v>
      </c>
      <c r="K577" s="220">
        <v>42</v>
      </c>
      <c r="L577" s="221">
        <f>K577/60</f>
        <v>0.7</v>
      </c>
      <c r="M577" s="201"/>
    </row>
    <row r="578" spans="1:13" ht="18.899999999999999" customHeight="1" x14ac:dyDescent="0.45">
      <c r="A578" s="18">
        <f t="shared" si="70"/>
        <v>553</v>
      </c>
      <c r="B578" s="279"/>
      <c r="C578" s="278"/>
      <c r="D578" s="256"/>
      <c r="E578" s="227" t="s">
        <v>1457</v>
      </c>
      <c r="F578" s="219">
        <v>1678</v>
      </c>
      <c r="G578" s="99" t="s">
        <v>83</v>
      </c>
      <c r="H578" s="117" t="s">
        <v>62</v>
      </c>
      <c r="I578" s="219">
        <v>3</v>
      </c>
      <c r="J578" s="39" t="s">
        <v>63</v>
      </c>
      <c r="K578" s="220">
        <v>44</v>
      </c>
      <c r="L578" s="221">
        <f>K578/60</f>
        <v>0.73333333333333328</v>
      </c>
      <c r="M578" s="201"/>
    </row>
    <row r="579" spans="1:13" ht="18.899999999999999" customHeight="1" x14ac:dyDescent="0.45">
      <c r="A579" s="18">
        <f t="shared" si="70"/>
        <v>554</v>
      </c>
      <c r="B579" s="279"/>
      <c r="C579" s="278"/>
      <c r="D579" s="257"/>
      <c r="E579" s="227" t="s">
        <v>1458</v>
      </c>
      <c r="F579" s="219">
        <v>1680</v>
      </c>
      <c r="G579" s="119" t="s">
        <v>125</v>
      </c>
      <c r="H579" s="117" t="s">
        <v>62</v>
      </c>
      <c r="I579" s="228" t="s">
        <v>1459</v>
      </c>
      <c r="J579" s="39" t="s">
        <v>63</v>
      </c>
      <c r="K579" s="220">
        <v>40</v>
      </c>
      <c r="L579" s="221">
        <f>K579/60</f>
        <v>0.66666666666666663</v>
      </c>
      <c r="M579" s="201"/>
    </row>
    <row r="580" spans="1:13" ht="18.899999999999999" customHeight="1" x14ac:dyDescent="0.45">
      <c r="A580" s="18">
        <f t="shared" si="70"/>
        <v>555</v>
      </c>
      <c r="B580" s="279"/>
      <c r="C580" s="278"/>
      <c r="D580" s="237" t="s">
        <v>980</v>
      </c>
      <c r="E580" s="130" t="s">
        <v>981</v>
      </c>
      <c r="F580" s="99">
        <v>992</v>
      </c>
      <c r="G580" s="99" t="s">
        <v>83</v>
      </c>
      <c r="H580" s="62" t="s">
        <v>236</v>
      </c>
      <c r="I580" s="99">
        <v>4</v>
      </c>
      <c r="J580" s="39" t="s">
        <v>63</v>
      </c>
      <c r="K580" s="67">
        <v>56</v>
      </c>
      <c r="L580" s="33">
        <f t="shared" si="69"/>
        <v>0.93333333333333335</v>
      </c>
      <c r="M580" s="201"/>
    </row>
    <row r="581" spans="1:13" ht="18.899999999999999" customHeight="1" x14ac:dyDescent="0.45">
      <c r="A581" s="18">
        <f t="shared" ref="A581:A586" si="71">A580+1</f>
        <v>556</v>
      </c>
      <c r="B581" s="279"/>
      <c r="C581" s="278"/>
      <c r="D581" s="237"/>
      <c r="E581" s="61" t="s">
        <v>982</v>
      </c>
      <c r="F581" s="39">
        <v>1075</v>
      </c>
      <c r="G581" s="99" t="s">
        <v>83</v>
      </c>
      <c r="H581" s="161" t="s">
        <v>171</v>
      </c>
      <c r="I581" s="74">
        <v>5</v>
      </c>
      <c r="J581" s="39" t="s">
        <v>63</v>
      </c>
      <c r="K581" s="67">
        <v>70</v>
      </c>
      <c r="L581" s="33">
        <f t="shared" si="69"/>
        <v>1.1666666666666667</v>
      </c>
      <c r="M581" s="201"/>
    </row>
    <row r="582" spans="1:13" ht="18.899999999999999" customHeight="1" x14ac:dyDescent="0.45">
      <c r="A582" s="18">
        <f t="shared" si="71"/>
        <v>557</v>
      </c>
      <c r="B582" s="271" t="s">
        <v>983</v>
      </c>
      <c r="C582" s="271" t="s">
        <v>984</v>
      </c>
      <c r="D582" s="249" t="s">
        <v>985</v>
      </c>
      <c r="E582" s="54" t="s">
        <v>986</v>
      </c>
      <c r="F582" s="19">
        <v>1051</v>
      </c>
      <c r="G582" s="26" t="s">
        <v>83</v>
      </c>
      <c r="H582" s="52" t="s">
        <v>236</v>
      </c>
      <c r="I582" s="19">
        <v>5</v>
      </c>
      <c r="J582" s="19" t="s">
        <v>63</v>
      </c>
      <c r="K582" s="64">
        <v>65</v>
      </c>
      <c r="L582" s="33">
        <f t="shared" si="69"/>
        <v>1.0833333333333333</v>
      </c>
      <c r="M582" s="201"/>
    </row>
    <row r="583" spans="1:13" ht="18.899999999999999" customHeight="1" x14ac:dyDescent="0.45">
      <c r="A583" s="18">
        <f t="shared" si="71"/>
        <v>558</v>
      </c>
      <c r="B583" s="272"/>
      <c r="C583" s="272"/>
      <c r="D583" s="251"/>
      <c r="E583" s="54" t="s">
        <v>987</v>
      </c>
      <c r="F583" s="19">
        <v>1060</v>
      </c>
      <c r="G583" s="26" t="s">
        <v>83</v>
      </c>
      <c r="H583" s="52" t="s">
        <v>236</v>
      </c>
      <c r="I583" s="56">
        <v>4</v>
      </c>
      <c r="J583" s="19" t="s">
        <v>63</v>
      </c>
      <c r="K583" s="64">
        <v>40</v>
      </c>
      <c r="L583" s="33">
        <f t="shared" si="69"/>
        <v>0.66666666666666663</v>
      </c>
      <c r="M583" s="201"/>
    </row>
    <row r="584" spans="1:13" ht="18.899999999999999" customHeight="1" x14ac:dyDescent="0.45">
      <c r="A584" s="18">
        <f t="shared" si="71"/>
        <v>559</v>
      </c>
      <c r="B584" s="272"/>
      <c r="C584" s="272"/>
      <c r="D584" s="251"/>
      <c r="E584" s="20" t="s">
        <v>988</v>
      </c>
      <c r="F584" s="58">
        <v>1243</v>
      </c>
      <c r="G584" s="26" t="s">
        <v>83</v>
      </c>
      <c r="H584" s="52" t="s">
        <v>236</v>
      </c>
      <c r="I584" s="23">
        <v>7</v>
      </c>
      <c r="J584" s="24" t="s">
        <v>63</v>
      </c>
      <c r="K584" s="25">
        <v>51</v>
      </c>
      <c r="L584" s="33">
        <f t="shared" si="69"/>
        <v>0.85</v>
      </c>
      <c r="M584" s="201"/>
    </row>
    <row r="585" spans="1:13" ht="18.899999999999999" customHeight="1" x14ac:dyDescent="0.45">
      <c r="A585" s="18">
        <f t="shared" si="71"/>
        <v>560</v>
      </c>
      <c r="B585" s="272"/>
      <c r="C585" s="273"/>
      <c r="D585" s="250"/>
      <c r="E585" s="49" t="s">
        <v>989</v>
      </c>
      <c r="F585" s="58">
        <v>1321</v>
      </c>
      <c r="G585" s="58" t="s">
        <v>125</v>
      </c>
      <c r="H585" s="22" t="s">
        <v>775</v>
      </c>
      <c r="I585" s="23">
        <v>7</v>
      </c>
      <c r="J585" s="24" t="s">
        <v>63</v>
      </c>
      <c r="K585" s="25">
        <v>70</v>
      </c>
      <c r="L585" s="33">
        <f t="shared" si="69"/>
        <v>1.1666666666666667</v>
      </c>
      <c r="M585" s="201"/>
    </row>
    <row r="586" spans="1:13" ht="18.899999999999999" customHeight="1" x14ac:dyDescent="0.45">
      <c r="A586" s="18">
        <f t="shared" si="71"/>
        <v>561</v>
      </c>
      <c r="B586" s="272"/>
      <c r="C586" s="271" t="s">
        <v>990</v>
      </c>
      <c r="D586" s="254" t="s">
        <v>991</v>
      </c>
      <c r="E586" s="54" t="s">
        <v>992</v>
      </c>
      <c r="F586" s="19">
        <v>1053</v>
      </c>
      <c r="G586" s="26" t="s">
        <v>83</v>
      </c>
      <c r="H586" s="52" t="s">
        <v>236</v>
      </c>
      <c r="I586" s="56">
        <v>7</v>
      </c>
      <c r="J586" s="19" t="s">
        <v>63</v>
      </c>
      <c r="K586" s="64">
        <v>99</v>
      </c>
      <c r="L586" s="33">
        <f t="shared" si="69"/>
        <v>1.65</v>
      </c>
      <c r="M586" s="158"/>
    </row>
    <row r="587" spans="1:13" ht="18.899999999999999" customHeight="1" x14ac:dyDescent="0.45">
      <c r="A587" s="18">
        <f t="shared" ref="A587:A599" si="72">A586+1</f>
        <v>562</v>
      </c>
      <c r="B587" s="272"/>
      <c r="C587" s="272"/>
      <c r="D587" s="254"/>
      <c r="E587" s="54" t="s">
        <v>993</v>
      </c>
      <c r="F587" s="19">
        <v>1054</v>
      </c>
      <c r="G587" s="26" t="s">
        <v>83</v>
      </c>
      <c r="H587" s="52" t="s">
        <v>236</v>
      </c>
      <c r="I587" s="56">
        <v>5</v>
      </c>
      <c r="J587" s="19" t="s">
        <v>63</v>
      </c>
      <c r="K587" s="64">
        <v>65</v>
      </c>
      <c r="L587" s="33">
        <f t="shared" si="69"/>
        <v>1.0833333333333333</v>
      </c>
      <c r="M587" s="158"/>
    </row>
    <row r="588" spans="1:13" ht="18.899999999999999" customHeight="1" x14ac:dyDescent="0.45">
      <c r="A588" s="18">
        <f t="shared" si="72"/>
        <v>563</v>
      </c>
      <c r="B588" s="272"/>
      <c r="C588" s="272"/>
      <c r="D588" s="254"/>
      <c r="E588" s="54" t="s">
        <v>994</v>
      </c>
      <c r="F588" s="19">
        <v>1055</v>
      </c>
      <c r="G588" s="26" t="s">
        <v>83</v>
      </c>
      <c r="H588" s="52" t="s">
        <v>236</v>
      </c>
      <c r="I588" s="56">
        <v>6</v>
      </c>
      <c r="J588" s="19" t="s">
        <v>63</v>
      </c>
      <c r="K588" s="64">
        <v>72</v>
      </c>
      <c r="L588" s="33">
        <f t="shared" si="69"/>
        <v>1.2</v>
      </c>
      <c r="M588" s="158"/>
    </row>
    <row r="589" spans="1:13" ht="18.899999999999999" customHeight="1" x14ac:dyDescent="0.45">
      <c r="A589" s="18">
        <f t="shared" si="72"/>
        <v>564</v>
      </c>
      <c r="B589" s="272"/>
      <c r="C589" s="272"/>
      <c r="D589" s="254"/>
      <c r="E589" s="54" t="s">
        <v>995</v>
      </c>
      <c r="F589" s="19">
        <v>1052</v>
      </c>
      <c r="G589" s="26" t="s">
        <v>83</v>
      </c>
      <c r="H589" s="52" t="s">
        <v>236</v>
      </c>
      <c r="I589" s="55">
        <v>5</v>
      </c>
      <c r="J589" s="19" t="s">
        <v>63</v>
      </c>
      <c r="K589" s="64">
        <v>46</v>
      </c>
      <c r="L589" s="33">
        <f t="shared" si="69"/>
        <v>0.76666666666666672</v>
      </c>
      <c r="M589" s="158"/>
    </row>
    <row r="590" spans="1:13" ht="18.899999999999999" customHeight="1" x14ac:dyDescent="0.45">
      <c r="A590" s="18">
        <f t="shared" si="72"/>
        <v>565</v>
      </c>
      <c r="B590" s="272"/>
      <c r="C590" s="272"/>
      <c r="D590" s="254"/>
      <c r="E590" s="54" t="s">
        <v>996</v>
      </c>
      <c r="F590" s="19">
        <v>1061</v>
      </c>
      <c r="G590" s="26" t="s">
        <v>83</v>
      </c>
      <c r="H590" s="52" t="s">
        <v>236</v>
      </c>
      <c r="I590" s="56">
        <v>5</v>
      </c>
      <c r="J590" s="19" t="s">
        <v>63</v>
      </c>
      <c r="K590" s="64">
        <v>70</v>
      </c>
      <c r="L590" s="33">
        <f t="shared" si="69"/>
        <v>1.1666666666666667</v>
      </c>
      <c r="M590" s="158"/>
    </row>
    <row r="591" spans="1:13" ht="18.899999999999999" customHeight="1" x14ac:dyDescent="0.45">
      <c r="A591" s="18">
        <f t="shared" si="72"/>
        <v>566</v>
      </c>
      <c r="B591" s="272"/>
      <c r="C591" s="272"/>
      <c r="D591" s="254"/>
      <c r="E591" s="54" t="s">
        <v>997</v>
      </c>
      <c r="F591" s="19">
        <v>1062</v>
      </c>
      <c r="G591" s="26" t="s">
        <v>83</v>
      </c>
      <c r="H591" s="52" t="s">
        <v>236</v>
      </c>
      <c r="I591" s="56">
        <v>6</v>
      </c>
      <c r="J591" s="19" t="s">
        <v>63</v>
      </c>
      <c r="K591" s="64">
        <v>52</v>
      </c>
      <c r="L591" s="33">
        <f t="shared" si="69"/>
        <v>0.8666666666666667</v>
      </c>
      <c r="M591" s="158"/>
    </row>
    <row r="592" spans="1:13" ht="18.899999999999999" customHeight="1" x14ac:dyDescent="0.45">
      <c r="A592" s="18">
        <f t="shared" si="72"/>
        <v>567</v>
      </c>
      <c r="B592" s="272"/>
      <c r="C592" s="272"/>
      <c r="D592" s="254"/>
      <c r="E592" s="53" t="s">
        <v>998</v>
      </c>
      <c r="F592" s="19">
        <v>1064</v>
      </c>
      <c r="G592" s="26" t="s">
        <v>83</v>
      </c>
      <c r="H592" s="52" t="s">
        <v>126</v>
      </c>
      <c r="I592" s="56">
        <v>7</v>
      </c>
      <c r="J592" s="19" t="s">
        <v>63</v>
      </c>
      <c r="K592" s="64">
        <v>72</v>
      </c>
      <c r="L592" s="33">
        <f t="shared" si="69"/>
        <v>1.2</v>
      </c>
      <c r="M592" s="158"/>
    </row>
    <row r="593" spans="1:13" ht="18.899999999999999" customHeight="1" x14ac:dyDescent="0.45">
      <c r="A593" s="18">
        <f t="shared" si="72"/>
        <v>568</v>
      </c>
      <c r="B593" s="272"/>
      <c r="C593" s="272"/>
      <c r="D593" s="254"/>
      <c r="E593" s="53" t="s">
        <v>999</v>
      </c>
      <c r="F593" s="19">
        <v>1066</v>
      </c>
      <c r="G593" s="26" t="s">
        <v>83</v>
      </c>
      <c r="H593" s="52" t="s">
        <v>126</v>
      </c>
      <c r="I593" s="56">
        <v>8</v>
      </c>
      <c r="J593" s="19" t="s">
        <v>63</v>
      </c>
      <c r="K593" s="64">
        <v>90</v>
      </c>
      <c r="L593" s="33">
        <f t="shared" si="69"/>
        <v>1.5</v>
      </c>
      <c r="M593" s="158"/>
    </row>
    <row r="594" spans="1:13" ht="18.899999999999999" customHeight="1" x14ac:dyDescent="0.45">
      <c r="A594" s="18">
        <f t="shared" si="72"/>
        <v>569</v>
      </c>
      <c r="B594" s="272"/>
      <c r="C594" s="272"/>
      <c r="D594" s="254"/>
      <c r="E594" s="54" t="s">
        <v>1000</v>
      </c>
      <c r="F594" s="19">
        <v>1063</v>
      </c>
      <c r="G594" s="26" t="s">
        <v>83</v>
      </c>
      <c r="H594" s="52" t="s">
        <v>236</v>
      </c>
      <c r="I594" s="56">
        <v>3</v>
      </c>
      <c r="J594" s="19" t="s">
        <v>63</v>
      </c>
      <c r="K594" s="64">
        <v>35</v>
      </c>
      <c r="L594" s="33">
        <f t="shared" si="69"/>
        <v>0.58333333333333337</v>
      </c>
      <c r="M594" s="158"/>
    </row>
    <row r="595" spans="1:13" ht="18.899999999999999" customHeight="1" x14ac:dyDescent="0.45">
      <c r="A595" s="18">
        <f t="shared" si="72"/>
        <v>570</v>
      </c>
      <c r="B595" s="272"/>
      <c r="C595" s="272"/>
      <c r="D595" s="254"/>
      <c r="E595" s="53" t="s">
        <v>1001</v>
      </c>
      <c r="F595" s="19">
        <v>1078</v>
      </c>
      <c r="G595" s="26" t="s">
        <v>83</v>
      </c>
      <c r="H595" s="52" t="s">
        <v>126</v>
      </c>
      <c r="I595" s="23">
        <v>9</v>
      </c>
      <c r="J595" s="19" t="s">
        <v>63</v>
      </c>
      <c r="K595" s="64">
        <v>121</v>
      </c>
      <c r="L595" s="33">
        <f t="shared" si="69"/>
        <v>2.0166666666666666</v>
      </c>
      <c r="M595" s="158"/>
    </row>
    <row r="596" spans="1:13" ht="18.899999999999999" customHeight="1" x14ac:dyDescent="0.45">
      <c r="A596" s="18">
        <f t="shared" si="72"/>
        <v>571</v>
      </c>
      <c r="B596" s="272"/>
      <c r="C596" s="272"/>
      <c r="D596" s="254"/>
      <c r="E596" s="57" t="s">
        <v>1002</v>
      </c>
      <c r="F596" s="22" t="s">
        <v>1003</v>
      </c>
      <c r="G596" s="26" t="s">
        <v>83</v>
      </c>
      <c r="H596" s="22" t="s">
        <v>236</v>
      </c>
      <c r="I596" s="23">
        <v>7</v>
      </c>
      <c r="J596" s="24" t="s">
        <v>63</v>
      </c>
      <c r="K596" s="25">
        <v>118</v>
      </c>
      <c r="L596" s="33">
        <f t="shared" si="69"/>
        <v>1.9666666666666666</v>
      </c>
      <c r="M596" s="158"/>
    </row>
    <row r="597" spans="1:13" ht="18.899999999999999" customHeight="1" x14ac:dyDescent="0.45">
      <c r="A597" s="18">
        <f t="shared" si="72"/>
        <v>572</v>
      </c>
      <c r="B597" s="272"/>
      <c r="C597" s="272"/>
      <c r="D597" s="254"/>
      <c r="E597" s="53" t="s">
        <v>1004</v>
      </c>
      <c r="F597" s="19">
        <v>1106</v>
      </c>
      <c r="G597" s="19" t="s">
        <v>125</v>
      </c>
      <c r="H597" s="26" t="s">
        <v>236</v>
      </c>
      <c r="I597" s="19">
        <v>6</v>
      </c>
      <c r="J597" s="19" t="s">
        <v>63</v>
      </c>
      <c r="K597" s="64">
        <v>107</v>
      </c>
      <c r="L597" s="33">
        <f t="shared" si="69"/>
        <v>1.7833333333333334</v>
      </c>
      <c r="M597" s="158"/>
    </row>
    <row r="598" spans="1:13" ht="18.899999999999999" customHeight="1" x14ac:dyDescent="0.45">
      <c r="A598" s="18">
        <f t="shared" si="72"/>
        <v>573</v>
      </c>
      <c r="B598" s="273"/>
      <c r="C598" s="272"/>
      <c r="D598" s="254"/>
      <c r="E598" s="104" t="s">
        <v>1005</v>
      </c>
      <c r="F598" s="105">
        <v>1588</v>
      </c>
      <c r="G598" s="19" t="s">
        <v>125</v>
      </c>
      <c r="H598" s="106" t="s">
        <v>236</v>
      </c>
      <c r="I598" s="105">
        <v>12</v>
      </c>
      <c r="J598" s="39" t="s">
        <v>63</v>
      </c>
      <c r="K598" s="116">
        <v>92</v>
      </c>
      <c r="L598" s="33">
        <f t="shared" si="69"/>
        <v>1.5333333333333334</v>
      </c>
      <c r="M598" s="208"/>
    </row>
    <row r="599" spans="1:13" ht="18.899999999999999" customHeight="1" x14ac:dyDescent="0.45">
      <c r="A599" s="18">
        <f t="shared" si="72"/>
        <v>574</v>
      </c>
      <c r="B599" s="279" t="s">
        <v>1006</v>
      </c>
      <c r="C599" s="271" t="s">
        <v>1007</v>
      </c>
      <c r="D599" s="249" t="s">
        <v>1008</v>
      </c>
      <c r="E599" s="49" t="s">
        <v>1009</v>
      </c>
      <c r="F599" s="99">
        <v>65</v>
      </c>
      <c r="G599" s="99" t="s">
        <v>161</v>
      </c>
      <c r="H599" s="99" t="s">
        <v>62</v>
      </c>
      <c r="I599" s="99">
        <v>10</v>
      </c>
      <c r="J599" s="39" t="s">
        <v>63</v>
      </c>
      <c r="K599" s="67">
        <v>114</v>
      </c>
      <c r="L599" s="33">
        <f t="shared" si="69"/>
        <v>1.9</v>
      </c>
      <c r="M599" s="198"/>
    </row>
    <row r="600" spans="1:13" ht="18.899999999999999" customHeight="1" x14ac:dyDescent="0.45">
      <c r="A600" s="18">
        <f t="shared" ref="A600:A605" si="73">A599+1</f>
        <v>575</v>
      </c>
      <c r="B600" s="279"/>
      <c r="C600" s="272"/>
      <c r="D600" s="251"/>
      <c r="E600" s="49" t="s">
        <v>1010</v>
      </c>
      <c r="F600" s="99">
        <v>240</v>
      </c>
      <c r="G600" s="99" t="s">
        <v>161</v>
      </c>
      <c r="H600" s="99" t="s">
        <v>1011</v>
      </c>
      <c r="I600" s="39">
        <v>23</v>
      </c>
      <c r="J600" s="39" t="s">
        <v>63</v>
      </c>
      <c r="K600" s="132">
        <v>280</v>
      </c>
      <c r="L600" s="33">
        <f t="shared" si="69"/>
        <v>4.666666666666667</v>
      </c>
      <c r="M600" s="198"/>
    </row>
    <row r="601" spans="1:13" ht="18.899999999999999" customHeight="1" x14ac:dyDescent="0.45">
      <c r="A601" s="18">
        <f t="shared" si="73"/>
        <v>576</v>
      </c>
      <c r="B601" s="279"/>
      <c r="C601" s="272"/>
      <c r="D601" s="251"/>
      <c r="E601" s="73" t="s">
        <v>1012</v>
      </c>
      <c r="F601" s="19">
        <v>1140</v>
      </c>
      <c r="G601" s="99" t="s">
        <v>161</v>
      </c>
      <c r="H601" s="22" t="s">
        <v>62</v>
      </c>
      <c r="I601" s="23">
        <v>1</v>
      </c>
      <c r="J601" s="22" t="s">
        <v>63</v>
      </c>
      <c r="K601" s="64">
        <v>59</v>
      </c>
      <c r="L601" s="33">
        <f t="shared" si="69"/>
        <v>0.98333333333333328</v>
      </c>
      <c r="M601" s="136" t="s">
        <v>731</v>
      </c>
    </row>
    <row r="602" spans="1:13" ht="18.899999999999999" customHeight="1" x14ac:dyDescent="0.45">
      <c r="A602" s="18">
        <f t="shared" si="73"/>
        <v>577</v>
      </c>
      <c r="B602" s="279"/>
      <c r="C602" s="272"/>
      <c r="D602" s="250"/>
      <c r="E602" s="20" t="s">
        <v>1013</v>
      </c>
      <c r="F602" s="19">
        <v>1139</v>
      </c>
      <c r="G602" s="99" t="s">
        <v>161</v>
      </c>
      <c r="H602" s="22" t="s">
        <v>62</v>
      </c>
      <c r="I602" s="23">
        <v>1</v>
      </c>
      <c r="J602" s="22" t="s">
        <v>63</v>
      </c>
      <c r="K602" s="64">
        <v>57</v>
      </c>
      <c r="L602" s="33">
        <f t="shared" si="69"/>
        <v>0.95</v>
      </c>
      <c r="M602" s="136" t="s">
        <v>731</v>
      </c>
    </row>
    <row r="603" spans="1:13" ht="18.899999999999999" customHeight="1" x14ac:dyDescent="0.45">
      <c r="A603" s="18">
        <f t="shared" si="73"/>
        <v>578</v>
      </c>
      <c r="B603" s="279"/>
      <c r="C603" s="271" t="s">
        <v>1014</v>
      </c>
      <c r="D603" s="249" t="s">
        <v>1015</v>
      </c>
      <c r="E603" s="188" t="s">
        <v>1016</v>
      </c>
      <c r="F603" s="99">
        <v>337</v>
      </c>
      <c r="G603" s="99" t="s">
        <v>125</v>
      </c>
      <c r="H603" s="99" t="s">
        <v>136</v>
      </c>
      <c r="I603" s="39">
        <v>10</v>
      </c>
      <c r="J603" s="39" t="s">
        <v>63</v>
      </c>
      <c r="K603" s="67">
        <v>138</v>
      </c>
      <c r="L603" s="33">
        <f t="shared" si="69"/>
        <v>2.2999999999999998</v>
      </c>
      <c r="M603" s="158"/>
    </row>
    <row r="604" spans="1:13" ht="18.899999999999999" customHeight="1" x14ac:dyDescent="0.45">
      <c r="A604" s="18">
        <f t="shared" si="73"/>
        <v>579</v>
      </c>
      <c r="B604" s="279"/>
      <c r="C604" s="272"/>
      <c r="D604" s="251"/>
      <c r="E604" s="20" t="s">
        <v>1017</v>
      </c>
      <c r="F604" s="26">
        <v>253</v>
      </c>
      <c r="G604" s="99" t="s">
        <v>125</v>
      </c>
      <c r="H604" s="26" t="s">
        <v>430</v>
      </c>
      <c r="I604" s="26">
        <v>4</v>
      </c>
      <c r="J604" s="26" t="s">
        <v>63</v>
      </c>
      <c r="K604" s="64">
        <v>172</v>
      </c>
      <c r="L604" s="33">
        <f t="shared" si="69"/>
        <v>2.8666666666666667</v>
      </c>
      <c r="M604" s="158"/>
    </row>
    <row r="605" spans="1:13" ht="18.899999999999999" customHeight="1" x14ac:dyDescent="0.45">
      <c r="A605" s="18">
        <f t="shared" si="73"/>
        <v>580</v>
      </c>
      <c r="B605" s="279"/>
      <c r="C605" s="272"/>
      <c r="D605" s="251"/>
      <c r="E605" s="20" t="s">
        <v>1018</v>
      </c>
      <c r="F605" s="26">
        <v>1</v>
      </c>
      <c r="G605" s="99" t="s">
        <v>83</v>
      </c>
      <c r="H605" s="26" t="s">
        <v>62</v>
      </c>
      <c r="I605" s="26">
        <v>3</v>
      </c>
      <c r="J605" s="26" t="s">
        <v>63</v>
      </c>
      <c r="K605" s="64">
        <v>37</v>
      </c>
      <c r="L605" s="33">
        <f t="shared" si="69"/>
        <v>0.6166666666666667</v>
      </c>
      <c r="M605" s="158"/>
    </row>
    <row r="606" spans="1:13" ht="19.5" customHeight="1" x14ac:dyDescent="0.45">
      <c r="A606" s="274" t="s">
        <v>1019</v>
      </c>
      <c r="B606" s="275"/>
      <c r="C606" s="275"/>
      <c r="D606" s="276"/>
      <c r="E606" s="275"/>
      <c r="F606" s="275"/>
      <c r="G606" s="275"/>
      <c r="H606" s="275"/>
      <c r="I606" s="275"/>
      <c r="J606" s="275"/>
      <c r="K606" s="275"/>
      <c r="L606" s="275"/>
      <c r="M606" s="275"/>
    </row>
    <row r="607" spans="1:13" ht="18.899999999999999" customHeight="1" x14ac:dyDescent="0.45">
      <c r="A607" s="18">
        <f>A605+1</f>
        <v>581</v>
      </c>
      <c r="B607" s="271" t="s">
        <v>1020</v>
      </c>
      <c r="C607" s="271" t="s">
        <v>1021</v>
      </c>
      <c r="D607" s="255" t="s">
        <v>1022</v>
      </c>
      <c r="E607" s="49" t="s">
        <v>1023</v>
      </c>
      <c r="F607" s="26">
        <v>1451</v>
      </c>
      <c r="G607" s="99" t="s">
        <v>83</v>
      </c>
      <c r="H607" s="26" t="s">
        <v>354</v>
      </c>
      <c r="I607" s="26">
        <v>4</v>
      </c>
      <c r="J607" s="19" t="s">
        <v>63</v>
      </c>
      <c r="K607" s="64">
        <v>75</v>
      </c>
      <c r="L607" s="65">
        <f>K607/60</f>
        <v>1.25</v>
      </c>
      <c r="M607" s="140"/>
    </row>
    <row r="608" spans="1:13" ht="18.899999999999999" customHeight="1" x14ac:dyDescent="0.45">
      <c r="A608" s="18">
        <f t="shared" ref="A608:A637" si="74">A607+1</f>
        <v>582</v>
      </c>
      <c r="B608" s="272"/>
      <c r="C608" s="272"/>
      <c r="D608" s="264"/>
      <c r="E608" s="49" t="s">
        <v>1024</v>
      </c>
      <c r="F608" s="26">
        <v>1449</v>
      </c>
      <c r="G608" s="99" t="s">
        <v>83</v>
      </c>
      <c r="H608" s="26" t="s">
        <v>354</v>
      </c>
      <c r="I608" s="26">
        <v>2</v>
      </c>
      <c r="J608" s="19" t="s">
        <v>63</v>
      </c>
      <c r="K608" s="64">
        <v>25</v>
      </c>
      <c r="L608" s="65">
        <f t="shared" ref="L608:L637" si="75">K608/60</f>
        <v>0.41666666666666669</v>
      </c>
      <c r="M608" s="140"/>
    </row>
    <row r="609" spans="1:13" ht="18.899999999999999" customHeight="1" x14ac:dyDescent="0.45">
      <c r="A609" s="18">
        <f t="shared" si="74"/>
        <v>583</v>
      </c>
      <c r="B609" s="272"/>
      <c r="C609" s="272"/>
      <c r="D609" s="264"/>
      <c r="E609" s="49" t="s">
        <v>1025</v>
      </c>
      <c r="F609" s="26">
        <v>1450</v>
      </c>
      <c r="G609" s="99" t="s">
        <v>83</v>
      </c>
      <c r="H609" s="26" t="s">
        <v>354</v>
      </c>
      <c r="I609" s="26">
        <v>2</v>
      </c>
      <c r="J609" s="19" t="s">
        <v>63</v>
      </c>
      <c r="K609" s="64">
        <v>39</v>
      </c>
      <c r="L609" s="65">
        <f t="shared" si="75"/>
        <v>0.65</v>
      </c>
      <c r="M609" s="140"/>
    </row>
    <row r="610" spans="1:13" ht="18.899999999999999" customHeight="1" x14ac:dyDescent="0.45">
      <c r="A610" s="18">
        <f t="shared" si="74"/>
        <v>584</v>
      </c>
      <c r="B610" s="272"/>
      <c r="C610" s="272"/>
      <c r="D610" s="264"/>
      <c r="E610" s="49" t="s">
        <v>1026</v>
      </c>
      <c r="F610" s="26">
        <v>1455</v>
      </c>
      <c r="G610" s="99" t="s">
        <v>83</v>
      </c>
      <c r="H610" s="26" t="s">
        <v>354</v>
      </c>
      <c r="I610" s="26">
        <v>4</v>
      </c>
      <c r="J610" s="19" t="s">
        <v>63</v>
      </c>
      <c r="K610" s="64">
        <v>63</v>
      </c>
      <c r="L610" s="65">
        <f t="shared" si="75"/>
        <v>1.05</v>
      </c>
      <c r="M610" s="140"/>
    </row>
    <row r="611" spans="1:13" ht="18.899999999999999" customHeight="1" x14ac:dyDescent="0.45">
      <c r="A611" s="18">
        <f t="shared" si="74"/>
        <v>585</v>
      </c>
      <c r="B611" s="272"/>
      <c r="C611" s="272"/>
      <c r="D611" s="264"/>
      <c r="E611" s="49" t="s">
        <v>1027</v>
      </c>
      <c r="F611" s="26">
        <v>1452</v>
      </c>
      <c r="G611" s="99" t="s">
        <v>83</v>
      </c>
      <c r="H611" s="26" t="s">
        <v>354</v>
      </c>
      <c r="I611" s="26">
        <v>7</v>
      </c>
      <c r="J611" s="19" t="s">
        <v>63</v>
      </c>
      <c r="K611" s="64">
        <v>76</v>
      </c>
      <c r="L611" s="65">
        <f t="shared" si="75"/>
        <v>1.2666666666666666</v>
      </c>
      <c r="M611" s="140"/>
    </row>
    <row r="612" spans="1:13" ht="18.899999999999999" customHeight="1" x14ac:dyDescent="0.45">
      <c r="A612" s="18">
        <f t="shared" si="74"/>
        <v>586</v>
      </c>
      <c r="B612" s="272"/>
      <c r="C612" s="272"/>
      <c r="D612" s="253"/>
      <c r="E612" s="49" t="s">
        <v>1028</v>
      </c>
      <c r="F612" s="26">
        <v>1456</v>
      </c>
      <c r="G612" s="99" t="s">
        <v>83</v>
      </c>
      <c r="H612" s="26" t="s">
        <v>354</v>
      </c>
      <c r="I612" s="26">
        <v>1</v>
      </c>
      <c r="J612" s="19" t="s">
        <v>63</v>
      </c>
      <c r="K612" s="64">
        <v>17</v>
      </c>
      <c r="L612" s="65">
        <f t="shared" si="75"/>
        <v>0.28333333333333333</v>
      </c>
      <c r="M612" s="140"/>
    </row>
    <row r="613" spans="1:13" ht="18.899999999999999" customHeight="1" x14ac:dyDescent="0.45">
      <c r="A613" s="18">
        <f t="shared" si="74"/>
        <v>587</v>
      </c>
      <c r="B613" s="272"/>
      <c r="C613" s="272"/>
      <c r="D613" s="255" t="s">
        <v>1029</v>
      </c>
      <c r="E613" s="49" t="s">
        <v>1030</v>
      </c>
      <c r="F613" s="26">
        <v>1458</v>
      </c>
      <c r="G613" s="99" t="s">
        <v>83</v>
      </c>
      <c r="H613" s="26" t="s">
        <v>354</v>
      </c>
      <c r="I613" s="26">
        <v>9</v>
      </c>
      <c r="J613" s="19" t="s">
        <v>63</v>
      </c>
      <c r="K613" s="64">
        <v>124</v>
      </c>
      <c r="L613" s="65">
        <f t="shared" si="75"/>
        <v>2.0666666666666669</v>
      </c>
      <c r="M613" s="140"/>
    </row>
    <row r="614" spans="1:13" ht="18.899999999999999" customHeight="1" x14ac:dyDescent="0.45">
      <c r="A614" s="18">
        <f t="shared" si="74"/>
        <v>588</v>
      </c>
      <c r="B614" s="272"/>
      <c r="C614" s="272"/>
      <c r="D614" s="264"/>
      <c r="E614" s="49" t="s">
        <v>1031</v>
      </c>
      <c r="F614" s="26">
        <v>1459</v>
      </c>
      <c r="G614" s="99" t="s">
        <v>83</v>
      </c>
      <c r="H614" s="26" t="s">
        <v>354</v>
      </c>
      <c r="I614" s="26">
        <v>5</v>
      </c>
      <c r="J614" s="19" t="s">
        <v>63</v>
      </c>
      <c r="K614" s="64">
        <v>34</v>
      </c>
      <c r="L614" s="65">
        <f t="shared" si="75"/>
        <v>0.56666666666666665</v>
      </c>
      <c r="M614" s="140"/>
    </row>
    <row r="615" spans="1:13" ht="18.899999999999999" customHeight="1" x14ac:dyDescent="0.45">
      <c r="A615" s="18">
        <f t="shared" si="74"/>
        <v>589</v>
      </c>
      <c r="B615" s="272"/>
      <c r="C615" s="273"/>
      <c r="D615" s="253"/>
      <c r="E615" s="49" t="s">
        <v>1032</v>
      </c>
      <c r="F615" s="26">
        <v>1460</v>
      </c>
      <c r="G615" s="99" t="s">
        <v>83</v>
      </c>
      <c r="H615" s="26" t="s">
        <v>354</v>
      </c>
      <c r="I615" s="19">
        <v>3</v>
      </c>
      <c r="J615" s="19" t="s">
        <v>63</v>
      </c>
      <c r="K615" s="64">
        <v>49</v>
      </c>
      <c r="L615" s="65">
        <f t="shared" si="75"/>
        <v>0.81666666666666665</v>
      </c>
      <c r="M615" s="140"/>
    </row>
    <row r="616" spans="1:13" ht="18.899999999999999" customHeight="1" x14ac:dyDescent="0.45">
      <c r="A616" s="18">
        <f t="shared" si="74"/>
        <v>590</v>
      </c>
      <c r="B616" s="272"/>
      <c r="C616" s="271" t="s">
        <v>1033</v>
      </c>
      <c r="D616" s="255" t="s">
        <v>1034</v>
      </c>
      <c r="E616" s="49" t="s">
        <v>1035</v>
      </c>
      <c r="F616" s="58">
        <v>1483</v>
      </c>
      <c r="G616" s="58" t="s">
        <v>125</v>
      </c>
      <c r="H616" s="22" t="s">
        <v>236</v>
      </c>
      <c r="I616" s="23">
        <v>4</v>
      </c>
      <c r="J616" s="26" t="s">
        <v>63</v>
      </c>
      <c r="K616" s="192">
        <v>47</v>
      </c>
      <c r="L616" s="65">
        <f t="shared" si="75"/>
        <v>0.78333333333333333</v>
      </c>
      <c r="M616" s="140"/>
    </row>
    <row r="617" spans="1:13" ht="18.899999999999999" customHeight="1" x14ac:dyDescent="0.45">
      <c r="A617" s="18">
        <f t="shared" si="74"/>
        <v>591</v>
      </c>
      <c r="B617" s="272"/>
      <c r="C617" s="272"/>
      <c r="D617" s="264"/>
      <c r="E617" s="49" t="s">
        <v>1036</v>
      </c>
      <c r="F617" s="119">
        <v>1488</v>
      </c>
      <c r="G617" s="58" t="s">
        <v>125</v>
      </c>
      <c r="H617" s="22" t="s">
        <v>236</v>
      </c>
      <c r="I617" s="63">
        <v>3</v>
      </c>
      <c r="J617" s="39" t="s">
        <v>63</v>
      </c>
      <c r="K617" s="132">
        <v>27</v>
      </c>
      <c r="L617" s="65">
        <f t="shared" si="75"/>
        <v>0.45</v>
      </c>
      <c r="M617" s="140"/>
    </row>
    <row r="618" spans="1:13" ht="18.899999999999999" customHeight="1" x14ac:dyDescent="0.45">
      <c r="A618" s="18">
        <f t="shared" si="74"/>
        <v>592</v>
      </c>
      <c r="B618" s="272"/>
      <c r="C618" s="272"/>
      <c r="D618" s="264"/>
      <c r="E618" s="49" t="s">
        <v>1037</v>
      </c>
      <c r="F618" s="119">
        <v>1491</v>
      </c>
      <c r="G618" s="58" t="s">
        <v>125</v>
      </c>
      <c r="H618" s="22" t="s">
        <v>236</v>
      </c>
      <c r="I618" s="63">
        <v>3</v>
      </c>
      <c r="J618" s="39" t="s">
        <v>63</v>
      </c>
      <c r="K618" s="132">
        <v>41</v>
      </c>
      <c r="L618" s="65">
        <f t="shared" si="75"/>
        <v>0.68333333333333335</v>
      </c>
      <c r="M618" s="140"/>
    </row>
    <row r="619" spans="1:13" ht="18.899999999999999" customHeight="1" x14ac:dyDescent="0.45">
      <c r="A619" s="18">
        <f t="shared" si="74"/>
        <v>593</v>
      </c>
      <c r="B619" s="272"/>
      <c r="C619" s="272"/>
      <c r="D619" s="264"/>
      <c r="E619" s="49" t="s">
        <v>1038</v>
      </c>
      <c r="F619" s="119">
        <v>1489</v>
      </c>
      <c r="G619" s="58" t="s">
        <v>125</v>
      </c>
      <c r="H619" s="22" t="s">
        <v>236</v>
      </c>
      <c r="I619" s="63">
        <v>3</v>
      </c>
      <c r="J619" s="39" t="s">
        <v>63</v>
      </c>
      <c r="K619" s="132">
        <v>44</v>
      </c>
      <c r="L619" s="65">
        <f t="shared" si="75"/>
        <v>0.73333333333333328</v>
      </c>
      <c r="M619" s="140"/>
    </row>
    <row r="620" spans="1:13" ht="18.899999999999999" customHeight="1" x14ac:dyDescent="0.45">
      <c r="A620" s="18">
        <f t="shared" si="74"/>
        <v>594</v>
      </c>
      <c r="B620" s="272"/>
      <c r="C620" s="272"/>
      <c r="D620" s="264"/>
      <c r="E620" s="49" t="s">
        <v>1039</v>
      </c>
      <c r="F620" s="119">
        <v>1492</v>
      </c>
      <c r="G620" s="58" t="s">
        <v>125</v>
      </c>
      <c r="H620" s="22" t="s">
        <v>236</v>
      </c>
      <c r="I620" s="63">
        <v>5</v>
      </c>
      <c r="J620" s="39" t="s">
        <v>63</v>
      </c>
      <c r="K620" s="132">
        <v>61</v>
      </c>
      <c r="L620" s="65">
        <f t="shared" si="75"/>
        <v>1.0166666666666666</v>
      </c>
      <c r="M620" s="140"/>
    </row>
    <row r="621" spans="1:13" ht="18.899999999999999" customHeight="1" x14ac:dyDescent="0.45">
      <c r="A621" s="18">
        <f t="shared" si="74"/>
        <v>595</v>
      </c>
      <c r="B621" s="272"/>
      <c r="C621" s="272"/>
      <c r="D621" s="264"/>
      <c r="E621" s="49" t="s">
        <v>1040</v>
      </c>
      <c r="F621" s="119">
        <v>1487</v>
      </c>
      <c r="G621" s="58" t="s">
        <v>125</v>
      </c>
      <c r="H621" s="22" t="s">
        <v>236</v>
      </c>
      <c r="I621" s="63">
        <v>6</v>
      </c>
      <c r="J621" s="39" t="s">
        <v>63</v>
      </c>
      <c r="K621" s="132">
        <v>65</v>
      </c>
      <c r="L621" s="65">
        <f t="shared" si="75"/>
        <v>1.0833333333333333</v>
      </c>
      <c r="M621" s="140"/>
    </row>
    <row r="622" spans="1:13" ht="18.899999999999999" customHeight="1" x14ac:dyDescent="0.45">
      <c r="A622" s="18">
        <f t="shared" si="74"/>
        <v>596</v>
      </c>
      <c r="B622" s="272"/>
      <c r="C622" s="272"/>
      <c r="D622" s="264"/>
      <c r="E622" s="49" t="s">
        <v>1041</v>
      </c>
      <c r="F622" s="119">
        <v>1493</v>
      </c>
      <c r="G622" s="58" t="s">
        <v>125</v>
      </c>
      <c r="H622" s="22" t="s">
        <v>236</v>
      </c>
      <c r="I622" s="63">
        <v>5</v>
      </c>
      <c r="J622" s="39" t="s">
        <v>63</v>
      </c>
      <c r="K622" s="132">
        <v>59</v>
      </c>
      <c r="L622" s="65">
        <f t="shared" si="75"/>
        <v>0.98333333333333328</v>
      </c>
      <c r="M622" s="140"/>
    </row>
    <row r="623" spans="1:13" ht="18.899999999999999" customHeight="1" x14ac:dyDescent="0.45">
      <c r="A623" s="18">
        <f t="shared" si="74"/>
        <v>597</v>
      </c>
      <c r="B623" s="272"/>
      <c r="C623" s="272"/>
      <c r="D623" s="264"/>
      <c r="E623" s="49" t="s">
        <v>1042</v>
      </c>
      <c r="F623" s="119">
        <v>1504</v>
      </c>
      <c r="G623" s="58" t="s">
        <v>125</v>
      </c>
      <c r="H623" s="22" t="s">
        <v>236</v>
      </c>
      <c r="I623" s="63">
        <v>3</v>
      </c>
      <c r="J623" s="39" t="s">
        <v>63</v>
      </c>
      <c r="K623" s="132">
        <v>30</v>
      </c>
      <c r="L623" s="65">
        <f t="shared" si="75"/>
        <v>0.5</v>
      </c>
      <c r="M623" s="140"/>
    </row>
    <row r="624" spans="1:13" ht="18.899999999999999" customHeight="1" x14ac:dyDescent="0.45">
      <c r="A624" s="18">
        <f t="shared" si="74"/>
        <v>598</v>
      </c>
      <c r="B624" s="272"/>
      <c r="C624" s="272"/>
      <c r="D624" s="264"/>
      <c r="E624" s="49" t="s">
        <v>1043</v>
      </c>
      <c r="F624" s="119">
        <v>1505</v>
      </c>
      <c r="G624" s="58" t="s">
        <v>125</v>
      </c>
      <c r="H624" s="22" t="s">
        <v>236</v>
      </c>
      <c r="I624" s="63">
        <v>6</v>
      </c>
      <c r="J624" s="39" t="s">
        <v>63</v>
      </c>
      <c r="K624" s="132">
        <v>66</v>
      </c>
      <c r="L624" s="65">
        <f t="shared" si="75"/>
        <v>1.1000000000000001</v>
      </c>
      <c r="M624" s="140"/>
    </row>
    <row r="625" spans="1:13" ht="18.899999999999999" customHeight="1" x14ac:dyDescent="0.45">
      <c r="A625" s="18">
        <f t="shared" si="74"/>
        <v>599</v>
      </c>
      <c r="B625" s="272"/>
      <c r="C625" s="272"/>
      <c r="D625" s="264"/>
      <c r="E625" s="49" t="s">
        <v>1044</v>
      </c>
      <c r="F625" s="119">
        <v>1507</v>
      </c>
      <c r="G625" s="58" t="s">
        <v>125</v>
      </c>
      <c r="H625" s="22" t="s">
        <v>236</v>
      </c>
      <c r="I625" s="63">
        <v>5</v>
      </c>
      <c r="J625" s="39" t="s">
        <v>63</v>
      </c>
      <c r="K625" s="132">
        <v>44</v>
      </c>
      <c r="L625" s="65">
        <f t="shared" si="75"/>
        <v>0.73333333333333328</v>
      </c>
      <c r="M625" s="140"/>
    </row>
    <row r="626" spans="1:13" ht="18.899999999999999" customHeight="1" x14ac:dyDescent="0.45">
      <c r="A626" s="18">
        <f t="shared" si="74"/>
        <v>600</v>
      </c>
      <c r="B626" s="272"/>
      <c r="C626" s="272"/>
      <c r="D626" s="264"/>
      <c r="E626" s="49" t="s">
        <v>1045</v>
      </c>
      <c r="F626" s="119">
        <v>1508</v>
      </c>
      <c r="G626" s="58" t="s">
        <v>125</v>
      </c>
      <c r="H626" s="22" t="s">
        <v>236</v>
      </c>
      <c r="I626" s="63">
        <v>1</v>
      </c>
      <c r="J626" s="39" t="s">
        <v>63</v>
      </c>
      <c r="K626" s="132">
        <v>14</v>
      </c>
      <c r="L626" s="65">
        <f t="shared" si="75"/>
        <v>0.23333333333333334</v>
      </c>
      <c r="M626" s="140"/>
    </row>
    <row r="627" spans="1:13" ht="18.899999999999999" customHeight="1" x14ac:dyDescent="0.45">
      <c r="A627" s="18">
        <f t="shared" si="74"/>
        <v>601</v>
      </c>
      <c r="B627" s="272"/>
      <c r="C627" s="272"/>
      <c r="D627" s="264"/>
      <c r="E627" s="49" t="s">
        <v>1046</v>
      </c>
      <c r="F627" s="119">
        <v>1511</v>
      </c>
      <c r="G627" s="58" t="s">
        <v>125</v>
      </c>
      <c r="H627" s="22" t="s">
        <v>236</v>
      </c>
      <c r="I627" s="63">
        <v>6</v>
      </c>
      <c r="J627" s="39" t="s">
        <v>63</v>
      </c>
      <c r="K627" s="132">
        <v>75</v>
      </c>
      <c r="L627" s="65">
        <f t="shared" si="75"/>
        <v>1.25</v>
      </c>
      <c r="M627" s="140"/>
    </row>
    <row r="628" spans="1:13" ht="18.899999999999999" customHeight="1" x14ac:dyDescent="0.45">
      <c r="A628" s="18">
        <f t="shared" si="74"/>
        <v>602</v>
      </c>
      <c r="B628" s="272"/>
      <c r="C628" s="272"/>
      <c r="D628" s="264"/>
      <c r="E628" s="49" t="s">
        <v>1047</v>
      </c>
      <c r="F628" s="119">
        <v>1498</v>
      </c>
      <c r="G628" s="58" t="s">
        <v>125</v>
      </c>
      <c r="H628" s="22" t="s">
        <v>236</v>
      </c>
      <c r="I628" s="63">
        <v>4</v>
      </c>
      <c r="J628" s="39" t="s">
        <v>63</v>
      </c>
      <c r="K628" s="132">
        <v>46</v>
      </c>
      <c r="L628" s="65">
        <f t="shared" si="75"/>
        <v>0.76666666666666672</v>
      </c>
      <c r="M628" s="140"/>
    </row>
    <row r="629" spans="1:13" ht="18.899999999999999" customHeight="1" x14ac:dyDescent="0.45">
      <c r="A629" s="18">
        <f t="shared" si="74"/>
        <v>603</v>
      </c>
      <c r="B629" s="272"/>
      <c r="C629" s="272"/>
      <c r="D629" s="264"/>
      <c r="E629" s="49" t="s">
        <v>1048</v>
      </c>
      <c r="F629" s="119">
        <v>1500</v>
      </c>
      <c r="G629" s="58" t="s">
        <v>125</v>
      </c>
      <c r="H629" s="22" t="s">
        <v>236</v>
      </c>
      <c r="I629" s="63">
        <v>10</v>
      </c>
      <c r="J629" s="39" t="s">
        <v>63</v>
      </c>
      <c r="K629" s="132">
        <v>98</v>
      </c>
      <c r="L629" s="65">
        <f t="shared" si="75"/>
        <v>1.6333333333333333</v>
      </c>
      <c r="M629" s="140"/>
    </row>
    <row r="630" spans="1:13" ht="18.899999999999999" customHeight="1" x14ac:dyDescent="0.45">
      <c r="A630" s="18">
        <f t="shared" si="74"/>
        <v>604</v>
      </c>
      <c r="B630" s="272"/>
      <c r="C630" s="272"/>
      <c r="D630" s="264"/>
      <c r="E630" s="49" t="s">
        <v>1049</v>
      </c>
      <c r="F630" s="119">
        <v>1501</v>
      </c>
      <c r="G630" s="58" t="s">
        <v>125</v>
      </c>
      <c r="H630" s="22" t="s">
        <v>236</v>
      </c>
      <c r="I630" s="63">
        <v>4</v>
      </c>
      <c r="J630" s="62" t="s">
        <v>63</v>
      </c>
      <c r="K630" s="132">
        <v>43</v>
      </c>
      <c r="L630" s="65">
        <f t="shared" si="75"/>
        <v>0.71666666666666667</v>
      </c>
      <c r="M630" s="140"/>
    </row>
    <row r="631" spans="1:13" ht="18.899999999999999" customHeight="1" x14ac:dyDescent="0.45">
      <c r="A631" s="18">
        <f t="shared" si="74"/>
        <v>605</v>
      </c>
      <c r="B631" s="272"/>
      <c r="C631" s="272"/>
      <c r="D631" s="264"/>
      <c r="E631" s="49" t="s">
        <v>1050</v>
      </c>
      <c r="F631" s="119">
        <v>1497</v>
      </c>
      <c r="G631" s="58" t="s">
        <v>125</v>
      </c>
      <c r="H631" s="22" t="s">
        <v>236</v>
      </c>
      <c r="I631" s="63">
        <v>8</v>
      </c>
      <c r="J631" s="39" t="s">
        <v>63</v>
      </c>
      <c r="K631" s="132">
        <v>87</v>
      </c>
      <c r="L631" s="65">
        <f t="shared" si="75"/>
        <v>1.45</v>
      </c>
      <c r="M631" s="140"/>
    </row>
    <row r="632" spans="1:13" ht="18.899999999999999" customHeight="1" x14ac:dyDescent="0.45">
      <c r="A632" s="18">
        <f t="shared" si="74"/>
        <v>606</v>
      </c>
      <c r="B632" s="272"/>
      <c r="C632" s="273"/>
      <c r="D632" s="253"/>
      <c r="E632" s="49" t="s">
        <v>1051</v>
      </c>
      <c r="F632" s="119">
        <v>1494</v>
      </c>
      <c r="G632" s="58" t="s">
        <v>125</v>
      </c>
      <c r="H632" s="22" t="s">
        <v>236</v>
      </c>
      <c r="I632" s="63">
        <v>5</v>
      </c>
      <c r="J632" s="39" t="s">
        <v>63</v>
      </c>
      <c r="K632" s="132">
        <v>57</v>
      </c>
      <c r="L632" s="65">
        <f t="shared" si="75"/>
        <v>0.95</v>
      </c>
      <c r="M632" s="140"/>
    </row>
    <row r="633" spans="1:13" ht="18.899999999999999" customHeight="1" x14ac:dyDescent="0.45">
      <c r="A633" s="18">
        <f t="shared" si="74"/>
        <v>607</v>
      </c>
      <c r="B633" s="272"/>
      <c r="C633" s="271" t="s">
        <v>1052</v>
      </c>
      <c r="D633" s="237" t="s">
        <v>1053</v>
      </c>
      <c r="E633" s="49" t="s">
        <v>1054</v>
      </c>
      <c r="F633" s="39">
        <v>1408</v>
      </c>
      <c r="G633" s="39" t="s">
        <v>83</v>
      </c>
      <c r="H633" s="62" t="s">
        <v>62</v>
      </c>
      <c r="I633" s="63">
        <v>15</v>
      </c>
      <c r="J633" s="75" t="s">
        <v>63</v>
      </c>
      <c r="K633" s="132">
        <v>266</v>
      </c>
      <c r="L633" s="65">
        <f t="shared" si="75"/>
        <v>4.4333333333333336</v>
      </c>
      <c r="M633" s="66"/>
    </row>
    <row r="634" spans="1:13" ht="18.899999999999999" customHeight="1" x14ac:dyDescent="0.45">
      <c r="A634" s="18">
        <f t="shared" si="74"/>
        <v>608</v>
      </c>
      <c r="B634" s="272"/>
      <c r="C634" s="272"/>
      <c r="D634" s="237"/>
      <c r="E634" s="49" t="s">
        <v>1055</v>
      </c>
      <c r="F634" s="39">
        <v>1439</v>
      </c>
      <c r="G634" s="39" t="s">
        <v>83</v>
      </c>
      <c r="H634" s="62" t="s">
        <v>62</v>
      </c>
      <c r="I634" s="23">
        <v>26</v>
      </c>
      <c r="J634" s="24" t="s">
        <v>63</v>
      </c>
      <c r="K634" s="25">
        <v>380</v>
      </c>
      <c r="L634" s="65">
        <f t="shared" si="75"/>
        <v>6.333333333333333</v>
      </c>
      <c r="M634" s="66"/>
    </row>
    <row r="635" spans="1:13" ht="18.899999999999999" customHeight="1" x14ac:dyDescent="0.45">
      <c r="A635" s="18">
        <f t="shared" si="74"/>
        <v>609</v>
      </c>
      <c r="B635" s="272"/>
      <c r="C635" s="272"/>
      <c r="D635" s="237"/>
      <c r="E635" s="49" t="s">
        <v>1056</v>
      </c>
      <c r="F635" s="39">
        <v>1481</v>
      </c>
      <c r="G635" s="39" t="s">
        <v>83</v>
      </c>
      <c r="H635" s="62" t="s">
        <v>62</v>
      </c>
      <c r="I635" s="63">
        <v>21</v>
      </c>
      <c r="J635" s="62" t="s">
        <v>63</v>
      </c>
      <c r="K635" s="67">
        <v>325</v>
      </c>
      <c r="L635" s="65">
        <f t="shared" si="75"/>
        <v>5.416666666666667</v>
      </c>
      <c r="M635" s="66"/>
    </row>
    <row r="636" spans="1:13" ht="18.899999999999999" customHeight="1" x14ac:dyDescent="0.45">
      <c r="A636" s="18">
        <f t="shared" si="74"/>
        <v>610</v>
      </c>
      <c r="B636" s="272"/>
      <c r="C636" s="271" t="s">
        <v>1057</v>
      </c>
      <c r="D636" s="182" t="s">
        <v>1058</v>
      </c>
      <c r="E636" s="20" t="s">
        <v>1059</v>
      </c>
      <c r="F636" s="26">
        <v>1281</v>
      </c>
      <c r="G636" s="39" t="s">
        <v>83</v>
      </c>
      <c r="H636" s="26" t="s">
        <v>136</v>
      </c>
      <c r="I636" s="19">
        <v>10</v>
      </c>
      <c r="J636" s="19" t="s">
        <v>63</v>
      </c>
      <c r="K636" s="64">
        <v>145</v>
      </c>
      <c r="L636" s="65">
        <f t="shared" si="75"/>
        <v>2.4166666666666665</v>
      </c>
      <c r="M636" s="140"/>
    </row>
    <row r="637" spans="1:13" ht="18.899999999999999" customHeight="1" x14ac:dyDescent="0.45">
      <c r="A637" s="18">
        <f t="shared" si="74"/>
        <v>611</v>
      </c>
      <c r="B637" s="273"/>
      <c r="C637" s="273"/>
      <c r="D637" s="182" t="s">
        <v>1060</v>
      </c>
      <c r="E637" s="20" t="s">
        <v>1061</v>
      </c>
      <c r="F637" s="26">
        <v>1282</v>
      </c>
      <c r="G637" s="39" t="s">
        <v>83</v>
      </c>
      <c r="H637" s="26" t="s">
        <v>136</v>
      </c>
      <c r="I637" s="19">
        <v>5</v>
      </c>
      <c r="J637" s="19" t="s">
        <v>63</v>
      </c>
      <c r="K637" s="64">
        <v>76</v>
      </c>
      <c r="L637" s="65">
        <f t="shared" si="75"/>
        <v>1.2666666666666666</v>
      </c>
      <c r="M637" s="140"/>
    </row>
    <row r="638" spans="1:13" ht="20.149999999999999" customHeight="1" x14ac:dyDescent="0.45">
      <c r="A638" s="301" t="s">
        <v>1062</v>
      </c>
      <c r="B638" s="302"/>
      <c r="C638" s="302"/>
      <c r="D638" s="303"/>
      <c r="E638" s="302"/>
      <c r="F638" s="302"/>
      <c r="G638" s="302"/>
      <c r="H638" s="302"/>
      <c r="I638" s="302"/>
      <c r="J638" s="302"/>
      <c r="K638" s="302"/>
      <c r="L638" s="302"/>
      <c r="M638" s="302"/>
    </row>
    <row r="639" spans="1:13" ht="176.4" customHeight="1" x14ac:dyDescent="0.45">
      <c r="A639" s="304" t="s">
        <v>1063</v>
      </c>
      <c r="B639" s="305"/>
      <c r="C639" s="305"/>
      <c r="D639" s="306"/>
      <c r="E639" s="305"/>
      <c r="F639" s="305"/>
      <c r="G639" s="305"/>
      <c r="H639" s="305"/>
      <c r="I639" s="305"/>
      <c r="J639" s="305"/>
      <c r="K639" s="305"/>
      <c r="L639" s="305"/>
      <c r="M639" s="305"/>
    </row>
    <row r="640" spans="1:13" ht="18.899999999999999" customHeight="1" x14ac:dyDescent="0.45">
      <c r="B640" s="1"/>
      <c r="C640" s="1"/>
      <c r="M640" s="1"/>
    </row>
    <row r="641" spans="2:13" ht="18.899999999999999" customHeight="1" x14ac:dyDescent="0.45">
      <c r="B641" s="1"/>
      <c r="C641" s="1"/>
      <c r="M641" s="1"/>
    </row>
    <row r="642" spans="2:13" ht="18.899999999999999" customHeight="1" x14ac:dyDescent="0.45">
      <c r="B642" s="1"/>
      <c r="C642" s="1"/>
      <c r="M642" s="1"/>
    </row>
    <row r="643" spans="2:13" ht="18.899999999999999" customHeight="1" x14ac:dyDescent="0.45">
      <c r="B643" s="1"/>
      <c r="C643" s="1"/>
      <c r="M643" s="1"/>
    </row>
    <row r="644" spans="2:13" ht="18.899999999999999" customHeight="1" x14ac:dyDescent="0.45">
      <c r="B644" s="1"/>
      <c r="C644" s="1"/>
      <c r="M644" s="1"/>
    </row>
    <row r="645" spans="2:13" ht="18.899999999999999" customHeight="1" x14ac:dyDescent="0.45">
      <c r="B645" s="1"/>
      <c r="C645" s="1"/>
      <c r="M645" s="1"/>
    </row>
    <row r="646" spans="2:13" ht="18.899999999999999" customHeight="1" x14ac:dyDescent="0.45">
      <c r="B646" s="1"/>
      <c r="C646" s="1"/>
      <c r="M646" s="1"/>
    </row>
    <row r="647" spans="2:13" ht="18.899999999999999" customHeight="1" x14ac:dyDescent="0.45">
      <c r="B647" s="1"/>
      <c r="C647" s="1"/>
      <c r="M647" s="1"/>
    </row>
    <row r="648" spans="2:13" ht="18.899999999999999" customHeight="1" x14ac:dyDescent="0.45">
      <c r="B648" s="1"/>
      <c r="C648" s="1"/>
      <c r="M648" s="1"/>
    </row>
  </sheetData>
  <autoFilter ref="A10:M639" xr:uid="{00000000-0009-0000-0000-000001000000}"/>
  <mergeCells count="290">
    <mergeCell ref="A11:M11"/>
    <mergeCell ref="A43:M43"/>
    <mergeCell ref="A106:M106"/>
    <mergeCell ref="A146:M146"/>
    <mergeCell ref="A157:M157"/>
    <mergeCell ref="A212:M212"/>
    <mergeCell ref="A245:M245"/>
    <mergeCell ref="A308:M308"/>
    <mergeCell ref="A334:M334"/>
    <mergeCell ref="B12:B19"/>
    <mergeCell ref="B20:B26"/>
    <mergeCell ref="B27:B42"/>
    <mergeCell ref="B44:B47"/>
    <mergeCell ref="B48:B60"/>
    <mergeCell ref="B61:B74"/>
    <mergeCell ref="B75:B92"/>
    <mergeCell ref="B93:B105"/>
    <mergeCell ref="B107:B141"/>
    <mergeCell ref="B142:B145"/>
    <mergeCell ref="B147:B156"/>
    <mergeCell ref="B158:B173"/>
    <mergeCell ref="B174:B180"/>
    <mergeCell ref="B181:B211"/>
    <mergeCell ref="B213:B244"/>
    <mergeCell ref="A638:M638"/>
    <mergeCell ref="A639:M639"/>
    <mergeCell ref="B491:B520"/>
    <mergeCell ref="B521:B527"/>
    <mergeCell ref="B529:B537"/>
    <mergeCell ref="B538:B539"/>
    <mergeCell ref="B540:B542"/>
    <mergeCell ref="B544:B552"/>
    <mergeCell ref="B553:B558"/>
    <mergeCell ref="B559:B570"/>
    <mergeCell ref="B572:B573"/>
    <mergeCell ref="B574:B581"/>
    <mergeCell ref="B582:B598"/>
    <mergeCell ref="B599:B605"/>
    <mergeCell ref="B607:B637"/>
    <mergeCell ref="C507:C512"/>
    <mergeCell ref="C514:C520"/>
    <mergeCell ref="C521:C522"/>
    <mergeCell ref="C523:C527"/>
    <mergeCell ref="C529:C531"/>
    <mergeCell ref="C532:C534"/>
    <mergeCell ref="C535:C537"/>
    <mergeCell ref="C538:C539"/>
    <mergeCell ref="A528:M528"/>
    <mergeCell ref="B246:B250"/>
    <mergeCell ref="B251:B257"/>
    <mergeCell ref="B258:B285"/>
    <mergeCell ref="B286:B298"/>
    <mergeCell ref="B299:B307"/>
    <mergeCell ref="B309:B333"/>
    <mergeCell ref="B335:B345"/>
    <mergeCell ref="B346:B351"/>
    <mergeCell ref="B352:B359"/>
    <mergeCell ref="B360:B363"/>
    <mergeCell ref="B364:B373"/>
    <mergeCell ref="B374:B377"/>
    <mergeCell ref="B378:B399"/>
    <mergeCell ref="B401:B428"/>
    <mergeCell ref="B430:B438"/>
    <mergeCell ref="B440:B455"/>
    <mergeCell ref="B456:B468"/>
    <mergeCell ref="B469:B490"/>
    <mergeCell ref="A400:M400"/>
    <mergeCell ref="A429:M429"/>
    <mergeCell ref="A439:M439"/>
    <mergeCell ref="C437:C438"/>
    <mergeCell ref="C440:C453"/>
    <mergeCell ref="C387:C390"/>
    <mergeCell ref="C391:C395"/>
    <mergeCell ref="C396:C399"/>
    <mergeCell ref="C401:C402"/>
    <mergeCell ref="C404:C406"/>
    <mergeCell ref="C407:C410"/>
    <mergeCell ref="C411:C420"/>
    <mergeCell ref="C421:C428"/>
    <mergeCell ref="C430:C436"/>
    <mergeCell ref="C454:C455"/>
    <mergeCell ref="C12:C17"/>
    <mergeCell ref="C18:C19"/>
    <mergeCell ref="C20:C26"/>
    <mergeCell ref="C27:C29"/>
    <mergeCell ref="C30:C32"/>
    <mergeCell ref="C33:C35"/>
    <mergeCell ref="C36:C38"/>
    <mergeCell ref="C39:C41"/>
    <mergeCell ref="C46:C47"/>
    <mergeCell ref="C48:C57"/>
    <mergeCell ref="C58:C60"/>
    <mergeCell ref="C61:C65"/>
    <mergeCell ref="C66:C74"/>
    <mergeCell ref="C75:C85"/>
    <mergeCell ref="C86:C87"/>
    <mergeCell ref="C88:C92"/>
    <mergeCell ref="C93:C101"/>
    <mergeCell ref="C102:C105"/>
    <mergeCell ref="C174:C180"/>
    <mergeCell ref="C181:C182"/>
    <mergeCell ref="C184:C185"/>
    <mergeCell ref="C186:C189"/>
    <mergeCell ref="C190:C192"/>
    <mergeCell ref="C193:C206"/>
    <mergeCell ref="C207:C211"/>
    <mergeCell ref="C213:C223"/>
    <mergeCell ref="C107:C118"/>
    <mergeCell ref="C131:C134"/>
    <mergeCell ref="C135:C141"/>
    <mergeCell ref="C142:C145"/>
    <mergeCell ref="C147:C153"/>
    <mergeCell ref="C154:C156"/>
    <mergeCell ref="C158:C160"/>
    <mergeCell ref="C161:C171"/>
    <mergeCell ref="C172:C173"/>
    <mergeCell ref="C119:C130"/>
    <mergeCell ref="C232:C234"/>
    <mergeCell ref="C235:C237"/>
    <mergeCell ref="C238:C240"/>
    <mergeCell ref="C241:C244"/>
    <mergeCell ref="C246:C250"/>
    <mergeCell ref="C251:C257"/>
    <mergeCell ref="C259:C265"/>
    <mergeCell ref="C266:C271"/>
    <mergeCell ref="C272:C275"/>
    <mergeCell ref="C276:C277"/>
    <mergeCell ref="C279:C285"/>
    <mergeCell ref="C286:C288"/>
    <mergeCell ref="C289:C298"/>
    <mergeCell ref="C299:C307"/>
    <mergeCell ref="C309:C313"/>
    <mergeCell ref="C314:C320"/>
    <mergeCell ref="C321:C333"/>
    <mergeCell ref="C335:C345"/>
    <mergeCell ref="C346:C351"/>
    <mergeCell ref="C352:C358"/>
    <mergeCell ref="C360:C361"/>
    <mergeCell ref="C362:C363"/>
    <mergeCell ref="C364:C373"/>
    <mergeCell ref="C374:C375"/>
    <mergeCell ref="C376:C377"/>
    <mergeCell ref="C378:C379"/>
    <mergeCell ref="C380:C386"/>
    <mergeCell ref="C456:C461"/>
    <mergeCell ref="C463:C468"/>
    <mergeCell ref="C469:C485"/>
    <mergeCell ref="C486:C490"/>
    <mergeCell ref="C491:C495"/>
    <mergeCell ref="C496:C498"/>
    <mergeCell ref="C499:C500"/>
    <mergeCell ref="C501:C502"/>
    <mergeCell ref="C503:C506"/>
    <mergeCell ref="C540:C542"/>
    <mergeCell ref="C544:C551"/>
    <mergeCell ref="C553:C555"/>
    <mergeCell ref="C556:C558"/>
    <mergeCell ref="C559:C562"/>
    <mergeCell ref="C563:C564"/>
    <mergeCell ref="C565:C570"/>
    <mergeCell ref="C572:C573"/>
    <mergeCell ref="C574:C581"/>
    <mergeCell ref="A543:M543"/>
    <mergeCell ref="A571:M571"/>
    <mergeCell ref="C582:C585"/>
    <mergeCell ref="C586:C598"/>
    <mergeCell ref="C599:C602"/>
    <mergeCell ref="C603:C605"/>
    <mergeCell ref="C607:C615"/>
    <mergeCell ref="C616:C632"/>
    <mergeCell ref="D544:D551"/>
    <mergeCell ref="D553:D555"/>
    <mergeCell ref="D556:D558"/>
    <mergeCell ref="D559:D562"/>
    <mergeCell ref="D607:D612"/>
    <mergeCell ref="D613:D615"/>
    <mergeCell ref="D616:D632"/>
    <mergeCell ref="A606:M606"/>
    <mergeCell ref="C633:C635"/>
    <mergeCell ref="C636:C637"/>
    <mergeCell ref="D12:D17"/>
    <mergeCell ref="D18:D19"/>
    <mergeCell ref="D20:D26"/>
    <mergeCell ref="D27:D29"/>
    <mergeCell ref="D30:D32"/>
    <mergeCell ref="D33:D35"/>
    <mergeCell ref="D36:D38"/>
    <mergeCell ref="D39:D41"/>
    <mergeCell ref="D46:D47"/>
    <mergeCell ref="D48:D57"/>
    <mergeCell ref="D58:D60"/>
    <mergeCell ref="D61:D65"/>
    <mergeCell ref="D66:D74"/>
    <mergeCell ref="D75:D85"/>
    <mergeCell ref="D86:D87"/>
    <mergeCell ref="D88:D92"/>
    <mergeCell ref="D161:D171"/>
    <mergeCell ref="D172:D173"/>
    <mergeCell ref="D174:D180"/>
    <mergeCell ref="D181:D182"/>
    <mergeCell ref="D184:D185"/>
    <mergeCell ref="D186:D189"/>
    <mergeCell ref="D190:D192"/>
    <mergeCell ref="D193:D206"/>
    <mergeCell ref="D93:D101"/>
    <mergeCell ref="D102:D105"/>
    <mergeCell ref="D107:D118"/>
    <mergeCell ref="D131:D134"/>
    <mergeCell ref="D135:D141"/>
    <mergeCell ref="D142:D145"/>
    <mergeCell ref="D147:D153"/>
    <mergeCell ref="D154:D156"/>
    <mergeCell ref="D158:D160"/>
    <mergeCell ref="D119:D130"/>
    <mergeCell ref="D207:D211"/>
    <mergeCell ref="D213:D223"/>
    <mergeCell ref="D232:D234"/>
    <mergeCell ref="D235:D237"/>
    <mergeCell ref="D238:D240"/>
    <mergeCell ref="D241:D244"/>
    <mergeCell ref="D246:D250"/>
    <mergeCell ref="D251:D257"/>
    <mergeCell ref="D259:D265"/>
    <mergeCell ref="D266:D271"/>
    <mergeCell ref="D272:D275"/>
    <mergeCell ref="D276:D277"/>
    <mergeCell ref="D279:D285"/>
    <mergeCell ref="D286:D288"/>
    <mergeCell ref="D289:D298"/>
    <mergeCell ref="D299:D307"/>
    <mergeCell ref="D309:D313"/>
    <mergeCell ref="D314:D320"/>
    <mergeCell ref="D321:D333"/>
    <mergeCell ref="D335:D345"/>
    <mergeCell ref="D346:D351"/>
    <mergeCell ref="D352:D358"/>
    <mergeCell ref="D360:D361"/>
    <mergeCell ref="D362:D363"/>
    <mergeCell ref="D364:D373"/>
    <mergeCell ref="D374:D375"/>
    <mergeCell ref="D376:D377"/>
    <mergeCell ref="D378:D379"/>
    <mergeCell ref="D380:D386"/>
    <mergeCell ref="D387:D390"/>
    <mergeCell ref="D391:D395"/>
    <mergeCell ref="D396:D399"/>
    <mergeCell ref="D401:D402"/>
    <mergeCell ref="D404:D406"/>
    <mergeCell ref="D407:D410"/>
    <mergeCell ref="D411:D420"/>
    <mergeCell ref="D499:D500"/>
    <mergeCell ref="D501:D502"/>
    <mergeCell ref="D503:D506"/>
    <mergeCell ref="D507:D512"/>
    <mergeCell ref="D514:D520"/>
    <mergeCell ref="D521:D522"/>
    <mergeCell ref="D523:D527"/>
    <mergeCell ref="D421:D428"/>
    <mergeCell ref="D430:D436"/>
    <mergeCell ref="D437:D438"/>
    <mergeCell ref="D440:D453"/>
    <mergeCell ref="D454:D455"/>
    <mergeCell ref="D456:D461"/>
    <mergeCell ref="D463:D468"/>
    <mergeCell ref="D469:D485"/>
    <mergeCell ref="D486:D490"/>
    <mergeCell ref="D633:D635"/>
    <mergeCell ref="M3:M5"/>
    <mergeCell ref="A1:L2"/>
    <mergeCell ref="C224:C227"/>
    <mergeCell ref="C228:C231"/>
    <mergeCell ref="D224:D227"/>
    <mergeCell ref="D228:D231"/>
    <mergeCell ref="D563:D564"/>
    <mergeCell ref="D565:D570"/>
    <mergeCell ref="D572:D573"/>
    <mergeCell ref="D574:D575"/>
    <mergeCell ref="D580:D581"/>
    <mergeCell ref="D582:D585"/>
    <mergeCell ref="D586:D598"/>
    <mergeCell ref="D599:D602"/>
    <mergeCell ref="D603:D605"/>
    <mergeCell ref="D529:D531"/>
    <mergeCell ref="D532:D534"/>
    <mergeCell ref="D535:D537"/>
    <mergeCell ref="D538:D539"/>
    <mergeCell ref="D540:D542"/>
    <mergeCell ref="D576:D579"/>
    <mergeCell ref="D491:D495"/>
    <mergeCell ref="D496:D498"/>
  </mergeCells>
  <phoneticPr fontId="42" type="noConversion"/>
  <dataValidations count="2">
    <dataValidation allowBlank="1" showErrorMessage="1" sqref="A1 E25:F25 E271:F271 E276:G276 E310 G424 E437 E456:G456 G458 G460 G463 E544:G544 E550 E553:F553 E564:G564 B7:B9 E61:E66 E378:E379 F62:F65 F424:F427 G277:G285 G324:G327 G401:G403 G427:G428 G476:G477 G501:G503 G545:G548 G551:G558 G586:G596 G607:G615 J3:J5 F429:G438 E499:F502 E58:F59 E462:F463 E556:F557 A3:D5 E154:F155 F310:G313 F582:G585 F541:G542 E528:G540 E559:G560 E580:G581 E415:F420 E599:G605 E476:F478 F378:G399 F286:G288 E314:G319 E278:F285 E328:G333 E299:G309 E322:F325 F574:G575 G577:G578" xr:uid="{00000000-0002-0000-0100-000000000000}"/>
    <dataValidation errorStyle="warning" allowBlank="1" showErrorMessage="1" errorTitle="Quantity" error="You must enter a number in this cell." promptTitle="Quantity" sqref="B286 C380:D381 C286:D298 A11:A637" xr:uid="{00000000-0002-0000-0100-000001000000}"/>
  </dataValidations>
  <hyperlinks>
    <hyperlink ref="B5" r:id="rId1" xr:uid="{00000000-0004-0000-0100-000000000000}"/>
  </hyperlinks>
  <pageMargins left="0.75" right="0.75" top="1" bottom="1" header="0.51180555555555596" footer="0.51180555555555596"/>
  <pageSetup paperSize="9" scale="10" orientation="portrait" r:id="rId2"/>
  <rowBreaks count="5" manualBreakCount="5">
    <brk id="358" max="13" man="1"/>
    <brk id="386" max="13" man="1"/>
    <brk id="399" max="12" man="1"/>
    <brk id="428" max="11" man="1"/>
    <brk id="527" max="11" man="1"/>
  </rowBreaks>
  <ignoredErrors>
    <ignoredError sqref="A310" formula="1"/>
    <ignoredError sqref="F93:F100 F328:F333 F464 F511:F512 F527 F541:F542 F596 F273 I579 I119:I130 I203:I204" numberStoredAsText="1"/>
  </ignoredError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0"/>
  <sheetViews>
    <sheetView view="pageBreakPreview" zoomScale="115" zoomScaleNormal="115" workbookViewId="0">
      <selection activeCell="A118" sqref="A118:XFD118"/>
    </sheetView>
  </sheetViews>
  <sheetFormatPr defaultColWidth="9" defaultRowHeight="18.899999999999999" customHeight="1" x14ac:dyDescent="0.45"/>
  <cols>
    <col min="1" max="1" width="9.54296875" style="1" customWidth="1"/>
    <col min="2" max="2" width="9" style="4"/>
    <col min="3" max="3" width="10.81640625" style="4" customWidth="1"/>
    <col min="4" max="4" width="19.1796875" style="36" customWidth="1"/>
    <col min="5" max="5" width="41.90625" style="1" customWidth="1"/>
    <col min="6" max="6" width="8.1796875" style="36" hidden="1" customWidth="1"/>
    <col min="7" max="7" width="8.1796875" style="36" customWidth="1"/>
    <col min="8" max="8" width="11.81640625" style="1" customWidth="1"/>
    <col min="9" max="9" width="9.453125" style="1" customWidth="1"/>
    <col min="10" max="10" width="8.36328125" style="1" customWidth="1"/>
    <col min="11" max="12" width="9.453125" style="1" customWidth="1"/>
    <col min="13" max="13" width="35.453125" style="85" customWidth="1"/>
    <col min="14" max="14" width="11.08984375" style="1" customWidth="1"/>
    <col min="15" max="16384" width="9" style="1"/>
  </cols>
  <sheetData>
    <row r="1" spans="1:13" ht="30" customHeight="1" x14ac:dyDescent="0.45">
      <c r="A1" s="241" t="s">
        <v>1064</v>
      </c>
      <c r="B1" s="242"/>
      <c r="C1" s="242"/>
      <c r="D1" s="242"/>
      <c r="E1" s="242"/>
      <c r="F1" s="242"/>
      <c r="G1" s="242"/>
      <c r="H1" s="242"/>
      <c r="I1" s="242"/>
      <c r="J1" s="242"/>
      <c r="K1" s="242"/>
      <c r="L1" s="242"/>
      <c r="M1" s="226" t="s">
        <v>1499</v>
      </c>
    </row>
    <row r="2" spans="1:13" ht="30" customHeight="1" x14ac:dyDescent="0.45">
      <c r="A2" s="241"/>
      <c r="B2" s="242"/>
      <c r="C2" s="242"/>
      <c r="D2" s="242"/>
      <c r="E2" s="242"/>
      <c r="F2" s="242"/>
      <c r="G2" s="242"/>
      <c r="H2" s="242"/>
      <c r="I2" s="242"/>
      <c r="J2" s="242"/>
      <c r="K2" s="242"/>
      <c r="L2" s="242"/>
      <c r="M2" s="107" t="s">
        <v>29</v>
      </c>
    </row>
    <row r="3" spans="1:13" ht="16.5" customHeight="1" x14ac:dyDescent="0.45">
      <c r="A3" s="2" t="s">
        <v>30</v>
      </c>
      <c r="B3" s="3" t="s">
        <v>31</v>
      </c>
      <c r="C3" s="3"/>
      <c r="D3" s="5"/>
      <c r="E3" s="4"/>
      <c r="F3" s="37"/>
      <c r="G3" s="37"/>
      <c r="H3" s="5" t="s">
        <v>32</v>
      </c>
      <c r="J3" s="3"/>
      <c r="M3" s="238" t="s">
        <v>1065</v>
      </c>
    </row>
    <row r="4" spans="1:13" ht="16.5" customHeight="1" x14ac:dyDescent="0.45">
      <c r="A4" s="6" t="s">
        <v>34</v>
      </c>
      <c r="B4" s="3" t="s">
        <v>35</v>
      </c>
      <c r="C4" s="3"/>
      <c r="D4" s="5"/>
      <c r="E4" s="3"/>
      <c r="F4" s="5"/>
      <c r="G4" s="5"/>
      <c r="H4" s="5" t="s">
        <v>36</v>
      </c>
      <c r="J4" s="3"/>
      <c r="M4" s="312"/>
    </row>
    <row r="5" spans="1:13" ht="17.25" customHeight="1" x14ac:dyDescent="0.45">
      <c r="A5" s="2" t="s">
        <v>37</v>
      </c>
      <c r="B5" s="7" t="s">
        <v>38</v>
      </c>
      <c r="C5" s="7"/>
      <c r="D5" s="86"/>
      <c r="E5" s="4"/>
      <c r="F5" s="37"/>
      <c r="G5" s="37"/>
      <c r="H5" s="5" t="s">
        <v>39</v>
      </c>
      <c r="J5" s="3"/>
      <c r="K5" s="8"/>
      <c r="L5" s="8"/>
      <c r="M5" s="313"/>
    </row>
    <row r="6" spans="1:13" ht="6.75" customHeight="1" x14ac:dyDescent="0.45">
      <c r="A6" s="9"/>
      <c r="B6" s="87"/>
      <c r="C6" s="87"/>
      <c r="D6" s="38"/>
      <c r="E6" s="10"/>
      <c r="F6" s="38"/>
      <c r="G6" s="38"/>
      <c r="H6" s="10"/>
      <c r="I6" s="10"/>
      <c r="J6" s="10"/>
      <c r="K6" s="10"/>
      <c r="L6" s="10"/>
      <c r="M6" s="1"/>
    </row>
    <row r="7" spans="1:13" ht="16.5" x14ac:dyDescent="0.45">
      <c r="A7" s="2" t="s">
        <v>40</v>
      </c>
      <c r="B7" s="3"/>
      <c r="C7" s="88"/>
      <c r="D7" s="13"/>
      <c r="E7" s="11"/>
      <c r="F7" s="13"/>
      <c r="G7" s="13"/>
      <c r="I7" s="12"/>
      <c r="J7" s="13"/>
      <c r="M7" s="1"/>
    </row>
    <row r="8" spans="1:13" ht="16.5" x14ac:dyDescent="0.45">
      <c r="A8" s="6" t="s">
        <v>41</v>
      </c>
      <c r="B8" s="3"/>
      <c r="C8" s="89"/>
      <c r="D8" s="48"/>
      <c r="H8" s="5" t="s">
        <v>32</v>
      </c>
      <c r="M8" s="1"/>
    </row>
    <row r="9" spans="1:13" ht="16.5" x14ac:dyDescent="0.45">
      <c r="A9" s="2" t="s">
        <v>42</v>
      </c>
      <c r="B9" s="3"/>
      <c r="C9" s="89"/>
      <c r="D9" s="48"/>
      <c r="H9" s="5" t="s">
        <v>36</v>
      </c>
      <c r="M9" s="1"/>
    </row>
    <row r="10" spans="1:13" ht="30" customHeight="1" x14ac:dyDescent="0.45">
      <c r="A10" s="15" t="s">
        <v>43</v>
      </c>
      <c r="B10" s="16" t="s">
        <v>44</v>
      </c>
      <c r="C10" s="16" t="s">
        <v>45</v>
      </c>
      <c r="D10" s="16" t="s">
        <v>46</v>
      </c>
      <c r="E10" s="16" t="s">
        <v>47</v>
      </c>
      <c r="F10" s="16" t="s">
        <v>48</v>
      </c>
      <c r="G10" s="16" t="s">
        <v>1066</v>
      </c>
      <c r="H10" s="16" t="s">
        <v>50</v>
      </c>
      <c r="I10" s="17" t="s">
        <v>51</v>
      </c>
      <c r="J10" s="16" t="s">
        <v>52</v>
      </c>
      <c r="K10" s="17" t="s">
        <v>53</v>
      </c>
      <c r="L10" s="17" t="s">
        <v>54</v>
      </c>
      <c r="M10" s="17" t="s">
        <v>55</v>
      </c>
    </row>
    <row r="11" spans="1:13" ht="19.5" customHeight="1" x14ac:dyDescent="0.45">
      <c r="A11" s="308" t="s">
        <v>1067</v>
      </c>
      <c r="B11" s="308"/>
      <c r="C11" s="308"/>
      <c r="D11" s="308"/>
      <c r="E11" s="308"/>
      <c r="F11" s="308"/>
      <c r="G11" s="308"/>
      <c r="H11" s="308"/>
      <c r="I11" s="308"/>
      <c r="J11" s="308"/>
      <c r="K11" s="308"/>
      <c r="L11" s="308"/>
      <c r="M11" s="308"/>
    </row>
    <row r="12" spans="1:13" ht="18.899999999999999" customHeight="1" x14ac:dyDescent="0.45">
      <c r="A12" s="19">
        <v>1</v>
      </c>
      <c r="B12" s="279" t="s">
        <v>1068</v>
      </c>
      <c r="C12" s="279" t="s">
        <v>1069</v>
      </c>
      <c r="D12" s="319" t="s">
        <v>1070</v>
      </c>
      <c r="E12" s="20" t="s">
        <v>1071</v>
      </c>
      <c r="F12" s="58">
        <v>1376</v>
      </c>
      <c r="G12" s="58" t="s">
        <v>83</v>
      </c>
      <c r="H12" s="26" t="s">
        <v>181</v>
      </c>
      <c r="I12" s="26">
        <v>10</v>
      </c>
      <c r="J12" s="26" t="s">
        <v>63</v>
      </c>
      <c r="K12" s="25">
        <v>56</v>
      </c>
      <c r="L12" s="65">
        <f>K12/60</f>
        <v>0.93333333333333335</v>
      </c>
      <c r="M12" s="108"/>
    </row>
    <row r="13" spans="1:13" ht="18.899999999999999" customHeight="1" x14ac:dyDescent="0.45">
      <c r="A13" s="19">
        <f>A12+1</f>
        <v>2</v>
      </c>
      <c r="B13" s="279"/>
      <c r="C13" s="279"/>
      <c r="D13" s="321"/>
      <c r="E13" s="20" t="s">
        <v>1072</v>
      </c>
      <c r="F13" s="26">
        <v>1371</v>
      </c>
      <c r="G13" s="58" t="s">
        <v>83</v>
      </c>
      <c r="H13" s="26" t="s">
        <v>181</v>
      </c>
      <c r="I13" s="19">
        <v>6</v>
      </c>
      <c r="J13" s="19" t="s">
        <v>63</v>
      </c>
      <c r="K13" s="64">
        <v>33</v>
      </c>
      <c r="L13" s="65">
        <f t="shared" ref="L13:L34" si="0">K13/60</f>
        <v>0.55000000000000004</v>
      </c>
      <c r="M13" s="108"/>
    </row>
    <row r="14" spans="1:13" ht="18.899999999999999" customHeight="1" x14ac:dyDescent="0.45">
      <c r="A14" s="19">
        <f>A13+1</f>
        <v>3</v>
      </c>
      <c r="B14" s="279"/>
      <c r="C14" s="279"/>
      <c r="D14" s="320"/>
      <c r="E14" s="91" t="s">
        <v>1073</v>
      </c>
      <c r="F14" s="92">
        <v>1562</v>
      </c>
      <c r="G14" s="58" t="s">
        <v>83</v>
      </c>
      <c r="H14" s="93" t="s">
        <v>136</v>
      </c>
      <c r="I14" s="92">
        <v>12</v>
      </c>
      <c r="J14" s="26" t="s">
        <v>63</v>
      </c>
      <c r="K14" s="109">
        <v>137</v>
      </c>
      <c r="L14" s="65">
        <f t="shared" si="0"/>
        <v>2.2833333333333332</v>
      </c>
      <c r="M14" s="108"/>
    </row>
    <row r="15" spans="1:13" ht="18.899999999999999" customHeight="1" x14ac:dyDescent="0.45">
      <c r="A15" s="19">
        <f>A14+1</f>
        <v>4</v>
      </c>
      <c r="B15" s="279"/>
      <c r="C15" s="279" t="s">
        <v>1074</v>
      </c>
      <c r="D15" s="319" t="s">
        <v>1075</v>
      </c>
      <c r="E15" s="20" t="s">
        <v>1076</v>
      </c>
      <c r="F15" s="58">
        <v>1365</v>
      </c>
      <c r="G15" s="58" t="s">
        <v>83</v>
      </c>
      <c r="H15" s="26" t="s">
        <v>181</v>
      </c>
      <c r="I15" s="23">
        <v>9</v>
      </c>
      <c r="J15" s="26" t="s">
        <v>63</v>
      </c>
      <c r="K15" s="25">
        <v>53</v>
      </c>
      <c r="L15" s="65">
        <f t="shared" si="0"/>
        <v>0.8833333333333333</v>
      </c>
      <c r="M15" s="108"/>
    </row>
    <row r="16" spans="1:13" ht="18.899999999999999" customHeight="1" x14ac:dyDescent="0.45">
      <c r="A16" s="19">
        <f t="shared" ref="A16:A34" si="1">A15+1</f>
        <v>5</v>
      </c>
      <c r="B16" s="279"/>
      <c r="C16" s="279"/>
      <c r="D16" s="321"/>
      <c r="E16" s="20" t="s">
        <v>1077</v>
      </c>
      <c r="F16" s="58">
        <v>1384</v>
      </c>
      <c r="G16" s="58" t="s">
        <v>83</v>
      </c>
      <c r="H16" s="26" t="s">
        <v>181</v>
      </c>
      <c r="I16" s="26">
        <v>8</v>
      </c>
      <c r="J16" s="26" t="s">
        <v>63</v>
      </c>
      <c r="K16" s="25">
        <v>47</v>
      </c>
      <c r="L16" s="65">
        <f t="shared" si="0"/>
        <v>0.78333333333333333</v>
      </c>
      <c r="M16" s="108"/>
    </row>
    <row r="17" spans="1:13" ht="18.899999999999999" customHeight="1" x14ac:dyDescent="0.45">
      <c r="A17" s="19">
        <f t="shared" si="1"/>
        <v>6</v>
      </c>
      <c r="B17" s="279"/>
      <c r="C17" s="279"/>
      <c r="D17" s="320"/>
      <c r="E17" s="20" t="s">
        <v>1078</v>
      </c>
      <c r="F17" s="58">
        <v>1354</v>
      </c>
      <c r="G17" s="58" t="s">
        <v>83</v>
      </c>
      <c r="H17" s="26" t="s">
        <v>181</v>
      </c>
      <c r="I17" s="26">
        <v>10</v>
      </c>
      <c r="J17" s="26" t="s">
        <v>63</v>
      </c>
      <c r="K17" s="25">
        <v>58</v>
      </c>
      <c r="L17" s="65">
        <f t="shared" si="0"/>
        <v>0.96666666666666667</v>
      </c>
      <c r="M17" s="108"/>
    </row>
    <row r="18" spans="1:13" ht="18.899999999999999" customHeight="1" x14ac:dyDescent="0.45">
      <c r="A18" s="19">
        <f t="shared" si="1"/>
        <v>7</v>
      </c>
      <c r="B18" s="279"/>
      <c r="C18" s="279" t="s">
        <v>1079</v>
      </c>
      <c r="D18" s="322" t="s">
        <v>1080</v>
      </c>
      <c r="E18" s="20" t="s">
        <v>1081</v>
      </c>
      <c r="F18" s="58">
        <v>1390</v>
      </c>
      <c r="G18" s="58" t="s">
        <v>83</v>
      </c>
      <c r="H18" s="26" t="s">
        <v>62</v>
      </c>
      <c r="I18" s="26">
        <v>12</v>
      </c>
      <c r="J18" s="26" t="s">
        <v>63</v>
      </c>
      <c r="K18" s="25">
        <v>81</v>
      </c>
      <c r="L18" s="65">
        <f t="shared" si="0"/>
        <v>1.35</v>
      </c>
      <c r="M18" s="108"/>
    </row>
    <row r="19" spans="1:13" ht="18.899999999999999" customHeight="1" x14ac:dyDescent="0.45">
      <c r="A19" s="19">
        <f t="shared" si="1"/>
        <v>8</v>
      </c>
      <c r="B19" s="279"/>
      <c r="C19" s="279"/>
      <c r="D19" s="259"/>
      <c r="E19" s="20" t="s">
        <v>1082</v>
      </c>
      <c r="F19" s="58">
        <v>1358</v>
      </c>
      <c r="G19" s="58" t="s">
        <v>83</v>
      </c>
      <c r="H19" s="26" t="s">
        <v>62</v>
      </c>
      <c r="I19" s="23">
        <v>10</v>
      </c>
      <c r="J19" s="26" t="s">
        <v>63</v>
      </c>
      <c r="K19" s="25">
        <v>50</v>
      </c>
      <c r="L19" s="65">
        <f t="shared" si="0"/>
        <v>0.83333333333333337</v>
      </c>
      <c r="M19" s="108"/>
    </row>
    <row r="20" spans="1:13" ht="18.899999999999999" customHeight="1" x14ac:dyDescent="0.45">
      <c r="A20" s="19">
        <f t="shared" si="1"/>
        <v>9</v>
      </c>
      <c r="B20" s="279"/>
      <c r="C20" s="279"/>
      <c r="D20" s="259"/>
      <c r="E20" s="20" t="s">
        <v>1083</v>
      </c>
      <c r="F20" s="58">
        <v>1370</v>
      </c>
      <c r="G20" s="58" t="s">
        <v>83</v>
      </c>
      <c r="H20" s="26" t="s">
        <v>62</v>
      </c>
      <c r="I20" s="23">
        <v>14</v>
      </c>
      <c r="J20" s="24" t="s">
        <v>63</v>
      </c>
      <c r="K20" s="25">
        <v>95</v>
      </c>
      <c r="L20" s="65">
        <f t="shared" si="0"/>
        <v>1.5833333333333333</v>
      </c>
      <c r="M20" s="65"/>
    </row>
    <row r="21" spans="1:13" ht="18.899999999999999" customHeight="1" x14ac:dyDescent="0.45">
      <c r="A21" s="19">
        <f t="shared" si="1"/>
        <v>10</v>
      </c>
      <c r="B21" s="279"/>
      <c r="C21" s="279"/>
      <c r="D21" s="259"/>
      <c r="E21" s="20" t="s">
        <v>1084</v>
      </c>
      <c r="F21" s="58">
        <v>1369</v>
      </c>
      <c r="G21" s="58" t="s">
        <v>83</v>
      </c>
      <c r="H21" s="26" t="s">
        <v>62</v>
      </c>
      <c r="I21" s="23">
        <v>10</v>
      </c>
      <c r="J21" s="24" t="s">
        <v>63</v>
      </c>
      <c r="K21" s="25">
        <v>55</v>
      </c>
      <c r="L21" s="65">
        <f t="shared" si="0"/>
        <v>0.91666666666666663</v>
      </c>
      <c r="M21" s="65"/>
    </row>
    <row r="22" spans="1:13" ht="18.899999999999999" customHeight="1" x14ac:dyDescent="0.45">
      <c r="A22" s="19">
        <f t="shared" si="1"/>
        <v>11</v>
      </c>
      <c r="B22" s="279"/>
      <c r="C22" s="279"/>
      <c r="D22" s="259"/>
      <c r="E22" s="20" t="s">
        <v>1085</v>
      </c>
      <c r="F22" s="58">
        <v>1387</v>
      </c>
      <c r="G22" s="58" t="s">
        <v>83</v>
      </c>
      <c r="H22" s="26" t="s">
        <v>62</v>
      </c>
      <c r="I22" s="23">
        <v>15</v>
      </c>
      <c r="J22" s="24" t="s">
        <v>63</v>
      </c>
      <c r="K22" s="25">
        <v>88</v>
      </c>
      <c r="L22" s="65">
        <f t="shared" si="0"/>
        <v>1.4666666666666666</v>
      </c>
      <c r="M22" s="65"/>
    </row>
    <row r="23" spans="1:13" ht="18.899999999999999" customHeight="1" x14ac:dyDescent="0.45">
      <c r="A23" s="19">
        <f t="shared" si="1"/>
        <v>12</v>
      </c>
      <c r="B23" s="279"/>
      <c r="C23" s="279"/>
      <c r="D23" s="260"/>
      <c r="E23" s="20" t="s">
        <v>1086</v>
      </c>
      <c r="F23" s="58">
        <v>1388</v>
      </c>
      <c r="G23" s="58" t="s">
        <v>83</v>
      </c>
      <c r="H23" s="26" t="s">
        <v>313</v>
      </c>
      <c r="I23" s="23">
        <v>12</v>
      </c>
      <c r="J23" s="24" t="s">
        <v>63</v>
      </c>
      <c r="K23" s="25">
        <v>61</v>
      </c>
      <c r="L23" s="65">
        <f t="shared" si="0"/>
        <v>1.0166666666666666</v>
      </c>
      <c r="M23" s="65"/>
    </row>
    <row r="24" spans="1:13" ht="18.899999999999999" customHeight="1" x14ac:dyDescent="0.45">
      <c r="A24" s="19">
        <f t="shared" si="1"/>
        <v>13</v>
      </c>
      <c r="B24" s="279"/>
      <c r="C24" s="279" t="s">
        <v>1087</v>
      </c>
      <c r="D24" s="319" t="s">
        <v>1088</v>
      </c>
      <c r="E24" s="20" t="s">
        <v>1089</v>
      </c>
      <c r="F24" s="58">
        <v>1385</v>
      </c>
      <c r="G24" s="58" t="s">
        <v>83</v>
      </c>
      <c r="H24" s="26" t="s">
        <v>181</v>
      </c>
      <c r="I24" s="26">
        <v>8</v>
      </c>
      <c r="J24" s="26" t="s">
        <v>63</v>
      </c>
      <c r="K24" s="25">
        <v>51</v>
      </c>
      <c r="L24" s="65">
        <f t="shared" si="0"/>
        <v>0.85</v>
      </c>
      <c r="M24" s="65"/>
    </row>
    <row r="25" spans="1:13" ht="18.899999999999999" customHeight="1" x14ac:dyDescent="0.45">
      <c r="A25" s="19">
        <f t="shared" si="1"/>
        <v>14</v>
      </c>
      <c r="B25" s="279"/>
      <c r="C25" s="279"/>
      <c r="D25" s="321"/>
      <c r="E25" s="20" t="s">
        <v>1090</v>
      </c>
      <c r="F25" s="58">
        <v>1383</v>
      </c>
      <c r="G25" s="58" t="s">
        <v>83</v>
      </c>
      <c r="H25" s="26" t="s">
        <v>181</v>
      </c>
      <c r="I25" s="26">
        <v>10</v>
      </c>
      <c r="J25" s="26" t="s">
        <v>63</v>
      </c>
      <c r="K25" s="25">
        <v>49</v>
      </c>
      <c r="L25" s="65">
        <f t="shared" si="0"/>
        <v>0.81666666666666665</v>
      </c>
      <c r="M25" s="65"/>
    </row>
    <row r="26" spans="1:13" ht="18.899999999999999" customHeight="1" x14ac:dyDescent="0.45">
      <c r="A26" s="19">
        <f t="shared" si="1"/>
        <v>15</v>
      </c>
      <c r="B26" s="279"/>
      <c r="C26" s="279"/>
      <c r="D26" s="320"/>
      <c r="E26" s="20" t="s">
        <v>1091</v>
      </c>
      <c r="F26" s="58">
        <v>1317</v>
      </c>
      <c r="G26" s="58" t="s">
        <v>83</v>
      </c>
      <c r="H26" s="26" t="s">
        <v>181</v>
      </c>
      <c r="I26" s="26">
        <v>13</v>
      </c>
      <c r="J26" s="26" t="s">
        <v>63</v>
      </c>
      <c r="K26" s="25">
        <v>58</v>
      </c>
      <c r="L26" s="65">
        <f t="shared" si="0"/>
        <v>0.96666666666666667</v>
      </c>
      <c r="M26" s="65"/>
    </row>
    <row r="27" spans="1:13" ht="18.899999999999999" customHeight="1" x14ac:dyDescent="0.45">
      <c r="A27" s="19">
        <f t="shared" si="1"/>
        <v>16</v>
      </c>
      <c r="B27" s="279"/>
      <c r="C27" s="279" t="s">
        <v>1092</v>
      </c>
      <c r="D27" s="319" t="s">
        <v>1093</v>
      </c>
      <c r="E27" s="20" t="s">
        <v>1094</v>
      </c>
      <c r="F27" s="58">
        <v>1353</v>
      </c>
      <c r="G27" s="58" t="s">
        <v>83</v>
      </c>
      <c r="H27" s="26" t="s">
        <v>181</v>
      </c>
      <c r="I27" s="23">
        <v>11</v>
      </c>
      <c r="J27" s="26" t="s">
        <v>63</v>
      </c>
      <c r="K27" s="25">
        <v>57</v>
      </c>
      <c r="L27" s="65">
        <f t="shared" si="0"/>
        <v>0.95</v>
      </c>
      <c r="M27" s="65"/>
    </row>
    <row r="28" spans="1:13" ht="18.899999999999999" customHeight="1" x14ac:dyDescent="0.45">
      <c r="A28" s="19">
        <f t="shared" si="1"/>
        <v>17</v>
      </c>
      <c r="B28" s="279"/>
      <c r="C28" s="279"/>
      <c r="D28" s="321"/>
      <c r="E28" s="20" t="s">
        <v>1095</v>
      </c>
      <c r="F28" s="58">
        <v>1382</v>
      </c>
      <c r="G28" s="58" t="s">
        <v>83</v>
      </c>
      <c r="H28" s="26" t="s">
        <v>181</v>
      </c>
      <c r="I28" s="26">
        <v>10</v>
      </c>
      <c r="J28" s="26" t="s">
        <v>63</v>
      </c>
      <c r="K28" s="25">
        <v>54</v>
      </c>
      <c r="L28" s="65">
        <f t="shared" si="0"/>
        <v>0.9</v>
      </c>
      <c r="M28" s="65"/>
    </row>
    <row r="29" spans="1:13" ht="18.899999999999999" customHeight="1" x14ac:dyDescent="0.45">
      <c r="A29" s="19">
        <f t="shared" si="1"/>
        <v>18</v>
      </c>
      <c r="B29" s="279"/>
      <c r="C29" s="279"/>
      <c r="D29" s="320"/>
      <c r="E29" s="20" t="s">
        <v>1096</v>
      </c>
      <c r="F29" s="58">
        <v>1359</v>
      </c>
      <c r="G29" s="58" t="s">
        <v>83</v>
      </c>
      <c r="H29" s="26" t="s">
        <v>181</v>
      </c>
      <c r="I29" s="23">
        <v>8</v>
      </c>
      <c r="J29" s="26" t="s">
        <v>63</v>
      </c>
      <c r="K29" s="25">
        <v>46</v>
      </c>
      <c r="L29" s="65">
        <f t="shared" si="0"/>
        <v>0.76666666666666672</v>
      </c>
      <c r="M29" s="65"/>
    </row>
    <row r="30" spans="1:13" ht="18.899999999999999" customHeight="1" x14ac:dyDescent="0.45">
      <c r="A30" s="19">
        <f t="shared" si="1"/>
        <v>19</v>
      </c>
      <c r="B30" s="279"/>
      <c r="C30" s="279" t="s">
        <v>1097</v>
      </c>
      <c r="D30" s="319" t="s">
        <v>1098</v>
      </c>
      <c r="E30" s="20" t="s">
        <v>1099</v>
      </c>
      <c r="F30" s="58">
        <v>1357</v>
      </c>
      <c r="G30" s="58" t="s">
        <v>83</v>
      </c>
      <c r="H30" s="26" t="s">
        <v>62</v>
      </c>
      <c r="I30" s="23">
        <v>10</v>
      </c>
      <c r="J30" s="26" t="s">
        <v>63</v>
      </c>
      <c r="K30" s="25">
        <v>65</v>
      </c>
      <c r="L30" s="65">
        <f t="shared" si="0"/>
        <v>1.0833333333333333</v>
      </c>
      <c r="M30" s="65"/>
    </row>
    <row r="31" spans="1:13" ht="18.899999999999999" customHeight="1" x14ac:dyDescent="0.45">
      <c r="A31" s="19">
        <f t="shared" si="1"/>
        <v>20</v>
      </c>
      <c r="B31" s="279"/>
      <c r="C31" s="279"/>
      <c r="D31" s="320"/>
      <c r="E31" s="20" t="s">
        <v>1100</v>
      </c>
      <c r="F31" s="58">
        <v>1366</v>
      </c>
      <c r="G31" s="58" t="s">
        <v>83</v>
      </c>
      <c r="H31" s="22" t="s">
        <v>282</v>
      </c>
      <c r="I31" s="23">
        <v>10</v>
      </c>
      <c r="J31" s="26" t="s">
        <v>63</v>
      </c>
      <c r="K31" s="25">
        <v>59</v>
      </c>
      <c r="L31" s="65">
        <f t="shared" si="0"/>
        <v>0.98333333333333328</v>
      </c>
      <c r="M31" s="65"/>
    </row>
    <row r="32" spans="1:13" ht="18.899999999999999" customHeight="1" x14ac:dyDescent="0.45">
      <c r="A32" s="19">
        <f t="shared" si="1"/>
        <v>21</v>
      </c>
      <c r="B32" s="279"/>
      <c r="C32" s="19" t="s">
        <v>1101</v>
      </c>
      <c r="D32" s="77" t="s">
        <v>1102</v>
      </c>
      <c r="E32" s="20" t="s">
        <v>1103</v>
      </c>
      <c r="F32" s="58">
        <v>1309</v>
      </c>
      <c r="G32" s="58" t="s">
        <v>83</v>
      </c>
      <c r="H32" s="26" t="s">
        <v>181</v>
      </c>
      <c r="I32" s="26">
        <v>10</v>
      </c>
      <c r="J32" s="26" t="s">
        <v>63</v>
      </c>
      <c r="K32" s="25">
        <v>54</v>
      </c>
      <c r="L32" s="65">
        <f t="shared" si="0"/>
        <v>0.9</v>
      </c>
      <c r="M32" s="65"/>
    </row>
    <row r="33" spans="1:13" ht="18.899999999999999" customHeight="1" x14ac:dyDescent="0.45">
      <c r="A33" s="19">
        <f t="shared" si="1"/>
        <v>22</v>
      </c>
      <c r="B33" s="279"/>
      <c r="C33" s="279" t="s">
        <v>1104</v>
      </c>
      <c r="D33" s="319" t="s">
        <v>1105</v>
      </c>
      <c r="E33" s="20" t="s">
        <v>1106</v>
      </c>
      <c r="F33" s="58">
        <v>1347</v>
      </c>
      <c r="G33" s="58" t="s">
        <v>83</v>
      </c>
      <c r="H33" s="26" t="s">
        <v>62</v>
      </c>
      <c r="I33" s="26">
        <v>10</v>
      </c>
      <c r="J33" s="26" t="s">
        <v>63</v>
      </c>
      <c r="K33" s="25">
        <v>55</v>
      </c>
      <c r="L33" s="65">
        <f t="shared" si="0"/>
        <v>0.91666666666666663</v>
      </c>
      <c r="M33" s="65"/>
    </row>
    <row r="34" spans="1:13" ht="18.899999999999999" customHeight="1" x14ac:dyDescent="0.45">
      <c r="A34" s="19">
        <f t="shared" si="1"/>
        <v>23</v>
      </c>
      <c r="B34" s="279"/>
      <c r="C34" s="279"/>
      <c r="D34" s="320"/>
      <c r="E34" s="20" t="s">
        <v>1107</v>
      </c>
      <c r="F34" s="58">
        <v>1352</v>
      </c>
      <c r="G34" s="58" t="s">
        <v>83</v>
      </c>
      <c r="H34" s="26" t="s">
        <v>181</v>
      </c>
      <c r="I34" s="26">
        <v>11</v>
      </c>
      <c r="J34" s="26" t="s">
        <v>63</v>
      </c>
      <c r="K34" s="25">
        <v>61</v>
      </c>
      <c r="L34" s="65">
        <f t="shared" si="0"/>
        <v>1.0166666666666666</v>
      </c>
      <c r="M34" s="65"/>
    </row>
    <row r="35" spans="1:13" ht="18.899999999999999" customHeight="1" x14ac:dyDescent="0.45">
      <c r="A35" s="308" t="s">
        <v>1108</v>
      </c>
      <c r="B35" s="308"/>
      <c r="C35" s="308"/>
      <c r="D35" s="308"/>
      <c r="E35" s="308"/>
      <c r="F35" s="308"/>
      <c r="G35" s="308"/>
      <c r="H35" s="308"/>
      <c r="I35" s="308"/>
      <c r="J35" s="308"/>
      <c r="K35" s="308"/>
      <c r="L35" s="308"/>
      <c r="M35" s="308"/>
    </row>
    <row r="36" spans="1:13" ht="18.899999999999999" customHeight="1" x14ac:dyDescent="0.45">
      <c r="A36" s="19">
        <f>A34+1</f>
        <v>24</v>
      </c>
      <c r="B36" s="271" t="s">
        <v>1109</v>
      </c>
      <c r="C36" s="282" t="s">
        <v>1110</v>
      </c>
      <c r="D36" s="317" t="s">
        <v>1111</v>
      </c>
      <c r="E36" s="51" t="s">
        <v>1112</v>
      </c>
      <c r="F36" s="19">
        <v>1345</v>
      </c>
      <c r="G36" s="58" t="s">
        <v>83</v>
      </c>
      <c r="H36" s="26" t="s">
        <v>62</v>
      </c>
      <c r="I36" s="19">
        <v>3</v>
      </c>
      <c r="J36" s="19" t="s">
        <v>63</v>
      </c>
      <c r="K36" s="64">
        <v>30</v>
      </c>
      <c r="L36" s="65">
        <f>K36/60</f>
        <v>0.5</v>
      </c>
      <c r="M36" s="65"/>
    </row>
    <row r="37" spans="1:13" ht="18.899999999999999" customHeight="1" x14ac:dyDescent="0.45">
      <c r="A37" s="19">
        <f t="shared" ref="A37:A45" si="2">A36+1</f>
        <v>25</v>
      </c>
      <c r="B37" s="272"/>
      <c r="C37" s="283"/>
      <c r="D37" s="248"/>
      <c r="E37" s="51" t="s">
        <v>1113</v>
      </c>
      <c r="F37" s="19">
        <v>1346</v>
      </c>
      <c r="G37" s="19" t="s">
        <v>125</v>
      </c>
      <c r="H37" s="26" t="s">
        <v>62</v>
      </c>
      <c r="I37" s="19">
        <v>4</v>
      </c>
      <c r="J37" s="19" t="s">
        <v>63</v>
      </c>
      <c r="K37" s="64">
        <v>31</v>
      </c>
      <c r="L37" s="65">
        <f t="shared" ref="L37:L61" si="3">K37/60</f>
        <v>0.51666666666666672</v>
      </c>
      <c r="M37" s="65"/>
    </row>
    <row r="38" spans="1:13" ht="18.899999999999999" customHeight="1" x14ac:dyDescent="0.45">
      <c r="A38" s="19">
        <f t="shared" si="2"/>
        <v>26</v>
      </c>
      <c r="B38" s="272"/>
      <c r="C38" s="283"/>
      <c r="D38" s="248"/>
      <c r="E38" s="51" t="s">
        <v>1114</v>
      </c>
      <c r="F38" s="19">
        <v>1039</v>
      </c>
      <c r="G38" s="58" t="s">
        <v>83</v>
      </c>
      <c r="H38" s="26" t="s">
        <v>62</v>
      </c>
      <c r="I38" s="19">
        <v>3</v>
      </c>
      <c r="J38" s="19" t="s">
        <v>63</v>
      </c>
      <c r="K38" s="64">
        <v>58</v>
      </c>
      <c r="L38" s="65">
        <f t="shared" si="3"/>
        <v>0.96666666666666667</v>
      </c>
      <c r="M38" s="65"/>
    </row>
    <row r="39" spans="1:13" ht="18.899999999999999" customHeight="1" x14ac:dyDescent="0.45">
      <c r="A39" s="19">
        <f t="shared" si="2"/>
        <v>27</v>
      </c>
      <c r="B39" s="272"/>
      <c r="C39" s="283"/>
      <c r="D39" s="248"/>
      <c r="E39" s="51" t="s">
        <v>1115</v>
      </c>
      <c r="F39" s="19">
        <v>1038</v>
      </c>
      <c r="G39" s="58" t="s">
        <v>125</v>
      </c>
      <c r="H39" s="26" t="s">
        <v>62</v>
      </c>
      <c r="I39" s="19">
        <v>5</v>
      </c>
      <c r="J39" s="19" t="s">
        <v>63</v>
      </c>
      <c r="K39" s="64">
        <v>56</v>
      </c>
      <c r="L39" s="65">
        <f t="shared" si="3"/>
        <v>0.93333333333333335</v>
      </c>
      <c r="M39" s="65"/>
    </row>
    <row r="40" spans="1:13" ht="18.899999999999999" customHeight="1" x14ac:dyDescent="0.45">
      <c r="A40" s="19">
        <f t="shared" si="2"/>
        <v>28</v>
      </c>
      <c r="B40" s="272"/>
      <c r="C40" s="283"/>
      <c r="D40" s="248"/>
      <c r="E40" s="51" t="s">
        <v>1116</v>
      </c>
      <c r="F40" s="19">
        <v>1041</v>
      </c>
      <c r="G40" s="58" t="s">
        <v>125</v>
      </c>
      <c r="H40" s="26" t="s">
        <v>62</v>
      </c>
      <c r="I40" s="19">
        <v>4</v>
      </c>
      <c r="J40" s="19" t="s">
        <v>63</v>
      </c>
      <c r="K40" s="64">
        <v>78</v>
      </c>
      <c r="L40" s="65">
        <f t="shared" si="3"/>
        <v>1.3</v>
      </c>
      <c r="M40" s="65"/>
    </row>
    <row r="41" spans="1:13" ht="18.899999999999999" customHeight="1" x14ac:dyDescent="0.45">
      <c r="A41" s="19">
        <f t="shared" si="2"/>
        <v>29</v>
      </c>
      <c r="B41" s="272"/>
      <c r="C41" s="283"/>
      <c r="D41" s="248"/>
      <c r="E41" s="51" t="s">
        <v>1117</v>
      </c>
      <c r="F41" s="19">
        <v>1042</v>
      </c>
      <c r="G41" s="58" t="s">
        <v>125</v>
      </c>
      <c r="H41" s="26" t="s">
        <v>62</v>
      </c>
      <c r="I41" s="19">
        <v>3</v>
      </c>
      <c r="J41" s="19" t="s">
        <v>63</v>
      </c>
      <c r="K41" s="64">
        <v>41</v>
      </c>
      <c r="L41" s="65">
        <f t="shared" si="3"/>
        <v>0.68333333333333335</v>
      </c>
      <c r="M41" s="65"/>
    </row>
    <row r="42" spans="1:13" ht="18.899999999999999" customHeight="1" x14ac:dyDescent="0.45">
      <c r="A42" s="19">
        <f t="shared" si="2"/>
        <v>30</v>
      </c>
      <c r="B42" s="272"/>
      <c r="C42" s="283"/>
      <c r="D42" s="248"/>
      <c r="E42" s="20" t="s">
        <v>1118</v>
      </c>
      <c r="F42" s="58">
        <v>1340</v>
      </c>
      <c r="G42" s="58" t="s">
        <v>83</v>
      </c>
      <c r="H42" s="26" t="s">
        <v>62</v>
      </c>
      <c r="I42" s="26">
        <v>12</v>
      </c>
      <c r="J42" s="26" t="s">
        <v>63</v>
      </c>
      <c r="K42" s="25">
        <v>71</v>
      </c>
      <c r="L42" s="65">
        <f t="shared" si="3"/>
        <v>1.1833333333333333</v>
      </c>
      <c r="M42" s="65"/>
    </row>
    <row r="43" spans="1:13" ht="18.899999999999999" customHeight="1" x14ac:dyDescent="0.45">
      <c r="A43" s="19">
        <f t="shared" si="2"/>
        <v>31</v>
      </c>
      <c r="B43" s="272"/>
      <c r="C43" s="283"/>
      <c r="D43" s="248"/>
      <c r="E43" s="51" t="s">
        <v>1119</v>
      </c>
      <c r="F43" s="19">
        <v>1015</v>
      </c>
      <c r="G43" s="58" t="s">
        <v>83</v>
      </c>
      <c r="H43" s="26" t="s">
        <v>62</v>
      </c>
      <c r="I43" s="19">
        <v>6</v>
      </c>
      <c r="J43" s="19" t="s">
        <v>63</v>
      </c>
      <c r="K43" s="64">
        <v>70</v>
      </c>
      <c r="L43" s="65">
        <f t="shared" si="3"/>
        <v>1.1666666666666667</v>
      </c>
      <c r="M43" s="65"/>
    </row>
    <row r="44" spans="1:13" ht="18.899999999999999" customHeight="1" x14ac:dyDescent="0.45">
      <c r="A44" s="19">
        <f t="shared" si="2"/>
        <v>32</v>
      </c>
      <c r="B44" s="272"/>
      <c r="C44" s="246"/>
      <c r="D44" s="318"/>
      <c r="E44" s="94" t="s">
        <v>1120</v>
      </c>
      <c r="F44" s="95">
        <v>1606</v>
      </c>
      <c r="G44" s="58" t="s">
        <v>83</v>
      </c>
      <c r="H44" s="96" t="s">
        <v>126</v>
      </c>
      <c r="I44" s="95">
        <v>11</v>
      </c>
      <c r="J44" s="19" t="s">
        <v>63</v>
      </c>
      <c r="K44" s="110">
        <v>156</v>
      </c>
      <c r="L44" s="65">
        <f t="shared" si="3"/>
        <v>2.6</v>
      </c>
      <c r="M44" s="111" t="s">
        <v>139</v>
      </c>
    </row>
    <row r="45" spans="1:13" ht="18.899999999999999" customHeight="1" x14ac:dyDescent="0.45">
      <c r="A45" s="19">
        <f t="shared" si="2"/>
        <v>33</v>
      </c>
      <c r="B45" s="272"/>
      <c r="C45" s="271" t="s">
        <v>1121</v>
      </c>
      <c r="D45" s="319" t="s">
        <v>1122</v>
      </c>
      <c r="E45" s="51" t="s">
        <v>1123</v>
      </c>
      <c r="F45" s="19">
        <v>1049</v>
      </c>
      <c r="G45" s="19" t="s">
        <v>83</v>
      </c>
      <c r="H45" s="26" t="s">
        <v>62</v>
      </c>
      <c r="I45" s="19">
        <v>4</v>
      </c>
      <c r="J45" s="19" t="s">
        <v>63</v>
      </c>
      <c r="K45" s="64">
        <v>54</v>
      </c>
      <c r="L45" s="65">
        <f t="shared" si="3"/>
        <v>0.9</v>
      </c>
      <c r="M45" s="65"/>
    </row>
    <row r="46" spans="1:13" ht="18.899999999999999" customHeight="1" x14ac:dyDescent="0.45">
      <c r="A46" s="19">
        <f t="shared" ref="A46:A53" si="4">A45+1</f>
        <v>34</v>
      </c>
      <c r="B46" s="272"/>
      <c r="C46" s="273"/>
      <c r="D46" s="320"/>
      <c r="E46" s="51" t="s">
        <v>1124</v>
      </c>
      <c r="F46" s="19">
        <v>1095</v>
      </c>
      <c r="G46" s="19" t="s">
        <v>83</v>
      </c>
      <c r="H46" s="26" t="s">
        <v>62</v>
      </c>
      <c r="I46" s="19">
        <v>1</v>
      </c>
      <c r="J46" s="19" t="s">
        <v>63</v>
      </c>
      <c r="K46" s="64">
        <v>52</v>
      </c>
      <c r="L46" s="65">
        <f t="shared" si="3"/>
        <v>0.8666666666666667</v>
      </c>
      <c r="M46" s="65"/>
    </row>
    <row r="47" spans="1:13" ht="18.899999999999999" customHeight="1" x14ac:dyDescent="0.45">
      <c r="A47" s="19">
        <f t="shared" si="4"/>
        <v>35</v>
      </c>
      <c r="B47" s="272"/>
      <c r="C47" s="271" t="s">
        <v>1125</v>
      </c>
      <c r="D47" s="319" t="s">
        <v>1126</v>
      </c>
      <c r="E47" s="97" t="s">
        <v>1127</v>
      </c>
      <c r="F47" s="98">
        <v>1579</v>
      </c>
      <c r="G47" s="98" t="s">
        <v>83</v>
      </c>
      <c r="H47" s="99" t="s">
        <v>62</v>
      </c>
      <c r="I47" s="98">
        <v>13</v>
      </c>
      <c r="J47" s="39" t="s">
        <v>63</v>
      </c>
      <c r="K47" s="112">
        <v>126</v>
      </c>
      <c r="L47" s="65">
        <f t="shared" si="3"/>
        <v>2.1</v>
      </c>
      <c r="M47" s="65"/>
    </row>
    <row r="48" spans="1:13" ht="18.899999999999999" customHeight="1" x14ac:dyDescent="0.45">
      <c r="A48" s="19">
        <f t="shared" si="4"/>
        <v>36</v>
      </c>
      <c r="B48" s="272"/>
      <c r="C48" s="272"/>
      <c r="D48" s="321"/>
      <c r="E48" s="97" t="s">
        <v>1128</v>
      </c>
      <c r="F48" s="98">
        <v>1581</v>
      </c>
      <c r="G48" s="98" t="s">
        <v>125</v>
      </c>
      <c r="H48" s="99" t="s">
        <v>62</v>
      </c>
      <c r="I48" s="98">
        <v>15</v>
      </c>
      <c r="J48" s="39" t="s">
        <v>63</v>
      </c>
      <c r="K48" s="112">
        <v>155</v>
      </c>
      <c r="L48" s="65">
        <f t="shared" si="3"/>
        <v>2.5833333333333335</v>
      </c>
      <c r="M48" s="65"/>
    </row>
    <row r="49" spans="1:13" ht="18.899999999999999" customHeight="1" x14ac:dyDescent="0.45">
      <c r="A49" s="19">
        <f t="shared" si="4"/>
        <v>37</v>
      </c>
      <c r="B49" s="272"/>
      <c r="C49" s="273"/>
      <c r="D49" s="320"/>
      <c r="E49" s="97" t="s">
        <v>1129</v>
      </c>
      <c r="F49" s="98">
        <v>1580</v>
      </c>
      <c r="G49" s="98" t="s">
        <v>161</v>
      </c>
      <c r="H49" s="99" t="s">
        <v>62</v>
      </c>
      <c r="I49" s="98">
        <v>10</v>
      </c>
      <c r="J49" s="39" t="s">
        <v>63</v>
      </c>
      <c r="K49" s="112">
        <v>138</v>
      </c>
      <c r="L49" s="65">
        <f t="shared" si="3"/>
        <v>2.2999999999999998</v>
      </c>
      <c r="M49" s="65"/>
    </row>
    <row r="50" spans="1:13" ht="18.899999999999999" customHeight="1" x14ac:dyDescent="0.45">
      <c r="A50" s="19">
        <f t="shared" si="4"/>
        <v>38</v>
      </c>
      <c r="B50" s="272"/>
      <c r="C50" s="271" t="s">
        <v>1130</v>
      </c>
      <c r="D50" s="322" t="s">
        <v>1131</v>
      </c>
      <c r="E50" s="20" t="s">
        <v>1132</v>
      </c>
      <c r="F50" s="26">
        <v>1018</v>
      </c>
      <c r="G50" s="26" t="s">
        <v>83</v>
      </c>
      <c r="H50" s="26" t="s">
        <v>62</v>
      </c>
      <c r="I50" s="26">
        <v>5</v>
      </c>
      <c r="J50" s="19" t="s">
        <v>63</v>
      </c>
      <c r="K50" s="64">
        <v>75</v>
      </c>
      <c r="L50" s="65">
        <f t="shared" si="3"/>
        <v>1.25</v>
      </c>
      <c r="M50" s="65"/>
    </row>
    <row r="51" spans="1:13" ht="18.899999999999999" customHeight="1" x14ac:dyDescent="0.45">
      <c r="A51" s="19">
        <f t="shared" si="4"/>
        <v>39</v>
      </c>
      <c r="B51" s="272"/>
      <c r="C51" s="272"/>
      <c r="D51" s="259"/>
      <c r="E51" s="51" t="s">
        <v>1133</v>
      </c>
      <c r="F51" s="19">
        <v>1096</v>
      </c>
      <c r="G51" s="26" t="s">
        <v>83</v>
      </c>
      <c r="H51" s="26" t="s">
        <v>62</v>
      </c>
      <c r="I51" s="19">
        <v>4</v>
      </c>
      <c r="J51" s="19" t="s">
        <v>63</v>
      </c>
      <c r="K51" s="64">
        <v>48</v>
      </c>
      <c r="L51" s="65">
        <f t="shared" si="3"/>
        <v>0.8</v>
      </c>
      <c r="M51" s="65"/>
    </row>
    <row r="52" spans="1:13" ht="18.899999999999999" customHeight="1" x14ac:dyDescent="0.45">
      <c r="A52" s="19">
        <f t="shared" si="4"/>
        <v>40</v>
      </c>
      <c r="B52" s="272"/>
      <c r="C52" s="272"/>
      <c r="D52" s="259"/>
      <c r="E52" s="20" t="s">
        <v>1134</v>
      </c>
      <c r="F52" s="26">
        <v>983</v>
      </c>
      <c r="G52" s="26" t="s">
        <v>83</v>
      </c>
      <c r="H52" s="26" t="s">
        <v>62</v>
      </c>
      <c r="I52" s="26">
        <v>6</v>
      </c>
      <c r="J52" s="19" t="s">
        <v>63</v>
      </c>
      <c r="K52" s="64">
        <v>104</v>
      </c>
      <c r="L52" s="65">
        <f t="shared" si="3"/>
        <v>1.7333333333333334</v>
      </c>
      <c r="M52" s="65"/>
    </row>
    <row r="53" spans="1:13" ht="18.899999999999999" customHeight="1" x14ac:dyDescent="0.45">
      <c r="A53" s="19">
        <f t="shared" si="4"/>
        <v>41</v>
      </c>
      <c r="B53" s="273"/>
      <c r="C53" s="273"/>
      <c r="D53" s="260"/>
      <c r="E53" s="20" t="s">
        <v>1135</v>
      </c>
      <c r="F53" s="26">
        <v>26</v>
      </c>
      <c r="G53" s="26" t="s">
        <v>83</v>
      </c>
      <c r="H53" s="19" t="s">
        <v>891</v>
      </c>
      <c r="I53" s="19">
        <v>5</v>
      </c>
      <c r="J53" s="19" t="s">
        <v>63</v>
      </c>
      <c r="K53" s="64">
        <v>36</v>
      </c>
      <c r="L53" s="65">
        <f t="shared" si="3"/>
        <v>0.6</v>
      </c>
      <c r="M53" s="65"/>
    </row>
    <row r="54" spans="1:13" ht="18.899999999999999" customHeight="1" x14ac:dyDescent="0.45">
      <c r="A54" s="19">
        <f t="shared" ref="A54:A58" si="5">A53+1</f>
        <v>42</v>
      </c>
      <c r="B54" s="271" t="s">
        <v>1136</v>
      </c>
      <c r="C54" s="271" t="s">
        <v>1136</v>
      </c>
      <c r="D54" s="322" t="s">
        <v>1137</v>
      </c>
      <c r="E54" s="20" t="s">
        <v>1138</v>
      </c>
      <c r="F54" s="26">
        <v>1260</v>
      </c>
      <c r="G54" s="26" t="s">
        <v>83</v>
      </c>
      <c r="H54" s="100" t="s">
        <v>2</v>
      </c>
      <c r="I54" s="19">
        <v>3</v>
      </c>
      <c r="J54" s="19" t="s">
        <v>63</v>
      </c>
      <c r="K54" s="64">
        <v>77</v>
      </c>
      <c r="L54" s="65">
        <f t="shared" si="3"/>
        <v>1.2833333333333334</v>
      </c>
      <c r="M54" s="66"/>
    </row>
    <row r="55" spans="1:13" ht="18.899999999999999" customHeight="1" x14ac:dyDescent="0.45">
      <c r="A55" s="19">
        <f t="shared" si="5"/>
        <v>43</v>
      </c>
      <c r="B55" s="272"/>
      <c r="C55" s="272"/>
      <c r="D55" s="259"/>
      <c r="E55" s="20" t="s">
        <v>1139</v>
      </c>
      <c r="F55" s="26">
        <v>1261</v>
      </c>
      <c r="G55" s="26" t="s">
        <v>83</v>
      </c>
      <c r="H55" s="100" t="s">
        <v>2</v>
      </c>
      <c r="I55" s="19">
        <v>3</v>
      </c>
      <c r="J55" s="19" t="s">
        <v>63</v>
      </c>
      <c r="K55" s="64">
        <v>71</v>
      </c>
      <c r="L55" s="65">
        <f t="shared" si="3"/>
        <v>1.1833333333333333</v>
      </c>
      <c r="M55" s="66"/>
    </row>
    <row r="56" spans="1:13" ht="18.899999999999999" customHeight="1" x14ac:dyDescent="0.45">
      <c r="A56" s="19">
        <f t="shared" si="5"/>
        <v>44</v>
      </c>
      <c r="B56" s="272"/>
      <c r="C56" s="272"/>
      <c r="D56" s="259"/>
      <c r="E56" s="20" t="s">
        <v>1140</v>
      </c>
      <c r="F56" s="26">
        <v>1262</v>
      </c>
      <c r="G56" s="26" t="s">
        <v>83</v>
      </c>
      <c r="H56" s="100" t="s">
        <v>2</v>
      </c>
      <c r="I56" s="19">
        <v>5</v>
      </c>
      <c r="J56" s="19" t="s">
        <v>63</v>
      </c>
      <c r="K56" s="64">
        <v>85</v>
      </c>
      <c r="L56" s="65">
        <f t="shared" si="3"/>
        <v>1.4166666666666667</v>
      </c>
      <c r="M56" s="66"/>
    </row>
    <row r="57" spans="1:13" ht="18.899999999999999" customHeight="1" x14ac:dyDescent="0.45">
      <c r="A57" s="19">
        <f t="shared" si="5"/>
        <v>45</v>
      </c>
      <c r="B57" s="272"/>
      <c r="C57" s="272"/>
      <c r="D57" s="259"/>
      <c r="E57" s="20" t="s">
        <v>1141</v>
      </c>
      <c r="F57" s="26">
        <v>1263</v>
      </c>
      <c r="G57" s="26" t="s">
        <v>83</v>
      </c>
      <c r="H57" s="100" t="s">
        <v>2</v>
      </c>
      <c r="I57" s="19">
        <v>2</v>
      </c>
      <c r="J57" s="19" t="s">
        <v>63</v>
      </c>
      <c r="K57" s="64">
        <v>60</v>
      </c>
      <c r="L57" s="65">
        <f t="shared" si="3"/>
        <v>1</v>
      </c>
      <c r="M57" s="66"/>
    </row>
    <row r="58" spans="1:13" ht="18.899999999999999" customHeight="1" x14ac:dyDescent="0.45">
      <c r="A58" s="19">
        <f t="shared" si="5"/>
        <v>46</v>
      </c>
      <c r="B58" s="272"/>
      <c r="C58" s="272"/>
      <c r="D58" s="259"/>
      <c r="E58" s="20" t="s">
        <v>1142</v>
      </c>
      <c r="F58" s="26">
        <v>1264</v>
      </c>
      <c r="G58" s="26" t="s">
        <v>83</v>
      </c>
      <c r="H58" s="100" t="s">
        <v>2</v>
      </c>
      <c r="I58" s="19">
        <v>5</v>
      </c>
      <c r="J58" s="19" t="s">
        <v>63</v>
      </c>
      <c r="K58" s="64">
        <v>63</v>
      </c>
      <c r="L58" s="65">
        <f t="shared" si="3"/>
        <v>1.05</v>
      </c>
      <c r="M58" s="66"/>
    </row>
    <row r="59" spans="1:13" ht="18.899999999999999" customHeight="1" x14ac:dyDescent="0.45">
      <c r="A59" s="19">
        <f>A58+1</f>
        <v>47</v>
      </c>
      <c r="B59" s="272"/>
      <c r="C59" s="272"/>
      <c r="D59" s="259"/>
      <c r="E59" s="20" t="s">
        <v>1143</v>
      </c>
      <c r="F59" s="26">
        <v>1265</v>
      </c>
      <c r="G59" s="26" t="s">
        <v>83</v>
      </c>
      <c r="H59" s="100" t="s">
        <v>2</v>
      </c>
      <c r="I59" s="19">
        <v>3</v>
      </c>
      <c r="J59" s="19" t="s">
        <v>63</v>
      </c>
      <c r="K59" s="64">
        <v>65</v>
      </c>
      <c r="L59" s="65">
        <f t="shared" si="3"/>
        <v>1.0833333333333333</v>
      </c>
      <c r="M59" s="66"/>
    </row>
    <row r="60" spans="1:13" ht="18.899999999999999" customHeight="1" x14ac:dyDescent="0.45">
      <c r="A60" s="19">
        <f>A59+1</f>
        <v>48</v>
      </c>
      <c r="B60" s="272"/>
      <c r="C60" s="272"/>
      <c r="D60" s="259"/>
      <c r="E60" s="20" t="s">
        <v>1144</v>
      </c>
      <c r="F60" s="26">
        <v>1266</v>
      </c>
      <c r="G60" s="26" t="s">
        <v>83</v>
      </c>
      <c r="H60" s="100" t="s">
        <v>2</v>
      </c>
      <c r="I60" s="19">
        <v>3</v>
      </c>
      <c r="J60" s="19" t="s">
        <v>63</v>
      </c>
      <c r="K60" s="64">
        <v>69</v>
      </c>
      <c r="L60" s="65">
        <f t="shared" si="3"/>
        <v>1.1499999999999999</v>
      </c>
      <c r="M60" s="66"/>
    </row>
    <row r="61" spans="1:13" ht="18.899999999999999" customHeight="1" x14ac:dyDescent="0.45">
      <c r="A61" s="19">
        <f>A60+1</f>
        <v>49</v>
      </c>
      <c r="B61" s="273"/>
      <c r="C61" s="273"/>
      <c r="D61" s="260"/>
      <c r="E61" s="20" t="s">
        <v>1145</v>
      </c>
      <c r="F61" s="26">
        <v>1267</v>
      </c>
      <c r="G61" s="26" t="s">
        <v>83</v>
      </c>
      <c r="H61" s="100" t="s">
        <v>2</v>
      </c>
      <c r="I61" s="19">
        <v>2</v>
      </c>
      <c r="J61" s="19" t="s">
        <v>63</v>
      </c>
      <c r="K61" s="64">
        <v>52</v>
      </c>
      <c r="L61" s="65">
        <f t="shared" si="3"/>
        <v>0.8666666666666667</v>
      </c>
      <c r="M61" s="66"/>
    </row>
    <row r="62" spans="1:13" ht="18.899999999999999" customHeight="1" x14ac:dyDescent="0.45">
      <c r="A62" s="308" t="s">
        <v>1146</v>
      </c>
      <c r="B62" s="308"/>
      <c r="C62" s="308"/>
      <c r="D62" s="308"/>
      <c r="E62" s="308"/>
      <c r="F62" s="308"/>
      <c r="G62" s="308"/>
      <c r="H62" s="308"/>
      <c r="I62" s="308"/>
      <c r="J62" s="308"/>
      <c r="K62" s="308"/>
      <c r="L62" s="308"/>
      <c r="M62" s="308"/>
    </row>
    <row r="63" spans="1:13" ht="18.899999999999999" customHeight="1" x14ac:dyDescent="0.45">
      <c r="A63" s="19">
        <f>A61+1</f>
        <v>50</v>
      </c>
      <c r="B63" s="296" t="s">
        <v>1147</v>
      </c>
      <c r="C63" s="334" t="s">
        <v>1148</v>
      </c>
      <c r="D63" s="323" t="s">
        <v>1149</v>
      </c>
      <c r="E63" s="101" t="s">
        <v>1150</v>
      </c>
      <c r="F63" s="102">
        <v>1537</v>
      </c>
      <c r="G63" s="26" t="s">
        <v>83</v>
      </c>
      <c r="H63" s="103" t="s">
        <v>126</v>
      </c>
      <c r="I63" s="113">
        <v>7</v>
      </c>
      <c r="J63" s="39" t="s">
        <v>63</v>
      </c>
      <c r="K63" s="114">
        <v>45</v>
      </c>
      <c r="L63" s="115">
        <f t="shared" ref="L63:L64" si="6">K63/60</f>
        <v>0.75</v>
      </c>
      <c r="M63" s="65"/>
    </row>
    <row r="64" spans="1:13" ht="18.899999999999999" customHeight="1" x14ac:dyDescent="0.45">
      <c r="A64" s="19">
        <f>A63+1</f>
        <v>51</v>
      </c>
      <c r="B64" s="296"/>
      <c r="C64" s="334"/>
      <c r="D64" s="324"/>
      <c r="E64" s="104" t="s">
        <v>1151</v>
      </c>
      <c r="F64" s="105">
        <v>1536</v>
      </c>
      <c r="G64" s="105" t="s">
        <v>125</v>
      </c>
      <c r="H64" s="106" t="s">
        <v>1152</v>
      </c>
      <c r="I64" s="105">
        <v>3</v>
      </c>
      <c r="J64" s="99" t="s">
        <v>63</v>
      </c>
      <c r="K64" s="116">
        <v>26</v>
      </c>
      <c r="L64" s="115">
        <f t="shared" si="6"/>
        <v>0.43333333333333335</v>
      </c>
      <c r="M64" s="65"/>
    </row>
    <row r="65" spans="1:13" ht="18.899999999999999" customHeight="1" x14ac:dyDescent="0.45">
      <c r="A65" s="19">
        <f t="shared" ref="A65:A78" si="7">A64+1</f>
        <v>52</v>
      </c>
      <c r="B65" s="296"/>
      <c r="C65" s="334"/>
      <c r="D65" s="324"/>
      <c r="E65" s="104" t="s">
        <v>1153</v>
      </c>
      <c r="F65" s="105">
        <v>1535</v>
      </c>
      <c r="G65" s="105" t="s">
        <v>125</v>
      </c>
      <c r="H65" s="106" t="s">
        <v>1152</v>
      </c>
      <c r="I65" s="105">
        <v>3</v>
      </c>
      <c r="J65" s="99" t="s">
        <v>63</v>
      </c>
      <c r="K65" s="116">
        <v>35</v>
      </c>
      <c r="L65" s="115">
        <f t="shared" ref="L65:L76" si="8">K65/60</f>
        <v>0.58333333333333337</v>
      </c>
      <c r="M65" s="65"/>
    </row>
    <row r="66" spans="1:13" ht="18.899999999999999" customHeight="1" x14ac:dyDescent="0.45">
      <c r="A66" s="19">
        <f t="shared" si="7"/>
        <v>53</v>
      </c>
      <c r="B66" s="296"/>
      <c r="C66" s="334"/>
      <c r="D66" s="324"/>
      <c r="E66" s="104" t="s">
        <v>1154</v>
      </c>
      <c r="F66" s="105">
        <v>1537</v>
      </c>
      <c r="G66" s="105" t="s">
        <v>125</v>
      </c>
      <c r="H66" s="106" t="s">
        <v>1152</v>
      </c>
      <c r="I66" s="105">
        <v>10</v>
      </c>
      <c r="J66" s="75" t="s">
        <v>63</v>
      </c>
      <c r="K66" s="116">
        <v>129</v>
      </c>
      <c r="L66" s="115">
        <f t="shared" si="8"/>
        <v>2.15</v>
      </c>
      <c r="M66" s="65"/>
    </row>
    <row r="67" spans="1:13" ht="18.899999999999999" customHeight="1" x14ac:dyDescent="0.45">
      <c r="A67" s="19">
        <f t="shared" si="7"/>
        <v>54</v>
      </c>
      <c r="B67" s="296"/>
      <c r="C67" s="334"/>
      <c r="D67" s="324"/>
      <c r="E67" s="104" t="s">
        <v>1155</v>
      </c>
      <c r="F67" s="105">
        <v>1548</v>
      </c>
      <c r="G67" s="105" t="s">
        <v>125</v>
      </c>
      <c r="H67" s="106" t="s">
        <v>136</v>
      </c>
      <c r="I67" s="105">
        <v>5</v>
      </c>
      <c r="J67" s="75" t="s">
        <v>63</v>
      </c>
      <c r="K67" s="116">
        <v>80</v>
      </c>
      <c r="L67" s="115">
        <f t="shared" si="8"/>
        <v>1.3333333333333333</v>
      </c>
      <c r="M67" s="65"/>
    </row>
    <row r="68" spans="1:13" ht="18.899999999999999" customHeight="1" x14ac:dyDescent="0.45">
      <c r="A68" s="19">
        <f t="shared" si="7"/>
        <v>55</v>
      </c>
      <c r="B68" s="296"/>
      <c r="C68" s="334"/>
      <c r="D68" s="324"/>
      <c r="E68" s="104" t="s">
        <v>1156</v>
      </c>
      <c r="F68" s="105">
        <v>1550</v>
      </c>
      <c r="G68" s="105" t="s">
        <v>125</v>
      </c>
      <c r="H68" s="106" t="s">
        <v>136</v>
      </c>
      <c r="I68" s="105">
        <v>6</v>
      </c>
      <c r="J68" s="75" t="s">
        <v>63</v>
      </c>
      <c r="K68" s="116">
        <v>64</v>
      </c>
      <c r="L68" s="115">
        <f t="shared" si="8"/>
        <v>1.0666666666666667</v>
      </c>
      <c r="M68" s="65"/>
    </row>
    <row r="69" spans="1:13" ht="18.899999999999999" customHeight="1" x14ac:dyDescent="0.45">
      <c r="A69" s="19">
        <f t="shared" si="7"/>
        <v>56</v>
      </c>
      <c r="B69" s="296"/>
      <c r="C69" s="334"/>
      <c r="D69" s="324"/>
      <c r="E69" s="97" t="s">
        <v>1157</v>
      </c>
      <c r="F69" s="98">
        <v>1577</v>
      </c>
      <c r="G69" s="105" t="s">
        <v>125</v>
      </c>
      <c r="H69" s="117" t="s">
        <v>126</v>
      </c>
      <c r="I69" s="98">
        <v>14</v>
      </c>
      <c r="J69" s="39" t="s">
        <v>63</v>
      </c>
      <c r="K69" s="112">
        <v>179</v>
      </c>
      <c r="L69" s="115">
        <f t="shared" si="8"/>
        <v>2.9833333333333334</v>
      </c>
      <c r="M69" s="65"/>
    </row>
    <row r="70" spans="1:13" ht="18.899999999999999" customHeight="1" x14ac:dyDescent="0.45">
      <c r="A70" s="19">
        <f t="shared" si="7"/>
        <v>57</v>
      </c>
      <c r="B70" s="296"/>
      <c r="C70" s="334"/>
      <c r="D70" s="324"/>
      <c r="E70" s="97" t="s">
        <v>1158</v>
      </c>
      <c r="F70" s="98">
        <v>1574</v>
      </c>
      <c r="G70" s="105" t="s">
        <v>125</v>
      </c>
      <c r="H70" s="117" t="s">
        <v>354</v>
      </c>
      <c r="I70" s="98">
        <v>3</v>
      </c>
      <c r="J70" s="39" t="s">
        <v>63</v>
      </c>
      <c r="K70" s="112">
        <v>35</v>
      </c>
      <c r="L70" s="115">
        <f t="shared" si="8"/>
        <v>0.58333333333333337</v>
      </c>
      <c r="M70" s="65"/>
    </row>
    <row r="71" spans="1:13" ht="18.899999999999999" customHeight="1" x14ac:dyDescent="0.45">
      <c r="A71" s="19">
        <f t="shared" si="7"/>
        <v>58</v>
      </c>
      <c r="B71" s="296"/>
      <c r="C71" s="335" t="s">
        <v>1159</v>
      </c>
      <c r="D71" s="325" t="s">
        <v>1160</v>
      </c>
      <c r="E71" s="20" t="s">
        <v>1161</v>
      </c>
      <c r="F71" s="26">
        <v>972</v>
      </c>
      <c r="G71" s="26" t="s">
        <v>161</v>
      </c>
      <c r="H71" s="22" t="s">
        <v>390</v>
      </c>
      <c r="I71" s="26">
        <v>8</v>
      </c>
      <c r="J71" s="19" t="s">
        <v>63</v>
      </c>
      <c r="K71" s="64">
        <v>74</v>
      </c>
      <c r="L71" s="115">
        <f t="shared" si="8"/>
        <v>1.2333333333333334</v>
      </c>
      <c r="M71" s="65"/>
    </row>
    <row r="72" spans="1:13" ht="18.899999999999999" customHeight="1" x14ac:dyDescent="0.45">
      <c r="A72" s="19">
        <f t="shared" si="7"/>
        <v>59</v>
      </c>
      <c r="B72" s="296"/>
      <c r="C72" s="336"/>
      <c r="D72" s="326"/>
      <c r="E72" s="20" t="s">
        <v>1162</v>
      </c>
      <c r="F72" s="22" t="s">
        <v>1163</v>
      </c>
      <c r="G72" s="22" t="s">
        <v>125</v>
      </c>
      <c r="H72" s="22" t="s">
        <v>390</v>
      </c>
      <c r="I72" s="23">
        <v>8</v>
      </c>
      <c r="J72" s="22" t="s">
        <v>63</v>
      </c>
      <c r="K72" s="64">
        <v>166</v>
      </c>
      <c r="L72" s="115">
        <f t="shared" si="8"/>
        <v>2.7666666666666666</v>
      </c>
      <c r="M72" s="65"/>
    </row>
    <row r="73" spans="1:13" ht="18.899999999999999" customHeight="1" x14ac:dyDescent="0.45">
      <c r="A73" s="19">
        <f t="shared" si="7"/>
        <v>60</v>
      </c>
      <c r="B73" s="296"/>
      <c r="C73" s="336"/>
      <c r="D73" s="326"/>
      <c r="E73" s="20" t="s">
        <v>1164</v>
      </c>
      <c r="F73" s="26">
        <v>978</v>
      </c>
      <c r="G73" s="22" t="s">
        <v>83</v>
      </c>
      <c r="H73" s="22" t="s">
        <v>171</v>
      </c>
      <c r="I73" s="26">
        <v>6</v>
      </c>
      <c r="J73" s="19" t="s">
        <v>63</v>
      </c>
      <c r="K73" s="64">
        <v>67</v>
      </c>
      <c r="L73" s="115">
        <f t="shared" si="8"/>
        <v>1.1166666666666667</v>
      </c>
      <c r="M73" s="65"/>
    </row>
    <row r="74" spans="1:13" ht="18.899999999999999" customHeight="1" x14ac:dyDescent="0.45">
      <c r="A74" s="19">
        <f t="shared" si="7"/>
        <v>61</v>
      </c>
      <c r="B74" s="296"/>
      <c r="C74" s="337"/>
      <c r="D74" s="327"/>
      <c r="E74" s="20" t="s">
        <v>1165</v>
      </c>
      <c r="F74" s="58">
        <v>1356</v>
      </c>
      <c r="G74" s="22" t="s">
        <v>83</v>
      </c>
      <c r="H74" s="22" t="s">
        <v>62</v>
      </c>
      <c r="I74" s="23">
        <v>10</v>
      </c>
      <c r="J74" s="24" t="s">
        <v>63</v>
      </c>
      <c r="K74" s="25">
        <v>107</v>
      </c>
      <c r="L74" s="115">
        <f t="shared" si="8"/>
        <v>1.7833333333333334</v>
      </c>
      <c r="M74" s="66"/>
    </row>
    <row r="75" spans="1:13" ht="18.899999999999999" customHeight="1" x14ac:dyDescent="0.45">
      <c r="A75" s="19">
        <f t="shared" si="7"/>
        <v>62</v>
      </c>
      <c r="B75" s="296"/>
      <c r="C75" s="39" t="s">
        <v>1166</v>
      </c>
      <c r="D75" s="118" t="s">
        <v>1167</v>
      </c>
      <c r="E75" s="20" t="s">
        <v>1168</v>
      </c>
      <c r="F75" s="26">
        <v>974</v>
      </c>
      <c r="G75" s="26" t="s">
        <v>125</v>
      </c>
      <c r="H75" s="22" t="s">
        <v>171</v>
      </c>
      <c r="I75" s="26">
        <v>6</v>
      </c>
      <c r="J75" s="19" t="s">
        <v>63</v>
      </c>
      <c r="K75" s="64">
        <v>67</v>
      </c>
      <c r="L75" s="115">
        <f t="shared" si="8"/>
        <v>1.1166666666666667</v>
      </c>
      <c r="M75" s="65"/>
    </row>
    <row r="76" spans="1:13" s="146" customFormat="1" ht="18.899999999999999" customHeight="1" x14ac:dyDescent="0.45">
      <c r="A76" s="39">
        <f t="shared" si="7"/>
        <v>63</v>
      </c>
      <c r="B76" s="296"/>
      <c r="C76" s="39" t="s">
        <v>1169</v>
      </c>
      <c r="D76" s="118" t="s">
        <v>1170</v>
      </c>
      <c r="E76" s="97" t="s">
        <v>1171</v>
      </c>
      <c r="F76" s="117">
        <v>1669</v>
      </c>
      <c r="G76" s="62" t="s">
        <v>83</v>
      </c>
      <c r="H76" s="117" t="s">
        <v>313</v>
      </c>
      <c r="I76" s="117">
        <v>9</v>
      </c>
      <c r="J76" s="39" t="s">
        <v>63</v>
      </c>
      <c r="K76" s="220">
        <v>121</v>
      </c>
      <c r="L76" s="221">
        <f t="shared" si="8"/>
        <v>2.0166666666666666</v>
      </c>
      <c r="M76" s="223"/>
    </row>
    <row r="77" spans="1:13" ht="18.899999999999999" customHeight="1" x14ac:dyDescent="0.45">
      <c r="A77" s="19">
        <f t="shared" si="7"/>
        <v>64</v>
      </c>
      <c r="B77" s="296"/>
      <c r="C77" s="39" t="s">
        <v>1087</v>
      </c>
      <c r="D77" s="118" t="s">
        <v>1172</v>
      </c>
      <c r="E77" s="49" t="s">
        <v>1173</v>
      </c>
      <c r="F77" s="119">
        <v>1516</v>
      </c>
      <c r="G77" s="26" t="s">
        <v>125</v>
      </c>
      <c r="H77" s="99" t="s">
        <v>62</v>
      </c>
      <c r="I77" s="119">
        <v>11</v>
      </c>
      <c r="J77" s="39" t="s">
        <v>63</v>
      </c>
      <c r="K77" s="132">
        <v>138</v>
      </c>
      <c r="L77" s="115">
        <f t="shared" ref="L77:L87" si="9">K77/60</f>
        <v>2.2999999999999998</v>
      </c>
      <c r="M77" s="111" t="s">
        <v>139</v>
      </c>
    </row>
    <row r="78" spans="1:13" ht="18.899999999999999" customHeight="1" x14ac:dyDescent="0.45">
      <c r="A78" s="19">
        <f t="shared" si="7"/>
        <v>65</v>
      </c>
      <c r="B78" s="296"/>
      <c r="C78" s="39" t="s">
        <v>1174</v>
      </c>
      <c r="D78" s="118" t="s">
        <v>1175</v>
      </c>
      <c r="E78" s="20" t="s">
        <v>1176</v>
      </c>
      <c r="F78" s="58">
        <v>1257</v>
      </c>
      <c r="G78" s="26" t="s">
        <v>125</v>
      </c>
      <c r="H78" s="99" t="s">
        <v>1177</v>
      </c>
      <c r="I78" s="26">
        <v>4</v>
      </c>
      <c r="J78" s="24" t="s">
        <v>63</v>
      </c>
      <c r="K78" s="25">
        <v>43</v>
      </c>
      <c r="L78" s="115">
        <f t="shared" si="9"/>
        <v>0.71666666666666667</v>
      </c>
      <c r="M78" s="66"/>
    </row>
    <row r="79" spans="1:13" ht="18.899999999999999" customHeight="1" x14ac:dyDescent="0.45">
      <c r="A79" s="19">
        <f t="shared" ref="A79:A87" si="10">A78+1</f>
        <v>66</v>
      </c>
      <c r="B79" s="296"/>
      <c r="C79" s="282" t="s">
        <v>1178</v>
      </c>
      <c r="D79" s="328" t="s">
        <v>1179</v>
      </c>
      <c r="E79" s="120" t="s">
        <v>1180</v>
      </c>
      <c r="F79" s="121">
        <v>1626</v>
      </c>
      <c r="G79" s="121" t="s">
        <v>161</v>
      </c>
      <c r="H79" s="122" t="s">
        <v>614</v>
      </c>
      <c r="I79" s="121">
        <v>7</v>
      </c>
      <c r="J79" s="19" t="s">
        <v>63</v>
      </c>
      <c r="K79" s="133">
        <v>119</v>
      </c>
      <c r="L79" s="115">
        <f t="shared" si="9"/>
        <v>1.9833333333333334</v>
      </c>
      <c r="M79" s="111" t="s">
        <v>139</v>
      </c>
    </row>
    <row r="80" spans="1:13" ht="18.899999999999999" customHeight="1" x14ac:dyDescent="0.45">
      <c r="A80" s="19">
        <f t="shared" si="10"/>
        <v>67</v>
      </c>
      <c r="B80" s="296"/>
      <c r="C80" s="283"/>
      <c r="D80" s="329"/>
      <c r="E80" s="123" t="s">
        <v>1181</v>
      </c>
      <c r="F80" s="124">
        <v>1571</v>
      </c>
      <c r="G80" s="121" t="s">
        <v>161</v>
      </c>
      <c r="H80" s="125" t="s">
        <v>346</v>
      </c>
      <c r="I80" s="134">
        <v>7</v>
      </c>
      <c r="J80" s="39" t="s">
        <v>63</v>
      </c>
      <c r="K80" s="135">
        <v>122</v>
      </c>
      <c r="L80" s="115">
        <f t="shared" si="9"/>
        <v>2.0333333333333332</v>
      </c>
      <c r="M80" s="111" t="s">
        <v>139</v>
      </c>
    </row>
    <row r="81" spans="1:13" ht="18.899999999999999" customHeight="1" x14ac:dyDescent="0.45">
      <c r="A81" s="19">
        <f t="shared" si="10"/>
        <v>68</v>
      </c>
      <c r="B81" s="296"/>
      <c r="C81" s="283"/>
      <c r="D81" s="329"/>
      <c r="E81" s="51" t="s">
        <v>1182</v>
      </c>
      <c r="F81" s="19">
        <v>1035</v>
      </c>
      <c r="G81" s="19" t="s">
        <v>83</v>
      </c>
      <c r="H81" s="52" t="s">
        <v>390</v>
      </c>
      <c r="I81" s="19">
        <v>9</v>
      </c>
      <c r="J81" s="19" t="s">
        <v>63</v>
      </c>
      <c r="K81" s="64">
        <v>90</v>
      </c>
      <c r="L81" s="115">
        <f t="shared" si="9"/>
        <v>1.5</v>
      </c>
      <c r="M81" s="65"/>
    </row>
    <row r="82" spans="1:13" ht="18.899999999999999" customHeight="1" x14ac:dyDescent="0.45">
      <c r="A82" s="19">
        <f t="shared" si="10"/>
        <v>69</v>
      </c>
      <c r="B82" s="296"/>
      <c r="C82" s="283"/>
      <c r="D82" s="329"/>
      <c r="E82" s="20" t="s">
        <v>1183</v>
      </c>
      <c r="F82" s="26">
        <v>984</v>
      </c>
      <c r="G82" s="19" t="s">
        <v>83</v>
      </c>
      <c r="H82" s="22" t="s">
        <v>136</v>
      </c>
      <c r="I82" s="26">
        <v>5</v>
      </c>
      <c r="J82" s="19" t="s">
        <v>63</v>
      </c>
      <c r="K82" s="64">
        <v>65</v>
      </c>
      <c r="L82" s="115">
        <f t="shared" si="9"/>
        <v>1.0833333333333333</v>
      </c>
      <c r="M82" s="65"/>
    </row>
    <row r="83" spans="1:13" ht="18.899999999999999" customHeight="1" x14ac:dyDescent="0.45">
      <c r="A83" s="19">
        <f t="shared" si="10"/>
        <v>70</v>
      </c>
      <c r="B83" s="296"/>
      <c r="C83" s="246"/>
      <c r="D83" s="330"/>
      <c r="E83" s="20" t="s">
        <v>1184</v>
      </c>
      <c r="F83" s="26">
        <v>979</v>
      </c>
      <c r="G83" s="19" t="s">
        <v>83</v>
      </c>
      <c r="H83" s="22" t="s">
        <v>171</v>
      </c>
      <c r="I83" s="26">
        <v>6</v>
      </c>
      <c r="J83" s="19" t="s">
        <v>63</v>
      </c>
      <c r="K83" s="64">
        <v>56</v>
      </c>
      <c r="L83" s="115">
        <f t="shared" si="9"/>
        <v>0.93333333333333335</v>
      </c>
      <c r="M83" s="65"/>
    </row>
    <row r="84" spans="1:13" ht="18.899999999999999" customHeight="1" x14ac:dyDescent="0.45">
      <c r="A84" s="19">
        <f t="shared" si="10"/>
        <v>71</v>
      </c>
      <c r="B84" s="296"/>
      <c r="C84" s="278" t="s">
        <v>1185</v>
      </c>
      <c r="D84" s="331" t="s">
        <v>1186</v>
      </c>
      <c r="E84" s="20" t="s">
        <v>1187</v>
      </c>
      <c r="F84" s="26">
        <v>980</v>
      </c>
      <c r="G84" s="26" t="s">
        <v>83</v>
      </c>
      <c r="H84" s="22" t="s">
        <v>356</v>
      </c>
      <c r="I84" s="26">
        <v>6</v>
      </c>
      <c r="J84" s="19" t="s">
        <v>63</v>
      </c>
      <c r="K84" s="64">
        <v>75</v>
      </c>
      <c r="L84" s="115">
        <f t="shared" si="9"/>
        <v>1.25</v>
      </c>
      <c r="M84" s="65"/>
    </row>
    <row r="85" spans="1:13" ht="18.899999999999999" customHeight="1" x14ac:dyDescent="0.45">
      <c r="A85" s="19">
        <f t="shared" si="10"/>
        <v>72</v>
      </c>
      <c r="B85" s="296"/>
      <c r="C85" s="278"/>
      <c r="D85" s="331"/>
      <c r="E85" s="20" t="s">
        <v>1188</v>
      </c>
      <c r="F85" s="26">
        <v>973</v>
      </c>
      <c r="G85" s="26" t="s">
        <v>83</v>
      </c>
      <c r="H85" s="22" t="s">
        <v>354</v>
      </c>
      <c r="I85" s="26">
        <v>5</v>
      </c>
      <c r="J85" s="19" t="s">
        <v>63</v>
      </c>
      <c r="K85" s="64">
        <v>75</v>
      </c>
      <c r="L85" s="115">
        <f t="shared" si="9"/>
        <v>1.25</v>
      </c>
      <c r="M85" s="65"/>
    </row>
    <row r="86" spans="1:13" ht="18.899999999999999" customHeight="1" x14ac:dyDescent="0.45">
      <c r="A86" s="19">
        <f t="shared" si="10"/>
        <v>73</v>
      </c>
      <c r="B86" s="296"/>
      <c r="C86" s="278"/>
      <c r="D86" s="331"/>
      <c r="E86" s="20" t="s">
        <v>1189</v>
      </c>
      <c r="F86" s="58">
        <v>1326</v>
      </c>
      <c r="G86" s="26" t="s">
        <v>125</v>
      </c>
      <c r="H86" s="22" t="s">
        <v>164</v>
      </c>
      <c r="I86" s="23">
        <v>7</v>
      </c>
      <c r="J86" s="24" t="s">
        <v>63</v>
      </c>
      <c r="K86" s="25">
        <v>378</v>
      </c>
      <c r="L86" s="115">
        <f t="shared" si="9"/>
        <v>6.3</v>
      </c>
      <c r="M86" s="66"/>
    </row>
    <row r="87" spans="1:13" ht="18.899999999999999" customHeight="1" x14ac:dyDescent="0.45">
      <c r="A87" s="19">
        <f t="shared" si="10"/>
        <v>74</v>
      </c>
      <c r="B87" s="296"/>
      <c r="C87" s="278"/>
      <c r="D87" s="331"/>
      <c r="E87" s="20" t="s">
        <v>1190</v>
      </c>
      <c r="F87" s="58">
        <v>1327</v>
      </c>
      <c r="G87" s="26" t="s">
        <v>125</v>
      </c>
      <c r="H87" s="26" t="s">
        <v>164</v>
      </c>
      <c r="I87" s="26">
        <v>7</v>
      </c>
      <c r="J87" s="26" t="s">
        <v>63</v>
      </c>
      <c r="K87" s="25">
        <v>362</v>
      </c>
      <c r="L87" s="115">
        <f t="shared" si="9"/>
        <v>6.0333333333333332</v>
      </c>
      <c r="M87" s="66"/>
    </row>
    <row r="88" spans="1:13" ht="19.5" customHeight="1" x14ac:dyDescent="0.45">
      <c r="A88" s="308" t="s">
        <v>1191</v>
      </c>
      <c r="B88" s="308"/>
      <c r="C88" s="308"/>
      <c r="D88" s="308"/>
      <c r="E88" s="308"/>
      <c r="F88" s="308"/>
      <c r="G88" s="308"/>
      <c r="H88" s="308"/>
      <c r="I88" s="308"/>
      <c r="J88" s="308"/>
      <c r="K88" s="308"/>
      <c r="L88" s="308"/>
      <c r="M88" s="308"/>
    </row>
    <row r="89" spans="1:13" ht="18.899999999999999" customHeight="1" x14ac:dyDescent="0.45">
      <c r="A89" s="18">
        <f>A87+1</f>
        <v>75</v>
      </c>
      <c r="B89" s="281" t="s">
        <v>1466</v>
      </c>
      <c r="C89" s="271" t="s">
        <v>1192</v>
      </c>
      <c r="D89" s="322" t="s">
        <v>1193</v>
      </c>
      <c r="E89" s="49" t="s">
        <v>1194</v>
      </c>
      <c r="F89" s="99">
        <v>1254</v>
      </c>
      <c r="G89" s="26" t="s">
        <v>83</v>
      </c>
      <c r="H89" s="62" t="s">
        <v>62</v>
      </c>
      <c r="I89" s="99">
        <v>6</v>
      </c>
      <c r="J89" s="39" t="s">
        <v>63</v>
      </c>
      <c r="K89" s="67">
        <v>80</v>
      </c>
      <c r="L89" s="33">
        <f>K89/60</f>
        <v>1.3333333333333333</v>
      </c>
      <c r="M89" s="136"/>
    </row>
    <row r="90" spans="1:13" ht="18.899999999999999" customHeight="1" x14ac:dyDescent="0.45">
      <c r="A90" s="18">
        <f t="shared" ref="A90:A101" si="11">A89+1</f>
        <v>76</v>
      </c>
      <c r="B90" s="272"/>
      <c r="C90" s="272"/>
      <c r="D90" s="259"/>
      <c r="E90" s="49" t="s">
        <v>1195</v>
      </c>
      <c r="F90" s="99">
        <v>1479</v>
      </c>
      <c r="G90" s="26" t="s">
        <v>83</v>
      </c>
      <c r="H90" s="62" t="s">
        <v>62</v>
      </c>
      <c r="I90" s="99">
        <v>3</v>
      </c>
      <c r="J90" s="39" t="s">
        <v>63</v>
      </c>
      <c r="K90" s="67">
        <v>41</v>
      </c>
      <c r="L90" s="33">
        <f t="shared" ref="L90:L101" si="12">K90/60</f>
        <v>0.68333333333333335</v>
      </c>
      <c r="M90" s="136"/>
    </row>
    <row r="91" spans="1:13" ht="18.899999999999999" customHeight="1" x14ac:dyDescent="0.45">
      <c r="A91" s="18">
        <f t="shared" si="11"/>
        <v>77</v>
      </c>
      <c r="B91" s="272"/>
      <c r="C91" s="272"/>
      <c r="D91" s="259"/>
      <c r="E91" s="49" t="s">
        <v>1196</v>
      </c>
      <c r="F91" s="99">
        <v>1255</v>
      </c>
      <c r="G91" s="26" t="s">
        <v>83</v>
      </c>
      <c r="H91" s="62" t="s">
        <v>62</v>
      </c>
      <c r="I91" s="99">
        <v>4</v>
      </c>
      <c r="J91" s="39" t="s">
        <v>63</v>
      </c>
      <c r="K91" s="67">
        <v>43</v>
      </c>
      <c r="L91" s="33">
        <f t="shared" si="12"/>
        <v>0.71666666666666667</v>
      </c>
      <c r="M91" s="136"/>
    </row>
    <row r="92" spans="1:13" ht="18.899999999999999" customHeight="1" x14ac:dyDescent="0.45">
      <c r="A92" s="18">
        <f t="shared" si="11"/>
        <v>78</v>
      </c>
      <c r="B92" s="272"/>
      <c r="C92" s="272"/>
      <c r="D92" s="259"/>
      <c r="E92" s="49" t="s">
        <v>1197</v>
      </c>
      <c r="F92" s="99">
        <v>1256</v>
      </c>
      <c r="G92" s="26" t="s">
        <v>83</v>
      </c>
      <c r="H92" s="62" t="s">
        <v>62</v>
      </c>
      <c r="I92" s="99">
        <v>7</v>
      </c>
      <c r="J92" s="39" t="s">
        <v>63</v>
      </c>
      <c r="K92" s="67">
        <v>109</v>
      </c>
      <c r="L92" s="33">
        <f t="shared" si="12"/>
        <v>1.8166666666666667</v>
      </c>
      <c r="M92" s="136"/>
    </row>
    <row r="93" spans="1:13" ht="18.899999999999999" customHeight="1" x14ac:dyDescent="0.45">
      <c r="A93" s="18">
        <f t="shared" si="11"/>
        <v>79</v>
      </c>
      <c r="B93" s="272"/>
      <c r="C93" s="272"/>
      <c r="D93" s="259"/>
      <c r="E93" s="49" t="s">
        <v>1198</v>
      </c>
      <c r="F93" s="99">
        <v>1480</v>
      </c>
      <c r="G93" s="26" t="s">
        <v>83</v>
      </c>
      <c r="H93" s="62" t="s">
        <v>62</v>
      </c>
      <c r="I93" s="99">
        <v>1</v>
      </c>
      <c r="J93" s="39" t="s">
        <v>63</v>
      </c>
      <c r="K93" s="67">
        <v>8</v>
      </c>
      <c r="L93" s="33">
        <f t="shared" si="12"/>
        <v>0.13333333333333333</v>
      </c>
      <c r="M93" s="136"/>
    </row>
    <row r="94" spans="1:13" ht="18.899999999999999" customHeight="1" x14ac:dyDescent="0.45">
      <c r="A94" s="18">
        <f t="shared" si="11"/>
        <v>80</v>
      </c>
      <c r="B94" s="272"/>
      <c r="C94" s="272"/>
      <c r="D94" s="259"/>
      <c r="E94" s="20" t="s">
        <v>1199</v>
      </c>
      <c r="F94" s="26">
        <v>1320</v>
      </c>
      <c r="G94" s="26" t="s">
        <v>83</v>
      </c>
      <c r="H94" s="22" t="s">
        <v>62</v>
      </c>
      <c r="I94" s="26">
        <v>1</v>
      </c>
      <c r="J94" s="19" t="s">
        <v>63</v>
      </c>
      <c r="K94" s="64">
        <v>33</v>
      </c>
      <c r="L94" s="33">
        <f t="shared" si="12"/>
        <v>0.55000000000000004</v>
      </c>
      <c r="M94" s="65"/>
    </row>
    <row r="95" spans="1:13" ht="18.899999999999999" customHeight="1" x14ac:dyDescent="0.45">
      <c r="A95" s="18">
        <f t="shared" si="11"/>
        <v>81</v>
      </c>
      <c r="B95" s="272"/>
      <c r="C95" s="272"/>
      <c r="D95" s="259"/>
      <c r="E95" s="20" t="s">
        <v>1200</v>
      </c>
      <c r="F95" s="26">
        <v>1319</v>
      </c>
      <c r="G95" s="26" t="s">
        <v>125</v>
      </c>
      <c r="H95" s="22" t="s">
        <v>62</v>
      </c>
      <c r="I95" s="26">
        <v>2</v>
      </c>
      <c r="J95" s="19" t="s">
        <v>63</v>
      </c>
      <c r="K95" s="64">
        <v>44</v>
      </c>
      <c r="L95" s="33">
        <f t="shared" si="12"/>
        <v>0.73333333333333328</v>
      </c>
      <c r="M95" s="136" t="s">
        <v>238</v>
      </c>
    </row>
    <row r="96" spans="1:13" ht="18.899999999999999" customHeight="1" x14ac:dyDescent="0.45">
      <c r="A96" s="18">
        <f t="shared" si="11"/>
        <v>82</v>
      </c>
      <c r="B96" s="272"/>
      <c r="C96" s="272"/>
      <c r="D96" s="259"/>
      <c r="E96" s="227" t="s">
        <v>1461</v>
      </c>
      <c r="F96" s="219">
        <v>1679</v>
      </c>
      <c r="G96" s="99" t="s">
        <v>125</v>
      </c>
      <c r="H96" s="228" t="s">
        <v>1460</v>
      </c>
      <c r="I96" s="228" t="s">
        <v>1462</v>
      </c>
      <c r="J96" s="39" t="s">
        <v>63</v>
      </c>
      <c r="K96" s="220">
        <v>123</v>
      </c>
      <c r="L96" s="221">
        <f>K96/60</f>
        <v>2.0499999999999998</v>
      </c>
      <c r="M96" s="159" t="s">
        <v>139</v>
      </c>
    </row>
    <row r="97" spans="1:13" ht="18.899999999999999" customHeight="1" x14ac:dyDescent="0.45">
      <c r="A97" s="18">
        <f t="shared" si="11"/>
        <v>83</v>
      </c>
      <c r="B97" s="272"/>
      <c r="C97" s="272"/>
      <c r="D97" s="259"/>
      <c r="E97" s="227" t="s">
        <v>1486</v>
      </c>
      <c r="F97" s="219">
        <v>1691</v>
      </c>
      <c r="G97" s="99" t="s">
        <v>125</v>
      </c>
      <c r="H97" s="228" t="s">
        <v>1460</v>
      </c>
      <c r="I97" s="228" t="s">
        <v>1487</v>
      </c>
      <c r="J97" s="39" t="s">
        <v>63</v>
      </c>
      <c r="K97" s="220">
        <v>41</v>
      </c>
      <c r="L97" s="221">
        <f t="shared" ref="L97:L99" si="13">K97/60</f>
        <v>0.68333333333333335</v>
      </c>
      <c r="M97" s="159" t="s">
        <v>139</v>
      </c>
    </row>
    <row r="98" spans="1:13" ht="18.899999999999999" customHeight="1" x14ac:dyDescent="0.45">
      <c r="A98" s="18">
        <f t="shared" si="11"/>
        <v>84</v>
      </c>
      <c r="B98" s="272"/>
      <c r="C98" s="272"/>
      <c r="D98" s="259"/>
      <c r="E98" s="227" t="s">
        <v>1488</v>
      </c>
      <c r="F98" s="219">
        <v>1692</v>
      </c>
      <c r="G98" s="99" t="s">
        <v>125</v>
      </c>
      <c r="H98" s="228" t="s">
        <v>1460</v>
      </c>
      <c r="I98" s="228" t="s">
        <v>1489</v>
      </c>
      <c r="J98" s="39" t="s">
        <v>63</v>
      </c>
      <c r="K98" s="220">
        <v>157</v>
      </c>
      <c r="L98" s="221">
        <f t="shared" si="13"/>
        <v>2.6166666666666667</v>
      </c>
      <c r="M98" s="159" t="s">
        <v>139</v>
      </c>
    </row>
    <row r="99" spans="1:13" ht="18.899999999999999" customHeight="1" x14ac:dyDescent="0.45">
      <c r="A99" s="18">
        <f t="shared" si="11"/>
        <v>85</v>
      </c>
      <c r="B99" s="272"/>
      <c r="C99" s="272"/>
      <c r="D99" s="259"/>
      <c r="E99" s="227" t="s">
        <v>1494</v>
      </c>
      <c r="F99" s="219">
        <v>1698</v>
      </c>
      <c r="G99" s="99" t="s">
        <v>125</v>
      </c>
      <c r="H99" s="228" t="s">
        <v>1460</v>
      </c>
      <c r="I99" s="228" t="s">
        <v>1495</v>
      </c>
      <c r="J99" s="39" t="s">
        <v>63</v>
      </c>
      <c r="K99" s="220">
        <v>103</v>
      </c>
      <c r="L99" s="221">
        <f t="shared" si="13"/>
        <v>1.7166666666666666</v>
      </c>
      <c r="M99" s="159" t="s">
        <v>139</v>
      </c>
    </row>
    <row r="100" spans="1:13" ht="18.899999999999999" customHeight="1" x14ac:dyDescent="0.45">
      <c r="A100" s="18">
        <f t="shared" si="11"/>
        <v>86</v>
      </c>
      <c r="B100" s="272"/>
      <c r="C100" s="272"/>
      <c r="D100" s="259"/>
      <c r="E100" s="94" t="s">
        <v>1201</v>
      </c>
      <c r="F100" s="95">
        <v>1608</v>
      </c>
      <c r="G100" s="26" t="s">
        <v>125</v>
      </c>
      <c r="H100" s="126" t="s">
        <v>236</v>
      </c>
      <c r="I100" s="95">
        <v>8</v>
      </c>
      <c r="J100" s="19" t="s">
        <v>63</v>
      </c>
      <c r="K100" s="110">
        <v>90</v>
      </c>
      <c r="L100" s="33">
        <f t="shared" si="12"/>
        <v>1.5</v>
      </c>
      <c r="M100" s="136"/>
    </row>
    <row r="101" spans="1:13" ht="18.899999999999999" customHeight="1" x14ac:dyDescent="0.45">
      <c r="A101" s="18">
        <f t="shared" si="11"/>
        <v>87</v>
      </c>
      <c r="B101" s="272"/>
      <c r="C101" s="272"/>
      <c r="D101" s="259"/>
      <c r="E101" s="94" t="s">
        <v>1202</v>
      </c>
      <c r="F101" s="95">
        <v>1611</v>
      </c>
      <c r="G101" s="26" t="s">
        <v>125</v>
      </c>
      <c r="H101" s="126" t="s">
        <v>236</v>
      </c>
      <c r="I101" s="95">
        <v>7</v>
      </c>
      <c r="J101" s="19" t="s">
        <v>63</v>
      </c>
      <c r="K101" s="110">
        <v>92</v>
      </c>
      <c r="L101" s="33">
        <f t="shared" si="12"/>
        <v>1.5333333333333334</v>
      </c>
      <c r="M101" s="136"/>
    </row>
    <row r="102" spans="1:13" ht="19.5" customHeight="1" x14ac:dyDescent="0.45">
      <c r="A102" s="274" t="s">
        <v>1203</v>
      </c>
      <c r="B102" s="275"/>
      <c r="C102" s="275"/>
      <c r="D102" s="275"/>
      <c r="E102" s="275"/>
      <c r="F102" s="275"/>
      <c r="G102" s="275"/>
      <c r="H102" s="275"/>
      <c r="I102" s="275"/>
      <c r="J102" s="275"/>
      <c r="K102" s="275"/>
      <c r="L102" s="275"/>
      <c r="M102" s="275"/>
    </row>
    <row r="103" spans="1:13" ht="18.899999999999999" customHeight="1" x14ac:dyDescent="0.45">
      <c r="A103" s="127">
        <f>A101+1</f>
        <v>88</v>
      </c>
      <c r="B103" s="271" t="s">
        <v>1204</v>
      </c>
      <c r="C103" s="271" t="s">
        <v>1205</v>
      </c>
      <c r="D103" s="314" t="s">
        <v>1206</v>
      </c>
      <c r="E103" s="51" t="s">
        <v>1207</v>
      </c>
      <c r="F103" s="19">
        <v>41</v>
      </c>
      <c r="G103" s="19" t="s">
        <v>83</v>
      </c>
      <c r="H103" s="26" t="s">
        <v>62</v>
      </c>
      <c r="I103" s="137">
        <v>4</v>
      </c>
      <c r="J103" s="138" t="s">
        <v>63</v>
      </c>
      <c r="K103" s="139">
        <v>11</v>
      </c>
      <c r="L103" s="65">
        <f t="shared" ref="L103" si="14">K103/60</f>
        <v>0.18333333333333332</v>
      </c>
      <c r="M103" s="140"/>
    </row>
    <row r="104" spans="1:13" ht="18.899999999999999" customHeight="1" x14ac:dyDescent="0.45">
      <c r="A104" s="127">
        <f>A103+1</f>
        <v>89</v>
      </c>
      <c r="B104" s="272"/>
      <c r="C104" s="272"/>
      <c r="D104" s="315"/>
      <c r="E104" s="72" t="s">
        <v>1208</v>
      </c>
      <c r="F104" s="56">
        <v>904</v>
      </c>
      <c r="G104" s="56" t="s">
        <v>125</v>
      </c>
      <c r="H104" s="128" t="s">
        <v>181</v>
      </c>
      <c r="I104" s="141">
        <v>12</v>
      </c>
      <c r="J104" s="138" t="s">
        <v>63</v>
      </c>
      <c r="K104" s="142">
        <v>137</v>
      </c>
      <c r="L104" s="65">
        <f t="shared" ref="L104:L118" si="15">K104/60</f>
        <v>2.2833333333333332</v>
      </c>
      <c r="M104" s="140"/>
    </row>
    <row r="105" spans="1:13" ht="18.899999999999999" customHeight="1" x14ac:dyDescent="0.45">
      <c r="A105" s="127">
        <f>A104+1</f>
        <v>90</v>
      </c>
      <c r="B105" s="272"/>
      <c r="C105" s="273"/>
      <c r="D105" s="316"/>
      <c r="E105" s="97" t="s">
        <v>1209</v>
      </c>
      <c r="F105" s="98">
        <v>1594</v>
      </c>
      <c r="G105" s="98" t="s">
        <v>161</v>
      </c>
      <c r="H105" s="117" t="s">
        <v>183</v>
      </c>
      <c r="I105" s="98">
        <v>14</v>
      </c>
      <c r="J105" s="39" t="s">
        <v>63</v>
      </c>
      <c r="K105" s="112">
        <v>182</v>
      </c>
      <c r="L105" s="65">
        <f t="shared" si="15"/>
        <v>3.0333333333333332</v>
      </c>
      <c r="M105" s="111" t="s">
        <v>139</v>
      </c>
    </row>
    <row r="106" spans="1:13" ht="18.899999999999999" customHeight="1" x14ac:dyDescent="0.45">
      <c r="A106" s="127">
        <f t="shared" ref="A106:A108" si="16">A105+1</f>
        <v>91</v>
      </c>
      <c r="B106" s="272"/>
      <c r="C106" s="19" t="s">
        <v>1210</v>
      </c>
      <c r="D106" s="90" t="s">
        <v>1211</v>
      </c>
      <c r="E106" s="72" t="s">
        <v>1212</v>
      </c>
      <c r="F106" s="19">
        <v>10</v>
      </c>
      <c r="G106" s="19" t="s">
        <v>83</v>
      </c>
      <c r="H106" s="26" t="s">
        <v>62</v>
      </c>
      <c r="I106" s="23">
        <v>12</v>
      </c>
      <c r="J106" s="22" t="s">
        <v>63</v>
      </c>
      <c r="K106" s="64">
        <v>116</v>
      </c>
      <c r="L106" s="65">
        <f t="shared" si="15"/>
        <v>1.9333333333333333</v>
      </c>
      <c r="M106" s="140"/>
    </row>
    <row r="107" spans="1:13" ht="18.899999999999999" customHeight="1" x14ac:dyDescent="0.45">
      <c r="A107" s="127">
        <f t="shared" si="16"/>
        <v>92</v>
      </c>
      <c r="B107" s="272"/>
      <c r="C107" s="271" t="s">
        <v>1213</v>
      </c>
      <c r="D107" s="314" t="s">
        <v>1214</v>
      </c>
      <c r="E107" s="72" t="s">
        <v>1215</v>
      </c>
      <c r="F107" s="56">
        <v>829</v>
      </c>
      <c r="G107" s="19" t="s">
        <v>83</v>
      </c>
      <c r="H107" s="26" t="s">
        <v>62</v>
      </c>
      <c r="I107" s="141">
        <v>9</v>
      </c>
      <c r="J107" s="138" t="s">
        <v>63</v>
      </c>
      <c r="K107" s="142">
        <v>141</v>
      </c>
      <c r="L107" s="65">
        <f t="shared" si="15"/>
        <v>2.35</v>
      </c>
      <c r="M107" s="140"/>
    </row>
    <row r="108" spans="1:13" ht="18.899999999999999" customHeight="1" x14ac:dyDescent="0.45">
      <c r="A108" s="127">
        <f t="shared" si="16"/>
        <v>93</v>
      </c>
      <c r="B108" s="272"/>
      <c r="C108" s="273"/>
      <c r="D108" s="316"/>
      <c r="E108" s="129" t="s">
        <v>1216</v>
      </c>
      <c r="F108" s="56">
        <v>217</v>
      </c>
      <c r="G108" s="19" t="s">
        <v>83</v>
      </c>
      <c r="H108" s="26" t="s">
        <v>62</v>
      </c>
      <c r="I108" s="137">
        <v>26</v>
      </c>
      <c r="J108" s="143" t="s">
        <v>63</v>
      </c>
      <c r="K108" s="139">
        <v>308</v>
      </c>
      <c r="L108" s="65">
        <f t="shared" si="15"/>
        <v>5.1333333333333337</v>
      </c>
      <c r="M108" s="140"/>
    </row>
    <row r="109" spans="1:13" ht="18.899999999999999" customHeight="1" x14ac:dyDescent="0.45">
      <c r="A109" s="127">
        <f t="shared" ref="A109:A118" si="17">A108+1</f>
        <v>94</v>
      </c>
      <c r="B109" s="272"/>
      <c r="C109" s="271" t="s">
        <v>1217</v>
      </c>
      <c r="D109" s="314" t="s">
        <v>1218</v>
      </c>
      <c r="E109" s="130" t="s">
        <v>1219</v>
      </c>
      <c r="F109" s="39">
        <v>186</v>
      </c>
      <c r="G109" s="19" t="s">
        <v>83</v>
      </c>
      <c r="H109" s="39" t="s">
        <v>181</v>
      </c>
      <c r="I109" s="39">
        <v>16</v>
      </c>
      <c r="J109" s="39" t="s">
        <v>63</v>
      </c>
      <c r="K109" s="67">
        <v>254</v>
      </c>
      <c r="L109" s="65">
        <f t="shared" si="15"/>
        <v>4.2333333333333334</v>
      </c>
      <c r="M109" s="140"/>
    </row>
    <row r="110" spans="1:13" ht="18.899999999999999" customHeight="1" x14ac:dyDescent="0.45">
      <c r="A110" s="127">
        <f t="shared" si="17"/>
        <v>95</v>
      </c>
      <c r="B110" s="272"/>
      <c r="C110" s="272"/>
      <c r="D110" s="315"/>
      <c r="E110" s="61" t="s">
        <v>1220</v>
      </c>
      <c r="F110" s="39">
        <v>163</v>
      </c>
      <c r="G110" s="19" t="s">
        <v>125</v>
      </c>
      <c r="H110" s="39" t="s">
        <v>262</v>
      </c>
      <c r="I110" s="39">
        <v>12</v>
      </c>
      <c r="J110" s="39" t="s">
        <v>63</v>
      </c>
      <c r="K110" s="67">
        <v>162</v>
      </c>
      <c r="L110" s="65">
        <f t="shared" si="15"/>
        <v>2.7</v>
      </c>
      <c r="M110" s="140"/>
    </row>
    <row r="111" spans="1:13" ht="18.899999999999999" customHeight="1" x14ac:dyDescent="0.45">
      <c r="A111" s="127">
        <f t="shared" si="17"/>
        <v>96</v>
      </c>
      <c r="B111" s="272"/>
      <c r="C111" s="273"/>
      <c r="D111" s="316"/>
      <c r="E111" s="61" t="s">
        <v>1221</v>
      </c>
      <c r="F111" s="39">
        <v>92</v>
      </c>
      <c r="G111" s="19" t="s">
        <v>125</v>
      </c>
      <c r="H111" s="39" t="s">
        <v>181</v>
      </c>
      <c r="I111" s="39">
        <v>19</v>
      </c>
      <c r="J111" s="39" t="s">
        <v>63</v>
      </c>
      <c r="K111" s="67">
        <v>243</v>
      </c>
      <c r="L111" s="65">
        <f t="shared" si="15"/>
        <v>4.05</v>
      </c>
      <c r="M111" s="140"/>
    </row>
    <row r="112" spans="1:13" ht="18.899999999999999" customHeight="1" x14ac:dyDescent="0.45">
      <c r="A112" s="127">
        <f t="shared" si="17"/>
        <v>97</v>
      </c>
      <c r="B112" s="272"/>
      <c r="C112" s="271" t="s">
        <v>1222</v>
      </c>
      <c r="D112" s="319" t="s">
        <v>1223</v>
      </c>
      <c r="E112" s="20" t="s">
        <v>1224</v>
      </c>
      <c r="F112" s="26">
        <v>252</v>
      </c>
      <c r="G112" s="19" t="s">
        <v>125</v>
      </c>
      <c r="H112" s="26" t="s">
        <v>1225</v>
      </c>
      <c r="I112" s="19">
        <v>7</v>
      </c>
      <c r="J112" s="19" t="s">
        <v>63</v>
      </c>
      <c r="K112" s="64">
        <v>178</v>
      </c>
      <c r="L112" s="65">
        <f t="shared" si="15"/>
        <v>2.9666666666666668</v>
      </c>
      <c r="M112" s="140"/>
    </row>
    <row r="113" spans="1:13" ht="18.899999999999999" customHeight="1" x14ac:dyDescent="0.45">
      <c r="A113" s="127">
        <f t="shared" si="17"/>
        <v>98</v>
      </c>
      <c r="B113" s="272"/>
      <c r="C113" s="272"/>
      <c r="D113" s="321"/>
      <c r="E113" s="20" t="s">
        <v>1226</v>
      </c>
      <c r="F113" s="26">
        <v>164</v>
      </c>
      <c r="G113" s="19" t="s">
        <v>125</v>
      </c>
      <c r="H113" s="26" t="s">
        <v>746</v>
      </c>
      <c r="I113" s="19">
        <v>9</v>
      </c>
      <c r="J113" s="19" t="s">
        <v>63</v>
      </c>
      <c r="K113" s="64">
        <v>128</v>
      </c>
      <c r="L113" s="65">
        <f t="shared" si="15"/>
        <v>2.1333333333333333</v>
      </c>
      <c r="M113" s="140"/>
    </row>
    <row r="114" spans="1:13" ht="18.899999999999999" customHeight="1" x14ac:dyDescent="0.45">
      <c r="A114" s="127">
        <f t="shared" si="17"/>
        <v>99</v>
      </c>
      <c r="B114" s="272"/>
      <c r="C114" s="272"/>
      <c r="D114" s="321"/>
      <c r="E114" s="49" t="s">
        <v>1227</v>
      </c>
      <c r="F114" s="58">
        <v>1441</v>
      </c>
      <c r="G114" s="19" t="s">
        <v>125</v>
      </c>
      <c r="H114" s="22" t="s">
        <v>1228</v>
      </c>
      <c r="I114" s="23">
        <v>6</v>
      </c>
      <c r="J114" s="26" t="s">
        <v>63</v>
      </c>
      <c r="K114" s="25">
        <v>98</v>
      </c>
      <c r="L114" s="65">
        <f t="shared" si="15"/>
        <v>1.6333333333333333</v>
      </c>
      <c r="M114" s="140"/>
    </row>
    <row r="115" spans="1:13" ht="18.899999999999999" customHeight="1" x14ac:dyDescent="0.45">
      <c r="A115" s="127">
        <f t="shared" si="17"/>
        <v>100</v>
      </c>
      <c r="B115" s="272"/>
      <c r="C115" s="273"/>
      <c r="D115" s="320"/>
      <c r="E115" s="49" t="s">
        <v>1229</v>
      </c>
      <c r="F115" s="58">
        <v>1443</v>
      </c>
      <c r="G115" s="19" t="s">
        <v>125</v>
      </c>
      <c r="H115" s="22" t="s">
        <v>1228</v>
      </c>
      <c r="I115" s="23">
        <v>5</v>
      </c>
      <c r="J115" s="26" t="s">
        <v>63</v>
      </c>
      <c r="K115" s="25">
        <v>79</v>
      </c>
      <c r="L115" s="65">
        <f t="shared" si="15"/>
        <v>1.3166666666666667</v>
      </c>
      <c r="M115" s="140"/>
    </row>
    <row r="116" spans="1:13" ht="18.899999999999999" customHeight="1" x14ac:dyDescent="0.45">
      <c r="A116" s="127">
        <f t="shared" si="17"/>
        <v>101</v>
      </c>
      <c r="B116" s="272"/>
      <c r="C116" s="271" t="s">
        <v>1230</v>
      </c>
      <c r="D116" s="314" t="s">
        <v>1231</v>
      </c>
      <c r="E116" s="20" t="s">
        <v>1232</v>
      </c>
      <c r="F116" s="58">
        <v>1484</v>
      </c>
      <c r="G116" s="58" t="s">
        <v>83</v>
      </c>
      <c r="H116" s="22" t="s">
        <v>1233</v>
      </c>
      <c r="I116" s="23">
        <v>19</v>
      </c>
      <c r="J116" s="26" t="s">
        <v>63</v>
      </c>
      <c r="K116" s="25">
        <v>176</v>
      </c>
      <c r="L116" s="65">
        <f t="shared" si="15"/>
        <v>2.9333333333333331</v>
      </c>
      <c r="M116" s="34" t="s">
        <v>1234</v>
      </c>
    </row>
    <row r="117" spans="1:13" ht="18.899999999999999" customHeight="1" x14ac:dyDescent="0.45">
      <c r="A117" s="127">
        <f t="shared" si="17"/>
        <v>102</v>
      </c>
      <c r="B117" s="272"/>
      <c r="C117" s="272"/>
      <c r="D117" s="315"/>
      <c r="E117" s="20" t="s">
        <v>1235</v>
      </c>
      <c r="F117" s="58">
        <v>1305</v>
      </c>
      <c r="G117" s="58" t="s">
        <v>125</v>
      </c>
      <c r="H117" s="26" t="s">
        <v>1236</v>
      </c>
      <c r="I117" s="26">
        <v>19</v>
      </c>
      <c r="J117" s="26" t="s">
        <v>63</v>
      </c>
      <c r="K117" s="25">
        <v>195</v>
      </c>
      <c r="L117" s="65">
        <f t="shared" si="15"/>
        <v>3.25</v>
      </c>
      <c r="M117" s="34"/>
    </row>
    <row r="118" spans="1:13" ht="18.899999999999999" customHeight="1" x14ac:dyDescent="0.45">
      <c r="A118" s="127">
        <f t="shared" si="17"/>
        <v>103</v>
      </c>
      <c r="B118" s="273"/>
      <c r="C118" s="273"/>
      <c r="D118" s="316"/>
      <c r="E118" s="20" t="s">
        <v>1237</v>
      </c>
      <c r="F118" s="58">
        <v>1242</v>
      </c>
      <c r="G118" s="58" t="s">
        <v>125</v>
      </c>
      <c r="H118" s="22" t="s">
        <v>1236</v>
      </c>
      <c r="I118" s="23">
        <v>13</v>
      </c>
      <c r="J118" s="24" t="s">
        <v>63</v>
      </c>
      <c r="K118" s="25">
        <v>126</v>
      </c>
      <c r="L118" s="65">
        <f t="shared" si="15"/>
        <v>2.1</v>
      </c>
      <c r="M118" s="34"/>
    </row>
    <row r="119" spans="1:13" ht="20.149999999999999" customHeight="1" x14ac:dyDescent="0.45">
      <c r="A119" s="301" t="s">
        <v>1238</v>
      </c>
      <c r="B119" s="302"/>
      <c r="C119" s="302"/>
      <c r="D119" s="302"/>
      <c r="E119" s="302"/>
      <c r="F119" s="302"/>
      <c r="G119" s="302"/>
      <c r="H119" s="302"/>
      <c r="I119" s="302"/>
      <c r="J119" s="302"/>
      <c r="K119" s="302"/>
      <c r="L119" s="302"/>
      <c r="M119" s="302"/>
    </row>
    <row r="120" spans="1:13" ht="127.75" customHeight="1" x14ac:dyDescent="0.45">
      <c r="A120" s="332" t="s">
        <v>1239</v>
      </c>
      <c r="B120" s="333"/>
      <c r="C120" s="333"/>
      <c r="D120" s="333"/>
      <c r="E120" s="333"/>
      <c r="F120" s="333"/>
      <c r="G120" s="333"/>
      <c r="H120" s="333"/>
      <c r="I120" s="333"/>
      <c r="J120" s="333"/>
      <c r="K120" s="333"/>
      <c r="L120" s="333"/>
      <c r="M120" s="333"/>
    </row>
  </sheetData>
  <mergeCells count="59">
    <mergeCell ref="A11:M11"/>
    <mergeCell ref="A35:M35"/>
    <mergeCell ref="A62:M62"/>
    <mergeCell ref="A88:M88"/>
    <mergeCell ref="A102:M102"/>
    <mergeCell ref="C45:C46"/>
    <mergeCell ref="C47:C49"/>
    <mergeCell ref="C50:C53"/>
    <mergeCell ref="C54:C61"/>
    <mergeCell ref="C63:C70"/>
    <mergeCell ref="C71:C74"/>
    <mergeCell ref="C79:C83"/>
    <mergeCell ref="C84:C87"/>
    <mergeCell ref="C89:C101"/>
    <mergeCell ref="D12:D14"/>
    <mergeCell ref="D15:D17"/>
    <mergeCell ref="A120:M120"/>
    <mergeCell ref="B12:B34"/>
    <mergeCell ref="B36:B53"/>
    <mergeCell ref="B54:B61"/>
    <mergeCell ref="B63:B87"/>
    <mergeCell ref="B89:B101"/>
    <mergeCell ref="B103:B118"/>
    <mergeCell ref="C12:C14"/>
    <mergeCell ref="C15:C17"/>
    <mergeCell ref="C18:C23"/>
    <mergeCell ref="C24:C26"/>
    <mergeCell ref="C27:C29"/>
    <mergeCell ref="C30:C31"/>
    <mergeCell ref="C33:C34"/>
    <mergeCell ref="C36:C44"/>
    <mergeCell ref="C107:C108"/>
    <mergeCell ref="C109:C111"/>
    <mergeCell ref="C112:C115"/>
    <mergeCell ref="C116:C118"/>
    <mergeCell ref="A119:M119"/>
    <mergeCell ref="D112:D115"/>
    <mergeCell ref="D116:D118"/>
    <mergeCell ref="D63:D70"/>
    <mergeCell ref="D71:D74"/>
    <mergeCell ref="D79:D83"/>
    <mergeCell ref="D84:D87"/>
    <mergeCell ref="D89:D101"/>
    <mergeCell ref="M3:M5"/>
    <mergeCell ref="A1:L2"/>
    <mergeCell ref="D103:D105"/>
    <mergeCell ref="D107:D108"/>
    <mergeCell ref="D109:D111"/>
    <mergeCell ref="D36:D44"/>
    <mergeCell ref="D45:D46"/>
    <mergeCell ref="D47:D49"/>
    <mergeCell ref="D50:D53"/>
    <mergeCell ref="D54:D61"/>
    <mergeCell ref="D18:D23"/>
    <mergeCell ref="D24:D26"/>
    <mergeCell ref="D27:D29"/>
    <mergeCell ref="D30:D31"/>
    <mergeCell ref="D33:D34"/>
    <mergeCell ref="C103:C105"/>
  </mergeCells>
  <phoneticPr fontId="42" type="noConversion"/>
  <dataValidations count="2">
    <dataValidation allowBlank="1" showErrorMessage="1" sqref="A1 E104:G104 E106 B7:B9 J3:J5 A3:D5 E54:F61 E107:F108 E112:F113" xr:uid="{00000000-0002-0000-0200-000000000000}"/>
    <dataValidation errorStyle="warning" allowBlank="1" showErrorMessage="1" errorTitle="Quantity" error="You must enter a number in this cell." promptTitle="Quantity" sqref="C24 C45:D45 C17:D23 C36:D43 C15:C16 C27:C30 C32:C34 B54:C61 C50:D53 C12:D14 C47:D48 A11:A118" xr:uid="{00000000-0002-0000-0200-000001000000}"/>
  </dataValidations>
  <hyperlinks>
    <hyperlink ref="B5" r:id="rId1" xr:uid="{00000000-0004-0000-0200-000000000000}"/>
  </hyperlinks>
  <pageMargins left="0.7" right="0.7" top="0.75" bottom="0.75" header="0.3" footer="0.3"/>
  <pageSetup paperSize="9" scale="46" orientation="portrait" r:id="rId2"/>
  <rowBreaks count="1" manualBreakCount="1">
    <brk id="87" max="16383" man="1"/>
  </rowBreaks>
  <ignoredErrors>
    <ignoredError sqref="F72 I96 I97:I99" numberStoredAsText="1"/>
  </ignoredError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8"/>
  <sheetViews>
    <sheetView tabSelected="1" view="pageBreakPreview" zoomScale="115" zoomScaleNormal="130" workbookViewId="0">
      <selection sqref="A1:H2"/>
    </sheetView>
  </sheetViews>
  <sheetFormatPr defaultColWidth="9" defaultRowHeight="16.5" x14ac:dyDescent="0.45"/>
  <cols>
    <col min="1" max="1" width="11" style="1" customWidth="1"/>
    <col min="2" max="2" width="11.08984375" style="36" customWidth="1"/>
    <col min="3" max="3" width="24" style="68" customWidth="1"/>
    <col min="4" max="4" width="36.1796875" style="1" customWidth="1"/>
    <col min="5" max="5" width="9.6328125" style="36" hidden="1" customWidth="1"/>
    <col min="6" max="6" width="10" style="1" customWidth="1"/>
    <col min="7" max="7" width="9.90625" style="1" customWidth="1"/>
    <col min="8" max="8" width="11.1796875" style="1" customWidth="1"/>
    <col min="9" max="9" width="42.1796875" style="1" customWidth="1"/>
    <col min="10" max="16384" width="9" style="1"/>
  </cols>
  <sheetData>
    <row r="1" spans="1:9" ht="30" customHeight="1" x14ac:dyDescent="0.45">
      <c r="A1" s="339" t="s">
        <v>0</v>
      </c>
      <c r="B1" s="340"/>
      <c r="C1" s="340"/>
      <c r="D1" s="340"/>
      <c r="E1" s="340"/>
      <c r="F1" s="340"/>
      <c r="G1" s="340"/>
      <c r="H1" s="340"/>
      <c r="I1" s="225" t="s">
        <v>1499</v>
      </c>
    </row>
    <row r="2" spans="1:9" ht="30" customHeight="1" thickBot="1" x14ac:dyDescent="0.5">
      <c r="A2" s="241"/>
      <c r="B2" s="242"/>
      <c r="C2" s="242"/>
      <c r="D2" s="242"/>
      <c r="E2" s="242"/>
      <c r="F2" s="242"/>
      <c r="G2" s="242"/>
      <c r="H2" s="242"/>
      <c r="I2" s="79" t="s">
        <v>29</v>
      </c>
    </row>
    <row r="3" spans="1:9" x14ac:dyDescent="0.45">
      <c r="A3" s="2" t="s">
        <v>30</v>
      </c>
      <c r="B3" s="46" t="s">
        <v>31</v>
      </c>
      <c r="C3" s="69"/>
      <c r="D3" s="4"/>
      <c r="E3" s="37"/>
      <c r="F3" s="5" t="s">
        <v>32</v>
      </c>
      <c r="G3" s="3"/>
      <c r="I3" s="238" t="s">
        <v>1240</v>
      </c>
    </row>
    <row r="4" spans="1:9" x14ac:dyDescent="0.45">
      <c r="A4" s="6" t="s">
        <v>34</v>
      </c>
      <c r="B4" s="46" t="s">
        <v>35</v>
      </c>
      <c r="C4" s="69"/>
      <c r="D4" s="3"/>
      <c r="E4" s="5"/>
      <c r="F4" s="5" t="s">
        <v>36</v>
      </c>
      <c r="G4" s="3"/>
      <c r="I4" s="239"/>
    </row>
    <row r="5" spans="1:9" ht="17" thickBot="1" x14ac:dyDescent="0.5">
      <c r="A5" s="2" t="s">
        <v>37</v>
      </c>
      <c r="B5" s="47" t="s">
        <v>38</v>
      </c>
      <c r="C5" s="70"/>
      <c r="D5" s="4"/>
      <c r="E5" s="37"/>
      <c r="F5" s="5" t="s">
        <v>39</v>
      </c>
      <c r="G5" s="8"/>
      <c r="H5" s="8"/>
      <c r="I5" s="240"/>
    </row>
    <row r="6" spans="1:9" ht="6.75" customHeight="1" thickTop="1" x14ac:dyDescent="0.45">
      <c r="A6" s="9"/>
      <c r="B6" s="38"/>
      <c r="C6" s="71"/>
      <c r="D6" s="10"/>
      <c r="E6" s="38"/>
      <c r="F6" s="10"/>
      <c r="G6" s="10"/>
      <c r="H6" s="10"/>
    </row>
    <row r="7" spans="1:9" x14ac:dyDescent="0.45">
      <c r="A7" s="2" t="s">
        <v>40</v>
      </c>
      <c r="B7" s="5"/>
      <c r="C7" s="69"/>
      <c r="D7" s="11"/>
      <c r="E7" s="13"/>
      <c r="F7" s="12"/>
      <c r="G7" s="13"/>
      <c r="H7" s="13"/>
      <c r="I7" s="13"/>
    </row>
    <row r="8" spans="1:9" x14ac:dyDescent="0.45">
      <c r="A8" s="6" t="s">
        <v>41</v>
      </c>
      <c r="B8" s="5"/>
      <c r="C8" s="69"/>
      <c r="F8" s="5" t="s">
        <v>32</v>
      </c>
    </row>
    <row r="9" spans="1:9" x14ac:dyDescent="0.45">
      <c r="A9" s="2" t="s">
        <v>42</v>
      </c>
      <c r="B9" s="5"/>
      <c r="C9" s="69"/>
      <c r="F9" s="5" t="s">
        <v>36</v>
      </c>
    </row>
    <row r="10" spans="1:9" ht="30.9" customHeight="1" x14ac:dyDescent="0.45">
      <c r="A10" s="16" t="s">
        <v>43</v>
      </c>
      <c r="B10" s="16" t="s">
        <v>1241</v>
      </c>
      <c r="C10" s="16" t="s">
        <v>46</v>
      </c>
      <c r="D10" s="16" t="s">
        <v>47</v>
      </c>
      <c r="E10" s="16" t="s">
        <v>48</v>
      </c>
      <c r="F10" s="17" t="s">
        <v>51</v>
      </c>
      <c r="G10" s="16" t="s">
        <v>52</v>
      </c>
      <c r="H10" s="17" t="s">
        <v>53</v>
      </c>
      <c r="I10" s="17" t="s">
        <v>1242</v>
      </c>
    </row>
    <row r="11" spans="1:9" ht="19.5" customHeight="1" x14ac:dyDescent="0.45">
      <c r="A11" s="308" t="s">
        <v>1243</v>
      </c>
      <c r="B11" s="309"/>
      <c r="C11" s="308"/>
      <c r="D11" s="308"/>
      <c r="E11" s="308"/>
      <c r="F11" s="308"/>
      <c r="G11" s="308"/>
      <c r="H11" s="308"/>
      <c r="I11" s="308"/>
    </row>
    <row r="12" spans="1:9" ht="18.899999999999999" customHeight="1" x14ac:dyDescent="0.45">
      <c r="A12" s="19">
        <v>1</v>
      </c>
      <c r="B12" s="279" t="s">
        <v>1244</v>
      </c>
      <c r="C12" s="344" t="s">
        <v>1245</v>
      </c>
      <c r="D12" s="51" t="s">
        <v>1246</v>
      </c>
      <c r="E12" s="56">
        <v>883</v>
      </c>
      <c r="F12" s="56">
        <v>1</v>
      </c>
      <c r="G12" s="56" t="s">
        <v>63</v>
      </c>
      <c r="H12" s="24">
        <v>45</v>
      </c>
      <c r="I12" s="80" t="s">
        <v>1247</v>
      </c>
    </row>
    <row r="13" spans="1:9" ht="18.899999999999999" customHeight="1" x14ac:dyDescent="0.45">
      <c r="A13" s="19">
        <f t="shared" ref="A13:A49" si="0">A12+1</f>
        <v>2</v>
      </c>
      <c r="B13" s="279"/>
      <c r="C13" s="344"/>
      <c r="D13" s="51" t="s">
        <v>1248</v>
      </c>
      <c r="E13" s="56">
        <v>889</v>
      </c>
      <c r="F13" s="56">
        <v>1</v>
      </c>
      <c r="G13" s="56" t="s">
        <v>63</v>
      </c>
      <c r="H13" s="24">
        <v>54</v>
      </c>
      <c r="I13" s="80" t="s">
        <v>1249</v>
      </c>
    </row>
    <row r="14" spans="1:9" ht="18.899999999999999" customHeight="1" x14ac:dyDescent="0.45">
      <c r="A14" s="19">
        <f t="shared" si="0"/>
        <v>3</v>
      </c>
      <c r="B14" s="279"/>
      <c r="C14" s="344"/>
      <c r="D14" s="362" t="s">
        <v>1250</v>
      </c>
      <c r="E14" s="56">
        <v>890</v>
      </c>
      <c r="F14" s="56">
        <v>1</v>
      </c>
      <c r="G14" s="56" t="s">
        <v>63</v>
      </c>
      <c r="H14" s="24">
        <v>50</v>
      </c>
      <c r="I14" s="80" t="s">
        <v>1251</v>
      </c>
    </row>
    <row r="15" spans="1:9" ht="18.899999999999999" customHeight="1" x14ac:dyDescent="0.45">
      <c r="A15" s="19">
        <f t="shared" si="0"/>
        <v>4</v>
      </c>
      <c r="B15" s="279"/>
      <c r="C15" s="344"/>
      <c r="D15" s="72" t="s">
        <v>1252</v>
      </c>
      <c r="E15" s="56">
        <v>891</v>
      </c>
      <c r="F15" s="56">
        <v>1</v>
      </c>
      <c r="G15" s="56" t="s">
        <v>63</v>
      </c>
      <c r="H15" s="24">
        <v>53</v>
      </c>
      <c r="I15" s="81" t="s">
        <v>1253</v>
      </c>
    </row>
    <row r="16" spans="1:9" ht="18.899999999999999" customHeight="1" x14ac:dyDescent="0.45">
      <c r="A16" s="19">
        <f t="shared" si="0"/>
        <v>5</v>
      </c>
      <c r="B16" s="279" t="s">
        <v>1254</v>
      </c>
      <c r="C16" s="344" t="s">
        <v>1255</v>
      </c>
      <c r="D16" s="51" t="s">
        <v>1256</v>
      </c>
      <c r="E16" s="56">
        <v>892</v>
      </c>
      <c r="F16" s="56">
        <v>1</v>
      </c>
      <c r="G16" s="56" t="s">
        <v>63</v>
      </c>
      <c r="H16" s="24">
        <v>50</v>
      </c>
      <c r="I16" s="81" t="s">
        <v>1257</v>
      </c>
    </row>
    <row r="17" spans="1:9" ht="18.899999999999999" customHeight="1" x14ac:dyDescent="0.45">
      <c r="A17" s="19">
        <f t="shared" si="0"/>
        <v>6</v>
      </c>
      <c r="B17" s="279"/>
      <c r="C17" s="344"/>
      <c r="D17" s="73" t="s">
        <v>1258</v>
      </c>
      <c r="E17" s="74">
        <v>939</v>
      </c>
      <c r="F17" s="74">
        <v>1</v>
      </c>
      <c r="G17" s="74" t="s">
        <v>63</v>
      </c>
      <c r="H17" s="75">
        <v>47</v>
      </c>
      <c r="I17" s="81" t="s">
        <v>1259</v>
      </c>
    </row>
    <row r="18" spans="1:9" ht="18.899999999999999" customHeight="1" x14ac:dyDescent="0.45">
      <c r="A18" s="19">
        <f t="shared" si="0"/>
        <v>7</v>
      </c>
      <c r="B18" s="279"/>
      <c r="C18" s="344"/>
      <c r="D18" s="361" t="s">
        <v>1260</v>
      </c>
      <c r="E18" s="74">
        <v>894</v>
      </c>
      <c r="F18" s="74">
        <v>1</v>
      </c>
      <c r="G18" s="74" t="s">
        <v>63</v>
      </c>
      <c r="H18" s="75">
        <v>50</v>
      </c>
      <c r="I18" s="81" t="s">
        <v>1261</v>
      </c>
    </row>
    <row r="19" spans="1:9" ht="18.899999999999999" customHeight="1" x14ac:dyDescent="0.45">
      <c r="A19" s="19">
        <f t="shared" si="0"/>
        <v>8</v>
      </c>
      <c r="B19" s="279"/>
      <c r="C19" s="344"/>
      <c r="D19" s="361" t="s">
        <v>1262</v>
      </c>
      <c r="E19" s="74">
        <v>1013</v>
      </c>
      <c r="F19" s="74">
        <v>1</v>
      </c>
      <c r="G19" s="74" t="s">
        <v>63</v>
      </c>
      <c r="H19" s="75">
        <v>55</v>
      </c>
      <c r="I19" s="81" t="s">
        <v>1263</v>
      </c>
    </row>
    <row r="20" spans="1:9" ht="18.899999999999999" customHeight="1" x14ac:dyDescent="0.45">
      <c r="A20" s="19">
        <f t="shared" si="0"/>
        <v>9</v>
      </c>
      <c r="B20" s="271" t="s">
        <v>19</v>
      </c>
      <c r="C20" s="345" t="s">
        <v>1264</v>
      </c>
      <c r="D20" s="73" t="s">
        <v>1265</v>
      </c>
      <c r="E20" s="74">
        <v>1538</v>
      </c>
      <c r="F20" s="74">
        <v>5</v>
      </c>
      <c r="G20" s="74" t="s">
        <v>63</v>
      </c>
      <c r="H20" s="75">
        <v>77</v>
      </c>
      <c r="I20" s="81" t="s">
        <v>1266</v>
      </c>
    </row>
    <row r="21" spans="1:9" ht="18.899999999999999" customHeight="1" x14ac:dyDescent="0.45">
      <c r="A21" s="19">
        <f t="shared" si="0"/>
        <v>10</v>
      </c>
      <c r="B21" s="272"/>
      <c r="C21" s="346"/>
      <c r="D21" s="73" t="s">
        <v>1267</v>
      </c>
      <c r="E21" s="56">
        <v>995</v>
      </c>
      <c r="F21" s="56">
        <v>1</v>
      </c>
      <c r="G21" s="56" t="s">
        <v>63</v>
      </c>
      <c r="H21" s="75">
        <v>65</v>
      </c>
      <c r="I21" s="81" t="s">
        <v>1268</v>
      </c>
    </row>
    <row r="22" spans="1:9" ht="18.899999999999999" customHeight="1" x14ac:dyDescent="0.45">
      <c r="A22" s="19">
        <f t="shared" si="0"/>
        <v>11</v>
      </c>
      <c r="B22" s="272"/>
      <c r="C22" s="346"/>
      <c r="D22" s="20" t="s">
        <v>1269</v>
      </c>
      <c r="E22" s="56">
        <v>1159</v>
      </c>
      <c r="F22" s="56">
        <v>1</v>
      </c>
      <c r="G22" s="56" t="s">
        <v>63</v>
      </c>
      <c r="H22" s="75">
        <v>48</v>
      </c>
      <c r="I22" s="81" t="s">
        <v>1270</v>
      </c>
    </row>
    <row r="23" spans="1:9" ht="18.899999999999999" customHeight="1" x14ac:dyDescent="0.45">
      <c r="A23" s="19">
        <f t="shared" si="0"/>
        <v>12</v>
      </c>
      <c r="B23" s="272"/>
      <c r="C23" s="346"/>
      <c r="D23" s="76" t="s">
        <v>1271</v>
      </c>
      <c r="E23" s="74">
        <v>987</v>
      </c>
      <c r="F23" s="74">
        <v>1</v>
      </c>
      <c r="G23" s="74" t="s">
        <v>63</v>
      </c>
      <c r="H23" s="75">
        <v>67</v>
      </c>
      <c r="I23" s="81" t="s">
        <v>1272</v>
      </c>
    </row>
    <row r="24" spans="1:9" ht="18.899999999999999" customHeight="1" x14ac:dyDescent="0.45">
      <c r="A24" s="19">
        <f t="shared" si="0"/>
        <v>13</v>
      </c>
      <c r="B24" s="273"/>
      <c r="C24" s="347"/>
      <c r="D24" s="59" t="s">
        <v>1273</v>
      </c>
      <c r="E24" s="56">
        <v>1225</v>
      </c>
      <c r="F24" s="74">
        <v>1</v>
      </c>
      <c r="G24" s="74" t="s">
        <v>63</v>
      </c>
      <c r="H24" s="75">
        <v>63</v>
      </c>
      <c r="I24" s="81" t="s">
        <v>1274</v>
      </c>
    </row>
    <row r="25" spans="1:9" ht="18.899999999999999" customHeight="1" x14ac:dyDescent="0.45">
      <c r="A25" s="19">
        <f t="shared" si="0"/>
        <v>14</v>
      </c>
      <c r="B25" s="279" t="s">
        <v>1275</v>
      </c>
      <c r="C25" s="348" t="s">
        <v>1276</v>
      </c>
      <c r="D25" s="363" t="s">
        <v>1277</v>
      </c>
      <c r="E25" s="56">
        <v>1163</v>
      </c>
      <c r="F25" s="74">
        <v>1</v>
      </c>
      <c r="G25" s="74" t="s">
        <v>63</v>
      </c>
      <c r="H25" s="75">
        <v>42</v>
      </c>
      <c r="I25" s="81" t="s">
        <v>1278</v>
      </c>
    </row>
    <row r="26" spans="1:9" ht="18.899999999999999" customHeight="1" x14ac:dyDescent="0.45">
      <c r="A26" s="19">
        <f t="shared" si="0"/>
        <v>15</v>
      </c>
      <c r="B26" s="279"/>
      <c r="C26" s="348"/>
      <c r="D26" s="363" t="s">
        <v>1279</v>
      </c>
      <c r="E26" s="56">
        <v>1161</v>
      </c>
      <c r="F26" s="74">
        <v>1</v>
      </c>
      <c r="G26" s="74" t="s">
        <v>63</v>
      </c>
      <c r="H26" s="75">
        <v>35</v>
      </c>
      <c r="I26" s="81" t="s">
        <v>1280</v>
      </c>
    </row>
    <row r="27" spans="1:9" ht="18.899999999999999" customHeight="1" x14ac:dyDescent="0.45">
      <c r="A27" s="19">
        <f t="shared" si="0"/>
        <v>16</v>
      </c>
      <c r="B27" s="279"/>
      <c r="C27" s="348"/>
      <c r="D27" s="363" t="s">
        <v>1281</v>
      </c>
      <c r="E27" s="56">
        <v>1162</v>
      </c>
      <c r="F27" s="74">
        <v>1</v>
      </c>
      <c r="G27" s="74" t="s">
        <v>63</v>
      </c>
      <c r="H27" s="75">
        <v>47</v>
      </c>
      <c r="I27" s="81" t="s">
        <v>1282</v>
      </c>
    </row>
    <row r="28" spans="1:9" ht="18.899999999999999" customHeight="1" x14ac:dyDescent="0.45">
      <c r="A28" s="19">
        <f t="shared" si="0"/>
        <v>17</v>
      </c>
      <c r="B28" s="279"/>
      <c r="C28" s="348"/>
      <c r="D28" s="362" t="s">
        <v>1283</v>
      </c>
      <c r="E28" s="74">
        <v>893</v>
      </c>
      <c r="F28" s="74">
        <v>1</v>
      </c>
      <c r="G28" s="74" t="s">
        <v>63</v>
      </c>
      <c r="H28" s="75">
        <v>48</v>
      </c>
      <c r="I28" s="81" t="s">
        <v>1284</v>
      </c>
    </row>
    <row r="29" spans="1:9" s="4" customFormat="1" ht="18.899999999999999" customHeight="1" x14ac:dyDescent="0.35">
      <c r="A29" s="19">
        <f t="shared" si="0"/>
        <v>18</v>
      </c>
      <c r="B29" s="279" t="s">
        <v>1285</v>
      </c>
      <c r="C29" s="338" t="s">
        <v>1286</v>
      </c>
      <c r="D29" s="362" t="s">
        <v>1287</v>
      </c>
      <c r="E29" s="74">
        <v>895</v>
      </c>
      <c r="F29" s="74">
        <v>1</v>
      </c>
      <c r="G29" s="74" t="s">
        <v>63</v>
      </c>
      <c r="H29" s="75">
        <v>49</v>
      </c>
      <c r="I29" s="81" t="s">
        <v>1288</v>
      </c>
    </row>
    <row r="30" spans="1:9" s="4" customFormat="1" ht="18.899999999999999" customHeight="1" x14ac:dyDescent="0.35">
      <c r="A30" s="19">
        <f t="shared" si="0"/>
        <v>19</v>
      </c>
      <c r="B30" s="279"/>
      <c r="C30" s="338"/>
      <c r="D30" s="362" t="s">
        <v>1289</v>
      </c>
      <c r="E30" s="74">
        <v>1032</v>
      </c>
      <c r="F30" s="74">
        <v>1</v>
      </c>
      <c r="G30" s="74" t="s">
        <v>63</v>
      </c>
      <c r="H30" s="75">
        <v>56</v>
      </c>
      <c r="I30" s="81" t="s">
        <v>1290</v>
      </c>
    </row>
    <row r="31" spans="1:9" s="4" customFormat="1" ht="18.899999999999999" customHeight="1" x14ac:dyDescent="0.35">
      <c r="A31" s="19">
        <f t="shared" si="0"/>
        <v>20</v>
      </c>
      <c r="B31" s="279" t="s">
        <v>1291</v>
      </c>
      <c r="C31" s="349" t="s">
        <v>1292</v>
      </c>
      <c r="D31" s="51" t="s">
        <v>1293</v>
      </c>
      <c r="E31" s="74">
        <v>1011</v>
      </c>
      <c r="F31" s="74">
        <v>1</v>
      </c>
      <c r="G31" s="74" t="s">
        <v>63</v>
      </c>
      <c r="H31" s="75">
        <v>49</v>
      </c>
      <c r="I31" s="81" t="s">
        <v>1294</v>
      </c>
    </row>
    <row r="32" spans="1:9" s="4" customFormat="1" ht="18.899999999999999" customHeight="1" x14ac:dyDescent="0.35">
      <c r="A32" s="19">
        <f t="shared" si="0"/>
        <v>21</v>
      </c>
      <c r="B32" s="279"/>
      <c r="C32" s="349"/>
      <c r="D32" s="363" t="s">
        <v>1295</v>
      </c>
      <c r="E32" s="74">
        <v>1307</v>
      </c>
      <c r="F32" s="74">
        <v>6</v>
      </c>
      <c r="G32" s="74" t="s">
        <v>63</v>
      </c>
      <c r="H32" s="75">
        <v>90</v>
      </c>
      <c r="I32" s="81" t="s">
        <v>1296</v>
      </c>
    </row>
    <row r="33" spans="1:9" s="4" customFormat="1" ht="18.899999999999999" customHeight="1" x14ac:dyDescent="0.35">
      <c r="A33" s="19">
        <f t="shared" si="0"/>
        <v>22</v>
      </c>
      <c r="B33" s="279"/>
      <c r="C33" s="349"/>
      <c r="D33" s="363" t="s">
        <v>1297</v>
      </c>
      <c r="E33" s="74">
        <v>1325</v>
      </c>
      <c r="F33" s="74">
        <v>6</v>
      </c>
      <c r="G33" s="74" t="s">
        <v>63</v>
      </c>
      <c r="H33" s="75">
        <v>71</v>
      </c>
      <c r="I33" s="81" t="s">
        <v>1298</v>
      </c>
    </row>
    <row r="34" spans="1:9" s="4" customFormat="1" ht="18.899999999999999" customHeight="1" x14ac:dyDescent="0.35">
      <c r="A34" s="19">
        <f t="shared" si="0"/>
        <v>23</v>
      </c>
      <c r="B34" s="279"/>
      <c r="C34" s="349"/>
      <c r="D34" s="363" t="s">
        <v>1299</v>
      </c>
      <c r="E34" s="58">
        <v>1386</v>
      </c>
      <c r="F34" s="74">
        <v>4</v>
      </c>
      <c r="G34" s="74" t="s">
        <v>63</v>
      </c>
      <c r="H34" s="75">
        <v>72</v>
      </c>
      <c r="I34" s="81" t="s">
        <v>1300</v>
      </c>
    </row>
    <row r="35" spans="1:9" s="4" customFormat="1" ht="18.899999999999999" customHeight="1" x14ac:dyDescent="0.35">
      <c r="A35" s="19">
        <f t="shared" si="0"/>
        <v>24</v>
      </c>
      <c r="B35" s="279"/>
      <c r="C35" s="349"/>
      <c r="D35" s="76" t="s">
        <v>1301</v>
      </c>
      <c r="E35" s="74">
        <v>963</v>
      </c>
      <c r="F35" s="74">
        <v>1</v>
      </c>
      <c r="G35" s="74" t="s">
        <v>63</v>
      </c>
      <c r="H35" s="75">
        <v>50</v>
      </c>
      <c r="I35" s="81" t="s">
        <v>1302</v>
      </c>
    </row>
    <row r="36" spans="1:9" s="4" customFormat="1" ht="18.899999999999999" customHeight="1" x14ac:dyDescent="0.35">
      <c r="A36" s="19">
        <f t="shared" si="0"/>
        <v>25</v>
      </c>
      <c r="B36" s="279" t="s">
        <v>1303</v>
      </c>
      <c r="C36" s="348" t="s">
        <v>1304</v>
      </c>
      <c r="D36" s="20" t="s">
        <v>1305</v>
      </c>
      <c r="E36" s="74">
        <v>1329</v>
      </c>
      <c r="F36" s="74">
        <v>5</v>
      </c>
      <c r="G36" s="74" t="s">
        <v>63</v>
      </c>
      <c r="H36" s="75">
        <v>52</v>
      </c>
      <c r="I36" s="81" t="s">
        <v>1306</v>
      </c>
    </row>
    <row r="37" spans="1:9" s="4" customFormat="1" ht="18.899999999999999" customHeight="1" x14ac:dyDescent="0.35">
      <c r="A37" s="19">
        <f t="shared" si="0"/>
        <v>26</v>
      </c>
      <c r="B37" s="279"/>
      <c r="C37" s="348"/>
      <c r="D37" s="20" t="s">
        <v>1307</v>
      </c>
      <c r="E37" s="74">
        <v>986</v>
      </c>
      <c r="F37" s="74">
        <v>1</v>
      </c>
      <c r="G37" s="74" t="s">
        <v>63</v>
      </c>
      <c r="H37" s="75">
        <v>62</v>
      </c>
      <c r="I37" s="81" t="s">
        <v>1308</v>
      </c>
    </row>
    <row r="38" spans="1:9" s="4" customFormat="1" ht="18.899999999999999" customHeight="1" x14ac:dyDescent="0.35">
      <c r="A38" s="19">
        <f t="shared" si="0"/>
        <v>27</v>
      </c>
      <c r="B38" s="279"/>
      <c r="C38" s="348"/>
      <c r="D38" s="51" t="s">
        <v>1309</v>
      </c>
      <c r="E38" s="74">
        <v>941</v>
      </c>
      <c r="F38" s="74">
        <v>1</v>
      </c>
      <c r="G38" s="74" t="s">
        <v>63</v>
      </c>
      <c r="H38" s="75">
        <v>56</v>
      </c>
      <c r="I38" s="81" t="s">
        <v>1310</v>
      </c>
    </row>
    <row r="39" spans="1:9" s="4" customFormat="1" ht="18.899999999999999" customHeight="1" x14ac:dyDescent="0.35">
      <c r="A39" s="19">
        <f t="shared" si="0"/>
        <v>28</v>
      </c>
      <c r="B39" s="279"/>
      <c r="C39" s="348"/>
      <c r="D39" s="51" t="s">
        <v>1311</v>
      </c>
      <c r="E39" s="74">
        <v>1539</v>
      </c>
      <c r="F39" s="74">
        <v>4</v>
      </c>
      <c r="G39" s="74" t="s">
        <v>63</v>
      </c>
      <c r="H39" s="75">
        <v>42</v>
      </c>
      <c r="I39" s="81" t="s">
        <v>1312</v>
      </c>
    </row>
    <row r="40" spans="1:9" s="4" customFormat="1" ht="18.899999999999999" customHeight="1" x14ac:dyDescent="0.35">
      <c r="A40" s="19">
        <f t="shared" si="0"/>
        <v>29</v>
      </c>
      <c r="B40" s="279"/>
      <c r="C40" s="348"/>
      <c r="D40" s="363" t="s">
        <v>1313</v>
      </c>
      <c r="E40" s="74">
        <v>1395</v>
      </c>
      <c r="F40" s="74">
        <v>3</v>
      </c>
      <c r="G40" s="74" t="s">
        <v>63</v>
      </c>
      <c r="H40" s="75">
        <v>66</v>
      </c>
      <c r="I40" s="81" t="s">
        <v>1314</v>
      </c>
    </row>
    <row r="41" spans="1:9" s="4" customFormat="1" ht="18.899999999999999" customHeight="1" x14ac:dyDescent="0.35">
      <c r="A41" s="19">
        <f t="shared" si="0"/>
        <v>30</v>
      </c>
      <c r="B41" s="279"/>
      <c r="C41" s="348"/>
      <c r="D41" s="363" t="s">
        <v>1315</v>
      </c>
      <c r="E41" s="74">
        <v>1308</v>
      </c>
      <c r="F41" s="74">
        <v>7</v>
      </c>
      <c r="G41" s="74" t="s">
        <v>63</v>
      </c>
      <c r="H41" s="75" t="s">
        <v>1316</v>
      </c>
      <c r="I41" s="81" t="s">
        <v>1317</v>
      </c>
    </row>
    <row r="42" spans="1:9" s="4" customFormat="1" ht="18.899999999999999" customHeight="1" x14ac:dyDescent="0.35">
      <c r="A42" s="19">
        <f t="shared" si="0"/>
        <v>31</v>
      </c>
      <c r="B42" s="279" t="s">
        <v>1318</v>
      </c>
      <c r="C42" s="344" t="s">
        <v>1319</v>
      </c>
      <c r="D42" s="362" t="s">
        <v>1320</v>
      </c>
      <c r="E42" s="74">
        <v>897</v>
      </c>
      <c r="F42" s="74">
        <v>1</v>
      </c>
      <c r="G42" s="74" t="s">
        <v>63</v>
      </c>
      <c r="H42" s="75">
        <v>54</v>
      </c>
      <c r="I42" s="81" t="s">
        <v>1321</v>
      </c>
    </row>
    <row r="43" spans="1:9" s="4" customFormat="1" ht="18.899999999999999" customHeight="1" x14ac:dyDescent="0.35">
      <c r="A43" s="19">
        <f t="shared" si="0"/>
        <v>32</v>
      </c>
      <c r="B43" s="279"/>
      <c r="C43" s="344"/>
      <c r="D43" s="362" t="s">
        <v>1322</v>
      </c>
      <c r="E43" s="74">
        <v>940</v>
      </c>
      <c r="F43" s="74">
        <v>1</v>
      </c>
      <c r="G43" s="74" t="s">
        <v>63</v>
      </c>
      <c r="H43" s="75">
        <v>48</v>
      </c>
      <c r="I43" s="81" t="s">
        <v>1323</v>
      </c>
    </row>
    <row r="44" spans="1:9" s="4" customFormat="1" ht="18.899999999999999" customHeight="1" x14ac:dyDescent="0.35">
      <c r="A44" s="19">
        <f t="shared" si="0"/>
        <v>33</v>
      </c>
      <c r="B44" s="279"/>
      <c r="C44" s="344"/>
      <c r="D44" s="362" t="s">
        <v>1324</v>
      </c>
      <c r="E44" s="74">
        <v>918</v>
      </c>
      <c r="F44" s="74">
        <v>1</v>
      </c>
      <c r="G44" s="74" t="s">
        <v>63</v>
      </c>
      <c r="H44" s="75">
        <v>57</v>
      </c>
      <c r="I44" s="81" t="s">
        <v>1325</v>
      </c>
    </row>
    <row r="45" spans="1:9" s="4" customFormat="1" ht="18.899999999999999" customHeight="1" x14ac:dyDescent="0.35">
      <c r="A45" s="19">
        <f t="shared" si="0"/>
        <v>34</v>
      </c>
      <c r="B45" s="279"/>
      <c r="C45" s="344"/>
      <c r="D45" s="362" t="s">
        <v>1326</v>
      </c>
      <c r="E45" s="74">
        <v>1033</v>
      </c>
      <c r="F45" s="74">
        <v>1</v>
      </c>
      <c r="G45" s="74" t="s">
        <v>63</v>
      </c>
      <c r="H45" s="75">
        <v>50</v>
      </c>
      <c r="I45" s="81" t="s">
        <v>1327</v>
      </c>
    </row>
    <row r="46" spans="1:9" s="4" customFormat="1" ht="18.899999999999999" customHeight="1" x14ac:dyDescent="0.35">
      <c r="A46" s="19">
        <f t="shared" si="0"/>
        <v>35</v>
      </c>
      <c r="B46" s="279"/>
      <c r="C46" s="344"/>
      <c r="D46" s="362" t="s">
        <v>1328</v>
      </c>
      <c r="E46" s="74">
        <v>942</v>
      </c>
      <c r="F46" s="74">
        <v>1</v>
      </c>
      <c r="G46" s="74" t="s">
        <v>63</v>
      </c>
      <c r="H46" s="75">
        <v>49</v>
      </c>
      <c r="I46" s="81" t="s">
        <v>1329</v>
      </c>
    </row>
    <row r="47" spans="1:9" s="4" customFormat="1" ht="18.899999999999999" customHeight="1" x14ac:dyDescent="0.35">
      <c r="A47" s="19">
        <f t="shared" si="0"/>
        <v>36</v>
      </c>
      <c r="B47" s="279" t="s">
        <v>1330</v>
      </c>
      <c r="C47" s="349" t="s">
        <v>1331</v>
      </c>
      <c r="D47" s="363" t="s">
        <v>1332</v>
      </c>
      <c r="E47" s="56">
        <v>1306</v>
      </c>
      <c r="F47" s="56">
        <v>5</v>
      </c>
      <c r="G47" s="56" t="s">
        <v>63</v>
      </c>
      <c r="H47" s="24">
        <v>77</v>
      </c>
      <c r="I47" s="81" t="s">
        <v>1333</v>
      </c>
    </row>
    <row r="48" spans="1:9" s="4" customFormat="1" ht="18.899999999999999" customHeight="1" x14ac:dyDescent="0.35">
      <c r="A48" s="19">
        <f t="shared" si="0"/>
        <v>37</v>
      </c>
      <c r="B48" s="279"/>
      <c r="C48" s="349"/>
      <c r="D48" s="20" t="s">
        <v>1334</v>
      </c>
      <c r="E48" s="56">
        <v>1419</v>
      </c>
      <c r="F48" s="56">
        <v>3</v>
      </c>
      <c r="G48" s="56" t="s">
        <v>63</v>
      </c>
      <c r="H48" s="24">
        <v>56</v>
      </c>
      <c r="I48" s="81" t="s">
        <v>1335</v>
      </c>
    </row>
    <row r="49" spans="1:9" s="4" customFormat="1" ht="18.899999999999999" customHeight="1" x14ac:dyDescent="0.35">
      <c r="A49" s="19">
        <f t="shared" si="0"/>
        <v>38</v>
      </c>
      <c r="B49" s="279"/>
      <c r="C49" s="349"/>
      <c r="D49" s="20" t="s">
        <v>1336</v>
      </c>
      <c r="E49" s="56">
        <v>1031</v>
      </c>
      <c r="F49" s="56">
        <v>1</v>
      </c>
      <c r="G49" s="56" t="s">
        <v>63</v>
      </c>
      <c r="H49" s="24">
        <v>79</v>
      </c>
      <c r="I49" s="81" t="s">
        <v>1337</v>
      </c>
    </row>
    <row r="50" spans="1:9" s="4" customFormat="1" ht="18.899999999999999" customHeight="1" x14ac:dyDescent="0.35">
      <c r="A50" s="19">
        <f t="shared" ref="A50:A51" si="1">A49+1</f>
        <v>39</v>
      </c>
      <c r="B50" s="279"/>
      <c r="C50" s="349"/>
      <c r="D50" s="20" t="s">
        <v>1338</v>
      </c>
      <c r="E50" s="78">
        <v>1112</v>
      </c>
      <c r="F50" s="56">
        <v>5</v>
      </c>
      <c r="G50" s="56" t="s">
        <v>63</v>
      </c>
      <c r="H50" s="24">
        <v>72</v>
      </c>
      <c r="I50" s="81" t="s">
        <v>1339</v>
      </c>
    </row>
    <row r="51" spans="1:9" s="4" customFormat="1" ht="18.899999999999999" customHeight="1" x14ac:dyDescent="0.35">
      <c r="A51" s="19">
        <f t="shared" si="1"/>
        <v>40</v>
      </c>
      <c r="B51" s="279"/>
      <c r="C51" s="349"/>
      <c r="D51" s="51" t="s">
        <v>1340</v>
      </c>
      <c r="E51" s="74">
        <v>896</v>
      </c>
      <c r="F51" s="74">
        <v>1</v>
      </c>
      <c r="G51" s="74" t="s">
        <v>63</v>
      </c>
      <c r="H51" s="75">
        <v>47</v>
      </c>
      <c r="I51" s="81" t="s">
        <v>1341</v>
      </c>
    </row>
    <row r="52" spans="1:9" ht="19.5" customHeight="1" x14ac:dyDescent="0.45">
      <c r="A52" s="308" t="s">
        <v>1342</v>
      </c>
      <c r="B52" s="309"/>
      <c r="C52" s="308"/>
      <c r="D52" s="308"/>
      <c r="E52" s="308"/>
      <c r="F52" s="308"/>
      <c r="G52" s="308"/>
      <c r="H52" s="308"/>
      <c r="I52" s="308"/>
    </row>
    <row r="53" spans="1:9" ht="18.899999999999999" customHeight="1" x14ac:dyDescent="0.45">
      <c r="A53" s="19">
        <f>A51+1</f>
        <v>41</v>
      </c>
      <c r="B53" s="279" t="s">
        <v>1343</v>
      </c>
      <c r="C53" s="343" t="s">
        <v>1344</v>
      </c>
      <c r="D53" s="363" t="s">
        <v>1345</v>
      </c>
      <c r="E53" s="58">
        <v>1396</v>
      </c>
      <c r="F53" s="26">
        <v>4</v>
      </c>
      <c r="G53" s="26" t="s">
        <v>63</v>
      </c>
      <c r="H53" s="24">
        <v>68</v>
      </c>
      <c r="I53" s="81" t="s">
        <v>1346</v>
      </c>
    </row>
    <row r="54" spans="1:9" ht="18.899999999999999" customHeight="1" x14ac:dyDescent="0.45">
      <c r="A54" s="19">
        <f t="shared" ref="A54:A80" si="2">A53+1</f>
        <v>42</v>
      </c>
      <c r="B54" s="279"/>
      <c r="C54" s="343"/>
      <c r="D54" s="363" t="s">
        <v>1347</v>
      </c>
      <c r="E54" s="58">
        <v>1421</v>
      </c>
      <c r="F54" s="26">
        <v>4</v>
      </c>
      <c r="G54" s="26" t="s">
        <v>63</v>
      </c>
      <c r="H54" s="24">
        <v>55</v>
      </c>
      <c r="I54" s="81" t="s">
        <v>1348</v>
      </c>
    </row>
    <row r="55" spans="1:9" ht="18.899999999999999" customHeight="1" x14ac:dyDescent="0.45">
      <c r="A55" s="19">
        <f t="shared" si="2"/>
        <v>43</v>
      </c>
      <c r="B55" s="279"/>
      <c r="C55" s="343"/>
      <c r="D55" s="363" t="s">
        <v>1349</v>
      </c>
      <c r="E55" s="58">
        <v>1420</v>
      </c>
      <c r="F55" s="26">
        <v>5</v>
      </c>
      <c r="G55" s="26" t="s">
        <v>63</v>
      </c>
      <c r="H55" s="24">
        <v>56</v>
      </c>
      <c r="I55" s="81" t="s">
        <v>1350</v>
      </c>
    </row>
    <row r="56" spans="1:9" ht="18.899999999999999" customHeight="1" x14ac:dyDescent="0.45">
      <c r="A56" s="19">
        <f t="shared" si="2"/>
        <v>44</v>
      </c>
      <c r="B56" s="279"/>
      <c r="C56" s="343"/>
      <c r="D56" s="20" t="s">
        <v>1351</v>
      </c>
      <c r="E56" s="58">
        <v>1373</v>
      </c>
      <c r="F56" s="26">
        <v>5</v>
      </c>
      <c r="G56" s="26" t="s">
        <v>63</v>
      </c>
      <c r="H56" s="24">
        <v>63</v>
      </c>
      <c r="I56" s="81" t="s">
        <v>1352</v>
      </c>
    </row>
    <row r="57" spans="1:9" ht="18.899999999999999" customHeight="1" x14ac:dyDescent="0.45">
      <c r="A57" s="19">
        <f t="shared" si="2"/>
        <v>45</v>
      </c>
      <c r="B57" s="279"/>
      <c r="C57" s="343"/>
      <c r="D57" s="20" t="s">
        <v>1353</v>
      </c>
      <c r="E57" s="58">
        <v>1391</v>
      </c>
      <c r="F57" s="26">
        <v>4</v>
      </c>
      <c r="G57" s="26" t="s">
        <v>63</v>
      </c>
      <c r="H57" s="24">
        <v>49</v>
      </c>
      <c r="I57" s="81" t="s">
        <v>1354</v>
      </c>
    </row>
    <row r="58" spans="1:9" ht="18.899999999999999" customHeight="1" x14ac:dyDescent="0.45">
      <c r="A58" s="19">
        <f t="shared" si="2"/>
        <v>46</v>
      </c>
      <c r="B58" s="296" t="s">
        <v>1355</v>
      </c>
      <c r="C58" s="343" t="s">
        <v>1356</v>
      </c>
      <c r="D58" s="20" t="s">
        <v>1357</v>
      </c>
      <c r="E58" s="74">
        <v>1045</v>
      </c>
      <c r="F58" s="56">
        <v>4</v>
      </c>
      <c r="G58" s="56" t="s">
        <v>63</v>
      </c>
      <c r="H58" s="24">
        <v>46</v>
      </c>
      <c r="I58" s="81" t="s">
        <v>1358</v>
      </c>
    </row>
    <row r="59" spans="1:9" ht="18.899999999999999" customHeight="1" x14ac:dyDescent="0.45">
      <c r="A59" s="19">
        <f t="shared" si="2"/>
        <v>47</v>
      </c>
      <c r="B59" s="296"/>
      <c r="C59" s="343"/>
      <c r="D59" s="20" t="s">
        <v>1359</v>
      </c>
      <c r="E59" s="74">
        <v>1169</v>
      </c>
      <c r="F59" s="19">
        <v>1</v>
      </c>
      <c r="G59" s="19" t="s">
        <v>63</v>
      </c>
      <c r="H59" s="24">
        <v>53</v>
      </c>
      <c r="I59" s="81" t="s">
        <v>1360</v>
      </c>
    </row>
    <row r="60" spans="1:9" ht="18.899999999999999" customHeight="1" x14ac:dyDescent="0.45">
      <c r="A60" s="19">
        <f t="shared" si="2"/>
        <v>48</v>
      </c>
      <c r="B60" s="296"/>
      <c r="C60" s="343"/>
      <c r="D60" s="20" t="s">
        <v>1361</v>
      </c>
      <c r="E60" s="58">
        <v>1389</v>
      </c>
      <c r="F60" s="26">
        <v>4</v>
      </c>
      <c r="G60" s="26" t="s">
        <v>63</v>
      </c>
      <c r="H60" s="24">
        <v>47</v>
      </c>
      <c r="I60" s="81" t="s">
        <v>1362</v>
      </c>
    </row>
    <row r="61" spans="1:9" ht="18.899999999999999" customHeight="1" x14ac:dyDescent="0.45">
      <c r="A61" s="19">
        <f t="shared" si="2"/>
        <v>49</v>
      </c>
      <c r="B61" s="296"/>
      <c r="C61" s="343"/>
      <c r="D61" s="20" t="s">
        <v>1363</v>
      </c>
      <c r="E61" s="74">
        <v>1310</v>
      </c>
      <c r="F61" s="26">
        <v>5</v>
      </c>
      <c r="G61" s="26" t="s">
        <v>63</v>
      </c>
      <c r="H61" s="24">
        <v>46</v>
      </c>
      <c r="I61" s="81" t="s">
        <v>1364</v>
      </c>
    </row>
    <row r="62" spans="1:9" ht="18.899999999999999" customHeight="1" x14ac:dyDescent="0.45">
      <c r="A62" s="19">
        <f t="shared" si="2"/>
        <v>50</v>
      </c>
      <c r="B62" s="279" t="s">
        <v>1365</v>
      </c>
      <c r="C62" s="343" t="s">
        <v>1366</v>
      </c>
      <c r="D62" s="51" t="s">
        <v>1367</v>
      </c>
      <c r="E62" s="74">
        <v>1418</v>
      </c>
      <c r="F62" s="23">
        <v>4</v>
      </c>
      <c r="G62" s="19" t="s">
        <v>63</v>
      </c>
      <c r="H62" s="24">
        <v>64</v>
      </c>
      <c r="I62" s="81" t="s">
        <v>1368</v>
      </c>
    </row>
    <row r="63" spans="1:9" ht="18.899999999999999" customHeight="1" x14ac:dyDescent="0.45">
      <c r="A63" s="19">
        <f t="shared" si="2"/>
        <v>51</v>
      </c>
      <c r="B63" s="279"/>
      <c r="C63" s="343"/>
      <c r="D63" s="51" t="s">
        <v>1369</v>
      </c>
      <c r="E63" s="74">
        <v>1100</v>
      </c>
      <c r="F63" s="23">
        <v>1</v>
      </c>
      <c r="G63" s="19" t="s">
        <v>63</v>
      </c>
      <c r="H63" s="24">
        <v>50</v>
      </c>
      <c r="I63" s="82" t="s">
        <v>1370</v>
      </c>
    </row>
    <row r="64" spans="1:9" ht="18.899999999999999" customHeight="1" x14ac:dyDescent="0.45">
      <c r="A64" s="19">
        <f t="shared" si="2"/>
        <v>52</v>
      </c>
      <c r="B64" s="279"/>
      <c r="C64" s="343"/>
      <c r="D64" s="20" t="s">
        <v>1371</v>
      </c>
      <c r="E64" s="19">
        <v>1134</v>
      </c>
      <c r="F64" s="19">
        <v>1</v>
      </c>
      <c r="G64" s="19" t="s">
        <v>63</v>
      </c>
      <c r="H64" s="24">
        <v>67</v>
      </c>
      <c r="I64" s="81" t="s">
        <v>1372</v>
      </c>
    </row>
    <row r="65" spans="1:9" ht="18.899999999999999" customHeight="1" x14ac:dyDescent="0.45">
      <c r="A65" s="19">
        <f t="shared" si="2"/>
        <v>53</v>
      </c>
      <c r="B65" s="279"/>
      <c r="C65" s="343"/>
      <c r="D65" s="20" t="s">
        <v>1373</v>
      </c>
      <c r="E65" s="19">
        <v>1167</v>
      </c>
      <c r="F65" s="19">
        <v>1</v>
      </c>
      <c r="G65" s="19" t="s">
        <v>63</v>
      </c>
      <c r="H65" s="24">
        <v>57</v>
      </c>
      <c r="I65" s="81" t="s">
        <v>1374</v>
      </c>
    </row>
    <row r="66" spans="1:9" ht="18.899999999999999" customHeight="1" x14ac:dyDescent="0.45">
      <c r="A66" s="19">
        <f t="shared" si="2"/>
        <v>54</v>
      </c>
      <c r="B66" s="279"/>
      <c r="C66" s="343"/>
      <c r="D66" s="20" t="s">
        <v>1375</v>
      </c>
      <c r="E66" s="19">
        <v>1168</v>
      </c>
      <c r="F66" s="19">
        <v>1</v>
      </c>
      <c r="G66" s="19" t="s">
        <v>63</v>
      </c>
      <c r="H66" s="24">
        <v>43</v>
      </c>
      <c r="I66" s="81" t="s">
        <v>1376</v>
      </c>
    </row>
    <row r="67" spans="1:9" ht="18.899999999999999" customHeight="1" x14ac:dyDescent="0.45">
      <c r="A67" s="19">
        <f t="shared" si="2"/>
        <v>55</v>
      </c>
      <c r="B67" s="279" t="s">
        <v>1377</v>
      </c>
      <c r="C67" s="344" t="s">
        <v>1378</v>
      </c>
      <c r="D67" s="83" t="s">
        <v>1379</v>
      </c>
      <c r="E67" s="56">
        <v>955</v>
      </c>
      <c r="F67" s="56">
        <v>1</v>
      </c>
      <c r="G67" s="56" t="s">
        <v>63</v>
      </c>
      <c r="H67" s="24">
        <v>45</v>
      </c>
      <c r="I67" s="81" t="s">
        <v>1380</v>
      </c>
    </row>
    <row r="68" spans="1:9" ht="18.899999999999999" customHeight="1" x14ac:dyDescent="0.45">
      <c r="A68" s="19">
        <f t="shared" si="2"/>
        <v>56</v>
      </c>
      <c r="B68" s="279"/>
      <c r="C68" s="344"/>
      <c r="D68" s="20" t="s">
        <v>1381</v>
      </c>
      <c r="E68" s="56">
        <v>898</v>
      </c>
      <c r="F68" s="56">
        <v>5</v>
      </c>
      <c r="G68" s="56" t="s">
        <v>63</v>
      </c>
      <c r="H68" s="24">
        <v>45</v>
      </c>
      <c r="I68" s="81" t="s">
        <v>1382</v>
      </c>
    </row>
    <row r="69" spans="1:9" ht="18.899999999999999" customHeight="1" x14ac:dyDescent="0.45">
      <c r="A69" s="19">
        <f t="shared" si="2"/>
        <v>57</v>
      </c>
      <c r="B69" s="279"/>
      <c r="C69" s="344"/>
      <c r="D69" s="84" t="s">
        <v>1383</v>
      </c>
      <c r="E69" s="74">
        <v>909</v>
      </c>
      <c r="F69" s="56">
        <v>1</v>
      </c>
      <c r="G69" s="56" t="s">
        <v>63</v>
      </c>
      <c r="H69" s="24">
        <v>60</v>
      </c>
      <c r="I69" s="81" t="s">
        <v>1384</v>
      </c>
    </row>
    <row r="70" spans="1:9" ht="18.899999999999999" customHeight="1" x14ac:dyDescent="0.45">
      <c r="A70" s="19">
        <f t="shared" si="2"/>
        <v>58</v>
      </c>
      <c r="B70" s="279"/>
      <c r="C70" s="344"/>
      <c r="D70" s="51" t="s">
        <v>1385</v>
      </c>
      <c r="E70" s="19">
        <v>1101</v>
      </c>
      <c r="F70" s="23">
        <v>1</v>
      </c>
      <c r="G70" s="19" t="s">
        <v>63</v>
      </c>
      <c r="H70" s="24">
        <v>55</v>
      </c>
      <c r="I70" s="81" t="s">
        <v>1386</v>
      </c>
    </row>
    <row r="71" spans="1:9" ht="18.899999999999999" customHeight="1" x14ac:dyDescent="0.45">
      <c r="A71" s="19">
        <f t="shared" si="2"/>
        <v>59</v>
      </c>
      <c r="B71" s="279"/>
      <c r="C71" s="344"/>
      <c r="D71" s="51" t="s">
        <v>1387</v>
      </c>
      <c r="E71" s="19">
        <v>1102</v>
      </c>
      <c r="F71" s="23">
        <v>1</v>
      </c>
      <c r="G71" s="19" t="s">
        <v>63</v>
      </c>
      <c r="H71" s="24">
        <v>44</v>
      </c>
      <c r="I71" s="81" t="s">
        <v>1388</v>
      </c>
    </row>
    <row r="72" spans="1:9" ht="18.899999999999999" customHeight="1" x14ac:dyDescent="0.45">
      <c r="A72" s="19">
        <f t="shared" si="2"/>
        <v>60</v>
      </c>
      <c r="B72" s="271" t="s">
        <v>1389</v>
      </c>
      <c r="C72" s="341" t="s">
        <v>1390</v>
      </c>
      <c r="D72" s="84" t="s">
        <v>1391</v>
      </c>
      <c r="E72" s="74">
        <v>944</v>
      </c>
      <c r="F72" s="56">
        <v>1</v>
      </c>
      <c r="G72" s="56" t="s">
        <v>63</v>
      </c>
      <c r="H72" s="24">
        <v>55</v>
      </c>
      <c r="I72" s="81" t="s">
        <v>1392</v>
      </c>
    </row>
    <row r="73" spans="1:9" ht="18.899999999999999" customHeight="1" x14ac:dyDescent="0.45">
      <c r="A73" s="19">
        <f t="shared" si="2"/>
        <v>61</v>
      </c>
      <c r="B73" s="273"/>
      <c r="C73" s="342"/>
      <c r="D73" s="84" t="s">
        <v>1393</v>
      </c>
      <c r="E73" s="74">
        <v>900</v>
      </c>
      <c r="F73" s="56">
        <v>1</v>
      </c>
      <c r="G73" s="56" t="s">
        <v>63</v>
      </c>
      <c r="H73" s="24">
        <v>52</v>
      </c>
      <c r="I73" s="81" t="s">
        <v>1394</v>
      </c>
    </row>
    <row r="74" spans="1:9" ht="18.899999999999999" customHeight="1" x14ac:dyDescent="0.45">
      <c r="A74" s="19">
        <f t="shared" si="2"/>
        <v>62</v>
      </c>
      <c r="B74" s="279" t="s">
        <v>1395</v>
      </c>
      <c r="C74" s="343" t="s">
        <v>1396</v>
      </c>
      <c r="D74" s="20" t="s">
        <v>1397</v>
      </c>
      <c r="E74" s="74">
        <v>965</v>
      </c>
      <c r="F74" s="56">
        <v>4</v>
      </c>
      <c r="G74" s="56" t="s">
        <v>63</v>
      </c>
      <c r="H74" s="24">
        <v>58</v>
      </c>
      <c r="I74" s="81" t="s">
        <v>1398</v>
      </c>
    </row>
    <row r="75" spans="1:9" ht="18.899999999999999" customHeight="1" x14ac:dyDescent="0.45">
      <c r="A75" s="19">
        <f t="shared" si="2"/>
        <v>63</v>
      </c>
      <c r="B75" s="279"/>
      <c r="C75" s="343"/>
      <c r="D75" s="20" t="s">
        <v>1399</v>
      </c>
      <c r="E75" s="74">
        <v>1046</v>
      </c>
      <c r="F75" s="56">
        <v>5</v>
      </c>
      <c r="G75" s="56" t="s">
        <v>63</v>
      </c>
      <c r="H75" s="24">
        <v>63</v>
      </c>
      <c r="I75" s="81" t="s">
        <v>1400</v>
      </c>
    </row>
    <row r="76" spans="1:9" ht="18.899999999999999" customHeight="1" x14ac:dyDescent="0.45">
      <c r="A76" s="19">
        <f t="shared" si="2"/>
        <v>64</v>
      </c>
      <c r="B76" s="279"/>
      <c r="C76" s="343"/>
      <c r="D76" s="59" t="s">
        <v>1401</v>
      </c>
      <c r="E76" s="74">
        <v>958</v>
      </c>
      <c r="F76" s="56">
        <v>1</v>
      </c>
      <c r="G76" s="56" t="s">
        <v>63</v>
      </c>
      <c r="H76" s="24">
        <v>56</v>
      </c>
      <c r="I76" s="81" t="s">
        <v>1402</v>
      </c>
    </row>
    <row r="77" spans="1:9" ht="18.899999999999999" customHeight="1" x14ac:dyDescent="0.45">
      <c r="A77" s="19">
        <f t="shared" si="2"/>
        <v>65</v>
      </c>
      <c r="B77" s="279" t="s">
        <v>1403</v>
      </c>
      <c r="C77" s="343" t="s">
        <v>1404</v>
      </c>
      <c r="D77" s="20" t="s">
        <v>1405</v>
      </c>
      <c r="E77" s="74">
        <v>1047</v>
      </c>
      <c r="F77" s="56">
        <v>4</v>
      </c>
      <c r="G77" s="56" t="s">
        <v>63</v>
      </c>
      <c r="H77" s="24">
        <v>65</v>
      </c>
      <c r="I77" s="81" t="s">
        <v>1406</v>
      </c>
    </row>
    <row r="78" spans="1:9" ht="18.899999999999999" customHeight="1" x14ac:dyDescent="0.45">
      <c r="A78" s="19">
        <f t="shared" si="2"/>
        <v>66</v>
      </c>
      <c r="B78" s="279"/>
      <c r="C78" s="343"/>
      <c r="D78" s="59" t="s">
        <v>1407</v>
      </c>
      <c r="E78" s="19">
        <v>1166</v>
      </c>
      <c r="F78" s="19">
        <v>1</v>
      </c>
      <c r="G78" s="19" t="s">
        <v>63</v>
      </c>
      <c r="H78" s="24">
        <v>53</v>
      </c>
      <c r="I78" s="81" t="s">
        <v>1408</v>
      </c>
    </row>
    <row r="79" spans="1:9" ht="18.899999999999999" customHeight="1" x14ac:dyDescent="0.45">
      <c r="A79" s="19">
        <f t="shared" si="2"/>
        <v>67</v>
      </c>
      <c r="B79" s="279"/>
      <c r="C79" s="343"/>
      <c r="D79" s="20" t="s">
        <v>1409</v>
      </c>
      <c r="E79" s="19">
        <v>1165</v>
      </c>
      <c r="F79" s="19">
        <v>1</v>
      </c>
      <c r="G79" s="19" t="s">
        <v>63</v>
      </c>
      <c r="H79" s="24">
        <v>37</v>
      </c>
      <c r="I79" s="81" t="s">
        <v>1410</v>
      </c>
    </row>
    <row r="80" spans="1:9" ht="18.899999999999999" customHeight="1" x14ac:dyDescent="0.45">
      <c r="A80" s="19">
        <f t="shared" si="2"/>
        <v>68</v>
      </c>
      <c r="B80" s="279"/>
      <c r="C80" s="343"/>
      <c r="D80" s="20" t="s">
        <v>1411</v>
      </c>
      <c r="E80" s="19">
        <v>1164</v>
      </c>
      <c r="F80" s="19">
        <v>1</v>
      </c>
      <c r="G80" s="19" t="s">
        <v>63</v>
      </c>
      <c r="H80" s="24">
        <v>56</v>
      </c>
      <c r="I80" s="81" t="s">
        <v>1412</v>
      </c>
    </row>
    <row r="81" spans="1:9" ht="18" customHeight="1" x14ac:dyDescent="0.45">
      <c r="A81" s="308" t="s">
        <v>1413</v>
      </c>
      <c r="B81" s="309"/>
      <c r="C81" s="308"/>
      <c r="D81" s="308"/>
      <c r="E81" s="308"/>
      <c r="F81" s="308"/>
      <c r="G81" s="308"/>
      <c r="H81" s="308"/>
      <c r="I81" s="308"/>
    </row>
    <row r="82" spans="1:9" ht="18.899999999999999" customHeight="1" x14ac:dyDescent="0.45">
      <c r="A82" s="19">
        <f>A80+1</f>
        <v>69</v>
      </c>
      <c r="B82" s="279" t="s">
        <v>1414</v>
      </c>
      <c r="C82" s="343" t="s">
        <v>1415</v>
      </c>
      <c r="D82" s="20" t="s">
        <v>1416</v>
      </c>
      <c r="E82" s="56">
        <v>903</v>
      </c>
      <c r="F82" s="56">
        <v>1</v>
      </c>
      <c r="G82" s="56" t="s">
        <v>63</v>
      </c>
      <c r="H82" s="24">
        <v>63</v>
      </c>
      <c r="I82" s="81" t="s">
        <v>1417</v>
      </c>
    </row>
    <row r="83" spans="1:9" ht="18.899999999999999" customHeight="1" x14ac:dyDescent="0.45">
      <c r="A83" s="19">
        <f t="shared" ref="A83:A89" si="3">A82+1</f>
        <v>70</v>
      </c>
      <c r="B83" s="279"/>
      <c r="C83" s="343"/>
      <c r="D83" s="20" t="s">
        <v>1418</v>
      </c>
      <c r="E83" s="56">
        <v>901</v>
      </c>
      <c r="F83" s="56">
        <v>1</v>
      </c>
      <c r="G83" s="56" t="s">
        <v>63</v>
      </c>
      <c r="H83" s="24">
        <v>49</v>
      </c>
      <c r="I83" s="82" t="s">
        <v>1419</v>
      </c>
    </row>
    <row r="84" spans="1:9" ht="18.899999999999999" customHeight="1" x14ac:dyDescent="0.45">
      <c r="A84" s="19">
        <f t="shared" si="3"/>
        <v>71</v>
      </c>
      <c r="B84" s="279"/>
      <c r="C84" s="343"/>
      <c r="D84" s="20" t="s">
        <v>1420</v>
      </c>
      <c r="E84" s="56">
        <v>882</v>
      </c>
      <c r="F84" s="56">
        <v>1</v>
      </c>
      <c r="G84" s="56" t="s">
        <v>63</v>
      </c>
      <c r="H84" s="24">
        <v>57</v>
      </c>
      <c r="I84" s="82" t="s">
        <v>1421</v>
      </c>
    </row>
    <row r="85" spans="1:9" ht="18.899999999999999" customHeight="1" x14ac:dyDescent="0.45">
      <c r="A85" s="19">
        <f t="shared" si="3"/>
        <v>72</v>
      </c>
      <c r="B85" s="279" t="s">
        <v>1422</v>
      </c>
      <c r="C85" s="338" t="s">
        <v>1423</v>
      </c>
      <c r="D85" s="20" t="s">
        <v>1424</v>
      </c>
      <c r="E85" s="56">
        <v>943</v>
      </c>
      <c r="F85" s="56">
        <v>1</v>
      </c>
      <c r="G85" s="56" t="s">
        <v>63</v>
      </c>
      <c r="H85" s="24">
        <v>55</v>
      </c>
      <c r="I85" s="82" t="s">
        <v>1425</v>
      </c>
    </row>
    <row r="86" spans="1:9" ht="18.899999999999999" customHeight="1" x14ac:dyDescent="0.45">
      <c r="A86" s="19">
        <f t="shared" si="3"/>
        <v>73</v>
      </c>
      <c r="B86" s="279"/>
      <c r="C86" s="338"/>
      <c r="D86" s="59" t="s">
        <v>1426</v>
      </c>
      <c r="E86" s="56">
        <v>881</v>
      </c>
      <c r="F86" s="56">
        <v>1</v>
      </c>
      <c r="G86" s="56" t="s">
        <v>63</v>
      </c>
      <c r="H86" s="24">
        <v>60</v>
      </c>
      <c r="I86" s="82" t="s">
        <v>1427</v>
      </c>
    </row>
    <row r="87" spans="1:9" ht="18.899999999999999" customHeight="1" x14ac:dyDescent="0.45">
      <c r="A87" s="19">
        <f t="shared" si="3"/>
        <v>74</v>
      </c>
      <c r="B87" s="279" t="s">
        <v>1428</v>
      </c>
      <c r="C87" s="338" t="s">
        <v>1429</v>
      </c>
      <c r="D87" s="20" t="s">
        <v>1430</v>
      </c>
      <c r="E87" s="56">
        <v>954</v>
      </c>
      <c r="F87" s="56">
        <v>1</v>
      </c>
      <c r="G87" s="56" t="s">
        <v>63</v>
      </c>
      <c r="H87" s="24">
        <v>63</v>
      </c>
      <c r="I87" s="82" t="s">
        <v>1431</v>
      </c>
    </row>
    <row r="88" spans="1:9" ht="18.899999999999999" customHeight="1" x14ac:dyDescent="0.45">
      <c r="A88" s="19">
        <f t="shared" si="3"/>
        <v>75</v>
      </c>
      <c r="B88" s="279"/>
      <c r="C88" s="338"/>
      <c r="D88" s="59" t="s">
        <v>1432</v>
      </c>
      <c r="E88" s="56">
        <v>956</v>
      </c>
      <c r="F88" s="56">
        <v>1</v>
      </c>
      <c r="G88" s="56" t="s">
        <v>63</v>
      </c>
      <c r="H88" s="24">
        <v>56</v>
      </c>
      <c r="I88" s="82" t="s">
        <v>1433</v>
      </c>
    </row>
    <row r="89" spans="1:9" ht="18.899999999999999" customHeight="1" x14ac:dyDescent="0.45">
      <c r="A89" s="19">
        <f t="shared" si="3"/>
        <v>76</v>
      </c>
      <c r="B89" s="279"/>
      <c r="C89" s="338"/>
      <c r="D89" s="20" t="s">
        <v>1434</v>
      </c>
      <c r="E89" s="56">
        <v>957</v>
      </c>
      <c r="F89" s="56">
        <v>1</v>
      </c>
      <c r="G89" s="56" t="s">
        <v>63</v>
      </c>
      <c r="H89" s="24">
        <v>52</v>
      </c>
      <c r="I89" s="82" t="s">
        <v>1435</v>
      </c>
    </row>
    <row r="234" spans="4:4" x14ac:dyDescent="0.45">
      <c r="D234" s="85"/>
    </row>
    <row r="235" spans="4:4" x14ac:dyDescent="0.45">
      <c r="D235" s="85"/>
    </row>
    <row r="236" spans="4:4" x14ac:dyDescent="0.45">
      <c r="D236" s="85"/>
    </row>
    <row r="237" spans="4:4" x14ac:dyDescent="0.45">
      <c r="D237" s="85"/>
    </row>
    <row r="238" spans="4:4" x14ac:dyDescent="0.45">
      <c r="D238" s="85"/>
    </row>
  </sheetData>
  <mergeCells count="43">
    <mergeCell ref="B12:B15"/>
    <mergeCell ref="B16:B19"/>
    <mergeCell ref="B20:B24"/>
    <mergeCell ref="B25:B28"/>
    <mergeCell ref="B29:B30"/>
    <mergeCell ref="B31:B35"/>
    <mergeCell ref="B36:B41"/>
    <mergeCell ref="B42:B46"/>
    <mergeCell ref="B47:B51"/>
    <mergeCell ref="B53:B57"/>
    <mergeCell ref="B58:B61"/>
    <mergeCell ref="B62:B66"/>
    <mergeCell ref="B72:B73"/>
    <mergeCell ref="B74:B76"/>
    <mergeCell ref="B77:B80"/>
    <mergeCell ref="B82:B84"/>
    <mergeCell ref="A11:I11"/>
    <mergeCell ref="A52:I52"/>
    <mergeCell ref="A81:I81"/>
    <mergeCell ref="C53:C57"/>
    <mergeCell ref="C58:C61"/>
    <mergeCell ref="C62:C66"/>
    <mergeCell ref="C67:C71"/>
    <mergeCell ref="B67:B71"/>
    <mergeCell ref="C29:C30"/>
    <mergeCell ref="C31:C35"/>
    <mergeCell ref="C36:C41"/>
    <mergeCell ref="C42:C46"/>
    <mergeCell ref="C47:C51"/>
    <mergeCell ref="C87:C89"/>
    <mergeCell ref="I3:I5"/>
    <mergeCell ref="A1:H2"/>
    <mergeCell ref="C72:C73"/>
    <mergeCell ref="C74:C76"/>
    <mergeCell ref="C77:C80"/>
    <mergeCell ref="C82:C84"/>
    <mergeCell ref="C85:C86"/>
    <mergeCell ref="B85:B86"/>
    <mergeCell ref="B87:B89"/>
    <mergeCell ref="C12:C15"/>
    <mergeCell ref="C16:C19"/>
    <mergeCell ref="C20:C24"/>
    <mergeCell ref="C25:C28"/>
  </mergeCells>
  <phoneticPr fontId="42" type="noConversion"/>
  <dataValidations count="2">
    <dataValidation allowBlank="1" showErrorMessage="1" sqref="A1 D12:D16 D28:D31 D36:D40 D42:D46 D48:D51 G3:G4 A3:C5 B7:C9" xr:uid="{00000000-0002-0000-0300-000000000000}"/>
    <dataValidation errorStyle="warning" allowBlank="1" showErrorMessage="1" errorTitle="Quantity" error="You must enter a number in this cell." promptTitle="Quantity" sqref="C20 C25:C28 C31:C34 C36:C40 C47:C50 A11:A89" xr:uid="{00000000-0002-0000-0300-000001000000}"/>
  </dataValidations>
  <hyperlinks>
    <hyperlink ref="B5" r:id="rId1" xr:uid="{00000000-0004-0000-0300-000000000000}"/>
  </hyperlinks>
  <pageMargins left="0.69930555555555596" right="0.69930555555555596" top="0.75" bottom="0.75" header="0.3" footer="0.3"/>
  <pageSetup paperSize="9" scale="49" orientation="portrait" r:id="rId2"/>
  <rowBreaks count="1" manualBreakCount="1">
    <brk id="80" max="8"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9"/>
  <sheetViews>
    <sheetView view="pageBreakPreview" zoomScale="115" zoomScaleNormal="100" workbookViewId="0">
      <selection sqref="A1:H2"/>
    </sheetView>
  </sheetViews>
  <sheetFormatPr defaultColWidth="9" defaultRowHeight="16.5" x14ac:dyDescent="0.45"/>
  <cols>
    <col min="1" max="2" width="11" style="1" customWidth="1"/>
    <col min="3" max="3" width="50.36328125" style="1" customWidth="1"/>
    <col min="4" max="4" width="7.453125" style="1" hidden="1" customWidth="1"/>
    <col min="5" max="5" width="12.1796875" style="1" customWidth="1"/>
    <col min="6" max="6" width="9.81640625" style="1" customWidth="1"/>
    <col min="7" max="9" width="9.453125" style="1" customWidth="1"/>
    <col min="10" max="10" width="17.453125" style="1" customWidth="1"/>
    <col min="11" max="16384" width="9" style="1"/>
  </cols>
  <sheetData>
    <row r="1" spans="1:10" ht="30" customHeight="1" x14ac:dyDescent="0.45">
      <c r="A1" s="339" t="s">
        <v>0</v>
      </c>
      <c r="B1" s="340"/>
      <c r="C1" s="340"/>
      <c r="D1" s="340"/>
      <c r="E1" s="340"/>
      <c r="F1" s="340"/>
      <c r="G1" s="340"/>
      <c r="H1" s="340"/>
      <c r="I1" s="359" t="s">
        <v>1440</v>
      </c>
      <c r="J1" s="356"/>
    </row>
    <row r="2" spans="1:10" ht="30" customHeight="1" x14ac:dyDescent="0.45">
      <c r="A2" s="241"/>
      <c r="B2" s="242"/>
      <c r="C2" s="242"/>
      <c r="D2" s="242"/>
      <c r="E2" s="242"/>
      <c r="F2" s="242"/>
      <c r="G2" s="242"/>
      <c r="H2" s="242"/>
      <c r="I2" s="357" t="s">
        <v>29</v>
      </c>
      <c r="J2" s="358"/>
    </row>
    <row r="3" spans="1:10" ht="16.5" customHeight="1" x14ac:dyDescent="0.45">
      <c r="A3" s="2" t="s">
        <v>30</v>
      </c>
      <c r="B3" s="3" t="s">
        <v>31</v>
      </c>
      <c r="C3" s="4"/>
      <c r="D3" s="4"/>
      <c r="E3" s="5" t="s">
        <v>32</v>
      </c>
      <c r="I3" s="350" t="s">
        <v>1438</v>
      </c>
      <c r="J3" s="351"/>
    </row>
    <row r="4" spans="1:10" ht="16.5" customHeight="1" x14ac:dyDescent="0.45">
      <c r="A4" s="6" t="s">
        <v>34</v>
      </c>
      <c r="B4" s="3" t="s">
        <v>35</v>
      </c>
      <c r="C4" s="3"/>
      <c r="D4" s="3"/>
      <c r="E4" s="5" t="s">
        <v>36</v>
      </c>
      <c r="I4" s="352"/>
      <c r="J4" s="353"/>
    </row>
    <row r="5" spans="1:10" ht="17.25" customHeight="1" x14ac:dyDescent="0.45">
      <c r="A5" s="2" t="s">
        <v>37</v>
      </c>
      <c r="B5" s="7" t="s">
        <v>38</v>
      </c>
      <c r="C5" s="4"/>
      <c r="D5" s="4"/>
      <c r="E5" s="5" t="s">
        <v>39</v>
      </c>
      <c r="F5" s="8"/>
      <c r="G5" s="8"/>
      <c r="H5" s="8"/>
      <c r="I5" s="354"/>
      <c r="J5" s="355"/>
    </row>
    <row r="6" spans="1:10" ht="6.75" customHeight="1" x14ac:dyDescent="0.45">
      <c r="A6" s="9"/>
      <c r="B6" s="10"/>
      <c r="C6" s="10"/>
      <c r="D6" s="10"/>
      <c r="E6" s="10"/>
      <c r="F6" s="10"/>
      <c r="G6" s="10"/>
      <c r="H6" s="10"/>
      <c r="J6" s="31"/>
    </row>
    <row r="7" spans="1:10" x14ac:dyDescent="0.45">
      <c r="A7" s="2" t="s">
        <v>40</v>
      </c>
      <c r="B7" s="11"/>
      <c r="C7" s="11"/>
      <c r="D7" s="11"/>
      <c r="E7" s="12"/>
      <c r="F7" s="13"/>
      <c r="G7" s="13"/>
      <c r="J7" s="31"/>
    </row>
    <row r="8" spans="1:10" x14ac:dyDescent="0.45">
      <c r="A8" s="6" t="s">
        <v>41</v>
      </c>
      <c r="B8" s="14"/>
      <c r="E8" s="5" t="s">
        <v>32</v>
      </c>
      <c r="J8" s="31"/>
    </row>
    <row r="9" spans="1:10" x14ac:dyDescent="0.45">
      <c r="A9" s="2" t="s">
        <v>42</v>
      </c>
      <c r="B9" s="14"/>
      <c r="E9" s="5" t="s">
        <v>36</v>
      </c>
      <c r="J9" s="31"/>
    </row>
    <row r="10" spans="1:10" ht="30.9" customHeight="1" x14ac:dyDescent="0.45">
      <c r="A10" s="15" t="s">
        <v>43</v>
      </c>
      <c r="B10" s="16" t="s">
        <v>1439</v>
      </c>
      <c r="C10" s="16" t="s">
        <v>47</v>
      </c>
      <c r="D10" s="16" t="s">
        <v>48</v>
      </c>
      <c r="E10" s="16" t="s">
        <v>50</v>
      </c>
      <c r="F10" s="17" t="s">
        <v>51</v>
      </c>
      <c r="G10" s="16" t="s">
        <v>52</v>
      </c>
      <c r="H10" s="17" t="s">
        <v>53</v>
      </c>
      <c r="I10" s="17" t="s">
        <v>54</v>
      </c>
      <c r="J10" s="32" t="s">
        <v>55</v>
      </c>
    </row>
    <row r="11" spans="1:10" ht="19.5" customHeight="1" x14ac:dyDescent="0.45">
      <c r="A11" s="307" t="s">
        <v>1436</v>
      </c>
      <c r="B11" s="308"/>
      <c r="C11" s="308"/>
      <c r="D11" s="308"/>
      <c r="E11" s="308"/>
      <c r="F11" s="308"/>
      <c r="G11" s="308"/>
      <c r="H11" s="308"/>
      <c r="I11" s="308"/>
      <c r="J11" s="360"/>
    </row>
    <row r="12" spans="1:10" ht="18" customHeight="1" x14ac:dyDescent="0.45">
      <c r="A12" s="18">
        <v>1</v>
      </c>
      <c r="B12" s="19" t="s">
        <v>1441</v>
      </c>
      <c r="C12" s="20" t="s">
        <v>1176</v>
      </c>
      <c r="D12" s="21" t="s">
        <v>1437</v>
      </c>
      <c r="E12" s="22" t="s">
        <v>1442</v>
      </c>
      <c r="F12" s="23">
        <v>4</v>
      </c>
      <c r="G12" s="24" t="s">
        <v>63</v>
      </c>
      <c r="H12" s="25">
        <v>43</v>
      </c>
      <c r="I12" s="33">
        <f>H12/60</f>
        <v>0.71666666666666667</v>
      </c>
      <c r="J12" s="34" t="s">
        <v>1443</v>
      </c>
    </row>
    <row r="13" spans="1:10" ht="23.25" customHeight="1" x14ac:dyDescent="0.45">
      <c r="A13" s="18">
        <v>2</v>
      </c>
      <c r="B13" s="19" t="s">
        <v>364</v>
      </c>
      <c r="C13" s="20" t="s">
        <v>555</v>
      </c>
      <c r="D13" s="21" t="s">
        <v>1437</v>
      </c>
      <c r="E13" s="22" t="s">
        <v>1444</v>
      </c>
      <c r="F13" s="23">
        <v>16</v>
      </c>
      <c r="G13" s="24" t="s">
        <v>63</v>
      </c>
      <c r="H13" s="25">
        <v>200</v>
      </c>
      <c r="I13" s="33">
        <f>H13/60</f>
        <v>3.3333333333333335</v>
      </c>
      <c r="J13" s="34" t="s">
        <v>1443</v>
      </c>
    </row>
    <row r="14" spans="1:10" ht="19.5" customHeight="1" x14ac:dyDescent="0.45">
      <c r="A14" s="307" t="s">
        <v>1445</v>
      </c>
      <c r="B14" s="308"/>
      <c r="C14" s="308"/>
      <c r="D14" s="308"/>
      <c r="E14" s="308"/>
      <c r="F14" s="308"/>
      <c r="G14" s="308"/>
      <c r="H14" s="308"/>
      <c r="I14" s="308"/>
      <c r="J14" s="360"/>
    </row>
    <row r="15" spans="1:10" ht="24.75" customHeight="1" x14ac:dyDescent="0.45">
      <c r="A15" s="18">
        <v>1</v>
      </c>
      <c r="B15" s="19" t="s">
        <v>1291</v>
      </c>
      <c r="C15" s="20" t="s">
        <v>1295</v>
      </c>
      <c r="D15" s="21" t="s">
        <v>1437</v>
      </c>
      <c r="E15" s="22" t="s">
        <v>62</v>
      </c>
      <c r="F15" s="23">
        <v>1</v>
      </c>
      <c r="G15" s="24" t="s">
        <v>63</v>
      </c>
      <c r="H15" s="25">
        <v>90</v>
      </c>
      <c r="I15" s="33">
        <f t="shared" ref="I15:I19" si="0">H15/60</f>
        <v>1.5</v>
      </c>
      <c r="J15" s="34" t="s">
        <v>1443</v>
      </c>
    </row>
    <row r="16" spans="1:10" ht="26.25" customHeight="1" x14ac:dyDescent="0.45">
      <c r="A16" s="18">
        <f>A15+1</f>
        <v>2</v>
      </c>
      <c r="B16" s="19" t="s">
        <v>1446</v>
      </c>
      <c r="C16" s="20" t="s">
        <v>1332</v>
      </c>
      <c r="D16" s="21" t="s">
        <v>1437</v>
      </c>
      <c r="E16" s="22" t="s">
        <v>62</v>
      </c>
      <c r="F16" s="26">
        <v>1</v>
      </c>
      <c r="G16" s="26" t="s">
        <v>63</v>
      </c>
      <c r="H16" s="25">
        <v>76</v>
      </c>
      <c r="I16" s="33">
        <f t="shared" si="0"/>
        <v>1.2666666666666666</v>
      </c>
      <c r="J16" s="34" t="s">
        <v>1443</v>
      </c>
    </row>
    <row r="17" spans="1:10" ht="18" customHeight="1" x14ac:dyDescent="0.45">
      <c r="A17" s="18">
        <f>A16+1</f>
        <v>3</v>
      </c>
      <c r="B17" s="27" t="s">
        <v>1244</v>
      </c>
      <c r="C17" s="20" t="s">
        <v>1315</v>
      </c>
      <c r="D17" s="21" t="s">
        <v>1437</v>
      </c>
      <c r="E17" s="22" t="s">
        <v>62</v>
      </c>
      <c r="F17" s="26">
        <v>1</v>
      </c>
      <c r="G17" s="26" t="s">
        <v>63</v>
      </c>
      <c r="H17" s="25">
        <v>54</v>
      </c>
      <c r="I17" s="33">
        <f t="shared" si="0"/>
        <v>0.9</v>
      </c>
      <c r="J17" s="34" t="s">
        <v>1443</v>
      </c>
    </row>
    <row r="18" spans="1:10" ht="30" customHeight="1" x14ac:dyDescent="0.45">
      <c r="A18" s="18">
        <f>A17+1</f>
        <v>4</v>
      </c>
      <c r="B18" s="28" t="s">
        <v>1447</v>
      </c>
      <c r="C18" s="20" t="s">
        <v>1363</v>
      </c>
      <c r="D18" s="21" t="s">
        <v>1437</v>
      </c>
      <c r="E18" s="22" t="s">
        <v>62</v>
      </c>
      <c r="F18" s="26">
        <v>1</v>
      </c>
      <c r="G18" s="26" t="s">
        <v>63</v>
      </c>
      <c r="H18" s="25">
        <v>45</v>
      </c>
      <c r="I18" s="33">
        <f t="shared" si="0"/>
        <v>0.75</v>
      </c>
      <c r="J18" s="34" t="s">
        <v>1443</v>
      </c>
    </row>
    <row r="19" spans="1:10" x14ac:dyDescent="0.45">
      <c r="F19" s="29">
        <f>SUM(F12:F18)</f>
        <v>24</v>
      </c>
      <c r="H19" s="30">
        <f>SUM(H12:H18)</f>
        <v>508</v>
      </c>
      <c r="I19" s="35">
        <f t="shared" si="0"/>
        <v>8.4666666666666668</v>
      </c>
    </row>
  </sheetData>
  <mergeCells count="6">
    <mergeCell ref="I1:J1"/>
    <mergeCell ref="I2:J2"/>
    <mergeCell ref="A11:J11"/>
    <mergeCell ref="A14:J14"/>
    <mergeCell ref="A1:H2"/>
    <mergeCell ref="I3:J5"/>
  </mergeCells>
  <phoneticPr fontId="42" type="noConversion"/>
  <dataValidations count="2">
    <dataValidation allowBlank="1" showErrorMessage="1" sqref="A1 A3:B5" xr:uid="{00000000-0002-0000-0600-000000000000}"/>
    <dataValidation errorStyle="warning" allowBlank="1" showErrorMessage="1" errorTitle="Quantity" error="You must enter a number in this cell." promptTitle="Quantity" sqref="A11:A18" xr:uid="{00000000-0002-0000-0600-000001000000}"/>
  </dataValidations>
  <hyperlinks>
    <hyperlink ref="B5" r:id="rId1" xr:uid="{00000000-0004-0000-0600-000000000000}"/>
  </hyperlinks>
  <pageMargins left="0.75" right="0.75" top="1" bottom="1" header="0.5" footer="0.5"/>
  <pageSetup paperSize="9" scale="59" orientation="portrait" r:id="rId2"/>
  <ignoredErrors>
    <ignoredError sqref="F19 H19" unlockedFormula="1"/>
  </ignoredError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目录</vt:lpstr>
      <vt:lpstr>Hi-Finance_完整课表</vt:lpstr>
      <vt:lpstr>Hi-Management_完整课表</vt:lpstr>
      <vt:lpstr>Hi_讲书系列（仅限企业端）</vt:lpstr>
      <vt:lpstr>3月新上线</vt:lpstr>
      <vt:lpstr>'3月新上线'!Print_Area</vt:lpstr>
      <vt:lpstr>'Hi_讲书系列（仅限企业端）'!Print_Area</vt:lpstr>
      <vt:lpstr>'Hi-Finance_完整课表'!Print_Area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Wang Michael</cp:lastModifiedBy>
  <cp:lastPrinted>2019-05-07T07:44:00Z</cp:lastPrinted>
  <dcterms:created xsi:type="dcterms:W3CDTF">2006-09-16T00:00:00Z</dcterms:created>
  <dcterms:modified xsi:type="dcterms:W3CDTF">2024-01-07T14:28:31Z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2052-12.1.0.15336</vt:lpwstr>
  </property>
  <property fmtid="{D5CDD505-2E9C-101B-9397-08002B2CF9AE}" pid="3" name="EM_Doc_Temp_ID">
    <vt:lpwstr>c43394c6</vt:lpwstr>
  </property>
  <property fmtid="{D5CDD505-2E9C-101B-9397-08002B2CF9AE}" pid="4" name="ICV">
    <vt:lpwstr>7CA77438DD2D431294BF828B31B070D0</vt:lpwstr>
  </property>
</Properties>
</file>