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375"/>
  </bookViews>
  <sheets>
    <sheet name="." sheetId="2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<sst xmlns="http://schemas.openxmlformats.org/spreadsheetml/2006/main" count="136" uniqueCount="84">
  <si>
    <t xml:space="preserve">                                                                                                                         合同号：2022-1027        </t>
  </si>
  <si>
    <t>门窗销售报价单</t>
  </si>
  <si>
    <t>第二次付款记录</t>
  </si>
  <si>
    <t>甲方（客户）</t>
  </si>
  <si>
    <t>楼盘地址：</t>
  </si>
  <si>
    <t>金海湾花园6栋13A</t>
  </si>
  <si>
    <t>电话：</t>
  </si>
  <si>
    <t>乙方（）</t>
  </si>
  <si>
    <t>固定电话：</t>
  </si>
  <si>
    <t>订单来源：</t>
  </si>
  <si>
    <t>设计人员：</t>
  </si>
  <si>
    <t>张张</t>
  </si>
  <si>
    <t>电话：19926480894</t>
  </si>
  <si>
    <t>报价日期:</t>
  </si>
  <si>
    <t xml:space="preserve">   2024   年  4 月 18 日</t>
  </si>
  <si>
    <t>序号</t>
  </si>
  <si>
    <t>位置</t>
  </si>
  <si>
    <t>门窗类别</t>
  </si>
  <si>
    <t>型材
颜色</t>
  </si>
  <si>
    <t>玻璃配置</t>
  </si>
  <si>
    <t>规格（宽*高）
(mm)</t>
  </si>
  <si>
    <t>数量
(樘)</t>
  </si>
  <si>
    <t>面积
（㎡)</t>
  </si>
  <si>
    <t>单价
(元／㎡)</t>
  </si>
  <si>
    <t>金额
（元)</t>
  </si>
  <si>
    <t>配件/备注</t>
  </si>
  <si>
    <t>面积公式参考</t>
  </si>
  <si>
    <t>厨房阳台</t>
  </si>
  <si>
    <t>110断桥平开窗</t>
  </si>
  <si>
    <t>外绿内白</t>
  </si>
  <si>
    <t>5+20A+5信义钢化白玻</t>
  </si>
  <si>
    <t>2.0壁厚/隐形排水/PA66GF25</t>
  </si>
  <si>
    <t>开启位</t>
  </si>
  <si>
    <t>德国SO全套五金</t>
  </si>
  <si>
    <t>转角立柱</t>
  </si>
  <si>
    <t>方通</t>
  </si>
  <si>
    <t>铝扣板</t>
  </si>
  <si>
    <t>绿色</t>
  </si>
  <si>
    <t>公卫</t>
  </si>
  <si>
    <t>75断桥推拉窗</t>
  </si>
  <si>
    <t>白色</t>
  </si>
  <si>
    <t>5+12A+5信义钢化白玻</t>
  </si>
  <si>
    <t>自动碰锁</t>
  </si>
  <si>
    <t>磨砂玻璃</t>
  </si>
  <si>
    <t>男孩房</t>
  </si>
  <si>
    <t>玻璃升级</t>
  </si>
  <si>
    <t>6+18A+6信义钢化白玻</t>
  </si>
  <si>
    <t>女儿房</t>
  </si>
  <si>
    <t>主卧</t>
  </si>
  <si>
    <t>5+20A+5信义钢化绿玻</t>
  </si>
  <si>
    <t>绿玻</t>
  </si>
  <si>
    <t>主卫</t>
  </si>
  <si>
    <t>阳台推拉门</t>
  </si>
  <si>
    <t>65重型推拉门</t>
  </si>
  <si>
    <t>氟碳绿色</t>
  </si>
  <si>
    <t>5+12A+5信义绿玻</t>
  </si>
  <si>
    <t>3.0厚/三轨三玻扇/高轨</t>
  </si>
  <si>
    <t>玻璃开孔</t>
  </si>
  <si>
    <t>左扇下居中开方孔</t>
  </si>
  <si>
    <t>烤漆</t>
  </si>
  <si>
    <t>拆旧+防水</t>
  </si>
  <si>
    <t>包拆包清运/外墙防水包工包料</t>
  </si>
  <si>
    <t xml:space="preserve">              备注；  此报价含安装,运输，拆旧，防水</t>
  </si>
  <si>
    <t>金额大写：</t>
  </si>
  <si>
    <t>金额小计：</t>
  </si>
  <si>
    <t>此订单付款明细：</t>
  </si>
  <si>
    <t>100%定金：</t>
  </si>
  <si>
    <t xml:space="preserve">定金：   </t>
  </si>
  <si>
    <t>下单待支付：</t>
  </si>
  <si>
    <r>
      <rPr>
        <b/>
        <sz val="9"/>
        <color theme="1"/>
        <rFont val="宋体"/>
        <charset val="134"/>
        <scheme val="major"/>
      </rPr>
      <t xml:space="preserve">客户备注以及特别要求： </t>
    </r>
    <r>
      <rPr>
        <b/>
        <sz val="9"/>
        <color rgb="FFFF0000"/>
        <rFont val="宋体"/>
        <charset val="134"/>
        <scheme val="major"/>
      </rPr>
      <t>拆/装窗时业主需协调拆/装窗周围安全，业主自行将墙洞修平整并将墙体做好防水，需做好安装位置的物业审批.</t>
    </r>
  </si>
  <si>
    <t xml:space="preserve"> 合同签订后需支付100%定金，确认方案后需付清全款后方可下单生产。</t>
  </si>
  <si>
    <t xml:space="preserve">特别提示：                                                                                                                                                                                                                                      </t>
  </si>
  <si>
    <t>一、平开窗单扇尺寸不足1㎡，按1㎡计算，超过1㎡按实际尺寸计算，推拉窗单扇尺寸不足1.2㎡，按1.2㎡计算，超过1.2㎡按实际尺寸计算，</t>
  </si>
  <si>
    <t xml:space="preserve">常规推拉门单扇1.8㎡/扇起，重型推拉门2.0㎡/扇起；纱窗不足1㎡按1㎡计算，纱门单扇宽度不足1米按1米计算。                                 </t>
  </si>
  <si>
    <t>隐形防护网最少6㎡计算，高度不足1.5米按1.5米计算。雨棚最少6㎡/个起计算，宽、长1米起计算。</t>
  </si>
  <si>
    <t>二、门窗质保十年，纱窗质保3年，终生维护。</t>
  </si>
  <si>
    <t>三、门窗货期：常规色35-40天，定制颜色45-48天，特殊异形、拉弯交货日期另议延长。纱窗货期:15-20天。（如因特殊原因导致货期延误，由双方协商顺延。）</t>
  </si>
  <si>
    <t>到货后需在30天内送货及安装，因货物存储在工厂场地需收20元/平方/天。</t>
  </si>
  <si>
    <t>四、因物业、城管、邻居等外力因素致使不能安装，客户负全责；实物与样板有较小色差属正常色差。</t>
  </si>
  <si>
    <t>五、请客户核对产品型号、颜色、价格并签字确认，以付款日期为准，付款次日为下单日期；如无故退单者，所付定金概不退换。</t>
  </si>
  <si>
    <t>六、纱窗单笔订单不满3000元加收300元运费，单笔订单不满5000元门窗加收运费500元，深圳周边单笔订单不满10000元加收1000元</t>
  </si>
  <si>
    <t xml:space="preserve">七、此报价不含税，如需发票（普通增值税发票）加收6%的税金。    </t>
  </si>
  <si>
    <t>公司指定收款款银行帐号：中国建设银行     户名：张张：账号：6215 3403 0080 1255 283  建设银行</t>
  </si>
  <si>
    <t xml:space="preserve">客户签字：                                                                        日期：   2024   年   4  月  18  日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</si>
</sst>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[DBNum2][$-804]General"/>
    <numFmt numFmtId="178" formatCode="yyyy&quot;年&quot;m&quot;月&quot;d&quot;日&quot;;@"/>
    <numFmt numFmtId="179" formatCode="0.00_ "/>
    <numFmt numFmtId="180" formatCode="0_ ;[Red]\-0\ "/>
    <numFmt numFmtId="181" formatCode="0.0000_ "/>
  </numFmts>
  <fonts count="44">
    <font>
      <sz val="11"/>
      <color theme="1"/>
      <name val="Tahoma"/>
      <charset val="134"/>
    </font>
    <font>
      <sz val="9"/>
      <color theme="1"/>
      <name val="Tahoma"/>
      <charset val="134"/>
    </font>
    <font>
      <sz val="11"/>
      <color rgb="FFFF0000"/>
      <name val="Tahoma"/>
      <charset val="134"/>
    </font>
    <font>
      <sz val="10"/>
      <color theme="1"/>
      <name val="Tahoma"/>
      <charset val="134"/>
    </font>
    <font>
      <sz val="10"/>
      <color theme="1"/>
      <name val="宋体"/>
      <charset val="134"/>
      <scheme val="minor"/>
    </font>
    <font>
      <b/>
      <sz val="10"/>
      <color theme="1"/>
      <name val="Tahoma"/>
      <charset val="134"/>
    </font>
    <font>
      <sz val="9"/>
      <color theme="1"/>
      <name val="宋体"/>
      <charset val="134"/>
      <scheme val="major"/>
    </font>
    <font>
      <b/>
      <sz val="9"/>
      <color theme="1"/>
      <name val="宋体"/>
      <charset val="134"/>
      <scheme val="major"/>
    </font>
    <font>
      <sz val="9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sz val="10"/>
      <name val="Arial Unicode MS"/>
      <charset val="134"/>
    </font>
    <font>
      <b/>
      <sz val="10"/>
      <name val="宋体"/>
      <charset val="134"/>
    </font>
    <font>
      <sz val="1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0"/>
      <name val="Tahoma"/>
      <charset val="134"/>
    </font>
    <font>
      <sz val="9"/>
      <color rgb="FFFF0000"/>
      <name val="宋体"/>
      <charset val="134"/>
      <scheme val="major"/>
    </font>
    <font>
      <sz val="9"/>
      <color theme="1"/>
      <name val="宋体"/>
      <charset val="134"/>
    </font>
    <font>
      <sz val="11"/>
      <color rgb="FFFF0000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FF0000"/>
      <name val="宋体"/>
      <charset val="134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2" borderId="4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7" applyNumberFormat="0" applyAlignment="0" applyProtection="0">
      <alignment vertical="center"/>
    </xf>
    <xf numFmtId="0" fontId="33" fillId="4" borderId="8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5" fillId="5" borderId="9" applyNumberFormat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Protection="1">
      <alignment vertical="center"/>
    </xf>
    <xf numFmtId="0" fontId="3" fillId="0" borderId="0" xfId="0" applyFont="1" applyProtection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left" vertical="center"/>
    </xf>
    <xf numFmtId="0" fontId="10" fillId="0" borderId="1" xfId="0" applyNumberFormat="1" applyFont="1" applyFill="1" applyBorder="1" applyAlignment="1" applyProtection="1">
      <alignment vertical="center"/>
    </xf>
    <xf numFmtId="0" fontId="11" fillId="0" borderId="1" xfId="0" applyNumberFormat="1" applyFont="1" applyFill="1" applyBorder="1" applyAlignment="1" applyProtection="1">
      <alignment horizontal="left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13" fillId="0" borderId="2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176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3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NumberFormat="1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 applyProtection="1">
      <alignment horizontal="left" vertical="center"/>
      <protection locked="0"/>
    </xf>
    <xf numFmtId="0" fontId="15" fillId="0" borderId="1" xfId="0" applyFont="1" applyFill="1" applyBorder="1" applyAlignment="1" applyProtection="1">
      <alignment horizontal="left" vertical="center"/>
      <protection locked="0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0" fontId="15" fillId="0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left" vertical="center"/>
      <protection locked="0"/>
    </xf>
    <xf numFmtId="0" fontId="16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7" fillId="0" borderId="0" xfId="0" applyFont="1" applyAlignment="1">
      <alignment horizontal="right" vertical="center"/>
    </xf>
    <xf numFmtId="0" fontId="9" fillId="0" borderId="0" xfId="0" applyNumberFormat="1" applyFont="1" applyFill="1" applyAlignment="1" applyProtection="1">
      <alignment horizontal="center" vertical="center"/>
    </xf>
    <xf numFmtId="0" fontId="18" fillId="0" borderId="0" xfId="0" applyFont="1" applyProtection="1">
      <alignment vertical="center"/>
    </xf>
    <xf numFmtId="178" fontId="10" fillId="0" borderId="1" xfId="0" applyNumberFormat="1" applyFont="1" applyFill="1" applyBorder="1" applyAlignment="1" applyProtection="1">
      <alignment vertical="center"/>
    </xf>
    <xf numFmtId="0" fontId="10" fillId="0" borderId="0" xfId="0" applyNumberFormat="1" applyFont="1" applyFill="1" applyAlignment="1" applyProtection="1">
      <alignment horizontal="left" vertical="center"/>
    </xf>
    <xf numFmtId="0" fontId="10" fillId="0" borderId="1" xfId="0" applyNumberFormat="1" applyFont="1" applyFill="1" applyBorder="1" applyAlignment="1" applyProtection="1">
      <alignment horizontal="left" vertical="center" wrapText="1"/>
    </xf>
    <xf numFmtId="178" fontId="10" fillId="0" borderId="0" xfId="0" applyNumberFormat="1" applyFont="1" applyFill="1" applyAlignment="1" applyProtection="1">
      <alignment horizontal="left" vertical="center" wrapText="1"/>
    </xf>
    <xf numFmtId="0" fontId="10" fillId="0" borderId="1" xfId="0" applyFont="1" applyBorder="1" applyAlignment="1" applyProtection="1">
      <alignment vertical="center"/>
    </xf>
    <xf numFmtId="0" fontId="10" fillId="0" borderId="1" xfId="0" applyFont="1" applyBorder="1" applyAlignment="1" applyProtection="1">
      <alignment horizontal="left" vertical="center"/>
    </xf>
    <xf numFmtId="0" fontId="19" fillId="0" borderId="0" xfId="0" applyFont="1" applyAlignment="1" applyProtection="1">
      <alignment horizontal="left" vertical="center"/>
    </xf>
    <xf numFmtId="178" fontId="10" fillId="0" borderId="1" xfId="0" applyNumberFormat="1" applyFont="1" applyFill="1" applyBorder="1" applyAlignment="1" applyProtection="1">
      <alignment horizontal="left" vertical="center"/>
    </xf>
    <xf numFmtId="178" fontId="10" fillId="0" borderId="0" xfId="0" applyNumberFormat="1" applyFont="1" applyFill="1" applyAlignment="1" applyProtection="1">
      <alignment horizontal="left" vertical="center"/>
    </xf>
    <xf numFmtId="0" fontId="12" fillId="0" borderId="0" xfId="0" applyNumberFormat="1" applyFont="1" applyFill="1" applyAlignment="1" applyProtection="1">
      <alignment horizontal="center" vertical="center" wrapText="1"/>
    </xf>
    <xf numFmtId="179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180" fontId="13" fillId="0" borderId="1" xfId="0" applyNumberFormat="1" applyFont="1" applyFill="1" applyBorder="1" applyAlignment="1">
      <alignment horizontal="center" vertical="center" wrapText="1"/>
    </xf>
    <xf numFmtId="179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181" fontId="20" fillId="0" borderId="0" xfId="0" applyNumberFormat="1" applyFont="1" applyFill="1" applyAlignment="1" applyProtection="1">
      <alignment horizontal="center" vertical="center" wrapText="1"/>
      <protection locked="0"/>
    </xf>
    <xf numFmtId="181" fontId="4" fillId="0" borderId="0" xfId="0" applyNumberFormat="1" applyFont="1" applyFill="1" applyAlignment="1" applyProtection="1">
      <alignment horizontal="center" vertical="center" wrapText="1"/>
      <protection locked="0"/>
    </xf>
    <xf numFmtId="180" fontId="15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vertical="center"/>
    </xf>
    <xf numFmtId="0" fontId="21" fillId="0" borderId="0" xfId="0" applyNumberFormat="1" applyFont="1" applyFill="1" applyAlignment="1">
      <alignment vertical="center"/>
    </xf>
    <xf numFmtId="0" fontId="22" fillId="0" borderId="0" xfId="0" applyFont="1">
      <alignment vertical="center"/>
    </xf>
    <xf numFmtId="0" fontId="5" fillId="0" borderId="0" xfId="0" applyFont="1" applyFill="1" applyAlignment="1" applyProtection="1">
      <alignment horizontal="left" vertical="center"/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7" fillId="0" borderId="0" xfId="0" applyFont="1" applyFill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NumberFormat="1" applyFont="1" applyFill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6" fillId="0" borderId="0" xfId="0" applyNumberFormat="1" applyFont="1" applyFill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9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5"/>
  <sheetViews>
    <sheetView tabSelected="1" workbookViewId="0">
      <selection activeCell="E4" sqref="E4:I4"/>
    </sheetView>
  </sheetViews>
  <sheetFormatPr defaultColWidth="9" defaultRowHeight="14.25"/>
  <cols>
    <col min="1" max="1" width="4.5" customWidth="1"/>
    <col min="2" max="2" width="10.375" customWidth="1"/>
    <col min="3" max="3" width="9.75" customWidth="1"/>
    <col min="4" max="4" width="8.375" customWidth="1"/>
    <col min="5" max="5" width="14" customWidth="1"/>
    <col min="6" max="8" width="7" customWidth="1"/>
    <col min="9" max="9" width="7.875" customWidth="1"/>
    <col min="10" max="10" width="9.375" customWidth="1"/>
    <col min="11" max="11" width="9.875" customWidth="1"/>
    <col min="12" max="12" width="13.625" customWidth="1"/>
    <col min="13" max="13" width="8.875" customWidth="1"/>
    <col min="14" max="17" width="7.875" customWidth="1"/>
  </cols>
  <sheetData>
    <row r="1" s="1" customFormat="1" ht="21" customHeight="1" spans="1: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41"/>
      <c r="N1" s="41"/>
      <c r="O1" s="41"/>
    </row>
    <row r="2" s="2" customFormat="1" ht="32.1" customHeight="1" spans="1:3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42"/>
      <c r="N2" s="42"/>
      <c r="O2" s="42"/>
      <c r="P2" s="43"/>
      <c r="X2" s="43"/>
      <c r="AF2" s="43" t="s">
        <v>2</v>
      </c>
    </row>
    <row r="3" s="3" customFormat="1" ht="27" customHeight="1" spans="1:15">
      <c r="A3" s="15" t="s">
        <v>3</v>
      </c>
      <c r="B3" s="15"/>
      <c r="C3" s="15"/>
      <c r="D3" s="16" t="s">
        <v>4</v>
      </c>
      <c r="E3" s="16" t="s">
        <v>5</v>
      </c>
      <c r="F3" s="16"/>
      <c r="G3" s="16"/>
      <c r="H3" s="16"/>
      <c r="I3" s="16"/>
      <c r="J3" s="44" t="s">
        <v>6</v>
      </c>
      <c r="K3" s="15"/>
      <c r="L3" s="15"/>
      <c r="M3" s="45"/>
      <c r="N3" s="45"/>
      <c r="O3" s="45"/>
    </row>
    <row r="4" s="3" customFormat="1" ht="27" customHeight="1" spans="1:15">
      <c r="A4" s="15" t="s">
        <v>7</v>
      </c>
      <c r="B4" s="15"/>
      <c r="C4" s="15"/>
      <c r="D4" s="16"/>
      <c r="E4" s="16"/>
      <c r="F4" s="16"/>
      <c r="G4" s="16"/>
      <c r="H4" s="16"/>
      <c r="I4" s="16"/>
      <c r="J4" s="44" t="s">
        <v>8</v>
      </c>
      <c r="K4" s="46"/>
      <c r="L4" s="46"/>
      <c r="M4" s="47"/>
      <c r="N4" s="47"/>
      <c r="O4" s="47"/>
    </row>
    <row r="5" s="3" customFormat="1" ht="27" customHeight="1" spans="1:15">
      <c r="A5" s="15" t="s">
        <v>9</v>
      </c>
      <c r="B5" s="15"/>
      <c r="C5" s="15"/>
      <c r="D5" s="15"/>
      <c r="E5" s="15"/>
      <c r="F5" s="15" t="s">
        <v>6</v>
      </c>
      <c r="G5" s="15"/>
      <c r="H5" s="15"/>
      <c r="I5" s="48" t="s">
        <v>10</v>
      </c>
      <c r="J5" s="48" t="s">
        <v>11</v>
      </c>
      <c r="K5" s="49" t="s">
        <v>12</v>
      </c>
      <c r="L5" s="49"/>
      <c r="M5" s="50"/>
      <c r="N5" s="50"/>
      <c r="O5" s="50"/>
    </row>
    <row r="6" s="3" customFormat="1" ht="39" customHeight="1" spans="1:15">
      <c r="A6" s="17"/>
      <c r="B6" s="17"/>
      <c r="C6" s="17"/>
      <c r="D6" s="17"/>
      <c r="E6" s="18"/>
      <c r="F6" s="18"/>
      <c r="G6" s="18"/>
      <c r="H6" s="18" t="s">
        <v>13</v>
      </c>
      <c r="I6" s="18"/>
      <c r="J6" s="51" t="s">
        <v>14</v>
      </c>
      <c r="K6" s="51"/>
      <c r="L6" s="51"/>
      <c r="M6" s="52"/>
      <c r="N6" s="52"/>
      <c r="O6" s="52"/>
    </row>
    <row r="7" s="3" customFormat="1" ht="27" customHeight="1" spans="1:15">
      <c r="A7" s="19" t="s">
        <v>15</v>
      </c>
      <c r="B7" s="19" t="s">
        <v>16</v>
      </c>
      <c r="C7" s="19" t="s">
        <v>17</v>
      </c>
      <c r="D7" s="20" t="s">
        <v>18</v>
      </c>
      <c r="E7" s="19" t="s">
        <v>19</v>
      </c>
      <c r="F7" s="20" t="s">
        <v>20</v>
      </c>
      <c r="G7" s="20"/>
      <c r="H7" s="20" t="s">
        <v>21</v>
      </c>
      <c r="I7" s="20" t="s">
        <v>22</v>
      </c>
      <c r="J7" s="20" t="s">
        <v>23</v>
      </c>
      <c r="K7" s="20" t="s">
        <v>24</v>
      </c>
      <c r="L7" s="20" t="s">
        <v>25</v>
      </c>
      <c r="M7" s="53" t="s">
        <v>26</v>
      </c>
      <c r="N7" s="53"/>
      <c r="O7" s="53"/>
    </row>
    <row r="8" s="4" customFormat="1" ht="30" customHeight="1" spans="1:15">
      <c r="A8" s="21">
        <v>1</v>
      </c>
      <c r="B8" s="21" t="s">
        <v>27</v>
      </c>
      <c r="C8" s="22" t="s">
        <v>28</v>
      </c>
      <c r="D8" s="23" t="s">
        <v>29</v>
      </c>
      <c r="E8" s="22" t="s">
        <v>30</v>
      </c>
      <c r="F8" s="22">
        <v>720</v>
      </c>
      <c r="G8" s="22">
        <v>2100</v>
      </c>
      <c r="H8" s="22">
        <v>1</v>
      </c>
      <c r="I8" s="54">
        <v>1.51</v>
      </c>
      <c r="J8" s="55">
        <v>1080</v>
      </c>
      <c r="K8" s="56">
        <f>J8*I8</f>
        <v>1630.8</v>
      </c>
      <c r="L8" s="57" t="s">
        <v>31</v>
      </c>
      <c r="M8" s="58"/>
      <c r="N8" s="59"/>
      <c r="O8" s="59"/>
    </row>
    <row r="9" s="4" customFormat="1" ht="30" customHeight="1" spans="1:15">
      <c r="A9" s="24"/>
      <c r="B9" s="24"/>
      <c r="C9" s="22" t="s">
        <v>28</v>
      </c>
      <c r="D9" s="23" t="s">
        <v>29</v>
      </c>
      <c r="E9" s="22" t="s">
        <v>30</v>
      </c>
      <c r="F9" s="22">
        <v>1160</v>
      </c>
      <c r="G9" s="22">
        <v>2100</v>
      </c>
      <c r="H9" s="22">
        <v>1</v>
      </c>
      <c r="I9" s="54">
        <v>2.44</v>
      </c>
      <c r="J9" s="55">
        <v>1080</v>
      </c>
      <c r="K9" s="56">
        <f>J9*I9</f>
        <v>2635.2</v>
      </c>
      <c r="L9" s="57" t="s">
        <v>31</v>
      </c>
      <c r="M9" s="58"/>
      <c r="N9" s="59"/>
      <c r="O9" s="59"/>
    </row>
    <row r="10" s="4" customFormat="1" ht="30" customHeight="1" spans="1:15">
      <c r="A10" s="24"/>
      <c r="B10" s="24"/>
      <c r="C10" s="22" t="s">
        <v>32</v>
      </c>
      <c r="D10" s="23" t="s">
        <v>29</v>
      </c>
      <c r="E10" s="22" t="s">
        <v>30</v>
      </c>
      <c r="F10" s="22"/>
      <c r="G10" s="22"/>
      <c r="H10" s="22">
        <v>1</v>
      </c>
      <c r="I10" s="54"/>
      <c r="J10" s="55">
        <v>780</v>
      </c>
      <c r="K10" s="56">
        <f>J10*H10</f>
        <v>780</v>
      </c>
      <c r="L10" s="57" t="s">
        <v>33</v>
      </c>
      <c r="M10" s="58"/>
      <c r="N10" s="59"/>
      <c r="O10" s="59"/>
    </row>
    <row r="11" s="4" customFormat="1" ht="30" customHeight="1" spans="1:15">
      <c r="A11" s="24"/>
      <c r="B11" s="24"/>
      <c r="C11" s="22" t="s">
        <v>34</v>
      </c>
      <c r="D11" s="23" t="s">
        <v>29</v>
      </c>
      <c r="E11" s="22"/>
      <c r="F11" s="22"/>
      <c r="G11" s="22">
        <v>2100</v>
      </c>
      <c r="H11" s="22">
        <v>1</v>
      </c>
      <c r="I11" s="54">
        <v>2.1</v>
      </c>
      <c r="J11" s="55">
        <v>220</v>
      </c>
      <c r="K11" s="56">
        <f>J11*I11</f>
        <v>462</v>
      </c>
      <c r="L11" s="57"/>
      <c r="M11" s="58"/>
      <c r="N11" s="59"/>
      <c r="O11" s="59"/>
    </row>
    <row r="12" s="4" customFormat="1" ht="30" customHeight="1" spans="1:15">
      <c r="A12" s="24"/>
      <c r="B12" s="24"/>
      <c r="C12" s="22" t="s">
        <v>35</v>
      </c>
      <c r="D12" s="23" t="s">
        <v>29</v>
      </c>
      <c r="E12" s="22"/>
      <c r="F12" s="22"/>
      <c r="G12" s="22">
        <v>2100</v>
      </c>
      <c r="H12" s="22">
        <v>1</v>
      </c>
      <c r="I12" s="54">
        <v>2.1</v>
      </c>
      <c r="J12" s="55">
        <v>220</v>
      </c>
      <c r="K12" s="56">
        <f>J12*I12</f>
        <v>462</v>
      </c>
      <c r="L12" s="57"/>
      <c r="M12" s="58"/>
      <c r="N12" s="59"/>
      <c r="O12" s="59"/>
    </row>
    <row r="13" s="4" customFormat="1" ht="30" customHeight="1" spans="1:15">
      <c r="A13" s="24"/>
      <c r="B13" s="24"/>
      <c r="C13" s="22" t="s">
        <v>36</v>
      </c>
      <c r="D13" s="23" t="s">
        <v>37</v>
      </c>
      <c r="E13" s="22"/>
      <c r="F13" s="22"/>
      <c r="G13" s="22">
        <v>2100</v>
      </c>
      <c r="H13" s="22">
        <v>2</v>
      </c>
      <c r="I13" s="54">
        <v>4.2</v>
      </c>
      <c r="J13" s="55">
        <v>60</v>
      </c>
      <c r="K13" s="56">
        <f>J13*I13</f>
        <v>252</v>
      </c>
      <c r="L13" s="57"/>
      <c r="M13" s="58"/>
      <c r="N13" s="59"/>
      <c r="O13" s="59"/>
    </row>
    <row r="14" s="4" customFormat="1" ht="30" customHeight="1" spans="1:15">
      <c r="A14" s="21">
        <v>2</v>
      </c>
      <c r="B14" s="21" t="s">
        <v>38</v>
      </c>
      <c r="C14" s="22" t="s">
        <v>39</v>
      </c>
      <c r="D14" s="23" t="s">
        <v>40</v>
      </c>
      <c r="E14" s="22" t="s">
        <v>41</v>
      </c>
      <c r="F14" s="22">
        <v>975</v>
      </c>
      <c r="G14" s="22">
        <v>1170</v>
      </c>
      <c r="H14" s="22">
        <v>1</v>
      </c>
      <c r="I14" s="54">
        <v>2</v>
      </c>
      <c r="J14" s="55">
        <v>980</v>
      </c>
      <c r="K14" s="56">
        <f>J14*I14</f>
        <v>1960</v>
      </c>
      <c r="L14" s="57" t="s">
        <v>42</v>
      </c>
      <c r="M14" s="58"/>
      <c r="N14" s="59"/>
      <c r="O14" s="59"/>
    </row>
    <row r="15" s="4" customFormat="1" ht="30" customHeight="1" spans="1:15">
      <c r="A15" s="24"/>
      <c r="B15" s="24"/>
      <c r="C15" s="21" t="s">
        <v>43</v>
      </c>
      <c r="D15" s="25"/>
      <c r="E15" s="25"/>
      <c r="F15" s="22"/>
      <c r="G15" s="22"/>
      <c r="H15" s="22">
        <v>2</v>
      </c>
      <c r="I15" s="54"/>
      <c r="J15" s="55">
        <v>30</v>
      </c>
      <c r="K15" s="56">
        <v>60</v>
      </c>
      <c r="L15" s="57"/>
      <c r="M15" s="58"/>
      <c r="N15" s="59"/>
      <c r="O15" s="59"/>
    </row>
    <row r="16" s="4" customFormat="1" ht="30" customHeight="1" spans="1:15">
      <c r="A16" s="21">
        <v>3</v>
      </c>
      <c r="B16" s="21" t="s">
        <v>44</v>
      </c>
      <c r="C16" s="22" t="s">
        <v>28</v>
      </c>
      <c r="D16" s="23" t="s">
        <v>29</v>
      </c>
      <c r="E16" s="22" t="s">
        <v>30</v>
      </c>
      <c r="F16" s="22">
        <v>2340</v>
      </c>
      <c r="G16" s="22">
        <v>1660</v>
      </c>
      <c r="H16" s="22">
        <v>1</v>
      </c>
      <c r="I16" s="54">
        <v>3.88</v>
      </c>
      <c r="J16" s="55">
        <v>1080</v>
      </c>
      <c r="K16" s="56">
        <f>J16*I16</f>
        <v>4190.4</v>
      </c>
      <c r="L16" s="57" t="s">
        <v>31</v>
      </c>
      <c r="M16" s="58"/>
      <c r="N16" s="59"/>
      <c r="O16" s="59"/>
    </row>
    <row r="17" s="4" customFormat="1" ht="30" customHeight="1" spans="1:15">
      <c r="A17" s="24"/>
      <c r="B17" s="24"/>
      <c r="C17" s="22" t="s">
        <v>28</v>
      </c>
      <c r="D17" s="23" t="s">
        <v>29</v>
      </c>
      <c r="E17" s="22" t="s">
        <v>30</v>
      </c>
      <c r="F17" s="22">
        <v>310</v>
      </c>
      <c r="G17" s="22">
        <v>1660</v>
      </c>
      <c r="H17" s="22">
        <v>1</v>
      </c>
      <c r="I17" s="54">
        <v>1</v>
      </c>
      <c r="J17" s="55">
        <v>1080</v>
      </c>
      <c r="K17" s="56">
        <f>J17*I17</f>
        <v>1080</v>
      </c>
      <c r="L17" s="57" t="s">
        <v>31</v>
      </c>
      <c r="M17" s="58"/>
      <c r="N17" s="59"/>
      <c r="O17" s="59"/>
    </row>
    <row r="18" s="4" customFormat="1" ht="30" customHeight="1" spans="1:15">
      <c r="A18" s="24"/>
      <c r="B18" s="24"/>
      <c r="C18" s="22" t="s">
        <v>32</v>
      </c>
      <c r="D18" s="23" t="s">
        <v>29</v>
      </c>
      <c r="E18" s="22" t="s">
        <v>30</v>
      </c>
      <c r="F18" s="22"/>
      <c r="G18" s="22"/>
      <c r="H18" s="22">
        <v>1</v>
      </c>
      <c r="I18" s="54"/>
      <c r="J18" s="55">
        <v>780</v>
      </c>
      <c r="K18" s="56">
        <f>J18*H18</f>
        <v>780</v>
      </c>
      <c r="L18" s="57" t="s">
        <v>33</v>
      </c>
      <c r="M18" s="58"/>
      <c r="N18" s="59"/>
      <c r="O18" s="59"/>
    </row>
    <row r="19" s="4" customFormat="1" ht="30" customHeight="1" spans="1:15">
      <c r="A19" s="24"/>
      <c r="B19" s="24"/>
      <c r="C19" s="22" t="s">
        <v>45</v>
      </c>
      <c r="D19" s="23"/>
      <c r="E19" s="22" t="s">
        <v>46</v>
      </c>
      <c r="F19" s="22">
        <v>1685</v>
      </c>
      <c r="G19" s="22">
        <v>1660</v>
      </c>
      <c r="H19" s="22">
        <v>1</v>
      </c>
      <c r="I19" s="54">
        <v>2.81</v>
      </c>
      <c r="J19" s="55">
        <v>80</v>
      </c>
      <c r="K19" s="56">
        <v>225</v>
      </c>
      <c r="L19" s="57"/>
      <c r="M19" s="58"/>
      <c r="N19" s="59"/>
      <c r="O19" s="59"/>
    </row>
    <row r="20" s="4" customFormat="1" ht="30" customHeight="1" spans="1:15">
      <c r="A20" s="24"/>
      <c r="B20" s="24"/>
      <c r="C20" s="22" t="s">
        <v>34</v>
      </c>
      <c r="D20" s="23" t="s">
        <v>29</v>
      </c>
      <c r="E20" s="22"/>
      <c r="F20" s="22"/>
      <c r="G20" s="22">
        <v>1660</v>
      </c>
      <c r="H20" s="22">
        <v>1</v>
      </c>
      <c r="I20" s="54">
        <v>1.66</v>
      </c>
      <c r="J20" s="55">
        <v>220</v>
      </c>
      <c r="K20" s="56">
        <f>J20*I20</f>
        <v>365.2</v>
      </c>
      <c r="L20" s="57"/>
      <c r="M20" s="58"/>
      <c r="N20" s="59"/>
      <c r="O20" s="59"/>
    </row>
    <row r="21" s="4" customFormat="1" ht="30" customHeight="1" spans="1:15">
      <c r="A21" s="21">
        <v>4</v>
      </c>
      <c r="B21" s="21" t="s">
        <v>47</v>
      </c>
      <c r="C21" s="22" t="s">
        <v>28</v>
      </c>
      <c r="D21" s="23" t="s">
        <v>29</v>
      </c>
      <c r="E21" s="22" t="s">
        <v>30</v>
      </c>
      <c r="F21" s="22">
        <v>1620</v>
      </c>
      <c r="G21" s="22">
        <v>1660</v>
      </c>
      <c r="H21" s="22">
        <v>1</v>
      </c>
      <c r="I21" s="54">
        <v>2.69</v>
      </c>
      <c r="J21" s="55">
        <v>1080</v>
      </c>
      <c r="K21" s="56">
        <f>J21*I21</f>
        <v>2905.2</v>
      </c>
      <c r="L21" s="57" t="s">
        <v>31</v>
      </c>
      <c r="M21" s="58"/>
      <c r="N21" s="59"/>
      <c r="O21" s="59"/>
    </row>
    <row r="22" s="4" customFormat="1" ht="30" customHeight="1" spans="1:15">
      <c r="A22" s="24"/>
      <c r="B22" s="24"/>
      <c r="C22" s="22" t="s">
        <v>28</v>
      </c>
      <c r="D22" s="23" t="s">
        <v>29</v>
      </c>
      <c r="E22" s="22" t="s">
        <v>30</v>
      </c>
      <c r="F22" s="22">
        <v>310</v>
      </c>
      <c r="G22" s="22">
        <v>1660</v>
      </c>
      <c r="H22" s="22">
        <v>1</v>
      </c>
      <c r="I22" s="54">
        <v>1</v>
      </c>
      <c r="J22" s="55">
        <v>1080</v>
      </c>
      <c r="K22" s="56">
        <f>J22*I22</f>
        <v>1080</v>
      </c>
      <c r="L22" s="57" t="s">
        <v>31</v>
      </c>
      <c r="M22" s="58"/>
      <c r="N22" s="59"/>
      <c r="O22" s="59"/>
    </row>
    <row r="23" s="4" customFormat="1" ht="30" customHeight="1" spans="1:15">
      <c r="A23" s="24"/>
      <c r="B23" s="24"/>
      <c r="C23" s="22" t="s">
        <v>32</v>
      </c>
      <c r="D23" s="23" t="s">
        <v>29</v>
      </c>
      <c r="E23" s="22" t="s">
        <v>30</v>
      </c>
      <c r="F23" s="22"/>
      <c r="G23" s="22"/>
      <c r="H23" s="22">
        <v>1</v>
      </c>
      <c r="I23" s="54"/>
      <c r="J23" s="55">
        <v>780</v>
      </c>
      <c r="K23" s="56">
        <f>J23*H23</f>
        <v>780</v>
      </c>
      <c r="L23" s="57" t="s">
        <v>33</v>
      </c>
      <c r="M23" s="58"/>
      <c r="N23" s="59"/>
      <c r="O23" s="59"/>
    </row>
    <row r="24" s="4" customFormat="1" ht="30" customHeight="1" spans="1:15">
      <c r="A24" s="24"/>
      <c r="B24" s="24"/>
      <c r="C24" s="22" t="s">
        <v>34</v>
      </c>
      <c r="D24" s="23" t="s">
        <v>29</v>
      </c>
      <c r="E24" s="22"/>
      <c r="F24" s="22"/>
      <c r="G24" s="22">
        <v>1660</v>
      </c>
      <c r="H24" s="22">
        <v>1</v>
      </c>
      <c r="I24" s="54">
        <v>1.66</v>
      </c>
      <c r="J24" s="55">
        <v>220</v>
      </c>
      <c r="K24" s="56">
        <f>J24*I24</f>
        <v>365.2</v>
      </c>
      <c r="L24" s="57"/>
      <c r="M24" s="58"/>
      <c r="N24" s="59"/>
      <c r="O24" s="59"/>
    </row>
    <row r="25" s="4" customFormat="1" ht="30" customHeight="1" spans="1:15">
      <c r="A25" s="21">
        <v>5</v>
      </c>
      <c r="B25" s="21" t="s">
        <v>48</v>
      </c>
      <c r="C25" s="22" t="s">
        <v>28</v>
      </c>
      <c r="D25" s="23" t="s">
        <v>29</v>
      </c>
      <c r="E25" s="22" t="s">
        <v>49</v>
      </c>
      <c r="F25" s="22">
        <v>1370</v>
      </c>
      <c r="G25" s="22">
        <v>1660</v>
      </c>
      <c r="H25" s="22">
        <v>1</v>
      </c>
      <c r="I25" s="54">
        <v>2.27</v>
      </c>
      <c r="J25" s="55">
        <v>1080</v>
      </c>
      <c r="K25" s="56">
        <f>J25*I25</f>
        <v>2451.6</v>
      </c>
      <c r="L25" s="57" t="s">
        <v>31</v>
      </c>
      <c r="M25" s="58"/>
      <c r="N25" s="59"/>
      <c r="O25" s="59"/>
    </row>
    <row r="26" s="4" customFormat="1" ht="30" customHeight="1" spans="1:15">
      <c r="A26" s="24"/>
      <c r="B26" s="24"/>
      <c r="C26" s="22" t="s">
        <v>32</v>
      </c>
      <c r="D26" s="23" t="s">
        <v>29</v>
      </c>
      <c r="E26" s="22" t="s">
        <v>49</v>
      </c>
      <c r="F26" s="22"/>
      <c r="G26" s="22"/>
      <c r="H26" s="22">
        <v>2</v>
      </c>
      <c r="I26" s="54"/>
      <c r="J26" s="55">
        <v>780</v>
      </c>
      <c r="K26" s="56">
        <f>J26*H26</f>
        <v>1560</v>
      </c>
      <c r="L26" s="57" t="s">
        <v>33</v>
      </c>
      <c r="M26" s="58"/>
      <c r="N26" s="59"/>
      <c r="O26" s="59"/>
    </row>
    <row r="27" s="4" customFormat="1" ht="30" customHeight="1" spans="1:15">
      <c r="A27" s="24"/>
      <c r="B27" s="24"/>
      <c r="C27" s="22" t="s">
        <v>50</v>
      </c>
      <c r="D27" s="25"/>
      <c r="E27" s="22"/>
      <c r="F27" s="22"/>
      <c r="G27" s="22"/>
      <c r="H27" s="22"/>
      <c r="I27" s="54">
        <v>2.27</v>
      </c>
      <c r="J27" s="55">
        <v>40</v>
      </c>
      <c r="K27" s="56">
        <f>J27*I27</f>
        <v>90.8</v>
      </c>
      <c r="L27" s="57"/>
      <c r="M27" s="58"/>
      <c r="N27" s="59"/>
      <c r="O27" s="59"/>
    </row>
    <row r="28" s="4" customFormat="1" ht="30" customHeight="1" spans="1:15">
      <c r="A28" s="21">
        <v>6</v>
      </c>
      <c r="B28" s="21" t="s">
        <v>51</v>
      </c>
      <c r="C28" s="22" t="s">
        <v>28</v>
      </c>
      <c r="D28" s="25"/>
      <c r="E28" s="22" t="s">
        <v>49</v>
      </c>
      <c r="F28" s="22">
        <v>790</v>
      </c>
      <c r="G28" s="22">
        <v>1130</v>
      </c>
      <c r="H28" s="22">
        <v>1</v>
      </c>
      <c r="I28" s="54">
        <v>1</v>
      </c>
      <c r="J28" s="55">
        <v>1080</v>
      </c>
      <c r="K28" s="56">
        <f>J28*I28</f>
        <v>1080</v>
      </c>
      <c r="L28" s="57" t="s">
        <v>31</v>
      </c>
      <c r="M28" s="58"/>
      <c r="N28" s="59"/>
      <c r="O28" s="59"/>
    </row>
    <row r="29" s="4" customFormat="1" ht="30" customHeight="1" spans="1:15">
      <c r="A29" s="24"/>
      <c r="B29" s="24"/>
      <c r="C29" s="22" t="s">
        <v>32</v>
      </c>
      <c r="D29" s="23" t="s">
        <v>29</v>
      </c>
      <c r="E29" s="22" t="s">
        <v>30</v>
      </c>
      <c r="F29" s="22"/>
      <c r="G29" s="22"/>
      <c r="H29" s="22">
        <v>1</v>
      </c>
      <c r="I29" s="54"/>
      <c r="J29" s="55">
        <v>780</v>
      </c>
      <c r="K29" s="56">
        <f>J29*H29</f>
        <v>780</v>
      </c>
      <c r="L29" s="57" t="s">
        <v>33</v>
      </c>
      <c r="M29" s="58"/>
      <c r="N29" s="59"/>
      <c r="O29" s="59"/>
    </row>
    <row r="30" s="4" customFormat="1" ht="30" customHeight="1" spans="1:15">
      <c r="A30" s="24"/>
      <c r="B30" s="24"/>
      <c r="C30" s="22" t="s">
        <v>43</v>
      </c>
      <c r="D30" s="23"/>
      <c r="E30" s="22"/>
      <c r="F30" s="22"/>
      <c r="G30" s="22"/>
      <c r="H30" s="22">
        <v>1</v>
      </c>
      <c r="I30" s="54"/>
      <c r="J30" s="55">
        <v>30</v>
      </c>
      <c r="K30" s="56">
        <v>30</v>
      </c>
      <c r="L30" s="57"/>
      <c r="M30" s="58"/>
      <c r="N30" s="59"/>
      <c r="O30" s="59"/>
    </row>
    <row r="31" s="4" customFormat="1" ht="30" customHeight="1" spans="1:15">
      <c r="A31" s="21">
        <v>7</v>
      </c>
      <c r="B31" s="21" t="s">
        <v>52</v>
      </c>
      <c r="C31" s="22" t="s">
        <v>53</v>
      </c>
      <c r="D31" s="23" t="s">
        <v>54</v>
      </c>
      <c r="E31" s="22" t="s">
        <v>55</v>
      </c>
      <c r="F31" s="22">
        <v>2540</v>
      </c>
      <c r="G31" s="22">
        <v>2170</v>
      </c>
      <c r="H31" s="22">
        <v>1</v>
      </c>
      <c r="I31" s="54">
        <v>5.51</v>
      </c>
      <c r="J31" s="55">
        <v>1680</v>
      </c>
      <c r="K31" s="56">
        <f>J31*I31</f>
        <v>9256.8</v>
      </c>
      <c r="L31" s="57" t="s">
        <v>56</v>
      </c>
      <c r="M31" s="58"/>
      <c r="N31" s="59"/>
      <c r="O31" s="59"/>
    </row>
    <row r="32" s="4" customFormat="1" ht="30" customHeight="1" spans="1:15">
      <c r="A32" s="24"/>
      <c r="B32" s="24"/>
      <c r="C32" s="22" t="s">
        <v>57</v>
      </c>
      <c r="D32" s="25"/>
      <c r="E32" s="25"/>
      <c r="F32" s="25"/>
      <c r="G32" s="22"/>
      <c r="H32" s="22">
        <v>1</v>
      </c>
      <c r="I32" s="54"/>
      <c r="J32" s="55">
        <v>30</v>
      </c>
      <c r="K32" s="56">
        <v>30</v>
      </c>
      <c r="L32" s="57" t="s">
        <v>58</v>
      </c>
      <c r="M32" s="58"/>
      <c r="N32" s="59"/>
      <c r="O32" s="59"/>
    </row>
    <row r="33" s="4" customFormat="1" ht="30" customHeight="1" spans="1:15">
      <c r="A33" s="21">
        <v>8</v>
      </c>
      <c r="B33" s="21" t="s">
        <v>59</v>
      </c>
      <c r="C33" s="25"/>
      <c r="D33" s="25"/>
      <c r="E33" s="25"/>
      <c r="F33" s="25"/>
      <c r="G33" s="25"/>
      <c r="H33" s="25"/>
      <c r="I33" s="54">
        <v>16</v>
      </c>
      <c r="J33" s="55">
        <v>80</v>
      </c>
      <c r="K33" s="56">
        <f>J33*I33</f>
        <v>1280</v>
      </c>
      <c r="L33" s="57"/>
      <c r="M33" s="58"/>
      <c r="N33" s="59"/>
      <c r="O33" s="59"/>
    </row>
    <row r="34" s="4" customFormat="1" ht="30" customHeight="1" spans="1:15">
      <c r="A34" s="21">
        <v>9</v>
      </c>
      <c r="B34" s="21" t="s">
        <v>60</v>
      </c>
      <c r="C34" s="25"/>
      <c r="D34" s="25"/>
      <c r="E34" s="25"/>
      <c r="F34" s="25"/>
      <c r="G34" s="25"/>
      <c r="H34" s="25"/>
      <c r="I34" s="54">
        <v>16</v>
      </c>
      <c r="J34" s="55">
        <v>60</v>
      </c>
      <c r="K34" s="56">
        <f>J34*I34</f>
        <v>960</v>
      </c>
      <c r="L34" s="57" t="s">
        <v>61</v>
      </c>
      <c r="M34" s="58"/>
      <c r="N34" s="59"/>
      <c r="O34" s="59"/>
    </row>
    <row r="35" s="4" customFormat="1" ht="30" customHeight="1" spans="1:15">
      <c r="A35" s="25" t="s">
        <v>62</v>
      </c>
      <c r="B35" s="25"/>
      <c r="C35" s="25"/>
      <c r="D35" s="25"/>
      <c r="E35" s="25"/>
      <c r="F35" s="25"/>
      <c r="G35" s="25"/>
      <c r="H35" s="25"/>
      <c r="I35" s="25"/>
      <c r="J35" s="55"/>
      <c r="K35" s="56"/>
      <c r="L35" s="57"/>
      <c r="M35" s="58"/>
      <c r="N35" s="59"/>
      <c r="O35" s="59"/>
    </row>
    <row r="36" s="5" customFormat="1" ht="27" customHeight="1" spans="1:16">
      <c r="A36" s="26" t="s">
        <v>63</v>
      </c>
      <c r="B36" s="26"/>
      <c r="C36" s="26"/>
      <c r="D36" s="27">
        <f>K36</f>
        <v>37532.2</v>
      </c>
      <c r="E36" s="27"/>
      <c r="F36" s="27"/>
      <c r="G36" s="27"/>
      <c r="H36" s="27"/>
      <c r="I36" s="26" t="s">
        <v>64</v>
      </c>
      <c r="J36" s="26"/>
      <c r="K36" s="60">
        <f>SUM(K8:K34)</f>
        <v>37532.2</v>
      </c>
      <c r="L36" s="61"/>
      <c r="M36" s="62"/>
      <c r="N36" s="62"/>
      <c r="O36" s="62"/>
      <c r="P36" s="63"/>
    </row>
    <row r="37" s="6" customFormat="1" ht="27" customHeight="1" spans="1:15">
      <c r="A37" s="28" t="s">
        <v>65</v>
      </c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64"/>
      <c r="N37" s="64"/>
      <c r="O37" s="64"/>
    </row>
    <row r="38" s="6" customFormat="1" ht="27" customHeight="1" spans="1:15">
      <c r="A38" s="30" t="s">
        <v>66</v>
      </c>
      <c r="B38" s="30"/>
      <c r="C38" s="30"/>
      <c r="D38" s="30" t="s">
        <v>67</v>
      </c>
      <c r="E38" s="31"/>
      <c r="F38" s="31"/>
      <c r="G38" s="31"/>
      <c r="H38" s="30" t="s">
        <v>68</v>
      </c>
      <c r="I38" s="31"/>
      <c r="J38" s="30"/>
      <c r="K38" s="31"/>
      <c r="L38" s="31"/>
      <c r="M38" s="65"/>
      <c r="N38" s="65"/>
      <c r="O38" s="65"/>
    </row>
    <row r="39" s="7" customFormat="1" ht="15" customHeight="1" spans="1:15">
      <c r="A39" s="32" t="s">
        <v>69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66"/>
      <c r="N39" s="66"/>
      <c r="O39" s="66"/>
    </row>
    <row r="40" s="8" customFormat="1" ht="15" customHeight="1" spans="1:19">
      <c r="A40" s="33" t="s">
        <v>70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67"/>
      <c r="N40" s="67"/>
      <c r="O40" s="67"/>
      <c r="P40" s="12"/>
      <c r="Q40" s="74"/>
      <c r="R40" s="74"/>
      <c r="S40" s="74"/>
    </row>
    <row r="41" s="9" customFormat="1" ht="15" customHeight="1" spans="1:15">
      <c r="A41" s="34" t="s">
        <v>71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68"/>
      <c r="N41" s="68"/>
      <c r="O41" s="68"/>
    </row>
    <row r="42" s="9" customFormat="1" ht="15" customHeight="1" spans="1:15">
      <c r="A42" s="35" t="s">
        <v>72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69"/>
      <c r="N42" s="69"/>
      <c r="O42" s="69"/>
    </row>
    <row r="43" s="9" customFormat="1" ht="15" customHeight="1" spans="1:15">
      <c r="A43" s="35" t="s">
        <v>73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69"/>
      <c r="N43" s="69"/>
      <c r="O43" s="69"/>
    </row>
    <row r="44" s="10" customFormat="1" ht="15" customHeight="1" spans="1:15">
      <c r="A44" s="36" t="s">
        <v>74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70"/>
      <c r="N44" s="70"/>
      <c r="O44" s="70"/>
    </row>
    <row r="45" s="11" customFormat="1" ht="15" customHeight="1" spans="1:15">
      <c r="A45" s="35" t="s">
        <v>75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71"/>
      <c r="N45" s="71"/>
      <c r="O45" s="71"/>
    </row>
    <row r="46" s="9" customFormat="1" ht="15" customHeight="1" spans="1:15">
      <c r="A46" s="35" t="s">
        <v>76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69"/>
      <c r="N46" s="69"/>
      <c r="O46" s="69"/>
    </row>
    <row r="47" s="9" customFormat="1" ht="15" customHeight="1" spans="1:15">
      <c r="A47" s="35" t="s">
        <v>77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69"/>
      <c r="N47" s="69"/>
      <c r="O47" s="69"/>
    </row>
    <row r="48" s="9" customFormat="1" ht="15" customHeight="1" spans="1:15">
      <c r="A48" s="35" t="s">
        <v>78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69"/>
      <c r="N48" s="69"/>
      <c r="O48" s="69"/>
    </row>
    <row r="49" s="9" customFormat="1" ht="15" customHeight="1" spans="1:15">
      <c r="A49" s="35" t="s">
        <v>79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69"/>
      <c r="N49" s="69"/>
      <c r="O49" s="69"/>
    </row>
    <row r="50" s="9" customFormat="1" ht="15" customHeight="1" spans="1:12">
      <c r="A50" s="37" t="s">
        <v>80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="9" customFormat="1" ht="15" customHeight="1" spans="1:15">
      <c r="A51" s="35" t="s">
        <v>81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69"/>
      <c r="N51" s="69"/>
      <c r="O51" s="69"/>
    </row>
    <row r="52" s="11" customFormat="1" ht="15" customHeight="1" spans="1:15">
      <c r="A52" s="38" t="s">
        <v>82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72"/>
      <c r="N52" s="72"/>
      <c r="O52" s="72"/>
    </row>
    <row r="53" s="8" customFormat="1" ht="24" customHeight="1" spans="1:15">
      <c r="A53" s="34" t="s">
        <v>83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68"/>
      <c r="N53" s="68"/>
      <c r="O53" s="68"/>
    </row>
    <row r="54" s="12" customFormat="1" ht="24" customHeight="1" spans="1:1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73"/>
      <c r="N54" s="73"/>
      <c r="O54" s="73"/>
    </row>
    <row r="55" spans="6:6">
      <c r="F55" s="40"/>
    </row>
  </sheetData>
  <mergeCells count="56">
    <mergeCell ref="A1:L1"/>
    <mergeCell ref="A2:L2"/>
    <mergeCell ref="A3:C3"/>
    <mergeCell ref="E3:I3"/>
    <mergeCell ref="K3:L3"/>
    <mergeCell ref="A4:C4"/>
    <mergeCell ref="E4:I4"/>
    <mergeCell ref="K4:L4"/>
    <mergeCell ref="A5:C5"/>
    <mergeCell ref="D5:E5"/>
    <mergeCell ref="F5:H5"/>
    <mergeCell ref="K5:L5"/>
    <mergeCell ref="A6:D6"/>
    <mergeCell ref="E6:G6"/>
    <mergeCell ref="H6:I6"/>
    <mergeCell ref="J6:L6"/>
    <mergeCell ref="F7:G7"/>
    <mergeCell ref="A35:I35"/>
    <mergeCell ref="A36:C36"/>
    <mergeCell ref="D36:H36"/>
    <mergeCell ref="I36:J36"/>
    <mergeCell ref="A37:L37"/>
    <mergeCell ref="A38:C38"/>
    <mergeCell ref="D38:G38"/>
    <mergeCell ref="H38:I38"/>
    <mergeCell ref="J38:L38"/>
    <mergeCell ref="A39:L39"/>
    <mergeCell ref="A40:L40"/>
    <mergeCell ref="A41:L41"/>
    <mergeCell ref="A42:L42"/>
    <mergeCell ref="A43:L43"/>
    <mergeCell ref="A44:L44"/>
    <mergeCell ref="A45:L45"/>
    <mergeCell ref="A46:L46"/>
    <mergeCell ref="A47:L47"/>
    <mergeCell ref="A48:L48"/>
    <mergeCell ref="A49:L49"/>
    <mergeCell ref="A50:L50"/>
    <mergeCell ref="A51:L51"/>
    <mergeCell ref="A52:L52"/>
    <mergeCell ref="A53:L53"/>
    <mergeCell ref="A54:L54"/>
    <mergeCell ref="A8:A13"/>
    <mergeCell ref="A14:A15"/>
    <mergeCell ref="A16:A20"/>
    <mergeCell ref="A21:A24"/>
    <mergeCell ref="A25:A27"/>
    <mergeCell ref="A28:A30"/>
    <mergeCell ref="A31:A32"/>
    <mergeCell ref="B8:B13"/>
    <mergeCell ref="B14:B15"/>
    <mergeCell ref="B16:B20"/>
    <mergeCell ref="B21:B24"/>
    <mergeCell ref="B25:B27"/>
    <mergeCell ref="B28:B30"/>
    <mergeCell ref="B31:B32"/>
  </mergeCells>
  <pageMargins left="0.275" right="0.236111111111111" top="0.354166666666667" bottom="0.118055555555556" header="0.5" footer="0.5"/>
  <pageSetup paperSize="9" scale="85" orientation="portrait"/>
  <headerFooter/>
  <ignoredErrors>
    <ignoredError sqref="K26 K10 K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XZJD</dc:creator>
  <cp:lastModifiedBy>▼左陛下_ </cp:lastModifiedBy>
  <dcterms:created xsi:type="dcterms:W3CDTF">2017-03-16T08:18:00Z</dcterms:created>
  <cp:lastPrinted>2019-05-08T09:36:00Z</cp:lastPrinted>
  <dcterms:modified xsi:type="dcterms:W3CDTF">2024-04-18T16:29:26Z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18274111E2AD4EA99FDF1BB29CEA4D17_13</vt:lpwstr>
  </property>
</Properties>
</file>