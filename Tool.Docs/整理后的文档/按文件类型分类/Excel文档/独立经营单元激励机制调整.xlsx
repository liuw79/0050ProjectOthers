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梓梓工作文件夹\高维\2025年度规划\"/>
    </mc:Choice>
  </mc:AlternateContent>
  <bookViews>
    <workbookView xWindow="0" yWindow="0" windowWidth="38400" windowHeight="174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8" i="1" l="1"/>
  <c r="F57" i="1"/>
  <c r="E57" i="1"/>
  <c r="D57" i="1"/>
  <c r="C57" i="1"/>
  <c r="B57" i="1"/>
  <c r="G56" i="1"/>
  <c r="G54" i="1"/>
  <c r="G63" i="1" s="1"/>
  <c r="F54" i="1"/>
  <c r="F58" i="1" s="1"/>
  <c r="E54" i="1"/>
  <c r="E63" i="1" s="1"/>
  <c r="D54" i="1"/>
  <c r="D58" i="1" s="1"/>
  <c r="C54" i="1"/>
  <c r="C58" i="1" s="1"/>
  <c r="B54" i="1"/>
  <c r="B63" i="1" s="1"/>
  <c r="G53" i="1"/>
  <c r="G62" i="1" s="1"/>
  <c r="F53" i="1"/>
  <c r="F62" i="1" s="1"/>
  <c r="E53" i="1"/>
  <c r="E62" i="1" s="1"/>
  <c r="D53" i="1"/>
  <c r="D62" i="1" s="1"/>
  <c r="C53" i="1"/>
  <c r="C62" i="1" s="1"/>
  <c r="B53" i="1"/>
  <c r="B62" i="1" s="1"/>
  <c r="G52" i="1"/>
  <c r="G61" i="1" s="1"/>
  <c r="F52" i="1"/>
  <c r="F56" i="1" s="1"/>
  <c r="E52" i="1"/>
  <c r="E61" i="1" s="1"/>
  <c r="D52" i="1"/>
  <c r="D61" i="1" s="1"/>
  <c r="C52" i="1"/>
  <c r="C56" i="1" s="1"/>
  <c r="B52" i="1"/>
  <c r="B61" i="1" s="1"/>
  <c r="C37" i="1"/>
  <c r="B37" i="1"/>
  <c r="C29" i="1"/>
  <c r="C38" i="1" s="1"/>
  <c r="C28" i="1"/>
  <c r="C32" i="1" s="1"/>
  <c r="C42" i="1" s="1"/>
  <c r="B28" i="1"/>
  <c r="B32" i="1" s="1"/>
  <c r="B42" i="1" s="1"/>
  <c r="C27" i="1"/>
  <c r="C31" i="1" s="1"/>
  <c r="B27" i="1"/>
  <c r="B36" i="1" s="1"/>
  <c r="F23" i="1"/>
  <c r="F27" i="1" s="1"/>
  <c r="C23" i="1"/>
  <c r="B23" i="1"/>
  <c r="B29" i="1" s="1"/>
  <c r="G19" i="1"/>
  <c r="F19" i="1"/>
  <c r="D19" i="1"/>
  <c r="C19" i="1"/>
  <c r="E18" i="1"/>
  <c r="E19" i="1" s="1"/>
  <c r="B18" i="1"/>
  <c r="B19" i="1" s="1"/>
  <c r="E17" i="1"/>
  <c r="B17" i="1"/>
  <c r="E23" i="1" s="1"/>
  <c r="B38" i="1" l="1"/>
  <c r="B33" i="1"/>
  <c r="B43" i="1" s="1"/>
  <c r="F36" i="1"/>
  <c r="F31" i="1"/>
  <c r="F41" i="1" s="1"/>
  <c r="F68" i="1"/>
  <c r="E27" i="1"/>
  <c r="E29" i="1"/>
  <c r="E28" i="1"/>
  <c r="G66" i="1"/>
  <c r="B67" i="1"/>
  <c r="C67" i="1"/>
  <c r="D67" i="1"/>
  <c r="E67" i="1"/>
  <c r="F67" i="1"/>
  <c r="G68" i="1"/>
  <c r="C61" i="1"/>
  <c r="C66" i="1" s="1"/>
  <c r="C63" i="1"/>
  <c r="C68" i="1" s="1"/>
  <c r="C33" i="1"/>
  <c r="C43" i="1" s="1"/>
  <c r="D63" i="1"/>
  <c r="D68" i="1" s="1"/>
  <c r="B31" i="1"/>
  <c r="B41" i="1" s="1"/>
  <c r="F63" i="1"/>
  <c r="B56" i="1"/>
  <c r="B66" i="1" s="1"/>
  <c r="B58" i="1"/>
  <c r="B68" i="1" s="1"/>
  <c r="C36" i="1"/>
  <c r="C41" i="1" s="1"/>
  <c r="D56" i="1"/>
  <c r="D66" i="1" s="1"/>
  <c r="D23" i="1"/>
  <c r="F28" i="1"/>
  <c r="E56" i="1"/>
  <c r="E66" i="1" s="1"/>
  <c r="E58" i="1"/>
  <c r="E68" i="1" s="1"/>
  <c r="F29" i="1"/>
  <c r="F61" i="1"/>
  <c r="F66" i="1" s="1"/>
  <c r="G57" i="1"/>
  <c r="G67" i="1" s="1"/>
  <c r="E36" i="1" l="1"/>
  <c r="E31" i="1"/>
  <c r="E41" i="1" s="1"/>
  <c r="F32" i="1"/>
  <c r="F37" i="1"/>
  <c r="D27" i="1"/>
  <c r="D29" i="1"/>
  <c r="D28" i="1"/>
  <c r="E38" i="1"/>
  <c r="E33" i="1"/>
  <c r="E43" i="1" s="1"/>
  <c r="F38" i="1"/>
  <c r="F33" i="1"/>
  <c r="F43" i="1" s="1"/>
  <c r="E37" i="1"/>
  <c r="E32" i="1"/>
  <c r="D32" i="1" l="1"/>
  <c r="D42" i="1" s="1"/>
  <c r="D37" i="1"/>
  <c r="D36" i="1"/>
  <c r="D31" i="1"/>
  <c r="D41" i="1" s="1"/>
  <c r="F42" i="1"/>
  <c r="D33" i="1"/>
  <c r="D38" i="1"/>
  <c r="E42" i="1"/>
  <c r="D43" i="1" l="1"/>
</calcChain>
</file>

<file path=xl/sharedStrings.xml><?xml version="1.0" encoding="utf-8"?>
<sst xmlns="http://schemas.openxmlformats.org/spreadsheetml/2006/main" count="84" uniqueCount="51">
  <si>
    <t>原方案</t>
    <phoneticPr fontId="3" type="noConversion"/>
  </si>
  <si>
    <t>调整方案</t>
    <phoneticPr fontId="3" type="noConversion"/>
  </si>
  <si>
    <t>分润比例</t>
  </si>
  <si>
    <t>备注</t>
  </si>
  <si>
    <t>净利润目标</t>
    <phoneticPr fontId="3" type="noConversion"/>
  </si>
  <si>
    <t>正式成立第一年、第二年</t>
  </si>
  <si>
    <t>50%±20%</t>
  </si>
  <si>
    <t>根据公司和团队各自的贡献不同，经营单元合伙人团队可拿到全年净利润的50%±20%</t>
  </si>
  <si>
    <t>正式成立第一年</t>
    <phoneticPr fontId="3" type="noConversion"/>
  </si>
  <si>
    <t>±20%根据双方相对的贡献表现优劣来定</t>
  </si>
  <si>
    <t>第三年起：根据总净利梯度奖励</t>
  </si>
  <si>
    <t>0＜利润&lt;100万：30%</t>
  </si>
  <si>
    <t>根据年度净利总额，按30%~70%的梯度给经营单元合伙人团队</t>
    <phoneticPr fontId="3" type="noConversion"/>
  </si>
  <si>
    <t>根据总净利增量梯度奖励</t>
    <phoneticPr fontId="3" type="noConversion"/>
  </si>
  <si>
    <r>
      <t>第二年：0＜净利润&lt;80万：40</t>
    </r>
    <r>
      <rPr>
        <sz val="10"/>
        <color theme="1"/>
        <rFont val="等线"/>
        <family val="3"/>
        <charset val="134"/>
        <scheme val="minor"/>
      </rPr>
      <t>%
第三年：</t>
    </r>
    <r>
      <rPr>
        <sz val="10"/>
        <color theme="1"/>
        <rFont val="等线"/>
        <family val="3"/>
        <charset val="134"/>
        <scheme val="minor"/>
      </rPr>
      <t>0</t>
    </r>
    <r>
      <rPr>
        <sz val="10"/>
        <color theme="1"/>
        <rFont val="等线"/>
        <family val="3"/>
        <charset val="134"/>
        <scheme val="minor"/>
      </rPr>
      <t>＜净利润</t>
    </r>
    <r>
      <rPr>
        <sz val="10"/>
        <color theme="1"/>
        <rFont val="等线"/>
        <family val="3"/>
        <charset val="134"/>
        <scheme val="minor"/>
      </rPr>
      <t>&lt;80</t>
    </r>
    <r>
      <rPr>
        <sz val="10"/>
        <color theme="1"/>
        <rFont val="等线"/>
        <family val="3"/>
        <charset val="134"/>
        <scheme val="minor"/>
      </rPr>
      <t>万：</t>
    </r>
    <r>
      <rPr>
        <sz val="10"/>
        <color theme="1"/>
        <rFont val="等线"/>
        <family val="3"/>
        <charset val="134"/>
        <scheme val="minor"/>
      </rPr>
      <t>10%</t>
    </r>
    <phoneticPr fontId="3" type="noConversion"/>
  </si>
  <si>
    <t>第三年净利润80万以内按10%给到经营单位合伙人团队</t>
    <phoneticPr fontId="3" type="noConversion"/>
  </si>
  <si>
    <t>100~300万：40%</t>
  </si>
  <si>
    <r>
      <t>80万</t>
    </r>
    <r>
      <rPr>
        <sz val="10"/>
        <color theme="1"/>
        <rFont val="等线"/>
        <family val="3"/>
        <charset val="134"/>
        <scheme val="minor"/>
      </rPr>
      <t>~</t>
    </r>
    <r>
      <rPr>
        <sz val="10"/>
        <color theme="1"/>
        <rFont val="等线"/>
        <family val="3"/>
        <charset val="134"/>
        <scheme val="minor"/>
      </rPr>
      <t>1</t>
    </r>
    <r>
      <rPr>
        <sz val="10"/>
        <color theme="1"/>
        <rFont val="等线"/>
        <family val="3"/>
        <charset val="134"/>
        <scheme val="minor"/>
      </rPr>
      <t>00万：增量部分的</t>
    </r>
    <r>
      <rPr>
        <sz val="10"/>
        <color theme="1"/>
        <rFont val="等线"/>
        <family val="3"/>
        <charset val="134"/>
        <scheme val="minor"/>
      </rPr>
      <t>60%</t>
    </r>
    <phoneticPr fontId="3" type="noConversion"/>
  </si>
  <si>
    <r>
      <t>根据年度净利</t>
    </r>
    <r>
      <rPr>
        <sz val="10"/>
        <color theme="1"/>
        <rFont val="等线"/>
        <family val="3"/>
        <charset val="134"/>
        <scheme val="minor"/>
      </rPr>
      <t>增量</t>
    </r>
    <r>
      <rPr>
        <sz val="10"/>
        <color theme="1"/>
        <rFont val="等线"/>
        <family val="3"/>
        <charset val="134"/>
        <scheme val="minor"/>
      </rPr>
      <t>总额，按6</t>
    </r>
    <r>
      <rPr>
        <sz val="10"/>
        <color theme="1"/>
        <rFont val="等线"/>
        <family val="3"/>
        <charset val="134"/>
        <scheme val="minor"/>
      </rPr>
      <t>0</t>
    </r>
    <r>
      <rPr>
        <sz val="10"/>
        <color theme="1"/>
        <rFont val="等线"/>
        <family val="3"/>
        <charset val="134"/>
        <scheme val="minor"/>
      </rPr>
      <t>%~</t>
    </r>
    <r>
      <rPr>
        <sz val="10"/>
        <color theme="1"/>
        <rFont val="等线"/>
        <family val="3"/>
        <charset val="134"/>
        <scheme val="minor"/>
      </rPr>
      <t>8</t>
    </r>
    <r>
      <rPr>
        <sz val="10"/>
        <color theme="1"/>
        <rFont val="等线"/>
        <family val="3"/>
        <charset val="134"/>
        <scheme val="minor"/>
      </rPr>
      <t>0%的梯度给经营单元合伙人团队</t>
    </r>
    <phoneticPr fontId="3" type="noConversion"/>
  </si>
  <si>
    <t>300~600万：50%</t>
  </si>
  <si>
    <t>备注：比例按该档位全额计提</t>
  </si>
  <si>
    <r>
      <t>100万</t>
    </r>
    <r>
      <rPr>
        <sz val="10"/>
        <color theme="1"/>
        <rFont val="等线"/>
        <family val="3"/>
        <charset val="134"/>
        <scheme val="minor"/>
      </rPr>
      <t>~</t>
    </r>
    <r>
      <rPr>
        <sz val="10"/>
        <color theme="1"/>
        <rFont val="等线"/>
        <family val="3"/>
        <charset val="134"/>
        <scheme val="minor"/>
      </rPr>
      <t>130万</t>
    </r>
    <r>
      <rPr>
        <sz val="10"/>
        <color theme="1"/>
        <rFont val="等线"/>
        <family val="3"/>
        <charset val="134"/>
        <scheme val="minor"/>
      </rPr>
      <t>：增量部分的</t>
    </r>
    <r>
      <rPr>
        <sz val="10"/>
        <color theme="1"/>
        <rFont val="等线"/>
        <family val="3"/>
        <charset val="134"/>
        <scheme val="minor"/>
      </rPr>
      <t>65</t>
    </r>
    <r>
      <rPr>
        <sz val="10"/>
        <color theme="1"/>
        <rFont val="等线"/>
        <family val="3"/>
        <charset val="134"/>
        <scheme val="minor"/>
      </rPr>
      <t>%</t>
    </r>
    <phoneticPr fontId="3" type="noConversion"/>
  </si>
  <si>
    <t>备注：比例按该档位分段计提</t>
    <phoneticPr fontId="3" type="noConversion"/>
  </si>
  <si>
    <t>600~1000万：60%</t>
  </si>
  <si>
    <r>
      <t>130万</t>
    </r>
    <r>
      <rPr>
        <sz val="10"/>
        <color theme="1"/>
        <rFont val="等线"/>
        <family val="3"/>
        <charset val="134"/>
        <scheme val="minor"/>
      </rPr>
      <t>~</t>
    </r>
    <r>
      <rPr>
        <sz val="10"/>
        <color theme="1"/>
        <rFont val="等线"/>
        <family val="3"/>
        <charset val="134"/>
        <scheme val="minor"/>
      </rPr>
      <t>15</t>
    </r>
    <r>
      <rPr>
        <sz val="10"/>
        <color theme="1"/>
        <rFont val="等线"/>
        <family val="3"/>
        <charset val="134"/>
        <scheme val="minor"/>
      </rPr>
      <t>0万：增量部分的</t>
    </r>
    <r>
      <rPr>
        <sz val="10"/>
        <color theme="1"/>
        <rFont val="等线"/>
        <family val="3"/>
        <charset val="134"/>
        <scheme val="minor"/>
      </rPr>
      <t>70</t>
    </r>
    <r>
      <rPr>
        <sz val="10"/>
        <color theme="1"/>
        <rFont val="等线"/>
        <family val="3"/>
        <charset val="134"/>
        <scheme val="minor"/>
      </rPr>
      <t>%</t>
    </r>
    <phoneticPr fontId="3" type="noConversion"/>
  </si>
  <si>
    <t>1000万及以上：70%</t>
  </si>
  <si>
    <r>
      <t>150万</t>
    </r>
    <r>
      <rPr>
        <sz val="10"/>
        <color theme="1"/>
        <rFont val="等线"/>
        <family val="3"/>
        <charset val="134"/>
        <scheme val="minor"/>
      </rPr>
      <t>~</t>
    </r>
    <r>
      <rPr>
        <sz val="10"/>
        <color theme="1"/>
        <rFont val="等线"/>
        <family val="3"/>
        <charset val="134"/>
        <scheme val="minor"/>
      </rPr>
      <t>200</t>
    </r>
    <r>
      <rPr>
        <sz val="10"/>
        <color theme="1"/>
        <rFont val="等线"/>
        <family val="3"/>
        <charset val="134"/>
        <scheme val="minor"/>
      </rPr>
      <t>万：增量部分的</t>
    </r>
    <r>
      <rPr>
        <sz val="10"/>
        <color theme="1"/>
        <rFont val="等线"/>
        <family val="3"/>
        <charset val="134"/>
        <scheme val="minor"/>
      </rPr>
      <t>80</t>
    </r>
    <r>
      <rPr>
        <sz val="10"/>
        <color theme="1"/>
        <rFont val="等线"/>
        <family val="3"/>
        <charset val="134"/>
        <scheme val="minor"/>
      </rPr>
      <t>%</t>
    </r>
    <phoneticPr fontId="3" type="noConversion"/>
  </si>
  <si>
    <t>注：经营负责人，只拿年度分润，不拿公开课/后端项目提成（在正式成为经营单元之前可以拿）</t>
  </si>
  <si>
    <t>2024年流程课题（后端领教+后端蒋博流程实际）</t>
    <phoneticPr fontId="3" type="noConversion"/>
  </si>
  <si>
    <t>2024后端领教</t>
    <phoneticPr fontId="3" type="noConversion"/>
  </si>
  <si>
    <t>2024后端蒋博流程实际</t>
    <phoneticPr fontId="3" type="noConversion"/>
  </si>
  <si>
    <t>2023年流程课题（后端领教+后端蒋博流程实际）</t>
    <phoneticPr fontId="3" type="noConversion"/>
  </si>
  <si>
    <t>2023后端领教</t>
    <phoneticPr fontId="3" type="noConversion"/>
  </si>
  <si>
    <t>2023后端蒋博流程实际</t>
    <phoneticPr fontId="3" type="noConversion"/>
  </si>
  <si>
    <t>收入</t>
    <phoneticPr fontId="3" type="noConversion"/>
  </si>
  <si>
    <t>净利润</t>
    <phoneticPr fontId="3" type="noConversion"/>
  </si>
  <si>
    <t>净利润率</t>
    <phoneticPr fontId="3" type="noConversion"/>
  </si>
  <si>
    <t>2025年流程课题收入增长系数假设</t>
    <phoneticPr fontId="3" type="noConversion"/>
  </si>
  <si>
    <t>2025年流程课题预算收入</t>
    <phoneticPr fontId="3" type="noConversion"/>
  </si>
  <si>
    <t>净利润率假设</t>
    <phoneticPr fontId="3" type="noConversion"/>
  </si>
  <si>
    <t>净利润收入（10%）</t>
    <phoneticPr fontId="3" type="noConversion"/>
  </si>
  <si>
    <t>净利润收入（9%）</t>
    <phoneticPr fontId="3" type="noConversion"/>
  </si>
  <si>
    <t>净利润收入（8%）</t>
    <phoneticPr fontId="3" type="noConversion"/>
  </si>
  <si>
    <t>调整后方案</t>
    <phoneticPr fontId="3" type="noConversion"/>
  </si>
  <si>
    <t>净利润收入（10%）奖金</t>
    <phoneticPr fontId="3" type="noConversion"/>
  </si>
  <si>
    <t>净利润收入（9%）奖金</t>
    <phoneticPr fontId="3" type="noConversion"/>
  </si>
  <si>
    <t>净利润收入（8%）奖金</t>
    <phoneticPr fontId="3" type="noConversion"/>
  </si>
  <si>
    <t>新旧方案对比</t>
    <phoneticPr fontId="3" type="noConversion"/>
  </si>
  <si>
    <t>收入假设</t>
    <phoneticPr fontId="3" type="noConversion"/>
  </si>
  <si>
    <t>2025年某经营单元收入假设</t>
    <phoneticPr fontId="3" type="noConversion"/>
  </si>
  <si>
    <t>以流程课题为例，进行新旧方案测算对比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</si>
</sst>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);[Red]\(0.00\)"/>
  </numFmts>
  <fonts count="6" x14ac:knownFonts="1">
    <font>
      <sz val="10"/>
      <color theme="1"/>
      <name val="等线"/>
      <family val="2"/>
      <scheme val="minor"/>
    </font>
    <font>
      <sz val="10"/>
      <color theme="1"/>
      <name val="等线"/>
      <family val="2"/>
      <scheme val="minor"/>
    </font>
    <font>
      <b/>
      <sz val="10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0"/>
      <color rgb="FFFF0000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/>
      <diagonal/>
    </border>
    <border>
      <left style="medium">
        <color rgb="FFDEE0E3"/>
      </left>
      <right style="medium">
        <color rgb="FFDEE0E3"/>
      </right>
      <top/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NumberFormat="0" applyFont="0" applyFill="0" applyBorder="0" applyProtection="0"/>
    <xf numFmtId="9" fontId="1" fillId="0" borderId="0" applyFont="0" applyFill="0" applyBorder="0" applyAlignment="0" applyProtection="0">
      <alignment vertical="center"/>
    </xf>
  </cellStyleXfs>
  <cellXfs count="35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9" fontId="4" fillId="0" borderId="2" xfId="0" applyNumberFormat="1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0" fillId="0" borderId="4" xfId="0" applyBorder="1" applyAlignment="1">
      <alignment vertical="top" wrapText="1"/>
    </xf>
    <xf numFmtId="9" fontId="4" fillId="0" borderId="4" xfId="0" applyNumberFormat="1" applyFont="1" applyBorder="1" applyAlignment="1">
      <alignment vertical="center" wrapText="1"/>
    </xf>
    <xf numFmtId="0" fontId="4" fillId="0" borderId="4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0" fillId="2" borderId="0" xfId="0" applyFill="1" applyAlignment="1">
      <alignment vertical="center"/>
    </xf>
    <xf numFmtId="0" fontId="0" fillId="0" borderId="5" xfId="0" applyBorder="1" applyAlignment="1">
      <alignment vertical="center"/>
    </xf>
    <xf numFmtId="0" fontId="0" fillId="2" borderId="5" xfId="0" applyFill="1" applyBorder="1" applyAlignment="1">
      <alignment vertical="center"/>
    </xf>
    <xf numFmtId="9" fontId="0" fillId="2" borderId="5" xfId="1" applyFont="1" applyFill="1" applyBorder="1" applyAlignment="1">
      <alignment vertical="center"/>
    </xf>
    <xf numFmtId="9" fontId="0" fillId="0" borderId="5" xfId="1" applyFont="1" applyBorder="1" applyAlignment="1">
      <alignment vertical="center"/>
    </xf>
    <xf numFmtId="9" fontId="0" fillId="0" borderId="5" xfId="0" applyNumberFormat="1" applyBorder="1" applyAlignment="1">
      <alignment vertical="center"/>
    </xf>
    <xf numFmtId="176" fontId="0" fillId="0" borderId="5" xfId="0" applyNumberFormat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176" fontId="0" fillId="2" borderId="5" xfId="0" applyNumberFormat="1" applyFill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0" fontId="5" fillId="4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0" fillId="4" borderId="5" xfId="0" applyFill="1" applyBorder="1" applyAlignment="1">
      <alignment vertical="center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8"/>
  <sheetViews>
    <sheetView tabSelected="1" workbookViewId="0">
      <selection activeCell="A15" sqref="A15"/>
    </sheetView>
  </sheetViews>
  <sheetFormatPr defaultRowHeight="12.75" x14ac:dyDescent="0.2"/>
  <cols>
    <col min="1" max="1" width="46.5703125" style="1" customWidth="1"/>
    <col min="2" max="2" width="26.42578125" style="1" customWidth="1"/>
    <col min="3" max="3" width="40.7109375" style="1" customWidth="1"/>
    <col min="4" max="8" width="24.140625" style="1" customWidth="1"/>
    <col min="9" max="16384" width="9.140625" style="1"/>
  </cols>
  <sheetData>
    <row r="1" spans="1:8" ht="13.5" thickBot="1" x14ac:dyDescent="0.25">
      <c r="A1" s="32" t="s">
        <v>0</v>
      </c>
      <c r="B1" s="32"/>
      <c r="C1" s="32"/>
      <c r="E1" s="32" t="s">
        <v>1</v>
      </c>
      <c r="F1" s="32"/>
      <c r="G1" s="32"/>
      <c r="H1" s="32"/>
    </row>
    <row r="2" spans="1:8" x14ac:dyDescent="0.2">
      <c r="A2" s="33"/>
      <c r="B2" s="25" t="s">
        <v>2</v>
      </c>
      <c r="C2" s="25" t="s">
        <v>3</v>
      </c>
      <c r="E2" s="33"/>
      <c r="F2" s="25" t="s">
        <v>4</v>
      </c>
      <c r="G2" s="25" t="s">
        <v>2</v>
      </c>
      <c r="H2" s="25" t="s">
        <v>3</v>
      </c>
    </row>
    <row r="3" spans="1:8" ht="13.5" thickBot="1" x14ac:dyDescent="0.25">
      <c r="A3" s="34"/>
      <c r="B3" s="26"/>
      <c r="C3" s="26"/>
      <c r="E3" s="34"/>
      <c r="F3" s="26"/>
      <c r="G3" s="26"/>
      <c r="H3" s="26"/>
    </row>
    <row r="4" spans="1:8" ht="54" customHeight="1" x14ac:dyDescent="0.2">
      <c r="A4" s="25" t="s">
        <v>5</v>
      </c>
      <c r="B4" s="27" t="s">
        <v>6</v>
      </c>
      <c r="C4" s="2" t="s">
        <v>7</v>
      </c>
      <c r="E4" s="25" t="s">
        <v>8</v>
      </c>
      <c r="F4" s="27"/>
      <c r="G4" s="27" t="s">
        <v>6</v>
      </c>
      <c r="H4" s="2" t="s">
        <v>7</v>
      </c>
    </row>
    <row r="5" spans="1:8" ht="54" customHeight="1" thickBot="1" x14ac:dyDescent="0.25">
      <c r="A5" s="26"/>
      <c r="B5" s="28"/>
      <c r="C5" s="3" t="s">
        <v>9</v>
      </c>
      <c r="E5" s="26"/>
      <c r="F5" s="28"/>
      <c r="G5" s="28"/>
      <c r="H5" s="3" t="s">
        <v>9</v>
      </c>
    </row>
    <row r="6" spans="1:8" ht="54" customHeight="1" thickBot="1" x14ac:dyDescent="0.25">
      <c r="A6" s="25" t="s">
        <v>10</v>
      </c>
      <c r="B6" s="2" t="s">
        <v>11</v>
      </c>
      <c r="C6" s="2" t="s">
        <v>12</v>
      </c>
      <c r="E6" s="30" t="s">
        <v>13</v>
      </c>
      <c r="F6" s="2" t="s">
        <v>14</v>
      </c>
      <c r="G6" s="4">
        <v>0.1</v>
      </c>
      <c r="H6" s="2" t="s">
        <v>15</v>
      </c>
    </row>
    <row r="7" spans="1:8" ht="48" customHeight="1" x14ac:dyDescent="0.2">
      <c r="A7" s="29"/>
      <c r="B7" s="5" t="s">
        <v>16</v>
      </c>
      <c r="C7" s="6"/>
      <c r="E7" s="31"/>
      <c r="F7" s="5" t="s">
        <v>17</v>
      </c>
      <c r="G7" s="7">
        <v>0.6</v>
      </c>
      <c r="H7" s="2" t="s">
        <v>18</v>
      </c>
    </row>
    <row r="8" spans="1:8" ht="34.5" customHeight="1" x14ac:dyDescent="0.2">
      <c r="A8" s="29"/>
      <c r="B8" s="5" t="s">
        <v>19</v>
      </c>
      <c r="C8" s="5" t="s">
        <v>20</v>
      </c>
      <c r="E8" s="31"/>
      <c r="F8" s="5" t="s">
        <v>21</v>
      </c>
      <c r="G8" s="7">
        <v>0.65</v>
      </c>
      <c r="H8" s="23" t="s">
        <v>22</v>
      </c>
    </row>
    <row r="9" spans="1:8" ht="34.5" customHeight="1" x14ac:dyDescent="0.2">
      <c r="A9" s="29"/>
      <c r="B9" s="5" t="s">
        <v>23</v>
      </c>
      <c r="C9" s="8"/>
      <c r="E9" s="31"/>
      <c r="F9" s="5" t="s">
        <v>24</v>
      </c>
      <c r="G9" s="7">
        <v>0.7</v>
      </c>
      <c r="H9" s="23"/>
    </row>
    <row r="10" spans="1:8" ht="34.5" customHeight="1" thickBot="1" x14ac:dyDescent="0.25">
      <c r="A10" s="26"/>
      <c r="B10" s="3" t="s">
        <v>25</v>
      </c>
      <c r="C10" s="9"/>
      <c r="E10" s="31"/>
      <c r="F10" s="5" t="s">
        <v>26</v>
      </c>
      <c r="G10" s="7">
        <v>0.8</v>
      </c>
      <c r="H10" s="24"/>
    </row>
    <row r="11" spans="1:8" x14ac:dyDescent="0.2">
      <c r="A11" s="1" t="s">
        <v>27</v>
      </c>
      <c r="E11" s="1" t="s">
        <v>27</v>
      </c>
    </row>
    <row r="14" spans="1:8" x14ac:dyDescent="0.2">
      <c r="A14" s="10" t="s">
        <v>50</v>
      </c>
    </row>
    <row r="16" spans="1:8" x14ac:dyDescent="0.2">
      <c r="A16" s="11"/>
      <c r="B16" s="12" t="s">
        <v>28</v>
      </c>
      <c r="C16" s="11" t="s">
        <v>29</v>
      </c>
      <c r="D16" s="11" t="s">
        <v>30</v>
      </c>
      <c r="E16" s="12" t="s">
        <v>31</v>
      </c>
      <c r="F16" s="11" t="s">
        <v>32</v>
      </c>
      <c r="G16" s="11" t="s">
        <v>33</v>
      </c>
      <c r="H16" s="10"/>
    </row>
    <row r="17" spans="1:7" x14ac:dyDescent="0.2">
      <c r="A17" s="11" t="s">
        <v>34</v>
      </c>
      <c r="B17" s="12">
        <f>C17+D17</f>
        <v>986.1</v>
      </c>
      <c r="C17" s="11">
        <v>214.1</v>
      </c>
      <c r="D17" s="11">
        <v>772</v>
      </c>
      <c r="E17" s="12">
        <f>F17+G17</f>
        <v>553.29999999999995</v>
      </c>
      <c r="F17" s="11">
        <v>70.900000000000006</v>
      </c>
      <c r="G17" s="11">
        <v>482.4</v>
      </c>
    </row>
    <row r="18" spans="1:7" x14ac:dyDescent="0.2">
      <c r="A18" s="11" t="s">
        <v>35</v>
      </c>
      <c r="B18" s="12">
        <f>C18+D18</f>
        <v>76.900000000000006</v>
      </c>
      <c r="C18" s="11">
        <v>-45.5</v>
      </c>
      <c r="D18" s="11">
        <v>122.4</v>
      </c>
      <c r="E18" s="12">
        <f>F18+G18</f>
        <v>49.999999999999993</v>
      </c>
      <c r="F18" s="11">
        <v>-24.6</v>
      </c>
      <c r="G18" s="11">
        <v>74.599999999999994</v>
      </c>
    </row>
    <row r="19" spans="1:7" x14ac:dyDescent="0.2">
      <c r="A19" s="11" t="s">
        <v>36</v>
      </c>
      <c r="B19" s="13">
        <f>B18/B17</f>
        <v>7.7983977284251091E-2</v>
      </c>
      <c r="C19" s="14">
        <f t="shared" ref="C19:G19" si="0">C18/C17</f>
        <v>-0.21251751517982251</v>
      </c>
      <c r="D19" s="14">
        <f t="shared" si="0"/>
        <v>0.15854922279792746</v>
      </c>
      <c r="E19" s="13">
        <f t="shared" si="0"/>
        <v>9.0366889571660933E-2</v>
      </c>
      <c r="F19" s="14">
        <f t="shared" si="0"/>
        <v>-0.34696755994358253</v>
      </c>
      <c r="G19" s="14">
        <f t="shared" si="0"/>
        <v>0.15464344941956881</v>
      </c>
    </row>
    <row r="22" spans="1:7" x14ac:dyDescent="0.2">
      <c r="A22" s="12" t="s">
        <v>37</v>
      </c>
      <c r="B22" s="11">
        <v>2</v>
      </c>
      <c r="C22" s="11">
        <v>1.8</v>
      </c>
      <c r="D22" s="11">
        <v>1.5</v>
      </c>
      <c r="E22" s="11">
        <v>1.2</v>
      </c>
      <c r="F22" s="11">
        <v>1</v>
      </c>
    </row>
    <row r="23" spans="1:7" x14ac:dyDescent="0.2">
      <c r="A23" s="11" t="s">
        <v>38</v>
      </c>
      <c r="B23" s="11">
        <f>$B$17*B22</f>
        <v>1972.2</v>
      </c>
      <c r="C23" s="11">
        <f t="shared" ref="C23:F23" si="1">$B$17*C22</f>
        <v>1774.98</v>
      </c>
      <c r="D23" s="11">
        <f t="shared" si="1"/>
        <v>1479.15</v>
      </c>
      <c r="E23" s="11">
        <f t="shared" si="1"/>
        <v>1183.32</v>
      </c>
      <c r="F23" s="11">
        <f t="shared" si="1"/>
        <v>986.1</v>
      </c>
    </row>
    <row r="24" spans="1:7" x14ac:dyDescent="0.2">
      <c r="A24" s="11" t="s">
        <v>39</v>
      </c>
      <c r="B24" s="15">
        <v>0.1</v>
      </c>
      <c r="C24" s="15">
        <v>0.1</v>
      </c>
      <c r="D24" s="15">
        <v>0.1</v>
      </c>
      <c r="E24" s="15">
        <v>0.1</v>
      </c>
      <c r="F24" s="15">
        <v>0.1</v>
      </c>
    </row>
    <row r="25" spans="1:7" x14ac:dyDescent="0.2">
      <c r="A25" s="11" t="s">
        <v>39</v>
      </c>
      <c r="B25" s="15">
        <v>0.09</v>
      </c>
      <c r="C25" s="15">
        <v>0.09</v>
      </c>
      <c r="D25" s="15">
        <v>0.09</v>
      </c>
      <c r="E25" s="15">
        <v>0.09</v>
      </c>
      <c r="F25" s="15">
        <v>0.09</v>
      </c>
    </row>
    <row r="26" spans="1:7" x14ac:dyDescent="0.2">
      <c r="A26" s="11" t="s">
        <v>39</v>
      </c>
      <c r="B26" s="15">
        <v>0.08</v>
      </c>
      <c r="C26" s="15">
        <v>0.08</v>
      </c>
      <c r="D26" s="15">
        <v>0.08</v>
      </c>
      <c r="E26" s="15">
        <v>0.08</v>
      </c>
      <c r="F26" s="15">
        <v>0.08</v>
      </c>
    </row>
    <row r="27" spans="1:7" x14ac:dyDescent="0.2">
      <c r="A27" s="11" t="s">
        <v>40</v>
      </c>
      <c r="B27" s="16">
        <f>B24*B23</f>
        <v>197.22000000000003</v>
      </c>
      <c r="C27" s="16">
        <f t="shared" ref="C27:F27" si="2">C24*C23</f>
        <v>177.49800000000002</v>
      </c>
      <c r="D27" s="16">
        <f t="shared" si="2"/>
        <v>147.91500000000002</v>
      </c>
      <c r="E27" s="16">
        <f t="shared" si="2"/>
        <v>118.33199999999999</v>
      </c>
      <c r="F27" s="16">
        <f t="shared" si="2"/>
        <v>98.610000000000014</v>
      </c>
    </row>
    <row r="28" spans="1:7" x14ac:dyDescent="0.2">
      <c r="A28" s="11" t="s">
        <v>41</v>
      </c>
      <c r="B28" s="16">
        <f>B25*B23</f>
        <v>177.49799999999999</v>
      </c>
      <c r="C28" s="16">
        <f t="shared" ref="C28:F28" si="3">C25*C23</f>
        <v>159.7482</v>
      </c>
      <c r="D28" s="16">
        <f t="shared" si="3"/>
        <v>133.12350000000001</v>
      </c>
      <c r="E28" s="16">
        <f t="shared" si="3"/>
        <v>106.49879999999999</v>
      </c>
      <c r="F28" s="16">
        <f t="shared" si="3"/>
        <v>88.748999999999995</v>
      </c>
    </row>
    <row r="29" spans="1:7" x14ac:dyDescent="0.2">
      <c r="A29" s="11" t="s">
        <v>42</v>
      </c>
      <c r="B29" s="16">
        <f>B23*B26</f>
        <v>157.77600000000001</v>
      </c>
      <c r="C29" s="16">
        <f t="shared" ref="C29:F29" si="4">C23*C26</f>
        <v>141.9984</v>
      </c>
      <c r="D29" s="16">
        <f t="shared" si="4"/>
        <v>118.33200000000001</v>
      </c>
      <c r="E29" s="16">
        <f t="shared" si="4"/>
        <v>94.665599999999998</v>
      </c>
      <c r="F29" s="16">
        <f t="shared" si="4"/>
        <v>78.888000000000005</v>
      </c>
    </row>
    <row r="30" spans="1:7" x14ac:dyDescent="0.2">
      <c r="A30" s="17" t="s">
        <v>43</v>
      </c>
      <c r="B30" s="18"/>
      <c r="C30" s="18"/>
      <c r="D30" s="18"/>
      <c r="E30" s="18"/>
      <c r="F30" s="18"/>
    </row>
    <row r="31" spans="1:7" x14ac:dyDescent="0.2">
      <c r="A31" s="12" t="s">
        <v>44</v>
      </c>
      <c r="B31" s="12">
        <f>IF(B27&gt;150,80*$G$6+(B27-150)*$G$10+20*$G$9+30*$G$8+20*$G$7,IF(B27&gt;130,80*$G$6+20*$G$7+30*$G$8+(B27-130)*$G$9,IF(B27&gt;100,80*$G$6+20*$G$7+(B27-100)*$G$8,IF(B27&gt;80,(B27-80)*$G$7+80*$G$6,B27*$G$6))))</f>
        <v>91.276000000000025</v>
      </c>
      <c r="C31" s="12">
        <f t="shared" ref="C31:F31" si="5">IF(C27&gt;150,80*$G$6+(C27-150)*$G$10+20*$G$9+30*$G$8+20*$G$7,IF(C27&gt;130,80*$G$6+20*$G$7+30*$G$8+(C27-130)*$G$9,IF(C27&gt;100,80*$G$6+20*$G$7+(C27-100)*$G$8,IF(C27&gt;80,(C27-80)*$G$7+80*$G$6,C27*$G$6))))</f>
        <v>75.498400000000018</v>
      </c>
      <c r="D31" s="12">
        <f t="shared" si="5"/>
        <v>52.040500000000016</v>
      </c>
      <c r="E31" s="12">
        <f t="shared" si="5"/>
        <v>31.915799999999997</v>
      </c>
      <c r="F31" s="12">
        <f t="shared" si="5"/>
        <v>19.166000000000007</v>
      </c>
    </row>
    <row r="32" spans="1:7" x14ac:dyDescent="0.2">
      <c r="A32" s="12" t="s">
        <v>45</v>
      </c>
      <c r="B32" s="12">
        <f t="shared" ref="B32:F33" si="6">IF(B28&gt;150,80*$G$6+(B28-150)*$G$10+20*$G$9+30*$G$8+20*$G$7,IF(B28&gt;130,80*$G$6+20*$G$7+30*$G$8+(B28-130)*$G$9,IF(B28&gt;100,80*$G$6+20*$G$7+(B28-100)*$G$8,IF(B28&gt;80,(B28-80)*$G$7+80*$G$6,B28*$G$6))))</f>
        <v>75.49839999999999</v>
      </c>
      <c r="C32" s="12">
        <f t="shared" si="6"/>
        <v>61.298559999999995</v>
      </c>
      <c r="D32" s="12">
        <f t="shared" si="6"/>
        <v>41.686450000000008</v>
      </c>
      <c r="E32" s="12">
        <f t="shared" si="6"/>
        <v>24.224219999999992</v>
      </c>
      <c r="F32" s="12">
        <f t="shared" si="6"/>
        <v>13.249399999999998</v>
      </c>
    </row>
    <row r="33" spans="1:7" x14ac:dyDescent="0.2">
      <c r="A33" s="12" t="s">
        <v>46</v>
      </c>
      <c r="B33" s="12">
        <f t="shared" si="6"/>
        <v>59.720800000000011</v>
      </c>
      <c r="C33" s="12">
        <f t="shared" si="6"/>
        <v>47.898880000000005</v>
      </c>
      <c r="D33" s="12">
        <f t="shared" si="6"/>
        <v>31.915800000000004</v>
      </c>
      <c r="E33" s="12">
        <f t="shared" si="6"/>
        <v>16.79936</v>
      </c>
      <c r="F33" s="12">
        <f t="shared" si="6"/>
        <v>7.8888000000000007</v>
      </c>
    </row>
    <row r="34" spans="1:7" x14ac:dyDescent="0.2">
      <c r="A34" s="11"/>
      <c r="B34" s="11"/>
      <c r="C34" s="11"/>
      <c r="D34" s="11"/>
      <c r="E34" s="11"/>
      <c r="F34" s="11"/>
    </row>
    <row r="35" spans="1:7" x14ac:dyDescent="0.2">
      <c r="A35" s="19" t="s">
        <v>0</v>
      </c>
      <c r="B35" s="11"/>
      <c r="C35" s="11"/>
      <c r="D35" s="11"/>
      <c r="E35" s="11"/>
      <c r="F35" s="11"/>
    </row>
    <row r="36" spans="1:7" x14ac:dyDescent="0.2">
      <c r="A36" s="11" t="s">
        <v>44</v>
      </c>
      <c r="B36" s="11">
        <f>IF(B27&gt;1000,B27*0.7,IF(B27&gt;600,B27*0.6,IF(B27&gt;300,B27*0.5,IF(B27&gt;100,B27*0.4,B27*0.3))))</f>
        <v>78.888000000000019</v>
      </c>
      <c r="C36" s="11">
        <f t="shared" ref="C36:F38" si="7">IF(C27&gt;1000,C27*0.7,IF(C27&gt;600,C27*0.6,IF(C27&gt;300,C27*0.5,IF(C27&gt;100,C27*0.4,C27*0.3))))</f>
        <v>70.999200000000016</v>
      </c>
      <c r="D36" s="11">
        <f t="shared" si="7"/>
        <v>59.166000000000011</v>
      </c>
      <c r="E36" s="11">
        <f t="shared" si="7"/>
        <v>47.332799999999999</v>
      </c>
      <c r="F36" s="11">
        <f t="shared" si="7"/>
        <v>29.583000000000002</v>
      </c>
    </row>
    <row r="37" spans="1:7" x14ac:dyDescent="0.2">
      <c r="A37" s="11" t="s">
        <v>45</v>
      </c>
      <c r="B37" s="11">
        <f>IF(B28&gt;1000,B28*0.7,IF(B28&gt;600,B28*0.6,IF(B28&gt;300,B28*0.5,IF(B28&gt;100,B28*0.4,B28*0.3))))</f>
        <v>70.999200000000002</v>
      </c>
      <c r="C37" s="11">
        <f t="shared" si="7"/>
        <v>63.899280000000005</v>
      </c>
      <c r="D37" s="11">
        <f t="shared" si="7"/>
        <v>53.249400000000009</v>
      </c>
      <c r="E37" s="11">
        <f t="shared" si="7"/>
        <v>42.599519999999998</v>
      </c>
      <c r="F37" s="11">
        <f t="shared" si="7"/>
        <v>26.624699999999997</v>
      </c>
    </row>
    <row r="38" spans="1:7" x14ac:dyDescent="0.2">
      <c r="A38" s="11" t="s">
        <v>46</v>
      </c>
      <c r="B38" s="11">
        <f>IF(B29&gt;1000,B29*0.7,IF(B29&gt;600,B29*0.6,IF(B29&gt;300,B29*0.5,IF(B29&gt;100,B29*0.4,B29*0.3))))</f>
        <v>63.110400000000006</v>
      </c>
      <c r="C38" s="11">
        <f t="shared" si="7"/>
        <v>56.799360000000007</v>
      </c>
      <c r="D38" s="11">
        <f t="shared" si="7"/>
        <v>47.332800000000006</v>
      </c>
      <c r="E38" s="11">
        <f t="shared" si="7"/>
        <v>28.39968</v>
      </c>
      <c r="F38" s="11">
        <f t="shared" si="7"/>
        <v>23.666399999999999</v>
      </c>
    </row>
    <row r="40" spans="1:7" x14ac:dyDescent="0.2">
      <c r="A40" s="20" t="s">
        <v>47</v>
      </c>
      <c r="B40" s="21"/>
      <c r="C40" s="21"/>
      <c r="D40" s="21"/>
      <c r="E40" s="21"/>
      <c r="F40" s="21"/>
    </row>
    <row r="41" spans="1:7" x14ac:dyDescent="0.2">
      <c r="A41" s="22" t="s">
        <v>44</v>
      </c>
      <c r="B41" s="22">
        <f>B31-B36</f>
        <v>12.388000000000005</v>
      </c>
      <c r="C41" s="22">
        <f t="shared" ref="C41:F41" si="8">C31-C36</f>
        <v>4.4992000000000019</v>
      </c>
      <c r="D41" s="22">
        <f t="shared" si="8"/>
        <v>-7.1254999999999953</v>
      </c>
      <c r="E41" s="22">
        <f t="shared" si="8"/>
        <v>-15.417000000000002</v>
      </c>
      <c r="F41" s="22">
        <f t="shared" si="8"/>
        <v>-10.416999999999994</v>
      </c>
    </row>
    <row r="42" spans="1:7" x14ac:dyDescent="0.2">
      <c r="A42" s="22" t="s">
        <v>45</v>
      </c>
      <c r="B42" s="22">
        <f t="shared" ref="B42:F43" si="9">B32-B37</f>
        <v>4.4991999999999877</v>
      </c>
      <c r="C42" s="22">
        <f t="shared" si="9"/>
        <v>-2.6007200000000097</v>
      </c>
      <c r="D42" s="22">
        <f t="shared" si="9"/>
        <v>-11.562950000000001</v>
      </c>
      <c r="E42" s="22">
        <f t="shared" si="9"/>
        <v>-18.375300000000006</v>
      </c>
      <c r="F42" s="22">
        <f t="shared" si="9"/>
        <v>-13.375299999999999</v>
      </c>
    </row>
    <row r="43" spans="1:7" x14ac:dyDescent="0.2">
      <c r="A43" s="22" t="s">
        <v>46</v>
      </c>
      <c r="B43" s="22">
        <f t="shared" si="9"/>
        <v>-3.3895999999999944</v>
      </c>
      <c r="C43" s="22">
        <f t="shared" si="9"/>
        <v>-8.9004800000000017</v>
      </c>
      <c r="D43" s="22">
        <f t="shared" si="9"/>
        <v>-15.417000000000002</v>
      </c>
      <c r="E43" s="22">
        <f t="shared" si="9"/>
        <v>-11.60032</v>
      </c>
      <c r="F43" s="22">
        <f t="shared" si="9"/>
        <v>-15.7776</v>
      </c>
    </row>
    <row r="47" spans="1:7" x14ac:dyDescent="0.2">
      <c r="A47" s="12" t="s">
        <v>48</v>
      </c>
      <c r="B47" s="11"/>
      <c r="C47" s="11"/>
      <c r="D47" s="11"/>
      <c r="E47" s="11"/>
      <c r="F47" s="11"/>
      <c r="G47" s="11"/>
    </row>
    <row r="48" spans="1:7" x14ac:dyDescent="0.2">
      <c r="A48" s="11" t="s">
        <v>49</v>
      </c>
      <c r="B48" s="11">
        <v>3000</v>
      </c>
      <c r="C48" s="11">
        <v>2500</v>
      </c>
      <c r="D48" s="11">
        <v>2000</v>
      </c>
      <c r="E48" s="11">
        <v>1500</v>
      </c>
      <c r="F48" s="11">
        <v>1000</v>
      </c>
      <c r="G48" s="11">
        <v>500</v>
      </c>
    </row>
    <row r="49" spans="1:7" x14ac:dyDescent="0.2">
      <c r="A49" s="11" t="s">
        <v>39</v>
      </c>
      <c r="B49" s="15">
        <v>0.1</v>
      </c>
      <c r="C49" s="15">
        <v>0.1</v>
      </c>
      <c r="D49" s="15">
        <v>0.1</v>
      </c>
      <c r="E49" s="15">
        <v>0.1</v>
      </c>
      <c r="F49" s="15">
        <v>0.1</v>
      </c>
      <c r="G49" s="15">
        <v>0.1</v>
      </c>
    </row>
    <row r="50" spans="1:7" x14ac:dyDescent="0.2">
      <c r="A50" s="11" t="s">
        <v>39</v>
      </c>
      <c r="B50" s="15">
        <v>0.09</v>
      </c>
      <c r="C50" s="15">
        <v>0.09</v>
      </c>
      <c r="D50" s="15">
        <v>0.09</v>
      </c>
      <c r="E50" s="15">
        <v>0.09</v>
      </c>
      <c r="F50" s="15">
        <v>0.09</v>
      </c>
      <c r="G50" s="15">
        <v>0.09</v>
      </c>
    </row>
    <row r="51" spans="1:7" x14ac:dyDescent="0.2">
      <c r="A51" s="11" t="s">
        <v>39</v>
      </c>
      <c r="B51" s="15">
        <v>0.08</v>
      </c>
      <c r="C51" s="15">
        <v>0.08</v>
      </c>
      <c r="D51" s="15">
        <v>0.08</v>
      </c>
      <c r="E51" s="15">
        <v>0.08</v>
      </c>
      <c r="F51" s="15">
        <v>0.08</v>
      </c>
      <c r="G51" s="15">
        <v>0.08</v>
      </c>
    </row>
    <row r="52" spans="1:7" x14ac:dyDescent="0.2">
      <c r="A52" s="11" t="s">
        <v>40</v>
      </c>
      <c r="B52" s="16">
        <f>B49*B48</f>
        <v>300</v>
      </c>
      <c r="C52" s="16">
        <f t="shared" ref="C52:F52" si="10">C49*C48</f>
        <v>250</v>
      </c>
      <c r="D52" s="16">
        <f t="shared" si="10"/>
        <v>200</v>
      </c>
      <c r="E52" s="16">
        <f t="shared" si="10"/>
        <v>150</v>
      </c>
      <c r="F52" s="16">
        <f t="shared" si="10"/>
        <v>100</v>
      </c>
      <c r="G52" s="16">
        <f>G49*G48</f>
        <v>50</v>
      </c>
    </row>
    <row r="53" spans="1:7" x14ac:dyDescent="0.2">
      <c r="A53" s="11" t="s">
        <v>41</v>
      </c>
      <c r="B53" s="16">
        <f>B50*B48</f>
        <v>270</v>
      </c>
      <c r="C53" s="16">
        <f t="shared" ref="C53:F53" si="11">C50*C48</f>
        <v>225</v>
      </c>
      <c r="D53" s="16">
        <f t="shared" si="11"/>
        <v>180</v>
      </c>
      <c r="E53" s="16">
        <f t="shared" si="11"/>
        <v>135</v>
      </c>
      <c r="F53" s="16">
        <f t="shared" si="11"/>
        <v>90</v>
      </c>
      <c r="G53" s="16">
        <f>G50*G48</f>
        <v>45</v>
      </c>
    </row>
    <row r="54" spans="1:7" x14ac:dyDescent="0.2">
      <c r="A54" s="11" t="s">
        <v>42</v>
      </c>
      <c r="B54" s="16">
        <f>B48*B51</f>
        <v>240</v>
      </c>
      <c r="C54" s="16">
        <f t="shared" ref="C54:F54" si="12">C48*C51</f>
        <v>200</v>
      </c>
      <c r="D54" s="16">
        <f t="shared" si="12"/>
        <v>160</v>
      </c>
      <c r="E54" s="16">
        <f t="shared" si="12"/>
        <v>120</v>
      </c>
      <c r="F54" s="16">
        <f t="shared" si="12"/>
        <v>80</v>
      </c>
      <c r="G54" s="16">
        <f>G48*G51</f>
        <v>40</v>
      </c>
    </row>
    <row r="55" spans="1:7" x14ac:dyDescent="0.2">
      <c r="A55" s="17" t="s">
        <v>43</v>
      </c>
      <c r="B55" s="18"/>
      <c r="C55" s="18"/>
      <c r="D55" s="18"/>
      <c r="E55" s="18"/>
      <c r="F55" s="18"/>
      <c r="G55" s="18"/>
    </row>
    <row r="56" spans="1:7" x14ac:dyDescent="0.2">
      <c r="A56" s="12" t="s">
        <v>44</v>
      </c>
      <c r="B56" s="12">
        <f>IF(B52&gt;150,80*$G$6+(B52-150)*$G$10+20*$G$9+30*$G$8+20*$G$7,IF(B52&gt;130,80*$G$6+20*$G$7+30*$G$8+(B52-130)*$G$9,IF(B52&gt;100,80*$G$6+20*$G$7+(B52-100)*$G$8,IF(B52&gt;80,(B52-80)*$G$7+80*$G$6,B52*$G$6))))</f>
        <v>173.5</v>
      </c>
      <c r="C56" s="12">
        <f t="shared" ref="C56:F56" si="13">IF(C52&gt;150,80*$G$6+(C52-150)*$G$10+20*$G$9+30*$G$8+20*$G$7,IF(C52&gt;130,80*$G$6+20*$G$7+30*$G$8+(C52-130)*$G$9,IF(C52&gt;100,80*$G$6+20*$G$7+(C52-100)*$G$8,IF(C52&gt;80,(C52-80)*$G$7+80*$G$6,C52*$G$6))))</f>
        <v>133.5</v>
      </c>
      <c r="D56" s="12">
        <f t="shared" si="13"/>
        <v>93.5</v>
      </c>
      <c r="E56" s="12">
        <f t="shared" si="13"/>
        <v>53.5</v>
      </c>
      <c r="F56" s="12">
        <f t="shared" si="13"/>
        <v>20</v>
      </c>
      <c r="G56" s="12">
        <f>IF(G52&gt;150,80*$G$6+(G52-150)*$G$10+20*$G$9+30*$G$8+20*$G$7,IF(G52&gt;130,80*$G$6+20*$G$7+30*$G$8+(G52-130)*$G$9,IF(G52&gt;100,80*$G$6+20*$G$7+(G52-100)*$G$8,IF(G52&gt;80,(G52-80)*$G$7+80*$G$6,G52*$G$6))))</f>
        <v>5</v>
      </c>
    </row>
    <row r="57" spans="1:7" x14ac:dyDescent="0.2">
      <c r="A57" s="12" t="s">
        <v>45</v>
      </c>
      <c r="B57" s="12">
        <f t="shared" ref="B57:G58" si="14">IF(B53&gt;150,80*$G$6+(B53-150)*$G$10+20*$G$9+30*$G$8+20*$G$7,IF(B53&gt;130,80*$G$6+20*$G$7+30*$G$8+(B53-130)*$G$9,IF(B53&gt;100,80*$G$6+20*$G$7+(B53-100)*$G$8,IF(B53&gt;80,(B53-80)*$G$7+80*$G$6,B53*$G$6))))</f>
        <v>149.5</v>
      </c>
      <c r="C57" s="12">
        <f t="shared" si="14"/>
        <v>113.5</v>
      </c>
      <c r="D57" s="12">
        <f t="shared" si="14"/>
        <v>77.5</v>
      </c>
      <c r="E57" s="12">
        <f t="shared" si="14"/>
        <v>43</v>
      </c>
      <c r="F57" s="12">
        <f t="shared" si="14"/>
        <v>14</v>
      </c>
      <c r="G57" s="12">
        <f t="shared" si="14"/>
        <v>4.5</v>
      </c>
    </row>
    <row r="58" spans="1:7" x14ac:dyDescent="0.2">
      <c r="A58" s="12" t="s">
        <v>46</v>
      </c>
      <c r="B58" s="12">
        <f t="shared" si="14"/>
        <v>125.5</v>
      </c>
      <c r="C58" s="12">
        <f t="shared" si="14"/>
        <v>93.5</v>
      </c>
      <c r="D58" s="12">
        <f t="shared" si="14"/>
        <v>61.5</v>
      </c>
      <c r="E58" s="12">
        <f t="shared" si="14"/>
        <v>33</v>
      </c>
      <c r="F58" s="12">
        <f t="shared" si="14"/>
        <v>8</v>
      </c>
      <c r="G58" s="12">
        <f t="shared" si="14"/>
        <v>4</v>
      </c>
    </row>
    <row r="59" spans="1:7" x14ac:dyDescent="0.2">
      <c r="A59" s="11"/>
      <c r="B59" s="11"/>
      <c r="C59" s="11"/>
      <c r="D59" s="11"/>
      <c r="E59" s="11"/>
      <c r="F59" s="11"/>
      <c r="G59" s="11"/>
    </row>
    <row r="60" spans="1:7" x14ac:dyDescent="0.2">
      <c r="A60" s="19" t="s">
        <v>0</v>
      </c>
      <c r="B60" s="11"/>
      <c r="C60" s="11"/>
      <c r="D60" s="11"/>
      <c r="E60" s="11"/>
      <c r="F60" s="11"/>
      <c r="G60" s="11"/>
    </row>
    <row r="61" spans="1:7" x14ac:dyDescent="0.2">
      <c r="A61" s="11" t="s">
        <v>44</v>
      </c>
      <c r="B61" s="11">
        <f>IF(B52&gt;1000,B52*0.7,IF(B52&gt;600,B52*0.6,IF(B52&gt;300,B52*0.5,IF(B52&gt;100,B52*0.4,B52*0.3))))</f>
        <v>120</v>
      </c>
      <c r="C61" s="11">
        <f t="shared" ref="C61:F63" si="15">IF(C52&gt;1000,C52*0.7,IF(C52&gt;600,C52*0.6,IF(C52&gt;300,C52*0.5,IF(C52&gt;100,C52*0.4,C52*0.3))))</f>
        <v>100</v>
      </c>
      <c r="D61" s="11">
        <f t="shared" si="15"/>
        <v>80</v>
      </c>
      <c r="E61" s="11">
        <f t="shared" si="15"/>
        <v>60</v>
      </c>
      <c r="F61" s="11">
        <f t="shared" si="15"/>
        <v>30</v>
      </c>
      <c r="G61" s="11">
        <f>IF(G52&gt;1000,G52*0.7,IF(G52&gt;600,G52*0.6,IF(G52&gt;300,G52*0.5,IF(G52&gt;100,G52*0.4,G52*0.3))))</f>
        <v>15</v>
      </c>
    </row>
    <row r="62" spans="1:7" x14ac:dyDescent="0.2">
      <c r="A62" s="11" t="s">
        <v>45</v>
      </c>
      <c r="B62" s="11">
        <f>IF(B53&gt;1000,B53*0.7,IF(B53&gt;600,B53*0.6,IF(B53&gt;300,B53*0.5,IF(B53&gt;100,B53*0.4,B53*0.3))))</f>
        <v>108</v>
      </c>
      <c r="C62" s="11">
        <f t="shared" si="15"/>
        <v>90</v>
      </c>
      <c r="D62" s="11">
        <f t="shared" si="15"/>
        <v>72</v>
      </c>
      <c r="E62" s="11">
        <f t="shared" si="15"/>
        <v>54</v>
      </c>
      <c r="F62" s="11">
        <f t="shared" si="15"/>
        <v>27</v>
      </c>
      <c r="G62" s="11">
        <f>IF(G53&gt;1000,G53*0.7,IF(G53&gt;600,G53*0.6,IF(G53&gt;300,G53*0.5,IF(G53&gt;100,G53*0.4,G53*0.3))))</f>
        <v>13.5</v>
      </c>
    </row>
    <row r="63" spans="1:7" x14ac:dyDescent="0.2">
      <c r="A63" s="11" t="s">
        <v>46</v>
      </c>
      <c r="B63" s="11">
        <f>IF(B54&gt;1000,B54*0.7,IF(B54&gt;600,B54*0.6,IF(B54&gt;300,B54*0.5,IF(B54&gt;100,B54*0.4,B54*0.3))))</f>
        <v>96</v>
      </c>
      <c r="C63" s="11">
        <f t="shared" si="15"/>
        <v>80</v>
      </c>
      <c r="D63" s="11">
        <f t="shared" si="15"/>
        <v>64</v>
      </c>
      <c r="E63" s="11">
        <f t="shared" si="15"/>
        <v>48</v>
      </c>
      <c r="F63" s="11">
        <f t="shared" si="15"/>
        <v>24</v>
      </c>
      <c r="G63" s="11">
        <f>IF(G54&gt;1000,G54*0.7,IF(G54&gt;600,G54*0.6,IF(G54&gt;300,G54*0.5,IF(G54&gt;100,G54*0.4,G54*0.3))))</f>
        <v>12</v>
      </c>
    </row>
    <row r="65" spans="1:7" x14ac:dyDescent="0.2">
      <c r="A65" s="20" t="s">
        <v>47</v>
      </c>
      <c r="B65" s="21"/>
      <c r="C65" s="21"/>
      <c r="D65" s="21"/>
      <c r="E65" s="21"/>
      <c r="F65" s="21"/>
      <c r="G65" s="21"/>
    </row>
    <row r="66" spans="1:7" x14ac:dyDescent="0.2">
      <c r="A66" s="22" t="s">
        <v>44</v>
      </c>
      <c r="B66" s="22">
        <f>B56-B61</f>
        <v>53.5</v>
      </c>
      <c r="C66" s="22">
        <f t="shared" ref="C66:F66" si="16">C56-C61</f>
        <v>33.5</v>
      </c>
      <c r="D66" s="22">
        <f t="shared" si="16"/>
        <v>13.5</v>
      </c>
      <c r="E66" s="22">
        <f t="shared" si="16"/>
        <v>-6.5</v>
      </c>
      <c r="F66" s="22">
        <f t="shared" si="16"/>
        <v>-10</v>
      </c>
      <c r="G66" s="22">
        <f>G56-G61</f>
        <v>-10</v>
      </c>
    </row>
    <row r="67" spans="1:7" x14ac:dyDescent="0.2">
      <c r="A67" s="22" t="s">
        <v>45</v>
      </c>
      <c r="B67" s="22">
        <f t="shared" ref="B67:G68" si="17">B57-B62</f>
        <v>41.5</v>
      </c>
      <c r="C67" s="22">
        <f t="shared" si="17"/>
        <v>23.5</v>
      </c>
      <c r="D67" s="22">
        <f t="shared" si="17"/>
        <v>5.5</v>
      </c>
      <c r="E67" s="22">
        <f t="shared" si="17"/>
        <v>-11</v>
      </c>
      <c r="F67" s="22">
        <f t="shared" si="17"/>
        <v>-13</v>
      </c>
      <c r="G67" s="22">
        <f t="shared" si="17"/>
        <v>-9</v>
      </c>
    </row>
    <row r="68" spans="1:7" x14ac:dyDescent="0.2">
      <c r="A68" s="22" t="s">
        <v>46</v>
      </c>
      <c r="B68" s="22">
        <f t="shared" si="17"/>
        <v>29.5</v>
      </c>
      <c r="C68" s="22">
        <f t="shared" si="17"/>
        <v>13.5</v>
      </c>
      <c r="D68" s="22">
        <f t="shared" si="17"/>
        <v>-2.5</v>
      </c>
      <c r="E68" s="22">
        <f t="shared" si="17"/>
        <v>-15</v>
      </c>
      <c r="F68" s="22">
        <f t="shared" si="17"/>
        <v>-16</v>
      </c>
      <c r="G68" s="22">
        <f t="shared" si="17"/>
        <v>-8</v>
      </c>
    </row>
  </sheetData>
  <mergeCells count="17">
    <mergeCell ref="A1:C1"/>
    <mergeCell ref="E1:H1"/>
    <mergeCell ref="A2:A3"/>
    <mergeCell ref="B2:B3"/>
    <mergeCell ref="C2:C3"/>
    <mergeCell ref="E2:E3"/>
    <mergeCell ref="F2:F3"/>
    <mergeCell ref="G2:G3"/>
    <mergeCell ref="H2:H3"/>
    <mergeCell ref="H8:H10"/>
    <mergeCell ref="A4:A5"/>
    <mergeCell ref="B4:B5"/>
    <mergeCell ref="E4:E5"/>
    <mergeCell ref="F4:F5"/>
    <mergeCell ref="G4:G5"/>
    <mergeCell ref="A6:A10"/>
    <mergeCell ref="E6:E10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DoubleOX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</dc:creator>
  <cp:lastModifiedBy>Elvis</cp:lastModifiedBy>
  <dcterms:created xsi:type="dcterms:W3CDTF">2025-02-22T07:54:30Z</dcterms:created>
  <dcterms:modified xsi:type="dcterms:W3CDTF">2025-02-22T07:56:13Z</dcterms:modified>
</cp:coreProperties>
</file>