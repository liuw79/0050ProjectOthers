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 activeTab="2"/>
  </bookViews>
  <sheets>
    <sheet name="新老方案对比说明" sheetId="3" r:id="rId1"/>
    <sheet name="老方案" sheetId="1" r:id="rId2"/>
    <sheet name="新方案" sheetId="2" r:id="rId3"/>
  </sheets>
  <calcPr calcId="144525"/>
</workbook>
</file>

<file path=xl/sharedStrings.xml><?xml version="1.0" encoding="utf-8"?>
<sst xmlns="http://schemas.openxmlformats.org/spreadsheetml/2006/main" count="452" uniqueCount="176">
  <si>
    <t>说明：</t>
  </si>
  <si>
    <t>1.老方案是指2021年6月1日开始执行的方案，设置了区域基金，这些基金并没有全部发放；</t>
  </si>
  <si>
    <t>2.新方案是指2022年3月1日开始执行的方案，设置了战略先锋奖金，这部分奖金没有发放；</t>
  </si>
  <si>
    <t>3.拿2021年6-7月的25个团当成测试数据，模拟新方案的分钱，将新方案的分钱与老方案进行对比；</t>
  </si>
  <si>
    <t>4.新老方案“到手差异”是指：只比较真正分出去的钱（即到手的钱），基于此产生的差异是“到手差异”；</t>
  </si>
  <si>
    <t>5.新老方案“理论差异”是指：不管钱有没有分到手，只要是设计要分的钱，都当成是分了钱，基于此产生的差异是“理论差异”；</t>
  </si>
  <si>
    <t>6.经比较：新老方案理论差异为-108万（即新方案比老方案少分108万），理论差异率为51%；</t>
  </si>
  <si>
    <t>7.经比较：新老方案到手差异为-18万（即新方案比老方案少分21万），理论差异率为16%；是收入的3%。</t>
  </si>
  <si>
    <t>城市</t>
  </si>
  <si>
    <t>课程</t>
  </si>
  <si>
    <t>团号</t>
  </si>
  <si>
    <t>人数</t>
  </si>
  <si>
    <t>开始日期</t>
  </si>
  <si>
    <t>结束日期</t>
  </si>
  <si>
    <t>销售收入</t>
  </si>
  <si>
    <t>税金</t>
  </si>
  <si>
    <t>手续费</t>
  </si>
  <si>
    <t>销售费用</t>
  </si>
  <si>
    <t>销售成本</t>
  </si>
  <si>
    <t>利润</t>
  </si>
  <si>
    <t>利润分成</t>
  </si>
  <si>
    <t>班主任分成明细</t>
  </si>
  <si>
    <t>接触人佣金</t>
  </si>
  <si>
    <t>推荐人佣金</t>
  </si>
  <si>
    <t>场租</t>
  </si>
  <si>
    <t>餐费</t>
  </si>
  <si>
    <t>茶歇</t>
  </si>
  <si>
    <t>水费</t>
  </si>
  <si>
    <t>资料打印费</t>
  </si>
  <si>
    <t>摄影、课助费用</t>
  </si>
  <si>
    <t>课酬</t>
  </si>
  <si>
    <t>技术、产品中心费用</t>
  </si>
  <si>
    <t>差旅、杂费等报销</t>
  </si>
  <si>
    <t>成本费用小计</t>
  </si>
  <si>
    <t>毛利润</t>
  </si>
  <si>
    <t>分成比例</t>
  </si>
  <si>
    <t>班主任分成</t>
  </si>
  <si>
    <t>高维利润</t>
  </si>
  <si>
    <t>其中：15%</t>
  </si>
  <si>
    <t>原毛利润</t>
  </si>
  <si>
    <t>原分成</t>
  </si>
  <si>
    <t>占比</t>
  </si>
  <si>
    <t>伍悦（开班奖励）</t>
  </si>
  <si>
    <t>伍悦15%</t>
  </si>
  <si>
    <t>伍悦（小计）</t>
  </si>
  <si>
    <t>伍悦（原分成）</t>
  </si>
  <si>
    <t>张可馨（开班奖励）</t>
  </si>
  <si>
    <t>张可馨15%</t>
  </si>
  <si>
    <t>张可馨(小计）</t>
  </si>
  <si>
    <t>张可馨（原分成）</t>
  </si>
  <si>
    <t>吴国晶（开班奖励）</t>
  </si>
  <si>
    <t>吴国晶15%</t>
  </si>
  <si>
    <t>吴国晶（小计）</t>
  </si>
  <si>
    <t>吴国晶（原分成）</t>
  </si>
  <si>
    <t>肖晓（开班奖励）</t>
  </si>
  <si>
    <t>肖晓15%</t>
  </si>
  <si>
    <t>肖晓(小计）</t>
  </si>
  <si>
    <t>肖晓（原分成）</t>
  </si>
  <si>
    <t>杨丽娇（开班奖励）</t>
  </si>
  <si>
    <t>杨丽娇15%</t>
  </si>
  <si>
    <t>杨丽娇(小计）</t>
  </si>
  <si>
    <t>杨丽娇（原分成）</t>
  </si>
  <si>
    <t>任杰欣（开班奖励）</t>
  </si>
  <si>
    <t>任杰欣15%</t>
  </si>
  <si>
    <t>任杰欣(小计）</t>
  </si>
  <si>
    <t>任杰欣（原分成）</t>
  </si>
  <si>
    <t>徐伟丽（开班奖励）</t>
  </si>
  <si>
    <t>徐伟丽15%</t>
  </si>
  <si>
    <t>刘晓烔（开班奖励）</t>
  </si>
  <si>
    <t>刘晓烔15%</t>
  </si>
  <si>
    <t>刘丽君（开班奖励）</t>
  </si>
  <si>
    <t>刘丽君15%</t>
  </si>
  <si>
    <t>薛明慧（开班奖励）</t>
  </si>
  <si>
    <t>薛明慧15%</t>
  </si>
  <si>
    <t>林传科（开班奖励）</t>
  </si>
  <si>
    <t>林传科15%</t>
  </si>
  <si>
    <t>林慧余（开班奖励）</t>
  </si>
  <si>
    <t>林慧余15%</t>
  </si>
  <si>
    <t>刘军15%</t>
  </si>
  <si>
    <t>陈延琴</t>
  </si>
  <si>
    <t>小红花基金-广州</t>
  </si>
  <si>
    <t>小红花基金-厦门</t>
  </si>
  <si>
    <t>小红花基金-深圳</t>
  </si>
  <si>
    <t>小红花基金-上海</t>
  </si>
  <si>
    <t>小红花基金-北京</t>
  </si>
  <si>
    <t>区域投资-北京</t>
  </si>
  <si>
    <t>区域投资-上海</t>
  </si>
  <si>
    <t>区域投资-厦门</t>
  </si>
  <si>
    <t>区域投资-深圳</t>
  </si>
  <si>
    <t>中台投资</t>
  </si>
  <si>
    <t>专项奖金池</t>
  </si>
  <si>
    <t>成长投资</t>
  </si>
  <si>
    <t>课程投资</t>
  </si>
  <si>
    <t>班主任分成合计</t>
  </si>
  <si>
    <t>肖晓</t>
  </si>
  <si>
    <t>深圳</t>
  </si>
  <si>
    <t>税务筹划</t>
  </si>
  <si>
    <t>2021-06-04</t>
  </si>
  <si>
    <t>2021-06-05</t>
  </si>
  <si>
    <t>64.00%</t>
  </si>
  <si>
    <t>伍悦</t>
  </si>
  <si>
    <t>上海</t>
  </si>
  <si>
    <t>创始人财务课</t>
  </si>
  <si>
    <t>2021-06-06</t>
  </si>
  <si>
    <t>张可馨</t>
  </si>
  <si>
    <t>崔建中：大客户策略销售</t>
  </si>
  <si>
    <t>极简项目管理</t>
  </si>
  <si>
    <t>2021-06-18</t>
  </si>
  <si>
    <t>2021-06-20</t>
  </si>
  <si>
    <t>杨丽娇</t>
  </si>
  <si>
    <t>厦门</t>
  </si>
  <si>
    <t>科学分钱</t>
  </si>
  <si>
    <t>2021-06-19</t>
  </si>
  <si>
    <t>吴国晶</t>
  </si>
  <si>
    <t>北京</t>
  </si>
  <si>
    <t>关键岗位的识人用人</t>
  </si>
  <si>
    <t>品牌体验</t>
  </si>
  <si>
    <t>2021-06-26</t>
  </si>
  <si>
    <t>2021-06-27</t>
  </si>
  <si>
    <t>崔建中：销售业绩管理</t>
  </si>
  <si>
    <t>流程型组织</t>
  </si>
  <si>
    <t>教练式领导力</t>
  </si>
  <si>
    <t>2021-07-02</t>
  </si>
  <si>
    <t>2021-07-04</t>
  </si>
  <si>
    <t>打造从个人能力到组织能力的营销体系</t>
  </si>
  <si>
    <t>2021-07-03</t>
  </si>
  <si>
    <t>管理者的自我管理</t>
  </si>
  <si>
    <t>2021-07-06</t>
  </si>
  <si>
    <t>2021-07-07</t>
  </si>
  <si>
    <t>OGSM业务规划与执行</t>
  </si>
  <si>
    <t>2021-07-08</t>
  </si>
  <si>
    <t>2021-07-09</t>
  </si>
  <si>
    <t>供应链</t>
  </si>
  <si>
    <t>2021-07-10</t>
  </si>
  <si>
    <t>2021-07-11</t>
  </si>
  <si>
    <t>企业文化</t>
  </si>
  <si>
    <t>2021-07-16</t>
  </si>
  <si>
    <t>2021-07-18</t>
  </si>
  <si>
    <t>2021-07-17</t>
  </si>
  <si>
    <t>产品开发管理IPD</t>
  </si>
  <si>
    <t>升级定位</t>
  </si>
  <si>
    <t>股权设计</t>
  </si>
  <si>
    <t>63.99%</t>
  </si>
  <si>
    <t>2021-07-24</t>
  </si>
  <si>
    <t>2021-07-25</t>
  </si>
  <si>
    <t>品类战略</t>
  </si>
  <si>
    <t>2021-07-29</t>
  </si>
  <si>
    <t>2021-07-30</t>
  </si>
  <si>
    <t>班主任</t>
  </si>
  <si>
    <t>原方案</t>
  </si>
  <si>
    <t>新方案（班主任）</t>
  </si>
  <si>
    <t>新方案（课程经理）</t>
  </si>
  <si>
    <t>新方案（产品经理）</t>
  </si>
  <si>
    <t>新方案合计</t>
  </si>
  <si>
    <t>差异</t>
  </si>
  <si>
    <t>调整后的差旅、杂费等报销</t>
  </si>
  <si>
    <t>调整后的成本费用小计</t>
  </si>
  <si>
    <t>调整后的毛利润</t>
  </si>
  <si>
    <t>开班奖励</t>
  </si>
  <si>
    <t>班主任分成小计</t>
  </si>
  <si>
    <t>小红花基金</t>
  </si>
  <si>
    <t>基金提取</t>
  </si>
  <si>
    <t>原方案合计</t>
  </si>
  <si>
    <t>开班（1%或2%）</t>
  </si>
  <si>
    <t>来源（3%）</t>
  </si>
  <si>
    <t>服务转化（4%）</t>
  </si>
  <si>
    <t>团队奖金包（15%）</t>
  </si>
  <si>
    <t>战略先锋奖（2%）</t>
  </si>
  <si>
    <t>班主任小计</t>
  </si>
  <si>
    <t>产品开发奖金包（1%）</t>
  </si>
  <si>
    <t>增量收入（1.5%）预估</t>
  </si>
  <si>
    <t>合计</t>
  </si>
  <si>
    <t>理论（新方案-原方案）</t>
  </si>
  <si>
    <t>理论差异率</t>
  </si>
  <si>
    <t>到手（新方案-原方案）</t>
  </si>
  <si>
    <t>到手差异率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</si>
</sst>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8">
    <font>
      <sz val="11"/>
      <color theme="1"/>
      <name val="等线"/>
      <charset val="134"/>
      <scheme val="minor"/>
    </font>
    <font>
      <sz val="11"/>
      <color indexed="8"/>
      <name val="等线"/>
      <charset val="1"/>
      <scheme val="minor"/>
    </font>
    <font>
      <sz val="11"/>
      <name val="等线"/>
      <charset val="1"/>
      <scheme val="minor"/>
    </font>
    <font>
      <sz val="11"/>
      <color theme="0"/>
      <name val="等线"/>
      <charset val="1"/>
      <scheme val="minor"/>
    </font>
    <font>
      <sz val="11"/>
      <color rgb="FFFFFFFF"/>
      <name val="微软雅黑"/>
      <charset val="134"/>
    </font>
    <font>
      <sz val="9"/>
      <name val="微软雅黑"/>
      <charset val="134"/>
    </font>
    <font>
      <sz val="10"/>
      <color rgb="FFFFFFFF"/>
      <name val="微软雅黑"/>
      <charset val="134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A7E0"/>
        <bgColor rgb="FF2EA7E0"/>
      </patternFill>
    </fill>
    <fill>
      <patternFill patternType="solid">
        <fgColor rgb="FFDEDEDE"/>
        <bgColor rgb="FFDEDEDE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3" borderId="6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10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/>
    </xf>
    <xf numFmtId="10" fontId="1" fillId="2" borderId="1" xfId="11" applyNumberFormat="1" applyFont="1" applyFill="1" applyBorder="1" applyAlignment="1">
      <alignment vertical="center"/>
    </xf>
    <xf numFmtId="10" fontId="1" fillId="0" borderId="1" xfId="11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0" fontId="1" fillId="3" borderId="1" xfId="11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0" fontId="2" fillId="0" borderId="1" xfId="11" applyNumberFormat="1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7" fillId="0" borderId="0" xfId="0" applyFont="1" applyFill="1" applyAlignment="1"/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/>
    </xf>
    <xf numFmtId="176" fontId="8" fillId="3" borderId="1" xfId="0" applyNumberFormat="1" applyFont="1" applyFill="1" applyBorder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9"/>
  <sheetViews>
    <sheetView workbookViewId="0">
      <selection activeCell="G22" sqref="G22"/>
    </sheetView>
  </sheetViews>
  <sheetFormatPr defaultColWidth="8.66666666666667" defaultRowHeight="14"/>
  <cols>
    <col min="26" max="26" width="11.5833333333333"/>
  </cols>
  <sheetData>
    <row r="2" s="1" customFormat="1" ht="19" customHeight="1" spans="1:26">
      <c r="A2" s="1" t="s">
        <v>0</v>
      </c>
      <c r="Z2" s="1">
        <v>0.352937659912735</v>
      </c>
    </row>
    <row r="3" s="1" customFormat="1" ht="19" customHeight="1" spans="1:1638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XDB3" s="58"/>
      <c r="XDC3" s="58"/>
      <c r="XDD3" s="58"/>
      <c r="XDE3" s="58"/>
      <c r="XDF3" s="58"/>
      <c r="XDG3" s="58"/>
      <c r="XDH3" s="58"/>
      <c r="XDI3" s="58"/>
      <c r="XDJ3" s="58"/>
      <c r="XDK3" s="58"/>
      <c r="XDL3" s="58"/>
      <c r="XDM3" s="58"/>
      <c r="XDN3" s="58"/>
      <c r="XDO3" s="58"/>
      <c r="XDP3" s="58"/>
      <c r="XDQ3" s="58"/>
      <c r="XDR3" s="58"/>
      <c r="XDS3" s="58"/>
      <c r="XDT3" s="58"/>
      <c r="XDU3" s="58"/>
      <c r="XDV3" s="58"/>
      <c r="XDW3" s="58"/>
      <c r="XDX3" s="58"/>
      <c r="XDY3" s="58"/>
      <c r="XDZ3" s="58"/>
      <c r="XEA3" s="58"/>
      <c r="XEB3" s="58"/>
      <c r="XEC3" s="58"/>
      <c r="XED3" s="58"/>
      <c r="XEE3" s="58"/>
      <c r="XEF3" s="58"/>
      <c r="XEG3" s="58"/>
      <c r="XEH3" s="58"/>
      <c r="XEI3" s="58"/>
      <c r="XEJ3" s="58"/>
      <c r="XEK3" s="58"/>
      <c r="XEL3" s="58"/>
      <c r="XEM3" s="58"/>
      <c r="XEN3" s="58"/>
      <c r="XEO3" s="58"/>
      <c r="XEP3" s="58"/>
      <c r="XEQ3" s="58"/>
      <c r="XER3" s="58"/>
      <c r="XES3" s="58"/>
      <c r="XET3" s="58"/>
      <c r="XEU3" s="58"/>
      <c r="XEV3" s="58"/>
      <c r="XEW3" s="58"/>
      <c r="XEX3" s="58"/>
      <c r="XEY3" s="58"/>
      <c r="XEZ3" s="58"/>
      <c r="XFA3" s="58"/>
      <c r="XFB3" s="58"/>
      <c r="XFC3" s="58"/>
      <c r="XFD3" s="58"/>
    </row>
    <row r="4" s="1" customFormat="1" ht="19" customHeight="1" spans="1:1638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XDB4" s="58"/>
      <c r="XDC4" s="58"/>
      <c r="XDD4" s="58"/>
      <c r="XDE4" s="58"/>
      <c r="XDF4" s="58"/>
      <c r="XDG4" s="58"/>
      <c r="XDH4" s="58"/>
      <c r="XDI4" s="58"/>
      <c r="XDJ4" s="58"/>
      <c r="XDK4" s="58"/>
      <c r="XDL4" s="58"/>
      <c r="XDM4" s="58"/>
      <c r="XDN4" s="58"/>
      <c r="XDO4" s="58"/>
      <c r="XDP4" s="58"/>
      <c r="XDQ4" s="58"/>
      <c r="XDR4" s="58"/>
      <c r="XDS4" s="58"/>
      <c r="XDT4" s="58"/>
      <c r="XDU4" s="58"/>
      <c r="XDV4" s="58"/>
      <c r="XDW4" s="58"/>
      <c r="XDX4" s="58"/>
      <c r="XDY4" s="58"/>
      <c r="XDZ4" s="58"/>
      <c r="XEA4" s="58"/>
      <c r="XEB4" s="58"/>
      <c r="XEC4" s="58"/>
      <c r="XED4" s="58"/>
      <c r="XEE4" s="58"/>
      <c r="XEF4" s="58"/>
      <c r="XEG4" s="58"/>
      <c r="XEH4" s="58"/>
      <c r="XEI4" s="58"/>
      <c r="XEJ4" s="58"/>
      <c r="XEK4" s="58"/>
      <c r="XEL4" s="58"/>
      <c r="XEM4" s="58"/>
      <c r="XEN4" s="58"/>
      <c r="XEO4" s="58"/>
      <c r="XEP4" s="58"/>
      <c r="XEQ4" s="58"/>
      <c r="XER4" s="58"/>
      <c r="XES4" s="58"/>
      <c r="XET4" s="58"/>
      <c r="XEU4" s="58"/>
      <c r="XEV4" s="58"/>
      <c r="XEW4" s="58"/>
      <c r="XEX4" s="58"/>
      <c r="XEY4" s="58"/>
      <c r="XEZ4" s="58"/>
      <c r="XFA4" s="58"/>
      <c r="XFB4" s="58"/>
      <c r="XFC4" s="58"/>
      <c r="XFD4" s="58"/>
    </row>
    <row r="5" s="1" customFormat="1" ht="19" customHeight="1" spans="1:16384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XDB5" s="58"/>
      <c r="XDC5" s="58"/>
      <c r="XDD5" s="58"/>
      <c r="XDE5" s="58"/>
      <c r="XDF5" s="58"/>
      <c r="XDG5" s="58"/>
      <c r="XDH5" s="58"/>
      <c r="XDI5" s="58"/>
      <c r="XDJ5" s="58"/>
      <c r="XDK5" s="58"/>
      <c r="XDL5" s="58"/>
      <c r="XDM5" s="58"/>
      <c r="XDN5" s="58"/>
      <c r="XDO5" s="58"/>
      <c r="XDP5" s="58"/>
      <c r="XDQ5" s="58"/>
      <c r="XDR5" s="58"/>
      <c r="XDS5" s="58"/>
      <c r="XDT5" s="58"/>
      <c r="XDU5" s="58"/>
      <c r="XDV5" s="58"/>
      <c r="XDW5" s="58"/>
      <c r="XDX5" s="58"/>
      <c r="XDY5" s="58"/>
      <c r="XDZ5" s="58"/>
      <c r="XEA5" s="58"/>
      <c r="XEB5" s="58"/>
      <c r="XEC5" s="58"/>
      <c r="XED5" s="58"/>
      <c r="XEE5" s="58"/>
      <c r="XEF5" s="58"/>
      <c r="XEG5" s="58"/>
      <c r="XEH5" s="58"/>
      <c r="XEI5" s="58"/>
      <c r="XEJ5" s="58"/>
      <c r="XEK5" s="58"/>
      <c r="XEL5" s="58"/>
      <c r="XEM5" s="58"/>
      <c r="XEN5" s="58"/>
      <c r="XEO5" s="58"/>
      <c r="XEP5" s="58"/>
      <c r="XEQ5" s="58"/>
      <c r="XER5" s="58"/>
      <c r="XES5" s="58"/>
      <c r="XET5" s="58"/>
      <c r="XEU5" s="58"/>
      <c r="XEV5" s="58"/>
      <c r="XEW5" s="58"/>
      <c r="XEX5" s="58"/>
      <c r="XEY5" s="58"/>
      <c r="XEZ5" s="58"/>
      <c r="XFA5" s="58"/>
      <c r="XFB5" s="58"/>
      <c r="XFC5" s="58"/>
      <c r="XFD5" s="58"/>
    </row>
    <row r="6" s="1" customFormat="1" ht="19" customHeight="1" spans="1:16384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XDB6" s="58"/>
      <c r="XDC6" s="58"/>
      <c r="XDD6" s="58"/>
      <c r="XDE6" s="58"/>
      <c r="XDF6" s="58"/>
      <c r="XDG6" s="58"/>
      <c r="XDH6" s="58"/>
      <c r="XDI6" s="58"/>
      <c r="XDJ6" s="58"/>
      <c r="XDK6" s="58"/>
      <c r="XDL6" s="58"/>
      <c r="XDM6" s="58"/>
      <c r="XDN6" s="58"/>
      <c r="XDO6" s="58"/>
      <c r="XDP6" s="58"/>
      <c r="XDQ6" s="58"/>
      <c r="XDR6" s="58"/>
      <c r="XDS6" s="58"/>
      <c r="XDT6" s="58"/>
      <c r="XDU6" s="58"/>
      <c r="XDV6" s="58"/>
      <c r="XDW6" s="58"/>
      <c r="XDX6" s="58"/>
      <c r="XDY6" s="58"/>
      <c r="XDZ6" s="58"/>
      <c r="XEA6" s="58"/>
      <c r="XEB6" s="58"/>
      <c r="XEC6" s="58"/>
      <c r="XED6" s="58"/>
      <c r="XEE6" s="58"/>
      <c r="XEF6" s="58"/>
      <c r="XEG6" s="58"/>
      <c r="XEH6" s="58"/>
      <c r="XEI6" s="58"/>
      <c r="XEJ6" s="58"/>
      <c r="XEK6" s="58"/>
      <c r="XEL6" s="58"/>
      <c r="XEM6" s="58"/>
      <c r="XEN6" s="58"/>
      <c r="XEO6" s="58"/>
      <c r="XEP6" s="58"/>
      <c r="XEQ6" s="58"/>
      <c r="XER6" s="58"/>
      <c r="XES6" s="58"/>
      <c r="XET6" s="58"/>
      <c r="XEU6" s="58"/>
      <c r="XEV6" s="58"/>
      <c r="XEW6" s="58"/>
      <c r="XEX6" s="58"/>
      <c r="XEY6" s="58"/>
      <c r="XEZ6" s="58"/>
      <c r="XFA6" s="58"/>
      <c r="XFB6" s="58"/>
      <c r="XFC6" s="58"/>
      <c r="XFD6" s="58"/>
    </row>
    <row r="7" s="1" customFormat="1" ht="19" customHeight="1" spans="1:16384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XDB7" s="58"/>
      <c r="XDC7" s="58"/>
      <c r="XDD7" s="58"/>
      <c r="XDE7" s="58"/>
      <c r="XDF7" s="58"/>
      <c r="XDG7" s="58"/>
      <c r="XDH7" s="58"/>
      <c r="XDI7" s="58"/>
      <c r="XDJ7" s="58"/>
      <c r="XDK7" s="58"/>
      <c r="XDL7" s="58"/>
      <c r="XDM7" s="58"/>
      <c r="XDN7" s="58"/>
      <c r="XDO7" s="58"/>
      <c r="XDP7" s="58"/>
      <c r="XDQ7" s="58"/>
      <c r="XDR7" s="58"/>
      <c r="XDS7" s="58"/>
      <c r="XDT7" s="58"/>
      <c r="XDU7" s="58"/>
      <c r="XDV7" s="58"/>
      <c r="XDW7" s="58"/>
      <c r="XDX7" s="58"/>
      <c r="XDY7" s="58"/>
      <c r="XDZ7" s="58"/>
      <c r="XEA7" s="58"/>
      <c r="XEB7" s="58"/>
      <c r="XEC7" s="58"/>
      <c r="XED7" s="58"/>
      <c r="XEE7" s="58"/>
      <c r="XEF7" s="58"/>
      <c r="XEG7" s="58"/>
      <c r="XEH7" s="58"/>
      <c r="XEI7" s="58"/>
      <c r="XEJ7" s="58"/>
      <c r="XEK7" s="58"/>
      <c r="XEL7" s="58"/>
      <c r="XEM7" s="58"/>
      <c r="XEN7" s="58"/>
      <c r="XEO7" s="58"/>
      <c r="XEP7" s="58"/>
      <c r="XEQ7" s="58"/>
      <c r="XER7" s="58"/>
      <c r="XES7" s="58"/>
      <c r="XET7" s="58"/>
      <c r="XEU7" s="58"/>
      <c r="XEV7" s="58"/>
      <c r="XEW7" s="58"/>
      <c r="XEX7" s="58"/>
      <c r="XEY7" s="58"/>
      <c r="XEZ7" s="58"/>
      <c r="XFA7" s="58"/>
      <c r="XFB7" s="58"/>
      <c r="XFC7" s="58"/>
      <c r="XFD7" s="58"/>
    </row>
    <row r="8" s="1" customFormat="1" ht="19" customHeight="1" spans="1:16384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XDB8" s="58"/>
      <c r="XDC8" s="58"/>
      <c r="XDD8" s="58"/>
      <c r="XDE8" s="58"/>
      <c r="XDF8" s="58"/>
      <c r="XDG8" s="58"/>
      <c r="XDH8" s="58"/>
      <c r="XDI8" s="58"/>
      <c r="XDJ8" s="58"/>
      <c r="XDK8" s="58"/>
      <c r="XDL8" s="58"/>
      <c r="XDM8" s="58"/>
      <c r="XDN8" s="58"/>
      <c r="XDO8" s="58"/>
      <c r="XDP8" s="58"/>
      <c r="XDQ8" s="58"/>
      <c r="XDR8" s="58"/>
      <c r="XDS8" s="58"/>
      <c r="XDT8" s="58"/>
      <c r="XDU8" s="58"/>
      <c r="XDV8" s="58"/>
      <c r="XDW8" s="58"/>
      <c r="XDX8" s="58"/>
      <c r="XDY8" s="58"/>
      <c r="XDZ8" s="58"/>
      <c r="XEA8" s="58"/>
      <c r="XEB8" s="58"/>
      <c r="XEC8" s="58"/>
      <c r="XED8" s="58"/>
      <c r="XEE8" s="58"/>
      <c r="XEF8" s="58"/>
      <c r="XEG8" s="58"/>
      <c r="XEH8" s="58"/>
      <c r="XEI8" s="58"/>
      <c r="XEJ8" s="58"/>
      <c r="XEK8" s="58"/>
      <c r="XEL8" s="58"/>
      <c r="XEM8" s="58"/>
      <c r="XEN8" s="58"/>
      <c r="XEO8" s="58"/>
      <c r="XEP8" s="58"/>
      <c r="XEQ8" s="58"/>
      <c r="XER8" s="58"/>
      <c r="XES8" s="58"/>
      <c r="XET8" s="58"/>
      <c r="XEU8" s="58"/>
      <c r="XEV8" s="58"/>
      <c r="XEW8" s="58"/>
      <c r="XEX8" s="58"/>
      <c r="XEY8" s="58"/>
      <c r="XEZ8" s="58"/>
      <c r="XFA8" s="58"/>
      <c r="XFB8" s="58"/>
      <c r="XFC8" s="58"/>
      <c r="XFD8" s="58"/>
    </row>
    <row r="9" s="1" customFormat="1" ht="19" customHeight="1" spans="1:16384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XDB9" s="58"/>
      <c r="XDC9" s="58"/>
      <c r="XDD9" s="58"/>
      <c r="XDE9" s="58"/>
      <c r="XDF9" s="58"/>
      <c r="XDG9" s="58"/>
      <c r="XDH9" s="58"/>
      <c r="XDI9" s="58"/>
      <c r="XDJ9" s="58"/>
      <c r="XDK9" s="58"/>
      <c r="XDL9" s="58"/>
      <c r="XDM9" s="58"/>
      <c r="XDN9" s="58"/>
      <c r="XDO9" s="58"/>
      <c r="XDP9" s="58"/>
      <c r="XDQ9" s="58"/>
      <c r="XDR9" s="58"/>
      <c r="XDS9" s="58"/>
      <c r="XDT9" s="58"/>
      <c r="XDU9" s="58"/>
      <c r="XDV9" s="58"/>
      <c r="XDW9" s="58"/>
      <c r="XDX9" s="58"/>
      <c r="XDY9" s="58"/>
      <c r="XDZ9" s="58"/>
      <c r="XEA9" s="58"/>
      <c r="XEB9" s="58"/>
      <c r="XEC9" s="58"/>
      <c r="XED9" s="58"/>
      <c r="XEE9" s="58"/>
      <c r="XEF9" s="58"/>
      <c r="XEG9" s="58"/>
      <c r="XEH9" s="58"/>
      <c r="XEI9" s="58"/>
      <c r="XEJ9" s="58"/>
      <c r="XEK9" s="58"/>
      <c r="XEL9" s="58"/>
      <c r="XEM9" s="58"/>
      <c r="XEN9" s="58"/>
      <c r="XEO9" s="58"/>
      <c r="XEP9" s="58"/>
      <c r="XEQ9" s="58"/>
      <c r="XER9" s="58"/>
      <c r="XES9" s="58"/>
      <c r="XET9" s="58"/>
      <c r="XEU9" s="58"/>
      <c r="XEV9" s="58"/>
      <c r="XEW9" s="58"/>
      <c r="XEX9" s="58"/>
      <c r="XEY9" s="58"/>
      <c r="XEZ9" s="58"/>
      <c r="XFA9" s="58"/>
      <c r="XFB9" s="58"/>
      <c r="XFC9" s="58"/>
      <c r="XFD9" s="5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selection activeCell="N30" sqref="N30"/>
    </sheetView>
  </sheetViews>
  <sheetFormatPr defaultColWidth="9.16666666666667" defaultRowHeight="14"/>
  <cols>
    <col min="1" max="1" width="9.16666666666667" style="1"/>
    <col min="2" max="2" width="8.25" style="1" customWidth="1"/>
    <col min="3" max="3" width="20.9166666666667" style="1" customWidth="1"/>
    <col min="4" max="4" width="8.41666666666667" style="1" customWidth="1"/>
    <col min="5" max="5" width="7.05" style="1" customWidth="1"/>
    <col min="6" max="7" width="9.4" style="1" customWidth="1"/>
    <col min="8" max="8" width="14.9166666666667" style="1" customWidth="1"/>
    <col min="9" max="9" width="13.9166666666667" style="1" customWidth="1"/>
    <col min="10" max="10" width="12" style="1" customWidth="1"/>
    <col min="11" max="12" width="10.3416666666667" style="1" customWidth="1"/>
    <col min="13" max="13" width="15" style="1" customWidth="1"/>
    <col min="14" max="15" width="11.8333333333333" style="1" customWidth="1"/>
    <col min="16" max="16" width="9.4" style="1" customWidth="1"/>
    <col min="17" max="17" width="11.8333333333333" style="1" customWidth="1"/>
    <col min="18" max="18" width="12.225" style="1" customWidth="1"/>
    <col min="19" max="19" width="13.9166666666667" style="1" customWidth="1"/>
    <col min="20" max="20" width="16.45" style="1" customWidth="1"/>
    <col min="21" max="21" width="14.1083333333333" style="1" customWidth="1"/>
    <col min="22" max="22" width="13.9166666666667" style="1" customWidth="1"/>
    <col min="23" max="23" width="14.9166666666667" style="1" customWidth="1"/>
    <col min="24" max="24" width="9.4" style="1" customWidth="1"/>
    <col min="25" max="26" width="13.9166666666667" style="1" customWidth="1"/>
    <col min="27" max="27" width="11.8333333333333" style="1"/>
    <col min="28" max="30" width="13.9166666666667" style="1"/>
    <col min="31" max="37" width="13.9166666666667" style="1" customWidth="1"/>
    <col min="38" max="38" width="14.75" style="1" customWidth="1"/>
    <col min="39" max="54" width="11.8333333333333" style="1" customWidth="1"/>
    <col min="55" max="56" width="10.8333333333333" style="1" customWidth="1"/>
    <col min="57" max="58" width="9.75" style="1" customWidth="1"/>
    <col min="59" max="60" width="11.8333333333333" style="1" customWidth="1"/>
    <col min="61" max="62" width="10.8333333333333" style="1" customWidth="1"/>
    <col min="63" max="64" width="9.75" style="1" customWidth="1"/>
    <col min="65" max="67" width="10.8333333333333" style="1" customWidth="1"/>
    <col min="68" max="68" width="9.75" style="1"/>
    <col min="69" max="73" width="15.9166666666667" style="1" customWidth="1"/>
    <col min="74" max="77" width="13.9166666666667" style="1" customWidth="1"/>
    <col min="78" max="81" width="10.8333333333333" style="1" customWidth="1"/>
    <col min="82" max="82" width="15.5" style="1" customWidth="1"/>
    <col min="83" max="83" width="11.8333333333333" style="1"/>
    <col min="84" max="16383" width="9.16666666666667" style="1"/>
    <col min="16384" max="16384" width="9.16666666666667" style="45"/>
  </cols>
  <sheetData>
    <row r="1" s="1" customFormat="1" ht="16.5" spans="2:83">
      <c r="B1" s="46" t="s">
        <v>8</v>
      </c>
      <c r="C1" s="46" t="s">
        <v>9</v>
      </c>
      <c r="D1" s="46" t="s">
        <v>10</v>
      </c>
      <c r="E1" s="46" t="s">
        <v>11</v>
      </c>
      <c r="F1" s="46" t="s">
        <v>12</v>
      </c>
      <c r="G1" s="46" t="s">
        <v>13</v>
      </c>
      <c r="H1" s="46" t="s">
        <v>14</v>
      </c>
      <c r="I1" s="46" t="s">
        <v>15</v>
      </c>
      <c r="J1" s="46" t="s">
        <v>16</v>
      </c>
      <c r="K1" s="46" t="s">
        <v>17</v>
      </c>
      <c r="L1" s="46"/>
      <c r="M1" s="46" t="s">
        <v>18</v>
      </c>
      <c r="N1" s="46"/>
      <c r="O1" s="46"/>
      <c r="P1" s="46"/>
      <c r="Q1" s="46"/>
      <c r="R1" s="46"/>
      <c r="S1" s="46"/>
      <c r="T1" s="46"/>
      <c r="U1" s="46"/>
      <c r="V1" s="46"/>
      <c r="W1" s="46" t="s">
        <v>19</v>
      </c>
      <c r="X1" s="46" t="s">
        <v>20</v>
      </c>
      <c r="Y1" s="46"/>
      <c r="Z1" s="46"/>
      <c r="AA1" s="52"/>
      <c r="AB1" s="52"/>
      <c r="AC1" s="52"/>
      <c r="AD1" s="52"/>
      <c r="AE1" s="55" t="s">
        <v>21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2"/>
    </row>
    <row r="2" s="1" customFormat="1" ht="29" spans="2:83">
      <c r="B2" s="46"/>
      <c r="C2" s="46"/>
      <c r="D2" s="46"/>
      <c r="E2" s="46"/>
      <c r="F2" s="46"/>
      <c r="G2" s="46"/>
      <c r="H2" s="46"/>
      <c r="I2" s="46"/>
      <c r="J2" s="46"/>
      <c r="K2" s="54" t="s">
        <v>22</v>
      </c>
      <c r="L2" s="54" t="s">
        <v>23</v>
      </c>
      <c r="M2" s="54" t="s">
        <v>24</v>
      </c>
      <c r="N2" s="54" t="s">
        <v>25</v>
      </c>
      <c r="O2" s="54" t="s">
        <v>26</v>
      </c>
      <c r="P2" s="54" t="s">
        <v>27</v>
      </c>
      <c r="Q2" s="54" t="s">
        <v>28</v>
      </c>
      <c r="R2" s="54" t="s">
        <v>29</v>
      </c>
      <c r="S2" s="54" t="s">
        <v>30</v>
      </c>
      <c r="T2" s="54" t="s">
        <v>31</v>
      </c>
      <c r="U2" s="54" t="s">
        <v>32</v>
      </c>
      <c r="V2" s="54" t="s">
        <v>33</v>
      </c>
      <c r="W2" s="54" t="s">
        <v>34</v>
      </c>
      <c r="X2" s="54" t="s">
        <v>35</v>
      </c>
      <c r="Y2" s="54" t="s">
        <v>36</v>
      </c>
      <c r="Z2" s="54" t="s">
        <v>37</v>
      </c>
      <c r="AA2" s="52" t="s">
        <v>38</v>
      </c>
      <c r="AB2" s="52" t="s">
        <v>39</v>
      </c>
      <c r="AC2" s="52" t="s">
        <v>40</v>
      </c>
      <c r="AD2" s="52" t="s">
        <v>41</v>
      </c>
      <c r="AE2" s="52" t="s">
        <v>42</v>
      </c>
      <c r="AF2" s="52" t="s">
        <v>43</v>
      </c>
      <c r="AG2" s="52" t="s">
        <v>44</v>
      </c>
      <c r="AH2" s="52" t="s">
        <v>45</v>
      </c>
      <c r="AI2" s="52" t="s">
        <v>46</v>
      </c>
      <c r="AJ2" s="52" t="s">
        <v>47</v>
      </c>
      <c r="AK2" s="52" t="s">
        <v>48</v>
      </c>
      <c r="AL2" s="52" t="s">
        <v>49</v>
      </c>
      <c r="AM2" s="52" t="s">
        <v>50</v>
      </c>
      <c r="AN2" s="52" t="s">
        <v>51</v>
      </c>
      <c r="AO2" s="52" t="s">
        <v>52</v>
      </c>
      <c r="AP2" s="52" t="s">
        <v>53</v>
      </c>
      <c r="AQ2" s="52" t="s">
        <v>54</v>
      </c>
      <c r="AR2" s="52" t="s">
        <v>55</v>
      </c>
      <c r="AS2" s="52" t="s">
        <v>56</v>
      </c>
      <c r="AT2" s="52" t="s">
        <v>57</v>
      </c>
      <c r="AU2" s="52" t="s">
        <v>58</v>
      </c>
      <c r="AV2" s="52" t="s">
        <v>59</v>
      </c>
      <c r="AW2" s="52" t="s">
        <v>60</v>
      </c>
      <c r="AX2" s="52" t="s">
        <v>61</v>
      </c>
      <c r="AY2" s="52" t="s">
        <v>62</v>
      </c>
      <c r="AZ2" s="52" t="s">
        <v>63</v>
      </c>
      <c r="BA2" s="52" t="s">
        <v>64</v>
      </c>
      <c r="BB2" s="52" t="s">
        <v>65</v>
      </c>
      <c r="BC2" s="52" t="s">
        <v>66</v>
      </c>
      <c r="BD2" s="52" t="s">
        <v>67</v>
      </c>
      <c r="BE2" s="52" t="s">
        <v>68</v>
      </c>
      <c r="BF2" s="52" t="s">
        <v>69</v>
      </c>
      <c r="BG2" s="52" t="s">
        <v>70</v>
      </c>
      <c r="BH2" s="52" t="s">
        <v>71</v>
      </c>
      <c r="BI2" s="52" t="s">
        <v>72</v>
      </c>
      <c r="BJ2" s="52" t="s">
        <v>73</v>
      </c>
      <c r="BK2" s="52" t="s">
        <v>74</v>
      </c>
      <c r="BL2" s="52" t="s">
        <v>75</v>
      </c>
      <c r="BM2" s="52" t="s">
        <v>76</v>
      </c>
      <c r="BN2" s="52" t="s">
        <v>77</v>
      </c>
      <c r="BO2" s="52" t="s">
        <v>78</v>
      </c>
      <c r="BP2" s="52" t="s">
        <v>79</v>
      </c>
      <c r="BQ2" s="52" t="s">
        <v>80</v>
      </c>
      <c r="BR2" s="52" t="s">
        <v>81</v>
      </c>
      <c r="BS2" s="52" t="s">
        <v>82</v>
      </c>
      <c r="BT2" s="52" t="s">
        <v>83</v>
      </c>
      <c r="BU2" s="52" t="s">
        <v>84</v>
      </c>
      <c r="BV2" s="52" t="s">
        <v>85</v>
      </c>
      <c r="BW2" s="52" t="s">
        <v>86</v>
      </c>
      <c r="BX2" s="52" t="s">
        <v>87</v>
      </c>
      <c r="BY2" s="52" t="s">
        <v>88</v>
      </c>
      <c r="BZ2" s="52" t="s">
        <v>89</v>
      </c>
      <c r="CA2" s="52" t="s">
        <v>90</v>
      </c>
      <c r="CB2" s="52" t="s">
        <v>91</v>
      </c>
      <c r="CC2" s="52" t="s">
        <v>92</v>
      </c>
      <c r="CD2" s="52" t="s">
        <v>93</v>
      </c>
      <c r="CE2" s="52" t="s">
        <v>38</v>
      </c>
    </row>
    <row r="3" s="1" customFormat="1" ht="17.05" customHeight="1" spans="1:83">
      <c r="A3" s="47" t="s">
        <v>94</v>
      </c>
      <c r="B3" s="48" t="s">
        <v>95</v>
      </c>
      <c r="C3" s="48" t="s">
        <v>96</v>
      </c>
      <c r="D3" s="48">
        <v>47</v>
      </c>
      <c r="E3" s="49">
        <v>30</v>
      </c>
      <c r="F3" s="49" t="s">
        <v>97</v>
      </c>
      <c r="G3" s="49" t="s">
        <v>98</v>
      </c>
      <c r="H3" s="49">
        <v>111226.5</v>
      </c>
      <c r="I3" s="49">
        <v>6673.5</v>
      </c>
      <c r="J3" s="49">
        <v>400.86</v>
      </c>
      <c r="K3" s="49"/>
      <c r="L3" s="49"/>
      <c r="M3" s="49">
        <v>8600</v>
      </c>
      <c r="N3" s="49"/>
      <c r="O3" s="49"/>
      <c r="P3" s="49"/>
      <c r="Q3" s="49">
        <v>2103.06</v>
      </c>
      <c r="R3" s="49">
        <v>1020</v>
      </c>
      <c r="S3" s="49">
        <v>53589.5</v>
      </c>
      <c r="T3" s="49">
        <v>7000</v>
      </c>
      <c r="U3" s="49">
        <v>22951.38</v>
      </c>
      <c r="V3" s="49">
        <v>95664.8</v>
      </c>
      <c r="W3" s="49">
        <v>15561.7</v>
      </c>
      <c r="X3" s="49" t="s">
        <v>99</v>
      </c>
      <c r="Y3" s="49">
        <v>9959.48</v>
      </c>
      <c r="Z3" s="49">
        <v>5602.22</v>
      </c>
      <c r="AA3" s="53">
        <v>17685</v>
      </c>
      <c r="AB3" s="53">
        <f t="shared" ref="AB3:AB27" si="0">W3+AA3</f>
        <v>33246.7</v>
      </c>
      <c r="AC3" s="53">
        <f t="shared" ref="AC3:AC27" si="1">AH3+AL3+AP3+AT3+AX3+BB3</f>
        <v>16995.71304</v>
      </c>
      <c r="AD3" s="53">
        <f t="shared" ref="AD3:AD27" si="2">AC3/AB3</f>
        <v>0.5112</v>
      </c>
      <c r="AE3" s="56">
        <v>622.47</v>
      </c>
      <c r="AF3" s="56">
        <v>1768.5</v>
      </c>
      <c r="AG3" s="56">
        <f t="shared" ref="AG3:AG27" si="3">SUM(AE3:AF3)</f>
        <v>2390.97</v>
      </c>
      <c r="AH3" s="56">
        <f t="shared" ref="AH3:AH9" si="4">(W3+AA3)*54%*80%*AF3/AA3</f>
        <v>1436.25744</v>
      </c>
      <c r="AI3" s="56">
        <v>1244.93</v>
      </c>
      <c r="AJ3" s="56">
        <v>13558.5</v>
      </c>
      <c r="AK3" s="56">
        <f t="shared" ref="AK3:AK27" si="5">SUM(AI3:AJ3)</f>
        <v>14803.43</v>
      </c>
      <c r="AL3" s="56">
        <f t="shared" ref="AL3:AL23" si="6">(W3+AA3)*54%*80%*AJ3/AA3</f>
        <v>11011.30704</v>
      </c>
      <c r="AM3" s="56">
        <v>0</v>
      </c>
      <c r="AN3" s="56">
        <v>0</v>
      </c>
      <c r="AO3" s="56">
        <f t="shared" ref="AO3:AO27" si="7">SUM(AM3:AN3)</f>
        <v>0</v>
      </c>
      <c r="AP3" s="56">
        <f t="shared" ref="AP3:AP7" si="8">(W3+AA3)*54%*80%*AN3/AA3</f>
        <v>0</v>
      </c>
      <c r="AQ3" s="56">
        <v>0</v>
      </c>
      <c r="AR3" s="56">
        <v>589.5</v>
      </c>
      <c r="AS3" s="56">
        <f t="shared" ref="AS3:AS27" si="9">SUBTOTAL(9,AQ3:AR3)</f>
        <v>589.5</v>
      </c>
      <c r="AT3" s="56">
        <f>(W3+AA3)*54%*20%+(W3+AA3)*54%*80%*AR3/AA3</f>
        <v>4069.39608</v>
      </c>
      <c r="AU3" s="56">
        <v>0</v>
      </c>
      <c r="AV3" s="56">
        <v>0</v>
      </c>
      <c r="AW3" s="56">
        <f t="shared" ref="AW3:AW27" si="10">SUM(AU3:AV3)</f>
        <v>0</v>
      </c>
      <c r="AX3" s="56">
        <f t="shared" ref="AX3:AX6" si="11">(W3+AA3)*54%*80%*AV3/AA3</f>
        <v>0</v>
      </c>
      <c r="AY3" s="56">
        <v>0</v>
      </c>
      <c r="AZ3" s="56">
        <v>589.5</v>
      </c>
      <c r="BA3" s="56">
        <f t="shared" ref="BA3:BA27" si="12">SUM(AY3:AZ3)</f>
        <v>589.5</v>
      </c>
      <c r="BB3" s="56">
        <f t="shared" ref="BB3:BB27" si="13">(W3+AA3)*54%*80%*AZ3/AA3</f>
        <v>478.75248</v>
      </c>
      <c r="BC3" s="56">
        <v>0</v>
      </c>
      <c r="BD3" s="56">
        <v>0</v>
      </c>
      <c r="BE3" s="56">
        <v>0</v>
      </c>
      <c r="BF3" s="56">
        <v>0</v>
      </c>
      <c r="BG3" s="56">
        <v>0</v>
      </c>
      <c r="BH3" s="56">
        <v>1179</v>
      </c>
      <c r="BI3" s="56">
        <v>0</v>
      </c>
      <c r="BJ3" s="56">
        <v>0</v>
      </c>
      <c r="BK3" s="56">
        <v>0</v>
      </c>
      <c r="BL3" s="56">
        <v>0</v>
      </c>
      <c r="BM3" s="56">
        <v>0</v>
      </c>
      <c r="BN3" s="56">
        <v>0</v>
      </c>
      <c r="BO3" s="56">
        <v>0</v>
      </c>
      <c r="BP3" s="56">
        <v>0</v>
      </c>
      <c r="BQ3" s="56">
        <v>0</v>
      </c>
      <c r="BR3" s="56">
        <v>0</v>
      </c>
      <c r="BS3" s="56">
        <v>1556.17</v>
      </c>
      <c r="BT3" s="56">
        <v>0</v>
      </c>
      <c r="BU3" s="56">
        <v>0</v>
      </c>
      <c r="BV3" s="56">
        <v>0</v>
      </c>
      <c r="BW3" s="56">
        <v>0</v>
      </c>
      <c r="BX3" s="56">
        <v>0</v>
      </c>
      <c r="BY3" s="56">
        <v>1556.17</v>
      </c>
      <c r="BZ3" s="56">
        <v>1867.4</v>
      </c>
      <c r="CA3" s="56">
        <v>933.7</v>
      </c>
      <c r="CB3" s="56">
        <v>1244.94</v>
      </c>
      <c r="CC3" s="56">
        <v>933.7</v>
      </c>
      <c r="CD3" s="53">
        <f t="shared" ref="CD3:CD27" si="14">AE3+AI3+AM3+AQ3+AU3+AY3+BC3+BE3+BG3+BI3+BK3+BM3+BP3+BQ3+BR3+BS3+BT3+BU3+BV3+BW3+BX3+BY3+BZ3+CA3+CB3+CC3</f>
        <v>9959.48</v>
      </c>
      <c r="CE3" s="53">
        <f t="shared" ref="CE3:CE27" si="15">AF3+AJ3+AN3+AR3+AV3+AZ3+BD3+BF3+BH3+BJ3+BL3+BN3+BO3</f>
        <v>17685</v>
      </c>
    </row>
    <row r="4" s="1" customFormat="1" ht="17.05" customHeight="1" spans="1:83">
      <c r="A4" s="1" t="s">
        <v>100</v>
      </c>
      <c r="B4" s="50" t="s">
        <v>101</v>
      </c>
      <c r="C4" s="50" t="s">
        <v>102</v>
      </c>
      <c r="D4" s="50">
        <v>26</v>
      </c>
      <c r="E4" s="51">
        <v>36</v>
      </c>
      <c r="F4" s="51" t="s">
        <v>98</v>
      </c>
      <c r="G4" s="51" t="s">
        <v>103</v>
      </c>
      <c r="H4" s="51">
        <v>158255.68</v>
      </c>
      <c r="I4" s="51">
        <v>9495.32</v>
      </c>
      <c r="J4" s="51">
        <v>825.85</v>
      </c>
      <c r="K4" s="51"/>
      <c r="L4" s="51"/>
      <c r="M4" s="51">
        <v>3500</v>
      </c>
      <c r="N4" s="51">
        <v>1940</v>
      </c>
      <c r="O4" s="51">
        <v>400</v>
      </c>
      <c r="P4" s="51"/>
      <c r="Q4" s="51">
        <v>1271.4</v>
      </c>
      <c r="R4" s="51">
        <v>1800</v>
      </c>
      <c r="S4" s="51">
        <v>60000</v>
      </c>
      <c r="T4" s="51">
        <v>3000</v>
      </c>
      <c r="U4" s="51">
        <v>34903.14</v>
      </c>
      <c r="V4" s="51">
        <v>107640.39</v>
      </c>
      <c r="W4" s="51">
        <v>50615.29</v>
      </c>
      <c r="X4" s="51" t="s">
        <v>99</v>
      </c>
      <c r="Y4" s="51">
        <v>32393.79</v>
      </c>
      <c r="Z4" s="51">
        <v>18221.5</v>
      </c>
      <c r="AA4" s="53">
        <v>25408.65</v>
      </c>
      <c r="AB4" s="53">
        <f t="shared" si="0"/>
        <v>76023.94</v>
      </c>
      <c r="AC4" s="53">
        <f t="shared" si="1"/>
        <v>36919.303421941</v>
      </c>
      <c r="AD4" s="53">
        <f t="shared" si="2"/>
        <v>0.485627335572728</v>
      </c>
      <c r="AE4" s="56">
        <v>3036.92</v>
      </c>
      <c r="AF4" s="56">
        <v>16969.65</v>
      </c>
      <c r="AG4" s="56">
        <f t="shared" si="3"/>
        <v>20006.57</v>
      </c>
      <c r="AH4" s="56">
        <f>(W4+AA4)*54%*20%+(W4+AA4)*54%*80%*AF4/AA4</f>
        <v>30144.9681132457</v>
      </c>
      <c r="AI4" s="56"/>
      <c r="AJ4" s="56">
        <v>738</v>
      </c>
      <c r="AK4" s="56">
        <f t="shared" si="5"/>
        <v>738</v>
      </c>
      <c r="AL4" s="56">
        <f t="shared" si="6"/>
        <v>953.91327185978</v>
      </c>
      <c r="AM4" s="56">
        <v>0</v>
      </c>
      <c r="AN4" s="56">
        <v>0</v>
      </c>
      <c r="AO4" s="56">
        <f t="shared" si="7"/>
        <v>0</v>
      </c>
      <c r="AP4" s="56">
        <f t="shared" si="8"/>
        <v>0</v>
      </c>
      <c r="AQ4" s="56">
        <v>0</v>
      </c>
      <c r="AR4" s="56">
        <v>1476</v>
      </c>
      <c r="AS4" s="56">
        <f t="shared" si="9"/>
        <v>1476</v>
      </c>
      <c r="AT4" s="56">
        <f t="shared" ref="AT4:AT13" si="16">(W4+AA4)*54%*80%*AR4/AA4</f>
        <v>1907.82654371956</v>
      </c>
      <c r="AU4" s="56">
        <v>2024.61</v>
      </c>
      <c r="AV4" s="56">
        <v>2214</v>
      </c>
      <c r="AW4" s="56">
        <f t="shared" si="10"/>
        <v>4238.61</v>
      </c>
      <c r="AX4" s="56">
        <f t="shared" si="11"/>
        <v>2861.73981557934</v>
      </c>
      <c r="AY4" s="56">
        <v>0</v>
      </c>
      <c r="AZ4" s="56">
        <v>813</v>
      </c>
      <c r="BA4" s="56">
        <f t="shared" si="12"/>
        <v>813</v>
      </c>
      <c r="BB4" s="56">
        <f t="shared" si="13"/>
        <v>1050.85567753659</v>
      </c>
      <c r="BC4" s="56">
        <v>0</v>
      </c>
      <c r="BD4" s="56">
        <v>1722</v>
      </c>
      <c r="BE4" s="56">
        <v>1012.31</v>
      </c>
      <c r="BF4" s="56">
        <v>1476</v>
      </c>
      <c r="BG4" s="56">
        <v>0</v>
      </c>
      <c r="BH4" s="56">
        <v>0</v>
      </c>
      <c r="BI4" s="56">
        <v>0</v>
      </c>
      <c r="BJ4" s="56">
        <v>0</v>
      </c>
      <c r="BK4" s="56">
        <v>0</v>
      </c>
      <c r="BL4" s="56">
        <v>0</v>
      </c>
      <c r="BM4" s="56">
        <v>0</v>
      </c>
      <c r="BN4" s="56">
        <v>0</v>
      </c>
      <c r="BO4" s="56">
        <v>0</v>
      </c>
      <c r="BP4" s="56">
        <v>0</v>
      </c>
      <c r="BQ4" s="56">
        <v>0</v>
      </c>
      <c r="BR4" s="56">
        <v>0</v>
      </c>
      <c r="BS4" s="56">
        <v>0</v>
      </c>
      <c r="BT4" s="56">
        <v>5061.53</v>
      </c>
      <c r="BU4" s="56">
        <v>0</v>
      </c>
      <c r="BV4" s="56">
        <v>0</v>
      </c>
      <c r="BW4" s="56">
        <v>5061.53</v>
      </c>
      <c r="BX4" s="56">
        <v>0</v>
      </c>
      <c r="BY4" s="56">
        <v>0</v>
      </c>
      <c r="BZ4" s="56">
        <v>6073.83</v>
      </c>
      <c r="CA4" s="56">
        <v>3036.92</v>
      </c>
      <c r="CB4" s="56">
        <v>4049.22</v>
      </c>
      <c r="CC4" s="56">
        <v>3036.92</v>
      </c>
      <c r="CD4" s="53">
        <f t="shared" si="14"/>
        <v>32393.79</v>
      </c>
      <c r="CE4" s="53">
        <f t="shared" si="15"/>
        <v>25408.65</v>
      </c>
    </row>
    <row r="5" s="1" customFormat="1" ht="22.6" customHeight="1" spans="1:83">
      <c r="A5" s="1" t="s">
        <v>104</v>
      </c>
      <c r="B5" s="50" t="s">
        <v>95</v>
      </c>
      <c r="C5" s="50" t="s">
        <v>105</v>
      </c>
      <c r="D5" s="50">
        <v>8</v>
      </c>
      <c r="E5" s="51">
        <v>31</v>
      </c>
      <c r="F5" s="51" t="s">
        <v>98</v>
      </c>
      <c r="G5" s="51" t="s">
        <v>103</v>
      </c>
      <c r="H5" s="51">
        <v>126632.21</v>
      </c>
      <c r="I5" s="51">
        <v>7597.79</v>
      </c>
      <c r="J5" s="51">
        <v>519.6</v>
      </c>
      <c r="K5" s="51"/>
      <c r="L5" s="51"/>
      <c r="M5" s="51">
        <v>8600</v>
      </c>
      <c r="N5" s="51">
        <v>2146</v>
      </c>
      <c r="O5" s="51"/>
      <c r="P5" s="51"/>
      <c r="Q5" s="51">
        <v>2823</v>
      </c>
      <c r="R5" s="51">
        <v>1020</v>
      </c>
      <c r="S5" s="51">
        <v>50000</v>
      </c>
      <c r="T5" s="51">
        <v>3000</v>
      </c>
      <c r="U5" s="51">
        <v>29907.8</v>
      </c>
      <c r="V5" s="51">
        <v>98016.4</v>
      </c>
      <c r="W5" s="51">
        <v>28615.81</v>
      </c>
      <c r="X5" s="51" t="s">
        <v>99</v>
      </c>
      <c r="Y5" s="51">
        <v>18314.12</v>
      </c>
      <c r="Z5" s="51">
        <v>10301.69</v>
      </c>
      <c r="AA5" s="53">
        <v>20134.5</v>
      </c>
      <c r="AB5" s="53">
        <f t="shared" si="0"/>
        <v>48750.31</v>
      </c>
      <c r="AC5" s="53">
        <f t="shared" si="1"/>
        <v>26325.1674</v>
      </c>
      <c r="AD5" s="53">
        <f t="shared" si="2"/>
        <v>0.54</v>
      </c>
      <c r="AE5" s="56"/>
      <c r="AF5" s="56">
        <v>1948.5</v>
      </c>
      <c r="AG5" s="56">
        <f t="shared" si="3"/>
        <v>1948.5</v>
      </c>
      <c r="AH5" s="56">
        <f t="shared" si="4"/>
        <v>2038.07747612903</v>
      </c>
      <c r="AI5" s="56">
        <v>1716.95</v>
      </c>
      <c r="AJ5" s="56">
        <v>13639.5</v>
      </c>
      <c r="AK5" s="56">
        <f t="shared" si="5"/>
        <v>15356.45</v>
      </c>
      <c r="AL5" s="56">
        <f>(W5+AA5)*54%*80%*AJ5/AA5+(W5+AA5)*54%*20%</f>
        <v>19531.5758129032</v>
      </c>
      <c r="AM5" s="56">
        <v>0</v>
      </c>
      <c r="AN5" s="56">
        <v>0</v>
      </c>
      <c r="AO5" s="56">
        <f t="shared" si="7"/>
        <v>0</v>
      </c>
      <c r="AP5" s="56">
        <f t="shared" si="8"/>
        <v>0</v>
      </c>
      <c r="AQ5" s="56">
        <v>1716.95</v>
      </c>
      <c r="AR5" s="56">
        <v>2598</v>
      </c>
      <c r="AS5" s="56">
        <f t="shared" si="9"/>
        <v>4314.95</v>
      </c>
      <c r="AT5" s="56">
        <f t="shared" si="16"/>
        <v>2717.43663483871</v>
      </c>
      <c r="AU5" s="56">
        <v>0</v>
      </c>
      <c r="AV5" s="56">
        <v>649.5</v>
      </c>
      <c r="AW5" s="56">
        <f t="shared" si="10"/>
        <v>649.5</v>
      </c>
      <c r="AX5" s="56">
        <f t="shared" si="11"/>
        <v>679.359158709678</v>
      </c>
      <c r="AY5" s="56">
        <v>0</v>
      </c>
      <c r="AZ5" s="56">
        <v>1299</v>
      </c>
      <c r="BA5" s="56">
        <f t="shared" si="12"/>
        <v>1299</v>
      </c>
      <c r="BB5" s="56">
        <f t="shared" si="13"/>
        <v>1358.71831741936</v>
      </c>
      <c r="BC5" s="56">
        <v>0</v>
      </c>
      <c r="BD5" s="56">
        <v>0</v>
      </c>
      <c r="BE5" s="56">
        <v>0</v>
      </c>
      <c r="BF5" s="56">
        <v>0</v>
      </c>
      <c r="BG5" s="56">
        <v>0</v>
      </c>
      <c r="BH5" s="56">
        <v>0</v>
      </c>
      <c r="BI5" s="56">
        <v>0</v>
      </c>
      <c r="BJ5" s="56">
        <v>0</v>
      </c>
      <c r="BK5" s="56">
        <v>0</v>
      </c>
      <c r="BL5" s="56">
        <v>0</v>
      </c>
      <c r="BM5" s="56">
        <v>0</v>
      </c>
      <c r="BN5" s="56">
        <v>0</v>
      </c>
      <c r="BO5" s="56">
        <v>0</v>
      </c>
      <c r="BP5" s="56">
        <v>0</v>
      </c>
      <c r="BQ5" s="56">
        <v>0</v>
      </c>
      <c r="BR5" s="56">
        <v>0</v>
      </c>
      <c r="BS5" s="56">
        <v>2861.58</v>
      </c>
      <c r="BT5" s="56">
        <v>0</v>
      </c>
      <c r="BU5" s="56">
        <v>0</v>
      </c>
      <c r="BV5" s="56">
        <v>0</v>
      </c>
      <c r="BW5" s="56">
        <v>0</v>
      </c>
      <c r="BX5" s="56">
        <v>0</v>
      </c>
      <c r="BY5" s="56">
        <v>2861.58</v>
      </c>
      <c r="BZ5" s="56">
        <v>3433.9</v>
      </c>
      <c r="CA5" s="56">
        <v>1716.95</v>
      </c>
      <c r="CB5" s="56">
        <v>2289.26</v>
      </c>
      <c r="CC5" s="56">
        <v>1716.95</v>
      </c>
      <c r="CD5" s="53">
        <f t="shared" si="14"/>
        <v>18314.12</v>
      </c>
      <c r="CE5" s="53">
        <f t="shared" si="15"/>
        <v>20134.5</v>
      </c>
    </row>
    <row r="6" s="1" customFormat="1" ht="17.05" customHeight="1" spans="1:83">
      <c r="A6" s="1" t="s">
        <v>100</v>
      </c>
      <c r="B6" s="48" t="s">
        <v>101</v>
      </c>
      <c r="C6" s="48" t="s">
        <v>106</v>
      </c>
      <c r="D6" s="48">
        <v>23</v>
      </c>
      <c r="E6" s="49">
        <v>48</v>
      </c>
      <c r="F6" s="49" t="s">
        <v>107</v>
      </c>
      <c r="G6" s="49" t="s">
        <v>108</v>
      </c>
      <c r="H6" s="49">
        <v>221563.15</v>
      </c>
      <c r="I6" s="49">
        <v>13293.85</v>
      </c>
      <c r="J6" s="49">
        <v>997.36</v>
      </c>
      <c r="K6" s="49"/>
      <c r="L6" s="49"/>
      <c r="M6" s="49">
        <v>10500</v>
      </c>
      <c r="N6" s="49">
        <v>2400</v>
      </c>
      <c r="O6" s="49"/>
      <c r="P6" s="49"/>
      <c r="Q6" s="49">
        <v>7440.3</v>
      </c>
      <c r="R6" s="49">
        <v>1300</v>
      </c>
      <c r="S6" s="49">
        <v>78750</v>
      </c>
      <c r="T6" s="49">
        <v>3000</v>
      </c>
      <c r="U6" s="49">
        <v>47678.62</v>
      </c>
      <c r="V6" s="49">
        <v>152066.28</v>
      </c>
      <c r="W6" s="49">
        <v>69496.87</v>
      </c>
      <c r="X6" s="49" t="s">
        <v>99</v>
      </c>
      <c r="Y6" s="49">
        <v>44477.99</v>
      </c>
      <c r="Z6" s="49">
        <v>25018.88</v>
      </c>
      <c r="AA6" s="53">
        <v>35228.55</v>
      </c>
      <c r="AB6" s="53">
        <f t="shared" si="0"/>
        <v>104725.42</v>
      </c>
      <c r="AC6" s="53">
        <f t="shared" si="1"/>
        <v>55524.9889847541</v>
      </c>
      <c r="AD6" s="53">
        <f t="shared" si="2"/>
        <v>0.530195906445199</v>
      </c>
      <c r="AE6" s="56">
        <v>4169.81</v>
      </c>
      <c r="AF6" s="56">
        <v>16040.55</v>
      </c>
      <c r="AG6" s="56">
        <f t="shared" si="3"/>
        <v>20210.36</v>
      </c>
      <c r="AH6" s="56">
        <f>(W6+AA6)*54%*20%+(W6+AA6)*54%*80%*AF6/AA6</f>
        <v>31910.019234099</v>
      </c>
      <c r="AI6" s="56">
        <v>2779.87</v>
      </c>
      <c r="AJ6" s="56">
        <v>11992.5</v>
      </c>
      <c r="AK6" s="56">
        <f t="shared" si="5"/>
        <v>14772.37</v>
      </c>
      <c r="AL6" s="56">
        <f t="shared" si="6"/>
        <v>15401.0672286881</v>
      </c>
      <c r="AM6" s="56">
        <v>0</v>
      </c>
      <c r="AN6" s="56">
        <v>0</v>
      </c>
      <c r="AO6" s="56">
        <f t="shared" si="7"/>
        <v>0</v>
      </c>
      <c r="AP6" s="56">
        <f t="shared" si="8"/>
        <v>0</v>
      </c>
      <c r="AQ6" s="56">
        <v>0</v>
      </c>
      <c r="AR6" s="56">
        <v>0</v>
      </c>
      <c r="AS6" s="56">
        <f t="shared" si="9"/>
        <v>0</v>
      </c>
      <c r="AT6" s="56">
        <f t="shared" si="16"/>
        <v>0</v>
      </c>
      <c r="AU6" s="56">
        <v>0</v>
      </c>
      <c r="AV6" s="56">
        <v>799.5</v>
      </c>
      <c r="AW6" s="56">
        <f t="shared" si="10"/>
        <v>799.5</v>
      </c>
      <c r="AX6" s="56">
        <f t="shared" si="11"/>
        <v>1026.73781524587</v>
      </c>
      <c r="AY6" s="56">
        <v>0</v>
      </c>
      <c r="AZ6" s="56">
        <v>5596.5</v>
      </c>
      <c r="BA6" s="56">
        <f t="shared" si="12"/>
        <v>5596.5</v>
      </c>
      <c r="BB6" s="56">
        <f t="shared" si="13"/>
        <v>7187.16470672111</v>
      </c>
      <c r="BC6" s="56">
        <v>1389.94</v>
      </c>
      <c r="BD6" s="56">
        <v>0</v>
      </c>
      <c r="BE6" s="56">
        <v>0</v>
      </c>
      <c r="BF6" s="56">
        <v>0</v>
      </c>
      <c r="BG6" s="56">
        <v>0</v>
      </c>
      <c r="BH6" s="56">
        <v>0</v>
      </c>
      <c r="BI6" s="56">
        <v>0</v>
      </c>
      <c r="BJ6" s="56">
        <v>0</v>
      </c>
      <c r="BK6" s="56">
        <v>0</v>
      </c>
      <c r="BL6" s="56">
        <v>0</v>
      </c>
      <c r="BM6" s="56">
        <v>0</v>
      </c>
      <c r="BN6" s="56">
        <v>0</v>
      </c>
      <c r="BO6" s="56">
        <v>799.5</v>
      </c>
      <c r="BP6" s="56">
        <v>0</v>
      </c>
      <c r="BQ6" s="56">
        <v>0</v>
      </c>
      <c r="BR6" s="56">
        <v>0</v>
      </c>
      <c r="BS6" s="56">
        <v>0</v>
      </c>
      <c r="BT6" s="56">
        <v>6949.69</v>
      </c>
      <c r="BU6" s="56">
        <v>0</v>
      </c>
      <c r="BV6" s="56">
        <v>0</v>
      </c>
      <c r="BW6" s="56">
        <v>6949.69</v>
      </c>
      <c r="BX6" s="56">
        <v>0</v>
      </c>
      <c r="BY6" s="56">
        <v>0</v>
      </c>
      <c r="BZ6" s="56">
        <v>8339.62</v>
      </c>
      <c r="CA6" s="56">
        <v>4169.81</v>
      </c>
      <c r="CB6" s="56">
        <v>5559.75</v>
      </c>
      <c r="CC6" s="56">
        <v>4169.81</v>
      </c>
      <c r="CD6" s="53">
        <f t="shared" si="14"/>
        <v>44477.99</v>
      </c>
      <c r="CE6" s="53">
        <f t="shared" si="15"/>
        <v>35228.55</v>
      </c>
    </row>
    <row r="7" s="4" customFormat="1" ht="17.05" customHeight="1" spans="1:83">
      <c r="A7" s="4" t="s">
        <v>109</v>
      </c>
      <c r="B7" s="16" t="s">
        <v>110</v>
      </c>
      <c r="C7" s="16" t="s">
        <v>111</v>
      </c>
      <c r="D7" s="16">
        <v>47</v>
      </c>
      <c r="E7" s="17">
        <v>28</v>
      </c>
      <c r="F7" s="17" t="s">
        <v>112</v>
      </c>
      <c r="G7" s="17" t="s">
        <v>108</v>
      </c>
      <c r="H7" s="17">
        <v>125235.87</v>
      </c>
      <c r="I7" s="17">
        <v>7514.13</v>
      </c>
      <c r="J7" s="17">
        <v>589.86</v>
      </c>
      <c r="K7" s="17"/>
      <c r="L7" s="17"/>
      <c r="M7" s="17">
        <v>8000</v>
      </c>
      <c r="N7" s="17">
        <v>6300</v>
      </c>
      <c r="O7" s="17">
        <v>2640</v>
      </c>
      <c r="P7" s="17"/>
      <c r="Q7" s="17">
        <v>2120.65</v>
      </c>
      <c r="R7" s="17">
        <v>2150</v>
      </c>
      <c r="S7" s="17">
        <v>80000</v>
      </c>
      <c r="T7" s="17">
        <v>3000</v>
      </c>
      <c r="U7" s="17">
        <v>28395.92</v>
      </c>
      <c r="V7" s="17">
        <v>133196.43</v>
      </c>
      <c r="W7" s="17">
        <v>-7960.56</v>
      </c>
      <c r="X7" s="17"/>
      <c r="Y7" s="17"/>
      <c r="Z7" s="17">
        <v>-7960.56</v>
      </c>
      <c r="AA7" s="25">
        <v>19912.5</v>
      </c>
      <c r="AB7" s="53">
        <f t="shared" si="0"/>
        <v>11951.94</v>
      </c>
      <c r="AC7" s="53">
        <f t="shared" si="1"/>
        <v>6454.0476</v>
      </c>
      <c r="AD7" s="53">
        <f t="shared" si="2"/>
        <v>0.54</v>
      </c>
      <c r="AE7" s="57"/>
      <c r="AF7" s="57">
        <v>5077.5</v>
      </c>
      <c r="AG7" s="56">
        <f t="shared" si="3"/>
        <v>5077.5</v>
      </c>
      <c r="AH7" s="56">
        <f t="shared" si="4"/>
        <v>1316.57709233898</v>
      </c>
      <c r="AI7" s="57"/>
      <c r="AJ7" s="57">
        <v>3690</v>
      </c>
      <c r="AK7" s="56">
        <f t="shared" si="5"/>
        <v>3690</v>
      </c>
      <c r="AL7" s="56">
        <f t="shared" si="6"/>
        <v>956.803440813559</v>
      </c>
      <c r="AM7" s="57">
        <v>0</v>
      </c>
      <c r="AN7" s="57">
        <v>738</v>
      </c>
      <c r="AO7" s="56">
        <f t="shared" si="7"/>
        <v>738</v>
      </c>
      <c r="AP7" s="56">
        <f t="shared" si="8"/>
        <v>191.360688162712</v>
      </c>
      <c r="AQ7" s="57">
        <v>0</v>
      </c>
      <c r="AR7" s="57">
        <v>0</v>
      </c>
      <c r="AS7" s="56">
        <f t="shared" si="9"/>
        <v>0</v>
      </c>
      <c r="AT7" s="56">
        <f t="shared" si="16"/>
        <v>0</v>
      </c>
      <c r="AU7" s="57">
        <v>0</v>
      </c>
      <c r="AV7" s="57">
        <v>9669</v>
      </c>
      <c r="AW7" s="56">
        <f t="shared" si="10"/>
        <v>9669</v>
      </c>
      <c r="AX7" s="56">
        <f>(W7+AA7)*54%*80%*AV7/AA7+(W7+AA7)*54%*20%</f>
        <v>3797.94569052203</v>
      </c>
      <c r="AY7" s="57">
        <v>0</v>
      </c>
      <c r="AZ7" s="57">
        <v>738</v>
      </c>
      <c r="BA7" s="56">
        <f t="shared" si="12"/>
        <v>738</v>
      </c>
      <c r="BB7" s="56">
        <f t="shared" si="13"/>
        <v>191.360688162712</v>
      </c>
      <c r="BC7" s="57">
        <v>0</v>
      </c>
      <c r="BD7" s="57">
        <v>0</v>
      </c>
      <c r="BE7" s="57">
        <v>0</v>
      </c>
      <c r="BF7" s="57">
        <v>0</v>
      </c>
      <c r="BG7" s="57">
        <v>0</v>
      </c>
      <c r="BH7" s="57">
        <v>0</v>
      </c>
      <c r="BI7" s="57">
        <v>0</v>
      </c>
      <c r="BJ7" s="57">
        <v>0</v>
      </c>
      <c r="BK7" s="57">
        <v>0</v>
      </c>
      <c r="BL7" s="57">
        <v>0</v>
      </c>
      <c r="BM7" s="57">
        <v>0</v>
      </c>
      <c r="BN7" s="57">
        <v>0</v>
      </c>
      <c r="BO7" s="57">
        <v>0</v>
      </c>
      <c r="BP7" s="57">
        <v>0</v>
      </c>
      <c r="BQ7" s="57">
        <v>0</v>
      </c>
      <c r="BR7" s="57">
        <v>0</v>
      </c>
      <c r="BS7" s="57">
        <v>0</v>
      </c>
      <c r="BT7" s="57">
        <v>0</v>
      </c>
      <c r="BU7" s="57">
        <v>0</v>
      </c>
      <c r="BV7" s="57">
        <v>0</v>
      </c>
      <c r="BW7" s="57">
        <v>0</v>
      </c>
      <c r="BX7" s="57">
        <v>0</v>
      </c>
      <c r="BY7" s="57">
        <v>0</v>
      </c>
      <c r="BZ7" s="57">
        <v>0</v>
      </c>
      <c r="CA7" s="57">
        <v>0</v>
      </c>
      <c r="CB7" s="57">
        <v>0</v>
      </c>
      <c r="CC7" s="57">
        <v>0</v>
      </c>
      <c r="CD7" s="53">
        <f t="shared" si="14"/>
        <v>0</v>
      </c>
      <c r="CE7" s="25">
        <f t="shared" si="15"/>
        <v>19912.5</v>
      </c>
    </row>
    <row r="8" s="1" customFormat="1" ht="17.05" customHeight="1" spans="1:83">
      <c r="A8" s="1" t="s">
        <v>113</v>
      </c>
      <c r="B8" s="50" t="s">
        <v>114</v>
      </c>
      <c r="C8" s="50" t="s">
        <v>115</v>
      </c>
      <c r="D8" s="50">
        <v>16</v>
      </c>
      <c r="E8" s="51">
        <v>40</v>
      </c>
      <c r="F8" s="51" t="s">
        <v>112</v>
      </c>
      <c r="G8" s="51" t="s">
        <v>108</v>
      </c>
      <c r="H8" s="51">
        <v>161353.94</v>
      </c>
      <c r="I8" s="51">
        <v>9681.06</v>
      </c>
      <c r="J8" s="51">
        <v>585.69</v>
      </c>
      <c r="K8" s="51"/>
      <c r="L8" s="51"/>
      <c r="M8" s="51">
        <v>11000</v>
      </c>
      <c r="N8" s="51"/>
      <c r="O8" s="51">
        <v>3000</v>
      </c>
      <c r="P8" s="51"/>
      <c r="Q8" s="51">
        <v>3230.04</v>
      </c>
      <c r="R8" s="51">
        <v>3365</v>
      </c>
      <c r="S8" s="51">
        <v>60000</v>
      </c>
      <c r="T8" s="51">
        <v>3000</v>
      </c>
      <c r="U8" s="51">
        <v>37930.25</v>
      </c>
      <c r="V8" s="51">
        <v>122110.98</v>
      </c>
      <c r="W8" s="51">
        <v>39242.96</v>
      </c>
      <c r="X8" s="51" t="s">
        <v>99</v>
      </c>
      <c r="Y8" s="51">
        <v>25098.88</v>
      </c>
      <c r="Z8" s="51">
        <v>14144.08</v>
      </c>
      <c r="AA8" s="53">
        <v>25655.25</v>
      </c>
      <c r="AB8" s="53">
        <f t="shared" si="0"/>
        <v>64898.21</v>
      </c>
      <c r="AC8" s="53">
        <f t="shared" si="1"/>
        <v>35045.0334</v>
      </c>
      <c r="AD8" s="53">
        <f t="shared" si="2"/>
        <v>0.54</v>
      </c>
      <c r="AE8" s="56"/>
      <c r="AF8" s="56">
        <v>4546.5</v>
      </c>
      <c r="AG8" s="56">
        <f t="shared" si="3"/>
        <v>4546.5</v>
      </c>
      <c r="AH8" s="56">
        <f t="shared" si="4"/>
        <v>4968.40979848101</v>
      </c>
      <c r="AI8" s="56"/>
      <c r="AJ8" s="56">
        <v>4546.5</v>
      </c>
      <c r="AK8" s="56">
        <f t="shared" si="5"/>
        <v>4546.5</v>
      </c>
      <c r="AL8" s="56">
        <f t="shared" si="6"/>
        <v>4968.40979848101</v>
      </c>
      <c r="AM8" s="56">
        <v>5098.21</v>
      </c>
      <c r="AN8" s="56">
        <v>9417.75</v>
      </c>
      <c r="AO8" s="56">
        <f t="shared" si="7"/>
        <v>14515.96</v>
      </c>
      <c r="AP8" s="56">
        <f>(W8+AA8)*54%*80%*AN8/AA8+(W8+AA8)*54%*20%</f>
        <v>17300.7126911392</v>
      </c>
      <c r="AQ8" s="56">
        <v>1568.68</v>
      </c>
      <c r="AR8" s="56">
        <v>6495</v>
      </c>
      <c r="AS8" s="56">
        <f t="shared" si="9"/>
        <v>8063.68</v>
      </c>
      <c r="AT8" s="56">
        <f t="shared" si="16"/>
        <v>7097.7282835443</v>
      </c>
      <c r="AU8" s="56">
        <v>0</v>
      </c>
      <c r="AV8" s="56">
        <v>0</v>
      </c>
      <c r="AW8" s="56">
        <f t="shared" si="10"/>
        <v>0</v>
      </c>
      <c r="AX8" s="56">
        <f t="shared" ref="AX8:AX10" si="17">(W8+AA8)*54%*80%*AV8/AA8</f>
        <v>0</v>
      </c>
      <c r="AY8" s="56">
        <v>0</v>
      </c>
      <c r="AZ8" s="56">
        <v>649.5</v>
      </c>
      <c r="BA8" s="56">
        <f t="shared" si="12"/>
        <v>649.5</v>
      </c>
      <c r="BB8" s="56">
        <f t="shared" si="13"/>
        <v>709.77282835443</v>
      </c>
      <c r="BC8" s="56">
        <v>0</v>
      </c>
      <c r="BD8" s="56">
        <v>0</v>
      </c>
      <c r="BE8" s="56">
        <v>0</v>
      </c>
      <c r="BF8" s="56">
        <v>0</v>
      </c>
      <c r="BG8" s="56">
        <v>0</v>
      </c>
      <c r="BH8" s="56">
        <v>0</v>
      </c>
      <c r="BI8" s="56">
        <v>0</v>
      </c>
      <c r="BJ8" s="56">
        <v>0</v>
      </c>
      <c r="BK8" s="56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0</v>
      </c>
      <c r="BR8" s="56">
        <v>0</v>
      </c>
      <c r="BS8" s="56">
        <v>0</v>
      </c>
      <c r="BT8" s="56">
        <v>0</v>
      </c>
      <c r="BU8" s="56">
        <v>3921.7</v>
      </c>
      <c r="BV8" s="56">
        <v>3921.7</v>
      </c>
      <c r="BW8" s="56">
        <v>0</v>
      </c>
      <c r="BX8" s="56">
        <v>0</v>
      </c>
      <c r="BY8" s="56">
        <v>0</v>
      </c>
      <c r="BZ8" s="56">
        <v>2745.19</v>
      </c>
      <c r="CA8" s="56">
        <v>2353.02</v>
      </c>
      <c r="CB8" s="56">
        <v>3137.36</v>
      </c>
      <c r="CC8" s="56">
        <v>2353.02</v>
      </c>
      <c r="CD8" s="53">
        <f t="shared" si="14"/>
        <v>25098.88</v>
      </c>
      <c r="CE8" s="53">
        <f t="shared" si="15"/>
        <v>25655.25</v>
      </c>
    </row>
    <row r="9" s="1" customFormat="1" ht="17.05" customHeight="1" spans="1:83">
      <c r="A9" s="1" t="s">
        <v>113</v>
      </c>
      <c r="B9" s="50" t="s">
        <v>114</v>
      </c>
      <c r="C9" s="50" t="s">
        <v>116</v>
      </c>
      <c r="D9" s="50">
        <v>33</v>
      </c>
      <c r="E9" s="51">
        <v>51</v>
      </c>
      <c r="F9" s="51" t="s">
        <v>117</v>
      </c>
      <c r="G9" s="51" t="s">
        <v>118</v>
      </c>
      <c r="H9" s="51">
        <v>272396.42</v>
      </c>
      <c r="I9" s="51">
        <v>16343.58</v>
      </c>
      <c r="J9" s="51">
        <v>1481.4</v>
      </c>
      <c r="K9" s="51"/>
      <c r="L9" s="51"/>
      <c r="M9" s="51">
        <v>11000</v>
      </c>
      <c r="N9" s="51"/>
      <c r="O9" s="51">
        <v>4400</v>
      </c>
      <c r="P9" s="51"/>
      <c r="Q9" s="51">
        <v>5792.28</v>
      </c>
      <c r="R9" s="51">
        <v>3865</v>
      </c>
      <c r="S9" s="51">
        <v>86000</v>
      </c>
      <c r="T9" s="51">
        <v>3000</v>
      </c>
      <c r="U9" s="51">
        <v>70716.03</v>
      </c>
      <c r="V9" s="51">
        <v>186254.71</v>
      </c>
      <c r="W9" s="51">
        <v>86141.71</v>
      </c>
      <c r="X9" s="51" t="s">
        <v>99</v>
      </c>
      <c r="Y9" s="51">
        <v>55130.69</v>
      </c>
      <c r="Z9" s="51">
        <v>31011.02</v>
      </c>
      <c r="AA9" s="53">
        <v>43311</v>
      </c>
      <c r="AB9" s="53">
        <f t="shared" si="0"/>
        <v>129452.71</v>
      </c>
      <c r="AC9" s="53">
        <f t="shared" si="1"/>
        <v>69904.4634</v>
      </c>
      <c r="AD9" s="53">
        <f t="shared" si="2"/>
        <v>0.54</v>
      </c>
      <c r="AE9" s="56">
        <v>3445.67</v>
      </c>
      <c r="AF9" s="56">
        <v>14646</v>
      </c>
      <c r="AG9" s="56">
        <f t="shared" si="3"/>
        <v>18091.67</v>
      </c>
      <c r="AH9" s="56">
        <f t="shared" si="4"/>
        <v>18911.0530065138</v>
      </c>
      <c r="AI9" s="56">
        <v>5168.5</v>
      </c>
      <c r="AJ9" s="56">
        <v>20274</v>
      </c>
      <c r="AK9" s="56">
        <f t="shared" si="5"/>
        <v>25442.5</v>
      </c>
      <c r="AL9" s="56">
        <f t="shared" si="6"/>
        <v>26177.9795612496</v>
      </c>
      <c r="AM9" s="56">
        <v>6029.92</v>
      </c>
      <c r="AN9" s="56">
        <v>3951</v>
      </c>
      <c r="AO9" s="56">
        <f t="shared" si="7"/>
        <v>9980.92</v>
      </c>
      <c r="AP9" s="56">
        <f>(W9+AA9)*54%*80%*AN9/AA9+(W9+AA9)*54%*20%</f>
        <v>19082.4610555794</v>
      </c>
      <c r="AQ9" s="56">
        <v>0</v>
      </c>
      <c r="AR9" s="56">
        <v>1776</v>
      </c>
      <c r="AS9" s="56">
        <f t="shared" si="9"/>
        <v>1776</v>
      </c>
      <c r="AT9" s="56">
        <f t="shared" si="16"/>
        <v>2293.18791066288</v>
      </c>
      <c r="AU9" s="56">
        <v>0</v>
      </c>
      <c r="AV9" s="56">
        <v>0</v>
      </c>
      <c r="AW9" s="56">
        <f t="shared" si="10"/>
        <v>0</v>
      </c>
      <c r="AX9" s="56">
        <f t="shared" si="17"/>
        <v>0</v>
      </c>
      <c r="AY9" s="56">
        <v>0</v>
      </c>
      <c r="AZ9" s="56">
        <v>2664</v>
      </c>
      <c r="BA9" s="56">
        <f t="shared" si="12"/>
        <v>2664</v>
      </c>
      <c r="BB9" s="56">
        <f t="shared" si="13"/>
        <v>3439.78186599432</v>
      </c>
      <c r="BC9" s="56">
        <v>0</v>
      </c>
      <c r="BD9" s="56">
        <v>0</v>
      </c>
      <c r="BE9" s="56">
        <v>0</v>
      </c>
      <c r="BF9" s="56">
        <v>0</v>
      </c>
      <c r="BG9" s="56">
        <v>0</v>
      </c>
      <c r="BH9" s="56">
        <v>0</v>
      </c>
      <c r="BI9" s="56">
        <v>0</v>
      </c>
      <c r="BJ9" s="56">
        <v>0</v>
      </c>
      <c r="BK9" s="56">
        <v>0</v>
      </c>
      <c r="BL9" s="56">
        <v>0</v>
      </c>
      <c r="BM9" s="56">
        <v>0</v>
      </c>
      <c r="BN9" s="56">
        <v>0</v>
      </c>
      <c r="BO9" s="56">
        <v>0</v>
      </c>
      <c r="BP9" s="56">
        <v>0</v>
      </c>
      <c r="BQ9" s="56">
        <v>0</v>
      </c>
      <c r="BR9" s="56">
        <v>0</v>
      </c>
      <c r="BS9" s="56">
        <v>0</v>
      </c>
      <c r="BT9" s="56">
        <v>0</v>
      </c>
      <c r="BU9" s="56">
        <v>8614.17</v>
      </c>
      <c r="BV9" s="56">
        <v>8614.17</v>
      </c>
      <c r="BW9" s="56">
        <v>0</v>
      </c>
      <c r="BX9" s="56">
        <v>0</v>
      </c>
      <c r="BY9" s="56">
        <v>0</v>
      </c>
      <c r="BZ9" s="56">
        <v>6029.92</v>
      </c>
      <c r="CA9" s="56">
        <v>5168.5</v>
      </c>
      <c r="CB9" s="56">
        <v>6891.34</v>
      </c>
      <c r="CC9" s="56">
        <v>5168.5</v>
      </c>
      <c r="CD9" s="53">
        <f t="shared" si="14"/>
        <v>55130.69</v>
      </c>
      <c r="CE9" s="53">
        <f t="shared" si="15"/>
        <v>43311</v>
      </c>
    </row>
    <row r="10" s="1" customFormat="1" ht="17.05" customHeight="1" spans="1:83">
      <c r="A10" s="1" t="s">
        <v>100</v>
      </c>
      <c r="B10" s="48" t="s">
        <v>101</v>
      </c>
      <c r="C10" s="48" t="s">
        <v>119</v>
      </c>
      <c r="D10" s="48">
        <v>3</v>
      </c>
      <c r="E10" s="49">
        <v>63</v>
      </c>
      <c r="F10" s="49" t="s">
        <v>117</v>
      </c>
      <c r="G10" s="49" t="s">
        <v>118</v>
      </c>
      <c r="H10" s="49">
        <v>257349.33</v>
      </c>
      <c r="I10" s="49">
        <v>15440.67</v>
      </c>
      <c r="J10" s="49">
        <v>883.32</v>
      </c>
      <c r="K10" s="49"/>
      <c r="L10" s="49"/>
      <c r="M10" s="49">
        <v>12000</v>
      </c>
      <c r="N10" s="49">
        <v>3590</v>
      </c>
      <c r="O10" s="49"/>
      <c r="P10" s="49"/>
      <c r="Q10" s="49">
        <v>4518.2</v>
      </c>
      <c r="R10" s="49">
        <v>1200</v>
      </c>
      <c r="S10" s="49">
        <v>50000</v>
      </c>
      <c r="T10" s="49">
        <v>3000</v>
      </c>
      <c r="U10" s="49">
        <v>52267.91</v>
      </c>
      <c r="V10" s="49">
        <v>127459.43</v>
      </c>
      <c r="W10" s="49">
        <v>129889.9</v>
      </c>
      <c r="X10" s="49" t="s">
        <v>99</v>
      </c>
      <c r="Y10" s="49">
        <v>83129.53</v>
      </c>
      <c r="Z10" s="49">
        <v>46760.37</v>
      </c>
      <c r="AA10" s="53">
        <v>41135</v>
      </c>
      <c r="AB10" s="53">
        <f t="shared" si="0"/>
        <v>171024.9</v>
      </c>
      <c r="AC10" s="53">
        <f t="shared" si="1"/>
        <v>83798.6004757895</v>
      </c>
      <c r="AD10" s="53">
        <f t="shared" si="2"/>
        <v>0.489978947368421</v>
      </c>
      <c r="AE10" s="56">
        <v>10391.19</v>
      </c>
      <c r="AF10" s="56">
        <v>22732.5</v>
      </c>
      <c r="AG10" s="56">
        <f t="shared" si="3"/>
        <v>33123.69</v>
      </c>
      <c r="AH10" s="56">
        <f t="shared" ref="AH10:AH19" si="18">(W10+AA10)*54%*20%+(W10+AA10)*54%*80%*AF10/AA10</f>
        <v>59300.6337473684</v>
      </c>
      <c r="AI10" s="56">
        <v>5195.6</v>
      </c>
      <c r="AJ10" s="56">
        <v>5845.5</v>
      </c>
      <c r="AK10" s="56">
        <f t="shared" si="5"/>
        <v>11041.1</v>
      </c>
      <c r="AL10" s="56">
        <f t="shared" si="6"/>
        <v>10499.1285978947</v>
      </c>
      <c r="AM10" s="56">
        <v>0</v>
      </c>
      <c r="AN10" s="56">
        <v>0</v>
      </c>
      <c r="AO10" s="56">
        <f t="shared" si="7"/>
        <v>0</v>
      </c>
      <c r="AP10" s="56">
        <f t="shared" ref="AP10:AP20" si="19">(W10+AA10)*54%*80%*AN10/AA10</f>
        <v>0</v>
      </c>
      <c r="AQ10" s="56">
        <v>0</v>
      </c>
      <c r="AR10" s="56">
        <v>649.5</v>
      </c>
      <c r="AS10" s="56">
        <f t="shared" si="9"/>
        <v>649.5</v>
      </c>
      <c r="AT10" s="56">
        <f t="shared" si="16"/>
        <v>1166.56984421053</v>
      </c>
      <c r="AU10" s="56">
        <v>0</v>
      </c>
      <c r="AV10" s="56">
        <v>3247.5</v>
      </c>
      <c r="AW10" s="56">
        <f t="shared" si="10"/>
        <v>3247.5</v>
      </c>
      <c r="AX10" s="56">
        <f t="shared" si="17"/>
        <v>5832.84922105263</v>
      </c>
      <c r="AY10" s="56">
        <v>0</v>
      </c>
      <c r="AZ10" s="56">
        <v>3897</v>
      </c>
      <c r="BA10" s="56">
        <f t="shared" si="12"/>
        <v>3897</v>
      </c>
      <c r="BB10" s="56">
        <f t="shared" si="13"/>
        <v>6999.41906526316</v>
      </c>
      <c r="BC10" s="56">
        <v>0</v>
      </c>
      <c r="BD10" s="56">
        <v>216.5</v>
      </c>
      <c r="BE10" s="56">
        <v>0</v>
      </c>
      <c r="BF10" s="56">
        <v>0</v>
      </c>
      <c r="BG10" s="56">
        <v>0</v>
      </c>
      <c r="BH10" s="56">
        <v>3897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649.5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12988.99</v>
      </c>
      <c r="BU10" s="56">
        <v>0</v>
      </c>
      <c r="BV10" s="56">
        <v>0</v>
      </c>
      <c r="BW10" s="56">
        <v>12988.99</v>
      </c>
      <c r="BX10" s="56">
        <v>0</v>
      </c>
      <c r="BY10" s="56">
        <v>0</v>
      </c>
      <c r="BZ10" s="56">
        <v>15586.79</v>
      </c>
      <c r="CA10" s="56">
        <v>7793.39</v>
      </c>
      <c r="CB10" s="56">
        <v>10391.19</v>
      </c>
      <c r="CC10" s="56">
        <v>7793.39</v>
      </c>
      <c r="CD10" s="53">
        <f t="shared" si="14"/>
        <v>83129.53</v>
      </c>
      <c r="CE10" s="53">
        <f t="shared" si="15"/>
        <v>41135</v>
      </c>
    </row>
    <row r="11" s="1" customFormat="1" ht="17.05" customHeight="1" spans="1:83">
      <c r="A11" s="1" t="s">
        <v>109</v>
      </c>
      <c r="B11" s="48" t="s">
        <v>110</v>
      </c>
      <c r="C11" s="48" t="s">
        <v>120</v>
      </c>
      <c r="D11" s="48">
        <v>60</v>
      </c>
      <c r="E11" s="49">
        <v>43</v>
      </c>
      <c r="F11" s="49" t="s">
        <v>117</v>
      </c>
      <c r="G11" s="49" t="s">
        <v>118</v>
      </c>
      <c r="H11" s="49">
        <v>216216.9</v>
      </c>
      <c r="I11" s="49">
        <v>12973.1</v>
      </c>
      <c r="J11" s="49">
        <v>454.26</v>
      </c>
      <c r="K11" s="49"/>
      <c r="L11" s="49"/>
      <c r="M11" s="49">
        <v>10000</v>
      </c>
      <c r="N11" s="49">
        <v>6000</v>
      </c>
      <c r="O11" s="49">
        <v>5360</v>
      </c>
      <c r="P11" s="49"/>
      <c r="Q11" s="49">
        <v>3092.06</v>
      </c>
      <c r="R11" s="49">
        <v>2150</v>
      </c>
      <c r="S11" s="49">
        <v>63000</v>
      </c>
      <c r="T11" s="49">
        <v>3000</v>
      </c>
      <c r="U11" s="49">
        <v>36824.17</v>
      </c>
      <c r="V11" s="49">
        <v>129880.49</v>
      </c>
      <c r="W11" s="49">
        <v>86336.41</v>
      </c>
      <c r="X11" s="49" t="s">
        <v>99</v>
      </c>
      <c r="Y11" s="49">
        <v>55255.29</v>
      </c>
      <c r="Z11" s="49">
        <v>31081.12</v>
      </c>
      <c r="AA11" s="53">
        <v>34378.5</v>
      </c>
      <c r="AB11" s="53">
        <f t="shared" si="0"/>
        <v>120714.91</v>
      </c>
      <c r="AC11" s="53">
        <f t="shared" si="1"/>
        <v>65186.0514</v>
      </c>
      <c r="AD11" s="53">
        <f t="shared" si="2"/>
        <v>0.54</v>
      </c>
      <c r="AE11" s="56">
        <v>5180.18</v>
      </c>
      <c r="AF11" s="56">
        <v>13591.5</v>
      </c>
      <c r="AG11" s="56">
        <f t="shared" si="3"/>
        <v>18771.68</v>
      </c>
      <c r="AH11" s="56">
        <f t="shared" ref="AH11:AH14" si="20">(W11+AA11)*54%*80%*AF11/AA11</f>
        <v>20616.9836986047</v>
      </c>
      <c r="AI11" s="56">
        <v>3453.46</v>
      </c>
      <c r="AJ11" s="56">
        <v>9594</v>
      </c>
      <c r="AK11" s="56">
        <f t="shared" si="5"/>
        <v>13047.46</v>
      </c>
      <c r="AL11" s="56">
        <f t="shared" si="6"/>
        <v>14553.1649637209</v>
      </c>
      <c r="AM11" s="56">
        <v>0</v>
      </c>
      <c r="AN11" s="56">
        <v>799.5</v>
      </c>
      <c r="AO11" s="56">
        <f t="shared" si="7"/>
        <v>799.5</v>
      </c>
      <c r="AP11" s="56">
        <f t="shared" si="19"/>
        <v>1212.76374697674</v>
      </c>
      <c r="AQ11" s="56">
        <v>0</v>
      </c>
      <c r="AR11" s="56">
        <v>1599</v>
      </c>
      <c r="AS11" s="56">
        <f t="shared" si="9"/>
        <v>1599</v>
      </c>
      <c r="AT11" s="56">
        <f t="shared" si="16"/>
        <v>2425.52749395349</v>
      </c>
      <c r="AU11" s="56">
        <v>6043.55</v>
      </c>
      <c r="AV11" s="56">
        <v>7195.5</v>
      </c>
      <c r="AW11" s="56">
        <f t="shared" si="10"/>
        <v>13239.05</v>
      </c>
      <c r="AX11" s="56">
        <f>(W11+AA11)*54%*80%*AV11/AA11+(W11+AA11)*54%*20%</f>
        <v>23952.0840027907</v>
      </c>
      <c r="AY11" s="56">
        <v>0</v>
      </c>
      <c r="AZ11" s="56">
        <v>1599</v>
      </c>
      <c r="BA11" s="56">
        <f t="shared" si="12"/>
        <v>1599</v>
      </c>
      <c r="BB11" s="56">
        <f t="shared" si="13"/>
        <v>2425.52749395349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8633.64</v>
      </c>
      <c r="BS11" s="56">
        <v>0</v>
      </c>
      <c r="BT11" s="56">
        <v>0</v>
      </c>
      <c r="BU11" s="56">
        <v>0</v>
      </c>
      <c r="BV11" s="56">
        <v>0</v>
      </c>
      <c r="BW11" s="56">
        <v>0</v>
      </c>
      <c r="BX11" s="56">
        <v>8633.64</v>
      </c>
      <c r="BY11" s="56">
        <v>0</v>
      </c>
      <c r="BZ11" s="56">
        <v>6043.55</v>
      </c>
      <c r="CA11" s="56">
        <v>5180.18</v>
      </c>
      <c r="CB11" s="56">
        <v>6906.91</v>
      </c>
      <c r="CC11" s="56">
        <v>5180.18</v>
      </c>
      <c r="CD11" s="53">
        <f t="shared" si="14"/>
        <v>55255.29</v>
      </c>
      <c r="CE11" s="53">
        <f t="shared" si="15"/>
        <v>34378.5</v>
      </c>
    </row>
    <row r="12" s="1" customFormat="1" ht="17.05" customHeight="1" spans="1:83">
      <c r="A12" s="1" t="s">
        <v>100</v>
      </c>
      <c r="B12" s="50" t="s">
        <v>101</v>
      </c>
      <c r="C12" s="50" t="s">
        <v>121</v>
      </c>
      <c r="D12" s="50">
        <v>37</v>
      </c>
      <c r="E12" s="51">
        <v>63</v>
      </c>
      <c r="F12" s="51" t="s">
        <v>117</v>
      </c>
      <c r="G12" s="51" t="s">
        <v>118</v>
      </c>
      <c r="H12" s="51">
        <v>214925.64</v>
      </c>
      <c r="I12" s="51">
        <v>12895.36</v>
      </c>
      <c r="J12" s="51">
        <v>1108.25</v>
      </c>
      <c r="K12" s="51"/>
      <c r="L12" s="51"/>
      <c r="M12" s="51">
        <v>7000</v>
      </c>
      <c r="N12" s="51">
        <v>3800</v>
      </c>
      <c r="O12" s="51"/>
      <c r="P12" s="51">
        <v>1105</v>
      </c>
      <c r="Q12" s="51">
        <v>3709.2</v>
      </c>
      <c r="R12" s="51">
        <v>1600</v>
      </c>
      <c r="S12" s="51">
        <v>50000</v>
      </c>
      <c r="T12" s="51">
        <v>3000</v>
      </c>
      <c r="U12" s="51">
        <v>42486.77</v>
      </c>
      <c r="V12" s="51">
        <v>113809.22</v>
      </c>
      <c r="W12" s="51">
        <v>101116.42</v>
      </c>
      <c r="X12" s="51" t="s">
        <v>99</v>
      </c>
      <c r="Y12" s="51">
        <v>64714.52</v>
      </c>
      <c r="Z12" s="51">
        <v>36401.9</v>
      </c>
      <c r="AA12" s="53">
        <v>34173.15</v>
      </c>
      <c r="AB12" s="53">
        <f t="shared" si="0"/>
        <v>135289.57</v>
      </c>
      <c r="AC12" s="53">
        <f t="shared" si="1"/>
        <v>71039.967026031</v>
      </c>
      <c r="AD12" s="53">
        <f t="shared" si="2"/>
        <v>0.525095667212417</v>
      </c>
      <c r="AE12" s="56">
        <v>6066.99</v>
      </c>
      <c r="AF12" s="56">
        <v>20025.15</v>
      </c>
      <c r="AG12" s="56">
        <f t="shared" si="3"/>
        <v>26092.14</v>
      </c>
      <c r="AH12" s="56">
        <f t="shared" si="18"/>
        <v>48859.5585123716</v>
      </c>
      <c r="AI12" s="56">
        <v>4044.66</v>
      </c>
      <c r="AJ12" s="56">
        <v>8253</v>
      </c>
      <c r="AK12" s="56">
        <f t="shared" si="5"/>
        <v>12297.66</v>
      </c>
      <c r="AL12" s="56">
        <f t="shared" si="6"/>
        <v>14114.8054177833</v>
      </c>
      <c r="AM12" s="56">
        <v>0</v>
      </c>
      <c r="AN12" s="56">
        <v>0</v>
      </c>
      <c r="AO12" s="56">
        <f t="shared" si="7"/>
        <v>0</v>
      </c>
      <c r="AP12" s="56">
        <f t="shared" si="19"/>
        <v>0</v>
      </c>
      <c r="AQ12" s="56">
        <v>0</v>
      </c>
      <c r="AR12" s="56">
        <v>1179</v>
      </c>
      <c r="AS12" s="56">
        <f t="shared" si="9"/>
        <v>1179</v>
      </c>
      <c r="AT12" s="56">
        <f t="shared" si="16"/>
        <v>2016.40077396904</v>
      </c>
      <c r="AU12" s="56">
        <v>0</v>
      </c>
      <c r="AV12" s="56">
        <v>0</v>
      </c>
      <c r="AW12" s="56">
        <f t="shared" si="10"/>
        <v>0</v>
      </c>
      <c r="AX12" s="56">
        <f t="shared" ref="AX12:AX19" si="21">(W12+AA12)*54%*80%*AV12/AA12</f>
        <v>0</v>
      </c>
      <c r="AY12" s="56">
        <v>0</v>
      </c>
      <c r="AZ12" s="56">
        <v>3537</v>
      </c>
      <c r="BA12" s="56">
        <f t="shared" si="12"/>
        <v>3537</v>
      </c>
      <c r="BB12" s="56">
        <f t="shared" si="13"/>
        <v>6049.20232190711</v>
      </c>
      <c r="BC12" s="56">
        <v>0</v>
      </c>
      <c r="BD12" s="56">
        <v>0</v>
      </c>
      <c r="BE12" s="56">
        <v>2022.33</v>
      </c>
      <c r="BF12" s="56">
        <v>0</v>
      </c>
      <c r="BG12" s="56">
        <v>0</v>
      </c>
      <c r="BH12" s="56">
        <v>1179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10111.64</v>
      </c>
      <c r="BU12" s="56">
        <v>0</v>
      </c>
      <c r="BV12" s="56">
        <v>0</v>
      </c>
      <c r="BW12" s="56">
        <v>10111.64</v>
      </c>
      <c r="BX12" s="56">
        <v>0</v>
      </c>
      <c r="BY12" s="56">
        <v>0</v>
      </c>
      <c r="BZ12" s="56">
        <v>12133.97</v>
      </c>
      <c r="CA12" s="56">
        <v>6066.99</v>
      </c>
      <c r="CB12" s="56">
        <v>8089.31</v>
      </c>
      <c r="CC12" s="56">
        <v>6066.99</v>
      </c>
      <c r="CD12" s="53">
        <f t="shared" si="14"/>
        <v>64714.52</v>
      </c>
      <c r="CE12" s="53">
        <f t="shared" si="15"/>
        <v>34173.15</v>
      </c>
    </row>
    <row r="13" s="1" customFormat="1" spans="1:83">
      <c r="A13" s="1" t="s">
        <v>109</v>
      </c>
      <c r="B13" s="48" t="s">
        <v>110</v>
      </c>
      <c r="C13" s="48" t="s">
        <v>106</v>
      </c>
      <c r="D13" s="48">
        <v>25</v>
      </c>
      <c r="E13" s="49">
        <v>29</v>
      </c>
      <c r="F13" s="49" t="s">
        <v>122</v>
      </c>
      <c r="G13" s="49" t="s">
        <v>123</v>
      </c>
      <c r="H13" s="49">
        <v>145820.7</v>
      </c>
      <c r="I13" s="49">
        <v>8749.3</v>
      </c>
      <c r="J13" s="49">
        <v>282.9</v>
      </c>
      <c r="K13" s="49"/>
      <c r="L13" s="49"/>
      <c r="M13" s="49">
        <v>12000</v>
      </c>
      <c r="N13" s="49">
        <v>3000</v>
      </c>
      <c r="O13" s="49">
        <v>5000</v>
      </c>
      <c r="P13" s="49"/>
      <c r="Q13" s="49">
        <v>3662.51</v>
      </c>
      <c r="R13" s="49">
        <v>2650</v>
      </c>
      <c r="S13" s="49">
        <v>78750</v>
      </c>
      <c r="T13" s="49">
        <v>3000</v>
      </c>
      <c r="U13" s="49">
        <v>28726.57</v>
      </c>
      <c r="V13" s="49">
        <v>137071.98</v>
      </c>
      <c r="W13" s="49">
        <v>8748.72</v>
      </c>
      <c r="X13" s="49" t="s">
        <v>99</v>
      </c>
      <c r="Y13" s="49">
        <v>5599.16</v>
      </c>
      <c r="Z13" s="49">
        <v>3149.56</v>
      </c>
      <c r="AA13" s="53">
        <v>23185.5</v>
      </c>
      <c r="AB13" s="53">
        <f t="shared" si="0"/>
        <v>31934.22</v>
      </c>
      <c r="AC13" s="53">
        <f t="shared" si="1"/>
        <v>17244.4788</v>
      </c>
      <c r="AD13" s="53">
        <f t="shared" si="2"/>
        <v>0.54</v>
      </c>
      <c r="AE13" s="53">
        <v>0</v>
      </c>
      <c r="AF13" s="56">
        <v>0</v>
      </c>
      <c r="AG13" s="56">
        <f t="shared" si="3"/>
        <v>0</v>
      </c>
      <c r="AH13" s="56">
        <f t="shared" si="20"/>
        <v>0</v>
      </c>
      <c r="AI13" s="53">
        <v>0</v>
      </c>
      <c r="AJ13" s="56">
        <v>799.5</v>
      </c>
      <c r="AK13" s="56">
        <f t="shared" si="5"/>
        <v>799.5</v>
      </c>
      <c r="AL13" s="56">
        <f t="shared" si="6"/>
        <v>475.70976</v>
      </c>
      <c r="AM13" s="53">
        <v>0</v>
      </c>
      <c r="AN13" s="56">
        <v>1599</v>
      </c>
      <c r="AO13" s="56">
        <f t="shared" si="7"/>
        <v>1599</v>
      </c>
      <c r="AP13" s="56">
        <f t="shared" si="19"/>
        <v>951.41952</v>
      </c>
      <c r="AQ13" s="53">
        <v>174.97</v>
      </c>
      <c r="AR13" s="56">
        <v>6396</v>
      </c>
      <c r="AS13" s="56">
        <f t="shared" si="9"/>
        <v>6570.97</v>
      </c>
      <c r="AT13" s="56">
        <f t="shared" si="16"/>
        <v>3805.67808</v>
      </c>
      <c r="AU13" s="53">
        <v>1137.33</v>
      </c>
      <c r="AV13" s="56">
        <v>7995</v>
      </c>
      <c r="AW13" s="56">
        <f t="shared" si="10"/>
        <v>9132.33</v>
      </c>
      <c r="AX13" s="56">
        <f>(W13+AA13)*54%*80%*AV13/AA13+(W13+AA13)*54%*20%</f>
        <v>8205.99336</v>
      </c>
      <c r="AY13" s="53">
        <v>174.97</v>
      </c>
      <c r="AZ13" s="56">
        <v>6396</v>
      </c>
      <c r="BA13" s="56">
        <f t="shared" si="12"/>
        <v>6570.97</v>
      </c>
      <c r="BB13" s="56">
        <f t="shared" si="13"/>
        <v>3805.67808</v>
      </c>
      <c r="BC13" s="53"/>
      <c r="BD13" s="56">
        <v>0</v>
      </c>
      <c r="BE13" s="53"/>
      <c r="BF13" s="56">
        <v>0</v>
      </c>
      <c r="BG13" s="53"/>
      <c r="BH13" s="56">
        <v>0</v>
      </c>
      <c r="BI13" s="53"/>
      <c r="BJ13" s="56">
        <v>0</v>
      </c>
      <c r="BK13" s="53"/>
      <c r="BL13" s="56">
        <v>0</v>
      </c>
      <c r="BM13" s="53">
        <v>0</v>
      </c>
      <c r="BN13" s="56">
        <v>0</v>
      </c>
      <c r="BO13" s="56">
        <v>0</v>
      </c>
      <c r="BP13" s="53"/>
      <c r="BQ13" s="53"/>
      <c r="BR13" s="53">
        <v>874.87</v>
      </c>
      <c r="BS13" s="53">
        <v>0</v>
      </c>
      <c r="BT13" s="53">
        <v>0</v>
      </c>
      <c r="BU13" s="53">
        <v>0</v>
      </c>
      <c r="BV13" s="53">
        <v>0</v>
      </c>
      <c r="BW13" s="53">
        <v>0</v>
      </c>
      <c r="BX13" s="53">
        <v>874.87</v>
      </c>
      <c r="BY13" s="53">
        <v>0</v>
      </c>
      <c r="BZ13" s="53">
        <v>612.41</v>
      </c>
      <c r="CA13" s="53">
        <v>524.92</v>
      </c>
      <c r="CB13" s="53">
        <v>699.9</v>
      </c>
      <c r="CC13" s="53">
        <v>524.92</v>
      </c>
      <c r="CD13" s="53">
        <f t="shared" si="14"/>
        <v>5599.16</v>
      </c>
      <c r="CE13" s="53">
        <f t="shared" si="15"/>
        <v>23185.5</v>
      </c>
    </row>
    <row r="14" s="1" customFormat="1" ht="26" spans="1:83">
      <c r="A14" s="1" t="s">
        <v>94</v>
      </c>
      <c r="B14" s="48" t="s">
        <v>95</v>
      </c>
      <c r="C14" s="48" t="s">
        <v>124</v>
      </c>
      <c r="D14" s="48">
        <v>2</v>
      </c>
      <c r="E14" s="49">
        <v>49</v>
      </c>
      <c r="F14" s="49" t="s">
        <v>122</v>
      </c>
      <c r="G14" s="49" t="s">
        <v>125</v>
      </c>
      <c r="H14" s="49">
        <v>200160.59</v>
      </c>
      <c r="I14" s="49">
        <v>12009.41</v>
      </c>
      <c r="J14" s="49">
        <v>259.8</v>
      </c>
      <c r="K14" s="49"/>
      <c r="L14" s="49"/>
      <c r="M14" s="49">
        <v>8600</v>
      </c>
      <c r="N14" s="49">
        <v>3596</v>
      </c>
      <c r="O14" s="49"/>
      <c r="P14" s="49"/>
      <c r="Q14" s="49">
        <v>2719</v>
      </c>
      <c r="R14" s="49">
        <v>1260</v>
      </c>
      <c r="S14" s="49">
        <v>63000</v>
      </c>
      <c r="T14" s="49">
        <v>3000</v>
      </c>
      <c r="U14" s="49">
        <v>38699.5</v>
      </c>
      <c r="V14" s="49">
        <v>121134.3</v>
      </c>
      <c r="W14" s="49">
        <v>79026.29</v>
      </c>
      <c r="X14" s="49" t="s">
        <v>99</v>
      </c>
      <c r="Y14" s="49">
        <v>50576.83</v>
      </c>
      <c r="Z14" s="49">
        <v>28449.46</v>
      </c>
      <c r="AA14" s="53">
        <v>31825.5</v>
      </c>
      <c r="AB14" s="53">
        <f t="shared" si="0"/>
        <v>110851.79</v>
      </c>
      <c r="AC14" s="53">
        <f t="shared" si="1"/>
        <v>58882.6610228572</v>
      </c>
      <c r="AD14" s="53">
        <f t="shared" si="2"/>
        <v>0.531183673469388</v>
      </c>
      <c r="AE14" s="53">
        <v>0</v>
      </c>
      <c r="AF14" s="56">
        <v>2598</v>
      </c>
      <c r="AG14" s="56">
        <f t="shared" si="3"/>
        <v>2598</v>
      </c>
      <c r="AH14" s="56">
        <f t="shared" si="20"/>
        <v>3909.22230857143</v>
      </c>
      <c r="AI14" s="53">
        <v>4741.58</v>
      </c>
      <c r="AJ14" s="56">
        <v>23382</v>
      </c>
      <c r="AK14" s="56">
        <f t="shared" si="5"/>
        <v>28123.58</v>
      </c>
      <c r="AL14" s="56">
        <f t="shared" si="6"/>
        <v>35183.0007771429</v>
      </c>
      <c r="AM14" s="53">
        <v>0</v>
      </c>
      <c r="AN14" s="56">
        <v>0</v>
      </c>
      <c r="AO14" s="56">
        <f t="shared" si="7"/>
        <v>0</v>
      </c>
      <c r="AP14" s="56">
        <f t="shared" si="19"/>
        <v>0</v>
      </c>
      <c r="AQ14" s="53">
        <v>4741.58</v>
      </c>
      <c r="AR14" s="56">
        <v>3897</v>
      </c>
      <c r="AS14" s="56">
        <f t="shared" si="9"/>
        <v>8638.58</v>
      </c>
      <c r="AT14" s="56">
        <f>(W14+AA14)*54%*20%+(W14+AA14)*54%*80%*AR14/AA14</f>
        <v>17835.8267828571</v>
      </c>
      <c r="AU14" s="53">
        <v>0</v>
      </c>
      <c r="AV14" s="56">
        <v>0</v>
      </c>
      <c r="AW14" s="56">
        <f t="shared" si="10"/>
        <v>0</v>
      </c>
      <c r="AX14" s="56">
        <f t="shared" si="21"/>
        <v>0</v>
      </c>
      <c r="AY14" s="53">
        <v>0</v>
      </c>
      <c r="AZ14" s="56">
        <v>1299</v>
      </c>
      <c r="BA14" s="56">
        <f t="shared" si="12"/>
        <v>1299</v>
      </c>
      <c r="BB14" s="56">
        <f t="shared" si="13"/>
        <v>1954.61115428571</v>
      </c>
      <c r="BC14" s="53"/>
      <c r="BD14" s="56">
        <v>0</v>
      </c>
      <c r="BE14" s="53"/>
      <c r="BF14" s="56">
        <v>0</v>
      </c>
      <c r="BG14" s="53"/>
      <c r="BH14" s="56">
        <v>0</v>
      </c>
      <c r="BI14" s="53"/>
      <c r="BJ14" s="56">
        <v>0</v>
      </c>
      <c r="BK14" s="53"/>
      <c r="BL14" s="56">
        <v>0</v>
      </c>
      <c r="BM14" s="53">
        <v>0</v>
      </c>
      <c r="BN14" s="56">
        <v>649.5</v>
      </c>
      <c r="BO14" s="56">
        <v>0</v>
      </c>
      <c r="BP14" s="53"/>
      <c r="BQ14" s="53"/>
      <c r="BR14" s="53">
        <v>0</v>
      </c>
      <c r="BS14" s="53">
        <v>7902.63</v>
      </c>
      <c r="BT14" s="53">
        <v>0</v>
      </c>
      <c r="BU14" s="53">
        <v>0</v>
      </c>
      <c r="BV14" s="53">
        <v>0</v>
      </c>
      <c r="BW14" s="53">
        <v>0</v>
      </c>
      <c r="BX14" s="53">
        <v>0</v>
      </c>
      <c r="BY14" s="53">
        <v>7902.63</v>
      </c>
      <c r="BZ14" s="53">
        <v>9483.15</v>
      </c>
      <c r="CA14" s="53">
        <v>4741.58</v>
      </c>
      <c r="CB14" s="53">
        <v>6322.1</v>
      </c>
      <c r="CC14" s="53">
        <v>4741.58</v>
      </c>
      <c r="CD14" s="53">
        <f t="shared" si="14"/>
        <v>50576.83</v>
      </c>
      <c r="CE14" s="53">
        <f t="shared" si="15"/>
        <v>31825.5</v>
      </c>
    </row>
    <row r="15" s="1" customFormat="1" spans="1:83">
      <c r="A15" s="1" t="s">
        <v>100</v>
      </c>
      <c r="B15" s="50" t="s">
        <v>101</v>
      </c>
      <c r="C15" s="50" t="s">
        <v>105</v>
      </c>
      <c r="D15" s="50">
        <v>9</v>
      </c>
      <c r="E15" s="51">
        <v>56</v>
      </c>
      <c r="F15" s="51" t="s">
        <v>125</v>
      </c>
      <c r="G15" s="51" t="s">
        <v>123</v>
      </c>
      <c r="H15" s="51">
        <v>224670.04</v>
      </c>
      <c r="I15" s="51">
        <v>13479.96</v>
      </c>
      <c r="J15" s="51">
        <v>961.26</v>
      </c>
      <c r="K15" s="51"/>
      <c r="L15" s="51"/>
      <c r="M15" s="51"/>
      <c r="N15" s="51"/>
      <c r="O15" s="51"/>
      <c r="P15" s="51"/>
      <c r="Q15" s="51">
        <v>4233.9</v>
      </c>
      <c r="R15" s="51">
        <v>4800</v>
      </c>
      <c r="S15" s="51">
        <v>50000</v>
      </c>
      <c r="T15" s="51">
        <v>3000</v>
      </c>
      <c r="U15" s="51">
        <v>49093.25</v>
      </c>
      <c r="V15" s="51">
        <v>112088.41</v>
      </c>
      <c r="W15" s="51">
        <v>112581.63</v>
      </c>
      <c r="X15" s="51" t="s">
        <v>99</v>
      </c>
      <c r="Y15" s="51">
        <v>72052.25</v>
      </c>
      <c r="Z15" s="51">
        <v>40529.38</v>
      </c>
      <c r="AA15" s="53">
        <v>35722.5</v>
      </c>
      <c r="AB15" s="53">
        <f t="shared" si="0"/>
        <v>148304.13</v>
      </c>
      <c r="AC15" s="53">
        <f t="shared" si="1"/>
        <v>80084.2302</v>
      </c>
      <c r="AD15" s="53">
        <f t="shared" si="2"/>
        <v>0.54</v>
      </c>
      <c r="AE15" s="53">
        <v>9006.53</v>
      </c>
      <c r="AF15" s="56">
        <v>25330.5</v>
      </c>
      <c r="AG15" s="56">
        <f t="shared" si="3"/>
        <v>34337.03</v>
      </c>
      <c r="AH15" s="56">
        <f t="shared" si="18"/>
        <v>61446.4457170909</v>
      </c>
      <c r="AI15" s="53">
        <v>0</v>
      </c>
      <c r="AJ15" s="56">
        <v>1299</v>
      </c>
      <c r="AK15" s="56">
        <f t="shared" si="5"/>
        <v>1299</v>
      </c>
      <c r="AL15" s="56">
        <f t="shared" si="6"/>
        <v>2329.72306036364</v>
      </c>
      <c r="AM15" s="53">
        <v>0</v>
      </c>
      <c r="AN15" s="56">
        <v>1948.5</v>
      </c>
      <c r="AO15" s="56">
        <f t="shared" si="7"/>
        <v>1948.5</v>
      </c>
      <c r="AP15" s="56">
        <f t="shared" si="19"/>
        <v>3494.58459054545</v>
      </c>
      <c r="AQ15" s="53">
        <v>0</v>
      </c>
      <c r="AR15" s="56">
        <v>1299</v>
      </c>
      <c r="AS15" s="56">
        <f t="shared" si="9"/>
        <v>1299</v>
      </c>
      <c r="AT15" s="56">
        <f t="shared" ref="AT15:AT25" si="22">(W15+AA15)*54%*80%*AR15/AA15</f>
        <v>2329.72306036364</v>
      </c>
      <c r="AU15" s="53">
        <v>0</v>
      </c>
      <c r="AV15" s="56">
        <v>2598</v>
      </c>
      <c r="AW15" s="56">
        <f t="shared" si="10"/>
        <v>2598</v>
      </c>
      <c r="AX15" s="56">
        <f t="shared" si="21"/>
        <v>4659.44612072727</v>
      </c>
      <c r="AY15" s="53">
        <v>4503.27</v>
      </c>
      <c r="AZ15" s="56">
        <v>3247.5</v>
      </c>
      <c r="BA15" s="56">
        <f t="shared" si="12"/>
        <v>7750.77</v>
      </c>
      <c r="BB15" s="56">
        <f t="shared" si="13"/>
        <v>5824.30765090909</v>
      </c>
      <c r="BC15" s="53"/>
      <c r="BD15" s="56">
        <v>0</v>
      </c>
      <c r="BE15" s="53"/>
      <c r="BF15" s="56">
        <v>0</v>
      </c>
      <c r="BG15" s="53"/>
      <c r="BH15" s="56">
        <v>0</v>
      </c>
      <c r="BI15" s="53"/>
      <c r="BJ15" s="56">
        <v>0</v>
      </c>
      <c r="BK15" s="53"/>
      <c r="BL15" s="56">
        <v>0</v>
      </c>
      <c r="BM15" s="53">
        <v>0</v>
      </c>
      <c r="BN15" s="56">
        <v>0</v>
      </c>
      <c r="BO15" s="56">
        <v>0</v>
      </c>
      <c r="BP15" s="53"/>
      <c r="BQ15" s="53"/>
      <c r="BR15" s="53">
        <v>0</v>
      </c>
      <c r="BS15" s="53">
        <v>0</v>
      </c>
      <c r="BT15" s="53">
        <v>11258.16</v>
      </c>
      <c r="BU15" s="53">
        <v>0</v>
      </c>
      <c r="BV15" s="53">
        <v>0</v>
      </c>
      <c r="BW15" s="53">
        <v>11258.16</v>
      </c>
      <c r="BX15" s="53">
        <v>0</v>
      </c>
      <c r="BY15" s="53">
        <v>0</v>
      </c>
      <c r="BZ15" s="53">
        <v>13509.8</v>
      </c>
      <c r="CA15" s="53">
        <v>6754.9</v>
      </c>
      <c r="CB15" s="53">
        <v>9006.53</v>
      </c>
      <c r="CC15" s="53">
        <v>6754.9</v>
      </c>
      <c r="CD15" s="53">
        <f t="shared" si="14"/>
        <v>72052.25</v>
      </c>
      <c r="CE15" s="53">
        <f t="shared" si="15"/>
        <v>35722.5</v>
      </c>
    </row>
    <row r="16" s="1" customFormat="1" spans="1:83">
      <c r="A16" s="1" t="s">
        <v>100</v>
      </c>
      <c r="B16" s="48" t="s">
        <v>101</v>
      </c>
      <c r="C16" s="48" t="s">
        <v>126</v>
      </c>
      <c r="D16" s="48">
        <v>19</v>
      </c>
      <c r="E16" s="49">
        <v>58</v>
      </c>
      <c r="F16" s="49" t="s">
        <v>127</v>
      </c>
      <c r="G16" s="49" t="s">
        <v>128</v>
      </c>
      <c r="H16" s="49">
        <v>270989.66</v>
      </c>
      <c r="I16" s="49">
        <v>16259.34</v>
      </c>
      <c r="J16" s="49">
        <v>1122.98</v>
      </c>
      <c r="K16" s="49"/>
      <c r="L16" s="49"/>
      <c r="M16" s="49">
        <v>3500</v>
      </c>
      <c r="N16" s="49"/>
      <c r="O16" s="49"/>
      <c r="P16" s="49"/>
      <c r="Q16" s="49">
        <v>2991.5</v>
      </c>
      <c r="R16" s="49">
        <v>4800</v>
      </c>
      <c r="S16" s="49">
        <v>60000</v>
      </c>
      <c r="T16" s="49">
        <v>3000</v>
      </c>
      <c r="U16" s="49">
        <v>57454.87</v>
      </c>
      <c r="V16" s="49">
        <v>132869.35</v>
      </c>
      <c r="W16" s="49">
        <v>138120.31</v>
      </c>
      <c r="X16" s="49" t="s">
        <v>99</v>
      </c>
      <c r="Y16" s="49">
        <v>88397</v>
      </c>
      <c r="Z16" s="49">
        <v>49723.31</v>
      </c>
      <c r="AA16" s="53">
        <v>43087.35</v>
      </c>
      <c r="AB16" s="53">
        <f t="shared" si="0"/>
        <v>181207.66</v>
      </c>
      <c r="AC16" s="53">
        <f t="shared" si="1"/>
        <v>97852.1364</v>
      </c>
      <c r="AD16" s="53">
        <f t="shared" si="2"/>
        <v>0.54</v>
      </c>
      <c r="AE16" s="53">
        <v>11049.63</v>
      </c>
      <c r="AF16" s="56">
        <v>29803.35</v>
      </c>
      <c r="AG16" s="56">
        <f t="shared" si="3"/>
        <v>40852.98</v>
      </c>
      <c r="AH16" s="56">
        <f t="shared" si="18"/>
        <v>73717.5766289749</v>
      </c>
      <c r="AI16" s="53">
        <v>0</v>
      </c>
      <c r="AJ16" s="56">
        <v>4428</v>
      </c>
      <c r="AK16" s="56">
        <f t="shared" si="5"/>
        <v>4428</v>
      </c>
      <c r="AL16" s="56">
        <f t="shared" si="6"/>
        <v>8044.85325700838</v>
      </c>
      <c r="AM16" s="53">
        <v>5524.81</v>
      </c>
      <c r="AN16" s="56">
        <v>8118</v>
      </c>
      <c r="AO16" s="56">
        <f t="shared" si="7"/>
        <v>13642.81</v>
      </c>
      <c r="AP16" s="56">
        <f t="shared" si="19"/>
        <v>14748.8976378487</v>
      </c>
      <c r="AQ16" s="53">
        <v>0</v>
      </c>
      <c r="AR16" s="56">
        <v>0</v>
      </c>
      <c r="AS16" s="56">
        <f t="shared" si="9"/>
        <v>0</v>
      </c>
      <c r="AT16" s="56">
        <f t="shared" si="22"/>
        <v>0</v>
      </c>
      <c r="AU16" s="53">
        <v>0</v>
      </c>
      <c r="AV16" s="56">
        <v>0</v>
      </c>
      <c r="AW16" s="56">
        <f t="shared" si="10"/>
        <v>0</v>
      </c>
      <c r="AX16" s="56">
        <f t="shared" si="21"/>
        <v>0</v>
      </c>
      <c r="AY16" s="53">
        <v>0</v>
      </c>
      <c r="AZ16" s="56">
        <v>738</v>
      </c>
      <c r="BA16" s="56">
        <f t="shared" si="12"/>
        <v>738</v>
      </c>
      <c r="BB16" s="56">
        <f t="shared" si="13"/>
        <v>1340.80887616806</v>
      </c>
      <c r="BC16" s="53"/>
      <c r="BD16" s="56">
        <v>0</v>
      </c>
      <c r="BE16" s="53"/>
      <c r="BF16" s="56">
        <v>0</v>
      </c>
      <c r="BG16" s="53"/>
      <c r="BH16" s="56">
        <v>0</v>
      </c>
      <c r="BI16" s="53"/>
      <c r="BJ16" s="56">
        <v>0</v>
      </c>
      <c r="BK16" s="53"/>
      <c r="BL16" s="56">
        <v>0</v>
      </c>
      <c r="BM16" s="53">
        <v>0</v>
      </c>
      <c r="BN16" s="56">
        <v>0</v>
      </c>
      <c r="BO16" s="56">
        <v>0</v>
      </c>
      <c r="BP16" s="53"/>
      <c r="BQ16" s="53"/>
      <c r="BR16" s="53">
        <v>0</v>
      </c>
      <c r="BS16" s="53">
        <v>0</v>
      </c>
      <c r="BT16" s="53">
        <v>13812.03</v>
      </c>
      <c r="BU16" s="53">
        <v>0</v>
      </c>
      <c r="BV16" s="53">
        <v>0</v>
      </c>
      <c r="BW16" s="53">
        <v>13812.03</v>
      </c>
      <c r="BX16" s="53">
        <v>0</v>
      </c>
      <c r="BY16" s="53">
        <v>0</v>
      </c>
      <c r="BZ16" s="53">
        <v>16574.44</v>
      </c>
      <c r="CA16" s="53">
        <v>8287.22</v>
      </c>
      <c r="CB16" s="53">
        <v>11049.62</v>
      </c>
      <c r="CC16" s="53">
        <v>8287.22</v>
      </c>
      <c r="CD16" s="53">
        <f t="shared" si="14"/>
        <v>88397</v>
      </c>
      <c r="CE16" s="53">
        <f t="shared" si="15"/>
        <v>43087.35</v>
      </c>
    </row>
    <row r="17" s="1" customFormat="1" spans="1:83">
      <c r="A17" s="1" t="s">
        <v>100</v>
      </c>
      <c r="B17" s="48" t="s">
        <v>101</v>
      </c>
      <c r="C17" s="48" t="s">
        <v>129</v>
      </c>
      <c r="D17" s="48">
        <v>15</v>
      </c>
      <c r="E17" s="49">
        <v>66</v>
      </c>
      <c r="F17" s="49" t="s">
        <v>130</v>
      </c>
      <c r="G17" s="49" t="s">
        <v>131</v>
      </c>
      <c r="H17" s="49">
        <v>266977.63</v>
      </c>
      <c r="I17" s="49">
        <v>16018.37</v>
      </c>
      <c r="J17" s="49">
        <v>788.68</v>
      </c>
      <c r="K17" s="49"/>
      <c r="L17" s="49"/>
      <c r="M17" s="49">
        <v>7000</v>
      </c>
      <c r="N17" s="49"/>
      <c r="O17" s="49"/>
      <c r="P17" s="49"/>
      <c r="Q17" s="49">
        <v>4157</v>
      </c>
      <c r="R17" s="49">
        <v>4800</v>
      </c>
      <c r="S17" s="49">
        <v>50000</v>
      </c>
      <c r="T17" s="49">
        <v>3000</v>
      </c>
      <c r="U17" s="49">
        <v>55616.22</v>
      </c>
      <c r="V17" s="49">
        <v>125361.9</v>
      </c>
      <c r="W17" s="49">
        <v>141615.73</v>
      </c>
      <c r="X17" s="49" t="s">
        <v>99</v>
      </c>
      <c r="Y17" s="49">
        <v>90634.05</v>
      </c>
      <c r="Z17" s="49">
        <v>50981.68</v>
      </c>
      <c r="AA17" s="53">
        <v>42449.4</v>
      </c>
      <c r="AB17" s="53">
        <f t="shared" si="0"/>
        <v>184065.13</v>
      </c>
      <c r="AC17" s="53">
        <f t="shared" si="1"/>
        <v>98178.5280228215</v>
      </c>
      <c r="AD17" s="53">
        <f t="shared" si="2"/>
        <v>0.533390153924437</v>
      </c>
      <c r="AE17" s="53">
        <v>11329.25</v>
      </c>
      <c r="AF17" s="56">
        <v>26536.65</v>
      </c>
      <c r="AG17" s="56">
        <f t="shared" si="3"/>
        <v>37865.9</v>
      </c>
      <c r="AH17" s="56">
        <f t="shared" si="18"/>
        <v>69587.4368591273</v>
      </c>
      <c r="AI17" s="53">
        <v>0</v>
      </c>
      <c r="AJ17" s="56">
        <v>1948.5</v>
      </c>
      <c r="AK17" s="56">
        <f t="shared" si="5"/>
        <v>1948.5</v>
      </c>
      <c r="AL17" s="56">
        <f t="shared" si="6"/>
        <v>3649.92653153543</v>
      </c>
      <c r="AM17" s="53">
        <v>5664.63</v>
      </c>
      <c r="AN17" s="56">
        <v>5845.5</v>
      </c>
      <c r="AO17" s="56">
        <f t="shared" si="7"/>
        <v>11510.13</v>
      </c>
      <c r="AP17" s="56">
        <f t="shared" si="19"/>
        <v>10949.7795946063</v>
      </c>
      <c r="AQ17" s="53">
        <v>0</v>
      </c>
      <c r="AR17" s="56">
        <v>649.5</v>
      </c>
      <c r="AS17" s="56">
        <f t="shared" si="9"/>
        <v>649.5</v>
      </c>
      <c r="AT17" s="56">
        <f t="shared" si="22"/>
        <v>1216.64217717848</v>
      </c>
      <c r="AU17" s="53">
        <v>0</v>
      </c>
      <c r="AV17" s="56">
        <v>4546.5</v>
      </c>
      <c r="AW17" s="56">
        <f t="shared" si="10"/>
        <v>4546.5</v>
      </c>
      <c r="AX17" s="56">
        <f t="shared" si="21"/>
        <v>8516.49524024933</v>
      </c>
      <c r="AY17" s="53">
        <v>0</v>
      </c>
      <c r="AZ17" s="56">
        <v>2273.25</v>
      </c>
      <c r="BA17" s="56">
        <f t="shared" si="12"/>
        <v>2273.25</v>
      </c>
      <c r="BB17" s="56">
        <f t="shared" si="13"/>
        <v>4258.24762012467</v>
      </c>
      <c r="BC17" s="53"/>
      <c r="BD17" s="56">
        <v>649.5</v>
      </c>
      <c r="BE17" s="53"/>
      <c r="BF17" s="56">
        <v>0</v>
      </c>
      <c r="BG17" s="53"/>
      <c r="BH17" s="56">
        <v>0</v>
      </c>
      <c r="BI17" s="53"/>
      <c r="BJ17" s="56">
        <v>0</v>
      </c>
      <c r="BK17" s="53"/>
      <c r="BL17" s="56">
        <v>0</v>
      </c>
      <c r="BM17" s="53">
        <v>0</v>
      </c>
      <c r="BN17" s="56">
        <v>0</v>
      </c>
      <c r="BO17" s="56">
        <v>0</v>
      </c>
      <c r="BP17" s="53"/>
      <c r="BQ17" s="53"/>
      <c r="BR17" s="53">
        <v>0</v>
      </c>
      <c r="BS17" s="53">
        <v>0</v>
      </c>
      <c r="BT17" s="53">
        <v>14161.57</v>
      </c>
      <c r="BU17" s="53">
        <v>0</v>
      </c>
      <c r="BV17" s="53">
        <v>0</v>
      </c>
      <c r="BW17" s="53">
        <v>14161.57</v>
      </c>
      <c r="BX17" s="53">
        <v>0</v>
      </c>
      <c r="BY17" s="53">
        <v>0</v>
      </c>
      <c r="BZ17" s="53">
        <v>16993.89</v>
      </c>
      <c r="CA17" s="53">
        <v>8496.94</v>
      </c>
      <c r="CB17" s="53">
        <v>11329.26</v>
      </c>
      <c r="CC17" s="53">
        <v>8496.94</v>
      </c>
      <c r="CD17" s="53">
        <f t="shared" si="14"/>
        <v>90634.05</v>
      </c>
      <c r="CE17" s="53">
        <f t="shared" si="15"/>
        <v>42449.4</v>
      </c>
    </row>
    <row r="18" s="1" customFormat="1" spans="1:83">
      <c r="A18" s="1" t="s">
        <v>100</v>
      </c>
      <c r="B18" s="50" t="s">
        <v>101</v>
      </c>
      <c r="C18" s="50" t="s">
        <v>132</v>
      </c>
      <c r="D18" s="50">
        <v>33</v>
      </c>
      <c r="E18" s="51">
        <v>47</v>
      </c>
      <c r="F18" s="51" t="s">
        <v>133</v>
      </c>
      <c r="G18" s="51" t="s">
        <v>134</v>
      </c>
      <c r="H18" s="51">
        <v>179750.2</v>
      </c>
      <c r="I18" s="51">
        <v>10784.8</v>
      </c>
      <c r="J18" s="51">
        <v>961.26</v>
      </c>
      <c r="K18" s="51"/>
      <c r="L18" s="51"/>
      <c r="M18" s="51">
        <v>12000</v>
      </c>
      <c r="N18" s="51"/>
      <c r="O18" s="51"/>
      <c r="P18" s="51"/>
      <c r="Q18" s="51">
        <v>2153.4</v>
      </c>
      <c r="R18" s="51">
        <v>800</v>
      </c>
      <c r="S18" s="51">
        <v>56700</v>
      </c>
      <c r="T18" s="51">
        <v>3000</v>
      </c>
      <c r="U18" s="51">
        <v>39997.87</v>
      </c>
      <c r="V18" s="51">
        <v>115612.53</v>
      </c>
      <c r="W18" s="51">
        <v>64137.67</v>
      </c>
      <c r="X18" s="51" t="s">
        <v>99</v>
      </c>
      <c r="Y18" s="51">
        <v>41048.11</v>
      </c>
      <c r="Z18" s="51">
        <v>23089.56</v>
      </c>
      <c r="AA18" s="53">
        <v>28580.25</v>
      </c>
      <c r="AB18" s="53">
        <f t="shared" si="0"/>
        <v>92717.92</v>
      </c>
      <c r="AC18" s="53">
        <f t="shared" si="1"/>
        <v>47336.9276079586</v>
      </c>
      <c r="AD18" s="53">
        <f t="shared" si="2"/>
        <v>0.51054777337497</v>
      </c>
      <c r="AE18" s="53">
        <v>3848.26</v>
      </c>
      <c r="AF18" s="56">
        <v>14940.75</v>
      </c>
      <c r="AG18" s="56">
        <f t="shared" si="3"/>
        <v>18789.01</v>
      </c>
      <c r="AH18" s="56">
        <f t="shared" si="18"/>
        <v>30952.4324557105</v>
      </c>
      <c r="AI18" s="53">
        <v>0</v>
      </c>
      <c r="AJ18" s="56">
        <v>1299</v>
      </c>
      <c r="AK18" s="56">
        <f t="shared" si="5"/>
        <v>1299</v>
      </c>
      <c r="AL18" s="56">
        <f t="shared" si="6"/>
        <v>1820.49946136091</v>
      </c>
      <c r="AM18" s="53">
        <v>0</v>
      </c>
      <c r="AN18" s="56">
        <v>649.5</v>
      </c>
      <c r="AO18" s="56">
        <f t="shared" si="7"/>
        <v>649.5</v>
      </c>
      <c r="AP18" s="56">
        <f t="shared" si="19"/>
        <v>910.249730680453</v>
      </c>
      <c r="AQ18" s="53">
        <v>2565.51</v>
      </c>
      <c r="AR18" s="56">
        <v>5845.5</v>
      </c>
      <c r="AS18" s="56">
        <f t="shared" si="9"/>
        <v>8411.01</v>
      </c>
      <c r="AT18" s="56">
        <f t="shared" si="22"/>
        <v>8192.24757612407</v>
      </c>
      <c r="AU18" s="53">
        <v>0</v>
      </c>
      <c r="AV18" s="56">
        <v>649.5</v>
      </c>
      <c r="AW18" s="56">
        <f t="shared" si="10"/>
        <v>649.5</v>
      </c>
      <c r="AX18" s="56">
        <f t="shared" si="21"/>
        <v>910.249730680453</v>
      </c>
      <c r="AY18" s="53">
        <v>0</v>
      </c>
      <c r="AZ18" s="56">
        <v>3247.5</v>
      </c>
      <c r="BA18" s="56">
        <f t="shared" si="12"/>
        <v>3247.5</v>
      </c>
      <c r="BB18" s="56">
        <f t="shared" si="13"/>
        <v>4551.24865340226</v>
      </c>
      <c r="BC18" s="56">
        <v>1282.75</v>
      </c>
      <c r="BD18" s="56">
        <v>0</v>
      </c>
      <c r="BE18" s="56"/>
      <c r="BF18" s="56">
        <v>0</v>
      </c>
      <c r="BG18" s="56"/>
      <c r="BH18" s="56">
        <v>1948.5</v>
      </c>
      <c r="BI18" s="56"/>
      <c r="BJ18" s="56">
        <v>0</v>
      </c>
      <c r="BK18" s="56"/>
      <c r="BL18" s="56">
        <v>0</v>
      </c>
      <c r="BM18" s="53">
        <v>0</v>
      </c>
      <c r="BN18" s="56">
        <v>0</v>
      </c>
      <c r="BO18" s="56">
        <v>0</v>
      </c>
      <c r="BP18" s="53"/>
      <c r="BQ18" s="53"/>
      <c r="BR18" s="53">
        <v>0</v>
      </c>
      <c r="BS18" s="53">
        <v>0</v>
      </c>
      <c r="BT18" s="53">
        <v>6413.77</v>
      </c>
      <c r="BU18" s="53">
        <v>0</v>
      </c>
      <c r="BV18" s="53">
        <v>0</v>
      </c>
      <c r="BW18" s="53">
        <v>6413.77</v>
      </c>
      <c r="BX18" s="53">
        <v>0</v>
      </c>
      <c r="BY18" s="53">
        <v>0</v>
      </c>
      <c r="BZ18" s="53">
        <v>7696.52</v>
      </c>
      <c r="CA18" s="53">
        <v>3848.26</v>
      </c>
      <c r="CB18" s="53">
        <v>5131.01</v>
      </c>
      <c r="CC18" s="53">
        <v>3848.26</v>
      </c>
      <c r="CD18" s="53">
        <f t="shared" si="14"/>
        <v>41048.11</v>
      </c>
      <c r="CE18" s="53">
        <f t="shared" si="15"/>
        <v>28580.25</v>
      </c>
    </row>
    <row r="19" s="1" customFormat="1" spans="1:83">
      <c r="A19" s="1" t="s">
        <v>100</v>
      </c>
      <c r="B19" s="50" t="s">
        <v>101</v>
      </c>
      <c r="C19" s="50" t="s">
        <v>111</v>
      </c>
      <c r="D19" s="50">
        <v>48</v>
      </c>
      <c r="E19" s="51">
        <v>60</v>
      </c>
      <c r="F19" s="51" t="s">
        <v>133</v>
      </c>
      <c r="G19" s="51" t="s">
        <v>134</v>
      </c>
      <c r="H19" s="51">
        <v>264229.29</v>
      </c>
      <c r="I19" s="51">
        <v>15853.71</v>
      </c>
      <c r="J19" s="51">
        <v>1121.76</v>
      </c>
      <c r="K19" s="51"/>
      <c r="L19" s="51"/>
      <c r="M19" s="51">
        <v>7000</v>
      </c>
      <c r="N19" s="51"/>
      <c r="O19" s="51"/>
      <c r="P19" s="51"/>
      <c r="Q19" s="51">
        <v>5024</v>
      </c>
      <c r="R19" s="51">
        <v>4800</v>
      </c>
      <c r="S19" s="51">
        <v>80000</v>
      </c>
      <c r="T19" s="51">
        <v>3000</v>
      </c>
      <c r="U19" s="51">
        <v>55017.74</v>
      </c>
      <c r="V19" s="51">
        <v>155963.5</v>
      </c>
      <c r="W19" s="51">
        <v>108265.79</v>
      </c>
      <c r="X19" s="51" t="s">
        <v>99</v>
      </c>
      <c r="Y19" s="51">
        <v>69290.11</v>
      </c>
      <c r="Z19" s="51">
        <v>38975.68</v>
      </c>
      <c r="AA19" s="53">
        <v>42012.45</v>
      </c>
      <c r="AB19" s="53">
        <f t="shared" si="0"/>
        <v>150278.24</v>
      </c>
      <c r="AC19" s="53">
        <f t="shared" si="1"/>
        <v>80009.8469963947</v>
      </c>
      <c r="AD19" s="53">
        <f t="shared" si="2"/>
        <v>0.532411392337272</v>
      </c>
      <c r="AE19" s="53">
        <v>8661.27</v>
      </c>
      <c r="AF19" s="56">
        <v>21348.45</v>
      </c>
      <c r="AG19" s="56">
        <f t="shared" si="3"/>
        <v>30009.72</v>
      </c>
      <c r="AH19" s="56">
        <f t="shared" si="18"/>
        <v>49218.9766990499</v>
      </c>
      <c r="AI19" s="53">
        <v>4330.63</v>
      </c>
      <c r="AJ19" s="56">
        <v>8118</v>
      </c>
      <c r="AK19" s="56">
        <f t="shared" si="5"/>
        <v>12448.63</v>
      </c>
      <c r="AL19" s="56">
        <f t="shared" si="6"/>
        <v>12544.428639659</v>
      </c>
      <c r="AM19" s="53">
        <v>0</v>
      </c>
      <c r="AN19" s="56">
        <v>2952</v>
      </c>
      <c r="AO19" s="56">
        <f t="shared" si="7"/>
        <v>2952</v>
      </c>
      <c r="AP19" s="56">
        <f t="shared" si="19"/>
        <v>4561.61041442144</v>
      </c>
      <c r="AQ19" s="53">
        <v>0</v>
      </c>
      <c r="AR19" s="56">
        <v>5166</v>
      </c>
      <c r="AS19" s="56">
        <f t="shared" si="9"/>
        <v>5166</v>
      </c>
      <c r="AT19" s="56">
        <f t="shared" si="22"/>
        <v>7982.81822523752</v>
      </c>
      <c r="AU19" s="53">
        <v>0</v>
      </c>
      <c r="AV19" s="56">
        <v>0</v>
      </c>
      <c r="AW19" s="56">
        <f t="shared" si="10"/>
        <v>0</v>
      </c>
      <c r="AX19" s="56">
        <f t="shared" si="21"/>
        <v>0</v>
      </c>
      <c r="AY19" s="53">
        <v>0</v>
      </c>
      <c r="AZ19" s="56">
        <v>3690</v>
      </c>
      <c r="BA19" s="56">
        <f t="shared" si="12"/>
        <v>3690</v>
      </c>
      <c r="BB19" s="56">
        <f t="shared" si="13"/>
        <v>5702.0130180268</v>
      </c>
      <c r="BC19" s="53"/>
      <c r="BD19" s="56">
        <v>0</v>
      </c>
      <c r="BE19" s="53"/>
      <c r="BF19" s="56">
        <v>738</v>
      </c>
      <c r="BG19" s="53"/>
      <c r="BH19" s="56">
        <v>0</v>
      </c>
      <c r="BI19" s="53"/>
      <c r="BJ19" s="56">
        <v>0</v>
      </c>
      <c r="BK19" s="53"/>
      <c r="BL19" s="56">
        <v>0</v>
      </c>
      <c r="BM19" s="53">
        <v>0</v>
      </c>
      <c r="BN19" s="56">
        <v>0</v>
      </c>
      <c r="BO19" s="56">
        <v>0</v>
      </c>
      <c r="BP19" s="53"/>
      <c r="BQ19" s="53"/>
      <c r="BR19" s="53">
        <v>0</v>
      </c>
      <c r="BS19" s="53">
        <v>0</v>
      </c>
      <c r="BT19" s="53">
        <v>10826.58</v>
      </c>
      <c r="BU19" s="53">
        <v>0</v>
      </c>
      <c r="BV19" s="53">
        <v>0</v>
      </c>
      <c r="BW19" s="53">
        <v>10826.58</v>
      </c>
      <c r="BX19" s="53">
        <v>0</v>
      </c>
      <c r="BY19" s="53">
        <v>0</v>
      </c>
      <c r="BZ19" s="53">
        <v>12991.89</v>
      </c>
      <c r="CA19" s="53">
        <v>6495.95</v>
      </c>
      <c r="CB19" s="53">
        <v>8661.26</v>
      </c>
      <c r="CC19" s="53">
        <v>6495.95</v>
      </c>
      <c r="CD19" s="53">
        <f t="shared" si="14"/>
        <v>69290.11</v>
      </c>
      <c r="CE19" s="53">
        <f t="shared" si="15"/>
        <v>42012.45</v>
      </c>
    </row>
    <row r="20" s="1" customFormat="1" spans="1:83">
      <c r="A20" s="1" t="s">
        <v>109</v>
      </c>
      <c r="B20" s="48" t="s">
        <v>110</v>
      </c>
      <c r="C20" s="48" t="s">
        <v>135</v>
      </c>
      <c r="D20" s="48">
        <v>61</v>
      </c>
      <c r="E20" s="49">
        <v>37</v>
      </c>
      <c r="F20" s="49" t="s">
        <v>133</v>
      </c>
      <c r="G20" s="49" t="s">
        <v>134</v>
      </c>
      <c r="H20" s="49">
        <v>148613.35</v>
      </c>
      <c r="I20" s="49">
        <v>8916.65</v>
      </c>
      <c r="J20" s="49">
        <v>984.15</v>
      </c>
      <c r="K20" s="49"/>
      <c r="L20" s="49"/>
      <c r="M20" s="49">
        <v>8000</v>
      </c>
      <c r="N20" s="49">
        <v>4000</v>
      </c>
      <c r="O20" s="49">
        <v>1800</v>
      </c>
      <c r="P20" s="49"/>
      <c r="Q20" s="49">
        <v>2961.12</v>
      </c>
      <c r="R20" s="49">
        <v>2150</v>
      </c>
      <c r="S20" s="49">
        <v>57000</v>
      </c>
      <c r="T20" s="49">
        <v>3000</v>
      </c>
      <c r="U20" s="49">
        <v>27357.08</v>
      </c>
      <c r="V20" s="49">
        <v>107252.35</v>
      </c>
      <c r="W20" s="49">
        <v>41361</v>
      </c>
      <c r="X20" s="49" t="s">
        <v>99</v>
      </c>
      <c r="Y20" s="49">
        <v>26471.04</v>
      </c>
      <c r="Z20" s="49">
        <v>14889.96</v>
      </c>
      <c r="AA20" s="53">
        <v>23629.5</v>
      </c>
      <c r="AB20" s="53">
        <f t="shared" si="0"/>
        <v>64990.5</v>
      </c>
      <c r="AC20" s="53">
        <f t="shared" si="1"/>
        <v>35094.87</v>
      </c>
      <c r="AD20" s="53">
        <f t="shared" si="2"/>
        <v>0.54</v>
      </c>
      <c r="AE20" s="53">
        <v>0</v>
      </c>
      <c r="AF20" s="56">
        <v>1299</v>
      </c>
      <c r="AG20" s="56">
        <f t="shared" si="3"/>
        <v>1299</v>
      </c>
      <c r="AH20" s="56">
        <f t="shared" ref="AH20:AH22" si="23">(W20+AA20)*54%*80%*AF20/AA20</f>
        <v>1543.43464330604</v>
      </c>
      <c r="AI20" s="53">
        <v>0</v>
      </c>
      <c r="AJ20" s="56">
        <v>2598</v>
      </c>
      <c r="AK20" s="56">
        <f t="shared" si="5"/>
        <v>2598</v>
      </c>
      <c r="AL20" s="56">
        <f t="shared" si="6"/>
        <v>3086.86928661207</v>
      </c>
      <c r="AM20" s="53">
        <v>0</v>
      </c>
      <c r="AN20" s="56">
        <v>649.5</v>
      </c>
      <c r="AO20" s="56">
        <f t="shared" si="7"/>
        <v>649.5</v>
      </c>
      <c r="AP20" s="56">
        <f t="shared" si="19"/>
        <v>771.717321653019</v>
      </c>
      <c r="AQ20" s="53">
        <v>0</v>
      </c>
      <c r="AR20" s="56">
        <v>0</v>
      </c>
      <c r="AS20" s="56">
        <f t="shared" si="9"/>
        <v>0</v>
      </c>
      <c r="AT20" s="56">
        <f t="shared" si="22"/>
        <v>0</v>
      </c>
      <c r="AU20" s="53">
        <v>5376.93</v>
      </c>
      <c r="AV20" s="56">
        <v>9665.25</v>
      </c>
      <c r="AW20" s="56">
        <f t="shared" si="10"/>
        <v>15042.18</v>
      </c>
      <c r="AX20" s="56">
        <f>(W20+AA20)*54%*80%*AV20/AA20+(W20+AA20)*54%*20%</f>
        <v>18502.9475844601</v>
      </c>
      <c r="AY20" s="53">
        <v>1654.44</v>
      </c>
      <c r="AZ20" s="56">
        <v>9417.75</v>
      </c>
      <c r="BA20" s="56">
        <f t="shared" si="12"/>
        <v>11072.19</v>
      </c>
      <c r="BB20" s="56">
        <f t="shared" si="13"/>
        <v>11189.9011639688</v>
      </c>
      <c r="BC20" s="53"/>
      <c r="BD20" s="56">
        <v>0</v>
      </c>
      <c r="BE20" s="53"/>
      <c r="BF20" s="56">
        <v>0</v>
      </c>
      <c r="BG20" s="53"/>
      <c r="BH20" s="56">
        <v>0</v>
      </c>
      <c r="BI20" s="53"/>
      <c r="BJ20" s="56">
        <v>0</v>
      </c>
      <c r="BK20" s="53"/>
      <c r="BL20" s="56">
        <v>0</v>
      </c>
      <c r="BM20" s="53">
        <v>0</v>
      </c>
      <c r="BN20" s="56">
        <v>0</v>
      </c>
      <c r="BO20" s="56">
        <v>0</v>
      </c>
      <c r="BP20" s="53"/>
      <c r="BQ20" s="53"/>
      <c r="BR20" s="53">
        <v>4136.1</v>
      </c>
      <c r="BS20" s="53">
        <v>0</v>
      </c>
      <c r="BT20" s="53">
        <v>0</v>
      </c>
      <c r="BU20" s="53">
        <v>0</v>
      </c>
      <c r="BV20" s="53">
        <v>0</v>
      </c>
      <c r="BW20" s="53">
        <v>0</v>
      </c>
      <c r="BX20" s="53">
        <v>4136.1</v>
      </c>
      <c r="BY20" s="53">
        <v>0</v>
      </c>
      <c r="BZ20" s="53">
        <v>2895.27</v>
      </c>
      <c r="CA20" s="53">
        <v>2481.66</v>
      </c>
      <c r="CB20" s="53">
        <v>3308.88</v>
      </c>
      <c r="CC20" s="53">
        <v>2481.66</v>
      </c>
      <c r="CD20" s="53">
        <f t="shared" si="14"/>
        <v>26471.04</v>
      </c>
      <c r="CE20" s="53">
        <f t="shared" si="15"/>
        <v>23629.5</v>
      </c>
    </row>
    <row r="21" s="1" customFormat="1" spans="1:83">
      <c r="A21" s="1" t="s">
        <v>113</v>
      </c>
      <c r="B21" s="50" t="s">
        <v>114</v>
      </c>
      <c r="C21" s="50" t="s">
        <v>106</v>
      </c>
      <c r="D21" s="50">
        <v>26</v>
      </c>
      <c r="E21" s="51">
        <v>42</v>
      </c>
      <c r="F21" s="51" t="s">
        <v>136</v>
      </c>
      <c r="G21" s="51" t="s">
        <v>137</v>
      </c>
      <c r="H21" s="51">
        <v>206632</v>
      </c>
      <c r="I21" s="51">
        <v>12398</v>
      </c>
      <c r="J21" s="51">
        <v>703.56</v>
      </c>
      <c r="K21" s="51"/>
      <c r="L21" s="51"/>
      <c r="M21" s="51">
        <v>15000</v>
      </c>
      <c r="N21" s="51"/>
      <c r="O21" s="51">
        <v>5400</v>
      </c>
      <c r="P21" s="51"/>
      <c r="Q21" s="51">
        <v>5593.04</v>
      </c>
      <c r="R21" s="51">
        <v>4995</v>
      </c>
      <c r="S21" s="51">
        <v>78750</v>
      </c>
      <c r="T21" s="51">
        <v>3000</v>
      </c>
      <c r="U21" s="51">
        <v>52274.73</v>
      </c>
      <c r="V21" s="51">
        <v>165716.33</v>
      </c>
      <c r="W21" s="51">
        <v>40915.67</v>
      </c>
      <c r="X21" s="51" t="s">
        <v>99</v>
      </c>
      <c r="Y21" s="51">
        <v>26186.04</v>
      </c>
      <c r="Z21" s="51">
        <v>14729.63</v>
      </c>
      <c r="AA21" s="53">
        <v>32854.5</v>
      </c>
      <c r="AB21" s="53">
        <f t="shared" si="0"/>
        <v>73770.17</v>
      </c>
      <c r="AC21" s="53">
        <f t="shared" si="1"/>
        <v>39060.3804881468</v>
      </c>
      <c r="AD21" s="53">
        <f t="shared" si="2"/>
        <v>0.52948746747021</v>
      </c>
      <c r="AE21" s="53">
        <v>2454.94</v>
      </c>
      <c r="AF21" s="56">
        <v>10393.5</v>
      </c>
      <c r="AG21" s="56">
        <f t="shared" si="3"/>
        <v>12848.44</v>
      </c>
      <c r="AH21" s="56">
        <f t="shared" si="23"/>
        <v>10081.6470540912</v>
      </c>
      <c r="AI21" s="53">
        <v>0</v>
      </c>
      <c r="AJ21" s="56">
        <v>1674</v>
      </c>
      <c r="AK21" s="56">
        <f t="shared" si="5"/>
        <v>1674</v>
      </c>
      <c r="AL21" s="56">
        <f t="shared" si="6"/>
        <v>1623.77227772634</v>
      </c>
      <c r="AM21" s="53">
        <v>2864.1</v>
      </c>
      <c r="AN21" s="56">
        <v>7995</v>
      </c>
      <c r="AO21" s="56">
        <f t="shared" si="7"/>
        <v>10859.1</v>
      </c>
      <c r="AP21" s="56">
        <f>(W21+AA21)*54%*80%*AN21/AA21+(W21+AA21)*54%*20%</f>
        <v>15722.2914785317</v>
      </c>
      <c r="AQ21" s="53">
        <v>1636.63</v>
      </c>
      <c r="AR21" s="56">
        <v>9594</v>
      </c>
      <c r="AS21" s="56">
        <f t="shared" si="9"/>
        <v>11230.63</v>
      </c>
      <c r="AT21" s="56">
        <f t="shared" si="22"/>
        <v>9306.13574223805</v>
      </c>
      <c r="AU21" s="53">
        <v>0</v>
      </c>
      <c r="AV21" s="56">
        <v>1599</v>
      </c>
      <c r="AW21" s="56">
        <f t="shared" si="10"/>
        <v>1599</v>
      </c>
      <c r="AX21" s="56">
        <f t="shared" ref="AX21:AX27" si="24">(W21+AA21)*54%*80%*AV21/AA21</f>
        <v>1551.02262370634</v>
      </c>
      <c r="AY21" s="53">
        <v>0</v>
      </c>
      <c r="AZ21" s="56">
        <v>799.5</v>
      </c>
      <c r="BA21" s="56">
        <f t="shared" si="12"/>
        <v>799.5</v>
      </c>
      <c r="BB21" s="56">
        <f t="shared" si="13"/>
        <v>775.511311853171</v>
      </c>
      <c r="BC21" s="53"/>
      <c r="BD21" s="56">
        <v>0</v>
      </c>
      <c r="BE21" s="53"/>
      <c r="BF21" s="56">
        <v>0</v>
      </c>
      <c r="BG21" s="53"/>
      <c r="BH21" s="56">
        <v>0</v>
      </c>
      <c r="BI21" s="53"/>
      <c r="BJ21" s="56">
        <v>0</v>
      </c>
      <c r="BK21" s="53"/>
      <c r="BL21" s="56">
        <v>799.5</v>
      </c>
      <c r="BM21" s="53">
        <v>0</v>
      </c>
      <c r="BN21" s="56">
        <v>0</v>
      </c>
      <c r="BO21" s="56">
        <v>0</v>
      </c>
      <c r="BP21" s="53"/>
      <c r="BQ21" s="53"/>
      <c r="BR21" s="53">
        <v>0</v>
      </c>
      <c r="BS21" s="53">
        <v>0</v>
      </c>
      <c r="BT21" s="53">
        <v>0</v>
      </c>
      <c r="BU21" s="53">
        <v>4091.57</v>
      </c>
      <c r="BV21" s="53">
        <v>4091.57</v>
      </c>
      <c r="BW21" s="53">
        <v>0</v>
      </c>
      <c r="BX21" s="53">
        <v>0</v>
      </c>
      <c r="BY21" s="53">
        <v>0</v>
      </c>
      <c r="BZ21" s="53">
        <v>2864.1</v>
      </c>
      <c r="CA21" s="53">
        <v>2454.94</v>
      </c>
      <c r="CB21" s="53">
        <v>3273.25</v>
      </c>
      <c r="CC21" s="53">
        <v>2454.94</v>
      </c>
      <c r="CD21" s="53">
        <f t="shared" si="14"/>
        <v>26186.04</v>
      </c>
      <c r="CE21" s="53">
        <f t="shared" si="15"/>
        <v>32854.5</v>
      </c>
    </row>
    <row r="22" s="1" customFormat="1" spans="1:83">
      <c r="A22" s="1" t="s">
        <v>109</v>
      </c>
      <c r="B22" s="50" t="s">
        <v>110</v>
      </c>
      <c r="C22" s="50" t="s">
        <v>115</v>
      </c>
      <c r="D22" s="50">
        <v>17</v>
      </c>
      <c r="E22" s="51">
        <v>32</v>
      </c>
      <c r="F22" s="51" t="s">
        <v>138</v>
      </c>
      <c r="G22" s="51" t="s">
        <v>137</v>
      </c>
      <c r="H22" s="51">
        <v>130717.12</v>
      </c>
      <c r="I22" s="51">
        <v>7842.88</v>
      </c>
      <c r="J22" s="51">
        <v>691.63</v>
      </c>
      <c r="K22" s="51"/>
      <c r="L22" s="51"/>
      <c r="M22" s="51">
        <v>8000</v>
      </c>
      <c r="N22" s="51">
        <v>1500</v>
      </c>
      <c r="O22" s="51">
        <v>1800</v>
      </c>
      <c r="P22" s="51"/>
      <c r="Q22" s="51">
        <v>2296.5</v>
      </c>
      <c r="R22" s="51">
        <v>2150</v>
      </c>
      <c r="S22" s="51">
        <v>60000</v>
      </c>
      <c r="T22" s="51">
        <v>3000</v>
      </c>
      <c r="U22" s="51">
        <v>23922.91</v>
      </c>
      <c r="V22" s="51">
        <v>103361.04</v>
      </c>
      <c r="W22" s="51">
        <v>27356.08</v>
      </c>
      <c r="X22" s="51" t="s">
        <v>99</v>
      </c>
      <c r="Y22" s="51">
        <v>17507.89</v>
      </c>
      <c r="Z22" s="51">
        <v>9848.19</v>
      </c>
      <c r="AA22" s="53">
        <v>20784</v>
      </c>
      <c r="AB22" s="53">
        <f t="shared" si="0"/>
        <v>48140.08</v>
      </c>
      <c r="AC22" s="53">
        <f t="shared" si="1"/>
        <v>24695.86104</v>
      </c>
      <c r="AD22" s="53">
        <f t="shared" si="2"/>
        <v>0.513</v>
      </c>
      <c r="AE22" s="53">
        <v>0</v>
      </c>
      <c r="AF22" s="56">
        <v>3897</v>
      </c>
      <c r="AG22" s="56">
        <f t="shared" si="3"/>
        <v>3897</v>
      </c>
      <c r="AH22" s="56">
        <f t="shared" si="23"/>
        <v>3899.34648</v>
      </c>
      <c r="AI22" s="53">
        <v>1094.24</v>
      </c>
      <c r="AJ22" s="56">
        <v>4546.5</v>
      </c>
      <c r="AK22" s="56">
        <f t="shared" si="5"/>
        <v>5640.74</v>
      </c>
      <c r="AL22" s="56">
        <f t="shared" si="6"/>
        <v>4549.23756</v>
      </c>
      <c r="AM22" s="53">
        <v>0</v>
      </c>
      <c r="AN22" s="56">
        <v>0</v>
      </c>
      <c r="AO22" s="56">
        <f t="shared" si="7"/>
        <v>0</v>
      </c>
      <c r="AP22" s="56">
        <f t="shared" ref="AP22:AP27" si="25">(W22+AA22)*54%*80%*AN22/AA22</f>
        <v>0</v>
      </c>
      <c r="AQ22" s="53">
        <v>0</v>
      </c>
      <c r="AR22" s="56">
        <v>649.5</v>
      </c>
      <c r="AS22" s="56">
        <f t="shared" si="9"/>
        <v>649.5</v>
      </c>
      <c r="AT22" s="56">
        <f t="shared" si="22"/>
        <v>649.89108</v>
      </c>
      <c r="AU22" s="53">
        <v>3556.29</v>
      </c>
      <c r="AV22" s="56">
        <v>9742.5</v>
      </c>
      <c r="AW22" s="56">
        <f t="shared" si="10"/>
        <v>13298.79</v>
      </c>
      <c r="AX22" s="56">
        <f>(W22+AA22)*54%*80%*AV22/AA22+(W22+AA22)*54%*20%</f>
        <v>14947.49484</v>
      </c>
      <c r="AY22" s="53">
        <v>0</v>
      </c>
      <c r="AZ22" s="56">
        <v>649.5</v>
      </c>
      <c r="BA22" s="56">
        <f t="shared" si="12"/>
        <v>649.5</v>
      </c>
      <c r="BB22" s="56">
        <f t="shared" si="13"/>
        <v>649.89108</v>
      </c>
      <c r="BC22" s="53"/>
      <c r="BD22" s="56">
        <v>0</v>
      </c>
      <c r="BE22" s="53"/>
      <c r="BF22" s="56">
        <v>0</v>
      </c>
      <c r="BG22" s="53"/>
      <c r="BH22" s="56">
        <v>1299</v>
      </c>
      <c r="BI22" s="53"/>
      <c r="BJ22" s="56">
        <v>0</v>
      </c>
      <c r="BK22" s="53"/>
      <c r="BL22" s="56">
        <v>0</v>
      </c>
      <c r="BM22" s="53">
        <v>0</v>
      </c>
      <c r="BN22" s="56">
        <v>0</v>
      </c>
      <c r="BO22" s="56">
        <v>0</v>
      </c>
      <c r="BP22" s="53"/>
      <c r="BQ22" s="53"/>
      <c r="BR22" s="53">
        <v>2735.61</v>
      </c>
      <c r="BS22" s="53">
        <v>0</v>
      </c>
      <c r="BT22" s="53">
        <v>0</v>
      </c>
      <c r="BU22" s="53">
        <v>0</v>
      </c>
      <c r="BV22" s="53">
        <v>0</v>
      </c>
      <c r="BW22" s="53">
        <v>0</v>
      </c>
      <c r="BX22" s="53">
        <v>2735.61</v>
      </c>
      <c r="BY22" s="53">
        <v>0</v>
      </c>
      <c r="BZ22" s="53">
        <v>1914.93</v>
      </c>
      <c r="CA22" s="53">
        <v>1641.36</v>
      </c>
      <c r="CB22" s="53">
        <v>2188.49</v>
      </c>
      <c r="CC22" s="53">
        <v>1641.36</v>
      </c>
      <c r="CD22" s="53">
        <f t="shared" si="14"/>
        <v>17507.89</v>
      </c>
      <c r="CE22" s="53">
        <f t="shared" si="15"/>
        <v>20784</v>
      </c>
    </row>
    <row r="23" s="1" customFormat="1" spans="1:83">
      <c r="A23" s="1" t="s">
        <v>100</v>
      </c>
      <c r="B23" s="48" t="s">
        <v>101</v>
      </c>
      <c r="C23" s="48" t="s">
        <v>139</v>
      </c>
      <c r="D23" s="48">
        <v>13</v>
      </c>
      <c r="E23" s="49">
        <v>46</v>
      </c>
      <c r="F23" s="49" t="s">
        <v>138</v>
      </c>
      <c r="G23" s="49" t="s">
        <v>137</v>
      </c>
      <c r="H23" s="49">
        <v>213509.46</v>
      </c>
      <c r="I23" s="49">
        <v>12810.54</v>
      </c>
      <c r="J23" s="49">
        <v>236.16</v>
      </c>
      <c r="K23" s="49"/>
      <c r="L23" s="49"/>
      <c r="M23" s="49">
        <v>9100</v>
      </c>
      <c r="N23" s="49"/>
      <c r="O23" s="49"/>
      <c r="P23" s="49"/>
      <c r="Q23" s="49">
        <v>3546.3</v>
      </c>
      <c r="R23" s="49">
        <v>4800</v>
      </c>
      <c r="S23" s="49">
        <v>73500</v>
      </c>
      <c r="T23" s="49">
        <v>3000</v>
      </c>
      <c r="U23" s="49">
        <v>52713.14</v>
      </c>
      <c r="V23" s="49">
        <v>146895.6</v>
      </c>
      <c r="W23" s="49">
        <v>66613.86</v>
      </c>
      <c r="X23" s="49" t="s">
        <v>99</v>
      </c>
      <c r="Y23" s="49">
        <v>42632.87</v>
      </c>
      <c r="Z23" s="49">
        <v>23980.99</v>
      </c>
      <c r="AA23" s="53">
        <v>33948</v>
      </c>
      <c r="AB23" s="53">
        <f t="shared" si="0"/>
        <v>100561.86</v>
      </c>
      <c r="AC23" s="53">
        <f t="shared" si="1"/>
        <v>54303.4044</v>
      </c>
      <c r="AD23" s="53">
        <f t="shared" si="2"/>
        <v>0.54</v>
      </c>
      <c r="AE23" s="53">
        <v>5329.11</v>
      </c>
      <c r="AF23" s="56">
        <v>25830</v>
      </c>
      <c r="AG23" s="56">
        <f t="shared" si="3"/>
        <v>31159.11</v>
      </c>
      <c r="AH23" s="56">
        <f>(W23+AA23)*54%*20%+(W23+AA23)*54%*80%*AF23/AA23</f>
        <v>43914.9270365217</v>
      </c>
      <c r="AI23" s="53">
        <v>0</v>
      </c>
      <c r="AJ23" s="56">
        <v>2952</v>
      </c>
      <c r="AK23" s="56">
        <f t="shared" si="5"/>
        <v>2952</v>
      </c>
      <c r="AL23" s="56">
        <f t="shared" si="6"/>
        <v>3777.62813217391</v>
      </c>
      <c r="AM23" s="53">
        <v>0</v>
      </c>
      <c r="AN23" s="56">
        <v>0</v>
      </c>
      <c r="AO23" s="56">
        <f t="shared" si="7"/>
        <v>0</v>
      </c>
      <c r="AP23" s="56">
        <f t="shared" si="25"/>
        <v>0</v>
      </c>
      <c r="AQ23" s="53">
        <v>0</v>
      </c>
      <c r="AR23" s="56">
        <v>738</v>
      </c>
      <c r="AS23" s="56">
        <f t="shared" si="9"/>
        <v>738</v>
      </c>
      <c r="AT23" s="56">
        <f t="shared" si="22"/>
        <v>944.407033043478</v>
      </c>
      <c r="AU23" s="53">
        <v>0</v>
      </c>
      <c r="AV23" s="56">
        <v>0</v>
      </c>
      <c r="AW23" s="56">
        <f t="shared" si="10"/>
        <v>0</v>
      </c>
      <c r="AX23" s="56">
        <f t="shared" si="24"/>
        <v>0</v>
      </c>
      <c r="AY23" s="53">
        <v>2664.55</v>
      </c>
      <c r="AZ23" s="56">
        <v>4428</v>
      </c>
      <c r="BA23" s="56">
        <f t="shared" si="12"/>
        <v>7092.55</v>
      </c>
      <c r="BB23" s="56">
        <f t="shared" si="13"/>
        <v>5666.44219826087</v>
      </c>
      <c r="BC23" s="53"/>
      <c r="BD23" s="56">
        <v>0</v>
      </c>
      <c r="BE23" s="53"/>
      <c r="BF23" s="56">
        <v>0</v>
      </c>
      <c r="BG23" s="53"/>
      <c r="BH23" s="56">
        <v>0</v>
      </c>
      <c r="BI23" s="53"/>
      <c r="BJ23" s="56">
        <v>0</v>
      </c>
      <c r="BK23" s="53"/>
      <c r="BL23" s="56">
        <v>0</v>
      </c>
      <c r="BM23" s="53">
        <v>0</v>
      </c>
      <c r="BN23" s="56">
        <v>0</v>
      </c>
      <c r="BO23" s="56">
        <v>0</v>
      </c>
      <c r="BP23" s="53"/>
      <c r="BQ23" s="53"/>
      <c r="BR23" s="53">
        <v>0</v>
      </c>
      <c r="BS23" s="53">
        <v>0</v>
      </c>
      <c r="BT23" s="53">
        <v>6661.39</v>
      </c>
      <c r="BU23" s="53">
        <v>0</v>
      </c>
      <c r="BV23" s="53">
        <v>0</v>
      </c>
      <c r="BW23" s="53">
        <v>6661.39</v>
      </c>
      <c r="BX23" s="53">
        <v>0</v>
      </c>
      <c r="BY23" s="53">
        <v>0</v>
      </c>
      <c r="BZ23" s="53">
        <v>7993.66</v>
      </c>
      <c r="CA23" s="53">
        <v>3996.83</v>
      </c>
      <c r="CB23" s="53">
        <v>5329.11</v>
      </c>
      <c r="CC23" s="53">
        <v>3996.83</v>
      </c>
      <c r="CD23" s="53">
        <f t="shared" si="14"/>
        <v>42632.87</v>
      </c>
      <c r="CE23" s="53">
        <f t="shared" si="15"/>
        <v>33948</v>
      </c>
    </row>
    <row r="24" s="1" customFormat="1" spans="1:83">
      <c r="A24" s="1" t="s">
        <v>104</v>
      </c>
      <c r="B24" s="48" t="s">
        <v>95</v>
      </c>
      <c r="C24" s="48" t="s">
        <v>140</v>
      </c>
      <c r="D24" s="48">
        <v>42</v>
      </c>
      <c r="E24" s="49">
        <v>56</v>
      </c>
      <c r="F24" s="49" t="s">
        <v>138</v>
      </c>
      <c r="G24" s="49" t="s">
        <v>137</v>
      </c>
      <c r="H24" s="49">
        <v>716509.55</v>
      </c>
      <c r="I24" s="49">
        <v>42990.45</v>
      </c>
      <c r="J24" s="49">
        <v>2484</v>
      </c>
      <c r="K24" s="49"/>
      <c r="L24" s="49"/>
      <c r="M24" s="49">
        <v>30000</v>
      </c>
      <c r="N24" s="49">
        <v>4250</v>
      </c>
      <c r="O24" s="49">
        <v>9608</v>
      </c>
      <c r="P24" s="49"/>
      <c r="Q24" s="49"/>
      <c r="R24" s="49">
        <v>7200</v>
      </c>
      <c r="S24" s="49">
        <v>160000</v>
      </c>
      <c r="T24" s="49">
        <v>7000</v>
      </c>
      <c r="U24" s="49">
        <v>121160.1</v>
      </c>
      <c r="V24" s="49">
        <v>341702.1</v>
      </c>
      <c r="W24" s="49">
        <v>374807.45</v>
      </c>
      <c r="X24" s="49" t="s">
        <v>99</v>
      </c>
      <c r="Y24" s="49">
        <v>239876.79</v>
      </c>
      <c r="Z24" s="49">
        <v>134930.66</v>
      </c>
      <c r="AA24" s="53">
        <v>113925</v>
      </c>
      <c r="AB24" s="53">
        <f t="shared" si="0"/>
        <v>488732.45</v>
      </c>
      <c r="AC24" s="53">
        <f t="shared" si="1"/>
        <v>256243.034852745</v>
      </c>
      <c r="AD24" s="53">
        <f t="shared" si="2"/>
        <v>0.52430125082291</v>
      </c>
      <c r="AE24" s="53">
        <v>0</v>
      </c>
      <c r="AF24" s="56">
        <v>6210</v>
      </c>
      <c r="AG24" s="56">
        <f t="shared" si="3"/>
        <v>6210</v>
      </c>
      <c r="AH24" s="56">
        <f t="shared" ref="AH24:AH26" si="26">(W24+AA24)*54%*80%*AF24/AA24</f>
        <v>11508.7322208822</v>
      </c>
      <c r="AI24" s="53">
        <v>29984.6</v>
      </c>
      <c r="AJ24" s="56">
        <v>74520</v>
      </c>
      <c r="AK24" s="56">
        <f t="shared" si="5"/>
        <v>104504.6</v>
      </c>
      <c r="AL24" s="56">
        <f>(W24+AA24)*54%*80%*AJ24/AA24+(W24+AA24)*54%*20%</f>
        <v>190887.891250586</v>
      </c>
      <c r="AM24" s="53">
        <v>0</v>
      </c>
      <c r="AN24" s="56">
        <v>6285</v>
      </c>
      <c r="AO24" s="56">
        <f t="shared" si="7"/>
        <v>6285</v>
      </c>
      <c r="AP24" s="56">
        <f t="shared" si="25"/>
        <v>11647.7265713759</v>
      </c>
      <c r="AQ24" s="53">
        <v>0</v>
      </c>
      <c r="AR24" s="56">
        <v>2070</v>
      </c>
      <c r="AS24" s="56">
        <f t="shared" si="9"/>
        <v>2070</v>
      </c>
      <c r="AT24" s="56">
        <f t="shared" si="22"/>
        <v>3836.24407362739</v>
      </c>
      <c r="AU24" s="53">
        <v>0</v>
      </c>
      <c r="AV24" s="56">
        <v>8280</v>
      </c>
      <c r="AW24" s="56">
        <f t="shared" si="10"/>
        <v>8280</v>
      </c>
      <c r="AX24" s="56">
        <f t="shared" si="24"/>
        <v>15344.9762945095</v>
      </c>
      <c r="AY24" s="53">
        <v>14992.3</v>
      </c>
      <c r="AZ24" s="56">
        <v>12420</v>
      </c>
      <c r="BA24" s="56">
        <f t="shared" si="12"/>
        <v>27412.3</v>
      </c>
      <c r="BB24" s="56">
        <f t="shared" si="13"/>
        <v>23017.4644417643</v>
      </c>
      <c r="BC24" s="53"/>
      <c r="BD24" s="56">
        <v>0</v>
      </c>
      <c r="BE24" s="53"/>
      <c r="BF24" s="56">
        <v>0</v>
      </c>
      <c r="BG24" s="53"/>
      <c r="BH24" s="56">
        <v>0</v>
      </c>
      <c r="BI24" s="53"/>
      <c r="BJ24" s="56">
        <v>2070</v>
      </c>
      <c r="BK24" s="53"/>
      <c r="BL24" s="56">
        <v>0</v>
      </c>
      <c r="BM24" s="53">
        <v>0</v>
      </c>
      <c r="BN24" s="56">
        <v>2070</v>
      </c>
      <c r="BO24" s="56">
        <v>0</v>
      </c>
      <c r="BP24" s="53"/>
      <c r="BQ24" s="53"/>
      <c r="BR24" s="53">
        <v>0</v>
      </c>
      <c r="BS24" s="53">
        <v>37480.75</v>
      </c>
      <c r="BT24" s="53">
        <v>0</v>
      </c>
      <c r="BU24" s="53">
        <v>0</v>
      </c>
      <c r="BV24" s="53">
        <v>0</v>
      </c>
      <c r="BW24" s="53">
        <v>0</v>
      </c>
      <c r="BX24" s="53">
        <v>0</v>
      </c>
      <c r="BY24" s="53">
        <v>37480.75</v>
      </c>
      <c r="BZ24" s="53">
        <v>44976.89</v>
      </c>
      <c r="CA24" s="53">
        <v>22488.45</v>
      </c>
      <c r="CB24" s="53">
        <v>29984.6</v>
      </c>
      <c r="CC24" s="53">
        <v>22488.45</v>
      </c>
      <c r="CD24" s="53">
        <f t="shared" si="14"/>
        <v>239876.79</v>
      </c>
      <c r="CE24" s="53">
        <f t="shared" si="15"/>
        <v>113925</v>
      </c>
    </row>
    <row r="25" s="1" customFormat="1" spans="1:83">
      <c r="A25" s="1" t="s">
        <v>104</v>
      </c>
      <c r="B25" s="50" t="s">
        <v>95</v>
      </c>
      <c r="C25" s="50" t="s">
        <v>141</v>
      </c>
      <c r="D25" s="50">
        <v>101</v>
      </c>
      <c r="E25" s="51">
        <v>30</v>
      </c>
      <c r="F25" s="51" t="s">
        <v>138</v>
      </c>
      <c r="G25" s="51" t="s">
        <v>137</v>
      </c>
      <c r="H25" s="51">
        <v>121934.09</v>
      </c>
      <c r="I25" s="51">
        <v>7315.91</v>
      </c>
      <c r="J25" s="51">
        <v>930.48</v>
      </c>
      <c r="K25" s="51"/>
      <c r="L25" s="51"/>
      <c r="M25" s="51">
        <v>9600</v>
      </c>
      <c r="N25" s="51">
        <v>2030</v>
      </c>
      <c r="O25" s="51">
        <v>6268</v>
      </c>
      <c r="P25" s="51"/>
      <c r="Q25" s="51"/>
      <c r="R25" s="51">
        <v>3440</v>
      </c>
      <c r="S25" s="51">
        <v>55738</v>
      </c>
      <c r="T25" s="51">
        <v>3000</v>
      </c>
      <c r="U25" s="51">
        <v>22718.06</v>
      </c>
      <c r="V25" s="51">
        <v>103724.54</v>
      </c>
      <c r="W25" s="51">
        <v>18209.55</v>
      </c>
      <c r="X25" s="51" t="s">
        <v>142</v>
      </c>
      <c r="Y25" s="51">
        <v>11635.66</v>
      </c>
      <c r="Z25" s="51">
        <v>6573.89</v>
      </c>
      <c r="AA25" s="53">
        <v>19387.5</v>
      </c>
      <c r="AB25" s="53">
        <f t="shared" si="0"/>
        <v>37597.05</v>
      </c>
      <c r="AC25" s="53">
        <f t="shared" si="1"/>
        <v>19758.2867845416</v>
      </c>
      <c r="AD25" s="53">
        <f t="shared" si="2"/>
        <v>0.525527582205029</v>
      </c>
      <c r="AE25" s="53">
        <v>0</v>
      </c>
      <c r="AF25" s="56">
        <v>552</v>
      </c>
      <c r="AG25" s="56">
        <f t="shared" si="3"/>
        <v>552</v>
      </c>
      <c r="AH25" s="56">
        <f t="shared" si="26"/>
        <v>462.439351705996</v>
      </c>
      <c r="AI25" s="53">
        <v>1454.68</v>
      </c>
      <c r="AJ25" s="56">
        <v>16887</v>
      </c>
      <c r="AK25" s="56">
        <f t="shared" si="5"/>
        <v>18341.68</v>
      </c>
      <c r="AL25" s="56">
        <f>(W25+AA25)*54%*80%*AJ25/AA25+(W25+AA25)*54%*20%</f>
        <v>18207.6070019188</v>
      </c>
      <c r="AM25" s="53">
        <v>0</v>
      </c>
      <c r="AN25" s="56">
        <v>0</v>
      </c>
      <c r="AO25" s="56">
        <f t="shared" si="7"/>
        <v>0</v>
      </c>
      <c r="AP25" s="56">
        <f t="shared" si="25"/>
        <v>0</v>
      </c>
      <c r="AQ25" s="53">
        <v>0</v>
      </c>
      <c r="AR25" s="56">
        <v>0</v>
      </c>
      <c r="AS25" s="56">
        <f t="shared" si="9"/>
        <v>0</v>
      </c>
      <c r="AT25" s="56">
        <f t="shared" si="22"/>
        <v>0</v>
      </c>
      <c r="AU25" s="53">
        <v>241.84</v>
      </c>
      <c r="AV25" s="56">
        <v>649.5</v>
      </c>
      <c r="AW25" s="56">
        <f t="shared" si="10"/>
        <v>891.34</v>
      </c>
      <c r="AX25" s="56">
        <f t="shared" si="24"/>
        <v>544.120215458414</v>
      </c>
      <c r="AY25" s="53">
        <v>241.84</v>
      </c>
      <c r="AZ25" s="56">
        <v>649.5</v>
      </c>
      <c r="BA25" s="56">
        <f t="shared" si="12"/>
        <v>891.34</v>
      </c>
      <c r="BB25" s="56">
        <f t="shared" si="13"/>
        <v>544.120215458414</v>
      </c>
      <c r="BC25" s="53"/>
      <c r="BD25" s="56">
        <v>0</v>
      </c>
      <c r="BE25" s="53"/>
      <c r="BF25" s="56">
        <v>0</v>
      </c>
      <c r="BG25" s="53"/>
      <c r="BH25" s="56">
        <v>0</v>
      </c>
      <c r="BI25" s="53"/>
      <c r="BJ25" s="56">
        <v>0</v>
      </c>
      <c r="BK25" s="53"/>
      <c r="BL25" s="56">
        <v>0</v>
      </c>
      <c r="BM25" s="53">
        <v>241.84</v>
      </c>
      <c r="BN25" s="56">
        <v>649.5</v>
      </c>
      <c r="BO25" s="56">
        <v>0</v>
      </c>
      <c r="BP25" s="53"/>
      <c r="BQ25" s="53"/>
      <c r="BR25" s="53">
        <v>0</v>
      </c>
      <c r="BS25" s="53">
        <v>1818.36</v>
      </c>
      <c r="BT25" s="53">
        <v>0</v>
      </c>
      <c r="BU25" s="53">
        <v>0</v>
      </c>
      <c r="BV25" s="53">
        <v>0</v>
      </c>
      <c r="BW25" s="53">
        <v>0</v>
      </c>
      <c r="BX25" s="53">
        <v>0</v>
      </c>
      <c r="BY25" s="53">
        <v>1818.36</v>
      </c>
      <c r="BZ25" s="53">
        <v>2182.03</v>
      </c>
      <c r="CA25" s="53">
        <v>1091.01</v>
      </c>
      <c r="CB25" s="53">
        <v>1454.69</v>
      </c>
      <c r="CC25" s="53">
        <v>1091.01</v>
      </c>
      <c r="CD25" s="53">
        <f t="shared" si="14"/>
        <v>11635.66</v>
      </c>
      <c r="CE25" s="53">
        <f t="shared" si="15"/>
        <v>19387.5</v>
      </c>
    </row>
    <row r="26" s="1" customFormat="1" spans="1:83">
      <c r="A26" s="1" t="s">
        <v>94</v>
      </c>
      <c r="B26" s="50" t="s">
        <v>95</v>
      </c>
      <c r="C26" s="50" t="s">
        <v>111</v>
      </c>
      <c r="D26" s="50">
        <v>49</v>
      </c>
      <c r="E26" s="51">
        <v>47</v>
      </c>
      <c r="F26" s="51" t="s">
        <v>143</v>
      </c>
      <c r="G26" s="51" t="s">
        <v>144</v>
      </c>
      <c r="H26" s="51">
        <v>211660.4</v>
      </c>
      <c r="I26" s="51">
        <v>12699.6</v>
      </c>
      <c r="J26" s="51">
        <v>1145.52</v>
      </c>
      <c r="K26" s="51"/>
      <c r="L26" s="51"/>
      <c r="M26" s="51">
        <v>8600</v>
      </c>
      <c r="N26" s="51">
        <v>3688</v>
      </c>
      <c r="O26" s="51">
        <v>6137</v>
      </c>
      <c r="P26" s="51"/>
      <c r="Q26" s="51">
        <v>4535</v>
      </c>
      <c r="R26" s="51">
        <v>1560</v>
      </c>
      <c r="S26" s="51">
        <v>80000</v>
      </c>
      <c r="T26" s="51">
        <v>3000</v>
      </c>
      <c r="U26" s="51">
        <v>53874</v>
      </c>
      <c r="V26" s="51">
        <v>162539.52</v>
      </c>
      <c r="W26" s="51">
        <v>49120.88</v>
      </c>
      <c r="X26" s="51" t="s">
        <v>99</v>
      </c>
      <c r="Y26" s="51">
        <v>31437.37</v>
      </c>
      <c r="Z26" s="51">
        <v>17683.51</v>
      </c>
      <c r="AA26" s="53">
        <v>33654</v>
      </c>
      <c r="AB26" s="53">
        <f t="shared" si="0"/>
        <v>82774.88</v>
      </c>
      <c r="AC26" s="53">
        <f t="shared" si="1"/>
        <v>43914.2800879159</v>
      </c>
      <c r="AD26" s="53">
        <f t="shared" si="2"/>
        <v>0.530526653592441</v>
      </c>
      <c r="AE26" s="53">
        <v>0</v>
      </c>
      <c r="AF26" s="56">
        <v>5904</v>
      </c>
      <c r="AG26" s="56">
        <f t="shared" si="3"/>
        <v>5904</v>
      </c>
      <c r="AH26" s="56">
        <f t="shared" si="26"/>
        <v>6273.24089667321</v>
      </c>
      <c r="AI26" s="53">
        <v>2947.25</v>
      </c>
      <c r="AJ26" s="56">
        <v>11883</v>
      </c>
      <c r="AK26" s="56">
        <f t="shared" si="5"/>
        <v>14830.25</v>
      </c>
      <c r="AL26" s="56">
        <f>(W26+AA26)*54%*80%*AJ26/AA26</f>
        <v>12626.1723535176</v>
      </c>
      <c r="AM26" s="53">
        <v>0</v>
      </c>
      <c r="AN26" s="56">
        <v>4428</v>
      </c>
      <c r="AO26" s="56">
        <f t="shared" si="7"/>
        <v>4428</v>
      </c>
      <c r="AP26" s="56">
        <f t="shared" si="25"/>
        <v>4704.9306725049</v>
      </c>
      <c r="AQ26" s="53">
        <v>2947.26</v>
      </c>
      <c r="AR26" s="56">
        <v>6642</v>
      </c>
      <c r="AS26" s="56">
        <f t="shared" si="9"/>
        <v>9589.26</v>
      </c>
      <c r="AT26" s="56">
        <f>(W26+AA26)*54%*20%+(W26+AA26)*54%*80%*AR26/AA26</f>
        <v>15997.0830487574</v>
      </c>
      <c r="AU26" s="53">
        <v>0</v>
      </c>
      <c r="AV26" s="56">
        <v>2214</v>
      </c>
      <c r="AW26" s="56">
        <f t="shared" si="10"/>
        <v>2214</v>
      </c>
      <c r="AX26" s="56">
        <f t="shared" si="24"/>
        <v>2352.46533625245</v>
      </c>
      <c r="AY26" s="53">
        <v>0</v>
      </c>
      <c r="AZ26" s="56">
        <v>1845</v>
      </c>
      <c r="BA26" s="56">
        <f t="shared" si="12"/>
        <v>1845</v>
      </c>
      <c r="BB26" s="56">
        <f t="shared" si="13"/>
        <v>1960.38778021038</v>
      </c>
      <c r="BC26" s="53"/>
      <c r="BD26" s="56">
        <v>0</v>
      </c>
      <c r="BE26" s="53"/>
      <c r="BF26" s="56">
        <v>0</v>
      </c>
      <c r="BG26" s="53"/>
      <c r="BH26" s="56">
        <v>0</v>
      </c>
      <c r="BI26" s="53"/>
      <c r="BJ26" s="56">
        <v>0</v>
      </c>
      <c r="BK26" s="53"/>
      <c r="BL26" s="56">
        <v>0</v>
      </c>
      <c r="BM26" s="53">
        <v>0</v>
      </c>
      <c r="BN26" s="56">
        <v>738</v>
      </c>
      <c r="BO26" s="56">
        <v>0</v>
      </c>
      <c r="BP26" s="53"/>
      <c r="BQ26" s="53"/>
      <c r="BR26" s="53">
        <v>0</v>
      </c>
      <c r="BS26" s="53">
        <v>4912.09</v>
      </c>
      <c r="BT26" s="53">
        <v>0</v>
      </c>
      <c r="BU26" s="53">
        <v>0</v>
      </c>
      <c r="BV26" s="53">
        <v>0</v>
      </c>
      <c r="BW26" s="53">
        <v>0</v>
      </c>
      <c r="BX26" s="53">
        <v>0</v>
      </c>
      <c r="BY26" s="53">
        <v>4912.09</v>
      </c>
      <c r="BZ26" s="53">
        <v>5894.51</v>
      </c>
      <c r="CA26" s="53">
        <v>2947.25</v>
      </c>
      <c r="CB26" s="53">
        <v>3929.67</v>
      </c>
      <c r="CC26" s="53">
        <v>2947.25</v>
      </c>
      <c r="CD26" s="53">
        <f t="shared" si="14"/>
        <v>31437.37</v>
      </c>
      <c r="CE26" s="53">
        <f t="shared" si="15"/>
        <v>33654</v>
      </c>
    </row>
    <row r="27" s="1" customFormat="1" spans="1:83">
      <c r="A27" s="1" t="s">
        <v>100</v>
      </c>
      <c r="B27" s="50" t="s">
        <v>101</v>
      </c>
      <c r="C27" s="50" t="s">
        <v>145</v>
      </c>
      <c r="D27" s="50">
        <v>3</v>
      </c>
      <c r="E27" s="51">
        <v>33</v>
      </c>
      <c r="F27" s="51" t="s">
        <v>146</v>
      </c>
      <c r="G27" s="51" t="s">
        <v>147</v>
      </c>
      <c r="H27" s="51">
        <v>274321.79</v>
      </c>
      <c r="I27" s="51">
        <v>16459.21</v>
      </c>
      <c r="J27" s="51">
        <v>1566.37</v>
      </c>
      <c r="K27" s="51"/>
      <c r="L27" s="51"/>
      <c r="M27" s="51">
        <v>7000</v>
      </c>
      <c r="N27" s="51"/>
      <c r="O27" s="51"/>
      <c r="P27" s="51"/>
      <c r="Q27" s="51">
        <v>2591.4</v>
      </c>
      <c r="R27" s="51">
        <v>4800</v>
      </c>
      <c r="S27" s="51">
        <v>150000</v>
      </c>
      <c r="T27" s="51">
        <v>3000</v>
      </c>
      <c r="U27" s="51">
        <v>54737.41</v>
      </c>
      <c r="V27" s="51">
        <v>223695.18</v>
      </c>
      <c r="W27" s="51">
        <v>50626.61</v>
      </c>
      <c r="X27" s="51" t="s">
        <v>99</v>
      </c>
      <c r="Y27" s="51">
        <v>32401.03</v>
      </c>
      <c r="Z27" s="51">
        <v>18225.58</v>
      </c>
      <c r="AA27" s="53">
        <v>43617.15</v>
      </c>
      <c r="AB27" s="53">
        <f t="shared" si="0"/>
        <v>94243.76</v>
      </c>
      <c r="AC27" s="53">
        <f t="shared" si="1"/>
        <v>49659.5104264942</v>
      </c>
      <c r="AD27" s="53">
        <f t="shared" si="2"/>
        <v>0.526926243461574</v>
      </c>
      <c r="AE27" s="53">
        <v>4050.13</v>
      </c>
      <c r="AF27" s="56">
        <v>22347.15</v>
      </c>
      <c r="AG27" s="56">
        <f t="shared" si="3"/>
        <v>26397.28</v>
      </c>
      <c r="AH27" s="56">
        <f>(W27+AA27)*54%*20%+(W27+AA27)*54%*80%*AF27/AA27</f>
        <v>31037.6971905537</v>
      </c>
      <c r="AI27" s="53">
        <v>2025.06</v>
      </c>
      <c r="AJ27" s="56">
        <v>13350</v>
      </c>
      <c r="AK27" s="56">
        <f t="shared" si="5"/>
        <v>15375.06</v>
      </c>
      <c r="AL27" s="56">
        <f>(W27+AA27)*54%*80%*AJ27/AA27</f>
        <v>12461.2133684113</v>
      </c>
      <c r="AM27" s="53">
        <v>0</v>
      </c>
      <c r="AN27" s="56">
        <v>0</v>
      </c>
      <c r="AO27" s="56">
        <f t="shared" si="7"/>
        <v>0</v>
      </c>
      <c r="AP27" s="56">
        <f t="shared" si="25"/>
        <v>0</v>
      </c>
      <c r="AQ27" s="53">
        <v>0</v>
      </c>
      <c r="AR27" s="56">
        <v>1320</v>
      </c>
      <c r="AS27" s="56">
        <f t="shared" si="9"/>
        <v>1320</v>
      </c>
      <c r="AT27" s="56">
        <f>(W27+AA27)*54%*80%*AR27/AA27</f>
        <v>1232.11997350583</v>
      </c>
      <c r="AU27" s="53">
        <v>0</v>
      </c>
      <c r="AV27" s="56">
        <v>1320</v>
      </c>
      <c r="AW27" s="56">
        <f t="shared" si="10"/>
        <v>1320</v>
      </c>
      <c r="AX27" s="56">
        <f t="shared" si="24"/>
        <v>1232.11997350583</v>
      </c>
      <c r="AY27" s="53">
        <v>0</v>
      </c>
      <c r="AZ27" s="56">
        <v>3960</v>
      </c>
      <c r="BA27" s="56">
        <f t="shared" si="12"/>
        <v>3960</v>
      </c>
      <c r="BB27" s="56">
        <f t="shared" si="13"/>
        <v>3696.3599205175</v>
      </c>
      <c r="BC27" s="53"/>
      <c r="BD27" s="56">
        <v>0</v>
      </c>
      <c r="BE27" s="53"/>
      <c r="BF27" s="56">
        <v>0</v>
      </c>
      <c r="BG27" s="53"/>
      <c r="BH27" s="56">
        <v>0</v>
      </c>
      <c r="BI27" s="53"/>
      <c r="BJ27" s="56">
        <v>0</v>
      </c>
      <c r="BK27" s="53"/>
      <c r="BL27" s="56">
        <v>0</v>
      </c>
      <c r="BM27" s="53">
        <v>0</v>
      </c>
      <c r="BN27" s="56">
        <v>1320</v>
      </c>
      <c r="BO27" s="56">
        <v>0</v>
      </c>
      <c r="BP27" s="53"/>
      <c r="BQ27" s="53"/>
      <c r="BR27" s="53">
        <v>0</v>
      </c>
      <c r="BS27" s="53">
        <v>0</v>
      </c>
      <c r="BT27" s="53">
        <v>5062.66</v>
      </c>
      <c r="BU27" s="53">
        <v>0</v>
      </c>
      <c r="BV27" s="53">
        <v>0</v>
      </c>
      <c r="BW27" s="53">
        <v>5062.66</v>
      </c>
      <c r="BX27" s="53">
        <v>0</v>
      </c>
      <c r="BY27" s="53">
        <v>0</v>
      </c>
      <c r="BZ27" s="53">
        <v>6075.19</v>
      </c>
      <c r="CA27" s="53">
        <v>3037.6</v>
      </c>
      <c r="CB27" s="53">
        <v>4050.13</v>
      </c>
      <c r="CC27" s="53">
        <v>3037.6</v>
      </c>
      <c r="CD27" s="53">
        <f t="shared" si="14"/>
        <v>32401.03</v>
      </c>
      <c r="CE27" s="53">
        <f t="shared" si="15"/>
        <v>43617.15</v>
      </c>
    </row>
    <row r="28" s="1" customFormat="1" spans="2:83">
      <c r="B28" s="52"/>
      <c r="C28" s="52"/>
      <c r="D28" s="52"/>
      <c r="E28" s="52"/>
      <c r="F28" s="52"/>
      <c r="G28" s="52"/>
      <c r="H28" s="53">
        <f t="shared" ref="H28:W28" si="27">SUM(H3:H27)</f>
        <v>5441651.51</v>
      </c>
      <c r="I28" s="53">
        <f t="shared" si="27"/>
        <v>326496.49</v>
      </c>
      <c r="J28" s="53">
        <f t="shared" si="27"/>
        <v>22086.96</v>
      </c>
      <c r="K28" s="53">
        <f t="shared" si="27"/>
        <v>0</v>
      </c>
      <c r="L28" s="53">
        <f t="shared" si="27"/>
        <v>0</v>
      </c>
      <c r="M28" s="53">
        <f t="shared" si="27"/>
        <v>235600</v>
      </c>
      <c r="N28" s="53">
        <f t="shared" si="27"/>
        <v>48240</v>
      </c>
      <c r="O28" s="53">
        <f t="shared" si="27"/>
        <v>51813</v>
      </c>
      <c r="P28" s="53">
        <f t="shared" si="27"/>
        <v>1105</v>
      </c>
      <c r="Q28" s="53">
        <f t="shared" si="27"/>
        <v>82564.86</v>
      </c>
      <c r="R28" s="53">
        <f t="shared" si="27"/>
        <v>74475</v>
      </c>
      <c r="S28" s="53">
        <f t="shared" si="27"/>
        <v>1784777.5</v>
      </c>
      <c r="T28" s="53">
        <f t="shared" si="27"/>
        <v>83000</v>
      </c>
      <c r="U28" s="53">
        <f t="shared" si="27"/>
        <v>1137425.44</v>
      </c>
      <c r="V28" s="53">
        <f t="shared" si="27"/>
        <v>3521087.76</v>
      </c>
      <c r="W28" s="53">
        <f t="shared" si="27"/>
        <v>1920563.75</v>
      </c>
      <c r="X28" s="52"/>
      <c r="Y28" s="53">
        <f t="shared" ref="Y28:AC28" si="28">SUM(Y3:Y27)</f>
        <v>1234220.49</v>
      </c>
      <c r="Z28" s="53">
        <f t="shared" si="28"/>
        <v>686343.26</v>
      </c>
      <c r="AA28" s="53">
        <v>865684.7</v>
      </c>
      <c r="AB28" s="53">
        <f t="shared" si="28"/>
        <v>2786248.45</v>
      </c>
      <c r="AC28" s="53">
        <f t="shared" si="28"/>
        <v>1469511.77327839</v>
      </c>
      <c r="AD28" s="53"/>
      <c r="AE28" s="53">
        <f t="shared" ref="AE28:CE28" si="29">SUM(AE3:AE27)</f>
        <v>88642.35</v>
      </c>
      <c r="AF28" s="53">
        <f t="shared" si="29"/>
        <v>314336.7</v>
      </c>
      <c r="AG28" s="53">
        <f t="shared" si="29"/>
        <v>402979.05</v>
      </c>
      <c r="AH28" s="53">
        <f t="shared" si="29"/>
        <v>617056.093661411</v>
      </c>
      <c r="AI28" s="53">
        <f t="shared" si="29"/>
        <v>70182.01</v>
      </c>
      <c r="AJ28" s="53">
        <f t="shared" si="29"/>
        <v>261816</v>
      </c>
      <c r="AK28" s="53">
        <f t="shared" si="29"/>
        <v>331998.01</v>
      </c>
      <c r="AL28" s="53">
        <f t="shared" si="29"/>
        <v>429436.68785141</v>
      </c>
      <c r="AM28" s="53">
        <f t="shared" si="29"/>
        <v>25181.67</v>
      </c>
      <c r="AN28" s="53">
        <f t="shared" si="29"/>
        <v>55376.25</v>
      </c>
      <c r="AO28" s="53">
        <f t="shared" si="29"/>
        <v>80557.92</v>
      </c>
      <c r="AP28" s="53">
        <f t="shared" si="29"/>
        <v>106250.505714026</v>
      </c>
      <c r="AQ28" s="53">
        <f t="shared" si="29"/>
        <v>15351.58</v>
      </c>
      <c r="AR28" s="53">
        <f t="shared" si="29"/>
        <v>60628.5</v>
      </c>
      <c r="AS28" s="53">
        <f t="shared" si="29"/>
        <v>75980.08</v>
      </c>
      <c r="AT28" s="53">
        <f t="shared" si="29"/>
        <v>97022.8904178315</v>
      </c>
      <c r="AU28" s="53">
        <f t="shared" si="29"/>
        <v>18380.55</v>
      </c>
      <c r="AV28" s="53">
        <f t="shared" si="29"/>
        <v>73034.25</v>
      </c>
      <c r="AW28" s="53">
        <f t="shared" si="29"/>
        <v>91414.8</v>
      </c>
      <c r="AX28" s="53">
        <f t="shared" si="29"/>
        <v>114918.04702345</v>
      </c>
      <c r="AY28" s="53">
        <f t="shared" si="29"/>
        <v>24231.37</v>
      </c>
      <c r="AZ28" s="53">
        <f t="shared" si="29"/>
        <v>76443</v>
      </c>
      <c r="BA28" s="53">
        <f t="shared" si="29"/>
        <v>100674.37</v>
      </c>
      <c r="BB28" s="53">
        <f t="shared" si="29"/>
        <v>104827.548610262</v>
      </c>
      <c r="BC28" s="53">
        <f t="shared" si="29"/>
        <v>2672.69</v>
      </c>
      <c r="BD28" s="53">
        <f t="shared" si="29"/>
        <v>2588</v>
      </c>
      <c r="BE28" s="53">
        <f t="shared" si="29"/>
        <v>3034.64</v>
      </c>
      <c r="BF28" s="53">
        <f t="shared" si="29"/>
        <v>2214</v>
      </c>
      <c r="BG28" s="53">
        <f t="shared" si="29"/>
        <v>0</v>
      </c>
      <c r="BH28" s="53">
        <f t="shared" si="29"/>
        <v>9502.5</v>
      </c>
      <c r="BI28" s="53">
        <f t="shared" si="29"/>
        <v>0</v>
      </c>
      <c r="BJ28" s="53">
        <f t="shared" si="29"/>
        <v>2070</v>
      </c>
      <c r="BK28" s="53">
        <f t="shared" si="29"/>
        <v>0</v>
      </c>
      <c r="BL28" s="53">
        <f t="shared" si="29"/>
        <v>799.5</v>
      </c>
      <c r="BM28" s="53">
        <f t="shared" si="29"/>
        <v>241.84</v>
      </c>
      <c r="BN28" s="53">
        <f t="shared" si="29"/>
        <v>6076.5</v>
      </c>
      <c r="BO28" s="53">
        <f t="shared" si="29"/>
        <v>799.5</v>
      </c>
      <c r="BP28" s="53">
        <f t="shared" si="29"/>
        <v>0</v>
      </c>
      <c r="BQ28" s="53">
        <f t="shared" si="29"/>
        <v>0</v>
      </c>
      <c r="BR28" s="53">
        <f t="shared" si="29"/>
        <v>16380.22</v>
      </c>
      <c r="BS28" s="53">
        <f t="shared" si="29"/>
        <v>56531.58</v>
      </c>
      <c r="BT28" s="53">
        <f t="shared" si="29"/>
        <v>103308.01</v>
      </c>
      <c r="BU28" s="53">
        <f t="shared" si="29"/>
        <v>16627.44</v>
      </c>
      <c r="BV28" s="53">
        <f t="shared" si="29"/>
        <v>16627.44</v>
      </c>
      <c r="BW28" s="53">
        <f t="shared" si="29"/>
        <v>103308.01</v>
      </c>
      <c r="BX28" s="53">
        <f t="shared" si="29"/>
        <v>16380.22</v>
      </c>
      <c r="BY28" s="53">
        <f t="shared" si="29"/>
        <v>56531.58</v>
      </c>
      <c r="BZ28" s="53">
        <f t="shared" si="29"/>
        <v>214912.85</v>
      </c>
      <c r="CA28" s="53">
        <f t="shared" si="29"/>
        <v>115708.33</v>
      </c>
      <c r="CB28" s="53">
        <f t="shared" si="29"/>
        <v>154277.78</v>
      </c>
      <c r="CC28" s="53">
        <f t="shared" si="29"/>
        <v>115708.33</v>
      </c>
      <c r="CD28" s="53">
        <f t="shared" si="29"/>
        <v>1234220.49</v>
      </c>
      <c r="CE28" s="53">
        <f t="shared" si="29"/>
        <v>865684.7</v>
      </c>
    </row>
    <row r="29" s="1" customFormat="1"/>
    <row r="30" s="1" customFormat="1" spans="23:16384">
      <c r="W30" s="1">
        <f>W28/H28</f>
        <v>0.352937659912735</v>
      </c>
      <c r="Z30" s="1">
        <f>Z28/W28</f>
        <v>0.357365518327626</v>
      </c>
      <c r="XFD30" s="45"/>
    </row>
  </sheetData>
  <mergeCells count="13">
    <mergeCell ref="K1:L1"/>
    <mergeCell ref="M1:V1"/>
    <mergeCell ref="X1:Z1"/>
    <mergeCell ref="AE1:CD1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A38"/>
  <sheetViews>
    <sheetView tabSelected="1" workbookViewId="0">
      <pane xSplit="5" topLeftCell="F1" activePane="topRight" state="frozen"/>
      <selection/>
      <selection pane="topRight" activeCell="H30" sqref="H30"/>
    </sheetView>
  </sheetViews>
  <sheetFormatPr defaultColWidth="9.16666666666667" defaultRowHeight="14"/>
  <cols>
    <col min="1" max="1" width="9.16666666666667" style="1"/>
    <col min="2" max="2" width="8.25" style="1" customWidth="1"/>
    <col min="3" max="3" width="20.9166666666667" style="1" customWidth="1"/>
    <col min="4" max="4" width="8.41666666666667" style="1" customWidth="1"/>
    <col min="5" max="5" width="7.05" style="1" customWidth="1"/>
    <col min="6" max="7" width="9.4" style="1" customWidth="1"/>
    <col min="8" max="8" width="14.9166666666667" style="1" customWidth="1"/>
    <col min="9" max="9" width="13.9166666666667" style="1" customWidth="1"/>
    <col min="10" max="10" width="12" style="1" customWidth="1"/>
    <col min="11" max="12" width="10.3416666666667" style="1" customWidth="1"/>
    <col min="13" max="13" width="15" style="1" customWidth="1"/>
    <col min="14" max="15" width="11.8333333333333" style="1" customWidth="1"/>
    <col min="16" max="16" width="9.4" style="1" customWidth="1"/>
    <col min="17" max="17" width="11.8333333333333" style="1" customWidth="1"/>
    <col min="18" max="18" width="12.225" style="1" customWidth="1"/>
    <col min="19" max="19" width="13.9166666666667" style="1" customWidth="1"/>
    <col min="20" max="20" width="16.45" style="1" customWidth="1"/>
    <col min="21" max="21" width="14.1083333333333" style="1" customWidth="1"/>
    <col min="22" max="22" width="11.8333333333333" style="1"/>
    <col min="23" max="23" width="14.1083333333333" style="1" customWidth="1"/>
    <col min="24" max="24" width="13.9166666666667" style="1" customWidth="1"/>
    <col min="25" max="25" width="18.25" style="1" customWidth="1"/>
    <col min="26" max="27" width="14.9166666666667" style="1" customWidth="1"/>
    <col min="28" max="28" width="9.4" style="1" customWidth="1"/>
    <col min="29" max="30" width="13.9166666666667" style="1" customWidth="1"/>
    <col min="31" max="32" width="11.8333333333333" style="1"/>
    <col min="33" max="36" width="12.5" style="1"/>
    <col min="37" max="37" width="1.25" style="1" customWidth="1"/>
    <col min="38" max="38" width="12.5" style="1"/>
    <col min="39" max="39" width="9.75" style="1"/>
    <col min="40" max="40" width="13.3333333333333" style="1" customWidth="1"/>
    <col min="41" max="41" width="17.3333333333333" style="1" customWidth="1"/>
    <col min="42" max="43" width="16.3333333333333" style="1" customWidth="1"/>
    <col min="44" max="44" width="20.8333333333333" style="1" customWidth="1"/>
    <col min="45" max="45" width="18.0833333333333" style="1" customWidth="1"/>
    <col min="46" max="46" width="12.6666666666667" style="1"/>
    <col min="47" max="47" width="20.6666666666667" style="1" customWidth="1"/>
    <col min="48" max="48" width="12.1666666666667" style="1" customWidth="1"/>
    <col min="49" max="49" width="20.1666666666667" style="1" customWidth="1"/>
    <col min="50" max="50" width="11.5833333333333" style="1" customWidth="1"/>
    <col min="51" max="16329" width="9.16666666666667" style="1"/>
  </cols>
  <sheetData>
    <row r="1" s="1" customFormat="1" ht="21" customHeight="1" spans="1:50">
      <c r="A1" s="6" t="s">
        <v>148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/>
      <c r="M1" s="7" t="s">
        <v>18</v>
      </c>
      <c r="N1" s="7"/>
      <c r="O1" s="7"/>
      <c r="P1" s="7"/>
      <c r="Q1" s="7"/>
      <c r="R1" s="7"/>
      <c r="S1" s="7"/>
      <c r="T1" s="7"/>
      <c r="U1" s="7"/>
      <c r="V1" s="22"/>
      <c r="W1" s="7"/>
      <c r="X1" s="7"/>
      <c r="Y1" s="7"/>
      <c r="Z1" s="7" t="s">
        <v>19</v>
      </c>
      <c r="AA1" s="7"/>
      <c r="AB1" s="7" t="s">
        <v>20</v>
      </c>
      <c r="AC1" s="7"/>
      <c r="AD1" s="7"/>
      <c r="AE1" s="27" t="s">
        <v>149</v>
      </c>
      <c r="AF1" s="28"/>
      <c r="AG1" s="28"/>
      <c r="AH1" s="28"/>
      <c r="AI1" s="28"/>
      <c r="AJ1" s="31"/>
      <c r="AK1" s="29"/>
      <c r="AL1" s="27" t="s">
        <v>150</v>
      </c>
      <c r="AM1" s="28"/>
      <c r="AN1" s="28"/>
      <c r="AO1" s="28"/>
      <c r="AP1" s="28"/>
      <c r="AQ1" s="31"/>
      <c r="AR1" s="34" t="s">
        <v>151</v>
      </c>
      <c r="AS1" s="34" t="s">
        <v>152</v>
      </c>
      <c r="AT1" s="32" t="s">
        <v>153</v>
      </c>
      <c r="AU1" s="27" t="s">
        <v>154</v>
      </c>
      <c r="AV1" s="28"/>
      <c r="AW1" s="28"/>
      <c r="AX1" s="31"/>
    </row>
    <row r="2" s="1" customFormat="1" ht="29" spans="1:50">
      <c r="A2" s="6"/>
      <c r="B2" s="7"/>
      <c r="C2" s="7"/>
      <c r="D2" s="7"/>
      <c r="E2" s="7"/>
      <c r="F2" s="7"/>
      <c r="G2" s="7"/>
      <c r="H2" s="7"/>
      <c r="I2" s="7"/>
      <c r="J2" s="7"/>
      <c r="K2" s="21" t="s">
        <v>22</v>
      </c>
      <c r="L2" s="21" t="s">
        <v>23</v>
      </c>
      <c r="M2" s="21" t="s">
        <v>24</v>
      </c>
      <c r="N2" s="21" t="s">
        <v>25</v>
      </c>
      <c r="O2" s="21" t="s">
        <v>26</v>
      </c>
      <c r="P2" s="21" t="s">
        <v>27</v>
      </c>
      <c r="Q2" s="21" t="s">
        <v>28</v>
      </c>
      <c r="R2" s="21" t="s">
        <v>29</v>
      </c>
      <c r="S2" s="21" t="s">
        <v>30</v>
      </c>
      <c r="T2" s="21" t="s">
        <v>31</v>
      </c>
      <c r="U2" s="21" t="s">
        <v>32</v>
      </c>
      <c r="V2" s="21" t="s">
        <v>38</v>
      </c>
      <c r="W2" s="21" t="s">
        <v>155</v>
      </c>
      <c r="X2" s="21" t="s">
        <v>33</v>
      </c>
      <c r="Y2" s="21" t="s">
        <v>156</v>
      </c>
      <c r="Z2" s="21" t="s">
        <v>34</v>
      </c>
      <c r="AA2" s="21" t="s">
        <v>157</v>
      </c>
      <c r="AB2" s="21" t="s">
        <v>35</v>
      </c>
      <c r="AC2" s="21" t="s">
        <v>36</v>
      </c>
      <c r="AD2" s="21" t="s">
        <v>37</v>
      </c>
      <c r="AE2" s="29" t="s">
        <v>38</v>
      </c>
      <c r="AF2" s="29" t="s">
        <v>158</v>
      </c>
      <c r="AG2" s="29" t="s">
        <v>159</v>
      </c>
      <c r="AH2" s="29" t="s">
        <v>160</v>
      </c>
      <c r="AI2" s="29" t="s">
        <v>161</v>
      </c>
      <c r="AJ2" s="29" t="s">
        <v>162</v>
      </c>
      <c r="AK2" s="29"/>
      <c r="AL2" s="29" t="s">
        <v>163</v>
      </c>
      <c r="AM2" s="32" t="s">
        <v>164</v>
      </c>
      <c r="AN2" s="32" t="s">
        <v>165</v>
      </c>
      <c r="AO2" s="32" t="s">
        <v>166</v>
      </c>
      <c r="AP2" s="32" t="s">
        <v>167</v>
      </c>
      <c r="AQ2" s="32" t="s">
        <v>168</v>
      </c>
      <c r="AR2" s="35" t="s">
        <v>169</v>
      </c>
      <c r="AS2" s="32" t="s">
        <v>170</v>
      </c>
      <c r="AT2" s="32" t="s">
        <v>171</v>
      </c>
      <c r="AU2" s="32" t="s">
        <v>172</v>
      </c>
      <c r="AV2" s="32" t="s">
        <v>173</v>
      </c>
      <c r="AW2" s="32" t="s">
        <v>174</v>
      </c>
      <c r="AX2" s="32" t="s">
        <v>175</v>
      </c>
    </row>
    <row r="3" s="2" customFormat="1" ht="17.05" customHeight="1" spans="1:50">
      <c r="A3" s="8" t="s">
        <v>94</v>
      </c>
      <c r="B3" s="9" t="s">
        <v>95</v>
      </c>
      <c r="C3" s="9" t="s">
        <v>96</v>
      </c>
      <c r="D3" s="9">
        <v>47</v>
      </c>
      <c r="E3" s="10">
        <v>30</v>
      </c>
      <c r="F3" s="10" t="s">
        <v>97</v>
      </c>
      <c r="G3" s="10" t="s">
        <v>98</v>
      </c>
      <c r="H3" s="10">
        <v>111226.5</v>
      </c>
      <c r="I3" s="10">
        <v>6673.5</v>
      </c>
      <c r="J3" s="10">
        <v>400.86</v>
      </c>
      <c r="K3" s="10"/>
      <c r="L3" s="10"/>
      <c r="M3" s="10">
        <v>8600</v>
      </c>
      <c r="N3" s="10"/>
      <c r="O3" s="10"/>
      <c r="P3" s="10"/>
      <c r="Q3" s="10">
        <v>2103.06</v>
      </c>
      <c r="R3" s="10">
        <v>1020</v>
      </c>
      <c r="S3" s="10">
        <v>53589.5</v>
      </c>
      <c r="T3" s="10">
        <v>7000</v>
      </c>
      <c r="U3" s="10">
        <v>22951.38</v>
      </c>
      <c r="V3" s="23">
        <v>17685</v>
      </c>
      <c r="W3" s="10">
        <v>5266.38</v>
      </c>
      <c r="X3" s="10">
        <v>95664.8</v>
      </c>
      <c r="Y3" s="10">
        <v>77979.8</v>
      </c>
      <c r="Z3" s="10">
        <v>15561.7</v>
      </c>
      <c r="AA3" s="10">
        <v>33246.7</v>
      </c>
      <c r="AB3" s="10" t="s">
        <v>99</v>
      </c>
      <c r="AC3" s="10">
        <v>9959.48</v>
      </c>
      <c r="AD3" s="10">
        <v>5602.22</v>
      </c>
      <c r="AE3" s="23">
        <v>17685</v>
      </c>
      <c r="AF3" s="23">
        <v>1867.4</v>
      </c>
      <c r="AG3" s="23">
        <v>19552.4</v>
      </c>
      <c r="AH3" s="23">
        <v>1556.17</v>
      </c>
      <c r="AI3" s="23">
        <v>6535.91</v>
      </c>
      <c r="AJ3" s="23">
        <f>AG3+AH3+AI3</f>
        <v>27644.48</v>
      </c>
      <c r="AK3" s="23"/>
      <c r="AL3" s="23">
        <f t="shared" ref="AL3:AL8" si="0">($H3+$I3)*1%</f>
        <v>1179</v>
      </c>
      <c r="AM3" s="23">
        <f>($H3+$I3)*3%</f>
        <v>3537</v>
      </c>
      <c r="AN3" s="23">
        <f>($H3+$I3)*4%</f>
        <v>4716</v>
      </c>
      <c r="AO3" s="36">
        <f>(AA3-AL3-AM3-AN3)*15%</f>
        <v>3572.205</v>
      </c>
      <c r="AP3" s="23">
        <f>($H3+$I3)*2%</f>
        <v>2358</v>
      </c>
      <c r="AQ3" s="36">
        <f>SUM(AL3:AP3)</f>
        <v>15362.205</v>
      </c>
      <c r="AR3" s="23">
        <f>($H3+$I3)*1%</f>
        <v>1179</v>
      </c>
      <c r="AS3" s="11"/>
      <c r="AT3" s="36">
        <f>AQ3+AR3+AS3</f>
        <v>16541.205</v>
      </c>
      <c r="AU3" s="36">
        <f>AT3-AG3-AH3-AI3</f>
        <v>-11103.275</v>
      </c>
      <c r="AV3" s="37">
        <f>AU3/(AG3+AH3+AI3)</f>
        <v>-0.401645283253655</v>
      </c>
      <c r="AW3" s="36">
        <f>AQ3-AP3+AR3+AS3-AG3</f>
        <v>-5369.195</v>
      </c>
      <c r="AX3" s="37">
        <f>AW3/AG3</f>
        <v>-0.274605419283566</v>
      </c>
    </row>
    <row r="4" s="2" customFormat="1" ht="17.05" customHeight="1" spans="1:50">
      <c r="A4" s="11" t="s">
        <v>100</v>
      </c>
      <c r="B4" s="9" t="s">
        <v>101</v>
      </c>
      <c r="C4" s="9" t="s">
        <v>102</v>
      </c>
      <c r="D4" s="9">
        <v>26</v>
      </c>
      <c r="E4" s="10">
        <v>36</v>
      </c>
      <c r="F4" s="10" t="s">
        <v>98</v>
      </c>
      <c r="G4" s="10" t="s">
        <v>103</v>
      </c>
      <c r="H4" s="10">
        <v>158255.68</v>
      </c>
      <c r="I4" s="10">
        <v>9495.32</v>
      </c>
      <c r="J4" s="10">
        <v>825.85</v>
      </c>
      <c r="K4" s="10"/>
      <c r="L4" s="10"/>
      <c r="M4" s="10">
        <v>3500</v>
      </c>
      <c r="N4" s="10">
        <v>1940</v>
      </c>
      <c r="O4" s="10">
        <v>400</v>
      </c>
      <c r="P4" s="10"/>
      <c r="Q4" s="10">
        <v>1271.4</v>
      </c>
      <c r="R4" s="10">
        <v>1800</v>
      </c>
      <c r="S4" s="10">
        <v>60000</v>
      </c>
      <c r="T4" s="10">
        <v>3000</v>
      </c>
      <c r="U4" s="10">
        <v>34903.14</v>
      </c>
      <c r="V4" s="23">
        <v>25408.65</v>
      </c>
      <c r="W4" s="10">
        <v>9494.49</v>
      </c>
      <c r="X4" s="10">
        <v>107640.39</v>
      </c>
      <c r="Y4" s="10">
        <v>82231.74</v>
      </c>
      <c r="Z4" s="10">
        <v>50615.29</v>
      </c>
      <c r="AA4" s="10">
        <v>76023.94</v>
      </c>
      <c r="AB4" s="10" t="s">
        <v>99</v>
      </c>
      <c r="AC4" s="10">
        <v>32393.79</v>
      </c>
      <c r="AD4" s="10">
        <v>18221.5</v>
      </c>
      <c r="AE4" s="23">
        <v>25408.65</v>
      </c>
      <c r="AF4" s="23">
        <v>6073.84</v>
      </c>
      <c r="AG4" s="23">
        <v>31482.49</v>
      </c>
      <c r="AH4" s="23">
        <v>5061.53</v>
      </c>
      <c r="AI4" s="23">
        <v>21258.42</v>
      </c>
      <c r="AJ4" s="23">
        <f t="shared" ref="AJ4:AJ28" si="1">AG4+AH4+AI4</f>
        <v>57802.44</v>
      </c>
      <c r="AK4" s="23"/>
      <c r="AL4" s="23">
        <f t="shared" si="0"/>
        <v>1677.51</v>
      </c>
      <c r="AM4" s="23">
        <f t="shared" ref="AM4:AM27" si="2">($H4+$I4)*3%</f>
        <v>5032.53</v>
      </c>
      <c r="AN4" s="23">
        <f t="shared" ref="AN4:AN27" si="3">($H4+$I4)*4%</f>
        <v>6710.04</v>
      </c>
      <c r="AO4" s="36">
        <f t="shared" ref="AO4:AO27" si="4">(AA4-AL4-AM4-AN4)*15%</f>
        <v>9390.579</v>
      </c>
      <c r="AP4" s="23">
        <f t="shared" ref="AP4:AP27" si="5">($H4+$I4)*2%</f>
        <v>3355.02</v>
      </c>
      <c r="AQ4" s="36">
        <f t="shared" ref="AQ4:AQ27" si="6">SUM(AL4:AP4)</f>
        <v>26165.679</v>
      </c>
      <c r="AR4" s="23">
        <f t="shared" ref="AR4:AR27" si="7">($H4+$I4)*1%</f>
        <v>1677.51</v>
      </c>
      <c r="AS4" s="11"/>
      <c r="AT4" s="36">
        <f t="shared" ref="AT4:AT27" si="8">AQ4+AR4+AS4</f>
        <v>27843.189</v>
      </c>
      <c r="AU4" s="36">
        <f t="shared" ref="AU4:AU27" si="9">AT4-AG4-AH4-AI4</f>
        <v>-29959.251</v>
      </c>
      <c r="AV4" s="37">
        <f t="shared" ref="AV4:AV27" si="10">AU4/(AG4+AH4+AI4)</f>
        <v>-0.518304261896211</v>
      </c>
      <c r="AW4" s="36">
        <f t="shared" ref="AW4:AW27" si="11">AQ4-AP4+AR4+AS4-AG4</f>
        <v>-6994.321</v>
      </c>
      <c r="AX4" s="37">
        <f t="shared" ref="AX4:AX27" si="12">AW4/AG4</f>
        <v>-0.222165432276799</v>
      </c>
    </row>
    <row r="5" s="2" customFormat="1" ht="22.6" customHeight="1" spans="1:50">
      <c r="A5" s="11" t="s">
        <v>104</v>
      </c>
      <c r="B5" s="9" t="s">
        <v>95</v>
      </c>
      <c r="C5" s="9" t="s">
        <v>105</v>
      </c>
      <c r="D5" s="9">
        <v>8</v>
      </c>
      <c r="E5" s="10">
        <v>31</v>
      </c>
      <c r="F5" s="10" t="s">
        <v>98</v>
      </c>
      <c r="G5" s="10" t="s">
        <v>103</v>
      </c>
      <c r="H5" s="10">
        <v>126632.21</v>
      </c>
      <c r="I5" s="10">
        <v>7597.79</v>
      </c>
      <c r="J5" s="10">
        <v>519.6</v>
      </c>
      <c r="K5" s="10"/>
      <c r="L5" s="10"/>
      <c r="M5" s="10">
        <v>8600</v>
      </c>
      <c r="N5" s="10">
        <v>2146</v>
      </c>
      <c r="O5" s="10"/>
      <c r="P5" s="10"/>
      <c r="Q5" s="10">
        <v>2823</v>
      </c>
      <c r="R5" s="10">
        <v>1020</v>
      </c>
      <c r="S5" s="10">
        <v>50000</v>
      </c>
      <c r="T5" s="10">
        <v>3000</v>
      </c>
      <c r="U5" s="10">
        <v>29907.8</v>
      </c>
      <c r="V5" s="23">
        <v>20134.5</v>
      </c>
      <c r="W5" s="10">
        <v>9773.3</v>
      </c>
      <c r="X5" s="10">
        <v>98016.4</v>
      </c>
      <c r="Y5" s="10">
        <v>77881.9</v>
      </c>
      <c r="Z5" s="10">
        <v>28615.81</v>
      </c>
      <c r="AA5" s="10">
        <v>48750.31</v>
      </c>
      <c r="AB5" s="10" t="s">
        <v>99</v>
      </c>
      <c r="AC5" s="10">
        <v>18314.12</v>
      </c>
      <c r="AD5" s="10">
        <v>10301.69</v>
      </c>
      <c r="AE5" s="23">
        <v>20134.5</v>
      </c>
      <c r="AF5" s="23">
        <v>3433.9</v>
      </c>
      <c r="AG5" s="23">
        <v>23568.4</v>
      </c>
      <c r="AH5" s="23">
        <v>2861.58</v>
      </c>
      <c r="AI5" s="23">
        <v>12018.64</v>
      </c>
      <c r="AJ5" s="23">
        <f t="shared" si="1"/>
        <v>38448.62</v>
      </c>
      <c r="AK5" s="23"/>
      <c r="AL5" s="23">
        <f t="shared" si="0"/>
        <v>1342.3</v>
      </c>
      <c r="AM5" s="23">
        <f t="shared" si="2"/>
        <v>4026.9</v>
      </c>
      <c r="AN5" s="23">
        <f t="shared" si="3"/>
        <v>5369.2</v>
      </c>
      <c r="AO5" s="36">
        <f t="shared" si="4"/>
        <v>5701.7865</v>
      </c>
      <c r="AP5" s="23">
        <f t="shared" si="5"/>
        <v>2684.6</v>
      </c>
      <c r="AQ5" s="36">
        <f t="shared" si="6"/>
        <v>19124.7865</v>
      </c>
      <c r="AR5" s="23">
        <f t="shared" si="7"/>
        <v>1342.3</v>
      </c>
      <c r="AS5" s="11"/>
      <c r="AT5" s="36">
        <f t="shared" si="8"/>
        <v>20467.0865</v>
      </c>
      <c r="AU5" s="36">
        <f t="shared" si="9"/>
        <v>-17981.5335</v>
      </c>
      <c r="AV5" s="37">
        <f t="shared" si="10"/>
        <v>-0.467676954335422</v>
      </c>
      <c r="AW5" s="36">
        <f t="shared" si="11"/>
        <v>-5785.9135</v>
      </c>
      <c r="AX5" s="37">
        <f t="shared" si="12"/>
        <v>-0.245494539298383</v>
      </c>
    </row>
    <row r="6" s="3" customFormat="1" ht="17.05" customHeight="1" spans="1:50">
      <c r="A6" s="12" t="s">
        <v>100</v>
      </c>
      <c r="B6" s="13" t="s">
        <v>101</v>
      </c>
      <c r="C6" s="13" t="s">
        <v>106</v>
      </c>
      <c r="D6" s="13">
        <v>23</v>
      </c>
      <c r="E6" s="14">
        <v>48</v>
      </c>
      <c r="F6" s="14" t="s">
        <v>107</v>
      </c>
      <c r="G6" s="14" t="s">
        <v>108</v>
      </c>
      <c r="H6" s="14">
        <v>221563.15</v>
      </c>
      <c r="I6" s="14">
        <v>13293.85</v>
      </c>
      <c r="J6" s="14">
        <v>997.36</v>
      </c>
      <c r="K6" s="14"/>
      <c r="L6" s="14"/>
      <c r="M6" s="14">
        <v>10500</v>
      </c>
      <c r="N6" s="14">
        <v>2400</v>
      </c>
      <c r="O6" s="14"/>
      <c r="P6" s="14"/>
      <c r="Q6" s="14">
        <v>7440.3</v>
      </c>
      <c r="R6" s="14">
        <v>1300</v>
      </c>
      <c r="S6" s="14">
        <v>78750</v>
      </c>
      <c r="T6" s="14">
        <v>3000</v>
      </c>
      <c r="U6" s="14">
        <v>47678.62</v>
      </c>
      <c r="V6" s="24">
        <v>35228.55</v>
      </c>
      <c r="W6" s="14">
        <v>12450.07</v>
      </c>
      <c r="X6" s="14">
        <v>152066.28</v>
      </c>
      <c r="Y6" s="14">
        <v>116837.73</v>
      </c>
      <c r="Z6" s="14">
        <v>69496.87</v>
      </c>
      <c r="AA6" s="14">
        <v>104725.42</v>
      </c>
      <c r="AB6" s="14" t="s">
        <v>99</v>
      </c>
      <c r="AC6" s="14">
        <v>44477.99</v>
      </c>
      <c r="AD6" s="14">
        <v>25018.88</v>
      </c>
      <c r="AE6" s="24">
        <v>35228.55</v>
      </c>
      <c r="AF6" s="24">
        <v>8339.62</v>
      </c>
      <c r="AG6" s="24">
        <v>43568.17</v>
      </c>
      <c r="AH6" s="24">
        <v>6949.69</v>
      </c>
      <c r="AI6" s="24">
        <v>29188.68</v>
      </c>
      <c r="AJ6" s="24">
        <f t="shared" si="1"/>
        <v>79706.54</v>
      </c>
      <c r="AK6" s="24"/>
      <c r="AL6" s="24">
        <f t="shared" ref="AL6:AL12" si="13">($H6+$I6)*2%</f>
        <v>4697.14</v>
      </c>
      <c r="AM6" s="24">
        <f t="shared" si="2"/>
        <v>7045.71</v>
      </c>
      <c r="AN6" s="24">
        <f t="shared" si="3"/>
        <v>9394.28</v>
      </c>
      <c r="AO6" s="33">
        <f t="shared" si="4"/>
        <v>12538.2435</v>
      </c>
      <c r="AP6" s="24">
        <f t="shared" si="5"/>
        <v>4697.14</v>
      </c>
      <c r="AQ6" s="33">
        <f t="shared" si="6"/>
        <v>38372.5135</v>
      </c>
      <c r="AR6" s="24">
        <f t="shared" si="7"/>
        <v>2348.57</v>
      </c>
      <c r="AS6" s="12"/>
      <c r="AT6" s="33">
        <f t="shared" si="8"/>
        <v>40721.0835</v>
      </c>
      <c r="AU6" s="33">
        <f t="shared" si="9"/>
        <v>-38985.4565</v>
      </c>
      <c r="AV6" s="38">
        <f t="shared" si="10"/>
        <v>-0.489112392784833</v>
      </c>
      <c r="AW6" s="33">
        <f t="shared" si="11"/>
        <v>-7544.2265</v>
      </c>
      <c r="AX6" s="38">
        <f t="shared" si="12"/>
        <v>-0.173159131999347</v>
      </c>
    </row>
    <row r="7" s="4" customFormat="1" ht="17.05" customHeight="1" spans="1:16329">
      <c r="A7" s="15" t="s">
        <v>109</v>
      </c>
      <c r="B7" s="16" t="s">
        <v>110</v>
      </c>
      <c r="C7" s="16" t="s">
        <v>111</v>
      </c>
      <c r="D7" s="16">
        <v>47</v>
      </c>
      <c r="E7" s="17">
        <v>28</v>
      </c>
      <c r="F7" s="17" t="s">
        <v>112</v>
      </c>
      <c r="G7" s="17" t="s">
        <v>108</v>
      </c>
      <c r="H7" s="17">
        <v>125235.87</v>
      </c>
      <c r="I7" s="17">
        <v>7514.13</v>
      </c>
      <c r="J7" s="17">
        <v>589.86</v>
      </c>
      <c r="K7" s="17"/>
      <c r="L7" s="17"/>
      <c r="M7" s="17">
        <v>8000</v>
      </c>
      <c r="N7" s="17">
        <v>6300</v>
      </c>
      <c r="O7" s="17">
        <v>2640</v>
      </c>
      <c r="P7" s="17"/>
      <c r="Q7" s="17">
        <v>2120.65</v>
      </c>
      <c r="R7" s="17">
        <v>2150</v>
      </c>
      <c r="S7" s="17">
        <v>80000</v>
      </c>
      <c r="T7" s="17">
        <v>3000</v>
      </c>
      <c r="U7" s="17">
        <v>28395.92</v>
      </c>
      <c r="V7" s="25">
        <v>19912.5</v>
      </c>
      <c r="W7" s="26">
        <v>8483.42</v>
      </c>
      <c r="X7" s="17">
        <v>133196.43</v>
      </c>
      <c r="Y7" s="26">
        <v>113283.93</v>
      </c>
      <c r="Z7" s="17">
        <v>-7960.56</v>
      </c>
      <c r="AA7" s="26">
        <v>11951.94</v>
      </c>
      <c r="AB7" s="17"/>
      <c r="AC7" s="17"/>
      <c r="AD7" s="17">
        <v>-7960.56</v>
      </c>
      <c r="AE7" s="25">
        <v>19912.5</v>
      </c>
      <c r="AF7" s="30">
        <v>0</v>
      </c>
      <c r="AG7" s="25">
        <v>19912.5</v>
      </c>
      <c r="AH7" s="30">
        <v>0</v>
      </c>
      <c r="AI7" s="30">
        <v>0</v>
      </c>
      <c r="AJ7" s="30">
        <f t="shared" si="1"/>
        <v>19912.5</v>
      </c>
      <c r="AK7" s="30"/>
      <c r="AL7" s="25">
        <f t="shared" si="13"/>
        <v>2655</v>
      </c>
      <c r="AM7" s="25">
        <f t="shared" si="2"/>
        <v>3982.5</v>
      </c>
      <c r="AN7" s="25">
        <f t="shared" si="3"/>
        <v>5310</v>
      </c>
      <c r="AO7" s="39">
        <f t="shared" si="4"/>
        <v>0.665999999999804</v>
      </c>
      <c r="AP7" s="25">
        <f t="shared" si="5"/>
        <v>2655</v>
      </c>
      <c r="AQ7" s="39">
        <f t="shared" si="6"/>
        <v>14603.166</v>
      </c>
      <c r="AR7" s="25">
        <f t="shared" si="7"/>
        <v>1327.5</v>
      </c>
      <c r="AS7" s="40"/>
      <c r="AT7" s="39">
        <f t="shared" si="8"/>
        <v>15930.666</v>
      </c>
      <c r="AU7" s="39">
        <f t="shared" si="9"/>
        <v>-3981.834</v>
      </c>
      <c r="AV7" s="41">
        <f t="shared" si="10"/>
        <v>-0.199966553672316</v>
      </c>
      <c r="AW7" s="39">
        <f t="shared" si="11"/>
        <v>-6636.834</v>
      </c>
      <c r="AX7" s="41">
        <f t="shared" si="12"/>
        <v>-0.33329988700565</v>
      </c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44"/>
      <c r="WLN7" s="44"/>
      <c r="WLO7" s="44"/>
      <c r="WLP7" s="44"/>
      <c r="WLQ7" s="44"/>
      <c r="WLR7" s="44"/>
      <c r="WLS7" s="44"/>
      <c r="WLT7" s="44"/>
      <c r="WLU7" s="44"/>
      <c r="WLV7" s="44"/>
      <c r="WLW7" s="44"/>
      <c r="WLX7" s="44"/>
      <c r="WLY7" s="44"/>
      <c r="WLZ7" s="44"/>
      <c r="WMA7" s="44"/>
      <c r="WMB7" s="44"/>
      <c r="WMC7" s="44"/>
      <c r="WMD7" s="44"/>
      <c r="WME7" s="44"/>
      <c r="WMF7" s="44"/>
      <c r="WMG7" s="44"/>
      <c r="WMH7" s="44"/>
      <c r="WMI7" s="44"/>
      <c r="WMJ7" s="44"/>
      <c r="WMK7" s="44"/>
      <c r="WML7" s="44"/>
      <c r="WMM7" s="44"/>
      <c r="WMN7" s="44"/>
      <c r="WMO7" s="44"/>
      <c r="WMP7" s="44"/>
      <c r="WMQ7" s="44"/>
      <c r="WMR7" s="44"/>
      <c r="WMS7" s="44"/>
      <c r="WMT7" s="44"/>
      <c r="WMU7" s="44"/>
      <c r="WMV7" s="44"/>
      <c r="WMW7" s="44"/>
      <c r="WMX7" s="44"/>
      <c r="WMY7" s="44"/>
      <c r="WMZ7" s="44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44"/>
      <c r="WVJ7" s="44"/>
      <c r="WVK7" s="44"/>
      <c r="WVL7" s="44"/>
      <c r="WVM7" s="44"/>
      <c r="WVN7" s="44"/>
      <c r="WVO7" s="44"/>
      <c r="WVP7" s="44"/>
      <c r="WVQ7" s="44"/>
      <c r="WVR7" s="44"/>
      <c r="WVS7" s="44"/>
      <c r="WVT7" s="44"/>
      <c r="WVU7" s="44"/>
      <c r="WVV7" s="44"/>
      <c r="WVW7" s="44"/>
      <c r="WVX7" s="44"/>
      <c r="WVY7" s="44"/>
      <c r="WVZ7" s="44"/>
      <c r="WWA7" s="44"/>
      <c r="WWB7" s="44"/>
      <c r="WWC7" s="44"/>
      <c r="WWD7" s="44"/>
      <c r="WWE7" s="44"/>
      <c r="WWF7" s="44"/>
      <c r="WWG7" s="44"/>
      <c r="WWH7" s="44"/>
      <c r="WWI7" s="44"/>
      <c r="WWJ7" s="44"/>
      <c r="WWK7" s="44"/>
      <c r="WWL7" s="44"/>
      <c r="WWM7" s="44"/>
      <c r="WWN7" s="44"/>
      <c r="WWO7" s="44"/>
      <c r="WWP7" s="44"/>
      <c r="WWQ7" s="44"/>
      <c r="WWR7" s="44"/>
      <c r="WWS7" s="44"/>
      <c r="WWT7" s="44"/>
      <c r="WWU7" s="44"/>
      <c r="WWV7" s="44"/>
      <c r="WWW7" s="44"/>
      <c r="WWX7" s="44"/>
      <c r="WWY7" s="44"/>
      <c r="WWZ7" s="44"/>
      <c r="WXA7" s="44"/>
      <c r="WXB7" s="44"/>
      <c r="WXC7" s="44"/>
      <c r="WXD7" s="44"/>
      <c r="WXE7" s="44"/>
      <c r="WXF7" s="44"/>
      <c r="WXG7" s="44"/>
      <c r="WXH7" s="44"/>
      <c r="WXI7" s="44"/>
      <c r="WXJ7" s="44"/>
      <c r="WXK7" s="44"/>
      <c r="WXL7" s="44"/>
      <c r="WXM7" s="44"/>
      <c r="WXN7" s="44"/>
      <c r="WXO7" s="44"/>
      <c r="WXP7" s="44"/>
      <c r="WXQ7" s="44"/>
      <c r="WXR7" s="44"/>
      <c r="WXS7" s="44"/>
      <c r="WXT7" s="44"/>
      <c r="WXU7" s="44"/>
      <c r="WXV7" s="44"/>
      <c r="WXW7" s="44"/>
      <c r="WXX7" s="44"/>
      <c r="WXY7" s="44"/>
      <c r="WXZ7" s="44"/>
      <c r="WYA7" s="44"/>
      <c r="WYB7" s="44"/>
      <c r="WYC7" s="44"/>
      <c r="WYD7" s="44"/>
      <c r="WYE7" s="44"/>
      <c r="WYF7" s="44"/>
      <c r="WYG7" s="44"/>
      <c r="WYH7" s="44"/>
      <c r="WYI7" s="44"/>
      <c r="WYJ7" s="44"/>
      <c r="WYK7" s="44"/>
      <c r="WYL7" s="44"/>
      <c r="WYM7" s="44"/>
      <c r="WYN7" s="44"/>
      <c r="WYO7" s="44"/>
      <c r="WYP7" s="44"/>
      <c r="WYQ7" s="44"/>
      <c r="WYR7" s="44"/>
      <c r="WYS7" s="44"/>
      <c r="WYT7" s="44"/>
      <c r="WYU7" s="44"/>
      <c r="WYV7" s="44"/>
      <c r="WYW7" s="44"/>
      <c r="WYX7" s="44"/>
      <c r="WYY7" s="44"/>
      <c r="WYZ7" s="44"/>
      <c r="WZA7" s="44"/>
      <c r="WZB7" s="44"/>
      <c r="WZC7" s="44"/>
      <c r="WZD7" s="44"/>
      <c r="WZE7" s="44"/>
      <c r="WZF7" s="44"/>
      <c r="WZG7" s="44"/>
      <c r="WZH7" s="44"/>
      <c r="WZI7" s="44"/>
      <c r="WZJ7" s="44"/>
      <c r="WZK7" s="44"/>
      <c r="WZL7" s="44"/>
      <c r="WZM7" s="44"/>
      <c r="WZN7" s="44"/>
      <c r="WZO7" s="44"/>
      <c r="WZP7" s="44"/>
      <c r="WZQ7" s="44"/>
      <c r="WZR7" s="44"/>
      <c r="WZS7" s="44"/>
      <c r="WZT7" s="44"/>
      <c r="WZU7" s="44"/>
      <c r="WZV7" s="44"/>
      <c r="WZW7" s="44"/>
      <c r="WZX7" s="44"/>
      <c r="WZY7" s="44"/>
      <c r="WZZ7" s="44"/>
      <c r="XAA7" s="44"/>
      <c r="XAB7" s="44"/>
      <c r="XAC7" s="44"/>
      <c r="XAD7" s="44"/>
      <c r="XAE7" s="44"/>
      <c r="XAF7" s="44"/>
      <c r="XAG7" s="44"/>
      <c r="XAH7" s="44"/>
      <c r="XAI7" s="44"/>
      <c r="XAJ7" s="44"/>
      <c r="XAK7" s="44"/>
      <c r="XAL7" s="44"/>
      <c r="XAM7" s="44"/>
      <c r="XAN7" s="44"/>
      <c r="XAO7" s="44"/>
      <c r="XAP7" s="44"/>
      <c r="XAQ7" s="44"/>
      <c r="XAR7" s="44"/>
      <c r="XAS7" s="44"/>
      <c r="XAT7" s="44"/>
      <c r="XAU7" s="44"/>
      <c r="XAV7" s="44"/>
      <c r="XAW7" s="44"/>
      <c r="XAX7" s="44"/>
      <c r="XAY7" s="44"/>
      <c r="XAZ7" s="44"/>
      <c r="XBA7" s="44"/>
      <c r="XBB7" s="44"/>
      <c r="XBC7" s="44"/>
      <c r="XBD7" s="44"/>
      <c r="XBE7" s="44"/>
      <c r="XBF7" s="44"/>
      <c r="XBG7" s="44"/>
      <c r="XBH7" s="44"/>
      <c r="XBI7" s="44"/>
      <c r="XBJ7" s="44"/>
      <c r="XBK7" s="44"/>
      <c r="XBL7" s="44"/>
      <c r="XBM7" s="44"/>
      <c r="XBN7" s="44"/>
      <c r="XBO7" s="44"/>
      <c r="XBP7" s="44"/>
      <c r="XBQ7" s="44"/>
      <c r="XBR7" s="44"/>
      <c r="XBS7" s="44"/>
      <c r="XBT7" s="44"/>
      <c r="XBU7" s="44"/>
      <c r="XBV7" s="44"/>
      <c r="XBW7" s="44"/>
      <c r="XBX7" s="44"/>
      <c r="XBY7" s="44"/>
      <c r="XBZ7" s="44"/>
      <c r="XCA7" s="44"/>
      <c r="XCB7" s="44"/>
      <c r="XCC7" s="44"/>
      <c r="XCD7" s="44"/>
      <c r="XCE7" s="44"/>
      <c r="XCF7" s="44"/>
      <c r="XCG7" s="44"/>
      <c r="XCH7" s="44"/>
      <c r="XCI7" s="44"/>
      <c r="XCJ7" s="44"/>
      <c r="XCK7" s="44"/>
      <c r="XCL7" s="44"/>
      <c r="XCM7" s="44"/>
      <c r="XCN7" s="44"/>
      <c r="XCO7" s="44"/>
      <c r="XCP7" s="44"/>
      <c r="XCQ7" s="44"/>
      <c r="XCR7" s="44"/>
      <c r="XCS7" s="44"/>
      <c r="XCT7" s="44"/>
      <c r="XCU7" s="44"/>
      <c r="XCV7" s="44"/>
      <c r="XCW7" s="44"/>
      <c r="XCX7" s="44"/>
      <c r="XCY7" s="44"/>
      <c r="XCZ7" s="44"/>
      <c r="XDA7" s="44"/>
    </row>
    <row r="8" s="2" customFormat="1" ht="17.05" customHeight="1" spans="1:50">
      <c r="A8" s="11" t="s">
        <v>113</v>
      </c>
      <c r="B8" s="9" t="s">
        <v>114</v>
      </c>
      <c r="C8" s="9" t="s">
        <v>115</v>
      </c>
      <c r="D8" s="9">
        <v>16</v>
      </c>
      <c r="E8" s="10">
        <v>40</v>
      </c>
      <c r="F8" s="10" t="s">
        <v>112</v>
      </c>
      <c r="G8" s="10" t="s">
        <v>108</v>
      </c>
      <c r="H8" s="10">
        <v>161353.94</v>
      </c>
      <c r="I8" s="10">
        <v>9681.06</v>
      </c>
      <c r="J8" s="10">
        <v>585.69</v>
      </c>
      <c r="K8" s="10"/>
      <c r="L8" s="10"/>
      <c r="M8" s="10">
        <v>11000</v>
      </c>
      <c r="N8" s="10"/>
      <c r="O8" s="10">
        <v>3000</v>
      </c>
      <c r="P8" s="10"/>
      <c r="Q8" s="10">
        <v>3230.04</v>
      </c>
      <c r="R8" s="10">
        <v>3365</v>
      </c>
      <c r="S8" s="10">
        <v>60000</v>
      </c>
      <c r="T8" s="10">
        <v>3000</v>
      </c>
      <c r="U8" s="10">
        <v>37930.25</v>
      </c>
      <c r="V8" s="23">
        <v>25655.25</v>
      </c>
      <c r="W8" s="10">
        <v>12275</v>
      </c>
      <c r="X8" s="10">
        <v>122110.98</v>
      </c>
      <c r="Y8" s="10">
        <v>96455.73</v>
      </c>
      <c r="Z8" s="10">
        <v>39242.96</v>
      </c>
      <c r="AA8" s="10">
        <v>64898.21</v>
      </c>
      <c r="AB8" s="10" t="s">
        <v>99</v>
      </c>
      <c r="AC8" s="10">
        <v>25098.88</v>
      </c>
      <c r="AD8" s="10">
        <v>14144.08</v>
      </c>
      <c r="AE8" s="23">
        <v>25655.25</v>
      </c>
      <c r="AF8" s="23">
        <v>6666.89</v>
      </c>
      <c r="AG8" s="23">
        <v>32322.14</v>
      </c>
      <c r="AH8" s="23">
        <v>3921.7</v>
      </c>
      <c r="AI8" s="23">
        <v>14510.29</v>
      </c>
      <c r="AJ8" s="23">
        <f t="shared" si="1"/>
        <v>50754.13</v>
      </c>
      <c r="AK8" s="23"/>
      <c r="AL8" s="23">
        <f t="shared" si="0"/>
        <v>1710.35</v>
      </c>
      <c r="AM8" s="23">
        <f t="shared" si="2"/>
        <v>5131.05</v>
      </c>
      <c r="AN8" s="23">
        <f t="shared" si="3"/>
        <v>6841.4</v>
      </c>
      <c r="AO8" s="36">
        <f t="shared" si="4"/>
        <v>7682.3115</v>
      </c>
      <c r="AP8" s="23">
        <f t="shared" si="5"/>
        <v>3420.7</v>
      </c>
      <c r="AQ8" s="36">
        <f t="shared" si="6"/>
        <v>24785.8115</v>
      </c>
      <c r="AR8" s="23">
        <f t="shared" si="7"/>
        <v>1710.35</v>
      </c>
      <c r="AS8" s="11"/>
      <c r="AT8" s="36">
        <f t="shared" si="8"/>
        <v>26496.1615</v>
      </c>
      <c r="AU8" s="36">
        <f t="shared" si="9"/>
        <v>-24257.9685</v>
      </c>
      <c r="AV8" s="37">
        <f t="shared" si="10"/>
        <v>-0.477950631800801</v>
      </c>
      <c r="AW8" s="36">
        <f t="shared" si="11"/>
        <v>-9246.6785</v>
      </c>
      <c r="AX8" s="37">
        <f t="shared" si="12"/>
        <v>-0.286078783768649</v>
      </c>
    </row>
    <row r="9" s="3" customFormat="1" ht="17.05" customHeight="1" spans="1:50">
      <c r="A9" s="12" t="s">
        <v>113</v>
      </c>
      <c r="B9" s="13" t="s">
        <v>114</v>
      </c>
      <c r="C9" s="13" t="s">
        <v>116</v>
      </c>
      <c r="D9" s="13">
        <v>33</v>
      </c>
      <c r="E9" s="14">
        <v>51</v>
      </c>
      <c r="F9" s="14" t="s">
        <v>117</v>
      </c>
      <c r="G9" s="14" t="s">
        <v>118</v>
      </c>
      <c r="H9" s="14">
        <v>272396.42</v>
      </c>
      <c r="I9" s="14">
        <v>16343.58</v>
      </c>
      <c r="J9" s="14">
        <v>1481.4</v>
      </c>
      <c r="K9" s="14"/>
      <c r="L9" s="14"/>
      <c r="M9" s="14">
        <v>11000</v>
      </c>
      <c r="N9" s="14"/>
      <c r="O9" s="14">
        <v>4400</v>
      </c>
      <c r="P9" s="14"/>
      <c r="Q9" s="14">
        <v>5792.28</v>
      </c>
      <c r="R9" s="14">
        <v>3865</v>
      </c>
      <c r="S9" s="14">
        <v>86000</v>
      </c>
      <c r="T9" s="14">
        <v>3000</v>
      </c>
      <c r="U9" s="14">
        <v>70716.03</v>
      </c>
      <c r="V9" s="24">
        <v>43311</v>
      </c>
      <c r="W9" s="14">
        <v>27405.03</v>
      </c>
      <c r="X9" s="14">
        <v>186254.71</v>
      </c>
      <c r="Y9" s="14">
        <v>142943.71</v>
      </c>
      <c r="Z9" s="14">
        <v>86141.71</v>
      </c>
      <c r="AA9" s="14">
        <v>129452.71</v>
      </c>
      <c r="AB9" s="14" t="s">
        <v>99</v>
      </c>
      <c r="AC9" s="14">
        <v>55130.69</v>
      </c>
      <c r="AD9" s="14">
        <v>31011.02</v>
      </c>
      <c r="AE9" s="24">
        <v>43311</v>
      </c>
      <c r="AF9" s="24">
        <v>14644.09</v>
      </c>
      <c r="AG9" s="24">
        <v>57955.09</v>
      </c>
      <c r="AH9" s="24">
        <v>8614.17</v>
      </c>
      <c r="AI9" s="24">
        <v>31872.43</v>
      </c>
      <c r="AJ9" s="24">
        <f t="shared" si="1"/>
        <v>98441.69</v>
      </c>
      <c r="AK9" s="24"/>
      <c r="AL9" s="24">
        <f t="shared" si="13"/>
        <v>5774.8</v>
      </c>
      <c r="AM9" s="24">
        <f t="shared" si="2"/>
        <v>8662.2</v>
      </c>
      <c r="AN9" s="24">
        <f t="shared" si="3"/>
        <v>11549.6</v>
      </c>
      <c r="AO9" s="33">
        <f t="shared" si="4"/>
        <v>15519.9165</v>
      </c>
      <c r="AP9" s="24">
        <f t="shared" si="5"/>
        <v>5774.8</v>
      </c>
      <c r="AQ9" s="33">
        <f t="shared" si="6"/>
        <v>47281.3165</v>
      </c>
      <c r="AR9" s="24">
        <f t="shared" si="7"/>
        <v>2887.4</v>
      </c>
      <c r="AS9" s="12"/>
      <c r="AT9" s="33">
        <f t="shared" si="8"/>
        <v>50168.7165</v>
      </c>
      <c r="AU9" s="33">
        <f t="shared" si="9"/>
        <v>-48272.9735</v>
      </c>
      <c r="AV9" s="38">
        <f t="shared" si="10"/>
        <v>-0.490371239055323</v>
      </c>
      <c r="AW9" s="33">
        <f t="shared" si="11"/>
        <v>-13561.1735</v>
      </c>
      <c r="AX9" s="38">
        <f t="shared" si="12"/>
        <v>-0.233994520584818</v>
      </c>
    </row>
    <row r="10" s="3" customFormat="1" ht="17.05" customHeight="1" spans="1:50">
      <c r="A10" s="12" t="s">
        <v>100</v>
      </c>
      <c r="B10" s="13" t="s">
        <v>101</v>
      </c>
      <c r="C10" s="13" t="s">
        <v>119</v>
      </c>
      <c r="D10" s="13">
        <v>3</v>
      </c>
      <c r="E10" s="14">
        <v>63</v>
      </c>
      <c r="F10" s="14" t="s">
        <v>117</v>
      </c>
      <c r="G10" s="14" t="s">
        <v>118</v>
      </c>
      <c r="H10" s="14">
        <v>257349.33</v>
      </c>
      <c r="I10" s="14">
        <v>15440.67</v>
      </c>
      <c r="J10" s="14">
        <v>883.32</v>
      </c>
      <c r="K10" s="14"/>
      <c r="L10" s="14"/>
      <c r="M10" s="14">
        <v>12000</v>
      </c>
      <c r="N10" s="14">
        <v>3590</v>
      </c>
      <c r="O10" s="14"/>
      <c r="P10" s="14"/>
      <c r="Q10" s="14">
        <v>4518.2</v>
      </c>
      <c r="R10" s="14">
        <v>1200</v>
      </c>
      <c r="S10" s="14">
        <v>50000</v>
      </c>
      <c r="T10" s="14">
        <v>3000</v>
      </c>
      <c r="U10" s="14">
        <v>52267.91</v>
      </c>
      <c r="V10" s="24">
        <v>41135</v>
      </c>
      <c r="W10" s="14">
        <v>11132.91</v>
      </c>
      <c r="X10" s="14">
        <v>127459.43</v>
      </c>
      <c r="Y10" s="14">
        <v>86324.43</v>
      </c>
      <c r="Z10" s="14">
        <v>129889.9</v>
      </c>
      <c r="AA10" s="14">
        <v>171024.9</v>
      </c>
      <c r="AB10" s="14" t="s">
        <v>99</v>
      </c>
      <c r="AC10" s="14">
        <v>83129.53</v>
      </c>
      <c r="AD10" s="14">
        <v>46760.37</v>
      </c>
      <c r="AE10" s="24">
        <v>41135</v>
      </c>
      <c r="AF10" s="24">
        <v>15586.79</v>
      </c>
      <c r="AG10" s="24">
        <v>56721.79</v>
      </c>
      <c r="AH10" s="24">
        <v>12988.99</v>
      </c>
      <c r="AI10" s="24">
        <v>54553.75</v>
      </c>
      <c r="AJ10" s="24">
        <f t="shared" si="1"/>
        <v>124264.53</v>
      </c>
      <c r="AK10" s="24"/>
      <c r="AL10" s="24">
        <f t="shared" si="13"/>
        <v>5455.8</v>
      </c>
      <c r="AM10" s="24">
        <f t="shared" si="2"/>
        <v>8183.7</v>
      </c>
      <c r="AN10" s="24">
        <f t="shared" si="3"/>
        <v>10911.6</v>
      </c>
      <c r="AO10" s="33">
        <f t="shared" si="4"/>
        <v>21971.07</v>
      </c>
      <c r="AP10" s="24">
        <f t="shared" si="5"/>
        <v>5455.8</v>
      </c>
      <c r="AQ10" s="33">
        <f t="shared" si="6"/>
        <v>51977.97</v>
      </c>
      <c r="AR10" s="24">
        <f t="shared" si="7"/>
        <v>2727.9</v>
      </c>
      <c r="AS10" s="12"/>
      <c r="AT10" s="33">
        <f t="shared" si="8"/>
        <v>54705.87</v>
      </c>
      <c r="AU10" s="33">
        <f t="shared" si="9"/>
        <v>-69558.66</v>
      </c>
      <c r="AV10" s="38">
        <f t="shared" si="10"/>
        <v>-0.559762789912777</v>
      </c>
      <c r="AW10" s="33">
        <f t="shared" si="11"/>
        <v>-7471.72</v>
      </c>
      <c r="AX10" s="38">
        <f t="shared" si="12"/>
        <v>-0.131725744198129</v>
      </c>
    </row>
    <row r="11" s="3" customFormat="1" ht="17.05" customHeight="1" spans="1:50">
      <c r="A11" s="12" t="s">
        <v>109</v>
      </c>
      <c r="B11" s="13" t="s">
        <v>110</v>
      </c>
      <c r="C11" s="13" t="s">
        <v>120</v>
      </c>
      <c r="D11" s="13">
        <v>60</v>
      </c>
      <c r="E11" s="14">
        <v>43</v>
      </c>
      <c r="F11" s="14" t="s">
        <v>117</v>
      </c>
      <c r="G11" s="14" t="s">
        <v>118</v>
      </c>
      <c r="H11" s="14">
        <v>216216.9</v>
      </c>
      <c r="I11" s="14">
        <v>12973.1</v>
      </c>
      <c r="J11" s="14">
        <v>454.26</v>
      </c>
      <c r="K11" s="14"/>
      <c r="L11" s="14"/>
      <c r="M11" s="14">
        <v>10000</v>
      </c>
      <c r="N11" s="14">
        <v>6000</v>
      </c>
      <c r="O11" s="14">
        <v>5360</v>
      </c>
      <c r="P11" s="14"/>
      <c r="Q11" s="14">
        <v>3092.06</v>
      </c>
      <c r="R11" s="14">
        <v>2150</v>
      </c>
      <c r="S11" s="14">
        <v>63000</v>
      </c>
      <c r="T11" s="14">
        <v>3000</v>
      </c>
      <c r="U11" s="14">
        <v>36824.17</v>
      </c>
      <c r="V11" s="24">
        <v>34378.5</v>
      </c>
      <c r="W11" s="14">
        <v>2445.67</v>
      </c>
      <c r="X11" s="14">
        <v>129880.49</v>
      </c>
      <c r="Y11" s="14">
        <v>95501.99</v>
      </c>
      <c r="Z11" s="14">
        <v>86336.41</v>
      </c>
      <c r="AA11" s="14">
        <v>120714.91</v>
      </c>
      <c r="AB11" s="14" t="s">
        <v>99</v>
      </c>
      <c r="AC11" s="14">
        <v>55255.29</v>
      </c>
      <c r="AD11" s="14">
        <v>31081.12</v>
      </c>
      <c r="AE11" s="24">
        <v>34378.5</v>
      </c>
      <c r="AF11" s="24">
        <v>14677.19</v>
      </c>
      <c r="AG11" s="24">
        <v>49055.69</v>
      </c>
      <c r="AH11" s="24">
        <v>8633.64</v>
      </c>
      <c r="AI11" s="24">
        <v>31944.46</v>
      </c>
      <c r="AJ11" s="24">
        <f t="shared" si="1"/>
        <v>89633.79</v>
      </c>
      <c r="AK11" s="24"/>
      <c r="AL11" s="24">
        <f t="shared" si="13"/>
        <v>4583.8</v>
      </c>
      <c r="AM11" s="24">
        <f t="shared" si="2"/>
        <v>6875.7</v>
      </c>
      <c r="AN11" s="24">
        <f t="shared" si="3"/>
        <v>9167.6</v>
      </c>
      <c r="AO11" s="33">
        <f t="shared" si="4"/>
        <v>15013.1715</v>
      </c>
      <c r="AP11" s="24">
        <f t="shared" si="5"/>
        <v>4583.8</v>
      </c>
      <c r="AQ11" s="33">
        <f t="shared" si="6"/>
        <v>40224.0715</v>
      </c>
      <c r="AR11" s="24">
        <f t="shared" si="7"/>
        <v>2291.9</v>
      </c>
      <c r="AS11" s="12"/>
      <c r="AT11" s="33">
        <f t="shared" si="8"/>
        <v>42515.9715</v>
      </c>
      <c r="AU11" s="33">
        <f t="shared" si="9"/>
        <v>-47117.8185</v>
      </c>
      <c r="AV11" s="38">
        <f t="shared" si="10"/>
        <v>-0.525670268991192</v>
      </c>
      <c r="AW11" s="33">
        <f t="shared" si="11"/>
        <v>-11123.5185</v>
      </c>
      <c r="AX11" s="38">
        <f t="shared" si="12"/>
        <v>-0.226752870054422</v>
      </c>
    </row>
    <row r="12" s="3" customFormat="1" ht="17.05" customHeight="1" spans="1:50">
      <c r="A12" s="12" t="s">
        <v>100</v>
      </c>
      <c r="B12" s="13" t="s">
        <v>101</v>
      </c>
      <c r="C12" s="13" t="s">
        <v>121</v>
      </c>
      <c r="D12" s="13">
        <v>37</v>
      </c>
      <c r="E12" s="14">
        <v>63</v>
      </c>
      <c r="F12" s="14" t="s">
        <v>117</v>
      </c>
      <c r="G12" s="14" t="s">
        <v>118</v>
      </c>
      <c r="H12" s="14">
        <v>214925.64</v>
      </c>
      <c r="I12" s="14">
        <v>12895.36</v>
      </c>
      <c r="J12" s="14">
        <v>1108.25</v>
      </c>
      <c r="K12" s="14"/>
      <c r="L12" s="14"/>
      <c r="M12" s="14">
        <v>7000</v>
      </c>
      <c r="N12" s="14">
        <v>3800</v>
      </c>
      <c r="O12" s="14"/>
      <c r="P12" s="14">
        <v>1105</v>
      </c>
      <c r="Q12" s="14">
        <v>3709.2</v>
      </c>
      <c r="R12" s="14">
        <v>1600</v>
      </c>
      <c r="S12" s="14">
        <v>50000</v>
      </c>
      <c r="T12" s="14">
        <v>3000</v>
      </c>
      <c r="U12" s="14">
        <v>42486.77</v>
      </c>
      <c r="V12" s="24">
        <v>34173.15</v>
      </c>
      <c r="W12" s="14">
        <v>8313.62</v>
      </c>
      <c r="X12" s="14">
        <v>113809.22</v>
      </c>
      <c r="Y12" s="14">
        <v>79636.07</v>
      </c>
      <c r="Z12" s="14">
        <v>101116.42</v>
      </c>
      <c r="AA12" s="14">
        <v>135289.57</v>
      </c>
      <c r="AB12" s="14" t="s">
        <v>99</v>
      </c>
      <c r="AC12" s="14">
        <v>64714.52</v>
      </c>
      <c r="AD12" s="14">
        <v>36401.9</v>
      </c>
      <c r="AE12" s="24">
        <v>34173.15</v>
      </c>
      <c r="AF12" s="24">
        <v>12133.98</v>
      </c>
      <c r="AG12" s="24">
        <v>46307.13</v>
      </c>
      <c r="AH12" s="24">
        <v>10111.64</v>
      </c>
      <c r="AI12" s="24">
        <v>42468.9</v>
      </c>
      <c r="AJ12" s="24">
        <f t="shared" si="1"/>
        <v>98887.67</v>
      </c>
      <c r="AK12" s="24"/>
      <c r="AL12" s="24">
        <f t="shared" si="13"/>
        <v>4556.42</v>
      </c>
      <c r="AM12" s="24">
        <f t="shared" si="2"/>
        <v>6834.63</v>
      </c>
      <c r="AN12" s="24">
        <f t="shared" si="3"/>
        <v>9112.84</v>
      </c>
      <c r="AO12" s="33">
        <f t="shared" si="4"/>
        <v>17217.852</v>
      </c>
      <c r="AP12" s="24">
        <f t="shared" si="5"/>
        <v>4556.42</v>
      </c>
      <c r="AQ12" s="33">
        <f t="shared" si="6"/>
        <v>42278.162</v>
      </c>
      <c r="AR12" s="24">
        <f t="shared" si="7"/>
        <v>2278.21</v>
      </c>
      <c r="AS12" s="12"/>
      <c r="AT12" s="33">
        <f t="shared" si="8"/>
        <v>44556.372</v>
      </c>
      <c r="AU12" s="33">
        <f t="shared" si="9"/>
        <v>-54331.298</v>
      </c>
      <c r="AV12" s="38">
        <f t="shared" si="10"/>
        <v>-0.549424392343353</v>
      </c>
      <c r="AW12" s="33">
        <f t="shared" si="11"/>
        <v>-6307.17800000001</v>
      </c>
      <c r="AX12" s="38">
        <f t="shared" si="12"/>
        <v>-0.136203172168087</v>
      </c>
    </row>
    <row r="13" s="2" customFormat="1" spans="1:50">
      <c r="A13" s="11" t="s">
        <v>109</v>
      </c>
      <c r="B13" s="9" t="s">
        <v>110</v>
      </c>
      <c r="C13" s="9" t="s">
        <v>106</v>
      </c>
      <c r="D13" s="9">
        <v>25</v>
      </c>
      <c r="E13" s="10">
        <v>29</v>
      </c>
      <c r="F13" s="10" t="s">
        <v>122</v>
      </c>
      <c r="G13" s="10" t="s">
        <v>123</v>
      </c>
      <c r="H13" s="10">
        <v>145820.7</v>
      </c>
      <c r="I13" s="10">
        <v>8749.3</v>
      </c>
      <c r="J13" s="10">
        <v>282.9</v>
      </c>
      <c r="K13" s="10"/>
      <c r="L13" s="10"/>
      <c r="M13" s="10">
        <v>12000</v>
      </c>
      <c r="N13" s="10">
        <v>3000</v>
      </c>
      <c r="O13" s="10">
        <v>5000</v>
      </c>
      <c r="P13" s="10"/>
      <c r="Q13" s="10">
        <v>3662.51</v>
      </c>
      <c r="R13" s="10">
        <v>2650</v>
      </c>
      <c r="S13" s="10">
        <v>78750</v>
      </c>
      <c r="T13" s="10">
        <v>3000</v>
      </c>
      <c r="U13" s="10">
        <v>28726.57</v>
      </c>
      <c r="V13" s="23">
        <v>23185.5</v>
      </c>
      <c r="W13" s="10">
        <v>5541.07</v>
      </c>
      <c r="X13" s="10">
        <v>137071.98</v>
      </c>
      <c r="Y13" s="10">
        <v>113886.48</v>
      </c>
      <c r="Z13" s="10">
        <v>8748.72</v>
      </c>
      <c r="AA13" s="10">
        <v>31934.22</v>
      </c>
      <c r="AB13" s="10" t="s">
        <v>99</v>
      </c>
      <c r="AC13" s="10">
        <v>5599.16</v>
      </c>
      <c r="AD13" s="10">
        <v>3149.56</v>
      </c>
      <c r="AE13" s="23">
        <v>23185.5</v>
      </c>
      <c r="AF13" s="23">
        <v>1487.27</v>
      </c>
      <c r="AG13" s="23">
        <v>24672.77</v>
      </c>
      <c r="AH13" s="23">
        <v>874.87</v>
      </c>
      <c r="AI13" s="23">
        <v>3237.02</v>
      </c>
      <c r="AJ13" s="23">
        <f t="shared" si="1"/>
        <v>28784.66</v>
      </c>
      <c r="AK13" s="23"/>
      <c r="AL13" s="23">
        <f>($H13+$I13)*1%</f>
        <v>1545.7</v>
      </c>
      <c r="AM13" s="23">
        <f t="shared" si="2"/>
        <v>4637.1</v>
      </c>
      <c r="AN13" s="23">
        <f t="shared" si="3"/>
        <v>6182.8</v>
      </c>
      <c r="AO13" s="36">
        <f t="shared" si="4"/>
        <v>2935.293</v>
      </c>
      <c r="AP13" s="23">
        <f t="shared" si="5"/>
        <v>3091.4</v>
      </c>
      <c r="AQ13" s="36">
        <f t="shared" si="6"/>
        <v>18392.293</v>
      </c>
      <c r="AR13" s="23">
        <f t="shared" si="7"/>
        <v>1545.7</v>
      </c>
      <c r="AS13" s="11"/>
      <c r="AT13" s="36">
        <f t="shared" si="8"/>
        <v>19937.993</v>
      </c>
      <c r="AU13" s="36">
        <f t="shared" si="9"/>
        <v>-8846.667</v>
      </c>
      <c r="AV13" s="37">
        <f t="shared" si="10"/>
        <v>-0.307339638543585</v>
      </c>
      <c r="AW13" s="36">
        <f t="shared" si="11"/>
        <v>-7826.177</v>
      </c>
      <c r="AX13" s="37">
        <f t="shared" si="12"/>
        <v>-0.317198960635551</v>
      </c>
    </row>
    <row r="14" s="3" customFormat="1" ht="26" spans="1:50">
      <c r="A14" s="12" t="s">
        <v>94</v>
      </c>
      <c r="B14" s="13" t="s">
        <v>95</v>
      </c>
      <c r="C14" s="13" t="s">
        <v>124</v>
      </c>
      <c r="D14" s="13">
        <v>2</v>
      </c>
      <c r="E14" s="14">
        <v>49</v>
      </c>
      <c r="F14" s="14" t="s">
        <v>122</v>
      </c>
      <c r="G14" s="14" t="s">
        <v>125</v>
      </c>
      <c r="H14" s="14">
        <v>200160.59</v>
      </c>
      <c r="I14" s="14">
        <v>12009.41</v>
      </c>
      <c r="J14" s="14">
        <v>259.8</v>
      </c>
      <c r="K14" s="14"/>
      <c r="L14" s="14"/>
      <c r="M14" s="14">
        <v>8600</v>
      </c>
      <c r="N14" s="14">
        <v>3596</v>
      </c>
      <c r="O14" s="14"/>
      <c r="P14" s="14"/>
      <c r="Q14" s="14">
        <v>2719</v>
      </c>
      <c r="R14" s="14">
        <v>1260</v>
      </c>
      <c r="S14" s="14">
        <v>63000</v>
      </c>
      <c r="T14" s="14">
        <v>3000</v>
      </c>
      <c r="U14" s="14">
        <v>38699.5</v>
      </c>
      <c r="V14" s="24">
        <v>31825.5</v>
      </c>
      <c r="W14" s="14">
        <v>6874</v>
      </c>
      <c r="X14" s="14">
        <v>121134.3</v>
      </c>
      <c r="Y14" s="14">
        <v>89308.8</v>
      </c>
      <c r="Z14" s="14">
        <v>79026.29</v>
      </c>
      <c r="AA14" s="14">
        <v>110851.79</v>
      </c>
      <c r="AB14" s="14" t="s">
        <v>99</v>
      </c>
      <c r="AC14" s="14">
        <v>50576.83</v>
      </c>
      <c r="AD14" s="14">
        <v>28449.46</v>
      </c>
      <c r="AE14" s="24">
        <v>31825.5</v>
      </c>
      <c r="AF14" s="24">
        <v>9483.16</v>
      </c>
      <c r="AG14" s="24">
        <v>41308.66</v>
      </c>
      <c r="AH14" s="24">
        <v>7902.63</v>
      </c>
      <c r="AI14" s="24">
        <v>33191.04</v>
      </c>
      <c r="AJ14" s="24">
        <f t="shared" si="1"/>
        <v>82402.33</v>
      </c>
      <c r="AK14" s="24"/>
      <c r="AL14" s="24">
        <f t="shared" ref="AL14:AL19" si="14">($H14+$I14)*2%</f>
        <v>4243.4</v>
      </c>
      <c r="AM14" s="24">
        <f t="shared" si="2"/>
        <v>6365.1</v>
      </c>
      <c r="AN14" s="24">
        <f t="shared" si="3"/>
        <v>8486.8</v>
      </c>
      <c r="AO14" s="33">
        <f t="shared" si="4"/>
        <v>13763.4735</v>
      </c>
      <c r="AP14" s="24">
        <f t="shared" si="5"/>
        <v>4243.4</v>
      </c>
      <c r="AQ14" s="33">
        <f t="shared" si="6"/>
        <v>37102.1735</v>
      </c>
      <c r="AR14" s="24">
        <f t="shared" si="7"/>
        <v>2121.7</v>
      </c>
      <c r="AS14" s="12"/>
      <c r="AT14" s="33">
        <f t="shared" si="8"/>
        <v>39223.8735</v>
      </c>
      <c r="AU14" s="33">
        <f t="shared" si="9"/>
        <v>-43178.4565</v>
      </c>
      <c r="AV14" s="38">
        <f t="shared" si="10"/>
        <v>-0.523995577552237</v>
      </c>
      <c r="AW14" s="33">
        <f t="shared" si="11"/>
        <v>-6328.18650000001</v>
      </c>
      <c r="AX14" s="38">
        <f t="shared" si="12"/>
        <v>-0.153192732468204</v>
      </c>
    </row>
    <row r="15" s="3" customFormat="1" spans="1:50">
      <c r="A15" s="12" t="s">
        <v>100</v>
      </c>
      <c r="B15" s="13" t="s">
        <v>101</v>
      </c>
      <c r="C15" s="13" t="s">
        <v>105</v>
      </c>
      <c r="D15" s="13">
        <v>9</v>
      </c>
      <c r="E15" s="14">
        <v>56</v>
      </c>
      <c r="F15" s="14" t="s">
        <v>125</v>
      </c>
      <c r="G15" s="14" t="s">
        <v>123</v>
      </c>
      <c r="H15" s="14">
        <v>224670.04</v>
      </c>
      <c r="I15" s="14">
        <v>13479.96</v>
      </c>
      <c r="J15" s="14">
        <v>961.26</v>
      </c>
      <c r="K15" s="14"/>
      <c r="L15" s="14"/>
      <c r="M15" s="14"/>
      <c r="N15" s="14"/>
      <c r="O15" s="14"/>
      <c r="P15" s="14"/>
      <c r="Q15" s="14">
        <v>4233.9</v>
      </c>
      <c r="R15" s="14">
        <v>4800</v>
      </c>
      <c r="S15" s="14">
        <v>50000</v>
      </c>
      <c r="T15" s="14">
        <v>3000</v>
      </c>
      <c r="U15" s="14">
        <v>49093.25</v>
      </c>
      <c r="V15" s="24">
        <v>35722.5</v>
      </c>
      <c r="W15" s="14">
        <v>13370.75</v>
      </c>
      <c r="X15" s="14">
        <v>112088.41</v>
      </c>
      <c r="Y15" s="14">
        <v>76365.91</v>
      </c>
      <c r="Z15" s="14">
        <v>112581.63</v>
      </c>
      <c r="AA15" s="14">
        <v>148304.13</v>
      </c>
      <c r="AB15" s="14" t="s">
        <v>99</v>
      </c>
      <c r="AC15" s="14">
        <v>72052.25</v>
      </c>
      <c r="AD15" s="14">
        <v>40529.38</v>
      </c>
      <c r="AE15" s="24">
        <v>35722.5</v>
      </c>
      <c r="AF15" s="24">
        <v>13509.8</v>
      </c>
      <c r="AG15" s="24">
        <v>49232.3</v>
      </c>
      <c r="AH15" s="24">
        <v>11258.16</v>
      </c>
      <c r="AI15" s="24">
        <v>47284.29</v>
      </c>
      <c r="AJ15" s="24">
        <f t="shared" si="1"/>
        <v>107774.75</v>
      </c>
      <c r="AK15" s="24"/>
      <c r="AL15" s="24">
        <f t="shared" si="14"/>
        <v>4763</v>
      </c>
      <c r="AM15" s="24">
        <f t="shared" si="2"/>
        <v>7144.5</v>
      </c>
      <c r="AN15" s="24">
        <f t="shared" si="3"/>
        <v>9526</v>
      </c>
      <c r="AO15" s="33">
        <f t="shared" si="4"/>
        <v>19030.5945</v>
      </c>
      <c r="AP15" s="24">
        <f t="shared" si="5"/>
        <v>4763</v>
      </c>
      <c r="AQ15" s="33">
        <f t="shared" si="6"/>
        <v>45227.0945</v>
      </c>
      <c r="AR15" s="24">
        <f t="shared" si="7"/>
        <v>2381.5</v>
      </c>
      <c r="AS15" s="12"/>
      <c r="AT15" s="33">
        <f t="shared" si="8"/>
        <v>47608.5945</v>
      </c>
      <c r="AU15" s="33">
        <f t="shared" si="9"/>
        <v>-60166.1555</v>
      </c>
      <c r="AV15" s="38">
        <f t="shared" si="10"/>
        <v>-0.558258362928237</v>
      </c>
      <c r="AW15" s="33">
        <f t="shared" si="11"/>
        <v>-6386.7055</v>
      </c>
      <c r="AX15" s="38">
        <f t="shared" si="12"/>
        <v>-0.129725921803369</v>
      </c>
    </row>
    <row r="16" s="3" customFormat="1" spans="1:50">
      <c r="A16" s="12" t="s">
        <v>100</v>
      </c>
      <c r="B16" s="13" t="s">
        <v>101</v>
      </c>
      <c r="C16" s="13" t="s">
        <v>126</v>
      </c>
      <c r="D16" s="13">
        <v>19</v>
      </c>
      <c r="E16" s="14">
        <v>58</v>
      </c>
      <c r="F16" s="14" t="s">
        <v>127</v>
      </c>
      <c r="G16" s="14" t="s">
        <v>128</v>
      </c>
      <c r="H16" s="14">
        <v>270989.66</v>
      </c>
      <c r="I16" s="14">
        <v>16259.34</v>
      </c>
      <c r="J16" s="14">
        <v>1122.98</v>
      </c>
      <c r="K16" s="14"/>
      <c r="L16" s="14"/>
      <c r="M16" s="14">
        <v>3500</v>
      </c>
      <c r="N16" s="14"/>
      <c r="O16" s="14"/>
      <c r="P16" s="14"/>
      <c r="Q16" s="14">
        <v>2991.5</v>
      </c>
      <c r="R16" s="14">
        <v>4800</v>
      </c>
      <c r="S16" s="14">
        <v>60000</v>
      </c>
      <c r="T16" s="14">
        <v>3000</v>
      </c>
      <c r="U16" s="14">
        <v>57454.87</v>
      </c>
      <c r="V16" s="24">
        <v>43087.35</v>
      </c>
      <c r="W16" s="14">
        <v>14367.52</v>
      </c>
      <c r="X16" s="14">
        <v>132869.35</v>
      </c>
      <c r="Y16" s="14">
        <v>89782</v>
      </c>
      <c r="Z16" s="14">
        <v>138120.31</v>
      </c>
      <c r="AA16" s="14">
        <v>181207.66</v>
      </c>
      <c r="AB16" s="14" t="s">
        <v>99</v>
      </c>
      <c r="AC16" s="14">
        <v>88397</v>
      </c>
      <c r="AD16" s="14">
        <v>49723.31</v>
      </c>
      <c r="AE16" s="24">
        <v>43087.35</v>
      </c>
      <c r="AF16" s="24">
        <v>16574.44</v>
      </c>
      <c r="AG16" s="24">
        <v>59661.79</v>
      </c>
      <c r="AH16" s="24">
        <v>13812.03</v>
      </c>
      <c r="AI16" s="24">
        <v>58010.53</v>
      </c>
      <c r="AJ16" s="24">
        <f t="shared" si="1"/>
        <v>131484.35</v>
      </c>
      <c r="AK16" s="24"/>
      <c r="AL16" s="24">
        <f t="shared" si="14"/>
        <v>5744.98</v>
      </c>
      <c r="AM16" s="24">
        <f t="shared" si="2"/>
        <v>8617.47</v>
      </c>
      <c r="AN16" s="24">
        <f t="shared" si="3"/>
        <v>11489.96</v>
      </c>
      <c r="AO16" s="33">
        <f t="shared" si="4"/>
        <v>23303.2875</v>
      </c>
      <c r="AP16" s="24">
        <f t="shared" si="5"/>
        <v>5744.98</v>
      </c>
      <c r="AQ16" s="33">
        <f t="shared" si="6"/>
        <v>54900.6775</v>
      </c>
      <c r="AR16" s="24">
        <f t="shared" si="7"/>
        <v>2872.49</v>
      </c>
      <c r="AS16" s="12"/>
      <c r="AT16" s="33">
        <f t="shared" si="8"/>
        <v>57773.1675</v>
      </c>
      <c r="AU16" s="33">
        <f t="shared" si="9"/>
        <v>-73711.1825</v>
      </c>
      <c r="AV16" s="38">
        <f t="shared" si="10"/>
        <v>-0.560608030537475</v>
      </c>
      <c r="AW16" s="33">
        <f t="shared" si="11"/>
        <v>-7633.60249999999</v>
      </c>
      <c r="AX16" s="38">
        <f t="shared" si="12"/>
        <v>-0.127947929487198</v>
      </c>
    </row>
    <row r="17" s="3" customFormat="1" spans="1:50">
      <c r="A17" s="12" t="s">
        <v>100</v>
      </c>
      <c r="B17" s="13" t="s">
        <v>101</v>
      </c>
      <c r="C17" s="13" t="s">
        <v>129</v>
      </c>
      <c r="D17" s="13">
        <v>15</v>
      </c>
      <c r="E17" s="14">
        <v>66</v>
      </c>
      <c r="F17" s="14" t="s">
        <v>130</v>
      </c>
      <c r="G17" s="14" t="s">
        <v>131</v>
      </c>
      <c r="H17" s="14">
        <v>266977.63</v>
      </c>
      <c r="I17" s="14">
        <v>16018.37</v>
      </c>
      <c r="J17" s="14">
        <v>788.68</v>
      </c>
      <c r="K17" s="14"/>
      <c r="L17" s="14"/>
      <c r="M17" s="14">
        <v>7000</v>
      </c>
      <c r="N17" s="14"/>
      <c r="O17" s="14"/>
      <c r="P17" s="14"/>
      <c r="Q17" s="14">
        <v>4157</v>
      </c>
      <c r="R17" s="14">
        <v>4800</v>
      </c>
      <c r="S17" s="14">
        <v>50000</v>
      </c>
      <c r="T17" s="14">
        <v>3000</v>
      </c>
      <c r="U17" s="14">
        <v>55616.22</v>
      </c>
      <c r="V17" s="24">
        <v>42449.4</v>
      </c>
      <c r="W17" s="14">
        <v>13166.82</v>
      </c>
      <c r="X17" s="14">
        <v>125361.9</v>
      </c>
      <c r="Y17" s="14">
        <v>82912.5</v>
      </c>
      <c r="Z17" s="14">
        <v>141615.73</v>
      </c>
      <c r="AA17" s="14">
        <v>184065.13</v>
      </c>
      <c r="AB17" s="14" t="s">
        <v>99</v>
      </c>
      <c r="AC17" s="14">
        <v>90634.05</v>
      </c>
      <c r="AD17" s="14">
        <v>50981.68</v>
      </c>
      <c r="AE17" s="24">
        <v>42449.4</v>
      </c>
      <c r="AF17" s="24">
        <v>16993.88</v>
      </c>
      <c r="AG17" s="24">
        <v>59443.28</v>
      </c>
      <c r="AH17" s="24">
        <v>14161.57</v>
      </c>
      <c r="AI17" s="24">
        <v>59478.6</v>
      </c>
      <c r="AJ17" s="24">
        <f t="shared" si="1"/>
        <v>133083.45</v>
      </c>
      <c r="AK17" s="24"/>
      <c r="AL17" s="24">
        <f t="shared" si="14"/>
        <v>5659.92</v>
      </c>
      <c r="AM17" s="24">
        <f t="shared" si="2"/>
        <v>8489.88</v>
      </c>
      <c r="AN17" s="24">
        <f t="shared" si="3"/>
        <v>11319.84</v>
      </c>
      <c r="AO17" s="33">
        <f t="shared" si="4"/>
        <v>23789.3235</v>
      </c>
      <c r="AP17" s="24">
        <f t="shared" si="5"/>
        <v>5659.92</v>
      </c>
      <c r="AQ17" s="33">
        <f t="shared" si="6"/>
        <v>54918.8835</v>
      </c>
      <c r="AR17" s="24">
        <f t="shared" si="7"/>
        <v>2829.96</v>
      </c>
      <c r="AS17" s="12"/>
      <c r="AT17" s="33">
        <f t="shared" si="8"/>
        <v>57748.8435</v>
      </c>
      <c r="AU17" s="33">
        <f t="shared" si="9"/>
        <v>-75334.6065</v>
      </c>
      <c r="AV17" s="38">
        <f t="shared" si="10"/>
        <v>-0.566070435504941</v>
      </c>
      <c r="AW17" s="33">
        <f t="shared" si="11"/>
        <v>-7354.3565</v>
      </c>
      <c r="AX17" s="38">
        <f t="shared" si="12"/>
        <v>-0.123720570264629</v>
      </c>
    </row>
    <row r="18" s="3" customFormat="1" spans="1:50">
      <c r="A18" s="12" t="s">
        <v>100</v>
      </c>
      <c r="B18" s="13" t="s">
        <v>101</v>
      </c>
      <c r="C18" s="13" t="s">
        <v>132</v>
      </c>
      <c r="D18" s="13">
        <v>33</v>
      </c>
      <c r="E18" s="14">
        <v>47</v>
      </c>
      <c r="F18" s="14" t="s">
        <v>133</v>
      </c>
      <c r="G18" s="14" t="s">
        <v>134</v>
      </c>
      <c r="H18" s="14">
        <v>179750.2</v>
      </c>
      <c r="I18" s="14">
        <v>10784.8</v>
      </c>
      <c r="J18" s="14">
        <v>961.26</v>
      </c>
      <c r="K18" s="14"/>
      <c r="L18" s="14"/>
      <c r="M18" s="14">
        <v>12000</v>
      </c>
      <c r="N18" s="14"/>
      <c r="O18" s="14"/>
      <c r="P18" s="14"/>
      <c r="Q18" s="14">
        <v>2153.4</v>
      </c>
      <c r="R18" s="14">
        <v>800</v>
      </c>
      <c r="S18" s="14">
        <v>56700</v>
      </c>
      <c r="T18" s="14">
        <v>3000</v>
      </c>
      <c r="U18" s="14">
        <v>39997.87</v>
      </c>
      <c r="V18" s="24">
        <v>28580.25</v>
      </c>
      <c r="W18" s="14">
        <v>11417.62</v>
      </c>
      <c r="X18" s="14">
        <v>115612.53</v>
      </c>
      <c r="Y18" s="14">
        <v>87032.28</v>
      </c>
      <c r="Z18" s="14">
        <v>64137.67</v>
      </c>
      <c r="AA18" s="14">
        <v>92717.92</v>
      </c>
      <c r="AB18" s="14" t="s">
        <v>99</v>
      </c>
      <c r="AC18" s="14">
        <v>41048.11</v>
      </c>
      <c r="AD18" s="14">
        <v>23089.56</v>
      </c>
      <c r="AE18" s="24">
        <v>28580.25</v>
      </c>
      <c r="AF18" s="24">
        <v>7696.52</v>
      </c>
      <c r="AG18" s="24">
        <v>36276.77</v>
      </c>
      <c r="AH18" s="24">
        <v>6413.77</v>
      </c>
      <c r="AI18" s="24">
        <v>26937.82</v>
      </c>
      <c r="AJ18" s="24">
        <f t="shared" si="1"/>
        <v>69628.36</v>
      </c>
      <c r="AK18" s="24"/>
      <c r="AL18" s="24">
        <f t="shared" si="14"/>
        <v>3810.7</v>
      </c>
      <c r="AM18" s="24">
        <f t="shared" si="2"/>
        <v>5716.05</v>
      </c>
      <c r="AN18" s="24">
        <f t="shared" si="3"/>
        <v>7621.4</v>
      </c>
      <c r="AO18" s="33">
        <f t="shared" si="4"/>
        <v>11335.4655</v>
      </c>
      <c r="AP18" s="24">
        <f t="shared" si="5"/>
        <v>3810.7</v>
      </c>
      <c r="AQ18" s="33">
        <f t="shared" si="6"/>
        <v>32294.3155</v>
      </c>
      <c r="AR18" s="24">
        <f t="shared" si="7"/>
        <v>1905.35</v>
      </c>
      <c r="AS18" s="12"/>
      <c r="AT18" s="33">
        <f t="shared" si="8"/>
        <v>34199.6655</v>
      </c>
      <c r="AU18" s="33">
        <f t="shared" si="9"/>
        <v>-35428.6945</v>
      </c>
      <c r="AV18" s="38">
        <f t="shared" si="10"/>
        <v>-0.508825635129134</v>
      </c>
      <c r="AW18" s="33">
        <f t="shared" si="11"/>
        <v>-5887.80450000001</v>
      </c>
      <c r="AX18" s="38">
        <f t="shared" si="12"/>
        <v>-0.162302335626904</v>
      </c>
    </row>
    <row r="19" s="3" customFormat="1" spans="1:50">
      <c r="A19" s="12" t="s">
        <v>100</v>
      </c>
      <c r="B19" s="13" t="s">
        <v>101</v>
      </c>
      <c r="C19" s="13" t="s">
        <v>111</v>
      </c>
      <c r="D19" s="13">
        <v>48</v>
      </c>
      <c r="E19" s="14">
        <v>60</v>
      </c>
      <c r="F19" s="14" t="s">
        <v>133</v>
      </c>
      <c r="G19" s="14" t="s">
        <v>134</v>
      </c>
      <c r="H19" s="14">
        <v>264229.29</v>
      </c>
      <c r="I19" s="14">
        <v>15853.71</v>
      </c>
      <c r="J19" s="14">
        <v>1121.76</v>
      </c>
      <c r="K19" s="14"/>
      <c r="L19" s="14"/>
      <c r="M19" s="14">
        <v>7000</v>
      </c>
      <c r="N19" s="14"/>
      <c r="O19" s="14"/>
      <c r="P19" s="14"/>
      <c r="Q19" s="14">
        <v>5024</v>
      </c>
      <c r="R19" s="14">
        <v>4800</v>
      </c>
      <c r="S19" s="14">
        <v>80000</v>
      </c>
      <c r="T19" s="14">
        <v>3000</v>
      </c>
      <c r="U19" s="14">
        <v>55017.74</v>
      </c>
      <c r="V19" s="24">
        <v>42012.45</v>
      </c>
      <c r="W19" s="14">
        <v>13005.29</v>
      </c>
      <c r="X19" s="14">
        <v>155963.5</v>
      </c>
      <c r="Y19" s="14">
        <v>113951.05</v>
      </c>
      <c r="Z19" s="14">
        <v>108265.79</v>
      </c>
      <c r="AA19" s="14">
        <v>150278.24</v>
      </c>
      <c r="AB19" s="14" t="s">
        <v>99</v>
      </c>
      <c r="AC19" s="14">
        <v>69290.11</v>
      </c>
      <c r="AD19" s="14">
        <v>38975.68</v>
      </c>
      <c r="AE19" s="24">
        <v>42012.45</v>
      </c>
      <c r="AF19" s="24">
        <v>12991.9</v>
      </c>
      <c r="AG19" s="24">
        <v>55004.35</v>
      </c>
      <c r="AH19" s="24">
        <v>10826.58</v>
      </c>
      <c r="AI19" s="24">
        <v>45471.63</v>
      </c>
      <c r="AJ19" s="24">
        <f t="shared" si="1"/>
        <v>111302.56</v>
      </c>
      <c r="AK19" s="24"/>
      <c r="AL19" s="24">
        <f t="shared" si="14"/>
        <v>5601.66</v>
      </c>
      <c r="AM19" s="24">
        <f t="shared" si="2"/>
        <v>8402.49</v>
      </c>
      <c r="AN19" s="24">
        <f t="shared" si="3"/>
        <v>11203.32</v>
      </c>
      <c r="AO19" s="33">
        <f t="shared" si="4"/>
        <v>18760.6155</v>
      </c>
      <c r="AP19" s="24">
        <f t="shared" si="5"/>
        <v>5601.66</v>
      </c>
      <c r="AQ19" s="33">
        <f t="shared" si="6"/>
        <v>49569.7455</v>
      </c>
      <c r="AR19" s="24">
        <f t="shared" si="7"/>
        <v>2800.83</v>
      </c>
      <c r="AS19" s="12"/>
      <c r="AT19" s="33">
        <f t="shared" si="8"/>
        <v>52370.5755</v>
      </c>
      <c r="AU19" s="33">
        <f t="shared" si="9"/>
        <v>-58931.9845</v>
      </c>
      <c r="AV19" s="38">
        <f t="shared" si="10"/>
        <v>-0.529475552943257</v>
      </c>
      <c r="AW19" s="33">
        <f t="shared" si="11"/>
        <v>-8235.4345</v>
      </c>
      <c r="AX19" s="38">
        <f t="shared" si="12"/>
        <v>-0.149723330972914</v>
      </c>
    </row>
    <row r="20" s="2" customFormat="1" spans="1:50">
      <c r="A20" s="11" t="s">
        <v>109</v>
      </c>
      <c r="B20" s="9" t="s">
        <v>110</v>
      </c>
      <c r="C20" s="9" t="s">
        <v>135</v>
      </c>
      <c r="D20" s="9">
        <v>61</v>
      </c>
      <c r="E20" s="10">
        <v>37</v>
      </c>
      <c r="F20" s="10" t="s">
        <v>133</v>
      </c>
      <c r="G20" s="10" t="s">
        <v>134</v>
      </c>
      <c r="H20" s="10">
        <v>148613.35</v>
      </c>
      <c r="I20" s="10">
        <v>8916.65</v>
      </c>
      <c r="J20" s="10">
        <v>984.15</v>
      </c>
      <c r="K20" s="10"/>
      <c r="L20" s="10"/>
      <c r="M20" s="10">
        <v>8000</v>
      </c>
      <c r="N20" s="10">
        <v>4000</v>
      </c>
      <c r="O20" s="10">
        <v>1800</v>
      </c>
      <c r="P20" s="10"/>
      <c r="Q20" s="10">
        <v>2961.12</v>
      </c>
      <c r="R20" s="10">
        <v>2150</v>
      </c>
      <c r="S20" s="10">
        <v>57000</v>
      </c>
      <c r="T20" s="10">
        <v>3000</v>
      </c>
      <c r="U20" s="10">
        <v>27357.08</v>
      </c>
      <c r="V20" s="23">
        <v>23629.5</v>
      </c>
      <c r="W20" s="10">
        <v>3727.58</v>
      </c>
      <c r="X20" s="10">
        <v>107252.35</v>
      </c>
      <c r="Y20" s="10">
        <v>83622.85</v>
      </c>
      <c r="Z20" s="10">
        <v>41361</v>
      </c>
      <c r="AA20" s="10">
        <v>64990.5</v>
      </c>
      <c r="AB20" s="10" t="s">
        <v>99</v>
      </c>
      <c r="AC20" s="10">
        <v>26471.04</v>
      </c>
      <c r="AD20" s="10">
        <v>14889.96</v>
      </c>
      <c r="AE20" s="23">
        <v>23629.5</v>
      </c>
      <c r="AF20" s="23">
        <v>7031.37</v>
      </c>
      <c r="AG20" s="23">
        <v>30660.87</v>
      </c>
      <c r="AH20" s="23">
        <v>4136.1</v>
      </c>
      <c r="AI20" s="23">
        <v>15303.57</v>
      </c>
      <c r="AJ20" s="23">
        <f t="shared" si="1"/>
        <v>50100.54</v>
      </c>
      <c r="AK20" s="23"/>
      <c r="AL20" s="23">
        <f t="shared" ref="AL20:AL25" si="15">($H20+$I20)*1%</f>
        <v>1575.3</v>
      </c>
      <c r="AM20" s="23">
        <f t="shared" si="2"/>
        <v>4725.9</v>
      </c>
      <c r="AN20" s="23">
        <f t="shared" si="3"/>
        <v>6301.2</v>
      </c>
      <c r="AO20" s="36">
        <f t="shared" si="4"/>
        <v>7858.215</v>
      </c>
      <c r="AP20" s="23">
        <f t="shared" si="5"/>
        <v>3150.6</v>
      </c>
      <c r="AQ20" s="36">
        <f t="shared" si="6"/>
        <v>23611.215</v>
      </c>
      <c r="AR20" s="23">
        <f t="shared" si="7"/>
        <v>1575.3</v>
      </c>
      <c r="AS20" s="11"/>
      <c r="AT20" s="36">
        <f t="shared" si="8"/>
        <v>25186.515</v>
      </c>
      <c r="AU20" s="36">
        <f t="shared" si="9"/>
        <v>-24914.025</v>
      </c>
      <c r="AV20" s="37">
        <f t="shared" si="10"/>
        <v>-0.497280568233396</v>
      </c>
      <c r="AW20" s="36">
        <f t="shared" si="11"/>
        <v>-8624.95500000001</v>
      </c>
      <c r="AX20" s="37">
        <f t="shared" si="12"/>
        <v>-0.281301704746147</v>
      </c>
    </row>
    <row r="21" s="3" customFormat="1" spans="1:50">
      <c r="A21" s="12" t="s">
        <v>113</v>
      </c>
      <c r="B21" s="13" t="s">
        <v>114</v>
      </c>
      <c r="C21" s="13" t="s">
        <v>106</v>
      </c>
      <c r="D21" s="13">
        <v>26</v>
      </c>
      <c r="E21" s="14">
        <v>42</v>
      </c>
      <c r="F21" s="14" t="s">
        <v>136</v>
      </c>
      <c r="G21" s="14" t="s">
        <v>137</v>
      </c>
      <c r="H21" s="14">
        <v>206632</v>
      </c>
      <c r="I21" s="14">
        <v>12398</v>
      </c>
      <c r="J21" s="14">
        <v>703.56</v>
      </c>
      <c r="K21" s="14"/>
      <c r="L21" s="14"/>
      <c r="M21" s="14">
        <v>15000</v>
      </c>
      <c r="N21" s="14"/>
      <c r="O21" s="14">
        <v>5400</v>
      </c>
      <c r="P21" s="14"/>
      <c r="Q21" s="14">
        <v>5593.04</v>
      </c>
      <c r="R21" s="14">
        <v>4995</v>
      </c>
      <c r="S21" s="14">
        <v>78750</v>
      </c>
      <c r="T21" s="14">
        <v>3000</v>
      </c>
      <c r="U21" s="14">
        <v>52274.73</v>
      </c>
      <c r="V21" s="24">
        <v>32854.5</v>
      </c>
      <c r="W21" s="14">
        <v>19420.23</v>
      </c>
      <c r="X21" s="14">
        <v>165716.33</v>
      </c>
      <c r="Y21" s="14">
        <v>132861.83</v>
      </c>
      <c r="Z21" s="14">
        <v>40915.67</v>
      </c>
      <c r="AA21" s="14">
        <v>73770.17</v>
      </c>
      <c r="AB21" s="14" t="s">
        <v>99</v>
      </c>
      <c r="AC21" s="14">
        <v>26186.04</v>
      </c>
      <c r="AD21" s="14">
        <v>14729.63</v>
      </c>
      <c r="AE21" s="24">
        <v>32854.5</v>
      </c>
      <c r="AF21" s="24">
        <v>6955.67</v>
      </c>
      <c r="AG21" s="24">
        <v>39810.17</v>
      </c>
      <c r="AH21" s="24">
        <v>4091.57</v>
      </c>
      <c r="AI21" s="24">
        <v>15138.8</v>
      </c>
      <c r="AJ21" s="24">
        <f t="shared" si="1"/>
        <v>59040.54</v>
      </c>
      <c r="AK21" s="24"/>
      <c r="AL21" s="24">
        <f t="shared" ref="AL21:AL24" si="16">($H21+$I21)*2%</f>
        <v>4380.6</v>
      </c>
      <c r="AM21" s="24">
        <f t="shared" si="2"/>
        <v>6570.9</v>
      </c>
      <c r="AN21" s="24">
        <f t="shared" si="3"/>
        <v>8761.2</v>
      </c>
      <c r="AO21" s="33">
        <f t="shared" si="4"/>
        <v>8108.6205</v>
      </c>
      <c r="AP21" s="24">
        <f t="shared" si="5"/>
        <v>4380.6</v>
      </c>
      <c r="AQ21" s="33">
        <f t="shared" si="6"/>
        <v>32201.9205</v>
      </c>
      <c r="AR21" s="24">
        <f t="shared" si="7"/>
        <v>2190.3</v>
      </c>
      <c r="AS21" s="12"/>
      <c r="AT21" s="33">
        <f t="shared" si="8"/>
        <v>34392.2205</v>
      </c>
      <c r="AU21" s="33">
        <f t="shared" si="9"/>
        <v>-24648.3195</v>
      </c>
      <c r="AV21" s="38">
        <f t="shared" si="10"/>
        <v>-0.417481267955882</v>
      </c>
      <c r="AW21" s="33">
        <f t="shared" si="11"/>
        <v>-9798.5495</v>
      </c>
      <c r="AX21" s="38">
        <f t="shared" si="12"/>
        <v>-0.246131817573248</v>
      </c>
    </row>
    <row r="22" s="2" customFormat="1" spans="1:50">
      <c r="A22" s="11" t="s">
        <v>109</v>
      </c>
      <c r="B22" s="9" t="s">
        <v>110</v>
      </c>
      <c r="C22" s="9" t="s">
        <v>115</v>
      </c>
      <c r="D22" s="9">
        <v>17</v>
      </c>
      <c r="E22" s="10">
        <v>32</v>
      </c>
      <c r="F22" s="10" t="s">
        <v>138</v>
      </c>
      <c r="G22" s="10" t="s">
        <v>137</v>
      </c>
      <c r="H22" s="10">
        <v>130717.12</v>
      </c>
      <c r="I22" s="10">
        <v>7842.88</v>
      </c>
      <c r="J22" s="10">
        <v>691.63</v>
      </c>
      <c r="K22" s="10"/>
      <c r="L22" s="10"/>
      <c r="M22" s="10">
        <v>8000</v>
      </c>
      <c r="N22" s="10">
        <v>1500</v>
      </c>
      <c r="O22" s="10">
        <v>1800</v>
      </c>
      <c r="P22" s="10"/>
      <c r="Q22" s="10">
        <v>2296.5</v>
      </c>
      <c r="R22" s="10">
        <v>2150</v>
      </c>
      <c r="S22" s="10">
        <v>60000</v>
      </c>
      <c r="T22" s="10">
        <v>3000</v>
      </c>
      <c r="U22" s="10">
        <v>23922.91</v>
      </c>
      <c r="V22" s="23">
        <v>20784</v>
      </c>
      <c r="W22" s="10">
        <v>3138.91</v>
      </c>
      <c r="X22" s="10">
        <v>103361.04</v>
      </c>
      <c r="Y22" s="10">
        <v>82577.04</v>
      </c>
      <c r="Z22" s="10">
        <v>27356.08</v>
      </c>
      <c r="AA22" s="10">
        <v>48140.08</v>
      </c>
      <c r="AB22" s="10" t="s">
        <v>99</v>
      </c>
      <c r="AC22" s="10">
        <v>17507.89</v>
      </c>
      <c r="AD22" s="10">
        <v>9848.19</v>
      </c>
      <c r="AE22" s="23">
        <v>20784</v>
      </c>
      <c r="AF22" s="23">
        <v>4650.53</v>
      </c>
      <c r="AG22" s="23">
        <v>25434.53</v>
      </c>
      <c r="AH22" s="23">
        <v>2735.61</v>
      </c>
      <c r="AI22" s="23">
        <v>10121.75</v>
      </c>
      <c r="AJ22" s="23">
        <f t="shared" si="1"/>
        <v>38291.89</v>
      </c>
      <c r="AK22" s="23"/>
      <c r="AL22" s="23">
        <f t="shared" si="15"/>
        <v>1385.6</v>
      </c>
      <c r="AM22" s="23">
        <f t="shared" si="2"/>
        <v>4156.8</v>
      </c>
      <c r="AN22" s="23">
        <f t="shared" si="3"/>
        <v>5542.4</v>
      </c>
      <c r="AO22" s="36">
        <f t="shared" si="4"/>
        <v>5558.292</v>
      </c>
      <c r="AP22" s="23">
        <f t="shared" si="5"/>
        <v>2771.2</v>
      </c>
      <c r="AQ22" s="36">
        <f t="shared" si="6"/>
        <v>19414.292</v>
      </c>
      <c r="AR22" s="23">
        <f t="shared" si="7"/>
        <v>1385.6</v>
      </c>
      <c r="AS22" s="11"/>
      <c r="AT22" s="36">
        <f t="shared" si="8"/>
        <v>20799.892</v>
      </c>
      <c r="AU22" s="36">
        <f t="shared" si="9"/>
        <v>-17491.998</v>
      </c>
      <c r="AV22" s="37">
        <f t="shared" si="10"/>
        <v>-0.456806859102541</v>
      </c>
      <c r="AW22" s="36">
        <f t="shared" si="11"/>
        <v>-7405.838</v>
      </c>
      <c r="AX22" s="37">
        <f t="shared" si="12"/>
        <v>-0.291172590961972</v>
      </c>
    </row>
    <row r="23" s="3" customFormat="1" spans="1:50">
      <c r="A23" s="12" t="s">
        <v>100</v>
      </c>
      <c r="B23" s="13" t="s">
        <v>101</v>
      </c>
      <c r="C23" s="13" t="s">
        <v>139</v>
      </c>
      <c r="D23" s="13">
        <v>13</v>
      </c>
      <c r="E23" s="14">
        <v>46</v>
      </c>
      <c r="F23" s="14" t="s">
        <v>138</v>
      </c>
      <c r="G23" s="14" t="s">
        <v>137</v>
      </c>
      <c r="H23" s="14">
        <v>213509.46</v>
      </c>
      <c r="I23" s="14">
        <v>12810.54</v>
      </c>
      <c r="J23" s="14">
        <v>236.16</v>
      </c>
      <c r="K23" s="14"/>
      <c r="L23" s="14"/>
      <c r="M23" s="14">
        <v>9100</v>
      </c>
      <c r="N23" s="14"/>
      <c r="O23" s="14"/>
      <c r="P23" s="14"/>
      <c r="Q23" s="14">
        <v>3546.3</v>
      </c>
      <c r="R23" s="14">
        <v>4800</v>
      </c>
      <c r="S23" s="14">
        <v>73500</v>
      </c>
      <c r="T23" s="14">
        <v>3000</v>
      </c>
      <c r="U23" s="14">
        <v>52713.14</v>
      </c>
      <c r="V23" s="24">
        <v>33948</v>
      </c>
      <c r="W23" s="14">
        <v>18765.14</v>
      </c>
      <c r="X23" s="14">
        <v>146895.6</v>
      </c>
      <c r="Y23" s="14">
        <v>112947.6</v>
      </c>
      <c r="Z23" s="14">
        <v>66613.86</v>
      </c>
      <c r="AA23" s="14">
        <v>100561.86</v>
      </c>
      <c r="AB23" s="14" t="s">
        <v>99</v>
      </c>
      <c r="AC23" s="14">
        <v>42632.87</v>
      </c>
      <c r="AD23" s="14">
        <v>23980.99</v>
      </c>
      <c r="AE23" s="24">
        <v>33948</v>
      </c>
      <c r="AF23" s="24">
        <v>7993.66</v>
      </c>
      <c r="AG23" s="24">
        <v>41941.66</v>
      </c>
      <c r="AH23" s="24">
        <v>6661.39</v>
      </c>
      <c r="AI23" s="24">
        <v>27977.82</v>
      </c>
      <c r="AJ23" s="24">
        <f t="shared" si="1"/>
        <v>76580.87</v>
      </c>
      <c r="AK23" s="24"/>
      <c r="AL23" s="24">
        <f t="shared" si="16"/>
        <v>4526.4</v>
      </c>
      <c r="AM23" s="24">
        <f t="shared" si="2"/>
        <v>6789.6</v>
      </c>
      <c r="AN23" s="24">
        <f t="shared" si="3"/>
        <v>9052.8</v>
      </c>
      <c r="AO23" s="33">
        <f t="shared" si="4"/>
        <v>12028.959</v>
      </c>
      <c r="AP23" s="24">
        <f t="shared" si="5"/>
        <v>4526.4</v>
      </c>
      <c r="AQ23" s="33">
        <f t="shared" si="6"/>
        <v>36924.159</v>
      </c>
      <c r="AR23" s="24">
        <f t="shared" si="7"/>
        <v>2263.2</v>
      </c>
      <c r="AS23" s="12"/>
      <c r="AT23" s="33">
        <f t="shared" si="8"/>
        <v>39187.359</v>
      </c>
      <c r="AU23" s="33">
        <f t="shared" si="9"/>
        <v>-37393.511</v>
      </c>
      <c r="AV23" s="38">
        <f t="shared" si="10"/>
        <v>-0.488287884428579</v>
      </c>
      <c r="AW23" s="33">
        <f t="shared" si="11"/>
        <v>-7280.70100000001</v>
      </c>
      <c r="AX23" s="38">
        <f t="shared" si="12"/>
        <v>-0.173591150183374</v>
      </c>
    </row>
    <row r="24" s="3" customFormat="1" spans="1:50">
      <c r="A24" s="12" t="s">
        <v>104</v>
      </c>
      <c r="B24" s="13" t="s">
        <v>95</v>
      </c>
      <c r="C24" s="13" t="s">
        <v>140</v>
      </c>
      <c r="D24" s="13">
        <v>42</v>
      </c>
      <c r="E24" s="14">
        <v>56</v>
      </c>
      <c r="F24" s="14" t="s">
        <v>138</v>
      </c>
      <c r="G24" s="14" t="s">
        <v>137</v>
      </c>
      <c r="H24" s="14">
        <v>716509.55</v>
      </c>
      <c r="I24" s="14">
        <v>42990.45</v>
      </c>
      <c r="J24" s="14">
        <v>2484</v>
      </c>
      <c r="K24" s="14"/>
      <c r="L24" s="14"/>
      <c r="M24" s="14">
        <v>30000</v>
      </c>
      <c r="N24" s="14">
        <v>4250</v>
      </c>
      <c r="O24" s="14">
        <v>9608</v>
      </c>
      <c r="P24" s="14"/>
      <c r="Q24" s="14"/>
      <c r="R24" s="14">
        <v>7200</v>
      </c>
      <c r="S24" s="14">
        <v>160000</v>
      </c>
      <c r="T24" s="14">
        <v>7000</v>
      </c>
      <c r="U24" s="14">
        <v>121160.1</v>
      </c>
      <c r="V24" s="24">
        <v>113925</v>
      </c>
      <c r="W24" s="14">
        <v>7235.10000000001</v>
      </c>
      <c r="X24" s="14">
        <v>341702.1</v>
      </c>
      <c r="Y24" s="14">
        <v>227777.1</v>
      </c>
      <c r="Z24" s="14">
        <v>374807.45</v>
      </c>
      <c r="AA24" s="14">
        <v>488732.45</v>
      </c>
      <c r="AB24" s="14" t="s">
        <v>99</v>
      </c>
      <c r="AC24" s="14">
        <v>239876.79</v>
      </c>
      <c r="AD24" s="14">
        <v>134930.66</v>
      </c>
      <c r="AE24" s="24">
        <v>113925</v>
      </c>
      <c r="AF24" s="24">
        <v>44976.9</v>
      </c>
      <c r="AG24" s="24">
        <v>158901.9</v>
      </c>
      <c r="AH24" s="24">
        <v>37480.75</v>
      </c>
      <c r="AI24" s="24">
        <v>157419.14</v>
      </c>
      <c r="AJ24" s="24">
        <f t="shared" si="1"/>
        <v>353801.79</v>
      </c>
      <c r="AK24" s="24"/>
      <c r="AL24" s="24">
        <f t="shared" si="16"/>
        <v>15190</v>
      </c>
      <c r="AM24" s="24">
        <f t="shared" si="2"/>
        <v>22785</v>
      </c>
      <c r="AN24" s="24">
        <f t="shared" si="3"/>
        <v>30380</v>
      </c>
      <c r="AO24" s="33">
        <f t="shared" si="4"/>
        <v>63056.6175</v>
      </c>
      <c r="AP24" s="24">
        <f t="shared" si="5"/>
        <v>15190</v>
      </c>
      <c r="AQ24" s="33">
        <f t="shared" si="6"/>
        <v>146601.6175</v>
      </c>
      <c r="AR24" s="24">
        <f t="shared" si="7"/>
        <v>7595</v>
      </c>
      <c r="AS24" s="12"/>
      <c r="AT24" s="33">
        <f t="shared" si="8"/>
        <v>154196.6175</v>
      </c>
      <c r="AU24" s="33">
        <f t="shared" si="9"/>
        <v>-199605.1725</v>
      </c>
      <c r="AV24" s="38">
        <f t="shared" si="10"/>
        <v>-0.56417230817289</v>
      </c>
      <c r="AW24" s="33">
        <f t="shared" si="11"/>
        <v>-19895.2825</v>
      </c>
      <c r="AX24" s="38">
        <f t="shared" si="12"/>
        <v>-0.125204811899669</v>
      </c>
    </row>
    <row r="25" s="2" customFormat="1" spans="1:50">
      <c r="A25" s="11" t="s">
        <v>104</v>
      </c>
      <c r="B25" s="9" t="s">
        <v>95</v>
      </c>
      <c r="C25" s="9" t="s">
        <v>141</v>
      </c>
      <c r="D25" s="9">
        <v>101</v>
      </c>
      <c r="E25" s="10">
        <v>30</v>
      </c>
      <c r="F25" s="10" t="s">
        <v>138</v>
      </c>
      <c r="G25" s="10" t="s">
        <v>137</v>
      </c>
      <c r="H25" s="10">
        <v>121934.09</v>
      </c>
      <c r="I25" s="10">
        <v>7315.91</v>
      </c>
      <c r="J25" s="10">
        <v>930.48</v>
      </c>
      <c r="K25" s="10"/>
      <c r="L25" s="10"/>
      <c r="M25" s="10">
        <v>9600</v>
      </c>
      <c r="N25" s="10">
        <v>2030</v>
      </c>
      <c r="O25" s="10">
        <v>6268</v>
      </c>
      <c r="P25" s="10"/>
      <c r="Q25" s="10"/>
      <c r="R25" s="10">
        <v>3440</v>
      </c>
      <c r="S25" s="10">
        <v>55738</v>
      </c>
      <c r="T25" s="10">
        <v>3000</v>
      </c>
      <c r="U25" s="10">
        <v>22718.06</v>
      </c>
      <c r="V25" s="23">
        <v>19387.5</v>
      </c>
      <c r="W25" s="10">
        <v>3330.56</v>
      </c>
      <c r="X25" s="10">
        <v>103724.54</v>
      </c>
      <c r="Y25" s="10">
        <v>84337.04</v>
      </c>
      <c r="Z25" s="10">
        <v>18209.55</v>
      </c>
      <c r="AA25" s="10">
        <v>37597.05</v>
      </c>
      <c r="AB25" s="10" t="s">
        <v>142</v>
      </c>
      <c r="AC25" s="10">
        <v>11635.66</v>
      </c>
      <c r="AD25" s="10">
        <v>6573.89</v>
      </c>
      <c r="AE25" s="23">
        <v>19387.5</v>
      </c>
      <c r="AF25" s="23">
        <v>2180.2</v>
      </c>
      <c r="AG25" s="23">
        <v>21567.7</v>
      </c>
      <c r="AH25" s="23">
        <v>1818.36</v>
      </c>
      <c r="AI25" s="23">
        <v>7637.1</v>
      </c>
      <c r="AJ25" s="23">
        <f t="shared" si="1"/>
        <v>31023.16</v>
      </c>
      <c r="AK25" s="23"/>
      <c r="AL25" s="23">
        <f t="shared" si="15"/>
        <v>1292.5</v>
      </c>
      <c r="AM25" s="23">
        <f t="shared" si="2"/>
        <v>3877.5</v>
      </c>
      <c r="AN25" s="23">
        <f t="shared" si="3"/>
        <v>5170</v>
      </c>
      <c r="AO25" s="36">
        <f t="shared" si="4"/>
        <v>4088.5575</v>
      </c>
      <c r="AP25" s="23">
        <f t="shared" si="5"/>
        <v>2585</v>
      </c>
      <c r="AQ25" s="36">
        <f t="shared" si="6"/>
        <v>17013.5575</v>
      </c>
      <c r="AR25" s="23">
        <f t="shared" si="7"/>
        <v>1292.5</v>
      </c>
      <c r="AS25" s="11"/>
      <c r="AT25" s="36">
        <f t="shared" si="8"/>
        <v>18306.0575</v>
      </c>
      <c r="AU25" s="36">
        <f t="shared" si="9"/>
        <v>-12717.1025</v>
      </c>
      <c r="AV25" s="37">
        <f t="shared" si="10"/>
        <v>-0.409922860856212</v>
      </c>
      <c r="AW25" s="36">
        <f t="shared" si="11"/>
        <v>-5846.6425</v>
      </c>
      <c r="AX25" s="37">
        <f t="shared" si="12"/>
        <v>-0.271083263398508</v>
      </c>
    </row>
    <row r="26" s="3" customFormat="1" spans="1:50">
      <c r="A26" s="12" t="s">
        <v>94</v>
      </c>
      <c r="B26" s="13" t="s">
        <v>95</v>
      </c>
      <c r="C26" s="13" t="s">
        <v>111</v>
      </c>
      <c r="D26" s="13">
        <v>49</v>
      </c>
      <c r="E26" s="14">
        <v>47</v>
      </c>
      <c r="F26" s="14" t="s">
        <v>143</v>
      </c>
      <c r="G26" s="14" t="s">
        <v>144</v>
      </c>
      <c r="H26" s="14">
        <v>211660.4</v>
      </c>
      <c r="I26" s="14">
        <v>12699.6</v>
      </c>
      <c r="J26" s="14">
        <v>1145.52</v>
      </c>
      <c r="K26" s="14"/>
      <c r="L26" s="14"/>
      <c r="M26" s="14">
        <v>8600</v>
      </c>
      <c r="N26" s="14">
        <v>3688</v>
      </c>
      <c r="O26" s="14">
        <v>6137</v>
      </c>
      <c r="P26" s="14"/>
      <c r="Q26" s="14">
        <v>4535</v>
      </c>
      <c r="R26" s="14">
        <v>1560</v>
      </c>
      <c r="S26" s="14">
        <v>80000</v>
      </c>
      <c r="T26" s="14">
        <v>3000</v>
      </c>
      <c r="U26" s="14">
        <v>53874</v>
      </c>
      <c r="V26" s="24">
        <v>33654</v>
      </c>
      <c r="W26" s="14">
        <v>20220</v>
      </c>
      <c r="X26" s="14">
        <v>162539.52</v>
      </c>
      <c r="Y26" s="14">
        <v>128885.52</v>
      </c>
      <c r="Z26" s="14">
        <v>49120.88</v>
      </c>
      <c r="AA26" s="14">
        <v>82774.88</v>
      </c>
      <c r="AB26" s="14" t="s">
        <v>99</v>
      </c>
      <c r="AC26" s="14">
        <v>31437.37</v>
      </c>
      <c r="AD26" s="14">
        <v>17683.51</v>
      </c>
      <c r="AE26" s="24">
        <v>33654</v>
      </c>
      <c r="AF26" s="24">
        <v>5894.51</v>
      </c>
      <c r="AG26" s="24">
        <v>39548.51</v>
      </c>
      <c r="AH26" s="24">
        <v>4912.09</v>
      </c>
      <c r="AI26" s="24">
        <v>20630.77</v>
      </c>
      <c r="AJ26" s="24">
        <f t="shared" si="1"/>
        <v>65091.37</v>
      </c>
      <c r="AK26" s="24"/>
      <c r="AL26" s="24">
        <f>($H26+$I26)*2%</f>
        <v>4487.2</v>
      </c>
      <c r="AM26" s="24">
        <f t="shared" si="2"/>
        <v>6730.8</v>
      </c>
      <c r="AN26" s="24">
        <f t="shared" si="3"/>
        <v>8974.4</v>
      </c>
      <c r="AO26" s="33">
        <f t="shared" si="4"/>
        <v>9387.372</v>
      </c>
      <c r="AP26" s="24">
        <f t="shared" si="5"/>
        <v>4487.2</v>
      </c>
      <c r="AQ26" s="33">
        <f t="shared" si="6"/>
        <v>34066.972</v>
      </c>
      <c r="AR26" s="24">
        <f t="shared" si="7"/>
        <v>2243.6</v>
      </c>
      <c r="AS26" s="12"/>
      <c r="AT26" s="33">
        <f t="shared" si="8"/>
        <v>36310.572</v>
      </c>
      <c r="AU26" s="33">
        <f t="shared" si="9"/>
        <v>-28780.798</v>
      </c>
      <c r="AV26" s="38">
        <f t="shared" si="10"/>
        <v>-0.442159966828168</v>
      </c>
      <c r="AW26" s="33">
        <f t="shared" si="11"/>
        <v>-7725.138</v>
      </c>
      <c r="AX26" s="38">
        <f t="shared" si="12"/>
        <v>-0.195333224943241</v>
      </c>
    </row>
    <row r="27" s="2" customFormat="1" spans="1:50">
      <c r="A27" s="11" t="s">
        <v>100</v>
      </c>
      <c r="B27" s="9" t="s">
        <v>101</v>
      </c>
      <c r="C27" s="9" t="s">
        <v>145</v>
      </c>
      <c r="D27" s="9">
        <v>3</v>
      </c>
      <c r="E27" s="10">
        <v>33</v>
      </c>
      <c r="F27" s="10" t="s">
        <v>146</v>
      </c>
      <c r="G27" s="10" t="s">
        <v>147</v>
      </c>
      <c r="H27" s="10">
        <v>274321.79</v>
      </c>
      <c r="I27" s="10">
        <v>16459.21</v>
      </c>
      <c r="J27" s="10">
        <v>1566.37</v>
      </c>
      <c r="K27" s="10"/>
      <c r="L27" s="10"/>
      <c r="M27" s="10">
        <v>7000</v>
      </c>
      <c r="N27" s="10"/>
      <c r="O27" s="10"/>
      <c r="P27" s="10"/>
      <c r="Q27" s="10">
        <v>2591.4</v>
      </c>
      <c r="R27" s="10">
        <v>4800</v>
      </c>
      <c r="S27" s="10">
        <v>150000</v>
      </c>
      <c r="T27" s="10">
        <v>3000</v>
      </c>
      <c r="U27" s="10">
        <v>54737.41</v>
      </c>
      <c r="V27" s="23">
        <v>43617.15</v>
      </c>
      <c r="W27" s="10">
        <v>11120.26</v>
      </c>
      <c r="X27" s="10">
        <v>223695.18</v>
      </c>
      <c r="Y27" s="10">
        <v>180078.03</v>
      </c>
      <c r="Z27" s="10">
        <v>50626.61</v>
      </c>
      <c r="AA27" s="10">
        <v>94243.76</v>
      </c>
      <c r="AB27" s="10" t="s">
        <v>99</v>
      </c>
      <c r="AC27" s="10">
        <v>32401.03</v>
      </c>
      <c r="AD27" s="10">
        <v>18225.58</v>
      </c>
      <c r="AE27" s="23">
        <v>43617.15</v>
      </c>
      <c r="AF27" s="23">
        <v>6075.19</v>
      </c>
      <c r="AG27" s="23">
        <v>49692.34</v>
      </c>
      <c r="AH27" s="23">
        <v>5062.66</v>
      </c>
      <c r="AI27" s="23">
        <v>21263.18</v>
      </c>
      <c r="AJ27" s="23">
        <f t="shared" si="1"/>
        <v>76018.18</v>
      </c>
      <c r="AK27" s="23"/>
      <c r="AL27" s="23">
        <f>($H27+$I27)*1%</f>
        <v>2907.81</v>
      </c>
      <c r="AM27" s="23">
        <f t="shared" si="2"/>
        <v>8723.43</v>
      </c>
      <c r="AN27" s="23">
        <f t="shared" si="3"/>
        <v>11631.24</v>
      </c>
      <c r="AO27" s="36">
        <f t="shared" si="4"/>
        <v>10647.192</v>
      </c>
      <c r="AP27" s="23">
        <f t="shared" si="5"/>
        <v>5815.62</v>
      </c>
      <c r="AQ27" s="36">
        <f t="shared" si="6"/>
        <v>39725.292</v>
      </c>
      <c r="AR27" s="23">
        <f t="shared" si="7"/>
        <v>2907.81</v>
      </c>
      <c r="AS27" s="11"/>
      <c r="AT27" s="36">
        <f t="shared" si="8"/>
        <v>42633.102</v>
      </c>
      <c r="AU27" s="36">
        <f t="shared" si="9"/>
        <v>-33385.078</v>
      </c>
      <c r="AV27" s="37">
        <f t="shared" si="10"/>
        <v>-0.439172287471234</v>
      </c>
      <c r="AW27" s="36">
        <f t="shared" si="11"/>
        <v>-12874.858</v>
      </c>
      <c r="AX27" s="37">
        <f t="shared" si="12"/>
        <v>-0.259091401209925</v>
      </c>
    </row>
    <row r="28" s="3" customFormat="1" spans="1:50">
      <c r="A28" s="12"/>
      <c r="B28" s="13"/>
      <c r="C28" s="13"/>
      <c r="D28" s="1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24"/>
      <c r="W28" s="14"/>
      <c r="X28" s="14"/>
      <c r="Y28" s="14"/>
      <c r="Z28" s="14"/>
      <c r="AA28" s="14"/>
      <c r="AB28" s="14"/>
      <c r="AC28" s="14"/>
      <c r="AD28" s="14"/>
      <c r="AE28" s="24"/>
      <c r="AF28" s="24"/>
      <c r="AG28" s="24"/>
      <c r="AH28" s="24"/>
      <c r="AI28" s="24"/>
      <c r="AJ28" s="24"/>
      <c r="AK28" s="24"/>
      <c r="AL28" s="24"/>
      <c r="AM28" s="33"/>
      <c r="AN28" s="33"/>
      <c r="AO28" s="33"/>
      <c r="AP28" s="33"/>
      <c r="AQ28" s="33"/>
      <c r="AR28" s="33"/>
      <c r="AS28" s="33">
        <v>30000</v>
      </c>
      <c r="AT28" s="33">
        <f>AQ28+AR28+AS28</f>
        <v>30000</v>
      </c>
      <c r="AU28" s="33"/>
      <c r="AV28" s="38"/>
      <c r="AW28" s="33">
        <f>AQ28-AP28+AR28+AS28-AG28</f>
        <v>30000</v>
      </c>
      <c r="AX28" s="38"/>
    </row>
    <row r="29" s="5" customFormat="1" spans="1:50">
      <c r="A29" s="18"/>
      <c r="B29" s="19"/>
      <c r="C29" s="19"/>
      <c r="D29" s="19"/>
      <c r="E29" s="19"/>
      <c r="F29" s="19"/>
      <c r="G29" s="19"/>
      <c r="H29" s="20">
        <v>5441651.51</v>
      </c>
      <c r="I29" s="20">
        <v>326496.49</v>
      </c>
      <c r="J29" s="20">
        <v>22086.96</v>
      </c>
      <c r="K29" s="20">
        <v>0</v>
      </c>
      <c r="L29" s="20">
        <v>0</v>
      </c>
      <c r="M29" s="20">
        <v>235600</v>
      </c>
      <c r="N29" s="20">
        <v>48240</v>
      </c>
      <c r="O29" s="20">
        <v>51813</v>
      </c>
      <c r="P29" s="20">
        <v>1105</v>
      </c>
      <c r="Q29" s="20">
        <v>82564.86</v>
      </c>
      <c r="R29" s="20">
        <v>74475</v>
      </c>
      <c r="S29" s="20">
        <v>1784777.5</v>
      </c>
      <c r="T29" s="20">
        <v>83000</v>
      </c>
      <c r="U29" s="20">
        <v>1137425.44</v>
      </c>
      <c r="V29" s="20">
        <v>865684.7</v>
      </c>
      <c r="W29" s="14">
        <v>271740.74</v>
      </c>
      <c r="X29" s="20">
        <v>3521087.76</v>
      </c>
      <c r="Y29" s="14">
        <v>2655403.06</v>
      </c>
      <c r="Z29" s="20">
        <v>1920563.75</v>
      </c>
      <c r="AA29" s="14">
        <v>2786248.45</v>
      </c>
      <c r="AB29" s="19"/>
      <c r="AC29" s="20">
        <v>1234220.49</v>
      </c>
      <c r="AD29" s="20">
        <v>686343.26</v>
      </c>
      <c r="AE29" s="20">
        <v>865684.7</v>
      </c>
      <c r="AF29" s="20">
        <v>247918.7</v>
      </c>
      <c r="AG29" s="20">
        <v>1113603.4</v>
      </c>
      <c r="AH29" s="20">
        <v>192847.25</v>
      </c>
      <c r="AI29" s="20">
        <v>793454.54</v>
      </c>
      <c r="AJ29" s="24">
        <f>AG29+AH29+AI29</f>
        <v>2099905.19</v>
      </c>
      <c r="AK29" s="20"/>
      <c r="AL29" s="20"/>
      <c r="AM29" s="18"/>
      <c r="AN29" s="18"/>
      <c r="AO29" s="18"/>
      <c r="AP29" s="18"/>
      <c r="AQ29" s="42">
        <f t="shared" ref="AQ29:AU29" si="17">SUM(AQ3:AQ28)</f>
        <v>962139.89</v>
      </c>
      <c r="AR29" s="42">
        <f t="shared" si="17"/>
        <v>57681.48</v>
      </c>
      <c r="AS29" s="42">
        <f t="shared" si="17"/>
        <v>30000</v>
      </c>
      <c r="AT29" s="42">
        <f t="shared" si="17"/>
        <v>1049821.37</v>
      </c>
      <c r="AU29" s="42">
        <f t="shared" si="17"/>
        <v>-1080083.82</v>
      </c>
      <c r="AV29" s="43">
        <f>AU29/(AG29+AH29+AI29)</f>
        <v>-0.514348850197375</v>
      </c>
      <c r="AW29" s="42">
        <f>SUM(AW3:AW28)</f>
        <v>-179144.99</v>
      </c>
      <c r="AX29" s="43">
        <f>AW29/AG29</f>
        <v>-0.160869650721253</v>
      </c>
    </row>
    <row r="30" s="1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</sheetData>
  <mergeCells count="16">
    <mergeCell ref="K1:L1"/>
    <mergeCell ref="M1:X1"/>
    <mergeCell ref="AB1:AD1"/>
    <mergeCell ref="AE1:AJ1"/>
    <mergeCell ref="AL1:AQ1"/>
    <mergeCell ref="AU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新老方案对比说明</vt:lpstr>
      <vt:lpstr>老方案</vt:lpstr>
      <vt:lpstr>新方案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2022-09-18T14:01:00Z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14FB2D1871164D2FA979EF6B3CC5A446</vt:lpwstr>
  </property>
</Properties>
</file>