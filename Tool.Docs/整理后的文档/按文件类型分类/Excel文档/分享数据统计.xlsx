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<sst xmlns="http://schemas.openxmlformats.org/spreadsheetml/2006/main" count="38" uniqueCount="33">
  <si>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年份</t>
  </si>
  <si>
    <t>学友推荐订单数</t>
  </si>
  <si>
    <t>总订单数</t>
  </si>
  <si>
    <t>总人数</t>
  </si>
  <si>
    <t>分享课程的人数</t>
  </si>
  <si>
    <t>被推荐学友推荐订单数</t>
  </si>
  <si>
    <t>被推荐学友订单数</t>
  </si>
  <si>
    <t>平均活跃度</t>
  </si>
  <si>
    <t>被推荐的学友活跃度</t>
  </si>
  <si>
    <t>用户平均活跃度=（总报名次数 +总推荐次数）/用户总数</t>
  </si>
  <si>
    <t xml:space="preserve">select  year(开课日期) 年份 ,count(0)学友推荐订单数,(select count(0) from view_orders_cache a1 </t>
  </si>
  <si>
    <t>inner join course b1 on b1.id=a1.CourseID and b1.type=0</t>
  </si>
  <si>
    <t>where year(a1.开课日期)=year(a.开课日期) and a1.开课日期&lt;getdate()) 总订单数,</t>
  </si>
  <si>
    <t xml:space="preserve"> (select count(distinct a1.LearnerID) from view_orders_cache a1 </t>
  </si>
  <si>
    <t>where year(a1.开课日期)=year(a.开课日期) and a1.开课日期&lt;getdate()) 总人数,</t>
  </si>
  <si>
    <t xml:space="preserve"> (select count(distinct a1.orderID) from view_orders_cache a1 </t>
  </si>
  <si>
    <t>where year(a1.开课日期)=year(a.开课日期) and a1.LearnerID=a.LearnerID and a1.开课日期&lt;getdate()) 推荐学友订单数,</t>
  </si>
  <si>
    <t xml:space="preserve">inner join UserShareRpItem c1 on c1.buyid=a1.orderID and c1.type=1 </t>
  </si>
  <si>
    <t>where year(a1.开课日期)=year(a.开课日期) and c1.SourceID=a.LearnerID and a1.开课日期&lt;getdate()) 推荐学友推荐订单数,</t>
  </si>
  <si>
    <t>( select   count(distinct ReferenceID) from UserReferenceLog a1</t>
  </si>
  <si>
    <t xml:space="preserve"> where a1.type=1 and  year(开课日期)=year(a1.CreateTime) and not exists(select a1.id from GWMembers b1 where b1.UserID=a1.ReferenceID)</t>
  </si>
  <si>
    <t xml:space="preserve"> group by year(a1.CreateTime)) 分享课程的人数</t>
  </si>
  <si>
    <t>from view_orders_cache a</t>
  </si>
  <si>
    <t>inner join course b on b.id=a.courseid and b.type=0</t>
  </si>
  <si>
    <t>inner join UserShareRpItem c on c.buyid=a.orderid and c.type=1</t>
  </si>
  <si>
    <t>inner join TranActivityBuyer d on d.id=a.orderID</t>
  </si>
  <si>
    <t>where 推荐人 is not null and 推荐人!=''  and 推荐人 not like '%小助手%'</t>
  </si>
  <si>
    <t>and d.BuyerID!=c.SourceID and a.开课日期&lt;getdate()</t>
  </si>
  <si>
    <t>--and exists(select a1.id from VisitStatisticsSum2 a1 where a1.SourceUserId=c.SourceID and a1.UserID=c.ChildID and a1.CourseId=a.CourseID)</t>
  </si>
  <si>
    <t>and not exists(select id from GWMembers where userid=c.SourceID)</t>
  </si>
  <si>
    <t>group by year(开课日期)</t>
  </si>
  <si>
    <t>order by year(开课日期) asc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</si>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</sst>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E14" sqref="E14"/>
    </sheetView>
  </sheetViews>
  <sheetFormatPr defaultColWidth="9" defaultRowHeight="14"/>
  <cols>
    <col min="2" max="2" width="16.2727272727273" customWidth="1"/>
    <col min="4" max="4" width="7.54545454545455" customWidth="1"/>
    <col min="5" max="5" width="16.2727272727273" customWidth="1"/>
    <col min="6" max="6" width="20.8181818181818" customWidth="1"/>
    <col min="7" max="7" width="16.2727272727273" customWidth="1"/>
    <col min="8" max="8" width="11.8181818181818" customWidth="1"/>
    <col min="9" max="9" width="20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2015</v>
      </c>
      <c r="B2">
        <v>121</v>
      </c>
      <c r="C2">
        <v>1195</v>
      </c>
      <c r="D2">
        <v>995</v>
      </c>
      <c r="E2">
        <v>83</v>
      </c>
      <c r="F2">
        <v>12</v>
      </c>
      <c r="G2">
        <v>122</v>
      </c>
      <c r="H2">
        <f>(B2+C2)/D2</f>
        <v>1.32261306532663</v>
      </c>
      <c r="I2">
        <f>(F2+G2)/B2</f>
        <v>1.10743801652893</v>
      </c>
    </row>
    <row r="3" spans="1:9">
      <c r="A3">
        <v>2016</v>
      </c>
      <c r="B3">
        <v>338</v>
      </c>
      <c r="C3">
        <v>1862</v>
      </c>
      <c r="D3">
        <v>1318</v>
      </c>
      <c r="E3">
        <v>194</v>
      </c>
      <c r="F3">
        <v>64</v>
      </c>
      <c r="G3">
        <v>466</v>
      </c>
      <c r="H3">
        <f t="shared" ref="H3:H12" si="0">(B3+C3)/D3</f>
        <v>1.66919575113809</v>
      </c>
      <c r="I3">
        <f t="shared" ref="I3:I12" si="1">(F3+G3)/B3</f>
        <v>1.56804733727811</v>
      </c>
    </row>
    <row r="4" spans="1:9">
      <c r="A4">
        <v>2017</v>
      </c>
      <c r="B4">
        <v>611</v>
      </c>
      <c r="C4">
        <v>4274</v>
      </c>
      <c r="D4">
        <v>2448</v>
      </c>
      <c r="E4">
        <v>257</v>
      </c>
      <c r="F4">
        <v>146</v>
      </c>
      <c r="G4">
        <v>976</v>
      </c>
      <c r="H4">
        <f t="shared" si="0"/>
        <v>1.99550653594771</v>
      </c>
      <c r="I4">
        <f t="shared" si="1"/>
        <v>1.83633387888707</v>
      </c>
    </row>
    <row r="5" spans="1:9">
      <c r="A5">
        <v>2018</v>
      </c>
      <c r="B5">
        <v>1539</v>
      </c>
      <c r="C5">
        <v>6233</v>
      </c>
      <c r="D5">
        <v>3846</v>
      </c>
      <c r="E5">
        <v>780</v>
      </c>
      <c r="F5">
        <v>598</v>
      </c>
      <c r="G5">
        <v>2251</v>
      </c>
      <c r="H5">
        <f t="shared" si="0"/>
        <v>2.02080083203328</v>
      </c>
      <c r="I5">
        <f t="shared" si="1"/>
        <v>1.85120207927225</v>
      </c>
    </row>
    <row r="6" spans="1:9">
      <c r="A6">
        <v>2019</v>
      </c>
      <c r="B6">
        <v>2272</v>
      </c>
      <c r="C6">
        <v>9852</v>
      </c>
      <c r="D6">
        <v>6053</v>
      </c>
      <c r="E6">
        <v>5239</v>
      </c>
      <c r="F6">
        <v>1075</v>
      </c>
      <c r="G6">
        <v>3458</v>
      </c>
      <c r="H6">
        <f t="shared" si="0"/>
        <v>2.0029737320337</v>
      </c>
      <c r="I6">
        <f t="shared" si="1"/>
        <v>1.99515845070423</v>
      </c>
    </row>
    <row r="7" spans="1:9">
      <c r="A7">
        <v>2020</v>
      </c>
      <c r="B7">
        <v>1625</v>
      </c>
      <c r="C7">
        <v>5608</v>
      </c>
      <c r="D7">
        <v>3963</v>
      </c>
      <c r="E7">
        <v>4434</v>
      </c>
      <c r="F7">
        <v>607</v>
      </c>
      <c r="G7">
        <v>2061</v>
      </c>
      <c r="H7">
        <f t="shared" si="0"/>
        <v>1.82513247539743</v>
      </c>
      <c r="I7">
        <f t="shared" si="1"/>
        <v>1.64184615384615</v>
      </c>
    </row>
    <row r="8" spans="1:9">
      <c r="A8">
        <v>2021</v>
      </c>
      <c r="B8">
        <v>3181</v>
      </c>
      <c r="C8">
        <v>10220</v>
      </c>
      <c r="D8">
        <v>6980</v>
      </c>
      <c r="E8">
        <v>5655</v>
      </c>
      <c r="F8">
        <v>1344</v>
      </c>
      <c r="G8">
        <v>4248</v>
      </c>
      <c r="H8">
        <f t="shared" si="0"/>
        <v>1.91991404011461</v>
      </c>
      <c r="I8">
        <f t="shared" si="1"/>
        <v>1.75793775542282</v>
      </c>
    </row>
    <row r="9" spans="1:9">
      <c r="A9">
        <v>2022</v>
      </c>
      <c r="B9">
        <v>1603</v>
      </c>
      <c r="C9">
        <v>6597</v>
      </c>
      <c r="D9">
        <v>4631</v>
      </c>
      <c r="E9">
        <v>4247</v>
      </c>
      <c r="F9">
        <v>503</v>
      </c>
      <c r="G9">
        <v>2138</v>
      </c>
      <c r="H9">
        <f t="shared" si="0"/>
        <v>1.77067587993954</v>
      </c>
      <c r="I9">
        <f t="shared" si="1"/>
        <v>1.64753587024329</v>
      </c>
    </row>
    <row r="10" spans="1:9">
      <c r="A10">
        <v>2023</v>
      </c>
      <c r="B10">
        <v>2642</v>
      </c>
      <c r="C10">
        <v>12010</v>
      </c>
      <c r="D10">
        <v>8398</v>
      </c>
      <c r="E10">
        <v>4396</v>
      </c>
      <c r="F10">
        <v>985</v>
      </c>
      <c r="G10">
        <v>3940</v>
      </c>
      <c r="H10">
        <f t="shared" si="0"/>
        <v>1.74470111931412</v>
      </c>
      <c r="I10">
        <f t="shared" si="1"/>
        <v>1.86411809235428</v>
      </c>
    </row>
    <row r="11" spans="1:9">
      <c r="A11">
        <v>2024</v>
      </c>
      <c r="B11">
        <v>2363</v>
      </c>
      <c r="C11">
        <v>15665</v>
      </c>
      <c r="D11">
        <v>10405</v>
      </c>
      <c r="E11">
        <v>1801</v>
      </c>
      <c r="F11">
        <v>639</v>
      </c>
      <c r="G11">
        <v>3528</v>
      </c>
      <c r="H11">
        <f t="shared" si="0"/>
        <v>1.73262854396925</v>
      </c>
      <c r="I11">
        <f t="shared" si="1"/>
        <v>1.76343630977571</v>
      </c>
    </row>
    <row r="12" spans="1:9">
      <c r="A12">
        <v>2025</v>
      </c>
      <c r="B12">
        <v>177</v>
      </c>
      <c r="C12">
        <v>1832</v>
      </c>
      <c r="D12">
        <v>1624</v>
      </c>
      <c r="E12">
        <v>227</v>
      </c>
      <c r="F12">
        <v>13</v>
      </c>
      <c r="G12">
        <v>190</v>
      </c>
      <c r="H12">
        <f t="shared" si="0"/>
        <v>1.23706896551724</v>
      </c>
      <c r="I12">
        <f t="shared" si="1"/>
        <v>1.14689265536723</v>
      </c>
    </row>
    <row r="13" spans="11:11">
      <c r="K13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0"/>
  <sheetViews>
    <sheetView workbookViewId="0">
      <selection activeCell="C4" sqref="C4"/>
    </sheetView>
  </sheetViews>
  <sheetFormatPr defaultColWidth="9" defaultRowHeight="14"/>
  <sheetData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11</v>
      </c>
    </row>
    <row r="7" spans="1:1">
      <c r="A7" t="s">
        <v>14</v>
      </c>
    </row>
    <row r="8" spans="1:1">
      <c r="A8" t="s">
        <v>15</v>
      </c>
    </row>
    <row r="9" spans="1:1">
      <c r="A9" t="s">
        <v>11</v>
      </c>
    </row>
    <row r="10" spans="1:1">
      <c r="A10" t="s">
        <v>16</v>
      </c>
    </row>
    <row r="11" spans="1:1">
      <c r="A11" t="s">
        <v>15</v>
      </c>
    </row>
    <row r="12" spans="1:1">
      <c r="A12" t="s">
        <v>11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30" spans="1:1">
      <c r="A30" t="s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</dc:creator>
  <cp:lastModifiedBy>cheng</cp:lastModifiedBy>
  <dcterms:created xsi:type="dcterms:W3CDTF">2023-05-12T11:15:00Z</dcterms:created>
  <dcterms:modified xsi:type="dcterms:W3CDTF">2025-03-14T07:21:31Z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17A40590F46641A3B27884E4B678B244_12</vt:lpwstr>
  </property>
</Properties>
</file>