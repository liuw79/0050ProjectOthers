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pleyang/Work/2022年上半年课程:"/>
    </mc:Choice>
  </mc:AlternateContent>
  <xr:revisionPtr revIDLastSave="0" documentId="13_ncr:1_{7E9E93BF-092D-7343-B318-40ED446B28D4}" xr6:coauthVersionLast="47" xr6:coauthVersionMax="47" xr10:uidLastSave="{00000000-0000-0000-0000-000000000000}"/>
  <bookViews>
    <workbookView xWindow="0" yWindow="500" windowWidth="28800" windowHeight="17500" xr2:uid="{E4AA7434-D9FE-AE4D-B5F6-E0D2D0F3B63E}"/>
  </bookViews>
  <sheets>
    <sheet name="课程运营结算" sheetId="1" r:id="rId1"/>
    <sheet name="产品组管理结算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" l="1"/>
  <c r="C13" i="1"/>
</calcChain>
</file>

<file path=xl/sharedStrings.xml><?xml version="1.0" encoding="utf-8"?>
<sst xmlns="http://schemas.openxmlformats.org/spreadsheetml/2006/main" count="35" uniqueCount="31">
  <si>
    <t>2022年上半年课程/产品经理奖金结算表</t>
    <phoneticPr fontId="1" type="noConversion"/>
  </si>
  <si>
    <t>序号</t>
    <phoneticPr fontId="1" type="noConversion"/>
  </si>
  <si>
    <t>产品/课程经理</t>
    <phoneticPr fontId="1" type="noConversion"/>
  </si>
  <si>
    <t>松月</t>
    <phoneticPr fontId="1" type="noConversion"/>
  </si>
  <si>
    <t>说明</t>
    <phoneticPr fontId="1" type="noConversion"/>
  </si>
  <si>
    <t>按新方案发放</t>
    <phoneticPr fontId="1" type="noConversion"/>
  </si>
  <si>
    <t>林香</t>
    <phoneticPr fontId="1" type="noConversion"/>
  </si>
  <si>
    <t>辰辰</t>
    <phoneticPr fontId="1" type="noConversion"/>
  </si>
  <si>
    <t>克寒</t>
    <phoneticPr fontId="1" type="noConversion"/>
  </si>
  <si>
    <t>餐饮学院课程增量奖金（学费*1.5%）</t>
    <phoneticPr fontId="1" type="noConversion"/>
  </si>
  <si>
    <t>可馨</t>
    <phoneticPr fontId="1" type="noConversion"/>
  </si>
  <si>
    <t>《定位式营销》增量奖金</t>
    <phoneticPr fontId="1" type="noConversion"/>
  </si>
  <si>
    <t>丽娇</t>
    <phoneticPr fontId="1" type="noConversion"/>
  </si>
  <si>
    <t>《供应链再造》增量奖金</t>
    <phoneticPr fontId="1" type="noConversion"/>
  </si>
  <si>
    <t>琴姐</t>
    <phoneticPr fontId="1" type="noConversion"/>
  </si>
  <si>
    <t>《税务科学筹划》增量奖金</t>
    <phoneticPr fontId="1" type="noConversion"/>
  </si>
  <si>
    <t>流程组</t>
    <phoneticPr fontId="1" type="noConversion"/>
  </si>
  <si>
    <t>定位组</t>
    <phoneticPr fontId="1" type="noConversion"/>
  </si>
  <si>
    <t>启朋内训交付的增量奖金，另外，需要跟慧余沟通Monica内训贡献的奖金</t>
    <phoneticPr fontId="1" type="noConversion"/>
  </si>
  <si>
    <t>需要让袁杰测算飞鱼交付的内训金额</t>
    <phoneticPr fontId="1" type="noConversion"/>
  </si>
  <si>
    <t>奖金金额（元）</t>
    <phoneticPr fontId="1" type="noConversion"/>
  </si>
  <si>
    <t>奖金总额</t>
    <phoneticPr fontId="1" type="noConversion"/>
  </si>
  <si>
    <t>产品经理</t>
    <phoneticPr fontId="1" type="noConversion"/>
  </si>
  <si>
    <t>KK</t>
    <phoneticPr fontId="1" type="noConversion"/>
  </si>
  <si>
    <t>丹纯</t>
    <phoneticPr fontId="1" type="noConversion"/>
  </si>
  <si>
    <t>奖金总额（元）</t>
    <phoneticPr fontId="1" type="noConversion"/>
  </si>
  <si>
    <t>创新奖，从产品组管理奖金中支出。产品开发过程中创造了新课品鉴会，线上研讨会，牵头研发私董会等，在产品组中做了很多有效的创新，为产品开发的质量保证创造了有效的形式，为B端转化路径做出了有价值的贡献</t>
    <phoneticPr fontId="1" type="noConversion"/>
  </si>
  <si>
    <t>公开课销售额的1%</t>
    <phoneticPr fontId="1" type="noConversion"/>
  </si>
  <si>
    <r>
      <t>内训咨询统筹奖金（</t>
    </r>
    <r>
      <rPr>
        <sz val="12"/>
        <color rgb="FFFF0000"/>
        <rFont val="微软雅黑"/>
        <family val="2"/>
        <charset val="134"/>
      </rPr>
      <t>跟慧余商量，从内训咨询费用支出</t>
    </r>
    <r>
      <rPr>
        <sz val="12"/>
        <color theme="1"/>
        <rFont val="微软雅黑"/>
        <family val="2"/>
        <charset val="134"/>
      </rPr>
      <t>）</t>
    </r>
    <phoneticPr fontId="1" type="noConversion"/>
  </si>
  <si>
    <t>面条</t>
    <phoneticPr fontId="1" type="noConversion"/>
  </si>
  <si>
    <t>王志谦老师《用户洞察工作坊》的详情页协调沟通跟进及交付等环节的确保和运营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</si>
</sst>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7F5C-8C61-234E-9D26-86E8B99BD86B}">
  <dimension ref="A1:D13"/>
  <sheetViews>
    <sheetView tabSelected="1" workbookViewId="0">
      <selection activeCell="C5" sqref="C5"/>
    </sheetView>
  </sheetViews>
  <sheetFormatPr baseColWidth="10" defaultRowHeight="16"/>
  <cols>
    <col min="1" max="1" width="7.33203125" customWidth="1"/>
    <col min="2" max="2" width="16.6640625" customWidth="1"/>
    <col min="3" max="3" width="19.1640625" customWidth="1"/>
    <col min="4" max="4" width="128.5" customWidth="1"/>
  </cols>
  <sheetData>
    <row r="1" spans="1:4" ht="41" customHeight="1">
      <c r="A1" s="7" t="s">
        <v>0</v>
      </c>
      <c r="B1" s="7"/>
      <c r="C1" s="7"/>
      <c r="D1" s="7"/>
    </row>
    <row r="2" spans="1:4" ht="28" customHeight="1">
      <c r="A2" s="1" t="s">
        <v>1</v>
      </c>
      <c r="B2" s="1" t="s">
        <v>2</v>
      </c>
      <c r="C2" s="1" t="s">
        <v>20</v>
      </c>
      <c r="D2" s="1" t="s">
        <v>4</v>
      </c>
    </row>
    <row r="3" spans="1:4" ht="28" customHeight="1">
      <c r="A3" s="2">
        <v>1</v>
      </c>
      <c r="B3" s="3" t="s">
        <v>3</v>
      </c>
      <c r="C3" s="4"/>
      <c r="D3" s="3" t="s">
        <v>5</v>
      </c>
    </row>
    <row r="4" spans="1:4" ht="39" customHeight="1">
      <c r="A4" s="2">
        <v>2</v>
      </c>
      <c r="B4" s="3" t="s">
        <v>6</v>
      </c>
      <c r="C4" s="4">
        <v>11800</v>
      </c>
      <c r="D4" s="6" t="s">
        <v>26</v>
      </c>
    </row>
    <row r="5" spans="1:4" ht="28" customHeight="1">
      <c r="A5" s="2">
        <v>3</v>
      </c>
      <c r="B5" s="3" t="s">
        <v>7</v>
      </c>
      <c r="C5" s="4"/>
      <c r="D5" s="3" t="s">
        <v>28</v>
      </c>
    </row>
    <row r="6" spans="1:4" ht="28" customHeight="1">
      <c r="A6" s="2">
        <v>4</v>
      </c>
      <c r="B6" s="3" t="s">
        <v>8</v>
      </c>
      <c r="C6" s="4">
        <v>2613.96</v>
      </c>
      <c r="D6" s="3" t="s">
        <v>9</v>
      </c>
    </row>
    <row r="7" spans="1:4" ht="28" customHeight="1">
      <c r="A7" s="2">
        <v>5</v>
      </c>
      <c r="B7" s="3" t="s">
        <v>10</v>
      </c>
      <c r="C7" s="4">
        <v>1697.3999999999999</v>
      </c>
      <c r="D7" s="3" t="s">
        <v>11</v>
      </c>
    </row>
    <row r="8" spans="1:4" ht="28" customHeight="1">
      <c r="A8" s="2">
        <v>6</v>
      </c>
      <c r="B8" s="3" t="s">
        <v>12</v>
      </c>
      <c r="C8" s="4">
        <v>589.89749999999992</v>
      </c>
      <c r="D8" s="3" t="s">
        <v>13</v>
      </c>
    </row>
    <row r="9" spans="1:4" ht="28" customHeight="1">
      <c r="A9" s="2">
        <v>7</v>
      </c>
      <c r="B9" s="3" t="s">
        <v>14</v>
      </c>
      <c r="C9" s="4">
        <v>493.875</v>
      </c>
      <c r="D9" s="3" t="s">
        <v>15</v>
      </c>
    </row>
    <row r="10" spans="1:4" ht="28" customHeight="1">
      <c r="A10" s="2">
        <v>8</v>
      </c>
      <c r="B10" s="3" t="s">
        <v>16</v>
      </c>
      <c r="C10" s="4">
        <v>1162.5</v>
      </c>
      <c r="D10" s="3" t="s">
        <v>18</v>
      </c>
    </row>
    <row r="11" spans="1:4" ht="28" customHeight="1">
      <c r="A11" s="2">
        <v>9</v>
      </c>
      <c r="B11" s="3" t="s">
        <v>17</v>
      </c>
      <c r="C11" s="4"/>
      <c r="D11" s="3" t="s">
        <v>19</v>
      </c>
    </row>
    <row r="12" spans="1:4" ht="28" customHeight="1">
      <c r="A12" s="2">
        <v>10</v>
      </c>
      <c r="B12" s="3" t="s">
        <v>29</v>
      </c>
      <c r="C12" s="4">
        <v>1000</v>
      </c>
      <c r="D12" s="3" t="s">
        <v>30</v>
      </c>
    </row>
    <row r="13" spans="1:4" ht="30" customHeight="1">
      <c r="A13" s="8" t="s">
        <v>21</v>
      </c>
      <c r="B13" s="8"/>
      <c r="C13" s="8">
        <f>C3+C4+C5+C6+C7+C8+C9+C10+C11</f>
        <v>18357.6325</v>
      </c>
      <c r="D13" s="8"/>
    </row>
  </sheetData>
  <mergeCells count="3">
    <mergeCell ref="A1:D1"/>
    <mergeCell ref="A13:B13"/>
    <mergeCell ref="C13:D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AEC5-B22B-BA41-A9CA-7AFC8F89D442}">
  <dimension ref="A1:D6"/>
  <sheetViews>
    <sheetView workbookViewId="0">
      <selection activeCell="C9" sqref="C9"/>
    </sheetView>
  </sheetViews>
  <sheetFormatPr baseColWidth="10" defaultRowHeight="16"/>
  <cols>
    <col min="2" max="2" width="15.83203125" customWidth="1"/>
    <col min="3" max="3" width="38.6640625" customWidth="1"/>
    <col min="4" max="4" width="25.5" customWidth="1"/>
  </cols>
  <sheetData>
    <row r="1" spans="1:4" ht="39" customHeight="1">
      <c r="A1" s="7" t="s">
        <v>0</v>
      </c>
      <c r="B1" s="7"/>
      <c r="C1" s="7"/>
    </row>
    <row r="2" spans="1:4" ht="30" customHeight="1">
      <c r="A2" s="5" t="s">
        <v>1</v>
      </c>
      <c r="B2" s="5" t="s">
        <v>22</v>
      </c>
      <c r="C2" s="5" t="s">
        <v>20</v>
      </c>
    </row>
    <row r="3" spans="1:4" ht="46" customHeight="1">
      <c r="A3" s="2">
        <v>1</v>
      </c>
      <c r="B3" s="3" t="s">
        <v>23</v>
      </c>
      <c r="C3" s="4">
        <v>50000</v>
      </c>
    </row>
    <row r="4" spans="1:4" ht="46" customHeight="1">
      <c r="A4" s="2">
        <v>2</v>
      </c>
      <c r="B4" s="3" t="s">
        <v>6</v>
      </c>
      <c r="C4" s="4">
        <v>11800</v>
      </c>
    </row>
    <row r="5" spans="1:4" ht="46" customHeight="1">
      <c r="A5" s="2">
        <v>3</v>
      </c>
      <c r="B5" s="3" t="s">
        <v>24</v>
      </c>
      <c r="C5" s="4">
        <v>50000</v>
      </c>
    </row>
    <row r="6" spans="1:4" ht="46" customHeight="1">
      <c r="A6" s="8" t="s">
        <v>25</v>
      </c>
      <c r="B6" s="8"/>
      <c r="C6" s="5">
        <f>SUM(C3:C5)</f>
        <v>111800</v>
      </c>
      <c r="D6" s="4" t="s">
        <v>27</v>
      </c>
    </row>
  </sheetData>
  <mergeCells count="2">
    <mergeCell ref="A1:C1"/>
    <mergeCell ref="A6:B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课程运营结算</vt:lpstr>
      <vt:lpstr>产品组管理结算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2022-08-12T16:34:31Z</dcterms:created>
  <dcterms:modified xsi:type="dcterms:W3CDTF">2022-08-12T17:03:28Z</dcterms:modified>
</cp:coreProperties>
</file>