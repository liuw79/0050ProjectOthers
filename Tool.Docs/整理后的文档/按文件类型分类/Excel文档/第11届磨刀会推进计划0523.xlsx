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00" windowHeight="11280" activeTab="1"/>
  </bookViews>
  <sheets>
    <sheet name="流程安排" sheetId="5" r:id="rId1"/>
    <sheet name="推进计划" sheetId="1" r:id="rId2"/>
    <sheet name="Sheet1" sheetId="6" r:id="rId3"/>
  </sheets>
  <calcPr calcId="144525"/>
</workbook>
</file>

<file path=xl/sharedStrings.xml><?xml version="1.0" encoding="utf-8"?>
<sst xmlns="http://schemas.openxmlformats.org/spreadsheetml/2006/main" count="130" uniqueCount="108">
  <si>
    <t>第11届磨刀会流程安排</t>
  </si>
  <si>
    <t>模块</t>
  </si>
  <si>
    <t>日期</t>
  </si>
  <si>
    <t>时间</t>
  </si>
  <si>
    <t>内容</t>
  </si>
  <si>
    <t>分享人</t>
  </si>
  <si>
    <t>备注</t>
  </si>
  <si>
    <t>线上</t>
  </si>
  <si>
    <t>16：30-18：00</t>
  </si>
  <si>
    <t>公域营销</t>
  </si>
  <si>
    <t>瑟尚集团创始人Jennifer Qian</t>
  </si>
  <si>
    <t>《居家办公也能人人高产出的四大关键》</t>
  </si>
  <si>
    <t>KK</t>
  </si>
  <si>
    <t>私域营销</t>
  </si>
  <si>
    <t>高海波</t>
  </si>
  <si>
    <t>《从业务策略入手的现金流腾挪和优化》</t>
  </si>
  <si>
    <t>徐薇</t>
  </si>
  <si>
    <t>《人才分类管理，结构化降本增效》</t>
  </si>
  <si>
    <t>汤君健</t>
  </si>
  <si>
    <t>《从用户洞察，找品牌的起点》</t>
  </si>
  <si>
    <t>汪志谦</t>
  </si>
  <si>
    <t>线下</t>
  </si>
  <si>
    <t>晚上</t>
  </si>
  <si>
    <t>资源对接会</t>
  </si>
  <si>
    <t>定向小范围</t>
  </si>
  <si>
    <t>上午</t>
  </si>
  <si>
    <t>《升级定位》</t>
  </si>
  <si>
    <t>冯卫东</t>
  </si>
  <si>
    <t>下午</t>
  </si>
  <si>
    <t>《基于定位的销售语言》</t>
  </si>
  <si>
    <t>快刀何</t>
  </si>
  <si>
    <t>实战对话</t>
  </si>
  <si>
    <t>《增长驱动的组织再造》</t>
  </si>
  <si>
    <t>蒋伟良</t>
  </si>
  <si>
    <t>《OGSM》</t>
  </si>
  <si>
    <t>袁园</t>
  </si>
  <si>
    <t>第11届磨刀会推进表</t>
  </si>
  <si>
    <t>开始时间</t>
  </si>
  <si>
    <t>线下活动时间</t>
  </si>
  <si>
    <t>8月19-20日</t>
  </si>
  <si>
    <t>Totals</t>
  </si>
  <si>
    <t>序号</t>
  </si>
  <si>
    <t>任务</t>
  </si>
  <si>
    <t>负责人</t>
  </si>
  <si>
    <t>Deadline</t>
  </si>
  <si>
    <t>完成度</t>
  </si>
  <si>
    <t>完成进度</t>
  </si>
  <si>
    <t>预算</t>
  </si>
  <si>
    <t>进度</t>
  </si>
  <si>
    <t>一、内容策划筹备</t>
  </si>
  <si>
    <t>启动筹备，初步设计确定活动内容</t>
  </si>
  <si>
    <t>KK&amp;刘军</t>
  </si>
  <si>
    <t>邀约分享嘉宾（确定时间和主题)</t>
  </si>
  <si>
    <t>灿平</t>
  </si>
  <si>
    <t>各课题经理邀约对接</t>
  </si>
  <si>
    <t>线上内容准备和打磨完成</t>
  </si>
  <si>
    <t>灿平&amp;课题经理</t>
  </si>
  <si>
    <t>每个内容分享前一天</t>
  </si>
  <si>
    <t>每个分享内容上线前一天完成好内容和测试</t>
  </si>
  <si>
    <t>线下分享内容打磨完成</t>
  </si>
  <si>
    <t>KK&amp;林香</t>
  </si>
  <si>
    <t>二、报名筹备&amp;线上直播</t>
  </si>
  <si>
    <t>设计确定各直播海报</t>
  </si>
  <si>
    <t>慧敏&amp;灿平</t>
  </si>
  <si>
    <t>完成整体活动宣传（招生）海报</t>
  </si>
  <si>
    <t>线上直播执行</t>
  </si>
  <si>
    <t>线上直播邀约（首轮邀约）</t>
  </si>
  <si>
    <t>慧敏</t>
  </si>
  <si>
    <t>确定线上直播运营方案</t>
  </si>
  <si>
    <t>运营总结复盘</t>
  </si>
  <si>
    <t>每次直播后</t>
  </si>
  <si>
    <t>直播素材内容宣发</t>
  </si>
  <si>
    <t>沟通确定招生方案，并确定招生文案及报名链接</t>
  </si>
  <si>
    <t>慧敏&amp;可馨</t>
  </si>
  <si>
    <t>确定报名学员群运营方案</t>
  </si>
  <si>
    <t>制作参会指南（含学员手册）</t>
  </si>
  <si>
    <t>审核报名，并电话/邮件通知结果</t>
  </si>
  <si>
    <t>确定及服务报名企业（咨询/收款/发票）</t>
  </si>
  <si>
    <t>三、会务&amp;服务筹备</t>
  </si>
  <si>
    <t>确定活动场地</t>
  </si>
  <si>
    <t>确定餐饮茶歇</t>
  </si>
  <si>
    <t>老师协议&amp;行程、接待安排</t>
  </si>
  <si>
    <t>林香</t>
  </si>
  <si>
    <t>确定布场方案</t>
  </si>
  <si>
    <t>确定品牌留痕方案（设计并完成打样）</t>
  </si>
  <si>
    <t>确定物料清单</t>
  </si>
  <si>
    <t>物料设计及制作</t>
  </si>
  <si>
    <t>确定外包服务方案（摄影、速记）</t>
  </si>
  <si>
    <t>定制礼品</t>
  </si>
  <si>
    <t>四、线下活动执行（8月19-20日）</t>
  </si>
  <si>
    <t>现场执行rundown</t>
  </si>
  <si>
    <t>现场接待（确定双方接待人员）</t>
  </si>
  <si>
    <t>现场主持</t>
  </si>
  <si>
    <t>慧敏&amp;刘军</t>
  </si>
  <si>
    <t>现场服务老师</t>
  </si>
  <si>
    <t>KK&amp;兵兵</t>
  </si>
  <si>
    <t>餐饮板块</t>
  </si>
  <si>
    <t>王颖</t>
  </si>
  <si>
    <t>现场媒体沟通，PR发稿沟通：按计划输出传播内容（内容文、新闻稿、金句、视频、知识卡片等）</t>
  </si>
  <si>
    <t>刘军&amp;丁丁</t>
  </si>
  <si>
    <t>五、活动后期运营</t>
  </si>
  <si>
    <t>按计划传播内容（文章推送等）</t>
  </si>
  <si>
    <t>丁丁&amp;遥遥</t>
  </si>
  <si>
    <t>直播开始后中间可开始穿插传播文章</t>
  </si>
  <si>
    <t>企业课后回访</t>
  </si>
  <si>
    <t>费用核算</t>
  </si>
  <si>
    <t>活动复盘</t>
  </si>
  <si>
    <t>线上直播计划表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</si>
</sst>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_(&quot;$&quot;* #,##0_);_(&quot;$&quot;* \(#,##0\);_(&quot;$&quot;* &quot;-&quot;??_);_(@_)"/>
  </numFmts>
  <fonts count="3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4" tint="-0.249977111117893"/>
      <name val="宋体"/>
      <charset val="134"/>
      <scheme val="major"/>
    </font>
    <font>
      <sz val="1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indexed="12"/>
      <name val="Arial"/>
      <charset val="134"/>
    </font>
    <font>
      <b/>
      <sz val="9"/>
      <color theme="0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 tint="0.499984740745262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8"/>
      <color theme="1"/>
      <name val="微软雅黑"/>
      <charset val="134"/>
    </font>
    <font>
      <sz val="10.5"/>
      <color theme="1"/>
      <name val="微软雅黑"/>
      <charset val="134"/>
    </font>
    <font>
      <sz val="10.5"/>
      <color rgb="FFFF0000"/>
      <name val="微软雅黑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0" tint="-0.249946592608417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0" tint="-0.249946592608417"/>
      </left>
      <right style="thin">
        <color theme="4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8" fillId="2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21" borderId="12" applyNumberFormat="0" applyFont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29" fillId="13" borderId="13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58" fontId="1" fillId="0" borderId="1" xfId="0" applyNumberFormat="1" applyFont="1" applyBorder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/>
    <xf numFmtId="0" fontId="4" fillId="0" borderId="0" xfId="0" applyFont="1" applyFill="1" applyAlignment="1"/>
    <xf numFmtId="58" fontId="3" fillId="0" borderId="0" xfId="0" applyNumberFormat="1" applyFont="1" applyFill="1" applyAlignment="1"/>
    <xf numFmtId="0" fontId="5" fillId="0" borderId="0" xfId="0" applyFont="1" applyFill="1" applyAlignment="1"/>
    <xf numFmtId="0" fontId="6" fillId="0" borderId="0" xfId="0" applyFont="1" applyFill="1" applyAlignment="1">
      <alignment horizontal="right" vertical="center" indent="1"/>
    </xf>
    <xf numFmtId="176" fontId="6" fillId="2" borderId="2" xfId="4" applyNumberFormat="1" applyFont="1" applyFill="1" applyBorder="1" applyAlignment="1">
      <alignment horizontal="center" vertical="center"/>
    </xf>
    <xf numFmtId="0" fontId="7" fillId="0" borderId="0" xfId="10" applyFont="1" applyAlignment="1" applyProtection="1">
      <alignment vertical="center"/>
    </xf>
    <xf numFmtId="0" fontId="8" fillId="3" borderId="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indent="1"/>
    </xf>
    <xf numFmtId="0" fontId="9" fillId="0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0" xfId="0" applyFont="1" applyFill="1" applyBorder="1" applyAlignment="1">
      <alignment horizontal="left" vertical="center" wrapText="1" indent="1"/>
    </xf>
    <xf numFmtId="0" fontId="0" fillId="7" borderId="0" xfId="0" applyFont="1" applyFill="1" applyBorder="1" applyAlignment="1">
      <alignment horizontal="left" vertical="center" wrapText="1" indent="1"/>
    </xf>
    <xf numFmtId="0" fontId="10" fillId="7" borderId="0" xfId="0" applyFont="1" applyFill="1" applyBorder="1" applyAlignment="1">
      <alignment horizontal="center" vertical="center"/>
    </xf>
    <xf numFmtId="9" fontId="10" fillId="7" borderId="0" xfId="11" applyNumberFormat="1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76" fontId="10" fillId="7" borderId="0" xfId="4" applyNumberFormat="1" applyFont="1" applyFill="1" applyAlignment="1">
      <alignment horizontal="center" vertical="center"/>
    </xf>
    <xf numFmtId="0" fontId="10" fillId="7" borderId="0" xfId="4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 indent="1"/>
    </xf>
    <xf numFmtId="14" fontId="10" fillId="0" borderId="0" xfId="0" applyNumberFormat="1" applyFont="1" applyFill="1" applyBorder="1" applyAlignment="1">
      <alignment horizontal="center" vertical="center"/>
    </xf>
    <xf numFmtId="9" fontId="10" fillId="0" borderId="0" xfId="11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76" fontId="10" fillId="8" borderId="0" xfId="4" applyNumberFormat="1" applyFont="1" applyFill="1" applyAlignment="1">
      <alignment horizontal="center" vertical="center"/>
    </xf>
    <xf numFmtId="0" fontId="10" fillId="0" borderId="0" xfId="4" applyNumberFormat="1" applyFont="1" applyFill="1" applyAlignment="1">
      <alignment horizontal="center" vertical="center"/>
    </xf>
    <xf numFmtId="0" fontId="11" fillId="0" borderId="0" xfId="4" applyNumberFormat="1" applyFont="1" applyFill="1" applyAlignment="1">
      <alignment horizontal="left" vertical="center" wrapText="1"/>
    </xf>
    <xf numFmtId="0" fontId="10" fillId="0" borderId="0" xfId="4" applyNumberFormat="1" applyFont="1" applyFill="1" applyAlignment="1">
      <alignment horizontal="center" vertical="center" wrapText="1"/>
    </xf>
    <xf numFmtId="58" fontId="1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 wrapText="1" indent="1"/>
    </xf>
    <xf numFmtId="0" fontId="10" fillId="8" borderId="0" xfId="0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58" fontId="10" fillId="0" borderId="0" xfId="0" applyNumberFormat="1" applyFont="1" applyFill="1" applyAlignment="1">
      <alignment horizontal="center" vertical="center"/>
    </xf>
    <xf numFmtId="0" fontId="10" fillId="0" borderId="0" xfId="4" applyNumberFormat="1" applyFont="1" applyFill="1" applyAlignment="1">
      <alignment horizontal="left" vertical="center" wrapText="1"/>
    </xf>
    <xf numFmtId="0" fontId="10" fillId="0" borderId="0" xfId="0" applyNumberFormat="1" applyFont="1" applyFill="1" applyAlignment="1">
      <alignment horizontal="left" vertical="center" wrapText="1"/>
    </xf>
    <xf numFmtId="9" fontId="10" fillId="0" borderId="0" xfId="11" applyNumberFormat="1" applyFont="1" applyAlignment="1">
      <alignment horizontal="center" vertical="center"/>
    </xf>
    <xf numFmtId="0" fontId="0" fillId="0" borderId="5" xfId="0" applyFont="1" applyFill="1" applyBorder="1" applyAlignment="1">
      <alignment horizontal="left" vertical="center" wrapText="1" indent="1"/>
    </xf>
    <xf numFmtId="0" fontId="10" fillId="0" borderId="5" xfId="0" applyFont="1" applyFill="1" applyBorder="1" applyAlignment="1">
      <alignment horizontal="center" vertical="center"/>
    </xf>
    <xf numFmtId="9" fontId="10" fillId="0" borderId="5" xfId="11" applyNumberFormat="1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top" wrapText="1"/>
    </xf>
    <xf numFmtId="14" fontId="10" fillId="0" borderId="5" xfId="0" applyNumberFormat="1" applyFont="1" applyFill="1" applyBorder="1" applyAlignment="1">
      <alignment horizontal="center" vertical="center"/>
    </xf>
    <xf numFmtId="0" fontId="10" fillId="2" borderId="5" xfId="11" applyNumberFormat="1" applyFont="1" applyFill="1" applyBorder="1" applyAlignment="1">
      <alignment horizontal="center" vertical="center"/>
    </xf>
    <xf numFmtId="0" fontId="10" fillId="8" borderId="5" xfId="11" applyNumberFormat="1" applyFont="1" applyFill="1" applyBorder="1" applyAlignment="1">
      <alignment horizontal="center" vertical="center"/>
    </xf>
    <xf numFmtId="0" fontId="10" fillId="0" borderId="5" xfId="11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left" vertical="center" wrapText="1" indent="1"/>
    </xf>
    <xf numFmtId="0" fontId="0" fillId="0" borderId="6" xfId="0" applyFont="1" applyBorder="1" applyAlignment="1">
      <alignment horizontal="left" vertical="center" wrapText="1" indent="1"/>
    </xf>
    <xf numFmtId="58" fontId="10" fillId="0" borderId="6" xfId="0" applyNumberFormat="1" applyFont="1" applyBorder="1" applyAlignment="1">
      <alignment horizontal="center" vertical="center"/>
    </xf>
    <xf numFmtId="9" fontId="10" fillId="0" borderId="6" xfId="11" applyNumberFormat="1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/>
    </xf>
    <xf numFmtId="0" fontId="0" fillId="9" borderId="4" xfId="0" applyFont="1" applyFill="1" applyBorder="1" applyAlignment="1">
      <alignment horizontal="left" vertical="center" wrapText="1" indent="1"/>
    </xf>
    <xf numFmtId="0" fontId="0" fillId="9" borderId="6" xfId="0" applyFont="1" applyFill="1" applyBorder="1" applyAlignment="1">
      <alignment horizontal="left" vertical="center" wrapText="1" indent="1"/>
    </xf>
    <xf numFmtId="9" fontId="10" fillId="9" borderId="6" xfId="11" applyNumberFormat="1" applyFont="1" applyFill="1" applyBorder="1" applyAlignment="1">
      <alignment horizontal="center" vertical="center"/>
    </xf>
    <xf numFmtId="0" fontId="10" fillId="9" borderId="6" xfId="0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9" borderId="4" xfId="0" applyFont="1" applyFill="1" applyBorder="1" applyAlignment="1">
      <alignment horizontal="left" vertical="center" wrapText="1" indent="2"/>
    </xf>
    <xf numFmtId="0" fontId="0" fillId="9" borderId="6" xfId="0" applyFont="1" applyFill="1" applyBorder="1" applyAlignment="1">
      <alignment horizontal="left" vertical="center" wrapText="1" indent="2"/>
    </xf>
    <xf numFmtId="14" fontId="10" fillId="9" borderId="6" xfId="0" applyNumberFormat="1" applyFont="1" applyFill="1" applyBorder="1" applyAlignment="1">
      <alignment horizontal="center" vertical="center"/>
    </xf>
    <xf numFmtId="0" fontId="10" fillId="2" borderId="6" xfId="11" applyNumberFormat="1" applyFont="1" applyFill="1" applyBorder="1" applyAlignment="1">
      <alignment horizontal="center" vertical="center"/>
    </xf>
    <xf numFmtId="0" fontId="10" fillId="8" borderId="6" xfId="11" applyNumberFormat="1" applyFont="1" applyFill="1" applyBorder="1" applyAlignment="1">
      <alignment horizontal="center" vertical="center"/>
    </xf>
    <xf numFmtId="0" fontId="10" fillId="9" borderId="6" xfId="11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vertical="top"/>
    </xf>
    <xf numFmtId="0" fontId="13" fillId="7" borderId="0" xfId="0" applyFont="1" applyFill="1" applyBorder="1" applyAlignment="1">
      <alignment horizontal="left" vertical="center" wrapText="1" indent="1"/>
    </xf>
    <xf numFmtId="0" fontId="13" fillId="0" borderId="0" xfId="0" applyFont="1" applyFill="1" applyBorder="1" applyAlignment="1">
      <alignment horizontal="left" vertical="center" wrapText="1" indent="1"/>
    </xf>
    <xf numFmtId="0" fontId="13" fillId="0" borderId="0" xfId="0" applyFont="1" applyFill="1" applyAlignment="1">
      <alignment horizontal="left" vertical="center" wrapText="1" indent="1"/>
    </xf>
    <xf numFmtId="0" fontId="13" fillId="0" borderId="5" xfId="0" applyFont="1" applyFill="1" applyBorder="1" applyAlignment="1">
      <alignment horizontal="left" vertical="center" wrapText="1" indent="1"/>
    </xf>
    <xf numFmtId="0" fontId="13" fillId="0" borderId="5" xfId="0" applyFont="1" applyFill="1" applyBorder="1" applyAlignment="1">
      <alignment horizontal="left" vertical="center" wrapText="1" indent="2"/>
    </xf>
    <xf numFmtId="0" fontId="13" fillId="0" borderId="7" xfId="0" applyFont="1" applyBorder="1" applyAlignment="1">
      <alignment horizontal="left" vertical="center" wrapText="1" indent="1"/>
    </xf>
    <xf numFmtId="0" fontId="13" fillId="9" borderId="7" xfId="0" applyFont="1" applyFill="1" applyBorder="1" applyAlignment="1">
      <alignment horizontal="left" vertical="center" wrapText="1" indent="1"/>
    </xf>
    <xf numFmtId="0" fontId="13" fillId="9" borderId="7" xfId="0" applyFont="1" applyFill="1" applyBorder="1" applyAlignment="1">
      <alignment horizontal="left" vertical="center" wrapText="1" indent="2"/>
    </xf>
    <xf numFmtId="0" fontId="14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1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justify" vertical="center"/>
    </xf>
    <xf numFmtId="0" fontId="17" fillId="0" borderId="0" xfId="0" applyFont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border>
        <left style="thin">
          <color theme="0" tint="-0.249946592608417"/>
        </left>
      </border>
    </dxf>
    <dxf>
      <border>
        <left style="thin">
          <color theme="0" tint="-0.249946592608417"/>
        </left>
      </border>
    </dxf>
    <dxf>
      <border>
        <left style="thin">
          <color theme="0" tint="-0.249946592608417"/>
        </left>
      </border>
    </dxf>
    <dxf>
      <border>
        <left style="thin">
          <color theme="0" tint="-0.249946592608417"/>
        </left>
      </border>
    </dxf>
    <dxf>
      <border>
        <left style="thin">
          <color theme="0" tint="-0.249946592608417"/>
        </left>
      </border>
    </dxf>
    <dxf>
      <border>
        <left style="thin">
          <color theme="0" tint="-0.249946592608417"/>
        </left>
      </border>
    </dxf>
    <dxf>
      <border>
        <left style="thin">
          <color theme="0" tint="-0.249946592608417"/>
        </left>
      </border>
    </dxf>
    <dxf>
      <border>
        <left style="thin">
          <color theme="0" tint="-0.249946592608417"/>
        </left>
      </border>
    </dxf>
    <dxf>
      <border>
        <left style="thin">
          <color theme="0" tint="-0.249946592608417"/>
        </left>
      </border>
    </dxf>
    <dxf>
      <border>
        <left style="thin">
          <color theme="0" tint="-0.249946592608417"/>
        </left>
      </border>
    </dxf>
    <dxf>
      <border>
        <top style="thin">
          <color theme="4" tint="0.399945066682943"/>
        </top>
      </border>
    </dxf>
    <dxf>
      <fill>
        <patternFill patternType="solid">
          <bgColor theme="0" tint="-0.0499893185216834"/>
        </patternFill>
      </fill>
      <border>
        <top style="thin">
          <color theme="4" tint="0.399945066682943"/>
        </top>
      </border>
    </dxf>
    <dxf>
      <font>
        <b val="1"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secondRowStripe" dxfId="10"/>
      <tableStyleElement type="firstColumnStripe" dxfId="9"/>
      <tableStyleElement type="secondColumnStripe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37" displayName="Table137" ref="B4:I40" totalsRowShown="0">
  <autoFilter ref="B4:I40"/>
  <tableColumns count="8">
    <tableColumn id="1" name="任务" dataDxfId="0"/>
    <tableColumn id="2" name="负责人" dataDxfId="1"/>
    <tableColumn id="3" name="Deadline" dataDxfId="2"/>
    <tableColumn id="4" name="完成度" dataDxfId="3"/>
    <tableColumn id="5" name="完成进度" dataDxfId="4"/>
    <tableColumn id="6" name="预算" dataDxfId="5"/>
    <tableColumn id="7" name="进度" dataDxfId="6"/>
    <tableColumn id="9" name="备注" dataDxfId="7"/>
  </tableColumns>
  <tableStyleInfo name="ToDoList" showFirstColumn="1" showLastColumn="0" showRowStripes="1" showColumn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5"/>
  <sheetViews>
    <sheetView workbookViewId="0">
      <selection activeCell="C25" sqref="C25"/>
    </sheetView>
  </sheetViews>
  <sheetFormatPr defaultColWidth="9.02654867256637" defaultRowHeight="15"/>
  <cols>
    <col min="1" max="1" width="11.0265486725664" style="84" customWidth="1"/>
    <col min="2" max="2" width="12.353982300885" style="85" customWidth="1"/>
    <col min="3" max="3" width="14.3451327433628" style="85" customWidth="1"/>
    <col min="4" max="4" width="37.8318584070796" style="84" customWidth="1"/>
    <col min="5" max="5" width="16.7345132743363" style="85" customWidth="1"/>
    <col min="6" max="6" width="20.716814159292" style="84" customWidth="1"/>
    <col min="7" max="7" width="9.02654867256637" style="84"/>
    <col min="8" max="8" width="10.6283185840708" style="84" customWidth="1"/>
    <col min="9" max="9" width="14.5398230088496" style="84" customWidth="1"/>
    <col min="10" max="12" width="9.02654867256637" style="84"/>
    <col min="13" max="13" width="28.9469026548673" style="84" customWidth="1"/>
    <col min="14" max="16384" width="9.02654867256637" style="84"/>
  </cols>
  <sheetData>
    <row r="2" ht="25.5" spans="1:6">
      <c r="A2" s="86" t="s">
        <v>0</v>
      </c>
      <c r="B2" s="86"/>
      <c r="C2" s="86"/>
      <c r="D2" s="86"/>
      <c r="E2" s="86"/>
      <c r="F2" s="86"/>
    </row>
    <row r="3" s="83" customFormat="1" ht="24.75" customHeight="1" spans="1:10">
      <c r="A3" s="87" t="s">
        <v>1</v>
      </c>
      <c r="B3" s="87" t="s">
        <v>2</v>
      </c>
      <c r="C3" s="87" t="s">
        <v>3</v>
      </c>
      <c r="D3" s="87" t="s">
        <v>4</v>
      </c>
      <c r="E3" s="87" t="s">
        <v>5</v>
      </c>
      <c r="F3" s="87" t="s">
        <v>6</v>
      </c>
      <c r="I3"/>
      <c r="J3"/>
    </row>
    <row r="4" ht="30" spans="1:13">
      <c r="A4" s="88" t="s">
        <v>7</v>
      </c>
      <c r="B4" s="1">
        <v>44706</v>
      </c>
      <c r="C4" s="89" t="s">
        <v>8</v>
      </c>
      <c r="D4" s="90" t="s">
        <v>9</v>
      </c>
      <c r="E4" s="91" t="s">
        <v>10</v>
      </c>
      <c r="F4" s="90"/>
      <c r="M4" s="94"/>
    </row>
    <row r="5" ht="24" customHeight="1" spans="1:13">
      <c r="A5" s="88"/>
      <c r="B5" s="1">
        <v>44720</v>
      </c>
      <c r="C5" s="89"/>
      <c r="D5" s="90" t="s">
        <v>11</v>
      </c>
      <c r="E5" s="89" t="s">
        <v>12</v>
      </c>
      <c r="F5" s="90"/>
      <c r="M5" s="94"/>
    </row>
    <row r="6" ht="24" customHeight="1" spans="1:13">
      <c r="A6" s="88"/>
      <c r="B6" s="1">
        <v>44734</v>
      </c>
      <c r="C6" s="89"/>
      <c r="D6" s="90" t="s">
        <v>13</v>
      </c>
      <c r="E6" s="89" t="s">
        <v>14</v>
      </c>
      <c r="F6" s="90"/>
      <c r="M6" s="94"/>
    </row>
    <row r="7" ht="24" customHeight="1" spans="1:13">
      <c r="A7" s="88"/>
      <c r="B7" s="1">
        <v>44748</v>
      </c>
      <c r="C7" s="89"/>
      <c r="D7" s="90" t="s">
        <v>15</v>
      </c>
      <c r="E7" s="89" t="s">
        <v>16</v>
      </c>
      <c r="F7" s="90"/>
      <c r="M7" s="94"/>
    </row>
    <row r="8" ht="24" customHeight="1" spans="1:13">
      <c r="A8" s="88"/>
      <c r="B8" s="1">
        <v>44762</v>
      </c>
      <c r="C8" s="89"/>
      <c r="D8" s="90" t="s">
        <v>17</v>
      </c>
      <c r="E8" s="89" t="s">
        <v>18</v>
      </c>
      <c r="F8" s="90"/>
      <c r="M8" s="94"/>
    </row>
    <row r="9" ht="24" customHeight="1" spans="1:13">
      <c r="A9" s="88"/>
      <c r="B9" s="1">
        <v>44776</v>
      </c>
      <c r="C9" s="89"/>
      <c r="D9" s="90" t="s">
        <v>19</v>
      </c>
      <c r="E9" s="89" t="s">
        <v>20</v>
      </c>
      <c r="F9" s="92"/>
      <c r="G9"/>
      <c r="H9"/>
      <c r="I9"/>
      <c r="M9" s="94"/>
    </row>
    <row r="10" ht="24" customHeight="1" spans="1:13">
      <c r="A10" s="93" t="s">
        <v>21</v>
      </c>
      <c r="B10" s="1">
        <v>44791</v>
      </c>
      <c r="C10" s="89" t="s">
        <v>22</v>
      </c>
      <c r="D10" s="90" t="s">
        <v>23</v>
      </c>
      <c r="E10" s="89"/>
      <c r="F10" s="92" t="s">
        <v>24</v>
      </c>
      <c r="G10"/>
      <c r="H10"/>
      <c r="I10"/>
      <c r="M10" s="94"/>
    </row>
    <row r="11" ht="24" customHeight="1" spans="1:13">
      <c r="A11" s="93"/>
      <c r="B11" s="1">
        <v>44792</v>
      </c>
      <c r="C11" s="89" t="s">
        <v>25</v>
      </c>
      <c r="D11" s="90" t="s">
        <v>26</v>
      </c>
      <c r="E11" s="89" t="s">
        <v>27</v>
      </c>
      <c r="F11" s="92"/>
      <c r="G11"/>
      <c r="H11"/>
      <c r="I11"/>
      <c r="M11" s="94"/>
    </row>
    <row r="12" ht="24" customHeight="1" spans="1:13">
      <c r="A12" s="93"/>
      <c r="B12" s="1"/>
      <c r="C12" s="89" t="s">
        <v>28</v>
      </c>
      <c r="D12" s="90" t="s">
        <v>29</v>
      </c>
      <c r="E12" s="89" t="s">
        <v>30</v>
      </c>
      <c r="F12" s="92"/>
      <c r="G12"/>
      <c r="H12"/>
      <c r="I12"/>
      <c r="M12" s="95"/>
    </row>
    <row r="13" ht="24" customHeight="1" spans="1:13">
      <c r="A13" s="93"/>
      <c r="B13" s="1"/>
      <c r="C13" s="89" t="s">
        <v>22</v>
      </c>
      <c r="D13" s="90" t="s">
        <v>31</v>
      </c>
      <c r="E13" s="89"/>
      <c r="F13" s="90"/>
      <c r="M13" s="94"/>
    </row>
    <row r="14" ht="24" customHeight="1" spans="1:13">
      <c r="A14" s="93"/>
      <c r="B14" s="1">
        <v>44793</v>
      </c>
      <c r="C14" s="89" t="s">
        <v>25</v>
      </c>
      <c r="D14" s="90" t="s">
        <v>32</v>
      </c>
      <c r="E14" s="89" t="s">
        <v>33</v>
      </c>
      <c r="F14" s="90"/>
      <c r="M14" s="94"/>
    </row>
    <row r="15" ht="24" customHeight="1" spans="1:13">
      <c r="A15" s="93"/>
      <c r="B15" s="1"/>
      <c r="C15" s="89" t="s">
        <v>28</v>
      </c>
      <c r="D15" s="90" t="s">
        <v>34</v>
      </c>
      <c r="E15" s="89" t="s">
        <v>35</v>
      </c>
      <c r="F15" s="90"/>
      <c r="M15" s="94"/>
    </row>
  </sheetData>
  <mergeCells count="6">
    <mergeCell ref="A2:F2"/>
    <mergeCell ref="A4:A9"/>
    <mergeCell ref="A10:A15"/>
    <mergeCell ref="B11:B13"/>
    <mergeCell ref="B14:B15"/>
    <mergeCell ref="C4:C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tabSelected="1" zoomScale="80" zoomScaleNormal="80" workbookViewId="0">
      <selection activeCell="H24" sqref="H24"/>
    </sheetView>
  </sheetViews>
  <sheetFormatPr defaultColWidth="9" defaultRowHeight="13.5"/>
  <cols>
    <col min="1" max="1" width="5.45132743362832" style="4" customWidth="1"/>
    <col min="2" max="2" width="45.070796460177" customWidth="1"/>
    <col min="3" max="3" width="12.5575221238938" customWidth="1"/>
    <col min="4" max="4" width="10.5929203539823"/>
    <col min="8" max="8" width="31" customWidth="1"/>
    <col min="9" max="9" width="28.2920353982301" customWidth="1"/>
  </cols>
  <sheetData>
    <row r="1" s="2" customFormat="1" ht="25.1" spans="1:9">
      <c r="A1" s="5"/>
      <c r="B1" s="6" t="s">
        <v>36</v>
      </c>
      <c r="C1" s="6"/>
      <c r="D1" s="7"/>
      <c r="E1" s="7"/>
      <c r="F1" s="7"/>
      <c r="G1" s="7"/>
      <c r="H1" s="7"/>
      <c r="I1" s="7"/>
    </row>
    <row r="2" s="2" customFormat="1" ht="19" customHeight="1" spans="1:9">
      <c r="A2" s="5"/>
      <c r="B2" s="6"/>
      <c r="C2" s="8" t="s">
        <v>37</v>
      </c>
      <c r="D2" s="9">
        <v>44697</v>
      </c>
      <c r="E2" s="7"/>
      <c r="F2" s="7"/>
      <c r="G2" s="7"/>
      <c r="H2" s="7"/>
      <c r="I2" s="7"/>
    </row>
    <row r="3" s="2" customFormat="1" ht="19.5" customHeight="1" spans="1:11">
      <c r="A3" s="5"/>
      <c r="C3" s="8" t="s">
        <v>38</v>
      </c>
      <c r="D3" s="10" t="s">
        <v>39</v>
      </c>
      <c r="F3" s="11" t="s">
        <v>40</v>
      </c>
      <c r="G3" s="12">
        <f>SUM(Table137[预算])</f>
        <v>0</v>
      </c>
      <c r="H3" s="13"/>
      <c r="K3" s="74"/>
    </row>
    <row r="4" s="2" customFormat="1" ht="33" customHeight="1" spans="1:9">
      <c r="A4" s="14" t="s">
        <v>41</v>
      </c>
      <c r="B4" s="15" t="s">
        <v>42</v>
      </c>
      <c r="C4" s="15" t="s">
        <v>43</v>
      </c>
      <c r="D4" s="16" t="s">
        <v>44</v>
      </c>
      <c r="E4" s="17" t="s">
        <v>45</v>
      </c>
      <c r="F4" s="18" t="s">
        <v>46</v>
      </c>
      <c r="G4" s="19" t="s">
        <v>47</v>
      </c>
      <c r="H4" s="17" t="s">
        <v>48</v>
      </c>
      <c r="I4" s="15" t="s">
        <v>6</v>
      </c>
    </row>
    <row r="5" s="3" customFormat="1" ht="22.5" customHeight="1" spans="1:9">
      <c r="A5" s="20"/>
      <c r="B5" s="21" t="s">
        <v>49</v>
      </c>
      <c r="C5" s="22"/>
      <c r="D5" s="23"/>
      <c r="E5" s="24"/>
      <c r="F5" s="25">
        <f>IF(E5&gt;=1,1,0)</f>
        <v>0</v>
      </c>
      <c r="G5" s="26"/>
      <c r="H5" s="27"/>
      <c r="I5" s="75"/>
    </row>
    <row r="6" s="3" customFormat="1" ht="22.5" customHeight="1" spans="1:9">
      <c r="A6" s="28">
        <v>1</v>
      </c>
      <c r="B6" s="29" t="s">
        <v>50</v>
      </c>
      <c r="C6" s="29" t="s">
        <v>51</v>
      </c>
      <c r="D6" s="30">
        <v>44701</v>
      </c>
      <c r="E6" s="31">
        <v>1</v>
      </c>
      <c r="F6" s="32">
        <v>1</v>
      </c>
      <c r="G6" s="33"/>
      <c r="H6" s="34"/>
      <c r="I6" s="76"/>
    </row>
    <row r="7" s="3" customFormat="1" ht="28" customHeight="1" spans="1:9">
      <c r="A7" s="28">
        <v>2</v>
      </c>
      <c r="B7" s="29" t="s">
        <v>52</v>
      </c>
      <c r="C7" s="29" t="s">
        <v>53</v>
      </c>
      <c r="D7" s="30">
        <v>44704</v>
      </c>
      <c r="E7" s="31">
        <v>1</v>
      </c>
      <c r="F7" s="32">
        <v>1</v>
      </c>
      <c r="G7" s="33"/>
      <c r="H7" s="35"/>
      <c r="I7" s="76" t="s">
        <v>54</v>
      </c>
    </row>
    <row r="8" s="3" customFormat="1" ht="22.5" customHeight="1" spans="1:9">
      <c r="A8" s="28">
        <v>3</v>
      </c>
      <c r="B8" s="29" t="s">
        <v>55</v>
      </c>
      <c r="C8" s="29" t="s">
        <v>56</v>
      </c>
      <c r="D8" s="29" t="s">
        <v>57</v>
      </c>
      <c r="E8" s="31"/>
      <c r="F8" s="32">
        <v>0</v>
      </c>
      <c r="G8" s="33"/>
      <c r="H8" s="34"/>
      <c r="I8" s="76" t="s">
        <v>58</v>
      </c>
    </row>
    <row r="9" s="3" customFormat="1" ht="22.5" customHeight="1" spans="1:9">
      <c r="A9" s="28">
        <v>4</v>
      </c>
      <c r="B9" s="29" t="s">
        <v>59</v>
      </c>
      <c r="C9" s="29" t="s">
        <v>60</v>
      </c>
      <c r="D9" s="30">
        <v>44783</v>
      </c>
      <c r="E9" s="31"/>
      <c r="F9" s="32">
        <f t="shared" ref="F9:F11" si="0">IF(E9&gt;=1,1,0)</f>
        <v>0</v>
      </c>
      <c r="G9" s="33"/>
      <c r="H9" s="36"/>
      <c r="I9" s="76"/>
    </row>
    <row r="10" s="3" customFormat="1" ht="22.5" customHeight="1" spans="1:9">
      <c r="A10" s="28"/>
      <c r="E10" s="31"/>
      <c r="F10" s="32">
        <f t="shared" si="0"/>
        <v>0</v>
      </c>
      <c r="G10" s="33"/>
      <c r="H10" s="34"/>
      <c r="I10" s="76"/>
    </row>
    <row r="11" s="3" customFormat="1" ht="22.5" customHeight="1" spans="1:9">
      <c r="A11" s="20"/>
      <c r="B11" s="21" t="s">
        <v>61</v>
      </c>
      <c r="C11" s="22"/>
      <c r="D11" s="23"/>
      <c r="E11" s="24"/>
      <c r="F11" s="25">
        <f t="shared" si="0"/>
        <v>0</v>
      </c>
      <c r="G11" s="26"/>
      <c r="H11" s="27"/>
      <c r="I11" s="75"/>
    </row>
    <row r="12" s="3" customFormat="1" ht="22.5" customHeight="1" spans="1:9">
      <c r="A12" s="28">
        <v>1</v>
      </c>
      <c r="B12" s="29" t="s">
        <v>62</v>
      </c>
      <c r="C12" s="29" t="s">
        <v>63</v>
      </c>
      <c r="D12" s="37">
        <v>44705</v>
      </c>
      <c r="E12" s="31"/>
      <c r="F12" s="32">
        <v>0</v>
      </c>
      <c r="G12" s="33"/>
      <c r="H12" s="34"/>
      <c r="I12" s="76"/>
    </row>
    <row r="13" s="3" customFormat="1" ht="22.5" customHeight="1" spans="1:9">
      <c r="A13" s="28">
        <v>2</v>
      </c>
      <c r="B13" s="29" t="s">
        <v>64</v>
      </c>
      <c r="C13" s="29" t="s">
        <v>63</v>
      </c>
      <c r="D13" s="37">
        <v>44710</v>
      </c>
      <c r="E13" s="31"/>
      <c r="F13" s="32">
        <v>0</v>
      </c>
      <c r="G13" s="33"/>
      <c r="H13" s="34"/>
      <c r="I13" s="76"/>
    </row>
    <row r="14" s="3" customFormat="1" ht="22.5" customHeight="1" spans="1:9">
      <c r="A14" s="28">
        <v>3</v>
      </c>
      <c r="B14" s="29" t="s">
        <v>65</v>
      </c>
      <c r="C14" s="29" t="s">
        <v>63</v>
      </c>
      <c r="D14" s="37">
        <v>44778</v>
      </c>
      <c r="E14" s="31"/>
      <c r="F14" s="32">
        <v>0</v>
      </c>
      <c r="G14" s="33"/>
      <c r="H14" s="34"/>
      <c r="I14" s="76"/>
    </row>
    <row r="15" s="3" customFormat="1" ht="22.5" customHeight="1" spans="1:9">
      <c r="A15" s="28">
        <v>3.1</v>
      </c>
      <c r="B15" s="29" t="s">
        <v>66</v>
      </c>
      <c r="C15" s="29" t="s">
        <v>67</v>
      </c>
      <c r="D15" s="37">
        <v>44706</v>
      </c>
      <c r="E15" s="31"/>
      <c r="F15" s="32">
        <v>0</v>
      </c>
      <c r="G15" s="33"/>
      <c r="H15" s="34"/>
      <c r="I15" s="76"/>
    </row>
    <row r="16" s="3" customFormat="1" ht="22.5" customHeight="1" spans="1:9">
      <c r="A16" s="28">
        <v>3.2</v>
      </c>
      <c r="B16" s="38" t="s">
        <v>68</v>
      </c>
      <c r="C16" s="38"/>
      <c r="D16" s="37">
        <v>44706</v>
      </c>
      <c r="E16" s="31"/>
      <c r="F16" s="32">
        <f>IF(E16&gt;=1,1,0)</f>
        <v>0</v>
      </c>
      <c r="G16" s="39"/>
      <c r="H16" s="40"/>
      <c r="I16" s="77"/>
    </row>
    <row r="17" s="3" customFormat="1" ht="22.5" customHeight="1" spans="1:9">
      <c r="A17" s="28">
        <v>3.3</v>
      </c>
      <c r="B17" s="38" t="s">
        <v>69</v>
      </c>
      <c r="C17" s="38"/>
      <c r="D17" s="41" t="s">
        <v>70</v>
      </c>
      <c r="E17" s="31"/>
      <c r="F17" s="32">
        <v>0</v>
      </c>
      <c r="G17" s="39"/>
      <c r="H17" s="40"/>
      <c r="I17" s="77"/>
    </row>
    <row r="18" s="3" customFormat="1" ht="22.5" customHeight="1" spans="1:9">
      <c r="A18" s="28">
        <v>3.4</v>
      </c>
      <c r="B18" s="38" t="s">
        <v>71</v>
      </c>
      <c r="C18" s="38"/>
      <c r="D18" s="41">
        <v>44778</v>
      </c>
      <c r="E18" s="31"/>
      <c r="F18" s="32">
        <v>0</v>
      </c>
      <c r="G18" s="39"/>
      <c r="H18" s="40"/>
      <c r="I18" s="77"/>
    </row>
    <row r="19" s="3" customFormat="1" ht="22.5" customHeight="1" spans="1:9">
      <c r="A19" s="28">
        <v>4</v>
      </c>
      <c r="B19" s="29" t="s">
        <v>72</v>
      </c>
      <c r="C19" s="29" t="s">
        <v>73</v>
      </c>
      <c r="D19" s="41">
        <v>44712</v>
      </c>
      <c r="E19" s="31"/>
      <c r="F19" s="32">
        <v>0</v>
      </c>
      <c r="G19" s="39"/>
      <c r="H19" s="40"/>
      <c r="I19" s="77"/>
    </row>
    <row r="20" s="3" customFormat="1" ht="22.5" customHeight="1" spans="1:9">
      <c r="A20" s="28">
        <v>5</v>
      </c>
      <c r="B20" s="38" t="s">
        <v>74</v>
      </c>
      <c r="C20" s="38" t="s">
        <v>73</v>
      </c>
      <c r="D20" s="41">
        <v>44727</v>
      </c>
      <c r="E20" s="31"/>
      <c r="F20" s="32">
        <v>0</v>
      </c>
      <c r="G20" s="39"/>
      <c r="H20" s="40"/>
      <c r="I20" s="77"/>
    </row>
    <row r="21" s="3" customFormat="1" ht="22.5" customHeight="1" spans="1:9">
      <c r="A21" s="28">
        <v>6</v>
      </c>
      <c r="B21" s="38" t="s">
        <v>75</v>
      </c>
      <c r="C21" s="38" t="s">
        <v>63</v>
      </c>
      <c r="D21" s="41">
        <v>44773</v>
      </c>
      <c r="E21" s="31"/>
      <c r="F21" s="32">
        <v>0</v>
      </c>
      <c r="G21" s="39"/>
      <c r="H21" s="40"/>
      <c r="I21" s="77"/>
    </row>
    <row r="22" s="3" customFormat="1" ht="22.5" customHeight="1" spans="1:9">
      <c r="A22" s="28">
        <v>7</v>
      </c>
      <c r="B22" s="29" t="s">
        <v>76</v>
      </c>
      <c r="C22" s="29" t="s">
        <v>67</v>
      </c>
      <c r="D22" s="41">
        <v>44778</v>
      </c>
      <c r="E22" s="31"/>
      <c r="F22" s="32">
        <v>0</v>
      </c>
      <c r="G22" s="39"/>
      <c r="H22" s="40"/>
      <c r="I22" s="77"/>
    </row>
    <row r="23" s="3" customFormat="1" ht="22.5" customHeight="1" spans="1:9">
      <c r="A23" s="28">
        <v>8</v>
      </c>
      <c r="B23" s="29" t="s">
        <v>77</v>
      </c>
      <c r="C23" s="29" t="s">
        <v>73</v>
      </c>
      <c r="D23" s="41">
        <v>44785</v>
      </c>
      <c r="E23" s="31"/>
      <c r="F23" s="32">
        <v>0</v>
      </c>
      <c r="G23" s="39"/>
      <c r="H23" s="40"/>
      <c r="I23" s="77"/>
    </row>
    <row r="24" s="3" customFormat="1" ht="22.5" customHeight="1" spans="1:9">
      <c r="A24" s="20"/>
      <c r="B24" s="21" t="s">
        <v>78</v>
      </c>
      <c r="C24" s="22"/>
      <c r="D24" s="23"/>
      <c r="E24" s="24"/>
      <c r="F24" s="25">
        <f>IF(E24&gt;=1,1,0)</f>
        <v>0</v>
      </c>
      <c r="G24" s="26"/>
      <c r="H24" s="27"/>
      <c r="I24" s="75"/>
    </row>
    <row r="25" s="3" customFormat="1" ht="28" customHeight="1" spans="1:9">
      <c r="A25" s="28">
        <v>1</v>
      </c>
      <c r="B25" s="29" t="s">
        <v>79</v>
      </c>
      <c r="C25" s="29" t="s">
        <v>63</v>
      </c>
      <c r="D25" s="37">
        <v>44778</v>
      </c>
      <c r="E25" s="31"/>
      <c r="F25" s="32">
        <v>0</v>
      </c>
      <c r="G25" s="33"/>
      <c r="H25" s="42"/>
      <c r="I25" s="76"/>
    </row>
    <row r="26" s="3" customFormat="1" ht="25" customHeight="1" spans="1:9">
      <c r="A26" s="28">
        <v>2</v>
      </c>
      <c r="B26" s="29" t="s">
        <v>80</v>
      </c>
      <c r="C26" s="29" t="s">
        <v>63</v>
      </c>
      <c r="D26" s="37">
        <v>44785</v>
      </c>
      <c r="E26" s="31"/>
      <c r="F26" s="32">
        <f>IF(E26&gt;=1,1,0)</f>
        <v>0</v>
      </c>
      <c r="G26" s="39"/>
      <c r="H26" s="43"/>
      <c r="I26" s="76"/>
    </row>
    <row r="27" s="3" customFormat="1" ht="22.5" customHeight="1" spans="1:9">
      <c r="A27" s="28">
        <v>3</v>
      </c>
      <c r="B27" s="38" t="s">
        <v>81</v>
      </c>
      <c r="C27" s="38" t="s">
        <v>82</v>
      </c>
      <c r="D27" s="41">
        <v>44783</v>
      </c>
      <c r="E27" s="44"/>
      <c r="F27" s="32">
        <f>IF(E27&gt;=1,1,0)</f>
        <v>0</v>
      </c>
      <c r="G27" s="39"/>
      <c r="H27" s="40"/>
      <c r="I27" s="77"/>
    </row>
    <row r="28" s="3" customFormat="1" ht="22.5" customHeight="1" spans="1:9">
      <c r="A28" s="28">
        <v>4</v>
      </c>
      <c r="B28" s="38" t="s">
        <v>83</v>
      </c>
      <c r="C28" s="29" t="s">
        <v>63</v>
      </c>
      <c r="D28" s="41">
        <v>44785</v>
      </c>
      <c r="E28" s="44"/>
      <c r="F28" s="32">
        <v>0</v>
      </c>
      <c r="G28" s="39"/>
      <c r="H28" s="40"/>
      <c r="I28" s="77"/>
    </row>
    <row r="29" s="3" customFormat="1" ht="22.5" customHeight="1" spans="1:9">
      <c r="A29" s="28">
        <v>5</v>
      </c>
      <c r="B29" s="38" t="s">
        <v>84</v>
      </c>
      <c r="C29" s="38" t="s">
        <v>53</v>
      </c>
      <c r="D29" s="41">
        <v>44742</v>
      </c>
      <c r="E29" s="31"/>
      <c r="F29" s="32">
        <f>IF(E29&gt;=1,1,0)</f>
        <v>0</v>
      </c>
      <c r="G29" s="39"/>
      <c r="H29" s="40"/>
      <c r="I29" s="77"/>
    </row>
    <row r="30" s="3" customFormat="1" ht="22.5" customHeight="1" spans="1:9">
      <c r="A30" s="28">
        <v>6</v>
      </c>
      <c r="B30" s="38" t="s">
        <v>85</v>
      </c>
      <c r="C30" s="38" t="s">
        <v>53</v>
      </c>
      <c r="D30" s="41">
        <v>44785</v>
      </c>
      <c r="E30" s="44"/>
      <c r="F30" s="32">
        <v>0</v>
      </c>
      <c r="G30" s="39"/>
      <c r="H30" s="40"/>
      <c r="I30" s="77"/>
    </row>
    <row r="31" s="3" customFormat="1" ht="22.5" customHeight="1" spans="1:9">
      <c r="A31" s="28">
        <v>7</v>
      </c>
      <c r="B31" s="38" t="s">
        <v>86</v>
      </c>
      <c r="C31" s="29" t="s">
        <v>53</v>
      </c>
      <c r="D31" s="41">
        <v>44788</v>
      </c>
      <c r="E31" s="44"/>
      <c r="F31" s="32">
        <f t="shared" ref="F28:F40" si="1">IF(E31&gt;=1,1,0)</f>
        <v>0</v>
      </c>
      <c r="G31" s="39"/>
      <c r="H31" s="40"/>
      <c r="I31" s="77"/>
    </row>
    <row r="32" s="3" customFormat="1" ht="22.5" customHeight="1" spans="1:9">
      <c r="A32" s="28">
        <v>8</v>
      </c>
      <c r="B32" s="38" t="s">
        <v>87</v>
      </c>
      <c r="C32" s="38" t="s">
        <v>53</v>
      </c>
      <c r="D32" s="41">
        <v>44788</v>
      </c>
      <c r="E32" s="44"/>
      <c r="F32" s="32">
        <f t="shared" si="1"/>
        <v>0</v>
      </c>
      <c r="G32" s="39"/>
      <c r="H32" s="40"/>
      <c r="I32" s="77"/>
    </row>
    <row r="33" s="3" customFormat="1" ht="22.5" customHeight="1" spans="1:9">
      <c r="A33" s="28">
        <v>9</v>
      </c>
      <c r="B33" s="38" t="s">
        <v>88</v>
      </c>
      <c r="C33" s="38" t="s">
        <v>67</v>
      </c>
      <c r="D33" s="41">
        <v>44774</v>
      </c>
      <c r="E33" s="44"/>
      <c r="F33" s="32">
        <f t="shared" si="1"/>
        <v>0</v>
      </c>
      <c r="G33" s="39"/>
      <c r="H33" s="40"/>
      <c r="I33" s="77"/>
    </row>
    <row r="34" s="3" customFormat="1" ht="22.5" customHeight="1" spans="1:9">
      <c r="A34" s="20"/>
      <c r="B34" s="21" t="s">
        <v>89</v>
      </c>
      <c r="C34" s="22"/>
      <c r="D34" s="23"/>
      <c r="E34" s="24"/>
      <c r="F34" s="25">
        <f t="shared" si="1"/>
        <v>0</v>
      </c>
      <c r="G34" s="26"/>
      <c r="H34" s="27"/>
      <c r="I34" s="75"/>
    </row>
    <row r="35" s="3" customFormat="1" ht="22.5" customHeight="1" spans="1:9">
      <c r="A35" s="28">
        <v>1</v>
      </c>
      <c r="B35" s="45" t="s">
        <v>90</v>
      </c>
      <c r="C35" s="45" t="s">
        <v>53</v>
      </c>
      <c r="D35" s="46"/>
      <c r="E35" s="47"/>
      <c r="F35" s="48">
        <f t="shared" si="1"/>
        <v>0</v>
      </c>
      <c r="G35" s="49"/>
      <c r="H35" s="50"/>
      <c r="I35" s="78"/>
    </row>
    <row r="36" s="3" customFormat="1" ht="22.5" customHeight="1" spans="1:9">
      <c r="A36" s="28">
        <v>2</v>
      </c>
      <c r="B36" s="45" t="s">
        <v>91</v>
      </c>
      <c r="C36" s="45" t="s">
        <v>73</v>
      </c>
      <c r="D36" s="46"/>
      <c r="E36" s="47"/>
      <c r="F36" s="48">
        <f t="shared" si="1"/>
        <v>0</v>
      </c>
      <c r="G36" s="49"/>
      <c r="H36" s="50"/>
      <c r="I36" s="78"/>
    </row>
    <row r="37" s="3" customFormat="1" ht="22.5" customHeight="1" spans="1:9">
      <c r="A37" s="28">
        <v>3</v>
      </c>
      <c r="B37" s="45" t="s">
        <v>92</v>
      </c>
      <c r="C37" s="45" t="s">
        <v>93</v>
      </c>
      <c r="D37" s="46"/>
      <c r="E37" s="47"/>
      <c r="F37" s="48">
        <f t="shared" si="1"/>
        <v>0</v>
      </c>
      <c r="G37" s="49"/>
      <c r="H37" s="50"/>
      <c r="I37" s="78"/>
    </row>
    <row r="38" s="3" customFormat="1" ht="22.5" customHeight="1" spans="1:9">
      <c r="A38" s="28">
        <v>4</v>
      </c>
      <c r="B38" s="45" t="s">
        <v>94</v>
      </c>
      <c r="C38" s="45" t="s">
        <v>95</v>
      </c>
      <c r="D38" s="46"/>
      <c r="E38" s="47"/>
      <c r="F38" s="48">
        <f t="shared" si="1"/>
        <v>0</v>
      </c>
      <c r="G38" s="49"/>
      <c r="H38" s="50"/>
      <c r="I38" s="78"/>
    </row>
    <row r="39" s="3" customFormat="1" ht="22.5" customHeight="1" spans="1:9">
      <c r="A39" s="28">
        <v>5</v>
      </c>
      <c r="B39" s="45" t="s">
        <v>96</v>
      </c>
      <c r="C39" s="45" t="s">
        <v>97</v>
      </c>
      <c r="D39" s="46"/>
      <c r="E39" s="47"/>
      <c r="F39" s="48">
        <f t="shared" si="1"/>
        <v>0</v>
      </c>
      <c r="G39" s="49"/>
      <c r="H39" s="50"/>
      <c r="I39" s="78"/>
    </row>
    <row r="40" s="3" customFormat="1" ht="30" customHeight="1" spans="1:9">
      <c r="A40" s="28">
        <v>6</v>
      </c>
      <c r="B40" s="45" t="s">
        <v>98</v>
      </c>
      <c r="C40" s="51" t="s">
        <v>99</v>
      </c>
      <c r="D40" s="52"/>
      <c r="E40" s="47"/>
      <c r="F40" s="53">
        <f t="shared" si="1"/>
        <v>0</v>
      </c>
      <c r="G40" s="54"/>
      <c r="H40" s="55"/>
      <c r="I40" s="79"/>
    </row>
    <row r="41" s="3" customFormat="1" ht="22.5" customHeight="1" spans="1:9">
      <c r="A41" s="20"/>
      <c r="B41" s="21" t="s">
        <v>100</v>
      </c>
      <c r="C41" s="22"/>
      <c r="D41" s="23"/>
      <c r="E41" s="24"/>
      <c r="F41" s="25">
        <f t="shared" ref="F41:F51" si="2">IF(E41&gt;=1,1,0)</f>
        <v>0</v>
      </c>
      <c r="G41" s="26"/>
      <c r="H41" s="27"/>
      <c r="I41" s="75"/>
    </row>
    <row r="42" s="3" customFormat="1" ht="22.5" customHeight="1" spans="1:9">
      <c r="A42" s="28">
        <v>1</v>
      </c>
      <c r="B42" s="56" t="s">
        <v>101</v>
      </c>
      <c r="C42" s="57" t="s">
        <v>102</v>
      </c>
      <c r="D42" s="58">
        <v>44804</v>
      </c>
      <c r="E42" s="59"/>
      <c r="F42" s="60">
        <f t="shared" si="2"/>
        <v>0</v>
      </c>
      <c r="G42" s="61"/>
      <c r="H42" s="62"/>
      <c r="I42" s="80" t="s">
        <v>103</v>
      </c>
    </row>
    <row r="43" s="3" customFormat="1" ht="22.5" customHeight="1" spans="1:9">
      <c r="A43" s="28">
        <v>2</v>
      </c>
      <c r="B43" s="63" t="s">
        <v>104</v>
      </c>
      <c r="C43" s="64" t="s">
        <v>73</v>
      </c>
      <c r="D43" s="58">
        <v>44804</v>
      </c>
      <c r="E43" s="65"/>
      <c r="F43" s="60">
        <f t="shared" si="2"/>
        <v>0</v>
      </c>
      <c r="G43" s="61"/>
      <c r="H43" s="66"/>
      <c r="I43" s="81"/>
    </row>
    <row r="44" s="3" customFormat="1" ht="22.5" customHeight="1" spans="1:9">
      <c r="A44" s="28">
        <v>3</v>
      </c>
      <c r="B44" s="56" t="s">
        <v>105</v>
      </c>
      <c r="C44" s="28" t="s">
        <v>63</v>
      </c>
      <c r="D44" s="58">
        <v>44804</v>
      </c>
      <c r="E44" s="59"/>
      <c r="F44" s="60">
        <f t="shared" si="2"/>
        <v>0</v>
      </c>
      <c r="G44" s="61"/>
      <c r="H44" s="62"/>
      <c r="I44" s="80"/>
    </row>
    <row r="45" s="3" customFormat="1" ht="22.5" customHeight="1" spans="1:9">
      <c r="A45" s="28">
        <v>4</v>
      </c>
      <c r="B45" s="63" t="s">
        <v>106</v>
      </c>
      <c r="C45" s="64"/>
      <c r="D45" s="58">
        <v>44799</v>
      </c>
      <c r="E45" s="65"/>
      <c r="F45" s="60">
        <f t="shared" si="2"/>
        <v>0</v>
      </c>
      <c r="G45" s="61"/>
      <c r="H45" s="66"/>
      <c r="I45" s="81"/>
    </row>
    <row r="46" s="3" customFormat="1" ht="22.5" customHeight="1" spans="1:9">
      <c r="A46" s="28"/>
      <c r="B46" s="56"/>
      <c r="C46" s="57"/>
      <c r="D46" s="67"/>
      <c r="E46" s="59"/>
      <c r="F46" s="60">
        <f t="shared" si="2"/>
        <v>0</v>
      </c>
      <c r="G46" s="61"/>
      <c r="H46" s="62"/>
      <c r="I46" s="80"/>
    </row>
    <row r="47" s="3" customFormat="1" ht="22.5" customHeight="1" spans="1:9">
      <c r="A47" s="28"/>
      <c r="B47" s="68"/>
      <c r="C47" s="69"/>
      <c r="D47" s="70"/>
      <c r="E47" s="65"/>
      <c r="F47" s="71">
        <f t="shared" si="2"/>
        <v>0</v>
      </c>
      <c r="G47" s="72"/>
      <c r="H47" s="73"/>
      <c r="I47" s="82"/>
    </row>
  </sheetData>
  <conditionalFormatting sqref="E5">
    <cfRule type="dataBar" priority="3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{28f3514b-24d4-47b7-883f-0152bc48f60b}</x14:id>
        </ext>
      </extLst>
    </cfRule>
  </conditionalFormatting>
  <conditionalFormatting sqref="E11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{f593165c-9eaa-4c65-839d-fe169658113d}</x14:id>
        </ext>
      </extLst>
    </cfRule>
  </conditionalFormatting>
  <conditionalFormatting sqref="E24">
    <cfRule type="dataBar" priority="2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{93b0a513-c134-4891-af43-137f1ed28905}</x14:id>
        </ext>
      </extLst>
    </cfRule>
  </conditionalFormatting>
  <conditionalFormatting sqref="E34">
    <cfRule type="dataBar" priority="2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{14a4da1b-1143-4830-83b8-746757a0392b}</x14:id>
        </ext>
      </extLst>
    </cfRule>
  </conditionalFormatting>
  <conditionalFormatting sqref="E41">
    <cfRule type="dataBar" priority="1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{9fc46b5b-0028-4743-872b-0b3100a11ea6}</x14:id>
        </ext>
      </extLst>
    </cfRule>
  </conditionalFormatting>
  <conditionalFormatting sqref="E42:E47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{a4279a5c-dd1b-4787-8ca5-d056310d7668}</x14:id>
        </ext>
      </extLst>
    </cfRule>
  </conditionalFormatting>
  <conditionalFormatting sqref="E6:E10 E30:E33 E35:E40 E25:E28">
    <cfRule type="dataBar" priority="4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{ec293022-8ae8-41bb-a2e8-9eb47064858b}</x14:id>
        </ext>
      </extLst>
    </cfRule>
  </conditionalFormatting>
  <conditionalFormatting sqref="E12:E23 E29"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{6e446942-4007-4e51-adbc-ad3737d1186b}</x14:id>
        </ext>
      </extLst>
    </cfRule>
  </conditionalFormatting>
  <dataValidations count="1">
    <dataValidation type="list" allowBlank="1" showInputMessage="1" showErrorMessage="1" sqref="F13 F14 F15 F16 F20 F21 F22 F23 F29 F41 F5:F8 F9:F10 F11:F12 F17:F19 F24:F26 F27:F28 F30:F33 F34:F40 F42:F47">
      <formula1>"1,0,-1"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f3514b-24d4-47b7-883f-0152bc48f60b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E5</xm:sqref>
        </x14:conditionalFormatting>
        <x14:conditionalFormatting xmlns:xm="http://schemas.microsoft.com/office/excel/2006/main">
          <x14:cfRule type="iconSet" priority="36" id="{2c6d6ea2-0999-4018-b4e4-f86b4a9d4198}">
            <x14:iconSet iconSet="3Symbol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5Quarters" iconId="0"/>
              <x14:cfIcon iconSet="3Symbols" iconId="2"/>
            </x14:iconSet>
          </x14:cfRule>
          <xm:sqref>F5</xm:sqref>
        </x14:conditionalFormatting>
        <x14:conditionalFormatting xmlns:xm="http://schemas.microsoft.com/office/excel/2006/main">
          <x14:cfRule type="dataBar" id="{f593165c-9eaa-4c65-839d-fe169658113d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iconSet" priority="2" id="{84bb00a3-8052-473b-ad20-d964a65f5644}">
            <x14:iconSet iconSet="3Symbol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5Quarters" iconId="0"/>
              <x14:cfIcon iconSet="3Symbols" iconId="2"/>
            </x14:iconSet>
          </x14:cfRule>
          <xm:sqref>F11</xm:sqref>
        </x14:conditionalFormatting>
        <x14:conditionalFormatting xmlns:xm="http://schemas.microsoft.com/office/excel/2006/main">
          <x14:cfRule type="dataBar" id="{93b0a513-c134-4891-af43-137f1ed28905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E24</xm:sqref>
        </x14:conditionalFormatting>
        <x14:conditionalFormatting xmlns:xm="http://schemas.microsoft.com/office/excel/2006/main">
          <x14:cfRule type="iconSet" priority="26" id="{6039e7eb-d002-4305-8887-3332aae5e031}">
            <x14:iconSet iconSet="3Symbol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5Quarters" iconId="0"/>
              <x14:cfIcon iconSet="3Symbols" iconId="2"/>
            </x14:iconSet>
          </x14:cfRule>
          <xm:sqref>F24</xm:sqref>
        </x14:conditionalFormatting>
        <x14:conditionalFormatting xmlns:xm="http://schemas.microsoft.com/office/excel/2006/main">
          <x14:cfRule type="dataBar" id="{14a4da1b-1143-4830-83b8-746757a0392b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E34</xm:sqref>
        </x14:conditionalFormatting>
        <x14:conditionalFormatting xmlns:xm="http://schemas.microsoft.com/office/excel/2006/main">
          <x14:cfRule type="iconSet" priority="21" id="{f0d7ee85-447a-4b68-82b8-a42e6804ee42}">
            <x14:iconSet iconSet="3Symbol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5Quarters" iconId="0"/>
              <x14:cfIcon iconSet="3Symbols" iconId="2"/>
            </x14:iconSet>
          </x14:cfRule>
          <xm:sqref>F34</xm:sqref>
        </x14:conditionalFormatting>
        <x14:conditionalFormatting xmlns:xm="http://schemas.microsoft.com/office/excel/2006/main">
          <x14:cfRule type="dataBar" id="{9fc46b5b-0028-4743-872b-0b3100a11ea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E41</xm:sqref>
        </x14:conditionalFormatting>
        <x14:conditionalFormatting xmlns:xm="http://schemas.microsoft.com/office/excel/2006/main">
          <x14:cfRule type="iconSet" priority="11" id="{10857d9a-f596-4ef8-8b6e-c49a517abb93}">
            <x14:iconSet iconSet="3Symbol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5Quarters" iconId="0"/>
              <x14:cfIcon iconSet="3Symbols" iconId="2"/>
            </x14:iconSet>
          </x14:cfRule>
          <xm:sqref>F41</xm:sqref>
        </x14:conditionalFormatting>
        <x14:conditionalFormatting xmlns:xm="http://schemas.microsoft.com/office/excel/2006/main">
          <x14:cfRule type="dataBar" id="{a4279a5c-dd1b-4787-8ca5-d056310d7668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E42:E47</xm:sqref>
        </x14:conditionalFormatting>
        <x14:conditionalFormatting xmlns:xm="http://schemas.microsoft.com/office/excel/2006/main">
          <x14:cfRule type="iconSet" priority="6" id="{8b56eb8d-bf96-412f-b92e-83724ec36ce9}">
            <x14:iconSet iconSet="3Symbol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5Quarters" iconId="0"/>
              <x14:cfIcon iconSet="3Symbols" iconId="2"/>
            </x14:iconSet>
          </x14:cfRule>
          <xm:sqref>F42:F47</xm:sqref>
        </x14:conditionalFormatting>
        <x14:conditionalFormatting xmlns:xm="http://schemas.microsoft.com/office/excel/2006/main">
          <x14:cfRule type="dataBar" id="{ec293022-8ae8-41bb-a2e8-9eb47064858b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E6:E10 E30:E33 E35:E40 E25:E28</xm:sqref>
        </x14:conditionalFormatting>
        <x14:conditionalFormatting xmlns:xm="http://schemas.microsoft.com/office/excel/2006/main">
          <x14:cfRule type="iconSet" priority="41" id="{876c1928-405a-4048-95e4-6639f7e708e1}">
            <x14:iconSet iconSet="3Symbol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5Quarters" iconId="0"/>
              <x14:cfIcon iconSet="3Symbols" iconId="2"/>
            </x14:iconSet>
          </x14:cfRule>
          <xm:sqref>F6:F10 F30:F33 F35:F40 F25:F28</xm:sqref>
        </x14:conditionalFormatting>
        <x14:conditionalFormatting xmlns:xm="http://schemas.microsoft.com/office/excel/2006/main">
          <x14:cfRule type="dataBar" id="{6e446942-4007-4e51-adbc-ad3737d1186b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E12:E23 E29</xm:sqref>
        </x14:conditionalFormatting>
        <x14:conditionalFormatting xmlns:xm="http://schemas.microsoft.com/office/excel/2006/main">
          <x14:cfRule type="iconSet" priority="4" id="{0789bbbf-9e0a-4516-8b2f-ea0d25c1c3d2}">
            <x14:iconSet iconSet="3Symbol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5Quarters" iconId="0"/>
              <x14:cfIcon iconSet="3Symbols" iconId="2"/>
            </x14:iconSet>
          </x14:cfRule>
          <xm:sqref>F12:F23 F29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J8"/>
  <sheetViews>
    <sheetView workbookViewId="0">
      <selection activeCell="F17" sqref="F17"/>
    </sheetView>
  </sheetViews>
  <sheetFormatPr defaultColWidth="9.02654867256637" defaultRowHeight="13.5" outlineLevelRow="7"/>
  <sheetData>
    <row r="2" spans="3:3">
      <c r="C2" t="s">
        <v>107</v>
      </c>
    </row>
    <row r="3" ht="15" spans="3:10">
      <c r="C3" s="1">
        <v>44706</v>
      </c>
      <c r="D3" s="1"/>
      <c r="E3" s="1"/>
      <c r="F3" s="1"/>
      <c r="G3" s="1"/>
      <c r="H3" s="1"/>
      <c r="I3" s="1"/>
      <c r="J3" s="1"/>
    </row>
    <row r="4" ht="15" spans="3:10">
      <c r="C4" s="1"/>
      <c r="D4" s="1">
        <v>44720</v>
      </c>
      <c r="E4" s="1"/>
      <c r="F4" s="1"/>
      <c r="G4" s="1"/>
      <c r="H4" s="1"/>
      <c r="I4" s="1"/>
      <c r="J4" s="1"/>
    </row>
    <row r="5" ht="15" spans="3:10">
      <c r="C5" s="1"/>
      <c r="D5" s="1"/>
      <c r="E5" s="1">
        <v>44734</v>
      </c>
      <c r="F5" s="1"/>
      <c r="G5" s="1"/>
      <c r="H5" s="1"/>
      <c r="I5" s="1"/>
      <c r="J5" s="1"/>
    </row>
    <row r="6" ht="15" spans="3:10">
      <c r="C6" s="1"/>
      <c r="D6" s="1"/>
      <c r="E6" s="1"/>
      <c r="F6" s="1">
        <v>44748</v>
      </c>
      <c r="G6" s="1"/>
      <c r="H6" s="1"/>
      <c r="I6" s="1"/>
      <c r="J6" s="1"/>
    </row>
    <row r="7" ht="15" spans="3:10">
      <c r="C7" s="1"/>
      <c r="D7" s="1"/>
      <c r="E7" s="1"/>
      <c r="F7" s="1"/>
      <c r="G7" s="1">
        <v>44762</v>
      </c>
      <c r="H7" s="1"/>
      <c r="I7" s="1"/>
      <c r="J7" s="1"/>
    </row>
    <row r="8" ht="15" spans="3:10">
      <c r="C8" s="1"/>
      <c r="D8" s="1"/>
      <c r="E8" s="1"/>
      <c r="F8" s="1"/>
      <c r="G8" s="1"/>
      <c r="H8" s="1">
        <v>44776</v>
      </c>
      <c r="I8" s="1"/>
      <c r="J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流程安排</vt:lpstr>
      <vt:lpstr>推进计划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Sunnycancan</dc:creator>
  <cp:lastModifiedBy>王灿平Sunny</cp:lastModifiedBy>
  <dcterms:created xsi:type="dcterms:W3CDTF">2021-05-18T07:12:00Z</dcterms:created>
  <dcterms:modified xsi:type="dcterms:W3CDTF">2022-05-23T16:02:43Z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17A96ECD3B894ADEA106D4A4F9C4F21F</vt:lpwstr>
  </property>
</Properties>
</file>