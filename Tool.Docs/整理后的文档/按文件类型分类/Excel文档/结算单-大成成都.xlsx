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10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oscg</author>
  </authors>
  <commentList>
    <comment ref="B5" authorId="0">
      <text>
        <r>
          <rPr>
            <b/>
            <sz val="9"/>
            <rFont val="宋体"/>
            <charset val="134"/>
          </rPr>
          <t>oscg:</t>
        </r>
        <r>
          <rPr>
            <sz val="9"/>
            <rFont val="宋体"/>
            <charset val="134"/>
          </rPr>
          <t xml:space="preserve">
oscg:
如果服务器还涉及域名的绑定及解析等支持，工时上会适当增加；
指单台linux标准环境搭建步骤，非简易版本哦
</t>
        </r>
      </text>
    </comment>
    <comment ref="B9" authorId="0">
      <text>
        <r>
          <rPr>
            <b/>
            <sz val="9"/>
            <rFont val="宋体"/>
            <charset val="134"/>
          </rPr>
          <t>oscg:</t>
        </r>
        <r>
          <rPr>
            <sz val="9"/>
            <rFont val="宋体"/>
            <charset val="134"/>
          </rPr>
          <t xml:space="preserve">
如果有1.5需求，则有1.4，否则跳过</t>
        </r>
      </text>
    </comment>
    <comment ref="C18" authorId="0">
      <text>
        <r>
          <rPr>
            <b/>
            <sz val="9"/>
            <rFont val="宋体"/>
            <charset val="134"/>
          </rPr>
          <t>oscg:</t>
        </r>
        <r>
          <rPr>
            <sz val="9"/>
            <rFont val="宋体"/>
            <charset val="134"/>
          </rPr>
          <t xml:space="preserve">
客户配置好专用的ERP主管</t>
        </r>
      </text>
    </comment>
    <comment ref="B19" authorId="0">
      <text>
        <r>
          <rPr>
            <b/>
            <sz val="9"/>
            <rFont val="宋体"/>
            <charset val="134"/>
          </rPr>
          <t>oscg:</t>
        </r>
        <r>
          <rPr>
            <sz val="9"/>
            <rFont val="宋体"/>
            <charset val="134"/>
          </rPr>
          <t xml:space="preserve">
oscg:
看甲方数据的复杂程度及需要用到的基础数据模板等决定工时的多少
</t>
        </r>
      </text>
    </comment>
    <comment ref="B21" authorId="0">
      <text>
        <r>
          <rPr>
            <b/>
            <sz val="9"/>
            <rFont val="宋体"/>
            <charset val="134"/>
          </rPr>
          <t>oscg:</t>
        </r>
        <r>
          <rPr>
            <sz val="9"/>
            <rFont val="宋体"/>
            <charset val="134"/>
          </rPr>
          <t xml:space="preserve">
视复杂程度不同，工时不同</t>
        </r>
      </text>
    </comment>
    <comment ref="B29" authorId="0">
      <text>
        <r>
          <rPr>
            <b/>
            <sz val="9"/>
            <rFont val="宋体"/>
            <charset val="134"/>
          </rPr>
          <t>oscg:</t>
        </r>
        <r>
          <rPr>
            <sz val="9"/>
            <rFont val="宋体"/>
            <charset val="134"/>
          </rPr>
          <t xml:space="preserve">
oscg:
打印的格式定制，一般是6h一个文档，按实际个数及复杂程度；如果只是简单的在原有的打印上增补字段和微调3~4h一个。
新增自定义增补权限组一般是平均2h一个组的调配和测试确认。</t>
        </r>
      </text>
    </comment>
    <comment ref="B35" authorId="0">
      <text>
        <r>
          <rPr>
            <sz val="9"/>
            <rFont val="宋体"/>
            <charset val="134"/>
          </rPr>
          <t>开发量的多少决定这个过程的周期长短及工时。</t>
        </r>
      </text>
    </comment>
    <comment ref="B39" authorId="0">
      <text>
        <r>
          <rPr>
            <b/>
            <sz val="9"/>
            <rFont val="宋体"/>
            <charset val="134"/>
          </rPr>
          <t>oscg:</t>
        </r>
        <r>
          <rPr>
            <sz val="9"/>
            <rFont val="宋体"/>
            <charset val="134"/>
          </rPr>
          <t xml:space="preserve">
如果有进行第6项内容，则会有这个5.4，如果没有经历第6项，这项跳过。</t>
        </r>
      </text>
    </comment>
    <comment ref="B40" authorId="0">
      <text>
        <r>
          <rPr>
            <b/>
            <sz val="9"/>
            <rFont val="宋体"/>
            <charset val="134"/>
          </rPr>
          <t>oscg:</t>
        </r>
        <r>
          <rPr>
            <sz val="9"/>
            <rFont val="宋体"/>
            <charset val="134"/>
          </rPr>
          <t xml:space="preserve">
如果有进行第6项内容，则会有这个5.5，如果没有经历第6项，这项跳过。</t>
        </r>
      </text>
    </comment>
    <comment ref="B53" authorId="0">
      <text>
        <r>
          <rPr>
            <sz val="9"/>
            <rFont val="宋体"/>
            <charset val="134"/>
          </rPr>
          <t xml:space="preserve">oscg:
数据量的多少决定工时多少
</t>
        </r>
      </text>
    </comment>
  </commentList>
</comments>
</file>

<file path=xl/sharedStrings.xml><?xml version="1.0" encoding="utf-8"?>
<sst xmlns="http://schemas.openxmlformats.org/spreadsheetml/2006/main" count="96" uniqueCount="74">
  <si>
    <t>OdooERP推进结算表</t>
  </si>
  <si>
    <t>No.</t>
  </si>
  <si>
    <t>任务说明</t>
  </si>
  <si>
    <t>责任人</t>
  </si>
  <si>
    <t>工时</t>
  </si>
  <si>
    <t>计划完成日期</t>
  </si>
  <si>
    <t>Odoo服务器安装</t>
  </si>
  <si>
    <t>协助大成购买、安装Odoo服务器，协助设置防火墙、端口等</t>
  </si>
  <si>
    <t>OdooERP后台环境搭建，以及中文字体、PDF打印软件等依赖包安装</t>
  </si>
  <si>
    <t>Odoo配置参数、数据库配置参数优化设置</t>
  </si>
  <si>
    <t>安全证书的购买</t>
  </si>
  <si>
    <t>高盟</t>
  </si>
  <si>
    <t>因为涉及接口对接，请安排加好安全证书。</t>
  </si>
  <si>
    <t>域名绑定</t>
  </si>
  <si>
    <t>云备份、云快照之类的双层备份购买</t>
  </si>
  <si>
    <t>数据库自动备份脚本设置；</t>
  </si>
  <si>
    <t>前台数据库账套及基本应用安装、基本设置功能开启</t>
  </si>
  <si>
    <t>大成需求初步沟通了解</t>
  </si>
  <si>
    <t>和售前顾问交接大成需求和业务背景，和大成ERP负责人电话沟通初步了解大成业务背景。向大成要一些实际的业务单据，如销售订单、采购订单、生产指令单、入库/出库单。</t>
  </si>
  <si>
    <t>远程会议，向大成ERP负责人介绍Odoo的功能模块及基本操作，包括：
1)教会大成如何录入基础数据(大成档案、供应商档案、产品档案、价格表、BoM表、期初库存、期初会计凭证等等)，
2) 如何准备数据导入的Excel模板，如何批量导入基础数据</t>
  </si>
  <si>
    <t>测试数据录入/导入</t>
  </si>
  <si>
    <t>协助大成准备和导入测试用数据</t>
  </si>
  <si>
    <t>V1版Odoo原型系统配置</t>
  </si>
  <si>
    <t>初步确定V1版方案，包括：
1)需要哪些功能模块
2)需要哪些补充插件/寻找合适第三方插件
3)需要增加配置什么路线规则
4)滚动更新配置任务列表，以及ERP推进计划表</t>
  </si>
  <si>
    <t>基于测试数据、大成提供的业务单据，安装必要的增补功能模块（标准社区版之外的），搭建V1版Odoo原型系统</t>
  </si>
  <si>
    <t>远程会议，向大成ERP负责人演示V1版Odoo系统</t>
  </si>
  <si>
    <t>大成试用V1版Odoo系统，并整理问题点</t>
  </si>
  <si>
    <t>协助大成试用，解决试用中的各种操作问题，整理试用中发现的改善需求</t>
  </si>
  <si>
    <t>高级实施及开发培训</t>
  </si>
  <si>
    <t>高级实施技术培训</t>
  </si>
  <si>
    <t>二次开发技术培训</t>
  </si>
  <si>
    <t>技术问题在线技术支持和问题解答会议等</t>
  </si>
  <si>
    <t>大成自行整理业务需求和要点，最终可以联合OSCG确定最终解决方案</t>
  </si>
  <si>
    <t>内部开发尝试编写</t>
  </si>
  <si>
    <t>二次开发的方案整理及演示</t>
  </si>
  <si>
    <t>V1版及开发和培训之后整理出的问题，整理的不能通过配置方法实现的改善需求，整理成二次开发需求列表，讨论设计二次开发实现方案</t>
  </si>
  <si>
    <t>Oscg协助</t>
  </si>
  <si>
    <t>远程会议，向大成ERP负责人讲解二次开发方案，讨论方案可行性</t>
  </si>
  <si>
    <t>二次开发方案优化改进，评估二次开发需求优先级、开发工作量</t>
  </si>
  <si>
    <t>远程会议，向大成ERP负责人演示讲解开发好的功能</t>
  </si>
  <si>
    <t>整理再次反馈的增补需求及需求变更，解决方案</t>
  </si>
  <si>
    <t>二次开发</t>
  </si>
  <si>
    <t>开发部门程序开发</t>
  </si>
  <si>
    <t>以接口为主</t>
  </si>
  <si>
    <t>OSCG方功能测试</t>
  </si>
  <si>
    <t>大成方全流程测试</t>
  </si>
  <si>
    <t>协助大成测试，Bug的协调开发部门修改，bug修复的测试确认</t>
  </si>
  <si>
    <t>开发量大且复杂逻辑性很强的情况，测试报告文档的编制</t>
  </si>
  <si>
    <t>正式数据整理</t>
  </si>
  <si>
    <t>看具体情况</t>
  </si>
  <si>
    <t>远程会议、和大成方ERP负责人讨论数据导入方案，包括：
1)基础数据
2)期初数据（期初库、会计科目期初余额）
3)未完成单据</t>
  </si>
  <si>
    <t>大成方整理和导入全部基础数据(大成档案、供应商档案、人员档案、产品档案、价格表、BoM表、期初库存、期初会计凭证等等)</t>
  </si>
  <si>
    <t>协助大成整理和导入基础数据、期初数据、未完成单据</t>
  </si>
  <si>
    <t>复制最新测试账套，协助大成完成若干真实业务测试（真实单据、真实流程、从销售到生产、采购、入库/出库、付款回款的全流程测试）--项目小组</t>
  </si>
  <si>
    <t>关键用户培训(部门主管为主）</t>
  </si>
  <si>
    <t>高盟为主</t>
  </si>
  <si>
    <t>协助大成方ERP负责人推动关键用户（部门主管）第一次培训，培训内容：ERP负责人演示真实业务的操作流程</t>
  </si>
  <si>
    <t>关键用户试用/学习系统基本操作</t>
  </si>
  <si>
    <t>协助大成方ERP负责人推动关键用户（部门主管）第二次培训：各关键用户共同参与，完成至少一个真实业务的模拟操作</t>
  </si>
  <si>
    <t>关键用户编写SOP(标准作业指导书)：结合新系统，本部门的各个岗位作业的详细操作步骤，以及注意事项。</t>
  </si>
  <si>
    <t>全员用户培训</t>
  </si>
  <si>
    <t>各关键用户指导本部门员工练习操作新系统</t>
  </si>
  <si>
    <t>协助大成方新系统试运行</t>
  </si>
  <si>
    <t>协助大成方ERP负责人准备正式生产系统：
1)删除测试数据
2)增加试运行期间产生的基础数据
3)调整期初数据</t>
  </si>
  <si>
    <t>正式系统上线</t>
  </si>
  <si>
    <t>协助大成方ERP负责人切换正式系统</t>
  </si>
  <si>
    <t>系统上线初期的用户问题支持(操作错误、数据错误、软件源码Bug等等各种问题支持)</t>
  </si>
  <si>
    <t>二期系统规划讨论（比如BI报表、更多功能模块、持续改善需求等）</t>
  </si>
  <si>
    <t>内容</t>
  </si>
  <si>
    <t>单价</t>
  </si>
  <si>
    <t>金额</t>
  </si>
  <si>
    <t>远程技术咨询及培训</t>
  </si>
  <si>
    <t>远程技术支持</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</si>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</sst>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6">
    <font>
      <sz val="11"/>
      <color theme="1"/>
      <name val="等线"/>
      <charset val="134"/>
      <scheme val="minor"/>
    </font>
    <font>
      <sz val="11"/>
      <color theme="1"/>
      <name val="等线"/>
      <charset val="134"/>
      <scheme val="minor"/>
    </font>
    <font>
      <b/>
      <sz val="14"/>
      <color theme="1"/>
      <name val="等线"/>
      <charset val="134"/>
      <scheme val="minor"/>
    </font>
    <font>
      <b/>
      <sz val="11"/>
      <color theme="1"/>
      <name val="等线"/>
      <charset val="134"/>
      <scheme val="minor"/>
    </font>
    <font>
      <b/>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4">
    <xf numFmtId="0" fontId="0" fillId="0" borderId="0" xfId="0"/>
    <xf numFmtId="0" fontId="1" fillId="0" borderId="0" xfId="0" applyFont="1" applyFill="1" applyAlignment="1">
      <alignment vertical="center"/>
    </xf>
    <xf numFmtId="0" fontId="2" fillId="0" borderId="0" xfId="0" applyFont="1" applyFill="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vertical="center"/>
    </xf>
    <xf numFmtId="0" fontId="3" fillId="0" borderId="1" xfId="0" applyFont="1" applyFill="1" applyBorder="1" applyAlignment="1">
      <alignment vertical="center" wrapText="1"/>
    </xf>
    <xf numFmtId="0" fontId="1" fillId="0" borderId="1" xfId="0" applyFont="1" applyFill="1" applyBorder="1" applyAlignment="1">
      <alignment vertical="center"/>
    </xf>
    <xf numFmtId="0" fontId="1" fillId="0" borderId="1" xfId="0" applyFont="1" applyFill="1" applyBorder="1" applyAlignment="1">
      <alignment vertical="center"/>
    </xf>
    <xf numFmtId="0" fontId="1" fillId="0" borderId="1" xfId="0" applyFont="1" applyFill="1" applyBorder="1" applyAlignment="1">
      <alignment vertical="center" wrapText="1"/>
    </xf>
    <xf numFmtId="14" fontId="1" fillId="0" borderId="1" xfId="0" applyNumberFormat="1" applyFont="1" applyFill="1" applyBorder="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vertical="center"/>
    </xf>
    <xf numFmtId="176" fontId="1" fillId="0" borderId="1"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77"/>
  <sheetViews>
    <sheetView tabSelected="1" workbookViewId="0">
      <selection activeCell="J17" sqref="J17"/>
    </sheetView>
  </sheetViews>
  <sheetFormatPr defaultColWidth="8.25" defaultRowHeight="14" outlineLevelCol="5"/>
  <cols>
    <col min="1" max="1" width="4.825" style="1" customWidth="1"/>
    <col min="2" max="2" width="54.325" style="1" customWidth="1"/>
    <col min="3" max="3" width="7" style="1" customWidth="1"/>
    <col min="4" max="4" width="7.575" style="1" customWidth="1"/>
    <col min="5" max="5" width="11.2416666666667" style="1" customWidth="1"/>
    <col min="6" max="16384" width="8.25" style="1"/>
  </cols>
  <sheetData>
    <row r="2" s="1" customFormat="1" ht="17.5" spans="1:5">
      <c r="A2" s="2" t="s">
        <v>0</v>
      </c>
      <c r="B2" s="2"/>
      <c r="C2" s="2"/>
      <c r="D2" s="2"/>
      <c r="E2" s="2"/>
    </row>
    <row r="4" s="1" customFormat="1" spans="1:5">
      <c r="A4" s="3" t="s">
        <v>1</v>
      </c>
      <c r="B4" s="3" t="s">
        <v>2</v>
      </c>
      <c r="C4" s="3" t="s">
        <v>3</v>
      </c>
      <c r="D4" s="4" t="s">
        <v>4</v>
      </c>
      <c r="E4" s="4" t="s">
        <v>5</v>
      </c>
    </row>
    <row r="5" s="1" customFormat="1" spans="1:5">
      <c r="A5" s="5">
        <v>1</v>
      </c>
      <c r="B5" s="6" t="s">
        <v>6</v>
      </c>
      <c r="C5" s="7"/>
      <c r="D5" s="7">
        <v>6</v>
      </c>
      <c r="E5" s="8"/>
    </row>
    <row r="6" s="1" customFormat="1" spans="1:5">
      <c r="A6" s="8">
        <v>1.1</v>
      </c>
      <c r="B6" s="9" t="s">
        <v>7</v>
      </c>
      <c r="C6" s="7"/>
      <c r="D6" s="7"/>
      <c r="E6" s="10"/>
    </row>
    <row r="7" s="1" customFormat="1" ht="28" spans="1:5">
      <c r="A7" s="8">
        <v>1.2</v>
      </c>
      <c r="B7" s="9" t="s">
        <v>8</v>
      </c>
      <c r="C7" s="8"/>
      <c r="D7" s="8"/>
      <c r="E7" s="8"/>
    </row>
    <row r="8" s="1" customFormat="1" spans="1:5">
      <c r="A8" s="8">
        <v>1.3</v>
      </c>
      <c r="B8" s="9" t="s">
        <v>9</v>
      </c>
      <c r="C8" s="8"/>
      <c r="D8" s="8"/>
      <c r="E8" s="8"/>
    </row>
    <row r="9" s="1" customFormat="1" spans="1:6">
      <c r="A9" s="8">
        <v>1.4</v>
      </c>
      <c r="B9" s="9" t="s">
        <v>10</v>
      </c>
      <c r="C9" s="8" t="s">
        <v>11</v>
      </c>
      <c r="D9" s="8"/>
      <c r="E9" s="8"/>
      <c r="F9" s="1" t="s">
        <v>12</v>
      </c>
    </row>
    <row r="10" s="1" customFormat="1" spans="1:5">
      <c r="A10" s="8">
        <v>1.5</v>
      </c>
      <c r="B10" s="9" t="s">
        <v>13</v>
      </c>
      <c r="C10" s="8"/>
      <c r="D10" s="8"/>
      <c r="E10" s="8"/>
    </row>
    <row r="11" s="1" customFormat="1" spans="1:5">
      <c r="A11" s="8">
        <v>1.6</v>
      </c>
      <c r="B11" s="9" t="s">
        <v>14</v>
      </c>
      <c r="C11" s="8" t="s">
        <v>11</v>
      </c>
      <c r="D11" s="8"/>
      <c r="E11" s="8"/>
    </row>
    <row r="12" s="1" customFormat="1" spans="1:5">
      <c r="A12" s="8">
        <v>1.7</v>
      </c>
      <c r="B12" s="9" t="s">
        <v>15</v>
      </c>
      <c r="C12" s="8"/>
      <c r="D12" s="8"/>
      <c r="E12" s="8"/>
    </row>
    <row r="13" s="1" customFormat="1" spans="1:5">
      <c r="A13" s="8">
        <v>1.8</v>
      </c>
      <c r="B13" s="9" t="s">
        <v>16</v>
      </c>
      <c r="C13" s="8"/>
      <c r="D13" s="8"/>
      <c r="E13" s="8"/>
    </row>
    <row r="14" s="1" customFormat="1" spans="1:5">
      <c r="A14" s="8"/>
      <c r="B14" s="9"/>
      <c r="C14" s="8"/>
      <c r="D14" s="8"/>
      <c r="E14" s="8"/>
    </row>
    <row r="15" s="1" customFormat="1" spans="1:5">
      <c r="A15" s="5">
        <v>2</v>
      </c>
      <c r="B15" s="6" t="s">
        <v>17</v>
      </c>
      <c r="C15" s="8"/>
      <c r="D15" s="7">
        <v>10</v>
      </c>
      <c r="E15" s="8"/>
    </row>
    <row r="16" s="1" customFormat="1" ht="42" spans="1:5">
      <c r="A16" s="8">
        <v>2.1</v>
      </c>
      <c r="B16" s="9" t="s">
        <v>18</v>
      </c>
      <c r="C16" s="8"/>
      <c r="D16" s="8"/>
      <c r="E16" s="8"/>
    </row>
    <row r="17" s="1" customFormat="1" ht="70" spans="1:5">
      <c r="A17" s="7">
        <v>2.2</v>
      </c>
      <c r="B17" s="9" t="s">
        <v>19</v>
      </c>
      <c r="C17" s="8"/>
      <c r="D17" s="8"/>
      <c r="E17" s="8"/>
    </row>
    <row r="18" s="1" customFormat="1" spans="1:5">
      <c r="A18" s="7">
        <v>2.3</v>
      </c>
      <c r="B18" s="9" t="s">
        <v>20</v>
      </c>
      <c r="C18" s="7" t="s">
        <v>11</v>
      </c>
      <c r="D18" s="8"/>
      <c r="E18" s="8"/>
    </row>
    <row r="19" s="1" customFormat="1" spans="1:5">
      <c r="A19" s="7">
        <v>2.4</v>
      </c>
      <c r="B19" s="9" t="s">
        <v>21</v>
      </c>
      <c r="C19" s="8"/>
      <c r="D19" s="8"/>
      <c r="E19" s="8"/>
    </row>
    <row r="20" s="1" customFormat="1" spans="1:5">
      <c r="A20" s="8"/>
      <c r="B20" s="11"/>
      <c r="C20" s="8"/>
      <c r="D20" s="8"/>
      <c r="E20" s="8"/>
    </row>
    <row r="21" s="1" customFormat="1" spans="1:5">
      <c r="A21" s="5">
        <v>3</v>
      </c>
      <c r="B21" s="6" t="s">
        <v>22</v>
      </c>
      <c r="C21" s="8"/>
      <c r="D21" s="7">
        <v>60</v>
      </c>
      <c r="E21" s="8"/>
    </row>
    <row r="22" s="1" customFormat="1" ht="70" spans="1:5">
      <c r="A22" s="8">
        <v>3.1</v>
      </c>
      <c r="B22" s="9" t="s">
        <v>23</v>
      </c>
      <c r="C22" s="8"/>
      <c r="D22" s="7"/>
      <c r="E22" s="8"/>
    </row>
    <row r="23" s="1" customFormat="1" ht="28" spans="1:5">
      <c r="A23" s="8">
        <v>3.2</v>
      </c>
      <c r="B23" s="9" t="s">
        <v>24</v>
      </c>
      <c r="C23" s="8"/>
      <c r="D23" s="8"/>
      <c r="E23" s="8"/>
    </row>
    <row r="24" s="1" customFormat="1" spans="1:5">
      <c r="A24" s="8">
        <v>3.3</v>
      </c>
      <c r="B24" s="9" t="s">
        <v>25</v>
      </c>
      <c r="C24" s="8"/>
      <c r="D24" s="8"/>
      <c r="E24" s="8"/>
    </row>
    <row r="25" s="1" customFormat="1" spans="1:5">
      <c r="A25" s="8">
        <v>3.4</v>
      </c>
      <c r="B25" s="9" t="s">
        <v>26</v>
      </c>
      <c r="C25" s="7" t="s">
        <v>11</v>
      </c>
      <c r="D25" s="8"/>
      <c r="E25" s="8"/>
    </row>
    <row r="26" s="1" customFormat="1" ht="28" spans="1:5">
      <c r="A26" s="8">
        <v>3.5</v>
      </c>
      <c r="B26" s="9" t="s">
        <v>27</v>
      </c>
      <c r="C26" s="8"/>
      <c r="D26" s="8"/>
      <c r="E26" s="8"/>
    </row>
    <row r="27" s="1" customFormat="1" spans="1:5">
      <c r="A27" s="8"/>
      <c r="B27" s="11"/>
      <c r="C27" s="8"/>
      <c r="D27" s="8"/>
      <c r="E27" s="8"/>
    </row>
    <row r="28" s="1" customFormat="1" spans="1:5">
      <c r="A28" s="5">
        <v>4</v>
      </c>
      <c r="B28" s="6" t="s">
        <v>28</v>
      </c>
      <c r="C28" s="8"/>
      <c r="D28" s="7">
        <v>40</v>
      </c>
      <c r="E28" s="8"/>
    </row>
    <row r="29" s="1" customFormat="1" spans="1:5">
      <c r="A29" s="8">
        <v>4.1</v>
      </c>
      <c r="B29" s="9" t="s">
        <v>29</v>
      </c>
      <c r="C29" s="8"/>
      <c r="D29" s="8"/>
      <c r="E29" s="8"/>
    </row>
    <row r="30" s="1" customFormat="1" spans="1:5">
      <c r="A30" s="8">
        <v>4.2</v>
      </c>
      <c r="B30" s="9" t="s">
        <v>30</v>
      </c>
      <c r="C30" s="8"/>
      <c r="D30" s="8"/>
      <c r="E30" s="8"/>
    </row>
    <row r="31" s="1" customFormat="1" spans="1:5">
      <c r="A31" s="8">
        <v>4.3</v>
      </c>
      <c r="B31" s="9" t="s">
        <v>31</v>
      </c>
      <c r="C31" s="8"/>
      <c r="D31" s="8"/>
      <c r="E31" s="8"/>
    </row>
    <row r="32" s="1" customFormat="1" ht="28" spans="1:5">
      <c r="A32" s="8">
        <v>4.4</v>
      </c>
      <c r="B32" s="9" t="s">
        <v>32</v>
      </c>
      <c r="C32" s="7" t="s">
        <v>11</v>
      </c>
      <c r="D32" s="8"/>
      <c r="E32" s="8"/>
    </row>
    <row r="33" s="1" customFormat="1" spans="1:5">
      <c r="A33" s="8">
        <v>4.5</v>
      </c>
      <c r="B33" s="9" t="s">
        <v>33</v>
      </c>
      <c r="C33" s="7" t="s">
        <v>11</v>
      </c>
      <c r="D33" s="8"/>
      <c r="E33" s="8"/>
    </row>
    <row r="34" s="1" customFormat="1" spans="1:5">
      <c r="A34" s="8"/>
      <c r="B34" s="11"/>
      <c r="C34" s="8"/>
      <c r="D34" s="8"/>
      <c r="E34" s="8"/>
    </row>
    <row r="35" s="1" customFormat="1" spans="1:5">
      <c r="A35" s="5">
        <v>5</v>
      </c>
      <c r="B35" s="6" t="s">
        <v>34</v>
      </c>
      <c r="C35" s="8"/>
      <c r="D35" s="7">
        <v>20</v>
      </c>
      <c r="E35" s="8"/>
    </row>
    <row r="36" s="1" customFormat="1" ht="42" spans="1:6">
      <c r="A36" s="8">
        <v>5.1</v>
      </c>
      <c r="B36" s="9" t="s">
        <v>35</v>
      </c>
      <c r="C36" s="7" t="s">
        <v>11</v>
      </c>
      <c r="D36" s="8"/>
      <c r="E36" s="8"/>
      <c r="F36" s="1" t="s">
        <v>36</v>
      </c>
    </row>
    <row r="37" s="1" customFormat="1" spans="1:5">
      <c r="A37" s="8">
        <v>5.2</v>
      </c>
      <c r="B37" s="9" t="s">
        <v>37</v>
      </c>
      <c r="C37" s="8"/>
      <c r="D37" s="8"/>
      <c r="E37" s="8"/>
    </row>
    <row r="38" s="1" customFormat="1" spans="1:5">
      <c r="A38" s="8">
        <v>5.3</v>
      </c>
      <c r="B38" s="9" t="s">
        <v>38</v>
      </c>
      <c r="C38" s="8"/>
      <c r="D38" s="8"/>
      <c r="E38" s="8"/>
    </row>
    <row r="39" s="1" customFormat="1" spans="1:5">
      <c r="A39" s="8">
        <v>5.4</v>
      </c>
      <c r="B39" s="9" t="s">
        <v>39</v>
      </c>
      <c r="C39" s="8"/>
      <c r="D39" s="8"/>
      <c r="E39" s="8"/>
    </row>
    <row r="40" s="1" customFormat="1" spans="1:5">
      <c r="A40" s="8">
        <v>5.5</v>
      </c>
      <c r="B40" s="9" t="s">
        <v>40</v>
      </c>
      <c r="C40" s="8"/>
      <c r="D40" s="8"/>
      <c r="E40" s="8"/>
    </row>
    <row r="41" s="1" customFormat="1" spans="1:5">
      <c r="A41" s="8"/>
      <c r="B41" s="11"/>
      <c r="C41" s="8"/>
      <c r="D41" s="8"/>
      <c r="E41" s="8"/>
    </row>
    <row r="42" s="1" customFormat="1" spans="1:5">
      <c r="A42" s="5">
        <v>6</v>
      </c>
      <c r="B42" s="6" t="s">
        <v>41</v>
      </c>
      <c r="C42" s="8"/>
      <c r="D42" s="8"/>
      <c r="E42" s="8"/>
    </row>
    <row r="43" s="1" customFormat="1" spans="1:6">
      <c r="A43" s="8">
        <v>6.1</v>
      </c>
      <c r="B43" s="9" t="s">
        <v>42</v>
      </c>
      <c r="C43" s="8"/>
      <c r="D43" s="8">
        <v>1550</v>
      </c>
      <c r="E43" s="8"/>
      <c r="F43" s="1" t="s">
        <v>43</v>
      </c>
    </row>
    <row r="44" s="1" customFormat="1" spans="1:5">
      <c r="A44" s="8">
        <v>6.2</v>
      </c>
      <c r="B44" s="9" t="s">
        <v>44</v>
      </c>
      <c r="C44" s="8"/>
      <c r="D44" s="8">
        <v>20</v>
      </c>
      <c r="E44" s="8"/>
    </row>
    <row r="45" s="1" customFormat="1" spans="1:5">
      <c r="A45" s="8">
        <v>6.3</v>
      </c>
      <c r="B45" s="9" t="s">
        <v>39</v>
      </c>
      <c r="C45" s="7" t="s">
        <v>11</v>
      </c>
      <c r="D45" s="8"/>
      <c r="E45" s="8"/>
    </row>
    <row r="46" s="1" customFormat="1" spans="1:5">
      <c r="A46" s="8">
        <v>6.4</v>
      </c>
      <c r="B46" s="9" t="s">
        <v>45</v>
      </c>
      <c r="C46" s="7" t="s">
        <v>11</v>
      </c>
      <c r="D46" s="8"/>
      <c r="E46" s="8"/>
    </row>
    <row r="47" s="1" customFormat="1" spans="1:5">
      <c r="A47" s="8">
        <v>6.5</v>
      </c>
      <c r="B47" s="9" t="s">
        <v>46</v>
      </c>
      <c r="C47" s="7" t="s">
        <v>11</v>
      </c>
      <c r="D47" s="8"/>
      <c r="E47" s="8"/>
    </row>
    <row r="48" s="1" customFormat="1" spans="1:5">
      <c r="A48" s="8">
        <v>6.6</v>
      </c>
      <c r="B48" s="9" t="s">
        <v>47</v>
      </c>
      <c r="C48" s="7" t="s">
        <v>11</v>
      </c>
      <c r="D48" s="8"/>
      <c r="E48" s="8"/>
    </row>
    <row r="49" s="1" customFormat="1" spans="1:5">
      <c r="A49" s="8"/>
      <c r="B49" s="8"/>
      <c r="C49" s="8"/>
      <c r="D49" s="8"/>
      <c r="E49" s="8"/>
    </row>
    <row r="50" s="1" customFormat="1" spans="1:5">
      <c r="A50" s="5">
        <v>7</v>
      </c>
      <c r="B50" s="6" t="s">
        <v>48</v>
      </c>
      <c r="C50" s="8" t="s">
        <v>49</v>
      </c>
      <c r="D50" s="7">
        <v>30</v>
      </c>
      <c r="E50" s="8"/>
    </row>
    <row r="51" s="1" customFormat="1" ht="56" spans="1:5">
      <c r="A51" s="8">
        <v>7.1</v>
      </c>
      <c r="B51" s="9" t="s">
        <v>50</v>
      </c>
      <c r="C51" s="8"/>
      <c r="D51" s="8"/>
      <c r="E51" s="8"/>
    </row>
    <row r="52" s="1" customFormat="1" ht="28" spans="1:5">
      <c r="A52" s="8">
        <v>7.2</v>
      </c>
      <c r="B52" s="9" t="s">
        <v>51</v>
      </c>
      <c r="C52" s="7" t="s">
        <v>11</v>
      </c>
      <c r="D52" s="8"/>
      <c r="E52" s="8"/>
    </row>
    <row r="53" s="1" customFormat="1" spans="1:5">
      <c r="A53" s="8">
        <v>7.3</v>
      </c>
      <c r="B53" s="9" t="s">
        <v>52</v>
      </c>
      <c r="C53" s="8"/>
      <c r="D53" s="8"/>
      <c r="E53" s="8"/>
    </row>
    <row r="54" s="1" customFormat="1" ht="42" spans="1:5">
      <c r="A54" s="8">
        <v>7.4</v>
      </c>
      <c r="B54" s="9" t="s">
        <v>53</v>
      </c>
      <c r="C54" s="8"/>
      <c r="D54" s="8"/>
      <c r="E54" s="8"/>
    </row>
    <row r="55" s="1" customFormat="1" spans="1:5">
      <c r="A55" s="8"/>
      <c r="B55" s="8"/>
      <c r="C55" s="8"/>
      <c r="D55" s="8"/>
      <c r="E55" s="8"/>
    </row>
    <row r="56" s="1" customFormat="1" spans="1:5">
      <c r="A56" s="5">
        <v>8</v>
      </c>
      <c r="B56" s="6" t="s">
        <v>54</v>
      </c>
      <c r="C56" s="8" t="s">
        <v>55</v>
      </c>
      <c r="D56" s="7">
        <v>20</v>
      </c>
      <c r="E56" s="8"/>
    </row>
    <row r="57" s="1" customFormat="1" ht="28" spans="1:5">
      <c r="A57" s="8">
        <v>8.1</v>
      </c>
      <c r="B57" s="9" t="s">
        <v>56</v>
      </c>
      <c r="C57" s="8"/>
      <c r="D57" s="8"/>
      <c r="E57" s="8"/>
    </row>
    <row r="58" s="1" customFormat="1" spans="1:5">
      <c r="A58" s="8">
        <v>8.2</v>
      </c>
      <c r="B58" s="9" t="s">
        <v>57</v>
      </c>
      <c r="C58" s="7" t="s">
        <v>11</v>
      </c>
      <c r="D58" s="8"/>
      <c r="E58" s="8"/>
    </row>
    <row r="59" s="1" customFormat="1" ht="28" spans="1:5">
      <c r="A59" s="8">
        <v>8.3</v>
      </c>
      <c r="B59" s="9" t="s">
        <v>58</v>
      </c>
      <c r="C59" s="8"/>
      <c r="D59" s="8"/>
      <c r="E59" s="8"/>
    </row>
    <row r="60" s="1" customFormat="1" ht="28" spans="1:5">
      <c r="A60" s="8">
        <v>8.4</v>
      </c>
      <c r="B60" s="9" t="s">
        <v>59</v>
      </c>
      <c r="C60" s="7" t="s">
        <v>11</v>
      </c>
      <c r="D60" s="8"/>
      <c r="E60" s="8"/>
    </row>
    <row r="61" s="1" customFormat="1" spans="1:5">
      <c r="A61" s="8"/>
      <c r="B61" s="8"/>
      <c r="C61" s="8"/>
      <c r="D61" s="8"/>
      <c r="E61" s="8"/>
    </row>
    <row r="62" s="1" customFormat="1" spans="1:5">
      <c r="A62" s="5">
        <v>9</v>
      </c>
      <c r="B62" s="6" t="s">
        <v>60</v>
      </c>
      <c r="C62" s="8" t="s">
        <v>55</v>
      </c>
      <c r="D62" s="7">
        <v>9</v>
      </c>
      <c r="E62" s="8"/>
    </row>
    <row r="63" s="1" customFormat="1" spans="1:5">
      <c r="A63" s="8">
        <v>9.1</v>
      </c>
      <c r="B63" s="9" t="s">
        <v>61</v>
      </c>
      <c r="C63" s="7" t="s">
        <v>11</v>
      </c>
      <c r="D63" s="8"/>
      <c r="E63" s="8"/>
    </row>
    <row r="64" s="1" customFormat="1" spans="1:5">
      <c r="A64" s="8">
        <v>9.2</v>
      </c>
      <c r="B64" s="9" t="s">
        <v>62</v>
      </c>
      <c r="C64" s="7" t="s">
        <v>11</v>
      </c>
      <c r="D64" s="8"/>
      <c r="E64" s="8"/>
    </row>
    <row r="65" s="1" customFormat="1" ht="56" spans="1:5">
      <c r="A65" s="8">
        <v>9.3</v>
      </c>
      <c r="B65" s="9" t="s">
        <v>63</v>
      </c>
      <c r="C65" s="7" t="s">
        <v>11</v>
      </c>
      <c r="D65" s="8"/>
      <c r="E65" s="8"/>
    </row>
    <row r="66" s="1" customFormat="1" spans="1:5">
      <c r="A66" s="8"/>
      <c r="B66" s="8"/>
      <c r="C66" s="8"/>
      <c r="D66" s="8"/>
      <c r="E66" s="8"/>
    </row>
    <row r="67" s="1" customFormat="1" spans="1:5">
      <c r="A67" s="5">
        <v>10</v>
      </c>
      <c r="B67" s="6" t="s">
        <v>64</v>
      </c>
      <c r="C67" s="8" t="s">
        <v>55</v>
      </c>
      <c r="D67" s="7">
        <v>40</v>
      </c>
      <c r="E67" s="8"/>
    </row>
    <row r="68" s="1" customFormat="1" spans="1:5">
      <c r="A68" s="8">
        <v>10.1</v>
      </c>
      <c r="B68" s="9" t="s">
        <v>65</v>
      </c>
      <c r="C68" s="7" t="s">
        <v>11</v>
      </c>
      <c r="D68" s="8"/>
      <c r="E68" s="8"/>
    </row>
    <row r="69" s="1" customFormat="1" ht="28" spans="1:5">
      <c r="A69" s="8">
        <v>10.2</v>
      </c>
      <c r="B69" s="9" t="s">
        <v>66</v>
      </c>
      <c r="C69" s="8"/>
      <c r="D69" s="8"/>
      <c r="E69" s="8"/>
    </row>
    <row r="70" s="1" customFormat="1" spans="1:5">
      <c r="A70" s="8"/>
      <c r="B70" s="8"/>
      <c r="C70" s="8"/>
      <c r="D70" s="8"/>
      <c r="E70" s="8"/>
    </row>
    <row r="71" s="1" customFormat="1" ht="28" spans="1:5">
      <c r="A71" s="5">
        <v>11</v>
      </c>
      <c r="B71" s="6" t="s">
        <v>67</v>
      </c>
      <c r="C71" s="8" t="s">
        <v>55</v>
      </c>
      <c r="D71" s="8"/>
      <c r="E71" s="8"/>
    </row>
    <row r="72" s="1" customFormat="1" spans="4:4">
      <c r="D72" s="1">
        <f>SUM(D2:D71)</f>
        <v>1805</v>
      </c>
    </row>
    <row r="74" s="1" customFormat="1" spans="2:5">
      <c r="B74" s="12" t="s">
        <v>68</v>
      </c>
      <c r="C74" s="12" t="s">
        <v>4</v>
      </c>
      <c r="D74" s="12" t="s">
        <v>69</v>
      </c>
      <c r="E74" s="12" t="s">
        <v>70</v>
      </c>
    </row>
    <row r="75" s="1" customFormat="1" spans="2:5">
      <c r="B75" s="12" t="s">
        <v>71</v>
      </c>
      <c r="C75" s="12">
        <v>255</v>
      </c>
      <c r="D75" s="12">
        <f>1800/6</f>
        <v>300</v>
      </c>
      <c r="E75" s="13">
        <f>C75*D75</f>
        <v>76500</v>
      </c>
    </row>
    <row r="76" s="1" customFormat="1" spans="2:5">
      <c r="B76" s="12" t="s">
        <v>72</v>
      </c>
      <c r="C76" s="12">
        <v>1550</v>
      </c>
      <c r="D76" s="12">
        <f>1500/6</f>
        <v>250</v>
      </c>
      <c r="E76" s="13">
        <f>C76*D76</f>
        <v>387500</v>
      </c>
    </row>
    <row r="77" s="1" customFormat="1" spans="2:5">
      <c r="B77" s="12" t="s">
        <v>73</v>
      </c>
      <c r="C77" s="12">
        <f>SUM(C75:C76)</f>
        <v>1805</v>
      </c>
      <c r="D77" s="12">
        <f>SUM(D75:D76)</f>
        <v>550</v>
      </c>
      <c r="E77" s="13">
        <f>SUM(E75:E76)</f>
        <v>464000</v>
      </c>
    </row>
  </sheetData>
  <mergeCells count="1">
    <mergeCell ref="A2:E2"/>
  </mergeCells>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CHENYANQIN</dc:creator>
  <cp:lastModifiedBy>陈延琴</cp:lastModifiedBy>
  <dcterms:created xsi:type="dcterms:W3CDTF">2015-06-05T18:17:00Z</dcterms:created>
  <dcterms:modified xsi:type="dcterms:W3CDTF">2024-02-23T03:25:12Z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7E9CFAC1225640D6AC9361B0610FF042_12</vt:lpwstr>
  </property>
  <property fmtid="{D5CDD505-2E9C-101B-9397-08002B2CF9AE}" pid="3" name="KSOProductBuildVer">
    <vt:lpwstr>2052-12.1.0.16250</vt:lpwstr>
  </property>
</Properties>
</file>