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  <Default Extension="vml" ContentType="application/vnd.openxmlformats-officedocument.vmlDrawi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数据表说明" sheetId="2" r:id="rId6"/>
    <sheet name="5_2024年公司薪酬包基线" sheetId="3" r:id="rId7"/>
    <sheet name="3_2023年1-12月人力成本 " sheetId="4" r:id="rId8" state="hidden"/>
    <sheet name="5_2024年公司薪酬包基线（清洁版）" sheetId="5" r:id="rId9"/>
    <sheet name="9_试点单元奖金公式" sheetId="6" r:id="rId10"/>
    <sheet name="6_公司人力成本预算" sheetId="7" r:id="rId11"/>
    <sheet name="7_公司薪酬包自上而下" sheetId="8" r:id="rId12"/>
    <sheet name="参考_公司薪酬包弹性关系" sheetId="9" r:id="rId13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tc={852F5F13-222A-4800-96E6-1FDE0C72560B}</author>
    <author>tc={439CFE88-F178-4BEC-BEBF-47D967737C85}</author>
    <author>tc={0DD74FB6-8358-4349-A925-9F88A6CCB866}</author>
    <author>tc={27DB330D-959D-4861-87E5-25F70CAE397E}</author>
  </authors>
  <commentList>
    <comment ref="O1" authorId="0" shapeId="0" xr:uid="{852F5F13-222A-4800-96E6-1FDE0C72560B}">
      <text>
        <t>[Threaded comment] Your version of Excel allows you to read this threaded comment; however, any edits to it will get removed if the file is opened in a newer version of Excel. Learn more: https://go.microsoft.com/fwlink/?linkid=870924 Comment: E:C4  R:收入（回款） Reply: ER：薪酬撬动价值比率 Reply: ER 是一个观测指标，不能追求此值稳定</t>
      </text>
    </comment>
    <comment ref="V1" authorId="1" shapeId="0" xr:uid="{439CFE88-F178-4BEC-BEBF-47D967737C85}">
      <text>
        <t>[Threaded comment] Your version of Excel allows you to read this threaded comment; however, any edits to it will get removed if the file is opened in a newer version of Excel. Learn more: https://go.microsoft.com/fwlink/?linkid=870924 Comment: 去年12月的月工资✖️12</t>
      </text>
    </comment>
    <comment ref="W1" authorId="2" shapeId="0" xr:uid="{0DD74FB6-8358-4349-A925-9F88A6CCB866}">
      <text>
        <t>[Threaded comment] Your version of Excel allows you to read this threaded comment; however, any edits to it will get removed if the file is opened in a newer version of Excel. Learn more: https://go.microsoft.com/fwlink/?linkid=870924 Comment: 未来要有落地方案</t>
      </text>
    </comment>
    <comment ref="X1" authorId="3" shapeId="0" xr:uid="{27DB330D-959D-4861-87E5-25F70CAE397E}">
      <text>
        <t>[Threaded comment] Your version of Excel allows you to read this threaded comment; however, any edits to it will get removed if the file is opened in a newer version of Excel. Learn more: https://go.microsoft.com/fwlink/?linkid=870924 Comment: 也要执行方案，审视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tc={FCCDFF53-B7C7-4AD5-AEA7-8C4027234DA5}</author>
  </authors>
  <commentList>
    <comment ref="AF2" authorId="0" shapeId="0" xr:uid="{FCCDFF53-B7C7-4AD5-AEA7-8C4027234DA5}">
      <text>
        <t>[Threaded comment] Your version of Excel allows you to read this threaded comment; however, any edits to it will get removed if the file is opened in a newer version of Excel. Learn more: https://go.microsoft.com/fwlink/?linkid=870924 Comment: 截至9月30日，已离职3人</t>
      </text>
    </comment>
  </commentList>
</comments>
</file>

<file path=xl/sharedStrings.xml><?xml version="1.0" encoding="utf-8"?>
<sst xmlns="http://schemas.openxmlformats.org/spreadsheetml/2006/main" count="12" uniqueCount="12">
  <si>
    <t xml:space="preserve">  </t>
  </si>
  <si>
    <t/>
    <r>
      <rPr>
        <b/>
        <sz val="12"/>
        <color rgb="FFFFFFFF"/>
        <rFont val="Calibri"/>
        <family val="2"/>
      </rPr>
      <t xml:space="preserve">E/R
</t>
    </r>
    <r>
      <rPr>
        <b/>
        <sz val="9"/>
        <color rgb="FFFFFFFF"/>
        <rFont val="Calibri"/>
        <family val="2"/>
      </rPr>
      <t>（每年要改进）</t>
    </r>
  </si>
  <si>
    <t/>
    <r>
      <rPr>
        <b/>
        <sz val="12"/>
        <color rgb="FFFFFFFF"/>
        <rFont val="Calibri"/>
        <family val="2"/>
      </rPr>
      <t>净利率</t>
    </r>
    <r>
      <rPr>
        <b/>
        <sz val="9"/>
        <color rgb="FFFFFFFF"/>
        <rFont val="Calibri"/>
        <family val="2"/>
      </rPr>
      <t>（净利润/收入）</t>
    </r>
  </si>
  <si>
    <t/>
    <r>
      <rPr>
        <sz val="12"/>
        <color rgb="FF000000"/>
        <rFont val="Calibri"/>
        <family val="2"/>
      </rPr>
      <t xml:space="preserve">总奖金包
</t>
    </r>
    <r>
      <rPr>
        <sz val="7.5"/>
        <color rgb="FF000000"/>
        <rFont val="Calibri"/>
        <family val="2"/>
      </rPr>
      <t>（上限）</t>
    </r>
  </si>
  <si>
    <t/>
    <r>
      <rPr>
        <sz val="12"/>
        <color rgb="FF000000"/>
        <rFont val="Calibri"/>
        <family val="2"/>
      </rPr>
      <t xml:space="preserve">超额利润
</t>
    </r>
    <r>
      <rPr>
        <sz val="7.5"/>
        <color rgb="FF000000"/>
        <rFont val="Calibri"/>
        <family val="2"/>
      </rPr>
      <t>（利润上限测算）</t>
    </r>
  </si>
  <si>
    <t/>
    <r>
      <rPr>
        <sz val="12"/>
        <color rgb="FF000000"/>
        <rFont val="Calibri"/>
        <family val="2"/>
      </rPr>
      <t xml:space="preserve">超额节约
</t>
    </r>
    <r>
      <rPr>
        <sz val="7.5"/>
        <color rgb="FF000000"/>
        <rFont val="Calibri"/>
        <family val="2"/>
      </rPr>
      <t>（人工成本上限测算）</t>
    </r>
  </si>
  <si>
    <t/>
    <r>
      <rPr>
        <b/>
        <sz val="12"/>
        <color rgb="FFFFFFFF"/>
        <rFont val="Calibri"/>
        <family val="2"/>
      </rPr>
      <t xml:space="preserve">C4薪酬包
</t>
    </r>
    <r>
      <rPr>
        <b/>
        <sz val="7.5"/>
        <color rgb="FFFFFFFF"/>
        <rFont val="Calibri"/>
        <family val="2"/>
      </rPr>
      <t>（不低于人工75%，不高于人工90%）</t>
    </r>
  </si>
  <si>
    <t/>
    <r>
      <rPr>
        <sz val="12"/>
        <color rgb="FFFFFFFF"/>
        <rFont val="Calibri"/>
        <family val="2"/>
      </rPr>
      <t xml:space="preserve">1-工资包
</t>
    </r>
    <r>
      <rPr>
        <sz val="7.5"/>
        <color rgb="FFFFFFFF"/>
        <rFont val="Calibri"/>
        <family val="2"/>
      </rPr>
      <t>（合理规划固浮比，刚性成本谨慎）</t>
    </r>
  </si>
  <si>
    <t/>
    <r>
      <rPr>
        <b/>
        <sz val="12"/>
        <color rgb="FFFFFFFF"/>
        <rFont val="Calibri"/>
        <family val="2"/>
      </rPr>
      <t xml:space="preserve">薪酬回报
</t>
    </r>
    <r>
      <rPr>
        <b/>
        <sz val="9"/>
        <color rgb="FFFFFFFF"/>
        <rFont val="Calibri"/>
        <family val="2"/>
      </rPr>
      <t>（薪酬包/人数）</t>
    </r>
  </si>
  <si>
    <t/>
    <r>
      <rPr>
        <b/>
        <sz val="12"/>
        <color rgb="FFFFFFFF"/>
        <rFont val="Calibri"/>
        <family val="2"/>
      </rPr>
      <t xml:space="preserve">净利润(万)
</t>
    </r>
    <r>
      <rPr>
        <sz val="9"/>
        <color rgb="FFFFFFFF"/>
        <rFont val="Calibri"/>
        <family val="2"/>
      </rPr>
      <t>（净利润=收入总额-成本-费用-人工）</t>
    </r>
  </si>
  <si>
    <t/>
    <r>
      <rPr>
        <b/>
        <sz val="9.75"/>
        <color rgb="FF000000"/>
        <rFont val="Calibri"/>
        <family val="2"/>
      </rPr>
      <t>5、年终奖</t>
    </r>
    <r>
      <rPr>
        <b/>
        <sz val="9.75"/>
        <color rgb="FF000000"/>
        <rFont val="Calibri"/>
        <family val="2"/>
      </rPr>
      <t>（</t>
    </r>
    <r>
      <rPr>
        <b/>
        <sz val="9.75"/>
        <color rgb="FF000000"/>
        <rFont val="Calibri"/>
        <family val="2"/>
      </rPr>
      <t>应发</t>
    </r>
    <r>
      <rPr>
        <b/>
        <sz val="9.75"/>
        <color rgb="FF000000"/>
        <rFont val="Calibri"/>
        <family val="2"/>
      </rPr>
      <t>）</t>
    </r>
  </si>
  <si>
    <t/>
    <r>
      <rPr>
        <b/>
        <sz val="12"/>
        <color rgb="FFFFFFFF"/>
        <rFont val="Calibri"/>
        <family val="2"/>
      </rPr>
      <t xml:space="preserve">编外人员
</t>
    </r>
    <r>
      <rPr>
        <b/>
        <sz val="9.75"/>
        <color rgb="FFFFFFFF"/>
        <rFont val="Calibri"/>
        <family val="2"/>
      </rPr>
      <t>（扩展看明细）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</si>
</sst>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71">
    <numFmt numFmtId="164" formatCode="0.00_);(0.00)"/>
    <numFmt numFmtId="165" formatCode="0&quot;.&quot;0,&quot;万元&quot;"/>
    <numFmt numFmtId="166" formatCode="0.00_);(0.00)"/>
    <numFmt numFmtId="167" formatCode="0&quot;.&quot;0,&quot;万元&quot;"/>
    <numFmt numFmtId="168" formatCode="0&quot;.&quot;0,&quot;万元&quot;"/>
    <numFmt numFmtId="169" formatCode="0.00%"/>
    <numFmt numFmtId="170" formatCode="0.00%"/>
    <numFmt numFmtId="171" formatCode="0.00_);(0.00)"/>
    <numFmt numFmtId="172" formatCode="0&quot;.&quot;0,&quot;万元&quot;"/>
    <numFmt numFmtId="173" formatCode="0.00%"/>
    <numFmt numFmtId="174" formatCode="0.00%"/>
    <numFmt numFmtId="175" formatCode="0&quot;.&quot;0,&quot;万元&quot;"/>
    <numFmt numFmtId="176" formatCode="0.00%"/>
    <numFmt numFmtId="177" formatCode="0.00_);(0.00)"/>
    <numFmt numFmtId="178" formatCode="0.00%"/>
    <numFmt numFmtId="179" formatCode="0.00_);(0.00)"/>
    <numFmt numFmtId="180" formatCode="0.00%"/>
    <numFmt numFmtId="181" formatCode="0&quot;.&quot;0,&quot;万元&quot;"/>
    <numFmt numFmtId="182" formatCode="0.00%"/>
    <numFmt numFmtId="183" formatCode="0.00%"/>
    <numFmt numFmtId="184" formatCode="0&quot;.&quot;0,&quot;万元&quot;"/>
    <numFmt numFmtId="185" formatCode="0.00_);(0.00)"/>
    <numFmt numFmtId="186" formatCode="0&quot;.&quot;0,&quot;万元&quot;"/>
    <numFmt numFmtId="187" formatCode="0.00%"/>
    <numFmt numFmtId="188" formatCode="0&quot;.&quot;0,&quot;万元&quot;"/>
    <numFmt numFmtId="189" formatCode="0.00%"/>
    <numFmt numFmtId="190" formatCode="0&quot;.&quot;0,&quot;万元&quot;"/>
    <numFmt numFmtId="191" formatCode="0.00%"/>
    <numFmt numFmtId="192" formatCode="0.00_);(0.00)"/>
    <numFmt numFmtId="193" formatCode="0.00_);(0.00)"/>
    <numFmt numFmtId="194" formatCode="0.00%"/>
    <numFmt numFmtId="195" formatCode="0.00_);(0.00)"/>
    <numFmt numFmtId="196" formatCode="0.00_);(0.00)"/>
    <numFmt numFmtId="197" formatCode="0&quot;.&quot;0,&quot;万元&quot;"/>
    <numFmt numFmtId="198" formatCode="0.00%"/>
    <numFmt numFmtId="199" formatCode="0&quot;.&quot;0,&quot;万元&quot;"/>
    <numFmt numFmtId="200" formatCode="0.00%"/>
    <numFmt numFmtId="201" formatCode="0.0_);(0.0)"/>
    <numFmt numFmtId="202" formatCode="0.00_);(0.00)"/>
    <numFmt numFmtId="203" formatCode="0.00%"/>
    <numFmt numFmtId="204" formatCode="0.00%"/>
    <numFmt numFmtId="205" formatCode="0.00_);(0.00)"/>
    <numFmt numFmtId="206" formatCode="0&quot;.&quot;0,&quot;万元&quot;"/>
    <numFmt numFmtId="207" formatCode="0&quot;.&quot;0,&quot;万元&quot;"/>
    <numFmt numFmtId="208" formatCode="0.00%"/>
    <numFmt numFmtId="209" formatCode="0.00_);(0.00)"/>
    <numFmt numFmtId="210" formatCode="0.00_);(0.00)"/>
    <numFmt numFmtId="211" formatCode="0.00_);(0.00)"/>
    <numFmt numFmtId="212" formatCode="0&quot;.&quot;0,&quot;万元&quot;"/>
    <numFmt numFmtId="213" formatCode="0.00_);(0.00)"/>
    <numFmt numFmtId="214" formatCode="0.00_);(0.00)"/>
    <numFmt numFmtId="215" formatCode="0&quot;.&quot;0,&quot;万元&quot;"/>
    <numFmt numFmtId="216" formatCode="0&quot;.&quot;0,&quot;万元&quot;"/>
    <numFmt numFmtId="217" formatCode="0.0_);(0.0)"/>
    <numFmt numFmtId="218" formatCode="0.00_);(0.00)"/>
    <numFmt numFmtId="219" formatCode="0.00%"/>
    <numFmt numFmtId="220" formatCode="0.00_);(0.00)"/>
    <numFmt numFmtId="221" formatCode="0.00%"/>
    <numFmt numFmtId="222" formatCode="0.00%"/>
    <numFmt numFmtId="223" formatCode="0&quot;.&quot;0,&quot;万元&quot;"/>
    <numFmt numFmtId="224" formatCode="0.00_);(0.00)"/>
    <numFmt numFmtId="225" formatCode="0.00%"/>
    <numFmt numFmtId="226" formatCode="0.00%"/>
    <numFmt numFmtId="227" formatCode="0.00_);(0.00)"/>
    <numFmt numFmtId="228" formatCode="0&quot;.&quot;0,&quot;万元&quot;"/>
    <numFmt numFmtId="229" formatCode="0&quot;.&quot;0,&quot;万元&quot;"/>
    <numFmt numFmtId="230" formatCode="0.00_);(0.00)"/>
    <numFmt numFmtId="231" formatCode="0.00%"/>
    <numFmt numFmtId="232" formatCode="0.00_);(0.00)"/>
    <numFmt numFmtId="233" formatCode="0.00_);(0.00)"/>
    <numFmt numFmtId="234" formatCode="0.00_);(0.00)"/>
    <numFmt numFmtId="235" formatCode="0.00_);(0.00)"/>
    <numFmt numFmtId="236" formatCode="0.00%"/>
    <numFmt numFmtId="237" formatCode="0&quot;.&quot;0,&quot;万元&quot;"/>
    <numFmt numFmtId="238" formatCode="0.00_);(0.00)"/>
    <numFmt numFmtId="239" formatCode="0.00%"/>
    <numFmt numFmtId="240" formatCode="0.00_);(0.00)"/>
    <numFmt numFmtId="241" formatCode="0.00%"/>
    <numFmt numFmtId="242" formatCode="0&quot;.&quot;0,&quot;万元&quot;"/>
    <numFmt numFmtId="243" formatCode="0.00%"/>
    <numFmt numFmtId="244" formatCode="0&quot;.&quot;0,&quot;万元&quot;"/>
    <numFmt numFmtId="245" formatCode="0&quot;.&quot;0,&quot;万元&quot;"/>
    <numFmt numFmtId="246" formatCode="0.00%"/>
    <numFmt numFmtId="247" formatCode="0&quot;.&quot;0,&quot;万元&quot;"/>
    <numFmt numFmtId="248" formatCode="0.00%"/>
    <numFmt numFmtId="249" formatCode="0.00_);(0.00)"/>
    <numFmt numFmtId="250" formatCode="0&quot;.&quot;0,&quot;万元&quot;"/>
    <numFmt numFmtId="251" formatCode="0.00_);(0.00)"/>
    <numFmt numFmtId="252" formatCode="0.00_);(0.00)"/>
    <numFmt numFmtId="253" formatCode="0.00%"/>
    <numFmt numFmtId="254" formatCode="0.00_);(0.00)"/>
    <numFmt numFmtId="255" formatCode="0&quot;.&quot;0,&quot;万元&quot;"/>
    <numFmt numFmtId="256" formatCode="0&quot;.&quot;0,&quot;万元&quot;"/>
    <numFmt numFmtId="257" formatCode="0.00_);(0.00)"/>
    <numFmt numFmtId="258" formatCode="0.00_);(0.00)"/>
    <numFmt numFmtId="259" formatCode="0.00_);(0.00)"/>
    <numFmt numFmtId="260" formatCode="0.00_);(0.00)"/>
    <numFmt numFmtId="261" formatCode="0.00%"/>
    <numFmt numFmtId="262" formatCode="0&quot;.&quot;0,&quot;万元&quot;"/>
    <numFmt numFmtId="263" formatCode="0&quot;.&quot;0,&quot;万元&quot;"/>
    <numFmt numFmtId="264" formatCode="0.00%"/>
    <numFmt numFmtId="265" formatCode="0.00%"/>
    <numFmt numFmtId="266" formatCode="0&quot;.&quot;0,&quot;万元&quot;"/>
    <numFmt numFmtId="267" formatCode="0.0_);(0.0)"/>
    <numFmt numFmtId="268" formatCode="0.00_);(0.00)"/>
    <numFmt numFmtId="269" formatCode="0.00%"/>
    <numFmt numFmtId="270" formatCode="0.00%"/>
    <numFmt numFmtId="271" formatCode="0.00%"/>
    <numFmt numFmtId="272" formatCode="0.00_);(0.00)"/>
    <numFmt numFmtId="273" formatCode="0.00_);(0.00)"/>
    <numFmt numFmtId="274" formatCode="0.00_);(0.00)"/>
    <numFmt numFmtId="275" formatCode="0.00%"/>
    <numFmt numFmtId="276" formatCode="0.00%"/>
    <numFmt numFmtId="277" formatCode="0.00_);(0.00)"/>
    <numFmt numFmtId="278" formatCode="0.00%"/>
    <numFmt numFmtId="279" formatCode="0.00_);(0.00)"/>
    <numFmt numFmtId="280" formatCode="0.00%"/>
    <numFmt numFmtId="281" formatCode="#,##0.00"/>
    <numFmt numFmtId="282" formatCode="0&quot;.&quot;0,&quot;万元&quot;"/>
    <numFmt numFmtId="283" formatCode="0.00_);(0.00)"/>
    <numFmt numFmtId="284" formatCode="0.00_);(0.00)"/>
    <numFmt numFmtId="285" formatCode="0.00_);(0.00)"/>
    <numFmt numFmtId="286" formatCode="0.00_);(0.00)"/>
    <numFmt numFmtId="287" formatCode="0.00_);(0.00)"/>
    <numFmt numFmtId="288" formatCode="0.00%"/>
    <numFmt numFmtId="289" formatCode="0.00%"/>
    <numFmt numFmtId="290" formatCode="0.00%"/>
    <numFmt numFmtId="291" formatCode="0.00%"/>
    <numFmt numFmtId="292" formatCode="0.00%"/>
    <numFmt numFmtId="293" formatCode="0.00%"/>
    <numFmt numFmtId="294" formatCode="0.00_);(0.00)"/>
    <numFmt numFmtId="295" formatCode="0.00_);(0.00)"/>
    <numFmt numFmtId="296" formatCode="0.00%"/>
    <numFmt numFmtId="297" formatCode="0.00_);(0.00)"/>
    <numFmt numFmtId="298" formatCode="0.00_);(0.00)"/>
    <numFmt numFmtId="299" formatCode="0.0_);(0.0)"/>
    <numFmt numFmtId="300" formatCode="0.00_);(0.00)"/>
    <numFmt numFmtId="301" formatCode="0.00%"/>
    <numFmt numFmtId="302" formatCode="0.00%"/>
    <numFmt numFmtId="303" formatCode="0.00_);(0.00)"/>
    <numFmt numFmtId="304" formatCode="0.00_);(0.00)"/>
    <numFmt numFmtId="305" formatCode="0&quot;.&quot;0,&quot;万元&quot;"/>
    <numFmt numFmtId="306" formatCode="0.00_);(0.00)"/>
    <numFmt numFmtId="307" formatCode="0&quot;.&quot;0,&quot;万元&quot;"/>
    <numFmt numFmtId="308" formatCode="0&quot;.&quot;0,&quot;万元&quot;"/>
    <numFmt numFmtId="309" formatCode="0.00%"/>
    <numFmt numFmtId="310" formatCode="0.00%"/>
    <numFmt numFmtId="311" formatCode="0.00_);(0.00)"/>
    <numFmt numFmtId="312" formatCode="0.0_);(0.0)"/>
    <numFmt numFmtId="313" formatCode="0&quot;.&quot;0,&quot;万元&quot;"/>
    <numFmt numFmtId="314" formatCode="0.00_);(0.00)"/>
    <numFmt numFmtId="315" formatCode="0.00%"/>
    <numFmt numFmtId="316" formatCode="0.00%"/>
    <numFmt numFmtId="317" formatCode="0.00%"/>
    <numFmt numFmtId="318" formatCode="0&quot;.&quot;0,&quot;万元&quot;"/>
    <numFmt numFmtId="319" formatCode="0.00%"/>
    <numFmt numFmtId="320" formatCode="0.00_);(0.00)"/>
    <numFmt numFmtId="321" formatCode="0.00_ "/>
    <numFmt numFmtId="322" formatCode="0.00%"/>
    <numFmt numFmtId="323" formatCode="0.00_);(0.00)"/>
    <numFmt numFmtId="324" formatCode="0.00%"/>
    <numFmt numFmtId="325" formatCode="0.00%"/>
    <numFmt numFmtId="326" formatCode="0.00%"/>
    <numFmt numFmtId="327" formatCode="0.00%"/>
    <numFmt numFmtId="328" formatCode="0.00_);(0.00)"/>
    <numFmt numFmtId="329" formatCode="0&quot;.&quot;0,&quot;万元&quot;"/>
    <numFmt numFmtId="330" formatCode="0.00_);(0.00)"/>
    <numFmt numFmtId="331" formatCode="0.00%"/>
    <numFmt numFmtId="332" formatCode="0&quot;.&quot;0,&quot;万元&quot;"/>
    <numFmt numFmtId="333" formatCode="0.0_);(0.0)"/>
    <numFmt numFmtId="334" formatCode="0.00%"/>
    <numFmt numFmtId="335" formatCode="0.00_);(0.00)"/>
    <numFmt numFmtId="336" formatCode="0&quot;.&quot;0,&quot;万元&quot;"/>
    <numFmt numFmtId="337" formatCode="0.00_);(0.00)"/>
    <numFmt numFmtId="338" formatCode="0&quot;.&quot;0,&quot;万元&quot;"/>
    <numFmt numFmtId="339" formatCode="0.00_);(0.00)"/>
    <numFmt numFmtId="340" formatCode="0.00_);(0.00)"/>
    <numFmt numFmtId="341" formatCode="0&quot;.&quot;0,&quot;万元&quot;"/>
    <numFmt numFmtId="342" formatCode="0.00_);(0.00)"/>
    <numFmt numFmtId="343" formatCode="0.00_ "/>
    <numFmt numFmtId="344" formatCode="0.0_ "/>
    <numFmt numFmtId="345" formatCode="0.00_ "/>
    <numFmt numFmtId="346" formatCode="0.00_ "/>
    <numFmt numFmtId="347" formatCode="0.00%"/>
    <numFmt numFmtId="348" formatCode="0.00_ "/>
    <numFmt numFmtId="349" formatCode="0.00_ "/>
    <numFmt numFmtId="350" formatCode="0.00_ "/>
    <numFmt numFmtId="351" formatCode="0.00000_ "/>
    <numFmt numFmtId="352" formatCode="0.0_ "/>
    <numFmt numFmtId="353" formatCode="0.00_ "/>
    <numFmt numFmtId="354" formatCode="0.00_ "/>
    <numFmt numFmtId="355" formatCode="0&quot;.&quot;0,&quot;万&quot;"/>
    <numFmt numFmtId="356" formatCode="0.00_ "/>
    <numFmt numFmtId="357" formatCode="0.00_ "/>
    <numFmt numFmtId="358" formatCode="0_ "/>
    <numFmt numFmtId="359" formatCode="0.00%"/>
    <numFmt numFmtId="360" formatCode="0.00_ "/>
    <numFmt numFmtId="361" formatCode="0&quot;.&quot;0,&quot;万&quot;"/>
    <numFmt numFmtId="362" formatCode="0.00_ "/>
    <numFmt numFmtId="363" formatCode="0.0_ "/>
    <numFmt numFmtId="364" formatCode="0.00_ "/>
    <numFmt numFmtId="365" formatCode="0.00_ "/>
    <numFmt numFmtId="366" formatCode="0&quot;.&quot;0,&quot;万&quot;"/>
    <numFmt numFmtId="367" formatCode="0.0_ "/>
    <numFmt numFmtId="368" formatCode="0.00_ "/>
    <numFmt numFmtId="369" formatCode="#,##0.00"/>
    <numFmt numFmtId="370" formatCode="0.00%"/>
    <numFmt numFmtId="371" formatCode="0.00%"/>
    <numFmt numFmtId="372" formatCode="0.00_);(0.00)"/>
    <numFmt numFmtId="373" formatCode="0.00%"/>
    <numFmt numFmtId="374" formatCode="0.00%"/>
    <numFmt numFmtId="375" formatCode="0.0_);(0.0)"/>
    <numFmt numFmtId="376" formatCode="0.00_);(0.00)"/>
    <numFmt numFmtId="377" formatCode="0.00%"/>
    <numFmt numFmtId="378" formatCode="0.00%"/>
    <numFmt numFmtId="379" formatCode="0.00%"/>
    <numFmt numFmtId="380" formatCode="0&quot;.&quot;0,&quot;万元&quot;"/>
    <numFmt numFmtId="381" formatCode="0.0_);(0.0)"/>
    <numFmt numFmtId="382" formatCode="0.00%"/>
    <numFmt numFmtId="383" formatCode="0.00_);(0.00)"/>
    <numFmt numFmtId="384" formatCode="0.00_);(0.00)"/>
    <numFmt numFmtId="385" formatCode="#,##0.00"/>
    <numFmt numFmtId="386" formatCode="#,##0.00"/>
    <numFmt numFmtId="387" formatCode="#,##0.00"/>
    <numFmt numFmtId="388" formatCode="#,##0.00"/>
    <numFmt numFmtId="389" formatCode="#,##0.00"/>
    <numFmt numFmtId="390" formatCode="0.00%"/>
    <numFmt numFmtId="391" formatCode="0.00_);(0.00)"/>
    <numFmt numFmtId="392" formatCode="0.00%"/>
    <numFmt numFmtId="393" formatCode="0%"/>
    <numFmt numFmtId="394" formatCode="0&quot;.&quot;0,&quot;万元&quot;"/>
    <numFmt numFmtId="395" formatCode="0&quot;.&quot;0,&quot;万元&quot;"/>
    <numFmt numFmtId="396" formatCode="0&quot;.&quot;0,&quot;万元&quot;"/>
    <numFmt numFmtId="397" formatCode="0&quot;.&quot;0,&quot;万元&quot;"/>
    <numFmt numFmtId="398" formatCode="0.00%"/>
    <numFmt numFmtId="399" formatCode="0&quot;.&quot;0,&quot;万元&quot;"/>
    <numFmt numFmtId="400" formatCode="0&quot;.&quot;0,&quot;万元&quot;"/>
    <numFmt numFmtId="401" formatCode="0&quot;.&quot;0,&quot;万元&quot;"/>
    <numFmt numFmtId="402" formatCode="0&quot;.&quot;0,&quot;万&quot;"/>
    <numFmt numFmtId="403" formatCode="0.00_ "/>
    <numFmt numFmtId="404" formatCode="0&quot;.&quot;0,&quot;万&quot;"/>
    <numFmt numFmtId="405" formatCode="0.00_ "/>
    <numFmt numFmtId="406" formatCode="0&quot;.&quot;0,&quot;万&quot;"/>
    <numFmt numFmtId="407" formatCode="0&quot;.&quot;0,&quot;万&quot;"/>
    <numFmt numFmtId="408" formatCode="0.00%"/>
    <numFmt numFmtId="409" formatCode="0.0%"/>
    <numFmt numFmtId="410" formatCode="0.00_ "/>
    <numFmt numFmtId="411" formatCode="0&quot;.&quot;0,&quot;万&quot;"/>
    <numFmt numFmtId="412" formatCode="0.00%"/>
    <numFmt numFmtId="413" formatCode="0%"/>
    <numFmt numFmtId="414" formatCode="0.0%"/>
    <numFmt numFmtId="415" formatCode="0&quot;.&quot;0,&quot;万&quot;"/>
    <numFmt numFmtId="416" formatCode="0&quot;.&quot;0,&quot;万&quot;"/>
    <numFmt numFmtId="417" formatCode="0&quot;.&quot;0,&quot;万&quot;"/>
    <numFmt numFmtId="418" formatCode="0&quot;.&quot;0,&quot;万&quot;"/>
    <numFmt numFmtId="419" formatCode="0.00%"/>
    <numFmt numFmtId="420" formatCode="0&quot;.&quot;0,&quot;万&quot;"/>
    <numFmt numFmtId="421" formatCode="0&quot;.&quot;0,&quot;万&quot;"/>
    <numFmt numFmtId="422" formatCode="0.00%"/>
    <numFmt numFmtId="423" formatCode="0.0%"/>
    <numFmt numFmtId="424" formatCode="0&quot;.&quot;0,&quot;万&quot;"/>
    <numFmt numFmtId="425" formatCode="0&quot;.&quot;0,&quot;万&quot;"/>
    <numFmt numFmtId="426" formatCode="0&quot;.&quot;0,&quot;万&quot;"/>
    <numFmt numFmtId="427" formatCode="0&quot;.&quot;0,&quot;万&quot;"/>
    <numFmt numFmtId="428" formatCode="0&quot;.&quot;0,&quot;万&quot;"/>
    <numFmt numFmtId="429" formatCode="0&quot;.&quot;0,&quot;万&quot;"/>
    <numFmt numFmtId="430" formatCode="0&quot;.&quot;0,&quot;万元&quot;"/>
    <numFmt numFmtId="431" formatCode="@"/>
    <numFmt numFmtId="432" formatCode="0&quot;.&quot;0,&quot;万&quot;"/>
    <numFmt numFmtId="433" formatCode="0&quot;.&quot;0,&quot;万&quot;"/>
    <numFmt numFmtId="434" formatCode="0&quot;.&quot;0,&quot;万&quot;"/>
  </numFmts>
  <fonts count="36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FF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70C0"/>
      <name val="Calibri"/>
      <family val="2"/>
      <scheme val="minor"/>
    </font>
    <font>
      <sz val="6"/>
      <color rgb="FF0070C0"/>
      <name val="Calibri"/>
      <family val="2"/>
      <scheme val="minor"/>
    </font>
    <font>
      <sz val="9.75"/>
      <color rgb="FF4472C4"/>
      <name val="Calibri"/>
      <family val="2"/>
      <scheme val="minor"/>
    </font>
    <font>
      <b val="true"/>
      <sz val="9.75"/>
      <color rgb="FFFF0000"/>
      <name val="Calibri"/>
      <family val="2"/>
      <scheme val="minor"/>
    </font>
    <font>
      <b val="true"/>
      <sz val="9.75"/>
      <color rgb="FF0070C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6"/>
      <color rgb="FF0070C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4472C4"/>
      <name val="Calibri"/>
      <family val="2"/>
      <scheme val="minor"/>
    </font>
    <font>
      <b val="true"/>
      <sz val="9.75"/>
      <color rgb="FFF54A45"/>
      <name val="Calibri"/>
      <family val="2"/>
      <scheme val="minor"/>
    </font>
    <font>
      <b val="true"/>
      <sz val="12"/>
      <color rgb="FFFFFFFF"/>
      <name val="Calibri"/>
      <family val="2"/>
      <scheme val="minor"/>
    </font>
    <font>
      <sz val="10.5"/>
      <color rgb="FF000000"/>
      <name val="Calibri"/>
      <family val="2"/>
      <scheme val="minor"/>
    </font>
    <font>
      <i val="true"/>
      <sz val="9.75"/>
      <color rgb="FFBFBFBF"/>
      <name val="Calibri"/>
      <family val="2"/>
      <scheme val="minor"/>
    </font>
    <font>
      <sz val="12"/>
      <color rgb="FFFFFFFF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FF0000"/>
      <name val="Calibri"/>
      <family val="2"/>
      <scheme val="minor"/>
    </font>
    <font>
      <sz val="15.75"/>
      <color rgb="FFFFFFFF"/>
      <name val="Calibri"/>
      <family val="2"/>
      <scheme val="minor"/>
    </font>
    <font>
      <sz val="9.75"/>
      <color rgb="FF245BDB"/>
      <name val="Calibri"/>
      <family val="2"/>
      <scheme val="minor"/>
    </font>
    <font>
      <sz val="12"/>
      <color rgb="FFFF0000"/>
      <name val="Calibri"/>
      <family val="2"/>
      <scheme val="minor"/>
    </font>
    <font>
      <sz val="13.5"/>
      <color rgb="FF000000"/>
      <name val="Calibri"/>
      <family val="2"/>
      <scheme val="minor"/>
    </font>
    <font>
      <b val="true"/>
      <sz val="19.5"/>
      <color rgb="FF000000"/>
      <name val="Calibri"/>
      <family val="2"/>
      <scheme val="minor"/>
    </font>
    <font>
      <sz val="12"/>
      <color rgb="FFFFFF00"/>
      <name val="Calibri"/>
      <family val="2"/>
      <scheme val="minor"/>
    </font>
    <font>
      <sz val="12"/>
      <color rgb="FF5B9BD5"/>
      <name val="Calibri"/>
      <family val="2"/>
      <scheme val="minor"/>
    </font>
    <font>
      <sz val="9.75"/>
      <color rgb="FF5B9BD5"/>
      <name val="Calibri"/>
      <family val="2"/>
      <scheme val="minor"/>
    </font>
    <font>
      <b val="true"/>
      <sz val="15.75"/>
      <color rgb="FF000000"/>
      <name val="Calibri"/>
      <family val="2"/>
      <scheme val="minor"/>
    </font>
    <font>
      <b val="true"/>
      <sz val="13.5"/>
      <color rgb="FFFF0000"/>
      <name val="Calibri"/>
      <family val="2"/>
      <scheme val="minor"/>
    </font>
    <font>
      <sz val="15.75"/>
      <color rgb="FF000000"/>
      <name val="Calibri"/>
      <family val="2"/>
      <scheme val="minor"/>
    </font>
  </fonts>
  <fills count="22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  <fill>
      <patternFill patternType="solid">
        <fgColor rgb="FFFFFF00"/>
        <bgColor/>
      </patternFill>
    </fill>
    <fill>
      <patternFill patternType="solid">
        <fgColor rgb="FF5B9BD5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DEE0E3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245BDB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D7D31"/>
        <bgColor/>
      </patternFill>
    </fill>
    <fill>
      <patternFill patternType="solid">
        <fgColor rgb="FFFFFF00"/>
        <bgColor/>
      </patternFill>
    </fill>
    <fill>
      <patternFill patternType="solid">
        <fgColor rgb="FF245BDB"/>
        <bgColor/>
      </patternFill>
    </fill>
    <fill>
      <patternFill patternType="solid">
        <fgColor rgb="FFBFBFBF"/>
        <bgColor/>
      </patternFill>
    </fill>
    <fill>
      <patternFill patternType="solid">
        <fgColor rgb="FF70AD47"/>
        <bgColor/>
      </patternFill>
    </fill>
    <fill>
      <patternFill patternType="solid">
        <fgColor rgb="FF245BDB"/>
        <bgColor/>
      </patternFill>
    </fill>
    <fill>
      <patternFill patternType="solid">
        <fgColor rgb="FFED7D31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70AD47"/>
        <bgColor/>
      </patternFill>
    </fill>
    <fill>
      <patternFill patternType="solid">
        <fgColor rgb="FFED7D31"/>
        <bgColor/>
      </patternFill>
    </fill>
    <fill>
      <patternFill patternType="solid">
        <fgColor rgb="FFED7D31"/>
        <bgColor/>
      </patternFill>
    </fill>
    <fill>
      <patternFill patternType="solid">
        <fgColor rgb="FF245BDB"/>
        <bgColor/>
      </patternFill>
    </fill>
    <fill>
      <patternFill patternType="solid">
        <fgColor rgb="FFED7D31"/>
        <bgColor/>
      </patternFill>
    </fill>
    <fill>
      <patternFill patternType="solid">
        <fgColor rgb="FF245BDB"/>
        <bgColor/>
      </patternFill>
    </fill>
    <fill>
      <patternFill patternType="solid">
        <fgColor rgb="FFED7D31"/>
        <bgColor/>
      </patternFill>
    </fill>
    <fill>
      <patternFill patternType="solid">
        <fgColor rgb="FFFBBFBC"/>
        <bgColor/>
      </patternFill>
    </fill>
    <fill>
      <patternFill patternType="solid">
        <fgColor rgb="FFFBBFBC"/>
        <bgColor/>
      </patternFill>
    </fill>
    <fill>
      <patternFill patternType="solid">
        <fgColor rgb="FFFBBFBC"/>
        <bgColor/>
      </patternFill>
    </fill>
    <fill>
      <patternFill patternType="solid">
        <fgColor rgb="FFFBBFBC"/>
        <bgColor/>
      </patternFill>
    </fill>
    <fill>
      <patternFill patternType="solid">
        <fgColor rgb="FFFBBFBC"/>
        <bgColor/>
      </patternFill>
    </fill>
    <fill>
      <patternFill patternType="solid">
        <fgColor rgb="FFFBBFBC"/>
        <bgColor/>
      </patternFill>
    </fill>
    <fill>
      <patternFill patternType="solid">
        <fgColor rgb="FFFBBFBC"/>
        <bgColor/>
      </patternFill>
    </fill>
    <fill>
      <patternFill patternType="solid">
        <fgColor rgb="FFFBBFBC"/>
        <bgColor/>
      </patternFill>
    </fill>
    <fill>
      <patternFill patternType="solid">
        <fgColor rgb="FFFBBFBC"/>
        <bgColor/>
      </patternFill>
    </fill>
    <fill>
      <patternFill patternType="solid">
        <fgColor rgb="FFFBBFBC"/>
        <bgColor/>
      </patternFill>
    </fill>
    <fill>
      <patternFill patternType="solid">
        <fgColor rgb="FFFBBFBC"/>
        <bgColor/>
      </patternFill>
    </fill>
    <fill>
      <patternFill patternType="solid">
        <fgColor rgb="FFFBBFBC"/>
        <bgColor/>
      </patternFill>
    </fill>
    <fill>
      <patternFill patternType="solid">
        <fgColor rgb="FFFBBFBC"/>
        <bgColor/>
      </patternFill>
    </fill>
    <fill>
      <patternFill patternType="solid">
        <fgColor rgb="FFFBBFBC"/>
        <bgColor/>
      </patternFill>
    </fill>
    <fill>
      <patternFill patternType="solid">
        <fgColor rgb="FFFBBFBC"/>
        <bgColor/>
      </patternFill>
    </fill>
    <fill>
      <patternFill patternType="solid">
        <fgColor rgb="FFFBBFBC"/>
        <bgColor/>
      </patternFill>
    </fill>
    <fill>
      <patternFill patternType="solid">
        <fgColor rgb="FFFBBFBC"/>
        <bgColor/>
      </patternFill>
    </fill>
    <fill>
      <patternFill patternType="solid">
        <fgColor rgb="FFFBBFBC"/>
        <bgColor/>
      </patternFill>
    </fill>
    <fill>
      <patternFill patternType="solid">
        <fgColor rgb="FFFBBFBC"/>
        <bgColor/>
      </patternFill>
    </fill>
    <fill>
      <patternFill patternType="solid">
        <fgColor rgb="FFFBBFBC"/>
        <bgColor/>
      </patternFill>
    </fill>
    <fill>
      <patternFill patternType="solid">
        <fgColor rgb="FFFBBFBC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ECECEC"/>
        <bgColor/>
      </patternFill>
    </fill>
    <fill>
      <patternFill patternType="solid">
        <fgColor rgb="FFECECEC"/>
        <bgColor/>
      </patternFill>
    </fill>
    <fill>
      <patternFill patternType="solid">
        <fgColor rgb="FFECECEC"/>
        <bgColor/>
      </patternFill>
    </fill>
    <fill>
      <patternFill patternType="solid">
        <fgColor rgb="FFECECEC"/>
        <bgColor/>
      </patternFill>
    </fill>
    <fill>
      <patternFill patternType="solid">
        <fgColor rgb="FFFFF2CB"/>
        <bgColor/>
      </patternFill>
    </fill>
    <fill>
      <patternFill patternType="solid">
        <fgColor rgb="FFFFF2CB"/>
        <bgColor/>
      </patternFill>
    </fill>
    <fill>
      <patternFill patternType="solid">
        <fgColor rgb="FFFFF2CB"/>
        <bgColor/>
      </patternFill>
    </fill>
    <fill>
      <patternFill patternType="solid">
        <fgColor rgb="FFFFF2CB"/>
        <bgColor/>
      </patternFill>
    </fill>
    <fill>
      <patternFill patternType="solid">
        <fgColor rgb="FFECECEC"/>
        <bgColor/>
      </patternFill>
    </fill>
    <fill>
      <patternFill patternType="solid">
        <fgColor rgb="FFD8D8D8"/>
        <bgColor/>
      </patternFill>
    </fill>
    <fill>
      <patternFill patternType="solid">
        <fgColor rgb="FFA5A5A5"/>
        <bgColor/>
      </patternFill>
    </fill>
    <fill>
      <patternFill patternType="solid">
        <fgColor rgb="FFA5A5A5"/>
        <bgColor/>
      </patternFill>
    </fill>
    <fill>
      <patternFill patternType="solid">
        <fgColor rgb="FFA5A5A5"/>
        <bgColor/>
      </patternFill>
    </fill>
    <fill>
      <patternFill patternType="solid">
        <fgColor rgb="FFA5A5A5"/>
        <bgColor/>
      </patternFill>
    </fill>
    <fill>
      <patternFill patternType="solid">
        <fgColor rgb="FFA5A5A5"/>
        <bgColor/>
      </patternFill>
    </fill>
    <fill>
      <patternFill patternType="solid">
        <fgColor rgb="FF7EDAFB"/>
        <bgColor/>
      </patternFill>
    </fill>
    <fill>
      <patternFill patternType="solid">
        <fgColor rgb="FF7EDAFB"/>
        <bgColor/>
      </patternFill>
    </fill>
    <fill>
      <patternFill patternType="solid">
        <fgColor rgb="FF7EDAFB"/>
        <bgColor/>
      </patternFill>
    </fill>
    <fill>
      <patternFill patternType="solid">
        <fgColor rgb="FF7EDAFB"/>
        <bgColor/>
      </patternFill>
    </fill>
    <fill>
      <patternFill patternType="solid">
        <fgColor rgb="FF7EDAFB"/>
        <bgColor/>
      </patternFill>
    </fill>
    <fill>
      <patternFill patternType="solid">
        <fgColor rgb="FF7EDAFB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FFC000"/>
        <bgColor/>
      </patternFill>
    </fill>
    <fill>
      <patternFill patternType="solid">
        <fgColor rgb="FFFFC000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FFC000"/>
        <bgColor/>
      </patternFill>
    </fill>
    <fill>
      <patternFill patternType="solid">
        <fgColor rgb="FFFFD966"/>
        <bgColor/>
      </patternFill>
    </fill>
    <fill>
      <patternFill patternType="solid">
        <fgColor rgb="FFFFD966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92D050"/>
        <bgColor/>
      </patternFill>
    </fill>
    <fill>
      <patternFill patternType="solid">
        <fgColor rgb="FFFFFF00"/>
        <bgColor/>
      </patternFill>
    </fill>
    <fill>
      <patternFill patternType="solid">
        <fgColor rgb="FF4472C4"/>
        <bgColor/>
      </patternFill>
    </fill>
    <fill>
      <patternFill patternType="solid">
        <fgColor rgb="FF5B9BD5"/>
        <bgColor/>
      </patternFill>
    </fill>
    <fill>
      <patternFill patternType="solid">
        <fgColor rgb="FFE7E6E6"/>
        <bgColor/>
      </patternFill>
    </fill>
    <fill>
      <patternFill patternType="solid">
        <fgColor rgb="FFE7E6E6"/>
        <bgColor/>
      </patternFill>
    </fill>
    <fill>
      <patternFill patternType="solid">
        <fgColor rgb="FFE7E6E6"/>
        <bgColor/>
      </patternFill>
    </fill>
    <fill>
      <patternFill patternType="solid">
        <fgColor rgb="FFE7E6E6"/>
        <bgColor/>
      </patternFill>
    </fill>
    <fill>
      <patternFill patternType="solid">
        <fgColor rgb="FFD8D8D8"/>
        <bgColor/>
      </patternFill>
    </fill>
    <fill>
      <patternFill patternType="solid">
        <fgColor rgb="FFD8D8D8"/>
        <bgColor/>
      </patternFill>
    </fill>
    <fill>
      <patternFill patternType="solid">
        <fgColor rgb="FFE7E6E6"/>
        <bgColor/>
      </patternFill>
    </fill>
    <fill>
      <patternFill patternType="solid">
        <fgColor rgb="FFE7E6E6"/>
        <bgColor/>
      </patternFill>
    </fill>
    <fill>
      <patternFill patternType="solid">
        <fgColor rgb="FF92D05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E2EEDA"/>
        <bgColor/>
      </patternFill>
    </fill>
    <fill>
      <patternFill patternType="solid">
        <fgColor rgb="FFE2EEDA"/>
        <bgColor/>
      </patternFill>
    </fill>
    <fill>
      <patternFill patternType="solid">
        <fgColor rgb="FFE2EEDA"/>
        <bgColor/>
      </patternFill>
    </fill>
    <fill>
      <patternFill patternType="solid">
        <fgColor rgb="FFE2EEDA"/>
        <bgColor/>
      </patternFill>
    </fill>
    <fill>
      <patternFill patternType="solid">
        <fgColor rgb="FFE2EEDA"/>
        <bgColor/>
      </patternFill>
    </fill>
    <fill>
      <patternFill patternType="solid">
        <fgColor rgb="FFDEEBF6"/>
        <bgColor/>
      </patternFill>
    </fill>
    <fill>
      <patternFill patternType="solid">
        <fgColor rgb="FFDEEBF6"/>
        <bgColor/>
      </patternFill>
    </fill>
    <fill>
      <patternFill patternType="solid">
        <fgColor rgb="FFDEEBF6"/>
        <bgColor/>
      </patternFill>
    </fill>
    <fill>
      <patternFill patternType="solid">
        <fgColor rgb="FFDEEBF6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FBE5D5"/>
        <bgColor/>
      </patternFill>
    </fill>
    <fill>
      <patternFill patternType="solid">
        <fgColor rgb="FFFBE5D5"/>
        <bgColor/>
      </patternFill>
    </fill>
    <fill>
      <patternFill patternType="solid">
        <fgColor rgb="FFFBE5D5"/>
        <bgColor/>
      </patternFill>
    </fill>
    <fill>
      <patternFill patternType="solid">
        <fgColor rgb="FF5B9BD5"/>
        <bgColor/>
      </patternFill>
    </fill>
  </fills>
  <borders count="46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6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1" numFmtId="0" xfId="0">
      <alignment vertical="center"/>
    </xf>
    <xf applyAlignment="true" applyBorder="false" applyFill="false" applyFont="true" applyNumberFormat="false" applyProtection="false" borderId="3" fillId="0" fontId="1" numFmtId="0" xfId="0">
      <alignment vertical="center" wrapText="true"/>
    </xf>
    <xf applyAlignment="true" applyBorder="false" applyFill="false" applyFont="true" applyNumberFormat="false" applyProtection="false" borderId="4" fillId="0" fontId="2" numFmtId="0" xfId="0">
      <alignment vertical="center"/>
    </xf>
    <xf applyAlignment="true" applyBorder="false" applyFill="true" applyFont="true" applyNumberFormat="false" applyProtection="false" borderId="5" fillId="2" fontId="1" numFmtId="0" xfId="0">
      <alignment vertical="center"/>
    </xf>
    <xf applyAlignment="true" applyBorder="false" applyFill="false" applyFont="true" applyNumberFormat="false" applyProtection="false" borderId="6" fillId="0" fontId="1" numFmtId="0" xfId="0">
      <alignment vertical="center"/>
    </xf>
    <xf applyAlignment="true" applyBorder="false" applyFill="true" applyFont="true" applyNumberFormat="false" applyProtection="false" borderId="7" fillId="3" fontId="1" numFmtId="0" xfId="0">
      <alignment horizontal="center" vertical="center"/>
    </xf>
    <xf applyAlignment="true" applyBorder="false" applyFill="true" applyFont="true" applyNumberFormat="false" applyProtection="false" borderId="8" fillId="4" fontId="2" numFmtId="0" xfId="0">
      <alignment vertical="center"/>
    </xf>
    <xf applyAlignment="true" applyBorder="false" applyFill="false" applyFont="true" applyNumberFormat="false" applyProtection="false" borderId="9" fillId="0" fontId="3" numFmtId="0" xfId="0">
      <alignment vertical="center"/>
    </xf>
    <xf applyAlignment="true" applyBorder="false" applyFill="false" applyFont="true" applyNumberFormat="false" applyProtection="false" borderId="10" fillId="0" fontId="4" numFmtId="0" xfId="0">
      <alignment vertical="center"/>
    </xf>
    <xf applyAlignment="true" applyBorder="false" applyFill="false" applyFont="true" applyNumberFormat="false" applyProtection="false" borderId="11" fillId="0" fontId="2" numFmtId="0" xfId="0">
      <alignment horizontal="center" vertical="center"/>
    </xf>
    <xf applyAlignment="true" applyBorder="false" applyFill="true" applyFont="true" applyNumberFormat="false" applyProtection="false" borderId="12" fillId="5" fontId="5" numFmtId="0" xfId="0">
      <alignment horizontal="center" vertical="center"/>
    </xf>
    <xf applyAlignment="true" applyBorder="false" applyFill="true" applyFont="true" applyNumberFormat="true" applyProtection="false" borderId="13" fillId="6" fontId="6" numFmtId="164" xfId="0">
      <alignment horizontal="left" vertical="center" wrapText="true"/>
    </xf>
    <xf applyAlignment="true" applyBorder="false" applyFill="true" applyFont="true" applyNumberFormat="true" applyProtection="false" borderId="14" fillId="7" fontId="6" numFmtId="165" xfId="0">
      <alignment horizontal="left" vertical="center"/>
    </xf>
    <xf applyAlignment="true" applyBorder="false" applyFill="true" applyFont="true" applyNumberFormat="true" applyProtection="false" borderId="15" fillId="8" fontId="5" numFmtId="166" xfId="0">
      <alignment horizontal="center" vertical="center"/>
    </xf>
    <xf applyAlignment="true" applyBorder="false" applyFill="true" applyFont="true" applyNumberFormat="false" applyProtection="false" borderId="16" fillId="9" fontId="1" numFmtId="0" xfId="0">
      <alignment vertical="center"/>
    </xf>
    <xf applyAlignment="true" applyBorder="false" applyFill="true" applyFont="true" applyNumberFormat="true" applyProtection="false" borderId="17" fillId="10" fontId="7" numFmtId="167" xfId="0">
      <alignment horizontal="left" vertical="center" wrapText="true"/>
    </xf>
    <xf applyAlignment="true" applyBorder="false" applyFill="true" applyFont="true" applyNumberFormat="true" applyProtection="false" borderId="18" fillId="11" fontId="7" numFmtId="168" xfId="0">
      <alignment horizontal="left" vertical="center"/>
    </xf>
    <xf applyAlignment="true" applyBorder="false" applyFill="true" applyFont="true" applyNumberFormat="true" applyProtection="false" borderId="19" fillId="12" fontId="5" numFmtId="169" xfId="0">
      <alignment horizontal="left" vertical="center" wrapText="true"/>
    </xf>
    <xf applyAlignment="true" applyBorder="false" applyFill="true" applyFont="true" applyNumberFormat="true" applyProtection="false" borderId="20" fillId="13" fontId="6" numFmtId="170" xfId="0">
      <alignment horizontal="left" vertical="center"/>
    </xf>
    <xf applyAlignment="true" applyBorder="false" applyFill="true" applyFont="true" applyNumberFormat="false" applyProtection="false" borderId="21" fillId="14" fontId="5" numFmtId="0" xfId="0">
      <alignment vertical="center"/>
    </xf>
    <xf applyAlignment="true" applyBorder="false" applyFill="true" applyFont="true" applyNumberFormat="false" applyProtection="false" borderId="22" fillId="15" fontId="6" numFmtId="0" xfId="0">
      <alignment horizontal="left" vertical="center"/>
    </xf>
    <xf applyAlignment="true" applyBorder="false" applyFill="true" applyFont="true" applyNumberFormat="true" applyProtection="false" borderId="23" fillId="16" fontId="6" numFmtId="171" xfId="0">
      <alignment horizontal="left" vertical="center"/>
    </xf>
    <xf applyAlignment="true" applyBorder="false" applyFill="true" applyFont="true" applyNumberFormat="true" applyProtection="false" borderId="24" fillId="17" fontId="3" numFmtId="172" xfId="0">
      <alignment horizontal="left" vertical="center" wrapText="true"/>
    </xf>
    <xf applyAlignment="true" applyBorder="false" applyFill="true" applyFont="true" applyNumberFormat="true" applyProtection="false" borderId="25" fillId="18" fontId="5" numFmtId="173" xfId="0">
      <alignment horizontal="left" vertical="center"/>
    </xf>
    <xf applyAlignment="true" applyBorder="false" applyFill="true" applyFont="true" applyNumberFormat="true" applyProtection="false" borderId="26" fillId="19" fontId="5" numFmtId="174" xfId="0">
      <alignment horizontal="center" vertical="center"/>
    </xf>
    <xf applyAlignment="true" applyBorder="false" applyFill="true" applyFont="true" applyNumberFormat="true" applyProtection="false" borderId="27" fillId="20" fontId="6" numFmtId="175" xfId="0">
      <alignment horizontal="left" vertical="center" wrapText="true"/>
    </xf>
    <xf applyAlignment="true" applyBorder="false" applyFill="true" applyFont="true" applyNumberFormat="true" applyProtection="false" borderId="28" fillId="21" fontId="5" numFmtId="176" xfId="0">
      <alignment vertical="center"/>
    </xf>
    <xf applyAlignment="true" applyBorder="false" applyFill="true" applyFont="true" applyNumberFormat="false" applyProtection="false" borderId="29" fillId="22" fontId="5" numFmtId="0" xfId="0">
      <alignment horizontal="left" vertical="center"/>
    </xf>
    <xf applyAlignment="true" applyBorder="false" applyFill="true" applyFont="true" applyNumberFormat="true" applyProtection="false" borderId="30" fillId="23" fontId="6" numFmtId="177" xfId="0">
      <alignment horizontal="left" vertical="center"/>
    </xf>
    <xf applyAlignment="true" applyBorder="false" applyFill="true" applyFont="true" applyNumberFormat="false" applyProtection="false" borderId="31" fillId="24" fontId="8" numFmtId="0" xfId="0">
      <alignment horizontal="left" vertical="center"/>
    </xf>
    <xf applyAlignment="true" applyBorder="false" applyFill="true" applyFont="true" applyNumberFormat="true" applyProtection="false" borderId="32" fillId="25" fontId="5" numFmtId="178" xfId="0">
      <alignment horizontal="left" vertical="center" wrapText="true"/>
    </xf>
    <xf applyAlignment="true" applyBorder="false" applyFill="true" applyFont="true" applyNumberFormat="false" applyProtection="false" borderId="33" fillId="26" fontId="5" numFmtId="0" xfId="0">
      <alignment vertical="center"/>
    </xf>
    <xf applyAlignment="true" applyBorder="false" applyFill="false" applyFont="true" applyNumberFormat="false" applyProtection="false" borderId="34" fillId="0" fontId="5" numFmtId="0" xfId="0">
      <alignment vertical="center"/>
    </xf>
    <xf applyAlignment="true" applyBorder="false" applyFill="false" applyFont="true" applyNumberFormat="false" applyProtection="false" borderId="35" fillId="0" fontId="5" numFmtId="0" xfId="0">
      <alignment vertical="center"/>
    </xf>
    <xf applyAlignment="true" applyBorder="false" applyFill="false" applyFont="true" applyNumberFormat="true" applyProtection="false" borderId="36" fillId="0" fontId="5" numFmtId="179" xfId="0">
      <alignment vertical="center"/>
    </xf>
    <xf applyAlignment="true" applyBorder="false" applyFill="false" applyFont="true" applyNumberFormat="false" applyProtection="false" borderId="37" fillId="0" fontId="5" numFmtId="0" xfId="0">
      <alignment horizontal="left" vertical="center"/>
    </xf>
    <xf applyAlignment="true" applyBorder="false" applyFill="false" applyFont="true" applyNumberFormat="false" applyProtection="false" borderId="38" fillId="0" fontId="5" numFmtId="0" xfId="0">
      <alignment horizontal="right" vertical="center"/>
    </xf>
    <xf applyAlignment="true" applyBorder="false" applyFill="false" applyFont="true" applyNumberFormat="true" applyProtection="false" borderId="39" fillId="0" fontId="5" numFmtId="180" xfId="0">
      <alignment horizontal="right" vertical="center" wrapText="true"/>
    </xf>
    <xf applyAlignment="true" applyBorder="false" applyFill="false" applyFont="true" applyNumberFormat="true" applyProtection="false" borderId="40" fillId="0" fontId="6" numFmtId="181" xfId="0">
      <alignment horizontal="right" vertical="center"/>
    </xf>
    <xf applyAlignment="true" applyBorder="false" applyFill="false" applyFont="true" applyNumberFormat="true" applyProtection="false" borderId="41" fillId="0" fontId="5" numFmtId="182" xfId="0">
      <alignment horizontal="right" vertical="center"/>
    </xf>
    <xf applyAlignment="true" applyBorder="false" applyFill="false" applyFont="true" applyNumberFormat="true" applyProtection="false" borderId="42" fillId="0" fontId="5" numFmtId="183" xfId="0">
      <alignment horizontal="right" vertical="center" wrapText="true"/>
    </xf>
    <xf applyAlignment="true" applyBorder="false" applyFill="false" applyFont="true" applyNumberFormat="true" applyProtection="false" borderId="43" fillId="0" fontId="3" numFmtId="184" xfId="0">
      <alignment horizontal="right" vertical="center" wrapText="true"/>
    </xf>
    <xf applyAlignment="true" applyBorder="false" applyFill="false" applyFont="true" applyNumberFormat="true" applyProtection="false" borderId="44" fillId="0" fontId="6" numFmtId="185" xfId="0">
      <alignment horizontal="right" vertical="center"/>
    </xf>
    <xf applyAlignment="true" applyBorder="false" applyFill="false" applyFont="true" applyNumberFormat="true" applyProtection="false" borderId="45" fillId="0" fontId="7" numFmtId="186" xfId="0">
      <alignment horizontal="right" vertical="center" wrapText="true"/>
    </xf>
    <xf applyAlignment="true" applyBorder="false" applyFill="false" applyFont="true" applyNumberFormat="true" applyProtection="false" borderId="46" fillId="0" fontId="3" numFmtId="187" xfId="0">
      <alignment horizontal="right" vertical="center"/>
    </xf>
    <xf applyAlignment="true" applyBorder="false" applyFill="false" applyFont="true" applyNumberFormat="true" applyProtection="false" borderId="47" fillId="0" fontId="7" numFmtId="188" xfId="0">
      <alignment horizontal="right" vertical="center"/>
    </xf>
    <xf applyAlignment="true" applyBorder="false" applyFill="false" applyFont="true" applyNumberFormat="true" applyProtection="false" borderId="48" fillId="0" fontId="6" numFmtId="189" xfId="0">
      <alignment horizontal="right" vertical="center" wrapText="true"/>
    </xf>
    <xf applyAlignment="true" applyBorder="false" applyFill="false" applyFont="true" applyNumberFormat="true" applyProtection="false" borderId="49" fillId="0" fontId="6" numFmtId="190" xfId="0">
      <alignment horizontal="right" vertical="center" wrapText="true"/>
    </xf>
    <xf applyAlignment="true" applyBorder="false" applyFill="false" applyFont="true" applyNumberFormat="false" applyProtection="false" borderId="50" fillId="0" fontId="5" numFmtId="0" xfId="0">
      <alignment horizontal="right" vertical="center"/>
    </xf>
    <xf applyAlignment="true" applyBorder="false" applyFill="false" applyFont="true" applyNumberFormat="false" applyProtection="false" borderId="51" fillId="0" fontId="8" numFmtId="0" xfId="0">
      <alignment horizontal="right" vertical="center"/>
    </xf>
    <xf applyAlignment="true" applyBorder="false" applyFill="false" applyFont="true" applyNumberFormat="true" applyProtection="false" borderId="52" fillId="0" fontId="6" numFmtId="191" xfId="0">
      <alignment horizontal="right" vertical="center"/>
    </xf>
    <xf applyAlignment="true" applyBorder="false" applyFill="false" applyFont="true" applyNumberFormat="true" applyProtection="false" borderId="53" fillId="0" fontId="3" numFmtId="192" xfId="0">
      <alignment horizontal="right" vertical="center"/>
    </xf>
    <xf applyAlignment="true" applyBorder="false" applyFill="false" applyFont="true" applyNumberFormat="true" applyProtection="false" borderId="54" fillId="0" fontId="6" numFmtId="193" xfId="0">
      <alignment horizontal="right" vertical="center" wrapText="true"/>
    </xf>
    <xf applyAlignment="true" applyBorder="false" applyFill="false" applyFont="true" applyNumberFormat="true" applyProtection="false" borderId="55" fillId="0" fontId="5" numFmtId="194" xfId="0">
      <alignment horizontal="right" vertical="center" wrapText="true"/>
    </xf>
    <xf applyAlignment="true" applyBorder="false" applyFill="false" applyFont="true" applyNumberFormat="true" applyProtection="false" borderId="56" fillId="0" fontId="5" numFmtId="195" xfId="0">
      <alignment horizontal="right" vertical="center"/>
    </xf>
    <xf applyAlignment="true" applyBorder="false" applyFill="false" applyFont="true" applyNumberFormat="false" applyProtection="false" borderId="57" fillId="0" fontId="1" numFmtId="0" xfId="0">
      <alignment vertical="center"/>
    </xf>
    <xf applyAlignment="true" applyBorder="false" applyFill="false" applyFont="true" applyNumberFormat="true" applyProtection="false" borderId="58" fillId="0" fontId="9" numFmtId="196" xfId="0">
      <alignment horizontal="left" vertical="center"/>
    </xf>
    <xf applyAlignment="true" applyBorder="false" applyFill="false" applyFont="true" applyNumberFormat="true" applyProtection="false" borderId="59" fillId="0" fontId="10" numFmtId="197" xfId="0">
      <alignment horizontal="left" vertical="center"/>
    </xf>
    <xf applyAlignment="true" applyBorder="false" applyFill="false" applyFont="true" applyNumberFormat="true" applyProtection="false" borderId="60" fillId="0" fontId="11" numFmtId="198" xfId="0">
      <alignment vertical="center"/>
    </xf>
    <xf applyAlignment="true" applyBorder="false" applyFill="false" applyFont="true" applyNumberFormat="true" applyProtection="false" borderId="61" fillId="0" fontId="12" numFmtId="199" xfId="0">
      <alignment horizontal="left" vertical="center" wrapText="true"/>
    </xf>
    <xf applyAlignment="true" applyBorder="false" applyFill="true" applyFont="true" applyNumberFormat="true" applyProtection="false" borderId="62" fillId="27" fontId="5" numFmtId="200" xfId="0">
      <alignment horizontal="left" vertical="center"/>
    </xf>
    <xf applyAlignment="true" applyBorder="false" applyFill="false" applyFont="true" applyNumberFormat="false" applyProtection="false" borderId="63" fillId="0" fontId="11" numFmtId="0" xfId="0">
      <alignment vertical="center"/>
    </xf>
    <xf applyAlignment="true" applyBorder="false" applyFill="true" applyFont="true" applyNumberFormat="false" applyProtection="false" borderId="64" fillId="28" fontId="5" numFmtId="0" xfId="0">
      <alignment horizontal="left" vertical="center"/>
    </xf>
    <xf applyAlignment="true" applyBorder="false" applyFill="false" applyFont="true" applyNumberFormat="true" applyProtection="false" borderId="65" fillId="0" fontId="10" numFmtId="201" xfId="0">
      <alignment horizontal="left" vertical="center"/>
    </xf>
    <xf applyAlignment="true" applyBorder="false" applyFill="false" applyFont="true" applyNumberFormat="true" applyProtection="false" borderId="66" fillId="0" fontId="10" numFmtId="202" xfId="0">
      <alignment horizontal="left" vertical="center" wrapText="true"/>
    </xf>
    <xf applyAlignment="true" applyBorder="false" applyFill="false" applyFont="true" applyNumberFormat="true" applyProtection="false" borderId="67" fillId="0" fontId="10" numFmtId="203" xfId="0">
      <alignment horizontal="center" vertical="center"/>
    </xf>
    <xf applyAlignment="true" applyBorder="false" applyFill="false" applyFont="true" applyNumberFormat="false" applyProtection="false" borderId="68" fillId="0" fontId="11" numFmtId="0" xfId="0">
      <alignment vertical="center"/>
    </xf>
    <xf applyAlignment="true" applyBorder="false" applyFill="true" applyFont="true" applyNumberFormat="true" applyProtection="false" borderId="69" fillId="29" fontId="5" numFmtId="204" xfId="0">
      <alignment horizontal="left" vertical="center" wrapText="true"/>
    </xf>
    <xf applyAlignment="true" applyBorder="false" applyFill="false" applyFont="true" applyNumberFormat="true" applyProtection="false" borderId="70" fillId="0" fontId="5" numFmtId="205" xfId="0">
      <alignment horizontal="left" vertical="center" wrapText="true"/>
    </xf>
    <xf applyAlignment="true" applyBorder="false" applyFill="false" applyFont="true" applyNumberFormat="true" applyProtection="false" borderId="71" fillId="0" fontId="10" numFmtId="206" xfId="0">
      <alignment horizontal="left" vertical="center" wrapText="true"/>
    </xf>
    <xf applyAlignment="true" applyBorder="false" applyFill="false" applyFont="true" applyNumberFormat="true" applyProtection="false" borderId="72" fillId="0" fontId="12" numFmtId="207" xfId="0">
      <alignment horizontal="left" vertical="center"/>
    </xf>
    <xf applyAlignment="true" applyBorder="false" applyFill="false" applyFont="true" applyNumberFormat="true" applyProtection="false" borderId="73" fillId="0" fontId="10" numFmtId="208" xfId="0">
      <alignment horizontal="center" vertical="center" wrapText="true"/>
    </xf>
    <xf applyAlignment="true" applyBorder="false" applyFill="false" applyFont="true" applyNumberFormat="true" applyProtection="false" borderId="74" fillId="0" fontId="11" numFmtId="209" xfId="0">
      <alignment horizontal="left" vertical="center"/>
    </xf>
    <xf applyAlignment="true" applyBorder="false" applyFill="false" applyFont="true" applyNumberFormat="true" applyProtection="false" borderId="75" fillId="0" fontId="10" numFmtId="210" xfId="0">
      <alignment horizontal="left" vertical="center" wrapText="true"/>
    </xf>
    <xf applyAlignment="true" applyBorder="false" applyFill="false" applyFont="true" applyNumberFormat="false" applyProtection="false" borderId="76" fillId="0" fontId="13" numFmtId="0" xfId="0">
      <alignment vertical="center" wrapText="true"/>
    </xf>
    <xf applyAlignment="true" applyBorder="false" applyFill="false" applyFont="true" applyNumberFormat="true" applyProtection="false" borderId="77" fillId="0" fontId="10" numFmtId="211" xfId="0">
      <alignment horizontal="left" vertical="center"/>
    </xf>
    <xf applyAlignment="true" applyBorder="false" applyFill="false" applyFont="true" applyNumberFormat="false" applyProtection="false" borderId="78" fillId="0" fontId="14" numFmtId="0" xfId="0">
      <alignment horizontal="left" vertical="center"/>
    </xf>
    <xf applyAlignment="true" applyBorder="false" applyFill="true" applyFont="true" applyNumberFormat="false" applyProtection="false" borderId="79" fillId="30" fontId="5" numFmtId="0" xfId="0">
      <alignment horizontal="left" vertical="center"/>
    </xf>
    <xf applyAlignment="true" applyBorder="false" applyFill="false" applyFont="true" applyNumberFormat="true" applyProtection="false" borderId="80" fillId="0" fontId="3" numFmtId="212" xfId="0">
      <alignment horizontal="right" vertical="center"/>
    </xf>
    <xf applyAlignment="true" applyBorder="false" applyFill="false" applyFont="true" applyNumberFormat="true" applyProtection="false" borderId="81" fillId="0" fontId="11" numFmtId="213" xfId="0">
      <alignment horizontal="right" vertical="center"/>
    </xf>
    <xf applyAlignment="true" applyBorder="false" applyFill="true" applyFont="true" applyNumberFormat="true" applyProtection="false" borderId="82" fillId="31" fontId="3" numFmtId="214" xfId="0">
      <alignment horizontal="left" vertical="center"/>
    </xf>
    <xf applyAlignment="true" applyBorder="false" applyFill="true" applyFont="true" applyNumberFormat="true" applyProtection="false" borderId="83" fillId="32" fontId="6" numFmtId="215" xfId="0">
      <alignment horizontal="left" vertical="center"/>
    </xf>
    <xf applyAlignment="true" applyBorder="false" applyFill="true" applyFont="true" applyNumberFormat="true" applyProtection="false" borderId="84" fillId="33" fontId="7" numFmtId="216" xfId="0">
      <alignment horizontal="left" vertical="center"/>
    </xf>
    <xf applyAlignment="true" applyBorder="false" applyFill="true" applyFont="true" applyNumberFormat="false" applyProtection="false" borderId="85" fillId="34" fontId="8" numFmtId="0" xfId="0">
      <alignment horizontal="left" vertical="center"/>
    </xf>
    <xf applyAlignment="true" applyBorder="false" applyFill="true" applyFont="true" applyNumberFormat="true" applyProtection="false" borderId="86" fillId="35" fontId="6" numFmtId="217" xfId="0">
      <alignment horizontal="left" vertical="center"/>
    </xf>
    <xf applyAlignment="true" applyBorder="false" applyFill="true" applyFont="true" applyNumberFormat="false" applyProtection="false" borderId="87" fillId="36" fontId="5" numFmtId="0" xfId="0">
      <alignment vertical="center"/>
    </xf>
    <xf applyAlignment="true" applyBorder="false" applyFill="true" applyFont="true" applyNumberFormat="true" applyProtection="false" borderId="88" fillId="37" fontId="6" numFmtId="218" xfId="0">
      <alignment horizontal="left" vertical="center" wrapText="true"/>
    </xf>
    <xf applyAlignment="true" applyBorder="false" applyFill="true" applyFont="true" applyNumberFormat="true" applyProtection="false" borderId="89" fillId="38" fontId="5" numFmtId="219" xfId="0">
      <alignment horizontal="left" vertical="center" wrapText="true"/>
    </xf>
    <xf applyAlignment="true" applyBorder="false" applyFill="true" applyFont="true" applyNumberFormat="true" applyProtection="false" borderId="90" fillId="39" fontId="5" numFmtId="220" xfId="0">
      <alignment horizontal="left" vertical="center"/>
    </xf>
    <xf applyAlignment="true" applyBorder="false" applyFill="true" applyFont="true" applyNumberFormat="true" applyProtection="false" borderId="91" fillId="40" fontId="5" numFmtId="221" xfId="0">
      <alignment horizontal="left" vertical="center" wrapText="true"/>
    </xf>
    <xf applyAlignment="true" applyBorder="false" applyFill="true" applyFont="true" applyNumberFormat="true" applyProtection="false" borderId="92" fillId="41" fontId="6" numFmtId="222" xfId="0">
      <alignment horizontal="center" vertical="center" wrapText="true"/>
    </xf>
    <xf applyAlignment="true" applyBorder="false" applyFill="true" applyFont="true" applyNumberFormat="true" applyProtection="false" borderId="93" fillId="42" fontId="6" numFmtId="223" xfId="0">
      <alignment horizontal="left" vertical="center" wrapText="true"/>
    </xf>
    <xf applyAlignment="true" applyBorder="false" applyFill="true" applyFont="true" applyNumberFormat="true" applyProtection="false" borderId="94" fillId="43" fontId="5" numFmtId="224" xfId="0">
      <alignment horizontal="center" vertical="center"/>
    </xf>
    <xf applyAlignment="true" applyBorder="false" applyFill="true" applyFont="true" applyNumberFormat="true" applyProtection="false" borderId="95" fillId="44" fontId="5" numFmtId="225" xfId="0">
      <alignment vertical="center"/>
    </xf>
    <xf applyAlignment="true" applyBorder="false" applyFill="true" applyFont="true" applyNumberFormat="true" applyProtection="false" borderId="96" fillId="45" fontId="5" numFmtId="226" xfId="0">
      <alignment horizontal="left" vertical="center"/>
    </xf>
    <xf applyAlignment="true" applyBorder="false" applyFill="true" applyFont="true" applyNumberFormat="true" applyProtection="false" borderId="97" fillId="46" fontId="6" numFmtId="227" xfId="0">
      <alignment horizontal="left" vertical="center"/>
    </xf>
    <xf applyAlignment="true" applyBorder="false" applyFill="true" applyFont="true" applyNumberFormat="false" applyProtection="false" borderId="98" fillId="47" fontId="5" numFmtId="0" xfId="0">
      <alignment horizontal="left" vertical="center"/>
    </xf>
    <xf applyAlignment="true" applyBorder="false" applyFill="true" applyFont="true" applyNumberFormat="true" applyProtection="false" borderId="99" fillId="48" fontId="3" numFmtId="228" xfId="0">
      <alignment horizontal="left" vertical="center"/>
    </xf>
    <xf applyAlignment="true" applyBorder="false" applyFill="true" applyFont="true" applyNumberFormat="true" applyProtection="false" borderId="100" fillId="49" fontId="7" numFmtId="229" xfId="0">
      <alignment horizontal="left" vertical="center" wrapText="true"/>
    </xf>
    <xf applyAlignment="true" applyBorder="false" applyFill="true" applyFont="true" applyNumberFormat="true" applyProtection="false" borderId="101" fillId="50" fontId="11" numFmtId="230" xfId="0">
      <alignment horizontal="left" vertical="center"/>
    </xf>
    <xf applyAlignment="true" applyBorder="false" applyFill="true" applyFont="true" applyNumberFormat="true" applyProtection="false" borderId="102" fillId="51" fontId="6" numFmtId="231" xfId="0">
      <alignment horizontal="left" vertical="center"/>
    </xf>
    <xf applyAlignment="true" applyBorder="false" applyFill="true" applyFont="true" applyNumberFormat="false" applyProtection="false" borderId="103" fillId="52" fontId="5" numFmtId="0" xfId="0">
      <alignment vertical="center"/>
    </xf>
    <xf applyAlignment="true" applyBorder="false" applyFill="true" applyFont="true" applyNumberFormat="true" applyProtection="false" borderId="104" fillId="53" fontId="5" numFmtId="232" xfId="0">
      <alignment horizontal="left" vertical="center" wrapText="true"/>
    </xf>
    <xf applyAlignment="true" applyBorder="false" applyFill="true" applyFont="true" applyNumberFormat="true" applyProtection="false" borderId="105" fillId="54" fontId="5" numFmtId="233" xfId="0">
      <alignment horizontal="left" vertical="center"/>
    </xf>
    <xf applyAlignment="true" applyBorder="false" applyFill="true" applyFont="true" applyNumberFormat="true" applyProtection="false" borderId="106" fillId="55" fontId="5" numFmtId="234" xfId="0">
      <alignment horizontal="left" vertical="center" wrapText="true"/>
    </xf>
    <xf applyAlignment="true" applyBorder="false" applyFill="true" applyFont="true" applyNumberFormat="true" applyProtection="false" borderId="107" fillId="56" fontId="6" numFmtId="235" xfId="0">
      <alignment horizontal="left" vertical="center" wrapText="true"/>
    </xf>
    <xf applyAlignment="true" applyBorder="false" applyFill="false" applyFont="true" applyNumberFormat="true" applyProtection="false" borderId="108" fillId="0" fontId="6" numFmtId="236" xfId="0">
      <alignment horizontal="center" vertical="center" wrapText="true"/>
    </xf>
    <xf applyAlignment="true" applyBorder="false" applyFill="false" applyFont="true" applyNumberFormat="true" applyProtection="false" borderId="109" fillId="0" fontId="7" numFmtId="237" xfId="0">
      <alignment horizontal="left" vertical="center" wrapText="true"/>
    </xf>
    <xf applyAlignment="true" applyBorder="false" applyFill="false" applyFont="true" applyNumberFormat="true" applyProtection="false" borderId="110" fillId="0" fontId="6" numFmtId="238" xfId="0">
      <alignment horizontal="left" vertical="center"/>
    </xf>
    <xf applyAlignment="true" applyBorder="false" applyFill="false" applyFont="true" applyNumberFormat="true" applyProtection="false" borderId="111" fillId="0" fontId="5" numFmtId="239" xfId="0">
      <alignment horizontal="left" vertical="center" wrapText="true"/>
    </xf>
    <xf applyAlignment="true" applyBorder="false" applyFill="true" applyFont="true" applyNumberFormat="true" applyProtection="false" borderId="112" fillId="57" fontId="5" numFmtId="240" xfId="0">
      <alignment horizontal="center" vertical="center"/>
    </xf>
    <xf applyAlignment="true" applyBorder="false" applyFill="true" applyFont="true" applyNumberFormat="true" applyProtection="false" borderId="113" fillId="58" fontId="5" numFmtId="241" xfId="0">
      <alignment horizontal="left" vertical="center"/>
    </xf>
    <xf applyAlignment="true" applyBorder="false" applyFill="false" applyFont="true" applyNumberFormat="true" applyProtection="false" borderId="114" fillId="0" fontId="6" numFmtId="242" xfId="0">
      <alignment horizontal="left" vertical="center"/>
    </xf>
    <xf applyAlignment="true" applyBorder="false" applyFill="true" applyFont="true" applyNumberFormat="true" applyProtection="false" borderId="115" fillId="59" fontId="5" numFmtId="243" xfId="0">
      <alignment horizontal="left" vertical="center" wrapText="true"/>
    </xf>
    <xf applyAlignment="true" applyBorder="false" applyFill="false" applyFont="true" applyNumberFormat="true" applyProtection="false" borderId="116" fillId="0" fontId="6" numFmtId="244" xfId="0">
      <alignment horizontal="left" vertical="center" wrapText="true"/>
    </xf>
    <xf applyAlignment="true" applyBorder="false" applyFill="false" applyFont="true" applyNumberFormat="true" applyProtection="false" borderId="117" fillId="0" fontId="3" numFmtId="245" xfId="0">
      <alignment horizontal="left" vertical="center"/>
    </xf>
    <xf applyAlignment="true" applyBorder="false" applyFill="false" applyFont="true" applyNumberFormat="true" applyProtection="false" borderId="118" fillId="0" fontId="5" numFmtId="246" xfId="0">
      <alignment vertical="center"/>
    </xf>
    <xf applyAlignment="true" applyBorder="false" applyFill="false" applyFont="true" applyNumberFormat="false" applyProtection="false" borderId="119" fillId="0" fontId="5" numFmtId="0" xfId="0">
      <alignment vertical="center"/>
    </xf>
    <xf applyAlignment="true" applyBorder="false" applyFill="false" applyFont="true" applyNumberFormat="true" applyProtection="false" borderId="120" fillId="0" fontId="3" numFmtId="247" xfId="0">
      <alignment horizontal="left" vertical="center" wrapText="true"/>
    </xf>
    <xf applyAlignment="true" applyBorder="false" applyFill="false" applyFont="true" applyNumberFormat="false" applyProtection="false" borderId="121" fillId="0" fontId="8" numFmtId="0" xfId="0">
      <alignment horizontal="left" vertical="center"/>
    </xf>
    <xf applyAlignment="true" applyBorder="false" applyFill="false" applyFont="true" applyNumberFormat="true" applyProtection="false" borderId="122" fillId="0" fontId="6" numFmtId="248" xfId="0">
      <alignment horizontal="left" vertical="center"/>
    </xf>
    <xf applyAlignment="true" applyBorder="false" applyFill="false" applyFont="true" applyNumberFormat="true" applyProtection="false" borderId="123" fillId="0" fontId="6" numFmtId="249" xfId="0">
      <alignment horizontal="left" vertical="center" wrapText="true"/>
    </xf>
    <xf applyAlignment="true" applyBorder="false" applyFill="false" applyFont="true" applyNumberFormat="true" applyProtection="false" borderId="124" fillId="0" fontId="7" numFmtId="250" xfId="0">
      <alignment horizontal="left" vertical="center"/>
    </xf>
    <xf applyAlignment="true" applyBorder="false" applyFill="false" applyFont="true" applyNumberFormat="true" applyProtection="false" borderId="125" fillId="0" fontId="3" numFmtId="251" xfId="0">
      <alignment horizontal="left" vertical="center"/>
    </xf>
    <xf applyAlignment="true" applyBorder="false" applyFill="true" applyFont="true" applyNumberFormat="true" applyProtection="false" borderId="126" fillId="60" fontId="11" numFmtId="252" xfId="0">
      <alignment horizontal="left" vertical="center"/>
    </xf>
    <xf applyAlignment="true" applyBorder="false" applyFill="true" applyFont="true" applyNumberFormat="true" applyProtection="false" borderId="127" fillId="61" fontId="5" numFmtId="253" xfId="0">
      <alignment horizontal="left" vertical="center" wrapText="true"/>
    </xf>
    <xf applyAlignment="true" applyBorder="false" applyFill="true" applyFont="true" applyNumberFormat="true" applyProtection="false" borderId="128" fillId="62" fontId="15" numFmtId="254" xfId="0">
      <alignment horizontal="center" vertical="center"/>
    </xf>
    <xf applyAlignment="true" applyBorder="false" applyFill="true" applyFont="true" applyNumberFormat="true" applyProtection="false" borderId="129" fillId="63" fontId="10" numFmtId="255" xfId="0">
      <alignment horizontal="left" vertical="center" wrapText="true"/>
    </xf>
    <xf applyAlignment="true" applyBorder="false" applyFill="true" applyFont="true" applyNumberFormat="true" applyProtection="false" borderId="130" fillId="64" fontId="10" numFmtId="256" xfId="0">
      <alignment horizontal="left" vertical="center"/>
    </xf>
    <xf applyAlignment="true" applyBorder="false" applyFill="true" applyFont="true" applyNumberFormat="false" applyProtection="false" borderId="131" fillId="65" fontId="11" numFmtId="0" xfId="0">
      <alignment vertical="center"/>
    </xf>
    <xf applyAlignment="true" applyBorder="false" applyFill="true" applyFont="true" applyNumberFormat="true" applyProtection="false" borderId="132" fillId="66" fontId="9" numFmtId="257" xfId="0">
      <alignment horizontal="left" vertical="center"/>
    </xf>
    <xf applyAlignment="true" applyBorder="false" applyFill="true" applyFont="true" applyNumberFormat="false" applyProtection="false" borderId="133" fillId="67" fontId="11" numFmtId="0" xfId="0">
      <alignment vertical="center"/>
    </xf>
    <xf applyAlignment="true" applyBorder="false" applyFill="true" applyFont="true" applyNumberFormat="true" applyProtection="false" borderId="134" fillId="68" fontId="11" numFmtId="258" xfId="0">
      <alignment horizontal="left" vertical="center"/>
    </xf>
    <xf applyAlignment="true" applyBorder="false" applyFill="true" applyFont="true" applyNumberFormat="true" applyProtection="false" borderId="135" fillId="69" fontId="10" numFmtId="259" xfId="0">
      <alignment horizontal="left" vertical="center" wrapText="true"/>
    </xf>
    <xf applyAlignment="true" applyBorder="false" applyFill="true" applyFont="true" applyNumberFormat="true" applyProtection="false" borderId="136" fillId="70" fontId="10" numFmtId="260" xfId="0">
      <alignment horizontal="left" vertical="center"/>
    </xf>
    <xf applyAlignment="true" applyBorder="false" applyFill="true" applyFont="true" applyNumberFormat="true" applyProtection="false" borderId="137" fillId="71" fontId="11" numFmtId="261" xfId="0">
      <alignment horizontal="center" vertical="center"/>
    </xf>
    <xf applyAlignment="true" applyBorder="false" applyFill="true" applyFont="true" applyNumberFormat="false" applyProtection="false" borderId="138" fillId="72" fontId="11" numFmtId="0" xfId="0">
      <alignment vertical="center"/>
    </xf>
    <xf applyAlignment="true" applyBorder="false" applyFill="true" applyFont="true" applyNumberFormat="false" applyProtection="false" borderId="139" fillId="73" fontId="11" numFmtId="0" xfId="0">
      <alignment horizontal="left" vertical="center"/>
    </xf>
    <xf applyAlignment="true" applyBorder="false" applyFill="true" applyFont="true" applyNumberFormat="true" applyProtection="false" borderId="140" fillId="74" fontId="12" numFmtId="262" xfId="0">
      <alignment horizontal="left" vertical="center"/>
    </xf>
    <xf applyAlignment="true" applyBorder="false" applyFill="true" applyFont="true" applyNumberFormat="true" applyProtection="false" borderId="141" fillId="75" fontId="10" numFmtId="263" xfId="0">
      <alignment horizontal="left" vertical="center"/>
    </xf>
    <xf applyAlignment="true" applyBorder="false" applyFill="true" applyFont="true" applyNumberFormat="true" applyProtection="false" borderId="142" fillId="76" fontId="11" numFmtId="264" xfId="0">
      <alignment horizontal="left" vertical="center" wrapText="true"/>
    </xf>
    <xf applyAlignment="true" applyBorder="false" applyFill="true" applyFont="true" applyNumberFormat="true" applyProtection="false" borderId="143" fillId="77" fontId="11" numFmtId="265" xfId="0">
      <alignment horizontal="left" vertical="center" wrapText="true"/>
    </xf>
    <xf applyAlignment="true" applyBorder="false" applyFill="true" applyFont="true" applyNumberFormat="true" applyProtection="false" borderId="144" fillId="78" fontId="12" numFmtId="266" xfId="0">
      <alignment horizontal="left" vertical="center" wrapText="true"/>
    </xf>
    <xf applyAlignment="true" applyBorder="false" applyFill="true" applyFont="true" applyNumberFormat="true" applyProtection="false" borderId="145" fillId="79" fontId="10" numFmtId="267" xfId="0">
      <alignment horizontal="left" vertical="center"/>
    </xf>
    <xf applyAlignment="true" applyBorder="false" applyFill="true" applyFont="true" applyNumberFormat="true" applyProtection="false" borderId="146" fillId="80" fontId="11" numFmtId="268" xfId="0">
      <alignment horizontal="left" vertical="center" wrapText="true"/>
    </xf>
    <xf applyAlignment="true" applyBorder="false" applyFill="true" applyFont="true" applyNumberFormat="true" applyProtection="false" borderId="147" fillId="81" fontId="11" numFmtId="269" xfId="0">
      <alignment horizontal="left" vertical="center"/>
    </xf>
    <xf applyAlignment="true" applyBorder="false" applyFill="true" applyFont="true" applyNumberFormat="true" applyProtection="false" borderId="148" fillId="82" fontId="11" numFmtId="270" xfId="0">
      <alignment vertical="center"/>
    </xf>
    <xf applyAlignment="true" applyBorder="false" applyFill="true" applyFont="true" applyNumberFormat="true" applyProtection="false" borderId="149" fillId="83" fontId="10" numFmtId="271" xfId="0">
      <alignment horizontal="center" vertical="center" wrapText="true"/>
    </xf>
    <xf applyAlignment="true" applyBorder="false" applyFill="true" applyFont="true" applyNumberFormat="false" applyProtection="false" borderId="150" fillId="84" fontId="14" numFmtId="0" xfId="0">
      <alignment horizontal="left" vertical="center"/>
    </xf>
    <xf applyAlignment="true" applyBorder="false" applyFill="true" applyFont="true" applyNumberFormat="true" applyProtection="false" borderId="151" fillId="85" fontId="11" numFmtId="272" xfId="0">
      <alignment horizontal="center" vertical="center"/>
    </xf>
    <xf applyAlignment="true" applyBorder="false" applyFill="true" applyFont="true" applyNumberFormat="true" applyProtection="false" borderId="152" fillId="86" fontId="15" numFmtId="273" xfId="0">
      <alignment horizontal="left" vertical="center"/>
    </xf>
    <xf applyAlignment="true" applyBorder="false" applyFill="false" applyFont="true" applyNumberFormat="false" applyProtection="false" borderId="153" fillId="0" fontId="1" numFmtId="0" xfId="0">
      <alignment horizontal="right" vertical="center"/>
    </xf>
    <xf applyAlignment="true" applyBorder="false" applyFill="false" applyFont="true" applyNumberFormat="true" applyProtection="false" borderId="154" fillId="0" fontId="11" numFmtId="274" xfId="0">
      <alignment horizontal="center" vertical="center"/>
    </xf>
    <xf applyAlignment="true" applyBorder="false" applyFill="false" applyFont="true" applyNumberFormat="true" applyProtection="false" borderId="155" fillId="0" fontId="11" numFmtId="275" xfId="0">
      <alignment horizontal="left" vertical="center" wrapText="true"/>
    </xf>
    <xf applyAlignment="true" applyBorder="false" applyFill="false" applyFont="true" applyNumberFormat="true" applyProtection="false" borderId="156" fillId="0" fontId="11" numFmtId="276" xfId="0">
      <alignment horizontal="left" vertical="center"/>
    </xf>
    <xf applyAlignment="true" applyBorder="false" applyFill="false" applyFont="true" applyNumberFormat="true" applyProtection="false" borderId="157" fillId="0" fontId="11" numFmtId="277" xfId="0">
      <alignment horizontal="left" vertical="center" wrapText="true"/>
    </xf>
    <xf applyAlignment="true" applyBorder="false" applyFill="false" applyFont="true" applyNumberFormat="true" applyProtection="false" borderId="158" fillId="0" fontId="11" numFmtId="278" xfId="0">
      <alignment horizontal="left" vertical="center" wrapText="true"/>
    </xf>
    <xf applyAlignment="true" applyBorder="false" applyFill="false" applyFont="true" applyNumberFormat="false" applyProtection="false" borderId="159" fillId="0" fontId="11" numFmtId="0" xfId="0">
      <alignment horizontal="left" vertical="center"/>
    </xf>
    <xf applyAlignment="true" applyBorder="false" applyFill="true" applyFont="true" applyNumberFormat="false" applyProtection="false" borderId="160" fillId="87" fontId="5" numFmtId="0" xfId="0">
      <alignment vertical="center"/>
    </xf>
    <xf applyAlignment="true" applyBorder="false" applyFill="true" applyFont="true" applyNumberFormat="true" applyProtection="false" borderId="161" fillId="88" fontId="6" numFmtId="279" xfId="0">
      <alignment horizontal="left" vertical="center"/>
    </xf>
    <xf applyAlignment="true" applyBorder="false" applyFill="false" applyFont="true" applyNumberFormat="true" applyProtection="false" borderId="162" fillId="0" fontId="6" numFmtId="280" xfId="0">
      <alignment horizontal="left" vertical="center"/>
    </xf>
    <xf applyAlignment="true" applyBorder="false" applyFill="true" applyFont="true" applyNumberFormat="false" applyProtection="false" borderId="163" fillId="89" fontId="5" numFmtId="0" xfId="0">
      <alignment horizontal="center" vertical="center"/>
    </xf>
    <xf applyAlignment="true" applyBorder="false" applyFill="true" applyFont="true" applyNumberFormat="false" applyProtection="false" borderId="164" fillId="90" fontId="6" numFmtId="0" xfId="0">
      <alignment horizontal="left" vertical="center"/>
    </xf>
    <xf applyAlignment="true" applyBorder="false" applyFill="true" applyFont="true" applyNumberFormat="false" applyProtection="false" borderId="165" fillId="91" fontId="16" numFmtId="0" xfId="0">
      <alignment horizontal="center" vertical="center"/>
    </xf>
    <xf applyAlignment="true" applyBorder="false" applyFill="false" applyFont="true" applyNumberFormat="false" applyProtection="false" borderId="166" fillId="0" fontId="13" numFmtId="0" xfId="0">
      <alignment vertical="center" wrapText="true"/>
    </xf>
    <xf applyAlignment="true" applyBorder="false" applyFill="false" applyFont="true" applyNumberFormat="true" applyProtection="false" borderId="167" fillId="0" fontId="13" numFmtId="281" xfId="0">
      <alignment vertical="center" wrapText="true"/>
    </xf>
    <xf applyAlignment="true" applyBorder="false" applyFill="false" applyFont="true" applyNumberFormat="false" applyProtection="false" borderId="168" fillId="0" fontId="17" numFmtId="0" xfId="0">
      <alignment vertical="bottom"/>
    </xf>
    <xf applyAlignment="true" applyBorder="false" applyFill="false" applyFont="true" applyNumberFormat="true" applyProtection="false" borderId="169" fillId="0" fontId="5" numFmtId="282" xfId="0">
      <alignment horizontal="left" vertical="center"/>
    </xf>
    <xf applyAlignment="true" applyBorder="false" applyFill="false" applyFont="true" applyNumberFormat="false" applyProtection="false" borderId="170" fillId="0" fontId="5" numFmtId="0" xfId="0">
      <alignment horizontal="left" vertical="center"/>
    </xf>
    <xf applyAlignment="true" applyBorder="false" applyFill="false" applyFont="true" applyNumberFormat="true" applyProtection="false" borderId="171" fillId="0" fontId="5" numFmtId="283" xfId="0">
      <alignment horizontal="center" vertical="center"/>
    </xf>
    <xf applyAlignment="true" applyBorder="false" applyFill="false" applyFont="true" applyNumberFormat="true" applyProtection="false" borderId="172" fillId="0" fontId="5" numFmtId="284" xfId="0">
      <alignment horizontal="left" vertical="center"/>
    </xf>
    <xf applyAlignment="true" applyBorder="false" applyFill="false" applyFont="true" applyNumberFormat="true" applyProtection="false" borderId="173" fillId="0" fontId="5" numFmtId="285" xfId="0">
      <alignment horizontal="center" vertical="center"/>
    </xf>
    <xf applyAlignment="true" applyBorder="false" applyFill="false" applyFont="true" applyNumberFormat="true" applyProtection="false" borderId="174" fillId="0" fontId="5" numFmtId="286" xfId="0">
      <alignment horizontal="left" vertical="center"/>
    </xf>
    <xf applyAlignment="true" applyBorder="false" applyFill="false" applyFont="true" applyNumberFormat="true" applyProtection="false" borderId="175" fillId="0" fontId="6" numFmtId="287" xfId="0">
      <alignment horizontal="left" vertical="center"/>
    </xf>
    <xf applyAlignment="true" applyBorder="false" applyFill="false" applyFont="true" applyNumberFormat="true" applyProtection="false" borderId="176" fillId="0" fontId="5" numFmtId="288" xfId="0">
      <alignment horizontal="left" vertical="center"/>
    </xf>
    <xf applyAlignment="true" applyBorder="false" applyFill="false" applyFont="true" applyNumberFormat="true" applyProtection="false" borderId="177" fillId="0" fontId="18" numFmtId="289" xfId="0">
      <alignment horizontal="left" vertical="center"/>
    </xf>
    <xf applyAlignment="true" applyBorder="false" applyFill="false" applyFont="true" applyNumberFormat="true" applyProtection="false" borderId="178" fillId="0" fontId="5" numFmtId="290" xfId="0">
      <alignment horizontal="center" vertical="center"/>
    </xf>
    <xf applyAlignment="true" applyBorder="false" applyFill="false" applyFont="true" applyNumberFormat="true" applyProtection="false" borderId="179" fillId="0" fontId="5" numFmtId="291" xfId="0">
      <alignment horizontal="left" vertical="center" wrapText="true"/>
    </xf>
    <xf applyAlignment="true" applyBorder="false" applyFill="true" applyFont="true" applyNumberFormat="false" applyProtection="false" borderId="180" fillId="92" fontId="5" numFmtId="0" xfId="0">
      <alignment horizontal="center" vertical="center"/>
    </xf>
    <xf applyAlignment="true" applyBorder="false" applyFill="true" applyFont="true" applyNumberFormat="true" applyProtection="false" borderId="181" fillId="93" fontId="5" numFmtId="292" xfId="0">
      <alignment horizontal="left" vertical="center" wrapText="true"/>
    </xf>
    <xf applyAlignment="true" applyBorder="false" applyFill="true" applyFont="true" applyNumberFormat="false" applyProtection="false" borderId="182" fillId="94" fontId="5" numFmtId="0" xfId="0">
      <alignment horizontal="left" vertical="center"/>
    </xf>
    <xf applyAlignment="true" applyBorder="false" applyFill="true" applyFont="true" applyNumberFormat="true" applyProtection="false" borderId="183" fillId="95" fontId="5" numFmtId="293" xfId="0">
      <alignment horizontal="left" vertical="center"/>
    </xf>
    <xf applyAlignment="true" applyBorder="false" applyFill="true" applyFont="true" applyNumberFormat="true" applyProtection="false" borderId="184" fillId="96" fontId="6" numFmtId="294" xfId="0">
      <alignment horizontal="left" vertical="center"/>
    </xf>
    <xf applyAlignment="true" applyBorder="false" applyFill="true" applyFont="true" applyNumberFormat="false" applyProtection="false" borderId="185" fillId="97" fontId="6" numFmtId="0" xfId="0">
      <alignment horizontal="left" vertical="center"/>
    </xf>
    <xf applyAlignment="true" applyBorder="false" applyFill="true" applyFont="true" applyNumberFormat="true" applyProtection="false" borderId="186" fillId="98" fontId="5" numFmtId="295" xfId="0">
      <alignment horizontal="center" vertical="center"/>
    </xf>
    <xf applyAlignment="true" applyBorder="false" applyFill="true" applyFont="true" applyNumberFormat="true" applyProtection="false" borderId="187" fillId="99" fontId="5" numFmtId="296" xfId="0">
      <alignment horizontal="left" vertical="center" wrapText="true"/>
    </xf>
    <xf applyAlignment="true" applyBorder="false" applyFill="true" applyFont="true" applyNumberFormat="false" applyProtection="false" borderId="188" fillId="100" fontId="16" numFmtId="0" xfId="0">
      <alignment horizontal="center" vertical="center"/>
    </xf>
    <xf applyAlignment="true" applyBorder="false" applyFill="true" applyFont="true" applyNumberFormat="false" applyProtection="false" borderId="189" fillId="101" fontId="13" numFmtId="0" xfId="0">
      <alignment horizontal="center" vertical="center"/>
    </xf>
    <xf applyAlignment="true" applyBorder="false" applyFill="true" applyFont="true" applyNumberFormat="false" applyProtection="false" borderId="190" fillId="102" fontId="16" numFmtId="0" xfId="0">
      <alignment horizontal="center" vertical="center"/>
    </xf>
    <xf applyAlignment="true" applyBorder="false" applyFill="true" applyFont="true" applyNumberFormat="false" applyProtection="false" borderId="191" fillId="103" fontId="16" numFmtId="0" xfId="0">
      <alignment horizontal="center" vertical="center" wrapText="true"/>
    </xf>
    <xf applyAlignment="true" applyBorder="false" applyFill="true" applyFont="true" applyNumberFormat="false" applyProtection="false" borderId="192" fillId="104" fontId="16" numFmtId="0" xfId="0">
      <alignment horizontal="center" vertical="center"/>
    </xf>
    <xf applyAlignment="true" applyBorder="false" applyFill="true" applyFont="true" applyNumberFormat="false" applyProtection="false" borderId="193" fillId="105" fontId="16" numFmtId="0" xfId="0">
      <alignment horizontal="center" vertical="center" wrapText="true"/>
    </xf>
    <xf applyAlignment="true" applyBorder="false" applyFill="true" applyFont="true" applyNumberFormat="true" applyProtection="false" borderId="194" fillId="106" fontId="16" numFmtId="297" xfId="0">
      <alignment horizontal="center" vertical="center"/>
    </xf>
    <xf applyAlignment="true" applyBorder="false" applyFill="true" applyFont="true" applyNumberFormat="false" applyProtection="false" borderId="195" fillId="107" fontId="13" numFmtId="0" xfId="0">
      <alignment vertical="center" wrapText="true"/>
    </xf>
    <xf applyAlignment="true" applyBorder="false" applyFill="true" applyFont="true" applyNumberFormat="false" applyProtection="false" borderId="196" fillId="108" fontId="13" numFmtId="0" xfId="0">
      <alignment horizontal="center" vertical="center" wrapText="true"/>
    </xf>
    <xf applyAlignment="true" applyBorder="false" applyFill="true" applyFont="true" applyNumberFormat="false" applyProtection="false" borderId="197" fillId="109" fontId="16" numFmtId="0" xfId="0">
      <alignment horizontal="center" vertical="center" wrapText="true"/>
    </xf>
    <xf applyAlignment="true" applyBorder="false" applyFill="true" applyFont="true" applyNumberFormat="false" applyProtection="false" borderId="198" fillId="110" fontId="16" numFmtId="0" xfId="0">
      <alignment horizontal="center" vertical="center" wrapText="true"/>
    </xf>
    <xf applyAlignment="true" applyBorder="false" applyFill="true" applyFont="true" applyNumberFormat="false" applyProtection="false" borderId="199" fillId="111" fontId="19" numFmtId="0" xfId="0">
      <alignment horizontal="center" vertical="center" wrapText="true"/>
    </xf>
    <xf applyAlignment="true" applyBorder="false" applyFill="true" applyFont="true" applyNumberFormat="false" applyProtection="false" borderId="200" fillId="112" fontId="16" numFmtId="0" xfId="0">
      <alignment horizontal="left" vertical="center" wrapText="true"/>
    </xf>
    <xf applyAlignment="true" applyBorder="false" applyFill="true" applyFont="true" applyNumberFormat="true" applyProtection="false" borderId="201" fillId="113" fontId="16" numFmtId="298" xfId="0">
      <alignment horizontal="center" vertical="center" wrapText="true"/>
    </xf>
    <xf applyAlignment="true" applyBorder="false" applyFill="true" applyFont="true" applyNumberFormat="false" applyProtection="false" borderId="202" fillId="114" fontId="16" numFmtId="0" xfId="0">
      <alignment horizontal="center" vertical="center" wrapText="true"/>
    </xf>
    <xf applyAlignment="true" applyBorder="false" applyFill="true" applyFont="true" applyNumberFormat="false" applyProtection="false" borderId="203" fillId="115" fontId="16" numFmtId="0" xfId="0">
      <alignment horizontal="center" vertical="center"/>
    </xf>
    <xf applyAlignment="true" applyBorder="false" applyFill="false" applyFont="true" applyNumberFormat="false" applyProtection="false" borderId="204" fillId="0" fontId="5" numFmtId="0" xfId="0">
      <alignment horizontal="left" vertical="center"/>
    </xf>
    <xf applyAlignment="true" applyBorder="false" applyFill="false" applyFont="true" applyNumberFormat="true" applyProtection="false" borderId="205" fillId="0" fontId="5" numFmtId="299" xfId="0">
      <alignment horizontal="left" vertical="center"/>
    </xf>
    <xf applyAlignment="true" applyBorder="false" applyFill="true" applyFont="true" applyNumberFormat="true" applyProtection="false" borderId="206" fillId="116" fontId="11" numFmtId="300" xfId="0">
      <alignment horizontal="left" vertical="center" wrapText="true"/>
    </xf>
    <xf applyAlignment="true" applyBorder="false" applyFill="true" applyFont="true" applyNumberFormat="true" applyProtection="false" borderId="207" fillId="117" fontId="11" numFmtId="301" xfId="0">
      <alignment horizontal="left" vertical="center" wrapText="true"/>
    </xf>
    <xf applyAlignment="true" applyBorder="false" applyFill="true" applyFont="true" applyNumberFormat="true" applyProtection="false" borderId="208" fillId="118" fontId="11" numFmtId="302" xfId="0">
      <alignment horizontal="left" vertical="center" wrapText="true"/>
    </xf>
    <xf applyAlignment="true" applyBorder="false" applyFill="true" applyFont="true" applyNumberFormat="true" applyProtection="false" borderId="209" fillId="119" fontId="10" numFmtId="303" xfId="0">
      <alignment horizontal="left" vertical="center"/>
    </xf>
    <xf applyAlignment="true" applyBorder="false" applyFill="true" applyFont="true" applyNumberFormat="true" applyProtection="false" borderId="210" fillId="120" fontId="9" numFmtId="304" xfId="0">
      <alignment horizontal="left" vertical="center"/>
    </xf>
    <xf applyAlignment="true" applyBorder="false" applyFill="true" applyFont="true" applyNumberFormat="true" applyProtection="false" borderId="211" fillId="121" fontId="10" numFmtId="305" xfId="0">
      <alignment horizontal="left" vertical="center"/>
    </xf>
    <xf applyAlignment="true" applyBorder="false" applyFill="true" applyFont="true" applyNumberFormat="true" applyProtection="false" borderId="212" fillId="122" fontId="11" numFmtId="306" xfId="0">
      <alignment horizontal="left" vertical="center"/>
    </xf>
    <xf applyAlignment="true" applyBorder="false" applyFill="true" applyFont="true" applyNumberFormat="true" applyProtection="false" borderId="213" fillId="123" fontId="10" numFmtId="307" xfId="0">
      <alignment horizontal="left" vertical="center" wrapText="true"/>
    </xf>
    <xf applyAlignment="true" applyBorder="false" applyFill="true" applyFont="true" applyNumberFormat="true" applyProtection="false" borderId="214" fillId="124" fontId="12" numFmtId="308" xfId="0">
      <alignment horizontal="left" vertical="center"/>
    </xf>
    <xf applyAlignment="true" applyBorder="false" applyFill="true" applyFont="true" applyNumberFormat="true" applyProtection="false" borderId="215" fillId="125" fontId="11" numFmtId="309" xfId="0">
      <alignment vertical="center"/>
    </xf>
    <xf applyAlignment="true" applyBorder="false" applyFill="true" applyFont="true" applyNumberFormat="true" applyProtection="false" borderId="216" fillId="126" fontId="10" numFmtId="310" xfId="0">
      <alignment horizontal="center" vertical="center" wrapText="true"/>
    </xf>
    <xf applyAlignment="true" applyBorder="false" applyFill="true" applyFont="true" applyNumberFormat="false" applyProtection="false" borderId="217" fillId="127" fontId="14" numFmtId="0" xfId="0">
      <alignment horizontal="left" vertical="center"/>
    </xf>
    <xf applyAlignment="true" applyBorder="false" applyFill="true" applyFont="true" applyNumberFormat="false" applyProtection="false" borderId="218" fillId="128" fontId="11" numFmtId="0" xfId="0">
      <alignment vertical="center"/>
    </xf>
    <xf applyAlignment="true" applyBorder="false" applyFill="true" applyFont="true" applyNumberFormat="true" applyProtection="false" borderId="219" fillId="129" fontId="10" numFmtId="311" xfId="0">
      <alignment horizontal="left" vertical="center" wrapText="true"/>
    </xf>
    <xf applyAlignment="true" applyBorder="false" applyFill="true" applyFont="true" applyNumberFormat="true" applyProtection="false" borderId="220" fillId="130" fontId="10" numFmtId="312" xfId="0">
      <alignment horizontal="left" vertical="center"/>
    </xf>
    <xf applyAlignment="true" applyBorder="false" applyFill="true" applyFont="true" applyNumberFormat="true" applyProtection="false" borderId="221" fillId="131" fontId="12" numFmtId="313" xfId="0">
      <alignment horizontal="left" vertical="center" wrapText="true"/>
    </xf>
    <xf applyAlignment="true" applyBorder="false" applyFill="true" applyFont="true" applyNumberFormat="true" applyProtection="false" borderId="222" fillId="132" fontId="11" numFmtId="314" xfId="0">
      <alignment horizontal="center" vertical="center"/>
    </xf>
    <xf applyAlignment="true" applyBorder="false" applyFill="true" applyFont="true" applyNumberFormat="true" applyProtection="false" borderId="223" fillId="133" fontId="10" numFmtId="315" xfId="0">
      <alignment horizontal="center" vertical="center"/>
    </xf>
    <xf applyAlignment="true" applyBorder="false" applyFill="true" applyFont="true" applyNumberFormat="true" applyProtection="false" borderId="224" fillId="134" fontId="11" numFmtId="316" xfId="0">
      <alignment horizontal="left" vertical="center"/>
    </xf>
    <xf applyAlignment="true" applyBorder="false" applyFill="true" applyFont="true" applyNumberFormat="false" applyProtection="false" borderId="225" fillId="135" fontId="11" numFmtId="0" xfId="0">
      <alignment vertical="center"/>
    </xf>
    <xf applyAlignment="true" applyBorder="false" applyFill="true" applyFont="true" applyNumberFormat="false" applyProtection="false" borderId="226" fillId="136" fontId="11" numFmtId="0" xfId="0">
      <alignment horizontal="left" vertical="center"/>
    </xf>
    <xf applyAlignment="true" applyBorder="false" applyFill="false" applyFont="true" applyNumberFormat="true" applyProtection="false" borderId="227" fillId="0" fontId="5" numFmtId="317" xfId="0">
      <alignment vertical="center"/>
    </xf>
    <xf applyAlignment="true" applyBorder="false" applyFill="false" applyFont="true" applyNumberFormat="false" applyProtection="false" borderId="228" fillId="0" fontId="13" numFmtId="0" xfId="0">
      <alignment horizontal="left" vertical="center"/>
    </xf>
    <xf applyAlignment="true" applyBorder="false" applyFill="false" applyFont="true" applyNumberFormat="false" applyProtection="false" borderId="229" fillId="0" fontId="5" numFmtId="0" xfId="0">
      <alignment horizontal="center" vertical="center"/>
    </xf>
    <xf applyAlignment="true" applyBorder="false" applyFill="false" applyFont="true" applyNumberFormat="true" applyProtection="false" borderId="230" fillId="0" fontId="13" numFmtId="318" xfId="0">
      <alignment horizontal="left" vertical="center"/>
    </xf>
    <xf applyAlignment="true" applyBorder="false" applyFill="false" applyFont="true" applyNumberFormat="true" applyProtection="false" borderId="231" fillId="0" fontId="5" numFmtId="319" xfId="0">
      <alignment horizontal="center" vertical="center"/>
    </xf>
    <xf applyAlignment="true" applyBorder="false" applyFill="false" applyFont="true" applyNumberFormat="true" applyProtection="false" borderId="232" fillId="0" fontId="5" numFmtId="320" xfId="0">
      <alignment horizontal="left" vertical="center"/>
    </xf>
    <xf applyAlignment="true" applyBorder="false" applyFill="false" applyFont="true" applyNumberFormat="true" applyProtection="false" borderId="233" fillId="0" fontId="13" numFmtId="321" xfId="0">
      <alignment vertical="center"/>
    </xf>
    <xf applyAlignment="true" applyBorder="false" applyFill="false" applyFont="true" applyNumberFormat="false" applyProtection="false" borderId="234" fillId="0" fontId="5" numFmtId="0" xfId="0">
      <alignment vertical="center"/>
    </xf>
    <xf applyAlignment="true" applyBorder="false" applyFill="false" applyFont="true" applyNumberFormat="false" applyProtection="false" borderId="235" fillId="0" fontId="5" numFmtId="0" xfId="0">
      <alignment horizontal="center" vertical="center"/>
    </xf>
    <xf applyAlignment="true" applyBorder="false" applyFill="false" applyFont="true" applyNumberFormat="false" applyProtection="false" borderId="236" fillId="0" fontId="5" numFmtId="0" xfId="0">
      <alignment horizontal="right" vertical="center"/>
    </xf>
    <xf applyAlignment="true" applyBorder="false" applyFill="false" applyFont="true" applyNumberFormat="true" applyProtection="false" borderId="237" fillId="0" fontId="5" numFmtId="322" xfId="0">
      <alignment horizontal="left" vertical="center" wrapText="true"/>
    </xf>
    <xf applyAlignment="true" applyBorder="false" applyFill="true" applyFont="true" applyNumberFormat="true" applyProtection="false" borderId="238" fillId="137" fontId="5" numFmtId="323" xfId="0">
      <alignment horizontal="left" vertical="center"/>
    </xf>
    <xf applyAlignment="true" applyBorder="false" applyFill="true" applyFont="true" applyNumberFormat="true" applyProtection="false" borderId="239" fillId="138" fontId="5" numFmtId="324" xfId="0">
      <alignment horizontal="left" vertical="center" wrapText="true"/>
    </xf>
    <xf applyAlignment="true" applyBorder="false" applyFill="true" applyFont="true" applyNumberFormat="true" applyProtection="false" borderId="240" fillId="139" fontId="5" numFmtId="325" xfId="0">
      <alignment horizontal="left" vertical="center"/>
    </xf>
    <xf applyAlignment="true" applyBorder="false" applyFill="true" applyFont="true" applyNumberFormat="true" applyProtection="false" borderId="241" fillId="140" fontId="5" numFmtId="326" xfId="0">
      <alignment horizontal="center" vertical="center"/>
    </xf>
    <xf applyAlignment="true" applyBorder="false" applyFill="true" applyFont="true" applyNumberFormat="false" applyProtection="false" borderId="242" fillId="141" fontId="5" numFmtId="0" xfId="0">
      <alignment vertical="center"/>
    </xf>
    <xf applyAlignment="true" applyBorder="false" applyFill="true" applyFont="true" applyNumberFormat="true" applyProtection="false" borderId="243" fillId="142" fontId="6" numFmtId="327" xfId="0">
      <alignment horizontal="center" vertical="center" wrapText="true"/>
    </xf>
    <xf applyAlignment="true" applyBorder="false" applyFill="true" applyFont="true" applyNumberFormat="true" applyProtection="false" borderId="244" fillId="143" fontId="6" numFmtId="328" xfId="0">
      <alignment horizontal="left" vertical="center" wrapText="true"/>
    </xf>
    <xf applyAlignment="true" applyBorder="false" applyFill="true" applyFont="true" applyNumberFormat="true" applyProtection="false" borderId="245" fillId="144" fontId="6" numFmtId="329" xfId="0">
      <alignment horizontal="left" vertical="center"/>
    </xf>
    <xf applyAlignment="true" applyBorder="false" applyFill="true" applyFont="true" applyNumberFormat="true" applyProtection="false" borderId="246" fillId="145" fontId="5" numFmtId="330" xfId="0">
      <alignment horizontal="center" vertical="center"/>
    </xf>
    <xf applyAlignment="true" applyBorder="false" applyFill="true" applyFont="true" applyNumberFormat="true" applyProtection="false" borderId="247" fillId="146" fontId="5" numFmtId="331" xfId="0">
      <alignment horizontal="left" vertical="center" wrapText="true"/>
    </xf>
    <xf applyAlignment="true" applyBorder="false" applyFill="true" applyFont="true" applyNumberFormat="true" applyProtection="false" borderId="248" fillId="147" fontId="6" numFmtId="332" xfId="0">
      <alignment horizontal="left" vertical="center" wrapText="true"/>
    </xf>
    <xf applyAlignment="true" applyBorder="false" applyFill="true" applyFont="true" applyNumberFormat="true" applyProtection="false" borderId="249" fillId="148" fontId="6" numFmtId="333" xfId="0">
      <alignment horizontal="left" vertical="center"/>
    </xf>
    <xf applyAlignment="true" applyBorder="false" applyFill="true" applyFont="true" applyNumberFormat="true" applyProtection="false" borderId="250" fillId="149" fontId="5" numFmtId="334" xfId="0">
      <alignment vertical="center"/>
    </xf>
    <xf applyAlignment="true" applyBorder="false" applyFill="true" applyFont="true" applyNumberFormat="true" applyProtection="false" borderId="251" fillId="150" fontId="11" numFmtId="335" xfId="0">
      <alignment horizontal="left" vertical="center"/>
    </xf>
    <xf applyAlignment="true" applyBorder="false" applyFill="true" applyFont="true" applyNumberFormat="true" applyProtection="false" borderId="252" fillId="151" fontId="7" numFmtId="336" xfId="0">
      <alignment horizontal="left" vertical="center" wrapText="true"/>
    </xf>
    <xf applyAlignment="true" applyBorder="false" applyFill="true" applyFont="true" applyNumberFormat="false" applyProtection="false" borderId="253" fillId="152" fontId="8" numFmtId="0" xfId="0">
      <alignment horizontal="left" vertical="center"/>
    </xf>
    <xf applyAlignment="true" applyBorder="false" applyFill="true" applyFont="true" applyNumberFormat="false" applyProtection="false" borderId="254" fillId="153" fontId="5" numFmtId="0" xfId="0">
      <alignment vertical="center"/>
    </xf>
    <xf applyAlignment="true" applyBorder="false" applyFill="true" applyFont="true" applyNumberFormat="true" applyProtection="false" borderId="255" fillId="154" fontId="5" numFmtId="337" xfId="0">
      <alignment horizontal="left" vertical="center" wrapText="true"/>
    </xf>
    <xf applyAlignment="true" applyBorder="false" applyFill="true" applyFont="true" applyNumberFormat="true" applyProtection="false" borderId="256" fillId="155" fontId="7" numFmtId="338" xfId="0">
      <alignment horizontal="left" vertical="center"/>
    </xf>
    <xf applyAlignment="true" applyBorder="false" applyFill="true" applyFont="true" applyNumberFormat="true" applyProtection="false" borderId="257" fillId="156" fontId="3" numFmtId="339" xfId="0">
      <alignment horizontal="left" vertical="center"/>
    </xf>
    <xf applyAlignment="true" applyBorder="false" applyFill="true" applyFont="true" applyNumberFormat="false" applyProtection="false" borderId="258" fillId="157" fontId="5" numFmtId="0" xfId="0">
      <alignment horizontal="left" vertical="center"/>
    </xf>
    <xf applyAlignment="true" applyBorder="false" applyFill="true" applyFont="true" applyNumberFormat="true" applyProtection="false" borderId="259" fillId="158" fontId="6" numFmtId="340" xfId="0">
      <alignment horizontal="left" vertical="center"/>
    </xf>
    <xf applyAlignment="true" applyBorder="false" applyFill="true" applyFont="true" applyNumberFormat="true" applyProtection="false" borderId="260" fillId="159" fontId="6" numFmtId="341" xfId="0">
      <alignment horizontal="left" vertical="center"/>
    </xf>
    <xf applyAlignment="true" applyBorder="false" applyFill="true" applyFont="true" applyNumberFormat="false" applyProtection="false" borderId="261" fillId="160" fontId="5" numFmtId="0" xfId="0">
      <alignment vertical="center"/>
    </xf>
    <xf applyAlignment="true" applyBorder="false" applyFill="false" applyFont="true" applyNumberFormat="true" applyProtection="false" borderId="262" fillId="0" fontId="6" numFmtId="342" xfId="0">
      <alignment horizontal="left" vertical="center" wrapText="true"/>
    </xf>
    <xf applyAlignment="true" applyBorder="false" applyFill="false" applyFont="true" applyNumberFormat="false" applyProtection="false" borderId="263" fillId="0" fontId="20" numFmtId="0" xfId="0">
      <alignment horizontal="center" vertical="center" wrapText="true"/>
    </xf>
    <xf applyAlignment="true" applyBorder="false" applyFill="false" applyFont="true" applyNumberFormat="false" applyProtection="false" borderId="264" fillId="0" fontId="20" numFmtId="0" xfId="0">
      <alignment horizontal="center" vertical="center" wrapText="true"/>
    </xf>
    <xf applyAlignment="true" applyBorder="false" applyFill="true" applyFont="true" applyNumberFormat="false" applyProtection="false" borderId="265" fillId="161" fontId="20" numFmtId="0" xfId="0">
      <alignment horizontal="center" vertical="center" wrapText="true"/>
    </xf>
    <xf applyAlignment="false" applyBorder="false" applyFill="false" applyFont="false" applyNumberFormat="false" applyProtection="false" borderId="266" fillId="0" fontId="0" numFmtId="0" xfId="0">
      <alignment/>
    </xf>
    <xf applyAlignment="true" applyBorder="false" applyFill="false" applyFont="true" applyNumberFormat="false" applyProtection="false" borderId="267" fillId="0" fontId="1" numFmtId="0" xfId="0">
      <alignment horizontal="center" vertical="center"/>
    </xf>
    <xf applyAlignment="true" applyBorder="false" applyFill="true" applyFont="true" applyNumberFormat="false" applyProtection="false" borderId="268" fillId="162" fontId="20" numFmtId="0" xfId="0">
      <alignment horizontal="center" vertical="center" wrapText="true"/>
    </xf>
    <xf applyAlignment="true" applyBorder="false" applyFill="false" applyFont="true" applyNumberFormat="false" applyProtection="false" borderId="269" fillId="0" fontId="20" numFmtId="0" xfId="0">
      <alignment horizontal="center" vertical="center" wrapText="true"/>
    </xf>
    <xf applyAlignment="true" applyBorder="false" applyFill="false" applyFont="true" applyNumberFormat="true" applyProtection="false" borderId="270" fillId="0" fontId="1" numFmtId="343" xfId="0">
      <alignment vertical="center"/>
    </xf>
    <xf applyAlignment="true" applyBorder="false" applyFill="true" applyFont="true" applyNumberFormat="true" applyProtection="false" borderId="271" fillId="163" fontId="1" numFmtId="344" xfId="0">
      <alignment horizontal="center" vertical="center" wrapText="true"/>
    </xf>
    <xf applyAlignment="true" applyBorder="false" applyFill="false" applyFont="true" applyNumberFormat="true" applyProtection="false" borderId="272" fillId="0" fontId="1" numFmtId="345" xfId="0">
      <alignment horizontal="center" vertical="center" wrapText="true"/>
    </xf>
    <xf applyAlignment="true" applyBorder="false" applyFill="false" applyFont="true" applyNumberFormat="true" applyProtection="false" borderId="273" fillId="0" fontId="1" numFmtId="346" xfId="0">
      <alignment horizontal="center" vertical="center" wrapText="true"/>
    </xf>
    <xf applyAlignment="true" applyBorder="false" applyFill="false" applyFont="true" applyNumberFormat="true" applyProtection="false" borderId="274" fillId="0" fontId="1" numFmtId="347" xfId="0">
      <alignment horizontal="center" vertical="center"/>
    </xf>
    <xf applyAlignment="true" applyBorder="false" applyFill="false" applyFont="true" applyNumberFormat="true" applyProtection="false" borderId="275" fillId="0" fontId="1" numFmtId="348" xfId="0">
      <alignment horizontal="center" vertical="center" wrapText="true"/>
    </xf>
    <xf applyAlignment="true" applyBorder="false" applyFill="false" applyFont="true" applyNumberFormat="false" applyProtection="false" borderId="276" fillId="0" fontId="1" numFmtId="0" xfId="0">
      <alignment vertical="center" wrapText="true"/>
    </xf>
    <xf applyAlignment="true" applyBorder="false" applyFill="false" applyFont="true" applyNumberFormat="true" applyProtection="false" borderId="277" fillId="0" fontId="1" numFmtId="349" xfId="0">
      <alignment horizontal="center" vertical="center" wrapText="true"/>
    </xf>
    <xf applyAlignment="true" applyBorder="false" applyFill="false" applyFont="true" applyNumberFormat="true" applyProtection="false" borderId="278" fillId="0" fontId="1" numFmtId="350" xfId="0">
      <alignment horizontal="center" vertical="center" wrapText="true"/>
    </xf>
    <xf applyAlignment="true" applyBorder="false" applyFill="false" applyFont="true" applyNumberFormat="false" applyProtection="false" borderId="279" fillId="0" fontId="20" numFmtId="0" xfId="0">
      <alignment vertical="center" wrapText="true"/>
    </xf>
    <xf applyAlignment="true" applyBorder="false" applyFill="false" applyFont="true" applyNumberFormat="true" applyProtection="false" borderId="280" fillId="0" fontId="1" numFmtId="351" xfId="0">
      <alignment vertical="center"/>
    </xf>
    <xf applyAlignment="true" applyBorder="false" applyFill="false" applyFont="true" applyNumberFormat="true" applyProtection="false" borderId="281" fillId="0" fontId="1" numFmtId="352" xfId="0">
      <alignment horizontal="center" vertical="center" wrapText="true"/>
    </xf>
    <xf applyAlignment="true" applyBorder="false" applyFill="false" applyFont="true" applyNumberFormat="false" applyProtection="false" borderId="282" fillId="0" fontId="21" numFmtId="0" xfId="0">
      <alignment horizontal="center" vertical="center" wrapText="true"/>
    </xf>
    <xf applyAlignment="true" applyBorder="false" applyFill="true" applyFont="true" applyNumberFormat="false" applyProtection="false" borderId="283" fillId="164" fontId="21" numFmtId="0" xfId="0">
      <alignment horizontal="center" vertical="center" wrapText="true"/>
    </xf>
    <xf applyAlignment="true" applyBorder="false" applyFill="true" applyFont="true" applyNumberFormat="true" applyProtection="false" borderId="284" fillId="165" fontId="1" numFmtId="353" xfId="0">
      <alignment horizontal="center" vertical="center" wrapText="true"/>
    </xf>
    <xf applyAlignment="true" applyBorder="false" applyFill="true" applyFont="true" applyNumberFormat="true" applyProtection="false" borderId="285" fillId="166" fontId="1" numFmtId="354" xfId="0">
      <alignment horizontal="center" vertical="center" wrapText="true"/>
    </xf>
    <xf applyAlignment="true" applyBorder="false" applyFill="false" applyFont="true" applyNumberFormat="true" applyProtection="false" borderId="286" fillId="0" fontId="1" numFmtId="355" xfId="0">
      <alignment horizontal="center" vertical="center"/>
    </xf>
    <xf applyAlignment="true" applyBorder="false" applyFill="true" applyFont="true" applyNumberFormat="false" applyProtection="false" borderId="287" fillId="167" fontId="1" numFmtId="0" xfId="0">
      <alignment vertical="center" wrapText="true"/>
    </xf>
    <xf applyAlignment="true" applyBorder="false" applyFill="true" applyFont="true" applyNumberFormat="true" applyProtection="false" borderId="288" fillId="168" fontId="1" numFmtId="356" xfId="0">
      <alignment horizontal="center" vertical="center" wrapText="true"/>
    </xf>
    <xf applyAlignment="true" applyBorder="false" applyFill="false" applyFont="true" applyNumberFormat="false" applyProtection="false" borderId="289" fillId="0" fontId="1" numFmtId="0" xfId="0">
      <alignment vertical="center" wrapText="true"/>
    </xf>
    <xf applyAlignment="true" applyBorder="false" applyFill="true" applyFont="true" applyNumberFormat="true" applyProtection="false" borderId="290" fillId="169" fontId="1" numFmtId="357" xfId="0">
      <alignment horizontal="center" vertical="center" wrapText="true"/>
    </xf>
    <xf applyAlignment="true" applyBorder="false" applyFill="false" applyFont="true" applyNumberFormat="true" applyProtection="false" borderId="291" fillId="0" fontId="1" numFmtId="358" xfId="0">
      <alignment horizontal="center" vertical="center"/>
    </xf>
    <xf applyAlignment="true" applyBorder="false" applyFill="false" applyFont="true" applyNumberFormat="true" applyProtection="false" borderId="292" fillId="0" fontId="3" numFmtId="359" xfId="0">
      <alignment horizontal="center" vertical="center"/>
    </xf>
    <xf applyAlignment="true" applyBorder="false" applyFill="false" applyFont="true" applyNumberFormat="true" applyProtection="false" borderId="293" fillId="0" fontId="1" numFmtId="360" xfId="0">
      <alignment horizontal="center" vertical="center"/>
    </xf>
    <xf applyAlignment="true" applyBorder="false" applyFill="true" applyFont="true" applyNumberFormat="true" applyProtection="false" borderId="294" fillId="170" fontId="1" numFmtId="361" xfId="0">
      <alignment horizontal="center" vertical="center"/>
    </xf>
    <xf applyAlignment="true" applyBorder="false" applyFill="true" applyFont="true" applyNumberFormat="true" applyProtection="false" borderId="295" fillId="171" fontId="1" numFmtId="362" xfId="0">
      <alignment horizontal="center" vertical="center" wrapText="true"/>
    </xf>
    <xf applyAlignment="true" applyBorder="false" applyFill="true" applyFont="true" applyNumberFormat="true" applyProtection="false" borderId="296" fillId="172" fontId="1" numFmtId="363" xfId="0">
      <alignment horizontal="center" vertical="center" wrapText="true"/>
    </xf>
    <xf applyAlignment="true" applyBorder="false" applyFill="true" applyFont="true" applyNumberFormat="true" applyProtection="false" borderId="297" fillId="173" fontId="1" numFmtId="364" xfId="0">
      <alignment horizontal="center" vertical="center" wrapText="true"/>
    </xf>
    <xf applyAlignment="true" applyBorder="false" applyFill="true" applyFont="true" applyNumberFormat="true" applyProtection="false" borderId="298" fillId="174" fontId="1" numFmtId="365" xfId="0">
      <alignment horizontal="center" vertical="center" wrapText="true"/>
    </xf>
    <xf applyAlignment="true" applyBorder="false" applyFill="true" applyFont="true" applyNumberFormat="false" applyProtection="false" borderId="299" fillId="175" fontId="1" numFmtId="0" xfId="0">
      <alignment vertical="center" wrapText="true"/>
    </xf>
    <xf applyAlignment="true" applyBorder="false" applyFill="false" applyFont="true" applyNumberFormat="false" applyProtection="false" borderId="300" fillId="0" fontId="1" numFmtId="0" xfId="0">
      <alignment vertical="center" wrapText="true"/>
    </xf>
    <xf applyAlignment="true" applyBorder="false" applyFill="false" applyFont="true" applyNumberFormat="true" applyProtection="false" borderId="301" fillId="0" fontId="1" numFmtId="366" xfId="0">
      <alignment horizontal="center" vertical="center" wrapText="true"/>
    </xf>
    <xf applyAlignment="true" applyBorder="false" applyFill="false" applyFont="true" applyNumberFormat="true" applyProtection="false" borderId="302" fillId="0" fontId="1" numFmtId="367" xfId="0">
      <alignment horizontal="center" vertical="center" wrapText="true"/>
    </xf>
    <xf applyAlignment="true" applyBorder="false" applyFill="false" applyFont="true" applyNumberFormat="true" applyProtection="false" borderId="303" fillId="0" fontId="1" numFmtId="368" xfId="0">
      <alignment horizontal="center" vertical="center" wrapText="true"/>
    </xf>
    <xf applyAlignment="true" applyBorder="false" applyFill="false" applyFont="true" applyNumberFormat="false" applyProtection="false" borderId="304" fillId="0" fontId="1" numFmtId="0" xfId="0">
      <alignment horizontal="center" vertical="center" wrapText="true"/>
    </xf>
    <xf applyAlignment="true" applyBorder="false" applyFill="false" applyFont="true" applyNumberFormat="false" applyProtection="false" borderId="305" fillId="0" fontId="20" numFmtId="0" xfId="0">
      <alignment vertical="center" wrapText="true"/>
    </xf>
    <xf applyAlignment="true" applyBorder="false" applyFill="false" applyFont="true" applyNumberFormat="true" applyProtection="false" borderId="306" fillId="0" fontId="1" numFmtId="369" xfId="0">
      <alignment vertical="center"/>
    </xf>
    <xf applyAlignment="true" applyBorder="false" applyFill="true" applyFont="true" applyNumberFormat="false" applyProtection="false" borderId="307" fillId="176" fontId="5" numFmtId="0" xfId="0">
      <alignment vertical="center"/>
    </xf>
    <xf applyAlignment="true" applyBorder="false" applyFill="true" applyFont="true" applyNumberFormat="true" applyProtection="false" borderId="308" fillId="177" fontId="11" numFmtId="370" xfId="0">
      <alignment horizontal="left" vertical="center" wrapText="true"/>
    </xf>
    <xf applyAlignment="true" applyBorder="false" applyFill="true" applyFont="true" applyNumberFormat="true" applyProtection="false" borderId="309" fillId="178" fontId="5" numFmtId="371" xfId="0">
      <alignment horizontal="left" vertical="center" wrapText="true"/>
    </xf>
    <xf applyAlignment="true" applyBorder="false" applyFill="true" applyFont="true" applyNumberFormat="false" applyProtection="false" borderId="310" fillId="179" fontId="22" numFmtId="0" xfId="0">
      <alignment vertical="bottom"/>
    </xf>
    <xf applyAlignment="true" applyBorder="false" applyFill="true" applyFont="true" applyNumberFormat="false" applyProtection="false" borderId="311" fillId="180" fontId="5" numFmtId="0" xfId="0">
      <alignment horizontal="left" vertical="center"/>
    </xf>
    <xf applyAlignment="true" applyBorder="false" applyFill="false" applyFont="true" applyNumberFormat="true" applyProtection="false" borderId="312" fillId="0" fontId="10" numFmtId="372" xfId="0">
      <alignment horizontal="left" vertical="center" wrapText="true"/>
    </xf>
    <xf applyAlignment="true" applyBorder="false" applyFill="false" applyFont="true" applyNumberFormat="false" applyProtection="false" borderId="313" fillId="0" fontId="8" numFmtId="0" xfId="0">
      <alignment horizontal="right" vertical="center"/>
    </xf>
    <xf applyAlignment="true" applyBorder="false" applyFill="false" applyFont="true" applyNumberFormat="true" applyProtection="false" borderId="314" fillId="0" fontId="10" numFmtId="373" xfId="0">
      <alignment horizontal="center" vertical="center" wrapText="true"/>
    </xf>
    <xf applyAlignment="true" applyBorder="false" applyFill="false" applyFont="true" applyNumberFormat="true" applyProtection="false" borderId="315" fillId="0" fontId="5" numFmtId="374" xfId="0">
      <alignment horizontal="left" vertical="center"/>
    </xf>
    <xf applyAlignment="true" applyBorder="false" applyFill="false" applyFont="true" applyNumberFormat="true" applyProtection="false" borderId="316" fillId="0" fontId="5" numFmtId="375" xfId="0">
      <alignment horizontal="left" vertical="center"/>
    </xf>
    <xf applyAlignment="true" applyBorder="false" applyFill="false" applyFont="true" applyNumberFormat="false" applyProtection="false" borderId="317" fillId="0" fontId="5" numFmtId="0" xfId="0">
      <alignment horizontal="left" vertical="center"/>
    </xf>
    <xf applyAlignment="true" applyBorder="false" applyFill="false" applyFont="true" applyNumberFormat="true" applyProtection="false" borderId="318" fillId="0" fontId="5" numFmtId="376" xfId="0">
      <alignment horizontal="left" vertical="center" wrapText="true"/>
    </xf>
    <xf applyAlignment="true" applyBorder="false" applyFill="false" applyFont="true" applyNumberFormat="false" applyProtection="false" borderId="319" fillId="0" fontId="22" numFmtId="0" xfId="0">
      <alignment vertical="bottom"/>
    </xf>
    <xf applyAlignment="true" applyBorder="false" applyFill="false" applyFont="true" applyNumberFormat="false" applyProtection="false" borderId="320" fillId="0" fontId="11" numFmtId="0" xfId="0">
      <alignment vertical="center"/>
    </xf>
    <xf applyAlignment="true" applyBorder="false" applyFill="false" applyFont="true" applyNumberFormat="false" applyProtection="false" borderId="321" fillId="0" fontId="22" numFmtId="0" xfId="0">
      <alignment vertical="bottom"/>
    </xf>
    <xf applyAlignment="true" applyBorder="false" applyFill="false" applyFont="true" applyNumberFormat="false" applyProtection="false" borderId="322" fillId="0" fontId="10" numFmtId="0" xfId="0">
      <alignment horizontal="left" vertical="center"/>
    </xf>
    <xf applyAlignment="true" applyBorder="false" applyFill="false" applyFont="true" applyNumberFormat="false" applyProtection="false" borderId="323" fillId="0" fontId="8" numFmtId="0" xfId="0">
      <alignment horizontal="right" vertical="center"/>
    </xf>
    <xf applyAlignment="true" applyBorder="false" applyFill="false" applyFont="true" applyNumberFormat="true" applyProtection="false" borderId="324" fillId="0" fontId="5" numFmtId="377" xfId="0">
      <alignment horizontal="left" vertical="center" wrapText="true"/>
    </xf>
    <xf applyAlignment="true" applyBorder="false" applyFill="false" applyFont="true" applyNumberFormat="false" applyProtection="false" borderId="325" fillId="0" fontId="5" numFmtId="0" xfId="0">
      <alignment horizontal="left" vertical="center"/>
    </xf>
    <xf applyAlignment="true" applyBorder="false" applyFill="false" applyFont="true" applyNumberFormat="false" applyProtection="false" borderId="326" fillId="0" fontId="10" numFmtId="0" xfId="0">
      <alignment horizontal="center" vertical="center"/>
    </xf>
    <xf applyAlignment="true" applyBorder="false" applyFill="false" applyFont="true" applyNumberFormat="true" applyProtection="false" borderId="327" fillId="0" fontId="11" numFmtId="378" xfId="0">
      <alignment horizontal="left" vertical="center"/>
    </xf>
    <xf applyAlignment="true" applyBorder="false" applyFill="false" applyFont="true" applyNumberFormat="false" applyProtection="false" borderId="328" fillId="0" fontId="10" numFmtId="0" xfId="0">
      <alignment horizontal="left" vertical="center" wrapText="true"/>
    </xf>
    <xf applyAlignment="true" applyBorder="false" applyFill="false" applyFont="true" applyNumberFormat="false" applyProtection="false" borderId="329" fillId="0" fontId="14" numFmtId="0" xfId="0">
      <alignment horizontal="left" vertical="center"/>
    </xf>
    <xf applyAlignment="true" applyBorder="false" applyFill="false" applyFont="true" applyNumberFormat="true" applyProtection="false" borderId="330" fillId="0" fontId="11" numFmtId="379" xfId="0">
      <alignment horizontal="left" vertical="center" wrapText="true"/>
    </xf>
    <xf applyAlignment="true" applyBorder="false" applyFill="false" applyFont="true" applyNumberFormat="false" applyProtection="false" borderId="331" fillId="0" fontId="10" numFmtId="0" xfId="0">
      <alignment horizontal="center" vertical="center" wrapText="true"/>
    </xf>
    <xf applyAlignment="true" applyBorder="false" applyFill="false" applyFont="true" applyNumberFormat="false" applyProtection="false" borderId="332" fillId="0" fontId="12" numFmtId="0" xfId="0">
      <alignment horizontal="left" vertical="center"/>
    </xf>
    <xf applyAlignment="true" applyBorder="false" applyFill="false" applyFont="true" applyNumberFormat="false" applyProtection="false" borderId="333" fillId="0" fontId="11" numFmtId="0" xfId="0">
      <alignment horizontal="left" vertical="center"/>
    </xf>
    <xf applyAlignment="true" applyBorder="false" applyFill="false" applyFont="true" applyNumberFormat="false" applyProtection="false" borderId="334" fillId="0" fontId="11" numFmtId="0" xfId="0">
      <alignment horizontal="left" vertical="center" wrapText="true"/>
    </xf>
    <xf applyAlignment="true" applyBorder="false" applyFill="false" applyFont="true" applyNumberFormat="false" applyProtection="false" borderId="335" fillId="0" fontId="12" numFmtId="0" xfId="0">
      <alignment horizontal="left" vertical="center" wrapText="true"/>
    </xf>
    <xf applyAlignment="true" applyBorder="false" applyFill="false" applyFont="true" applyNumberFormat="false" applyProtection="false" borderId="336" fillId="0" fontId="11" numFmtId="0" xfId="0">
      <alignment horizontal="center" vertical="center"/>
    </xf>
    <xf applyAlignment="true" applyBorder="false" applyFill="false" applyFont="true" applyNumberFormat="false" applyProtection="false" borderId="337" fillId="0" fontId="9" numFmtId="0" xfId="0">
      <alignment horizontal="left" vertical="center"/>
    </xf>
    <xf applyAlignment="true" applyBorder="false" applyFill="false" applyFont="true" applyNumberFormat="true" applyProtection="false" borderId="338" fillId="0" fontId="5" numFmtId="380" xfId="0">
      <alignment vertical="center"/>
    </xf>
    <xf applyAlignment="true" applyBorder="false" applyFill="false" applyFont="true" applyNumberFormat="true" applyProtection="false" borderId="339" fillId="0" fontId="22" numFmtId="381" xfId="0">
      <alignment vertical="bottom"/>
    </xf>
    <xf applyAlignment="true" applyBorder="false" applyFill="false" applyFont="true" applyNumberFormat="true" applyProtection="false" borderId="340" fillId="0" fontId="5" numFmtId="382" xfId="0">
      <alignment horizontal="left" vertical="center" wrapText="true"/>
    </xf>
    <xf applyAlignment="true" applyBorder="false" applyFill="false" applyFont="true" applyNumberFormat="true" applyProtection="false" borderId="341" fillId="0" fontId="22" numFmtId="383" xfId="0">
      <alignment vertical="bottom"/>
    </xf>
    <xf applyAlignment="true" applyBorder="false" applyFill="false" applyFont="true" applyNumberFormat="true" applyProtection="false" borderId="342" fillId="0" fontId="22" numFmtId="384" xfId="0">
      <alignment vertical="bottom"/>
    </xf>
    <xf applyAlignment="true" applyBorder="false" applyFill="false" applyFont="true" applyNumberFormat="false" applyProtection="false" borderId="343" fillId="0" fontId="5" numFmtId="0" xfId="0">
      <alignment vertical="bottom"/>
    </xf>
    <xf applyAlignment="true" applyBorder="false" applyFill="false" applyFont="true" applyNumberFormat="true" applyProtection="false" borderId="344" fillId="0" fontId="13" numFmtId="385" xfId="0">
      <alignment vertical="center" wrapText="true"/>
    </xf>
    <xf applyAlignment="true" applyBorder="false" applyFill="false" applyFont="true" applyNumberFormat="true" applyProtection="false" borderId="345" fillId="0" fontId="5" numFmtId="386" xfId="0">
      <alignment vertical="bottom"/>
    </xf>
    <xf applyAlignment="true" applyBorder="false" applyFill="false" applyFont="true" applyNumberFormat="false" applyProtection="false" borderId="346" fillId="0" fontId="13" numFmtId="0" xfId="0">
      <alignment vertical="bottom"/>
    </xf>
    <xf applyAlignment="true" applyBorder="false" applyFill="false" applyFont="true" applyNumberFormat="true" applyProtection="false" borderId="347" fillId="0" fontId="13" numFmtId="387" xfId="0">
      <alignment vertical="center" wrapText="true"/>
    </xf>
    <xf applyAlignment="true" applyBorder="false" applyFill="false" applyFont="true" applyNumberFormat="false" applyProtection="false" borderId="348" fillId="0" fontId="13" numFmtId="0" xfId="0">
      <alignment vertical="center" wrapText="true"/>
    </xf>
    <xf applyAlignment="true" applyBorder="false" applyFill="false" applyFont="true" applyNumberFormat="false" applyProtection="false" borderId="349" fillId="0" fontId="5" numFmtId="0" xfId="0">
      <alignment vertical="center"/>
    </xf>
    <xf applyAlignment="true" applyBorder="false" applyFill="false" applyFont="true" applyNumberFormat="false" applyProtection="false" borderId="350" fillId="0" fontId="17" numFmtId="0" xfId="0">
      <alignment vertical="bottom"/>
    </xf>
    <xf applyAlignment="true" applyBorder="false" applyFill="false" applyFont="true" applyNumberFormat="true" applyProtection="false" borderId="351" fillId="0" fontId="13" numFmtId="388" xfId="0">
      <alignment vertical="center" wrapText="true"/>
    </xf>
    <xf applyAlignment="true" applyBorder="false" applyFill="false" applyFont="true" applyNumberFormat="false" applyProtection="false" borderId="352" fillId="0" fontId="17" numFmtId="0" xfId="0">
      <alignment vertical="bottom"/>
    </xf>
    <xf applyAlignment="true" applyBorder="false" applyFill="false" applyFont="true" applyNumberFormat="false" applyProtection="false" borderId="353" fillId="0" fontId="13" numFmtId="0" xfId="0">
      <alignment vertical="center" wrapText="true"/>
    </xf>
    <xf applyAlignment="true" applyBorder="false" applyFill="false" applyFont="true" applyNumberFormat="false" applyProtection="false" borderId="354" fillId="0" fontId="16" numFmtId="0" xfId="0">
      <alignment horizontal="center" vertical="center"/>
    </xf>
    <xf applyAlignment="true" applyBorder="false" applyFill="false" applyFont="true" applyNumberFormat="true" applyProtection="false" borderId="355" fillId="0" fontId="5" numFmtId="389" xfId="0">
      <alignment vertical="center"/>
    </xf>
    <xf applyAlignment="true" applyBorder="false" applyFill="true" applyFont="true" applyNumberFormat="true" applyProtection="false" borderId="356" fillId="181" fontId="5" numFmtId="390" xfId="0">
      <alignment vertical="center"/>
    </xf>
    <xf applyAlignment="true" applyBorder="false" applyFill="false" applyFont="true" applyNumberFormat="true" applyProtection="false" borderId="357" fillId="0" fontId="5" numFmtId="391" xfId="0">
      <alignment vertical="bottom"/>
    </xf>
    <xf applyAlignment="true" applyBorder="false" applyFill="true" applyFont="true" applyNumberFormat="false" applyProtection="false" borderId="358" fillId="182" fontId="16" numFmtId="0" xfId="0">
      <alignment vertical="center"/>
    </xf>
    <xf applyAlignment="true" applyBorder="false" applyFill="true" applyFont="true" applyNumberFormat="false" applyProtection="false" borderId="359" fillId="183" fontId="16" numFmtId="0" xfId="0">
      <alignment horizontal="center" vertical="center"/>
    </xf>
    <xf applyAlignment="true" applyBorder="false" applyFill="true" applyFont="true" applyNumberFormat="false" applyProtection="false" borderId="360" fillId="184" fontId="2" numFmtId="0" xfId="0">
      <alignment horizontal="center" vertical="center"/>
    </xf>
    <xf applyAlignment="true" applyBorder="false" applyFill="true" applyFont="true" applyNumberFormat="false" applyProtection="false" borderId="361" fillId="185" fontId="2" numFmtId="0" xfId="0">
      <alignment horizontal="center" vertical="center" wrapText="true"/>
    </xf>
    <xf applyAlignment="true" applyBorder="false" applyFill="true" applyFont="true" applyNumberFormat="false" applyProtection="false" borderId="362" fillId="186" fontId="16" numFmtId="0" xfId="0">
      <alignment horizontal="center" vertical="center"/>
    </xf>
    <xf applyAlignment="true" applyBorder="false" applyFill="true" applyFont="true" applyNumberFormat="false" applyProtection="false" borderId="363" fillId="187" fontId="16" numFmtId="0" xfId="0">
      <alignment horizontal="center" vertical="center" wrapText="true"/>
    </xf>
    <xf applyAlignment="true" applyBorder="false" applyFill="true" applyFont="true" applyNumberFormat="false" applyProtection="false" borderId="364" fillId="188" fontId="23" numFmtId="0" xfId="0">
      <alignment horizontal="center" vertical="center" wrapText="true"/>
    </xf>
    <xf applyAlignment="true" applyBorder="false" applyFill="false" applyFont="true" applyNumberFormat="true" applyProtection="false" borderId="365" fillId="0" fontId="2" numFmtId="392" xfId="0">
      <alignment vertical="center"/>
    </xf>
    <xf applyAlignment="true" applyBorder="false" applyFill="false" applyFont="true" applyNumberFormat="true" applyProtection="false" borderId="366" fillId="0" fontId="2" numFmtId="393" xfId="0">
      <alignment vertical="center"/>
    </xf>
    <xf applyAlignment="true" applyBorder="false" applyFill="false" applyFont="true" applyNumberFormat="false" applyProtection="false" borderId="367" fillId="0" fontId="2" numFmtId="0" xfId="0">
      <alignment vertical="center"/>
    </xf>
    <xf applyAlignment="true" applyBorder="false" applyFill="false" applyFont="true" applyNumberFormat="false" applyProtection="false" borderId="368" fillId="0" fontId="23" numFmtId="0" xfId="0">
      <alignment vertical="center"/>
    </xf>
    <xf applyAlignment="true" applyBorder="false" applyFill="false" applyFont="true" applyNumberFormat="false" applyProtection="false" borderId="369" fillId="0" fontId="2" numFmtId="0" xfId="0">
      <alignment horizontal="left" vertical="center"/>
    </xf>
    <xf applyAlignment="true" applyBorder="false" applyFill="false" applyFont="true" applyNumberFormat="false" applyProtection="false" borderId="370" fillId="0" fontId="24" numFmtId="0" xfId="0">
      <alignment horizontal="right" vertical="center"/>
    </xf>
    <xf applyAlignment="true" applyBorder="false" applyFill="false" applyFont="true" applyNumberFormat="false" applyProtection="false" borderId="371" fillId="0" fontId="2" numFmtId="0" xfId="0">
      <alignment horizontal="right" vertical="center"/>
    </xf>
    <xf applyAlignment="true" applyBorder="false" applyFill="true" applyFont="true" applyNumberFormat="false" applyProtection="false" borderId="372" fillId="189" fontId="2" numFmtId="0" xfId="0">
      <alignment vertical="center"/>
    </xf>
    <xf applyAlignment="true" applyBorder="false" applyFill="true" applyFont="true" applyNumberFormat="true" applyProtection="false" borderId="373" fillId="190" fontId="2" numFmtId="394" xfId="0">
      <alignment horizontal="center" vertical="center"/>
    </xf>
    <xf applyAlignment="true" applyBorder="false" applyFill="false" applyFont="true" applyNumberFormat="true" applyProtection="false" borderId="374" fillId="0" fontId="2" numFmtId="395" xfId="0">
      <alignment horizontal="right" vertical="center"/>
    </xf>
    <xf applyAlignment="true" applyBorder="false" applyFill="false" applyFont="true" applyNumberFormat="true" applyProtection="false" borderId="375" fillId="0" fontId="24" numFmtId="396" xfId="0">
      <alignment horizontal="right" vertical="center"/>
    </xf>
    <xf applyAlignment="true" applyBorder="false" applyFill="true" applyFont="true" applyNumberFormat="true" applyProtection="false" borderId="376" fillId="191" fontId="2" numFmtId="397" xfId="0">
      <alignment horizontal="right" vertical="center" wrapText="true"/>
    </xf>
    <xf applyAlignment="true" applyBorder="false" applyFill="false" applyFont="true" applyNumberFormat="true" applyProtection="false" borderId="377" fillId="0" fontId="2" numFmtId="398" xfId="0">
      <alignment horizontal="right" vertical="center"/>
    </xf>
    <xf applyAlignment="true" applyBorder="false" applyFill="false" applyFont="true" applyNumberFormat="false" applyProtection="false" borderId="378" fillId="0" fontId="2" numFmtId="0" xfId="0">
      <alignment horizontal="center" vertical="center"/>
    </xf>
    <xf applyAlignment="true" applyBorder="false" applyFill="true" applyFont="true" applyNumberFormat="true" applyProtection="false" borderId="379" fillId="192" fontId="2" numFmtId="399" xfId="0">
      <alignment horizontal="right" vertical="center"/>
    </xf>
    <xf applyAlignment="true" applyBorder="false" applyFill="false" applyFont="true" applyNumberFormat="true" applyProtection="false" borderId="380" fillId="0" fontId="2" numFmtId="400" xfId="0">
      <alignment horizontal="right" vertical="center" wrapText="true"/>
    </xf>
    <xf applyAlignment="true" applyBorder="false" applyFill="false" applyFont="true" applyNumberFormat="true" applyProtection="false" borderId="381" fillId="0" fontId="2" numFmtId="401" xfId="0">
      <alignment horizontal="center" vertical="center"/>
    </xf>
    <xf applyAlignment="true" applyBorder="false" applyFill="true" applyFont="true" applyNumberFormat="false" applyProtection="false" borderId="382" fillId="193" fontId="19" numFmtId="0" xfId="0">
      <alignment horizontal="center" vertical="center"/>
    </xf>
    <xf applyAlignment="true" applyBorder="false" applyFill="false" applyFont="true" applyNumberFormat="false" applyProtection="false" borderId="383" fillId="0" fontId="20" numFmtId="0" xfId="0">
      <alignment vertical="center" wrapText="true"/>
    </xf>
    <xf applyAlignment="true" applyBorder="false" applyFill="true" applyFont="true" applyNumberFormat="false" applyProtection="false" borderId="384" fillId="194" fontId="25" numFmtId="0" xfId="0">
      <alignment horizontal="center" vertical="center"/>
    </xf>
    <xf applyAlignment="true" applyBorder="false" applyFill="false" applyFont="true" applyNumberFormat="false" applyProtection="false" borderId="385" fillId="0" fontId="2" numFmtId="0" xfId="0">
      <alignment vertical="center" wrapText="true"/>
    </xf>
    <xf applyAlignment="true" applyBorder="false" applyFill="false" applyFont="true" applyNumberFormat="false" applyProtection="false" borderId="386" fillId="0" fontId="2" numFmtId="0" xfId="0">
      <alignment horizontal="center" vertical="center" wrapText="true"/>
    </xf>
    <xf applyAlignment="true" applyBorder="false" applyFill="false" applyFont="true" applyNumberFormat="false" applyProtection="false" borderId="387" fillId="0" fontId="26" numFmtId="0" xfId="0">
      <alignment vertical="center" wrapText="true"/>
    </xf>
    <xf applyAlignment="true" applyBorder="false" applyFill="false" applyFont="true" applyNumberFormat="false" applyProtection="false" borderId="388" fillId="0" fontId="23" numFmtId="0" xfId="0">
      <alignment horizontal="center" vertical="center" wrapText="true"/>
    </xf>
    <xf applyAlignment="true" applyBorder="false" applyFill="false" applyFont="true" applyNumberFormat="false" applyProtection="false" borderId="389" fillId="0" fontId="2" numFmtId="0" xfId="0">
      <alignment horizontal="left" vertical="center"/>
    </xf>
    <xf applyAlignment="true" applyBorder="false" applyFill="true" applyFont="true" applyNumberFormat="true" applyProtection="false" borderId="390" fillId="195" fontId="2" numFmtId="402" xfId="0">
      <alignment horizontal="center" vertical="center"/>
    </xf>
    <xf applyAlignment="true" applyBorder="false" applyFill="false" applyFont="true" applyNumberFormat="true" applyProtection="false" borderId="391" fillId="0" fontId="2" numFmtId="403" xfId="0">
      <alignment horizontal="center" vertical="center"/>
    </xf>
    <xf applyAlignment="true" applyBorder="false" applyFill="true" applyFont="true" applyNumberFormat="true" applyProtection="false" borderId="392" fillId="196" fontId="2" numFmtId="404" xfId="0">
      <alignment horizontal="center" vertical="center"/>
    </xf>
    <xf applyAlignment="true" applyBorder="false" applyFill="false" applyFont="true" applyNumberFormat="true" applyProtection="false" borderId="393" fillId="0" fontId="2" numFmtId="405" xfId="0">
      <alignment vertical="center"/>
    </xf>
    <xf applyAlignment="true" applyBorder="false" applyFill="false" applyFont="true" applyNumberFormat="false" applyProtection="false" borderId="394" fillId="0" fontId="4" numFmtId="0" xfId="0">
      <alignment horizontal="center" vertical="center"/>
    </xf>
    <xf applyAlignment="true" applyBorder="false" applyFill="false" applyFont="true" applyNumberFormat="true" applyProtection="false" borderId="395" fillId="0" fontId="2" numFmtId="406" xfId="0">
      <alignment horizontal="center" vertical="center"/>
    </xf>
    <xf applyAlignment="true" applyBorder="false" applyFill="false" applyFont="true" applyNumberFormat="true" applyProtection="false" borderId="396" fillId="0" fontId="27" numFmtId="407" xfId="0">
      <alignment horizontal="center" vertical="center"/>
    </xf>
    <xf applyAlignment="true" applyBorder="false" applyFill="false" applyFont="true" applyNumberFormat="true" applyProtection="false" borderId="397" fillId="0" fontId="2" numFmtId="408" xfId="0">
      <alignment horizontal="center" vertical="center"/>
    </xf>
    <xf applyAlignment="true" applyBorder="false" applyFill="false" applyFont="true" applyNumberFormat="true" applyProtection="false" borderId="398" fillId="0" fontId="2" numFmtId="409" xfId="0">
      <alignment horizontal="center" vertical="center"/>
    </xf>
    <xf applyAlignment="true" applyBorder="false" applyFill="false" applyFont="true" applyNumberFormat="false" applyProtection="false" borderId="399" fillId="0" fontId="27" numFmtId="0" xfId="0">
      <alignment horizontal="center" vertical="center"/>
    </xf>
    <xf applyAlignment="true" applyBorder="false" applyFill="false" applyFont="true" applyNumberFormat="true" applyProtection="false" borderId="400" fillId="0" fontId="2" numFmtId="410" xfId="0">
      <alignment vertical="center"/>
    </xf>
    <xf applyAlignment="true" applyBorder="false" applyFill="false" applyFont="true" applyNumberFormat="false" applyProtection="false" borderId="401" fillId="0" fontId="28" numFmtId="0" xfId="0">
      <alignment horizontal="center" vertical="center"/>
    </xf>
    <xf applyAlignment="true" applyBorder="false" applyFill="false" applyFont="true" applyNumberFormat="false" applyProtection="false" borderId="402" fillId="0" fontId="23" numFmtId="0" xfId="0">
      <alignment horizontal="center" vertical="center"/>
    </xf>
    <xf applyAlignment="true" applyBorder="false" applyFill="false" applyFont="true" applyNumberFormat="false" applyProtection="false" borderId="403" fillId="0" fontId="29" numFmtId="0" xfId="0">
      <alignment vertical="center"/>
    </xf>
    <xf applyAlignment="true" applyBorder="false" applyFill="true" applyFont="true" applyNumberFormat="false" applyProtection="false" borderId="404" fillId="197" fontId="30" numFmtId="0" xfId="0">
      <alignment horizontal="center" vertical="center"/>
    </xf>
    <xf applyAlignment="true" applyBorder="false" applyFill="true" applyFont="true" applyNumberFormat="false" applyProtection="false" borderId="405" fillId="198" fontId="19" numFmtId="0" xfId="0">
      <alignment horizontal="center" vertical="center"/>
    </xf>
    <xf applyAlignment="true" applyBorder="false" applyFill="true" applyFont="true" applyNumberFormat="true" applyProtection="false" borderId="406" fillId="199" fontId="2" numFmtId="411" xfId="0">
      <alignment horizontal="center" vertical="center"/>
    </xf>
    <xf applyAlignment="true" applyBorder="false" applyFill="true" applyFont="true" applyNumberFormat="true" applyProtection="false" borderId="407" fillId="200" fontId="2" numFmtId="412" xfId="0">
      <alignment horizontal="center" vertical="center"/>
    </xf>
    <xf applyAlignment="true" applyBorder="false" applyFill="true" applyFont="true" applyNumberFormat="false" applyProtection="false" borderId="408" fillId="201" fontId="27" numFmtId="0" xfId="0">
      <alignment horizontal="center" vertical="center"/>
    </xf>
    <xf applyAlignment="true" applyBorder="false" applyFill="true" applyFont="true" applyNumberFormat="false" applyProtection="false" borderId="409" fillId="202" fontId="2" numFmtId="0" xfId="0">
      <alignment horizontal="center" vertical="center"/>
    </xf>
    <xf applyAlignment="true" applyBorder="false" applyFill="true" applyFont="true" applyNumberFormat="false" applyProtection="false" borderId="410" fillId="203" fontId="2" numFmtId="0" xfId="0">
      <alignment vertical="center"/>
    </xf>
    <xf applyAlignment="true" applyBorder="false" applyFill="true" applyFont="true" applyNumberFormat="true" applyProtection="false" borderId="411" fillId="204" fontId="2" numFmtId="413" xfId="0">
      <alignment horizontal="center" vertical="center"/>
    </xf>
    <xf applyAlignment="true" applyBorder="false" applyFill="true" applyFont="true" applyNumberFormat="false" applyProtection="false" borderId="412" fillId="205" fontId="4" numFmtId="0" xfId="0">
      <alignment horizontal="center" vertical="center"/>
    </xf>
    <xf applyAlignment="true" applyBorder="false" applyFill="true" applyFont="true" applyNumberFormat="true" applyProtection="false" borderId="413" fillId="206" fontId="2" numFmtId="414" xfId="0">
      <alignment horizontal="center" vertical="center"/>
    </xf>
    <xf applyAlignment="true" applyBorder="false" applyFill="false" applyFont="true" applyNumberFormat="false" applyProtection="false" borderId="414" fillId="0" fontId="31" numFmtId="0" xfId="0">
      <alignment horizontal="center" vertical="center" wrapText="true"/>
    </xf>
    <xf applyAlignment="true" applyBorder="false" applyFill="false" applyFont="true" applyNumberFormat="false" applyProtection="false" borderId="415" fillId="0" fontId="32" numFmtId="0" xfId="0">
      <alignment vertical="center" wrapText="true"/>
    </xf>
    <xf applyAlignment="true" applyBorder="false" applyFill="false" applyFont="true" applyNumberFormat="false" applyProtection="false" borderId="416" fillId="0" fontId="31" numFmtId="0" xfId="0">
      <alignment horizontal="center" vertical="center" wrapText="true"/>
    </xf>
    <xf applyAlignment="true" applyBorder="false" applyFill="false" applyFont="true" applyNumberFormat="false" applyProtection="false" borderId="417" fillId="0" fontId="31" numFmtId="0" xfId="0">
      <alignment vertical="center"/>
    </xf>
    <xf applyAlignment="true" applyBorder="false" applyFill="false" applyFont="true" applyNumberFormat="false" applyProtection="false" borderId="418" fillId="0" fontId="31" numFmtId="0" xfId="0">
      <alignment horizontal="center" vertical="center" wrapText="true"/>
    </xf>
    <xf applyAlignment="true" applyBorder="false" applyFill="true" applyFont="true" applyNumberFormat="true" applyProtection="false" borderId="419" fillId="207" fontId="27" numFmtId="415" xfId="0">
      <alignment horizontal="center" vertical="center"/>
    </xf>
    <xf applyAlignment="true" applyBorder="false" applyFill="false" applyFont="true" applyNumberFormat="true" applyProtection="false" borderId="420" fillId="0" fontId="2" numFmtId="416" xfId="0">
      <alignment horizontal="center" vertical="center"/>
    </xf>
    <xf applyAlignment="true" applyBorder="false" applyFill="false" applyFont="true" applyNumberFormat="false" applyProtection="false" borderId="421" fillId="0" fontId="21" numFmtId="0" xfId="0">
      <alignment horizontal="center" vertical="center"/>
    </xf>
    <xf applyAlignment="true" applyBorder="false" applyFill="false" applyFont="true" applyNumberFormat="true" applyProtection="false" borderId="422" fillId="0" fontId="21" numFmtId="417" xfId="0">
      <alignment horizontal="center" vertical="center"/>
    </xf>
    <xf applyAlignment="true" applyBorder="false" applyFill="false" applyFont="true" applyNumberFormat="true" applyProtection="false" borderId="423" fillId="0" fontId="33" numFmtId="418" xfId="0">
      <alignment horizontal="center" vertical="center"/>
    </xf>
    <xf applyAlignment="true" applyBorder="false" applyFill="false" applyFont="true" applyNumberFormat="false" applyProtection="false" borderId="424" fillId="0" fontId="21" numFmtId="0" xfId="0">
      <alignment vertical="center"/>
    </xf>
    <xf applyAlignment="true" applyBorder="false" applyFill="false" applyFont="true" applyNumberFormat="true" applyProtection="false" borderId="425" fillId="0" fontId="21" numFmtId="419" xfId="0">
      <alignment horizontal="center" vertical="center"/>
    </xf>
    <xf applyAlignment="true" applyBorder="false" applyFill="true" applyFont="true" applyNumberFormat="true" applyProtection="false" borderId="426" fillId="208" fontId="34" numFmtId="420" xfId="0">
      <alignment horizontal="center" vertical="center"/>
    </xf>
    <xf applyAlignment="true" applyBorder="false" applyFill="false" applyFont="true" applyNumberFormat="false" applyProtection="false" borderId="427" fillId="0" fontId="4" numFmtId="0" xfId="0">
      <alignment vertical="center" wrapText="true"/>
    </xf>
    <xf applyAlignment="true" applyBorder="false" applyFill="false" applyFont="true" applyNumberFormat="false" applyProtection="false" borderId="428" fillId="0" fontId="2" numFmtId="0" xfId="0">
      <alignment vertical="center"/>
    </xf>
    <xf applyAlignment="true" applyBorder="false" applyFill="false" applyFont="true" applyNumberFormat="false" applyProtection="false" borderId="429" fillId="0" fontId="4" numFmtId="0" xfId="0">
      <alignment horizontal="left" vertical="top" wrapText="true"/>
    </xf>
    <xf applyAlignment="true" applyBorder="false" applyFill="true" applyFont="true" applyNumberFormat="true" applyProtection="false" borderId="430" fillId="209" fontId="35" numFmtId="421" xfId="0">
      <alignment horizontal="center" vertical="center"/>
    </xf>
    <xf applyAlignment="true" applyBorder="false" applyFill="false" applyFont="true" applyNumberFormat="true" applyProtection="false" borderId="431" fillId="0" fontId="2" numFmtId="422" xfId="0">
      <alignment horizontal="center" vertical="center"/>
    </xf>
    <xf applyAlignment="true" applyBorder="false" applyFill="false" applyFont="true" applyNumberFormat="true" applyProtection="false" borderId="432" fillId="0" fontId="2" numFmtId="423" xfId="0">
      <alignment horizontal="center" vertical="center"/>
    </xf>
    <xf applyAlignment="true" applyBorder="false" applyFill="false" applyFont="true" applyNumberFormat="true" applyProtection="false" borderId="433" fillId="0" fontId="28" numFmtId="424" xfId="0">
      <alignment horizontal="center" vertical="center"/>
    </xf>
    <xf applyAlignment="true" applyBorder="false" applyFill="false" applyFont="true" applyNumberFormat="false" applyProtection="false" borderId="434" fillId="0" fontId="2" numFmtId="0" xfId="0">
      <alignment horizontal="center" vertical="center"/>
    </xf>
    <xf applyAlignment="true" applyBorder="false" applyFill="true" applyFont="true" applyNumberFormat="false" applyProtection="false" borderId="435" fillId="210" fontId="2" numFmtId="0" xfId="0">
      <alignment vertical="center"/>
    </xf>
    <xf applyAlignment="true" applyBorder="false" applyFill="true" applyFont="true" applyNumberFormat="true" applyProtection="false" borderId="436" fillId="211" fontId="2" numFmtId="425" xfId="0">
      <alignment horizontal="center" vertical="center"/>
    </xf>
    <xf applyAlignment="true" applyBorder="false" applyFill="true" applyFont="true" applyNumberFormat="false" applyProtection="false" borderId="437" fillId="212" fontId="2" numFmtId="0" xfId="0">
      <alignment vertical="center"/>
    </xf>
    <xf applyAlignment="true" applyBorder="false" applyFill="true" applyFont="true" applyNumberFormat="true" applyProtection="false" borderId="438" fillId="213" fontId="2" numFmtId="426" xfId="0">
      <alignment horizontal="center" vertical="center"/>
    </xf>
    <xf applyAlignment="true" applyBorder="false" applyFill="true" applyFont="true" applyNumberFormat="true" applyProtection="false" borderId="439" fillId="214" fontId="2" numFmtId="427" xfId="0">
      <alignment horizontal="center" vertical="center"/>
    </xf>
    <xf applyAlignment="true" applyBorder="false" applyFill="true" applyFont="true" applyNumberFormat="false" applyProtection="false" borderId="440" fillId="215" fontId="2" numFmtId="0" xfId="0">
      <alignment vertical="center"/>
    </xf>
    <xf applyAlignment="true" applyBorder="false" applyFill="true" applyFont="true" applyNumberFormat="true" applyProtection="false" borderId="441" fillId="216" fontId="27" numFmtId="428" xfId="0">
      <alignment horizontal="center" vertical="center"/>
    </xf>
    <xf applyAlignment="true" applyBorder="false" applyFill="true" applyFont="true" applyNumberFormat="false" applyProtection="false" borderId="442" fillId="217" fontId="27" numFmtId="0" xfId="0">
      <alignment vertical="center"/>
    </xf>
    <xf applyAlignment="true" applyBorder="false" applyFill="true" applyFont="true" applyNumberFormat="true" applyProtection="false" borderId="443" fillId="218" fontId="27" numFmtId="429" xfId="0">
      <alignment horizontal="center" vertical="center"/>
    </xf>
    <xf applyAlignment="true" applyBorder="false" applyFill="true" applyFont="true" applyNumberFormat="false" applyProtection="false" borderId="444" fillId="219" fontId="19" numFmtId="0" xfId="0">
      <alignment horizontal="center" vertical="center"/>
    </xf>
    <xf applyAlignment="true" applyBorder="false" applyFill="true" applyFont="true" applyNumberFormat="false" applyProtection="false" borderId="445" fillId="220" fontId="19" numFmtId="0" xfId="0">
      <alignment horizontal="center" vertical="center"/>
    </xf>
    <xf applyAlignment="true" applyBorder="false" applyFill="true" applyFont="true" applyNumberFormat="false" applyProtection="false" borderId="446" fillId="221" fontId="16" numFmtId="0" xfId="0">
      <alignment horizontal="center" vertical="center"/>
    </xf>
    <xf applyAlignment="true" applyBorder="false" applyFill="true" applyFont="true" applyNumberFormat="false" applyProtection="false" borderId="447" fillId="222" fontId="19" numFmtId="0" xfId="0">
      <alignment horizontal="center" vertical="center"/>
    </xf>
    <xf applyAlignment="true" applyBorder="false" applyFill="true" applyFont="true" applyNumberFormat="false" applyProtection="false" borderId="448" fillId="223" fontId="19" numFmtId="0" xfId="0">
      <alignment horizontal="center" vertical="center"/>
    </xf>
    <xf applyAlignment="true" applyBorder="false" applyFill="true" applyFont="true" applyNumberFormat="false" applyProtection="false" borderId="449" fillId="224" fontId="2" numFmtId="0" xfId="0">
      <alignment vertical="center"/>
    </xf>
    <xf applyAlignment="true" applyBorder="false" applyFill="false" applyFont="true" applyNumberFormat="true" applyProtection="false" borderId="450" fillId="0" fontId="2" numFmtId="430" xfId="0">
      <alignment horizontal="center" vertical="center"/>
    </xf>
    <xf applyAlignment="true" applyBorder="false" applyFill="false" applyFont="true" applyNumberFormat="false" applyProtection="false" borderId="451" fillId="0" fontId="2" numFmtId="0" xfId="0">
      <alignment horizontal="center" vertical="center"/>
    </xf>
    <xf applyAlignment="true" applyBorder="false" applyFill="false" applyFont="true" applyNumberFormat="false" applyProtection="false" borderId="452" fillId="0" fontId="2" numFmtId="0" xfId="0">
      <alignment vertical="center"/>
    </xf>
    <xf applyAlignment="true" applyBorder="false" applyFill="false" applyFont="true" applyNumberFormat="true" applyProtection="false" borderId="453" fillId="0" fontId="2" numFmtId="431" xfId="0">
      <alignment horizontal="center" vertical="center"/>
    </xf>
    <xf applyAlignment="true" applyBorder="false" applyFill="false" applyFont="true" applyNumberFormat="false" applyProtection="false" borderId="454" fillId="0" fontId="2" numFmtId="0" xfId="0">
      <alignment vertical="center"/>
    </xf>
    <xf applyAlignment="true" applyBorder="false" applyFill="false" applyFont="true" applyNumberFormat="false" applyProtection="false" borderId="455" fillId="0" fontId="2" numFmtId="0" xfId="0">
      <alignment vertical="center"/>
    </xf>
    <xf applyAlignment="true" applyBorder="false" applyFill="true" applyFont="true" applyNumberFormat="true" applyProtection="false" borderId="456" fillId="225" fontId="2" numFmtId="432" xfId="0">
      <alignment horizontal="center" vertical="center"/>
    </xf>
    <xf applyAlignment="true" applyBorder="false" applyFill="true" applyFont="true" applyNumberFormat="false" applyProtection="false" borderId="457" fillId="226" fontId="2" numFmtId="0" xfId="0">
      <alignment vertical="center"/>
    </xf>
    <xf applyAlignment="true" applyBorder="false" applyFill="true" applyFont="true" applyNumberFormat="true" applyProtection="false" borderId="458" fillId="227" fontId="2" numFmtId="433" xfId="0">
      <alignment horizontal="center" vertical="center"/>
    </xf>
    <xf applyAlignment="true" applyBorder="false" applyFill="false" applyFont="true" applyNumberFormat="false" applyProtection="false" borderId="459" fillId="0" fontId="2" numFmtId="0" xfId="0">
      <alignment horizontal="center" vertical="center"/>
    </xf>
    <xf applyAlignment="true" applyBorder="false" applyFill="false" applyFont="true" applyNumberFormat="false" applyProtection="false" borderId="460" fillId="0" fontId="2" numFmtId="0" xfId="0">
      <alignment horizontal="center" vertical="center"/>
    </xf>
    <xf applyAlignment="true" applyBorder="false" applyFill="false" applyFont="true" applyNumberFormat="false" applyProtection="false" borderId="461" fillId="0" fontId="2" numFmtId="0" xfId="0">
      <alignment horizontal="center" vertical="center"/>
    </xf>
    <xf applyAlignment="true" applyBorder="false" applyFill="false" applyFont="true" applyNumberFormat="true" applyProtection="false" borderId="462" fillId="0" fontId="2" numFmtId="434" xfId="0">
      <alignment horizontal="center" vertical="center"/>
    </xf>
    <xf applyAlignment="true" applyBorder="false" applyFill="true" applyFont="true" applyNumberFormat="false" applyProtection="false" borderId="463" fillId="228" fontId="16" numFmtId="0" xfId="0">
      <alignment horizontal="center" vertical="center"/>
    </xf>
    <xf applyAlignment="true" applyBorder="false" applyFill="false" applyFont="true" applyNumberFormat="false" applyProtection="false" borderId="464" fillId="0" fontId="2" numFmtId="0" xfId="0">
      <alignment horizontal="center" vertical="center"/>
    </xf>
    <xf applyAlignment="true" applyBorder="false" applyFill="false" applyFont="true" applyNumberFormat="false" applyProtection="false" borderId="465" fillId="0" fontId="2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persons/person.xml" Type="http://schemas.microsoft.com/office/2017/10/relationships/person"></Relationship><Relationship Id="rId6" Target="worksheets/sheet2.xml" Type="http://schemas.openxmlformats.org/officeDocument/2006/relationships/worksheet"></Relationship><Relationship Id="rId7" Target="worksheets/sheet3.xml" Type="http://schemas.openxmlformats.org/officeDocument/2006/relationships/worksheet"></Relationship><Relationship Id="rId8" Target="worksheets/sheet4.xml" Type="http://schemas.openxmlformats.org/officeDocument/2006/relationships/worksheet"></Relationship><Relationship Id="rId9" Target="worksheets/sheet5.xml" Type="http://schemas.openxmlformats.org/officeDocument/2006/relationships/worksheet"></Relationship><Relationship Id="rId10" Target="worksheets/sheet6.xml" Type="http://schemas.openxmlformats.org/officeDocument/2006/relationships/worksheet"></Relationship><Relationship Id="rId11" Target="worksheets/sheet7.xml" Type="http://schemas.openxmlformats.org/officeDocument/2006/relationships/worksheet"></Relationship><Relationship Id="rId12" Target="worksheets/sheet8.xml" Type="http://schemas.openxmlformats.org/officeDocument/2006/relationships/worksheet"></Relationship><Relationship Id="rId13" Target="worksheets/sheet9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38100</xdr:colOff>
      <xdr:row>38</xdr:row>
      <xdr:rowOff>38100</xdr:rowOff>
    </xdr:from>
    <xdr:to>
      <xdr:col>2</xdr:col>
      <xdr:colOff>-38100</xdr:colOff>
      <xdr:row>39</xdr:row>
      <xdr:rowOff>-38100</xdr:rowOff>
    </xdr:to>
    <xdr:pic>
      <xdr:nvPicPr>
        <xdr:cNvPr id="2" name="Picture 2" descr="kcRcBj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刘伟" id="{449C1CC5-B3C5-4449-A992-9A72C963FA04}" userId="S::liuwei@gaowei.com::16c1bc85-1c64-4317-a874-f5165dce071c" providerId="AD"/>
  <person displayName="陈延琴" id="{6FF43A82-C523-4553-B6BE-55FF9DD53D80}" userId="S::cyq@gaowei.com::2f57ebfb-515b-43af-9326-a7588f79729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id="{852F5F13-222A-4800-96E6-1FDE0C72560B}" ref="O1" dT="2024-05-25T09:59:37" personId="{449C1CC5-B3C5-4449-A992-9A72C963FA04}" parentId="{}">
    <text>E:C4  R:收入（回款）</text>
  </threadedComment>
  <threadedComment id="{c4d34c27-4345-40d2-9578-90a642a1d203}" ref="O1" dT="2024-05-25T10:00:41" personId="{449C1CC5-B3C5-4449-A992-9A72C963FA04}" parentId="{852F5F13-222A-4800-96E6-1FDE0C72560B}">
    <text>ER：薪酬撬动价值比率</text>
  </threadedComment>
  <threadedComment id="{0dacd466-02b4-4fe9-ac4f-3e50d1a5032b}" ref="O1" dT="2024-05-25T10:02:19" personId="{449C1CC5-B3C5-4449-A992-9A72C963FA04}" parentId="{852F5F13-222A-4800-96E6-1FDE0C72560B}">
    <text>ER 是一个观测指标，不能追求此值稳定</text>
  </threadedComment>
  <threadedComment id="{439CFE88-F178-4BEC-BEBF-47D967737C85}" ref="V1" dT="2024-05-25T10:13:29" personId="{449C1CC5-B3C5-4449-A992-9A72C963FA04}" parentId="{}">
    <text>去年12月的月工资✖️12</text>
  </threadedComment>
  <threadedComment id="{0DD74FB6-8358-4349-A925-9F88A6CCB866}" ref="W1" dT="2024-05-25T10:22:17" personId="{449C1CC5-B3C5-4449-A992-9A72C963FA04}" parentId="{}">
    <text>未来要有落地方案</text>
  </threadedComment>
  <threadedComment id="{27DB330D-959D-4861-87E5-25F70CAE397E}" ref="X1" dT="2024-05-25T10:22:34" personId="{449C1CC5-B3C5-4449-A992-9A72C963FA04}" parentId="{}">
    <text>也要执行方案，审视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id="{FCCDFF53-B7C7-4AD5-AEA7-8C4027234DA5}" ref="AF2" dT="2024-10-16T03:10:29" personId="{6FF43A82-C523-4553-B6BE-55FF9DD53D80}" parentId="{}">
    <text>截至9月30日，已离职3人</text>
  </threadedComment>
</ThreadedComments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_rels/sheet3.xml.rels><?xml version="1.0" encoding="UTF-8" standalone="yes"?>
<Relationships xmlns="http://schemas.openxmlformats.org/package/2006/relationships"><Relationship Id="rId1" Target="../drawings/vmlDrawing1.vml" Type="http://schemas.openxmlformats.org/officeDocument/2006/relationships/vmlDrawing"></Relationship><Relationship Id="rId2" Target="../comments1.xml" Type="http://schemas.openxmlformats.org/officeDocument/2006/relationships/comments"></Relationship><Relationship Id="rId3" Target="../threadedComments/threadedComment1.xml" Type="http://schemas.microsoft.com/office/2017/10/relationships/threadedComment"></Relationship></Relationships>
</file>

<file path=xl/worksheets/_rels/sheet5.xml.rels><?xml version="1.0" encoding="UTF-8" standalone="yes"?>
<Relationships xmlns="http://schemas.openxmlformats.org/package/2006/relationships"><Relationship Id="rId1" Target="../drawings/vmlDrawing2.vml" Type="http://schemas.openxmlformats.org/officeDocument/2006/relationships/vmlDrawing"></Relationship><Relationship Id="rId2" Target="../comments2.xml" Type="http://schemas.openxmlformats.org/officeDocument/2006/relationships/comments"></Relationship><Relationship Id="rId3" Target="../threadedComments/threadedComment2.xml" Type="http://schemas.microsoft.com/office/2017/10/relationships/threadedComment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8"/>
    <col collapsed="false" customWidth="true" hidden="false" max="2" min="2" style="0" width="28"/>
    <col collapsed="false" customWidth="true" hidden="false" max="3" min="3" style="0" width="56"/>
    <col collapsed="false" customWidth="true" hidden="false" max="4" min="4" style="0" width="43"/>
    <col collapsed="false" customWidth="true" hidden="false" max="5" min="5" style="0" width="25"/>
    <col collapsed="false" customWidth="true" hidden="false" max="6" min="6" style="0" width="17"/>
    <col collapsed="false" customWidth="true" hidden="false" max="7" min="7" style="0" width="10"/>
    <col collapsed="false" customWidth="true" hidden="false" max="8" min="8" style="0" width="10"/>
    <col collapsed="false" customWidth="true" hidden="false" max="9" min="9" style="0" width="10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10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10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10"/>
    <col collapsed="false" customWidth="true" hidden="false" max="19" min="19" style="0" width="10"/>
    <col collapsed="false" customWidth="true" hidden="false" max="20" min="20" style="0" width="10"/>
  </cols>
  <sheetData>
    <row customHeight="true" ht="17" r="1">
      <c r="A1" s="10" t="str">
        <v>此数据套表主要用于每年测算公司级人力成本和薪酬包数据</v>
      </c>
    </row>
    <row customHeight="true" ht="15" r="2">
      <c r="A2" s="7" t="str">
        <v>序号</v>
      </c>
      <c r="B2" s="7" t="str">
        <v>表格内容</v>
      </c>
      <c r="C2" s="7" t="str">
        <v>用途</v>
      </c>
      <c r="D2" s="7" t="str">
        <v>注意事项</v>
      </c>
      <c r="E2" s="7" t="str">
        <v>参与人</v>
      </c>
      <c r="F2" s="7" t="str">
        <v>2024年定稿</v>
      </c>
    </row>
    <row customHeight="true" ht="22" r="3">
      <c r="A3" s="1">
        <v>1</v>
      </c>
      <c r="B3" s="2" t="str">
        <v>近年经营数据</v>
      </c>
      <c r="C3" s="2" t="str">
        <v>分析营收情况和薪酬效益</v>
      </c>
      <c r="D3" s="2"/>
      <c r="E3" s="2" t="str">
        <v>战略负责人、CEO</v>
      </c>
      <c r="F3" s="2" t="str">
        <v>附表1</v>
      </c>
    </row>
    <row customHeight="true" ht="22" r="4">
      <c r="A4" s="1">
        <v>2</v>
      </c>
      <c r="B4" s="2" t="str">
        <v>历史近2年人力成本数据</v>
      </c>
      <c r="C4" s="2" t="str">
        <v>分析历史人工成本结构和各项水平</v>
      </c>
      <c r="D4" s="3" t="str">
        <v>每次需要参考提前2年，作为比较参考和增长规划</v>
      </c>
      <c r="E4" s="2" t="str">
        <v>财务负责人</v>
      </c>
      <c r="F4" s="2" t="str">
        <v>附表2</v>
      </c>
    </row>
    <row customHeight="true" ht="22" r="5">
      <c r="A5" s="1">
        <v>3</v>
      </c>
      <c r="B5" s="2" t="str">
        <v>历史近1年人力成本数据</v>
      </c>
      <c r="C5" s="2" t="str">
        <v>分析历史人工成本结构和各项水平</v>
      </c>
      <c r="D5" s="3"/>
      <c r="E5" s="2" t="str">
        <v>财务负责人</v>
      </c>
      <c r="F5" s="2" t="str">
        <v>附表3</v>
      </c>
    </row>
    <row customHeight="true" ht="22" r="6">
      <c r="A6" s="1">
        <v>4</v>
      </c>
      <c r="B6" s="2" t="str">
        <v>人力盘点表</v>
      </c>
      <c r="C6" s="2" t="str">
        <v>划分责任单元，明确历史人工水平</v>
      </c>
      <c r="D6" s="3" t="str">
        <v>按照people manager管理责任盘点人力，单人不可拆分</v>
      </c>
      <c r="E6" s="2" t="str">
        <v>责任中心负责人</v>
      </c>
      <c r="F6" s="2" t="str">
        <v>附表4</v>
      </c>
    </row>
    <row customHeight="true" ht="22" r="7">
      <c r="A7" s="1">
        <v>5</v>
      </c>
      <c r="B7" s="9" t="str">
        <v>2024年公司薪酬包基线化</v>
      </c>
      <c r="C7" s="2" t="str">
        <v>明确薪酬规划目标值和空间值</v>
      </c>
      <c r="D7" s="3"/>
      <c r="E7" s="2" t="str">
        <v>CEO、财务负责人</v>
      </c>
      <c r="F7" s="2" t="str">
        <v>附表5</v>
      </c>
    </row>
    <row customHeight="true" ht="22" r="8">
      <c r="A8" s="1">
        <v>6</v>
      </c>
      <c r="B8" s="2" t="str">
        <v>2024年公司人力成本预算</v>
      </c>
      <c r="C8" s="2" t="str">
        <v>明确人力成本各项目标值，年度预算表，用于利润中心过程跟踪</v>
      </c>
      <c r="D8" s="3"/>
      <c r="E8" s="2" t="str">
        <v>责任中心负责人</v>
      </c>
      <c r="F8" s="2" t="str">
        <v>附表6</v>
      </c>
    </row>
    <row customHeight="true" ht="22" r="9">
      <c r="A9" s="1">
        <v>7</v>
      </c>
      <c r="B9" s="9" t="str">
        <v>2024年公司薪酬包分配规划</v>
      </c>
      <c r="C9" s="2" t="str">
        <v>明确公司薪酬规划目标落实“到部门、到项目”</v>
      </c>
      <c r="D9" s="3" t="str">
        <v>1、与表4强关联
2、与表1强关联</v>
      </c>
      <c r="E9" s="2" t="str">
        <v>责任中心负责人、项目负责人</v>
      </c>
      <c r="F9" s="2" t="str">
        <v>附表7</v>
      </c>
    </row>
    <row customHeight="true" ht="22" r="10">
      <c r="A10" s="1">
        <v>8</v>
      </c>
      <c r="B10" s="2" t="str">
        <v>2024年工资与编制预算表</v>
      </c>
      <c r="C10" s="2" t="str">
        <v>明确刚性工资包分配明细和编制明细</v>
      </c>
      <c r="D10" s="3"/>
      <c r="E10" s="2" t="str">
        <v>CEO</v>
      </c>
      <c r="F10" s="2" t="str">
        <v>飞书《2024职级工资测算》</v>
      </c>
    </row>
    <row customHeight="true" ht="22" r="11">
      <c r="A11" s="1">
        <v>9</v>
      </c>
      <c r="B11" s="9" t="str">
        <v>2024年部门薪酬包公式</v>
      </c>
      <c r="C11" s="2" t="str">
        <v>明确部门奖金弹性关联要素和水平，用以授权日常经营管理</v>
      </c>
      <c r="D11" s="3" t="str">
        <v>与BSC责任强关联</v>
      </c>
      <c r="E11" s="2" t="str">
        <v>责任中心负责人</v>
      </c>
      <c r="F11" s="2" t="str">
        <v>附表9</v>
      </c>
    </row>
    <row customHeight="true" ht="22" r="12">
      <c r="A12" s="1">
        <v>10</v>
      </c>
      <c r="B12" s="2" t="str">
        <v>人力成本其他明细表</v>
      </c>
      <c r="C12" s="2" t="str">
        <v>明确福利包、招培包、保障包明细和水平</v>
      </c>
      <c r="D12" s="3"/>
      <c r="E12" s="2" t="str">
        <v>CEO</v>
      </c>
      <c r="F12" s="2" t="str">
        <v>附表10</v>
      </c>
    </row>
    <row customHeight="true" ht="17" r="13"/>
    <row customHeight="true" hidden="true" ht="17" r="14">
      <c r="B14" s="4" t="str">
        <v>销售费用率</v>
      </c>
    </row>
    <row customHeight="true" hidden="true" ht="17" r="15">
      <c r="B15" s="8" t="str">
        <v>物流费</v>
      </c>
      <c r="C15" s="4"/>
      <c r="D15" s="4"/>
    </row>
    <row customHeight="true" hidden="true" ht="17" r="16">
      <c r="B16" s="4" t="str">
        <v>仓储费</v>
      </c>
      <c r="C16" s="4"/>
      <c r="D16" s="4"/>
    </row>
    <row customHeight="true" hidden="true" ht="17" r="17">
      <c r="B17" s="8" t="str">
        <v>货损费</v>
      </c>
      <c r="C17" s="4" t="str">
        <v>每年几百万</v>
      </c>
      <c r="D17" s="4" t="str">
        <v>财务</v>
      </c>
    </row>
    <row customHeight="true" hidden="true" ht="17" r="18">
      <c r="B18" s="4" t="str">
        <v>IT服务费</v>
      </c>
      <c r="D18" s="4" t="str">
        <v>质量流程</v>
      </c>
    </row>
    <row customHeight="true" hidden="true" ht="17" r="19">
      <c r="B19" s="8" t="str">
        <v>头程费</v>
      </c>
      <c r="C19" s="4" t="str">
        <v>产品采购的7%</v>
      </c>
      <c r="D19" s="4" t="str">
        <v>供应链</v>
      </c>
    </row>
    <row customHeight="true" hidden="true" ht="17" r="20">
      <c r="B20" s="4" t="str">
        <v>尾程费</v>
      </c>
    </row>
    <row customHeight="true" hidden="true" ht="17" r="21">
      <c r="B21" s="4" t="str">
        <v>仓储包采费</v>
      </c>
    </row>
    <row customHeight="true" hidden="true" ht="17" r="22">
      <c r="B22" s="4" t="str">
        <v>检测费</v>
      </c>
    </row>
    <row customHeight="true" hidden="true" ht="17" r="23">
      <c r="B23" s="4" t="str">
        <v>辅料费</v>
      </c>
    </row>
    <row customHeight="true" ht="17" r="24"/>
    <row customHeight="true" ht="17" r="25">
      <c r="B25" s="6" t="str">
        <v>会员转化及续卡</v>
      </c>
      <c r="C25" s="6" t="str">
        <v>完成率=实际完成/目标*100%</v>
      </c>
    </row>
    <row customHeight="true" ht="17" r="26">
      <c r="B26" s="6" t="str">
        <v>公开课满班率</v>
      </c>
      <c r="C26" s="5" t="str">
        <v>满班率=开班满班数量/开班总数量*100%；是否要考虑临时取消的班？</v>
      </c>
    </row>
    <row customHeight="true" ht="17" r="27">
      <c r="B27" s="6" t="str">
        <v>入企服务利润增量</v>
      </c>
      <c r="C27" s="6" t="str">
        <v>2024年上半年与2023年下半年的增量；业务线利润</v>
      </c>
    </row>
    <row customHeight="true" ht="17" r="28">
      <c r="B28" s="6" t="str">
        <v>会员服务</v>
      </c>
      <c r="C28" s="5" t="str">
        <v>会员服务的接入率；由小白提供。待定</v>
      </c>
    </row>
    <row customHeight="true" ht="17" r="29"/>
    <row customHeight="true" ht="17" r="30"/>
    <row customHeight="true" ht="17" r="31"/>
    <row customHeight="true" ht="17" r="32"/>
    <row customHeight="true" ht="17" r="33"/>
    <row customHeight="true" ht="17" r="34"/>
    <row customHeight="true" ht="17" r="35"/>
    <row customHeight="true" ht="17" r="36"/>
    <row customHeight="true" ht="17" r="37"/>
    <row customHeight="true" ht="17" r="38"/>
    <row customHeight="true" ht="17" r="39">
      <c r="C39" s="11"/>
    </row>
  </sheetData>
  <mergeCells>
    <mergeCell ref="B39:C39"/>
  </mergeCells>
  <drawing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B2" xSplit="1" ySplit="1"/>
    </sheetView>
  </sheetViews>
  <sheetFormatPr defaultColWidth="14" defaultRowHeight="19"/>
  <cols>
    <col collapsed="false" customWidth="true" hidden="false" max="1" min="1" style="0" width="35"/>
    <col collapsed="false" customWidth="true" hidden="false" max="2" min="2" style="0" width="12"/>
    <col collapsed="false" customWidth="true" hidden="false" max="3" min="3" style="0" width="12"/>
    <col collapsed="false" customWidth="true" hidden="false" max="4" min="4" style="0" width="15"/>
    <col collapsed="false" customWidth="true" hidden="false" max="5" min="5" style="0" width="14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15"/>
    <col collapsed="false" customWidth="true" hidden="false" max="9" min="9" style="0" width="15"/>
    <col collapsed="false" customWidth="true" hidden="false" max="10" min="10" style="0" width="15"/>
    <col collapsed="false" customWidth="true" hidden="false" max="11" min="11" style="0" width="16"/>
    <col collapsed="false" customWidth="true" hidden="false" max="12" min="12" style="0" width="16"/>
    <col collapsed="false" customWidth="true" hidden="false" max="13" min="13" style="0" width="13"/>
    <col collapsed="false" hidden="false" max="14" min="14" style="0" width="13"/>
    <col collapsed="false" customWidth="true" hidden="false" max="15" min="15" outlineLevel="1" style="0" width="13"/>
    <col collapsed="false" customWidth="true" hidden="false" max="16" min="16" outlineLevel="1" style="0" width="12"/>
    <col collapsed="false" customWidth="true" hidden="true" max="17" min="17" outlineLevel="1" style="0" width="15"/>
    <col collapsed="false" customWidth="true" hidden="true" max="18" min="18" outlineLevel="1" style="0" width="15"/>
    <col collapsed="false" customWidth="true" hidden="true" max="19" min="19" outlineLevel="1" style="0" width="17"/>
    <col collapsed="false" hidden="false" max="20" min="20" style="0" width="16"/>
    <col collapsed="false" customWidth="true" hidden="false" max="21" min="21" outlineLevel="1" style="0" width="16"/>
    <col collapsed="false" customWidth="true" hidden="false" max="22" min="22" outlineLevel="1" style="0" width="14"/>
    <col collapsed="false" customWidth="true" hidden="false" max="23" min="23" outlineLevel="1" style="0" width="12"/>
    <col collapsed="false" customWidth="true" hidden="false" max="24" min="24" outlineLevel="1" style="0" width="12"/>
    <col collapsed="false" customWidth="true" hidden="false" max="25" min="25" style="0" width="15"/>
    <col collapsed="false" customWidth="true" hidden="false" max="26" min="26" style="0" width="17"/>
    <col collapsed="false" customWidth="true" hidden="false" max="27" min="27" style="0" width="21"/>
    <col collapsed="false" customWidth="true" hidden="false" max="28" min="28" style="0" width="17"/>
    <col collapsed="false" customWidth="true" hidden="false" max="29" min="29" style="0" width="14"/>
    <col collapsed="false" customWidth="true" hidden="false" max="30" min="30" style="0" width="15"/>
    <col collapsed="false" customWidth="true" hidden="false" max="31" min="31" style="0" width="16"/>
    <col collapsed="false" customWidth="true" hidden="false" max="32" min="32" style="0" width="10"/>
    <col collapsed="false" customWidth="true" hidden="false" max="33" min="33" style="0" width="17"/>
    <col collapsed="false" customWidth="true" hidden="false" max="34" min="34" style="0" width="12"/>
    <col collapsed="false" customWidth="true" hidden="false" max="35" min="35" style="0" width="11"/>
    <col collapsed="false" customWidth="true" hidden="false" max="36" min="36" style="0" width="17"/>
    <col collapsed="false" customWidth="true" hidden="false" max="37" min="37" style="0" width="17"/>
    <col collapsed="false" customWidth="true" hidden="false" max="38" min="38" style="0" width="17"/>
    <col collapsed="false" customWidth="true" hidden="false" max="39" min="39" style="0" width="17"/>
    <col collapsed="false" customWidth="true" hidden="false" max="40" min="40" style="0" width="17"/>
    <col collapsed="false" customWidth="true" hidden="false" max="41" min="41" style="0" width="11"/>
    <col collapsed="false" customWidth="true" hidden="false" max="42" min="42" style="0" width="12"/>
  </cols>
  <sheetData>
    <row customHeight="true" ht="42" r="1">
      <c r="A1" s="165" t="str">
        <v>时间</v>
      </c>
      <c r="B1" s="165" t="str">
        <v>收入（万）</v>
      </c>
      <c r="C1" s="165" t="str">
        <v>成本（万）</v>
      </c>
      <c r="D1" s="165" t="str">
        <v>毛利（万）</v>
      </c>
      <c r="E1" s="165" t="str">
        <v>毛利率</v>
      </c>
      <c r="F1" s="165" t="str">
        <v>销售/运营费用</v>
      </c>
      <c r="G1" s="190" t="str">
        <v>产品研发费？</v>
      </c>
      <c r="H1" s="165" t="str">
        <v>管理费用(万)</v>
      </c>
      <c r="I1" s="165" t="str">
        <v>财务费用</v>
      </c>
      <c r="J1" s="165" t="str">
        <v>人工成本(万)</v>
      </c>
      <c r="K1" s="200" t="s">
        <v>9</v>
      </c>
      <c r="L1" s="193" t="s">
        <v>2</v>
      </c>
      <c r="M1" s="202" t="str">
        <v>净利润/毛利</v>
      </c>
      <c r="N1" s="188" t="str">
        <v>人工成本/收入</v>
      </c>
      <c r="O1" s="191" t="s">
        <v>1</v>
      </c>
      <c r="P1" s="203" t="str">
        <v>人工成本</v>
      </c>
      <c r="Q1" s="188" t="str">
        <v>C1招培</v>
      </c>
      <c r="R1" s="188" t="str">
        <v>C2福利</v>
      </c>
      <c r="S1" s="188" t="str">
        <v>C3保障</v>
      </c>
      <c r="T1" s="198" t="s">
        <v>6</v>
      </c>
      <c r="U1" s="199" t="s">
        <v>7</v>
      </c>
      <c r="V1" s="188" t="str">
        <v>M1存量</v>
      </c>
      <c r="W1" s="188" t="str">
        <v>M2涨薪</v>
      </c>
      <c r="X1" s="188" t="str">
        <v>M3新增</v>
      </c>
      <c r="Y1" s="188" t="str">
        <v>M4补偿</v>
      </c>
      <c r="Z1" s="194" t="str">
        <v>2-奖金包(万)</v>
      </c>
      <c r="AA1" s="201" t="str">
        <v>B1经营奖金包（提成、增量奖金）</v>
      </c>
      <c r="AB1" s="188" t="str">
        <v>B2专项奖金包</v>
      </c>
      <c r="AC1" s="188" t="str">
        <v>B2-1爆单奖</v>
      </c>
      <c r="AD1" s="188" t="str">
        <v>B2-新品商业成功奖</v>
      </c>
      <c r="AE1" s="188" t="str">
        <v>B3-战略突破奖</v>
      </c>
      <c r="AF1" s="192" t="str">
        <v>人数</v>
      </c>
      <c r="AG1" s="197" t="s">
        <v>8</v>
      </c>
      <c r="AH1" s="197" t="str">
        <v>人均创利</v>
      </c>
      <c r="AI1" s="192" t="str">
        <v>人均创收</v>
      </c>
      <c r="AJ1" s="192" t="str">
        <v>人均薪酬增速</v>
      </c>
      <c r="AK1" s="196" t="s">
        <v>5</v>
      </c>
      <c r="AL1" s="196" t="s">
        <v>4</v>
      </c>
      <c r="AM1" s="189" t="str">
        <v>超额利润奖金</v>
      </c>
      <c r="AN1" s="195" t="s">
        <v>3</v>
      </c>
      <c r="AO1" s="189" t="str">
        <v>E/C值</v>
      </c>
      <c r="AP1" s="189" t="str">
        <v>E/R值</v>
      </c>
    </row>
    <row customHeight="true" ht="20" r="2">
      <c r="A2" s="37" t="str">
        <v>22-公司</v>
      </c>
      <c r="B2" s="171">
        <v>8791.7</v>
      </c>
      <c r="C2" s="171">
        <v>5530.12</v>
      </c>
      <c r="D2" s="171">
        <v>3261.58</v>
      </c>
      <c r="E2" s="111">
        <f>D2/B2</f>
      </c>
      <c r="F2" s="173">
        <v>321.36</v>
      </c>
      <c r="G2" s="57"/>
      <c r="H2" s="174">
        <v>128.5</v>
      </c>
      <c r="I2" s="171">
        <v>461.31</v>
      </c>
      <c r="J2" s="175">
        <v>1831.4</v>
      </c>
      <c r="K2" s="175">
        <v>519.01</v>
      </c>
      <c r="L2" s="111">
        <f>K2/B2</f>
      </c>
      <c r="M2" s="179">
        <f>K2/D2</f>
      </c>
      <c r="N2" s="176">
        <f>J2/B2</f>
      </c>
      <c r="O2" s="178">
        <f>T2/B2</f>
      </c>
      <c r="P2" s="70"/>
      <c r="Q2" s="37"/>
      <c r="R2" s="37"/>
      <c r="S2" s="37"/>
      <c r="T2" s="177"/>
      <c r="U2" s="169" t="str">
        <v>1365.2万元</v>
      </c>
      <c r="V2" s="37"/>
      <c r="W2" s="37"/>
      <c r="X2" s="37"/>
      <c r="Y2" s="37"/>
      <c r="Z2" s="172"/>
      <c r="AA2" s="172"/>
      <c r="AB2" s="37"/>
      <c r="AC2" s="37"/>
      <c r="AD2" s="37"/>
      <c r="AE2" s="37"/>
      <c r="AF2" s="37"/>
      <c r="AG2" s="169"/>
      <c r="AH2" s="169"/>
      <c r="AI2" s="169"/>
      <c r="AJ2" s="169"/>
      <c r="AK2" s="37"/>
      <c r="AL2" s="37"/>
      <c r="AM2" s="37"/>
      <c r="AN2" s="170"/>
      <c r="AO2" s="37"/>
      <c r="AP2" s="37"/>
    </row>
    <row customHeight="true" ht="19" r="3">
      <c r="A3" s="204" t="str">
        <v>23-公司</v>
      </c>
      <c r="B3" s="171">
        <v>11796.1</v>
      </c>
      <c r="C3" s="171">
        <v>6848.05</v>
      </c>
      <c r="D3" s="171">
        <v>4948.05</v>
      </c>
      <c r="E3" s="111">
        <f>D3/B3</f>
      </c>
      <c r="F3" s="173">
        <v>757</v>
      </c>
      <c r="G3" s="57"/>
      <c r="H3" s="174">
        <v>146.6</v>
      </c>
      <c r="I3" s="171">
        <v>510.47</v>
      </c>
      <c r="J3" s="175">
        <v>1904.6</v>
      </c>
      <c r="K3" s="175">
        <v>1629.38</v>
      </c>
      <c r="L3" s="111">
        <f>K3/B3</f>
      </c>
      <c r="M3" s="179">
        <f>K3/D3</f>
      </c>
      <c r="N3" s="176">
        <f>J3/B3</f>
      </c>
      <c r="O3" s="178">
        <f>T3/B3</f>
      </c>
      <c r="P3" s="70">
        <f>J3</f>
      </c>
      <c r="Q3" s="37"/>
      <c r="R3" s="37"/>
      <c r="S3" s="37"/>
      <c r="T3" s="70">
        <f>U3+Z3</f>
      </c>
      <c r="U3" s="70">
        <v>950.97</v>
      </c>
      <c r="V3" s="37"/>
      <c r="W3" s="37"/>
      <c r="X3" s="37"/>
      <c r="Y3" s="37"/>
      <c r="Z3" s="172">
        <v>908</v>
      </c>
      <c r="AA3" s="172"/>
      <c r="AB3" s="37"/>
      <c r="AC3" s="37"/>
      <c r="AD3" s="37"/>
      <c r="AE3" s="37"/>
      <c r="AF3" s="37">
        <v>46</v>
      </c>
      <c r="AG3" s="205">
        <f>T3/AF3</f>
      </c>
      <c r="AH3" s="169"/>
      <c r="AI3" s="169"/>
      <c r="AJ3" s="176"/>
      <c r="AK3" s="37"/>
      <c r="AL3" s="37"/>
      <c r="AM3" s="37"/>
      <c r="AN3" s="170"/>
      <c r="AO3" s="37"/>
      <c r="AP3" s="118"/>
    </row>
    <row customHeight="true" ht="24" r="4">
      <c r="A4" s="38" t="str">
        <v>23年比率</v>
      </c>
      <c r="B4" s="56"/>
      <c r="C4" s="38"/>
      <c r="D4" s="38"/>
      <c r="E4" s="39">
        <f>E3</f>
      </c>
      <c r="F4" s="39">
        <f>F3/B3</f>
      </c>
      <c r="G4" s="42"/>
      <c r="H4" s="39">
        <f>H3/B3</f>
      </c>
      <c r="I4" s="39">
        <f>I3/B3</f>
      </c>
      <c r="J4" s="39">
        <f>J3/B3</f>
      </c>
      <c r="K4" s="39">
        <f>K3/B3</f>
      </c>
      <c r="L4" s="39"/>
      <c r="M4" s="55"/>
      <c r="N4" s="41"/>
      <c r="O4" s="48"/>
      <c r="P4" s="54"/>
      <c r="Q4" s="49"/>
      <c r="R4" s="49"/>
      <c r="S4" s="49"/>
      <c r="T4" s="43"/>
      <c r="U4" s="46">
        <f>U3/T3</f>
      </c>
      <c r="V4" s="45"/>
      <c r="W4" s="47"/>
      <c r="X4" s="45"/>
      <c r="Y4" s="47"/>
      <c r="Z4" s="53"/>
      <c r="AA4" s="44"/>
      <c r="AB4" s="40"/>
      <c r="AC4" s="40"/>
      <c r="AD4" s="40"/>
      <c r="AE4" s="40"/>
      <c r="AF4" s="51"/>
      <c r="AG4" s="40"/>
      <c r="AH4" s="40"/>
      <c r="AI4" s="40"/>
      <c r="AJ4" s="52"/>
      <c r="AK4" s="38"/>
      <c r="AL4" s="38"/>
      <c r="AM4" s="38"/>
      <c r="AN4" s="50"/>
      <c r="AO4" s="41"/>
      <c r="AP4" s="41"/>
    </row>
    <row customHeight="true" ht="34" r="5">
      <c r="A5" s="182" t="str">
        <v>24-公司-(1-5月实际)</v>
      </c>
      <c r="B5" s="186">
        <v>5223.6</v>
      </c>
      <c r="C5" s="180">
        <v>3101.74</v>
      </c>
      <c r="D5" s="180">
        <v>2121.86</v>
      </c>
      <c r="E5" s="181">
        <f>D5/B5</f>
      </c>
      <c r="F5" s="180">
        <v>347.07</v>
      </c>
      <c r="G5" s="16"/>
      <c r="H5" s="182">
        <v>110.03</v>
      </c>
      <c r="I5" s="180">
        <v>212.79</v>
      </c>
      <c r="J5" s="185">
        <v>868.6</v>
      </c>
      <c r="K5" s="184">
        <v>584.3</v>
      </c>
      <c r="L5" s="181">
        <f>K5/B5</f>
      </c>
      <c r="M5" s="187">
        <f>K5/D5</f>
      </c>
      <c r="N5" s="183">
        <f>J5/B5</f>
      </c>
      <c r="O5" s="26">
        <f>T5/B5</f>
      </c>
      <c r="P5" s="70">
        <f>J5:J5</f>
      </c>
      <c r="Q5" s="27"/>
      <c r="R5" s="27"/>
      <c r="S5" s="27"/>
      <c r="T5" s="24"/>
      <c r="U5" s="23">
        <v>472.8</v>
      </c>
      <c r="V5" s="17"/>
      <c r="W5" s="18"/>
      <c r="X5" s="17"/>
      <c r="Y5" s="18"/>
      <c r="Z5" s="23">
        <f>J5-U5</f>
      </c>
      <c r="AA5" s="30"/>
      <c r="AB5" s="14"/>
      <c r="AC5" s="14"/>
      <c r="AD5" s="14"/>
      <c r="AE5" s="14"/>
      <c r="AF5" s="31"/>
      <c r="AG5" s="14"/>
      <c r="AH5" s="14"/>
      <c r="AI5" s="14"/>
      <c r="AJ5" s="20"/>
      <c r="AK5" s="21"/>
      <c r="AL5" s="21"/>
      <c r="AM5" s="21"/>
      <c r="AN5" s="33"/>
      <c r="AO5" s="28"/>
      <c r="AP5" s="28"/>
    </row>
    <row customHeight="true" ht="28" r="6">
      <c r="A6" s="64" t="str">
        <v>24-公司-(1-6月实际)-班主任佣金进销售费用</v>
      </c>
      <c r="B6" s="76">
        <v>6285.5</v>
      </c>
      <c r="C6" s="57">
        <v>3903.98</v>
      </c>
      <c r="D6" s="57">
        <f>B6-C6</f>
      </c>
      <c r="E6" s="69">
        <f>D6/B6</f>
      </c>
      <c r="F6" s="57">
        <v>409.86</v>
      </c>
      <c r="G6" s="57">
        <v>29.55</v>
      </c>
      <c r="H6" s="57">
        <v>149.6</v>
      </c>
      <c r="I6" s="57">
        <v>271.05</v>
      </c>
      <c r="J6" s="57">
        <v>694.17</v>
      </c>
      <c r="K6" s="57">
        <f>D6-F6-G6-H6-I6-J6</f>
      </c>
      <c r="L6" s="69">
        <f>K6/B6</f>
      </c>
      <c r="M6" s="69">
        <f>K6/D6</f>
      </c>
      <c r="N6" s="62">
        <f>J6/B6</f>
      </c>
      <c r="P6" s="70">
        <f>J6:J6</f>
      </c>
    </row>
    <row customHeight="true" ht="25" r="7">
      <c r="A7" s="64" t="str">
        <v>24-公司-(1-6月实际)-班主任佣金进人工成本</v>
      </c>
      <c r="B7" s="76">
        <v>6285.5</v>
      </c>
      <c r="C7" s="57">
        <v>3903.98</v>
      </c>
      <c r="D7" s="57">
        <f>B7-C7</f>
      </c>
      <c r="E7" s="69">
        <f>D7/B7</f>
      </c>
      <c r="F7" s="74">
        <v>92.16</v>
      </c>
      <c r="G7" s="57">
        <v>29.55</v>
      </c>
      <c r="H7" s="57">
        <v>149.6</v>
      </c>
      <c r="I7" s="57">
        <v>271.05</v>
      </c>
      <c r="J7" s="75">
        <v>1011.87</v>
      </c>
      <c r="K7" s="57">
        <f>D7-F7-G7-H7-I7-J7</f>
      </c>
      <c r="L7" s="69">
        <f>K7/B7</f>
      </c>
      <c r="M7" s="69">
        <f>K7/D7</f>
      </c>
      <c r="N7" s="62">
        <f>J7/B7</f>
      </c>
      <c r="O7" s="73"/>
      <c r="P7" s="70">
        <f>J7:J7</f>
      </c>
      <c r="Q7" s="71"/>
      <c r="R7" s="71"/>
      <c r="S7" s="71"/>
      <c r="T7" s="66"/>
      <c r="U7" s="66"/>
      <c r="V7" s="61"/>
      <c r="W7" s="72"/>
      <c r="X7" s="61"/>
      <c r="Y7" s="72"/>
      <c r="Z7" s="58"/>
      <c r="AA7" s="77"/>
      <c r="AB7" s="58"/>
      <c r="AC7" s="59"/>
      <c r="AD7" s="59"/>
      <c r="AE7" s="59"/>
      <c r="AF7" s="78"/>
      <c r="AG7" s="65"/>
      <c r="AH7" s="59"/>
      <c r="AI7" s="59"/>
      <c r="AJ7" s="67"/>
      <c r="AK7" s="63"/>
      <c r="AL7" s="63"/>
      <c r="AM7" s="63"/>
      <c r="AN7" s="68"/>
      <c r="AO7" s="60"/>
      <c r="AP7" s="60"/>
    </row>
    <row customHeight="true" ht="25" r="8">
      <c r="A8" s="159"/>
      <c r="B8" s="154"/>
      <c r="C8" s="154"/>
      <c r="D8" s="74"/>
      <c r="E8" s="155"/>
      <c r="F8" s="74"/>
      <c r="G8" s="74"/>
      <c r="H8" s="74"/>
      <c r="I8" s="157"/>
      <c r="J8" s="75"/>
      <c r="K8" s="74"/>
      <c r="L8" s="155"/>
      <c r="M8" s="158"/>
      <c r="N8" s="156"/>
      <c r="O8" s="73"/>
      <c r="P8" s="66"/>
      <c r="Q8" s="71"/>
      <c r="R8" s="71"/>
      <c r="S8" s="71"/>
      <c r="T8" s="66"/>
      <c r="U8" s="66"/>
      <c r="V8" s="61"/>
      <c r="W8" s="72"/>
      <c r="X8" s="61"/>
      <c r="Y8" s="72"/>
      <c r="Z8" s="58"/>
      <c r="AA8" s="77"/>
      <c r="AB8" s="58"/>
      <c r="AC8" s="59"/>
      <c r="AD8" s="59"/>
      <c r="AE8" s="59"/>
      <c r="AF8" s="78"/>
      <c r="AG8" s="65"/>
      <c r="AH8" s="59"/>
      <c r="AI8" s="59"/>
      <c r="AJ8" s="67"/>
      <c r="AK8" s="63"/>
      <c r="AL8" s="63"/>
      <c r="AM8" s="63"/>
      <c r="AN8" s="68"/>
      <c r="AO8" s="60"/>
      <c r="AP8" s="60"/>
    </row>
    <row customHeight="true" ht="51" r="9">
      <c r="A9" s="226" t="str">
        <v>24-公司-挑战目标</v>
      </c>
      <c r="B9" s="222">
        <v>15000</v>
      </c>
      <c r="C9" s="222">
        <f>B9*(1-E10)</f>
      </c>
      <c r="D9" s="212">
        <f>B9-C9</f>
      </c>
      <c r="E9" s="207">
        <f>D9/B9</f>
      </c>
      <c r="F9" s="212">
        <f>B9*F10/B10</f>
      </c>
      <c r="G9" s="212">
        <f>B9*1.5%*50%</f>
      </c>
      <c r="H9" s="212">
        <f>B9*H10/B10</f>
      </c>
      <c r="I9" s="206">
        <f>B9*4%</f>
      </c>
      <c r="J9" s="219">
        <f>D9-F9-G9-H9-I9-K9</f>
      </c>
      <c r="K9" s="212">
        <v>1500</v>
      </c>
      <c r="L9" s="207">
        <v>0.1</v>
      </c>
      <c r="M9" s="208">
        <f>K9/D9</f>
      </c>
      <c r="N9" s="224">
        <f>J9/B9</f>
      </c>
      <c r="O9" s="216">
        <f>T9/B9</f>
      </c>
      <c r="P9" s="219">
        <f>J9</f>
      </c>
      <c r="Q9" s="213"/>
      <c r="R9" s="213"/>
      <c r="S9" s="213"/>
      <c r="T9" s="219">
        <f>P9*90%</f>
      </c>
      <c r="U9" s="219">
        <f>T9*50%</f>
      </c>
      <c r="V9" s="221" t="str">
        <v>最近1个月工资项*12*薪酬包较工资项放大系数*
</v>
      </c>
      <c r="W9" s="214" t="str">
        <v>工资项*调幅*体现时间*薪酬包较工资项放大系数*</v>
      </c>
      <c r="X9" s="221" t="str">
        <v>不同层级人员数量*费率*平均在岗时间
</v>
      </c>
      <c r="Y9" s="214" t="str">
        <v>按往年各层级人员发生数量和发生金额占薪酬包比例计提</v>
      </c>
      <c r="Z9" s="210">
        <f>T9-U9</f>
      </c>
      <c r="AA9" s="209">
        <f>Z9-AB9</f>
      </c>
      <c r="AB9" s="210">
        <v>350</v>
      </c>
      <c r="AC9" s="211" t="str">
        <v>40.0万元</v>
      </c>
      <c r="AD9" s="211" t="str">
        <v>50.0万元</v>
      </c>
      <c r="AE9" s="211" t="str">
        <v>55.0万元</v>
      </c>
      <c r="AF9" s="217">
        <v>60</v>
      </c>
      <c r="AG9" s="220">
        <f>T9/AF9</f>
      </c>
      <c r="AH9" s="211"/>
      <c r="AI9" s="211"/>
      <c r="AJ9" s="223">
        <f>(AG9-AG3)/AG3</f>
      </c>
      <c r="AK9" s="218" t="str">
        <v>Y</v>
      </c>
      <c r="AL9" s="218" t="str">
        <v>Z</v>
      </c>
      <c r="AM9" s="218" t="str">
        <v>#VALUE!</v>
      </c>
      <c r="AN9" s="225" t="str">
        <v>A</v>
      </c>
      <c r="AO9" s="215">
        <v>0.0525</v>
      </c>
      <c r="AP9" s="215">
        <v>0.0147</v>
      </c>
    </row>
    <row customHeight="true" ht="51" r="10">
      <c r="A10" s="139" t="str">
        <v>24-公司-测算</v>
      </c>
      <c r="B10" s="151">
        <v>13000</v>
      </c>
      <c r="C10" s="128">
        <v>7400</v>
      </c>
      <c r="D10" s="134">
        <f>B10-C10</f>
      </c>
      <c r="E10" s="142">
        <f>D10/B10</f>
      </c>
      <c r="F10" s="152">
        <v>750</v>
      </c>
      <c r="G10" s="134">
        <f>B10*1.5%*50%</f>
      </c>
      <c r="H10" s="152">
        <v>160</v>
      </c>
      <c r="I10" s="146">
        <f>B10*4%</f>
      </c>
      <c r="J10" s="135">
        <f>D10-F10-G10-H10-I10-K10</f>
      </c>
      <c r="K10" s="134">
        <v>1300</v>
      </c>
      <c r="L10" s="142">
        <v>0.1</v>
      </c>
      <c r="M10" s="143">
        <f>K10/D10</f>
      </c>
      <c r="N10" s="147">
        <f>J10/B10</f>
      </c>
      <c r="O10" s="149">
        <f>T10/B10</f>
      </c>
      <c r="P10" s="135">
        <f>J10</f>
      </c>
      <c r="Q10" s="129"/>
      <c r="R10" s="129"/>
      <c r="S10" s="129"/>
      <c r="T10" s="135">
        <f>P10*90%</f>
      </c>
      <c r="U10" s="135">
        <f>T10*50%</f>
      </c>
      <c r="V10" s="144" t="str">
        <v>最近1个月工资项*12*薪酬包较工资项放大系数*
</v>
      </c>
      <c r="W10" s="140" t="str">
        <v>工资项*调幅*体现时间*薪酬包较工资项放大系数*</v>
      </c>
      <c r="X10" s="144" t="str">
        <v>不同层级人员数量*费率*平均在岗时间
</v>
      </c>
      <c r="Y10" s="140" t="str">
        <v>按往年各层级人员发生数量和发生金额占薪酬包比例计提</v>
      </c>
      <c r="Z10" s="132">
        <f>T10-U10</f>
      </c>
      <c r="AA10" s="136">
        <f>Z10-AB10</f>
      </c>
      <c r="AB10" s="132">
        <v>350</v>
      </c>
      <c r="AC10" s="130" t="str">
        <v>40.0万元</v>
      </c>
      <c r="AD10" s="130" t="str">
        <v>50.0万元</v>
      </c>
      <c r="AE10" s="130" t="str">
        <v>55.0万元</v>
      </c>
      <c r="AF10" s="150">
        <v>60</v>
      </c>
      <c r="AG10" s="145">
        <f>T10/AF10</f>
      </c>
      <c r="AH10" s="130"/>
      <c r="AI10" s="141"/>
      <c r="AJ10" s="137">
        <f>(AG10-AG3)/AG3</f>
      </c>
      <c r="AK10" s="131" t="str">
        <v>Y</v>
      </c>
      <c r="AL10" s="138" t="str">
        <v>Z</v>
      </c>
      <c r="AM10" s="138" t="str">
        <v>#VALUE!</v>
      </c>
      <c r="AN10" s="133" t="str">
        <v>A</v>
      </c>
      <c r="AO10" s="148">
        <v>0.0525</v>
      </c>
      <c r="AP10" s="148">
        <v>0.0147</v>
      </c>
    </row>
    <row customHeight="true" ht="51" r="11">
      <c r="A11" s="258" t="str">
        <v>24-公司-最低目标</v>
      </c>
      <c r="B11" s="246">
        <v>13000</v>
      </c>
      <c r="C11" s="246">
        <f>B11*60%</f>
      </c>
      <c r="D11" s="238">
        <f>B11-C11</f>
      </c>
      <c r="E11" s="247">
        <f>D11/B11</f>
      </c>
      <c r="F11" s="238">
        <f>B11*6.5%</f>
      </c>
      <c r="G11" s="238">
        <f>B11*1.5%*50%</f>
      </c>
      <c r="H11" s="238">
        <f>B11*2%</f>
      </c>
      <c r="I11" s="255">
        <f>B11*4%</f>
      </c>
      <c r="J11" s="244">
        <f>D11-F11-G11-H11-I11-K11</f>
      </c>
      <c r="K11" s="251">
        <v>1300</v>
      </c>
      <c r="L11" s="247">
        <v>0.1</v>
      </c>
      <c r="M11" s="239">
        <f>K11/D11</f>
      </c>
      <c r="N11" s="240">
        <f>J11/B11</f>
      </c>
      <c r="O11" s="243">
        <f>T11/B11</f>
      </c>
      <c r="P11" s="244">
        <f>J11</f>
      </c>
      <c r="Q11" s="248"/>
      <c r="R11" s="248"/>
      <c r="S11" s="248"/>
      <c r="T11" s="244">
        <f>P11*90%</f>
      </c>
      <c r="U11" s="244">
        <f>T11*50%</f>
      </c>
      <c r="V11" s="252" t="str">
        <v>最近1个月工资项*12*薪酬包较工资项放大系数*
</v>
      </c>
      <c r="W11" s="256" t="str">
        <v>工资项*调幅*体现时间*薪酬包较工资项放大系数*</v>
      </c>
      <c r="X11" s="252" t="str">
        <v>不同层级人员数量*费率*平均在岗时间
</v>
      </c>
      <c r="Y11" s="256" t="str">
        <v>按往年各层级人员发生数量和发生金额占薪酬包比例计提</v>
      </c>
      <c r="Z11" s="257">
        <f>T11-U11</f>
      </c>
      <c r="AA11" s="259">
        <f>Z11-AB11</f>
      </c>
      <c r="AB11" s="257">
        <v>350</v>
      </c>
      <c r="AC11" s="245" t="str">
        <v>40.0万元</v>
      </c>
      <c r="AD11" s="245" t="str">
        <v>50.0万元</v>
      </c>
      <c r="AE11" s="245" t="str">
        <v>55.0万元</v>
      </c>
      <c r="AF11" s="253">
        <v>60</v>
      </c>
      <c r="AG11" s="249">
        <f>T11/AF11</f>
      </c>
      <c r="AH11" s="245"/>
      <c r="AI11" s="260"/>
      <c r="AJ11" s="241">
        <f>(AG11-AG3)/AG3</f>
      </c>
      <c r="AK11" s="254" t="str">
        <v>Y</v>
      </c>
      <c r="AL11" s="242" t="str">
        <v>Z</v>
      </c>
      <c r="AM11" s="242" t="str">
        <v>#VALUE!</v>
      </c>
      <c r="AN11" s="261" t="str">
        <v>A</v>
      </c>
      <c r="AO11" s="250">
        <v>0.0525</v>
      </c>
      <c r="AP11" s="250">
        <v>0.0147</v>
      </c>
    </row>
    <row customHeight="true" hidden="true" ht="21" r="12">
      <c r="A12" s="79" t="str">
        <v>24-公司-(1-5月实际)</v>
      </c>
      <c r="B12" s="112">
        <v>5223.6</v>
      </c>
      <c r="C12" s="160">
        <v>3101.74</v>
      </c>
      <c r="D12" s="160">
        <f>B12-C12</f>
      </c>
      <c r="E12" s="115">
        <f>D12/B12</f>
      </c>
      <c r="F12" s="163">
        <v>347.07</v>
      </c>
      <c r="G12" s="160"/>
      <c r="H12" s="79">
        <v>110.03</v>
      </c>
      <c r="I12" s="163">
        <v>212.79</v>
      </c>
      <c r="J12" s="164">
        <v>868.6</v>
      </c>
      <c r="K12" s="161">
        <v>584.3</v>
      </c>
      <c r="L12" s="115">
        <f>K12/B12</f>
      </c>
      <c r="M12" s="127"/>
      <c r="N12" s="113"/>
      <c r="O12" s="108"/>
      <c r="P12" s="123"/>
      <c r="Q12" s="116"/>
      <c r="R12" s="116"/>
      <c r="S12" s="116"/>
      <c r="T12" s="120"/>
      <c r="U12" s="117"/>
      <c r="V12" s="109"/>
      <c r="W12" s="124"/>
      <c r="X12" s="109"/>
      <c r="Y12" s="124"/>
      <c r="Z12" s="125"/>
      <c r="AA12" s="110"/>
      <c r="AB12" s="114"/>
      <c r="AC12" s="114"/>
      <c r="AD12" s="114"/>
      <c r="AE12" s="114"/>
      <c r="AF12" s="121"/>
      <c r="AG12" s="114"/>
      <c r="AH12" s="114"/>
      <c r="AI12" s="114"/>
      <c r="AJ12" s="162"/>
      <c r="AK12" s="35"/>
      <c r="AL12" s="35"/>
      <c r="AM12" s="35"/>
      <c r="AN12" s="119"/>
      <c r="AO12" s="118"/>
      <c r="AP12" s="118"/>
    </row>
    <row customHeight="true" hidden="true" ht="21" r="13">
      <c r="A13" s="79" t="str">
        <v>24-公司(1-5月)比率</v>
      </c>
      <c r="B13" s="56"/>
      <c r="C13" s="38"/>
      <c r="D13" s="38"/>
      <c r="E13" s="39">
        <f>E12</f>
      </c>
      <c r="F13" s="39">
        <f>F12/$B$12</f>
      </c>
      <c r="G13" s="39">
        <f>G12/$B$12</f>
      </c>
      <c r="H13" s="39">
        <f>H12/$B$12</f>
      </c>
      <c r="I13" s="39">
        <f>I12/$B$12</f>
      </c>
      <c r="J13" s="54"/>
      <c r="K13" s="81"/>
      <c r="L13" s="39"/>
      <c r="M13" s="55"/>
      <c r="N13" s="41"/>
      <c r="O13" s="48"/>
      <c r="P13" s="54"/>
      <c r="Q13" s="49"/>
      <c r="R13" s="49"/>
      <c r="S13" s="49"/>
      <c r="T13" s="43"/>
      <c r="U13" s="80"/>
      <c r="V13" s="45"/>
      <c r="W13" s="47"/>
      <c r="X13" s="45"/>
      <c r="Y13" s="47"/>
      <c r="Z13" s="53"/>
      <c r="AA13" s="44"/>
      <c r="AB13" s="40"/>
      <c r="AC13" s="40"/>
      <c r="AD13" s="40"/>
      <c r="AE13" s="40"/>
      <c r="AF13" s="51"/>
      <c r="AG13" s="40"/>
      <c r="AH13" s="40"/>
      <c r="AI13" s="40"/>
      <c r="AJ13" s="52"/>
      <c r="AK13" s="38"/>
      <c r="AL13" s="38"/>
      <c r="AM13" s="38"/>
      <c r="AN13" s="50"/>
      <c r="AO13" s="41"/>
      <c r="AP13" s="41"/>
    </row>
    <row customHeight="true" hidden="true" ht="21" r="14">
      <c r="A14" s="98" t="str">
        <v>24-公司-原科目</v>
      </c>
      <c r="B14" s="94">
        <v>15000</v>
      </c>
      <c r="C14" s="94">
        <f>B14-D14</f>
      </c>
      <c r="D14" s="90">
        <v>4800</v>
      </c>
      <c r="E14" s="89">
        <f>D14/B14</f>
      </c>
      <c r="F14" s="89"/>
      <c r="G14" s="90"/>
      <c r="H14" s="90">
        <v>200</v>
      </c>
      <c r="I14" s="104"/>
      <c r="J14" s="88">
        <v>2500</v>
      </c>
      <c r="K14" s="101">
        <v>1500</v>
      </c>
      <c r="L14" s="89">
        <v>0.1</v>
      </c>
      <c r="M14" s="91">
        <f>K14/D14</f>
      </c>
      <c r="N14" s="96">
        <f>J14/B14</f>
      </c>
      <c r="O14" s="92"/>
      <c r="P14" s="88">
        <f>J14</f>
      </c>
      <c r="Q14" s="93"/>
      <c r="R14" s="93"/>
      <c r="S14" s="93"/>
      <c r="T14" s="88">
        <f>P14*85%</f>
      </c>
      <c r="U14" s="99"/>
      <c r="V14" s="100" t="str">
        <v>最近1个月工资项*12*薪酬包较工资项放大系数*
</v>
      </c>
      <c r="W14" s="84" t="str">
        <v>工资项*调幅*体现时间*薪酬包较工资项放大系数*</v>
      </c>
      <c r="X14" s="100" t="str">
        <v>不同层级人员数量*费率*平均在岗时间
</v>
      </c>
      <c r="Y14" s="84" t="str">
        <v>按往年各层级人员发生数量和发生金额占薪酬包比例计提</v>
      </c>
      <c r="Z14" s="82">
        <v>600</v>
      </c>
      <c r="AA14" s="97"/>
      <c r="AB14" s="83"/>
      <c r="AC14" s="83" t="str">
        <v>40.0万元</v>
      </c>
      <c r="AD14" s="83" t="str">
        <v>50.0万元</v>
      </c>
      <c r="AE14" s="83" t="str">
        <v>55.0万元</v>
      </c>
      <c r="AF14" s="85">
        <v>60</v>
      </c>
      <c r="AG14" s="86"/>
      <c r="AH14" s="83"/>
      <c r="AI14" s="83"/>
      <c r="AJ14" s="102"/>
      <c r="AK14" s="87" t="str">
        <v>Y</v>
      </c>
      <c r="AL14" s="87" t="str">
        <v>Z</v>
      </c>
      <c r="AM14" s="87" t="str">
        <v>#VALUE!</v>
      </c>
      <c r="AN14" s="103" t="str">
        <v>A</v>
      </c>
      <c r="AO14" s="95">
        <v>0.0525</v>
      </c>
      <c r="AP14" s="95">
        <v>0.0147</v>
      </c>
    </row>
    <row customHeight="true" hidden="true" ht="21" r="15">
      <c r="A15" s="38"/>
      <c r="B15" s="56"/>
      <c r="C15" s="38"/>
      <c r="D15" s="38"/>
      <c r="E15" s="39"/>
      <c r="F15" s="38"/>
      <c r="G15" s="38"/>
      <c r="H15" s="38"/>
      <c r="I15" s="38"/>
      <c r="J15" s="54"/>
      <c r="K15" s="81"/>
      <c r="L15" s="39"/>
      <c r="M15" s="55"/>
      <c r="N15" s="41"/>
      <c r="O15" s="48"/>
      <c r="P15" s="54"/>
      <c r="Q15" s="49"/>
      <c r="R15" s="49"/>
      <c r="S15" s="49"/>
      <c r="T15" s="43"/>
      <c r="U15" s="80"/>
      <c r="V15" s="45"/>
      <c r="W15" s="47"/>
      <c r="X15" s="45"/>
      <c r="Y15" s="47"/>
      <c r="Z15" s="53"/>
      <c r="AA15" s="44"/>
      <c r="AB15" s="40"/>
      <c r="AC15" s="40"/>
      <c r="AD15" s="40"/>
      <c r="AE15" s="40"/>
      <c r="AF15" s="51"/>
      <c r="AG15" s="40"/>
      <c r="AH15" s="40"/>
      <c r="AI15" s="40"/>
      <c r="AJ15" s="52"/>
      <c r="AK15" s="38"/>
      <c r="AL15" s="38"/>
      <c r="AM15" s="38"/>
      <c r="AN15" s="50"/>
      <c r="AO15" s="41"/>
      <c r="AP15" s="41"/>
    </row>
    <row customHeight="true" ht="23" r="16">
      <c r="A16" s="153" t="str">
        <v>前端</v>
      </c>
      <c r="C16" s="6">
        <v>400</v>
      </c>
      <c r="F16" s="6">
        <v>200</v>
      </c>
      <c r="H16" s="6">
        <v>100</v>
      </c>
    </row>
    <row customHeight="true" ht="23" r="17">
      <c r="A17" s="153" t="str">
        <v>后端</v>
      </c>
    </row>
    <row customHeight="true" ht="23" r="18">
      <c r="A18" s="6" t="str">
        <v>成本结构要调整，多点小老师，要多出400万利润</v>
      </c>
    </row>
    <row customHeight="true" hidden="true" ht="40" r="19">
      <c r="A19" s="79" t="str">
        <v>24-公司(1-5月)</v>
      </c>
      <c r="B19" s="112">
        <v>5223.6</v>
      </c>
      <c r="C19" s="112">
        <v>3661.6</v>
      </c>
      <c r="D19" s="105">
        <v>1563.2</v>
      </c>
      <c r="E19" s="111">
        <f>D19/B19</f>
      </c>
      <c r="F19" s="115"/>
      <c r="G19" s="105"/>
      <c r="H19" s="105">
        <v>110.03</v>
      </c>
      <c r="I19" s="106"/>
      <c r="J19" s="107">
        <v>868.6</v>
      </c>
      <c r="K19" s="126">
        <v>584.3</v>
      </c>
      <c r="L19" s="115">
        <f>K19/B19</f>
      </c>
      <c r="M19" s="127">
        <f>K19/D19</f>
      </c>
      <c r="N19" s="113">
        <f>J19/B19</f>
      </c>
      <c r="O19" s="108"/>
      <c r="P19" s="123"/>
      <c r="Q19" s="116"/>
      <c r="R19" s="116"/>
      <c r="S19" s="116"/>
      <c r="T19" s="120"/>
      <c r="U19" s="117"/>
      <c r="V19" s="109" t="str">
        <v>最近1个月工资项*12*薪酬包较工资项放大系数*
</v>
      </c>
      <c r="W19" s="124" t="str">
        <v>工资项*调幅*体现时间*薪酬包较工资项放大系数*</v>
      </c>
      <c r="X19" s="109" t="str">
        <v>不同层级人员数量*费率*平均在岗时间
</v>
      </c>
      <c r="Y19" s="124" t="str">
        <v>按往年各层级人员发生数量和发生金额占薪酬包比例计提</v>
      </c>
      <c r="Z19" s="125"/>
      <c r="AA19" s="110"/>
      <c r="AB19" s="114"/>
      <c r="AC19" s="114" t="str">
        <v>40.0万元</v>
      </c>
      <c r="AD19" s="114" t="str">
        <v>50.0万元</v>
      </c>
      <c r="AE19" s="114" t="str">
        <v>55.0万元</v>
      </c>
      <c r="AF19" s="121"/>
      <c r="AG19" s="114"/>
      <c r="AH19" s="114"/>
      <c r="AI19" s="114"/>
      <c r="AJ19" s="122"/>
      <c r="AK19" s="35" t="str">
        <v>Y</v>
      </c>
      <c r="AL19" s="35" t="str">
        <v>Z</v>
      </c>
      <c r="AM19" s="35" t="str">
        <v>#VALUE!</v>
      </c>
      <c r="AN19" s="119" t="str">
        <v>A</v>
      </c>
      <c r="AO19" s="118">
        <v>0.0525</v>
      </c>
      <c r="AP19" s="118">
        <v>0.0147</v>
      </c>
    </row>
    <row customHeight="true" hidden="true" ht="21" r="20">
      <c r="A20" s="228"/>
      <c r="B20" s="229"/>
      <c r="C20" s="231">
        <f>C12/B12</f>
      </c>
      <c r="D20" s="227"/>
      <c r="E20" s="227"/>
      <c r="F20" s="227">
        <f>F12/B12</f>
      </c>
      <c r="G20" s="227"/>
      <c r="H20" s="227"/>
      <c r="I20" s="227">
        <f>I12/B12</f>
      </c>
      <c r="J20" s="227"/>
      <c r="K20" s="227">
        <f>K12/B12</f>
      </c>
      <c r="L20" s="34"/>
      <c r="M20" s="34"/>
      <c r="N20" s="34"/>
      <c r="O20" s="34"/>
      <c r="P20" s="34"/>
      <c r="Q20" s="34"/>
      <c r="R20" s="34"/>
      <c r="S20" s="34"/>
      <c r="T20" s="233"/>
      <c r="U20" s="34"/>
      <c r="V20" s="230"/>
      <c r="W20" s="34"/>
      <c r="X20" s="34"/>
      <c r="Y20" s="34"/>
      <c r="Z20" s="36"/>
      <c r="AA20" s="232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</row>
    <row customHeight="true" ht="21" r="21">
      <c r="A21" s="236" t="str">
        <v>餐饮学院（2024年1-5月实际）</v>
      </c>
      <c r="B21" s="235">
        <v>184.6</v>
      </c>
      <c r="C21" s="235">
        <v>131.4</v>
      </c>
      <c r="D21" s="234">
        <v>53.2</v>
      </c>
      <c r="E21" s="237">
        <f>D21/B21</f>
      </c>
      <c r="F21" s="234"/>
      <c r="G21" s="234">
        <f>B12*1.5%</f>
      </c>
      <c r="H21" s="234">
        <v>2.7</v>
      </c>
      <c r="I21" s="234">
        <f>B12*4%</f>
      </c>
      <c r="J21" s="262">
        <v>50.12</v>
      </c>
      <c r="K21" s="234">
        <f>D21-H21-J21</f>
      </c>
      <c r="L21" s="237">
        <f>K21/B21</f>
      </c>
      <c r="M21" s="237">
        <f>K21/D21</f>
      </c>
      <c r="N21" s="34"/>
      <c r="O21" s="34"/>
      <c r="P21" s="34"/>
      <c r="Q21" s="34"/>
      <c r="R21" s="34"/>
      <c r="S21" s="34"/>
      <c r="T21" s="233"/>
      <c r="U21" s="34"/>
      <c r="V21" s="230"/>
      <c r="W21" s="34"/>
      <c r="X21" s="34"/>
      <c r="Y21" s="34"/>
      <c r="Z21" s="36"/>
      <c r="AA21" s="232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</row>
    <row customHeight="true" ht="21" r="22">
      <c r="A22" s="236" t="str">
        <v>流程课题（2024年1-5月实际）</v>
      </c>
      <c r="B22" s="235">
        <v>163.65</v>
      </c>
      <c r="C22" s="235">
        <v>118.46</v>
      </c>
      <c r="D22" s="234">
        <v>45.19</v>
      </c>
      <c r="E22" s="237">
        <f>D22/B22</f>
      </c>
      <c r="F22" s="234"/>
      <c r="G22" s="234"/>
      <c r="H22" s="234">
        <v>1.34</v>
      </c>
      <c r="I22" s="234"/>
      <c r="J22" s="234">
        <v>67.67</v>
      </c>
      <c r="K22" s="234">
        <f>D22-H22-J22</f>
      </c>
      <c r="L22" s="237">
        <f>K22/B22</f>
      </c>
      <c r="M22" s="237">
        <f>K22/D22</f>
      </c>
      <c r="N22" s="34"/>
      <c r="O22" s="34"/>
      <c r="P22" s="34"/>
      <c r="Q22" s="34"/>
      <c r="R22" s="34"/>
      <c r="S22" s="34"/>
      <c r="T22" s="233"/>
      <c r="U22" s="34"/>
      <c r="V22" s="230"/>
      <c r="W22" s="34"/>
      <c r="X22" s="34"/>
      <c r="Y22" s="34"/>
      <c r="Z22" s="36"/>
      <c r="AA22" s="232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</row>
    <row customHeight="true" ht="21" r="23">
      <c r="A23" s="236" t="str">
        <v>定位课题（2024年1-5月实际）</v>
      </c>
      <c r="B23" s="235">
        <v>259.8</v>
      </c>
      <c r="C23" s="235">
        <f>B23-D23</f>
      </c>
      <c r="D23" s="234">
        <v>36.79</v>
      </c>
      <c r="E23" s="237">
        <f>D23/B23</f>
      </c>
      <c r="F23" s="234"/>
      <c r="G23" s="234"/>
      <c r="H23" s="234"/>
      <c r="I23" s="234"/>
      <c r="J23" s="234">
        <v>7.42</v>
      </c>
      <c r="K23" s="234">
        <v>29.38</v>
      </c>
      <c r="L23" s="237">
        <f>K23/B23</f>
      </c>
      <c r="M23" s="237">
        <f>K23/D23</f>
      </c>
      <c r="N23" s="34"/>
      <c r="O23" s="34"/>
      <c r="P23" s="34"/>
      <c r="Q23" s="34"/>
      <c r="R23" s="34"/>
      <c r="S23" s="34"/>
      <c r="T23" s="233"/>
      <c r="U23" s="34"/>
      <c r="V23" s="230"/>
      <c r="W23" s="34"/>
      <c r="X23" s="34"/>
      <c r="Y23" s="34"/>
      <c r="Z23" s="36"/>
      <c r="AA23" s="232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</row>
    <row customHeight="true" ht="26" r="24">
      <c r="A24" s="29"/>
      <c r="B24" s="15"/>
      <c r="C24" s="12"/>
      <c r="D24" s="12"/>
      <c r="E24" s="19"/>
      <c r="F24" s="12"/>
      <c r="G24" s="16"/>
      <c r="H24" s="29"/>
      <c r="I24" s="12"/>
      <c r="J24" s="22"/>
      <c r="K24" s="23"/>
      <c r="L24" s="19"/>
      <c r="M24" s="32"/>
      <c r="N24" s="25"/>
      <c r="O24" s="26"/>
      <c r="P24" s="13"/>
      <c r="Q24" s="27"/>
      <c r="R24" s="27"/>
      <c r="S24" s="27"/>
      <c r="T24" s="24"/>
      <c r="U24" s="23"/>
      <c r="V24" s="17"/>
      <c r="W24" s="18"/>
      <c r="X24" s="17"/>
      <c r="Y24" s="18"/>
      <c r="Z24" s="23"/>
      <c r="AA24" s="30"/>
      <c r="AB24" s="14"/>
      <c r="AC24" s="14"/>
      <c r="AD24" s="14"/>
      <c r="AE24" s="14"/>
      <c r="AF24" s="31"/>
      <c r="AG24" s="14"/>
      <c r="AH24" s="14"/>
      <c r="AI24" s="14"/>
      <c r="AJ24" s="20"/>
      <c r="AK24" s="21"/>
      <c r="AL24" s="21"/>
      <c r="AM24" s="21"/>
      <c r="AN24" s="33"/>
      <c r="AO24" s="28"/>
      <c r="AP24" s="28"/>
    </row>
    <row customHeight="true" ht="26" r="25">
      <c r="A25" s="29"/>
      <c r="B25" s="166"/>
      <c r="C25" s="6"/>
      <c r="E25" s="19"/>
      <c r="F25" s="6"/>
      <c r="G25" s="6"/>
      <c r="H25" s="6"/>
      <c r="I25" s="6"/>
      <c r="J25" s="6"/>
      <c r="L25" s="19"/>
      <c r="M25" s="32"/>
      <c r="N25" s="25"/>
    </row>
    <row customHeight="true" ht="26" r="26">
      <c r="A26" s="34" t="str">
        <v>成本科目包括：资料、课酬；</v>
      </c>
    </row>
    <row customHeight="true" ht="17" r="27">
      <c r="A27" s="34" t="str">
        <v>运营费科目包括：餐费（含茶歇、水费）、宣传费（含摄影）、场租费、老师差旅、小助理</v>
      </c>
    </row>
    <row customHeight="true" ht="17" r="28">
      <c r="A28" s="34" t="str">
        <v>管理费科目包括：管理人员差旅费、咨询费、品牌，外包人员的服务费</v>
      </c>
    </row>
    <row customHeight="true" ht="17" r="29">
      <c r="A29" s="34" t="str">
        <v>研发费科目包括：技术与产品消耗费用；AI采购、产品组外出听课、服务器、技术团队的费用、技术外包人员的工资不进薪酬包</v>
      </c>
    </row>
    <row customHeight="true" ht="17" r="30">
      <c r="A30" s="34" t="str">
        <v>财税费：略</v>
      </c>
    </row>
    <row customHeight="true" ht="17" r="31">
      <c r="A31" s="165" t="str">
        <v>时间</v>
      </c>
      <c r="B31" s="165" t="str">
        <v>原成本金额</v>
      </c>
      <c r="C31" s="35"/>
      <c r="D31" s="35" t="str">
        <v>成本</v>
      </c>
      <c r="E31" s="35" t="str">
        <v>运营费</v>
      </c>
      <c r="F31" s="35" t="str">
        <v>管理费</v>
      </c>
      <c r="G31" s="35" t="str">
        <v>研发费</v>
      </c>
      <c r="H31" s="35" t="str">
        <v>后端课酬</v>
      </c>
      <c r="I31" s="35" t="str">
        <v>税金</v>
      </c>
      <c r="J31" s="34" t="str">
        <v>进入工资的成本部分</v>
      </c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6"/>
      <c r="AA31" s="36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</row>
    <row customHeight="true" ht="17" r="32">
      <c r="A32" s="37" t="str">
        <v>22-公司</v>
      </c>
      <c r="B32" s="35">
        <v>6312.79</v>
      </c>
      <c r="C32" s="35"/>
      <c r="D32" s="35">
        <v>2848.18</v>
      </c>
      <c r="E32" s="35">
        <v>97.5</v>
      </c>
      <c r="F32" s="35">
        <v>196.91</v>
      </c>
      <c r="G32" s="35">
        <v>26.95</v>
      </c>
      <c r="H32" s="35">
        <v>2681.94</v>
      </c>
      <c r="I32" s="35">
        <v>461.31</v>
      </c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6"/>
      <c r="AA32" s="36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</row>
    <row customHeight="true" ht="17" r="33">
      <c r="A33" s="37" t="str">
        <v>23-公司</v>
      </c>
      <c r="B33" s="35">
        <v>8115.52</v>
      </c>
      <c r="C33" s="35"/>
      <c r="D33" s="35">
        <f>3623.03+500</f>
      </c>
      <c r="E33" s="35">
        <v>181.18</v>
      </c>
      <c r="F33" s="35">
        <v>495.58</v>
      </c>
      <c r="G33" s="35">
        <v>80.24</v>
      </c>
      <c r="H33" s="35">
        <v>2725.02</v>
      </c>
      <c r="I33" s="35">
        <f>1010.47-500</f>
      </c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6"/>
      <c r="AA33" s="36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</row>
    <row customHeight="true" ht="17" r="34">
      <c r="A34" s="37" t="str">
        <v>24-公司-（1-5月）</v>
      </c>
      <c r="B34" s="35">
        <v>3661.6</v>
      </c>
      <c r="C34" s="35"/>
      <c r="D34" s="35">
        <v>1670.35</v>
      </c>
      <c r="E34" s="35">
        <v>89.19</v>
      </c>
      <c r="F34" s="35">
        <v>208.38</v>
      </c>
      <c r="G34" s="35">
        <v>49.5</v>
      </c>
      <c r="H34" s="35">
        <v>1431.39</v>
      </c>
      <c r="I34" s="35">
        <v>212.79</v>
      </c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6"/>
      <c r="AA34" s="36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</row>
    <row customHeight="true" ht="17" r="35">
      <c r="A35" s="37" t="str">
        <v>24-公司-（1-6月）</v>
      </c>
      <c r="B35" s="166">
        <v>4299.6</v>
      </c>
      <c r="C35" s="34"/>
      <c r="D35" s="167">
        <v>13677432.56</v>
      </c>
      <c r="E35" s="167">
        <v>921582.27</v>
      </c>
      <c r="F35" s="167">
        <v>1495969.06</v>
      </c>
      <c r="G35" s="167">
        <v>295452.5</v>
      </c>
      <c r="H35" s="167">
        <v>25362332.76</v>
      </c>
      <c r="I35" s="167">
        <v>2710505.37</v>
      </c>
      <c r="J35" s="168">
        <v>324386.34</v>
      </c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6"/>
      <c r="AA35" s="36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</row>
    <row customHeight="true" ht="17" r="36">
      <c r="A36" s="34" t="str">
        <v>原成本金额=成本+运营费+后端课酬+税金+进入工资的成本部分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6"/>
      <c r="AA36" s="36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</row>
    <row customHeight="true" ht="17" r="37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6"/>
      <c r="AA37" s="36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</row>
    <row customHeight="true" ht="17" r="38">
      <c r="A38" s="34" t="str">
        <v>备注：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6"/>
      <c r="AA38" s="36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</row>
    <row customHeight="true" ht="17" r="39">
      <c r="A39" s="34" t="str">
        <v>1.吊滞：原来一直没有识别这个部分，暂无数据；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6"/>
      <c r="AA39" s="36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</row>
    <row r="40">
      <c r="A40" s="34" t="str">
        <v>2.销售费用：原来记入此处的是班主任们的佣金，佣金归入人工成本后，此处暂无数据；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6"/>
      <c r="AA40" s="36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</row>
    <row r="41">
      <c r="A41" s="34" t="str">
        <v>3.财务费用：我们有少量利息收入及对外支付的手续费等，金额较小，暂不填写；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6"/>
      <c r="AA41" s="36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</row>
    <row r="42">
      <c r="A42" s="34" t="str">
        <v>4.人工成本：含班主任佣金、公司员工工资、五险一金、保险费等。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6"/>
      <c r="AA42" s="36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</row>
    <row r="43">
      <c r="A43" s="34" t="str">
        <v>5.餐饮学院、流程课题、定位课题的数据，是2024年1-5月实际数据，感觉预计数据不好估啊。</v>
      </c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6"/>
      <c r="AA43" s="36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</row>
  </sheetData>
  <legacyDrawing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8"/>
    <col collapsed="false" customWidth="true" hidden="false" max="2" min="2" style="0" width="16"/>
    <col collapsed="false" customWidth="true" hidden="false" max="3" min="3" style="0" width="13"/>
    <col collapsed="false" customWidth="true" hidden="true" max="3" min="3" style="0" width="13"/>
    <col collapsed="false" customWidth="true" hidden="false" max="4" min="4" style="0" width="17"/>
    <col collapsed="false" customWidth="true" hidden="true" max="4" min="4" style="0" width="17"/>
    <col collapsed="false" customWidth="true" hidden="false" max="5" min="5" style="0" width="17"/>
    <col collapsed="false" customWidth="true" hidden="true" max="5" min="5" style="0" width="17"/>
    <col collapsed="false" customWidth="true" hidden="false" max="6" min="6" style="0" width="17"/>
    <col collapsed="false" customWidth="true" hidden="true" max="6" min="6" style="0" width="17"/>
    <col collapsed="false" customWidth="true" hidden="false" max="7" min="7" style="0" width="17"/>
    <col collapsed="false" customWidth="true" hidden="true" max="7" min="7" style="0" width="17"/>
    <col collapsed="false" customWidth="true" hidden="false" max="8" min="8" style="0" width="17"/>
    <col collapsed="false" customWidth="true" hidden="true" max="8" min="8" style="0" width="17"/>
    <col collapsed="false" customWidth="true" hidden="false" max="9" min="9" style="0" width="17"/>
    <col collapsed="false" customWidth="true" hidden="true" max="9" min="9" style="0" width="17"/>
    <col collapsed="false" customWidth="true" hidden="false" max="10" min="10" style="0" width="17"/>
    <col collapsed="false" customWidth="true" hidden="true" max="10" min="10" style="0" width="17"/>
    <col collapsed="false" customWidth="true" hidden="false" max="11" min="11" style="0" width="17"/>
    <col collapsed="false" customWidth="true" hidden="true" max="11" min="11" style="0" width="17"/>
    <col collapsed="false" customWidth="true" hidden="false" max="12" min="12" style="0" width="11"/>
    <col collapsed="false" customWidth="true" hidden="true" max="12" min="12" style="0" width="11"/>
    <col collapsed="false" customWidth="true" hidden="false" max="13" min="13" style="0" width="11"/>
    <col collapsed="false" customWidth="true" hidden="true" max="13" min="13" style="0" width="11"/>
    <col collapsed="false" customWidth="true" hidden="false" max="14" min="14" style="0" width="11"/>
    <col collapsed="false" customWidth="true" hidden="true" max="14" min="14" style="0" width="11"/>
    <col collapsed="false" customWidth="true" hidden="false" max="15" min="15" style="0" width="14"/>
    <col collapsed="false" customWidth="true" hidden="false" max="16" min="16" style="0" width="17"/>
    <col collapsed="false" customWidth="true" hidden="true" max="16" min="16" style="0" width="17"/>
    <col collapsed="false" customWidth="true" hidden="false" max="17" min="17" style="0" width="13"/>
    <col collapsed="false" customWidth="true" hidden="true" max="17" min="17" style="0" width="13"/>
    <col collapsed="false" customWidth="true" hidden="false" max="18" min="18" style="0" width="12"/>
    <col collapsed="false" customWidth="true" hidden="true" max="18" min="18" style="0" width="12"/>
    <col collapsed="false" customWidth="true" hidden="false" max="19" min="19" style="0" width="12"/>
    <col collapsed="false" customWidth="true" hidden="true" max="19" min="19" style="0" width="12"/>
    <col collapsed="false" customWidth="true" hidden="false" max="20" min="20" style="0" width="13"/>
    <col collapsed="false" customWidth="true" hidden="true" max="20" min="20" style="0" width="13"/>
    <col collapsed="false" customWidth="true" hidden="false" max="21" min="21" style="0" width="15"/>
    <col collapsed="false" customWidth="true" hidden="false" max="22" min="22" style="0" width="14"/>
  </cols>
  <sheetData>
    <row customHeight="true" ht="38" r="1">
      <c r="A1" s="282" t="str">
        <v>2023年SMX人力成本与费用分析表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3"/>
      <c r="M1" s="283"/>
      <c r="N1" s="283"/>
      <c r="O1" s="282"/>
      <c r="P1" s="270"/>
      <c r="Q1" s="266"/>
      <c r="R1" s="266"/>
      <c r="S1" s="266"/>
      <c r="T1" s="266"/>
      <c r="U1" s="267"/>
      <c r="V1" s="267"/>
    </row>
    <row customHeight="true" ht="31" r="2">
      <c r="A2" s="263" t="str">
        <v>-</v>
      </c>
      <c r="B2" s="264"/>
      <c r="C2" s="264" t="str">
        <v>1月</v>
      </c>
      <c r="D2" s="264" t="str">
        <v>2月</v>
      </c>
      <c r="E2" s="264" t="str">
        <v>3月</v>
      </c>
      <c r="F2" s="264" t="str">
        <v>4月</v>
      </c>
      <c r="G2" s="264" t="str">
        <v>5月</v>
      </c>
      <c r="H2" s="264" t="str">
        <v>6月</v>
      </c>
      <c r="I2" s="264" t="str">
        <v>7月</v>
      </c>
      <c r="J2" s="264" t="str">
        <v>8月</v>
      </c>
      <c r="K2" s="264" t="str">
        <v>9月</v>
      </c>
      <c r="L2" s="265" t="str">
        <v>10月</v>
      </c>
      <c r="M2" s="265" t="str">
        <v>11月</v>
      </c>
      <c r="N2" s="268" t="str">
        <v>12月</v>
      </c>
      <c r="O2" s="269" t="str">
        <v>1-12月</v>
      </c>
      <c r="P2" s="270"/>
      <c r="Q2" s="266"/>
      <c r="R2" s="266"/>
      <c r="S2" s="266"/>
      <c r="T2" s="266"/>
      <c r="U2" s="267" t="str">
        <v>人工成本</v>
      </c>
      <c r="V2" s="267" t="str">
        <v>占比</v>
      </c>
    </row>
    <row customHeight="true" ht="31" r="3">
      <c r="A3" s="305" t="str">
        <v>在岗人数（期初+期末）/2</v>
      </c>
      <c r="B3" s="302"/>
      <c r="C3" s="281">
        <v>113</v>
      </c>
      <c r="D3" s="281">
        <v>112.5</v>
      </c>
      <c r="E3" s="281">
        <v>112.5</v>
      </c>
      <c r="F3" s="281">
        <v>112.5</v>
      </c>
      <c r="G3" s="304">
        <v>112.5</v>
      </c>
      <c r="H3" s="304">
        <v>108.5</v>
      </c>
      <c r="I3" s="281">
        <v>106</v>
      </c>
      <c r="J3" s="304">
        <v>105.5</v>
      </c>
      <c r="K3" s="304">
        <v>104</v>
      </c>
      <c r="L3" s="271">
        <f>AVERAGE(C3:K3)</f>
      </c>
      <c r="M3" s="271">
        <f>AVERAGE(D3:L3)</f>
      </c>
      <c r="N3" s="271">
        <f>AVERAGE(E3:M3)</f>
      </c>
      <c r="O3" s="303">
        <f>SUM(C3:N3)/12</f>
      </c>
      <c r="P3" s="270">
        <v>109.575274348423</v>
      </c>
      <c r="Q3" s="266"/>
      <c r="R3" s="266"/>
      <c r="S3" s="266"/>
      <c r="T3" s="266"/>
      <c r="U3" s="267"/>
      <c r="V3" s="267"/>
    </row>
    <row customHeight="true" ht="31" r="4">
      <c r="A4" s="276" t="str">
        <v>1、工资总额（应发工资总额）</v>
      </c>
      <c r="B4" s="272"/>
      <c r="C4" s="272">
        <f>1043966.15</f>
      </c>
      <c r="D4" s="272">
        <v>1043657.44</v>
      </c>
      <c r="E4" s="272">
        <v>1149903.14</v>
      </c>
      <c r="F4" s="272">
        <v>1111808.14</v>
      </c>
      <c r="G4" s="272">
        <v>1088210.67</v>
      </c>
      <c r="H4" s="272">
        <v>1312652.77</v>
      </c>
      <c r="I4" s="272">
        <v>1096958.37</v>
      </c>
      <c r="J4" s="272">
        <v>1066846.91</v>
      </c>
      <c r="K4" s="272">
        <v>1104782.78</v>
      </c>
      <c r="L4" s="271">
        <f>AVERAGE(C4:K4)</f>
      </c>
      <c r="M4" s="271">
        <f>AVERAGE(D4:L4)</f>
      </c>
      <c r="N4" s="271">
        <f>AVERAGE(E4:M4)</f>
      </c>
      <c r="O4" s="275">
        <f>SUM(C4:N4)</f>
      </c>
      <c r="P4" s="270">
        <v>13382348.293155</v>
      </c>
      <c r="Q4" s="266" t="str">
        <v>人数</v>
      </c>
      <c r="R4" s="266"/>
      <c r="S4" s="293">
        <f>O3</f>
      </c>
      <c r="T4" s="266"/>
      <c r="U4" s="267"/>
      <c r="V4" s="267"/>
    </row>
    <row customHeight="true" ht="31" r="5">
      <c r="A5" s="287" t="str">
        <v>1.1 基本工资总额</v>
      </c>
      <c r="B5" s="288" t="str">
        <v>工资包</v>
      </c>
      <c r="C5" s="288">
        <v>841600</v>
      </c>
      <c r="D5" s="288">
        <v>844910.54</v>
      </c>
      <c r="E5" s="288">
        <v>847499.85</v>
      </c>
      <c r="F5" s="284">
        <v>858665.24</v>
      </c>
      <c r="G5" s="284">
        <v>853822.73</v>
      </c>
      <c r="H5" s="284">
        <v>849417.01</v>
      </c>
      <c r="I5" s="284">
        <v>808607.94</v>
      </c>
      <c r="J5" s="284">
        <v>815241.83</v>
      </c>
      <c r="K5" s="284">
        <v>796225.02</v>
      </c>
      <c r="L5" s="271">
        <f>AVERAGE(C5:K5)</f>
      </c>
      <c r="M5" s="271">
        <f>AVERAGE(D5:L5)</f>
      </c>
      <c r="N5" s="271">
        <f>AVERAGE(E5:M5)</f>
      </c>
      <c r="O5" s="285">
        <f>SUM(C5:N5)</f>
      </c>
      <c r="P5" s="270">
        <f>O5</f>
      </c>
      <c r="Q5" s="267" t="str">
        <v>薪酬包</v>
      </c>
      <c r="R5" s="266" t="str">
        <v>工资包</v>
      </c>
      <c r="S5" s="286">
        <f>O5+O6+O10+O12</f>
      </c>
      <c r="T5" s="266"/>
      <c r="U5" s="267">
        <f>O5</f>
      </c>
      <c r="V5" s="292">
        <f>U5/U17</f>
      </c>
    </row>
    <row customHeight="true" ht="31" r="6">
      <c r="A6" s="287" t="str">
        <v>1.2 绩效工资总额</v>
      </c>
      <c r="B6" s="288" t="str">
        <v>工资包</v>
      </c>
      <c r="C6" s="284">
        <v>138881.41</v>
      </c>
      <c r="D6" s="284">
        <v>140093.66</v>
      </c>
      <c r="E6" s="284">
        <v>229759.18</v>
      </c>
      <c r="F6" s="284">
        <v>187592.66</v>
      </c>
      <c r="G6" s="284">
        <v>189089.77</v>
      </c>
      <c r="H6" s="284">
        <v>276176.08</v>
      </c>
      <c r="I6" s="284">
        <v>184736.43</v>
      </c>
      <c r="J6" s="284">
        <v>178059.73</v>
      </c>
      <c r="K6" s="284">
        <v>255560.7</v>
      </c>
      <c r="L6" s="271">
        <f>AVERAGE(C6:K6)</f>
      </c>
      <c r="M6" s="271">
        <f>AVERAGE(D6:L6)</f>
      </c>
      <c r="N6" s="271">
        <f>AVERAGE(E6:M6)</f>
      </c>
      <c r="O6" s="285">
        <f>SUM(C6:N6)</f>
      </c>
      <c r="P6" s="270">
        <v>2393488.76876543</v>
      </c>
      <c r="Q6" s="267"/>
      <c r="R6" s="266" t="str">
        <v>奖金包</v>
      </c>
      <c r="S6" s="294">
        <f>O7</f>
      </c>
      <c r="T6" s="286">
        <f>S5+S6</f>
      </c>
      <c r="U6" s="267">
        <f>O6</f>
      </c>
      <c r="V6" s="274">
        <f>U6/U17</f>
      </c>
    </row>
    <row customHeight="true" ht="31" r="7">
      <c r="A7" s="287" t="str">
        <v>1.3 提成总额</v>
      </c>
      <c r="B7" s="288" t="str">
        <v>奖金包</v>
      </c>
      <c r="C7" s="284">
        <v>60285.53</v>
      </c>
      <c r="D7" s="284">
        <v>44297.16</v>
      </c>
      <c r="E7" s="284">
        <v>53751.44</v>
      </c>
      <c r="F7" s="284">
        <v>61606.04</v>
      </c>
      <c r="G7" s="284">
        <v>48889.12</v>
      </c>
      <c r="H7" s="284">
        <v>73236.03</v>
      </c>
      <c r="I7" s="284">
        <v>90830.19</v>
      </c>
      <c r="J7" s="284">
        <v>59839.04</v>
      </c>
      <c r="K7" s="284">
        <v>39355.08</v>
      </c>
      <c r="L7" s="271">
        <f>AVERAGE(C7:K7)</f>
      </c>
      <c r="M7" s="271">
        <f>AVERAGE(D7:L7)</f>
      </c>
      <c r="N7" s="271">
        <f>AVERAGE(E7:M7)</f>
      </c>
      <c r="O7" s="285">
        <f>SUM(C7:N7)</f>
      </c>
      <c r="P7" s="270">
        <v>710826.796172839</v>
      </c>
      <c r="Q7" s="267" t="str">
        <v>保障包</v>
      </c>
      <c r="R7" s="266"/>
      <c r="S7" s="286">
        <f>O8+O9</f>
      </c>
      <c r="T7" s="266"/>
      <c r="U7" s="267">
        <f>O7</f>
      </c>
      <c r="V7" s="274">
        <f>U7/U17</f>
      </c>
    </row>
    <row customHeight="true" ht="31" r="8">
      <c r="A8" s="276" t="str">
        <v>2、社保费用（公司缴纳部分）</v>
      </c>
      <c r="B8" s="272" t="str">
        <v>保障包</v>
      </c>
      <c r="C8" s="272">
        <v>91973.6432</v>
      </c>
      <c r="D8" s="272">
        <v>91973.6432</v>
      </c>
      <c r="E8" s="273">
        <v>91278.4732</v>
      </c>
      <c r="F8" s="273">
        <v>91278.4732</v>
      </c>
      <c r="G8" s="273">
        <v>91021.67</v>
      </c>
      <c r="H8" s="273">
        <v>91009.27</v>
      </c>
      <c r="I8" s="273">
        <v>98763.61</v>
      </c>
      <c r="J8" s="273">
        <v>101066.47</v>
      </c>
      <c r="K8" s="273">
        <v>99032.02</v>
      </c>
      <c r="L8" s="271">
        <f>AVERAGE(C8:K8)</f>
      </c>
      <c r="M8" s="271">
        <f>AVERAGE(D8:L8)</f>
      </c>
      <c r="N8" s="271">
        <f>AVERAGE(E8:M8)</f>
      </c>
      <c r="O8" s="275">
        <f>SUM(C8:N8)</f>
      </c>
      <c r="P8" s="270">
        <v>1130617.16695967</v>
      </c>
      <c r="Q8" s="267" t="str">
        <v>福利包</v>
      </c>
      <c r="R8" s="266"/>
      <c r="S8" s="286">
        <f>P14</f>
      </c>
      <c r="T8" s="266"/>
      <c r="U8" s="267">
        <f>O8</f>
      </c>
      <c r="V8" s="274">
        <f>U8/U17</f>
      </c>
    </row>
    <row customHeight="true" ht="31" r="9">
      <c r="A9" s="276" t="str">
        <v>3、公积金费用（公司缴纳部分）</v>
      </c>
      <c r="B9" s="272" t="str">
        <v>保障包</v>
      </c>
      <c r="C9" s="273">
        <v>21728</v>
      </c>
      <c r="D9" s="273">
        <v>21583</v>
      </c>
      <c r="E9" s="273">
        <v>21438</v>
      </c>
      <c r="F9" s="273">
        <v>21438</v>
      </c>
      <c r="G9" s="273">
        <v>21148</v>
      </c>
      <c r="H9" s="273">
        <v>21148</v>
      </c>
      <c r="I9" s="273">
        <v>22393</v>
      </c>
      <c r="J9" s="273">
        <v>22078</v>
      </c>
      <c r="K9" s="273">
        <v>21643</v>
      </c>
      <c r="L9" s="271">
        <f>AVERAGE(C9:K9)</f>
      </c>
      <c r="M9" s="271">
        <f>AVERAGE(D9:L9)</f>
      </c>
      <c r="N9" s="271">
        <f>AVERAGE(E9:M9)</f>
      </c>
      <c r="O9" s="275">
        <f>SUM(C9:N9)</f>
      </c>
      <c r="P9" s="270">
        <v>259442.09739369</v>
      </c>
      <c r="Q9" s="266"/>
      <c r="R9" s="266"/>
      <c r="S9" s="266"/>
      <c r="T9" s="266"/>
      <c r="U9" s="267">
        <f>O9</f>
      </c>
      <c r="V9" s="274">
        <f>U10/U17</f>
      </c>
    </row>
    <row customHeight="true" ht="31" r="10">
      <c r="A10" s="289" t="str">
        <v>4、其他费用（病假补贴、加班费、其他补贴、其他奖金）</v>
      </c>
      <c r="B10" s="277" t="str">
        <v>工资包</v>
      </c>
      <c r="C10" s="277">
        <v>6418.48</v>
      </c>
      <c r="D10" s="277">
        <v>17562</v>
      </c>
      <c r="E10" s="277">
        <v>22234.14</v>
      </c>
      <c r="F10" s="278">
        <v>5205.67</v>
      </c>
      <c r="G10" s="278">
        <v>6093.42</v>
      </c>
      <c r="H10" s="278">
        <v>36298.11</v>
      </c>
      <c r="I10" s="278">
        <v>16924.49</v>
      </c>
      <c r="J10" s="278">
        <v>18311.31</v>
      </c>
      <c r="K10" s="278">
        <v>17746.98</v>
      </c>
      <c r="L10" s="271">
        <f>AVERAGE(C10:K10)</f>
      </c>
      <c r="M10" s="271">
        <f>AVERAGE(D10:L10)</f>
      </c>
      <c r="N10" s="271">
        <f>AVERAGE(E10:M10)</f>
      </c>
      <c r="O10" s="275">
        <f>SUM(C10:N10)</f>
      </c>
      <c r="P10" s="270">
        <v>197907.431989026</v>
      </c>
      <c r="Q10" s="266"/>
      <c r="R10" s="266"/>
      <c r="S10" s="266"/>
      <c r="T10" s="266"/>
      <c r="U10" s="267">
        <f>O10</f>
      </c>
      <c r="V10" s="274">
        <f>U10/U17</f>
      </c>
    </row>
    <row customHeight="true" ht="31" r="11">
      <c r="A11" s="279" t="s">
        <v>10</v>
      </c>
      <c r="B11" s="277" t="str">
        <v>奖金包</v>
      </c>
      <c r="C11" s="277">
        <v>585827.4</v>
      </c>
      <c r="D11" s="277">
        <v>0</v>
      </c>
      <c r="E11" s="278">
        <v>0</v>
      </c>
      <c r="F11" s="278">
        <v>0</v>
      </c>
      <c r="G11" s="278">
        <v>0</v>
      </c>
      <c r="H11" s="278">
        <v>0</v>
      </c>
      <c r="I11" s="278">
        <v>0</v>
      </c>
      <c r="J11" s="278">
        <v>0</v>
      </c>
      <c r="K11" s="278">
        <v>0</v>
      </c>
      <c r="L11" s="278">
        <v>0</v>
      </c>
      <c r="M11" s="278">
        <v>0</v>
      </c>
      <c r="N11" s="278">
        <v>0</v>
      </c>
      <c r="O11" s="275">
        <f>SUM(C11:N11)</f>
      </c>
      <c r="P11" s="270">
        <v>585827.4</v>
      </c>
      <c r="Q11" s="266"/>
      <c r="R11" s="266"/>
      <c r="S11" s="266"/>
      <c r="T11" s="266"/>
      <c r="U11" s="267">
        <f>O11</f>
      </c>
      <c r="V11" s="274">
        <f>U11/U17</f>
      </c>
    </row>
    <row customHeight="true" ht="31" r="12">
      <c r="A12" s="276" t="str">
        <v>6、离职成本（经济补偿、代通知金等）</v>
      </c>
      <c r="B12" s="272" t="str">
        <v>工资包</v>
      </c>
      <c r="C12" s="273">
        <v>0</v>
      </c>
      <c r="D12" s="273">
        <v>0</v>
      </c>
      <c r="E12" s="273">
        <v>9000</v>
      </c>
      <c r="F12" s="273">
        <v>2000</v>
      </c>
      <c r="G12" s="273">
        <v>0</v>
      </c>
      <c r="H12" s="273">
        <v>81472.01</v>
      </c>
      <c r="I12" s="273">
        <v>0</v>
      </c>
      <c r="J12" s="273">
        <v>0</v>
      </c>
      <c r="K12" s="273">
        <v>0</v>
      </c>
      <c r="L12" s="271">
        <f>AVERAGE(C12:K12)</f>
      </c>
      <c r="M12" s="271">
        <f>AVERAGE(D12:L12)</f>
      </c>
      <c r="N12" s="271">
        <f>AVERAGE(E12:M12)</f>
      </c>
      <c r="O12" s="275">
        <f>SUM(C12:N12)</f>
      </c>
      <c r="P12" s="270">
        <v>126847.750342936</v>
      </c>
      <c r="Q12" s="266"/>
      <c r="R12" s="280"/>
      <c r="S12" s="266"/>
      <c r="T12" s="266"/>
      <c r="U12" s="267">
        <f>O12</f>
      </c>
      <c r="V12" s="274">
        <f>U12/U17</f>
      </c>
    </row>
    <row customHeight="true" ht="31" r="13">
      <c r="A13" s="299" t="str">
        <v>7、顾问咨询费</v>
      </c>
      <c r="B13" s="297" t="str">
        <v>管理费</v>
      </c>
      <c r="C13" s="295">
        <v>30000</v>
      </c>
      <c r="D13" s="295">
        <v>30000</v>
      </c>
      <c r="E13" s="295">
        <v>30000</v>
      </c>
      <c r="F13" s="295">
        <v>30000</v>
      </c>
      <c r="G13" s="295">
        <v>51428.57</v>
      </c>
      <c r="H13" s="295">
        <v>45000</v>
      </c>
      <c r="I13" s="295">
        <v>45000</v>
      </c>
      <c r="J13" s="295">
        <v>45000</v>
      </c>
      <c r="K13" s="295">
        <v>30000</v>
      </c>
      <c r="L13" s="295">
        <v>30000</v>
      </c>
      <c r="M13" s="296">
        <f>AVERAGE(D13:L13)</f>
      </c>
      <c r="N13" s="296">
        <f>AVERAGE(E13:M13)</f>
      </c>
      <c r="O13" s="298">
        <f>SUM(C13:N13)</f>
      </c>
      <c r="P13" s="270">
        <v>442010.580246914</v>
      </c>
      <c r="Q13" s="266"/>
      <c r="R13" s="280"/>
      <c r="S13" s="266"/>
      <c r="T13" s="266"/>
      <c r="U13" s="267"/>
      <c r="V13" s="274"/>
    </row>
    <row customHeight="true" ht="31" r="14">
      <c r="A14" s="276" t="str">
        <v>8、其他福利费（餐费、团建、节日等）</v>
      </c>
      <c r="B14" s="272" t="str">
        <v>福利包</v>
      </c>
      <c r="C14" s="273">
        <v>12754.7</v>
      </c>
      <c r="D14" s="273">
        <v>10150</v>
      </c>
      <c r="E14" s="273">
        <v>0</v>
      </c>
      <c r="F14" s="273">
        <v>0</v>
      </c>
      <c r="G14" s="273">
        <v>0</v>
      </c>
      <c r="H14" s="273">
        <v>6864</v>
      </c>
      <c r="I14" s="273">
        <v>0</v>
      </c>
      <c r="J14" s="273">
        <v>0</v>
      </c>
      <c r="K14" s="273">
        <v>6517</v>
      </c>
      <c r="L14" s="281">
        <f>AVERAGE(C14:K14)</f>
      </c>
      <c r="M14" s="281">
        <f>AVERAGE(D14:L14)</f>
      </c>
      <c r="N14" s="281">
        <f>AVERAGE(E14:M14)</f>
      </c>
      <c r="O14" s="275">
        <f>SUM(C14:N14)</f>
      </c>
      <c r="P14" s="270">
        <v>45655.0017832647</v>
      </c>
      <c r="Q14" s="266"/>
      <c r="R14" s="266"/>
      <c r="S14" s="266"/>
      <c r="T14" s="266"/>
      <c r="U14" s="267">
        <f>O14</f>
      </c>
      <c r="V14" s="274">
        <f>U14/U17</f>
      </c>
    </row>
    <row customHeight="true" ht="31" r="15">
      <c r="A15" s="276" t="str">
        <v>9、会计兼职费用</v>
      </c>
      <c r="B15" s="272" t="str">
        <v>工资包</v>
      </c>
      <c r="C15" s="273">
        <v>5445.78</v>
      </c>
      <c r="D15" s="273">
        <v>2979.16</v>
      </c>
      <c r="E15" s="273">
        <v>3000.52</v>
      </c>
      <c r="F15" s="273">
        <v>5687.82</v>
      </c>
      <c r="G15" s="273">
        <v>3961.38</v>
      </c>
      <c r="H15" s="273">
        <v>8425.19</v>
      </c>
      <c r="I15" s="273">
        <v>4114.5</v>
      </c>
      <c r="J15" s="273">
        <v>0</v>
      </c>
      <c r="K15" s="273">
        <v>3587.81</v>
      </c>
      <c r="L15" s="273">
        <v>2626.79</v>
      </c>
      <c r="M15" s="281">
        <f>AVERAGE(D15:L15)</f>
      </c>
      <c r="N15" s="281">
        <f>AVERAGE(E15:M15)</f>
      </c>
      <c r="O15" s="275">
        <f>SUM(C15:N15)</f>
      </c>
      <c r="P15" s="270">
        <v>47563.1202469136</v>
      </c>
      <c r="Q15" s="266"/>
      <c r="R15" s="266"/>
      <c r="S15" s="266"/>
      <c r="T15" s="266"/>
      <c r="U15" s="267">
        <f>O15</f>
      </c>
      <c r="V15" s="274">
        <f>U15/U17</f>
      </c>
    </row>
    <row customHeight="true" ht="31" r="16">
      <c r="A16" s="299" t="str">
        <v>10、仓储临时工费用</v>
      </c>
      <c r="B16" s="297" t="str">
        <v>管理费</v>
      </c>
      <c r="C16" s="295">
        <v>12516.78</v>
      </c>
      <c r="D16" s="295">
        <v>0</v>
      </c>
      <c r="E16" s="295">
        <v>0</v>
      </c>
      <c r="F16" s="295">
        <v>0</v>
      </c>
      <c r="G16" s="295">
        <v>0</v>
      </c>
      <c r="H16" s="295">
        <v>0</v>
      </c>
      <c r="I16" s="295">
        <v>0</v>
      </c>
      <c r="J16" s="295">
        <v>6060</v>
      </c>
      <c r="K16" s="295">
        <v>0</v>
      </c>
      <c r="L16" s="295">
        <v>0</v>
      </c>
      <c r="M16" s="296">
        <f>AVERAGE(D16:L16)</f>
      </c>
      <c r="N16" s="296">
        <f>AVERAGE(E16:M16)</f>
      </c>
      <c r="O16" s="298">
        <f>SUM(C16:N16)</f>
      </c>
      <c r="P16" s="270">
        <v>19998.2614814815</v>
      </c>
      <c r="Q16" s="266"/>
      <c r="R16" s="266"/>
      <c r="S16" s="266"/>
      <c r="T16" s="266"/>
      <c r="U16" s="267"/>
      <c r="V16" s="267"/>
    </row>
    <row customHeight="true" ht="31" r="17">
      <c r="A17" s="276" t="str">
        <v>合计</v>
      </c>
      <c r="B17" s="272"/>
      <c r="C17" s="273">
        <f>SUBTOTAL(9,C4,C8,C9,C11,C13,C14,C15,C16)</f>
      </c>
      <c r="D17" s="273">
        <f>SUBTOTAL(9,D4,D8,D9,D11,D13,D14,D15,D16)</f>
      </c>
      <c r="E17" s="273">
        <f>SUBTOTAL(9,E4,E8,E9,E11,E13,E14,E15,E16)</f>
      </c>
      <c r="F17" s="273">
        <f>SUBTOTAL(9,F4,F8,F9,F11,F13,F14,F15,F16)</f>
      </c>
      <c r="G17" s="273">
        <f>SUBTOTAL(9,G4,G8,G9,G11,G13,G14,G15,G16)</f>
      </c>
      <c r="H17" s="273">
        <f>SUBTOTAL(9,H4,H8,H9,H11,H13,H14,H15,H16)</f>
      </c>
      <c r="I17" s="273">
        <f>SUBTOTAL(9,I4,I8,I9,I11,I13,I14,I15,I16)</f>
      </c>
      <c r="J17" s="273">
        <f>SUBTOTAL(9,J4,J8,J9,J11,J13,J14,J15,J16)</f>
      </c>
      <c r="K17" s="273">
        <f>SUBTOTAL(9,K4,K8,K9,K11,K13,K14,K15,K16)</f>
      </c>
      <c r="L17" s="290">
        <f>SUBTOTAL(9,L4,L8,L9,L11,L13,L14,L15,L16)</f>
      </c>
      <c r="M17" s="290">
        <f>SUBTOTAL(9,M4,M8,M9,M11,M13,M14,M15,M16)</f>
      </c>
      <c r="N17" s="290">
        <f>SUBTOTAL(9,N4,N8,N9,N11,N13,N14,N15,N16)</f>
      </c>
      <c r="O17" s="273">
        <f>SUBTOTAL(9,O4,O8,O9,O11,O13,O14,O15,O16)</f>
      </c>
      <c r="P17" s="270">
        <v>15913461.9212669</v>
      </c>
      <c r="Q17" s="266"/>
      <c r="R17" s="266"/>
      <c r="S17" s="266"/>
      <c r="T17" s="266"/>
      <c r="U17" s="291">
        <f>SUM(U5:U16)</f>
      </c>
      <c r="V17" s="267"/>
    </row>
    <row customHeight="true" ht="17" r="18">
      <c r="C18" s="300">
        <f>C7+C11</f>
      </c>
      <c r="O18" s="301">
        <f>O17-O13-O15-O16</f>
      </c>
    </row>
    <row customHeight="true" ht="17" r="19"/>
    <row customHeight="true" ht="17" r="20"/>
  </sheetData>
  <mergeCells>
    <mergeCell ref="A1:O1"/>
    <mergeCell ref="Q5:Q6"/>
  </mergeCell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35"/>
    <col collapsed="false" customWidth="true" hidden="false" max="2" min="2" style="0" width="12"/>
    <col collapsed="false" customWidth="true" hidden="false" max="3" min="3" style="0" width="12"/>
    <col collapsed="false" customWidth="true" hidden="false" max="4" min="4" style="0" width="15"/>
    <col collapsed="false" customWidth="true" hidden="false" max="5" min="5" style="0" width="14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15"/>
    <col collapsed="false" customWidth="true" hidden="false" max="9" min="9" style="0" width="15"/>
    <col collapsed="false" customWidth="true" hidden="false" max="10" min="10" style="0" width="15"/>
    <col collapsed="false" customWidth="true" hidden="false" max="11" min="11" style="0" width="16"/>
    <col collapsed="false" customWidth="true" hidden="false" max="12" min="12" style="0" width="16"/>
    <col collapsed="false" customWidth="true" hidden="false" max="13" min="13" style="0" width="13"/>
    <col collapsed="false" hidden="false" max="14" min="14" style="0" width="13"/>
    <col collapsed="false" customWidth="true" hidden="false" max="15" min="15" outlineLevel="1" style="0" width="13"/>
    <col collapsed="false" customWidth="true" hidden="false" max="16" min="16" outlineLevel="1" style="0" width="12"/>
    <col collapsed="false" customWidth="true" hidden="false" max="17" min="17" outlineLevel="1" style="0" width="14"/>
    <col collapsed="false" customWidth="true" hidden="false" max="18" min="18" outlineLevel="1" style="0" width="14"/>
    <col collapsed="false" customWidth="true" hidden="false" max="19" min="19" outlineLevel="1" style="0" width="14"/>
    <col collapsed="false" hidden="false" max="20" min="20" style="0" width="14"/>
    <col collapsed="false" customWidth="true" hidden="false" max="21" min="21" outlineLevel="1" style="0" width="14"/>
    <col collapsed="false" customWidth="true" hidden="false" max="22" min="22" outlineLevel="1" style="0" width="14"/>
    <col collapsed="false" customWidth="true" hidden="false" max="23" min="23" outlineLevel="1" style="0" width="14"/>
    <col collapsed="false" customWidth="true" hidden="false" max="24" min="24" outlineLevel="1" style="0" width="14"/>
    <col collapsed="false" customWidth="true" hidden="false" max="25" min="25" style="0" width="15"/>
    <col collapsed="false" customWidth="true" hidden="false" max="26" min="26" style="0" width="17"/>
    <col collapsed="false" customWidth="true" hidden="false" max="27" min="27" style="0" width="21"/>
    <col collapsed="false" customWidth="true" hidden="false" max="28" min="28" style="0" width="17"/>
    <col collapsed="false" customWidth="true" hidden="false" max="32" min="32" style="0" width="10"/>
    <col collapsed="false" customWidth="true" hidden="false" max="33" min="33" style="0" width="17"/>
    <col collapsed="false" customWidth="true" hidden="false" max="34" min="34" style="0" width="12"/>
    <col collapsed="false" customWidth="true" hidden="false" max="35" min="35" style="0" width="11"/>
    <col collapsed="false" customWidth="true" hidden="false" max="36" min="36" style="0" width="17"/>
    <col collapsed="false" customWidth="true" hidden="false" max="37" min="37" style="0" width="17"/>
    <col collapsed="false" customWidth="true" hidden="false" max="38" min="38" style="0" width="17"/>
    <col collapsed="false" customWidth="true" hidden="false" max="39" min="39" style="0" width="17"/>
    <col collapsed="false" customWidth="true" hidden="false" max="40" min="40" style="0" width="17"/>
    <col collapsed="false" customWidth="true" hidden="false" max="41" min="41" style="0" width="11"/>
    <col collapsed="false" customWidth="true" hidden="false" max="42" min="42" style="0" width="12"/>
  </cols>
  <sheetData>
    <row r="1">
      <c r="A1" s="165" t="str">
        <v>时间</v>
      </c>
      <c r="B1" s="165" t="str">
        <v>收入（万）</v>
      </c>
      <c r="C1" s="165" t="str">
        <v>成本（万）</v>
      </c>
      <c r="D1" s="165" t="str">
        <v>毛利（万）</v>
      </c>
      <c r="E1" s="165" t="str">
        <v>毛利率</v>
      </c>
      <c r="F1" s="165" t="str">
        <v>销售/运营费用</v>
      </c>
      <c r="G1" s="190" t="str">
        <v>产品研发费？</v>
      </c>
      <c r="H1" s="165" t="str">
        <v>管理费用(万)</v>
      </c>
      <c r="I1" s="165" t="str">
        <v>财务费用</v>
      </c>
      <c r="J1" s="165" t="str">
        <v>人工成本(万)</v>
      </c>
      <c r="K1" s="200" t="s">
        <v>9</v>
      </c>
      <c r="L1" s="193" t="s">
        <v>2</v>
      </c>
      <c r="M1" s="202" t="str">
        <v>净利润/毛利</v>
      </c>
      <c r="N1" s="188" t="str">
        <v>人工成本/收入</v>
      </c>
      <c r="O1" s="191" t="s">
        <v>1</v>
      </c>
      <c r="P1" s="203" t="str">
        <v>人工成本</v>
      </c>
      <c r="Q1" s="188" t="str">
        <v>C1招培</v>
      </c>
      <c r="R1" s="188" t="str">
        <v>C2福利</v>
      </c>
      <c r="S1" s="188" t="str">
        <v>C3保障</v>
      </c>
      <c r="T1" s="198" t="s">
        <v>6</v>
      </c>
      <c r="U1" s="199" t="s">
        <v>7</v>
      </c>
      <c r="V1" s="188" t="str">
        <v>M1存量</v>
      </c>
      <c r="W1" s="188" t="str">
        <v>M2涨薪</v>
      </c>
      <c r="X1" s="188" t="str">
        <v>M3新增</v>
      </c>
      <c r="Y1" s="188" t="str">
        <v>M4补偿</v>
      </c>
      <c r="Z1" s="194" t="str">
        <v>2-奖金包(万)</v>
      </c>
      <c r="AA1" s="201" t="str">
        <v>B1经营奖金包（提成、增量奖金）</v>
      </c>
      <c r="AB1" s="188" t="str">
        <v>B2专项奖金包</v>
      </c>
      <c r="AC1" s="188" t="str">
        <v>B2-1爆单奖</v>
      </c>
      <c r="AD1" s="188" t="str">
        <v>B2-新品商业成功奖</v>
      </c>
      <c r="AE1" s="188" t="str">
        <v>B3-战略突破奖</v>
      </c>
      <c r="AF1" s="192" t="str">
        <v>人数</v>
      </c>
      <c r="AG1" s="197" t="s">
        <v>8</v>
      </c>
      <c r="AH1" s="197" t="str">
        <v>人均创利</v>
      </c>
      <c r="AI1" s="192" t="str">
        <v>人均创收</v>
      </c>
      <c r="AJ1" s="192" t="str">
        <v>人均薪酬增速</v>
      </c>
      <c r="AK1" s="196" t="s">
        <v>5</v>
      </c>
      <c r="AL1" s="196" t="s">
        <v>4</v>
      </c>
      <c r="AM1" s="189" t="str">
        <v>超额利润奖金</v>
      </c>
      <c r="AN1" s="195" t="s">
        <v>3</v>
      </c>
      <c r="AO1" s="189" t="str">
        <v>E/C值</v>
      </c>
      <c r="AP1" s="189" t="str">
        <v>E/R值</v>
      </c>
    </row>
    <row r="2">
      <c r="A2" s="317" t="str">
        <v>24-公司-(1-6月实际)-班主任佣金进销售费用</v>
      </c>
      <c r="B2" s="76">
        <v>6285.5</v>
      </c>
      <c r="C2" s="234">
        <v>3903.98</v>
      </c>
      <c r="D2" s="234">
        <v>2381.52</v>
      </c>
      <c r="E2" s="237">
        <v>0.3789</v>
      </c>
      <c r="F2" s="234">
        <v>409.86</v>
      </c>
      <c r="G2" s="234">
        <v>29.55</v>
      </c>
      <c r="H2" s="234">
        <v>149.6</v>
      </c>
      <c r="I2" s="234">
        <v>271.05</v>
      </c>
      <c r="J2" s="234">
        <v>694.17</v>
      </c>
      <c r="K2" s="234">
        <v>827.29</v>
      </c>
      <c r="L2" s="237">
        <v>0.1316</v>
      </c>
      <c r="M2" s="237">
        <v>0.3474</v>
      </c>
      <c r="N2" s="315">
        <v>0.1104</v>
      </c>
      <c r="O2" s="314">
        <v>0.1279</v>
      </c>
      <c r="P2" s="318">
        <v>892.91</v>
      </c>
      <c r="Q2" s="234"/>
      <c r="R2" s="234"/>
      <c r="S2" s="234"/>
      <c r="T2" s="234">
        <v>803.619</v>
      </c>
      <c r="U2" s="312">
        <v>694.17</v>
      </c>
      <c r="V2" s="234"/>
      <c r="W2" s="234"/>
      <c r="X2" s="234"/>
      <c r="Y2" s="234"/>
      <c r="Z2" s="234">
        <v>109.449</v>
      </c>
      <c r="AA2" s="234"/>
      <c r="AB2" s="234"/>
      <c r="AC2" s="234"/>
      <c r="AD2" s="234"/>
      <c r="AE2" s="234"/>
      <c r="AF2" s="313">
        <v>41</v>
      </c>
      <c r="AG2" s="316">
        <v>19.6</v>
      </c>
      <c r="AH2" s="234"/>
      <c r="AI2" s="234"/>
      <c r="AJ2" s="234"/>
      <c r="AK2" s="234"/>
      <c r="AL2" s="234"/>
      <c r="AM2" s="234"/>
      <c r="AN2" s="234"/>
      <c r="AO2" s="234"/>
      <c r="AP2" s="234"/>
    </row>
    <row r="3">
      <c r="A3" s="317" t="str">
        <v>24-公司-(1-9月实际)-班主任佣金进销售费用</v>
      </c>
      <c r="B3" s="342">
        <v>10077.6</v>
      </c>
      <c r="C3" s="342">
        <v>6231.4</v>
      </c>
      <c r="D3" s="342">
        <v>3846.3</v>
      </c>
      <c r="E3" s="340">
        <v>0.3817</v>
      </c>
      <c r="F3" s="342">
        <v>691</v>
      </c>
      <c r="G3" s="342">
        <v>87.4</v>
      </c>
      <c r="H3" s="342">
        <v>218.9</v>
      </c>
      <c r="I3" s="342">
        <v>444.4</v>
      </c>
      <c r="J3" s="342">
        <v>1064.8</v>
      </c>
      <c r="K3" s="342">
        <v>1339.7</v>
      </c>
      <c r="L3" s="237">
        <v>0.1329</v>
      </c>
      <c r="M3" s="237">
        <v>0.3483</v>
      </c>
      <c r="N3" s="315">
        <v>0.1057</v>
      </c>
      <c r="O3" s="314">
        <v>0.1247</v>
      </c>
      <c r="P3" s="341">
        <v>1396.7</v>
      </c>
      <c r="Q3" s="338"/>
      <c r="R3" s="338"/>
      <c r="S3" s="338"/>
      <c r="T3" s="341">
        <v>1257</v>
      </c>
      <c r="U3" s="341">
        <v>1064.8</v>
      </c>
      <c r="V3" s="338"/>
      <c r="W3" s="338"/>
      <c r="X3" s="338"/>
      <c r="Y3" s="338"/>
      <c r="Z3" s="341">
        <v>192.3</v>
      </c>
      <c r="AA3" s="36"/>
      <c r="AB3" s="36"/>
      <c r="AC3" s="338"/>
      <c r="AD3" s="338"/>
      <c r="AE3" s="338"/>
      <c r="AF3" s="323">
        <v>44</v>
      </c>
      <c r="AG3" s="339">
        <v>28.6</v>
      </c>
      <c r="AH3" s="338"/>
      <c r="AI3" s="338"/>
      <c r="AJ3" s="227"/>
      <c r="AK3" s="34"/>
      <c r="AL3" s="34"/>
      <c r="AM3" s="34"/>
      <c r="AN3" s="34"/>
      <c r="AO3" s="227"/>
      <c r="AP3" s="227"/>
    </row>
    <row customHeight="true" ht="19" r="4">
      <c r="A4" s="325" t="str">
        <v>24-公司-(1-12月实际)-班主任佣金进销售费用</v>
      </c>
      <c r="B4" s="321">
        <v>15894.9</v>
      </c>
      <c r="C4" s="321">
        <v>10178.6</v>
      </c>
      <c r="D4" s="321">
        <v>5716.3</v>
      </c>
      <c r="E4" s="237">
        <v>0.3596</v>
      </c>
      <c r="F4" s="321">
        <v>1069.9</v>
      </c>
      <c r="G4" s="321">
        <v>127.7</v>
      </c>
      <c r="H4" s="321">
        <v>267.9</v>
      </c>
      <c r="I4" s="321">
        <v>681.9</v>
      </c>
      <c r="J4" s="321">
        <v>1435.4</v>
      </c>
      <c r="K4" s="321">
        <v>2133.5</v>
      </c>
      <c r="L4" s="324">
        <v>0.1342</v>
      </c>
      <c r="M4" s="237">
        <v>0.3732</v>
      </c>
      <c r="N4" s="315">
        <v>0.0903</v>
      </c>
      <c r="O4" s="314">
        <v>0.1121</v>
      </c>
      <c r="P4" s="319">
        <v>1979.4</v>
      </c>
      <c r="Q4" s="34"/>
      <c r="R4" s="34"/>
      <c r="S4" s="34"/>
      <c r="T4" s="319">
        <v>1781.5</v>
      </c>
      <c r="U4" s="319">
        <v>1435.4</v>
      </c>
      <c r="V4" s="34"/>
      <c r="W4" s="34"/>
      <c r="X4" s="34"/>
      <c r="Y4" s="34"/>
      <c r="Z4" s="319">
        <v>346.1</v>
      </c>
      <c r="AA4" s="34"/>
      <c r="AB4" s="34"/>
      <c r="AC4" s="34"/>
      <c r="AD4" s="34"/>
      <c r="AE4" s="34"/>
      <c r="AF4" s="323">
        <v>42</v>
      </c>
      <c r="AG4" s="319">
        <v>42.4</v>
      </c>
      <c r="AH4" s="322"/>
      <c r="AI4" s="322"/>
      <c r="AJ4" s="326"/>
      <c r="AK4" s="320"/>
      <c r="AL4" s="320"/>
      <c r="AM4" s="320"/>
      <c r="AN4" s="320"/>
      <c r="AO4" s="320"/>
      <c r="AP4" s="320"/>
    </row>
    <row r="5">
      <c r="A5" s="333"/>
      <c r="B5" s="336"/>
      <c r="C5" s="336"/>
      <c r="D5" s="333"/>
      <c r="E5" s="334"/>
      <c r="F5" s="327">
        <f>F4/15894.9</f>
      </c>
      <c r="G5" s="327">
        <f>G4/15894.9</f>
      </c>
      <c r="H5" s="327">
        <f>H4/15894.9</f>
      </c>
      <c r="I5" s="327">
        <f>I4/15894.9</f>
      </c>
      <c r="J5" s="327">
        <f>J4/15894.9</f>
      </c>
      <c r="K5" s="333">
        <v>1950</v>
      </c>
      <c r="L5" s="330">
        <f>K5/B4</f>
      </c>
      <c r="M5" s="334"/>
      <c r="N5" s="333"/>
      <c r="O5" s="331"/>
      <c r="P5" s="328"/>
      <c r="Q5" s="328"/>
      <c r="R5" s="328"/>
      <c r="S5" s="328"/>
      <c r="T5" s="328"/>
      <c r="U5" s="328"/>
      <c r="V5" s="335"/>
      <c r="W5" s="332"/>
      <c r="X5" s="335"/>
      <c r="Y5" s="332"/>
      <c r="Z5" s="337"/>
      <c r="AA5" s="322"/>
      <c r="AB5" s="337"/>
      <c r="AC5" s="322"/>
      <c r="AD5" s="322"/>
      <c r="AE5" s="322"/>
      <c r="AF5" s="329"/>
      <c r="AG5" s="322"/>
      <c r="AH5" s="322"/>
      <c r="AI5" s="322"/>
      <c r="AJ5" s="326"/>
      <c r="AK5" s="320"/>
      <c r="AL5" s="320"/>
      <c r="AM5" s="320"/>
      <c r="AN5" s="320"/>
      <c r="AO5" s="320"/>
      <c r="AP5" s="320"/>
    </row>
    <row customHeight="true" ht="19" r="6">
      <c r="A6" s="311" t="str">
        <v>24-公司-(1-12月实际)-班主任佣金进人力成本</v>
      </c>
      <c r="B6" s="307">
        <v>158949100.3</v>
      </c>
      <c r="C6" s="310">
        <v>103830336.52000001</v>
      </c>
      <c r="D6" s="307">
        <f>B6-C6</f>
      </c>
      <c r="E6" s="309">
        <f>D6/B6</f>
      </c>
      <c r="F6" s="307"/>
      <c r="G6" s="307">
        <v>1276757.12</v>
      </c>
      <c r="H6" s="307">
        <v>4607544.268</v>
      </c>
      <c r="I6" s="307">
        <v>6818888.74</v>
      </c>
      <c r="J6" s="307">
        <v>20195393.24</v>
      </c>
      <c r="K6" s="307">
        <f>D6-F6-G6-H6-I6-J6</f>
      </c>
      <c r="L6" s="308">
        <f>K6/B6</f>
      </c>
      <c r="M6" s="34"/>
      <c r="N6" s="34">
        <f>J6/B6</f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</row>
    <row customHeight="true" ht="19" r="7">
      <c r="A7" s="307"/>
      <c r="B7" s="307"/>
      <c r="C7" s="307"/>
      <c r="D7" s="307"/>
      <c r="E7" s="307"/>
      <c r="F7" s="307"/>
      <c r="G7" s="356">
        <f>G6/$B$6</f>
      </c>
      <c r="H7" s="356">
        <f>H6/$B$6</f>
      </c>
      <c r="I7" s="356">
        <f>I6/$B$6</f>
      </c>
      <c r="J7" s="356">
        <f>J6/$B$6</f>
      </c>
      <c r="K7" s="307"/>
      <c r="L7" s="307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</row>
    <row r="8">
      <c r="A8" s="34" t="str">
        <v>成本科目包括：资料、课酬；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</row>
    <row r="9">
      <c r="A9" s="34" t="str">
        <v>运营费科目包括：餐费（含茶歇、水费）、宣传费（含摄影）、场租费、老师差旅、小助理</v>
      </c>
      <c r="B9" s="343"/>
      <c r="C9" s="343"/>
      <c r="D9" s="343"/>
      <c r="E9" s="343"/>
      <c r="F9" s="343"/>
      <c r="G9" s="343"/>
      <c r="H9" s="343"/>
      <c r="I9" s="343"/>
      <c r="J9" s="345"/>
      <c r="K9" s="343"/>
      <c r="L9" s="343"/>
      <c r="M9" s="343"/>
      <c r="N9" s="343"/>
      <c r="O9" s="343"/>
      <c r="P9" s="343"/>
      <c r="Q9" s="343"/>
      <c r="R9" s="343"/>
      <c r="S9" s="343"/>
      <c r="T9" s="343"/>
      <c r="U9" s="343"/>
      <c r="V9" s="343"/>
      <c r="W9" s="343"/>
      <c r="X9" s="343"/>
      <c r="Y9" s="343"/>
      <c r="Z9" s="343"/>
      <c r="AA9" s="343"/>
      <c r="AB9" s="343"/>
      <c r="AC9" s="343"/>
      <c r="AD9" s="343"/>
      <c r="AE9" s="343"/>
      <c r="AF9" s="343"/>
      <c r="AG9" s="343"/>
      <c r="AH9" s="343"/>
      <c r="AI9" s="343"/>
      <c r="AJ9" s="343"/>
      <c r="AK9" s="343"/>
      <c r="AL9" s="343"/>
      <c r="AM9" s="343"/>
      <c r="AN9" s="343"/>
      <c r="AO9" s="343"/>
      <c r="AP9" s="343"/>
    </row>
    <row r="10">
      <c r="A10" s="34" t="str">
        <v>管理费科目包括：管理人员差旅费、咨询费、品牌，外包人员的服务费</v>
      </c>
      <c r="B10" s="343"/>
      <c r="C10" s="343"/>
      <c r="D10" s="343"/>
      <c r="E10" s="343"/>
      <c r="F10" s="343"/>
      <c r="G10" s="343"/>
      <c r="H10" s="343"/>
      <c r="I10" s="343"/>
      <c r="J10" s="343"/>
      <c r="K10" s="346"/>
      <c r="L10" s="343"/>
      <c r="M10" s="343"/>
      <c r="N10" s="343"/>
      <c r="O10" s="343"/>
      <c r="P10" s="343"/>
      <c r="Q10" s="343"/>
      <c r="R10" s="343"/>
      <c r="S10" s="343"/>
      <c r="T10" s="343"/>
      <c r="U10" s="343"/>
      <c r="V10" s="343"/>
      <c r="W10" s="343"/>
      <c r="X10" s="343"/>
      <c r="Y10" s="343"/>
      <c r="Z10" s="343"/>
      <c r="AA10" s="343"/>
      <c r="AB10" s="343"/>
      <c r="AC10" s="343"/>
      <c r="AD10" s="343"/>
      <c r="AE10" s="343"/>
      <c r="AF10" s="343"/>
      <c r="AG10" s="343"/>
      <c r="AH10" s="343"/>
      <c r="AI10" s="343"/>
      <c r="AJ10" s="343"/>
      <c r="AK10" s="343"/>
      <c r="AL10" s="343"/>
      <c r="AM10" s="343"/>
      <c r="AN10" s="343"/>
      <c r="AO10" s="343"/>
      <c r="AP10" s="343"/>
    </row>
    <row r="11">
      <c r="A11" s="34" t="str">
        <v>研发费科目包括：技术与产品消耗费用；AI采购、产品组外出听课、服务器、技术团队的费用、技术外包人员的工资不进薪酬包</v>
      </c>
      <c r="B11" s="343"/>
      <c r="C11" s="343"/>
      <c r="D11" s="343"/>
      <c r="E11" s="343"/>
      <c r="F11" s="343"/>
      <c r="G11" s="343"/>
      <c r="H11" s="343"/>
      <c r="I11" s="343"/>
      <c r="J11" s="343"/>
      <c r="K11" s="343"/>
      <c r="L11" s="343"/>
      <c r="M11" s="343"/>
      <c r="N11" s="343"/>
      <c r="O11" s="343"/>
      <c r="P11" s="343"/>
      <c r="Q11" s="343"/>
      <c r="R11" s="343"/>
      <c r="S11" s="343"/>
      <c r="T11" s="343"/>
      <c r="U11" s="343"/>
      <c r="V11" s="343"/>
      <c r="W11" s="343"/>
      <c r="X11" s="343"/>
      <c r="Y11" s="343"/>
      <c r="Z11" s="343"/>
      <c r="AA11" s="343"/>
      <c r="AB11" s="343"/>
      <c r="AC11" s="343"/>
      <c r="AD11" s="343"/>
      <c r="AE11" s="343"/>
      <c r="AF11" s="343"/>
      <c r="AG11" s="343"/>
      <c r="AH11" s="343"/>
      <c r="AI11" s="343"/>
      <c r="AJ11" s="343"/>
      <c r="AK11" s="343"/>
      <c r="AL11" s="343"/>
      <c r="AM11" s="343"/>
      <c r="AN11" s="343"/>
      <c r="AO11" s="343"/>
      <c r="AP11" s="343"/>
    </row>
    <row r="12">
      <c r="A12" s="34" t="str">
        <v>财税费：略</v>
      </c>
      <c r="B12" s="343"/>
      <c r="C12" s="343"/>
      <c r="D12" s="343"/>
      <c r="E12" s="343"/>
      <c r="F12" s="343"/>
      <c r="G12" s="343"/>
      <c r="H12" s="343"/>
      <c r="I12" s="343"/>
      <c r="J12" s="343"/>
      <c r="K12" s="343"/>
      <c r="L12" s="343"/>
      <c r="M12" s="343"/>
      <c r="N12" s="343"/>
      <c r="O12" s="343"/>
      <c r="P12" s="343"/>
      <c r="Q12" s="343"/>
      <c r="R12" s="343"/>
      <c r="S12" s="343"/>
      <c r="T12" s="343"/>
      <c r="U12" s="343"/>
      <c r="V12" s="343"/>
      <c r="W12" s="343"/>
      <c r="X12" s="343"/>
      <c r="Y12" s="343"/>
      <c r="Z12" s="357"/>
      <c r="AA12" s="357"/>
      <c r="AB12" s="343"/>
      <c r="AC12" s="343"/>
      <c r="AD12" s="343"/>
      <c r="AE12" s="343"/>
      <c r="AF12" s="343"/>
      <c r="AG12" s="343"/>
      <c r="AH12" s="343"/>
      <c r="AI12" s="343"/>
      <c r="AJ12" s="343"/>
      <c r="AK12" s="343"/>
      <c r="AL12" s="343"/>
      <c r="AM12" s="343"/>
      <c r="AN12" s="343"/>
      <c r="AO12" s="343"/>
      <c r="AP12" s="343"/>
    </row>
    <row r="13">
      <c r="A13" s="354" t="str">
        <v>时间</v>
      </c>
      <c r="B13" s="354" t="str">
        <v>原成本金额</v>
      </c>
      <c r="C13" s="35"/>
      <c r="D13" s="355" t="str">
        <v>成本</v>
      </c>
      <c r="E13" s="355" t="str">
        <v>运营费</v>
      </c>
      <c r="F13" s="355" t="str">
        <v>管理费</v>
      </c>
      <c r="G13" s="355" t="str">
        <v>研发费</v>
      </c>
      <c r="H13" s="355" t="str">
        <v>后端课酬</v>
      </c>
      <c r="I13" s="355" t="str">
        <v>税金</v>
      </c>
      <c r="J13" s="35" t="str">
        <v>进入工资的成本部分</v>
      </c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6"/>
      <c r="AA13" s="36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</row>
    <row r="14">
      <c r="A14" s="37" t="str">
        <v>24-公司-（1-6月）</v>
      </c>
      <c r="B14" s="353">
        <v>4299.6</v>
      </c>
      <c r="C14" s="35"/>
      <c r="D14" s="351">
        <v>13677432.56</v>
      </c>
      <c r="E14" s="351">
        <v>921582.27</v>
      </c>
      <c r="F14" s="351">
        <v>1495969.06</v>
      </c>
      <c r="G14" s="351">
        <v>295452.5</v>
      </c>
      <c r="H14" s="351">
        <v>25362332.76</v>
      </c>
      <c r="I14" s="351">
        <v>2710505.37</v>
      </c>
      <c r="J14" s="352">
        <v>324386.34</v>
      </c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6"/>
      <c r="AA14" s="36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</row>
    <row r="15">
      <c r="A15" s="204" t="str">
        <v>24-公司-（1-9月）</v>
      </c>
      <c r="B15" s="348">
        <v>69343042.59</v>
      </c>
      <c r="C15" s="349"/>
      <c r="D15" s="347">
        <v>17462449.65</v>
      </c>
      <c r="E15" s="347">
        <v>1901998.1</v>
      </c>
      <c r="F15" s="347">
        <v>3063458.73</v>
      </c>
      <c r="G15" s="347">
        <v>874079.02</v>
      </c>
      <c r="H15" s="347">
        <v>44851355.19</v>
      </c>
      <c r="I15" s="347">
        <v>4444190.32</v>
      </c>
      <c r="J15" s="350">
        <v>683049.33</v>
      </c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6"/>
      <c r="AA15" s="36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</row>
    <row r="16">
      <c r="A16" s="76" t="str">
        <v>24-公司-（1-12月）</v>
      </c>
      <c r="B16" s="76">
        <v>11263.3</v>
      </c>
      <c r="C16" s="76"/>
      <c r="D16" s="344">
        <v>27713324.52</v>
      </c>
      <c r="E16" s="344">
        <v>2929545.55</v>
      </c>
      <c r="F16" s="344">
        <v>3955846.47</v>
      </c>
      <c r="G16" s="344">
        <v>1276757.12</v>
      </c>
      <c r="H16" s="76">
        <v>74072466.47</v>
      </c>
      <c r="I16" s="344">
        <v>6818888.74</v>
      </c>
      <c r="J16" s="76">
        <v>1099227.24</v>
      </c>
      <c r="K16" s="343"/>
      <c r="L16" s="343"/>
      <c r="M16" s="343"/>
      <c r="N16" s="343"/>
      <c r="O16" s="343"/>
      <c r="P16" s="343"/>
      <c r="Q16" s="343"/>
      <c r="R16" s="343"/>
      <c r="S16" s="343"/>
      <c r="T16" s="343"/>
      <c r="U16" s="343"/>
      <c r="V16" s="343"/>
      <c r="W16" s="343"/>
      <c r="X16" s="343"/>
      <c r="Y16" s="343"/>
      <c r="Z16" s="343"/>
      <c r="AA16" s="343"/>
      <c r="AB16" s="343"/>
      <c r="AC16" s="343"/>
      <c r="AD16" s="343"/>
      <c r="AE16" s="343"/>
      <c r="AF16" s="343"/>
      <c r="AG16" s="343"/>
      <c r="AH16" s="343"/>
      <c r="AI16" s="343"/>
      <c r="AJ16" s="343"/>
      <c r="AK16" s="343"/>
      <c r="AL16" s="343"/>
      <c r="AM16" s="343"/>
      <c r="AN16" s="343"/>
      <c r="AO16" s="343"/>
      <c r="AP16" s="343"/>
    </row>
    <row r="17">
      <c r="A17" s="325" t="str">
        <v>24-公司-(1-12月实际)-班主任佣金进人力成本</v>
      </c>
      <c r="B17" s="343" t="str">
        <v>成本金额为：原成本-税金-进入成本的工资部分-调整技术服务费</v>
      </c>
      <c r="C17" s="343"/>
      <c r="D17" s="343"/>
      <c r="E17" s="343"/>
      <c r="F17" s="343"/>
      <c r="G17" s="343"/>
      <c r="H17" s="343"/>
      <c r="I17" s="343"/>
      <c r="J17" s="343"/>
      <c r="K17" s="343"/>
      <c r="L17" s="343"/>
      <c r="M17" s="343"/>
      <c r="N17" s="343"/>
      <c r="O17" s="343"/>
      <c r="P17" s="343"/>
      <c r="Q17" s="343"/>
      <c r="R17" s="343"/>
      <c r="S17" s="343"/>
      <c r="T17" s="343"/>
      <c r="U17" s="343"/>
      <c r="V17" s="343"/>
      <c r="W17" s="343"/>
      <c r="X17" s="343"/>
      <c r="Y17" s="343"/>
      <c r="Z17" s="343"/>
      <c r="AA17" s="343"/>
      <c r="AB17" s="343"/>
      <c r="AC17" s="343"/>
      <c r="AD17" s="343"/>
      <c r="AE17" s="343"/>
      <c r="AF17" s="343"/>
      <c r="AG17" s="343"/>
      <c r="AH17" s="343"/>
      <c r="AI17" s="343"/>
      <c r="AJ17" s="343"/>
      <c r="AK17" s="343"/>
      <c r="AL17" s="343"/>
      <c r="AM17" s="343"/>
      <c r="AN17" s="343"/>
      <c r="AO17" s="343"/>
      <c r="AP17" s="343"/>
    </row>
    <row r="18">
      <c r="A18" s="6"/>
      <c r="B18" s="6">
        <v>112633452.5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</row>
    <row r="19">
      <c r="A19" s="6" t="str">
        <v>减去：税金</v>
      </c>
      <c r="B19" s="6">
        <f>I16</f>
      </c>
      <c r="C19" s="6">
        <f>B19/B6</f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</row>
    <row r="20">
      <c r="A20" s="6" t="str">
        <v>减去：进入成本的工资部分</v>
      </c>
      <c r="B20" s="6">
        <f>J16</f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</row>
    <row r="21">
      <c r="A21" s="6" t="str">
        <v>减去：进入成本的技术服务费</v>
      </c>
      <c r="B21" s="306">
        <v>885000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</row>
    <row r="22">
      <c r="A22" s="6"/>
      <c r="B22" s="6">
        <f>B18-B19-B20-B21</f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</row>
  </sheetData>
  <legacyDrawing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2" xSplit="3" ySplit="1"/>
    </sheetView>
  </sheetViews>
  <sheetFormatPr defaultColWidth="14" defaultRowHeight="19"/>
  <cols>
    <col collapsed="false" customWidth="true" hidden="false" max="1" min="1" style="0" width="17"/>
    <col collapsed="false" customWidth="true" hidden="false" max="2" min="2" style="0" width="18"/>
    <col collapsed="false" customWidth="true" hidden="false" max="3" min="3" style="0" width="19"/>
    <col collapsed="false" customWidth="true" hidden="false" max="4" min="4" style="0" width="49"/>
    <col collapsed="false" customWidth="true" hidden="false" max="5" min="5" style="0" width="44"/>
    <col collapsed="false" customWidth="true" hidden="false" max="6" min="6" style="0" width="41"/>
    <col collapsed="false" customWidth="true" hidden="false" max="7" min="7" style="0" width="41"/>
    <col collapsed="false" customWidth="true" hidden="false" max="8" min="8" style="0" width="15"/>
    <col collapsed="false" customWidth="true" hidden="false" max="9" min="9" style="0" width="15"/>
    <col collapsed="false" customWidth="true" hidden="false" max="10" min="10" style="0" width="11"/>
    <col collapsed="false" customWidth="true" hidden="false" max="11" min="11" style="0" width="11"/>
    <col collapsed="false" customWidth="true" hidden="false" max="12" min="12" style="0" width="15"/>
    <col collapsed="false" customWidth="true" hidden="false" max="13" min="13" style="0" width="17"/>
    <col collapsed="false" customWidth="true" hidden="false" max="14" min="14" style="0" width="17"/>
    <col collapsed="false" customWidth="true" hidden="false" max="15" min="15" style="0" width="12"/>
    <col collapsed="true" hidden="false" max="16" min="16" style="0" width="7"/>
    <col collapsed="false" customWidth="true" hidden="true" max="17" min="17" outlineLevel="1" style="0" width="7"/>
    <col collapsed="false" customWidth="true" hidden="true" max="18" min="18" outlineLevel="1" style="0" width="7"/>
    <col collapsed="false" customWidth="true" hidden="true" max="19" min="19" outlineLevel="1" style="0" width="7"/>
    <col collapsed="false" customWidth="true" hidden="true" max="20" min="20" outlineLevel="1" style="0" width="7"/>
    <col collapsed="false" customWidth="true" hidden="true" max="21" min="21" outlineLevel="1" style="0" width="7"/>
    <col collapsed="false" customWidth="true" hidden="true" max="22" min="22" outlineLevel="1" style="0" width="7"/>
    <col collapsed="false" customWidth="true" hidden="true" max="23" min="23" outlineLevel="1" style="0" width="7"/>
    <col collapsed="false" customWidth="true" hidden="true" max="24" min="24" outlineLevel="1" style="0" width="7"/>
    <col collapsed="false" customWidth="true" hidden="true" max="25" min="25" outlineLevel="1" style="0" width="7"/>
    <col collapsed="false" customWidth="true" hidden="true" max="26" min="26" outlineLevel="1" style="0" width="7"/>
    <col collapsed="false" customWidth="true" hidden="true" max="27" min="27" outlineLevel="1" style="0" width="7"/>
    <col collapsed="false" customWidth="true" hidden="true" max="28" min="28" outlineLevel="1" style="0" width="7"/>
    <col collapsed="false" customWidth="true" hidden="true" max="29" min="29" outlineLevel="1" style="0" width="7"/>
    <col collapsed="false" customWidth="true" hidden="true" max="30" min="30" outlineLevel="1" style="0" width="7"/>
    <col collapsed="false" customWidth="true" hidden="true" max="31" min="31" outlineLevel="1" style="0" width="7"/>
    <col collapsed="false" customWidth="true" hidden="true" max="32" min="32" outlineLevel="1" style="0" width="7"/>
    <col collapsed="false" customWidth="true" hidden="true" max="33" min="33" outlineLevel="1" style="0" width="7"/>
    <col collapsed="false" customWidth="true" hidden="false" max="34" min="34" style="0" width="13"/>
    <col collapsed="false" customWidth="true" hidden="false" max="35" min="35" style="0" width="14"/>
    <col collapsed="false" customWidth="true" hidden="false" max="36" min="36" style="0" width="19"/>
    <col collapsed="false" customWidth="true" hidden="false" max="37" min="37" style="0" width="17"/>
    <col collapsed="false" customWidth="true" hidden="false" max="38" min="38" style="0" width="17"/>
    <col collapsed="false" customWidth="true" hidden="false" max="39" min="39" style="0" width="17"/>
    <col collapsed="false" customWidth="true" hidden="false" max="40" min="40" style="0" width="17"/>
    <col collapsed="false" customWidth="true" hidden="false" max="41" min="41" style="0" width="17"/>
    <col collapsed="false" customWidth="true" hidden="false" max="42" min="42" style="0" width="17"/>
    <col collapsed="false" customWidth="true" hidden="false" max="43" min="43" style="0" width="17"/>
    <col collapsed="false" customWidth="true" hidden="false" max="44" min="44" style="0" width="17"/>
    <col collapsed="false" customWidth="true" hidden="false" max="45" min="45" style="0" width="22"/>
    <col collapsed="false" customWidth="true" hidden="false" max="46" min="46" style="0" width="22"/>
    <col collapsed="false" customWidth="true" hidden="false" max="47" min="47" style="0" width="18"/>
  </cols>
  <sheetData>
    <row customHeight="true" ht="36" r="1">
      <c r="A1" s="359" t="str">
        <v>2024年各组织奖金包生成方案</v>
      </c>
      <c r="B1" s="359"/>
      <c r="C1" s="359"/>
      <c r="D1" s="359"/>
      <c r="E1" s="359"/>
      <c r="F1" s="359"/>
      <c r="G1" s="359"/>
      <c r="H1" s="358"/>
      <c r="I1" s="358"/>
      <c r="J1" s="358"/>
      <c r="K1" s="358"/>
      <c r="L1" s="358"/>
      <c r="M1" s="358"/>
      <c r="N1" s="358"/>
      <c r="O1" s="358"/>
      <c r="P1" s="358"/>
      <c r="Q1" s="358"/>
      <c r="R1" s="358"/>
      <c r="S1" s="358"/>
      <c r="T1" s="358"/>
      <c r="U1" s="358"/>
      <c r="V1" s="358"/>
      <c r="W1" s="358"/>
      <c r="X1" s="358"/>
      <c r="Y1" s="358"/>
      <c r="Z1" s="358"/>
      <c r="AA1" s="358"/>
      <c r="AB1" s="358"/>
      <c r="AC1" s="358"/>
      <c r="AD1" s="358"/>
      <c r="AE1" s="358"/>
      <c r="AF1" s="358"/>
      <c r="AG1" s="358"/>
      <c r="AH1" s="358"/>
      <c r="AI1" s="358"/>
      <c r="AJ1" s="358"/>
      <c r="AK1" s="192" t="str">
        <v>过程执行</v>
      </c>
      <c r="AL1" s="192"/>
      <c r="AM1" s="192"/>
      <c r="AN1" s="192"/>
      <c r="AO1" s="192"/>
      <c r="AP1" s="192"/>
      <c r="AQ1" s="192"/>
      <c r="AR1" s="192"/>
      <c r="AS1" s="360" t="str">
        <v>奖金分配</v>
      </c>
      <c r="AT1" s="360"/>
      <c r="AU1" s="360"/>
    </row>
    <row r="2">
      <c r="A2" s="362" t="str">
        <v>部门名称</v>
      </c>
      <c r="B2" s="362" t="str">
        <v>粮食考核要求</v>
      </c>
      <c r="C2" s="362" t="str">
        <v>人均薪酬增长目标</v>
      </c>
      <c r="D2" s="362" t="str">
        <v>粮食包公式（可多个粮食来源）</v>
      </c>
      <c r="E2" s="362" t="str">
        <v>火车头奖金公式1</v>
      </c>
      <c r="F2" s="362" t="str">
        <v>火车头奖金公式2</v>
      </c>
      <c r="G2" s="363" t="str">
        <v>员工奖金公式
（基础奖金=（部门奖金包-）/Σ（个人职级系数*个人考核系数））</v>
      </c>
      <c r="H2" s="363" t="str">
        <v>成本占比收入</v>
      </c>
      <c r="I2" s="363" t="str">
        <v>费用占比收入</v>
      </c>
      <c r="J2" s="363" t="str">
        <v>净利润占比收入</v>
      </c>
      <c r="K2" s="363" t="str">
        <v>人工占比收入</v>
      </c>
      <c r="L2" s="362" t="str">
        <v>奖金目标值</v>
      </c>
      <c r="M2" s="362" t="str">
        <v>23年奖金</v>
      </c>
      <c r="N2" s="362" t="str">
        <v>火车头目标值</v>
      </c>
      <c r="O2" s="362" t="str">
        <v>人员编制</v>
      </c>
      <c r="P2" s="363" t="s">
        <v>11</v>
      </c>
      <c r="Q2" s="362" t="str">
        <v>美1</v>
      </c>
      <c r="R2" s="362" t="str">
        <v>美2</v>
      </c>
      <c r="S2" s="362" t="str">
        <v>加</v>
      </c>
      <c r="T2" s="362" t="str">
        <v>英</v>
      </c>
      <c r="U2" s="362" t="str">
        <v>欧</v>
      </c>
      <c r="V2" s="362" t="str">
        <v>日</v>
      </c>
      <c r="W2" s="362" t="str">
        <v>中</v>
      </c>
      <c r="X2" s="362" t="str">
        <v>DA</v>
      </c>
      <c r="Y2" s="362" t="str">
        <v>ST</v>
      </c>
      <c r="Z2" s="362" t="str">
        <v>GE</v>
      </c>
      <c r="AA2" s="362" t="str">
        <v>CBB</v>
      </c>
      <c r="AB2" s="362" t="str">
        <v>供应</v>
      </c>
      <c r="AC2" s="362" t="str">
        <v>市场</v>
      </c>
      <c r="AD2" s="362" t="str">
        <v>公司</v>
      </c>
      <c r="AE2" s="362" t="str">
        <v>流程</v>
      </c>
      <c r="AF2" s="362" t="str">
        <v>财经</v>
      </c>
      <c r="AG2" s="362" t="str">
        <v>HR</v>
      </c>
      <c r="AH2" s="362" t="str">
        <v>工资总额</v>
      </c>
      <c r="AI2" s="362" t="str">
        <v>薪酬包目标</v>
      </c>
      <c r="AJ2" s="363" t="str">
        <v>E/R值
（公司3.81%）</v>
      </c>
      <c r="AK2" s="192" t="str">
        <v>对比公司差值</v>
      </c>
      <c r="AL2" s="192" t="str">
        <v>收入累计</v>
      </c>
      <c r="AM2" s="192" t="str">
        <v>毛利累计</v>
      </c>
      <c r="AN2" s="197" t="str">
        <v>工资额累计</v>
      </c>
      <c r="AO2" s="197" t="str">
        <v>经营奖金包累计①</v>
      </c>
      <c r="AP2" s="197" t="str">
        <v>专项奖金包累计②</v>
      </c>
      <c r="AQ2" s="192" t="str">
        <v>E/C值</v>
      </c>
      <c r="AR2" s="197" t="str">
        <v>业务改进计划</v>
      </c>
      <c r="AS2" s="364" t="str">
        <v>奖金预提累计
③</v>
      </c>
      <c r="AT2" s="361" t="str">
        <v>奖金包剩余
（=①+②-③）</v>
      </c>
      <c r="AU2" s="360" t="str">
        <v>人均奖金累计</v>
      </c>
    </row>
    <row customHeight="true" ht="17" r="3">
      <c r="A3" s="11"/>
      <c r="J3" s="366"/>
      <c r="M3" s="365"/>
      <c r="N3" s="365"/>
      <c r="O3" s="365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</row>
    <row customHeight="true" ht="17" r="4">
      <c r="A4" s="11"/>
      <c r="J4" s="366"/>
      <c r="M4" s="365"/>
      <c r="N4" s="365"/>
      <c r="O4" s="365"/>
    </row>
    <row customHeight="true" ht="17" r="5">
      <c r="A5" s="11"/>
      <c r="J5" s="366"/>
      <c r="M5" s="365"/>
      <c r="N5" s="365"/>
      <c r="O5" s="365"/>
      <c r="P5" s="4"/>
    </row>
    <row customHeight="true" ht="17" r="6">
      <c r="A6" s="11"/>
      <c r="P6" s="4"/>
    </row>
    <row customHeight="true" ht="17" r="7"/>
    <row customHeight="true" ht="17" r="8"/>
    <row customHeight="true" ht="17" r="9"/>
    <row customHeight="true" ht="17" r="10"/>
    <row customHeight="true" ht="17" r="11"/>
    <row customHeight="true" ht="17" r="12"/>
    <row customHeight="true" ht="17" r="13"/>
    <row customHeight="true" ht="17" r="14"/>
    <row customHeight="true" ht="17" r="15"/>
    <row customHeight="true" ht="17" r="16"/>
    <row customHeight="true" ht="17" r="17"/>
    <row customHeight="true" ht="17" r="18"/>
    <row customHeight="true" ht="17" r="19"/>
    <row customHeight="true" ht="17" r="20"/>
  </sheetData>
  <mergeCells>
    <mergeCell ref="A1:G1"/>
    <mergeCell ref="AK1:AR1"/>
    <mergeCell ref="AS1:AU1"/>
  </mergeCells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B2" xSplit="1" ySplit="1"/>
    </sheetView>
  </sheetViews>
  <sheetFormatPr defaultColWidth="14" defaultRowHeight="19"/>
  <cols>
    <col collapsed="false" customWidth="true" hidden="false" max="1" min="1" style="0" width="35"/>
    <col collapsed="false" customWidth="true" hidden="false" max="2" min="2" style="0" width="23"/>
    <col collapsed="false" customWidth="true" hidden="false" max="3" min="3" style="0" width="20"/>
    <col collapsed="false" customWidth="true" hidden="false" max="4" min="4" style="0" width="13"/>
    <col collapsed="false" customWidth="true" hidden="false" max="5" min="5" style="0" width="13"/>
    <col collapsed="false" customWidth="true" hidden="false" max="6" min="6" style="0" width="13"/>
    <col collapsed="false" customWidth="true" hidden="false" max="7" min="7" style="0" width="13"/>
    <col collapsed="false" customWidth="true" hidden="false" max="8" min="8" style="0" width="13"/>
    <col collapsed="false" customWidth="true" hidden="false" max="9" min="9" style="0" width="13"/>
    <col collapsed="false" customWidth="true" hidden="false" max="10" min="10" style="0" width="10"/>
    <col collapsed="false" customWidth="true" hidden="false" max="11" min="11" style="0" width="18"/>
    <col collapsed="false" customWidth="true" hidden="false" max="12" min="12" style="0" width="10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10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10"/>
    <col collapsed="false" customWidth="true" hidden="false" max="19" min="19" style="0" width="10"/>
    <col collapsed="false" customWidth="true" hidden="false" max="20" min="20" style="0" width="10"/>
  </cols>
  <sheetData>
    <row customHeight="true" ht="38" r="1">
      <c r="A1" s="362" t="str">
        <v>项目</v>
      </c>
      <c r="B1" s="362" t="str">
        <v>逻辑关系</v>
      </c>
      <c r="C1" s="363" t="str">
        <v>2024年预算</v>
      </c>
      <c r="D1" s="362" t="str">
        <v>1月执行</v>
      </c>
      <c r="E1" s="362" t="str">
        <v>2月执行</v>
      </c>
      <c r="F1" s="362" t="str">
        <v>3月执行</v>
      </c>
      <c r="G1" s="362" t="str">
        <v>2季度执行</v>
      </c>
      <c r="H1" s="192" t="str">
        <v>累计执行</v>
      </c>
      <c r="I1" s="192" t="str">
        <v>执行效率</v>
      </c>
    </row>
    <row customHeight="true" ht="17" r="2">
      <c r="A2" s="368" t="str">
        <v>一、全年平均人数</v>
      </c>
      <c r="B2" s="369" t="str">
        <v>1=2+3+4</v>
      </c>
      <c r="C2" s="370">
        <v>112</v>
      </c>
      <c r="D2" s="367"/>
      <c r="E2" s="367"/>
      <c r="F2" s="367"/>
      <c r="G2" s="367"/>
      <c r="H2" s="367"/>
      <c r="I2" s="367"/>
    </row>
    <row customHeight="true" ht="17" r="3">
      <c r="A3" s="367" t="str">
        <v>其中，在岗平均人数</v>
      </c>
      <c r="B3" s="369">
        <v>2</v>
      </c>
      <c r="C3" s="371"/>
      <c r="D3" s="367"/>
      <c r="E3" s="367"/>
      <c r="F3" s="367"/>
      <c r="G3" s="367"/>
      <c r="I3" s="367"/>
    </row>
    <row customHeight="true" ht="17" r="4">
      <c r="A4" s="367" t="str" xml:space="preserve">
        <v>            不在岗平均人数</v>
      </c>
      <c r="B4" s="369">
        <v>3</v>
      </c>
      <c r="C4" s="371"/>
      <c r="D4" s="367"/>
      <c r="E4" s="367"/>
      <c r="F4" s="367"/>
      <c r="G4" s="367"/>
      <c r="H4" s="367"/>
      <c r="I4" s="367"/>
    </row>
    <row customHeight="true" ht="17" r="5">
      <c r="A5" s="367" t="str" xml:space="preserve">
        <v>            其他从业人员平均人数</v>
      </c>
      <c r="B5" s="369">
        <v>4</v>
      </c>
      <c r="C5" s="371"/>
      <c r="D5" s="367"/>
      <c r="E5" s="367"/>
      <c r="F5" s="367"/>
      <c r="G5" s="367"/>
      <c r="H5" s="367"/>
      <c r="I5" s="367"/>
    </row>
    <row customHeight="true" ht="17" r="6">
      <c r="A6" s="368" t="str">
        <v>二、工资总额</v>
      </c>
      <c r="B6" s="367" t="str">
        <v>5=6+7+8</v>
      </c>
      <c r="C6" s="375"/>
      <c r="D6" s="381"/>
      <c r="E6" s="367"/>
      <c r="F6" s="367"/>
      <c r="G6" s="367"/>
      <c r="H6" s="367"/>
      <c r="I6" s="367"/>
    </row>
    <row customHeight="true" ht="17" r="7">
      <c r="A7" s="367" t="str">
        <v>其中，在岗员工工资总额</v>
      </c>
      <c r="B7" s="369">
        <v>6</v>
      </c>
      <c r="C7" s="374"/>
      <c r="D7" s="378"/>
      <c r="E7" s="367"/>
      <c r="F7" s="367"/>
      <c r="G7" s="367"/>
      <c r="H7" s="367"/>
      <c r="I7" s="367"/>
    </row>
    <row customHeight="true" ht="17" r="8">
      <c r="A8" s="367" t="str" xml:space="preserve">
        <v>            不在岗员工工资总额</v>
      </c>
      <c r="B8" s="369">
        <v>7</v>
      </c>
      <c r="C8" s="374"/>
      <c r="D8" s="367"/>
      <c r="E8" s="367"/>
      <c r="F8" s="367"/>
      <c r="G8" s="367"/>
      <c r="H8" s="367"/>
      <c r="I8" s="367"/>
    </row>
    <row customHeight="true" ht="17" r="9">
      <c r="A9" s="367" t="str" xml:space="preserve">
        <v>            其他从业人员报酬</v>
      </c>
      <c r="B9" s="369">
        <v>8</v>
      </c>
      <c r="C9" s="374"/>
      <c r="D9" s="367"/>
      <c r="E9" s="367"/>
      <c r="F9" s="367"/>
      <c r="G9" s="367"/>
      <c r="H9" s="367"/>
      <c r="I9" s="367"/>
    </row>
    <row customHeight="true" ht="17" r="10">
      <c r="A10" s="368" t="str">
        <v>三、平均工资</v>
      </c>
      <c r="B10" s="369">
        <v>9</v>
      </c>
      <c r="C10" s="375"/>
      <c r="D10" s="369"/>
      <c r="E10" s="367"/>
      <c r="F10" s="367"/>
      <c r="G10" s="367"/>
      <c r="H10" s="367"/>
      <c r="I10" s="367"/>
    </row>
    <row customHeight="true" ht="17" r="11">
      <c r="A11" s="367" t="str">
        <v>其中，在岗员工工资总额</v>
      </c>
      <c r="B11" s="369" t="str">
        <v>10=5/2</v>
      </c>
      <c r="C11" s="374"/>
      <c r="D11" s="367"/>
      <c r="E11" s="367"/>
      <c r="F11" s="367"/>
      <c r="G11" s="367"/>
      <c r="H11" s="367"/>
      <c r="I11" s="367"/>
    </row>
    <row customHeight="true" ht="17" r="12">
      <c r="A12" s="367" t="str" xml:space="preserve">
        <v>            全部人员平均工资</v>
      </c>
      <c r="B12" s="369" t="str">
        <v>11=5/1</v>
      </c>
      <c r="C12" s="374"/>
      <c r="D12" s="367"/>
      <c r="E12" s="367"/>
      <c r="F12" s="367"/>
      <c r="G12" s="367"/>
      <c r="H12" s="367"/>
      <c r="I12" s="367"/>
    </row>
    <row customHeight="true" ht="17" r="13">
      <c r="A13" s="368" t="str">
        <v>四、人工成本</v>
      </c>
      <c r="B13" s="369" t="str">
        <v>12=5+13+14+15+16+17</v>
      </c>
      <c r="C13" s="375"/>
      <c r="D13" s="367"/>
      <c r="E13" s="367"/>
      <c r="F13" s="367"/>
      <c r="G13" s="367"/>
      <c r="H13" s="367"/>
      <c r="I13" s="367"/>
    </row>
    <row customHeight="true" ht="17" r="14">
      <c r="A14" s="367" t="str">
        <v>其中，保障费用（社保公积金）</v>
      </c>
      <c r="B14" s="369">
        <v>13</v>
      </c>
      <c r="C14" s="374"/>
      <c r="D14" s="367"/>
      <c r="E14" s="367"/>
      <c r="F14" s="367"/>
      <c r="G14" s="367"/>
      <c r="H14" s="367"/>
      <c r="I14" s="367"/>
    </row>
    <row customHeight="true" ht="17" r="15">
      <c r="A15" s="367" t="str" xml:space="preserve">
        <v>            福利费用</v>
      </c>
      <c r="B15" s="369">
        <v>14</v>
      </c>
      <c r="C15" s="374"/>
      <c r="D15" s="367"/>
      <c r="E15" s="367"/>
      <c r="F15" s="367"/>
      <c r="G15" s="367"/>
      <c r="H15" s="367"/>
      <c r="I15" s="367"/>
    </row>
    <row customHeight="true" ht="17" r="16">
      <c r="A16" s="367" t="str" xml:space="preserve">
        <v>            招培费用</v>
      </c>
      <c r="B16" s="369">
        <v>15</v>
      </c>
      <c r="C16" s="374"/>
      <c r="D16" s="367"/>
      <c r="E16" s="367"/>
      <c r="F16" s="367"/>
      <c r="G16" s="367"/>
      <c r="H16" s="367"/>
      <c r="I16" s="367"/>
    </row>
    <row customHeight="true" ht="17" r="17">
      <c r="A17" s="367" t="str" xml:space="preserve">
        <v>            补偿</v>
      </c>
      <c r="B17" s="369">
        <v>16</v>
      </c>
      <c r="C17" s="374"/>
      <c r="D17" s="367"/>
      <c r="E17" s="367"/>
      <c r="F17" s="367"/>
      <c r="G17" s="367"/>
      <c r="H17" s="367"/>
      <c r="I17" s="367"/>
    </row>
    <row customHeight="true" ht="17" r="18">
      <c r="A18" s="368" t="str">
        <v>五、奖金总额（按奖金公式核算）</v>
      </c>
      <c r="B18" s="369">
        <v>17</v>
      </c>
      <c r="C18" s="375"/>
      <c r="D18" s="367"/>
      <c r="E18" s="367"/>
      <c r="F18" s="367"/>
      <c r="G18" s="367"/>
      <c r="H18" s="367"/>
      <c r="I18" s="367"/>
    </row>
    <row customHeight="true" ht="17" r="19">
      <c r="A19" s="367" t="str">
        <v>其中，绩效奖（提成）</v>
      </c>
      <c r="B19" s="369">
        <v>18</v>
      </c>
      <c r="C19" s="374"/>
      <c r="D19" s="367"/>
      <c r="E19" s="367"/>
      <c r="F19" s="367"/>
      <c r="G19" s="367"/>
      <c r="H19" s="367"/>
      <c r="I19" s="367"/>
    </row>
    <row customHeight="true" ht="17" r="20">
      <c r="A20" s="367" t="str" xml:space="preserve">
        <v>            专项奖</v>
      </c>
      <c r="B20" s="369">
        <v>19</v>
      </c>
      <c r="C20" s="374"/>
      <c r="D20" s="367"/>
      <c r="E20" s="367"/>
      <c r="F20" s="367"/>
      <c r="G20" s="367"/>
      <c r="H20" s="367"/>
      <c r="I20" s="367"/>
    </row>
    <row customHeight="true" ht="17" r="21">
      <c r="A21" s="367" t="str" xml:space="preserve">
        <v>            （剩余）年终奖</v>
      </c>
      <c r="B21" s="369" t="str">
        <v>20=17-18</v>
      </c>
      <c r="C21" s="374"/>
      <c r="D21" s="367"/>
      <c r="E21" s="367"/>
      <c r="F21" s="367"/>
      <c r="G21" s="367"/>
      <c r="H21" s="367"/>
      <c r="I21" s="367"/>
    </row>
    <row customHeight="true" ht="17" r="22">
      <c r="A22" s="368" t="str">
        <v>六、主要财务指标（按对应利润中心核算）</v>
      </c>
      <c r="B22" s="369"/>
      <c r="C22" s="371"/>
      <c r="D22" s="367"/>
      <c r="E22" s="367"/>
      <c r="F22" s="367"/>
      <c r="G22" s="367"/>
      <c r="H22" s="367"/>
      <c r="I22" s="367"/>
    </row>
    <row customHeight="true" ht="17" r="23">
      <c r="A23" s="367" t="str">
        <v>其中，销售收入</v>
      </c>
      <c r="B23" s="369">
        <v>21</v>
      </c>
      <c r="C23" s="380"/>
      <c r="D23" s="367"/>
      <c r="E23" s="367"/>
      <c r="F23" s="367"/>
      <c r="G23" s="367"/>
      <c r="H23" s="367"/>
      <c r="I23" s="367"/>
    </row>
    <row customHeight="true" ht="17" r="24">
      <c r="A24" s="367" t="str" xml:space="preserve">
        <v>            成本总额</v>
      </c>
      <c r="B24" s="369">
        <v>22</v>
      </c>
      <c r="C24" s="376"/>
      <c r="D24" s="367"/>
      <c r="E24" s="367"/>
      <c r="F24" s="367"/>
      <c r="G24" s="367"/>
      <c r="H24" s="367"/>
      <c r="I24" s="367"/>
    </row>
    <row customHeight="true" ht="17" r="25">
      <c r="A25" s="367" t="str" xml:space="preserve">
        <v>            毛利总额</v>
      </c>
      <c r="B25" s="369">
        <v>23</v>
      </c>
      <c r="C25" s="379"/>
      <c r="D25" s="367"/>
      <c r="E25" s="367"/>
      <c r="F25" s="367"/>
      <c r="G25" s="367"/>
      <c r="H25" s="367"/>
      <c r="I25" s="367"/>
    </row>
    <row customHeight="true" ht="17" r="26">
      <c r="A26" s="367" t="str" xml:space="preserve">
        <v>            销售费用</v>
      </c>
      <c r="B26" s="369">
        <v>24</v>
      </c>
      <c r="C26" s="376"/>
      <c r="D26" s="367"/>
      <c r="E26" s="367"/>
      <c r="F26" s="367"/>
      <c r="G26" s="367"/>
      <c r="H26" s="367"/>
      <c r="I26" s="367"/>
    </row>
    <row customHeight="true" ht="17" r="27">
      <c r="A27" s="367" t="str" xml:space="preserve">
        <v>            管理费用</v>
      </c>
      <c r="B27" s="369">
        <v>25</v>
      </c>
      <c r="C27" s="376"/>
      <c r="D27" s="367"/>
      <c r="E27" s="367"/>
      <c r="F27" s="367"/>
      <c r="G27" s="367"/>
      <c r="H27" s="367"/>
      <c r="I27" s="367"/>
    </row>
    <row customHeight="true" ht="17" r="28">
      <c r="A28" s="367" t="str" xml:space="preserve">
        <v>            财税费用</v>
      </c>
      <c r="B28" s="369">
        <v>26</v>
      </c>
      <c r="C28" s="376"/>
      <c r="D28" s="367"/>
      <c r="E28" s="367"/>
      <c r="F28" s="367"/>
      <c r="G28" s="367"/>
      <c r="H28" s="367"/>
      <c r="I28" s="367"/>
    </row>
    <row customHeight="true" ht="17" r="29">
      <c r="A29" s="367" t="str" xml:space="preserve">
        <v>            营业利润</v>
      </c>
      <c r="B29" s="369">
        <v>27</v>
      </c>
      <c r="C29" s="376"/>
      <c r="D29" s="367"/>
      <c r="E29" s="367"/>
      <c r="F29" s="367"/>
      <c r="G29" s="367"/>
      <c r="H29" s="367"/>
      <c r="I29" s="367"/>
    </row>
    <row customHeight="true" ht="17" r="30">
      <c r="A30" s="367" t="str" xml:space="preserve">
        <v>            净利润</v>
      </c>
      <c r="B30" s="369">
        <v>28</v>
      </c>
      <c r="C30" s="380"/>
      <c r="D30" s="367"/>
      <c r="E30" s="367"/>
      <c r="F30" s="367"/>
      <c r="G30" s="367"/>
      <c r="H30" s="367"/>
      <c r="I30" s="367"/>
    </row>
    <row customHeight="true" ht="17" r="31">
      <c r="A31" s="368" t="str">
        <v>七、投入产出分析</v>
      </c>
      <c r="B31" s="367"/>
      <c r="C31" s="371"/>
      <c r="D31" s="367"/>
      <c r="E31" s="367"/>
      <c r="F31" s="367"/>
      <c r="G31" s="367"/>
      <c r="H31" s="367"/>
      <c r="I31" s="367"/>
    </row>
    <row customHeight="true" ht="17" r="32">
      <c r="A32" s="367" t="str">
        <v>其中，人工成本/毛利总额</v>
      </c>
      <c r="B32" s="367" t="str">
        <v>29=12/23</v>
      </c>
      <c r="C32" s="377">
        <f>C13/C25</f>
      </c>
      <c r="D32" s="367"/>
      <c r="E32" s="367"/>
      <c r="F32" s="367"/>
      <c r="G32" s="367"/>
      <c r="H32" s="367"/>
      <c r="I32" s="367"/>
    </row>
    <row customHeight="true" ht="17" r="33">
      <c r="A33" s="369" t="str" xml:space="preserve">
        <v>            薪酬包/毛利总额</v>
      </c>
      <c r="B33" s="367" t="str">
        <v>30=（5+17）/23</v>
      </c>
      <c r="C33" s="377">
        <f>(C6+C18)/C25</f>
      </c>
      <c r="D33" s="367"/>
      <c r="E33" s="367"/>
      <c r="F33" s="367"/>
      <c r="G33" s="367"/>
      <c r="H33" s="367"/>
      <c r="I33" s="367"/>
    </row>
    <row customHeight="true" ht="17" r="34">
      <c r="A34" s="369" t="str" xml:space="preserve">
        <v>            薪酬包/收入总额</v>
      </c>
      <c r="B34" s="367" t="str">
        <v>31=（5+17）/21</v>
      </c>
      <c r="C34" s="377">
        <f>(C6+C18)/C23</f>
      </c>
      <c r="D34" s="367"/>
      <c r="E34" s="367"/>
      <c r="F34" s="367"/>
      <c r="G34" s="367"/>
      <c r="H34" s="367"/>
      <c r="I34" s="367"/>
    </row>
    <row customHeight="true" ht="17" r="35">
      <c r="A35" s="367" t="str" xml:space="preserve">
        <v>            净利润/毛利总额</v>
      </c>
      <c r="B35" s="367" t="str">
        <v>31=28/23</v>
      </c>
      <c r="C35" s="377">
        <f>C30/C25</f>
      </c>
      <c r="D35" s="367"/>
      <c r="E35" s="367"/>
      <c r="F35" s="367"/>
      <c r="G35" s="367"/>
      <c r="H35" s="367"/>
      <c r="I35" s="367"/>
    </row>
    <row customHeight="true" ht="17" r="36">
      <c r="A36" s="367" t="str" xml:space="preserve">
        <v>            销售收入/平均人数</v>
      </c>
      <c r="B36" s="367" t="str">
        <v>32=21/1</v>
      </c>
      <c r="C36" s="374">
        <f>C23/C2</f>
      </c>
      <c r="D36" s="367"/>
      <c r="E36" s="367"/>
      <c r="F36" s="367"/>
      <c r="G36" s="367"/>
      <c r="H36" s="367"/>
      <c r="I36" s="367"/>
    </row>
    <row customHeight="true" ht="17" r="37">
      <c r="A37" s="367" t="str" xml:space="preserve">
        <v>            净利润/平均人数</v>
      </c>
      <c r="B37" s="367" t="str">
        <v>33=28/2</v>
      </c>
      <c r="C37" s="374">
        <f>C30/C3</f>
      </c>
      <c r="D37" s="367"/>
      <c r="E37" s="367"/>
      <c r="F37" s="367"/>
      <c r="G37" s="367"/>
      <c r="H37" s="367"/>
      <c r="I37" s="367"/>
    </row>
    <row customHeight="true" ht="17" r="38">
      <c r="A38" s="372" t="str">
        <v>人均薪酬</v>
      </c>
      <c r="B38" s="372"/>
      <c r="C38" s="373">
        <f>(C6+C18)/C2</f>
      </c>
    </row>
  </sheetData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B1" xSplit="1"/>
    </sheetView>
  </sheetViews>
  <sheetFormatPr defaultColWidth="14" defaultRowHeight="19"/>
  <cols>
    <col collapsed="false" customWidth="true" hidden="false" max="1" min="1" style="0" width="31"/>
    <col collapsed="false" customWidth="true" hidden="false" max="2" min="2" style="0" width="19"/>
    <col collapsed="false" customWidth="true" hidden="false" max="3" min="3" style="0" width="19"/>
    <col collapsed="false" customWidth="true" hidden="false" max="4" min="4" style="0" width="19"/>
    <col collapsed="false" customWidth="true" hidden="false" max="5" min="5" style="0" width="19"/>
    <col collapsed="false" customWidth="true" hidden="false" max="6" min="6" style="0" width="19"/>
    <col collapsed="false" customWidth="true" hidden="false" max="7" min="7" style="0" width="19"/>
    <col collapsed="false" customWidth="true" hidden="false" max="8" min="8" style="0" width="19"/>
    <col collapsed="false" customWidth="true" hidden="false" max="9" min="9" style="0" width="19"/>
    <col collapsed="false" customWidth="true" hidden="false" max="10" min="10" style="0" width="19"/>
    <col collapsed="false" customWidth="true" hidden="false" max="11" min="11" style="0" width="19"/>
    <col collapsed="false" customWidth="true" hidden="false" max="12" min="12" style="0" width="24"/>
    <col collapsed="false" customWidth="true" hidden="false" max="13" min="13" style="0" width="15"/>
    <col collapsed="false" customWidth="true" hidden="false" max="14" min="14" style="0" width="14"/>
    <col collapsed="false" customWidth="true" hidden="false" max="15" min="15" style="0" width="15"/>
    <col collapsed="false" customWidth="true" hidden="false" max="16" min="16" style="0" width="18"/>
    <col collapsed="false" customWidth="true" hidden="false" max="17" min="17" style="0" width="17"/>
    <col collapsed="false" customWidth="true" hidden="false" max="18" min="18" style="0" width="20"/>
    <col collapsed="false" customWidth="true" hidden="false" max="19" min="19" style="0" width="14"/>
    <col collapsed="false" customWidth="true" hidden="false" max="20" min="20" style="0" width="10"/>
  </cols>
  <sheetData>
    <row customHeight="true" ht="31" r="1">
      <c r="A1" s="403" t="str">
        <v>【2024年度】经营性奖金包到部门（202401）——此工具也用作经营结果后做自上而下分配</v>
      </c>
      <c r="B1" s="403"/>
    </row>
    <row customHeight="true" ht="19" r="2">
      <c r="A2" s="389" t="str">
        <v>目标经营奖金</v>
      </c>
      <c r="B2" s="430">
        <f>'5_2024年公司薪酬包基线'!AA19</f>
      </c>
      <c r="D2" s="431"/>
      <c r="E2" s="431"/>
    </row>
    <row customHeight="true" ht="19" r="3">
      <c r="A3" s="389" t="str">
        <v>目标工资包</v>
      </c>
      <c r="B3" s="390">
        <f>'5_2024年公司薪酬包基线'!U19-'5_2024年公司薪酬包基线'!Y19</f>
      </c>
    </row>
    <row customHeight="true" ht="19" r="4">
      <c r="A4" s="389" t="str">
        <v>目标工资包（不含操作级）</v>
      </c>
      <c r="B4" s="419">
        <f>B3-D17</f>
      </c>
      <c r="D4" s="420"/>
      <c r="E4" s="420"/>
    </row>
    <row customHeight="true" ht="19" r="5">
      <c r="A5" s="389" t="str">
        <v>兑换系数</v>
      </c>
      <c r="B5" s="391">
        <f>B4/E16</f>
      </c>
      <c r="F5" s="391"/>
    </row>
    <row customHeight="true" ht="19" r="6">
      <c r="A6" s="389" t="str">
        <v>24工资放大系数</v>
      </c>
      <c r="B6" s="391">
        <f>'5_2024年公司薪酬包基线'!T19*0.55/B7</f>
      </c>
      <c r="H6" s="393"/>
      <c r="I6" s="393"/>
      <c r="J6" s="393"/>
      <c r="K6" s="393"/>
      <c r="L6" s="393"/>
    </row>
    <row customHeight="true" ht="19" r="7">
      <c r="A7" s="389" t="str">
        <v>23年工资总额</v>
      </c>
      <c r="B7" s="392">
        <v>9904000</v>
      </c>
      <c r="H7" s="393"/>
      <c r="I7" s="393"/>
      <c r="J7" s="393"/>
      <c r="K7" s="393"/>
      <c r="L7" s="393"/>
    </row>
    <row customHeight="true" ht="27" r="8">
      <c r="A8" s="382" t="str">
        <v>部门</v>
      </c>
      <c r="B8" s="382" t="str">
        <v>现有人数</v>
      </c>
      <c r="C8" s="382" t="str">
        <v>24年编制</v>
      </c>
      <c r="D8" s="382" t="str">
        <v>工资总额</v>
      </c>
      <c r="E8" s="382" t="str">
        <v>新增编制包</v>
      </c>
      <c r="F8" s="382" t="str">
        <v>兑换后工资总额</v>
      </c>
      <c r="G8" s="382" t="str">
        <v>工资总额占比</v>
      </c>
      <c r="H8" s="382" t="str">
        <v>人均工资</v>
      </c>
      <c r="I8" s="382" t="str">
        <v>部门奖金方案</v>
      </c>
      <c r="J8" s="382" t="str">
        <v>目标奖金包</v>
      </c>
      <c r="K8" s="382" t="str">
        <v>目标人均奖金</v>
      </c>
      <c r="L8" s="404" t="str">
        <v>24年目标人均薪酬</v>
      </c>
      <c r="M8" s="405" t="str">
        <v>贡献评估系数</v>
      </c>
      <c r="N8" s="405" t="str">
        <v>效率评估系数</v>
      </c>
      <c r="O8" s="405" t="str">
        <v>绩效评估系数</v>
      </c>
      <c r="P8" s="405" t="str">
        <v>实际人均奖金</v>
      </c>
      <c r="Q8" s="382" t="str">
        <v>23年人均薪酬</v>
      </c>
      <c r="R8" s="404" t="str">
        <v>人均薪酬增长</v>
      </c>
      <c r="S8" s="404" t="str">
        <v>平均增速</v>
      </c>
    </row>
    <row customHeight="true" ht="27" r="9">
      <c r="A9" s="394"/>
      <c r="B9" s="378">
        <v>20</v>
      </c>
      <c r="C9" s="399">
        <f>B9</f>
      </c>
      <c r="D9" s="395">
        <f>#REF!*$B$6</f>
      </c>
      <c r="E9" s="395"/>
      <c r="F9" s="396">
        <f>D9*$B$5</f>
      </c>
      <c r="G9" s="398">
        <f>F9/$B$3</f>
      </c>
      <c r="H9" s="395">
        <f>F9/C9</f>
      </c>
      <c r="I9" s="395"/>
      <c r="J9" s="395"/>
      <c r="K9" s="395"/>
      <c r="L9" s="395">
        <f>H9+K9</f>
      </c>
      <c r="M9" s="378">
        <v>1.2</v>
      </c>
      <c r="N9" s="378">
        <v>1</v>
      </c>
      <c r="O9" s="378">
        <v>1</v>
      </c>
      <c r="P9" s="378"/>
      <c r="Q9" s="395">
        <f>#REF!</f>
      </c>
      <c r="R9" s="397">
        <f>#REF!/Q9</f>
      </c>
      <c r="S9" s="400"/>
    </row>
    <row customHeight="true" ht="27" r="10">
      <c r="A10" s="394"/>
      <c r="B10" s="378">
        <v>2</v>
      </c>
      <c r="C10" s="399">
        <f>B10</f>
      </c>
      <c r="D10" s="395">
        <f>#REF!*$B$6</f>
      </c>
      <c r="E10" s="395"/>
      <c r="F10" s="396">
        <f>D10*$B$5</f>
      </c>
      <c r="G10" s="398">
        <f>F10/$B$3</f>
      </c>
      <c r="H10" s="395">
        <f>F10/C10</f>
      </c>
      <c r="I10" s="395"/>
      <c r="J10" s="395"/>
      <c r="K10" s="395"/>
      <c r="L10" s="395">
        <f>H10+K10</f>
      </c>
      <c r="M10" s="378">
        <v>1.2</v>
      </c>
      <c r="N10" s="378">
        <v>1</v>
      </c>
      <c r="O10" s="378">
        <v>1</v>
      </c>
      <c r="P10" s="378"/>
      <c r="Q10" s="395">
        <f>#REF!</f>
      </c>
      <c r="R10" s="397">
        <f>#REF!/Q10</f>
      </c>
      <c r="S10" s="400"/>
    </row>
    <row customHeight="true" ht="27" r="11">
      <c r="A11" s="394"/>
      <c r="B11" s="378">
        <v>1</v>
      </c>
      <c r="C11" s="399">
        <f>B11</f>
      </c>
      <c r="D11" s="395">
        <f>#REF!*$B$6</f>
      </c>
      <c r="E11" s="395"/>
      <c r="F11" s="396">
        <f>D11*$B$5</f>
      </c>
      <c r="G11" s="398">
        <f>F11/$B$3</f>
      </c>
      <c r="H11" s="395">
        <f>F11/C11</f>
      </c>
      <c r="I11" s="395"/>
      <c r="J11" s="395"/>
      <c r="K11" s="395"/>
      <c r="L11" s="395">
        <f>H11+K11</f>
      </c>
      <c r="M11" s="378">
        <v>1.2</v>
      </c>
      <c r="N11" s="378">
        <v>1</v>
      </c>
      <c r="O11" s="378">
        <v>1</v>
      </c>
      <c r="P11" s="378"/>
      <c r="Q11" s="395">
        <f>#REF!</f>
      </c>
      <c r="R11" s="397">
        <f>#REF!/Q11</f>
      </c>
      <c r="S11" s="400"/>
    </row>
    <row customHeight="true" ht="27" r="12">
      <c r="A12" s="394"/>
      <c r="B12" s="378">
        <v>2</v>
      </c>
      <c r="C12" s="399">
        <f>B12</f>
      </c>
      <c r="D12" s="395">
        <f>#REF!*$B$6</f>
      </c>
      <c r="E12" s="395"/>
      <c r="F12" s="396">
        <f>D12*$B$5</f>
      </c>
      <c r="G12" s="398">
        <f>F12/$B$3</f>
      </c>
      <c r="H12" s="395">
        <f>F12/C12</f>
      </c>
      <c r="I12" s="395"/>
      <c r="J12" s="395"/>
      <c r="K12" s="395"/>
      <c r="L12" s="395">
        <f>H12+K12</f>
      </c>
      <c r="M12" s="378">
        <v>1.2</v>
      </c>
      <c r="N12" s="378">
        <v>1</v>
      </c>
      <c r="O12" s="378">
        <v>1</v>
      </c>
      <c r="P12" s="378"/>
      <c r="Q12" s="395">
        <f>#REF!</f>
      </c>
      <c r="R12" s="397">
        <f>#REF!/Q12</f>
      </c>
      <c r="S12" s="400"/>
    </row>
    <row customHeight="true" ht="27" r="13">
      <c r="A13" s="394"/>
      <c r="B13" s="378">
        <v>1</v>
      </c>
      <c r="C13" s="399">
        <f>B13</f>
      </c>
      <c r="D13" s="395">
        <f>#REF!*$B$6</f>
      </c>
      <c r="E13" s="395"/>
      <c r="F13" s="396">
        <f>D13*$B$5</f>
      </c>
      <c r="G13" s="398">
        <f>F13/$B$3</f>
      </c>
      <c r="H13" s="395">
        <f>F13/C13</f>
      </c>
      <c r="I13" s="395"/>
      <c r="J13" s="395"/>
      <c r="K13" s="395"/>
      <c r="L13" s="395">
        <f>H13+K13</f>
      </c>
      <c r="M13" s="378">
        <v>1.2</v>
      </c>
      <c r="N13" s="378">
        <v>1</v>
      </c>
      <c r="O13" s="378">
        <v>1</v>
      </c>
      <c r="P13" s="378"/>
      <c r="Q13" s="395">
        <f>#REF!</f>
      </c>
      <c r="R13" s="397">
        <f>#REF!/Q13</f>
      </c>
      <c r="S13" s="400"/>
    </row>
    <row customHeight="true" ht="27" r="14">
      <c r="A14" s="394"/>
      <c r="B14" s="378">
        <v>1</v>
      </c>
      <c r="C14" s="399">
        <f>B14</f>
      </c>
      <c r="D14" s="395">
        <f>#REF!*$B$6</f>
      </c>
      <c r="E14" s="395"/>
      <c r="F14" s="396">
        <f>D14*$B$5</f>
      </c>
      <c r="G14" s="398">
        <f>F14/$B$3</f>
      </c>
      <c r="H14" s="395">
        <f>F14/C14</f>
      </c>
      <c r="I14" s="395"/>
      <c r="J14" s="395"/>
      <c r="K14" s="395"/>
      <c r="L14" s="395">
        <f>H14+K14</f>
      </c>
      <c r="M14" s="378">
        <v>1.2</v>
      </c>
      <c r="N14" s="378">
        <v>1</v>
      </c>
      <c r="O14" s="378">
        <v>1</v>
      </c>
      <c r="P14" s="378"/>
      <c r="Q14" s="395">
        <f>#REF!</f>
      </c>
      <c r="R14" s="397">
        <f>#REF!/Q14</f>
      </c>
      <c r="S14" s="400"/>
    </row>
    <row customHeight="true" ht="27" r="15">
      <c r="A15" s="394"/>
      <c r="B15" s="378">
        <v>5</v>
      </c>
      <c r="C15" s="399">
        <v>5</v>
      </c>
      <c r="D15" s="395">
        <f>#REF!*$B$6</f>
      </c>
      <c r="E15" s="395"/>
      <c r="F15" s="396">
        <f>D15*$B$5</f>
      </c>
      <c r="G15" s="398">
        <f>F15/$B$3</f>
      </c>
      <c r="H15" s="395">
        <f>F15/C15</f>
      </c>
      <c r="I15" s="395"/>
      <c r="J15" s="395"/>
      <c r="K15" s="395"/>
      <c r="L15" s="395">
        <f>H15+K15</f>
      </c>
      <c r="M15" s="378">
        <v>1</v>
      </c>
      <c r="N15" s="378">
        <v>1</v>
      </c>
      <c r="O15" s="378">
        <v>1</v>
      </c>
      <c r="P15" s="378"/>
      <c r="Q15" s="395">
        <f>#REF!</f>
      </c>
      <c r="R15" s="397">
        <f>#REF!/Q15</f>
      </c>
      <c r="S15" s="400"/>
    </row>
    <row customHeight="true" ht="27" r="16">
      <c r="A16" s="421" t="str">
        <v>总计</v>
      </c>
      <c r="B16" s="421">
        <f>SUM(B9:B15)</f>
      </c>
      <c r="C16" s="421">
        <f>SUM(C9:C15)</f>
      </c>
      <c r="D16" s="422">
        <f>SUM(D9:D15)</f>
      </c>
      <c r="E16" s="422">
        <f>D16+SUM(E9:E15)</f>
      </c>
      <c r="F16" s="426">
        <f>SUM(F9:F15)</f>
      </c>
      <c r="G16" s="425">
        <f>SUM(G9:G15)</f>
      </c>
      <c r="H16" s="423">
        <f>F16/C16</f>
      </c>
      <c r="I16" s="423"/>
      <c r="J16" s="423"/>
      <c r="K16" s="423"/>
      <c r="L16" s="395">
        <f>H16+K16</f>
      </c>
      <c r="M16" s="421"/>
      <c r="N16" s="424"/>
      <c r="O16" s="424"/>
      <c r="P16" s="424"/>
      <c r="Q16" s="421"/>
      <c r="R16" s="425">
        <f>AVERAGE(R9:R15)</f>
      </c>
      <c r="S16" s="424"/>
    </row>
    <row customHeight="true" ht="17" r="17">
      <c r="A17" s="412" t="str">
        <v>操作级（专包专用）</v>
      </c>
      <c r="B17" s="409">
        <v>7</v>
      </c>
      <c r="C17" s="408">
        <v>7</v>
      </c>
      <c r="D17" s="406">
        <f>#REF!*$B$6</f>
      </c>
      <c r="E17" s="406"/>
      <c r="F17" s="406">
        <f>D17</f>
      </c>
      <c r="G17" s="413"/>
      <c r="H17" s="406">
        <f>F17/C17</f>
      </c>
      <c r="I17" s="406"/>
      <c r="J17" s="406"/>
      <c r="K17" s="406"/>
      <c r="L17" s="406"/>
      <c r="M17" s="408"/>
      <c r="N17" s="407"/>
      <c r="O17" s="408"/>
      <c r="P17" s="408"/>
      <c r="Q17" s="410"/>
      <c r="R17" s="411">
        <v>1.1</v>
      </c>
      <c r="S17" s="410"/>
    </row>
    <row customHeight="true" ht="17" r="18"/>
    <row customHeight="true" ht="31" r="19">
      <c r="A19" s="403" t="str">
        <v>【2024年度】战略性奖金包（202401）</v>
      </c>
      <c r="B19" s="403"/>
      <c r="C19" s="427"/>
      <c r="D19" s="427"/>
      <c r="E19" s="427"/>
      <c r="F19" s="427"/>
      <c r="G19" s="427"/>
      <c r="H19" s="427"/>
      <c r="I19" s="427"/>
      <c r="J19" s="427"/>
      <c r="K19" s="427"/>
      <c r="L19" s="427"/>
      <c r="M19" s="427"/>
      <c r="N19" s="427"/>
      <c r="O19" s="427"/>
    </row>
    <row customHeight="true" ht="17" r="20">
      <c r="N20" s="4"/>
      <c r="O20" s="4"/>
      <c r="P20" s="4"/>
    </row>
    <row customHeight="true" ht="22" r="21">
      <c r="A21" s="382" t="str">
        <v>奖项名称</v>
      </c>
      <c r="B21" s="382">
        <v>1</v>
      </c>
      <c r="C21" s="382">
        <v>2</v>
      </c>
      <c r="D21" s="382">
        <v>3</v>
      </c>
      <c r="E21" s="382">
        <v>4</v>
      </c>
      <c r="F21" s="382"/>
      <c r="G21" s="382"/>
      <c r="H21" s="382"/>
      <c r="I21" s="382"/>
      <c r="J21" s="382"/>
      <c r="K21" s="382"/>
      <c r="L21" s="382"/>
      <c r="M21" s="384" t="str">
        <v>总计</v>
      </c>
      <c r="N21" s="4"/>
      <c r="O21" s="383"/>
      <c r="P21" s="383"/>
    </row>
    <row customHeight="true" ht="50" r="22">
      <c r="A22" s="388" t="str">
        <v>管理责任
（负责提名、激励建议、激励申报、荣誉沟通）</v>
      </c>
      <c r="B22" s="386"/>
      <c r="C22" s="386"/>
      <c r="D22" s="386"/>
      <c r="E22" s="386"/>
      <c r="F22" s="386"/>
      <c r="G22" s="386"/>
      <c r="H22" s="386"/>
      <c r="I22" s="386"/>
      <c r="J22" s="386"/>
      <c r="K22" s="386"/>
      <c r="L22" s="386"/>
      <c r="M22" s="385"/>
      <c r="N22" s="4"/>
      <c r="O22" s="387"/>
      <c r="P22" s="387"/>
    </row>
    <row customHeight="true" ht="50" r="23">
      <c r="A23" s="388" t="str">
        <v>组织责任
（组织评审、执行发放、颁奖表彰、荣誉宣传）</v>
      </c>
      <c r="B23" s="386"/>
      <c r="C23" s="386"/>
      <c r="D23" s="386"/>
      <c r="E23" s="386"/>
      <c r="F23" s="386"/>
      <c r="G23" s="386"/>
      <c r="H23" s="386"/>
      <c r="I23" s="386"/>
      <c r="J23" s="386"/>
      <c r="K23" s="386"/>
      <c r="L23" s="386"/>
      <c r="M23" s="385"/>
      <c r="N23" s="4"/>
      <c r="O23" s="387"/>
      <c r="P23" s="387"/>
    </row>
    <row customHeight="true" ht="19" r="24">
      <c r="A24" s="402" t="str">
        <v>总奖金包上限</v>
      </c>
      <c r="B24" s="378"/>
      <c r="C24" s="378"/>
      <c r="D24" s="378"/>
      <c r="E24" s="378"/>
      <c r="F24" s="378"/>
      <c r="G24" s="401"/>
      <c r="H24" s="401"/>
      <c r="I24" s="401"/>
      <c r="J24" s="401"/>
      <c r="K24" s="401"/>
      <c r="L24" s="401"/>
      <c r="M24" s="385"/>
      <c r="N24" s="4"/>
      <c r="O24" s="387"/>
      <c r="P24" s="387"/>
    </row>
    <row customHeight="true" ht="30" r="25">
      <c r="A25" s="402" t="str">
        <v>核算方法</v>
      </c>
      <c r="B25" s="414"/>
      <c r="C25" s="414"/>
      <c r="D25" s="414"/>
      <c r="E25" s="416"/>
      <c r="F25" s="418"/>
      <c r="G25" s="414"/>
      <c r="H25" s="414"/>
      <c r="I25" s="414"/>
      <c r="J25" s="414"/>
      <c r="K25" s="414"/>
      <c r="L25" s="414"/>
      <c r="M25" s="385"/>
      <c r="N25" s="417"/>
      <c r="O25" s="415"/>
      <c r="P25" s="415"/>
    </row>
    <row customHeight="true" ht="17" r="26">
      <c r="A26" s="402" t="str">
        <v>管理周期</v>
      </c>
      <c r="B26" s="378"/>
      <c r="C26" s="378"/>
      <c r="D26" s="378"/>
      <c r="E26" s="367"/>
      <c r="F26" s="367"/>
      <c r="G26" s="367"/>
      <c r="H26" s="367"/>
      <c r="I26" s="367"/>
      <c r="J26" s="367"/>
      <c r="K26" s="367"/>
      <c r="L26" s="367"/>
      <c r="M26" s="367"/>
      <c r="N26" s="4"/>
      <c r="O26" s="387"/>
      <c r="P26" s="387"/>
    </row>
    <row customHeight="true" ht="17" r="27">
      <c r="A27" s="402" t="str">
        <v>预估参与角色</v>
      </c>
      <c r="B27" s="429"/>
      <c r="C27" s="429"/>
      <c r="D27" s="429"/>
      <c r="E27" s="429"/>
      <c r="F27" s="429"/>
      <c r="G27" s="428"/>
      <c r="H27" s="428"/>
      <c r="I27" s="428"/>
      <c r="J27" s="428"/>
      <c r="K27" s="428"/>
      <c r="L27" s="428"/>
      <c r="M27" s="428"/>
      <c r="N27" s="4"/>
      <c r="O27" s="387"/>
      <c r="P27" s="387"/>
    </row>
  </sheetData>
  <mergeCells>
    <mergeCell ref="E25:F25"/>
  </mergeCells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19"/>
    <col collapsed="false" customWidth="true" hidden="false" max="3" min="3" style="0" width="20"/>
    <col collapsed="false" customWidth="true" hidden="false" max="4" min="4" style="0" width="17"/>
    <col collapsed="false" customWidth="true" hidden="false" max="5" min="5" style="0" width="19"/>
    <col collapsed="false" customWidth="true" hidden="false" max="6" min="6" style="0" width="16"/>
    <col collapsed="false" customWidth="true" hidden="false" max="7" min="7" style="0" width="17"/>
    <col collapsed="false" customWidth="true" hidden="false" max="8" min="8" style="0" width="10"/>
    <col collapsed="false" customWidth="true" hidden="false" max="9" min="9" style="0" width="33"/>
    <col collapsed="false" customWidth="true" hidden="false" max="10" min="10" style="0" width="21"/>
    <col collapsed="false" customWidth="true" hidden="false" max="11" min="11" style="0" width="10"/>
    <col collapsed="false" customWidth="true" hidden="false" max="12" min="12" style="0" width="10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10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10"/>
    <col collapsed="false" customWidth="true" hidden="false" max="19" min="19" style="0" width="10"/>
    <col collapsed="false" customWidth="true" hidden="false" max="20" min="20" style="0" width="10"/>
  </cols>
  <sheetData>
    <row customHeight="true" ht="17" r="1">
      <c r="A1" s="463" t="str">
        <v>举例</v>
      </c>
      <c r="B1" s="463"/>
      <c r="C1" s="463"/>
      <c r="D1" s="463"/>
      <c r="E1" s="463"/>
      <c r="F1" s="463"/>
      <c r="G1" s="463"/>
      <c r="H1" s="463"/>
      <c r="I1" s="446" t="str">
        <v>特征</v>
      </c>
    </row>
    <row customHeight="true" ht="17" r="2">
      <c r="A2" s="405" t="str">
        <v>薪酬要素</v>
      </c>
      <c r="B2" s="405" t="str">
        <v>24年</v>
      </c>
      <c r="C2" s="444" t="str">
        <v>预测1:毛利完成100%</v>
      </c>
      <c r="D2" s="444"/>
      <c r="E2" s="447" t="str">
        <v>预测2:毛利完成80%</v>
      </c>
      <c r="F2" s="445"/>
      <c r="G2" s="447" t="str">
        <v>预测2:毛利完成110%</v>
      </c>
      <c r="H2" s="448"/>
      <c r="I2" s="446"/>
    </row>
    <row customHeight="true" ht="17" r="3">
      <c r="A3" s="367" t="str">
        <v>收入目标</v>
      </c>
      <c r="B3" s="395">
        <v>100000000</v>
      </c>
      <c r="C3" s="460"/>
      <c r="D3" s="459"/>
      <c r="E3" s="459"/>
      <c r="F3" s="459"/>
      <c r="G3" s="459"/>
      <c r="H3" s="459"/>
      <c r="I3" s="452"/>
    </row>
    <row customHeight="true" ht="17" r="4">
      <c r="A4" s="367" t="str">
        <v>毛利目标</v>
      </c>
      <c r="B4" s="395">
        <v>70000000</v>
      </c>
      <c r="C4" s="461"/>
      <c r="D4" s="11"/>
      <c r="E4" s="11"/>
      <c r="F4" s="11"/>
      <c r="G4" s="11"/>
      <c r="H4" s="11"/>
      <c r="I4" s="452"/>
    </row>
    <row customHeight="true" ht="17" r="5">
      <c r="A5" s="367" t="str">
        <v>净利目标</v>
      </c>
      <c r="B5" s="381">
        <v>10500000</v>
      </c>
      <c r="C5" s="461"/>
      <c r="D5" s="11"/>
      <c r="E5" s="11"/>
      <c r="F5" s="11"/>
      <c r="G5" s="11"/>
      <c r="H5" s="11"/>
      <c r="I5" s="452"/>
    </row>
    <row customHeight="true" ht="17" r="6">
      <c r="A6" s="367" t="str">
        <v>薪酬包基线</v>
      </c>
      <c r="B6" s="378" t="str">
        <v>毛利*7%*75%</v>
      </c>
      <c r="C6" s="465"/>
      <c r="D6" s="464"/>
      <c r="E6" s="464"/>
      <c r="F6" s="464"/>
      <c r="G6" s="464"/>
      <c r="H6" s="464"/>
      <c r="I6" s="452"/>
    </row>
    <row customHeight="true" ht="17" r="7">
      <c r="A7" s="435" t="str">
        <v>测算薪酬包总额</v>
      </c>
      <c r="B7" s="436">
        <f>B4*0.75*0.07</f>
      </c>
      <c r="C7" s="437" t="str">
        <v>薪酬包总额</v>
      </c>
      <c r="D7" s="438">
        <f>B4*7%*75%</f>
      </c>
      <c r="E7" s="435" t="str">
        <v>薪酬包总额</v>
      </c>
      <c r="F7" s="436">
        <f>B4*80%*0.75*0.07</f>
      </c>
      <c r="G7" s="437" t="str">
        <v>薪酬包总额</v>
      </c>
      <c r="H7" s="439">
        <f>B4*110%*0.75*0.07</f>
      </c>
      <c r="I7" s="435" t="str">
        <v>经营产生</v>
      </c>
    </row>
    <row customHeight="true" ht="17" r="8">
      <c r="A8" s="367" t="str">
        <v>固浮结构目标</v>
      </c>
      <c r="B8" s="453" t="str">
        <v>60%：40%</v>
      </c>
      <c r="C8" s="455"/>
      <c r="D8" s="454"/>
      <c r="E8" s="455"/>
      <c r="F8" s="454"/>
      <c r="G8" s="455"/>
      <c r="H8" s="4"/>
      <c r="I8" s="452"/>
    </row>
    <row customHeight="true" ht="17" r="9">
      <c r="A9" s="367" t="str">
        <v>工资包基线比例</v>
      </c>
      <c r="B9" s="378" t="str">
        <v>薪酬包*60%</v>
      </c>
      <c r="C9" s="367" t="str">
        <v>工资包实际占比</v>
      </c>
      <c r="D9" s="398">
        <f>D10/D7</f>
      </c>
      <c r="E9" s="367" t="str">
        <v>工资包实际占比</v>
      </c>
      <c r="F9" s="398">
        <f>F10/F7</f>
      </c>
      <c r="G9" s="367" t="str">
        <v>工资包实际占比</v>
      </c>
      <c r="H9" s="432">
        <f>H10/H7</f>
      </c>
      <c r="I9" s="367" t="str">
        <v>刚性成本占比与经营水平负相关</v>
      </c>
    </row>
    <row customHeight="true" ht="17" r="10">
      <c r="A10" s="457" t="str">
        <v>工资包总额</v>
      </c>
      <c r="B10" s="456">
        <f>B7*0.6</f>
      </c>
      <c r="C10" s="457" t="str">
        <v>工资包使用</v>
      </c>
      <c r="D10" s="456">
        <f>B7*0.6</f>
      </c>
      <c r="E10" s="457" t="str">
        <v>工资包使用</v>
      </c>
      <c r="F10" s="456">
        <f>D10</f>
      </c>
      <c r="G10" s="457" t="str">
        <v>工资包使用</v>
      </c>
      <c r="H10" s="458">
        <f>F10</f>
      </c>
      <c r="I10" s="457" t="str">
        <v>刚性成本投资不变</v>
      </c>
    </row>
    <row customHeight="true" ht="17" r="11">
      <c r="A11" s="367" t="str">
        <v>奖金包基线比例</v>
      </c>
      <c r="B11" s="378" t="str">
        <v>薪酬包*40%</v>
      </c>
      <c r="C11" s="367" t="str">
        <v>奖金包实际占比</v>
      </c>
      <c r="D11" s="398">
        <f>D12/D7</f>
      </c>
      <c r="E11" s="367" t="str">
        <v>奖金包实际占比</v>
      </c>
      <c r="F11" s="398">
        <f>F12/F7</f>
      </c>
      <c r="G11" s="367" t="str">
        <v>奖金包实际占比</v>
      </c>
      <c r="H11" s="432">
        <f>H12/H7</f>
      </c>
      <c r="I11" s="367" t="str">
        <v>弹性投入占比与经营水平正相关</v>
      </c>
    </row>
    <row customHeight="true" ht="17" r="12">
      <c r="A12" s="442" t="str">
        <v>目标奖金值</v>
      </c>
      <c r="B12" s="441">
        <f>B7*0.4</f>
      </c>
      <c r="C12" s="442" t="str">
        <v>奖金包累计</v>
      </c>
      <c r="D12" s="441">
        <f>D7-D10</f>
      </c>
      <c r="E12" s="442" t="str">
        <v>奖金包累计</v>
      </c>
      <c r="F12" s="441">
        <f>F7-F10</f>
      </c>
      <c r="G12" s="442" t="str">
        <v>奖金包累计</v>
      </c>
      <c r="H12" s="443">
        <f>H7-H10</f>
      </c>
      <c r="I12" s="440" t="str">
        <v>弹性投入随经营波动</v>
      </c>
    </row>
    <row customHeight="true" ht="17" r="13"/>
    <row customHeight="true" ht="17" r="14">
      <c r="A14" s="446" t="str">
        <v>实际</v>
      </c>
      <c r="B14" s="446"/>
      <c r="C14" s="446"/>
      <c r="D14" s="446"/>
      <c r="E14" s="446"/>
      <c r="F14" s="446"/>
      <c r="G14" s="446"/>
      <c r="H14" s="446"/>
      <c r="I14" s="446" t="str">
        <v>特征</v>
      </c>
      <c r="J14" s="449"/>
    </row>
    <row customHeight="true" ht="17" r="15">
      <c r="A15" s="405" t="str">
        <v>薪酬要素</v>
      </c>
      <c r="B15" s="405" t="str">
        <v>24年</v>
      </c>
      <c r="C15" s="444" t="str">
        <v>预测1:毛利完成100%</v>
      </c>
      <c r="D15" s="444"/>
      <c r="E15" s="447" t="str">
        <v>预测2:毛利完成80%</v>
      </c>
      <c r="F15" s="445"/>
      <c r="G15" s="447" t="str">
        <v>预测2:毛利完成110%</v>
      </c>
      <c r="H15" s="448"/>
      <c r="I15" s="446"/>
      <c r="J15" s="405" t="str">
        <v>23年</v>
      </c>
    </row>
    <row customHeight="true" ht="19" r="16">
      <c r="A16" s="367" t="str">
        <v>收入目标</v>
      </c>
      <c r="B16" s="433">
        <v>520831727</v>
      </c>
      <c r="C16" s="378"/>
      <c r="D16" s="378"/>
      <c r="E16" s="378"/>
      <c r="F16" s="378"/>
      <c r="G16" s="378"/>
      <c r="H16" s="378"/>
      <c r="I16" s="434"/>
      <c r="J16" s="462" t="str">
        <v>25177.3万元</v>
      </c>
    </row>
    <row customHeight="true" ht="19" r="17">
      <c r="A17" s="367" t="str">
        <v>毛利目标</v>
      </c>
      <c r="B17" s="433">
        <v>363352026.7</v>
      </c>
      <c r="C17" s="378"/>
      <c r="D17" s="378"/>
      <c r="E17" s="378"/>
      <c r="F17" s="378"/>
      <c r="G17" s="378"/>
      <c r="H17" s="378"/>
      <c r="I17" s="434"/>
      <c r="J17" s="395">
        <v>177726000</v>
      </c>
    </row>
    <row customHeight="true" ht="17" r="18">
      <c r="A18" s="367" t="str">
        <v>净利目标</v>
      </c>
      <c r="B18" s="450">
        <v>55571000</v>
      </c>
      <c r="C18" s="378"/>
      <c r="D18" s="378"/>
      <c r="E18" s="378"/>
      <c r="F18" s="378"/>
      <c r="G18" s="378"/>
      <c r="H18" s="378"/>
      <c r="I18" s="434"/>
      <c r="J18" s="381" t="str">
        <v>1664.3万元</v>
      </c>
    </row>
    <row customHeight="true" ht="17" r="19">
      <c r="A19" s="367" t="str">
        <v>薪酬包基线</v>
      </c>
      <c r="B19" s="451" t="str">
        <v>毛利*7%*75%</v>
      </c>
      <c r="C19" s="378"/>
      <c r="D19" s="378"/>
      <c r="E19" s="378"/>
      <c r="F19" s="378"/>
      <c r="G19" s="378"/>
      <c r="H19" s="378"/>
      <c r="I19" s="434"/>
      <c r="J19" s="378" t="str">
        <v>毛利*7%*75%</v>
      </c>
    </row>
    <row customHeight="true" ht="17" r="20">
      <c r="A20" s="435" t="str">
        <v>测算薪酬包总额</v>
      </c>
      <c r="B20" s="436">
        <f>B17*0.75*0.07</f>
      </c>
      <c r="C20" s="437" t="str">
        <v>薪酬包总额</v>
      </c>
      <c r="D20" s="438">
        <f>B17*7%*75%</f>
      </c>
      <c r="E20" s="435" t="str">
        <v>薪酬包总额</v>
      </c>
      <c r="F20" s="436">
        <f>B17*80%*0.75*0.07</f>
      </c>
      <c r="G20" s="437" t="str">
        <v>薪酬包总额</v>
      </c>
      <c r="H20" s="439">
        <f>B17*110%*0.75*0.07</f>
      </c>
      <c r="I20" s="435" t="str">
        <v>经营产生</v>
      </c>
      <c r="J20" s="436">
        <f>J17*0.75*0.07</f>
      </c>
    </row>
    <row customHeight="true" ht="17" r="21">
      <c r="A21" s="367" t="str">
        <v>固浮结构目标</v>
      </c>
      <c r="B21" s="453" t="str">
        <v>60%：40%</v>
      </c>
      <c r="C21" s="455"/>
      <c r="D21" s="454"/>
      <c r="E21" s="455"/>
      <c r="F21" s="454"/>
      <c r="G21" s="455"/>
      <c r="H21" s="4"/>
      <c r="I21" s="452"/>
      <c r="J21" s="453"/>
    </row>
    <row customHeight="true" ht="17" r="22">
      <c r="A22" s="367" t="str">
        <v>工资包基线比例</v>
      </c>
      <c r="B22" s="378" t="str">
        <v>薪酬包*60%</v>
      </c>
      <c r="C22" s="367" t="str">
        <v>工资包实际占比</v>
      </c>
      <c r="D22" s="398">
        <f>D23/D20</f>
      </c>
      <c r="E22" s="367" t="str">
        <v>工资包实际占比</v>
      </c>
      <c r="F22" s="398">
        <f>F23/F20</f>
      </c>
      <c r="G22" s="367" t="str">
        <v>工资包实际占比</v>
      </c>
      <c r="H22" s="432">
        <f>H23/H20</f>
      </c>
      <c r="I22" s="367" t="str">
        <v>刚性成本占比与经营水平负相关</v>
      </c>
      <c r="J22" s="398">
        <f>J23/J20</f>
      </c>
    </row>
    <row customHeight="true" ht="17" r="23">
      <c r="A23" s="457" t="str">
        <v>工资包总额</v>
      </c>
      <c r="B23" s="456">
        <f>B20*0.6</f>
      </c>
      <c r="C23" s="457" t="str">
        <v>工资包使用</v>
      </c>
      <c r="D23" s="456">
        <f>B20*0.6</f>
      </c>
      <c r="E23" s="457" t="str">
        <v>工资包使用</v>
      </c>
      <c r="F23" s="456">
        <f>D23</f>
      </c>
      <c r="G23" s="457" t="str">
        <v>工资包使用</v>
      </c>
      <c r="H23" s="458">
        <f>F23</f>
      </c>
      <c r="I23" s="457" t="str">
        <v>刚性成本</v>
      </c>
      <c r="J23" s="456">
        <v>12737000</v>
      </c>
    </row>
    <row customHeight="true" ht="17" r="24">
      <c r="A24" s="367" t="str">
        <v>奖金包基线比例</v>
      </c>
      <c r="B24" s="378" t="str">
        <v>薪酬包*40%</v>
      </c>
      <c r="C24" s="367" t="str">
        <v>奖金包实际占比</v>
      </c>
      <c r="D24" s="398">
        <f>D25/D20</f>
      </c>
      <c r="E24" s="367" t="str">
        <v>奖金包实际占比</v>
      </c>
      <c r="F24" s="398">
        <f>F25/F20</f>
      </c>
      <c r="G24" s="367" t="str">
        <v>奖金包实际占比</v>
      </c>
      <c r="H24" s="432">
        <f>H25/H20</f>
      </c>
      <c r="I24" s="367" t="str">
        <v>弹性收入占比与经营水平正相关</v>
      </c>
      <c r="J24" s="398">
        <f>J25/J20</f>
      </c>
    </row>
    <row customHeight="true" ht="17" r="25">
      <c r="A25" s="442" t="str">
        <v>目标奖金值</v>
      </c>
      <c r="B25" s="441">
        <f>B20*0.4</f>
      </c>
      <c r="C25" s="442" t="str">
        <v>奖金包累计</v>
      </c>
      <c r="D25" s="441">
        <f>D20-D23</f>
      </c>
      <c r="E25" s="442" t="str">
        <v>奖金包累计</v>
      </c>
      <c r="F25" s="441">
        <f>F20-F23</f>
      </c>
      <c r="G25" s="442" t="str">
        <v>奖金包累计</v>
      </c>
      <c r="H25" s="443">
        <f>H20-H23</f>
      </c>
      <c r="I25" s="440" t="str">
        <v>随经营波动</v>
      </c>
      <c r="J25" s="441">
        <v>900000</v>
      </c>
    </row>
  </sheetData>
  <mergeCells>
    <mergeCell ref="A1:H1"/>
    <mergeCell ref="C2:D2"/>
    <mergeCell ref="E2:F2"/>
    <mergeCell ref="G2:H2"/>
    <mergeCell ref="A14:H14"/>
    <mergeCell ref="C15:D15"/>
    <mergeCell ref="E15:F15"/>
    <mergeCell ref="G15:H15"/>
    <mergeCell ref="I1:I2"/>
    <mergeCell ref="I14:I15"/>
    <mergeCell ref="I16:I19"/>
    <mergeCell ref="C3:D6"/>
    <mergeCell ref="E3:F6"/>
    <mergeCell ref="G3:H6"/>
    <mergeCell ref="C16:D19"/>
    <mergeCell ref="E16:F19"/>
    <mergeCell ref="G16:H1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