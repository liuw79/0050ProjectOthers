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F9B81EC-6590-48A9-962D-D488F77681D1}" xr6:coauthVersionLast="36" xr6:coauthVersionMax="36" xr10:uidLastSave="{00000000-0000-0000-0000-000000000000}"/>
  <bookViews>
    <workbookView xWindow="0" yWindow="0" windowWidth="9580" windowHeight="2480" activeTab="3" xr2:uid="{FE475D99-F984-45B7-B09C-B6CCC84BDB3D}"/>
  </bookViews>
  <sheets>
    <sheet name="数据统计" sheetId="1" r:id="rId1"/>
    <sheet name="课程列表（总）" sheetId="2" r:id="rId2"/>
    <sheet name="通用课" sheetId="3" r:id="rId3"/>
    <sheet name="岗位课" sheetId="4" r:id="rId4"/>
    <sheet name="商学院" sheetId="5" r:id="rId5"/>
    <sheet name="书籍列表（总）" sheetId="6" r:id="rId6"/>
    <sheet name="有声书" sheetId="8" r:id="rId7"/>
    <sheet name="讲书" sheetId="9" r:id="rId8"/>
  </sheets>
  <definedNames>
    <definedName name="_xlnm._FilterDatabase" localSheetId="3" hidden="1">岗位课!$A$3:$AS$233</definedName>
    <definedName name="_xlnm._FilterDatabase" localSheetId="1" hidden="1">'课程列表（总）'!$A$3:$AS$1047</definedName>
    <definedName name="_xlnm._FilterDatabase" localSheetId="4" hidden="1">商学院!$A$2:$AS$103</definedName>
    <definedName name="_xlnm._FilterDatabase" localSheetId="5" hidden="1">'书籍列表（总）'!$A$4:$KE$1234</definedName>
    <definedName name="_xlnm._FilterDatabase" localSheetId="2" hidden="1">通用课!$A$3:$AS$332</definedName>
    <definedName name="_xlnm._FilterDatabase" localSheetId="6" hidden="1">有声书!$A$2:$KE$310</definedName>
    <definedName name="_xlnm.Criteria" localSheetId="1">'课程列表（总）'!$Q$3:$Q$21</definedName>
    <definedName name="_xlnm.Criteria" localSheetId="4">商学院!$O$4:$O$10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A62" i="5"/>
  <c r="A77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3" i="5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1" i="3"/>
  <c r="A40" i="3"/>
  <c r="A569" i="9"/>
  <c r="A173" i="8"/>
  <c r="A174" i="8"/>
  <c r="A1056" i="6"/>
  <c r="A1057" i="6"/>
  <c r="A572" i="6"/>
  <c r="A3" i="3" l="1"/>
  <c r="A568" i="9"/>
  <c r="A884" i="9"/>
  <c r="A194" i="8"/>
  <c r="A1077" i="6"/>
  <c r="A571" i="6"/>
  <c r="A885" i="6"/>
  <c r="A164" i="4"/>
  <c r="A39" i="3"/>
  <c r="A353" i="8" l="1"/>
  <c r="A354" i="8"/>
  <c r="D8" i="1"/>
  <c r="A1236" i="6"/>
  <c r="A1237" i="6"/>
  <c r="A136" i="6"/>
  <c r="A763" i="6"/>
  <c r="A881" i="9"/>
  <c r="A882" i="9"/>
  <c r="A883" i="9"/>
  <c r="A135" i="9"/>
  <c r="A760" i="9"/>
  <c r="A1235" i="6"/>
  <c r="A137" i="4"/>
  <c r="A100" i="3"/>
  <c r="A839" i="6" l="1"/>
  <c r="A304" i="6"/>
  <c r="A301" i="9"/>
  <c r="A303" i="9"/>
  <c r="A306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5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2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334" i="8"/>
  <c r="A89" i="8"/>
  <c r="A296" i="8"/>
  <c r="A335" i="8"/>
  <c r="A336" i="8"/>
  <c r="A90" i="8"/>
  <c r="A337" i="8"/>
  <c r="A338" i="8"/>
  <c r="A339" i="8"/>
  <c r="A91" i="8"/>
  <c r="A297" i="8"/>
  <c r="A92" i="8"/>
  <c r="A93" i="8"/>
  <c r="A340" i="8"/>
  <c r="A341" i="8"/>
  <c r="A192" i="8"/>
  <c r="A44" i="8"/>
  <c r="A342" i="8"/>
  <c r="A343" i="8"/>
  <c r="A45" i="8"/>
  <c r="A94" i="8"/>
  <c r="A95" i="8"/>
  <c r="A344" i="8"/>
  <c r="A345" i="8"/>
  <c r="A298" i="8"/>
  <c r="A193" i="8"/>
  <c r="A96" i="8"/>
  <c r="A346" i="8"/>
  <c r="A347" i="8"/>
  <c r="A97" i="8"/>
  <c r="A348" i="8"/>
  <c r="A299" i="8"/>
  <c r="A300" i="8"/>
  <c r="A349" i="8"/>
  <c r="A301" i="8"/>
  <c r="A98" i="8"/>
  <c r="A350" i="8"/>
  <c r="A351" i="8"/>
  <c r="A352" i="8"/>
  <c r="A74" i="3" l="1"/>
  <c r="A75" i="3"/>
  <c r="A76" i="3"/>
  <c r="A333" i="8"/>
  <c r="G5" i="1"/>
  <c r="G4" i="1"/>
  <c r="G3" i="1"/>
  <c r="A38" i="3"/>
  <c r="A191" i="3"/>
  <c r="E5" i="1" l="1"/>
  <c r="E4" i="1"/>
  <c r="E3" i="1"/>
  <c r="D7" i="1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72" i="4"/>
  <c r="A163" i="4"/>
  <c r="A172" i="3"/>
  <c r="A334" i="3" l="1"/>
  <c r="A256" i="3"/>
  <c r="A204" i="3"/>
  <c r="A207" i="4" l="1"/>
  <c r="A171" i="3"/>
  <c r="A5" i="6"/>
  <c r="A4" i="6"/>
  <c r="A4" i="8"/>
  <c r="A3" i="8"/>
  <c r="I3" i="1" l="1"/>
  <c r="G8" i="1"/>
  <c r="A4" i="5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3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4" i="9"/>
  <c r="A3" i="9"/>
  <c r="I8" i="1" l="1"/>
  <c r="I7" i="1"/>
  <c r="I6" i="1"/>
  <c r="I5" i="1"/>
  <c r="I4" i="1"/>
  <c r="G7" i="1"/>
  <c r="E8" i="1"/>
  <c r="E7" i="1"/>
  <c r="G6" i="1"/>
  <c r="E6" i="1"/>
  <c r="D6" i="1"/>
  <c r="G9" i="1" l="1"/>
  <c r="H3" i="1" s="1"/>
  <c r="I9" i="1"/>
  <c r="E9" i="1"/>
  <c r="F8" i="1" s="1"/>
  <c r="D4" i="1"/>
  <c r="F7" i="1" l="1"/>
  <c r="F6" i="1"/>
  <c r="F5" i="1"/>
  <c r="F4" i="1"/>
  <c r="D3" i="1"/>
  <c r="D9" i="1" l="1"/>
  <c r="H8" i="1"/>
  <c r="H5" i="1"/>
  <c r="H4" i="1"/>
  <c r="H7" i="1"/>
  <c r="H6" i="1"/>
  <c r="F3" i="1"/>
</calcChain>
</file>

<file path=xl/sharedStrings.xml><?xml version="1.0" encoding="utf-8"?>
<sst xmlns="http://schemas.openxmlformats.org/spreadsheetml/2006/main" count="34879" uniqueCount="5713">
  <si>
    <t>内容大类</t>
  </si>
  <si>
    <t>一级标签</t>
  </si>
  <si>
    <t>二级标签</t>
  </si>
  <si>
    <t>副标题</t>
  </si>
  <si>
    <t>主讲人</t>
  </si>
  <si>
    <t>课程形式</t>
  </si>
  <si>
    <t>轻学堂上架日期</t>
  </si>
  <si>
    <t>课程总课时/集</t>
  </si>
  <si>
    <t>已上架课时总时间/h</t>
  </si>
  <si>
    <t>更新状态</t>
  </si>
  <si>
    <t>单卖价格/元</t>
  </si>
  <si>
    <t>序号</t>
  </si>
  <si>
    <t>课程名称</t>
    <phoneticPr fontId="2" type="noConversion"/>
  </si>
  <si>
    <t>频道页</t>
    <phoneticPr fontId="1" type="noConversion"/>
  </si>
  <si>
    <t>VIP精品课</t>
  </si>
  <si>
    <t>为企业找到十倍盈利突破点的视频课</t>
  </si>
  <si>
    <t>倪云华</t>
  </si>
  <si>
    <t>视频</t>
  </si>
  <si>
    <t>创始人、CEO</t>
  </si>
  <si>
    <t>高层管理者</t>
  </si>
  <si>
    <t>已完结</t>
  </si>
  <si>
    <t>周导商业思维课：逆向盈利3.0</t>
  </si>
  <si>
    <t>逆向盈利让你的企业十倍速增长</t>
  </si>
  <si>
    <t>周导</t>
  </si>
  <si>
    <t>CEO、管理者</t>
  </si>
  <si>
    <t>中层管理者、高层管理者</t>
  </si>
  <si>
    <t>正和岛新媒体·你的私人商业内参</t>
  </si>
  <si>
    <t>把握经济信号，预判未来大势</t>
  </si>
  <si>
    <t>正和岛</t>
  </si>
  <si>
    <t>音频</t>
  </si>
  <si>
    <t>未完结</t>
  </si>
  <si>
    <t>姚琼：OKR工作法</t>
  </si>
  <si>
    <t>人人可用的OKR目标管理法</t>
  </si>
  <si>
    <t>姚琼</t>
  </si>
  <si>
    <t>全员</t>
  </si>
  <si>
    <t>基层管理者、职场新人</t>
  </si>
  <si>
    <t>刘建：复盘工作法</t>
  </si>
  <si>
    <t>所有事皆可被复盘</t>
  </si>
  <si>
    <t>刘建</t>
  </si>
  <si>
    <t>管理者</t>
  </si>
  <si>
    <t>沟通表达/管理认知</t>
  </si>
  <si>
    <t>提升职场影响力，打开协作中的锁</t>
  </si>
  <si>
    <t>王明伟</t>
  </si>
  <si>
    <t>组织精进手册</t>
  </si>
  <si>
    <t>婷姐案例宝典</t>
  </si>
  <si>
    <t>吴婷</t>
  </si>
  <si>
    <t>王式华讲目标管理：高效执行“三九”说明书|绩效管理</t>
  </si>
  <si>
    <t>王式华讲目标管理：高效执行“三九”说明书</t>
  </si>
  <si>
    <t>王式华</t>
  </si>
  <si>
    <t>倪云华：OKR目标管理法落地指南</t>
  </si>
  <si>
    <t>苏杰：人人都需要的产品思维课</t>
  </si>
  <si>
    <t>建立系统的产品思维</t>
  </si>
  <si>
    <t>苏杰</t>
  </si>
  <si>
    <t>职场新人</t>
  </si>
  <si>
    <t>黄有璨运营课：助你赢得用户资源</t>
  </si>
  <si>
    <t>升级认知，做对运营</t>
  </si>
  <si>
    <t>黄有璨</t>
  </si>
  <si>
    <t>运营、销售、市场品牌</t>
  </si>
  <si>
    <t>基层管理者、专业人士</t>
  </si>
  <si>
    <t>前沿趋势/商业财经</t>
  </si>
  <si>
    <t>2小时速懂金融科技</t>
  </si>
  <si>
    <t>MichaelWang</t>
  </si>
  <si>
    <t>财务</t>
  </si>
  <si>
    <t>基层管理者</t>
  </si>
  <si>
    <t>高净值客户资产配置与家庭风险管理</t>
  </si>
  <si>
    <t>张罗群</t>
  </si>
  <si>
    <t>管理者、财务</t>
  </si>
  <si>
    <t>专业人士</t>
  </si>
  <si>
    <t>贾伟：产品三观与用户思维10讲</t>
  </si>
  <si>
    <t>产品三观10讲</t>
  </si>
  <si>
    <t>贾伟</t>
  </si>
  <si>
    <t>用户思维/产品</t>
  </si>
  <si>
    <t>感性商业</t>
  </si>
  <si>
    <t>世界500强企业通用的用户体验增长方法论</t>
  </si>
  <si>
    <t>罗浩</t>
  </si>
  <si>
    <t>中层管理者、
高层管理者、
专业人士</t>
  </si>
  <si>
    <t>高雄勇：我在小米做爆品</t>
  </si>
  <si>
    <t>高雄勇</t>
  </si>
  <si>
    <t>10堂课打造系统产品思维</t>
  </si>
  <si>
    <t>水滴产品学院</t>
  </si>
  <si>
    <t>腾讯产品方法18讲</t>
  </si>
  <si>
    <t>千款产品背后的关键思考</t>
  </si>
  <si>
    <t>腾讯大学</t>
  </si>
  <si>
    <t>通用课</t>
  </si>
  <si>
    <t>沟通表达</t>
  </si>
  <si>
    <t>文案写作</t>
  </si>
  <si>
    <t>维佳：通向晋升之路的职场写作课</t>
  </si>
  <si>
    <t>每期一个职场写作小技巧，迅速提升职场写作功力，助你成为职场达人</t>
  </si>
  <si>
    <t>维佳</t>
  </si>
  <si>
    <t>更新中</t>
  </si>
  <si>
    <t>人人能懂的区块链：从基础到实战</t>
  </si>
  <si>
    <t>系统读懂区块链知识，告别碎片化信息，深度学习区块链</t>
  </si>
  <si>
    <t>量子学派</t>
  </si>
  <si>
    <t>中层管理者</t>
  </si>
  <si>
    <t>高效沟通</t>
  </si>
  <si>
    <t>奥美达人沟通课：重塑职场竞争力</t>
  </si>
  <si>
    <t>职场如何进行有效沟通，带你揭秘职场加薪晋升秘笈</t>
  </si>
  <si>
    <t>丁菱娟</t>
  </si>
  <si>
    <t>职场新人、专业人士</t>
  </si>
  <si>
    <t>超级聊天术：如何成为沟通高手</t>
  </si>
  <si>
    <t>沟通高手如何练就超级聊天术=人脉通行证+社会竞争力+超强适应</t>
  </si>
  <si>
    <t>张大鹏</t>
  </si>
  <si>
    <t>谈判</t>
  </si>
  <si>
    <t>快速谈判：用博弈技巧搞定交往难题</t>
  </si>
  <si>
    <t>美国大使馆三次、阿里巴巴27次特邀，谈判专家李力刚主讲</t>
  </si>
  <si>
    <t>李力刚</t>
  </si>
  <si>
    <t>高效办公</t>
  </si>
  <si>
    <t>时间管理</t>
  </si>
  <si>
    <t>叶武滨时间管理10堂课-易效能</t>
  </si>
  <si>
    <t>时间管理10堂课，教你如何更有效率地工作和生活</t>
  </si>
  <si>
    <t>叶武滨</t>
  </si>
  <si>
    <t>演讲</t>
  </si>
  <si>
    <t>从小白到演讲高手</t>
  </si>
  <si>
    <t>帮你收获最精华的演讲技巧，助你获得好口才，改变人生</t>
  </si>
  <si>
    <t>龙兄</t>
  </si>
  <si>
    <t>工作方法</t>
  </si>
  <si>
    <t>薪资进阶手册：BAT工作法</t>
  </si>
  <si>
    <t>带你洞悉加薪本质，掌握名企工作法，带你摆脱焦虑，找准努力方向</t>
  </si>
  <si>
    <t>鲍艾乐</t>
  </si>
  <si>
    <t>职场心理</t>
  </si>
  <si>
    <t>文化修养</t>
  </si>
  <si>
    <t>复旦名师傅杰的《论语》课</t>
  </si>
  <si>
    <t>糅合千年中国传统文化，提炼数百种《论语》研究著作的精华</t>
  </si>
  <si>
    <t>傅杰</t>
  </si>
  <si>
    <t>董平讲王阳明心学</t>
  </si>
  <si>
    <t>传习经典，知行合一，学阳明先生正心诚意而安心</t>
  </si>
  <si>
    <t>董平</t>
  </si>
  <si>
    <t>职场智慧</t>
  </si>
  <si>
    <t>张宏杰：曾国藩24锦囊</t>
  </si>
  <si>
    <t>为官、治家、识人、修身之道,带你走进曾国藩这中国近代史上第一人</t>
  </si>
  <si>
    <t>张宏杰</t>
  </si>
  <si>
    <t>纵横奇谋：细读《鬼谷子》</t>
  </si>
  <si>
    <t>听“谋圣”“天书”，成“常胜将军”，以弱胜强、以少胜多的逆袭成功大法</t>
  </si>
  <si>
    <t>韩建君</t>
  </si>
  <si>
    <t>张庆祥讲《传习录》</t>
  </si>
  <si>
    <t>致良知，知行合一，跟随王阳明，享受一场精彩绝伦的心灵盛宴</t>
  </si>
  <si>
    <t>张庆祥</t>
  </si>
  <si>
    <t>于丹品经典：过你想要的人生</t>
  </si>
  <si>
    <t>学古圣先贤，读国学智慧，品人生真谛，帮助你找到生命的规律</t>
  </si>
  <si>
    <t>于丹</t>
  </si>
  <si>
    <t>易中天说禅</t>
  </si>
  <si>
    <t>每天10分钟，在生活中随手修行</t>
  </si>
  <si>
    <t>易中天</t>
  </si>
  <si>
    <t>梁冬私房笔记：庄子的心灵自由之路</t>
  </si>
  <si>
    <t>睡前用庄子给灵魂充满电</t>
  </si>
  <si>
    <t>梁冬</t>
  </si>
  <si>
    <t>龙兄：跟乔布斯学演讲</t>
  </si>
  <si>
    <t>5节精品课，收获大师级演讲技巧</t>
  </si>
  <si>
    <t>尹志豪：高效竞争力</t>
  </si>
  <si>
    <t>最高的效率达成目标，实现梦想的使用原理和方法</t>
  </si>
  <si>
    <t>尹志豪</t>
  </si>
  <si>
    <t>钱文忠讲佛</t>
  </si>
  <si>
    <t>还原真实的佛陀和佛学的精华</t>
  </si>
  <si>
    <t>钱文忠</t>
  </si>
  <si>
    <t>不限</t>
  </si>
  <si>
    <t>商业财经</t>
  </si>
  <si>
    <t>宏观形势</t>
  </si>
  <si>
    <t>斯坦福超人气经济学课</t>
  </si>
  <si>
    <t>洞悉个人在经济组织中的位置与角色，让经济学真正为你所用</t>
  </si>
  <si>
    <t>蒂莫西·泰勒</t>
  </si>
  <si>
    <t>CEO、管理者、财务</t>
  </si>
  <si>
    <t>职场减压</t>
  </si>
  <si>
    <t>治愈失眠：20分钟催眠还你睡眠</t>
  </si>
  <si>
    <t>6大失眠症状的解决方案</t>
  </si>
  <si>
    <t>马春树</t>
  </si>
  <si>
    <t>马东的职场B计划</t>
  </si>
  <si>
    <t>为各类职场问题精准把脉，提升你的认知与方法</t>
  </si>
  <si>
    <t>米果文化</t>
  </si>
  <si>
    <t>用户思维</t>
  </si>
  <si>
    <t>运营思维</t>
  </si>
  <si>
    <t>阿里老兵增长思维课</t>
  </si>
  <si>
    <t>带你洞悉互联网用户增长的核心玩法</t>
  </si>
  <si>
    <t>聂风</t>
  </si>
  <si>
    <t>销售、市场品牌</t>
  </si>
  <si>
    <t>中层管理者、专业人士</t>
  </si>
  <si>
    <t>办公工具</t>
  </si>
  <si>
    <t>马建强</t>
  </si>
  <si>
    <t>职场实用心理学</t>
  </si>
  <si>
    <t>行动就能改变的101节课</t>
  </si>
  <si>
    <t>职选WPO</t>
  </si>
  <si>
    <t>项目管理思维</t>
  </si>
  <si>
    <t>郭致星：项目管理的思维与实践</t>
  </si>
  <si>
    <t>掌握项目管理的思维与方法，在不确定性中前行</t>
  </si>
  <si>
    <t>郭致星</t>
  </si>
  <si>
    <t>Excel零基础极速入门教程</t>
  </si>
  <si>
    <t>零基础迅速掌握职场高效技能</t>
  </si>
  <si>
    <t>秦川</t>
  </si>
  <si>
    <t>逻辑思维</t>
  </si>
  <si>
    <t>结构思考</t>
  </si>
  <si>
    <t>职场思维实战20讲</t>
  </si>
  <si>
    <t>逻辑助力职场，思维改变人生；有效提升你的逻辑思维力！</t>
  </si>
  <si>
    <t>耿人健</t>
  </si>
  <si>
    <t>Excel图表职场商务制作教程</t>
  </si>
  <si>
    <t>Excel商务图表的精度，决定你工资的厚度</t>
  </si>
  <si>
    <t>Outlook职场快速上手教程</t>
  </si>
  <si>
    <t>职场邮件管理与工作事务管理利器</t>
  </si>
  <si>
    <t>photoshop零基础极速入门教程</t>
  </si>
  <si>
    <t>掌握PS图片处理技能，小白也能出作品</t>
  </si>
  <si>
    <t>Word排版教程</t>
  </si>
  <si>
    <t>只有深知word原理，才能搞定word排版</t>
  </si>
  <si>
    <t>PPT图形高效绘制教程</t>
  </si>
  <si>
    <t>PPT做得好，下班回得早！</t>
  </si>
  <si>
    <t>商业洞察</t>
  </si>
  <si>
    <t>马铁民：创业实战课堂</t>
  </si>
  <si>
    <t>创业四年成为亚洲第一</t>
  </si>
  <si>
    <t>马铁民</t>
  </si>
  <si>
    <t>老路：用得上的商学课</t>
  </si>
  <si>
    <t>100个日常被高频使用的商学知识点</t>
  </si>
  <si>
    <t>路骋</t>
  </si>
  <si>
    <t>程浩：精益创业课</t>
  </si>
  <si>
    <t>13节干货课程，点破创业真相</t>
  </si>
  <si>
    <t>程浩</t>
  </si>
  <si>
    <t>倪云华的36堂职场思维课</t>
  </si>
  <si>
    <t>新兴思维模型结合实际职场案例，帮助职场人解决职场难题</t>
  </si>
  <si>
    <t>财富传承的道法术</t>
  </si>
  <si>
    <t>直面财富传承和家族财富管理的时代课题</t>
  </si>
  <si>
    <t>财新私房课</t>
  </si>
  <si>
    <t>六顶思考帽</t>
  </si>
  <si>
    <t>高效思考的14堂必修课</t>
  </si>
  <si>
    <t>曾婷</t>
  </si>
  <si>
    <t>前沿趋势</t>
  </si>
  <si>
    <t>方军：读懂互联网未来</t>
  </si>
  <si>
    <t>精选50+本互联网经典与前沿好书，萃取成100+期精华主题</t>
  </si>
  <si>
    <t>方军</t>
  </si>
  <si>
    <t>林楠：创业实战课堂</t>
  </si>
  <si>
    <t>独创场景化营销转盘，引爆增长</t>
  </si>
  <si>
    <t>林楠</t>
  </si>
  <si>
    <t>复旦名师团的经济学课</t>
  </si>
  <si>
    <t>以顶级商学院教材为底本，塑造你的经济学思维</t>
  </si>
  <si>
    <t>张军、邵宇、陈达飞</t>
  </si>
  <si>
    <t>跟大神学实用时间管理术</t>
  </si>
  <si>
    <t>最顺应人性的时间管理课程</t>
  </si>
  <si>
    <t>纪元</t>
  </si>
  <si>
    <t>洪兵讲《孙子兵法》</t>
  </si>
  <si>
    <t>用东方的辩证思维去探究兵法背后的深意</t>
  </si>
  <si>
    <t>洪兵</t>
  </si>
  <si>
    <t>范景中讲西方艺术史</t>
  </si>
  <si>
    <t>看懂 300 余件世界艺术名作，熟悉 100 余位艺术大师，理清三万年西方艺术脉络，回到艺术品背后的文明现场</t>
  </si>
  <si>
    <t>范景中</t>
  </si>
  <si>
    <t>平面设计：创意思维成长</t>
  </si>
  <si>
    <t>学习如何进行视觉交流</t>
  </si>
  <si>
    <t>Michael Loos</t>
  </si>
  <si>
    <t>方军：60项硅谷高效工作法</t>
  </si>
  <si>
    <t>系统学习超级个体工作法与团队工作法</t>
  </si>
  <si>
    <t>马继华：5G机遇创业布局与思考</t>
  </si>
  <si>
    <t>洞察5G蓝海背后的创业机会</t>
  </si>
  <si>
    <t>马继华</t>
  </si>
  <si>
    <t>5G</t>
  </si>
  <si>
    <t>掘金5G通信革命，谁将最终获益？</t>
  </si>
  <si>
    <t>大话5G，听懂未来</t>
  </si>
  <si>
    <t>奥卡姆剃刀</t>
  </si>
  <si>
    <t>中欧教授芮萌的2019财富锦囊</t>
  </si>
  <si>
    <t>为你讲述家庭财富管理之道</t>
  </si>
  <si>
    <t>芮萌</t>
  </si>
  <si>
    <t>姚余梁：生活中的MBA课</t>
  </si>
  <si>
    <t>200+生活场景，带你轻松获得管理学知识</t>
  </si>
  <si>
    <t>姚余梁</t>
  </si>
  <si>
    <t>精读50本诺贝尔文学奖经典作品</t>
  </si>
  <si>
    <t>在一流文学作品里获得全新的审美体验</t>
  </si>
  <si>
    <t>喜马讲书</t>
  </si>
  <si>
    <t>灵感来了：李欣频的文案创意课</t>
  </si>
  <si>
    <t>从内核到实战，带你全面升级文案功力​</t>
  </si>
  <si>
    <t>李欣频</t>
  </si>
  <si>
    <t>人工智能</t>
  </si>
  <si>
    <t>吕廷杰：5G新机遇60讲</t>
  </si>
  <si>
    <t>一张清晰的5G发展蓝图，让你真正搞懂5G，成为新机遇的受益者</t>
  </si>
  <si>
    <t>吕廷杰</t>
  </si>
  <si>
    <t>刘澈：18位福布斯富豪的成功法则</t>
  </si>
  <si>
    <t>听大佬故事，学成功经验，让人生少走歪路</t>
  </si>
  <si>
    <t>刘澈</t>
  </si>
  <si>
    <t>谈判的72战术</t>
  </si>
  <si>
    <t>吴晓波、黄执中、伍思凯也在听的谈判课</t>
  </si>
  <si>
    <t>游梓翔</t>
  </si>
  <si>
    <t>田艺苗：古典音乐很难吗</t>
  </si>
  <si>
    <t>每天10分钟，穿T恤欣赏古典音乐</t>
  </si>
  <si>
    <t>田艺苗</t>
  </si>
  <si>
    <t>《三体》之后，再度引爆你的想象力</t>
  </si>
  <si>
    <t>刘慈欣</t>
  </si>
  <si>
    <t>李开复讲AI：十堂人工智能科学课</t>
  </si>
  <si>
    <t>人工智能领域37年从业经验，精炼十堂人工智能课</t>
  </si>
  <si>
    <t>李开复</t>
  </si>
  <si>
    <t>余秋雨·中国文化必修课</t>
  </si>
  <si>
    <t>秋雨学院一日一课，提升你的文化修行</t>
  </si>
  <si>
    <t>余秋雨</t>
  </si>
  <si>
    <t>王玉荣：产业互联网20讲</t>
  </si>
  <si>
    <t>1380个行业成功拥抱互联网的秘诀</t>
  </si>
  <si>
    <t>王玉荣</t>
  </si>
  <si>
    <t>52期投资报告：预见下个财富风口</t>
  </si>
  <si>
    <t>四大财富维度着手，全面拆解数据背后的投资价值</t>
  </si>
  <si>
    <t>吴晓波频道</t>
  </si>
  <si>
    <t>张萌：精力管理50课</t>
  </si>
  <si>
    <t>学会拥有更多的时间保持高效率</t>
  </si>
  <si>
    <t>张萌</t>
  </si>
  <si>
    <t>张萌人生效率手册：时间管理50课</t>
  </si>
  <si>
    <t>拥有独属于自己的时间管理秘诀</t>
  </si>
  <si>
    <t>笔记大神柯洲带你高效整理知识</t>
  </si>
  <si>
    <t>惠及50万CEO，带你摆脱低效的勤奋</t>
  </si>
  <si>
    <t>笔记侠</t>
  </si>
  <si>
    <t>马未都《国宝100》</t>
  </si>
  <si>
    <t>马未都讲国宝，有知识、有历史、有情义</t>
  </si>
  <si>
    <t>马未都</t>
  </si>
  <si>
    <t>人人用得上的思维导图课</t>
  </si>
  <si>
    <t>全球6亿人都在用的学习工具</t>
  </si>
  <si>
    <t>吴帝德</t>
  </si>
  <si>
    <t>项目过程管理</t>
  </si>
  <si>
    <t>忻宏伟：项目经理实战手册</t>
  </si>
  <si>
    <t>真正让你学会做项目，做出好项目</t>
  </si>
  <si>
    <t>忻宏伟</t>
  </si>
  <si>
    <t>曾仕强讲中华文化·大合集</t>
  </si>
  <si>
    <t>国学大家智慧精华</t>
  </si>
  <si>
    <t>曾仕强</t>
  </si>
  <si>
    <t>吴霁虹：人工智能赋能60讲</t>
  </si>
  <si>
    <t>不懂技术也能听懂的AI赋能课</t>
  </si>
  <si>
    <t>吴霁虹</t>
  </si>
  <si>
    <t>大国崛起：金灿荣讲未来中国20年机遇</t>
  </si>
  <si>
    <t>把大国博弈讲得像相声一样有趣</t>
  </si>
  <si>
    <t>量子大学</t>
  </si>
  <si>
    <t>清华韩秀云讲经济</t>
  </si>
  <si>
    <t>认清经济形势，判断投资趋势</t>
  </si>
  <si>
    <t>韩秀云</t>
  </si>
  <si>
    <t>陈昌凯的心理学课</t>
  </si>
  <si>
    <t>100讲详解心理学原理，从源头重构你的认知体系</t>
  </si>
  <si>
    <t>陈昌凯</t>
  </si>
  <si>
    <t>商务PPT菜鸟入门10日通（初级）</t>
  </si>
  <si>
    <t>建立起科学的PPT应用规范，打下良好的基础</t>
  </si>
  <si>
    <t>商务PPT达人进阶10日通（中级）</t>
  </si>
  <si>
    <t>高效制作PPT，助你汇报成功</t>
  </si>
  <si>
    <t>商务PPT大咖修炼10日谈（高级）</t>
  </si>
  <si>
    <t>让你的PPT重点突出、条理清晰、直指人心</t>
  </si>
  <si>
    <t>结构思考力</t>
  </si>
  <si>
    <t>最简单、直接和有效的结构思考力训练方法</t>
  </si>
  <si>
    <t>李忠秋</t>
  </si>
  <si>
    <t>从0到1，全面学透区块链(2020版)</t>
  </si>
  <si>
    <t>携中美16位专家精心打造，全新的区块链知识体系</t>
  </si>
  <si>
    <t>朱嘉伟</t>
  </si>
  <si>
    <t>解读独角兽公司的赚钱秘诀</t>
  </si>
  <si>
    <t>卢旭成</t>
  </si>
  <si>
    <t>叶武滨时间管理进阶 · 十周训练</t>
  </si>
  <si>
    <t>只有掌控时间，才能掌控人生</t>
  </si>
  <si>
    <t>清华彭凯平的幸福心理课</t>
  </si>
  <si>
    <t>体验幸福，找到生活的意义</t>
  </si>
  <si>
    <t>彭凯平</t>
  </si>
  <si>
    <t>情绪管理</t>
  </si>
  <si>
    <t>海蓝博士的情绪管理课</t>
  </si>
  <si>
    <t>揭开情绪的真相，把握关系中的主动权</t>
  </si>
  <si>
    <t>海蓝博士</t>
  </si>
  <si>
    <t>全球精英的5分钟成长学院</t>
  </si>
  <si>
    <t>为你交付一套“巨人”的思维工具</t>
  </si>
  <si>
    <t>喜马听世界</t>
  </si>
  <si>
    <t>费勇的佛学修心课</t>
  </si>
  <si>
    <t>一堂修心课，一次觉醒之旅</t>
  </si>
  <si>
    <t>费勇</t>
  </si>
  <si>
    <t>廖阅鹏神奇催眠术</t>
  </si>
  <si>
    <t>一站式学习快速解锁你的催眠技能</t>
  </si>
  <si>
    <t>廖阅鹏</t>
  </si>
  <si>
    <t>创新思维</t>
  </si>
  <si>
    <t>鲁百年：创新设计思维30讲</t>
  </si>
  <si>
    <t>全面掌握创新设计流程和落地</t>
  </si>
  <si>
    <t>鲁百年</t>
  </si>
  <si>
    <t>清华教授带你从文理渗透的独特视角重新审视科学</t>
  </si>
  <si>
    <t>吴国盛</t>
  </si>
  <si>
    <t>闪燕：关键对话</t>
  </si>
  <si>
    <t>成为冲突时刻的对话高手</t>
  </si>
  <si>
    <t>闪燕</t>
  </si>
  <si>
    <t>职场新人、基层管理者</t>
  </si>
  <si>
    <t>领跑新基建：5G前沿应用60讲</t>
  </si>
  <si>
    <t>5G时代的机遇与挑战</t>
  </si>
  <si>
    <t>刘大成</t>
  </si>
  <si>
    <t>舍恩伯格：AI与我们 | 人工智能进阶通识课</t>
  </si>
  <si>
    <t>牛津大学教授的人工智能通识课</t>
  </si>
  <si>
    <t>维克托·迈尔-舍恩伯格</t>
  </si>
  <si>
    <t>刘丰教授：禅修养心课</t>
  </si>
  <si>
    <t>解脱心灵束缚，彻悟人生意义与使命</t>
  </si>
  <si>
    <t>刘丰</t>
  </si>
  <si>
    <t>职场名师训练营：提升10项竞争力</t>
  </si>
  <si>
    <t>职场高手的生存法则</t>
  </si>
  <si>
    <t>减压静心：马老师教你Alex打坐法</t>
  </si>
  <si>
    <t>调节身心，涵养心性</t>
  </si>
  <si>
    <t>Alexander Ma</t>
  </si>
  <si>
    <t>WPS表格极速入门教程</t>
  </si>
  <si>
    <t>零基础小白也能轻松学会</t>
  </si>
  <si>
    <t>商学院</t>
  </si>
  <si>
    <t>管理认知</t>
  </si>
  <si>
    <t>王玉荣：产业互联网案例20讲</t>
  </si>
  <si>
    <t>从知道别人的案例，到实现自己的传奇</t>
  </si>
  <si>
    <t>吴晓波领讲：2020经济趋势大课</t>
  </si>
  <si>
    <t>7位重磅大咖解读2020中国经济</t>
  </si>
  <si>
    <t>吴晓波等</t>
  </si>
  <si>
    <t>李俊慧的经济学课</t>
  </si>
  <si>
    <t>用经济学视角重新看待世界</t>
  </si>
  <si>
    <t>李俊慧</t>
  </si>
  <si>
    <t>李源：跟大师学人生进阶课</t>
  </si>
  <si>
    <t>跟大师学沟通处事的经验和方法</t>
  </si>
  <si>
    <t>李源</t>
  </si>
  <si>
    <t>胡阿祥：中国大智慧 | 百家讲坛名师讲历史的启示</t>
  </si>
  <si>
    <t>一门教你从历史中学智慧的课</t>
  </si>
  <si>
    <t>胡阿祥</t>
  </si>
  <si>
    <t>谷歌冲刺工作法</t>
  </si>
  <si>
    <t>5天7人快速完成一个新项目</t>
  </si>
  <si>
    <t>滕磊</t>
  </si>
  <si>
    <t>心理疗愈50讲：缓解焦虑、自卑、抑郁和压力</t>
  </si>
  <si>
    <t>走出负面情绪，做一个独立个体</t>
  </si>
  <si>
    <t>周小宽</t>
  </si>
  <si>
    <t>高效能人士的50个工作方法</t>
  </si>
  <si>
    <t>即听即用的好方法</t>
  </si>
  <si>
    <t>哈佛幸福课主讲人亲授：幸福方法论</t>
  </si>
  <si>
    <t>夜听冥想，实用心理学</t>
  </si>
  <si>
    <t>沙哈尔</t>
  </si>
  <si>
    <t>增长模式</t>
  </si>
  <si>
    <t>增长黑客：营销效能加速器</t>
  </si>
  <si>
    <t>营销效果指数级增长的方法论</t>
  </si>
  <si>
    <t>范冰</t>
  </si>
  <si>
    <t>经营自己，人人都需要的管理术</t>
  </si>
  <si>
    <t>自我管理，实现突破</t>
  </si>
  <si>
    <t>崔璀</t>
  </si>
  <si>
    <t>北大博士李松蔚认知思维16讲</t>
  </si>
  <si>
    <t>快速跳出惯性思维</t>
  </si>
  <si>
    <t>李松蔚</t>
  </si>
  <si>
    <t>哈佛名师Beth的创意思维课</t>
  </si>
  <si>
    <t>英语原声，职场人创业者必备</t>
  </si>
  <si>
    <t>贝丝·奥特林格</t>
  </si>
  <si>
    <t>说服</t>
  </si>
  <si>
    <t>韩焱：成为说服高手的心理课</t>
  </si>
  <si>
    <t>劝服自己，影响大众</t>
  </si>
  <si>
    <t>韩焱</t>
  </si>
  <si>
    <t>演讲教练陶峻：怎样做自我介绍</t>
  </si>
  <si>
    <t>自我介绍，用1分钟打动人心</t>
  </si>
  <si>
    <t>陶峻</t>
  </si>
  <si>
    <t>数据分析</t>
  </si>
  <si>
    <t>商业数据分析师通识课｜CDA数据分析师</t>
  </si>
  <si>
    <t>从数据中精准发现问题，快人一步</t>
  </si>
  <si>
    <t>CDA数据分析师</t>
  </si>
  <si>
    <t>科特勒合伙人王赛：营销增长五步法</t>
  </si>
  <si>
    <t>“增长五线理论”，重塑企业增长认知</t>
  </si>
  <si>
    <t>王赛</t>
  </si>
  <si>
    <t>安心正念课：增加人生的掌控力</t>
  </si>
  <si>
    <t>缓解压力，掌握人生</t>
  </si>
  <si>
    <t>赵安安</t>
  </si>
  <si>
    <t>中国政商关系与政府公关技巧</t>
  </si>
  <si>
    <t>搭建政府关系，促进企业长期发展</t>
  </si>
  <si>
    <t>吴昊天</t>
  </si>
  <si>
    <t>九型人格 | 看懂自己，了解他人</t>
  </si>
  <si>
    <t>实现高效沟通，快速解决人际问题</t>
  </si>
  <si>
    <t>蔡敏莉</t>
  </si>
  <si>
    <t>范棣：实用经济学100讲</t>
  </si>
  <si>
    <t>听得懂、用得上的经济学的通俗降纬</t>
  </si>
  <si>
    <t>范棣</t>
  </si>
  <si>
    <t>高琳: 学会讲故事，才叫会沟通</t>
  </si>
  <si>
    <t>让你的沟通有趣、有料、有力量</t>
  </si>
  <si>
    <t>高琳</t>
  </si>
  <si>
    <t>经济学名师陆铭：中国经济72讲</t>
  </si>
  <si>
    <t>一门课学懂中国经济</t>
  </si>
  <si>
    <t>陆铭</t>
  </si>
  <si>
    <t>费勇的王阳明心学课 | 含《传习录》精读</t>
  </si>
  <si>
    <t>洞察人性的真相，找到成长的源泉</t>
  </si>
  <si>
    <t>吴晓波：中国商业经典案例100讲</t>
  </si>
  <si>
    <t>训练商业思维，学习企业经营策略</t>
  </si>
  <si>
    <t>吴晓波</t>
  </si>
  <si>
    <t>28堂新媒体写作课</t>
  </si>
  <si>
    <t>28个写作技巧和表达工具</t>
  </si>
  <si>
    <t>陈鸣</t>
  </si>
  <si>
    <t>刘墉谈处世情商的40堂课</t>
  </si>
  <si>
    <t>为你详尽讲解人生的这堂大课</t>
  </si>
  <si>
    <t>刘墉</t>
  </si>
  <si>
    <t>职场升职记：优势打造，实现个人跳跃式发展</t>
  </si>
  <si>
    <t>避免勤劳无效的漩涡，让你的努力事半功倍</t>
  </si>
  <si>
    <t>王玉婷</t>
  </si>
  <si>
    <t>游梓翔：谈判的36个步骤</t>
  </si>
  <si>
    <t>把控谈判走向，在对立中达成共识</t>
  </si>
  <si>
    <t>如何成为公文写作高手</t>
  </si>
  <si>
    <t>公文写得好，薪水不会低</t>
  </si>
  <si>
    <t>大姚老师</t>
  </si>
  <si>
    <t>金一南讲：世界大格局，中国有态度丨畅谈国际政治外交军事</t>
  </si>
  <si>
    <t>高层智囊金一南犀利开讲，首度解析打开世界之锁的中国钥匙</t>
  </si>
  <si>
    <t>金一南</t>
  </si>
  <si>
    <t>严伯钧的硬派科普秀</t>
  </si>
  <si>
    <t>严伯钧</t>
  </si>
  <si>
    <t>职业发展的17堂必修课</t>
  </si>
  <si>
    <t>手教你高效地走向成功</t>
  </si>
  <si>
    <t>Elaine</t>
  </si>
  <si>
    <t>刷新自我认知的5堂课：职业定位篇</t>
  </si>
  <si>
    <t>认识自我，快速成长</t>
  </si>
  <si>
    <t>张晓彤</t>
  </si>
  <si>
    <t>思维模型与幸福人生</t>
  </si>
  <si>
    <t>32个跨界思维模型，掌握幸福主动权</t>
  </si>
  <si>
    <t>李宁</t>
  </si>
  <si>
    <t>郁喆隽的复旦哲学课</t>
  </si>
  <si>
    <t>学会深度思考，从容做自己</t>
  </si>
  <si>
    <t>郁喆隽</t>
  </si>
  <si>
    <t>李筱懿：职场要赢得漂亮</t>
  </si>
  <si>
    <t>在职场修气质和气场</t>
  </si>
  <si>
    <t>李筱懿</t>
  </si>
  <si>
    <t>黄执中：说服他人别再用说教了</t>
  </si>
  <si>
    <t>发现沟通中的自己</t>
  </si>
  <si>
    <t>黄执中</t>
  </si>
  <si>
    <t>张德芬：21天爱的练习|冥想练习、治愈情绪</t>
  </si>
  <si>
    <t>21天自我生命蜕变之旅</t>
  </si>
  <si>
    <t>张德芬</t>
  </si>
  <si>
    <t>王蒙讲孔孟老庄</t>
  </si>
  <si>
    <t>以孔孟精进工作，以老庄安顿身心</t>
  </si>
  <si>
    <t>王蒙</t>
  </si>
  <si>
    <t>蒙曼品最美唐诗</t>
  </si>
  <si>
    <t>在唐诗里体验百味人生</t>
  </si>
  <si>
    <t>蒙曼</t>
  </si>
  <si>
    <t>北大王岳川讲大学中庸</t>
  </si>
  <si>
    <t>品读国学经典《大学》《中庸》</t>
  </si>
  <si>
    <t>王岳川</t>
  </si>
  <si>
    <t>复旦张军的诺奖经济学课</t>
  </si>
  <si>
    <t>经济学大师对当下社会经济问题的解答</t>
  </si>
  <si>
    <t>张军说</t>
  </si>
  <si>
    <t>凯文•凯利：《KK对话未来》</t>
  </si>
  <si>
    <t>未来10年，新的科技和商业机会在哪里？</t>
  </si>
  <si>
    <t>凯文·凯利</t>
  </si>
  <si>
    <t>物联网</t>
  </si>
  <si>
    <t>全产业链的数字化转型</t>
  </si>
  <si>
    <t>产业互联网专家带您学习数字化转型</t>
  </si>
  <si>
    <t>中层管理者、
专业人士</t>
  </si>
  <si>
    <t>龙兄：12堂演讲必修课</t>
  </si>
  <si>
    <t>多维度进行场景教学，快速提升表达力</t>
  </si>
  <si>
    <t>人人都需要的创意思维课</t>
  </si>
  <si>
    <t>科学开脑，创意源源不断</t>
  </si>
  <si>
    <t>王东魁</t>
  </si>
  <si>
    <t>百部经典文学名著课</t>
  </si>
  <si>
    <t>饱览中国百部经典文学名著</t>
  </si>
  <si>
    <t>李山等</t>
  </si>
  <si>
    <t>李忠秋：结构化写作</t>
  </si>
  <si>
    <t>赢得职场说服力</t>
  </si>
  <si>
    <t>康震品读古诗词</t>
  </si>
  <si>
    <t>在诗词中感悟人生</t>
  </si>
  <si>
    <t>康震</t>
  </si>
  <si>
    <t>魏知超：心理学新知课</t>
  </si>
  <si>
    <t>你不知道的心理学新知</t>
  </si>
  <si>
    <t>魏知超</t>
  </si>
  <si>
    <t>回顾十三五，开局十四五</t>
  </si>
  <si>
    <t>中国经济2017-2021</t>
  </si>
  <si>
    <t>王德培</t>
  </si>
  <si>
    <t>世界名著大师课</t>
  </si>
  <si>
    <t>48位名师解读100部世界名著</t>
  </si>
  <si>
    <t>世界文学领域48位名家</t>
  </si>
  <si>
    <t>傅佩荣的人生哲学课</t>
  </si>
  <si>
    <t>看清纷繁事物背后的本质，找到幸福生活的真谛</t>
  </si>
  <si>
    <t>傅佩荣</t>
  </si>
  <si>
    <t>一早速览商业事</t>
  </si>
  <si>
    <t>商界识堂</t>
  </si>
  <si>
    <t>每天听见吴晓波·第五季（2021版年度更新）</t>
  </si>
  <si>
    <t>帮你提升商业知识，构建系统的商业思维</t>
  </si>
  <si>
    <t>人文名师于赓哲</t>
  </si>
  <si>
    <t>历史上成大事者的“分钱术”</t>
  </si>
  <si>
    <t>于赓哲</t>
  </si>
  <si>
    <t>CEO给你的职商课</t>
  </si>
  <si>
    <t>找到高性价比职场路径</t>
  </si>
  <si>
    <t>刘捷</t>
  </si>
  <si>
    <t>让个人与组织双赢</t>
  </si>
  <si>
    <t>提升职场人的硬实力</t>
  </si>
  <si>
    <t>刘志敏</t>
  </si>
  <si>
    <t>每日正念</t>
  </si>
  <si>
    <t>全球精英都在练习的减压课</t>
  </si>
  <si>
    <t>童慧琦，郭海峰</t>
  </si>
  <si>
    <t>数字化转型35讲</t>
  </si>
  <si>
    <t>产业互联网转型必听课程</t>
  </si>
  <si>
    <t>新东方成长历程</t>
  </si>
  <si>
    <t>俞敏洪首次亲述不为人知的成长历程</t>
  </si>
  <si>
    <t>俞敏洪</t>
  </si>
  <si>
    <t>问题分析/解决</t>
  </si>
  <si>
    <t>高手的问题解决思维密码</t>
  </si>
  <si>
    <t>职场高手的思维，你学的会</t>
  </si>
  <si>
    <t>晏礼智</t>
  </si>
  <si>
    <t>创造力，每个人都能拥有的独门武器</t>
  </si>
  <si>
    <t>王可越</t>
  </si>
  <si>
    <t>秦朔书院：中美企业家创富史</t>
  </si>
  <si>
    <t>聚焦中美，为你解密商业文明</t>
  </si>
  <si>
    <t>秦朔</t>
  </si>
  <si>
    <t>心理学家的15堂影响力课</t>
  </si>
  <si>
    <t>和心理学家一起，重获生活安全感</t>
  </si>
  <si>
    <t>史嘉鑫</t>
  </si>
  <si>
    <t>清华韩秀云讲经济·第二季</t>
  </si>
  <si>
    <t>四大板块看懂经济政策和形式</t>
  </si>
  <si>
    <t>苏世民：我的经验与教训</t>
  </si>
  <si>
    <t>苏世民的投资秘诀、管理心法和处世哲学</t>
  </si>
  <si>
    <t>李诞池子的幽默工具箱</t>
  </si>
  <si>
    <t>笑果工厂</t>
  </si>
  <si>
    <t>催眠带你探索前世今生</t>
  </si>
  <si>
    <t>体验催眠，探索前世今生</t>
  </si>
  <si>
    <t>包弼德、傅高义领讲：中国文化课</t>
  </si>
  <si>
    <t>海外学者讲中国文化</t>
  </si>
  <si>
    <t>包弼德</t>
  </si>
  <si>
    <t>分析与思考-黄奇帆的复旦经济课</t>
  </si>
  <si>
    <t>全面解读中国经济</t>
  </si>
  <si>
    <t>黄奇帆</t>
  </si>
  <si>
    <t>吴静：赢在职场起跑线</t>
  </si>
  <si>
    <t>30岁前应该知道的人生和事业进阶指南</t>
  </si>
  <si>
    <t>吴静</t>
  </si>
  <si>
    <t>每天听见吴晓波·第四季</t>
  </si>
  <si>
    <t>分析宏观环境变化，判断行业发展趋势</t>
  </si>
  <si>
    <t>高效人生规划手册</t>
  </si>
  <si>
    <t>打造卓有成效的个性竞争力</t>
  </si>
  <si>
    <t>项目管理</t>
  </si>
  <si>
    <t>项目化思维+高效工作</t>
  </si>
  <si>
    <t>高绩效完成关键任务的制胜法宝</t>
  </si>
  <si>
    <t>新风向</t>
  </si>
  <si>
    <t>基层管理者、中层管理者</t>
  </si>
  <si>
    <t>沈亦周：职场必修演讲课</t>
  </si>
  <si>
    <t>3个层面，全面提升职场演讲力</t>
  </si>
  <si>
    <t>沈亦周</t>
  </si>
  <si>
    <t>职场急救包</t>
  </si>
  <si>
    <t>解决当代年轻人的职业成长诉求</t>
  </si>
  <si>
    <t>34Learning</t>
  </si>
  <si>
    <t>中国芯片新机遇</t>
  </si>
  <si>
    <t>芯片科普课</t>
  </si>
  <si>
    <t>谢志峰</t>
  </si>
  <si>
    <t>高效能人士的七个习惯-职场应用解读</t>
  </si>
  <si>
    <t>七个习惯职场应用解读</t>
  </si>
  <si>
    <t>深度解读RPA</t>
  </si>
  <si>
    <t>迎接数字化劳动力革命</t>
  </si>
  <si>
    <t>王言</t>
  </si>
  <si>
    <t>28天高效行动课</t>
  </si>
  <si>
    <t>摆脱焦虑，幸福成长</t>
  </si>
  <si>
    <t>张丹茹</t>
  </si>
  <si>
    <t>人，诗意地栖居</t>
  </si>
  <si>
    <t>书杰</t>
  </si>
  <si>
    <t>拆问解题</t>
  </si>
  <si>
    <t>掌握系统的问题定位、分析和解决方法</t>
  </si>
  <si>
    <t>34 Learning</t>
  </si>
  <si>
    <t>王琳：结构性演讲与表达技巧</t>
  </si>
  <si>
    <t>荣耀时刻商务演讲</t>
  </si>
  <si>
    <t>王琳</t>
  </si>
  <si>
    <t>职场核心竞争力</t>
  </si>
  <si>
    <t>为你的职场打下坚实的基础</t>
  </si>
  <si>
    <t>大厨Alex</t>
  </si>
  <si>
    <t>洞见2022经济趋势</t>
  </si>
  <si>
    <t>2021下半程，风往哪里吹</t>
  </si>
  <si>
    <t>吴晓波、管清友等</t>
  </si>
  <si>
    <t>职场财商通识课</t>
  </si>
  <si>
    <t>掌握经营决策的财务思维，职业发展进阶的金钥匙</t>
  </si>
  <si>
    <t>张黎</t>
  </si>
  <si>
    <t>高效沟通课</t>
  </si>
  <si>
    <t>帮助你掌握沟通这门艺术</t>
  </si>
  <si>
    <t>毛毛虫 Claire</t>
  </si>
  <si>
    <t>中国通史大师课</t>
  </si>
  <si>
    <t>听大师给你讲中国通史</t>
  </si>
  <si>
    <t>王晴佳、辛德勇等</t>
  </si>
  <si>
    <t>婷姐演讲宝典</t>
  </si>
  <si>
    <t>打造超级演讲力</t>
  </si>
  <si>
    <t>如何构建完美个人品牌？</t>
  </si>
  <si>
    <t>陈旎Annie：故事影响力</t>
  </si>
  <si>
    <t>好故事提升你的职场影响力</t>
  </si>
  <si>
    <t>陈旎</t>
  </si>
  <si>
    <t>子弹财经</t>
  </si>
  <si>
    <t>带你发现互联网商机</t>
  </si>
  <si>
    <t>创业最前线</t>
  </si>
  <si>
    <t>晋升之路</t>
  </si>
  <si>
    <t>从团队核心成员到管理者</t>
  </si>
  <si>
    <t>创意九式：引爆灵感的方法</t>
  </si>
  <si>
    <t>张继鸿</t>
  </si>
  <si>
    <t>公司反脆弱攻略</t>
  </si>
  <si>
    <t>许荣哲故事课：教你打动人心</t>
  </si>
  <si>
    <t>许荣哲</t>
  </si>
  <si>
    <t>超强学习力养成术</t>
  </si>
  <si>
    <t>商业领袖的领导力打造之道</t>
  </si>
  <si>
    <t>企业IP化生存指南</t>
  </si>
  <si>
    <t>复旦陈正宏《史记》精讲</t>
  </si>
  <si>
    <t>复旦陈正宏教授</t>
  </si>
  <si>
    <t>工作汇报</t>
  </si>
  <si>
    <t>华为高管的向上管理课</t>
  </si>
  <si>
    <t>樊登推荐：高效提升思考力25讲</t>
  </si>
  <si>
    <t>艾菲</t>
  </si>
  <si>
    <t>徐公子的阅读成长课10讲</t>
  </si>
  <si>
    <t>徐玉贞</t>
  </si>
  <si>
    <t>目标管理</t>
  </si>
  <si>
    <t>职场高效工作管理术——好好做事</t>
  </si>
  <si>
    <t>10倍速提升你的人生价值</t>
  </si>
  <si>
    <t>美宝老师</t>
  </si>
  <si>
    <t>成功思维25讲</t>
  </si>
  <si>
    <t>罗家德</t>
  </si>
  <si>
    <t>沈少卿</t>
  </si>
  <si>
    <t>朱老丝：有说服力的工作汇报</t>
  </si>
  <si>
    <t>朱老丝</t>
  </si>
  <si>
    <t>王喜文：5G新基建投资机遇</t>
  </si>
  <si>
    <t>九三学社王喜文：5G新基建投资机遇</t>
  </si>
  <si>
    <t>王喜文</t>
  </si>
  <si>
    <t>项目的目标计划和过程控制</t>
  </si>
  <si>
    <t>肖振峰</t>
  </si>
  <si>
    <t>人生效率手册：项目管理实战课</t>
  </si>
  <si>
    <t>丛雪</t>
  </si>
  <si>
    <t>高屹：项目经理是怎么炼成的</t>
  </si>
  <si>
    <t>高屹</t>
  </si>
  <si>
    <t>精英都爱的十大思维，助职场突围</t>
  </si>
  <si>
    <t>学会职场思维助力职场突围</t>
  </si>
  <si>
    <t>赵雨润</t>
  </si>
  <si>
    <t>营销实战丨软文写作与销售文案</t>
  </si>
  <si>
    <t>软文写作与销售文案</t>
  </si>
  <si>
    <t>林杉</t>
  </si>
  <si>
    <t>业务数据分析基础入门课</t>
  </si>
  <si>
    <t>徐双六</t>
  </si>
  <si>
    <t>Python数据可视化分析</t>
  </si>
  <si>
    <t>小凯</t>
  </si>
  <si>
    <t>高效开会</t>
  </si>
  <si>
    <t>高效会议管理</t>
  </si>
  <si>
    <t>国家队队医：5分钟了解运动损伤</t>
  </si>
  <si>
    <t>5分钟了解运动损伤</t>
  </si>
  <si>
    <t>冉令军</t>
  </si>
  <si>
    <t>赵国栋：元宇宙前沿报告|互联网金融</t>
  </si>
  <si>
    <t>讲透元宇宙构建原理，权威阐述未来新世界</t>
  </si>
  <si>
    <t>赵国栋</t>
  </si>
  <si>
    <t>让线上会议更高效</t>
  </si>
  <si>
    <t>裘敏莺 Mindy</t>
  </si>
  <si>
    <t>职场技能</t>
  </si>
  <si>
    <t>从0到1全面学透元宇宙</t>
  </si>
  <si>
    <t>谭国斌</t>
  </si>
  <si>
    <t>奥运会的故事|成长励志必听</t>
  </si>
  <si>
    <t>奥运会的故事</t>
  </si>
  <si>
    <t>有声主播薇薇</t>
  </si>
  <si>
    <t>可复制的快乐工作法</t>
  </si>
  <si>
    <t>詹昊宸</t>
  </si>
  <si>
    <t>一事一课学复盘</t>
  </si>
  <si>
    <t>刘永中</t>
  </si>
  <si>
    <t>透过结构看问题解决</t>
  </si>
  <si>
    <t>看清事物本质，快速解决问题</t>
  </si>
  <si>
    <t>姚苏阳</t>
  </si>
  <si>
    <t>透过结构看项目管理</t>
  </si>
  <si>
    <t>刘磊</t>
  </si>
  <si>
    <t>透过结构看清晰思考</t>
  </si>
  <si>
    <t>透过结构看有力表达</t>
  </si>
  <si>
    <t>透过结构看复盘管理</t>
  </si>
  <si>
    <t>孔庆斌</t>
  </si>
  <si>
    <t>透过结构看情绪管理</t>
  </si>
  <si>
    <t>透过结构看高效学习</t>
  </si>
  <si>
    <t>透过结构看PPT设计</t>
  </si>
  <si>
    <t>哲学100问·第1季</t>
  </si>
  <si>
    <t>西方哲学启蒙课</t>
  </si>
  <si>
    <t>李俊慧的经济学课·第二季</t>
  </si>
  <si>
    <t>后现代的刺</t>
  </si>
  <si>
    <t>基层</t>
  </si>
  <si>
    <t>陈雪频：新晋经理人十讲</t>
  </si>
  <si>
    <t>为商业管理提供世界级价值参考标准，推进企业管理实践与研究的国际化</t>
  </si>
  <si>
    <t>陈雪频</t>
  </si>
  <si>
    <t>组织发展</t>
  </si>
  <si>
    <t>倪云华的团队管理课</t>
  </si>
  <si>
    <t>最佳团队管理课系统方法论，为你定制最实用的团队管理课</t>
  </si>
  <si>
    <t>中层</t>
  </si>
  <si>
    <t>孙陶然亲授：企业管理实战兵法</t>
  </si>
  <si>
    <t>管理企业，不仅知道做什么，而且知道怎么做</t>
  </si>
  <si>
    <t>孙陶然</t>
  </si>
  <si>
    <t>人才发展</t>
  </si>
  <si>
    <t>陈序说教练型领导力</t>
  </si>
  <si>
    <t>国际教练领导力进阶课，提升个人领导能力，激活个人和组织潜能</t>
  </si>
  <si>
    <t>陈序</t>
  </si>
  <si>
    <t>叶阿次：高效管理100招</t>
  </si>
  <si>
    <t>100天迈向管人高手</t>
  </si>
  <si>
    <t>叶阿次</t>
  </si>
  <si>
    <t>关苏哲：高效管理者的必备技能</t>
  </si>
  <si>
    <t>私董会总裁教练，带你全面学习管理技能</t>
  </si>
  <si>
    <t>关苏哲</t>
  </si>
  <si>
    <t>阿里合伙人亲授，回顾创业的关键节点、经验以及案例分析，传递决策背后的心法</t>
  </si>
  <si>
    <t>马云、校董冯仑、郭广昌、史玉柱</t>
  </si>
  <si>
    <t>每天清晨5分钟领导力学习，先人一步获得成功</t>
  </si>
  <si>
    <t>徐中</t>
  </si>
  <si>
    <t>高层</t>
  </si>
  <si>
    <t>实战三板斧 | 阿里巴巴管理模式</t>
  </si>
  <si>
    <t>破译阿里文化基因，揭秘阿里管理系统</t>
  </si>
  <si>
    <t>天机</t>
  </si>
  <si>
    <t>文化建设</t>
  </si>
  <si>
    <t>顶级团队的八项习惯</t>
  </si>
  <si>
    <t>掌握打造顶级团队的方法与工具</t>
  </si>
  <si>
    <t>何建军</t>
  </si>
  <si>
    <t>倪云华：团队管理40条军规</t>
  </si>
  <si>
    <t>全网最受欢迎的团队管理视频课</t>
  </si>
  <si>
    <t>不懂带人，你就自己干到死</t>
  </si>
  <si>
    <t>管理更高效，带人更轻松</t>
  </si>
  <si>
    <t>姜颖远</t>
  </si>
  <si>
    <t>向心力阿米巴经营实战学</t>
  </si>
  <si>
    <t>结合中国企业实情，可落地的阿米巴经营实学</t>
  </si>
  <si>
    <t>何朝来</t>
  </si>
  <si>
    <t>业务经营</t>
  </si>
  <si>
    <t>冯仑商业私房话 </t>
  </si>
  <si>
    <t>30年商业心得，60年人生经验的精华总结</t>
  </si>
  <si>
    <t>冯仑</t>
  </si>
  <si>
    <t>中国式管理【曾仕强原声版】</t>
  </si>
  <si>
    <t>尽揽领袖指挥，引领事业人生至高境界</t>
  </si>
  <si>
    <t>战略规划</t>
  </si>
  <si>
    <t>清华朱武祥的商业模式课</t>
  </si>
  <si>
    <t>用小资源撬动大财富，带你打开财富之门</t>
  </si>
  <si>
    <t>朱武祥</t>
  </si>
  <si>
    <t>雷军亲述独家创业心法</t>
  </si>
  <si>
    <t>汇聚雷军30年的创业精华</t>
  </si>
  <si>
    <t>雷军</t>
  </si>
  <si>
    <t>10位商界大咖亲授成功案例</t>
  </si>
  <si>
    <t>混沌大学</t>
  </si>
  <si>
    <t>贝尔宾打造高绩效团队</t>
  </si>
  <si>
    <t>源自英国剑桥，专注团队50年</t>
  </si>
  <si>
    <t>蔺红云</t>
  </si>
  <si>
    <t>王林：首富胡雪岩的经营之道60讲</t>
  </si>
  <si>
    <t>中国传统商业哲学与人生谋略集大成者的人生逆袭路</t>
  </si>
  <si>
    <t>王林</t>
  </si>
  <si>
    <t>清华名师王勇：活学活用博弈论</t>
  </si>
  <si>
    <t>深度解读博弈论精华</t>
  </si>
  <si>
    <t>王勇</t>
  </si>
  <si>
    <t>帮你认知升级，职场破局</t>
  </si>
  <si>
    <t>沈拓</t>
  </si>
  <si>
    <t>航运物流业遇到的困局及破解之道</t>
  </si>
  <si>
    <t>解析航运物流业痛点，提出针对性解决方案</t>
  </si>
  <si>
    <t>黄伟明</t>
  </si>
  <si>
    <t>华为企业文化30讲</t>
  </si>
  <si>
    <t>学华为文化，品任总思想</t>
  </si>
  <si>
    <t>王星原</t>
  </si>
  <si>
    <t>樊登：可复制的领导力</t>
  </si>
  <si>
    <t>快速复制领导能力，破解管理难题</t>
  </si>
  <si>
    <t>樊登</t>
  </si>
  <si>
    <t>西点军校最受欢迎的领导力课</t>
  </si>
  <si>
    <t>商界、政界、军界影响力最大的领导力法则</t>
  </si>
  <si>
    <t>拉里·杜尼嵩</t>
  </si>
  <si>
    <t>曾仕强教授讲中庸管理之道</t>
  </si>
  <si>
    <t>当企业管理遇上民族文化</t>
  </si>
  <si>
    <t>快公司企业文化落地工具课</t>
  </si>
  <si>
    <t>帮你快速建立企业文化</t>
  </si>
  <si>
    <t>孙辉</t>
  </si>
  <si>
    <t>CEO、管理者、HR</t>
  </si>
  <si>
    <t>教练型领导力30讲</t>
  </si>
  <si>
    <t>让每一位管理者成为教练型领导</t>
  </si>
  <si>
    <t>季益祥</t>
  </si>
  <si>
    <t>吴建国：华为组织管理精要</t>
  </si>
  <si>
    <t>跟华为老将，学华为组织管理之道</t>
  </si>
  <si>
    <t>吴建国</t>
  </si>
  <si>
    <t>评价激励</t>
  </si>
  <si>
    <t>关苏哲：用提问激发团队高绩效</t>
  </si>
  <si>
    <t>1个有价值的提问，胜过10个解决方案</t>
  </si>
  <si>
    <t>蒋伟良：人人用得上的战略思维课</t>
  </si>
  <si>
    <t>前华为高管的战略课</t>
  </si>
  <si>
    <t>蒋伟良</t>
  </si>
  <si>
    <t>彼得·德鲁克的管理学精讲</t>
  </si>
  <si>
    <t>李洁</t>
  </si>
  <si>
    <t>领导力@数字时代</t>
  </si>
  <si>
    <t>数字化转型是威胁也是机遇</t>
  </si>
  <si>
    <t>林奕威</t>
  </si>
  <si>
    <t>阿里巴巴人才发展战略</t>
  </si>
  <si>
    <t>一张图、一颗心、一场仗</t>
  </si>
  <si>
    <t>张必成</t>
  </si>
  <si>
    <t>阿里巴巴管理三板斧</t>
  </si>
  <si>
    <t>练好内功，向管理要效益</t>
  </si>
  <si>
    <t>许林芳</t>
  </si>
  <si>
    <t>组织发展之人才梯队建设</t>
  </si>
  <si>
    <t>核心人才那点事，学这个就够了！</t>
  </si>
  <si>
    <t>张丽俊</t>
  </si>
  <si>
    <t>新任经理人的管理必修课</t>
  </si>
  <si>
    <t>8招带你快速从管理自我向管理他人转变</t>
  </si>
  <si>
    <t>陈致宇</t>
  </si>
  <si>
    <t>10人以下小团队管理手册：轻松带出高绩效团队</t>
  </si>
  <si>
    <t>释放小编队潜能，打造高绩效团队</t>
  </si>
  <si>
    <t>徐国允</t>
  </si>
  <si>
    <t>高琳：新手管理者的30堂必修课</t>
  </si>
  <si>
    <t>为新手管理者扫除误区、深度赋能</t>
  </si>
  <si>
    <t>混沌10分钟口袋商学院·2021</t>
  </si>
  <si>
    <t>可复制的营销运营方法论</t>
  </si>
  <si>
    <t>陈春花管理学著作精华解读</t>
  </si>
  <si>
    <t>10本管理经典解读</t>
  </si>
  <si>
    <t>陈白</t>
  </si>
  <si>
    <t>德鲁克管理思维精髓：五项管理基本功</t>
  </si>
  <si>
    <t>现代管理学之父的管理思想</t>
  </si>
  <si>
    <t>孙虹发</t>
  </si>
  <si>
    <t>52堂德鲁克思想精要课</t>
  </si>
  <si>
    <t>6大模块系统学习德鲁克思想</t>
  </si>
  <si>
    <t>彼得德鲁克</t>
  </si>
  <si>
    <t>华为国际化管理</t>
  </si>
  <si>
    <t>全景回顾华为国际化历程</t>
  </si>
  <si>
    <t>陈攀峰</t>
  </si>
  <si>
    <t>小团队高效管理手册</t>
  </si>
  <si>
    <t>28个小团队管理新知</t>
  </si>
  <si>
    <t>姜海舟</t>
  </si>
  <si>
    <t>中基层管理者</t>
  </si>
  <si>
    <t>新经理成长地图</t>
  </si>
  <si>
    <t>管理者的蜕变指南，让管理更简单</t>
  </si>
  <si>
    <t>魏开诚</t>
  </si>
  <si>
    <t>管理者必备的24个管理工具</t>
  </si>
  <si>
    <t>顶级商学院必学的管理方法</t>
  </si>
  <si>
    <t>马云全传</t>
  </si>
  <si>
    <t>完整记录马云50年人生历程</t>
  </si>
  <si>
    <t>周文强</t>
  </si>
  <si>
    <t>陈春花：数字化企业管理实战课</t>
  </si>
  <si>
    <t>协同数字化时代组织效率的本质</t>
  </si>
  <si>
    <t xml:space="preserve">陈春花 </t>
  </si>
  <si>
    <t>快公司生长密码</t>
  </si>
  <si>
    <t>DISC性格领导力</t>
  </si>
  <si>
    <t>打破常规 赢人而解</t>
  </si>
  <si>
    <t>王冬</t>
  </si>
  <si>
    <t>场景化管理</t>
  </si>
  <si>
    <t>听别人故事 悟自己之道</t>
  </si>
  <si>
    <t>张婷</t>
  </si>
  <si>
    <t>吴建国：激发组织活力</t>
  </si>
  <si>
    <t>对抗熵增，让情怠无所遁行</t>
  </si>
  <si>
    <t>闫秋华：教练型领导的道、术、智</t>
  </si>
  <si>
    <t>释放潜能 赋能成长 达成结果</t>
  </si>
  <si>
    <t>闫秋华</t>
  </si>
  <si>
    <t>企业家必听柏翔解析BLM战略工具</t>
  </si>
  <si>
    <t>柏翔</t>
  </si>
  <si>
    <t>目标策略</t>
  </si>
  <si>
    <t>用的上的OKR落地24步法</t>
  </si>
  <si>
    <t>陈凯</t>
  </si>
  <si>
    <t>张山领：阿里头部“三板斧”21讲</t>
  </si>
  <si>
    <t>张山领</t>
  </si>
  <si>
    <t>高竞讲管理：阿里”腿部“三板斧</t>
  </si>
  <si>
    <t>高竞</t>
  </si>
  <si>
    <t>高竞向阿里学管理：腰部三板斧</t>
  </si>
  <si>
    <t>团队管理：提升领导力的15个法则</t>
  </si>
  <si>
    <t>|如何运用BLM推动企业战略落地</t>
  </si>
  <si>
    <t>佛洁</t>
  </si>
  <si>
    <t>商业模式：企业持续增长的双增长引擎</t>
  </si>
  <si>
    <t>战略管理</t>
  </si>
  <si>
    <t>北京大学教授陈择华主讲</t>
  </si>
  <si>
    <t>陈择华</t>
  </si>
  <si>
    <t>观因：讲透企业文化</t>
  </si>
  <si>
    <t>文化管理是最高层次的管理</t>
  </si>
  <si>
    <t>观因</t>
  </si>
  <si>
    <t>杨国安的组织管理课</t>
  </si>
  <si>
    <t>杨国安</t>
  </si>
  <si>
    <t>财经专家张晓刚：商业思维提升课</t>
  </si>
  <si>
    <t>橙色领导力</t>
  </si>
  <si>
    <t>打造赋能敏捷组织，实现从0到1创新突破</t>
  </si>
  <si>
    <t>高松</t>
  </si>
  <si>
    <t>透过结构看管理思维</t>
  </si>
  <si>
    <t>樊登：可复制的领导力（2021升级版）</t>
  </si>
  <si>
    <t>岗位课/商学院</t>
  </si>
  <si>
    <t>如何避开绩效陷阱</t>
  </si>
  <si>
    <t>互联网+时代，绩效怎么做才有效？</t>
  </si>
  <si>
    <t>戴黔锋</t>
  </si>
  <si>
    <t>华为人才管理课</t>
  </si>
  <si>
    <t>8大模块带你全面了解华为人才管理流程</t>
  </si>
  <si>
    <t>冉涛</t>
  </si>
  <si>
    <t>实战三板斧【第二季】阿里文化篇</t>
  </si>
  <si>
    <t>互联网时代的管理必修课</t>
  </si>
  <si>
    <t>唐浩明：曾国藩识人用人20讲</t>
  </si>
  <si>
    <t>让优秀的人才追随于你</t>
  </si>
  <si>
    <t>唐浩明</t>
  </si>
  <si>
    <t>培训管理者</t>
  </si>
  <si>
    <t>打造高绩效组织，绩效解码18讲</t>
  </si>
  <si>
    <t>5大模块帮助管理者打造高绩效组织</t>
  </si>
  <si>
    <t>邱艺</t>
  </si>
  <si>
    <t>面试官速成宝典</t>
  </si>
  <si>
    <t>招聘密码</t>
  </si>
  <si>
    <t>Kay Xu</t>
  </si>
  <si>
    <t xml:space="preserve">视频 </t>
  </si>
  <si>
    <t>杨华：向华为学习班组管理</t>
  </si>
  <si>
    <t>金牌班组长必修课</t>
  </si>
  <si>
    <t>杨华</t>
  </si>
  <si>
    <t>冯涛：量化绩效管理（视频升级版）</t>
  </si>
  <si>
    <t>冯涛：量化绩效管理</t>
  </si>
  <si>
    <t>冯涛</t>
  </si>
  <si>
    <t>徐力|华为绩效变革推动者：跟华为学企业绩效管理</t>
  </si>
  <si>
    <t>徐力：跟华为学企业绩效管理</t>
  </si>
  <si>
    <t>徐力</t>
  </si>
  <si>
    <t>孙波：最佳实践萃取</t>
  </si>
  <si>
    <t>孙波</t>
  </si>
  <si>
    <t>市场品牌</t>
  </si>
  <si>
    <t>营销思维</t>
  </si>
  <si>
    <t>林建红的定位营销课</t>
  </si>
  <si>
    <t>汲取商业的经典理论，掌握独创的系统方法论，打开商业和人生的崭新大门</t>
  </si>
  <si>
    <t>林建红</t>
  </si>
  <si>
    <t>营销策略</t>
  </si>
  <si>
    <t>李饷：趣读消费心理学</t>
  </si>
  <si>
    <t>有梗、有趣、有料，听着脱口秀，就能秒懂客户心理的消费心理学课程</t>
  </si>
  <si>
    <t>李饷</t>
  </si>
  <si>
    <t>销售</t>
  </si>
  <si>
    <t>人力资源</t>
  </si>
  <si>
    <t>人力资源规划</t>
  </si>
  <si>
    <t>Lisa的人力资源管理课</t>
  </si>
  <si>
    <t>不讲理论，只解决问题，教你从管人管事到管心，快速打造精英团队</t>
  </si>
  <si>
    <t>Lisa</t>
  </si>
  <si>
    <t>岗位课</t>
  </si>
  <si>
    <t>叶茂中</t>
  </si>
  <si>
    <t>销售技能</t>
  </si>
  <si>
    <t>倪建伟：销售如何搞定人</t>
  </si>
  <si>
    <t>帮助许多销售新手学到了受用一生的销售思维和技巧</t>
  </si>
  <si>
    <t>倪建伟</t>
  </si>
  <si>
    <t>倪建伟：顶级销售成长课</t>
  </si>
  <si>
    <t>浓缩20年的大客户销售实战经验和多年的培训管理技巧</t>
  </si>
  <si>
    <t>品牌管理</t>
  </si>
  <si>
    <t>李光斗品牌商学院:实战MBA品牌课</t>
  </si>
  <si>
    <t>破解商战背后的秘笈，启迪全新的商业机会，塑造独具竞争优势的盈利模式</t>
  </si>
  <si>
    <t>李光斗</t>
  </si>
  <si>
    <t>金融理财</t>
  </si>
  <si>
    <t>金融知识与技能</t>
  </si>
  <si>
    <t>向松祚讲货币与金融</t>
  </si>
  <si>
    <t>货币是财富的载体，金融是时间的机器，看透货币本质，理解金融逻辑</t>
  </si>
  <si>
    <t>向松祚</t>
  </si>
  <si>
    <t>劳动关系管理</t>
  </si>
  <si>
    <t>劳动法实操：企业用工风险防范指南</t>
  </si>
  <si>
    <t>孔霞</t>
  </si>
  <si>
    <t>法务、HR</t>
  </si>
  <si>
    <t>市场定位</t>
  </si>
  <si>
    <t>天猫创始总经理黄若的新零售课</t>
  </si>
  <si>
    <t>行业大咖30年的经验总结和100多个新鲜案例剖析，教你具体的商业策略与运营思路</t>
  </si>
  <si>
    <t>黄若</t>
  </si>
  <si>
    <t>大客户销售</t>
  </si>
  <si>
    <t>觉伟讲销售：500强实战精华</t>
  </si>
  <si>
    <t>30年销售经验，6大模块倾力分享，帮助销售人员的个人成长，全面提升销售业绩</t>
  </si>
  <si>
    <t>李觉伟</t>
  </si>
  <si>
    <t>品牌和营销：从入门到精通100讲</t>
  </si>
  <si>
    <t>营销=品牌思维+创造价值</t>
  </si>
  <si>
    <t>李婷</t>
  </si>
  <si>
    <t>任康磊的人力资源管理课</t>
  </si>
  <si>
    <t>用精准的人才画像满足企业的用人需求，用精准的人才画像满足企业的用人需求，最大程度地体现人力资源的价值</t>
  </si>
  <si>
    <t>任康磊</t>
  </si>
  <si>
    <t>管理会计</t>
  </si>
  <si>
    <t>财务转型核心能力：从财务分析到经营分析</t>
  </si>
  <si>
    <t>“经营分析与业财融合”的解决方法</t>
  </si>
  <si>
    <t>陈冰</t>
  </si>
  <si>
    <t>陈德金：OKR的战略落地与创新生产力</t>
  </si>
  <si>
    <t>谷歌、领英、Facebook等顶级公司的高效秘籍</t>
  </si>
  <si>
    <t>陈德金</t>
  </si>
  <si>
    <t>股权投资</t>
  </si>
  <si>
    <t>资本时代的股权战略</t>
  </si>
  <si>
    <t>从战略高度，带你掌握资本时代股权设计的道与术</t>
  </si>
  <si>
    <t>徐怀玉</t>
  </si>
  <si>
    <t>招聘与配置</t>
  </si>
  <si>
    <t>企业全面招聘管理</t>
  </si>
  <si>
    <t>世界500强招聘经理，分享企业招聘的关键点</t>
  </si>
  <si>
    <t>时傲兵</t>
  </si>
  <si>
    <t>销售管理</t>
  </si>
  <si>
    <t>销售团队的管理</t>
  </si>
  <si>
    <t>销售专家心血力作，解决销售团队带教难题</t>
  </si>
  <si>
    <t>徐晖</t>
  </si>
  <si>
    <t>优秀财务必须掌握的5大核心能力</t>
  </si>
  <si>
    <t>突破财务职业发展的困境，拒绝成为考证达人</t>
  </si>
  <si>
    <t>小安</t>
  </si>
  <si>
    <t>客户服务</t>
  </si>
  <si>
    <t>服务技巧</t>
  </si>
  <si>
    <t>拆解服务鱼骨图，提升服务满意度</t>
  </si>
  <si>
    <t>何明涛</t>
  </si>
  <si>
    <t>劳动法大咖私教课</t>
  </si>
  <si>
    <t>入职、休假及制度的劳动争议实务操作指南</t>
  </si>
  <si>
    <t>百徕劳权</t>
  </si>
  <si>
    <t>零售女王厉玲35讲</t>
  </si>
  <si>
    <t>拥有25年零售行业一把手经验的厉玲，将从一个管理者的角度，告诉你如何做好零售。</t>
  </si>
  <si>
    <t>厉玲</t>
  </si>
  <si>
    <t>商务礼仪18讲</t>
  </si>
  <si>
    <t>一套完整的商务会客礼仪</t>
  </si>
  <si>
    <t>贾惠</t>
  </si>
  <si>
    <t>首席经济学家管清友的金融课</t>
  </si>
  <si>
    <t>9大金融工具看时局和行业大势，破解投资难题</t>
  </si>
  <si>
    <t>管清友</t>
  </si>
  <si>
    <t>雷军、徐小平御用律师私房股权课</t>
  </si>
  <si>
    <t>理论+案例，带你了解股权的基本架构</t>
  </si>
  <si>
    <t>张明若</t>
  </si>
  <si>
    <t>CEO、财务、法务</t>
  </si>
  <si>
    <t>生产制造</t>
  </si>
  <si>
    <t>供应链</t>
  </si>
  <si>
    <t>华为供应链管理课</t>
  </si>
  <si>
    <t>分享华为应对各种供应链管理问题的解决办法</t>
  </si>
  <si>
    <t>辛童</t>
  </si>
  <si>
    <t>B2C敏捷式销售成交方法</t>
  </si>
  <si>
    <t>20年销售实战经验分享，让你销售成单率倍增</t>
  </si>
  <si>
    <t>易斌</t>
  </si>
  <si>
    <t>哈佛MBA销售课：潜水艇销售法</t>
  </si>
  <si>
    <t>58个不同行业实战案例，50种工具即学即用</t>
  </si>
  <si>
    <t>伍杰Sampson</t>
  </si>
  <si>
    <t>大客户销售谋攻之道</t>
  </si>
  <si>
    <t>剑指九成赢单率</t>
  </si>
  <si>
    <t>朱文轩</t>
  </si>
  <si>
    <t>孙峻涛：B2B销售的实战进阶秘笈</t>
  </si>
  <si>
    <t>超越技巧，重构大客户销售思维体系</t>
  </si>
  <si>
    <t>孙峻涛</t>
  </si>
  <si>
    <t>薛桢梁：保险大单销售之道</t>
  </si>
  <si>
    <t>20年实战经验助你成为大单高手</t>
  </si>
  <si>
    <t>薛桢梁</t>
  </si>
  <si>
    <t>张丽俊：人力资源是CEO的第一工程</t>
  </si>
  <si>
    <t>阿里前政委为你解开阿里巴巴良将如潮的秘密</t>
  </si>
  <si>
    <t>财资管理</t>
  </si>
  <si>
    <t>肖星的财务课</t>
  </si>
  <si>
    <t>从财务思维看职场，提升工作中的硬实力</t>
  </si>
  <si>
    <t>肖星</t>
  </si>
  <si>
    <t>投行大师兄的财报速读课</t>
  </si>
  <si>
    <t>深入浅出讲清楚财务分析方法，挖掘有价值的公司</t>
  </si>
  <si>
    <t>定位专家：打赢商战的11招兵法</t>
  </si>
  <si>
    <t>带你解码企业逆势盈利倍增的秘密</t>
  </si>
  <si>
    <t>李亮</t>
  </si>
  <si>
    <t>熊猫申晨：营销尖货笔记</t>
  </si>
  <si>
    <t>强记忆易上手的新媒体营销方法论</t>
  </si>
  <si>
    <t>申晨</t>
  </si>
  <si>
    <t>销售、运营</t>
  </si>
  <si>
    <t>阿里销冠贺学友：销售精英进阶课</t>
  </si>
  <si>
    <t>赢过马云的顶级销售法</t>
  </si>
  <si>
    <t>贺学友</t>
  </si>
  <si>
    <t>刘永炬实战营销课</t>
  </si>
  <si>
    <t>从传统到互联网，给你爆品打造的通用方法论</t>
  </si>
  <si>
    <t>刘永炬</t>
  </si>
  <si>
    <t>产品</t>
  </si>
  <si>
    <t>产品规划/设计</t>
  </si>
  <si>
    <t>小米产品实战课</t>
  </si>
  <si>
    <t>深度挖掘小米内核，找出小米的制胜逻辑</t>
  </si>
  <si>
    <t>金错刀</t>
  </si>
  <si>
    <t>电话销售</t>
  </si>
  <si>
    <t>曹大嘴：电话销售50招</t>
  </si>
  <si>
    <t>开口就成交的超实用话术</t>
  </si>
  <si>
    <t>曹大嘴</t>
  </si>
  <si>
    <t>运营</t>
  </si>
  <si>
    <t>社群运营</t>
  </si>
  <si>
    <t>李芳:社群营销微信裂变88招财商</t>
  </si>
  <si>
    <t>每天10分钟，轻松掌握赚钱思维</t>
  </si>
  <si>
    <t>李芳</t>
  </si>
  <si>
    <t>BAT产品经理内训课</t>
  </si>
  <si>
    <t>手把手教你做腾讯产品经理</t>
  </si>
  <si>
    <t>何文彬</t>
  </si>
  <si>
    <t>平台运营</t>
  </si>
  <si>
    <t>电商运营之拼多多推广变现方法</t>
  </si>
  <si>
    <t>8年电商老兵讲解拼多多运营策略</t>
  </si>
  <si>
    <t>蒋辉</t>
  </si>
  <si>
    <t>新媒体运营</t>
  </si>
  <si>
    <t>小马鱼的阿里运营36课</t>
  </si>
  <si>
    <t>为你揭秘阿里运营精髓</t>
  </si>
  <si>
    <t>小马鱼</t>
  </si>
  <si>
    <t>证券</t>
  </si>
  <si>
    <t>清华王茵田的期货期权等衍生品课</t>
  </si>
  <si>
    <t>来自清华MBA的主题投资课</t>
  </si>
  <si>
    <t>王茵田</t>
  </si>
  <si>
    <t>财富管理与资产配置</t>
  </si>
  <si>
    <t>苏培科：精英投资指南25讲</t>
  </si>
  <si>
    <t>CCTV财经评论员，带你寻找A股投资新机遇</t>
  </si>
  <si>
    <t>苏培科</t>
  </si>
  <si>
    <t>张晓丽：中小企业如何融资及上市</t>
  </si>
  <si>
    <t>风投专家教你为企业上市铺路</t>
  </si>
  <si>
    <t>张晓丽</t>
  </si>
  <si>
    <t>审计风控</t>
  </si>
  <si>
    <t>企业法律风险必知</t>
  </si>
  <si>
    <t>企业经营千万条，知法懂法第一条</t>
  </si>
  <si>
    <t>律师团</t>
  </si>
  <si>
    <t>陶矜：股权思维30讲</t>
  </si>
  <si>
    <t>股权名师手把手教你用活用股权</t>
  </si>
  <si>
    <t>陶矜</t>
  </si>
  <si>
    <t>培训与开发</t>
  </si>
  <si>
    <t>向培训要结果-5D培训项目的设计与实践</t>
  </si>
  <si>
    <t>培训经理必学的培训设计课</t>
  </si>
  <si>
    <t>陈恭华</t>
  </si>
  <si>
    <t>【行动学习篇】专家型导师提升之路</t>
  </si>
  <si>
    <t>为促进学员改变而教学，从讲师向导师的升级</t>
  </si>
  <si>
    <t>田俊国</t>
  </si>
  <si>
    <t>【教学设计篇】专家型导师提升之路</t>
  </si>
  <si>
    <t>【课程开发篇】专家型导师提升之路</t>
  </si>
  <si>
    <t>【五星教学篇】专家型导师提升之路</t>
  </si>
  <si>
    <t>田俊国：专家型导师提升之路</t>
  </si>
  <si>
    <t>王英军律师结合多次股权咨询的实战经验，为创业者制作的创业股权课程</t>
  </si>
  <si>
    <t>王英军</t>
  </si>
  <si>
    <t>学以致用，成为投资专家</t>
  </si>
  <si>
    <t>阿里铁军销售管理</t>
  </si>
  <si>
    <t>识人心，懂人性，带团队，拿结果</t>
  </si>
  <si>
    <t>俞朝翎</t>
  </si>
  <si>
    <t>赵东玄：引爆客户流量</t>
  </si>
  <si>
    <t>赵小宾</t>
  </si>
  <si>
    <t>前奥美高管：营销底层策略12讲</t>
  </si>
  <si>
    <t>10大营销行动刺针</t>
  </si>
  <si>
    <t>王直上</t>
  </si>
  <si>
    <t>孙利平：论社会财富与企业利润</t>
  </si>
  <si>
    <t>教你从根源上理解商业的底层运作规律</t>
  </si>
  <si>
    <t>孙利平</t>
  </si>
  <si>
    <t>用户运营</t>
  </si>
  <si>
    <t>用户运营丨你今天涨粉了吗</t>
  </si>
  <si>
    <t>用户运营的成功之道</t>
  </si>
  <si>
    <t>蓝小歌</t>
  </si>
  <si>
    <t>零基础入门公众号运营</t>
  </si>
  <si>
    <t>快速涨粉，拿下KPI！</t>
  </si>
  <si>
    <t>院院</t>
  </si>
  <si>
    <t>多媒体运营全攻略</t>
  </si>
  <si>
    <t>快速上手，学以致用</t>
  </si>
  <si>
    <t>头狼老师</t>
  </si>
  <si>
    <t>0基础快速打造爆款短视频</t>
  </si>
  <si>
    <t>从小白蜕变到高手，打造爆红短视频</t>
  </si>
  <si>
    <t>田芳</t>
  </si>
  <si>
    <t>前奥美资深创意策划：爆款文案修炼手册</t>
  </si>
  <si>
    <t>所有公司的营销秘密武器</t>
  </si>
  <si>
    <t>乐剑峰</t>
  </si>
  <si>
    <t>网红训练营：超级IP打造计划</t>
  </si>
  <si>
    <t>洋葱集团亲授「顶级IP打造方法」</t>
  </si>
  <si>
    <t>聂阳德</t>
  </si>
  <si>
    <t>人人都需要的一门营销课</t>
  </si>
  <si>
    <t>重新认识营销和消费者行为</t>
  </si>
  <si>
    <t>郑毓煌</t>
  </si>
  <si>
    <t>短视频入门实操10讲</t>
  </si>
  <si>
    <t>高效运营短视频账号</t>
  </si>
  <si>
    <t>馒头商学院</t>
  </si>
  <si>
    <t>马红漫：读懂巴菲特的投资逻辑</t>
  </si>
  <si>
    <t>马红漫教你读懂“股神”的价值投资</t>
  </si>
  <si>
    <t>马红漫</t>
  </si>
  <si>
    <t>马红漫：巴菲特价值投资50讲</t>
  </si>
  <si>
    <t>读懂巴菲特的投资逻辑进阶版</t>
  </si>
  <si>
    <t>流源说：内容通识25讲</t>
  </si>
  <si>
    <t>听懂了源流说，就听懂了内容传播</t>
  </si>
  <si>
    <t>吴晨光</t>
  </si>
  <si>
    <t>全域营销流量变现36招</t>
  </si>
  <si>
    <t>打通流量增长变现之路</t>
  </si>
  <si>
    <t>企业微信增长运营全攻略</t>
  </si>
  <si>
    <t>16节体系课，企业微信引流、裂变、运营、成交</t>
  </si>
  <si>
    <t>精益供应链之路</t>
  </si>
  <si>
    <t>建立精益供应链，降本增效</t>
  </si>
  <si>
    <t>罗意</t>
  </si>
  <si>
    <t>0基础入局视频号</t>
  </si>
  <si>
    <t>抓住5G红利，打造优质视频号</t>
  </si>
  <si>
    <t>吴小明，覃大大</t>
  </si>
  <si>
    <t>生产管理</t>
  </si>
  <si>
    <t>精益培训与仿真 - 四种类型的问题</t>
  </si>
  <si>
    <t>四种类型问题解决法</t>
  </si>
  <si>
    <t>周宏博</t>
  </si>
  <si>
    <t xml:space="preserve">中层管理者、
高层管理者
</t>
  </si>
  <si>
    <t>工厂管理用语大全</t>
  </si>
  <si>
    <t>从零开始，快速习得工厂管理用语</t>
  </si>
  <si>
    <t>蚁创</t>
  </si>
  <si>
    <t xml:space="preserve">基层管理者、
中层管理者
</t>
  </si>
  <si>
    <t>人人都要懂的社交电商28课</t>
  </si>
  <si>
    <t>社交电商时代</t>
  </si>
  <si>
    <t>王栋</t>
  </si>
  <si>
    <t>丰田的生产管理秘诀</t>
  </si>
  <si>
    <t>丰田全球生产中心部长带您学精益</t>
  </si>
  <si>
    <t>企业读书会策划运营25讲</t>
  </si>
  <si>
    <t>打造企业阅读氛围</t>
  </si>
  <si>
    <t>解码36个营销心理学</t>
  </si>
  <si>
    <t>轻松运用客户关键心理，读懂客户</t>
  </si>
  <si>
    <t>成智大兵</t>
  </si>
  <si>
    <t>麦子老师：12堂社群+直播变现课</t>
  </si>
  <si>
    <t>搭建成交高、粘性高的优质社群</t>
  </si>
  <si>
    <t>麦子老师</t>
  </si>
  <si>
    <t xml:space="preserve">
麦子：微信社群赚钱全攻略</t>
  </si>
  <si>
    <t>教你从0到1，轻松实现引流变现</t>
  </si>
  <si>
    <t>需求驱动型供应链管理</t>
  </si>
  <si>
    <t>谢智</t>
  </si>
  <si>
    <t>阿里铁军内训销售课·第二季</t>
  </si>
  <si>
    <t>10000名铁军经验提炼，101个销售技能</t>
  </si>
  <si>
    <t>李立恒</t>
  </si>
  <si>
    <t>艾·里斯定位课</t>
  </si>
  <si>
    <t>风靡全球40年的营销经典</t>
  </si>
  <si>
    <t>艾里斯，李亮</t>
  </si>
  <si>
    <t>高效供应链管理实战</t>
  </si>
  <si>
    <t>后疫情时代，韧性视角解读供应链</t>
  </si>
  <si>
    <t>高上</t>
  </si>
  <si>
    <t>高潜人才盘点与发展项目设计</t>
  </si>
  <si>
    <t>9大关键流程，落地人才盘点与发展</t>
  </si>
  <si>
    <t>左明浩</t>
  </si>
  <si>
    <t>张璐：40堂销售冠军实战课</t>
  </si>
  <si>
    <t>20年实战经验和销售心得沉淀</t>
  </si>
  <si>
    <t>张璐</t>
  </si>
  <si>
    <t>10分钟掌握1个创新案例</t>
  </si>
  <si>
    <t>重新定义你的行业</t>
  </si>
  <si>
    <t>王晓芳</t>
  </si>
  <si>
    <t>以案说典：企业中的民法典</t>
  </si>
  <si>
    <t>案例导入+法典规定+条文解读+总结启示</t>
  </si>
  <si>
    <t>余友飞</t>
  </si>
  <si>
    <t>从0-1-N爆品持续引爆的密码</t>
  </si>
  <si>
    <t>爆品瘾力</t>
  </si>
  <si>
    <t>江新安</t>
  </si>
  <si>
    <t>HR十大典型案例教学-企业如何规范用工管理</t>
  </si>
  <si>
    <t>企业如何规范用工管理</t>
  </si>
  <si>
    <t>陈豪</t>
  </si>
  <si>
    <t>组织经验萃取与实战课程开发</t>
  </si>
  <si>
    <t>罗依芬</t>
  </si>
  <si>
    <t>精细化沙龙活动策划</t>
  </si>
  <si>
    <t>黄国亮</t>
  </si>
  <si>
    <t>中层管理者、基层管理者</t>
  </si>
  <si>
    <t>帮你事半功倍的金融商务礼仪</t>
  </si>
  <si>
    <t>中国主流金融产品的品类与特点</t>
  </si>
  <si>
    <t>安洋</t>
  </si>
  <si>
    <t>杨华：向华为学习质量管理</t>
  </si>
  <si>
    <t>精益管理</t>
  </si>
  <si>
    <t>行动学习组织落地指南</t>
  </si>
  <si>
    <t>张峰</t>
  </si>
  <si>
    <t>韩坤珏: 财务经理实战指南30讲</t>
  </si>
  <si>
    <t>韩坤珏</t>
  </si>
  <si>
    <t>金融思维基础与金融市场详解</t>
  </si>
  <si>
    <t>Learn-system培训师进阶课</t>
  </si>
  <si>
    <t>柯纳仕咨询</t>
  </si>
  <si>
    <t>TTT互动教学设计与实战演练</t>
  </si>
  <si>
    <t>安妮老师</t>
  </si>
  <si>
    <t>互动教学设计  用脑做培训</t>
  </si>
  <si>
    <t>王钊：商业直播师速成秘籍</t>
  </si>
  <si>
    <t>王钊</t>
  </si>
  <si>
    <t>数字化时代，HR如何借力直播为业务赋能</t>
  </si>
  <si>
    <t>张新民教授的财务分析实战课38讲</t>
  </si>
  <si>
    <t>张新民</t>
  </si>
  <si>
    <t>王占刚：华为客户管理体系</t>
  </si>
  <si>
    <t>王占刚</t>
  </si>
  <si>
    <t>CFO手把手教你读懂财报</t>
  </si>
  <si>
    <t>郑永强</t>
  </si>
  <si>
    <t>薪酬福利管理</t>
  </si>
  <si>
    <t>冯涛：薪酬体系设计6＋1（视频升级版）</t>
  </si>
  <si>
    <t>冯涛：薪酬体系设计6＋1</t>
  </si>
  <si>
    <t>HRVP带你30天通关：薪酬福利</t>
  </si>
  <si>
    <t>财务管理课：非财务人员的财务管理</t>
  </si>
  <si>
    <t>郝卯花</t>
  </si>
  <si>
    <t>财务管理：现金流分析与营运资本管理</t>
  </si>
  <si>
    <t>王艳</t>
  </si>
  <si>
    <t>刘晓毅：国之重器成本工程体系</t>
  </si>
  <si>
    <t>刘晓毅</t>
  </si>
  <si>
    <t>百万年薪HR修炼手册：成为懂经营、懂业务、懂CEO的HR</t>
  </si>
  <si>
    <t>成为懂经营、懂业务、懂CEO的HR</t>
  </si>
  <si>
    <t>用人攻略15招：复旦讲师教你识人</t>
  </si>
  <si>
    <t>HRVP带你30天通关：员工关系</t>
  </si>
  <si>
    <t>马智强</t>
  </si>
  <si>
    <t>新销售：从新手到精英的蜕变</t>
  </si>
  <si>
    <t>为销售新人量身打造</t>
  </si>
  <si>
    <t>新零售模式如何赋能门店？</t>
  </si>
  <si>
    <t>五种新零售模式成功案例解读</t>
  </si>
  <si>
    <t>龚康</t>
  </si>
  <si>
    <t>股权投融资与股权设计</t>
  </si>
  <si>
    <t>不同企业股权投融资与股权设计的最佳实践</t>
  </si>
  <si>
    <t>刘胜</t>
  </si>
  <si>
    <t>九型人格：快速识人，业绩倍增|创新销售系统</t>
  </si>
  <si>
    <t>运用9型人格辨识和成就客户</t>
  </si>
  <si>
    <t>朱天佑</t>
  </si>
  <si>
    <t>优质客户服务技巧</t>
  </si>
  <si>
    <t>提升客户服务品质，创造客户价值</t>
  </si>
  <si>
    <t>狄振鹏</t>
  </si>
  <si>
    <t>产品高手必修课</t>
  </si>
  <si>
    <t>系统化讲述产品知识，帮你从产品小白迈向产品高手！</t>
  </si>
  <si>
    <t>资产证券化与结构化金融丨REITs</t>
  </si>
  <si>
    <t>REITs实战</t>
  </si>
  <si>
    <t>宋光辉</t>
  </si>
  <si>
    <t>李芳：股权｜合伙｜股权设计｜分红</t>
  </si>
  <si>
    <t>付钱给对的人，而不是付钱给人</t>
  </si>
  <si>
    <t>攻心话术 | 破解销售中的6大陷阱</t>
  </si>
  <si>
    <t>“情景化+故事化”演绎各种销售技巧</t>
  </si>
  <si>
    <t>徐德福</t>
  </si>
  <si>
    <t>陈震：销售精英必修课 | 实现业绩倍增</t>
  </si>
  <si>
    <t>六大板块铸炼“铁军销售技能”</t>
  </si>
  <si>
    <t>陈震</t>
  </si>
  <si>
    <t>品牌如何打造超级视觉</t>
  </si>
  <si>
    <t>透过视觉策略占据消费者心智</t>
  </si>
  <si>
    <t>张鹏</t>
  </si>
  <si>
    <t>薪酬体系建设：如何把钱分的更有价值</t>
  </si>
  <si>
    <t>这是一门解决薪酬体系构建的实操课程</t>
  </si>
  <si>
    <t>于彬彬</t>
  </si>
  <si>
    <t>HRVP带你30天通关：高效招聘</t>
  </si>
  <si>
    <t>绩效管理</t>
  </si>
  <si>
    <t>绩效考核与薪酬挂钩的六个方法</t>
  </si>
  <si>
    <t>倪铭</t>
  </si>
  <si>
    <t>如何搭建战略型绩效体系</t>
  </si>
  <si>
    <t>绩效管理的三大挑战及破解之道</t>
  </si>
  <si>
    <t>韩铁林</t>
  </si>
  <si>
    <t>姚琼：向世界500强学绩效管理</t>
  </si>
  <si>
    <t>实现有效的绩效管理，提升员工能力与组织绩效！</t>
  </si>
  <si>
    <t>华为销售法</t>
  </si>
  <si>
    <t>向华为学习销售勇将的打造之道</t>
  </si>
  <si>
    <t>李江</t>
  </si>
  <si>
    <t>三孩政策视角下HR管理的变与不变</t>
  </si>
  <si>
    <t>管理者、HR</t>
  </si>
  <si>
    <t>律格资本：马博士的资本思维64讲</t>
  </si>
  <si>
    <t>马正</t>
  </si>
  <si>
    <t>倪云华：八步写出商业融资计划书</t>
  </si>
  <si>
    <t>7种市场格局下的竞争战略</t>
  </si>
  <si>
    <t>7种市场格局，带你预判未来</t>
  </si>
  <si>
    <t>孙轩</t>
  </si>
  <si>
    <t>奇正招商 | 企业品牌招商的道与术</t>
  </si>
  <si>
    <t>企业品牌招商的道与术</t>
  </si>
  <si>
    <t>顾均辉：用定位实现销售增长</t>
  </si>
  <si>
    <t>找到客户心智空位，抢占客户心智</t>
  </si>
  <si>
    <t>顾均辉</t>
  </si>
  <si>
    <t>从0到1做运营：流量运营、软文营销、粉丝裂变</t>
  </si>
  <si>
    <t>社群裂变模式与软文营销技巧</t>
  </si>
  <si>
    <t>活动策划营销方案与会展策划执行攻略</t>
  </si>
  <si>
    <t>小程序运营实战课</t>
  </si>
  <si>
    <t>全场景、全能力搭建小程序运营思维模型</t>
  </si>
  <si>
    <t>胡瑛</t>
  </si>
  <si>
    <t>李健：详解电商爆单系统</t>
  </si>
  <si>
    <t>打造属于自己的电商运营的保单系统</t>
  </si>
  <si>
    <t>李健</t>
  </si>
  <si>
    <t>张坚讲大客户销售：18讲和客户达成交易</t>
  </si>
  <si>
    <t>思科大客户销售管理</t>
  </si>
  <si>
    <t>张坚</t>
  </si>
  <si>
    <t>产品思维</t>
  </si>
  <si>
    <t>华为的GTM操盘法：捕捉市场的必备法则|价值</t>
  </si>
  <si>
    <t>向华为学成功法宝：产品打造和GTM操盘</t>
  </si>
  <si>
    <t>王叶鹏</t>
  </si>
  <si>
    <t>财务会计</t>
  </si>
  <si>
    <t>商业语言|快速掌握财务会计精髓</t>
  </si>
  <si>
    <t>帮助企业家从财务报表中看清企业管理中的相关要素</t>
  </si>
  <si>
    <t>江军民</t>
  </si>
  <si>
    <t>张宁：英文合同起草与审核</t>
  </si>
  <si>
    <t>快速全面的掌握英文合同起草和审核的专业知识</t>
  </si>
  <si>
    <t>张宁律师</t>
  </si>
  <si>
    <t>刘俊海教授：详解2020最新版《证券法》</t>
  </si>
  <si>
    <t>详解2020最新版《证券法》</t>
  </si>
  <si>
    <t>刘俊海教授</t>
  </si>
  <si>
    <t>卓越产品经理如何思考 | 每个人都要懂的产品思维</t>
  </si>
  <si>
    <t>掌握产品思维，掌握解决问题的综合性思维</t>
  </si>
  <si>
    <t>渊池先生</t>
  </si>
  <si>
    <t>王勇：企业劳资合规的7大必备工具</t>
  </si>
  <si>
    <t>税务管理</t>
  </si>
  <si>
    <t>三张报表学稽查</t>
  </si>
  <si>
    <t>徐箐</t>
  </si>
  <si>
    <t xml:space="preserve">
快速掌握增值税实务操作技巧</t>
  </si>
  <si>
    <t>快速掌握增值税实务操作技巧</t>
  </si>
  <si>
    <t>涉税基础系列课</t>
  </si>
  <si>
    <t xml:space="preserve">
王钊：专业人士如何做一场在线直播课</t>
  </si>
  <si>
    <t>直播大时代，线下课程的转型之路</t>
  </si>
  <si>
    <t>金融科技驱动数字化转型|行业趋势、投资风向</t>
  </si>
  <si>
    <t>金融科技创新驱动的银行数字化转型向</t>
  </si>
  <si>
    <t>肖然</t>
  </si>
  <si>
    <t>你从未想过的财务与会计的十大区别</t>
  </si>
  <si>
    <t>财务与会计的十大区别</t>
  </si>
  <si>
    <t>田茂永</t>
  </si>
  <si>
    <t>高频交易15讲：探寻纳秒时代的金融市场</t>
  </si>
  <si>
    <t>新时代金融从业者的必修课</t>
  </si>
  <si>
    <t>李路</t>
  </si>
  <si>
    <t>投资理财必修的金融常识课</t>
  </si>
  <si>
    <t>黎京林</t>
  </si>
  <si>
    <t>如何抓住潜伏的暴涨股</t>
  </si>
  <si>
    <t>识别被大家忽略的牛股</t>
  </si>
  <si>
    <t>闵遥</t>
  </si>
  <si>
    <t>规避人性的理财攻略</t>
  </si>
  <si>
    <t>戴翀</t>
  </si>
  <si>
    <t>港股打新如何提高中签率</t>
  </si>
  <si>
    <t>刘怡伶</t>
  </si>
  <si>
    <t>透过结构看客户思维</t>
  </si>
  <si>
    <t>覃曦</t>
  </si>
  <si>
    <t>BEST高能经验萃取</t>
  </si>
  <si>
    <t>邱伟</t>
  </si>
  <si>
    <t>FAST高效课程开发</t>
  </si>
  <si>
    <t>一名崩溃企业家的财务分析</t>
  </si>
  <si>
    <t>朱丽雅</t>
  </si>
  <si>
    <t>秒懂的电商财税风险管理</t>
  </si>
  <si>
    <t>陶雯</t>
  </si>
  <si>
    <t>解救创业焦虑的财税课</t>
  </si>
  <si>
    <t>创业型公司的财务解决方案</t>
  </si>
  <si>
    <t>惠玉</t>
  </si>
  <si>
    <t>一门课学会基金投资</t>
  </si>
  <si>
    <t>基金上万只，怎么挑？</t>
  </si>
  <si>
    <t>顾艳</t>
  </si>
  <si>
    <t>梁磊</t>
  </si>
  <si>
    <t>法商促大单实战案例解析</t>
  </si>
  <si>
    <t>用思维导图畅游《保险法》</t>
  </si>
  <si>
    <t>王芳律师</t>
  </si>
  <si>
    <t>保险工作者的自我修养</t>
  </si>
  <si>
    <t>陈铜</t>
  </si>
  <si>
    <t>五大类保险产品优势解析</t>
  </si>
  <si>
    <t>谭啸</t>
  </si>
  <si>
    <t>职场认知</t>
  </si>
  <si>
    <t>张萌：高效打造个人品牌</t>
  </si>
  <si>
    <t>剖析自身实战经验，高效打造个人品牌养成方法</t>
  </si>
  <si>
    <t>人文社科</t>
  </si>
  <si>
    <t>情感心理</t>
  </si>
  <si>
    <t>袁春楠：脱胎换骨的人生整理术</t>
  </si>
  <si>
    <t>摆脱焦虑，重整人生、生活、职场、财富，轻装前行</t>
  </si>
  <si>
    <t>袁春楠</t>
  </si>
  <si>
    <t>人文历史</t>
  </si>
  <si>
    <t>周濂讲西方哲学智慧</t>
  </si>
  <si>
    <t>助你锻炼批判性思维，培养思考的逻辑性，更冷静有效地解决当下的问题</t>
  </si>
  <si>
    <t>周濂</t>
  </si>
  <si>
    <t>市场营销</t>
  </si>
  <si>
    <t>路长全营销课堂:改变命运的200条秘笈</t>
  </si>
  <si>
    <t>营销泰斗亲授，150堂课让你学会200个营销秘笈</t>
  </si>
  <si>
    <t>路长全</t>
  </si>
  <si>
    <t>法律</t>
  </si>
  <si>
    <t>企业专利：驾驭未来商业的利器</t>
  </si>
  <si>
    <t>汤雄军</t>
  </si>
  <si>
    <t>CEO、法务</t>
  </si>
  <si>
    <t>亲子教育</t>
  </si>
  <si>
    <t>如何提升孩子的英语阅读理解能力</t>
  </si>
  <si>
    <t>原新东方名师带你打破英语阅读理解的壁垒</t>
  </si>
  <si>
    <t>孙健</t>
  </si>
  <si>
    <t>为生命找道理</t>
  </si>
  <si>
    <t>前台湾大学哲学系教授为你透析人生哲学</t>
  </si>
  <si>
    <t>林火旺</t>
  </si>
  <si>
    <t>胡慎之心理课：重建亲密关系</t>
  </si>
  <si>
    <t>为你讲透原生家庭的秘密，让关系更亲密</t>
  </si>
  <si>
    <t>胡慎之</t>
  </si>
  <si>
    <t>叶茂中营销课堂：唤醒你的创意</t>
  </si>
  <si>
    <t>策划大师的私房课，向公众公开他营销与策划的法宝</t>
  </si>
  <si>
    <t>阿里铁军内训销售课</t>
  </si>
  <si>
    <t>阿里铁军10年10000人实战销售经验</t>
  </si>
  <si>
    <t>如何打造安全的互联网内容公司</t>
  </si>
  <si>
    <t>规避内容政策风险，把握内容创新尺度</t>
  </si>
  <si>
    <t>压舱石</t>
  </si>
  <si>
    <t>尼尔森讲正面管教</t>
  </si>
  <si>
    <t>全球1.5亿父母亲测有效的教育方法</t>
  </si>
  <si>
    <t>简·尼尔森</t>
  </si>
  <si>
    <t>连结金融与职场的十本书</t>
  </si>
  <si>
    <t>秒懂金融知识，重塑职场认知</t>
  </si>
  <si>
    <t>外语技能</t>
  </si>
  <si>
    <t>王乐平：培养你的英语思维</t>
  </si>
  <si>
    <t>真正进入英语表达的语境，输出地道英语</t>
  </si>
  <si>
    <t>王乐平</t>
  </si>
  <si>
    <t>英语口语900句训练营</t>
  </si>
  <si>
    <t>精准解决口语问题</t>
  </si>
  <si>
    <t>Derek</t>
  </si>
  <si>
    <t>渠道管理</t>
  </si>
  <si>
    <t>厂商和渠道之间的博弈平衡艺术</t>
  </si>
  <si>
    <t>齐洋钰</t>
  </si>
  <si>
    <t>张杨：好爸爸必修课</t>
  </si>
  <si>
    <t>新时代父母的“珍藏级育儿指南”</t>
  </si>
  <si>
    <t>张杨</t>
  </si>
  <si>
    <t>张晴：英语正音课</t>
  </si>
  <si>
    <t>全面提升英语发音</t>
  </si>
  <si>
    <t>张晴</t>
  </si>
  <si>
    <t>北大学霸妈妈：激发孩子学习动力</t>
  </si>
  <si>
    <t>快乐陪伴，让孩子爱上学习</t>
  </si>
  <si>
    <t>刘称莲</t>
  </si>
  <si>
    <t>生活健康</t>
  </si>
  <si>
    <t>给全家人的健康管理课</t>
  </si>
  <si>
    <t>北京协和医院等20+三甲资深名医为你讲解饮食养护好方法，科学预防疾病</t>
  </si>
  <si>
    <t>南方健康</t>
  </si>
  <si>
    <t>从零开始学意大利语：0-A1初级</t>
  </si>
  <si>
    <t>纯正发音，独创情景对话，轻松有趣</t>
  </si>
  <si>
    <t>Sara</t>
  </si>
  <si>
    <t>小学问：像聪明人一样想问题</t>
  </si>
  <si>
    <t>“观念工具箱”，如何聪明的思考问题，解决你的“为什么”</t>
  </si>
  <si>
    <t>了解每种性格的优势和过当，找到人与人最平衡的相处之道。</t>
  </si>
  <si>
    <t>乐嘉</t>
  </si>
  <si>
    <t>胡艺瀚的奢侈品普及课</t>
  </si>
  <si>
    <t>50堂课培养高阶奢侈品味</t>
  </si>
  <si>
    <t>胡艺瀚</t>
  </si>
  <si>
    <t>王志纲口述改革开放40年</t>
  </si>
  <si>
    <t>100个内幕故事讲透中国的逻辑</t>
  </si>
  <si>
    <t>王志纲</t>
  </si>
  <si>
    <t>长江商学院教授朱睿：行为心理学30讲</t>
  </si>
  <si>
    <t>了解认知偏差，做出更好决策</t>
  </si>
  <si>
    <t>朱睿</t>
  </si>
  <si>
    <t>零基础学法语【0-B1中高级】</t>
  </si>
  <si>
    <t>轻松入门法语，你还只会说"Bonjour"吗？</t>
  </si>
  <si>
    <t>刘雯雯</t>
  </si>
  <si>
    <t>写作表达</t>
  </si>
  <si>
    <t>李源：12堂高效阅读方法课</t>
  </si>
  <si>
    <t>练就终生学习力</t>
  </si>
  <si>
    <t>瑞丽杂志总监的24堂实用穿搭课</t>
  </si>
  <si>
    <t>教你如何在职场穿搭得体</t>
  </si>
  <si>
    <t>王迁教授：知识产权法66讲</t>
  </si>
  <si>
    <t>在知识产权的门前，感悟文学与科学之美</t>
  </si>
  <si>
    <t>王迁</t>
  </si>
  <si>
    <t>曲黎敏：精讲《黄帝内经》养生智慧</t>
  </si>
  <si>
    <t>中国人的生命密码</t>
  </si>
  <si>
    <t>曲黎敏</t>
  </si>
  <si>
    <t>探索天生性格优势，认清职业发展方向</t>
  </si>
  <si>
    <t>王善平</t>
  </si>
  <si>
    <t>识人用人</t>
  </si>
  <si>
    <t>识人快狠准：跟投资大咖学人心</t>
  </si>
  <si>
    <t>识人有术，才投资有方</t>
  </si>
  <si>
    <t>谭文清</t>
  </si>
  <si>
    <t>田宏杰：小学生高效作业课，让孩子爱上学习</t>
  </si>
  <si>
    <t>切实有用、成功帮助万千家长孩子</t>
  </si>
  <si>
    <t>田宏杰</t>
  </si>
  <si>
    <t>施展李筠力荐：人文通识100讲|哲学法律经济历史</t>
  </si>
  <si>
    <t>帮你在大洗牌时代，做出正确的抉择</t>
  </si>
  <si>
    <t>观天下大志</t>
  </si>
  <si>
    <t>大锤：十倍速阅读提升课</t>
  </si>
  <si>
    <t>速读加速我们的人生</t>
  </si>
  <si>
    <t>千锤百炼</t>
  </si>
  <si>
    <t>烧脑天团：超级记忆力养成计划</t>
  </si>
  <si>
    <t>掌握科学方法，释放记忆潜能</t>
  </si>
  <si>
    <t>最强大脑李威</t>
  </si>
  <si>
    <t>跑步达人：跑出更好的自己</t>
  </si>
  <si>
    <t>50堂课教你跑出健康</t>
  </si>
  <si>
    <t>王威</t>
  </si>
  <si>
    <t>杨澜：一问一世界</t>
  </si>
  <si>
    <t>向智者提问，带给你一个更广阔的世界</t>
  </si>
  <si>
    <t>杨澜</t>
  </si>
  <si>
    <t>李银河说爱情</t>
  </si>
  <si>
    <t>中国人必修的爱情课</t>
  </si>
  <si>
    <t>李银河</t>
  </si>
  <si>
    <t>喜马官方_有声主播入门</t>
  </si>
  <si>
    <t>你的主播入门课程</t>
  </si>
  <si>
    <t>余建军，艾宝良，张丽敏</t>
  </si>
  <si>
    <t>给主播的声音入门课</t>
  </si>
  <si>
    <t>声音入门学习</t>
  </si>
  <si>
    <t>吴凌云</t>
  </si>
  <si>
    <t>成为省心父母的18堂家庭教育课</t>
  </si>
  <si>
    <t>回归教养本质，养出自主孩子</t>
  </si>
  <si>
    <t>沈奕斐</t>
  </si>
  <si>
    <t>世界与中国：现代化进程200年</t>
  </si>
  <si>
    <t>读懂200年世界与中国</t>
  </si>
  <si>
    <t>朱学勤</t>
  </si>
  <si>
    <t>学法用典，就学以案说典</t>
  </si>
  <si>
    <t>娄强讲销售思维</t>
  </si>
  <si>
    <t>业绩倍增的36个成交心法</t>
  </si>
  <si>
    <t>娄强</t>
  </si>
  <si>
    <t>佟彤中医养护50讲</t>
  </si>
  <si>
    <t>了解自愈力，构筑健康天然防御墙</t>
  </si>
  <si>
    <t>佟彤</t>
  </si>
  <si>
    <t>李玫瑾：中国父母家庭教育必修课</t>
  </si>
  <si>
    <t>中国父母家庭教育必修课</t>
  </si>
  <si>
    <t>李玫瑾</t>
  </si>
  <si>
    <t>张怡筠亲子情商课·第2季</t>
  </si>
  <si>
    <t>张怡筠</t>
  </si>
  <si>
    <t>绕过职场上的那些法律“坑”儿</t>
  </si>
  <si>
    <t>张军杰</t>
  </si>
  <si>
    <t>畅听课</t>
  </si>
  <si>
    <t>党团课</t>
  </si>
  <si>
    <t>叶武滨时间管理100讲</t>
  </si>
  <si>
    <t>喜马拉雅教育榜排名第一的火爆课程</t>
  </si>
  <si>
    <t>职场人物专访</t>
  </si>
  <si>
    <t>如何做一位受欢迎的职场人？</t>
  </si>
  <si>
    <t>夏雨嫣</t>
  </si>
  <si>
    <t>每天聊点《弟子规》</t>
  </si>
  <si>
    <t>罗大伦博士解读国学经典</t>
  </si>
  <si>
    <t>罗大伦</t>
  </si>
  <si>
    <t>高情商沟通力问答</t>
  </si>
  <si>
    <t>最贴近您生活的高情商沟通技巧</t>
  </si>
  <si>
    <t>兆民</t>
  </si>
  <si>
    <t>超级思维：怎样成为很厉害的人</t>
  </si>
  <si>
    <t>教你用最短的时间超越身边更优秀的人！</t>
  </si>
  <si>
    <t>刘杰辉</t>
  </si>
  <si>
    <t>领导力</t>
  </si>
  <si>
    <t>组织管理</t>
  </si>
  <si>
    <t>公司并购实战课</t>
  </si>
  <si>
    <t>知重点，懂策略，面对并购不掉陷阱，并购路上一路畅通</t>
  </si>
  <si>
    <t>李强</t>
  </si>
  <si>
    <t>职场解忧杂货铺</t>
  </si>
  <si>
    <t>汇集馒头导师及各个领域里的大咖，专注职场，站在巨人的肩膀上，用不同的视角为你答疑解惑。</t>
  </si>
  <si>
    <t>产品方法论</t>
  </si>
  <si>
    <t>简单，易懂，易上手，最实用的互联网产品知识随身听，就在产品方法论。</t>
  </si>
  <si>
    <t>秦朔朋友圈</t>
  </si>
  <si>
    <t>解剖商业人物，聆听商业脉动、感知商业灵魂、弘扬企业家精神、推动商业文明的脱口秀</t>
  </si>
  <si>
    <t>汪诘：科学有故事</t>
  </si>
  <si>
    <t>这不仅仅是一档科普节目，更是一个崭新的世界观</t>
  </si>
  <si>
    <t>汪诘</t>
  </si>
  <si>
    <t>China Daily 为你读新闻</t>
  </si>
  <si>
    <t>来自中国日报（CHINA DAILY）原汁原味的英语新闻</t>
  </si>
  <si>
    <t>中国日报</t>
  </si>
  <si>
    <t>湖说：湖畔大学百位企业家倾心对谈</t>
  </si>
  <si>
    <t>百位商业大咖倾心对谈，企业家精神百年传承</t>
  </si>
  <si>
    <t>湖畔大学</t>
  </si>
  <si>
    <t>商务英语随口说</t>
  </si>
  <si>
    <t>一口流利的商务英语定让你在竞争中脱颖而出</t>
  </si>
  <si>
    <t>小娴喵Sherry</t>
  </si>
  <si>
    <t>转折点 : 职场人物访谈</t>
  </si>
  <si>
    <t>LinkedIn领英出品系列访谈</t>
  </si>
  <si>
    <t>LinkedIn领英中国</t>
  </si>
  <si>
    <t>职场老炮儿</t>
  </si>
  <si>
    <t>有职场的地方就有人，有人的地方就有江湖，有江湖自然会有老炮儿~</t>
  </si>
  <si>
    <t>许锋博士</t>
  </si>
  <si>
    <t>观念是运营决策的价值基础</t>
  </si>
  <si>
    <t>充电时间</t>
  </si>
  <si>
    <t>运营指南针</t>
  </si>
  <si>
    <t>王峰十问 区块链</t>
  </si>
  <si>
    <t>火星财经倾力打造的王牌栏目</t>
  </si>
  <si>
    <t>王峰</t>
  </si>
  <si>
    <t>曹先生50多年饱含起落和多元领域成败得失的人生，向我们传达着不一样的“舍得 中国智慧”</t>
  </si>
  <si>
    <t>舍得智慧讲堂</t>
  </si>
  <si>
    <t>虎嗅·商业有味道</t>
  </si>
  <si>
    <t>聚焦创新创业的资讯获取与交流，关注互联网</t>
  </si>
  <si>
    <t>虎嗅网</t>
  </si>
  <si>
    <t>火箭情报局</t>
  </si>
  <si>
    <t>尽知一天互联网大事，尽在火箭情报局</t>
  </si>
  <si>
    <t>AI财经社</t>
  </si>
  <si>
    <t>蓝鲸头条</t>
  </si>
  <si>
    <t>每日财经热点事件深度解读</t>
  </si>
  <si>
    <t>蓝鲸财经</t>
  </si>
  <si>
    <t>梁文道：时间简史</t>
  </si>
  <si>
    <t>秉承时间信仰与文化追求，为你讲述人类文明的源头：历法的由来</t>
  </si>
  <si>
    <t>梁文道</t>
  </si>
  <si>
    <t>科普有道</t>
  </si>
  <si>
    <t>专家解读，生活百科，趣味知识，一网打尽</t>
  </si>
  <si>
    <t>科普中国</t>
  </si>
  <si>
    <t>带你重新认识“心理学”作为一门“科学”</t>
  </si>
  <si>
    <t>冰枫</t>
  </si>
  <si>
    <t>科学·奥秘·探索</t>
  </si>
  <si>
    <t>介绍奇异的奥秘现象，探索未知世界的说说</t>
  </si>
  <si>
    <t>胥大超</t>
  </si>
  <si>
    <t>报告大王-科技真奇妙</t>
  </si>
  <si>
    <t>奇思妙想讲科普，所学，所想，所用都与你分享</t>
  </si>
  <si>
    <t>大王_Maxwang</t>
  </si>
  <si>
    <t>深入浅出谈人工智能</t>
  </si>
  <si>
    <t>从人工智能的历史、概念到各细分领域的最新成果</t>
  </si>
  <si>
    <t>IMachao</t>
  </si>
  <si>
    <t>冬吴同学会|第二季</t>
  </si>
  <si>
    <t>中国深受欢迎、极具影响力的塔尖财经生活内容</t>
  </si>
  <si>
    <t>冬吴同学会</t>
  </si>
  <si>
    <t>中科院SELF讲坛</t>
  </si>
  <si>
    <t>中科院SELF讲坛，一起聆听未知的世界</t>
  </si>
  <si>
    <t>SELF科学讲坛</t>
  </si>
  <si>
    <t>财经大事件</t>
  </si>
  <si>
    <t>界面</t>
  </si>
  <si>
    <t>听谢涛·三国</t>
  </si>
  <si>
    <t>从三国天下三分一直讲到明清，开启下一场历史十年之约</t>
  </si>
  <si>
    <t>谢涛</t>
  </si>
  <si>
    <t>新零售带给零售的新机会</t>
  </si>
  <si>
    <t>寻找制胜法宝，致力赢在终端</t>
  </si>
  <si>
    <t>徐强</t>
  </si>
  <si>
    <t>软件开发那些事</t>
  </si>
  <si>
    <t>结合主播的亲身经验，聊聊软件开发过程中的点点滴滴</t>
  </si>
  <si>
    <t>冉军</t>
  </si>
  <si>
    <t>芯片揭秘</t>
  </si>
  <si>
    <t>以众多经典案例、奇闻趣事剖析集成电路行业发展</t>
  </si>
  <si>
    <t>一席</t>
  </si>
  <si>
    <t>一席鼓励分享见解、体验和对未来的想象</t>
  </si>
  <si>
    <t>曾鸣·智能商业20讲</t>
  </si>
  <si>
    <t>浓缩了互联网过去二十年的经验，也提出了未来商业的新趋势，并深入到了战略、组织、模式、运营、品牌等各个层面</t>
  </si>
  <si>
    <t>曾鸣</t>
  </si>
  <si>
    <t>职场有技巧</t>
  </si>
  <si>
    <t>提高知识能力，丰富职场技能</t>
  </si>
  <si>
    <t>职场辉哥说</t>
  </si>
  <si>
    <t>雷科技</t>
  </si>
  <si>
    <t>雷科技-关注智能生活和前沿科技</t>
  </si>
  <si>
    <t>极客情报站|科技行者·固定点</t>
  </si>
  <si>
    <t>拿到众人还不知晓的竞争情报，快人一步，知晓天下重要科技事</t>
  </si>
  <si>
    <t>科技行者</t>
  </si>
  <si>
    <t>科普好有趣</t>
  </si>
  <si>
    <t>一度蜜科技好有趣，带给您不一样的学习方式，有种才能不一样</t>
  </si>
  <si>
    <t>一度蜜科技报</t>
  </si>
  <si>
    <t>演讲不紧张</t>
  </si>
  <si>
    <t>最过瘾的演讲课！教你 紧张怎么破！演讲紧张和演讲恐惧最佳训练教程</t>
  </si>
  <si>
    <t>拆掉思维里的墙</t>
  </si>
  <si>
    <t>新时代需要新思维</t>
  </si>
  <si>
    <t>叶之痕</t>
  </si>
  <si>
    <t>麦肯锡思维</t>
  </si>
  <si>
    <t>高效的思考方法，助你解决一个又一个难题</t>
  </si>
  <si>
    <t>任京浩</t>
  </si>
  <si>
    <t>鹅厂产品大咖现身讲述产品之道</t>
  </si>
  <si>
    <t>每天聊点《道德经》</t>
  </si>
  <si>
    <t>轻松读懂《道德经》内涵</t>
  </si>
  <si>
    <t>财经马红漫</t>
  </si>
  <si>
    <t>通过通俗易懂的财经解读，让投资更简单，让财富滚滚来</t>
  </si>
  <si>
    <t>原创睡眠轻音乐</t>
  </si>
  <si>
    <t>哄睡神音 改善睡眠 缓解焦虑抑郁</t>
  </si>
  <si>
    <t>studiotones</t>
  </si>
  <si>
    <t>第六届世界互联网大会</t>
  </si>
  <si>
    <t>携手共建网络空间命运共同体</t>
  </si>
  <si>
    <t>浙江之声</t>
  </si>
  <si>
    <t>今日政策头条</t>
  </si>
  <si>
    <t>你身边的政策专家</t>
  </si>
  <si>
    <t>中国政策研究网</t>
  </si>
  <si>
    <t>央企日历</t>
  </si>
  <si>
    <t>讲述央企故事，关注改革与发展历程</t>
  </si>
  <si>
    <t>国资小新</t>
  </si>
  <si>
    <t>字节跳动的远程办公实践</t>
  </si>
  <si>
    <t>特殊时期，业务和组织如何快速应对？</t>
  </si>
  <si>
    <t>张楠、谢欣</t>
  </si>
  <si>
    <t>顶级商学院老师邀您来听讲座</t>
  </si>
  <si>
    <t>数字中欧</t>
  </si>
  <si>
    <t>看十年 · 曾鸣书院公开课</t>
  </si>
  <si>
    <t>湖畔大学教育长的企业战略课</t>
  </si>
  <si>
    <t>科技富能量</t>
  </si>
  <si>
    <t>最新的的科技资讯</t>
  </si>
  <si>
    <t>钛媒体·科技有钛度</t>
  </si>
  <si>
    <t>最新鲜犀利的商业见闻，最国际视野的前沿技术</t>
  </si>
  <si>
    <t>钛媒体</t>
  </si>
  <si>
    <t>Tech星球</t>
  </si>
  <si>
    <t>聚焦互联网前沿科技和新商业</t>
  </si>
  <si>
    <t>锌刻度漫谈</t>
  </si>
  <si>
    <t>挖掘科技财经圈的新鲜事</t>
  </si>
  <si>
    <t>锌刻度</t>
  </si>
  <si>
    <t>2020世界人工智能大会（精华视频）</t>
  </si>
  <si>
    <t>智联世界，共同家园</t>
  </si>
  <si>
    <t>世界人工智能大会</t>
  </si>
  <si>
    <t>快科技|每日最新IT资讯</t>
  </si>
  <si>
    <t>最快最新的IT行业资讯</t>
  </si>
  <si>
    <t>快科技</t>
  </si>
  <si>
    <t>详细解读投资新机遇</t>
  </si>
  <si>
    <t>德勤学院</t>
  </si>
  <si>
    <t>晚风说</t>
  </si>
  <si>
    <t>收集一个故事，学习一种新知</t>
  </si>
  <si>
    <t>禅与宇宙维修艺术</t>
  </si>
  <si>
    <t>混沌FM</t>
  </si>
  <si>
    <t>带你拆解热公司、新事件、急问题</t>
  </si>
  <si>
    <t>坐着打通经济生活任督二脉</t>
  </si>
  <si>
    <t>老俞闹钟</t>
  </si>
  <si>
    <t>财新Morning Call</t>
  </si>
  <si>
    <t>唤醒你的财经早餐</t>
  </si>
  <si>
    <t>张鸿</t>
  </si>
  <si>
    <t>马云内部讲话</t>
  </si>
  <si>
    <t>马云首度公开他的互联网思想和战略，阐述了自己在阿里巴巴集团崛起关键阶段的想法和干法</t>
  </si>
  <si>
    <t>王叔叔讲故事</t>
  </si>
  <si>
    <t>领导力发展新趋势</t>
  </si>
  <si>
    <t>解读领导力发展的未来</t>
  </si>
  <si>
    <t>CCL美国创新领导力中心</t>
  </si>
  <si>
    <t>团队管理</t>
  </si>
  <si>
    <t>OKR远程办公的业务突破与目标管理</t>
  </si>
  <si>
    <t>OKR源头英特尔背景大咖亲授</t>
  </si>
  <si>
    <t>好产品都是运营出来的</t>
  </si>
  <si>
    <t>运营价值观</t>
  </si>
  <si>
    <t>高臻臻的脑细胞</t>
  </si>
  <si>
    <t>攻占脑细胞比攻占卵细胞更需要努力，高臻臻和你一起用怪思维，牛创意做脑操</t>
  </si>
  <si>
    <t>高臻臻</t>
  </si>
  <si>
    <t>销售行为学</t>
  </si>
  <si>
    <t>百家智慧，实用之言</t>
  </si>
  <si>
    <t>关于营销的一切|有用即真理</t>
  </si>
  <si>
    <t>有用即真理</t>
  </si>
  <si>
    <t>营销红宝书</t>
  </si>
  <si>
    <t>互联网思维、文案写作、新媒体等多方面提升</t>
  </si>
  <si>
    <t>许锋聊人才供应链</t>
  </si>
  <si>
    <t>HR领域第一垂直FM | 打造人才供应链，实现企业可持续发展。</t>
  </si>
  <si>
    <t>华生讲《谷歌是如何运营的》</t>
  </si>
  <si>
    <t>华生通过通俗易懂、风趣幽默的方式传授经验和管理秘诀</t>
  </si>
  <si>
    <t>HeaPot</t>
  </si>
  <si>
    <t>半小时搞懂财务报表分析</t>
  </si>
  <si>
    <t>报表分析，会计中的战斗机</t>
  </si>
  <si>
    <t>徐晶</t>
  </si>
  <si>
    <t>财务防身术</t>
  </si>
  <si>
    <t>你不必精通财务，但应该懂得财务</t>
  </si>
  <si>
    <t>连锁100问</t>
  </si>
  <si>
    <t>为您解答连锁经营过程中的各种困惑和疑问</t>
  </si>
  <si>
    <t>连锁活字典</t>
  </si>
  <si>
    <t>销售沟通说话技巧</t>
  </si>
  <si>
    <t>上千场销售总结而得的销售心法</t>
  </si>
  <si>
    <t>郑庚卓</t>
  </si>
  <si>
    <t>创业创新</t>
  </si>
  <si>
    <t>管理会计那些事儿</t>
  </si>
  <si>
    <t>CGMA会员分享财务实操中的干货</t>
  </si>
  <si>
    <t>财实学苑</t>
  </si>
  <si>
    <t>人力资源管理新视角</t>
  </si>
  <si>
    <t>巨变时代人力资源管理的新逻辑</t>
  </si>
  <si>
    <t>唐秋勇</t>
  </si>
  <si>
    <t>产品高手的50堂商业实战课</t>
  </si>
  <si>
    <t>实战高手分享现象级产品背后的深度思考</t>
  </si>
  <si>
    <t>腾大直播间</t>
  </si>
  <si>
    <t>腾讯大学《临厂发挥》</t>
  </si>
  <si>
    <t>有趣、有料的互联网实战分享</t>
  </si>
  <si>
    <t>国际人力资源技术大会演讲分享系列</t>
  </si>
  <si>
    <t>大咖云集，探讨人力资源领域的新技术、新趋势</t>
  </si>
  <si>
    <t>大卫.尤里奇</t>
  </si>
  <si>
    <t>解析销售的价值</t>
  </si>
  <si>
    <t>优训咨询</t>
  </si>
  <si>
    <t>大客户谋攻之道</t>
  </si>
  <si>
    <t>直面大客户销售问题</t>
  </si>
  <si>
    <t>超级税客 ：听蔚青说税</t>
  </si>
  <si>
    <t>科学算税，给自己多发一份年终奖</t>
  </si>
  <si>
    <t>汪蔚青</t>
  </si>
  <si>
    <t>线上学习如何设计？</t>
  </si>
  <si>
    <t>疫情下，线上学习如何设计？</t>
  </si>
  <si>
    <t>荆瑞</t>
  </si>
  <si>
    <t>新冠防控期内的劳务关系合规解析</t>
  </si>
  <si>
    <t>疫情期内的劳务关系，怎么做才合规？</t>
  </si>
  <si>
    <t>Kelvin Sun</t>
  </si>
  <si>
    <t>易观分析：疫情下的行业观察系列直播课</t>
  </si>
  <si>
    <t>为行业输出有价值的行业观察</t>
  </si>
  <si>
    <t>易观</t>
  </si>
  <si>
    <t>PMCAFF产品干货精选</t>
  </si>
  <si>
    <t>互联网产品干货交流分享</t>
  </si>
  <si>
    <t>PMCAFF</t>
  </si>
  <si>
    <t>德勤：探索中国企业人力资源转型之路</t>
  </si>
  <si>
    <t>新时代背景下，人力资源管理也需要转型与创新</t>
  </si>
  <si>
    <t>党纪法规</t>
  </si>
  <si>
    <t>罗友霸王课</t>
  </si>
  <si>
    <t>全国最大最活跃的学习型社群的干货精华</t>
  </si>
  <si>
    <t>党史</t>
  </si>
  <si>
    <t>公仆之路</t>
  </si>
  <si>
    <t>不忘初心，牢记使命，不忘初心，方得始终</t>
  </si>
  <si>
    <t>喜马拉雅红色频道</t>
  </si>
  <si>
    <t>最简单、直白、有趣的声音点燃生冷的金融名词，让你直击金融的灵魂！</t>
  </si>
  <si>
    <t>360财富</t>
  </si>
  <si>
    <t>全球最有成就和个性的华商名人故事，倾听他们打破平庸，成就卓越的非凡人生与成败韬略。</t>
  </si>
  <si>
    <t>经济观察报</t>
  </si>
  <si>
    <t>资深管理人，管用才资深</t>
  </si>
  <si>
    <t>人人都需要的法学思维课</t>
  </si>
  <si>
    <t>_龙志鑫</t>
  </si>
  <si>
    <t>马未都脱口秀</t>
  </si>
  <si>
    <t>以世界畅销历史小说《世纪三部曲》为原著蓝本，让你像追美剧一样追历史</t>
  </si>
  <si>
    <t>非星凡文化</t>
  </si>
  <si>
    <t>PMP考试的强化记忆音频，帮助记忆项目管理的知识点</t>
  </si>
  <si>
    <t>邱平华</t>
  </si>
  <si>
    <t>听85后试飞工程师马菲，讲国产大飞机C919首飞</t>
  </si>
  <si>
    <t>上海青联</t>
  </si>
  <si>
    <t>学地道英语口语，聊美国文化热点！</t>
  </si>
  <si>
    <t>开言英语OpenLanguage</t>
  </si>
  <si>
    <t>初声日语·零基础学日语</t>
  </si>
  <si>
    <t>带你跨越初级日语障碍，从零到说一步到位</t>
  </si>
  <si>
    <t>初声日语_桐人papa</t>
  </si>
  <si>
    <t>韩语口语天天练</t>
  </si>
  <si>
    <t>地道好口音, 零基础都能开口说</t>
  </si>
  <si>
    <t>韩语老师哈哈</t>
  </si>
  <si>
    <t>邀请了具有“改革、开放、创新”精神的八位影响力人物，领略他们的远见卓识与处事智慧</t>
  </si>
  <si>
    <t>尽情享受旅途中的酸甜苦辣</t>
  </si>
  <si>
    <t>都市夜归人</t>
  </si>
  <si>
    <t>险销售新思路、团队管理新体会，以及职业发展新思维</t>
  </si>
  <si>
    <t>吉力</t>
  </si>
  <si>
    <t>读书，思考，聚焦如何提升人才经营成效</t>
  </si>
  <si>
    <t>HR转型突破中心</t>
  </si>
  <si>
    <t>尤里奇中国读书会·第二季</t>
  </si>
  <si>
    <t>尤里奇中国读书会·第三季</t>
  </si>
  <si>
    <t>解读经典，分享实践，激荡思维</t>
  </si>
  <si>
    <t>尤里奇中国读书会·第四季</t>
  </si>
  <si>
    <t>披着旅游的外衣，与您分享历史、人文、地理等等五花八门有趣好玩内容的百科节目</t>
  </si>
  <si>
    <t>环球地理</t>
  </si>
  <si>
    <t>中华民国时期发生的历史事件和出现的历史人物介绍</t>
  </si>
  <si>
    <t>宸冰读书</t>
  </si>
  <si>
    <t>为您推送最新鲜的英文短新闻讲解</t>
  </si>
  <si>
    <t>夏鹏</t>
  </si>
  <si>
    <t>和Emily一起练口语</t>
  </si>
  <si>
    <t>每天练习一个简单的句子</t>
  </si>
  <si>
    <t>Emily</t>
  </si>
  <si>
    <t>如何让自己成为卓越的团队领导者？</t>
  </si>
  <si>
    <t>林本冬</t>
  </si>
  <si>
    <t>著名企业家管理日志系列</t>
  </si>
  <si>
    <t>东风雨过</t>
  </si>
  <si>
    <t>广告人的必读圣经</t>
  </si>
  <si>
    <t>飘剑丶</t>
  </si>
  <si>
    <t>十九大</t>
  </si>
  <si>
    <t>落实八项规定 整治“四风”</t>
  </si>
  <si>
    <t>改进工作作风，密切联系群众</t>
  </si>
  <si>
    <t>新发展</t>
  </si>
  <si>
    <t>钟扬小传</t>
  </si>
  <si>
    <t>时代楷模钟扬：一粒种子的初心与梦想</t>
  </si>
  <si>
    <t>新思想</t>
  </si>
  <si>
    <t>习近平谈治国理政(二)</t>
  </si>
  <si>
    <t>内容来自《习近平谈治国理政》第二卷</t>
  </si>
  <si>
    <t>西安发布</t>
  </si>
  <si>
    <t>创业，你必须知道的那些事</t>
  </si>
  <si>
    <t>来自数千家创业企业的分析，整理了创业企业常见的五个坑</t>
  </si>
  <si>
    <t>肖灿妮</t>
  </si>
  <si>
    <t>腾讯生态圈独角兽CEO的从0到1故事</t>
  </si>
  <si>
    <t>山神</t>
  </si>
  <si>
    <t>“当代愚公”山村老书记黄大发的感人故事</t>
  </si>
  <si>
    <t>平易近人-习近平的语言力量</t>
  </si>
  <si>
    <t>从语言文化的角度解读习近平总书记系列重要讲话精神</t>
  </si>
  <si>
    <t>习近平的七年知青岁月</t>
  </si>
  <si>
    <t>讲述青年习近平不懈追求的成长之路</t>
  </si>
  <si>
    <t>青春北京</t>
  </si>
  <si>
    <t>习总书记论改革开放</t>
  </si>
  <si>
    <t>改革只有进行时，没有完成时</t>
  </si>
  <si>
    <t>人民网</t>
  </si>
  <si>
    <t>南京大学：理解马克思</t>
  </si>
  <si>
    <t>在当代视野中理解马克思的思想历程</t>
  </si>
  <si>
    <t>Coursera公开课</t>
  </si>
  <si>
    <t>推动女性领导力发展</t>
  </si>
  <si>
    <t>APEC青年国际创新社区</t>
  </si>
  <si>
    <t>一生必知：梵高、毕加索、莫奈、达利</t>
  </si>
  <si>
    <t>张法中</t>
  </si>
  <si>
    <t>环球人物</t>
  </si>
  <si>
    <t>一眼洞穿商业奇才，一网打尽财富秘诀</t>
  </si>
  <si>
    <t>中国共产党纪律处分条例</t>
  </si>
  <si>
    <t>为全面从严治党提供坚强纪律保证</t>
  </si>
  <si>
    <t>党建网</t>
  </si>
  <si>
    <t>一起学习新党章</t>
  </si>
  <si>
    <t>听原文，学新党章</t>
  </si>
  <si>
    <t>党史故事100讲</t>
  </si>
  <si>
    <t>记录中国共产党的发展历程</t>
  </si>
  <si>
    <t>百家讲坛</t>
  </si>
  <si>
    <t>习近平在正定</t>
  </si>
  <si>
    <t>一起追寻习近平总书记的从政初心</t>
  </si>
  <si>
    <t>见证人|改革开放四十年故事</t>
  </si>
  <si>
    <t>中国文化艺术大家对改革开放40年文艺发展的诗意表达</t>
  </si>
  <si>
    <t>习近平新时代中国特色社会主义思想学习纲要</t>
  </si>
  <si>
    <t>武装头脑、指导实践、推动工作</t>
  </si>
  <si>
    <t>学习出版社</t>
  </si>
  <si>
    <t>从零到懂，30天听懂新思想</t>
  </si>
  <si>
    <t>内容来自《习近平新时代中国特色社会主义思想三十讲》</t>
  </si>
  <si>
    <t>求是网</t>
  </si>
  <si>
    <t>社会主义“有点潮”</t>
  </si>
  <si>
    <t>认识社会主义波澜壮阔的发展历程</t>
  </si>
  <si>
    <t>十九大精神100问</t>
  </si>
  <si>
    <t>100个问题让你学懂弄通十九大精神</t>
  </si>
  <si>
    <t>十九大报告</t>
  </si>
  <si>
    <t>学习！习总书记十九大报告原声</t>
  </si>
  <si>
    <t>新常委解读十九大精神</t>
  </si>
  <si>
    <t>跟党的新一届领导集体学习十九大精神</t>
  </si>
  <si>
    <t>中央宣讲团解读十九大精神</t>
  </si>
  <si>
    <t>来自中央宣讲团的权威声音</t>
  </si>
  <si>
    <t>智库专家解读十九大</t>
  </si>
  <si>
    <t>中国社科院专家为你解读十九大精神</t>
  </si>
  <si>
    <t>十九大为什么要修改党章</t>
  </si>
  <si>
    <t>中央党校教授为你解读十九大党章</t>
  </si>
  <si>
    <t>新中国史</t>
  </si>
  <si>
    <t>新时代经济如何高质量发展？</t>
  </si>
  <si>
    <t>如何解决经济发展的不平衡不充分</t>
  </si>
  <si>
    <t>国企改革，不能抱残守缺</t>
  </si>
  <si>
    <t>坚持把国有企业做强做优做大</t>
  </si>
  <si>
    <t>给民营经济吃下“定心丸”</t>
  </si>
  <si>
    <t>推动民营经济走向更加广阔舞台</t>
  </si>
  <si>
    <t>全面深化改革改什么，怎么改？</t>
  </si>
  <si>
    <t>新时代全面深化改革如何推进？</t>
  </si>
  <si>
    <t>乡村振兴：啥时轮到咱家乡？</t>
  </si>
  <si>
    <t>如何让绿水青山真正成为金山银山</t>
  </si>
  <si>
    <t>“不忘初心、牢记使命”主题教育音频课</t>
  </si>
  <si>
    <t>中央纪委国家监委网站</t>
  </si>
  <si>
    <t>习总书记对你说</t>
  </si>
  <si>
    <t>聆听通俗易懂的治国之道</t>
  </si>
  <si>
    <t>新华网</t>
  </si>
  <si>
    <t>学习有声</t>
  </si>
  <si>
    <t>十九大以来，习总书记重要讲话原声</t>
  </si>
  <si>
    <t>中央宣讲团解读全面从严治党</t>
  </si>
  <si>
    <t>来自中央宣讲团的权威解读</t>
  </si>
  <si>
    <t>习总书记对党员干部的新要求</t>
  </si>
  <si>
    <t>做新时代忠诚、干净、担当的好干部 </t>
  </si>
  <si>
    <t>致我深爱的中国——烈士遗书的故事</t>
  </si>
  <si>
    <t>聆听先烈们用鲜血和生命写成的坚定理想信念的宣言书</t>
  </si>
  <si>
    <t>中国方正出版社</t>
  </si>
  <si>
    <t>张富清：一位老英雄的初心本色</t>
  </si>
  <si>
    <t>战争年代九死一生，和平年代深藏功名</t>
  </si>
  <si>
    <t>时髦地道的英文表达</t>
  </si>
  <si>
    <t>璐璐</t>
  </si>
  <si>
    <t>教你一口流利英语</t>
  </si>
  <si>
    <t>Ko姐</t>
  </si>
  <si>
    <t>70周年：你不知道的城市传奇</t>
  </si>
  <si>
    <t>重温城市解放传奇</t>
  </si>
  <si>
    <t>喜马政在听</t>
  </si>
  <si>
    <t>基因科普娓娓道来</t>
  </si>
  <si>
    <t>尹烨</t>
  </si>
  <si>
    <t>为新一代年轻人带来学科与思想的启蒙</t>
  </si>
  <si>
    <t>国防大学教授金一南、故宫学院院长单霁翔等</t>
  </si>
  <si>
    <t>中共十九届四中全会决定辅导读本</t>
  </si>
  <si>
    <t>中央广播电视总台播音员播送《辅导读本》</t>
  </si>
  <si>
    <t>人民出版社</t>
  </si>
  <si>
    <t>《可爱的中国》广播剧</t>
  </si>
  <si>
    <t>方志敏烈士的故事</t>
  </si>
  <si>
    <t>中国稳健前行</t>
  </si>
  <si>
    <t>中央网信办与求是杂志社出品系列理论文章</t>
  </si>
  <si>
    <t>十九届四中全会说了啥？</t>
  </si>
  <si>
    <t>解读第四次全体会议公报亮点</t>
  </si>
  <si>
    <t>习近平关于“不忘初心、牢记使命”论述摘编</t>
  </si>
  <si>
    <t>“不忘初心、牢记使命”主题教育</t>
  </si>
  <si>
    <t>《求是》是可以听的！</t>
  </si>
  <si>
    <t>感受思想的力量，把握理论的脉络</t>
  </si>
  <si>
    <t>《中国制度图谱40问》</t>
  </si>
  <si>
    <t>双语读诗，世界经典32首</t>
  </si>
  <si>
    <t>超级制作</t>
  </si>
  <si>
    <t>了解最新情况，请持续关注本专辑</t>
  </si>
  <si>
    <t>喜马拉雅资讯日历</t>
  </si>
  <si>
    <t>疫情危机里，我们一起科学战疫</t>
  </si>
  <si>
    <t>喜马战疫报道</t>
  </si>
  <si>
    <t>疫情防护科学指南（喜马主播版）</t>
  </si>
  <si>
    <t>新型冠状病毒感染防护特别节目</t>
  </si>
  <si>
    <t>广东科技出版社</t>
  </si>
  <si>
    <t>用于疫情期自我心理干预</t>
  </si>
  <si>
    <t>为你打开一扇窗，冷静说出日本</t>
  </si>
  <si>
    <t>徐静波</t>
  </si>
  <si>
    <t>最接地气的家庭教育课堂</t>
  </si>
  <si>
    <t>向最美逆行者学习，打赢市场之役</t>
  </si>
  <si>
    <t>36氪商学院</t>
  </si>
  <si>
    <t>开启你无限的好奇心</t>
  </si>
  <si>
    <t>TED官网</t>
  </si>
  <si>
    <t>德勤专家团队，教你如何应对</t>
  </si>
  <si>
    <t>渠道大不同 管理还需本土化</t>
  </si>
  <si>
    <t>KPMG 威课堂</t>
  </si>
  <si>
    <t>毕马威商学院</t>
  </si>
  <si>
    <t>面对疫情，变中求胜</t>
  </si>
  <si>
    <t>借势而上、提前布局、开拓思路</t>
  </si>
  <si>
    <t>中外企业人力资源协会</t>
  </si>
  <si>
    <t>面对疫情中小企业六大应对策略</t>
  </si>
  <si>
    <t>资深商业实战管理专家倪云华亲述</t>
  </si>
  <si>
    <t>From survive to thrive</t>
  </si>
  <si>
    <t>听总书记的话</t>
  </si>
  <si>
    <t>权威解读习近平总书记重要讲话精神</t>
  </si>
  <si>
    <t>国史讲堂系列理论</t>
  </si>
  <si>
    <t>在历史中探寻有趣真相</t>
  </si>
  <si>
    <t>大力丸儿</t>
  </si>
  <si>
    <t>名中医365天，天天陪在您身边</t>
  </si>
  <si>
    <t>39健康网</t>
  </si>
  <si>
    <t>党内规章制度</t>
  </si>
  <si>
    <t>反腐倡廉从我做起</t>
  </si>
  <si>
    <t>听·两会</t>
  </si>
  <si>
    <t>来自新华广播的两会最新资讯</t>
  </si>
  <si>
    <t>新华广播</t>
  </si>
  <si>
    <t>2020人民网带你听懂两会</t>
  </si>
  <si>
    <t>来自官方媒体的最新报道</t>
  </si>
  <si>
    <t>众志成城战疫情</t>
  </si>
  <si>
    <t>坚决打赢疫情防控阻击战</t>
  </si>
  <si>
    <t>讲述时代代表性人物</t>
  </si>
  <si>
    <t>中国精神</t>
  </si>
  <si>
    <t>《百家讲坛》栏目特别节目</t>
  </si>
  <si>
    <t>中国共产党支部工作条例（试行）</t>
  </si>
  <si>
    <t>把党支部建设成为坚强战斗堡垒</t>
  </si>
  <si>
    <t>中国共产党发展党员工作细则</t>
  </si>
  <si>
    <t>党建条例普及</t>
  </si>
  <si>
    <t>中国共产党党内监督条例</t>
  </si>
  <si>
    <t>中国共产党廉洁自律准则</t>
  </si>
  <si>
    <t>中国共产党巡视工作条例</t>
  </si>
  <si>
    <t>中国共产党问责条例</t>
  </si>
  <si>
    <t>地方新中国史
-上海</t>
  </si>
  <si>
    <t>习总书记论“全面从严治党”</t>
  </si>
  <si>
    <t>摘自习近平同志2012.11.15-2016.10.27期间的讲话、文章等八十多篇重要文献</t>
  </si>
  <si>
    <t>改革开放史</t>
  </si>
  <si>
    <t>中国共产党党务公开条例（试行）</t>
  </si>
  <si>
    <t>中国共产党政法工作条例</t>
  </si>
  <si>
    <t>社会主义发展史</t>
  </si>
  <si>
    <t>中国共产党党员教育管理工作条例</t>
  </si>
  <si>
    <t>主题教育专项整治系列评论</t>
  </si>
  <si>
    <t>正视问题的自觉和刀刃向内的勇气</t>
  </si>
  <si>
    <t>中国共产党农村工作条例</t>
  </si>
  <si>
    <t>中共中央关于加强党的政治建设的意见</t>
  </si>
  <si>
    <t>六个关于加强党的政治建设的意见</t>
  </si>
  <si>
    <t>十九大新党章</t>
  </si>
  <si>
    <t>南京1937</t>
  </si>
  <si>
    <t>真实的1937</t>
  </si>
  <si>
    <t>专家带你走近马克思主义</t>
  </si>
  <si>
    <t>应该如何正确学习马克思主义</t>
  </si>
  <si>
    <t>马克思是对的</t>
  </si>
  <si>
    <t>带你感受马克思的真理力量</t>
  </si>
  <si>
    <t>真理的味道：党员学习笔记</t>
  </si>
  <si>
    <t>一起感受思想的光辉</t>
  </si>
  <si>
    <t>新时代学习大会</t>
  </si>
  <si>
    <t>《社会主义有点潮》第二季</t>
  </si>
  <si>
    <t>习总书记眼里的“马克思主义”</t>
  </si>
  <si>
    <t>习总书记带你了解“马克思主义”</t>
  </si>
  <si>
    <t>宣传贯彻党的十九大精神</t>
  </si>
  <si>
    <t>全国重点理论网站联合推出</t>
  </si>
  <si>
    <t>走近“一带一路”</t>
  </si>
  <si>
    <t>带你探究“一带一路”是什么</t>
  </si>
  <si>
    <t>满足人民对美好生活的向往</t>
  </si>
  <si>
    <t>实现目标的发力点</t>
  </si>
  <si>
    <t>新时代党的建设新要求</t>
  </si>
  <si>
    <t>各级党组织应该如何推进党建工作？</t>
  </si>
  <si>
    <t>习近平论中国优势</t>
  </si>
  <si>
    <t>中国的最大优势是中国共产党领导</t>
  </si>
  <si>
    <t>习近平改革方法论</t>
  </si>
  <si>
    <t>“一把手”必须有担当</t>
  </si>
  <si>
    <t>以新发展理念为引领，推进中国经济平稳健康可持续发展</t>
  </si>
  <si>
    <t>十九大新闻中心第四场记者招待会纪要</t>
  </si>
  <si>
    <t>满足人民新期待，保障改善民生</t>
  </si>
  <si>
    <t>十九大新闻中心第五场记者招待会</t>
  </si>
  <si>
    <t>学懂弄通十九大新思想</t>
  </si>
  <si>
    <t>十九大提出了哪些新理论、新思想？</t>
  </si>
  <si>
    <t>习近平新年贺词</t>
  </si>
  <si>
    <t>习近平新年贺词集锦</t>
  </si>
  <si>
    <t>习总书记教你如何走基层</t>
  </si>
  <si>
    <t>怎样走基层才能聚拢民心、深入人心？</t>
  </si>
  <si>
    <t>学习原声 | 这些讲话很重要</t>
  </si>
  <si>
    <t>新华社和您一起现场聆听总书记讲话</t>
  </si>
  <si>
    <t>新华社</t>
  </si>
  <si>
    <t>协同发展京津冀，做好大文章</t>
  </si>
  <si>
    <t>京津冀协同发展是一个系统工程</t>
  </si>
  <si>
    <t>媒体融合，如何顺势而为？</t>
  </si>
  <si>
    <t>加快推动媒体融合发展</t>
  </si>
  <si>
    <t>习近平这样部署“全面依法治国”</t>
  </si>
  <si>
    <t>全面依法治国</t>
  </si>
  <si>
    <t>习总书记谈“祖国和平统一”</t>
  </si>
  <si>
    <t>习总书记和你谈“祖国和平统一”</t>
  </si>
  <si>
    <t>习近平带你听懂“美丽中国”</t>
  </si>
  <si>
    <t>绿水青山就是金山银山</t>
  </si>
  <si>
    <t>习近平关于全面从严治党论述摘编</t>
  </si>
  <si>
    <t>习近平同志2012.11.15-2016.10.27期间的讲话</t>
  </si>
  <si>
    <t>中国空军故事</t>
  </si>
  <si>
    <t>一条曲折艰难而又荣耀辉煌的道路</t>
  </si>
  <si>
    <t>中共中央在香山</t>
  </si>
  <si>
    <t>新中国成立70周年的献礼之作</t>
  </si>
  <si>
    <t>北京人民广播频道</t>
  </si>
  <si>
    <t>抗“疫”朋友圈</t>
  </si>
  <si>
    <t>“特殊时期”的点滴故事</t>
  </si>
  <si>
    <t>独领风骚--诗人毛泽东</t>
  </si>
  <si>
    <t>任志宏时间</t>
  </si>
  <si>
    <t>揭开“两弹一星”背后的故事</t>
  </si>
  <si>
    <t>科学家的奋斗史诗</t>
  </si>
  <si>
    <t>百家讲坛 建军大业</t>
  </si>
  <si>
    <t>人民军队的诞生和发展</t>
  </si>
  <si>
    <t>关于加强干部选拔任用工作监督的意见</t>
  </si>
  <si>
    <t>关于新形势下党内政治生活的若干准则</t>
  </si>
  <si>
    <t>关于进一步规范党政领导干部在企业兼职（任职）问题的意见</t>
  </si>
  <si>
    <t>关于在干部教育培训中进一步加强学员管理的规定</t>
  </si>
  <si>
    <t>党政领导干部选拔任用工作条例</t>
  </si>
  <si>
    <t>加强党建工作和全面从严治党</t>
  </si>
  <si>
    <t>专题采访解读</t>
  </si>
  <si>
    <t>开好民主生活会 向政治局看齐</t>
  </si>
  <si>
    <t>树立标杆 作出示范</t>
  </si>
  <si>
    <t>反腐斗争永不停歇</t>
  </si>
  <si>
    <t>《干部人事档案工作条例》</t>
  </si>
  <si>
    <t>党政领导干部考核工作条例</t>
  </si>
  <si>
    <t>加强和改进城市基层党的建设</t>
  </si>
  <si>
    <t>城市基层党建工作新格局</t>
  </si>
  <si>
    <t>理论强党</t>
  </si>
  <si>
    <t>新思想指导新实践</t>
  </si>
  <si>
    <t>加强党的政治建设系列评论</t>
  </si>
  <si>
    <t>营造风清气正的政治生态</t>
  </si>
  <si>
    <t>改变中国命运的遵义会议</t>
  </si>
  <si>
    <t>抗战记忆：70年70人</t>
  </si>
  <si>
    <t>中国抗战气势恢宏的历史画卷</t>
  </si>
  <si>
    <t>《老兵来信》</t>
  </si>
  <si>
    <t>讲述咱老兵自己的故事</t>
  </si>
  <si>
    <t>感受周总理的为民初心</t>
  </si>
  <si>
    <t>《井冈山的答卷》</t>
  </si>
  <si>
    <t>真实记录井冈山脱贫故事</t>
  </si>
  <si>
    <t>江西人民出版社书声朗</t>
  </si>
  <si>
    <t>邓小平的故事</t>
  </si>
  <si>
    <t>改革开放40年：那些年，那些人，那些事</t>
  </si>
  <si>
    <t>乐听坊</t>
  </si>
  <si>
    <t>改变世界的马克思</t>
  </si>
  <si>
    <t>跟习总书记探访长江经济带</t>
  </si>
  <si>
    <t>各国大使眼中的“一带一路”</t>
  </si>
  <si>
    <t>国研智库之声</t>
  </si>
  <si>
    <t>践行绿色发展理念,建设美丽中国</t>
  </si>
  <si>
    <t>机构改革将带来哪些变化？</t>
  </si>
  <si>
    <t>官方权威解读</t>
  </si>
  <si>
    <t>精准发力打赢脱贫攻坚战</t>
  </si>
  <si>
    <t>脱贫攻坚战权威解答</t>
  </si>
  <si>
    <t>关于强军，习近平这样强调！</t>
  </si>
  <si>
    <t>跟着习总书记感受“文化自信”</t>
  </si>
  <si>
    <t>国家公祭日，你知道吗</t>
  </si>
  <si>
    <t>秒懂70年</t>
  </si>
  <si>
    <t>致敬经典时刻</t>
  </si>
  <si>
    <t>百度百科_秒懂百科</t>
  </si>
  <si>
    <t>奋斗中国人</t>
  </si>
  <si>
    <t>听，战疫一线声音</t>
  </si>
  <si>
    <t>听一线公务人员讲述自己的战疫故事</t>
  </si>
  <si>
    <t>党员志愿者小故事</t>
  </si>
  <si>
    <t>各地优秀共产党员志愿者的故事</t>
  </si>
  <si>
    <t>Hi 中国人</t>
  </si>
  <si>
    <t>记录中国人现实生活的纪实节目</t>
  </si>
  <si>
    <t>中国网</t>
  </si>
  <si>
    <t>习总书记“点赞”过的先进典型</t>
  </si>
  <si>
    <t>跟着习总书记学习先进典型</t>
  </si>
  <si>
    <t>不忘历史丨话说红军长征</t>
  </si>
  <si>
    <t>纪念红军长征胜利八十周年</t>
  </si>
  <si>
    <t>大音倾听</t>
  </si>
  <si>
    <t>初心家书</t>
  </si>
  <si>
    <t>在历史中回望初心，从文字间体味真情</t>
  </si>
  <si>
    <t>学习小组</t>
  </si>
  <si>
    <t>党史故事100讲（下）</t>
  </si>
  <si>
    <t>纪念中国人民抗日战争暨世界反法西斯战争胜利70周年</t>
  </si>
  <si>
    <t>推进领导干部能上能下若干规定（试行）</t>
  </si>
  <si>
    <t>党代会都干啥？</t>
  </si>
  <si>
    <t>十九大来啦！</t>
  </si>
  <si>
    <t>党的统一战线工作和党的对外交往</t>
  </si>
  <si>
    <t>十九大记者招待会</t>
  </si>
  <si>
    <t>全国组织部长会议新看点</t>
  </si>
  <si>
    <t>2017年全国组织部长会议回顾和总结</t>
  </si>
  <si>
    <t>党建锐评：“不忘初心、牢记使命”系列评论</t>
  </si>
  <si>
    <t>播发不忘初心，牢记使命系列评论文章</t>
  </si>
  <si>
    <t>什么是“红船精神”？</t>
  </si>
  <si>
    <t>长征的起点/守望初心</t>
  </si>
  <si>
    <t>《守望初心》</t>
  </si>
  <si>
    <t>主播孙畅</t>
  </si>
  <si>
    <t>不忘初心、牢记使命</t>
  </si>
  <si>
    <t>守初心、担使命、找差距、抓落实</t>
  </si>
  <si>
    <t>初心——红色家书系列音频</t>
  </si>
  <si>
    <t>红色家书系列</t>
  </si>
  <si>
    <t>江苏先锋</t>
  </si>
  <si>
    <t>万马军中一哑兵</t>
  </si>
  <si>
    <t>世界军史上唯一的“哑兵”从军故事</t>
  </si>
  <si>
    <t>听着学《共产党宣言》</t>
  </si>
  <si>
    <t>共产党宣言音频版</t>
  </si>
  <si>
    <t>党建音频</t>
  </si>
  <si>
    <t>56个民族儿女寄语十九大</t>
  </si>
  <si>
    <t>人民日报十九大精神重要评论</t>
  </si>
  <si>
    <t>如何学懂、弄通、做实党的十九大精神？</t>
  </si>
  <si>
    <t>党建学习</t>
  </si>
  <si>
    <t>学党的规章制度，学党的经典文献</t>
  </si>
  <si>
    <t>暖暖家风看我家</t>
  </si>
  <si>
    <t>听党员诉说家风的故事</t>
  </si>
  <si>
    <t>人民网夜读</t>
  </si>
  <si>
    <t>《夜读》是一盏灯，一直为你点亮</t>
  </si>
  <si>
    <t>如何理解中国特色的大国外交</t>
  </si>
  <si>
    <t>听十九大最为重要的理论创新</t>
  </si>
  <si>
    <t>培养文化自信，讲好中国故事</t>
  </si>
  <si>
    <t>文化自信，民族自信</t>
  </si>
  <si>
    <t>平“语”近人</t>
  </si>
  <si>
    <t>深化粤港澳合作 推进大湾区建设</t>
  </si>
  <si>
    <t>粤港澳大湾区建设资讯</t>
  </si>
  <si>
    <t>党建锐评：中美贸易摩擦系列评论</t>
  </si>
  <si>
    <t>解读中央大政方针政策，凝聚共识促党建</t>
  </si>
  <si>
    <t>不忘初心，习近平这些话震撼人心！</t>
  </si>
  <si>
    <t>忠实记录</t>
  </si>
  <si>
    <t>人类命运共同体，习总书记这样说</t>
  </si>
  <si>
    <t>听习总书记讲人类命运共同体</t>
  </si>
  <si>
    <t>思想中国</t>
  </si>
  <si>
    <t>紧跟时代脚步，立足中国实践</t>
  </si>
  <si>
    <t>全面推进中国特色大国外交</t>
  </si>
  <si>
    <t>中国特色大国外交的政策解读</t>
  </si>
  <si>
    <t>谁在为中国筑牢“防护盾”？</t>
  </si>
  <si>
    <t>钱七虎的英雄事迹</t>
  </si>
  <si>
    <t>传承——我亲历的中央纪委故事</t>
  </si>
  <si>
    <t>老兵亲述难忘岁月</t>
  </si>
  <si>
    <t>70年，我们走在大路上</t>
  </si>
  <si>
    <t>我们走在大路上</t>
  </si>
  <si>
    <t>70年，城市解放故事</t>
  </si>
  <si>
    <t>70年，追梦中国人</t>
  </si>
  <si>
    <t>追梦中国人</t>
  </si>
  <si>
    <t>70年，中国辉煌成就</t>
  </si>
  <si>
    <t>中国辉煌成就</t>
  </si>
  <si>
    <t>听懂中国制度优势</t>
  </si>
  <si>
    <t>中国特色社会主义制度优势究竟“优”在哪里？</t>
  </si>
  <si>
    <t>中国访谈</t>
  </si>
  <si>
    <t>国网全力打造的品牌栏目</t>
  </si>
  <si>
    <t>中国共产党党组工作条例</t>
  </si>
  <si>
    <t>中国共产党地方委员会工作条例</t>
  </si>
  <si>
    <t>中国共产党党内法规制定条例</t>
  </si>
  <si>
    <t>中国共产党农村基层组织工作条例</t>
  </si>
  <si>
    <t>中国共产党统一战线工作条例（试行）</t>
  </si>
  <si>
    <t>中国共产党重大事项请示报告条例</t>
  </si>
  <si>
    <t>公务员职务与职级并行规定</t>
  </si>
  <si>
    <t>听，习总书记说“改革开放”</t>
  </si>
  <si>
    <t>习近平谋划布局“经济发展新常态”</t>
  </si>
  <si>
    <t>习总书记牵挂的民生事</t>
  </si>
  <si>
    <t>习总书记的扶贫情结</t>
  </si>
  <si>
    <t>习总书记的“民生观”</t>
  </si>
  <si>
    <t>见证初心和使命的“十一书”</t>
  </si>
  <si>
    <t>中央党史和文献研究院</t>
  </si>
  <si>
    <t>中国共产党纪律检查机关监督执纪工作规则</t>
  </si>
  <si>
    <t>两学一做：学什么做什么</t>
  </si>
  <si>
    <t>两学一做：怎么学怎么做</t>
  </si>
  <si>
    <t>有关党员的解惑问答</t>
  </si>
  <si>
    <t>基层党建 如何提升组织力</t>
  </si>
  <si>
    <t>基层党建，如何提升组织力</t>
  </si>
  <si>
    <t>新上海的70个瞬间</t>
  </si>
  <si>
    <t>上海人民出版社</t>
  </si>
  <si>
    <t>上海改革开放40年40个故事</t>
  </si>
  <si>
    <t>院士来了丨致敬改革开放40年</t>
  </si>
  <si>
    <t>央广神州之声</t>
  </si>
  <si>
    <t>重读马克思主义经典</t>
  </si>
  <si>
    <t>细节的力量：新中国的伟大实践</t>
  </si>
  <si>
    <t>学林出版社</t>
  </si>
  <si>
    <t>战上海</t>
  </si>
  <si>
    <t>你知道入党的“门槛儿”吗？</t>
  </si>
  <si>
    <t>有关党支部的小问题</t>
  </si>
  <si>
    <t>党费系列问答</t>
  </si>
  <si>
    <t>预备党员会遇到什么问题？</t>
  </si>
  <si>
    <t>作为党员，怎样要求自己？</t>
  </si>
  <si>
    <t>有关入党积极分子的小知识</t>
  </si>
  <si>
    <t>绿水青山，如何变成金山银山？</t>
  </si>
  <si>
    <t>精准扶贫，全面建成小康社会</t>
  </si>
  <si>
    <t>理论达人讲解新时代（音视频版）</t>
  </si>
  <si>
    <t>理论达人解读十九大（音视频版）</t>
  </si>
  <si>
    <t>入党之前，这些小常识你要清楚</t>
  </si>
  <si>
    <t>习近平总书记系列重要讲话读本（2016年版）</t>
  </si>
  <si>
    <t>理论达人讲解70年（音视频版）</t>
  </si>
  <si>
    <t>理论达人讲解70年</t>
  </si>
  <si>
    <t>半月谈</t>
  </si>
  <si>
    <t>战疫日记</t>
  </si>
  <si>
    <t>青春上海</t>
  </si>
  <si>
    <t>抗疫家书</t>
  </si>
  <si>
    <t>战疫家书</t>
  </si>
  <si>
    <t>榜样家书</t>
  </si>
  <si>
    <t>中国青年作家报</t>
  </si>
  <si>
    <t>航天人的55篇神秘日记</t>
  </si>
  <si>
    <t>有声西安</t>
  </si>
  <si>
    <t>闪光的航迹</t>
  </si>
  <si>
    <t>小军号</t>
  </si>
  <si>
    <t>听见新军营</t>
  </si>
  <si>
    <t>“山神”黄大发：一生只为一条渠</t>
  </si>
  <si>
    <t>艺垟</t>
  </si>
  <si>
    <t>那朵盛开的藏波罗花：钟扬小传</t>
  </si>
  <si>
    <t>南昌起义史话</t>
  </si>
  <si>
    <t>江西人民出版社朗读</t>
  </si>
  <si>
    <t>井冈山斗争史话</t>
  </si>
  <si>
    <t>红色记忆</t>
  </si>
  <si>
    <t>新时代做好“三农”工作靠什么？</t>
  </si>
  <si>
    <t>中国工会章程</t>
  </si>
  <si>
    <t>声动贵州</t>
  </si>
  <si>
    <t>中华人民共和国工会法</t>
  </si>
  <si>
    <t>教你说一口流利法语</t>
  </si>
  <si>
    <t>《习近平谈治国理政》第三卷中英文版</t>
  </si>
  <si>
    <t>开启观察和感知中国的窗口</t>
  </si>
  <si>
    <t>视界中国</t>
  </si>
  <si>
    <t>十九届五中全会文件汇编</t>
  </si>
  <si>
    <t>十九届五中全会《建议》</t>
  </si>
  <si>
    <t>新时代在党史新中国史上的重要地位和意义</t>
  </si>
  <si>
    <t>党和国家发展的新的历史方位</t>
  </si>
  <si>
    <t>曲青山</t>
  </si>
  <si>
    <t>习近平关于严明党的纪律和规矩论述摘编</t>
  </si>
  <si>
    <t>加强纪律建设,用严明的纪律管全党治全党</t>
  </si>
  <si>
    <t>习近平关于党风廉政建设和反腐败斗争论述摘编</t>
  </si>
  <si>
    <t>要廉政就必须反腐</t>
  </si>
  <si>
    <t>老一辈革命家在香山</t>
  </si>
  <si>
    <t>为国为民、鞠躬尽瘁</t>
  </si>
  <si>
    <t>中共中央党史和文献研究院</t>
  </si>
  <si>
    <t>开国大典</t>
  </si>
  <si>
    <t>建立新中国的卓越功勋</t>
  </si>
  <si>
    <t>十四五规划 | 国家政策与科技文化篇（粤语版）</t>
  </si>
  <si>
    <t>快速了解十四五规划和2035年远景目标</t>
  </si>
  <si>
    <t>喜马拉雅
粤语频道</t>
  </si>
  <si>
    <t>党的十九届五中全会〈建议〉学习辅导百问</t>
  </si>
  <si>
    <t>党的十九届五中全会精神权威辅导读物</t>
  </si>
  <si>
    <t>十四五规划∣ 外交国防与环保民生篇（粤语版）</t>
  </si>
  <si>
    <t>时代楷模</t>
  </si>
  <si>
    <t>党史大事记</t>
  </si>
  <si>
    <t>你不知道的党史故事</t>
  </si>
  <si>
    <t>中国共产党的九十年</t>
  </si>
  <si>
    <t>伟大的开端</t>
  </si>
  <si>
    <t>纪念馆里的党史</t>
  </si>
  <si>
    <t>党史上的为什么</t>
  </si>
  <si>
    <t>筑梦路上|中国共产党95年光辉历程</t>
  </si>
  <si>
    <t>筑梦路上 | 中国共产党95年光辉历程</t>
  </si>
  <si>
    <t>总台内容专属频道</t>
  </si>
  <si>
    <t>正面抗战全纪实</t>
  </si>
  <si>
    <t>喜马文史圈天下</t>
  </si>
  <si>
    <t>【奋斗百年路启航新征程】《渔火》</t>
  </si>
  <si>
    <t>【奋斗百年路 启航新征程】《渔火》</t>
  </si>
  <si>
    <t>【奋斗百年路启航新征程】《烽火银花》</t>
  </si>
  <si>
    <t>我们的太空</t>
  </si>
  <si>
    <t>红色旋律</t>
  </si>
  <si>
    <t>林海雪原</t>
  </si>
  <si>
    <t>袁阔成评书</t>
  </si>
  <si>
    <t>红高粱家族</t>
  </si>
  <si>
    <t>传奇爱情与血性抗争，莫言代表作 影视原著</t>
  </si>
  <si>
    <t>十九届中共中央政治局集体学习</t>
  </si>
  <si>
    <t>革命精神谱系</t>
  </si>
  <si>
    <t>习近平讲故事</t>
  </si>
  <si>
    <t>五中全会精神大家谈</t>
  </si>
  <si>
    <t>《习近平谈治国理政》第三卷</t>
  </si>
  <si>
    <t>中国红军</t>
  </si>
  <si>
    <t>井冈山革命故事</t>
  </si>
  <si>
    <t>浦东“四史”学习教育诵读活动</t>
  </si>
  <si>
    <t>东上海之声</t>
  </si>
  <si>
    <t>中国共产党历次全国代表大会</t>
  </si>
  <si>
    <t>信仰至上</t>
  </si>
  <si>
    <t>上海故事——70年城市变迁</t>
  </si>
  <si>
    <t>档案春秋</t>
  </si>
  <si>
    <t>耿飚回忆录</t>
  </si>
  <si>
    <t>解放军高级将领的传奇经历</t>
  </si>
  <si>
    <t>百炼成钢：中国共产党的100年</t>
  </si>
  <si>
    <t>党史故事</t>
  </si>
  <si>
    <t>中国有个毛泽东（青年版）</t>
  </si>
  <si>
    <t>文献中的百年党史</t>
  </si>
  <si>
    <t>国家记忆</t>
  </si>
  <si>
    <t>为国家留史，为民族留记，为人物立传</t>
  </si>
  <si>
    <t>学党史·听百年初心音频故事</t>
  </si>
  <si>
    <t>同心向党 辉煌百年再启程</t>
  </si>
  <si>
    <t>书香安徽</t>
  </si>
  <si>
    <t>成都党史一百年</t>
  </si>
  <si>
    <t>成都市委党史研究室</t>
  </si>
  <si>
    <t>隐秘征程——红军长征在四川</t>
  </si>
  <si>
    <t>总台专属频道</t>
  </si>
  <si>
    <t>改革开放40年之晓妍开讲</t>
  </si>
  <si>
    <t>河南日报客户端</t>
  </si>
  <si>
    <t>历史朗读者：70年上海传奇故事</t>
  </si>
  <si>
    <t>市民朗读者：上海解放珍贵档案</t>
  </si>
  <si>
    <t>献礼70周年】四川城市解放传奇</t>
  </si>
  <si>
    <t>方志四川</t>
  </si>
  <si>
    <t>创新中国</t>
  </si>
  <si>
    <t>纪录片创新中国</t>
  </si>
  <si>
    <t>中国制度图谱40问</t>
  </si>
  <si>
    <t>带你听懂中国特色社会主义制度</t>
  </si>
  <si>
    <t>《入党誓词》</t>
  </si>
  <si>
    <t>《党员的义务》</t>
  </si>
  <si>
    <t>《党员的权利》</t>
  </si>
  <si>
    <t>重读《共产党宣言》</t>
  </si>
  <si>
    <t>四川改革开放40周年大事记音频</t>
  </si>
  <si>
    <t>见证浦东奇迹·开发者说</t>
  </si>
  <si>
    <t>奇迹背后|《浦东历史上的今天》</t>
  </si>
  <si>
    <t>深圳特区40周年特辑|《为什么是深圳?》</t>
  </si>
  <si>
    <t>海天华文听书馆</t>
  </si>
  <si>
    <t>习近平在厦门</t>
  </si>
  <si>
    <t>习近平在宁德</t>
  </si>
  <si>
    <t>习近平在福州</t>
  </si>
  <si>
    <t>福建共青团</t>
  </si>
  <si>
    <t>这就是中国：走向世界的中国力量</t>
  </si>
  <si>
    <t>张维</t>
  </si>
  <si>
    <t>中国震撼三部曲</t>
  </si>
  <si>
    <t>陈彤</t>
  </si>
  <si>
    <t>文明型国家</t>
  </si>
  <si>
    <t>张维为</t>
  </si>
  <si>
    <t>习近平《论中国共产党历史》</t>
  </si>
  <si>
    <t>中国共产党简史</t>
  </si>
  <si>
    <t>红色经典中的少年英雄故事</t>
  </si>
  <si>
    <t>红色经典中的少年英雄故事 (第二季)</t>
  </si>
  <si>
    <t>《红色探险之旅》(上海篇)</t>
  </si>
  <si>
    <t>重温入党誓词</t>
  </si>
  <si>
    <t>安徽人民出版社</t>
  </si>
  <si>
    <t>中国共产党怎样治理腐败问题</t>
  </si>
  <si>
    <t>走近龚全珍</t>
  </si>
  <si>
    <t>党魂之光</t>
  </si>
  <si>
    <t>《写给青少年的党史》</t>
  </si>
  <si>
    <t>献礼中国共产党成立100周年</t>
  </si>
  <si>
    <t>中宣部</t>
  </si>
  <si>
    <t>为什么要坚持马克思主义</t>
  </si>
  <si>
    <t>新时代——中国共产党第十九次全国代表大会</t>
  </si>
  <si>
    <t>我们的小康</t>
  </si>
  <si>
    <t>决战决胜脱贫攻坚，总书记这样部署</t>
  </si>
  <si>
    <t>中国共产党怎样解决贫困问题</t>
  </si>
  <si>
    <t>让农村美起来，让农民富起来</t>
  </si>
  <si>
    <t>关于加强法治乡村建设的意见</t>
  </si>
  <si>
    <t>落实2020年农业农村重点工作部署</t>
  </si>
  <si>
    <t>习近平新时代治国理政的历史观丨习近平新时代学习丛书</t>
  </si>
  <si>
    <t>中社有声会</t>
  </si>
  <si>
    <t>党史慕课：解密100个你不知道的党史故事</t>
  </si>
  <si>
    <t>北京长城网</t>
  </si>
  <si>
    <t>中国化的马克思主义党建理论体系概论</t>
  </si>
  <si>
    <t>毛泽东邓小平江泽民胡锦涛关于中国共产党历史论述摘编</t>
  </si>
  <si>
    <t>习近平新时代中国特色社会主义思想学习问答</t>
  </si>
  <si>
    <t>阳光政改</t>
  </si>
  <si>
    <t>建党百年重要讲话</t>
  </si>
  <si>
    <t>十九届六中全会重要文件</t>
  </si>
  <si>
    <t>六中全会说了啥？</t>
  </si>
  <si>
    <t>十九届六中全会精神学起来</t>
  </si>
  <si>
    <t>六中全会精神笔谈</t>
  </si>
  <si>
    <t>为了更加伟大的胜利和荣光</t>
  </si>
  <si>
    <t>一直在路上</t>
  </si>
  <si>
    <t>商界早知道</t>
  </si>
  <si>
    <t>习近平总书记在党史学习教育动员大会上的讲话</t>
  </si>
  <si>
    <t>通用课/商学院</t>
  </si>
  <si>
    <t>商业财经/目标策略</t>
  </si>
  <si>
    <t>商业洞察/基层</t>
  </si>
  <si>
    <t>倪云华：全球商业模式创新40讲</t>
  </si>
  <si>
    <t>商业财经/业务经营</t>
  </si>
  <si>
    <t>商业洞察/高层</t>
  </si>
  <si>
    <t>高效办公/目标策略</t>
  </si>
  <si>
    <t>工作方法/基层</t>
  </si>
  <si>
    <t>高效沟通/基层</t>
  </si>
  <si>
    <t>王明伟：影响力密码</t>
  </si>
  <si>
    <t>商业财经/组织发展</t>
  </si>
  <si>
    <t>商业洞察/中层</t>
  </si>
  <si>
    <t>目标管理/中层</t>
  </si>
  <si>
    <t>目标管理/基层</t>
  </si>
  <si>
    <t>通用课/岗位课</t>
  </si>
  <si>
    <t>产品思维/产品思维</t>
  </si>
  <si>
    <t>用户思维/运营</t>
  </si>
  <si>
    <t>运营思维/用户运营</t>
  </si>
  <si>
    <t>商业财经/金融理财</t>
  </si>
  <si>
    <t>产品思维产品规划、设计</t>
  </si>
  <si>
    <t>高效沟通/说服</t>
  </si>
  <si>
    <t>马东携奇葩天团亲授“好好说话”</t>
  </si>
  <si>
    <t>避开沟通雷区，把话说得漂亮得体，听一门不容错过的说话课</t>
  </si>
  <si>
    <t>区块链</t>
  </si>
  <si>
    <t>刘慈欣的思想实验室</t>
  </si>
  <si>
    <t>揭秘 52 个独角兽的赚钱逻辑</t>
  </si>
  <si>
    <t>清华教授吴国盛：科学简史</t>
  </si>
  <si>
    <t>用科班的底子，讲科普的段子</t>
  </si>
  <si>
    <t>让你变有趣的创造力课</t>
  </si>
  <si>
    <t>哲学100问·第2季</t>
  </si>
  <si>
    <t>樊登推荐：成功思维25讲</t>
  </si>
  <si>
    <t>职场进阶课：冲出迷雾，发生改变</t>
  </si>
  <si>
    <t>苏娟</t>
  </si>
  <si>
    <t>即兴表达</t>
  </si>
  <si>
    <t>用得上的8个说话秘笈</t>
  </si>
  <si>
    <t>卿杨剑</t>
  </si>
  <si>
    <t>中金研究行业精读</t>
  </si>
  <si>
    <t>中金公司</t>
  </si>
  <si>
    <t>从0到1，全面学透元宇宙</t>
  </si>
  <si>
    <t>子章老师：亲子运动健康课</t>
  </si>
  <si>
    <t>子章老师</t>
  </si>
  <si>
    <t>哲学100问·第3季</t>
  </si>
  <si>
    <t>宏观形式</t>
  </si>
  <si>
    <t>李俊慧的经济学课 · 第三季</t>
  </si>
  <si>
    <t>业务经营/战略规划</t>
  </si>
  <si>
    <t>湖畔三板斧：首次公开创业心法</t>
  </si>
  <si>
    <t>徐中：5分钟清晨领导课</t>
  </si>
  <si>
    <t>混沌10分钟口袋商学院·2019</t>
  </si>
  <si>
    <t>沈拓：找到商业破局点</t>
  </si>
  <si>
    <t>吴婷:快公司生长密码</t>
  </si>
  <si>
    <t>张晓刚</t>
  </si>
  <si>
    <t>钟锐</t>
  </si>
  <si>
    <t>人力资源/评价激励</t>
  </si>
  <si>
    <t>绩效管理/基层</t>
  </si>
  <si>
    <t>人力资源/人才发展</t>
  </si>
  <si>
    <t>人力资源规划/高层</t>
  </si>
  <si>
    <t>人力资源/文化建设</t>
  </si>
  <si>
    <t>招聘与配置/中层</t>
  </si>
  <si>
    <t>绩效管理/中层</t>
  </si>
  <si>
    <t>招聘与配置/基层</t>
  </si>
  <si>
    <t>生产制造/商学院</t>
  </si>
  <si>
    <t>班组长能力提升/组织发展</t>
  </si>
  <si>
    <t>人力资源/目标策略</t>
  </si>
  <si>
    <t>培训与开发/中层</t>
  </si>
  <si>
    <t>专业面试官八大秘技</t>
  </si>
  <si>
    <t>黄琼</t>
  </si>
  <si>
    <t>服务鱼骨图：服务升级的秘密</t>
  </si>
  <si>
    <t>王英军律师：创业时代 决胜股权</t>
  </si>
  <si>
    <t>王英军律师：股权投资实战课</t>
  </si>
  <si>
    <t>李立恒原声课程｜阿里铁军内训销售课</t>
  </si>
  <si>
    <t>企业劳资合规的7大必备工具</t>
  </si>
  <si>
    <t>公募基金的投资攻略课</t>
  </si>
  <si>
    <t>新手投资者的数学投资思维课</t>
  </si>
  <si>
    <t>小白秒懂的数学投资思维</t>
  </si>
  <si>
    <t>保险销售课：财商卖大单销售逻辑解析</t>
  </si>
  <si>
    <t>杨华：TPS高效精益生产实施</t>
  </si>
  <si>
    <t>精益生产管理</t>
  </si>
  <si>
    <t>从0-1带你完成一场高质量内训课</t>
  </si>
  <si>
    <t>刘佳</t>
  </si>
  <si>
    <t>和清华博导郑毓煌学营销思维</t>
  </si>
  <si>
    <t>10堂MBTI职业线上普及课</t>
  </si>
  <si>
    <t>以案说典：生活中的民法典</t>
  </si>
  <si>
    <t>《舍得智慧讲堂》第二季中国智慧</t>
  </si>
  <si>
    <t>Outside In丨科学 • 心理</t>
  </si>
  <si>
    <t>企业自救指南</t>
  </si>
  <si>
    <t>中央广播电视总台</t>
  </si>
  <si>
    <t>胡阿祥：中国大智慧 | 百家讲坛名师讲历史的启示</t>
  </si>
  <si>
    <t>费勇的王阳明心学课 | 含《传习录》精读</t>
  </si>
  <si>
    <t>北大王岳川精讲《大学》《中庸》（100讲）</t>
  </si>
  <si>
    <t>职场心理/高效办公</t>
  </si>
  <si>
    <t>职场智慧/工作方法</t>
  </si>
  <si>
    <t>高效能人士的七个习惯</t>
  </si>
  <si>
    <t>大厨Alex：职场核心竞争力</t>
  </si>
  <si>
    <t>如何构建完美个人品牌</t>
  </si>
  <si>
    <t>职场心理/沟通表达</t>
  </si>
  <si>
    <t>职场智慧/工作汇报</t>
  </si>
  <si>
    <t>精英都爱的十大思维</t>
  </si>
  <si>
    <t>项目管理思维/项目规划/启动</t>
  </si>
  <si>
    <t>张军</t>
  </si>
  <si>
    <t>资本运作</t>
  </si>
  <si>
    <t>金灿荣</t>
  </si>
  <si>
    <t>揭秘 52 个独角兽的赚钱逻辑</t>
  </si>
  <si>
    <t>每天听见吴晓波·第五季</t>
  </si>
  <si>
    <t>俞敏洪：新东方成长历程</t>
  </si>
  <si>
    <t>舍恩伯格：AI与我们 | 人工智能进阶通识课</t>
  </si>
  <si>
    <t>产业互联网：全产业链的数字化转型升级</t>
  </si>
  <si>
    <t>吴晓波领衔主讲 | 数字化转型35讲</t>
  </si>
  <si>
    <t>凡人逆袭宝典：超强学习能力养成术</t>
  </si>
  <si>
    <t>九型人格</t>
  </si>
  <si>
    <t>高琳: 学会讲故事，才叫会沟通</t>
  </si>
  <si>
    <t>王琳:结构性演讲与表达技巧</t>
  </si>
  <si>
    <t>叶武滨时间管理进阶 · 十周训练</t>
  </si>
  <si>
    <t>工作方法/目标管理</t>
  </si>
  <si>
    <t>目标管理/工作方法</t>
  </si>
  <si>
    <t>数据分析/数据挖掘</t>
  </si>
  <si>
    <t>商业数据分析师通识课</t>
  </si>
  <si>
    <t>转折点 : 职场人物访谈</t>
  </si>
  <si>
    <t>China Daily 为你读新闻</t>
  </si>
  <si>
    <t>看十年 · 曾鸣书院公开课</t>
  </si>
  <si>
    <t>德勤： 拥抱中国开放新机遇</t>
  </si>
  <si>
    <t>冬吴同学会 | 第三季 • 金秋篇</t>
  </si>
  <si>
    <t>王峰十问 区块链</t>
  </si>
  <si>
    <t>Outside In丨科学 • 心理</t>
  </si>
  <si>
    <t>管理会计/税务管理</t>
  </si>
  <si>
    <t>财资管理/管理会计</t>
  </si>
  <si>
    <t>财务会计/财资管理</t>
  </si>
  <si>
    <t>管理会计/财资管理</t>
  </si>
  <si>
    <t>张新民的财报分析实战课38讲</t>
  </si>
  <si>
    <t>腾讯讲师</t>
  </si>
  <si>
    <t>王英军律师：创业时代 决胜股权</t>
  </si>
  <si>
    <t>京城律师天团</t>
  </si>
  <si>
    <t>以案说典：企业经营中的民法典</t>
  </si>
  <si>
    <t>金融理财/客户服务</t>
  </si>
  <si>
    <t>金融知识与技能/服务技巧</t>
  </si>
  <si>
    <t>一门课学懂基金投资</t>
  </si>
  <si>
    <t>客户服务/销售</t>
  </si>
  <si>
    <t>服务技巧/销售管理</t>
  </si>
  <si>
    <t>百万年薪HR修炼手册</t>
  </si>
  <si>
    <t>绩效管理/薪酬福利管理</t>
  </si>
  <si>
    <t>孙波：互动教学设计， 用脑做培训</t>
  </si>
  <si>
    <t>王钊：专业人士如何做一场在线直播课</t>
  </si>
  <si>
    <t>三孩政策下HR用工管理的变与不变</t>
  </si>
  <si>
    <t>精益培训与仿真</t>
  </si>
  <si>
    <t>蚁创科技</t>
  </si>
  <si>
    <t>水野忠男</t>
  </si>
  <si>
    <t>班组长能力提升</t>
  </si>
  <si>
    <t>大客户销售/销售管理</t>
  </si>
  <si>
    <t>陈震：销售精英必修课</t>
  </si>
  <si>
    <t>攻心话术</t>
  </si>
  <si>
    <t>源流说：内容通识25讲</t>
  </si>
  <si>
    <t>企业微信用户增长运营全攻略</t>
  </si>
  <si>
    <t>麦子：微信社群赚钱全攻略</t>
  </si>
  <si>
    <t>超级税客：听蔚青说税</t>
  </si>
  <si>
    <t>西点军校最受欢迎的领导力课（视频版）</t>
  </si>
  <si>
    <t>场景化谈管理</t>
  </si>
  <si>
    <t>52堂德鲁克管理思想精要课</t>
  </si>
  <si>
    <t>张丽俊：组织发展之人才梯队建设</t>
  </si>
  <si>
    <t>贝尔宾打造高绩效团队（音频）</t>
  </si>
  <si>
    <t>冯仑商业私房话</t>
  </si>
  <si>
    <t>马云全传 | 周文强精讲阿里创业成功之道</t>
  </si>
  <si>
    <t>业务经营/组织发展</t>
  </si>
  <si>
    <t>阿里合伙人亲授，回顾创业的关键节点、经验以及案例分析，传递决策背后的心法A</t>
  </si>
  <si>
    <t>马云等</t>
  </si>
  <si>
    <t>商业模式：企业持续增长的双增长引擎|数字化转型</t>
  </si>
  <si>
    <t>如何运用BLM推动企业战略落地</t>
  </si>
  <si>
    <t>实战三板斧 | 阿里巴巴管理模式</t>
  </si>
  <si>
    <t>轻学堂内容数据统计</t>
  </si>
  <si>
    <t xml:space="preserve">   课程类型</t>
  </si>
  <si>
    <t>课程数量</t>
  </si>
  <si>
    <t>总集数</t>
  </si>
  <si>
    <t>集数占比</t>
  </si>
  <si>
    <t>总时长/h</t>
  </si>
  <si>
    <t>时长占比</t>
  </si>
  <si>
    <t>原价/元</t>
  </si>
  <si>
    <t>总计</t>
  </si>
  <si>
    <t>/</t>
  </si>
  <si>
    <t>通用课</t>
    <phoneticPr fontId="1" type="noConversion"/>
  </si>
  <si>
    <t>岗位课</t>
    <phoneticPr fontId="1" type="noConversion"/>
  </si>
  <si>
    <t>商学院</t>
    <phoneticPr fontId="1" type="noConversion"/>
  </si>
  <si>
    <t>课程</t>
    <phoneticPr fontId="1" type="noConversion"/>
  </si>
  <si>
    <t>书籍</t>
    <phoneticPr fontId="1" type="noConversion"/>
  </si>
  <si>
    <t>有声书</t>
    <phoneticPr fontId="1" type="noConversion"/>
  </si>
  <si>
    <t>讲书</t>
    <phoneticPr fontId="2" type="noConversion"/>
  </si>
  <si>
    <t>已上架课时总时间/h</t>
    <phoneticPr fontId="1" type="noConversion"/>
  </si>
  <si>
    <t>课程总课时/集</t>
    <phoneticPr fontId="1" type="noConversion"/>
  </si>
  <si>
    <t>子章老师：亲子运动健康课</t>
    <phoneticPr fontId="1" type="noConversion"/>
  </si>
  <si>
    <t>未完结</t>
    <phoneticPr fontId="1" type="noConversion"/>
  </si>
  <si>
    <t>其他</t>
    <phoneticPr fontId="1" type="noConversion"/>
  </si>
  <si>
    <t>运营、销售、市场品牌</t>
    <phoneticPr fontId="1" type="noConversion"/>
  </si>
  <si>
    <t>适用岗位</t>
    <phoneticPr fontId="1" type="noConversion"/>
  </si>
  <si>
    <t>创始人、CEO</t>
    <phoneticPr fontId="1" type="noConversion"/>
  </si>
  <si>
    <t>适用职级</t>
    <phoneticPr fontId="1" type="noConversion"/>
  </si>
  <si>
    <t>通用课/岗位课</t>
    <phoneticPr fontId="1" type="noConversion"/>
  </si>
  <si>
    <t>视频</t>
    <phoneticPr fontId="1" type="noConversion"/>
  </si>
  <si>
    <t>音频</t>
    <phoneticPr fontId="1" type="noConversion"/>
  </si>
  <si>
    <t>HRVP带你30天通关：薪酬福利</t>
    <phoneticPr fontId="1" type="noConversion"/>
  </si>
  <si>
    <t>HRVP带你30天通关：高效招聘</t>
    <phoneticPr fontId="1" type="noConversion"/>
  </si>
  <si>
    <t>中层管理者、基层管理者、职场新人</t>
  </si>
  <si>
    <t>高层管理者、专业人士</t>
  </si>
  <si>
    <t>基层管理者、专业人士、职场新人</t>
  </si>
  <si>
    <t>中层管理者、基层管理者、专业人士、职场新人</t>
  </si>
  <si>
    <t>高层管理者、中层管理者、基层管理者、专业人士、职场新人</t>
  </si>
  <si>
    <t>高层管理者、中层管理者、基层管理者、职场新人</t>
  </si>
  <si>
    <t>高层管理者、中层管理者</t>
  </si>
  <si>
    <t>高层管理者、中层管理者、基层管理者</t>
  </si>
  <si>
    <t>CEO，管理者</t>
  </si>
  <si>
    <t>基层管理者、中层管理者、高层管理者</t>
  </si>
  <si>
    <t>基层管理者、中层管理者、职场新人</t>
  </si>
  <si>
    <t>中层管理者、高层管理者、专业人士</t>
  </si>
  <si>
    <t>创始人、管理者</t>
  </si>
  <si>
    <t>基层管理者、中层管理者、专业人士</t>
  </si>
  <si>
    <t>岗位课</t>
    <phoneticPr fontId="1" type="noConversion"/>
  </si>
  <si>
    <t>一级标签</t>
    <phoneticPr fontId="1" type="noConversion"/>
  </si>
  <si>
    <t>硬科技</t>
  </si>
  <si>
    <t>科技漫谈</t>
  </si>
  <si>
    <t>财富管理</t>
  </si>
  <si>
    <t>认知思维</t>
  </si>
  <si>
    <t>二级标签</t>
    <phoneticPr fontId="1" type="noConversion"/>
  </si>
  <si>
    <t>财富管理</t>
    <phoneticPr fontId="1" type="noConversion"/>
  </si>
  <si>
    <t>财富管理/财富管理与资产配置</t>
    <phoneticPr fontId="1" type="noConversion"/>
  </si>
  <si>
    <t>雷军亲述独家创业心法</t>
    <phoneticPr fontId="1" type="noConversion"/>
  </si>
  <si>
    <t>陈春花：数字化企业管理实战课</t>
    <phoneticPr fontId="1" type="noConversion"/>
  </si>
  <si>
    <t>杨国安的组织管理课</t>
    <phoneticPr fontId="1" type="noConversion"/>
  </si>
  <si>
    <t>观因：讲透企业文化</t>
    <phoneticPr fontId="1" type="noConversion"/>
  </si>
  <si>
    <t>8招带你快速从管理自我向管理他人转变</t>
    <phoneticPr fontId="1" type="noConversion"/>
  </si>
  <si>
    <t>序号</t>
    <phoneticPr fontId="1" type="noConversion"/>
  </si>
  <si>
    <t>中层</t>
    <phoneticPr fontId="1" type="noConversion"/>
  </si>
  <si>
    <t>基层</t>
    <phoneticPr fontId="1" type="noConversion"/>
  </si>
  <si>
    <t>高层</t>
    <phoneticPr fontId="1" type="noConversion"/>
  </si>
  <si>
    <t>国家队队医：5分钟了解运动损伤</t>
    <phoneticPr fontId="1" type="noConversion"/>
  </si>
  <si>
    <t>奥运会的故事</t>
    <phoneticPr fontId="1" type="noConversion"/>
  </si>
  <si>
    <t>贾伟：产品三观与用户思维10讲</t>
    <phoneticPr fontId="1" type="noConversion"/>
  </si>
  <si>
    <t>10堂课打造系统产品思维</t>
    <phoneticPr fontId="1" type="noConversion"/>
  </si>
  <si>
    <t>吕廷杰：5G新机遇60讲</t>
    <phoneticPr fontId="1" type="noConversion"/>
  </si>
  <si>
    <t>从0到1，全面学透元宇宙</t>
    <phoneticPr fontId="1" type="noConversion"/>
  </si>
  <si>
    <t>清华教授吴国盛：科学简史</t>
    <phoneticPr fontId="1" type="noConversion"/>
  </si>
  <si>
    <t>赵国栋：元宇宙前沿报告</t>
    <phoneticPr fontId="1" type="noConversion"/>
  </si>
  <si>
    <t>透过结构看有力表达</t>
    <phoneticPr fontId="1" type="noConversion"/>
  </si>
  <si>
    <t>透过结构看清晰思考</t>
    <phoneticPr fontId="1" type="noConversion"/>
  </si>
  <si>
    <t>乐嘉性格色彩·读心术</t>
    <phoneticPr fontId="1" type="noConversion"/>
  </si>
  <si>
    <t>马东携奇葩天团亲授“好好说话”</t>
    <phoneticPr fontId="1" type="noConversion"/>
  </si>
  <si>
    <t>朱老丝：有说服力的工作汇报</t>
    <phoneticPr fontId="1" type="noConversion"/>
  </si>
  <si>
    <t>营销实战</t>
    <phoneticPr fontId="1" type="noConversion"/>
  </si>
  <si>
    <t>王式华讲目标管理：高效执行“三九”说明书</t>
    <phoneticPr fontId="1" type="noConversion"/>
  </si>
  <si>
    <t>倪云华：OKR目标管理法落地指南</t>
    <phoneticPr fontId="1" type="noConversion"/>
  </si>
  <si>
    <t>让线上会议更高效</t>
    <phoneticPr fontId="1" type="noConversion"/>
  </si>
  <si>
    <t>透过结构看高效学习</t>
    <phoneticPr fontId="1" type="noConversion"/>
  </si>
  <si>
    <t>透过结构看复盘管理</t>
    <phoneticPr fontId="1" type="noConversion"/>
  </si>
  <si>
    <t>透过结构看PPT设计</t>
    <phoneticPr fontId="1" type="noConversion"/>
  </si>
  <si>
    <t>序号</t>
    <phoneticPr fontId="1" type="noConversion"/>
  </si>
  <si>
    <t>89</t>
  </si>
  <si>
    <t>199</t>
  </si>
  <si>
    <t>99</t>
  </si>
  <si>
    <t>189</t>
  </si>
  <si>
    <t>198</t>
  </si>
  <si>
    <t>19</t>
  </si>
  <si>
    <t>159</t>
  </si>
  <si>
    <t>129</t>
  </si>
  <si>
    <t>卓越产品经理如何思考</t>
    <phoneticPr fontId="1" type="noConversion"/>
  </si>
  <si>
    <t>资产证券化与结构化金融</t>
    <phoneticPr fontId="1" type="noConversion"/>
  </si>
  <si>
    <t>轻学堂—课程列表</t>
    <phoneticPr fontId="2" type="noConversion"/>
  </si>
  <si>
    <r>
      <rPr>
        <b/>
        <sz val="10"/>
        <rFont val="微软雅黑"/>
        <family val="2"/>
        <charset val="134"/>
      </rPr>
      <t>内容说明：</t>
    </r>
    <r>
      <rPr>
        <sz val="10"/>
        <rFont val="微软雅黑"/>
        <family val="2"/>
        <charset val="134"/>
      </rPr>
      <t xml:space="preserve">
1. VIP精品课，适用VIP用户企业，针对不同岗位和层级的能力提升需求，优选头部讲师和资源，打造最专业、权威、实战的课程；
2. 畅听课，适用所有企业，只要注册就可免费畅听，是轻学堂从喜马拉雅资源库引进的优质课程，致力服务更多企业。
3. 企业使用场景建议：挑选课程补充现有人才培养项目；挑选课单打造专题线上学习；挑选企业主推课程进行全员学习，营造学习氛围。</t>
    </r>
  </si>
  <si>
    <t>通用课频道</t>
    <phoneticPr fontId="1" type="noConversion"/>
  </si>
  <si>
    <t>岗位课频道</t>
    <phoneticPr fontId="1" type="noConversion"/>
  </si>
  <si>
    <t>商学院频道</t>
    <phoneticPr fontId="1" type="noConversion"/>
  </si>
  <si>
    <t>其他</t>
    <phoneticPr fontId="1" type="noConversion"/>
  </si>
  <si>
    <t>轻学堂—书籍列表</t>
    <phoneticPr fontId="2" type="noConversion"/>
  </si>
  <si>
    <r>
      <rPr>
        <b/>
        <sz val="10"/>
        <rFont val="微软雅黑"/>
        <family val="2"/>
        <charset val="134"/>
      </rPr>
      <t xml:space="preserve">内容说明：
</t>
    </r>
    <r>
      <rPr>
        <sz val="10"/>
        <rFont val="微软雅黑"/>
        <family val="2"/>
        <charset val="134"/>
      </rPr>
      <t>1. 适用VIP企业或已购买企业有声图书馆产品的企业，实现全员畅听，打造学习型组织。
2. 讲书，由专业团队编辑，挑选各领域的经典好书，每本书25分钟左右精华音频呈现。
3. 有声书，精听整本书籍，阅读新方式。轻学堂整合喜马拉雅海量、正版有声书资源，打造企业有声图书馆。</t>
    </r>
  </si>
  <si>
    <t>书籍大类</t>
  </si>
  <si>
    <t>分类</t>
  </si>
  <si>
    <t>书籍名称</t>
  </si>
  <si>
    <t>作者</t>
  </si>
  <si>
    <t>适听人群</t>
  </si>
  <si>
    <t>集数</t>
  </si>
  <si>
    <t>讲书</t>
  </si>
  <si>
    <t>财经</t>
  </si>
  <si>
    <t>贼巢</t>
  </si>
  <si>
    <t>詹姆斯·B·斯图尔特</t>
  </si>
  <si>
    <t>玥然</t>
  </si>
  <si>
    <t>极简法则</t>
  </si>
  <si>
    <t>理查德·科克</t>
  </si>
  <si>
    <t>西蒙</t>
  </si>
  <si>
    <t>超级版图</t>
  </si>
  <si>
    <t>帕拉格·康纳</t>
  </si>
  <si>
    <t>图南</t>
  </si>
  <si>
    <t>经济思想史&amp;智慧资本</t>
  </si>
  <si>
    <t>哈里·兰德雷斯 &amp; 托马斯·卡里尔</t>
  </si>
  <si>
    <t>李清昊</t>
  </si>
  <si>
    <t>事实（下）</t>
  </si>
  <si>
    <t>汉斯·罗斯林</t>
  </si>
  <si>
    <t>林伯虎</t>
  </si>
  <si>
    <t>伟大的博弈</t>
  </si>
  <si>
    <t>约翰·S·戈登</t>
  </si>
  <si>
    <t>薛晓明</t>
  </si>
  <si>
    <t>大转型</t>
  </si>
  <si>
    <t>卡尔·波兰尼</t>
  </si>
  <si>
    <t>1844年经济学哲学手稿</t>
  </si>
  <si>
    <t>卡尔·马克思</t>
  </si>
  <si>
    <t>大空头</t>
  </si>
  <si>
    <t>迈克尔·刘易斯</t>
  </si>
  <si>
    <t>贫困与饥荒</t>
  </si>
  <si>
    <t>阿马蒂亚·森</t>
  </si>
  <si>
    <t>邱慈观</t>
  </si>
  <si>
    <t>助推</t>
  </si>
  <si>
    <t>泰勒/桑斯坦</t>
  </si>
  <si>
    <t>夏春</t>
  </si>
  <si>
    <t>彼得·林奇的成功投资</t>
  </si>
  <si>
    <t>彼得·林奇</t>
  </si>
  <si>
    <t>高翔</t>
  </si>
  <si>
    <t>漫步华尔街</t>
  </si>
  <si>
    <t>伯顿·G·马尔基尔</t>
  </si>
  <si>
    <t>金融炼金术</t>
  </si>
  <si>
    <t>乔治·索罗斯</t>
  </si>
  <si>
    <t>游戏改变世界</t>
  </si>
  <si>
    <t>简·麦戈尼格尔</t>
  </si>
  <si>
    <t>英国报姐</t>
  </si>
  <si>
    <t>金融心理学</t>
  </si>
  <si>
    <t>拉斯·特维德</t>
  </si>
  <si>
    <t>佳诺</t>
  </si>
  <si>
    <t>思考，快与慢</t>
  </si>
  <si>
    <t>丹尼尔·卡尼曼</t>
  </si>
  <si>
    <t>朱宁</t>
  </si>
  <si>
    <t>动物精神</t>
  </si>
  <si>
    <t>乔治·阿克洛夫</t>
  </si>
  <si>
    <t>经营分析与估值</t>
  </si>
  <si>
    <t>克雷沙·G·帕利普</t>
  </si>
  <si>
    <t>薛云奎</t>
  </si>
  <si>
    <t>爆裂</t>
  </si>
  <si>
    <t xml:space="preserve">伊藤穰一，杰夫·豪 </t>
  </si>
  <si>
    <t>曹易伦</t>
  </si>
  <si>
    <t>交易心理分析</t>
  </si>
  <si>
    <t>马克·道格拉斯</t>
  </si>
  <si>
    <t>老鳄</t>
  </si>
  <si>
    <t>巴菲特致股东的信</t>
  </si>
  <si>
    <t>沃伦·E·巴菲特</t>
  </si>
  <si>
    <t>华尔街幽灵</t>
  </si>
  <si>
    <t>阿瑟·L·辛普森</t>
  </si>
  <si>
    <t>孟可</t>
  </si>
  <si>
    <t>黑天鹅</t>
  </si>
  <si>
    <t>纳西姆·尼古拉斯·塔勒布</t>
  </si>
  <si>
    <t>谷清平</t>
  </si>
  <si>
    <t>聪明的投资者</t>
  </si>
  <si>
    <t>本杰明·格雷厄姆</t>
  </si>
  <si>
    <t>刘美</t>
  </si>
  <si>
    <t>灰犀牛</t>
  </si>
  <si>
    <t>米歇尔·渥克</t>
  </si>
  <si>
    <t>沈攀</t>
  </si>
  <si>
    <t>制度、制度变迁与经济绩效</t>
  </si>
  <si>
    <t>道格拉斯·诺思</t>
  </si>
  <si>
    <t>黄少卿</t>
  </si>
  <si>
    <t>逃不开的经济周期</t>
  </si>
  <si>
    <t>魏强斌</t>
  </si>
  <si>
    <t>邓普顿教你逆向投资</t>
  </si>
  <si>
    <t>劳伦·邓普顿</t>
  </si>
  <si>
    <t>卓行</t>
  </si>
  <si>
    <t>金融与好的社会</t>
  </si>
  <si>
    <t>罗伯特·席勒</t>
  </si>
  <si>
    <t>郭宇航</t>
  </si>
  <si>
    <t>对冲基金风云录</t>
  </si>
  <si>
    <t>巴顿·比格斯</t>
  </si>
  <si>
    <t>王鸿嫔</t>
  </si>
  <si>
    <t>非理性繁荣</t>
  </si>
  <si>
    <t>陈志武</t>
  </si>
  <si>
    <t>图说金融史</t>
  </si>
  <si>
    <t>李弘</t>
  </si>
  <si>
    <t>王煜</t>
  </si>
  <si>
    <t>天才的回声</t>
  </si>
  <si>
    <t>托德·布赫霍尔茨</t>
  </si>
  <si>
    <t>股票大作手操盘术</t>
  </si>
  <si>
    <t>杰西·利弗莫尔</t>
  </si>
  <si>
    <t>武京丽</t>
  </si>
  <si>
    <t>激荡三十年(中)</t>
  </si>
  <si>
    <t>晓书童</t>
  </si>
  <si>
    <t>大败局</t>
  </si>
  <si>
    <t>长尾理论</t>
  </si>
  <si>
    <t>克里斯·安德森</t>
  </si>
  <si>
    <t>激荡三十年(下)</t>
  </si>
  <si>
    <t>金融简史</t>
  </si>
  <si>
    <t>伯恩斯坦</t>
  </si>
  <si>
    <t>齐明</t>
  </si>
  <si>
    <t>战胜华尔街</t>
  </si>
  <si>
    <t>免费</t>
  </si>
  <si>
    <t>陈曦</t>
  </si>
  <si>
    <t>日本电子产业兴衰录</t>
  </si>
  <si>
    <t>西村吉雄</t>
  </si>
  <si>
    <t>铁流</t>
  </si>
  <si>
    <t>就业、利息和货币通论（上）</t>
  </si>
  <si>
    <t>凯恩斯</t>
  </si>
  <si>
    <t>陈经</t>
  </si>
  <si>
    <t>就业、利息和货币通论（下）</t>
  </si>
  <si>
    <t>解读基金（上）</t>
  </si>
  <si>
    <t>季凯帆、康峰</t>
  </si>
  <si>
    <t>书签客</t>
  </si>
  <si>
    <t>解读基金（下）</t>
  </si>
  <si>
    <t>长尾理论2.0</t>
  </si>
  <si>
    <t>随机漫步的傻瓜</t>
  </si>
  <si>
    <t>纳西姆·塔勒布</t>
  </si>
  <si>
    <t>一课经济学</t>
  </si>
  <si>
    <t>亨利.黑兹利特</t>
  </si>
  <si>
    <t>激荡三十年(上)</t>
  </si>
  <si>
    <t>文明寻思录</t>
  </si>
  <si>
    <t>穷查理宝典</t>
  </si>
  <si>
    <t>彼得·考夫曼</t>
  </si>
  <si>
    <t>刘武力</t>
  </si>
  <si>
    <t>小岛经济学</t>
  </si>
  <si>
    <t>彼得·D·希夫</t>
  </si>
  <si>
    <t>元生</t>
  </si>
  <si>
    <t>魔鬼经济学</t>
  </si>
  <si>
    <t>史蒂芬·列维特/史蒂芬·都伯纳</t>
  </si>
  <si>
    <t>牛奶可乐经济学</t>
  </si>
  <si>
    <t>罗伯特·弗兰克</t>
  </si>
  <si>
    <t>反脆弱</t>
  </si>
  <si>
    <t>微观经济学纵横谈</t>
  </si>
  <si>
    <t>梁小民</t>
  </si>
  <si>
    <t>李智勇</t>
  </si>
  <si>
    <t>巴菲特传</t>
  </si>
  <si>
    <t>卡罗尔·卢米斯</t>
  </si>
  <si>
    <t>孙思远</t>
  </si>
  <si>
    <t>21世纪资本论</t>
  </si>
  <si>
    <t>托马斯·皮凯蒂</t>
  </si>
  <si>
    <t>李长安</t>
  </si>
  <si>
    <t>不平等的代价</t>
  </si>
  <si>
    <t>约瑟夫·E·斯蒂格利茨</t>
  </si>
  <si>
    <t>钓愚</t>
  </si>
  <si>
    <t>新结构经济学</t>
  </si>
  <si>
    <t>林毅夫</t>
  </si>
  <si>
    <t>行动的勇气</t>
  </si>
  <si>
    <t>本·伯南克</t>
  </si>
  <si>
    <t>贫穷的本质</t>
  </si>
  <si>
    <t xml:space="preserve">[印]阿比吉特·班纳吉/[法]埃斯特·迪弗洛 </t>
  </si>
  <si>
    <t>国富论</t>
  </si>
  <si>
    <t>亚当·斯密</t>
  </si>
  <si>
    <t>贝壳姐</t>
  </si>
  <si>
    <t>财务自由之路（上）</t>
  </si>
  <si>
    <t>博多•舍费尔</t>
  </si>
  <si>
    <t>刘波</t>
  </si>
  <si>
    <t>财务自由之路（下）</t>
  </si>
  <si>
    <t>引爆点</t>
  </si>
  <si>
    <t>马尔科姆·格拉德威尔</t>
  </si>
  <si>
    <t>理性的非理性</t>
  </si>
  <si>
    <t>郑毓煌 苏丹</t>
  </si>
  <si>
    <t>安缇</t>
  </si>
  <si>
    <t>疯狂经济学</t>
  </si>
  <si>
    <t>唐·汤普森</t>
  </si>
  <si>
    <t>秦斯棠</t>
  </si>
  <si>
    <t>投资中最简单的事</t>
  </si>
  <si>
    <t>邱国鹭</t>
  </si>
  <si>
    <t>卢如是</t>
  </si>
  <si>
    <t>全球化4.0</t>
  </si>
  <si>
    <t>邵宇/秦培景</t>
  </si>
  <si>
    <t>邵宇</t>
  </si>
  <si>
    <t>香港英资财团</t>
  </si>
  <si>
    <t>冯邦彦</t>
  </si>
  <si>
    <t>金融的逻辑</t>
  </si>
  <si>
    <t>东亚奇迹的反思</t>
  </si>
  <si>
    <t>为什么中国人勤劳而不富有</t>
  </si>
  <si>
    <t>货币的非国家化</t>
  </si>
  <si>
    <t>弗里德里希·冯·哈耶克</t>
  </si>
  <si>
    <t>兰启昌</t>
  </si>
  <si>
    <t>富爸爸穷爸爸</t>
  </si>
  <si>
    <t>罗伯特·清崎</t>
  </si>
  <si>
    <t>徐晴</t>
  </si>
  <si>
    <t>美联储（上）</t>
  </si>
  <si>
    <t>威廉·格雷德</t>
  </si>
  <si>
    <t>美联储（下）</t>
  </si>
  <si>
    <t>黄金屋</t>
  </si>
  <si>
    <t>史蒂文·卓布尼</t>
  </si>
  <si>
    <t>投资最重要的事</t>
  </si>
  <si>
    <t>霍华德·马克斯</t>
  </si>
  <si>
    <t>查理芒格转</t>
  </si>
  <si>
    <t>珍妮特·洛尔</t>
  </si>
  <si>
    <t>张晓宁</t>
  </si>
  <si>
    <t>策略思维</t>
  </si>
  <si>
    <t>阿维纳什·K·迪克西特，巴里·J·奈尔伯夫</t>
  </si>
  <si>
    <t>照瞳</t>
  </si>
  <si>
    <t>索罗斯传</t>
  </si>
  <si>
    <t>罗伯特·斯莱特</t>
  </si>
  <si>
    <t>巴菲特与索罗斯的投资习惯</t>
  </si>
  <si>
    <t>马克·泰尔</t>
  </si>
  <si>
    <t>格雷厄姆</t>
  </si>
  <si>
    <t>笑傲股市</t>
  </si>
  <si>
    <t>威廉·欧奈尔</t>
  </si>
  <si>
    <t>大投机家</t>
  </si>
  <si>
    <t>安德烈·科斯托拉尼</t>
  </si>
  <si>
    <t>叶檀</t>
  </si>
  <si>
    <t>“错误”的行为</t>
  </si>
  <si>
    <t>理查德·塞勒</t>
  </si>
  <si>
    <t>金融的本质</t>
  </si>
  <si>
    <t>滚雪球：巴菲特和他的财富人生</t>
  </si>
  <si>
    <t>艾利斯·施罗德</t>
  </si>
  <si>
    <t>路上读书</t>
  </si>
  <si>
    <t>一本书看透股权架构</t>
  </si>
  <si>
    <t>李利威</t>
  </si>
  <si>
    <t>中国创投20年</t>
  </si>
  <si>
    <t>陈友忠，刘曼红，廖俊霞</t>
  </si>
  <si>
    <t>投资者的敌人</t>
  </si>
  <si>
    <t>金融投资400年</t>
  </si>
  <si>
    <t>查尔斯·马凯，约瑟夫·德·拉·维加</t>
  </si>
  <si>
    <t>私人银行</t>
  </si>
  <si>
    <t>鲍里斯·科勒迪</t>
  </si>
  <si>
    <t>市场的逻辑</t>
  </si>
  <si>
    <t>张维迎</t>
  </si>
  <si>
    <t>股票大作手回忆录</t>
  </si>
  <si>
    <t>埃德温·勒菲弗</t>
  </si>
  <si>
    <t>投资革命：移动互联网时代的资产管理</t>
  </si>
  <si>
    <t>肖风</t>
  </si>
  <si>
    <t>资产配置的艺术</t>
  </si>
  <si>
    <t>戴维·M·达斯特</t>
  </si>
  <si>
    <t>梦想与浮沉：A股十年上市博弈</t>
  </si>
  <si>
    <t>王骥跃，班妮</t>
  </si>
  <si>
    <t>大交易</t>
  </si>
  <si>
    <t>布鲁斯·瓦瑟斯坦</t>
  </si>
  <si>
    <t>阿比吉特·班纳吉，埃斯特·迪弗洛</t>
  </si>
  <si>
    <t>新财富管理</t>
  </si>
  <si>
    <t>哈罗德·埃文斯基，斯蒂芬·M·霍伦，托马斯·R·罗宾逊</t>
  </si>
  <si>
    <t>亚洲教父</t>
  </si>
  <si>
    <t>乔·史塔威尔</t>
  </si>
  <si>
    <t>股市真规则</t>
  </si>
  <si>
    <t>帕特·多尔西</t>
  </si>
  <si>
    <t>一本书看透信贷</t>
  </si>
  <si>
    <t>何华平</t>
  </si>
  <si>
    <t>江恩华尔街45年</t>
  </si>
  <si>
    <t>威廉·江恩</t>
  </si>
  <si>
    <t>资本之王</t>
  </si>
  <si>
    <t>戴维·凯里</t>
  </si>
  <si>
    <t>新卖橘者言</t>
  </si>
  <si>
    <t>张五常</t>
  </si>
  <si>
    <t>海龟交易法则</t>
  </si>
  <si>
    <t>柯蒂斯·费思</t>
  </si>
  <si>
    <t>股市趋势技术分析</t>
  </si>
  <si>
    <t>罗伯特·爱德华兹</t>
  </si>
  <si>
    <t>简单统计学</t>
  </si>
  <si>
    <t>加里·史密斯</t>
  </si>
  <si>
    <t>门口的野蛮人</t>
  </si>
  <si>
    <t>布赖恩·伯勒</t>
  </si>
  <si>
    <t>巴菲特之道</t>
  </si>
  <si>
    <t>罗伯特·哈格斯特朗</t>
  </si>
  <si>
    <t>说谎者的扑克牌</t>
  </si>
  <si>
    <t>黄金简史</t>
  </si>
  <si>
    <t>彼得·伯恩斯坦</t>
  </si>
  <si>
    <t>罗蒙</t>
  </si>
  <si>
    <t>复盘网飞</t>
  </si>
  <si>
    <t>马克·伦道夫</t>
  </si>
  <si>
    <t>陈聪明</t>
  </si>
  <si>
    <t>金钱暗流</t>
  </si>
  <si>
    <t>简.迈耶</t>
  </si>
  <si>
    <t>未来银行</t>
  </si>
  <si>
    <t>乔纳森·马米兰</t>
  </si>
  <si>
    <t>4..99</t>
  </si>
  <si>
    <t>财富的起源</t>
    <phoneticPr fontId="2" type="noConversion"/>
  </si>
  <si>
    <t xml:space="preserve">埃里克·拜因霍克 </t>
    <phoneticPr fontId="2" type="noConversion"/>
  </si>
  <si>
    <t>章永宏</t>
    <phoneticPr fontId="2" type="noConversion"/>
  </si>
  <si>
    <t>中间人经济</t>
    <phoneticPr fontId="2" type="noConversion"/>
  </si>
  <si>
    <t xml:space="preserve">玛丽娜·克拉科夫斯基 </t>
    <phoneticPr fontId="2" type="noConversion"/>
  </si>
  <si>
    <t>陈曦</t>
    <phoneticPr fontId="2" type="noConversion"/>
  </si>
  <si>
    <t>一本书读懂财报</t>
    <phoneticPr fontId="2" type="noConversion"/>
  </si>
  <si>
    <t>肖星</t>
    <phoneticPr fontId="2" type="noConversion"/>
  </si>
  <si>
    <t>刘美</t>
    <phoneticPr fontId="2" type="noConversion"/>
  </si>
  <si>
    <t>创业</t>
  </si>
  <si>
    <t>事实（上）</t>
  </si>
  <si>
    <t>创新公司</t>
  </si>
  <si>
    <t>艾德·卡特姆/埃米·华莱士</t>
  </si>
  <si>
    <t>一网打尽</t>
  </si>
  <si>
    <t>布拉德·斯通</t>
  </si>
  <si>
    <t>一胜九败：优衣库风靡全球的秘密</t>
  </si>
  <si>
    <t>柳井正</t>
  </si>
  <si>
    <t>鞋狗</t>
  </si>
  <si>
    <t>菲尔·奈特</t>
  </si>
  <si>
    <t>邹大湿</t>
  </si>
  <si>
    <t>孙正义：未来的机遇在哪里</t>
  </si>
  <si>
    <t>井上笃夫</t>
  </si>
  <si>
    <t>钱老师</t>
  </si>
  <si>
    <t>从0到1</t>
  </si>
  <si>
    <t>彼得·蒂尔</t>
  </si>
  <si>
    <t>翻转课堂的可汗学院</t>
  </si>
  <si>
    <t>萨尔曼·可汗</t>
  </si>
  <si>
    <t>重新定义公司:谷歌是如何运营的</t>
  </si>
  <si>
    <t>埃里克·施密特/乔纳森·罗森伯格</t>
  </si>
  <si>
    <t>Facebook效应</t>
  </si>
  <si>
    <t>大卫·柯克帕特里克</t>
  </si>
  <si>
    <t>韩春苗</t>
  </si>
  <si>
    <t>硅谷钢铁侠</t>
  </si>
  <si>
    <t>阿什利·万斯</t>
  </si>
  <si>
    <t>高融</t>
  </si>
  <si>
    <t>单点突破</t>
  </si>
  <si>
    <t>张本伟/赵鑫 /杨琰华</t>
  </si>
  <si>
    <t>施襄</t>
  </si>
  <si>
    <t>四步创业法</t>
  </si>
  <si>
    <t>Steven Gary Blank</t>
  </si>
  <si>
    <t>杨铄今</t>
  </si>
  <si>
    <t>腾讯传(上)</t>
  </si>
  <si>
    <t>腾讯传(下)</t>
  </si>
  <si>
    <t>创业维艰</t>
  </si>
  <si>
    <t>本·霍洛维茨</t>
  </si>
  <si>
    <t>耿伟</t>
  </si>
  <si>
    <t>创业清单</t>
  </si>
  <si>
    <t>戴维·罗斯</t>
  </si>
  <si>
    <t>涂梦珊</t>
  </si>
  <si>
    <t>疯传</t>
  </si>
  <si>
    <t>乔纳·伯杰</t>
  </si>
  <si>
    <t>周华明</t>
  </si>
  <si>
    <t>坏血</t>
  </si>
  <si>
    <t>约翰.卡雷鲁</t>
  </si>
  <si>
    <t>重来</t>
  </si>
  <si>
    <t>贾森·弗里德</t>
  </si>
  <si>
    <t>钱晓芳</t>
  </si>
  <si>
    <t>创业的国度</t>
  </si>
  <si>
    <t>丹·赛诺，索尔·辛格</t>
  </si>
  <si>
    <t>天是</t>
  </si>
  <si>
    <t>创新者的窘境</t>
  </si>
  <si>
    <t>克莱顿·克里斯坦森</t>
  </si>
  <si>
    <t>一页纸的商业计划</t>
  </si>
  <si>
    <t>帕特里克·赖利</t>
  </si>
  <si>
    <t>未来公司</t>
  </si>
  <si>
    <t>亚当·拉辛斯基</t>
  </si>
  <si>
    <t>微创新</t>
  </si>
  <si>
    <t>雅各布·哥登堡</t>
  </si>
  <si>
    <t>严智砾</t>
  </si>
  <si>
    <t>富甲美国</t>
    <phoneticPr fontId="2" type="noConversion"/>
  </si>
  <si>
    <t>山姆·沃尔顿</t>
    <phoneticPr fontId="2" type="noConversion"/>
  </si>
  <si>
    <t>果真</t>
    <phoneticPr fontId="2" type="noConversion"/>
  </si>
  <si>
    <t>管理</t>
  </si>
  <si>
    <t>广告</t>
  </si>
  <si>
    <t>温斯顿·弗莱彻</t>
  </si>
  <si>
    <t>后资本主义社会</t>
  </si>
  <si>
    <t>彼得·德鲁克</t>
  </si>
  <si>
    <t>生命的重建</t>
  </si>
  <si>
    <t>露易丝·海</t>
  </si>
  <si>
    <t>贝加</t>
  </si>
  <si>
    <t>认同</t>
  </si>
  <si>
    <t>约翰P.科特/罗恩A.怀特海德</t>
  </si>
  <si>
    <t>姜韦</t>
  </si>
  <si>
    <t>稻盛和夫的实学：经营与会计</t>
  </si>
  <si>
    <t>稻盛和夫</t>
  </si>
  <si>
    <t>哈佛商学院最受欢迎的领导课</t>
  </si>
  <si>
    <t>罗伯特·史蒂夫·卡普兰</t>
  </si>
  <si>
    <t>华为团队工作法</t>
  </si>
  <si>
    <t>卓有成效的管理者</t>
  </si>
  <si>
    <t>罗伯特议事规则</t>
  </si>
  <si>
    <t>亨利·罗伯特</t>
  </si>
  <si>
    <t>精要主义</t>
  </si>
  <si>
    <t>格雷戈·麦吉沃恩</t>
  </si>
  <si>
    <t>谈判力</t>
  </si>
  <si>
    <t>费希尔/尤里/巴顿</t>
  </si>
  <si>
    <t>熊浩</t>
  </si>
  <si>
    <t>商业的本质</t>
  </si>
  <si>
    <t>杰克·韦尔奇，苏茜·韦尔奇</t>
  </si>
  <si>
    <t>曾言</t>
  </si>
  <si>
    <t>影响力</t>
  </si>
  <si>
    <t>罗伯特·西奥迪尼</t>
  </si>
  <si>
    <t>佳佳</t>
  </si>
  <si>
    <t>定位</t>
  </si>
  <si>
    <t>艾·里斯/杰克·特劳特</t>
  </si>
  <si>
    <t>22条商规</t>
  </si>
  <si>
    <t>笛卡尔</t>
  </si>
  <si>
    <t>创新与企业家精神</t>
  </si>
  <si>
    <t>品牌洗脑</t>
  </si>
  <si>
    <t>马丁·林斯特龙</t>
  </si>
  <si>
    <t>天宇</t>
  </si>
  <si>
    <t>销售就是要玩转情商</t>
  </si>
  <si>
    <t>科林·斯坦利</t>
  </si>
  <si>
    <t>上瘾</t>
  </si>
  <si>
    <t>尼尔·埃亚尔、瑞安·胡佛</t>
  </si>
  <si>
    <t>柳叶刀</t>
  </si>
  <si>
    <t>第五项修炼</t>
  </si>
  <si>
    <t>彼得·圣吉</t>
  </si>
  <si>
    <t>先发影响力</t>
  </si>
  <si>
    <t>罗伯特·B.西奥迪尼</t>
  </si>
  <si>
    <t>足球经济学：为什么英格兰总是输？</t>
  </si>
  <si>
    <t>西蒙·库珀/史蒂芬·西曼斯基</t>
  </si>
  <si>
    <t>横向领导力</t>
  </si>
  <si>
    <t>罗杰·费希尔</t>
  </si>
  <si>
    <t>少堂</t>
  </si>
  <si>
    <t>不懂说话你怎么带团队</t>
  </si>
  <si>
    <t>吉田幸弘</t>
  </si>
  <si>
    <t>知的资本论：茑屋书店的经营之道</t>
  </si>
  <si>
    <t>增田宗昭</t>
  </si>
  <si>
    <t>曹莺</t>
  </si>
  <si>
    <t>领导者的资质</t>
  </si>
  <si>
    <t>罗国凯</t>
  </si>
  <si>
    <t>关键冲突</t>
  </si>
  <si>
    <t>科里·帕特森 / 约瑟夫·格雷尼 / 罗恩·麦克</t>
  </si>
  <si>
    <t>大锤</t>
  </si>
  <si>
    <t>驱动力</t>
  </si>
  <si>
    <t>丹尼尔·平克</t>
  </si>
  <si>
    <t>指数型组织</t>
  </si>
  <si>
    <t>萨利姆·伊斯梅尔，迈克尔·马隆</t>
  </si>
  <si>
    <t>基业长青</t>
  </si>
  <si>
    <t>吉姆·柯林斯/杰里·波勒斯</t>
  </si>
  <si>
    <t>浦宇平</t>
  </si>
  <si>
    <t>赢</t>
  </si>
  <si>
    <t xml:space="preserve">杰克·韦尔奇，苏茜·韦尔奇 </t>
  </si>
  <si>
    <t>我在通用汽车的岁月</t>
  </si>
  <si>
    <t>艾尔弗雷德·P.斯隆</t>
  </si>
  <si>
    <t>竞争战略论</t>
  </si>
  <si>
    <t>琼·玛格丽塔</t>
  </si>
  <si>
    <t>领导力21法则</t>
  </si>
  <si>
    <t>约翰·马克斯维尔</t>
  </si>
  <si>
    <t>从优秀到卓越</t>
  </si>
  <si>
    <t>吉姆·柯林斯</t>
  </si>
  <si>
    <t>思考力：潮爆东京大学的思维公开课</t>
  </si>
  <si>
    <t>上田正仁</t>
  </si>
  <si>
    <t>演讲的力量</t>
  </si>
  <si>
    <t xml:space="preserve">克里斯·安德森 </t>
  </si>
  <si>
    <t>亚历克斯·弗格森</t>
  </si>
  <si>
    <t>王利杰</t>
  </si>
  <si>
    <t>原则</t>
  </si>
  <si>
    <t>瑞·达利欧</t>
  </si>
  <si>
    <t>大数据时代资本主义的重塑</t>
  </si>
  <si>
    <t>维克托·舍恩伯格/托马斯·拉姆什</t>
  </si>
  <si>
    <t>沃顿商学院最受欢迎的谈判课</t>
  </si>
  <si>
    <t>斯图尔特·戴蒙德</t>
  </si>
  <si>
    <t>陈泓霖</t>
  </si>
  <si>
    <t>领导变革</t>
  </si>
  <si>
    <t>约翰·科特</t>
  </si>
  <si>
    <t>章郎</t>
  </si>
  <si>
    <t>平衡计分卡</t>
  </si>
  <si>
    <t>罗伯特·卡普兰/大卫·诺顿</t>
  </si>
  <si>
    <t>组织能力的杨三角</t>
  </si>
  <si>
    <t>战略历程</t>
  </si>
  <si>
    <t>亨利·明茨伯格</t>
  </si>
  <si>
    <t>哈佛商学院的项目管理课</t>
  </si>
  <si>
    <t>皮埃尔</t>
  </si>
  <si>
    <t>赋能</t>
  </si>
  <si>
    <t>斯坦利•麦克里斯特尔</t>
  </si>
  <si>
    <t>重新定义团队</t>
  </si>
  <si>
    <t>拉斯洛•博克</t>
  </si>
  <si>
    <t>金字塔原理</t>
  </si>
  <si>
    <t>芭芭拉 · 明托</t>
  </si>
  <si>
    <t>蓝海战略</t>
  </si>
  <si>
    <t>W.钱·金</t>
  </si>
  <si>
    <t>高绩效教练</t>
  </si>
  <si>
    <t xml:space="preserve">约翰.惠特默 </t>
  </si>
  <si>
    <t>CEO说</t>
  </si>
  <si>
    <t xml:space="preserve">拉姆·查兰 </t>
  </si>
  <si>
    <t>好战略,坏战略</t>
  </si>
  <si>
    <t>理查德·鲁梅尔特</t>
  </si>
  <si>
    <t>联盟</t>
  </si>
  <si>
    <t>里德·霍夫曼，本·卡斯诺查，克里斯·叶</t>
  </si>
  <si>
    <t>商战</t>
  </si>
  <si>
    <t>艾·里斯，杰克·特劳特</t>
  </si>
  <si>
    <t>林西</t>
  </si>
  <si>
    <t>10人以下小团队管理手册</t>
  </si>
  <si>
    <t>崛之内克彦</t>
  </si>
  <si>
    <t>阿米巴经营</t>
  </si>
  <si>
    <t>张独白</t>
  </si>
  <si>
    <t>隐形冠军</t>
  </si>
  <si>
    <t>赫尔曼·西蒙</t>
  </si>
  <si>
    <t>赵航</t>
  </si>
  <si>
    <t>首先，打破一切常规</t>
  </si>
  <si>
    <t>马库斯·白金汉，柯特·科夫曼</t>
  </si>
  <si>
    <t>高尚君</t>
  </si>
  <si>
    <t>德鲁克经典五问</t>
  </si>
  <si>
    <t>公司的概念</t>
  </si>
  <si>
    <t>成果管理</t>
  </si>
  <si>
    <t>管理：任务、责任和实践</t>
  </si>
  <si>
    <t>非营利组织的管理</t>
  </si>
  <si>
    <t>重新定义公司：谷歌是如何运营的</t>
  </si>
  <si>
    <t>埃里克·施密特</t>
  </si>
  <si>
    <t>别让猴子跳回背上</t>
  </si>
  <si>
    <t>威廉·安肯三世</t>
  </si>
  <si>
    <t>董本泉</t>
  </si>
  <si>
    <t>人月神话</t>
  </si>
  <si>
    <t>弗雷德里克·布鲁克斯</t>
  </si>
  <si>
    <t>王福强</t>
  </si>
  <si>
    <t>变革中的管理</t>
  </si>
  <si>
    <t>已经发生的未来</t>
  </si>
  <si>
    <t>管理未来</t>
  </si>
  <si>
    <t>德鲁克52周教练指南</t>
  </si>
  <si>
    <t>约瑟夫·马恰列洛</t>
  </si>
  <si>
    <t>21世纪的管理挑战</t>
  </si>
  <si>
    <t>下一个社会的管理</t>
  </si>
  <si>
    <t>德鲁克的最后忠告</t>
  </si>
  <si>
    <t>伊丽莎白·哈斯·埃德莎姆</t>
  </si>
  <si>
    <t>德鲁克管理思想精要</t>
  </si>
  <si>
    <t>光环效应</t>
  </si>
  <si>
    <t>罗森维</t>
  </si>
  <si>
    <t>底特律往事</t>
  </si>
  <si>
    <t>比尔·弗拉斯科</t>
  </si>
  <si>
    <t>任天堂哲学</t>
  </si>
  <si>
    <t>井上理</t>
  </si>
  <si>
    <t>野猪佩奇</t>
  </si>
  <si>
    <t>价格游戏</t>
  </si>
  <si>
    <t>利·考德威尔</t>
  </si>
  <si>
    <t>谭笑</t>
  </si>
  <si>
    <t>战略思维</t>
  </si>
  <si>
    <t>大卫•尤费</t>
  </si>
  <si>
    <t>走过低谷、见过高山</t>
  </si>
  <si>
    <t xml:space="preserve">阿曼达•斯坦伯格 </t>
  </si>
  <si>
    <t>阿里铁军</t>
    <phoneticPr fontId="2" type="noConversion"/>
  </si>
  <si>
    <t>宋金波、韩福东</t>
    <phoneticPr fontId="2" type="noConversion"/>
  </si>
  <si>
    <t>陈聪明</t>
    <phoneticPr fontId="2" type="noConversion"/>
  </si>
  <si>
    <t>合理的怀疑</t>
    <phoneticPr fontId="2" type="noConversion"/>
  </si>
  <si>
    <t>亚伦·德肖维茨</t>
    <phoneticPr fontId="2" type="noConversion"/>
  </si>
  <si>
    <t>乔乔</t>
    <phoneticPr fontId="2" type="noConversion"/>
  </si>
  <si>
    <t>全员</t>
    <phoneticPr fontId="2" type="noConversion"/>
  </si>
  <si>
    <t>斯坦福商业决策课</t>
    <phoneticPr fontId="2" type="noConversion"/>
  </si>
  <si>
    <t>卡尔•斯佩茨勒</t>
    <phoneticPr fontId="2" type="noConversion"/>
  </si>
  <si>
    <t>多样性团队</t>
    <phoneticPr fontId="2" type="noConversion"/>
  </si>
  <si>
    <t>马修·萨伊德</t>
    <phoneticPr fontId="2" type="noConversion"/>
  </si>
  <si>
    <t>西蒙</t>
    <phoneticPr fontId="2" type="noConversion"/>
  </si>
  <si>
    <t>不拘一格</t>
    <phoneticPr fontId="2" type="noConversion"/>
  </si>
  <si>
    <t>里德·哈斯廷斯</t>
    <phoneticPr fontId="2" type="noConversion"/>
  </si>
  <si>
    <t>国学</t>
  </si>
  <si>
    <t>明夷待访录</t>
  </si>
  <si>
    <t>黄宗羲</t>
  </si>
  <si>
    <t>萧三匝</t>
  </si>
  <si>
    <t>科技</t>
  </si>
  <si>
    <t>智能时代</t>
  </si>
  <si>
    <t>吴军</t>
  </si>
  <si>
    <t>蔡书腾</t>
  </si>
  <si>
    <t>基因</t>
  </si>
  <si>
    <t>悉达多·穆克吉</t>
  </si>
  <si>
    <t>平行宇宙</t>
  </si>
  <si>
    <t>乔舒亚·贝克尔</t>
  </si>
  <si>
    <t>王爽</t>
  </si>
  <si>
    <t>数据的真相</t>
  </si>
  <si>
    <t>约翰·H·约翰逊/迈克·格鲁克</t>
  </si>
  <si>
    <t>陈不易</t>
  </si>
  <si>
    <t>大数据时代</t>
  </si>
  <si>
    <t>维克托·迈尔·舍恩伯格</t>
  </si>
  <si>
    <t>马维</t>
  </si>
  <si>
    <t>浪潮之巅</t>
  </si>
  <si>
    <t>创新者</t>
  </si>
  <si>
    <t>沃尔特·艾萨克森</t>
  </si>
  <si>
    <t>蒯大平</t>
  </si>
  <si>
    <t>从一到无穷大</t>
  </si>
  <si>
    <t>乔治•伽莫夫</t>
  </si>
  <si>
    <t>生命3.0</t>
  </si>
  <si>
    <t>迈克斯·泰格马克</t>
  </si>
  <si>
    <t>码书：编码与解码的战争</t>
  </si>
  <si>
    <t>西蒙·辛格</t>
  </si>
  <si>
    <t>生命是什么</t>
  </si>
  <si>
    <t>埃尔温·薛定谔</t>
  </si>
  <si>
    <t>低智商社会</t>
  </si>
  <si>
    <t>大前研一</t>
  </si>
  <si>
    <t>人工智能时代</t>
  </si>
  <si>
    <t>杰瑞·卡普兰</t>
  </si>
  <si>
    <t>黄淼</t>
  </si>
  <si>
    <t>科技想要什么</t>
  </si>
  <si>
    <t>必然</t>
  </si>
  <si>
    <t>周峰</t>
  </si>
  <si>
    <t>王康</t>
  </si>
  <si>
    <t>费曼讲物理</t>
  </si>
  <si>
    <t>理查德·费曼</t>
  </si>
  <si>
    <t>张帆</t>
  </si>
  <si>
    <t>无人驾驶</t>
  </si>
  <si>
    <t>胡迪·利普森/梅尔芭·库曼</t>
  </si>
  <si>
    <t>Hana</t>
  </si>
  <si>
    <t>区块链：从数字货币到信用社会</t>
  </si>
  <si>
    <t>长铗/韩锋</t>
  </si>
  <si>
    <t>区块链：技术驱动金融</t>
  </si>
  <si>
    <t>阿尔文德 / 约什/ 爱德华/ 安德鲁 /史蒂文</t>
  </si>
  <si>
    <t>若风</t>
  </si>
  <si>
    <t>大爆炸简史</t>
  </si>
  <si>
    <t>机器崛起</t>
  </si>
  <si>
    <t>托马斯·瑞德</t>
  </si>
  <si>
    <t>黑客与画家</t>
  </si>
  <si>
    <t>保罗·格雷厄姆</t>
  </si>
  <si>
    <t>增长黑客</t>
  </si>
  <si>
    <t>肖恩·埃利斯，摩根·布朗</t>
  </si>
  <si>
    <t>数据之巅</t>
  </si>
  <si>
    <t>涂子沛</t>
  </si>
  <si>
    <t>物种起源</t>
  </si>
  <si>
    <t>达尔文</t>
  </si>
  <si>
    <t>唐聘</t>
  </si>
  <si>
    <t>时间简史</t>
  </si>
  <si>
    <t>史蒂芬·霍金</t>
  </si>
  <si>
    <t>孙正凡</t>
  </si>
  <si>
    <t>机器预言家</t>
  </si>
  <si>
    <t>阿杰伊·阿格拉沃尔，约书亚·甘斯，阿维·戈德法布</t>
  </si>
  <si>
    <t>历史</t>
  </si>
  <si>
    <t>我也有一个梦想</t>
  </si>
  <si>
    <t>林达</t>
  </si>
  <si>
    <t>盖琪</t>
  </si>
  <si>
    <t>普法战争</t>
  </si>
  <si>
    <t>杰弗里·瓦夫罗</t>
  </si>
  <si>
    <t>刀劈三观抱老师</t>
  </si>
  <si>
    <t>大变法</t>
  </si>
  <si>
    <t>叶坦</t>
  </si>
  <si>
    <t>古代社会</t>
  </si>
  <si>
    <t>路易斯·亨利·摩尔根</t>
  </si>
  <si>
    <t>历史深处的忧虑</t>
  </si>
  <si>
    <t>剧变</t>
  </si>
  <si>
    <t>贾雷德·戴蒙德</t>
  </si>
  <si>
    <t>吴海云</t>
  </si>
  <si>
    <t>剑桥艺术史：绘画观赏</t>
  </si>
  <si>
    <t>苏珊·伍德福德</t>
  </si>
  <si>
    <t>屈波</t>
  </si>
  <si>
    <t>大流感</t>
  </si>
  <si>
    <t>约翰·M·巴里</t>
  </si>
  <si>
    <t>孔令钰</t>
  </si>
  <si>
    <t>再造文明之梦：胡适传</t>
  </si>
  <si>
    <t>罗志田</t>
  </si>
  <si>
    <t>吴昳西</t>
  </si>
  <si>
    <t>卡内基自传</t>
  </si>
  <si>
    <t>安德鲁·卡内基</t>
  </si>
  <si>
    <t>艾伦·图灵传</t>
  </si>
  <si>
    <t>安德鲁·霍奇斯</t>
  </si>
  <si>
    <t>摩根财团(上)</t>
  </si>
  <si>
    <t>罗恩.彻诺</t>
  </si>
  <si>
    <t>摩根财团(下)</t>
  </si>
  <si>
    <t>我的一个世纪</t>
  </si>
  <si>
    <t>董竹君</t>
  </si>
  <si>
    <t>顾亚欣</t>
  </si>
  <si>
    <t>慈禧全传（上）</t>
  </si>
  <si>
    <t>高阳</t>
  </si>
  <si>
    <t>慈禧全传（下）</t>
  </si>
  <si>
    <t>德川家康</t>
  </si>
  <si>
    <t>山冈庄八</t>
  </si>
  <si>
    <t>公孙策</t>
  </si>
  <si>
    <t>隋文帝传</t>
  </si>
  <si>
    <t>韩昇</t>
  </si>
  <si>
    <t>阿穆</t>
  </si>
  <si>
    <t>恺撒：巨人的一生</t>
  </si>
  <si>
    <t>戈兹沃西</t>
  </si>
  <si>
    <t>昱初</t>
  </si>
  <si>
    <t>林奈传</t>
  </si>
  <si>
    <t>维尔弗里德·布兰特</t>
  </si>
  <si>
    <t>张锋</t>
  </si>
  <si>
    <t>丰子恺自述</t>
  </si>
  <si>
    <t>丰子恺</t>
  </si>
  <si>
    <t>姜自得</t>
  </si>
  <si>
    <t>探秘古埃及</t>
  </si>
  <si>
    <t>伊恩·肖</t>
  </si>
  <si>
    <t>水镜</t>
  </si>
  <si>
    <t>香料传奇</t>
  </si>
  <si>
    <t>杰克·特纳</t>
  </si>
  <si>
    <t>狂飞</t>
  </si>
  <si>
    <t>金翼</t>
  </si>
  <si>
    <t>林耀华</t>
  </si>
  <si>
    <t>辛允星</t>
  </si>
  <si>
    <t>张大千传奇</t>
  </si>
  <si>
    <t>唐太宗传</t>
  </si>
  <si>
    <t>许道勋、赵克尧</t>
  </si>
  <si>
    <t>福柯 </t>
  </si>
  <si>
    <t>加里·古廷</t>
  </si>
  <si>
    <t>韩梅梅</t>
  </si>
  <si>
    <t>武则天传</t>
  </si>
  <si>
    <t>雷家骥</t>
  </si>
  <si>
    <t>白石老人自述</t>
  </si>
  <si>
    <t>齐白石</t>
  </si>
  <si>
    <t>卓别林自传</t>
  </si>
  <si>
    <t>卓别林</t>
  </si>
  <si>
    <t>舒兰</t>
  </si>
  <si>
    <t>林肯传</t>
  </si>
  <si>
    <t>戴尔·卡内基</t>
  </si>
  <si>
    <t>阿加莎·克里斯蒂自传</t>
  </si>
  <si>
    <t>阿加莎·克里斯蒂</t>
  </si>
  <si>
    <t>宁徽</t>
  </si>
  <si>
    <t>杨振宁传</t>
  </si>
  <si>
    <t>杨建邺</t>
  </si>
  <si>
    <t>马克·吐温自传</t>
  </si>
  <si>
    <t>马克·吐温</t>
  </si>
  <si>
    <t>马基雅维里</t>
  </si>
  <si>
    <t>昆廷·斯金纳</t>
  </si>
  <si>
    <t>仲闻</t>
  </si>
  <si>
    <t>朱元璋传</t>
  </si>
  <si>
    <t>吴晗</t>
  </si>
  <si>
    <t>纪浩鹏</t>
  </si>
  <si>
    <t>泰戈尔传</t>
  </si>
  <si>
    <t>克里希那·克里巴拉尼</t>
  </si>
  <si>
    <t>人类简史</t>
  </si>
  <si>
    <t>勒菲弗</t>
  </si>
  <si>
    <t>潜规则</t>
  </si>
  <si>
    <t>吴思</t>
  </si>
  <si>
    <t>舌尖上的历史</t>
  </si>
  <si>
    <t>汤姆·斯坦迪奇</t>
  </si>
  <si>
    <t>鲍勃迪伦·编年史</t>
  </si>
  <si>
    <t>鲍勃·迪伦</t>
  </si>
  <si>
    <t>周云蓬</t>
  </si>
  <si>
    <t>御窑千年</t>
  </si>
  <si>
    <t>阎崇年</t>
  </si>
  <si>
    <t>紫藤居士</t>
  </si>
  <si>
    <t>富兰克林自传</t>
  </si>
  <si>
    <t>富兰克林</t>
  </si>
  <si>
    <t>云也退</t>
  </si>
  <si>
    <t>如彗星划过夜空</t>
  </si>
  <si>
    <t>资本主义</t>
  </si>
  <si>
    <t>富尔彻</t>
  </si>
  <si>
    <t>马可波罗游记</t>
  </si>
  <si>
    <t>马可·波罗</t>
  </si>
  <si>
    <t>掌柜</t>
  </si>
  <si>
    <t>未来简史</t>
  </si>
  <si>
    <t>尤瓦尔·赫拉利</t>
  </si>
  <si>
    <t>罗马帝国衰亡史（上）</t>
  </si>
  <si>
    <t>爱德华·吉本</t>
  </si>
  <si>
    <t>修木</t>
  </si>
  <si>
    <t>罗马帝国衰亡史（下）</t>
  </si>
  <si>
    <t>袁崇焕传（上）</t>
  </si>
  <si>
    <t>袁崇焕传（下）</t>
  </si>
  <si>
    <t>袁崇焕</t>
  </si>
  <si>
    <t>气候文明史</t>
  </si>
  <si>
    <t>田家康</t>
  </si>
  <si>
    <t>林雨</t>
  </si>
  <si>
    <t>旧制度与大革命</t>
  </si>
  <si>
    <t>亚历西斯·德·托克维尔</t>
  </si>
  <si>
    <t>崔岩</t>
  </si>
  <si>
    <t>韩非</t>
  </si>
  <si>
    <t>哈佛中国史·秦与汉</t>
  </si>
  <si>
    <t>陆威仪</t>
  </si>
  <si>
    <t>孙萌露</t>
  </si>
  <si>
    <t>杨宽</t>
  </si>
  <si>
    <t>光荣与梦想</t>
  </si>
  <si>
    <t>威廉·曼彻斯特</t>
  </si>
  <si>
    <t>钱乘旦，许洁明</t>
  </si>
  <si>
    <t>曾国藩的正面与侧面</t>
  </si>
  <si>
    <t>历代经济变革得失</t>
  </si>
  <si>
    <t>你一定爱读的极简欧洲史</t>
  </si>
  <si>
    <t>约翰·赫斯特</t>
  </si>
  <si>
    <t>南明史</t>
  </si>
  <si>
    <t>顾诚</t>
  </si>
  <si>
    <t>经济学视角下的中国大历史</t>
  </si>
  <si>
    <t>高小勇</t>
  </si>
  <si>
    <t>第三帝国的兴亡</t>
  </si>
  <si>
    <t>威廉·夏伊勒</t>
  </si>
  <si>
    <t>说中国</t>
  </si>
  <si>
    <t>许倬云</t>
  </si>
  <si>
    <t>丝绸之路</t>
  </si>
  <si>
    <t>彼得·弗兰科潘</t>
  </si>
  <si>
    <t>敦刻尔克</t>
  </si>
  <si>
    <t>沃尔特·劳德</t>
  </si>
  <si>
    <t>天朝的崩溃</t>
  </si>
  <si>
    <t>茅海建</t>
  </si>
  <si>
    <t>中国国民性演变历程</t>
  </si>
  <si>
    <t>阿历克西·德·托克维尔</t>
  </si>
  <si>
    <t>亚历山大</t>
  </si>
  <si>
    <t>菲利普·弗里曼</t>
  </si>
  <si>
    <t>明代文人的命运</t>
  </si>
  <si>
    <t>樊树志</t>
  </si>
  <si>
    <t>百年战争简史</t>
  </si>
  <si>
    <t>德斯蒙德·苏厄德</t>
  </si>
  <si>
    <t>蒋介石与现代中国</t>
  </si>
  <si>
    <t>陶涵</t>
  </si>
  <si>
    <t>1944：松山战役笔记</t>
  </si>
  <si>
    <t>余戈</t>
  </si>
  <si>
    <t>食物探险者</t>
  </si>
  <si>
    <t>丹尼尔·斯通</t>
  </si>
  <si>
    <t>床的人类史</t>
  </si>
  <si>
    <t>布莱恩·费根</t>
  </si>
  <si>
    <t>北京城的生命印记</t>
  </si>
  <si>
    <t>侯仁之</t>
  </si>
  <si>
    <t>无规则游戏</t>
  </si>
  <si>
    <t>塔米姆•安萨利</t>
  </si>
  <si>
    <t>历史三调</t>
  </si>
  <si>
    <t>柯文</t>
  </si>
  <si>
    <t>成成</t>
  </si>
  <si>
    <t>南斯拉夫通史</t>
  </si>
  <si>
    <t>马细谱</t>
  </si>
  <si>
    <t>王安石传</t>
  </si>
  <si>
    <t>梁启超</t>
  </si>
  <si>
    <t>流浪诗人</t>
  </si>
  <si>
    <t>逝去的武林</t>
  </si>
  <si>
    <t>李仲轩</t>
  </si>
  <si>
    <t>波兰史</t>
  </si>
  <si>
    <t>亚当·扎莫伊斯基</t>
  </si>
  <si>
    <t>以色列：一个民族的重生</t>
  </si>
  <si>
    <t>丹尼尔·戈迪斯</t>
  </si>
  <si>
    <t>陈晨</t>
  </si>
  <si>
    <t>寡头政治</t>
  </si>
  <si>
    <t>J.马克·拉姆塞耶</t>
  </si>
  <si>
    <t>欧洲之门</t>
  </si>
  <si>
    <t>谢尔希•浦洛基</t>
  </si>
  <si>
    <t>新加坡史</t>
  </si>
  <si>
    <t xml:space="preserve">C•玛丽•藤布尔 </t>
  </si>
  <si>
    <t>南北战争三百年</t>
    <phoneticPr fontId="2" type="noConversion"/>
  </si>
  <si>
    <t>李硕</t>
    <phoneticPr fontId="2" type="noConversion"/>
  </si>
  <si>
    <t>斯大林格勒1942</t>
    <phoneticPr fontId="2" type="noConversion"/>
  </si>
  <si>
    <t>安东尼·比弗</t>
    <phoneticPr fontId="2" type="noConversion"/>
  </si>
  <si>
    <t>刀劈三观抱老师</t>
    <phoneticPr fontId="2" type="noConversion"/>
  </si>
  <si>
    <t>BBC苏格兰史</t>
    <phoneticPr fontId="2" type="noConversion"/>
  </si>
  <si>
    <t xml:space="preserve">  尼尔·奥利弗</t>
    <phoneticPr fontId="2" type="noConversion"/>
  </si>
  <si>
    <t>第三帝国的兴亡</t>
    <phoneticPr fontId="2" type="noConversion"/>
  </si>
  <si>
    <t xml:space="preserve">威廉·夏伊勒 </t>
    <phoneticPr fontId="2" type="noConversion"/>
  </si>
  <si>
    <t>阿穆</t>
    <phoneticPr fontId="2" type="noConversion"/>
  </si>
  <si>
    <t>从神话到历史</t>
    <phoneticPr fontId="2" type="noConversion"/>
  </si>
  <si>
    <t>宫本一夫</t>
    <phoneticPr fontId="2" type="noConversion"/>
  </si>
  <si>
    <t>非为</t>
    <phoneticPr fontId="2" type="noConversion"/>
  </si>
  <si>
    <t>当世界年轻的时候</t>
    <phoneticPr fontId="2" type="noConversion"/>
  </si>
  <si>
    <t xml:space="preserve">倪慧如 / 邹宁远
</t>
    <phoneticPr fontId="2" type="noConversion"/>
  </si>
  <si>
    <t>转动罗盘：葡萄牙史</t>
    <phoneticPr fontId="2" type="noConversion"/>
  </si>
  <si>
    <t>戴维 •伯明翰</t>
    <phoneticPr fontId="2" type="noConversion"/>
  </si>
  <si>
    <t>人类飞翔史</t>
    <phoneticPr fontId="2" type="noConversion"/>
  </si>
  <si>
    <t>夏尔·多尔菲斯</t>
    <phoneticPr fontId="2" type="noConversion"/>
  </si>
  <si>
    <t>林雨</t>
    <phoneticPr fontId="2" type="noConversion"/>
  </si>
  <si>
    <t>亲子</t>
  </si>
  <si>
    <t>正面管教</t>
  </si>
  <si>
    <t>林瑜</t>
  </si>
  <si>
    <t>由内而外的教养</t>
  </si>
  <si>
    <t>丹尼尔·西格尔/玛丽·哈策尔</t>
  </si>
  <si>
    <t>黎明</t>
  </si>
  <si>
    <t>给孩子的未来脑计划</t>
  </si>
  <si>
    <t>魏坤琳</t>
  </si>
  <si>
    <t>有吸收力的心灵</t>
  </si>
  <si>
    <t>玛丽亚·蒙台梭利 </t>
  </si>
  <si>
    <t>于玲娜</t>
  </si>
  <si>
    <t>童年的秘密</t>
  </si>
  <si>
    <t>玛丽亚·蒙台梭利</t>
  </si>
  <si>
    <t>托德老师</t>
  </si>
  <si>
    <t>小夜曲</t>
  </si>
  <si>
    <t>石黑一雄</t>
  </si>
  <si>
    <t>游戏力II</t>
  </si>
  <si>
    <t>劳伦斯·科恩</t>
  </si>
  <si>
    <t>孙曙</t>
  </si>
  <si>
    <t>无条件养育</t>
  </si>
  <si>
    <t>艾尔菲.科恩</t>
  </si>
  <si>
    <t>高效能家庭的7个习惯</t>
  </si>
  <si>
    <t>史蒂芬・柯维</t>
  </si>
  <si>
    <t>安牧</t>
  </si>
  <si>
    <t>如何让孩子成年有成人</t>
  </si>
  <si>
    <t>朱莉•利思科特-海姆斯</t>
  </si>
  <si>
    <t>学习树</t>
    <phoneticPr fontId="2" type="noConversion"/>
  </si>
  <si>
    <t>斯坦利·格林斯潘</t>
    <phoneticPr fontId="2" type="noConversion"/>
  </si>
  <si>
    <t>魔法岁月</t>
    <phoneticPr fontId="2" type="noConversion"/>
  </si>
  <si>
    <t>塞尔玛•弗雷伯格</t>
    <phoneticPr fontId="2" type="noConversion"/>
  </si>
  <si>
    <t>妈妈教的数学</t>
    <phoneticPr fontId="2" type="noConversion"/>
  </si>
  <si>
    <t>孙路弘</t>
    <phoneticPr fontId="2" type="noConversion"/>
  </si>
  <si>
    <t>止戈为武</t>
    <phoneticPr fontId="2" type="noConversion"/>
  </si>
  <si>
    <t>人文</t>
  </si>
  <si>
    <t>人的自我寻求</t>
  </si>
  <si>
    <t>罗洛·梅</t>
  </si>
  <si>
    <t>蔡燕苏</t>
  </si>
  <si>
    <t>美丽心灵：纳什传</t>
  </si>
  <si>
    <t>西尔维娅·娜萨</t>
  </si>
  <si>
    <t>牛顿传（上）</t>
  </si>
  <si>
    <t>迈克尔·怀特</t>
  </si>
  <si>
    <t>牛顿传（下）</t>
  </si>
  <si>
    <t>天才的编辑</t>
  </si>
  <si>
    <t>A·司各特·伯格</t>
  </si>
  <si>
    <t>让时间治愈一切</t>
  </si>
  <si>
    <t>菲利普·津巴多</t>
  </si>
  <si>
    <t>若杉</t>
  </si>
  <si>
    <t>创造力</t>
  </si>
  <si>
    <t>米哈里·希斯赞特米哈伊</t>
  </si>
  <si>
    <t>善恶之源</t>
  </si>
  <si>
    <t>保罗·布卢姆</t>
  </si>
  <si>
    <t>社交天性</t>
  </si>
  <si>
    <t>马修·利伯曼</t>
  </si>
  <si>
    <t>我们内心的冲突</t>
  </si>
  <si>
    <t>卡伦·霍妮</t>
  </si>
  <si>
    <t>内向性格的竞争力</t>
  </si>
  <si>
    <t>苏珊·凯恩</t>
  </si>
  <si>
    <t>孤独：回归自我</t>
  </si>
  <si>
    <t>安东尼·斯托尔</t>
  </si>
  <si>
    <t>象与骑象人</t>
  </si>
  <si>
    <t>乔纳森·海特</t>
  </si>
  <si>
    <t>德兰修女传</t>
  </si>
  <si>
    <t>华姿</t>
  </si>
  <si>
    <t>在世界与我之间</t>
  </si>
  <si>
    <t>塔那西斯·科茨 </t>
  </si>
  <si>
    <t>上瘾500年</t>
  </si>
  <si>
    <t>戴维・考特莱特</t>
  </si>
  <si>
    <t>圆的方块</t>
  </si>
  <si>
    <t>卡尔•马克思</t>
  </si>
  <si>
    <t>以赛亚·伯林</t>
  </si>
  <si>
    <t>新教伦理与资本主义精神</t>
  </si>
  <si>
    <t>马克斯·韦伯</t>
  </si>
  <si>
    <t>解佳</t>
  </si>
  <si>
    <t>人性论</t>
  </si>
  <si>
    <t>休谟</t>
  </si>
  <si>
    <t>棉花糖实验</t>
  </si>
  <si>
    <t>沃尔特·米歇尔</t>
  </si>
  <si>
    <t>不要用爱控制我</t>
  </si>
  <si>
    <t>帕萃丝·埃文斯</t>
  </si>
  <si>
    <t>人性中的善良天使（上）</t>
  </si>
  <si>
    <t>斯蒂芬·平克</t>
  </si>
  <si>
    <t>人性中的善良天使（下）</t>
  </si>
  <si>
    <t>魅力</t>
  </si>
  <si>
    <t>奥利维亚·卡巴恩</t>
  </si>
  <si>
    <t>赵圆</t>
  </si>
  <si>
    <t>哲学的故事</t>
  </si>
  <si>
    <t>威尔·杜兰特</t>
  </si>
  <si>
    <t>谈谈方法</t>
  </si>
  <si>
    <t>理想国</t>
  </si>
  <si>
    <t>柏拉图</t>
  </si>
  <si>
    <t>王冠</t>
  </si>
  <si>
    <t>活着为了讲述</t>
  </si>
  <si>
    <t xml:space="preserve"> 加西亚·马尔克斯</t>
  </si>
  <si>
    <t>范晔</t>
  </si>
  <si>
    <t>浪漫主义的根源</t>
  </si>
  <si>
    <t>以塞亚·伯林</t>
  </si>
  <si>
    <t>小雪</t>
  </si>
  <si>
    <t>查拉图斯特拉如是说</t>
  </si>
  <si>
    <t>尼采</t>
  </si>
  <si>
    <t>杜尚传</t>
  </si>
  <si>
    <t>朱迪特·伍泽</t>
  </si>
  <si>
    <t>杨方伟</t>
  </si>
  <si>
    <t>梵高传</t>
  </si>
  <si>
    <t>史蒂芬·奈非、史密斯</t>
  </si>
  <si>
    <t>舍丽尔</t>
  </si>
  <si>
    <t>我想飞进天空</t>
  </si>
  <si>
    <t>东田直树</t>
  </si>
  <si>
    <t>季瑾</t>
  </si>
  <si>
    <t>活出生命的意义</t>
  </si>
  <si>
    <t xml:space="preserve">维克多·弗兰克尔 </t>
  </si>
  <si>
    <t>Alex waker</t>
  </si>
  <si>
    <t>存在主义是一种人道主义</t>
  </si>
  <si>
    <t xml:space="preserve">让-保罗·萨特 </t>
  </si>
  <si>
    <t>王光耀</t>
  </si>
  <si>
    <t>智慧书</t>
  </si>
  <si>
    <t>巴尔塔沙·格拉西安</t>
  </si>
  <si>
    <t>西方美术史(上)</t>
  </si>
  <si>
    <t>丁宁</t>
  </si>
  <si>
    <t>君耀</t>
  </si>
  <si>
    <t>西方美术史(下)</t>
  </si>
  <si>
    <t>建筑家安藤忠雄</t>
  </si>
  <si>
    <t>安藤忠雄</t>
  </si>
  <si>
    <t>认识电影</t>
  </si>
  <si>
    <t>路易斯·贾内梯</t>
  </si>
  <si>
    <t>书读完了</t>
  </si>
  <si>
    <t>金克木</t>
  </si>
  <si>
    <t>祖纪妍</t>
  </si>
  <si>
    <t>故事</t>
  </si>
  <si>
    <t>罗伯特·麦基</t>
  </si>
  <si>
    <t>演员自我修养</t>
  </si>
  <si>
    <t>斯坦尼斯拉夫斯基</t>
  </si>
  <si>
    <t>哲学的慰藉</t>
  </si>
  <si>
    <t>阿兰·德波顿</t>
  </si>
  <si>
    <t>人生的智慧</t>
  </si>
  <si>
    <t xml:space="preserve">叔本华 </t>
  </si>
  <si>
    <t>文艺心理学</t>
  </si>
  <si>
    <t>朱光潜</t>
  </si>
  <si>
    <t>姜小白</t>
  </si>
  <si>
    <t>创造自然</t>
  </si>
  <si>
    <t xml:space="preserve">安德烈娅·武尔夫 </t>
  </si>
  <si>
    <t>不居</t>
  </si>
  <si>
    <t>十年一觉电影梦：李安传</t>
  </si>
  <si>
    <t>张靓蓓</t>
  </si>
  <si>
    <t>凌子</t>
  </si>
  <si>
    <t>中国哲学简史(上)</t>
  </si>
  <si>
    <t>冯友兰</t>
  </si>
  <si>
    <t>刘皓平</t>
  </si>
  <si>
    <t>中国哲学简史(下)</t>
  </si>
  <si>
    <t>西方美学史</t>
  </si>
  <si>
    <t>胡潇方/王志</t>
  </si>
  <si>
    <t>史蒂夫·乔布斯传</t>
  </si>
  <si>
    <t>谈美</t>
  </si>
  <si>
    <t>顾差差</t>
  </si>
  <si>
    <t>别逗了，费曼先生</t>
  </si>
  <si>
    <t>拉夫·雷顿</t>
  </si>
  <si>
    <t>南溪</t>
  </si>
  <si>
    <t>孟子</t>
  </si>
  <si>
    <t>曼德拉自传</t>
  </si>
  <si>
    <t>纳尔逊·曼德拉</t>
  </si>
  <si>
    <t>王阳明大传</t>
  </si>
  <si>
    <t>冈田武彦</t>
  </si>
  <si>
    <t>乾隆帝</t>
  </si>
  <si>
    <t>欧立德</t>
  </si>
  <si>
    <t>李鸿章传</t>
  </si>
  <si>
    <t>存在主义咖啡馆</t>
  </si>
  <si>
    <t>莎拉·贝克威尔</t>
  </si>
  <si>
    <t>苏东坡的情感世界</t>
  </si>
  <si>
    <t>龙吟</t>
  </si>
  <si>
    <t>大宋真天子</t>
  </si>
  <si>
    <t>江南提学</t>
  </si>
  <si>
    <t>西交大陆卫明品读《论语》智慧</t>
  </si>
  <si>
    <t>孔子</t>
  </si>
  <si>
    <t>陆卫明</t>
  </si>
  <si>
    <t>我心归处是敦煌</t>
  </si>
  <si>
    <t>樊锦诗</t>
  </si>
  <si>
    <t>我的世界观</t>
  </si>
  <si>
    <t>爱因斯坦</t>
  </si>
  <si>
    <t>法哲学原理</t>
  </si>
  <si>
    <t>黑格尔</t>
  </si>
  <si>
    <t>旅行的艺术</t>
  </si>
  <si>
    <t xml:space="preserve">阿兰·德波顿 </t>
  </si>
  <si>
    <t>感召力</t>
  </si>
  <si>
    <t xml:space="preserve">西蒙·兰卡斯特 </t>
  </si>
  <si>
    <t>IBM帝国缔造者</t>
    <phoneticPr fontId="2" type="noConversion"/>
  </si>
  <si>
    <t>小托马斯·约翰·沃森</t>
    <phoneticPr fontId="2" type="noConversion"/>
  </si>
  <si>
    <t>东东海</t>
    <phoneticPr fontId="2" type="noConversion"/>
  </si>
  <si>
    <t>社交媒体简史</t>
    <phoneticPr fontId="2" type="noConversion"/>
  </si>
  <si>
    <t>汤姆·斯丹迪奇</t>
    <phoneticPr fontId="2" type="noConversion"/>
  </si>
  <si>
    <t>王昉</t>
    <phoneticPr fontId="2" type="noConversion"/>
  </si>
  <si>
    <t>光刻巨人</t>
    <phoneticPr fontId="2" type="noConversion"/>
  </si>
  <si>
    <t>瑞尼·雷吉梅克</t>
    <phoneticPr fontId="2" type="noConversion"/>
  </si>
  <si>
    <t>陈晨</t>
    <phoneticPr fontId="2" type="noConversion"/>
  </si>
  <si>
    <t>社科</t>
  </si>
  <si>
    <t>文明的冲突与世界秩序的重建</t>
  </si>
  <si>
    <t>亨廷顿</t>
  </si>
  <si>
    <t>枢纽</t>
  </si>
  <si>
    <t>施展</t>
  </si>
  <si>
    <t>池骋</t>
  </si>
  <si>
    <t>汤姆·索雷尔</t>
  </si>
  <si>
    <t>近代英国工业革命揭秘</t>
  </si>
  <si>
    <t>罗伯特·艾伦</t>
  </si>
  <si>
    <t>宇宙的尺度</t>
  </si>
  <si>
    <t>大卫·布拉特纳</t>
  </si>
  <si>
    <t>阳曦</t>
  </si>
  <si>
    <t>你的生存本能正在杀死你</t>
  </si>
  <si>
    <t>马克·舍恩</t>
  </si>
  <si>
    <t>全球“猎身”</t>
  </si>
  <si>
    <t>项飚</t>
  </si>
  <si>
    <t>麦种</t>
  </si>
  <si>
    <t>风险认知</t>
  </si>
  <si>
    <t>格尔德·吉仁泽</t>
  </si>
  <si>
    <t>社会契约论</t>
  </si>
  <si>
    <t>卢梭</t>
  </si>
  <si>
    <t>陈迪</t>
  </si>
  <si>
    <t>隔间</t>
  </si>
  <si>
    <t>尼基尔‧萨瓦尔</t>
  </si>
  <si>
    <t>阿葱</t>
  </si>
  <si>
    <t>流媒体时代</t>
  </si>
  <si>
    <t>迈克尔·史密斯 拉胡尔·特朗</t>
  </si>
  <si>
    <t>柔软的宇宙</t>
  </si>
  <si>
    <t>吴京平</t>
  </si>
  <si>
    <t>汪洁</t>
  </si>
  <si>
    <t>集体行动的逻辑</t>
  </si>
  <si>
    <t>曼瑟尔·奥尔森</t>
  </si>
  <si>
    <t>国际移民</t>
  </si>
  <si>
    <t>哈立德·科泽</t>
  </si>
  <si>
    <t>制空权</t>
  </si>
  <si>
    <t>朱里奥·杜黑</t>
  </si>
  <si>
    <t>许述</t>
  </si>
  <si>
    <t>努尔人</t>
  </si>
  <si>
    <t>埃文思-普里查德</t>
  </si>
  <si>
    <t>食菠萝</t>
  </si>
  <si>
    <t>现代性与大屠杀</t>
  </si>
  <si>
    <t>齐格蒙·鲍曼</t>
  </si>
  <si>
    <t>香港重庆大厦</t>
  </si>
  <si>
    <t>麦高登</t>
  </si>
  <si>
    <t>徐颂赞</t>
  </si>
  <si>
    <t>现代性与自我认同</t>
  </si>
  <si>
    <t>安东尼・吉登斯</t>
  </si>
  <si>
    <t>论法的精神</t>
  </si>
  <si>
    <t>查理·路易·孟德斯鸠</t>
  </si>
  <si>
    <t>天真的人类学家</t>
  </si>
  <si>
    <t>奈吉尔·巴利</t>
  </si>
  <si>
    <t>国家的视角</t>
  </si>
  <si>
    <t>詹姆斯·C.斯科特</t>
  </si>
  <si>
    <t>政治学</t>
  </si>
  <si>
    <t>亚里士多德</t>
  </si>
  <si>
    <t>陶涛</t>
  </si>
  <si>
    <t>百岁人生</t>
  </si>
  <si>
    <t>琳达·格拉顿、安德鲁·斯科特</t>
  </si>
  <si>
    <t>美国总统制</t>
  </si>
  <si>
    <t>查尔斯·琼斯</t>
  </si>
  <si>
    <t>梳毛、八卦及语言的进化</t>
  </si>
  <si>
    <t>罗宾·邓巴</t>
  </si>
  <si>
    <t>尼德罗</t>
  </si>
  <si>
    <t>合作的进化</t>
  </si>
  <si>
    <t>罗伯特·阿克塞尔罗德</t>
  </si>
  <si>
    <t>专家之死</t>
  </si>
  <si>
    <t>托马斯·尼科尔斯</t>
  </si>
  <si>
    <t>后真相时代</t>
  </si>
  <si>
    <t>赫克托·麦克唐纳</t>
  </si>
  <si>
    <t>大国大城</t>
  </si>
  <si>
    <t>七堂极简物理课</t>
  </si>
  <si>
    <t>卡洛·罗韦利</t>
  </si>
  <si>
    <t>消费社会</t>
  </si>
  <si>
    <t>让·鲍德里亚</t>
  </si>
  <si>
    <t>邓婕</t>
  </si>
  <si>
    <t>改变世界的方程</t>
  </si>
  <si>
    <t>哈拉尔德·弗里奇</t>
  </si>
  <si>
    <t>邢志忠</t>
  </si>
  <si>
    <t>无缘社会（上）</t>
  </si>
  <si>
    <t>日本NHK电视台</t>
  </si>
  <si>
    <t>杨阿洋</t>
  </si>
  <si>
    <t>无缘社会（下）</t>
  </si>
  <si>
    <t>趣味生活简史</t>
  </si>
  <si>
    <t>比尔·布莱森</t>
  </si>
  <si>
    <t>论美国的民主</t>
  </si>
  <si>
    <t>托克维尔</t>
  </si>
  <si>
    <t>许金晶</t>
  </si>
  <si>
    <t>信任论</t>
  </si>
  <si>
    <t>郑也夫</t>
  </si>
  <si>
    <t>控制论与科学方法论</t>
  </si>
  <si>
    <t>金观涛/华国凡</t>
  </si>
  <si>
    <t>海权论</t>
  </si>
  <si>
    <t>阿尔弗雷德·赛耶·马汉</t>
  </si>
  <si>
    <t>范平灿</t>
  </si>
  <si>
    <t>语言本能</t>
  </si>
  <si>
    <t>史蒂芬·平克</t>
  </si>
  <si>
    <t>公正</t>
  </si>
  <si>
    <t>迈克尔·桑德尔</t>
  </si>
  <si>
    <t>郭莹莹</t>
  </si>
  <si>
    <t>费马大定理</t>
  </si>
  <si>
    <t>韩正之</t>
  </si>
  <si>
    <t>数学犹聊天</t>
  </si>
  <si>
    <t>基思·德夫林</t>
  </si>
  <si>
    <t>方程</t>
  </si>
  <si>
    <t>垃圾之歌</t>
  </si>
  <si>
    <t>威廉·拉什杰</t>
  </si>
  <si>
    <t>止戈为武</t>
  </si>
  <si>
    <t>过滤泡</t>
  </si>
  <si>
    <t>伊莱·帕里泽</t>
  </si>
  <si>
    <t>裸猿</t>
  </si>
  <si>
    <t>德斯蒙德·莫利斯</t>
  </si>
  <si>
    <t>娱乐至死</t>
  </si>
  <si>
    <t>尼尔·波兹曼</t>
  </si>
  <si>
    <t>张以澄</t>
  </si>
  <si>
    <t>华尔街日报</t>
  </si>
  <si>
    <t>威廉·布隆代尔</t>
  </si>
  <si>
    <t>言润瑜</t>
  </si>
  <si>
    <t>自私的基因</t>
  </si>
  <si>
    <t>理查德·道金斯</t>
  </si>
  <si>
    <t>通往奴役之路</t>
  </si>
  <si>
    <t>弗里德里希·奥古斯特·冯·哈耶克</t>
  </si>
  <si>
    <t>看不见的光</t>
  </si>
  <si>
    <t>鲍勃·伯曼</t>
  </si>
  <si>
    <t>黑金政治</t>
  </si>
  <si>
    <t>简·梅耶尔</t>
  </si>
  <si>
    <t>中国人太多了吗</t>
  </si>
  <si>
    <t>梁建章，李建新</t>
  </si>
  <si>
    <t>为什么</t>
  </si>
  <si>
    <t>朱迪亚·珀尔</t>
  </si>
  <si>
    <t>科学学习</t>
  </si>
  <si>
    <t>丹尼尔·施瓦茨</t>
  </si>
  <si>
    <t>大遇</t>
  </si>
  <si>
    <t>君主论</t>
  </si>
  <si>
    <t>马基亚维利</t>
  </si>
  <si>
    <t>异见时刻</t>
  </si>
  <si>
    <t>伊琳·卡蒙</t>
  </si>
  <si>
    <t>里查德·道金斯</t>
  </si>
  <si>
    <t>理解媒介</t>
  </si>
  <si>
    <t>马歇尔·麦克卢汉</t>
  </si>
  <si>
    <t>奖励的恶果</t>
  </si>
  <si>
    <t>艾尔菲·科恩</t>
  </si>
  <si>
    <t>区分</t>
  </si>
  <si>
    <t>皮埃尔·布迪厄</t>
  </si>
  <si>
    <t>重返人类演化现场</t>
  </si>
  <si>
    <t>奇普·沃尔特 </t>
  </si>
  <si>
    <t>木青子</t>
  </si>
  <si>
    <t>奇妙的尘埃</t>
  </si>
  <si>
    <t>汉娜·霍姆斯</t>
  </si>
  <si>
    <t>死者在说话</t>
  </si>
  <si>
    <t>威廉姆·美普斯</t>
  </si>
  <si>
    <t>浅薄</t>
  </si>
  <si>
    <t>尼古拉斯·卡尔</t>
  </si>
  <si>
    <t>房间里的大象</t>
  </si>
  <si>
    <t>伊维塔·泽鲁巴维尔</t>
  </si>
  <si>
    <t>乔乔</t>
  </si>
  <si>
    <t>只是为了好玩</t>
  </si>
  <si>
    <t>林纳斯•托瓦兹</t>
  </si>
  <si>
    <t>东东海</t>
  </si>
  <si>
    <t>十亿美元分子</t>
  </si>
  <si>
    <t>巴里·沃恩</t>
  </si>
  <si>
    <t>与社会学同游</t>
  </si>
  <si>
    <t>彼得·伯格</t>
  </si>
  <si>
    <t>九十九种垃圾加一计妙想</t>
  </si>
  <si>
    <t>特雷弗·诺顿</t>
  </si>
  <si>
    <t>铁道之旅</t>
  </si>
  <si>
    <t>沃尔夫冈.希弗尔布施</t>
  </si>
  <si>
    <t>物理学的未来</t>
  </si>
  <si>
    <t>加来道雄</t>
  </si>
  <si>
    <t>艾希曼在耶路撒冷</t>
  </si>
  <si>
    <t>汉娜.阿伦特</t>
  </si>
  <si>
    <t>红娘丁当</t>
  </si>
  <si>
    <t>传染</t>
  </si>
  <si>
    <t>亚当·库哈尔斯基</t>
  </si>
  <si>
    <t>食物语言学</t>
  </si>
  <si>
    <t>任韶堂</t>
  </si>
  <si>
    <t>褚笑</t>
  </si>
  <si>
    <t>阿加莎的毒药</t>
  </si>
  <si>
    <t>凯瑟琳·哈卡帕</t>
  </si>
  <si>
    <t>大脑是台时光机</t>
  </si>
  <si>
    <t>迪恩·博南诺</t>
  </si>
  <si>
    <t>宁雅莉</t>
  </si>
  <si>
    <t>反智时代</t>
  </si>
  <si>
    <t>苏珊·雅各比</t>
  </si>
  <si>
    <t>美国真相</t>
  </si>
  <si>
    <t xml:space="preserve">約瑟夫·斯蒂格利茨 </t>
  </si>
  <si>
    <t>武京力</t>
  </si>
  <si>
    <t>隐藏的现实</t>
  </si>
  <si>
    <t xml:space="preserve">布莱恩·格林 </t>
  </si>
  <si>
    <t>社科</t>
    <phoneticPr fontId="2" type="noConversion"/>
  </si>
  <si>
    <t>动物的精神生活</t>
    <phoneticPr fontId="2" type="noConversion"/>
  </si>
  <si>
    <t>彼得·渥雷本</t>
    <phoneticPr fontId="2" type="noConversion"/>
  </si>
  <si>
    <t>褚笑</t>
    <phoneticPr fontId="2" type="noConversion"/>
  </si>
  <si>
    <t>不生不熟</t>
    <phoneticPr fontId="2" type="noConversion"/>
  </si>
  <si>
    <t xml:space="preserve">玛丽-克莱尔·弗雷德里克 </t>
    <phoneticPr fontId="2" type="noConversion"/>
  </si>
  <si>
    <t>兔兔</t>
    <phoneticPr fontId="2" type="noConversion"/>
  </si>
  <si>
    <t>切尔诺贝利</t>
    <phoneticPr fontId="2" type="noConversion"/>
  </si>
  <si>
    <t>沙希利·浦洛基</t>
    <phoneticPr fontId="2" type="noConversion"/>
  </si>
  <si>
    <t>玥然</t>
    <phoneticPr fontId="2" type="noConversion"/>
  </si>
  <si>
    <t>黑金世界</t>
    <phoneticPr fontId="2" type="noConversion"/>
  </si>
  <si>
    <t>汤姆·温莱特</t>
    <phoneticPr fontId="2" type="noConversion"/>
  </si>
  <si>
    <t>是我把你蠢哭了嘛？</t>
    <phoneticPr fontId="2" type="noConversion"/>
  </si>
  <si>
    <t xml:space="preserve">迪安·博内特 </t>
    <phoneticPr fontId="2" type="noConversion"/>
  </si>
  <si>
    <t>阳曦</t>
    <phoneticPr fontId="2" type="noConversion"/>
  </si>
  <si>
    <t>黑猩猩的政治</t>
    <phoneticPr fontId="2" type="noConversion"/>
  </si>
  <si>
    <t>弗朗斯·德瓦尔</t>
    <phoneticPr fontId="2" type="noConversion"/>
  </si>
  <si>
    <t>木青子</t>
    <phoneticPr fontId="2" type="noConversion"/>
  </si>
  <si>
    <t>一个定理的诞生</t>
    <phoneticPr fontId="2" type="noConversion"/>
  </si>
  <si>
    <t>塞德里克·维拉尼</t>
    <phoneticPr fontId="2" type="noConversion"/>
  </si>
  <si>
    <t>未来呼啸而来</t>
    <phoneticPr fontId="2" type="noConversion"/>
  </si>
  <si>
    <t>彼得·戴曼迪斯</t>
    <phoneticPr fontId="2" type="noConversion"/>
  </si>
  <si>
    <t>圆的方块</t>
    <phoneticPr fontId="2" type="noConversion"/>
  </si>
  <si>
    <t>笛卡尔的错误</t>
    <phoneticPr fontId="2" type="noConversion"/>
  </si>
  <si>
    <t xml:space="preserve"> 安东尼奥·R·达马西奥</t>
    <phoneticPr fontId="2" type="noConversion"/>
  </si>
  <si>
    <t>地球上最伟大的表演</t>
    <phoneticPr fontId="2" type="noConversion"/>
  </si>
  <si>
    <t>理查德·道金斯</t>
    <phoneticPr fontId="2" type="noConversion"/>
  </si>
  <si>
    <t>生活</t>
  </si>
  <si>
    <t>原生家庭</t>
  </si>
  <si>
    <t>苏珊·福沃德</t>
  </si>
  <si>
    <t>伯恩斯新情绪疗法</t>
  </si>
  <si>
    <t>戴维.伯恩斯</t>
  </si>
  <si>
    <t>刘梦林</t>
  </si>
  <si>
    <t>情感勒索</t>
  </si>
  <si>
    <t>取悦症</t>
  </si>
  <si>
    <t>哈里雅特·布莱克</t>
  </si>
  <si>
    <t>高敏感是种天赋</t>
  </si>
  <si>
    <t>伊尔斯·桑德</t>
  </si>
  <si>
    <t>墨菲</t>
  </si>
  <si>
    <t>好奇心</t>
  </si>
  <si>
    <t>伊恩·莱斯利</t>
  </si>
  <si>
    <t>简析荣格</t>
  </si>
  <si>
    <t>安东尼·史蒂文斯</t>
  </si>
  <si>
    <t>梦的新解</t>
  </si>
  <si>
    <t>艾伦·霍布森</t>
  </si>
  <si>
    <t>信心密码</t>
  </si>
  <si>
    <t>凯蒂·肯</t>
  </si>
  <si>
    <t>情商</t>
  </si>
  <si>
    <t>丹尼尔·戈尔曼</t>
  </si>
  <si>
    <t>执迷</t>
  </si>
  <si>
    <t>害怕陌生人</t>
  </si>
  <si>
    <t>克里斯托夫•安德烈</t>
  </si>
  <si>
    <t>阿占</t>
  </si>
  <si>
    <t>睡眠革命</t>
  </si>
  <si>
    <t>尼特·利特尔黑尔斯</t>
  </si>
  <si>
    <t>郑佳雯</t>
  </si>
  <si>
    <t>微习惯</t>
  </si>
  <si>
    <t>斯蒂芬·盖斯</t>
  </si>
  <si>
    <t>你要如何衡量你的人生</t>
  </si>
  <si>
    <t>克莱顿·克里斯坦森，詹姆斯·奥沃斯，凯伦·迪伦</t>
  </si>
  <si>
    <t>好好说话第一步</t>
  </si>
  <si>
    <t>麦克·尼可斯</t>
  </si>
  <si>
    <t>高难度对话</t>
  </si>
  <si>
    <t>迈克.贝克特尔</t>
  </si>
  <si>
    <t>奇特的一生</t>
  </si>
  <si>
    <t>柳比歇夫</t>
  </si>
  <si>
    <t>理性情绪</t>
  </si>
  <si>
    <t>阿尔伯特·埃利斯</t>
  </si>
  <si>
    <t>选择理论</t>
  </si>
  <si>
    <t>威廉·格拉瑟</t>
  </si>
  <si>
    <t>控制愤怒</t>
  </si>
  <si>
    <t>阿尔伯特•埃利斯</t>
  </si>
  <si>
    <t>和压力做朋友</t>
  </si>
  <si>
    <t>凯利•麦格尼格尔</t>
  </si>
  <si>
    <t>如何戒掉坏习惯</t>
  </si>
  <si>
    <t>古川武士</t>
  </si>
  <si>
    <t>琉璃凝华</t>
  </si>
  <si>
    <t>心流（上）</t>
  </si>
  <si>
    <t>米哈里·契克森米哈赖</t>
  </si>
  <si>
    <t>心流（下）</t>
  </si>
  <si>
    <t>重塑幸福</t>
  </si>
  <si>
    <t>马克·曼森</t>
  </si>
  <si>
    <t>杰出青少年的七个习惯</t>
  </si>
  <si>
    <t>肖恩·柯维</t>
  </si>
  <si>
    <t>顿文聪</t>
  </si>
  <si>
    <t>婚姻：挑战</t>
  </si>
  <si>
    <t>鲁道夫·德雷克斯</t>
  </si>
  <si>
    <t>如何正确吵架</t>
  </si>
  <si>
    <t>朱迪斯·莱特</t>
  </si>
  <si>
    <t>积极情绪的力量</t>
  </si>
  <si>
    <t>芭芭拉·弗雷德里克森</t>
  </si>
  <si>
    <t>索马里的尘</t>
  </si>
  <si>
    <t>和失眠说再见</t>
  </si>
  <si>
    <t>彼得·豪利</t>
  </si>
  <si>
    <t>你的幸福曲线</t>
  </si>
  <si>
    <t>乔纳森·劳赫</t>
  </si>
  <si>
    <t>依恋</t>
  </si>
  <si>
    <t>情绪急救</t>
  </si>
  <si>
    <t>盖伊·温奇</t>
  </si>
  <si>
    <t>如何掌控自己的时间和生活</t>
  </si>
  <si>
    <t>阿兰·拉金</t>
  </si>
  <si>
    <t>七堂思维成长课</t>
  </si>
  <si>
    <t>卡洛琳·韦布</t>
  </si>
  <si>
    <t>关键对话</t>
  </si>
  <si>
    <t>科里·帕特森，约瑟夫·格雷尼，罗恩·麦克米兰，艾尔·史威茨勒</t>
  </si>
  <si>
    <t>番茄工作法图解</t>
  </si>
  <si>
    <t>史蒂夫·诺特伯格</t>
  </si>
  <si>
    <t>怦然心动的人生整理魔法</t>
  </si>
  <si>
    <t>近藤麻理惠</t>
  </si>
  <si>
    <t>四月</t>
  </si>
  <si>
    <t>极简</t>
  </si>
  <si>
    <t>于佳玫</t>
  </si>
  <si>
    <t>态度</t>
  </si>
  <si>
    <t>高情商聊天术</t>
  </si>
  <si>
    <t>张超</t>
  </si>
  <si>
    <t>掌控习惯</t>
  </si>
  <si>
    <t>詹姆斯·克利尔</t>
  </si>
  <si>
    <t>亲密</t>
  </si>
  <si>
    <t>莎思塔·尼尔森</t>
  </si>
  <si>
    <t>法国人如何发明爱情</t>
  </si>
  <si>
    <t>玛丽莲﹒亚隆    </t>
  </si>
  <si>
    <t>为什么学生不喜欢上学</t>
  </si>
  <si>
    <t>丹尼尔·威林厄姆</t>
  </si>
  <si>
    <t>无小常</t>
  </si>
  <si>
    <t>爱是一种选择</t>
  </si>
  <si>
    <t>汉姆菲特</t>
  </si>
  <si>
    <t>自尊的力量</t>
  </si>
  <si>
    <t>克里斯托夫·安德烈</t>
  </si>
  <si>
    <t>WOOP思维心理学</t>
  </si>
  <si>
    <t>加布里埃尔·厄廷根</t>
  </si>
  <si>
    <t>自律力</t>
  </si>
  <si>
    <t>马歇尔·古德史密斯</t>
  </si>
  <si>
    <t>吃的美德</t>
  </si>
  <si>
    <t>朱利安·巴吉尼</t>
  </si>
  <si>
    <t>有关品味</t>
  </si>
  <si>
    <t>彼得·梅尔</t>
  </si>
  <si>
    <t>来份杂碎</t>
    <phoneticPr fontId="2" type="noConversion"/>
  </si>
  <si>
    <t>安德鲁·科伊</t>
    <phoneticPr fontId="2" type="noConversion"/>
  </si>
  <si>
    <t>黄薇</t>
    <phoneticPr fontId="2" type="noConversion"/>
  </si>
  <si>
    <t>癌症·防御</t>
    <phoneticPr fontId="2" type="noConversion"/>
  </si>
  <si>
    <t>李治中</t>
    <phoneticPr fontId="2" type="noConversion"/>
  </si>
  <si>
    <t>文学</t>
  </si>
  <si>
    <t>关于他人的痛苦</t>
  </si>
  <si>
    <t>苏珊·桑塔格</t>
  </si>
  <si>
    <t>蒋方舟</t>
  </si>
  <si>
    <t>蛙</t>
  </si>
  <si>
    <t>莫言</t>
  </si>
  <si>
    <t>遆存磊</t>
  </si>
  <si>
    <t>倾城之恋</t>
  </si>
  <si>
    <t>张爱玲</t>
  </si>
  <si>
    <t>止庵</t>
  </si>
  <si>
    <t>小王子</t>
  </si>
  <si>
    <t>圣埃克苏佩里</t>
  </si>
  <si>
    <t>安东尼</t>
  </si>
  <si>
    <t>不能承受的生命之轻</t>
  </si>
  <si>
    <t>米兰·昆德拉</t>
  </si>
  <si>
    <t>木文</t>
  </si>
  <si>
    <t>变形记</t>
  </si>
  <si>
    <t>卡夫卡</t>
  </si>
  <si>
    <t>梁锡江</t>
  </si>
  <si>
    <t>徒然草</t>
  </si>
  <si>
    <t xml:space="preserve">吉田兼好 </t>
  </si>
  <si>
    <t>程璧</t>
  </si>
  <si>
    <t>飞鸟集</t>
  </si>
  <si>
    <t>罗宾德拉纳特·泰戈尔</t>
  </si>
  <si>
    <t>胡德夫</t>
  </si>
  <si>
    <t>追忆似水年华</t>
  </si>
  <si>
    <t>马塞尔·普鲁斯特</t>
  </si>
  <si>
    <t>徐兆正</t>
  </si>
  <si>
    <t>名人传(上)</t>
  </si>
  <si>
    <t>罗曼·罗兰</t>
  </si>
  <si>
    <t>佳明</t>
  </si>
  <si>
    <t>写作这回事（上）</t>
  </si>
  <si>
    <t>斯蒂芬·金</t>
  </si>
  <si>
    <t>写作这回事（下）</t>
  </si>
  <si>
    <t>名人传(下)</t>
  </si>
  <si>
    <t>彼得·潘</t>
  </si>
  <si>
    <t xml:space="preserve">詹姆斯·巴里 </t>
  </si>
  <si>
    <t>林奕华</t>
  </si>
  <si>
    <t>天才的故事</t>
  </si>
  <si>
    <t xml:space="preserve">亨德里克·威廉·房龙 </t>
  </si>
  <si>
    <t>这样写出好故事</t>
  </si>
  <si>
    <t>詹姆斯·斯科特·贝尔</t>
  </si>
  <si>
    <t>舍丽儿</t>
  </si>
  <si>
    <t>维特根斯坦传</t>
  </si>
  <si>
    <t>瑞·蒙克</t>
  </si>
  <si>
    <t>三体</t>
  </si>
  <si>
    <t>沈律君</t>
  </si>
  <si>
    <t>三体Ⅱ·黑暗森林</t>
  </si>
  <si>
    <t>三体Ⅲ·死神永生</t>
  </si>
  <si>
    <t>霍乱时期的爱情</t>
  </si>
  <si>
    <t>加西亚·马尔克斯</t>
  </si>
  <si>
    <t>北京折叠</t>
  </si>
  <si>
    <t>郝景芳</t>
  </si>
  <si>
    <t>白鹿原</t>
  </si>
  <si>
    <t>陈忠实</t>
  </si>
  <si>
    <t>傲慢与偏见</t>
  </si>
  <si>
    <t>简·奥斯汀</t>
  </si>
  <si>
    <t>罪与罚</t>
  </si>
  <si>
    <t>陀思妥耶夫斯基</t>
  </si>
  <si>
    <t>芳华</t>
  </si>
  <si>
    <t>严歌苓</t>
  </si>
  <si>
    <t>人间鲁迅</t>
  </si>
  <si>
    <t>林贤治</t>
  </si>
  <si>
    <t>从文自传</t>
  </si>
  <si>
    <t>沈从文</t>
  </si>
  <si>
    <t>杨扬</t>
  </si>
  <si>
    <t>半生缘</t>
  </si>
  <si>
    <t>长恨歌</t>
  </si>
  <si>
    <t>王安忆</t>
  </si>
  <si>
    <t>白夜行</t>
  </si>
  <si>
    <t>东野圭吾</t>
  </si>
  <si>
    <t>东方快车谋杀案</t>
  </si>
  <si>
    <t>无人生还</t>
  </si>
  <si>
    <t>旁观者</t>
  </si>
  <si>
    <t>爱因斯坦传</t>
  </si>
  <si>
    <t>尹铮铮</t>
  </si>
  <si>
    <t>霍华德·休斯传</t>
  </si>
  <si>
    <t>詹姆斯·B.斯蒂尔，唐纳德·L.巴特利特</t>
  </si>
  <si>
    <t>死于威尼斯</t>
  </si>
  <si>
    <t>托马斯·曼</t>
  </si>
  <si>
    <t>源氏物语</t>
  </si>
  <si>
    <t>紫式部</t>
  </si>
  <si>
    <t>周欣祺</t>
  </si>
  <si>
    <t>复活</t>
  </si>
  <si>
    <t xml:space="preserve">列夫·托尔斯泰 </t>
  </si>
  <si>
    <t>骆驼祥子</t>
  </si>
  <si>
    <t>老舍</t>
  </si>
  <si>
    <t>荆方</t>
  </si>
  <si>
    <t>简爱</t>
  </si>
  <si>
    <t>夏洛蒂·勃朗特</t>
  </si>
  <si>
    <t>刘燕</t>
  </si>
  <si>
    <t>丰乳肥臀</t>
    <phoneticPr fontId="2" type="noConversion"/>
  </si>
  <si>
    <t>曾 园</t>
    <phoneticPr fontId="2" type="noConversion"/>
  </si>
  <si>
    <t>奥德赛</t>
    <phoneticPr fontId="2" type="noConversion"/>
  </si>
  <si>
    <t>荷马</t>
    <phoneticPr fontId="2" type="noConversion"/>
  </si>
  <si>
    <t>木文</t>
    <phoneticPr fontId="2" type="noConversion"/>
  </si>
  <si>
    <t>家</t>
    <phoneticPr fontId="2" type="noConversion"/>
  </si>
  <si>
    <t>巴金</t>
    <phoneticPr fontId="2" type="noConversion"/>
  </si>
  <si>
    <t>不敏</t>
    <phoneticPr fontId="2" type="noConversion"/>
  </si>
  <si>
    <t>心理</t>
  </si>
  <si>
    <t>跃迁</t>
  </si>
  <si>
    <t xml:space="preserve">古典 </t>
  </si>
  <si>
    <t>对赌</t>
  </si>
  <si>
    <t>安妮·杜克</t>
  </si>
  <si>
    <t>赞扬与责备</t>
  </si>
  <si>
    <t>特丽·阿普特</t>
  </si>
  <si>
    <t>城市与压力</t>
  </si>
  <si>
    <t>马兹达·阿德里</t>
  </si>
  <si>
    <t>突破天性</t>
  </si>
  <si>
    <t>布赖恩·利特尔</t>
  </si>
  <si>
    <t>第一印象心理学</t>
  </si>
  <si>
    <t>安·德玛瑞斯</t>
  </si>
  <si>
    <t>如何在大学里脱颖而出（上）</t>
  </si>
  <si>
    <t>卡尔·纽坡特</t>
  </si>
  <si>
    <t>如何在大学里脱颖而出（下）</t>
  </si>
  <si>
    <t>让大脑自由</t>
  </si>
  <si>
    <t>约翰·梅迪纳</t>
  </si>
  <si>
    <t>改变心理学的40项研究</t>
  </si>
  <si>
    <t>罗杰·霍克</t>
  </si>
  <si>
    <t>天才在左疯子在右</t>
  </si>
  <si>
    <t>高铭</t>
  </si>
  <si>
    <t>章慧</t>
  </si>
  <si>
    <t>理性动物</t>
  </si>
  <si>
    <t>道格拉斯·T.肯里克</t>
  </si>
  <si>
    <t>雄性衰落（上）</t>
  </si>
  <si>
    <t>雄性衰落（下）</t>
  </si>
  <si>
    <t>恐惧</t>
  </si>
  <si>
    <t>弗兰克·菲雷迪</t>
  </si>
  <si>
    <t>枪炮、病菌与钢铁</t>
  </si>
  <si>
    <t>欲罢不能</t>
  </si>
  <si>
    <t>亚当·奥尔特</t>
  </si>
  <si>
    <t>无处不在的人格</t>
  </si>
  <si>
    <t>弗朗索瓦·勒洛尔</t>
  </si>
  <si>
    <t>理解未来的七个原则</t>
  </si>
  <si>
    <t>伯勒斯、约翰·曼</t>
  </si>
  <si>
    <t>帅小冰</t>
  </si>
  <si>
    <t>羞耻感</t>
  </si>
  <si>
    <t>罗纳德·波特-埃夫隆</t>
  </si>
  <si>
    <t>只需倾听</t>
  </si>
  <si>
    <t>马克·郭士顿</t>
  </si>
  <si>
    <t>蜥蜴脑法则</t>
  </si>
  <si>
    <t>吉姆·柯明思</t>
  </si>
  <si>
    <t>如何不在网上虚度人生</t>
  </si>
  <si>
    <t>肯尼思·戈德史密斯</t>
  </si>
  <si>
    <t>许苗苗</t>
  </si>
  <si>
    <t>自控力</t>
  </si>
  <si>
    <t>凯利·麦格尼格尔</t>
  </si>
  <si>
    <t>白秋</t>
  </si>
  <si>
    <t>怪诞心理学</t>
  </si>
  <si>
    <t>理查德·怀斯曼</t>
  </si>
  <si>
    <t>杨坚</t>
  </si>
  <si>
    <t>拖延心理学</t>
  </si>
  <si>
    <t>简·博克/莱诺拉·袁</t>
  </si>
  <si>
    <t>数学大杀器</t>
  </si>
  <si>
    <t xml:space="preserve"> 凯西·欧尼尔</t>
  </si>
  <si>
    <t>徐英瑾</t>
  </si>
  <si>
    <t>内向者优势</t>
  </si>
  <si>
    <t>马蒂·莱利</t>
  </si>
  <si>
    <t>活出最乐观的自己</t>
  </si>
  <si>
    <t>马丁 · 塞利格曼</t>
  </si>
  <si>
    <t>许遵静</t>
  </si>
  <si>
    <t>多向思考者</t>
  </si>
  <si>
    <t>克莉司德·布提可南</t>
  </si>
  <si>
    <t>控制焦虑（上）</t>
  </si>
  <si>
    <t>控制焦虑（下）</t>
  </si>
  <si>
    <t>别做正常的傻瓜</t>
  </si>
  <si>
    <t>奚恺元</t>
  </si>
  <si>
    <t>路西法效应</t>
  </si>
  <si>
    <t>理性的抉择</t>
  </si>
  <si>
    <t>特蕾泽·休斯顿</t>
  </si>
  <si>
    <t>单向度的人</t>
  </si>
  <si>
    <t>赫尔伯特·马尔库塞</t>
  </si>
  <si>
    <t>理性乐观派</t>
  </si>
  <si>
    <t>马特·里德利</t>
  </si>
  <si>
    <t>乌合之众</t>
  </si>
  <si>
    <t>古斯塔夫·勒庞</t>
  </si>
  <si>
    <t>安静的力量</t>
  </si>
  <si>
    <t>皮克·耶尔</t>
  </si>
  <si>
    <t>异类</t>
  </si>
  <si>
    <t>以诺教育</t>
  </si>
  <si>
    <t>当下的力量</t>
  </si>
  <si>
    <t>埃克哈特.托利</t>
  </si>
  <si>
    <t>云遇</t>
  </si>
  <si>
    <t>聂琦峰</t>
  </si>
  <si>
    <t>非暴力沟通（上）</t>
  </si>
  <si>
    <t>马歇尔·卢森堡</t>
  </si>
  <si>
    <t>高效能阅读</t>
  </si>
  <si>
    <t>原尻淳一</t>
  </si>
  <si>
    <t>巴拉巴西成功定律</t>
  </si>
  <si>
    <t>艾伯特 - 拉斯洛 · 巴拉巴西</t>
  </si>
  <si>
    <t>坚毅</t>
  </si>
  <si>
    <t>安杰拉·达克沃斯</t>
  </si>
  <si>
    <t>清醒思考的艺术</t>
  </si>
  <si>
    <t>罗尔夫·多贝里</t>
  </si>
  <si>
    <t>如何作出正确决策</t>
  </si>
  <si>
    <t>加里·克莱因</t>
  </si>
  <si>
    <t>果核吾肉</t>
  </si>
  <si>
    <t>做出好决定</t>
  </si>
  <si>
    <t>斯蒂芬·罗宾斯</t>
  </si>
  <si>
    <t>黑匣子思维</t>
  </si>
  <si>
    <t>马修·萨伊德</t>
  </si>
  <si>
    <t>认知天性</t>
  </si>
  <si>
    <t>彼得·布朗</t>
  </si>
  <si>
    <t>高难度谈话</t>
  </si>
  <si>
    <t>道格拉斯·斯通</t>
  </si>
  <si>
    <t>FBI心理分析术 </t>
  </si>
  <si>
    <t>罗伯特·雷斯勒，汤姆·夏希特曼</t>
  </si>
  <si>
    <t>社会心理学(上)</t>
  </si>
  <si>
    <t>戴维·迈尔斯</t>
  </si>
  <si>
    <t>社会心理学(下)</t>
  </si>
  <si>
    <t>决断力</t>
  </si>
  <si>
    <t>奇谱·希思</t>
  </si>
  <si>
    <t>对“伪心理学”说不</t>
  </si>
  <si>
    <t>基思·斯坦诺维奇</t>
  </si>
  <si>
    <t>亲密关系</t>
  </si>
  <si>
    <t>罗兰·米勒/ 丹尼尔·珀尔曼</t>
  </si>
  <si>
    <t>大脑的情绪生活</t>
  </si>
  <si>
    <t>理查德·戴维森、沙伦·贝格利</t>
  </si>
  <si>
    <t>注意力曲线</t>
  </si>
  <si>
    <t>露西·乔·帕拉迪诺</t>
  </si>
  <si>
    <t>可爱的诅咒</t>
  </si>
  <si>
    <t>雅基•马森</t>
  </si>
  <si>
    <t>行为设计学</t>
  </si>
  <si>
    <t>奇普·希思 丹·希思</t>
  </si>
  <si>
    <t>影响力大师</t>
  </si>
  <si>
    <t>约瑟夫·格雷尼</t>
  </si>
  <si>
    <t>王政</t>
  </si>
  <si>
    <t>如何学习</t>
  </si>
  <si>
    <t>本尼迪克特·凯里</t>
  </si>
  <si>
    <t>刷新</t>
  </si>
  <si>
    <t>萨提亚·纳德拉</t>
  </si>
  <si>
    <t>麦心</t>
  </si>
  <si>
    <t>学习之道</t>
  </si>
  <si>
    <t>芭芭拉·奥克利</t>
  </si>
  <si>
    <t>勾辑</t>
  </si>
  <si>
    <t>强势</t>
  </si>
  <si>
    <t>曼纽尔·史密斯</t>
  </si>
  <si>
    <t>认识自己，接纳自己</t>
  </si>
  <si>
    <t>马丁·塞利格曼</t>
  </si>
  <si>
    <t>杀不死我的必使我强大</t>
  </si>
  <si>
    <t>史蒂芬·约瑟夫</t>
  </si>
  <si>
    <t>注意力</t>
  </si>
  <si>
    <t>让·菲利普</t>
  </si>
  <si>
    <t>道德情操论</t>
  </si>
  <si>
    <t>禅与摩托车维修艺术</t>
  </si>
  <si>
    <t>罗伯特·M.波西格</t>
  </si>
  <si>
    <t>失控</t>
  </si>
  <si>
    <t>智勇</t>
  </si>
  <si>
    <t>超越原生家庭</t>
  </si>
  <si>
    <t>罗纳德·理查森</t>
  </si>
  <si>
    <t>停不下来的人</t>
  </si>
  <si>
    <t>大卫·亚当</t>
  </si>
  <si>
    <t>自我训练</t>
  </si>
  <si>
    <t>约瑟夫·卢斯亚尼</t>
  </si>
  <si>
    <t>我们与生俱来的七情</t>
  </si>
  <si>
    <t>弗朗索瓦•勒洛尔</t>
  </si>
  <si>
    <t>如何做出正确决定</t>
  </si>
  <si>
    <t>乔纳·莱勒</t>
  </si>
  <si>
    <t>宽恕</t>
  </si>
  <si>
    <t>德斯蒙德.图图</t>
  </si>
  <si>
    <t>肖菲</t>
  </si>
  <si>
    <t>当良知沉睡</t>
  </si>
  <si>
    <t>玛莎·斯托特</t>
  </si>
  <si>
    <t>共情的力量</t>
    <phoneticPr fontId="2" type="noConversion"/>
  </si>
  <si>
    <t>亚瑟·乔拉米卡利</t>
    <phoneticPr fontId="2" type="noConversion"/>
  </si>
  <si>
    <t>赢回专注力</t>
    <phoneticPr fontId="2" type="noConversion"/>
  </si>
  <si>
    <t xml:space="preserve">爱德华·哈洛韦尔 </t>
    <phoneticPr fontId="2" type="noConversion"/>
  </si>
  <si>
    <t>身份的焦虑</t>
    <phoneticPr fontId="2" type="noConversion"/>
  </si>
  <si>
    <t>阿兰·德波顿</t>
    <phoneticPr fontId="2" type="noConversion"/>
  </si>
  <si>
    <t>吴海云</t>
    <phoneticPr fontId="2" type="noConversion"/>
  </si>
  <si>
    <t>心理</t>
    <phoneticPr fontId="2" type="noConversion"/>
  </si>
  <si>
    <t>医治受伤的自信</t>
    <phoneticPr fontId="2" type="noConversion"/>
  </si>
  <si>
    <t>弗雷德里克•方热</t>
    <phoneticPr fontId="2" type="noConversion"/>
  </si>
  <si>
    <t>改善情绪的正念疗法</t>
    <phoneticPr fontId="2" type="noConversion"/>
  </si>
  <si>
    <t>马克·威廉姆斯</t>
    <phoneticPr fontId="2" type="noConversion"/>
  </si>
  <si>
    <t>安慰剂效应</t>
    <phoneticPr fontId="2" type="noConversion"/>
  </si>
  <si>
    <t>莉萨·兰金</t>
    <phoneticPr fontId="2" type="noConversion"/>
  </si>
  <si>
    <t>艺术的慰藉</t>
    <phoneticPr fontId="2" type="noConversion"/>
  </si>
  <si>
    <t>2021/12//6</t>
    <phoneticPr fontId="2" type="noConversion"/>
  </si>
  <si>
    <t>了不起的我</t>
    <phoneticPr fontId="2" type="noConversion"/>
  </si>
  <si>
    <t>陈海贤</t>
    <phoneticPr fontId="2" type="noConversion"/>
  </si>
  <si>
    <t>职场</t>
  </si>
  <si>
    <t>搞定</t>
  </si>
  <si>
    <t>戴维·艾伦</t>
  </si>
  <si>
    <t>让创意更有黏性</t>
  </si>
  <si>
    <t>奇普·希思/丹·希思</t>
  </si>
  <si>
    <t>运营之光</t>
  </si>
  <si>
    <t>这些道理没有人告诉过你</t>
  </si>
  <si>
    <t>杨萃先 张有明</t>
  </si>
  <si>
    <t>金田一鑫鑫</t>
  </si>
  <si>
    <t>别独自用餐</t>
  </si>
  <si>
    <t>基思·法拉奇</t>
  </si>
  <si>
    <t>不要等到毕业以后</t>
  </si>
  <si>
    <t>秋叶大叔</t>
  </si>
  <si>
    <t>高效的秘密（上）</t>
  </si>
  <si>
    <t>查尔斯·都希格</t>
  </si>
  <si>
    <t>笑薇</t>
  </si>
  <si>
    <t>高效的秘密（下）</t>
  </si>
  <si>
    <t>转行</t>
  </si>
  <si>
    <t>埃米尼亚·伊瓦拉</t>
  </si>
  <si>
    <t>启示录</t>
  </si>
  <si>
    <t>马蒂·卡根</t>
  </si>
  <si>
    <t>干法</t>
  </si>
  <si>
    <t>精力管理</t>
  </si>
  <si>
    <t>吉姆·洛尔</t>
  </si>
  <si>
    <t>人人都是产品经理</t>
  </si>
  <si>
    <t xml:space="preserve">苏杰 </t>
  </si>
  <si>
    <t xml:space="preserve">宛山  </t>
  </si>
  <si>
    <t>精准表达</t>
  </si>
  <si>
    <t>高田贵久</t>
  </si>
  <si>
    <t>于靖童</t>
  </si>
  <si>
    <t>销售圣经</t>
  </si>
  <si>
    <t>杰弗里·吉特黙</t>
  </si>
  <si>
    <t>所谓情商高就是会说话</t>
  </si>
  <si>
    <t>佐佐木圭一</t>
  </si>
  <si>
    <t>设计中的设计</t>
  </si>
  <si>
    <t>原研哉</t>
  </si>
  <si>
    <t>至关重要的关系</t>
  </si>
  <si>
    <t>里德·霍夫曼</t>
  </si>
  <si>
    <t>沟通圣经</t>
  </si>
  <si>
    <t>尼基·斯坦顿</t>
  </si>
  <si>
    <t>史蒂芬·柯维</t>
  </si>
  <si>
    <t>好好说话</t>
  </si>
  <si>
    <t>马东</t>
  </si>
  <si>
    <t>周玄毅</t>
  </si>
  <si>
    <t>刻意练习</t>
  </si>
  <si>
    <t>安德斯·艾利克森/罗伯特·普尔</t>
  </si>
  <si>
    <t>张澜</t>
  </si>
  <si>
    <t>控场</t>
  </si>
  <si>
    <t>菲尔图</t>
  </si>
  <si>
    <t>董如峰</t>
  </si>
  <si>
    <t>非显著趋势</t>
  </si>
  <si>
    <t>罗希特·巴尔加瓦</t>
  </si>
  <si>
    <t>哈佛经典谈判术</t>
  </si>
  <si>
    <t>迪帕克·马哈拉 马克斯·巴泽曼</t>
  </si>
  <si>
    <t>徐劭旸</t>
  </si>
  <si>
    <t>故事思维</t>
  </si>
  <si>
    <t>安妮特·西蒙斯</t>
  </si>
  <si>
    <t>思维导图</t>
  </si>
  <si>
    <t>托尼·巴赞</t>
  </si>
  <si>
    <t>李威</t>
  </si>
  <si>
    <t>改变自己，改变世界</t>
  </si>
  <si>
    <t>克雷格·克伯格/马克·克伯格</t>
  </si>
  <si>
    <t>黑羊效应</t>
  </si>
  <si>
    <t>陈俊钦</t>
  </si>
  <si>
    <t>高效15法则</t>
  </si>
  <si>
    <t>凯文·克鲁斯</t>
  </si>
  <si>
    <t>黑山白水</t>
  </si>
  <si>
    <t>演说之禅</t>
  </si>
  <si>
    <t>加尔·雷纳德</t>
  </si>
  <si>
    <t>加薪的秘诀</t>
  </si>
  <si>
    <t>马丁·维勒</t>
  </si>
  <si>
    <t>斯坦福大学最受欢迎的创意课</t>
  </si>
  <si>
    <t>蒂娜·齐莉格</t>
  </si>
  <si>
    <t>高效演讲(下)</t>
  </si>
  <si>
    <t>彼得·迈尔斯</t>
  </si>
  <si>
    <t>高效演讲（上）</t>
  </si>
  <si>
    <t>TED演讲的秘密（下）</t>
  </si>
  <si>
    <t>杰瑞米•多诺万</t>
  </si>
  <si>
    <t>TED演讲的秘密（上）</t>
  </si>
  <si>
    <t>深度工作</t>
  </si>
  <si>
    <t>卡尔·纽波特</t>
  </si>
  <si>
    <t>密斯时</t>
  </si>
  <si>
    <t>优势谈判</t>
  </si>
  <si>
    <t>罗杰·道森</t>
  </si>
  <si>
    <t>哈佛非虚构写作课</t>
  </si>
  <si>
    <t>马克·克雷默/ 温迪·考尔</t>
  </si>
  <si>
    <t>山人</t>
  </si>
  <si>
    <t>一个广告人的自白</t>
  </si>
  <si>
    <t>大卫·奥格威</t>
  </si>
  <si>
    <t>半亩方塘</t>
  </si>
  <si>
    <t>掌控谈话</t>
  </si>
  <si>
    <t>克里斯·沃斯</t>
  </si>
  <si>
    <t>能力陷阱</t>
  </si>
  <si>
    <t>埃米尼亚·伊贝拉</t>
  </si>
  <si>
    <t>即兴演讲</t>
  </si>
  <si>
    <t>朱迪斯·汉弗莱</t>
  </si>
  <si>
    <t>艾玛</t>
  </si>
  <si>
    <t>权力</t>
  </si>
  <si>
    <t>杰弗瑞·菲佛</t>
  </si>
  <si>
    <t>姜添元</t>
  </si>
  <si>
    <t>靠谱</t>
  </si>
  <si>
    <t>大石哲之</t>
  </si>
  <si>
    <t>极简思考</t>
  </si>
  <si>
    <t>麦克·费廖洛</t>
  </si>
  <si>
    <t>职场自我成长</t>
  </si>
  <si>
    <t>渡边秀和</t>
  </si>
  <si>
    <t>何解忧</t>
  </si>
  <si>
    <t>乔布斯的魔力演讲</t>
  </si>
  <si>
    <t>卡迈恩·加洛</t>
  </si>
  <si>
    <t>乐业</t>
  </si>
  <si>
    <t>川村元气</t>
  </si>
  <si>
    <t>斜杠创业家</t>
  </si>
  <si>
    <t>金伯莉·帕尔默</t>
  </si>
  <si>
    <t>人性的优点</t>
  </si>
  <si>
    <t>戴尔·卡耐基</t>
  </si>
  <si>
    <t>宛山</t>
  </si>
  <si>
    <t>公司绝不会告诉你的50大秘密</t>
  </si>
  <si>
    <t>辛西娅·夏皮罗</t>
  </si>
  <si>
    <t>毕业不失业，职场生涯步步高</t>
  </si>
  <si>
    <t>赵培勇</t>
  </si>
  <si>
    <t>麦肯锡方法</t>
  </si>
  <si>
    <t>艾森·拉塞尔</t>
  </si>
  <si>
    <t>OKR工作法</t>
  </si>
  <si>
    <t>克里斯蒂娜·沃特克</t>
  </si>
  <si>
    <t>畅销的原理</t>
  </si>
  <si>
    <t>马修·威尔科克斯</t>
  </si>
  <si>
    <t>董小琳</t>
  </si>
  <si>
    <t>零售心理战</t>
  </si>
  <si>
    <t>铃木敏文</t>
  </si>
  <si>
    <t>专业主义</t>
  </si>
  <si>
    <t>零售的哲学</t>
  </si>
  <si>
    <t>徐劭</t>
  </si>
  <si>
    <t>文化密码</t>
  </si>
  <si>
    <t>丹尼尔·科伊尔</t>
  </si>
  <si>
    <t>一分钟经理人</t>
  </si>
  <si>
    <t>肯·布兰佳，斯宾塞·约翰逊</t>
  </si>
  <si>
    <t>哈佛商学院最受欢迎的营销课</t>
  </si>
  <si>
    <t>扬米·穆恩</t>
  </si>
  <si>
    <t>奈飞文化手册</t>
  </si>
  <si>
    <t>帕蒂·麦考德</t>
  </si>
  <si>
    <t>存在感</t>
  </si>
  <si>
    <t>克里斯蒂·赫奇斯</t>
  </si>
  <si>
    <t>优秀到不能被忽视</t>
  </si>
  <si>
    <t>清单革命</t>
  </si>
  <si>
    <t>阿图·葛文德</t>
  </si>
  <si>
    <t>艾·里斯</t>
  </si>
  <si>
    <t>张云</t>
  </si>
  <si>
    <t>聚焦</t>
  </si>
  <si>
    <t>品牌的起源</t>
  </si>
  <si>
    <t>决策的力量</t>
  </si>
  <si>
    <t>鲍勃·尼斯</t>
  </si>
  <si>
    <t>重新定义推销</t>
  </si>
  <si>
    <t>奥伦·克拉夫</t>
  </si>
  <si>
    <t>学会提问</t>
  </si>
  <si>
    <t>布朗</t>
  </si>
  <si>
    <t>艾玉</t>
  </si>
  <si>
    <t>道歉的力量</t>
  </si>
  <si>
    <t>艾伦·拉扎尔</t>
  </si>
  <si>
    <t>瞬变(上)</t>
  </si>
  <si>
    <t>科学家种太阳</t>
  </si>
  <si>
    <t>瞬变(下)</t>
  </si>
  <si>
    <t>心理学家的读脸术</t>
  </si>
  <si>
    <t>保罗·艾克曼/华莱士·V. 弗里森</t>
  </si>
  <si>
    <t>姜振宇</t>
  </si>
  <si>
    <t>苏格拉底的申辩</t>
  </si>
  <si>
    <t>英国人的言行潜规则</t>
  </si>
  <si>
    <t>凯特·福克斯</t>
  </si>
  <si>
    <t>细节</t>
  </si>
  <si>
    <t>罗伯特·西奥迪尼/史蒂夫·马/诺瓦·戈尔茨坦</t>
  </si>
  <si>
    <t>反焦虑思维</t>
  </si>
  <si>
    <t>罗尔·克肖/比尔·韦德</t>
  </si>
  <si>
    <t>杨娟</t>
  </si>
  <si>
    <t>改变：问题形成与解决的原则</t>
  </si>
  <si>
    <t>瓦茨拉维克/威克兰德/菲什</t>
  </si>
  <si>
    <t>梦的解析(下)</t>
  </si>
  <si>
    <t>西格蒙德·弗洛伊德</t>
  </si>
  <si>
    <t>梦的解析(上)</t>
  </si>
  <si>
    <t>慢思考</t>
  </si>
  <si>
    <t>特奥·康普诺利</t>
  </si>
  <si>
    <t>另一种选择</t>
  </si>
  <si>
    <t>谢丽尔·桑德伯格 亚当·格兰特</t>
  </si>
  <si>
    <t>终身成长</t>
  </si>
  <si>
    <t>卡罗尔·德韦克</t>
  </si>
  <si>
    <t>精进</t>
  </si>
  <si>
    <t>采铜</t>
  </si>
  <si>
    <t>你的灯亮着吗？</t>
  </si>
  <si>
    <t xml:space="preserve">唐纳德·高斯/杰拉尔德·温伯格 </t>
  </si>
  <si>
    <t>日常生活中的自我呈现</t>
  </si>
  <si>
    <t>欧文·戈夫曼</t>
  </si>
  <si>
    <t>天才源自刻意练习</t>
  </si>
  <si>
    <t>杰夫·科尔文</t>
  </si>
  <si>
    <t>秦凌</t>
  </si>
  <si>
    <t>优秀的绵羊</t>
  </si>
  <si>
    <t>威廉·德雷谢维奇</t>
  </si>
  <si>
    <t>逃避自由</t>
  </si>
  <si>
    <t>埃里希·弗罗姆</t>
  </si>
  <si>
    <t>真实的幸福</t>
  </si>
  <si>
    <t>记忆导图</t>
  </si>
  <si>
    <t>微拉·F·比肯比尔</t>
  </si>
  <si>
    <t>卢菲菲</t>
  </si>
  <si>
    <t>热锅上的家庭</t>
  </si>
  <si>
    <t>奥古斯都·纳皮尔/卡尔·惠特克</t>
  </si>
  <si>
    <t>古典</t>
  </si>
  <si>
    <t>少有人走的路</t>
  </si>
  <si>
    <t>M·斯科特·派克</t>
  </si>
  <si>
    <t>博弈论诡计全集</t>
  </si>
  <si>
    <t>王春永</t>
  </si>
  <si>
    <t>人性的弱点</t>
  </si>
  <si>
    <t>习惯的力量</t>
  </si>
  <si>
    <t>幸福的方法</t>
  </si>
  <si>
    <t>泰勒·本·沙哈尔</t>
  </si>
  <si>
    <t>白雪</t>
  </si>
  <si>
    <t>非暴力沟通（下）</t>
  </si>
  <si>
    <t>爱的艺术</t>
  </si>
  <si>
    <t>艾·弗洛姆</t>
  </si>
  <si>
    <t>自卑与超越</t>
  </si>
  <si>
    <t>阿尔弗雷德·阿德勒</t>
  </si>
  <si>
    <t>曾信力Sophie</t>
  </si>
  <si>
    <t>离经叛道</t>
  </si>
  <si>
    <t>亚当·格兰特</t>
  </si>
  <si>
    <t>简单思考</t>
  </si>
  <si>
    <t>森川亮</t>
  </si>
  <si>
    <t>具身认知：身体如何影响思维和行为</t>
  </si>
  <si>
    <t>西恩·贝洛克</t>
  </si>
  <si>
    <t>冷暴力</t>
  </si>
  <si>
    <t>玛丽-弗朗斯·伊里戈扬</t>
  </si>
  <si>
    <t>意志力</t>
  </si>
  <si>
    <t>罗伊·鲍迈斯特/约翰·蒂尔尼</t>
  </si>
  <si>
    <t>被讨厌的勇气</t>
  </si>
  <si>
    <t>岸见一郎、古贺史健</t>
  </si>
  <si>
    <t>坐看云起</t>
  </si>
  <si>
    <t>记忆错觉</t>
  </si>
  <si>
    <t>茱莉亚·肖</t>
  </si>
  <si>
    <t>李世佳</t>
  </si>
  <si>
    <t>从“为什么”开始</t>
  </si>
  <si>
    <t>西蒙·斯涅克</t>
  </si>
  <si>
    <t>斯坦福大学人生设计课</t>
  </si>
  <si>
    <t>比尔•博内特</t>
  </si>
  <si>
    <t>谈判是什么</t>
    <phoneticPr fontId="2" type="noConversion"/>
  </si>
  <si>
    <t>盖温·肯尼迪</t>
    <phoneticPr fontId="2" type="noConversion"/>
  </si>
  <si>
    <t>陈林</t>
    <phoneticPr fontId="2" type="noConversion"/>
  </si>
  <si>
    <t>有声书</t>
  </si>
  <si>
    <t>销售女神董明珠书写商界传奇</t>
  </si>
  <si>
    <t>肖文键</t>
  </si>
  <si>
    <t>司南时代</t>
  </si>
  <si>
    <t>中国经济2021丨预测未来经济走势</t>
  </si>
  <si>
    <t>郭潘飞</t>
  </si>
  <si>
    <t>《一往无前》雷军亲述小米热血10年【有声书+独家专访】</t>
  </si>
  <si>
    <t>范海涛</t>
  </si>
  <si>
    <t>郎永淳</t>
  </si>
  <si>
    <t>王传福传：比亚迪神话</t>
  </si>
  <si>
    <t>成杰</t>
  </si>
  <si>
    <t>新经济，新规则</t>
  </si>
  <si>
    <t>凯文凯利官方频道</t>
  </si>
  <si>
    <t>激荡三十年</t>
  </si>
  <si>
    <t>蓝狮子FM</t>
  </si>
  <si>
    <t>新制造时代：李书福与吉利、沃尔沃的超级制造</t>
  </si>
  <si>
    <t>王千马，梁冬梅</t>
  </si>
  <si>
    <t>狮声FM</t>
  </si>
  <si>
    <t>供给侧结构性改革</t>
  </si>
  <si>
    <t>中国七先生</t>
  </si>
  <si>
    <t>互联网金融九堂课</t>
  </si>
  <si>
    <t>谢平</t>
  </si>
  <si>
    <t>一度和围脖</t>
  </si>
  <si>
    <t>非理性繁荣与金融危机</t>
  </si>
  <si>
    <t>中信书院</t>
  </si>
  <si>
    <t>滚雪球：巴菲特和他的财富人生(上)</t>
  </si>
  <si>
    <t xml:space="preserve">艾丽斯·施罗德 </t>
  </si>
  <si>
    <t>灰犀牛：如何应对大概率危机</t>
  </si>
  <si>
    <t>魔鬼经济学系列</t>
  </si>
  <si>
    <t>史蒂芬·列维特</t>
  </si>
  <si>
    <t>滚雪球：巴菲特和他的财富人生(下)</t>
  </si>
  <si>
    <t>湛庐阅读</t>
  </si>
  <si>
    <t>激荡十年，水大鱼大</t>
  </si>
  <si>
    <t>美国陷阱</t>
  </si>
  <si>
    <t>弗雷德里克·皮耶鲁齐</t>
  </si>
  <si>
    <t>富爸爸财富大趋势</t>
  </si>
  <si>
    <t>罗伯特·清崎，莎伦·莱希特</t>
  </si>
  <si>
    <t>读书人文化</t>
  </si>
  <si>
    <t>听巴菲特讲投资之道</t>
  </si>
  <si>
    <t>刘军</t>
  </si>
  <si>
    <t>人文社科大讲堂</t>
  </si>
  <si>
    <t>听李嘉诚讲经商之道</t>
  </si>
  <si>
    <t>对冲之王</t>
  </si>
  <si>
    <t>詹姆斯·欧文·韦瑟罗尔</t>
  </si>
  <si>
    <t>最打动投资人的商业计划书</t>
  </si>
  <si>
    <t>赵灵芝</t>
  </si>
  <si>
    <t>电子工业出版社</t>
  </si>
  <si>
    <t>读懂经济学的第一本书：国富论</t>
  </si>
  <si>
    <t>斯密</t>
  </si>
  <si>
    <t>子小苏</t>
  </si>
  <si>
    <t>李清昊带你精读40本投资经典</t>
  </si>
  <si>
    <t>亚当·斯密，本杰明·格雷厄姆，古斯塔夫·勒庞，吉姆·柯林斯，杰里·波勒斯 等</t>
  </si>
  <si>
    <t>檀书：叶檀的投资读书笔记</t>
  </si>
  <si>
    <t>彼得·考夫曼，贾雷德·戴蒙，彼得·林奇，约翰·罗瑟查尔德 等</t>
  </si>
  <si>
    <t xml:space="preserve">腾讯传 </t>
  </si>
  <si>
    <t>沨声</t>
  </si>
  <si>
    <t>七款</t>
  </si>
  <si>
    <t>看见未来：改变互联网世界的人们</t>
  </si>
  <si>
    <t>余晨</t>
  </si>
  <si>
    <t>吴军：智能时代</t>
    <phoneticPr fontId="2" type="noConversion"/>
  </si>
  <si>
    <t>吴军博士</t>
    <phoneticPr fontId="2" type="noConversion"/>
  </si>
  <si>
    <t>资本5000年</t>
    <phoneticPr fontId="2" type="noConversion"/>
  </si>
  <si>
    <t>彭兴庭</t>
    <phoneticPr fontId="2" type="noConversion"/>
  </si>
  <si>
    <t>陈钰</t>
    <phoneticPr fontId="2" type="noConversion"/>
  </si>
  <si>
    <t>未完结</t>
    <phoneticPr fontId="2" type="noConversion"/>
  </si>
  <si>
    <t>华为教父任正非</t>
  </si>
  <si>
    <t>刘世英，彭征明</t>
  </si>
  <si>
    <t>kting北京东方视角</t>
  </si>
  <si>
    <t>创业无畏</t>
  </si>
  <si>
    <t>彼得·戴曼迪斯，史蒂芬·科特勒</t>
  </si>
  <si>
    <t>投资异类</t>
  </si>
  <si>
    <t xml:space="preserve">王利杰 </t>
  </si>
  <si>
    <t>精益创业</t>
  </si>
  <si>
    <t>埃里克.莱斯</t>
  </si>
  <si>
    <t>小米生态链战地笔记</t>
  </si>
  <si>
    <t>小米生态链谷仓学院</t>
  </si>
  <si>
    <t>从0到1:开启商业与未来的秘密</t>
  </si>
  <si>
    <t xml:space="preserve">彼得·蒂尔，布莱克·马斯特斯 </t>
  </si>
  <si>
    <t>中国创投简史</t>
  </si>
  <si>
    <t>投资界网站</t>
  </si>
  <si>
    <t>人邮知书</t>
  </si>
  <si>
    <t>让大象飞</t>
  </si>
  <si>
    <t>史蒂文·霍夫曼</t>
  </si>
  <si>
    <t>创业合伙人实战课</t>
  </si>
  <si>
    <t>武帅</t>
  </si>
  <si>
    <t>微创新</t>
    <phoneticPr fontId="2" type="noConversion"/>
  </si>
  <si>
    <t>5种微小改变创造伟大产品</t>
    <phoneticPr fontId="2" type="noConversion"/>
  </si>
  <si>
    <t>德鲁·博迪</t>
  </si>
  <si>
    <t>陈春花管理经典《经营的本质》</t>
  </si>
  <si>
    <t>陈春花</t>
  </si>
  <si>
    <t>领导梯队：打造领导力驱动型公司</t>
  </si>
  <si>
    <t>拉姆·查兰</t>
  </si>
  <si>
    <t>皓然</t>
  </si>
  <si>
    <t>做最好的管理者</t>
  </si>
  <si>
    <t>陈浩</t>
  </si>
  <si>
    <t>领导力行动学习手册</t>
  </si>
  <si>
    <t>约翰·帕克·斯图尔特</t>
  </si>
  <si>
    <t>北大经济管理课</t>
  </si>
  <si>
    <t>商业财经智慧</t>
  </si>
  <si>
    <t>互联网+时代的传统企业转型难题</t>
  </si>
  <si>
    <t>徐文君</t>
  </si>
  <si>
    <t>陈春花管理经典 ·《管理的常识》</t>
  </si>
  <si>
    <t>陈春花管理经典有声书</t>
  </si>
  <si>
    <t>超越竞争</t>
  </si>
  <si>
    <t>激活个体</t>
  </si>
  <si>
    <t>激活组织</t>
  </si>
  <si>
    <t>从理念到行为习惯</t>
  </si>
  <si>
    <t>慢决策</t>
  </si>
  <si>
    <t>弗兰克·帕特诺伊</t>
  </si>
  <si>
    <t>管理百年</t>
  </si>
  <si>
    <t xml:space="preserve">克雷纳 </t>
  </si>
  <si>
    <t>中国式思维</t>
  </si>
  <si>
    <t>时代光华图书</t>
  </si>
  <si>
    <t>顶级管理：聆听管理大师智慧之声</t>
  </si>
  <si>
    <t>张雪松</t>
  </si>
  <si>
    <t>从职场精英到管理干将</t>
  </si>
  <si>
    <t>李家强</t>
  </si>
  <si>
    <t>阿里铁军</t>
  </si>
  <si>
    <t>宋金波，韩福东</t>
  </si>
  <si>
    <t>任正非：除了胜利我们已无路可走</t>
  </si>
  <si>
    <t>周显亮</t>
  </si>
  <si>
    <t>联合读创书院</t>
  </si>
  <si>
    <t>中华老字号经营智慧</t>
  </si>
  <si>
    <t>任学明</t>
  </si>
  <si>
    <t>大夜听书</t>
  </si>
  <si>
    <t>定位理论精讲：品牌思维实战课</t>
  </si>
  <si>
    <t>华为管理法</t>
  </si>
  <si>
    <t>黄继伟</t>
  </si>
  <si>
    <t>零点玖捌</t>
  </si>
  <si>
    <t>陈春花管理经典《冬天的作为》</t>
  </si>
  <si>
    <t>陈春花管理经典 《成为价值型企业》</t>
  </si>
  <si>
    <t>华为终端战略</t>
  </si>
  <si>
    <t>芮斌，熊玥伽</t>
  </si>
  <si>
    <t> 宝泽阿城</t>
  </si>
  <si>
    <t>华为灰度管理法</t>
  </si>
  <si>
    <t>止溪</t>
  </si>
  <si>
    <t>马云思维</t>
  </si>
  <si>
    <t>叶光森，陈润</t>
  </si>
  <si>
    <t>韩熙达</t>
  </si>
  <si>
    <t>数字化转型方法论</t>
    <phoneticPr fontId="2" type="noConversion"/>
  </si>
  <si>
    <t>马晓东</t>
    <phoneticPr fontId="2" type="noConversion"/>
  </si>
  <si>
    <t>人生不过一念间：南怀瑾的15堂人生智慧课</t>
  </si>
  <si>
    <t>柠檬树</t>
  </si>
  <si>
    <t>名家朗诵丨儒家经典：论语</t>
  </si>
  <si>
    <t>论语</t>
  </si>
  <si>
    <t>听林清玄讲禅意</t>
  </si>
  <si>
    <t>凌龙</t>
  </si>
  <si>
    <t>亘古皓月</t>
  </si>
  <si>
    <t>齐善鸿讲《道德经》</t>
  </si>
  <si>
    <t>老子</t>
  </si>
  <si>
    <t>齐善鸿</t>
  </si>
  <si>
    <t>薛教授精讲《孙子兵法》</t>
  </si>
  <si>
    <t>孙武</t>
  </si>
  <si>
    <t>薛国安</t>
  </si>
  <si>
    <t>于晓非《金刚经》导读</t>
  </si>
  <si>
    <t>鸠摩罗什</t>
  </si>
  <si>
    <t>于晓非</t>
  </si>
  <si>
    <t>张其成讲《易经》</t>
  </si>
  <si>
    <t>姬昌</t>
  </si>
  <si>
    <t>张其成</t>
  </si>
  <si>
    <t>十问·霍金沉思录</t>
  </si>
  <si>
    <t>湖南科学技术出版社</t>
  </si>
  <si>
    <t>时间的形状：相对论史话</t>
  </si>
  <si>
    <t>静雅思听网站</t>
  </si>
  <si>
    <t>区块链社会</t>
  </si>
  <si>
    <t>龚鸣</t>
  </si>
  <si>
    <t>决战大数据</t>
  </si>
  <si>
    <t>车品觉</t>
  </si>
  <si>
    <t>蚂蚁金服</t>
  </si>
  <si>
    <t>由曦</t>
  </si>
  <si>
    <t>基因传</t>
  </si>
  <si>
    <t>爆发</t>
  </si>
  <si>
    <t xml:space="preserve">艾伯特-拉斯洛·巴拉巴西 </t>
  </si>
  <si>
    <t>时代之巅——互联网构建新经济</t>
  </si>
  <si>
    <t>水木然</t>
  </si>
  <si>
    <t>元宇宙通证</t>
    <phoneticPr fontId="2" type="noConversion"/>
  </si>
  <si>
    <t>邢杰，赵国栋，徐远重，易欢欢，余晨</t>
  </si>
  <si>
    <t>杨大妍</t>
    <phoneticPr fontId="2" type="noConversion"/>
  </si>
  <si>
    <t>从黄河文明到“一带一路”</t>
  </si>
  <si>
    <t>李晓鹏</t>
  </si>
  <si>
    <t>逃亡与拯救：二战中的犹太难民与上海</t>
  </si>
  <si>
    <t>王健</t>
  </si>
  <si>
    <t>南洋书苑</t>
  </si>
  <si>
    <t>荣归</t>
  </si>
  <si>
    <t>余玮</t>
  </si>
  <si>
    <t>中版去听</t>
  </si>
  <si>
    <t>中央帝国的财政密码</t>
  </si>
  <si>
    <t>郭建龙</t>
  </si>
  <si>
    <t>鹭江出版社</t>
  </si>
  <si>
    <t>中国时代：美国人眼中的中国</t>
  </si>
  <si>
    <t>师永刚</t>
  </si>
  <si>
    <t>迷_</t>
  </si>
  <si>
    <t>一战简史</t>
  </si>
  <si>
    <t>诺曼·斯通，王东兴，张蓉</t>
  </si>
  <si>
    <t>易中天中华史：安史之乱</t>
  </si>
  <si>
    <t>果麦文化</t>
  </si>
  <si>
    <t>决战朝鲜</t>
  </si>
  <si>
    <t>李峰</t>
  </si>
  <si>
    <t>现代军吧</t>
  </si>
  <si>
    <t>历史真的很有料：历史上的1分钟</t>
  </si>
  <si>
    <t>雾满拦江</t>
  </si>
  <si>
    <t>影子兵</t>
  </si>
  <si>
    <t>一本书看懂中国史</t>
  </si>
  <si>
    <t xml:space="preserve">马件涛 </t>
  </si>
  <si>
    <t>万水朝东</t>
  </si>
  <si>
    <t>陈延武</t>
  </si>
  <si>
    <t>延悦</t>
  </si>
  <si>
    <t>铸梦百年——中国宝武130年简史</t>
  </si>
  <si>
    <t>中国宝武</t>
    <phoneticPr fontId="2" type="noConversion"/>
  </si>
  <si>
    <t>声波里的中国航天</t>
    <phoneticPr fontId="2" type="noConversion"/>
  </si>
  <si>
    <t>中国航天科技集团</t>
    <phoneticPr fontId="2" type="noConversion"/>
  </si>
  <si>
    <t>为什么是中国</t>
    <phoneticPr fontId="2" type="noConversion"/>
  </si>
  <si>
    <t>金一南</t>
    <phoneticPr fontId="2" type="noConversion"/>
  </si>
  <si>
    <t>已完结</t>
    <phoneticPr fontId="2" type="noConversion"/>
  </si>
  <si>
    <t>让天赋自由</t>
  </si>
  <si>
    <t xml:space="preserve">肯·罗宾逊，卢·阿罗尼卡 </t>
  </si>
  <si>
    <t>父母情商</t>
  </si>
  <si>
    <t>谭一平</t>
  </si>
  <si>
    <t>不太老的老季头</t>
  </si>
  <si>
    <t>这样培养孩子才优秀</t>
  </si>
  <si>
    <t>戴东</t>
  </si>
  <si>
    <t>爱的教育</t>
  </si>
  <si>
    <t>亚米契斯</t>
  </si>
  <si>
    <t>三五闲人</t>
  </si>
  <si>
    <t>给孩子讲相对论</t>
  </si>
  <si>
    <t xml:space="preserve">李淼，王爽 </t>
  </si>
  <si>
    <t>铃音频道</t>
  </si>
  <si>
    <t>陶行知教育箴言</t>
  </si>
  <si>
    <t xml:space="preserve">陶行知 </t>
  </si>
  <si>
    <t>卓纳文化传媒</t>
  </si>
  <si>
    <t>活出完整自己的妈妈情商课</t>
  </si>
  <si>
    <t>海文颖</t>
  </si>
  <si>
    <t>别为小事误了孩子未来</t>
  </si>
  <si>
    <t>智商情商加速跑</t>
  </si>
  <si>
    <t>张雅莲</t>
  </si>
  <si>
    <t>中国哲学简史</t>
  </si>
  <si>
    <t>道法自然_Dy</t>
  </si>
  <si>
    <t>跟哲学家谈幸福</t>
  </si>
  <si>
    <t>罗芬芬</t>
  </si>
  <si>
    <t>英雄之旅</t>
  </si>
  <si>
    <t>约瑟夫·坎贝尔</t>
  </si>
  <si>
    <t>千面英雄</t>
  </si>
  <si>
    <t>大国速度：中国高铁崛起之路</t>
  </si>
  <si>
    <t>高铁见闻</t>
  </si>
  <si>
    <t>海派文化地图：沪东风云</t>
  </si>
  <si>
    <t>李晓栋</t>
  </si>
  <si>
    <t>《自然辩证法》导读</t>
  </si>
  <si>
    <t>艾四林</t>
  </si>
  <si>
    <t>《反杜林论》导读</t>
  </si>
  <si>
    <t>崔伟奇</t>
  </si>
  <si>
    <t>《神圣家族》导读</t>
  </si>
  <si>
    <t>宋永平，刘晓勇</t>
  </si>
  <si>
    <t>苦难辉煌</t>
  </si>
  <si>
    <t>姚科</t>
  </si>
  <si>
    <t>杨绛传</t>
  </si>
  <si>
    <t>桑尼</t>
  </si>
  <si>
    <t>颠倒的完美</t>
  </si>
  <si>
    <t>人类简史+未来简史</t>
  </si>
  <si>
    <t>极简人类史</t>
  </si>
  <si>
    <t>精读全球好书100本【第一季】</t>
  </si>
  <si>
    <t>卡兰·马哈詹，斯特凡·赫特曼斯，韩江，科尔森·怀特黑德 等</t>
  </si>
  <si>
    <t>精读全球好书100本【第二季】</t>
  </si>
  <si>
    <t>尤瓦尔·赫拉利，道格拉斯·普雷斯顿，罗克珊·盖伊，谢丽尔·桑德伯格 等</t>
  </si>
  <si>
    <t>曾国藩家书（白话全译精读版）</t>
  </si>
  <si>
    <t>曾国藩</t>
  </si>
  <si>
    <t>王浩</t>
  </si>
  <si>
    <t>吴敬琏传</t>
  </si>
  <si>
    <t>2轴思维</t>
  </si>
  <si>
    <t>木部智之</t>
  </si>
  <si>
    <t>韦伟</t>
  </si>
  <si>
    <t>陈九霖自述</t>
  </si>
  <si>
    <t>陈九霖</t>
  </si>
  <si>
    <t>高子</t>
  </si>
  <si>
    <t>董明珠：独立女性奋斗范本</t>
    <phoneticPr fontId="2" type="noConversion"/>
  </si>
  <si>
    <t>陈润</t>
  </si>
  <si>
    <t>陈润</t>
    <phoneticPr fontId="2" type="noConversion"/>
  </si>
  <si>
    <t>彭蕾传</t>
    <phoneticPr fontId="2" type="noConversion"/>
  </si>
  <si>
    <t>江珊</t>
    <phoneticPr fontId="2" type="noConversion"/>
  </si>
  <si>
    <t>段永平传：敢为天下后</t>
    <phoneticPr fontId="2" type="noConversion"/>
  </si>
  <si>
    <t>任正非传</t>
    <phoneticPr fontId="2" type="noConversion"/>
  </si>
  <si>
    <t>邱晓雅,陈润</t>
    <phoneticPr fontId="2" type="noConversion"/>
  </si>
  <si>
    <t>雷军传</t>
    <phoneticPr fontId="2" type="noConversion"/>
  </si>
  <si>
    <t>韩熙达</t>
    <phoneticPr fontId="2" type="noConversion"/>
  </si>
  <si>
    <t>三十六计智慧故事</t>
    <phoneticPr fontId="2" type="noConversion"/>
  </si>
  <si>
    <t>无声的大可</t>
    <phoneticPr fontId="2" type="noConversion"/>
  </si>
  <si>
    <t>周国平孤独哲学</t>
    <phoneticPr fontId="2" type="noConversion"/>
  </si>
  <si>
    <t>周国平</t>
    <phoneticPr fontId="2" type="noConversion"/>
  </si>
  <si>
    <t>读者</t>
    <phoneticPr fontId="2" type="noConversion"/>
  </si>
  <si>
    <t>平易近人—习近平的语言力量</t>
    <phoneticPr fontId="2" type="noConversion"/>
  </si>
  <si>
    <t>陈锡喜</t>
  </si>
  <si>
    <t>喜马拉雅小红花</t>
  </si>
  <si>
    <t>平易近人—习近平的语言力量（军事卷）</t>
  </si>
  <si>
    <t>刘志辉</t>
  </si>
  <si>
    <t>《剧变》吴晨讲书+有声书</t>
  </si>
  <si>
    <t>吴晨</t>
  </si>
  <si>
    <t>平易近人：习近平的语言力量（外交卷）</t>
  </si>
  <si>
    <t>苏格</t>
  </si>
  <si>
    <t>微距海清</t>
  </si>
  <si>
    <t>《共产党宣言》导读</t>
  </si>
  <si>
    <t>《新民主主义论》导读</t>
  </si>
  <si>
    <t>总主编艾四林，康沛竹，江大伟</t>
  </si>
  <si>
    <t>《论十大关系》导读</t>
  </si>
  <si>
    <t>艾四林，史春风</t>
  </si>
  <si>
    <t>《实践论》《矛盾论》导读</t>
  </si>
  <si>
    <t>刘敬东，张玲玲</t>
  </si>
  <si>
    <t>《社会主义从空想到科学的发展》导读</t>
  </si>
  <si>
    <t>第三次浪潮</t>
  </si>
  <si>
    <t>阿尔文·托夫勒</t>
  </si>
  <si>
    <t>世界秩序</t>
  </si>
  <si>
    <t>基辛格</t>
  </si>
  <si>
    <t>今日简史</t>
  </si>
  <si>
    <t>论中国</t>
  </si>
  <si>
    <t>亨利·基辛格</t>
  </si>
  <si>
    <t>企鹅兰登有声书</t>
  </si>
  <si>
    <t>双循环：构建“十四五”新发展格局</t>
    <phoneticPr fontId="2" type="noConversion"/>
  </si>
  <si>
    <t>樊纲</t>
    <phoneticPr fontId="2" type="noConversion"/>
  </si>
  <si>
    <t>读懂“十四五”：新发展格局下的改革议程</t>
    <phoneticPr fontId="2" type="noConversion"/>
  </si>
  <si>
    <t>刘世锦</t>
    <phoneticPr fontId="2" type="noConversion"/>
  </si>
  <si>
    <t>中国人形象规律教程：女性个人色彩搭配分册</t>
  </si>
  <si>
    <t>西蔓色研中心</t>
  </si>
  <si>
    <t>西蔓色彩官方账号</t>
  </si>
  <si>
    <t>细节决定成败</t>
  </si>
  <si>
    <t>汪中求</t>
  </si>
  <si>
    <t>专念创造力</t>
  </si>
  <si>
    <t>埃伦·兰格</t>
  </si>
  <si>
    <t>细节：如何轻松影响他人</t>
  </si>
  <si>
    <t>跑步圣经</t>
  </si>
  <si>
    <t>乔治·希恩</t>
  </si>
  <si>
    <t>爆睡术：睡眠障碍心理分析实录</t>
  </si>
  <si>
    <t>刘高峰</t>
  </si>
  <si>
    <t>懒兔子：说医不二</t>
  </si>
  <si>
    <t>懒兔子</t>
  </si>
  <si>
    <t>紫图图书ZITO</t>
  </si>
  <si>
    <t>最好的告别</t>
  </si>
  <si>
    <t>阿图葛文德</t>
  </si>
  <si>
    <t>断舍离</t>
    <phoneticPr fontId="2" type="noConversion"/>
  </si>
  <si>
    <t>山下英子</t>
    <phoneticPr fontId="2" type="noConversion"/>
  </si>
  <si>
    <t>姜赛乔</t>
    <phoneticPr fontId="2" type="noConversion"/>
  </si>
  <si>
    <t>跑者常见疼痛手册</t>
    <phoneticPr fontId="2" type="noConversion"/>
  </si>
  <si>
    <t xml:space="preserve"> 谢頔 等</t>
    <phoneticPr fontId="2" type="noConversion"/>
  </si>
  <si>
    <t>湛庐阅读</t>
    <phoneticPr fontId="2" type="noConversion"/>
  </si>
  <si>
    <t>把生命浪费在美好的事物上</t>
  </si>
  <si>
    <t>成为becoming</t>
  </si>
  <si>
    <t>米歇尔·奥巴马</t>
  </si>
  <si>
    <t>普希金：致大海</t>
  </si>
  <si>
    <t>普希金</t>
  </si>
  <si>
    <t>雨果：赠朱丽叶</t>
  </si>
  <si>
    <t>雨果</t>
  </si>
  <si>
    <t>屠格涅夫：爱之路</t>
  </si>
  <si>
    <t>屠格涅夫</t>
  </si>
  <si>
    <t>叶赛宁：海轻轻荡着细浪</t>
  </si>
  <si>
    <t>叶赛宁</t>
  </si>
  <si>
    <t>冬日漫步</t>
  </si>
  <si>
    <t>作品集</t>
  </si>
  <si>
    <t>内心深处的落日</t>
  </si>
  <si>
    <t>雪花的快乐</t>
  </si>
  <si>
    <t>徐志摩</t>
  </si>
  <si>
    <t>荷塘月色</t>
  </si>
  <si>
    <t>朱自清</t>
  </si>
  <si>
    <t>桨声灯影里的秦淮河</t>
  </si>
  <si>
    <t>朱自清，俞平伯</t>
  </si>
  <si>
    <t>海边幻想</t>
  </si>
  <si>
    <t>繁星</t>
  </si>
  <si>
    <t>冰心</t>
  </si>
  <si>
    <t>假如生活欺骗了你</t>
  </si>
  <si>
    <t>我这一辈子</t>
  </si>
  <si>
    <t>声动飞天</t>
  </si>
  <si>
    <t>疲惫的人</t>
  </si>
  <si>
    <t>梁晓声</t>
  </si>
  <si>
    <t>宜宜zy</t>
  </si>
  <si>
    <t>幻灭</t>
  </si>
  <si>
    <t>巴尔扎克</t>
  </si>
  <si>
    <t>沉迷名著</t>
  </si>
  <si>
    <t>朝花夕拾</t>
  </si>
  <si>
    <t>鲁迅</t>
  </si>
  <si>
    <t>断残集</t>
  </si>
  <si>
    <t>郁达夫</t>
  </si>
  <si>
    <t>小冷音像工作室</t>
  </si>
  <si>
    <t>随感录</t>
  </si>
  <si>
    <t>陈独秀</t>
  </si>
  <si>
    <t>你是人间的四月天</t>
  </si>
  <si>
    <t>林徽因</t>
  </si>
  <si>
    <t>天津人民出版社</t>
  </si>
  <si>
    <t>爱你就像爱生命</t>
  </si>
  <si>
    <t>王小波</t>
  </si>
  <si>
    <t>活着</t>
  </si>
  <si>
    <t>余华</t>
  </si>
  <si>
    <t>在细雨中呼喊</t>
  </si>
  <si>
    <t>三毛：1943-1991</t>
  </si>
  <si>
    <t>师永刚，陈文芬，沙林</t>
  </si>
  <si>
    <t>手</t>
  </si>
  <si>
    <t>萧红</t>
  </si>
  <si>
    <t>良言声声</t>
  </si>
  <si>
    <t>讲演集</t>
  </si>
  <si>
    <t>李叔同作品集</t>
  </si>
  <si>
    <t>华音桑梓</t>
  </si>
  <si>
    <t>人间词话</t>
  </si>
  <si>
    <t>王国维</t>
  </si>
  <si>
    <t>晓月云扬</t>
  </si>
  <si>
    <t>雾都孤儿</t>
  </si>
  <si>
    <t>查尔斯·狄更斯</t>
  </si>
  <si>
    <t>译文有声</t>
  </si>
  <si>
    <t>最高职责</t>
  </si>
  <si>
    <t>切斯利·萨伦伯格，杰夫·扎斯洛</t>
  </si>
  <si>
    <t>十二个明天</t>
  </si>
  <si>
    <t>刘慈欣，刘宇昆，尼迪·奥科拉弗</t>
  </si>
  <si>
    <t>假如给我三天光明</t>
  </si>
  <si>
    <t>凯伦·凯勒　</t>
  </si>
  <si>
    <t>红与黑</t>
  </si>
  <si>
    <t xml:space="preserve">斯当达 </t>
  </si>
  <si>
    <t>茶花女</t>
  </si>
  <si>
    <t>小仲马</t>
  </si>
  <si>
    <t>红楼梦</t>
  </si>
  <si>
    <t>曹雪芹</t>
  </si>
  <si>
    <t>岳麓书社</t>
  </si>
  <si>
    <t>约翰·克利斯朵夫</t>
  </si>
  <si>
    <t>贰飞文传</t>
  </si>
  <si>
    <t>海底两万里</t>
  </si>
  <si>
    <t>儒勒·凡尔纳</t>
  </si>
  <si>
    <t>人民文学出版社</t>
  </si>
  <si>
    <t>西游记</t>
  </si>
  <si>
    <t xml:space="preserve">吴承恩 </t>
  </si>
  <si>
    <t>赵元任早年自传</t>
  </si>
  <si>
    <t>赵元任</t>
  </si>
  <si>
    <t>贰飞有声故事</t>
  </si>
  <si>
    <t>安娜·卡列尼娜</t>
  </si>
  <si>
    <t>润物有声书房</t>
  </si>
  <si>
    <t>人民的名义</t>
  </si>
  <si>
    <t xml:space="preserve">周梅森 </t>
  </si>
  <si>
    <t>鸿达以太</t>
  </si>
  <si>
    <t>鲁滨逊漂流记</t>
  </si>
  <si>
    <t>丹尼尔·笛福</t>
  </si>
  <si>
    <t>悲惨世界</t>
  </si>
  <si>
    <t>维克多·雨果</t>
  </si>
  <si>
    <t>八十天环游世界</t>
  </si>
  <si>
    <t>牛棚杂忆</t>
  </si>
  <si>
    <t>季羡林</t>
  </si>
  <si>
    <t>封神演义</t>
  </si>
  <si>
    <t>许仲琳</t>
  </si>
  <si>
    <t>华音传媒</t>
  </si>
  <si>
    <t>老舍精品集</t>
  </si>
  <si>
    <t>艾宝良官方工作室</t>
  </si>
  <si>
    <t>余光中畅销散文小说集</t>
  </si>
  <si>
    <t>余光中</t>
  </si>
  <si>
    <t>唐诗大咖精选：杜甫</t>
  </si>
  <si>
    <t>杜甫</t>
  </si>
  <si>
    <t>宋词大咖精选：欧阳修</t>
  </si>
  <si>
    <t>欧阳修</t>
  </si>
  <si>
    <t>中国好诗词：古诗词里的花事情未了</t>
  </si>
  <si>
    <t>曾雅娴</t>
  </si>
  <si>
    <t>清华大学出版社</t>
  </si>
  <si>
    <t>平凡的世界</t>
  </si>
  <si>
    <t>路遥</t>
  </si>
  <si>
    <t>新经典</t>
  </si>
  <si>
    <t>马瑞芳品读《红楼梦》</t>
  </si>
  <si>
    <t>马瑞芳</t>
  </si>
  <si>
    <t>简爱</t>
    <phoneticPr fontId="2" type="noConversion"/>
  </si>
  <si>
    <t>夏洛蒂·勃朗特</t>
    <phoneticPr fontId="2" type="noConversion"/>
  </si>
  <si>
    <t>乔榛，刘风</t>
    <phoneticPr fontId="2" type="noConversion"/>
  </si>
  <si>
    <t>正义之心</t>
  </si>
  <si>
    <t>乔纳森 海特</t>
  </si>
  <si>
    <t>杨凤池</t>
  </si>
  <si>
    <t>卓越人士的七种心态</t>
  </si>
  <si>
    <t>雷建军</t>
  </si>
  <si>
    <t>逻辑</t>
  </si>
  <si>
    <t>孙勇</t>
  </si>
  <si>
    <t>稀缺</t>
  </si>
  <si>
    <t>塞德希尔·穆来纳森</t>
  </si>
  <si>
    <t>异类:不一样的成功启示录</t>
  </si>
  <si>
    <t>无价</t>
  </si>
  <si>
    <t>威廉·庞德斯通</t>
  </si>
  <si>
    <t>韩焱·对话最伟大的头脑</t>
  </si>
  <si>
    <t>约翰·布罗克曼</t>
  </si>
  <si>
    <t>西奥迪尼社会心理学</t>
  </si>
  <si>
    <t>道格拉斯·肯里克，史蒂文·纽伯格，罗伯特·西奥迪尼</t>
  </si>
  <si>
    <t>我们：亲密关系的心理必修课</t>
  </si>
  <si>
    <t>叶壮</t>
  </si>
  <si>
    <t>人际的奥秘</t>
  </si>
  <si>
    <t>文明与缺憾</t>
  </si>
  <si>
    <t>找回正能量的自己：治愈系心理学</t>
  </si>
  <si>
    <t>查斯特罗</t>
  </si>
  <si>
    <t>将来的你，一定会感谢现在拼命的自己</t>
  </si>
  <si>
    <t>汤木</t>
  </si>
  <si>
    <t>个体崛起：未来生存法则</t>
  </si>
  <si>
    <t>20几岁我想要的能力</t>
  </si>
  <si>
    <t xml:space="preserve">若谷 </t>
  </si>
  <si>
    <t>20—30岁 从青涩到而立</t>
  </si>
  <si>
    <t>20—30岁 好口才，好社交</t>
  </si>
  <si>
    <t>原创力之谜</t>
  </si>
  <si>
    <t>周林飞</t>
  </si>
  <si>
    <t>不抱怨的世界</t>
  </si>
  <si>
    <t>威尔·鲍温</t>
  </si>
  <si>
    <t>石头说话2017</t>
  </si>
  <si>
    <t>活好：我这样活到105岁</t>
    <phoneticPr fontId="2" type="noConversion"/>
  </si>
  <si>
    <t>日野原重明</t>
    <phoneticPr fontId="2" type="noConversion"/>
  </si>
  <si>
    <t>做最好的中层</t>
  </si>
  <si>
    <t>俞军产品方法论丨产品经理进阶读物</t>
  </si>
  <si>
    <t>俞军</t>
  </si>
  <si>
    <t>听唐骏讲工作之道</t>
  </si>
  <si>
    <t>价值销售</t>
  </si>
  <si>
    <t>葛光祥</t>
  </si>
  <si>
    <t>晋升沟通巧技能</t>
  </si>
  <si>
    <t>刘平青</t>
  </si>
  <si>
    <t>销售心经</t>
  </si>
  <si>
    <t>不懂心理学就做不好销售</t>
  </si>
  <si>
    <t>曹华宗</t>
  </si>
  <si>
    <t>从点子到产品</t>
  </si>
  <si>
    <t>刘飞</t>
  </si>
  <si>
    <t>哈佛决策：哈佛商学院决策圣经</t>
  </si>
  <si>
    <t>职场高手进阶指南</t>
  </si>
  <si>
    <t>古典，罗伯特·西奥迪尼，克里斯·安德森</t>
  </si>
  <si>
    <t>破局</t>
  </si>
  <si>
    <t>蔡海彬，范超伟</t>
  </si>
  <si>
    <t>哈佛口才课</t>
  </si>
  <si>
    <t>刘丽娜</t>
  </si>
  <si>
    <t>中国法制出版社</t>
  </si>
  <si>
    <t>被领导的艺术</t>
  </si>
  <si>
    <t>求职不如谋职</t>
  </si>
  <si>
    <t>郑一群</t>
  </si>
  <si>
    <t>欢喜传媒</t>
  </si>
  <si>
    <t>卓越员工素质修炼</t>
  </si>
  <si>
    <t>职场通关秘籍</t>
  </si>
  <si>
    <t>高建华</t>
  </si>
  <si>
    <t>高建华官方账号</t>
  </si>
  <si>
    <t>西点军校给年轻人的成长课</t>
  </si>
  <si>
    <t>文齐</t>
  </si>
  <si>
    <t>杳宁</t>
  </si>
  <si>
    <t>沟通巧技能</t>
  </si>
  <si>
    <t xml:space="preserve">刘平青 </t>
  </si>
  <si>
    <t>职场礼仪·国际商务礼仪</t>
  </si>
  <si>
    <t>弗里德里克·冯·德尔·马维茨</t>
  </si>
  <si>
    <t>向上管理</t>
  </si>
  <si>
    <t>李卓汐，秦浩洋</t>
  </si>
  <si>
    <t>迈过心理那些坎儿</t>
  </si>
  <si>
    <t>一墨</t>
  </si>
  <si>
    <t>易经职场智慧</t>
  </si>
  <si>
    <t>杨力</t>
  </si>
  <si>
    <t>参与感营销</t>
  </si>
  <si>
    <t>反常识管理</t>
    <phoneticPr fontId="2" type="noConversion"/>
  </si>
  <si>
    <t>姜海舟</t>
    <phoneticPr fontId="2" type="noConversion"/>
  </si>
  <si>
    <t>你也可以成为优秀主管</t>
    <phoneticPr fontId="2" type="noConversion"/>
  </si>
  <si>
    <t>原野</t>
    <phoneticPr fontId="2" type="noConversion"/>
  </si>
  <si>
    <t>你的顾客需要一个好故事</t>
    <phoneticPr fontId="2" type="noConversion"/>
  </si>
  <si>
    <t xml:space="preserve">唐纳德.米勒 </t>
    <phoneticPr fontId="2" type="noConversion"/>
  </si>
  <si>
    <t>程枫</t>
    <phoneticPr fontId="2" type="noConversion"/>
  </si>
  <si>
    <t>复盘</t>
    <phoneticPr fontId="2" type="noConversion"/>
  </si>
  <si>
    <t>虚舟</t>
    <phoneticPr fontId="2" type="noConversion"/>
  </si>
  <si>
    <t>结构化思维</t>
    <phoneticPr fontId="2" type="noConversion"/>
  </si>
  <si>
    <t>黎甜</t>
    <phoneticPr fontId="2" type="noConversion"/>
  </si>
  <si>
    <t>为企业找到十倍盈利突破点的视频课</t>
    <phoneticPr fontId="1" type="noConversion"/>
  </si>
  <si>
    <t>马云思维</t>
    <phoneticPr fontId="2" type="noConversion"/>
  </si>
  <si>
    <t>平易近人—习近平的语言力量</t>
  </si>
  <si>
    <t>跑者常见疼痛手册</t>
  </si>
  <si>
    <t xml:space="preserve"> 谢頔 等</t>
  </si>
  <si>
    <t>孔令玉</t>
  </si>
  <si>
    <t>亚瑟·乔拉米卡利</t>
  </si>
  <si>
    <t>全球化简史</t>
  </si>
  <si>
    <t>全球化简史</t>
    <phoneticPr fontId="1" type="noConversion"/>
  </si>
  <si>
    <t>杰弗里•萨克斯</t>
  </si>
  <si>
    <t>杰弗里•萨克斯</t>
    <phoneticPr fontId="1" type="noConversion"/>
  </si>
  <si>
    <t>刀劈三观抱老师</t>
    <phoneticPr fontId="1" type="noConversion"/>
  </si>
  <si>
    <t>与运气竞争</t>
    <phoneticPr fontId="1" type="noConversion"/>
  </si>
  <si>
    <t>陈曦</t>
    <phoneticPr fontId="1" type="noConversion"/>
  </si>
  <si>
    <t>克莱顿·克里斯坦森</t>
    <phoneticPr fontId="1" type="noConversion"/>
  </si>
  <si>
    <t>4..100</t>
  </si>
  <si>
    <t>超越优势竞争</t>
    <phoneticPr fontId="1" type="noConversion"/>
  </si>
  <si>
    <t>拖德•曾格</t>
    <phoneticPr fontId="1" type="noConversion"/>
  </si>
  <si>
    <t>章永宏</t>
    <phoneticPr fontId="1" type="noConversion"/>
  </si>
  <si>
    <t>读懂双循环新发展格局</t>
    <phoneticPr fontId="1" type="noConversion"/>
  </si>
  <si>
    <t>刘元春</t>
    <phoneticPr fontId="1" type="noConversion"/>
  </si>
  <si>
    <t>中信书院</t>
    <phoneticPr fontId="1" type="noConversion"/>
  </si>
  <si>
    <t>已完结</t>
    <phoneticPr fontId="1" type="noConversion"/>
  </si>
  <si>
    <t>如何看待全球化</t>
  </si>
  <si>
    <t>如何看待全球化</t>
    <phoneticPr fontId="1" type="noConversion"/>
  </si>
  <si>
    <t>彼得·辛格</t>
  </si>
  <si>
    <t>彼得·辛格</t>
    <phoneticPr fontId="1" type="noConversion"/>
  </si>
  <si>
    <t>小张</t>
  </si>
  <si>
    <t>小张</t>
    <phoneticPr fontId="2" type="noConversion"/>
  </si>
  <si>
    <t>数据分析</t>
    <phoneticPr fontId="1" type="noConversion"/>
  </si>
  <si>
    <t>商业财经</t>
    <phoneticPr fontId="1" type="noConversion"/>
  </si>
  <si>
    <t>讲书</t>
    <phoneticPr fontId="1" type="noConversion"/>
  </si>
  <si>
    <t>中国经济2021丨预测未来经济走势</t>
    <phoneticPr fontId="1" type="noConversion"/>
  </si>
  <si>
    <t>经济思想史&amp;智慧资本</t>
    <phoneticPr fontId="1" type="noConversion"/>
  </si>
  <si>
    <t>超级版图</t>
    <phoneticPr fontId="1" type="noConversion"/>
  </si>
  <si>
    <t>讲书</t>
    <phoneticPr fontId="1" type="noConversion"/>
  </si>
  <si>
    <t>职场</t>
    <phoneticPr fontId="1" type="noConversion"/>
  </si>
  <si>
    <t>如何阅读一本书</t>
    <phoneticPr fontId="1" type="noConversion"/>
  </si>
  <si>
    <t>谁动了我的奶酪大全集</t>
    <phoneticPr fontId="1" type="noConversion"/>
  </si>
  <si>
    <t>向前一步</t>
    <phoneticPr fontId="1" type="noConversion"/>
  </si>
  <si>
    <t>谢丽尔·桑德伯格</t>
    <phoneticPr fontId="1" type="noConversion"/>
  </si>
  <si>
    <t>谢亚芳</t>
  </si>
  <si>
    <t>莫提默·J·艾德勒</t>
    <phoneticPr fontId="1" type="noConversion"/>
  </si>
  <si>
    <t>公孙策</t>
    <phoneticPr fontId="1" type="noConversion"/>
  </si>
  <si>
    <t>最重要的事只有一件</t>
    <phoneticPr fontId="1" type="noConversion"/>
  </si>
  <si>
    <t>加里·凯勒/ 杰伊·帕帕森</t>
    <phoneticPr fontId="1" type="noConversion"/>
  </si>
  <si>
    <t>人文</t>
    <phoneticPr fontId="1" type="noConversion"/>
  </si>
  <si>
    <t>耶路撒冷三千年</t>
    <phoneticPr fontId="1" type="noConversion"/>
  </si>
  <si>
    <t>西蒙·蒙蒂菲奥里</t>
    <phoneticPr fontId="1" type="noConversion"/>
  </si>
  <si>
    <t>艾玉</t>
    <phoneticPr fontId="1" type="noConversion"/>
  </si>
  <si>
    <t>历史</t>
    <phoneticPr fontId="1" type="noConversion"/>
  </si>
  <si>
    <t>管理的实践</t>
    <phoneticPr fontId="1" type="noConversion"/>
  </si>
  <si>
    <t>管理</t>
    <phoneticPr fontId="1" type="noConversion"/>
  </si>
  <si>
    <t>已完结</t>
    <phoneticPr fontId="1" type="noConversion"/>
  </si>
  <si>
    <t>彼得·德鲁克</t>
    <phoneticPr fontId="1" type="noConversion"/>
  </si>
  <si>
    <t>李洁</t>
    <phoneticPr fontId="1" type="noConversion"/>
  </si>
  <si>
    <t>呼啸山庄</t>
    <phoneticPr fontId="1" type="noConversion"/>
  </si>
  <si>
    <t>文学</t>
    <phoneticPr fontId="1" type="noConversion"/>
  </si>
  <si>
    <t>洛克菲勒传</t>
    <phoneticPr fontId="1" type="noConversion"/>
  </si>
  <si>
    <t>荣·切尔诺</t>
    <phoneticPr fontId="1" type="noConversion"/>
  </si>
  <si>
    <t>武京丽</t>
    <phoneticPr fontId="1" type="noConversion"/>
  </si>
  <si>
    <t>创业</t>
    <phoneticPr fontId="1" type="noConversion"/>
  </si>
  <si>
    <t>优势谈判(下)</t>
    <phoneticPr fontId="1" type="noConversion"/>
  </si>
  <si>
    <t>罗杰·道森</t>
    <phoneticPr fontId="1" type="noConversion"/>
  </si>
  <si>
    <t>徐晴</t>
    <phoneticPr fontId="1" type="noConversion"/>
  </si>
  <si>
    <t>创新者的任务</t>
    <phoneticPr fontId="1" type="noConversion"/>
  </si>
  <si>
    <t>克莱顿·克里斯坦森</t>
    <phoneticPr fontId="1" type="noConversion"/>
  </si>
  <si>
    <t>西蒙</t>
    <phoneticPr fontId="1" type="noConversion"/>
  </si>
  <si>
    <t>如何让你爱的人爱上你</t>
    <phoneticPr fontId="1" type="noConversion"/>
  </si>
  <si>
    <t>莉尔·朗兹</t>
    <phoneticPr fontId="1" type="noConversion"/>
  </si>
  <si>
    <t>须夏</t>
    <phoneticPr fontId="1" type="noConversion"/>
  </si>
  <si>
    <t>生活</t>
    <phoneticPr fontId="1" type="noConversion"/>
  </si>
  <si>
    <t>有声书</t>
    <phoneticPr fontId="1" type="noConversion"/>
  </si>
  <si>
    <t>不平等的童年</t>
    <phoneticPr fontId="1" type="noConversion"/>
  </si>
  <si>
    <t>安妮特·拉鲁</t>
    <phoneticPr fontId="1" type="noConversion"/>
  </si>
  <si>
    <t>尼德罗</t>
    <phoneticPr fontId="1" type="noConversion"/>
  </si>
  <si>
    <t>亲子</t>
    <phoneticPr fontId="1" type="noConversion"/>
  </si>
  <si>
    <t>美帝奇银行的兴衰</t>
    <phoneticPr fontId="1" type="noConversion"/>
  </si>
  <si>
    <t>财经</t>
    <phoneticPr fontId="1" type="noConversion"/>
  </si>
  <si>
    <t>雷蒙·德鲁弗</t>
    <phoneticPr fontId="1" type="noConversion"/>
  </si>
  <si>
    <t>王钊</t>
    <phoneticPr fontId="1" type="noConversion"/>
  </si>
  <si>
    <t>高盛帝国</t>
    <phoneticPr fontId="1" type="noConversion"/>
  </si>
  <si>
    <t>查尔斯·埃利斯</t>
    <phoneticPr fontId="1" type="noConversion"/>
  </si>
  <si>
    <t>名人传</t>
    <phoneticPr fontId="1" type="noConversion"/>
  </si>
  <si>
    <t>罗曼罗兰</t>
    <phoneticPr fontId="1" type="noConversion"/>
  </si>
  <si>
    <t>蟹墩儿</t>
    <phoneticPr fontId="1" type="noConversion"/>
  </si>
  <si>
    <t>局外人</t>
    <phoneticPr fontId="1" type="noConversion"/>
  </si>
  <si>
    <t>加缪</t>
    <phoneticPr fontId="1" type="noConversion"/>
  </si>
  <si>
    <t>百年孤独</t>
    <phoneticPr fontId="1" type="noConversion"/>
  </si>
  <si>
    <t>加西亚·马尔克斯</t>
    <phoneticPr fontId="1" type="noConversion"/>
  </si>
  <si>
    <t>老人与海</t>
    <phoneticPr fontId="1" type="noConversion"/>
  </si>
  <si>
    <t>海明威</t>
    <phoneticPr fontId="1" type="noConversion"/>
  </si>
  <si>
    <t>白天的房子夜晚的房子</t>
    <phoneticPr fontId="1" type="noConversion"/>
  </si>
  <si>
    <t>奥尔加·托卡尔丘克</t>
    <phoneticPr fontId="1" type="noConversion"/>
  </si>
  <si>
    <t>后浪出版公司</t>
    <phoneticPr fontId="1" type="noConversion"/>
  </si>
  <si>
    <t>尼尔斯骑鹅旅行记</t>
    <phoneticPr fontId="1" type="noConversion"/>
  </si>
  <si>
    <t>塞尔玛·拉格洛夫</t>
    <phoneticPr fontId="1" type="noConversion"/>
  </si>
  <si>
    <t>黄奇帆：结构性改革中国经济的问题与对策</t>
    <phoneticPr fontId="1" type="noConversion"/>
  </si>
  <si>
    <t>黄奇帆</t>
    <phoneticPr fontId="1" type="noConversion"/>
  </si>
  <si>
    <t>中信书院</t>
    <phoneticPr fontId="1" type="noConversion"/>
  </si>
  <si>
    <t>2062：终结：人工智能未来史</t>
    <phoneticPr fontId="1" type="noConversion"/>
  </si>
  <si>
    <t>科技</t>
    <phoneticPr fontId="1" type="noConversion"/>
  </si>
  <si>
    <t>托比·沃尔什</t>
    <phoneticPr fontId="1" type="noConversion"/>
  </si>
  <si>
    <t>听书铺</t>
    <phoneticPr fontId="1" type="noConversion"/>
  </si>
  <si>
    <t>智能机器如何思考</t>
    <phoneticPr fontId="1" type="noConversion"/>
  </si>
  <si>
    <t>肖恩·格里什</t>
    <phoneticPr fontId="1" type="noConversion"/>
  </si>
  <si>
    <t>产业互联网：重新定义效率与消费</t>
    <phoneticPr fontId="1" type="noConversion"/>
  </si>
  <si>
    <t>人邮知书</t>
    <phoneticPr fontId="1" type="noConversion"/>
  </si>
  <si>
    <t>赵国栋</t>
    <phoneticPr fontId="1" type="noConversion"/>
  </si>
  <si>
    <t>财报思维</t>
    <phoneticPr fontId="1" type="noConversion"/>
  </si>
  <si>
    <t>王峰</t>
    <phoneticPr fontId="1" type="noConversion"/>
  </si>
  <si>
    <t>旧时烟</t>
    <phoneticPr fontId="1" type="noConversion"/>
  </si>
  <si>
    <t>直播与短视频深度运营</t>
    <phoneticPr fontId="1" type="noConversion"/>
  </si>
  <si>
    <t>王斌；曹三省</t>
    <phoneticPr fontId="1" type="noConversion"/>
  </si>
  <si>
    <t>颉腾数媒</t>
    <phoneticPr fontId="1" type="noConversion"/>
  </si>
  <si>
    <t>世界是部金融史</t>
    <phoneticPr fontId="1" type="noConversion"/>
  </si>
  <si>
    <t>陈雨露</t>
    <phoneticPr fontId="1" type="noConversion"/>
  </si>
  <si>
    <t>索析文化</t>
    <phoneticPr fontId="1" type="noConversion"/>
  </si>
  <si>
    <t>终极算法</t>
    <phoneticPr fontId="1" type="noConversion"/>
  </si>
  <si>
    <t>佩德罗•多明戈斯</t>
    <phoneticPr fontId="1" type="noConversion"/>
  </si>
  <si>
    <t>数智驱动新增长</t>
    <phoneticPr fontId="1" type="noConversion"/>
  </si>
  <si>
    <t>智篆商业研究院</t>
    <phoneticPr fontId="1" type="noConversion"/>
  </si>
  <si>
    <t>电子工业出版社</t>
    <phoneticPr fontId="1" type="noConversion"/>
  </si>
  <si>
    <t>斯宾塞·约翰逊</t>
    <phoneticPr fontId="1" type="noConversion"/>
  </si>
  <si>
    <t>联合读创书院</t>
    <phoneticPr fontId="1" type="noConversion"/>
  </si>
  <si>
    <t>耶路撒冷三千年</t>
  </si>
  <si>
    <t>局外人</t>
  </si>
  <si>
    <t>如何阅读一本书</t>
  </si>
  <si>
    <t>莫提默·J·艾德勒</t>
  </si>
  <si>
    <t>向前一步</t>
  </si>
  <si>
    <t>谢丽尔·桑德伯格</t>
  </si>
  <si>
    <t>最重要的事只有一件</t>
  </si>
  <si>
    <t>加里·凯勒/ 杰伊·帕帕森</t>
  </si>
  <si>
    <t>西蒙·蒙蒂菲奥里</t>
  </si>
  <si>
    <t>管理的实践</t>
  </si>
  <si>
    <t>洛克菲勒传</t>
  </si>
  <si>
    <t>荣·切尔诺</t>
  </si>
  <si>
    <t>优势谈判(下)</t>
  </si>
  <si>
    <t>创新者的任务</t>
  </si>
  <si>
    <t>如何让你爱的人爱上你</t>
  </si>
  <si>
    <t>莉尔·朗兹</t>
  </si>
  <si>
    <t>须夏</t>
  </si>
  <si>
    <t>不平等的童年</t>
  </si>
  <si>
    <t>安妮特·拉鲁</t>
  </si>
  <si>
    <t>呼啸山庄</t>
    <phoneticPr fontId="1" type="noConversion"/>
  </si>
  <si>
    <t>艾米莉·勃朗特</t>
    <phoneticPr fontId="1" type="noConversion"/>
  </si>
  <si>
    <t>路上读书</t>
    <phoneticPr fontId="1" type="noConversion"/>
  </si>
  <si>
    <t>美帝奇银行的兴衰</t>
  </si>
  <si>
    <t>高盛帝国</t>
  </si>
  <si>
    <t>名人传</t>
  </si>
  <si>
    <t>已完结</t>
    <phoneticPr fontId="1" type="noConversion"/>
  </si>
  <si>
    <t>百年孤独</t>
  </si>
  <si>
    <t>老人与海</t>
  </si>
  <si>
    <t>白天的房子夜晚的房子</t>
  </si>
  <si>
    <t>尼尔斯骑鹅旅行记</t>
  </si>
  <si>
    <t>黄奇帆：结构性改革中国经济的问题与对策</t>
  </si>
  <si>
    <t>2062：终结：人工智能未来史</t>
  </si>
  <si>
    <t>智能机器如何思考</t>
  </si>
  <si>
    <t>产业互联网：重新定义效率与消费</t>
  </si>
  <si>
    <t>财报思维</t>
  </si>
  <si>
    <t>直播与短视频深度运营</t>
  </si>
  <si>
    <t>世界是部金融史</t>
  </si>
  <si>
    <t>终极算法</t>
  </si>
  <si>
    <t>数智驱动新增长</t>
  </si>
  <si>
    <t>谁动了我的奶酪大全集</t>
  </si>
  <si>
    <t>未完结</t>
    <phoneticPr fontId="1" type="noConversion"/>
  </si>
  <si>
    <t>雷蒙·德鲁弗</t>
  </si>
  <si>
    <t>查尔斯·埃利斯</t>
  </si>
  <si>
    <t>罗曼罗兰</t>
  </si>
  <si>
    <t>蟹墩儿</t>
  </si>
  <si>
    <t>加缪</t>
  </si>
  <si>
    <t>海明威</t>
  </si>
  <si>
    <t>奥尔加·托卡尔丘克</t>
  </si>
  <si>
    <t>后浪出版公司</t>
  </si>
  <si>
    <t>塞尔玛·拉格洛夫</t>
  </si>
  <si>
    <t>托比·沃尔什</t>
  </si>
  <si>
    <t>听书铺</t>
  </si>
  <si>
    <t>肖恩·格里什</t>
  </si>
  <si>
    <t>旧时烟</t>
  </si>
  <si>
    <t>王斌；曹三省</t>
  </si>
  <si>
    <t>颉腾数媒</t>
  </si>
  <si>
    <t>陈雨露</t>
  </si>
  <si>
    <t>索析文化</t>
  </si>
  <si>
    <t>佩德罗•多明戈斯</t>
  </si>
  <si>
    <t>智篆商业研究院</t>
  </si>
  <si>
    <t>斯宾塞·约翰逊</t>
  </si>
  <si>
    <t>超越竞争优势</t>
    <phoneticPr fontId="1" type="noConversion"/>
  </si>
  <si>
    <t>重塑大脑，重塑人生</t>
    <phoneticPr fontId="1" type="noConversion"/>
  </si>
  <si>
    <t>一套书弄懂全球经济命脉</t>
    <phoneticPr fontId="1" type="noConversion"/>
  </si>
  <si>
    <t>交办的技术</t>
    <phoneticPr fontId="1" type="noConversion"/>
  </si>
  <si>
    <t>讲书</t>
    <phoneticPr fontId="1" type="noConversion"/>
  </si>
  <si>
    <t>管理</t>
    <phoneticPr fontId="1" type="noConversion"/>
  </si>
  <si>
    <t>拖德•曾格</t>
    <phoneticPr fontId="1" type="noConversion"/>
  </si>
  <si>
    <t>喜马讲书</t>
    <phoneticPr fontId="1" type="noConversion"/>
  </si>
  <si>
    <t>社科</t>
    <phoneticPr fontId="1" type="noConversion"/>
  </si>
  <si>
    <t xml:space="preserve">	
诺曼·道伊奇</t>
    <phoneticPr fontId="1" type="noConversion"/>
  </si>
  <si>
    <t>财经</t>
    <phoneticPr fontId="1" type="noConversion"/>
  </si>
  <si>
    <t>赵伟、胡晓磊</t>
    <phoneticPr fontId="1" type="noConversion"/>
  </si>
  <si>
    <t>何建军</t>
    <phoneticPr fontId="1" type="noConversion"/>
  </si>
  <si>
    <t>有声书</t>
    <phoneticPr fontId="1" type="noConversion"/>
  </si>
  <si>
    <t>职场</t>
    <phoneticPr fontId="1" type="noConversion"/>
  </si>
  <si>
    <t>小仓广</t>
    <phoneticPr fontId="1" type="noConversion"/>
  </si>
  <si>
    <t>商业模式画布</t>
    <phoneticPr fontId="1" type="noConversion"/>
  </si>
  <si>
    <t>商业模式设计与创新</t>
    <phoneticPr fontId="1" type="noConversion"/>
  </si>
  <si>
    <t>直面财富传承和家族财富管理的时代课题</t>
    <phoneticPr fontId="1" type="noConversion"/>
  </si>
  <si>
    <t>倪云华</t>
    <phoneticPr fontId="1" type="noConversion"/>
  </si>
  <si>
    <t>视频</t>
    <phoneticPr fontId="1" type="noConversion"/>
  </si>
  <si>
    <t>组织发展</t>
    <phoneticPr fontId="1" type="noConversion"/>
  </si>
  <si>
    <t>基层</t>
    <phoneticPr fontId="1" type="noConversion"/>
  </si>
  <si>
    <t>打造卓越团队的五大策略</t>
    <phoneticPr fontId="1" type="noConversion"/>
  </si>
  <si>
    <t>新风向</t>
    <phoneticPr fontId="1" type="noConversion"/>
  </si>
  <si>
    <t>中层管理者、高层管理者</t>
    <phoneticPr fontId="1" type="noConversion"/>
  </si>
  <si>
    <t>不限</t>
    <phoneticPr fontId="1" type="noConversion"/>
  </si>
  <si>
    <t>基层管理者、中层管理者</t>
    <phoneticPr fontId="1" type="noConversion"/>
  </si>
  <si>
    <t>做社群增长：传统企业如何转型</t>
    <phoneticPr fontId="1" type="noConversion"/>
  </si>
  <si>
    <t>社群运营</t>
    <phoneticPr fontId="1" type="noConversion"/>
  </si>
  <si>
    <t>运营</t>
    <phoneticPr fontId="1" type="noConversion"/>
  </si>
  <si>
    <t>曾楠</t>
    <phoneticPr fontId="1" type="noConversion"/>
  </si>
  <si>
    <t>VIP精品课</t>
    <phoneticPr fontId="1" type="noConversion"/>
  </si>
  <si>
    <t>科技漫谈</t>
    <phoneticPr fontId="1" type="noConversion"/>
  </si>
  <si>
    <t>幸福生活</t>
    <phoneticPr fontId="1" type="noConversion"/>
  </si>
  <si>
    <t>职场心理</t>
    <phoneticPr fontId="1" type="noConversion"/>
  </si>
  <si>
    <t>科技漫谈/商业洞察</t>
    <phoneticPr fontId="1" type="noConversion"/>
  </si>
  <si>
    <t>前沿趋势</t>
    <phoneticPr fontId="1" type="noConversion"/>
  </si>
  <si>
    <t>科技漫谈</t>
    <phoneticPr fontId="1" type="noConversion"/>
  </si>
  <si>
    <t>人工智能</t>
    <phoneticPr fontId="1" type="noConversion"/>
  </si>
  <si>
    <t>硬科技</t>
    <phoneticPr fontId="1" type="noConversion"/>
  </si>
  <si>
    <t>前沿趋势</t>
    <phoneticPr fontId="1" type="noConversion"/>
  </si>
  <si>
    <t>胡慎之心理课：重建亲密关系</t>
    <phoneticPr fontId="1" type="noConversion"/>
  </si>
  <si>
    <t>清华彭凯平的幸福心理课</t>
    <phoneticPr fontId="1" type="noConversion"/>
  </si>
  <si>
    <t>VIP精品课</t>
    <phoneticPr fontId="1" type="noConversion"/>
  </si>
  <si>
    <t>商业财经</t>
    <phoneticPr fontId="1" type="noConversion"/>
  </si>
  <si>
    <t>宏观形势</t>
    <phoneticPr fontId="1" type="noConversion"/>
  </si>
  <si>
    <t>清华韩秀云讲经济·第三季</t>
    <phoneticPr fontId="1" type="noConversion"/>
  </si>
  <si>
    <t>韩秀云</t>
    <phoneticPr fontId="1" type="noConversion"/>
  </si>
  <si>
    <t>全员</t>
    <phoneticPr fontId="1" type="noConversion"/>
  </si>
  <si>
    <t>不限</t>
    <phoneticPr fontId="1" type="noConversion"/>
  </si>
  <si>
    <t>岗位课</t>
    <phoneticPr fontId="1" type="noConversion"/>
  </si>
  <si>
    <t>增长思维：驱动企业营收十倍速增长</t>
    <phoneticPr fontId="1" type="noConversion"/>
  </si>
  <si>
    <t>市场品牌</t>
    <phoneticPr fontId="1" type="noConversion"/>
  </si>
  <si>
    <t>品牌管理</t>
    <phoneticPr fontId="1" type="noConversion"/>
  </si>
  <si>
    <t>曾楠</t>
    <phoneticPr fontId="1" type="noConversion"/>
  </si>
  <si>
    <t>未完结</t>
    <phoneticPr fontId="1" type="noConversion"/>
  </si>
  <si>
    <t>金融理财</t>
    <phoneticPr fontId="1" type="noConversion"/>
  </si>
  <si>
    <t>银行</t>
  </si>
  <si>
    <t>区块链赋能金融业</t>
    <phoneticPr fontId="1" type="noConversion"/>
  </si>
  <si>
    <t>张帅</t>
    <phoneticPr fontId="1" type="noConversion"/>
  </si>
  <si>
    <t>有声书</t>
    <phoneticPr fontId="1" type="noConversion"/>
  </si>
  <si>
    <t>讲书</t>
    <phoneticPr fontId="1" type="noConversion"/>
  </si>
  <si>
    <t>优势谈判心理学</t>
    <phoneticPr fontId="1" type="noConversion"/>
  </si>
  <si>
    <t>职场</t>
    <phoneticPr fontId="1" type="noConversion"/>
  </si>
  <si>
    <t>历史</t>
    <phoneticPr fontId="1" type="noConversion"/>
  </si>
  <si>
    <t>生活</t>
    <phoneticPr fontId="1" type="noConversion"/>
  </si>
  <si>
    <t>登月第一人</t>
    <phoneticPr fontId="1" type="noConversion"/>
  </si>
  <si>
    <t>优雅老去：你的前100岁健康指南</t>
    <phoneticPr fontId="1" type="noConversion"/>
  </si>
  <si>
    <t>玛格丽特•A.尼尔</t>
    <phoneticPr fontId="1" type="noConversion"/>
  </si>
  <si>
    <t>王龙</t>
    <phoneticPr fontId="1" type="noConversion"/>
  </si>
  <si>
    <t>詹姆斯·汉森</t>
    <phoneticPr fontId="1" type="noConversion"/>
  </si>
  <si>
    <t>林雨</t>
    <phoneticPr fontId="1" type="noConversion"/>
  </si>
  <si>
    <t>已完结</t>
    <phoneticPr fontId="1" type="noConversion"/>
  </si>
  <si>
    <t>杰罗尔德·温特</t>
    <phoneticPr fontId="1" type="noConversion"/>
  </si>
  <si>
    <t>阿玖</t>
    <phoneticPr fontId="1" type="noConversion"/>
  </si>
  <si>
    <t>罗友霸王课</t>
    <phoneticPr fontId="1" type="noConversion"/>
  </si>
  <si>
    <t>Simple 金融</t>
    <phoneticPr fontId="1" type="noConversion"/>
  </si>
  <si>
    <t>华商名人堂</t>
    <phoneticPr fontId="1" type="noConversion"/>
  </si>
  <si>
    <t>资深管理人</t>
    <phoneticPr fontId="1" type="noConversion"/>
  </si>
  <si>
    <t>人人都需要的法学思维课</t>
    <phoneticPr fontId="1" type="noConversion"/>
  </si>
  <si>
    <t>观复嘟嘟</t>
    <phoneticPr fontId="1" type="noConversion"/>
  </si>
  <si>
    <t>穿越火线：第一次世界大战</t>
    <phoneticPr fontId="1" type="noConversion"/>
  </si>
  <si>
    <t>交大慧谷PMP培训音频</t>
    <phoneticPr fontId="1" type="noConversion"/>
  </si>
  <si>
    <t>《筑梦力量》| C919首飞成员：马菲 访谈</t>
    <phoneticPr fontId="1" type="noConversion"/>
  </si>
  <si>
    <t>潘吉Jenny告诉你-学英语聊美国</t>
    <phoneticPr fontId="1" type="noConversion"/>
  </si>
  <si>
    <t>张萌时间|对话价值影响力人物</t>
    <phoneticPr fontId="1" type="noConversion"/>
  </si>
  <si>
    <t>行走的背包</t>
    <phoneticPr fontId="1" type="noConversion"/>
  </si>
  <si>
    <t>保险人商学院</t>
    <phoneticPr fontId="1" type="noConversion"/>
  </si>
  <si>
    <t>尤里奇中国读书会·第一季</t>
    <phoneticPr fontId="1" type="noConversion"/>
  </si>
  <si>
    <t>环球地理Global Geography</t>
    <phoneticPr fontId="1" type="noConversion"/>
  </si>
  <si>
    <t>民国那些事</t>
    <phoneticPr fontId="1" type="noConversion"/>
  </si>
  <si>
    <t>夏说英文晨读</t>
    <phoneticPr fontId="1" type="noConversion"/>
  </si>
  <si>
    <t>带团队：让别人自愿追随的秘诀</t>
    <phoneticPr fontId="1" type="noConversion"/>
  </si>
  <si>
    <t>马云管理日志</t>
    <phoneticPr fontId="1" type="noConversion"/>
  </si>
  <si>
    <t>广告人手记</t>
    <phoneticPr fontId="1" type="noConversion"/>
  </si>
  <si>
    <t>《CEO来了》第一季</t>
    <phoneticPr fontId="1" type="noConversion"/>
  </si>
  <si>
    <t>璐璐的英语小酒馆</t>
    <phoneticPr fontId="1" type="noConversion"/>
  </si>
  <si>
    <t>口语单词训练营</t>
    <phoneticPr fontId="1" type="noConversion"/>
  </si>
  <si>
    <t>《CEO来了》第二季</t>
    <phoneticPr fontId="1" type="noConversion"/>
  </si>
  <si>
    <t>天方烨谈</t>
    <phoneticPr fontId="1" type="noConversion"/>
  </si>
  <si>
    <t>央视综艺《一堂好课》</t>
    <phoneticPr fontId="1" type="noConversion"/>
  </si>
  <si>
    <t>抖森 陈乔恩 窦骁 双语为你读诗</t>
    <phoneticPr fontId="1" type="noConversion"/>
  </si>
  <si>
    <t>新型冠状病毒感染肺炎疫情实时动态</t>
    <phoneticPr fontId="1" type="noConversion"/>
  </si>
  <si>
    <t>战疫：尹烨科学解读新冠肺炎</t>
    <phoneticPr fontId="1" type="noConversion"/>
  </si>
  <si>
    <t>抗击肺炎的“心理”保卫战</t>
    <phoneticPr fontId="1" type="noConversion"/>
  </si>
  <si>
    <t>静说日本 · 徐静波</t>
    <phoneticPr fontId="1" type="noConversion"/>
  </si>
  <si>
    <t>顺势而为的家庭教育</t>
    <phoneticPr fontId="1" type="noConversion"/>
  </si>
  <si>
    <t>36氪商学院公益直播</t>
    <phoneticPr fontId="1" type="noConversion"/>
  </si>
  <si>
    <t>TED英文演讲（附中英双语字幕）</t>
    <phoneticPr fontId="1" type="noConversion"/>
  </si>
  <si>
    <t>德勤： 应对疫情复工宝典</t>
    <phoneticPr fontId="1" type="noConversion"/>
  </si>
  <si>
    <t>渠道博弈论</t>
    <phoneticPr fontId="1" type="noConversion"/>
  </si>
  <si>
    <t>疫路同行，共克难关</t>
    <phoneticPr fontId="1" type="noConversion"/>
  </si>
  <si>
    <t>国史讲堂</t>
    <phoneticPr fontId="1" type="noConversion"/>
  </si>
  <si>
    <t>大力史</t>
    <phoneticPr fontId="1" type="noConversion"/>
  </si>
  <si>
    <t>奇妙的中医：100位名医话养生</t>
    <phoneticPr fontId="1" type="noConversion"/>
  </si>
  <si>
    <t>走近“两弹一星”元勋</t>
    <phoneticPr fontId="1" type="noConversion"/>
  </si>
  <si>
    <t>榜样故事</t>
    <phoneticPr fontId="1" type="noConversion"/>
  </si>
  <si>
    <t>2019 | APEC女性论坛演讲精选</t>
    <phoneticPr fontId="1" type="noConversion"/>
  </si>
  <si>
    <t>西方艺术史</t>
    <phoneticPr fontId="1" type="noConversion"/>
  </si>
  <si>
    <t>环球人物</t>
    <phoneticPr fontId="1" type="noConversion"/>
  </si>
  <si>
    <t>叶武滨时间管理100讲</t>
    <phoneticPr fontId="1" type="noConversion"/>
  </si>
  <si>
    <t>职场人物专访</t>
    <phoneticPr fontId="1" type="noConversion"/>
  </si>
  <si>
    <t>职场心理</t>
    <phoneticPr fontId="1" type="noConversion"/>
  </si>
  <si>
    <t>其他</t>
    <phoneticPr fontId="1" type="noConversion"/>
  </si>
  <si>
    <t>职场心理</t>
    <phoneticPr fontId="2" type="noConversion"/>
  </si>
  <si>
    <t>职场老炮儿</t>
    <phoneticPr fontId="1" type="noConversion"/>
  </si>
  <si>
    <t>《舍得智慧讲堂》第二季中国智慧</t>
    <phoneticPr fontId="1" type="noConversion"/>
  </si>
  <si>
    <t>冬吴同学会 | 第三季 • 金秋篇</t>
    <phoneticPr fontId="1" type="noConversion"/>
  </si>
  <si>
    <t>德勤 | 拥抱中国开放新机遇</t>
    <phoneticPr fontId="1" type="noConversion"/>
  </si>
  <si>
    <t>畅听课</t>
    <phoneticPr fontId="1" type="noConversion"/>
  </si>
  <si>
    <t>组织进化论</t>
    <phoneticPr fontId="1" type="noConversion"/>
  </si>
  <si>
    <t>组织发展</t>
    <phoneticPr fontId="1" type="noConversion"/>
  </si>
  <si>
    <t>声动活泼</t>
  </si>
  <si>
    <t>音频</t>
    <phoneticPr fontId="1" type="noConversion"/>
  </si>
  <si>
    <t>未完结</t>
    <phoneticPr fontId="1" type="noConversion"/>
  </si>
  <si>
    <t>VIP精品课</t>
    <phoneticPr fontId="1" type="noConversion"/>
  </si>
  <si>
    <t>高效团队会议法</t>
    <phoneticPr fontId="1" type="noConversion"/>
  </si>
  <si>
    <t>高效办公</t>
    <phoneticPr fontId="1" type="noConversion"/>
  </si>
  <si>
    <t>高效开会</t>
    <phoneticPr fontId="1" type="noConversion"/>
  </si>
  <si>
    <t>通用课</t>
    <phoneticPr fontId="1" type="noConversion"/>
  </si>
  <si>
    <t>华莉</t>
  </si>
  <si>
    <t>基层管理者、中层管理者</t>
    <phoneticPr fontId="1" type="noConversion"/>
  </si>
  <si>
    <t>职场心里</t>
    <phoneticPr fontId="1" type="noConversion"/>
  </si>
  <si>
    <t>职场智慧</t>
    <phoneticPr fontId="1" type="noConversion"/>
  </si>
  <si>
    <t>老板思维：轻松解决30个职场冲突</t>
    <phoneticPr fontId="1" type="noConversion"/>
  </si>
  <si>
    <t>朱小兰</t>
    <phoneticPr fontId="1" type="noConversion"/>
  </si>
  <si>
    <t>管理者</t>
    <phoneticPr fontId="1" type="noConversion"/>
  </si>
  <si>
    <t>提问的艺术</t>
    <phoneticPr fontId="1" type="noConversion"/>
  </si>
  <si>
    <t>李劲</t>
    <phoneticPr fontId="1" type="noConversion"/>
  </si>
  <si>
    <t>讲书</t>
    <phoneticPr fontId="1" type="noConversion"/>
  </si>
  <si>
    <t>社科</t>
    <phoneticPr fontId="1" type="noConversion"/>
  </si>
  <si>
    <t>正义论</t>
    <phoneticPr fontId="1" type="noConversion"/>
  </si>
  <si>
    <t>约翰·罗尔斯</t>
    <phoneticPr fontId="1" type="noConversion"/>
  </si>
  <si>
    <t>哲泓</t>
    <phoneticPr fontId="1" type="noConversion"/>
  </si>
  <si>
    <t>心理</t>
    <phoneticPr fontId="1" type="noConversion"/>
  </si>
  <si>
    <t>个体化</t>
    <phoneticPr fontId="1" type="noConversion"/>
  </si>
  <si>
    <t>解佳</t>
    <phoneticPr fontId="1" type="noConversion"/>
  </si>
  <si>
    <t>乌尔里希·贝克</t>
    <phoneticPr fontId="1" type="noConversion"/>
  </si>
  <si>
    <t>乐嘉</t>
    <phoneticPr fontId="1" type="noConversion"/>
  </si>
  <si>
    <t>全员</t>
    <phoneticPr fontId="1" type="noConversion"/>
  </si>
  <si>
    <t>沟通表达</t>
    <phoneticPr fontId="1" type="noConversion"/>
  </si>
  <si>
    <t>高效沟通</t>
    <phoneticPr fontId="1" type="noConversion"/>
  </si>
  <si>
    <t xml:space="preserve">用声音搞定成交 </t>
    <phoneticPr fontId="1" type="noConversion"/>
  </si>
  <si>
    <t>用声音搞定成交</t>
    <phoneticPr fontId="1" type="noConversion"/>
  </si>
  <si>
    <t>涂梦珊</t>
    <phoneticPr fontId="1" type="noConversion"/>
  </si>
  <si>
    <t>谈判</t>
    <phoneticPr fontId="1" type="noConversion"/>
  </si>
  <si>
    <t>24招变身谈判专家</t>
    <phoneticPr fontId="1" type="noConversion"/>
  </si>
  <si>
    <t>王詠</t>
    <phoneticPr fontId="1" type="noConversion"/>
  </si>
  <si>
    <t>李筱懿的职场智慧15条</t>
    <phoneticPr fontId="1" type="noConversion"/>
  </si>
  <si>
    <t>李筱懿</t>
    <phoneticPr fontId="1" type="noConversion"/>
  </si>
  <si>
    <t>跟蜗牛学地道法语</t>
    <phoneticPr fontId="1" type="noConversion"/>
  </si>
  <si>
    <t>职场技能</t>
    <phoneticPr fontId="1" type="noConversion"/>
  </si>
  <si>
    <t>外语技能</t>
    <phoneticPr fontId="1" type="noConversion"/>
  </si>
  <si>
    <t>推理的迷宫</t>
    <phoneticPr fontId="1" type="noConversion"/>
  </si>
  <si>
    <t>稻盛和夫：企业经营实战系列合集</t>
    <phoneticPr fontId="1" type="noConversion"/>
  </si>
  <si>
    <t>精进：如何成为一个内心强大的人</t>
    <phoneticPr fontId="1" type="noConversion"/>
  </si>
  <si>
    <t>上游思维</t>
    <phoneticPr fontId="1" type="noConversion"/>
  </si>
  <si>
    <t xml:space="preserve">
竞争战略 </t>
    <phoneticPr fontId="1" type="noConversion"/>
  </si>
  <si>
    <t>意志力陷阱</t>
    <phoneticPr fontId="1" type="noConversion"/>
  </si>
  <si>
    <t>产品经理从入门到精通</t>
    <phoneticPr fontId="1" type="noConversion"/>
  </si>
  <si>
    <t>创新型组织：构建组织可持续的创新力</t>
    <phoneticPr fontId="1" type="noConversion"/>
  </si>
  <si>
    <t>增长结构</t>
    <phoneticPr fontId="1" type="noConversion"/>
  </si>
  <si>
    <t>读懂未来中国经济：”十四五“到2035</t>
    <phoneticPr fontId="1" type="noConversion"/>
  </si>
  <si>
    <t>每个人的OKR</t>
    <phoneticPr fontId="1" type="noConversion"/>
  </si>
  <si>
    <t>OKR管理法则</t>
    <phoneticPr fontId="1" type="noConversion"/>
  </si>
  <si>
    <t>一本书读懂财务报表</t>
    <phoneticPr fontId="1" type="noConversion"/>
  </si>
  <si>
    <t>600位富商的经营之道</t>
    <phoneticPr fontId="1" type="noConversion"/>
  </si>
  <si>
    <t>解码潜意识</t>
    <phoneticPr fontId="1" type="noConversion"/>
  </si>
  <si>
    <t>万物简史</t>
    <phoneticPr fontId="1" type="noConversion"/>
  </si>
  <si>
    <t>请给我结果 </t>
    <phoneticPr fontId="1" type="noConversion"/>
  </si>
  <si>
    <t>平台战略</t>
    <phoneticPr fontId="1" type="noConversion"/>
  </si>
  <si>
    <t>华为团队工作法</t>
    <phoneticPr fontId="1" type="noConversion"/>
  </si>
  <si>
    <t>认知天性</t>
    <phoneticPr fontId="1" type="noConversion"/>
  </si>
  <si>
    <t>人际关系应用心理学</t>
    <phoneticPr fontId="1" type="noConversion"/>
  </si>
  <si>
    <t>反脆弱</t>
    <phoneticPr fontId="1" type="noConversion"/>
  </si>
  <si>
    <t>沸腾新十年</t>
    <phoneticPr fontId="1" type="noConversion"/>
  </si>
  <si>
    <t>减法</t>
    <phoneticPr fontId="1" type="noConversion"/>
  </si>
  <si>
    <t>多维度思考</t>
    <phoneticPr fontId="1" type="noConversion"/>
  </si>
  <si>
    <t>麦肯锡工作思维</t>
    <phoneticPr fontId="1" type="noConversion"/>
  </si>
  <si>
    <t>稻盛和夫</t>
    <phoneticPr fontId="1" type="noConversion"/>
  </si>
  <si>
    <t>HE北笙</t>
    <phoneticPr fontId="1" type="noConversion"/>
  </si>
  <si>
    <t>中信书院</t>
    <phoneticPr fontId="1" type="noConversion"/>
  </si>
  <si>
    <t>威廉·庞德斯通</t>
    <phoneticPr fontId="1" type="noConversion"/>
  </si>
  <si>
    <t>夏雨嫣</t>
    <phoneticPr fontId="1" type="noConversion"/>
  </si>
  <si>
    <t>自卑与超越</t>
    <phoneticPr fontId="1" type="noConversion"/>
  </si>
  <si>
    <t>冯晓霞</t>
    <phoneticPr fontId="1" type="noConversion"/>
  </si>
  <si>
    <t>洁懿读书汇</t>
    <phoneticPr fontId="1" type="noConversion"/>
  </si>
  <si>
    <t>丹·希思</t>
    <phoneticPr fontId="1" type="noConversion"/>
  </si>
  <si>
    <t>迈克尔·波特</t>
    <phoneticPr fontId="1" type="noConversion"/>
  </si>
  <si>
    <t>稻盛和夫给年轻人的精进指南</t>
    <phoneticPr fontId="1" type="noConversion"/>
  </si>
  <si>
    <t>本杰明·哈迪</t>
  </si>
  <si>
    <t>本杰明·哈迪</t>
    <phoneticPr fontId="1" type="noConversion"/>
  </si>
  <si>
    <t>磨铁图书</t>
    <phoneticPr fontId="1" type="noConversion"/>
  </si>
  <si>
    <t>薛旭亮</t>
    <phoneticPr fontId="1" type="noConversion"/>
  </si>
  <si>
    <t>在爱中升华</t>
    <phoneticPr fontId="1" type="noConversion"/>
  </si>
  <si>
    <t>伯特海灵格</t>
    <phoneticPr fontId="1" type="noConversion"/>
  </si>
  <si>
    <t>中广影音</t>
    <phoneticPr fontId="1" type="noConversion"/>
  </si>
  <si>
    <t>赋能</t>
    <phoneticPr fontId="1" type="noConversion"/>
  </si>
  <si>
    <t>斯坦利·麦克里斯特尔</t>
    <phoneticPr fontId="1" type="noConversion"/>
  </si>
  <si>
    <t>王赛</t>
    <phoneticPr fontId="1" type="noConversion"/>
  </si>
  <si>
    <t>商界早知道</t>
    <phoneticPr fontId="1" type="noConversion"/>
  </si>
  <si>
    <t>乐嘉性格色彩·读心术</t>
    <phoneticPr fontId="1" type="noConversion"/>
  </si>
  <si>
    <t>叶茂中营销课堂：唤醒你的创意</t>
    <phoneticPr fontId="1" type="noConversion"/>
  </si>
  <si>
    <t>所谓学习好，就是方法好</t>
    <phoneticPr fontId="1" type="noConversion"/>
  </si>
  <si>
    <t>坪田信贵</t>
    <phoneticPr fontId="1" type="noConversion"/>
  </si>
  <si>
    <t>哈佛高效学习法</t>
    <phoneticPr fontId="1" type="noConversion"/>
  </si>
  <si>
    <t>韦秀英</t>
    <phoneticPr fontId="1" type="noConversion"/>
  </si>
  <si>
    <t>克里斯蒂安娜·菲格雷斯；汤姆·里维特-卡纳克</t>
    <phoneticPr fontId="1" type="noConversion"/>
  </si>
  <si>
    <t>​蔡昉</t>
    <phoneticPr fontId="1" type="noConversion"/>
  </si>
  <si>
    <t>姚琼</t>
    <phoneticPr fontId="1" type="noConversion"/>
  </si>
  <si>
    <t>王明，洪千武</t>
    <phoneticPr fontId="1" type="noConversion"/>
  </si>
  <si>
    <t>文杨</t>
    <phoneticPr fontId="1" type="noConversion"/>
  </si>
  <si>
    <t>流星星</t>
    <phoneticPr fontId="1" type="noConversion"/>
  </si>
  <si>
    <t>德鲁克的管理秘诀</t>
    <phoneticPr fontId="1" type="noConversion"/>
  </si>
  <si>
    <t>郑一群</t>
    <phoneticPr fontId="1" type="noConversion"/>
  </si>
  <si>
    <t>梦语阁文化传媒</t>
    <phoneticPr fontId="1" type="noConversion"/>
  </si>
  <si>
    <t>张俊杰</t>
    <phoneticPr fontId="1" type="noConversion"/>
  </si>
  <si>
    <t>天下书盟精品图书</t>
    <phoneticPr fontId="1" type="noConversion"/>
  </si>
  <si>
    <t>抢占心智：产品与品牌快速崛起的引爆打法</t>
    <phoneticPr fontId="1" type="noConversion"/>
  </si>
  <si>
    <t>江南春</t>
    <phoneticPr fontId="1" type="noConversion"/>
  </si>
  <si>
    <t>反惯性思维</t>
    <phoneticPr fontId="1" type="noConversion"/>
  </si>
  <si>
    <t>任白</t>
    <phoneticPr fontId="1" type="noConversion"/>
  </si>
  <si>
    <t>文通有声书</t>
    <phoneticPr fontId="1" type="noConversion"/>
  </si>
  <si>
    <t>杨昌洪</t>
    <phoneticPr fontId="1" type="noConversion"/>
  </si>
  <si>
    <t>比尔·布莱森</t>
    <phoneticPr fontId="1" type="noConversion"/>
  </si>
  <si>
    <t>严伯钧，张老三</t>
    <phoneticPr fontId="1" type="noConversion"/>
  </si>
  <si>
    <t>逆势增长的商业模式</t>
    <phoneticPr fontId="1" type="noConversion"/>
  </si>
  <si>
    <t>石泽杰</t>
    <phoneticPr fontId="1" type="noConversion"/>
  </si>
  <si>
    <t>电子工业出版社</t>
    <phoneticPr fontId="1" type="noConversion"/>
  </si>
  <si>
    <t>姜汝祥</t>
    <phoneticPr fontId="1" type="noConversion"/>
  </si>
  <si>
    <t>执行力</t>
    <phoneticPr fontId="1" type="noConversion"/>
  </si>
  <si>
    <t>陈浩</t>
    <phoneticPr fontId="1" type="noConversion"/>
  </si>
  <si>
    <t>司南时代</t>
    <phoneticPr fontId="1" type="noConversion"/>
  </si>
  <si>
    <t>已完结</t>
    <phoneticPr fontId="1" type="noConversion"/>
  </si>
  <si>
    <t>陈威如</t>
    <phoneticPr fontId="1" type="noConversion"/>
  </si>
  <si>
    <t>吴建国</t>
    <phoneticPr fontId="1" type="noConversion"/>
  </si>
  <si>
    <t>彼得·布朗；亨利·勒迪格三世；马克·麦克丹尼尔</t>
    <phoneticPr fontId="1" type="noConversion"/>
  </si>
  <si>
    <t>未完结</t>
    <phoneticPr fontId="1" type="noConversion"/>
  </si>
  <si>
    <t>贾海泉</t>
    <phoneticPr fontId="1" type="noConversion"/>
  </si>
  <si>
    <t>天空之程</t>
    <phoneticPr fontId="1" type="noConversion"/>
  </si>
  <si>
    <t>哈佛社交课</t>
    <phoneticPr fontId="1" type="noConversion"/>
  </si>
  <si>
    <t>穆臣刚</t>
    <phoneticPr fontId="1" type="noConversion"/>
  </si>
  <si>
    <t>中国法治出版社</t>
    <phoneticPr fontId="1" type="noConversion"/>
  </si>
  <si>
    <t>壹心理</t>
    <phoneticPr fontId="1" type="noConversion"/>
  </si>
  <si>
    <t>一个志远</t>
    <phoneticPr fontId="1" type="noConversion"/>
  </si>
  <si>
    <t>林军，​胡喆</t>
    <phoneticPr fontId="1" type="noConversion"/>
  </si>
  <si>
    <t>蓝狮子FM</t>
    <phoneticPr fontId="1" type="noConversion"/>
  </si>
  <si>
    <t>莱迪·克洛茨</t>
    <phoneticPr fontId="1" type="noConversion"/>
  </si>
  <si>
    <t>理查德·泰普勒</t>
    <phoneticPr fontId="1" type="noConversion"/>
  </si>
  <si>
    <t>人邮知书</t>
    <phoneticPr fontId="1" type="noConversion"/>
  </si>
  <si>
    <t>卫斯理</t>
    <phoneticPr fontId="1" type="noConversion"/>
  </si>
  <si>
    <t>注意力革命</t>
    <phoneticPr fontId="1" type="noConversion"/>
  </si>
  <si>
    <t>云度</t>
    <phoneticPr fontId="1" type="noConversion"/>
  </si>
  <si>
    <t>桃园故事会</t>
    <phoneticPr fontId="1" type="noConversion"/>
  </si>
  <si>
    <t>我们选择的未来：碳中和公民行动指南</t>
    <phoneticPr fontId="1" type="noConversion"/>
  </si>
  <si>
    <t>有声书</t>
    <phoneticPr fontId="1" type="noConversion"/>
  </si>
  <si>
    <t>韩非子（上）</t>
    <phoneticPr fontId="1" type="noConversion"/>
  </si>
  <si>
    <t>韩非子（下）</t>
    <phoneticPr fontId="1" type="noConversion"/>
  </si>
  <si>
    <t>战国史（上）</t>
    <phoneticPr fontId="1" type="noConversion"/>
  </si>
  <si>
    <t>战国史（下）</t>
    <phoneticPr fontId="1" type="noConversion"/>
  </si>
  <si>
    <t>英国通史（上）</t>
    <phoneticPr fontId="1" type="noConversion"/>
  </si>
  <si>
    <t>英国通史（下）</t>
    <phoneticPr fontId="1" type="noConversion"/>
  </si>
  <si>
    <t>秦朔朋友圈</t>
    <phoneticPr fontId="1" type="noConversion"/>
  </si>
  <si>
    <t>商业财经</t>
    <phoneticPr fontId="1" type="noConversion"/>
  </si>
  <si>
    <t>商业洞察</t>
    <phoneticPr fontId="1" type="noConversion"/>
  </si>
  <si>
    <t>梁文道：时间简史</t>
    <phoneticPr fontId="1" type="noConversion"/>
  </si>
  <si>
    <t>拆掉思维里的墙</t>
    <phoneticPr fontId="1" type="noConversion"/>
  </si>
  <si>
    <t>今日政策头条</t>
    <phoneticPr fontId="1" type="noConversion"/>
  </si>
  <si>
    <t>冬吴同学会|第二季</t>
    <phoneticPr fontId="1" type="noConversion"/>
  </si>
  <si>
    <t>VIP精品课</t>
    <phoneticPr fontId="1" type="noConversion"/>
  </si>
  <si>
    <t>从战略到成功的七大行动</t>
  </si>
  <si>
    <t>国际TRIZ学会认证TRIZ课程姜台林</t>
  </si>
  <si>
    <t>创新思维/生产管理</t>
  </si>
  <si>
    <t>逻辑思维/生产制造</t>
  </si>
  <si>
    <t xml:space="preserve">姜台林 </t>
    <phoneticPr fontId="1" type="noConversion"/>
  </si>
  <si>
    <t>视频</t>
    <phoneticPr fontId="1" type="noConversion"/>
  </si>
  <si>
    <t>管理者</t>
    <phoneticPr fontId="1" type="noConversion"/>
  </si>
  <si>
    <t>中层管理者、高层管理者</t>
    <phoneticPr fontId="1" type="noConversion"/>
  </si>
  <si>
    <t>潘亦藩：企业战略的定位与配称</t>
    <phoneticPr fontId="1" type="noConversion"/>
  </si>
  <si>
    <t>潘亦藩</t>
    <phoneticPr fontId="1" type="noConversion"/>
  </si>
  <si>
    <t>从战略到成功的七大行动</t>
    <phoneticPr fontId="1" type="noConversion"/>
  </si>
  <si>
    <t>新风向</t>
    <phoneticPr fontId="1" type="noConversion"/>
  </si>
  <si>
    <t>价值</t>
    <phoneticPr fontId="1" type="noConversion"/>
  </si>
  <si>
    <t>幸福超越完美</t>
    <phoneticPr fontId="1" type="noConversion"/>
  </si>
  <si>
    <t>张磊</t>
  </si>
  <si>
    <t>蒂姆·斯佩克特</t>
  </si>
  <si>
    <t>安仁</t>
  </si>
  <si>
    <t>讲书</t>
    <phoneticPr fontId="1" type="noConversion"/>
  </si>
  <si>
    <t>细节决定成败</t>
    <phoneticPr fontId="1" type="noConversion"/>
  </si>
  <si>
    <t>汪中求</t>
    <phoneticPr fontId="1" type="noConversion"/>
  </si>
  <si>
    <t>商学院</t>
    <phoneticPr fontId="1" type="noConversion"/>
  </si>
  <si>
    <t>通用课</t>
    <phoneticPr fontId="1" type="noConversion"/>
  </si>
  <si>
    <t>逻辑思维</t>
    <phoneticPr fontId="1" type="noConversion"/>
  </si>
  <si>
    <t>创新思维</t>
    <phoneticPr fontId="1" type="noConversion"/>
  </si>
  <si>
    <t>岗位课</t>
    <phoneticPr fontId="1" type="noConversion"/>
  </si>
  <si>
    <t>生产制造</t>
    <phoneticPr fontId="1" type="noConversion"/>
  </si>
  <si>
    <t>生产管理</t>
    <phoneticPr fontId="1" type="noConversion"/>
  </si>
  <si>
    <t>PPT做得好，下班回得早！</t>
    <phoneticPr fontId="1" type="noConversion"/>
  </si>
  <si>
    <t>VIP精品课</t>
    <phoneticPr fontId="1" type="noConversion"/>
  </si>
  <si>
    <t>增长思维：创新增长破局</t>
    <phoneticPr fontId="1" type="noConversion"/>
  </si>
  <si>
    <t>李云龙</t>
    <phoneticPr fontId="1" type="noConversion"/>
  </si>
  <si>
    <t>视频</t>
    <phoneticPr fontId="1" type="noConversion"/>
  </si>
  <si>
    <t>管理者</t>
    <phoneticPr fontId="1" type="noConversion"/>
  </si>
  <si>
    <t>中高层管理者</t>
    <phoneticPr fontId="1" type="noConversion"/>
  </si>
  <si>
    <t>未完结</t>
    <phoneticPr fontId="1" type="noConversion"/>
  </si>
  <si>
    <t>中层</t>
    <phoneticPr fontId="1" type="noConversion"/>
  </si>
  <si>
    <t>精益组织变革管理</t>
    <phoneticPr fontId="1" type="noConversion"/>
  </si>
  <si>
    <t>刘诚</t>
    <phoneticPr fontId="1" type="noConversion"/>
  </si>
  <si>
    <t>通用课</t>
    <phoneticPr fontId="1" type="noConversion"/>
  </si>
  <si>
    <t>秦川：PPT标准化高效制作设计</t>
    <phoneticPr fontId="1" type="noConversion"/>
  </si>
  <si>
    <t>秦川</t>
    <phoneticPr fontId="1" type="noConversion"/>
  </si>
  <si>
    <t>全员</t>
    <phoneticPr fontId="1" type="noConversion"/>
  </si>
  <si>
    <t>基层管理者，管理新人</t>
    <phoneticPr fontId="1" type="noConversion"/>
  </si>
  <si>
    <t>办公工具</t>
    <phoneticPr fontId="1" type="noConversion"/>
  </si>
  <si>
    <t>社科</t>
    <phoneticPr fontId="1" type="noConversion"/>
  </si>
  <si>
    <t>气候经济与人类未来</t>
    <phoneticPr fontId="1" type="noConversion"/>
  </si>
  <si>
    <t>比尔·盖茨</t>
    <phoneticPr fontId="1" type="noConversion"/>
  </si>
  <si>
    <t>讲书</t>
    <phoneticPr fontId="1" type="noConversion"/>
  </si>
  <si>
    <t>魔鬼数学</t>
    <phoneticPr fontId="1" type="noConversion"/>
  </si>
  <si>
    <t>工作的意义</t>
    <phoneticPr fontId="1" type="noConversion"/>
  </si>
  <si>
    <t>詹姆斯‧苏兹曼</t>
  </si>
  <si>
    <t>史钧</t>
  </si>
  <si>
    <t>深蓝</t>
    <phoneticPr fontId="1" type="noConversion"/>
  </si>
  <si>
    <t>乔丹艾伦伯格</t>
    <phoneticPr fontId="1" type="noConversion"/>
  </si>
  <si>
    <t>职场</t>
    <phoneticPr fontId="1" type="noConversion"/>
  </si>
  <si>
    <t>科普好有趣</t>
    <phoneticPr fontId="1" type="noConversion"/>
  </si>
  <si>
    <t>第六届世界互联网大会</t>
    <phoneticPr fontId="1" type="noConversion"/>
  </si>
  <si>
    <t>汪诘：科学有故事</t>
    <phoneticPr fontId="1" type="noConversion"/>
  </si>
  <si>
    <t>科普有道</t>
    <phoneticPr fontId="1" type="noConversion"/>
  </si>
  <si>
    <t>科技富能量</t>
    <phoneticPr fontId="1" type="noConversion"/>
  </si>
  <si>
    <t>张新民</t>
    <phoneticPr fontId="1" type="noConversion"/>
  </si>
  <si>
    <t>财务</t>
    <phoneticPr fontId="1" type="noConversion"/>
  </si>
  <si>
    <t>全员</t>
    <phoneticPr fontId="1" type="noConversion"/>
  </si>
  <si>
    <t>张思宏：亚马逊增长双飞轮</t>
  </si>
  <si>
    <t>逻辑思维/业务经营</t>
  </si>
  <si>
    <t>创新思维/基层</t>
  </si>
  <si>
    <t>超级创新力：设计思考企业实战攻略</t>
  </si>
  <si>
    <t>VIP精品课</t>
    <phoneticPr fontId="1" type="noConversion"/>
  </si>
  <si>
    <t>通用课</t>
    <phoneticPr fontId="1" type="noConversion"/>
  </si>
  <si>
    <t>新风向</t>
    <phoneticPr fontId="1" type="noConversion"/>
  </si>
  <si>
    <t>视频</t>
    <phoneticPr fontId="1" type="noConversion"/>
  </si>
  <si>
    <t>管理者</t>
    <phoneticPr fontId="1" type="noConversion"/>
  </si>
  <si>
    <t>中层管理者，高层管理者</t>
    <phoneticPr fontId="1" type="noConversion"/>
  </si>
  <si>
    <t>张思宏</t>
    <phoneticPr fontId="1" type="noConversion"/>
  </si>
  <si>
    <t>音频</t>
    <phoneticPr fontId="1" type="noConversion"/>
  </si>
  <si>
    <t>刘恭甫</t>
    <phoneticPr fontId="1" type="noConversion"/>
  </si>
  <si>
    <t>管理者和HR</t>
    <phoneticPr fontId="1" type="noConversion"/>
  </si>
  <si>
    <t>中层管理者，高层管理者、HR</t>
    <phoneticPr fontId="1" type="noConversion"/>
  </si>
  <si>
    <t>未完结</t>
    <phoneticPr fontId="1" type="noConversion"/>
  </si>
  <si>
    <t>已完结</t>
    <phoneticPr fontId="1" type="noConversion"/>
  </si>
  <si>
    <t>超级创新力：设计思考企业实战攻略</t>
    <phoneticPr fontId="1" type="noConversion"/>
  </si>
  <si>
    <t>有声书</t>
    <phoneticPr fontId="1" type="noConversion"/>
  </si>
  <si>
    <t>讲书</t>
    <phoneticPr fontId="1" type="noConversion"/>
  </si>
  <si>
    <t>人文</t>
    <phoneticPr fontId="1" type="noConversion"/>
  </si>
  <si>
    <t>社科</t>
    <phoneticPr fontId="1" type="noConversion"/>
  </si>
  <si>
    <t>人类群星闪耀时</t>
    <phoneticPr fontId="1" type="noConversion"/>
  </si>
  <si>
    <t>人世间</t>
    <phoneticPr fontId="1" type="noConversion"/>
  </si>
  <si>
    <t>进化的咬痕</t>
    <phoneticPr fontId="1" type="noConversion"/>
  </si>
  <si>
    <t>皮特•昂加尔</t>
    <phoneticPr fontId="1" type="noConversion"/>
  </si>
  <si>
    <t>梁晓声</t>
    <phoneticPr fontId="1" type="noConversion"/>
  </si>
  <si>
    <t>斯蒂芬·茨威格</t>
    <phoneticPr fontId="1" type="noConversion"/>
  </si>
  <si>
    <t>喜马创造</t>
    <phoneticPr fontId="1" type="noConversion"/>
  </si>
  <si>
    <t>云听精品有声书</t>
    <phoneticPr fontId="1" type="noConversion"/>
  </si>
  <si>
    <t>喜马讲书</t>
    <phoneticPr fontId="1" type="noConversion"/>
  </si>
  <si>
    <t>目标管理</t>
    <phoneticPr fontId="1" type="noConversion"/>
  </si>
  <si>
    <t>逻辑思维</t>
    <phoneticPr fontId="1" type="noConversion"/>
  </si>
  <si>
    <t>创新思维</t>
    <phoneticPr fontId="1" type="noConversion"/>
  </si>
  <si>
    <t>商学院</t>
    <phoneticPr fontId="1" type="noConversion"/>
  </si>
  <si>
    <t>业务经营</t>
    <phoneticPr fontId="1" type="noConversion"/>
  </si>
  <si>
    <t>基层</t>
    <phoneticPr fontId="1" type="noConversion"/>
  </si>
  <si>
    <t>通用课/商学院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</si>
</sst>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"/>
    <numFmt numFmtId="178" formatCode="0.00_ "/>
    <numFmt numFmtId="179" formatCode="0.0_);[Red]\(0.0\)"/>
  </numFmts>
  <fonts count="2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indexed="8"/>
      <name val="等线"/>
      <family val="3"/>
      <charset val="134"/>
      <scheme val="minor"/>
    </font>
    <font>
      <b/>
      <sz val="16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9"/>
      <color indexed="8"/>
      <name val="微软雅黑"/>
      <family val="2"/>
      <charset val="134"/>
    </font>
    <font>
      <sz val="9"/>
      <color indexed="8"/>
      <name val="微软雅黑"/>
      <family val="2"/>
      <charset val="134"/>
    </font>
    <font>
      <b/>
      <sz val="9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9"/>
      <color rgb="FF0D0015"/>
      <name val="微软雅黑"/>
      <family val="2"/>
      <charset val="134"/>
    </font>
    <font>
      <sz val="10"/>
      <color rgb="FF000000"/>
      <name val="PingFang SC"/>
      <family val="2"/>
      <charset val="134"/>
    </font>
    <font>
      <sz val="9"/>
      <color rgb="FF000000"/>
      <name val="微软雅黑"/>
      <family val="2"/>
      <charset val="134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  <font>
      <sz val="9"/>
      <color theme="1"/>
      <name val="Microsoft YaHei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color theme="1" tint="0.249977111117893"/>
      <name val="微软雅黑"/>
      <family val="2"/>
      <charset val="134"/>
    </font>
    <font>
      <sz val="10"/>
      <color theme="1" tint="0.249977111117893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189FF"/>
        <bgColor indexed="64"/>
      </patternFill>
    </fill>
    <fill>
      <patternFill patternType="solid">
        <fgColor rgb="FFEFF3EE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theme="1" tint="0.499984740745262"/>
      </right>
      <top/>
      <bottom/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rgb="FF000000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rgb="FF000000"/>
      </bottom>
      <diagonal/>
    </border>
    <border>
      <left style="hair">
        <color auto="1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auto="1"/>
      </right>
      <top/>
      <bottom style="hair">
        <color rgb="FF000000"/>
      </bottom>
      <diagonal/>
    </border>
    <border>
      <left style="hair">
        <color auto="1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auto="1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rgb="FF000000"/>
      </top>
      <bottom style="hair">
        <color rgb="FF00000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 style="hair">
        <color auto="1"/>
      </right>
      <top style="hair">
        <color rgb="FF000000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auto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theme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auto="1"/>
      </left>
      <right style="hair">
        <color auto="1"/>
      </right>
      <top style="hair">
        <color theme="1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/>
      </top>
      <bottom style="hair">
        <color theme="1" tint="0.499984740745262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theme="1"/>
      </top>
      <bottom style="hair">
        <color theme="1" tint="0.499984740745262"/>
      </bottom>
      <diagonal/>
    </border>
    <border>
      <left style="hair">
        <color auto="1"/>
      </left>
      <right style="hair">
        <color theme="1" tint="0.499984740745262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theme="1" tint="0.499984740745262"/>
      </bottom>
      <diagonal/>
    </border>
    <border>
      <left style="hair">
        <color auto="1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hair">
        <color auto="1"/>
      </right>
      <top style="hair">
        <color theme="1" tint="0.499984740745262"/>
      </top>
      <bottom/>
      <diagonal/>
    </border>
    <border>
      <left style="hair">
        <color auto="1"/>
      </left>
      <right/>
      <top style="hair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auto="1"/>
      </top>
      <bottom style="hair">
        <color theme="1" tint="0.499984740745262"/>
      </bottom>
      <diagonal/>
    </border>
    <border>
      <left style="hair">
        <color indexed="64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/>
      <top/>
      <bottom style="hair">
        <color theme="1" tint="0.49998474074526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/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auto="1"/>
      </left>
      <right style="hair">
        <color theme="1" tint="0.499984740745262"/>
      </right>
      <top style="hair">
        <color auto="1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auto="1"/>
      </top>
      <bottom style="hair">
        <color theme="1" tint="0.499984740745262"/>
      </bottom>
      <diagonal/>
    </border>
    <border>
      <left style="hair">
        <color theme="1" tint="0.499984740745262"/>
      </left>
      <right/>
      <top/>
      <bottom/>
      <diagonal/>
    </border>
    <border>
      <left style="hair">
        <color auto="1"/>
      </left>
      <right style="hair">
        <color theme="1" tint="0.499984740745262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rgb="FF000000"/>
      </bottom>
      <diagonal/>
    </border>
    <border>
      <left style="hair">
        <color auto="1"/>
      </left>
      <right style="hair">
        <color auto="1"/>
      </right>
      <top/>
      <bottom style="hair">
        <color theme="1"/>
      </bottom>
      <diagonal/>
    </border>
    <border>
      <left style="hair">
        <color auto="1"/>
      </left>
      <right style="hair">
        <color auto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theme="1" tint="0.499984740745262"/>
      </right>
      <top style="hair">
        <color indexed="64"/>
      </top>
      <bottom style="hair">
        <color indexed="64"/>
      </bottom>
      <diagonal/>
    </border>
    <border>
      <left style="hair">
        <color theme="1" tint="0.499984740745262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325">
    <xf numFmtId="0" fontId="0" fillId="0" borderId="0" xfId="0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2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178" fontId="8" fillId="2" borderId="1" xfId="1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9" fontId="10" fillId="0" borderId="1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176" fontId="10" fillId="0" borderId="6" xfId="1" applyNumberFormat="1" applyFont="1" applyBorder="1" applyAlignment="1">
      <alignment horizontal="center" vertical="center"/>
    </xf>
    <xf numFmtId="9" fontId="10" fillId="0" borderId="2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9" fillId="0" borderId="1" xfId="1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0" xfId="0" applyFont="1">
      <alignment vertical="center"/>
    </xf>
    <xf numFmtId="0" fontId="5" fillId="4" borderId="3" xfId="0" applyFont="1" applyFill="1" applyBorder="1">
      <alignment vertical="center"/>
    </xf>
    <xf numFmtId="0" fontId="5" fillId="4" borderId="0" xfId="0" applyFont="1" applyFill="1">
      <alignment vertical="center"/>
    </xf>
    <xf numFmtId="0" fontId="5" fillId="3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Border="1">
      <alignment vertical="center"/>
    </xf>
    <xf numFmtId="0" fontId="14" fillId="0" borderId="0" xfId="0" applyFont="1">
      <alignment vertical="center"/>
    </xf>
    <xf numFmtId="0" fontId="5" fillId="0" borderId="0" xfId="0" applyFont="1" applyBorder="1">
      <alignment vertical="center"/>
    </xf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 wrapText="1"/>
    </xf>
    <xf numFmtId="14" fontId="17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14" fontId="5" fillId="0" borderId="1" xfId="0" applyNumberFormat="1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4" fontId="5" fillId="0" borderId="38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76" fontId="5" fillId="0" borderId="33" xfId="0" applyNumberFormat="1" applyFont="1" applyBorder="1" applyAlignment="1">
      <alignment horizontal="center" vertical="center"/>
    </xf>
    <xf numFmtId="14" fontId="5" fillId="0" borderId="39" xfId="0" applyNumberFormat="1" applyFont="1" applyBorder="1" applyAlignment="1">
      <alignment horizontal="center" vertical="center"/>
    </xf>
    <xf numFmtId="176" fontId="5" fillId="0" borderId="4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76" fontId="5" fillId="0" borderId="45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14" fontId="5" fillId="0" borderId="47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176" fontId="5" fillId="0" borderId="50" xfId="0" applyNumberFormat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14" fontId="5" fillId="0" borderId="48" xfId="0" applyNumberFormat="1" applyFont="1" applyBorder="1" applyAlignment="1">
      <alignment horizontal="center" vertical="center"/>
    </xf>
    <xf numFmtId="176" fontId="5" fillId="0" borderId="53" xfId="0" applyNumberFormat="1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176" fontId="5" fillId="0" borderId="55" xfId="0" applyNumberFormat="1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176" fontId="5" fillId="0" borderId="57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14" fontId="5" fillId="0" borderId="56" xfId="0" applyNumberFormat="1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176" fontId="5" fillId="0" borderId="29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5" fillId="0" borderId="36" xfId="0" applyFont="1" applyFill="1" applyBorder="1" applyAlignment="1">
      <alignment horizontal="center" vertical="center" wrapText="1"/>
    </xf>
    <xf numFmtId="0" fontId="15" fillId="0" borderId="58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49" xfId="0" applyNumberFormat="1" applyFont="1" applyBorder="1" applyAlignment="1">
      <alignment horizontal="center" vertical="center"/>
    </xf>
    <xf numFmtId="14" fontId="5" fillId="0" borderId="49" xfId="0" applyNumberFormat="1" applyFont="1" applyBorder="1" applyAlignment="1">
      <alignment horizontal="center" vertical="center"/>
    </xf>
    <xf numFmtId="176" fontId="5" fillId="0" borderId="64" xfId="0" applyNumberFormat="1" applyFont="1" applyBorder="1" applyAlignment="1">
      <alignment horizontal="center" vertical="center"/>
    </xf>
    <xf numFmtId="176" fontId="5" fillId="0" borderId="65" xfId="0" applyNumberFormat="1" applyFont="1" applyBorder="1" applyAlignment="1">
      <alignment horizontal="center" vertical="center"/>
    </xf>
    <xf numFmtId="0" fontId="14" fillId="0" borderId="66" xfId="0" applyFont="1" applyBorder="1">
      <alignment vertical="center"/>
    </xf>
    <xf numFmtId="176" fontId="5" fillId="0" borderId="67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0" fontId="14" fillId="0" borderId="0" xfId="0" applyFont="1" applyFill="1">
      <alignment vertical="center"/>
    </xf>
    <xf numFmtId="178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5" fillId="0" borderId="6" xfId="0" applyFont="1" applyFill="1" applyBorder="1" applyAlignment="1">
      <alignment horizontal="center" vertical="center"/>
    </xf>
    <xf numFmtId="176" fontId="5" fillId="0" borderId="6" xfId="0" applyNumberFormat="1" applyFont="1" applyFill="1" applyBorder="1" applyAlignment="1">
      <alignment horizontal="center" vertical="center"/>
    </xf>
    <xf numFmtId="14" fontId="5" fillId="0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4" fillId="0" borderId="7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179" fontId="3" fillId="0" borderId="6" xfId="0" applyNumberFormat="1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77" fontId="20" fillId="0" borderId="3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77" fontId="21" fillId="0" borderId="3" xfId="0" applyNumberFormat="1" applyFont="1" applyBorder="1" applyAlignment="1">
      <alignment horizontal="center" vertical="center"/>
    </xf>
    <xf numFmtId="179" fontId="21" fillId="0" borderId="3" xfId="0" applyNumberFormat="1" applyFont="1" applyBorder="1" applyAlignment="1">
      <alignment horizontal="center" vertical="center"/>
    </xf>
    <xf numFmtId="0" fontId="21" fillId="0" borderId="3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78" fontId="5" fillId="0" borderId="8" xfId="0" applyNumberFormat="1" applyFont="1" applyBorder="1" applyAlignment="1">
      <alignment horizontal="center" vertical="center" wrapText="1"/>
    </xf>
    <xf numFmtId="176" fontId="5" fillId="0" borderId="61" xfId="0" applyNumberFormat="1" applyFont="1" applyBorder="1" applyAlignment="1">
      <alignment horizontal="center" vertical="center"/>
    </xf>
    <xf numFmtId="14" fontId="5" fillId="0" borderId="30" xfId="0" applyNumberFormat="1" applyFont="1" applyBorder="1" applyAlignment="1">
      <alignment horizontal="center" vertical="center"/>
    </xf>
    <xf numFmtId="14" fontId="5" fillId="0" borderId="22" xfId="0" applyNumberFormat="1" applyFont="1" applyBorder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76" fontId="5" fillId="0" borderId="37" xfId="0" applyNumberFormat="1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9" fillId="0" borderId="0" xfId="0" applyFont="1" applyFill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176" fontId="14" fillId="0" borderId="3" xfId="0" applyNumberFormat="1" applyFont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6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5" fillId="0" borderId="63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/>
    </xf>
    <xf numFmtId="0" fontId="5" fillId="0" borderId="7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6" fontId="5" fillId="0" borderId="8" xfId="0" applyNumberFormat="1" applyFont="1" applyFill="1" applyBorder="1" applyAlignment="1">
      <alignment horizontal="center" vertical="center"/>
    </xf>
    <xf numFmtId="178" fontId="5" fillId="0" borderId="0" xfId="0" applyNumberFormat="1" applyFont="1" applyBorder="1" applyAlignment="1">
      <alignment horizontal="center" vertical="center" wrapText="1"/>
    </xf>
    <xf numFmtId="176" fontId="5" fillId="0" borderId="69" xfId="0" applyNumberFormat="1" applyFont="1" applyFill="1" applyBorder="1" applyAlignment="1">
      <alignment horizontal="center" vertical="center"/>
    </xf>
    <xf numFmtId="14" fontId="5" fillId="0" borderId="0" xfId="0" applyNumberFormat="1" applyFont="1" applyFill="1" applyBorder="1" applyAlignment="1">
      <alignment horizontal="center" vertical="center"/>
    </xf>
    <xf numFmtId="14" fontId="5" fillId="0" borderId="8" xfId="0" applyNumberFormat="1" applyFont="1" applyFill="1" applyBorder="1" applyAlignment="1">
      <alignment horizontal="center" vertical="center"/>
    </xf>
    <xf numFmtId="14" fontId="5" fillId="0" borderId="22" xfId="0" applyNumberFormat="1" applyFont="1" applyFill="1" applyBorder="1" applyAlignment="1">
      <alignment horizontal="center" vertical="center"/>
    </xf>
    <xf numFmtId="14" fontId="5" fillId="0" borderId="30" xfId="0" applyNumberFormat="1" applyFont="1" applyFill="1" applyBorder="1" applyAlignment="1">
      <alignment horizontal="center" vertical="center"/>
    </xf>
    <xf numFmtId="14" fontId="5" fillId="0" borderId="69" xfId="0" applyNumberFormat="1" applyFont="1" applyFill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/>
    </xf>
    <xf numFmtId="14" fontId="5" fillId="0" borderId="7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/>
    </xf>
    <xf numFmtId="176" fontId="5" fillId="0" borderId="71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69" xfId="0" applyFont="1" applyFill="1" applyBorder="1" applyAlignment="1">
      <alignment horizontal="center" vertical="center"/>
    </xf>
    <xf numFmtId="0" fontId="5" fillId="0" borderId="72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4" fontId="21" fillId="0" borderId="0" xfId="0" applyNumberFormat="1" applyFont="1" applyBorder="1" applyAlignment="1">
      <alignment horizontal="center" vertical="center"/>
    </xf>
    <xf numFmtId="177" fontId="21" fillId="0" borderId="0" xfId="0" applyNumberFormat="1" applyFont="1" applyBorder="1" applyAlignment="1">
      <alignment horizontal="center" vertical="center"/>
    </xf>
    <xf numFmtId="179" fontId="20" fillId="0" borderId="3" xfId="0" applyNumberFormat="1" applyFont="1" applyBorder="1" applyAlignment="1">
      <alignment horizontal="center" vertical="center"/>
    </xf>
    <xf numFmtId="179" fontId="21" fillId="0" borderId="0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5" fillId="0" borderId="15" xfId="0" applyNumberFormat="1" applyFont="1" applyFill="1" applyBorder="1" applyAlignment="1">
      <alignment horizontal="center" vertical="center"/>
    </xf>
    <xf numFmtId="176" fontId="5" fillId="0" borderId="44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/>
    </xf>
    <xf numFmtId="177" fontId="20" fillId="0" borderId="0" xfId="0" applyNumberFormat="1" applyFont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176" fontId="14" fillId="0" borderId="2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179" fontId="21" fillId="0" borderId="0" xfId="0" applyNumberFormat="1" applyFont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176" fontId="14" fillId="0" borderId="0" xfId="0" applyNumberFormat="1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center" vertical="center"/>
    </xf>
    <xf numFmtId="176" fontId="5" fillId="0" borderId="32" xfId="0" applyNumberFormat="1" applyFont="1" applyBorder="1" applyAlignment="1">
      <alignment horizontal="center" vertical="center"/>
    </xf>
    <xf numFmtId="14" fontId="14" fillId="0" borderId="0" xfId="0" applyNumberFormat="1" applyFont="1" applyBorder="1" applyAlignment="1">
      <alignment horizontal="center" vertical="center"/>
    </xf>
    <xf numFmtId="176" fontId="5" fillId="0" borderId="35" xfId="0" applyNumberFormat="1" applyFont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left" vertical="center"/>
    </xf>
    <xf numFmtId="0" fontId="8" fillId="2" borderId="5" xfId="1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 wrapText="1"/>
    </xf>
    <xf numFmtId="0" fontId="21" fillId="0" borderId="7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0" fontId="20" fillId="0" borderId="74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76" fontId="26" fillId="0" borderId="1" xfId="0" applyNumberFormat="1" applyFont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 wrapText="1"/>
    </xf>
    <xf numFmtId="176" fontId="14" fillId="0" borderId="8" xfId="0" applyNumberFormat="1" applyFont="1" applyBorder="1" applyAlignment="1">
      <alignment horizontal="center" vertical="center"/>
    </xf>
    <xf numFmtId="176" fontId="5" fillId="0" borderId="36" xfId="0" applyNumberFormat="1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14" fontId="5" fillId="0" borderId="27" xfId="0" applyNumberFormat="1" applyFont="1" applyBorder="1" applyAlignment="1">
      <alignment horizontal="center" vertical="center"/>
    </xf>
    <xf numFmtId="176" fontId="26" fillId="0" borderId="2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176" fontId="5" fillId="0" borderId="54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常规" xfId="0" builtinId="0"/>
    <cellStyle name="常规 2" xfId="1" xr:uid="{5BF9B098-9BAB-448E-83A5-0409D904DDB6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/>
              <a:t>课程集数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513648293963254"/>
          <c:y val="0.16784740449110527"/>
          <c:w val="0.86486351706036746"/>
          <c:h val="0.719197652376786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88EE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(数据统计!$B$3:$C$5,数据统计!$B$7:$C$8)</c:f>
              <c:strCache>
                <c:ptCount val="5"/>
                <c:pt idx="0">
                  <c:v>通用课</c:v>
                </c:pt>
                <c:pt idx="1">
                  <c:v>岗位课</c:v>
                </c:pt>
                <c:pt idx="2">
                  <c:v>商学院</c:v>
                </c:pt>
                <c:pt idx="3">
                  <c:v>有声书</c:v>
                </c:pt>
                <c:pt idx="4">
                  <c:v>讲书</c:v>
                </c:pt>
              </c:strCache>
            </c:strRef>
          </c:cat>
          <c:val>
            <c:numRef>
              <c:f>(数据统计!$E$3:$E$5,数据统计!$E$7:$E$8)</c:f>
              <c:numCache>
                <c:formatCode>General</c:formatCode>
                <c:ptCount val="5"/>
                <c:pt idx="0">
                  <c:v>41544</c:v>
                </c:pt>
                <c:pt idx="1">
                  <c:v>7874</c:v>
                </c:pt>
                <c:pt idx="2">
                  <c:v>3658</c:v>
                </c:pt>
                <c:pt idx="3">
                  <c:v>14456</c:v>
                </c:pt>
                <c:pt idx="4">
                  <c:v>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4-4E8A-9FA9-5B20CAC3F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694815"/>
        <c:axId val="530426591"/>
      </c:barChart>
      <c:catAx>
        <c:axId val="123269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0426591"/>
        <c:crosses val="autoZero"/>
        <c:auto val="1"/>
        <c:lblAlgn val="ctr"/>
        <c:lblOffset val="100"/>
        <c:noMultiLvlLbl val="0"/>
      </c:catAx>
      <c:valAx>
        <c:axId val="53042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269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/>
              <a:t>内容总时长</a:t>
            </a:r>
            <a:r>
              <a:rPr lang="en-US" altLang="zh-CN" sz="1200"/>
              <a:t>/h</a:t>
            </a:r>
            <a:endParaRPr lang="zh-CN" altLang="en-US" sz="1200"/>
          </a:p>
        </c:rich>
      </c:tx>
      <c:layout>
        <c:manualLayout>
          <c:xMode val="edge"/>
          <c:yMode val="edge"/>
          <c:x val="0.43893118842448642"/>
          <c:y val="3.70799536500579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88EE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(数据统计!$B$3:$C$5,数据统计!$B$7:$C$8)</c:f>
              <c:strCache>
                <c:ptCount val="5"/>
                <c:pt idx="0">
                  <c:v>通用课</c:v>
                </c:pt>
                <c:pt idx="1">
                  <c:v>岗位课</c:v>
                </c:pt>
                <c:pt idx="2">
                  <c:v>商学院</c:v>
                </c:pt>
                <c:pt idx="3">
                  <c:v>有声书</c:v>
                </c:pt>
                <c:pt idx="4">
                  <c:v>讲书</c:v>
                </c:pt>
              </c:strCache>
            </c:strRef>
          </c:cat>
          <c:val>
            <c:numRef>
              <c:f>(数据统计!$G$3:$G$5,数据统计!$G$7:$G$8)</c:f>
              <c:numCache>
                <c:formatCode>0.00_ </c:formatCode>
                <c:ptCount val="5"/>
                <c:pt idx="0">
                  <c:v>229578.48750000002</c:v>
                </c:pt>
                <c:pt idx="1">
                  <c:v>1600.6899999999996</c:v>
                </c:pt>
                <c:pt idx="2">
                  <c:v>90008.97194442997</c:v>
                </c:pt>
                <c:pt idx="3">
                  <c:v>664.15050000000019</c:v>
                </c:pt>
                <c:pt idx="4">
                  <c:v>4425.7199999999029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5-4558-B012-B51B95DC9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150399"/>
        <c:axId val="1234802463"/>
      </c:barChart>
      <c:catAx>
        <c:axId val="123815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802463"/>
        <c:crosses val="autoZero"/>
        <c:auto val="1"/>
        <c:lblAlgn val="ctr"/>
        <c:lblOffset val="100"/>
        <c:noMultiLvlLbl val="0"/>
      </c:catAx>
      <c:valAx>
        <c:axId val="123480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815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434975</xdr:rowOff>
    </xdr:from>
    <xdr:to>
      <xdr:col>5</xdr:col>
      <xdr:colOff>409575</xdr:colOff>
      <xdr:row>24</xdr:row>
      <xdr:rowOff>15875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6CCCB3B-0FBD-4E42-BD14-B058FC746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409575</xdr:colOff>
      <xdr:row>8</xdr:row>
      <xdr:rowOff>444500</xdr:rowOff>
    </xdr:from>
    <xdr:to>
      <xdr:col>9</xdr:col>
      <xdr:colOff>342900</xdr:colOff>
      <xdr:row>24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93E8FC8-BDF3-4322-8206-FD051C80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9202-2450-4FD6-96C4-A8E8A3413B03}">
  <dimension ref="A1:I9"/>
  <sheetViews>
    <sheetView topLeftCell="A2" workbookViewId="0">
      <selection activeCell="E9" sqref="E9"/>
    </sheetView>
  </sheetViews>
  <sheetFormatPr defaultRowHeight="14"/>
  <cols>
    <col min="4" max="4" width="20.08203125" customWidth="1"/>
    <col min="7" max="7" width="9.33203125" bestFit="1" customWidth="1"/>
    <col min="8" max="8" width="9.9140625" customWidth="1"/>
    <col min="9" max="9" width="33.75" customWidth="1"/>
  </cols>
  <sheetData>
    <row r="1" spans="1:9" ht="35" customHeight="1">
      <c r="A1" s="288" t="s">
        <v>2624</v>
      </c>
      <c r="B1" s="289"/>
      <c r="C1" s="289"/>
      <c r="D1" s="289"/>
      <c r="E1" s="289"/>
      <c r="F1" s="289"/>
      <c r="G1" s="289"/>
      <c r="H1" s="289"/>
      <c r="I1" s="290"/>
    </row>
    <row r="2" spans="1:9" ht="35" customHeight="1">
      <c r="A2" s="5"/>
      <c r="B2" s="291" t="s">
        <v>2625</v>
      </c>
      <c r="C2" s="292"/>
      <c r="D2" s="6" t="s">
        <v>2626</v>
      </c>
      <c r="E2" s="6" t="s">
        <v>2627</v>
      </c>
      <c r="F2" s="6" t="s">
        <v>2628</v>
      </c>
      <c r="G2" s="7" t="s">
        <v>2629</v>
      </c>
      <c r="H2" s="6" t="s">
        <v>2630</v>
      </c>
      <c r="I2" s="6" t="s">
        <v>2631</v>
      </c>
    </row>
    <row r="3" spans="1:9" ht="35" customHeight="1">
      <c r="A3" s="285" t="s">
        <v>2637</v>
      </c>
      <c r="B3" s="280" t="s">
        <v>2634</v>
      </c>
      <c r="C3" s="281"/>
      <c r="D3" s="8">
        <f>COUNTIFS(通用课!C:C,"通用课")</f>
        <v>332</v>
      </c>
      <c r="E3" s="8">
        <f>SUM(通用课!K3:K598)</f>
        <v>41544</v>
      </c>
      <c r="F3" s="9">
        <f>E3/E9</f>
        <v>0.42216937991585879</v>
      </c>
      <c r="G3" s="10">
        <f>SUM(通用课!L3:L498)</f>
        <v>229578.48750000002</v>
      </c>
      <c r="H3" s="9">
        <f>G3/G9</f>
        <v>0.69457651773320073</v>
      </c>
      <c r="I3" s="10">
        <f>SUM(通用课!N3:N1048576)</f>
        <v>37030.53</v>
      </c>
    </row>
    <row r="4" spans="1:9" ht="35" customHeight="1">
      <c r="A4" s="287"/>
      <c r="B4" s="280" t="s">
        <v>2635</v>
      </c>
      <c r="C4" s="281"/>
      <c r="D4" s="8">
        <f>COUNTIF(岗位课!C:C,"岗位课")</f>
        <v>231</v>
      </c>
      <c r="E4" s="8">
        <f>SUM(岗位课!K3:K469)</f>
        <v>7874</v>
      </c>
      <c r="F4" s="9">
        <f>E4/E9</f>
        <v>8.0015446212629307E-2</v>
      </c>
      <c r="G4" s="10">
        <f>SUM(岗位课!L3:L499)</f>
        <v>1600.6899999999996</v>
      </c>
      <c r="H4" s="9">
        <f>G4/G9</f>
        <v>4.8427955871534209E-3</v>
      </c>
      <c r="I4" s="11">
        <f>SUM(岗位课!N2:N1048576)</f>
        <v>35873.1</v>
      </c>
    </row>
    <row r="5" spans="1:9" ht="35" customHeight="1">
      <c r="A5" s="287"/>
      <c r="B5" s="280" t="s">
        <v>2636</v>
      </c>
      <c r="C5" s="281"/>
      <c r="D5" s="8">
        <f>COUNTIF(商学院!C3:C103,"商学院")</f>
        <v>101</v>
      </c>
      <c r="E5" s="8">
        <f>SUM(商学院!K3:K200)</f>
        <v>3658</v>
      </c>
      <c r="F5" s="9">
        <f>E5/E9</f>
        <v>3.7172530130276611E-2</v>
      </c>
      <c r="G5" s="10">
        <f>SUM(商学院!L3:L200)</f>
        <v>90008.97194442997</v>
      </c>
      <c r="H5" s="9">
        <f>G5/G9</f>
        <v>0.27231697089174145</v>
      </c>
      <c r="I5" s="10">
        <f>SUM(商学院!N3:N1048576)</f>
        <v>12871.49</v>
      </c>
    </row>
    <row r="6" spans="1:9" ht="35" customHeight="1">
      <c r="A6" s="286"/>
      <c r="B6" s="280" t="s">
        <v>2645</v>
      </c>
      <c r="C6" s="281"/>
      <c r="D6" s="8">
        <f>COUNTIFS('课程列表（总）'!C3:C1028,"其他")</f>
        <v>415</v>
      </c>
      <c r="E6" s="8">
        <f>SUMIFS('课程列表（总）'!M3:M1028,'课程列表（总）'!C3:C1028,"其他")</f>
        <v>29646</v>
      </c>
      <c r="F6" s="9">
        <f>E6/E9</f>
        <v>0.3012621181635266</v>
      </c>
      <c r="G6" s="10">
        <f>SUMIFS('课程列表（总）'!N3:N1028,'课程列表（总）'!C3:C1028,"其他")</f>
        <v>4252.1400000000067</v>
      </c>
      <c r="H6" s="12">
        <f>G6/G9</f>
        <v>1.2864605156500375E-2</v>
      </c>
      <c r="I6" s="10">
        <f>SUMIFS('课程列表（总）'!P3:P1048576,'课程列表（总）'!C3:C1048576,"其他")</f>
        <v>6472.6999999999989</v>
      </c>
    </row>
    <row r="7" spans="1:9" ht="35" customHeight="1">
      <c r="A7" s="285" t="s">
        <v>2638</v>
      </c>
      <c r="B7" s="280" t="s">
        <v>2639</v>
      </c>
      <c r="C7" s="281"/>
      <c r="D7" s="8">
        <f>COUNTIFS('书籍列表（总）'!B3:B1048576,"有声书")</f>
        <v>352</v>
      </c>
      <c r="E7" s="8">
        <f>SUMIFS('书籍列表（总）'!H4:H1153,'书籍列表（总）'!B4:B1153,"有声书")</f>
        <v>14456</v>
      </c>
      <c r="F7" s="9">
        <f>E7/E9</f>
        <v>0.14690161169034407</v>
      </c>
      <c r="G7" s="10">
        <f>SUMIFS('书籍列表（总）'!I4:I1153,'书籍列表（总）'!B4:B1153,"讲书")</f>
        <v>664.15050000000019</v>
      </c>
      <c r="H7" s="12">
        <f>G7/G9</f>
        <v>2.0093491623023444E-3</v>
      </c>
      <c r="I7" s="10">
        <f>SUMIFS('书籍列表（总）'!L4:L1048576,'书籍列表（总）'!B4:B1048576,"有声书")</f>
        <v>10921.929999999964</v>
      </c>
    </row>
    <row r="8" spans="1:9" ht="35" customHeight="1">
      <c r="A8" s="286"/>
      <c r="B8" s="280" t="s">
        <v>2640</v>
      </c>
      <c r="C8" s="281"/>
      <c r="D8" s="8">
        <f>COUNTIFS('书籍列表（总）'!B4:B1500,"讲书")</f>
        <v>882</v>
      </c>
      <c r="E8" s="8">
        <f>SUMIFS('书籍列表（总）'!H4:H1153,'书籍列表（总）'!B4:B1153,"讲书")</f>
        <v>1228</v>
      </c>
      <c r="F8" s="9">
        <f>E8/E9</f>
        <v>1.2478913887364591E-2</v>
      </c>
      <c r="G8" s="10">
        <f>SUMIFS('书籍列表（总）'!L4:L1048576,'书籍列表（总）'!B4:B1048576,"讲书")</f>
        <v>4425.7199999999029</v>
      </c>
      <c r="H8" s="12">
        <f>G8/G9</f>
        <v>1.3389761469101558E-2</v>
      </c>
      <c r="I8" s="10">
        <f>SUMIFS('书籍列表（总）'!L4:L1048576,'书籍列表（总）'!B4:B1048576,"讲书")</f>
        <v>4425.7199999999029</v>
      </c>
    </row>
    <row r="9" spans="1:9" ht="35" customHeight="1">
      <c r="A9" s="282" t="s">
        <v>2632</v>
      </c>
      <c r="B9" s="283"/>
      <c r="C9" s="284"/>
      <c r="D9" s="13">
        <f>SUM(D3:D8)</f>
        <v>2313</v>
      </c>
      <c r="E9" s="14">
        <f>SUM(E3:E8)</f>
        <v>98406</v>
      </c>
      <c r="F9" s="8" t="s">
        <v>2633</v>
      </c>
      <c r="G9" s="15">
        <f>SUM(G3:G8)</f>
        <v>330530.15994442994</v>
      </c>
      <c r="H9" s="8" t="s">
        <v>2633</v>
      </c>
      <c r="I9" s="15" t="str">
        <f>ROUND(SUM(I3:I8),2)&amp;"(会员畅听价399元/年/人)"</f>
        <v>107595.47(会员畅听价399元/年/人)</v>
      </c>
    </row>
  </sheetData>
  <mergeCells count="11">
    <mergeCell ref="A1:I1"/>
    <mergeCell ref="B2:C2"/>
    <mergeCell ref="B3:C3"/>
    <mergeCell ref="B4:C4"/>
    <mergeCell ref="B5:C5"/>
    <mergeCell ref="B8:C8"/>
    <mergeCell ref="A9:C9"/>
    <mergeCell ref="A7:A8"/>
    <mergeCell ref="B7:C7"/>
    <mergeCell ref="A3:A6"/>
    <mergeCell ref="B6:C6"/>
  </mergeCells>
  <phoneticPr fontId="1" type="noConversion"/>
  <pageMargins left="0.7" right="0.7" top="0.75" bottom="0.75" header="0.3" footer="0.3"/>
  <pageSetup paperSize="9" orientation="portrait" r:id="rId1"/>
  <ignoredErrors>
    <ignoredError sqref="G5:G8 G3:G4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5615-E1F2-48EF-8C68-1C15A1222A1C}">
  <sheetPr filterMode="1"/>
  <dimension ref="A1:AS1047"/>
  <sheetViews>
    <sheetView topLeftCell="A1040" workbookViewId="0">
      <selection activeCell="D322" sqref="D322:D1047"/>
    </sheetView>
  </sheetViews>
  <sheetFormatPr defaultRowHeight="35" customHeight="1"/>
  <cols>
    <col min="1" max="1" width="6.1640625" style="4" bestFit="1" customWidth="1"/>
    <col min="2" max="2" width="9.1640625" style="4" bestFit="1" customWidth="1"/>
    <col min="3" max="3" width="13.08203125" style="4" bestFit="1" customWidth="1"/>
    <col min="4" max="4" width="17" style="4" bestFit="1" customWidth="1"/>
    <col min="5" max="5" width="31.33203125" style="4" bestFit="1" customWidth="1"/>
    <col min="6" max="6" width="30.58203125" style="4" customWidth="1"/>
    <col min="7" max="7" width="47.25" style="4" customWidth="1"/>
    <col min="8" max="8" width="16.25" style="4" customWidth="1"/>
    <col min="9" max="9" width="7.83203125" style="4" bestFit="1" customWidth="1"/>
    <col min="10" max="10" width="30.1640625" style="4" customWidth="1"/>
    <col min="11" max="11" width="27.83203125" style="4" customWidth="1"/>
    <col min="12" max="12" width="13.08203125" style="4" bestFit="1" customWidth="1"/>
    <col min="13" max="13" width="12.33203125" style="4" bestFit="1" customWidth="1"/>
    <col min="14" max="14" width="12.33203125" style="16" bestFit="1" customWidth="1"/>
    <col min="15" max="15" width="7.83203125" style="4" bestFit="1" customWidth="1"/>
    <col min="16" max="16" width="8.58203125" style="4" bestFit="1" customWidth="1"/>
    <col min="17" max="17" width="6.1640625" style="4" bestFit="1" customWidth="1"/>
    <col min="18" max="16384" width="8.6640625" style="4"/>
  </cols>
  <sheetData>
    <row r="1" spans="1:45" s="25" customFormat="1" ht="29.5" customHeight="1">
      <c r="A1" s="293" t="s">
        <v>2718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5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spans="1:45" s="28" customFormat="1" ht="64.5" customHeight="1">
      <c r="A2" s="296" t="s">
        <v>2719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8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7"/>
    </row>
    <row r="3" spans="1:45" s="3" customFormat="1" ht="26" customHeight="1">
      <c r="A3" s="166" t="s">
        <v>2707</v>
      </c>
      <c r="B3" s="166" t="s">
        <v>0</v>
      </c>
      <c r="C3" s="167" t="s">
        <v>13</v>
      </c>
      <c r="D3" s="167" t="s">
        <v>2670</v>
      </c>
      <c r="E3" s="168" t="s">
        <v>2675</v>
      </c>
      <c r="F3" s="166" t="s">
        <v>12</v>
      </c>
      <c r="G3" s="166" t="s">
        <v>3</v>
      </c>
      <c r="H3" s="166" t="s">
        <v>4</v>
      </c>
      <c r="I3" s="166" t="s">
        <v>5</v>
      </c>
      <c r="J3" s="166" t="s">
        <v>2647</v>
      </c>
      <c r="K3" s="169" t="s">
        <v>2649</v>
      </c>
      <c r="L3" s="166" t="s">
        <v>6</v>
      </c>
      <c r="M3" s="170" t="s">
        <v>7</v>
      </c>
      <c r="N3" s="171" t="s">
        <v>8</v>
      </c>
      <c r="O3" s="166" t="s">
        <v>9</v>
      </c>
      <c r="P3" s="167" t="s">
        <v>10</v>
      </c>
      <c r="Q3" s="172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</row>
    <row r="4" spans="1:45" s="181" customFormat="1" ht="35" hidden="1" customHeight="1">
      <c r="A4" s="174">
        <f>ROW()-3</f>
        <v>1</v>
      </c>
      <c r="B4" s="174" t="s">
        <v>14</v>
      </c>
      <c r="C4" s="174" t="s">
        <v>966</v>
      </c>
      <c r="D4" s="174" t="s">
        <v>951</v>
      </c>
      <c r="E4" s="174" t="s">
        <v>952</v>
      </c>
      <c r="F4" s="174" t="s">
        <v>5544</v>
      </c>
      <c r="G4" s="174" t="s">
        <v>1460</v>
      </c>
      <c r="H4" s="174" t="s">
        <v>967</v>
      </c>
      <c r="I4" s="174" t="s">
        <v>29</v>
      </c>
      <c r="J4" s="174" t="s">
        <v>34</v>
      </c>
      <c r="K4" s="174" t="s">
        <v>2665</v>
      </c>
      <c r="L4" s="177">
        <v>43238</v>
      </c>
      <c r="M4" s="174">
        <v>72</v>
      </c>
      <c r="N4" s="179">
        <v>22.9</v>
      </c>
      <c r="O4" s="174" t="s">
        <v>20</v>
      </c>
      <c r="P4" s="174">
        <v>198</v>
      </c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</row>
    <row r="5" spans="1:45" s="181" customFormat="1" ht="35" hidden="1" customHeight="1">
      <c r="A5" s="174">
        <f>ROW()-3</f>
        <v>2</v>
      </c>
      <c r="B5" s="174" t="s">
        <v>14</v>
      </c>
      <c r="C5" s="174" t="s">
        <v>966</v>
      </c>
      <c r="D5" s="174" t="s">
        <v>951</v>
      </c>
      <c r="E5" s="174" t="s">
        <v>952</v>
      </c>
      <c r="F5" s="174" t="s">
        <v>953</v>
      </c>
      <c r="G5" s="174" t="s">
        <v>954</v>
      </c>
      <c r="H5" s="174" t="s">
        <v>955</v>
      </c>
      <c r="I5" s="174" t="s">
        <v>29</v>
      </c>
      <c r="J5" s="174" t="s">
        <v>173</v>
      </c>
      <c r="K5" s="174" t="s">
        <v>174</v>
      </c>
      <c r="L5" s="177">
        <v>43238</v>
      </c>
      <c r="M5" s="174">
        <v>31</v>
      </c>
      <c r="N5" s="179">
        <v>6.83</v>
      </c>
      <c r="O5" s="174" t="s">
        <v>20</v>
      </c>
      <c r="P5" s="174">
        <v>49.9</v>
      </c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</row>
    <row r="6" spans="1:45" s="181" customFormat="1" ht="35" hidden="1" customHeight="1">
      <c r="A6" s="174">
        <f>ROW()-3</f>
        <v>3</v>
      </c>
      <c r="B6" s="174" t="s">
        <v>14</v>
      </c>
      <c r="C6" s="174" t="s">
        <v>966</v>
      </c>
      <c r="D6" s="174" t="s">
        <v>951</v>
      </c>
      <c r="E6" s="174" t="s">
        <v>956</v>
      </c>
      <c r="F6" s="174" t="s">
        <v>957</v>
      </c>
      <c r="G6" s="174" t="s">
        <v>958</v>
      </c>
      <c r="H6" s="174" t="s">
        <v>959</v>
      </c>
      <c r="I6" s="174" t="s">
        <v>29</v>
      </c>
      <c r="J6" s="174" t="s">
        <v>960</v>
      </c>
      <c r="K6" s="174" t="s">
        <v>174</v>
      </c>
      <c r="L6" s="177">
        <v>43238</v>
      </c>
      <c r="M6" s="174">
        <v>39</v>
      </c>
      <c r="N6" s="179">
        <v>6.92</v>
      </c>
      <c r="O6" s="174" t="s">
        <v>20</v>
      </c>
      <c r="P6" s="174">
        <v>86</v>
      </c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</row>
    <row r="7" spans="1:45" s="181" customFormat="1" ht="35" hidden="1" customHeight="1">
      <c r="A7" s="174">
        <f>ROW()-3</f>
        <v>4</v>
      </c>
      <c r="B7" s="174" t="s">
        <v>14</v>
      </c>
      <c r="C7" s="174" t="s">
        <v>966</v>
      </c>
      <c r="D7" s="174" t="s">
        <v>961</v>
      </c>
      <c r="E7" s="174" t="s">
        <v>962</v>
      </c>
      <c r="F7" s="174" t="s">
        <v>963</v>
      </c>
      <c r="G7" s="174" t="s">
        <v>964</v>
      </c>
      <c r="H7" s="174" t="s">
        <v>965</v>
      </c>
      <c r="I7" s="174" t="s">
        <v>29</v>
      </c>
      <c r="J7" s="174" t="s">
        <v>816</v>
      </c>
      <c r="K7" s="174" t="s">
        <v>174</v>
      </c>
      <c r="L7" s="177">
        <v>43238</v>
      </c>
      <c r="M7" s="174">
        <v>41</v>
      </c>
      <c r="N7" s="179">
        <v>7.65</v>
      </c>
      <c r="O7" s="174" t="s">
        <v>20</v>
      </c>
      <c r="P7" s="174">
        <v>129</v>
      </c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</row>
    <row r="8" spans="1:45" s="181" customFormat="1" ht="35" hidden="1" customHeight="1">
      <c r="A8" s="174">
        <f>ROW()-3</f>
        <v>5</v>
      </c>
      <c r="B8" s="174" t="s">
        <v>14</v>
      </c>
      <c r="C8" s="174" t="s">
        <v>966</v>
      </c>
      <c r="D8" s="174" t="s">
        <v>960</v>
      </c>
      <c r="E8" s="174" t="s">
        <v>968</v>
      </c>
      <c r="F8" s="174" t="s">
        <v>969</v>
      </c>
      <c r="G8" s="174" t="s">
        <v>970</v>
      </c>
      <c r="H8" s="174" t="s">
        <v>971</v>
      </c>
      <c r="I8" s="174" t="s">
        <v>29</v>
      </c>
      <c r="J8" s="174" t="s">
        <v>960</v>
      </c>
      <c r="K8" s="174" t="s">
        <v>174</v>
      </c>
      <c r="L8" s="177">
        <v>43256</v>
      </c>
      <c r="M8" s="174">
        <v>67</v>
      </c>
      <c r="N8" s="179">
        <v>15.37</v>
      </c>
      <c r="O8" s="174" t="s">
        <v>20</v>
      </c>
      <c r="P8" s="174">
        <v>139</v>
      </c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</row>
    <row r="9" spans="1:45" s="174" customFormat="1" ht="35" hidden="1" customHeight="1">
      <c r="A9" s="174">
        <f>ROW()-3</f>
        <v>6</v>
      </c>
      <c r="B9" s="174" t="s">
        <v>14</v>
      </c>
      <c r="C9" s="174" t="s">
        <v>966</v>
      </c>
      <c r="D9" s="174" t="s">
        <v>960</v>
      </c>
      <c r="E9" s="174" t="s">
        <v>968</v>
      </c>
      <c r="F9" s="174" t="s">
        <v>972</v>
      </c>
      <c r="G9" s="174" t="s">
        <v>973</v>
      </c>
      <c r="H9" s="174" t="s">
        <v>971</v>
      </c>
      <c r="I9" s="174" t="s">
        <v>29</v>
      </c>
      <c r="J9" s="174" t="s">
        <v>960</v>
      </c>
      <c r="K9" s="174" t="s">
        <v>174</v>
      </c>
      <c r="L9" s="177">
        <v>43256</v>
      </c>
      <c r="M9" s="174">
        <v>54</v>
      </c>
      <c r="N9" s="179">
        <v>12.9</v>
      </c>
      <c r="O9" s="174" t="s">
        <v>20</v>
      </c>
      <c r="P9" s="174">
        <v>139</v>
      </c>
    </row>
    <row r="10" spans="1:45" s="174" customFormat="1" ht="35" hidden="1" customHeight="1">
      <c r="A10" s="174">
        <f>ROW()-3</f>
        <v>7</v>
      </c>
      <c r="B10" s="174" t="s">
        <v>14</v>
      </c>
      <c r="C10" s="174" t="s">
        <v>966</v>
      </c>
      <c r="D10" s="174" t="s">
        <v>951</v>
      </c>
      <c r="E10" s="174" t="s">
        <v>974</v>
      </c>
      <c r="F10" s="174" t="s">
        <v>975</v>
      </c>
      <c r="G10" s="174" t="s">
        <v>976</v>
      </c>
      <c r="H10" s="174" t="s">
        <v>977</v>
      </c>
      <c r="I10" s="174" t="s">
        <v>29</v>
      </c>
      <c r="J10" s="174" t="s">
        <v>173</v>
      </c>
      <c r="K10" s="174" t="s">
        <v>174</v>
      </c>
      <c r="L10" s="177">
        <v>43262</v>
      </c>
      <c r="M10" s="174">
        <v>129</v>
      </c>
      <c r="N10" s="179">
        <v>21.19</v>
      </c>
      <c r="O10" s="174" t="s">
        <v>20</v>
      </c>
      <c r="P10" s="174">
        <v>365</v>
      </c>
    </row>
    <row r="11" spans="1:45" s="174" customFormat="1" ht="35" hidden="1" customHeight="1">
      <c r="A11" s="174">
        <f>ROW()-3</f>
        <v>8</v>
      </c>
      <c r="B11" s="174" t="s">
        <v>14</v>
      </c>
      <c r="C11" s="174" t="s">
        <v>966</v>
      </c>
      <c r="D11" s="174" t="s">
        <v>978</v>
      </c>
      <c r="E11" s="174" t="s">
        <v>979</v>
      </c>
      <c r="F11" s="174" t="s">
        <v>980</v>
      </c>
      <c r="G11" s="174" t="s">
        <v>981</v>
      </c>
      <c r="H11" s="174" t="s">
        <v>982</v>
      </c>
      <c r="I11" s="174" t="s">
        <v>29</v>
      </c>
      <c r="J11" s="174" t="s">
        <v>160</v>
      </c>
      <c r="K11" s="174" t="s">
        <v>25</v>
      </c>
      <c r="L11" s="177">
        <v>43293</v>
      </c>
      <c r="M11" s="174">
        <v>114</v>
      </c>
      <c r="N11" s="179">
        <v>19.71</v>
      </c>
      <c r="O11" s="174" t="s">
        <v>20</v>
      </c>
      <c r="P11" s="174">
        <v>199</v>
      </c>
    </row>
    <row r="12" spans="1:45" s="174" customFormat="1" ht="35" hidden="1" customHeight="1">
      <c r="A12" s="174">
        <f>ROW()-3</f>
        <v>9</v>
      </c>
      <c r="B12" s="174" t="s">
        <v>14</v>
      </c>
      <c r="C12" s="174" t="s">
        <v>966</v>
      </c>
      <c r="D12" s="174" t="s">
        <v>961</v>
      </c>
      <c r="E12" s="174" t="s">
        <v>983</v>
      </c>
      <c r="F12" s="174" t="s">
        <v>984</v>
      </c>
      <c r="G12" s="174" t="s">
        <v>984</v>
      </c>
      <c r="H12" s="174" t="s">
        <v>985</v>
      </c>
      <c r="I12" s="174" t="s">
        <v>29</v>
      </c>
      <c r="J12" s="174" t="s">
        <v>986</v>
      </c>
      <c r="K12" s="174" t="s">
        <v>67</v>
      </c>
      <c r="L12" s="177">
        <v>43321</v>
      </c>
      <c r="M12" s="174">
        <v>14</v>
      </c>
      <c r="N12" s="179">
        <v>2.88</v>
      </c>
      <c r="O12" s="174" t="s">
        <v>20</v>
      </c>
      <c r="P12" s="174">
        <v>99</v>
      </c>
    </row>
    <row r="13" spans="1:45" s="174" customFormat="1" ht="35" hidden="1" customHeight="1">
      <c r="A13" s="174">
        <f>ROW()-3</f>
        <v>10</v>
      </c>
      <c r="B13" s="174" t="s">
        <v>14</v>
      </c>
      <c r="C13" s="174" t="s">
        <v>966</v>
      </c>
      <c r="D13" s="174" t="s">
        <v>951</v>
      </c>
      <c r="E13" s="174" t="s">
        <v>987</v>
      </c>
      <c r="F13" s="174" t="s">
        <v>988</v>
      </c>
      <c r="G13" s="174" t="s">
        <v>989</v>
      </c>
      <c r="H13" s="174" t="s">
        <v>990</v>
      </c>
      <c r="I13" s="174" t="s">
        <v>29</v>
      </c>
      <c r="J13" s="174" t="s">
        <v>173</v>
      </c>
      <c r="K13" s="174" t="s">
        <v>174</v>
      </c>
      <c r="L13" s="177">
        <v>43340</v>
      </c>
      <c r="M13" s="174">
        <v>50</v>
      </c>
      <c r="N13" s="179">
        <v>10.46</v>
      </c>
      <c r="O13" s="174" t="s">
        <v>20</v>
      </c>
      <c r="P13" s="174">
        <v>99</v>
      </c>
    </row>
    <row r="14" spans="1:45" s="174" customFormat="1" ht="35" hidden="1" customHeight="1">
      <c r="A14" s="174">
        <f>ROW()-3</f>
        <v>11</v>
      </c>
      <c r="B14" s="174" t="s">
        <v>14</v>
      </c>
      <c r="C14" s="174" t="s">
        <v>966</v>
      </c>
      <c r="D14" s="174" t="s">
        <v>960</v>
      </c>
      <c r="E14" s="174" t="s">
        <v>991</v>
      </c>
      <c r="F14" s="174" t="s">
        <v>992</v>
      </c>
      <c r="G14" s="174" t="s">
        <v>993</v>
      </c>
      <c r="H14" s="174" t="s">
        <v>994</v>
      </c>
      <c r="I14" s="174" t="s">
        <v>29</v>
      </c>
      <c r="J14" s="174" t="s">
        <v>960</v>
      </c>
      <c r="K14" s="174" t="s">
        <v>174</v>
      </c>
      <c r="L14" s="177">
        <v>43346</v>
      </c>
      <c r="M14" s="174">
        <v>38</v>
      </c>
      <c r="N14" s="179">
        <v>7.5</v>
      </c>
      <c r="O14" s="174" t="s">
        <v>20</v>
      </c>
      <c r="P14" s="174">
        <v>199</v>
      </c>
    </row>
    <row r="15" spans="1:45" s="174" customFormat="1" ht="35" hidden="1" customHeight="1">
      <c r="A15" s="174">
        <f>ROW()-3</f>
        <v>12</v>
      </c>
      <c r="B15" s="174" t="s">
        <v>14</v>
      </c>
      <c r="C15" s="174" t="s">
        <v>966</v>
      </c>
      <c r="D15" s="174" t="s">
        <v>951</v>
      </c>
      <c r="E15" s="174" t="s">
        <v>974</v>
      </c>
      <c r="F15" s="174" t="s">
        <v>995</v>
      </c>
      <c r="G15" s="174" t="s">
        <v>996</v>
      </c>
      <c r="H15" s="174" t="s">
        <v>997</v>
      </c>
      <c r="I15" s="174" t="s">
        <v>29</v>
      </c>
      <c r="J15" s="174" t="s">
        <v>173</v>
      </c>
      <c r="K15" s="174" t="s">
        <v>174</v>
      </c>
      <c r="L15" s="177">
        <v>43356</v>
      </c>
      <c r="M15" s="174">
        <v>100</v>
      </c>
      <c r="N15" s="179">
        <v>12.57</v>
      </c>
      <c r="O15" s="174" t="s">
        <v>20</v>
      </c>
      <c r="P15" s="174">
        <v>99</v>
      </c>
    </row>
    <row r="16" spans="1:45" s="174" customFormat="1" ht="35" hidden="1" customHeight="1">
      <c r="A16" s="174">
        <f>ROW()-3</f>
        <v>13</v>
      </c>
      <c r="B16" s="174" t="s">
        <v>14</v>
      </c>
      <c r="C16" s="174" t="s">
        <v>966</v>
      </c>
      <c r="D16" s="174" t="s">
        <v>961</v>
      </c>
      <c r="E16" s="174" t="s">
        <v>962</v>
      </c>
      <c r="F16" s="174" t="s">
        <v>998</v>
      </c>
      <c r="G16" s="174" t="s">
        <v>999</v>
      </c>
      <c r="H16" s="174" t="s">
        <v>1000</v>
      </c>
      <c r="I16" s="174" t="s">
        <v>29</v>
      </c>
      <c r="J16" s="174" t="s">
        <v>816</v>
      </c>
      <c r="K16" s="174" t="s">
        <v>174</v>
      </c>
      <c r="L16" s="177">
        <v>43412</v>
      </c>
      <c r="M16" s="174">
        <v>37</v>
      </c>
      <c r="N16" s="179">
        <v>6.63</v>
      </c>
      <c r="O16" s="174" t="s">
        <v>20</v>
      </c>
      <c r="P16" s="174">
        <v>99</v>
      </c>
    </row>
    <row r="17" spans="1:16" s="174" customFormat="1" ht="35" hidden="1" customHeight="1">
      <c r="A17" s="174">
        <f>ROW()-3</f>
        <v>14</v>
      </c>
      <c r="B17" s="174" t="s">
        <v>14</v>
      </c>
      <c r="C17" s="174" t="s">
        <v>966</v>
      </c>
      <c r="D17" s="174" t="s">
        <v>62</v>
      </c>
      <c r="E17" s="174" t="s">
        <v>1001</v>
      </c>
      <c r="F17" s="174" t="s">
        <v>1002</v>
      </c>
      <c r="G17" s="174" t="s">
        <v>1003</v>
      </c>
      <c r="H17" s="174" t="s">
        <v>1004</v>
      </c>
      <c r="I17" s="174" t="s">
        <v>17</v>
      </c>
      <c r="J17" s="174" t="s">
        <v>160</v>
      </c>
      <c r="K17" s="174" t="s">
        <v>25</v>
      </c>
      <c r="L17" s="177">
        <v>43412</v>
      </c>
      <c r="M17" s="174">
        <v>9</v>
      </c>
      <c r="N17" s="179">
        <v>3.2</v>
      </c>
      <c r="O17" s="174" t="s">
        <v>20</v>
      </c>
      <c r="P17" s="174">
        <v>99</v>
      </c>
    </row>
    <row r="18" spans="1:16" s="174" customFormat="1" ht="35" hidden="1" customHeight="1">
      <c r="A18" s="174">
        <f>ROW()-3</f>
        <v>15</v>
      </c>
      <c r="B18" s="174" t="s">
        <v>14</v>
      </c>
      <c r="C18" s="174" t="s">
        <v>966</v>
      </c>
      <c r="D18" s="174" t="s">
        <v>961</v>
      </c>
      <c r="E18" s="174" t="s">
        <v>962</v>
      </c>
      <c r="F18" s="174" t="s">
        <v>1005</v>
      </c>
      <c r="G18" s="174" t="s">
        <v>1006</v>
      </c>
      <c r="H18" s="174" t="s">
        <v>1007</v>
      </c>
      <c r="I18" s="174" t="s">
        <v>29</v>
      </c>
      <c r="J18" s="174" t="s">
        <v>816</v>
      </c>
      <c r="K18" s="174" t="s">
        <v>174</v>
      </c>
      <c r="L18" s="177">
        <v>43413</v>
      </c>
      <c r="M18" s="174">
        <v>9</v>
      </c>
      <c r="N18" s="179">
        <v>1.85</v>
      </c>
      <c r="O18" s="174" t="s">
        <v>20</v>
      </c>
      <c r="P18" s="174">
        <v>365</v>
      </c>
    </row>
    <row r="19" spans="1:16" s="174" customFormat="1" ht="35" hidden="1" customHeight="1">
      <c r="A19" s="174">
        <f>ROW()-3</f>
        <v>16</v>
      </c>
      <c r="B19" s="174" t="s">
        <v>14</v>
      </c>
      <c r="C19" s="174" t="s">
        <v>966</v>
      </c>
      <c r="D19" s="174" t="s">
        <v>978</v>
      </c>
      <c r="E19" s="174" t="s">
        <v>1008</v>
      </c>
      <c r="F19" s="174" t="s">
        <v>1009</v>
      </c>
      <c r="G19" s="174" t="s">
        <v>1010</v>
      </c>
      <c r="H19" s="174" t="s">
        <v>1011</v>
      </c>
      <c r="I19" s="174" t="s">
        <v>29</v>
      </c>
      <c r="J19" s="174" t="s">
        <v>39</v>
      </c>
      <c r="K19" s="174" t="s">
        <v>25</v>
      </c>
      <c r="L19" s="177">
        <v>43439</v>
      </c>
      <c r="M19" s="174">
        <v>34</v>
      </c>
      <c r="N19" s="179">
        <v>5.76</v>
      </c>
      <c r="O19" s="174" t="s">
        <v>20</v>
      </c>
      <c r="P19" s="174">
        <v>99</v>
      </c>
    </row>
    <row r="20" spans="1:16" s="174" customFormat="1" ht="35" hidden="1" customHeight="1">
      <c r="A20" s="174">
        <f>ROW()-3</f>
        <v>17</v>
      </c>
      <c r="B20" s="174" t="s">
        <v>14</v>
      </c>
      <c r="C20" s="174" t="s">
        <v>966</v>
      </c>
      <c r="D20" s="174" t="s">
        <v>961</v>
      </c>
      <c r="E20" s="174" t="s">
        <v>1012</v>
      </c>
      <c r="F20" s="174" t="s">
        <v>1013</v>
      </c>
      <c r="G20" s="174" t="s">
        <v>1014</v>
      </c>
      <c r="H20" s="174" t="s">
        <v>1015</v>
      </c>
      <c r="I20" s="174" t="s">
        <v>17</v>
      </c>
      <c r="J20" s="174" t="s">
        <v>816</v>
      </c>
      <c r="K20" s="174" t="s">
        <v>174</v>
      </c>
      <c r="L20" s="177">
        <v>43510</v>
      </c>
      <c r="M20" s="174">
        <v>45</v>
      </c>
      <c r="N20" s="179">
        <v>3.39</v>
      </c>
      <c r="O20" s="174" t="s">
        <v>20</v>
      </c>
      <c r="P20" s="174">
        <v>99</v>
      </c>
    </row>
    <row r="21" spans="1:16" s="174" customFormat="1" ht="35" hidden="1" customHeight="1">
      <c r="A21" s="174">
        <f>ROW()-3</f>
        <v>18</v>
      </c>
      <c r="B21" s="174" t="s">
        <v>14</v>
      </c>
      <c r="C21" s="174" t="s">
        <v>966</v>
      </c>
      <c r="D21" s="174" t="s">
        <v>960</v>
      </c>
      <c r="E21" s="174" t="s">
        <v>1016</v>
      </c>
      <c r="F21" s="174" t="s">
        <v>1017</v>
      </c>
      <c r="G21" s="174" t="s">
        <v>1018</v>
      </c>
      <c r="H21" s="174" t="s">
        <v>1019</v>
      </c>
      <c r="I21" s="174" t="s">
        <v>29</v>
      </c>
      <c r="J21" s="174" t="s">
        <v>960</v>
      </c>
      <c r="K21" s="174" t="s">
        <v>174</v>
      </c>
      <c r="L21" s="177">
        <v>43549</v>
      </c>
      <c r="M21" s="174">
        <v>11</v>
      </c>
      <c r="N21" s="179">
        <v>2.48</v>
      </c>
      <c r="O21" s="174" t="s">
        <v>20</v>
      </c>
      <c r="P21" s="174">
        <v>29</v>
      </c>
    </row>
    <row r="22" spans="1:16" s="174" customFormat="1" ht="35" hidden="1" customHeight="1">
      <c r="A22" s="174">
        <f>ROW()-3</f>
        <v>19</v>
      </c>
      <c r="B22" s="174" t="s">
        <v>14</v>
      </c>
      <c r="C22" s="174" t="s">
        <v>966</v>
      </c>
      <c r="D22" s="174" t="s">
        <v>62</v>
      </c>
      <c r="E22" s="174" t="s">
        <v>1001</v>
      </c>
      <c r="F22" s="174" t="s">
        <v>1020</v>
      </c>
      <c r="G22" s="174" t="s">
        <v>1021</v>
      </c>
      <c r="H22" s="174" t="s">
        <v>1022</v>
      </c>
      <c r="I22" s="174" t="s">
        <v>17</v>
      </c>
      <c r="J22" s="174" t="s">
        <v>160</v>
      </c>
      <c r="K22" s="174" t="s">
        <v>25</v>
      </c>
      <c r="L22" s="177">
        <v>43570</v>
      </c>
      <c r="M22" s="174">
        <v>71</v>
      </c>
      <c r="N22" s="179">
        <v>26.37</v>
      </c>
      <c r="O22" s="174" t="s">
        <v>20</v>
      </c>
      <c r="P22" s="174">
        <v>188</v>
      </c>
    </row>
    <row r="23" spans="1:16" s="174" customFormat="1" ht="35" hidden="1" customHeight="1">
      <c r="A23" s="174">
        <f>ROW()-3</f>
        <v>20</v>
      </c>
      <c r="B23" s="174" t="s">
        <v>14</v>
      </c>
      <c r="C23" s="174" t="s">
        <v>966</v>
      </c>
      <c r="D23" s="174" t="s">
        <v>1023</v>
      </c>
      <c r="E23" s="174" t="s">
        <v>1024</v>
      </c>
      <c r="F23" s="174" t="s">
        <v>2524</v>
      </c>
      <c r="G23" s="174" t="s">
        <v>1025</v>
      </c>
      <c r="H23" s="174" t="s">
        <v>1026</v>
      </c>
      <c r="I23" s="174" t="s">
        <v>29</v>
      </c>
      <c r="J23" s="174" t="s">
        <v>39</v>
      </c>
      <c r="K23" s="174" t="s">
        <v>25</v>
      </c>
      <c r="L23" s="177">
        <v>43573</v>
      </c>
      <c r="M23" s="174">
        <v>12</v>
      </c>
      <c r="N23" s="179">
        <v>1.85</v>
      </c>
      <c r="O23" s="174" t="s">
        <v>20</v>
      </c>
      <c r="P23" s="174">
        <v>29</v>
      </c>
    </row>
    <row r="24" spans="1:16" s="174" customFormat="1" ht="35" hidden="1" customHeight="1">
      <c r="A24" s="174">
        <f>ROW()-3</f>
        <v>21</v>
      </c>
      <c r="B24" s="174" t="s">
        <v>14</v>
      </c>
      <c r="C24" s="174" t="s">
        <v>966</v>
      </c>
      <c r="D24" s="174" t="s">
        <v>961</v>
      </c>
      <c r="E24" s="174" t="s">
        <v>983</v>
      </c>
      <c r="F24" s="174" t="s">
        <v>1027</v>
      </c>
      <c r="G24" s="174" t="s">
        <v>1028</v>
      </c>
      <c r="H24" s="174" t="s">
        <v>1029</v>
      </c>
      <c r="I24" s="174" t="s">
        <v>29</v>
      </c>
      <c r="J24" s="174" t="s">
        <v>986</v>
      </c>
      <c r="K24" s="174" t="s">
        <v>67</v>
      </c>
      <c r="L24" s="177">
        <v>43599</v>
      </c>
      <c r="M24" s="174">
        <v>19</v>
      </c>
      <c r="N24" s="179">
        <v>3.83</v>
      </c>
      <c r="O24" s="174" t="s">
        <v>20</v>
      </c>
      <c r="P24" s="174">
        <v>79</v>
      </c>
    </row>
    <row r="25" spans="1:16" s="174" customFormat="1" ht="35" hidden="1" customHeight="1">
      <c r="A25" s="174">
        <f>ROW()-3</f>
        <v>22</v>
      </c>
      <c r="B25" s="174" t="s">
        <v>14</v>
      </c>
      <c r="C25" s="174" t="s">
        <v>966</v>
      </c>
      <c r="D25" s="174" t="s">
        <v>960</v>
      </c>
      <c r="E25" s="174" t="s">
        <v>1016</v>
      </c>
      <c r="F25" s="174" t="s">
        <v>1030</v>
      </c>
      <c r="G25" s="174" t="s">
        <v>1031</v>
      </c>
      <c r="H25" s="174" t="s">
        <v>1032</v>
      </c>
      <c r="I25" s="174" t="s">
        <v>29</v>
      </c>
      <c r="J25" s="174" t="s">
        <v>960</v>
      </c>
      <c r="K25" s="174" t="s">
        <v>174</v>
      </c>
      <c r="L25" s="177">
        <v>43647</v>
      </c>
      <c r="M25" s="174">
        <v>38</v>
      </c>
      <c r="N25" s="179">
        <v>7.73</v>
      </c>
      <c r="O25" s="174" t="s">
        <v>20</v>
      </c>
      <c r="P25" s="174">
        <v>99</v>
      </c>
    </row>
    <row r="26" spans="1:16" s="174" customFormat="1" ht="35" hidden="1" customHeight="1">
      <c r="A26" s="174">
        <f>ROW()-3</f>
        <v>23</v>
      </c>
      <c r="B26" s="174" t="s">
        <v>14</v>
      </c>
      <c r="C26" s="174" t="s">
        <v>966</v>
      </c>
      <c r="D26" s="174" t="s">
        <v>960</v>
      </c>
      <c r="E26" s="174" t="s">
        <v>968</v>
      </c>
      <c r="F26" s="174" t="s">
        <v>1033</v>
      </c>
      <c r="G26" s="174" t="s">
        <v>1034</v>
      </c>
      <c r="H26" s="174" t="s">
        <v>1035</v>
      </c>
      <c r="I26" s="174" t="s">
        <v>29</v>
      </c>
      <c r="J26" s="174" t="s">
        <v>34</v>
      </c>
      <c r="K26" s="174" t="s">
        <v>53</v>
      </c>
      <c r="L26" s="177">
        <v>43686</v>
      </c>
      <c r="M26" s="174">
        <v>18</v>
      </c>
      <c r="N26" s="179">
        <v>2.09</v>
      </c>
      <c r="O26" s="174" t="s">
        <v>20</v>
      </c>
      <c r="P26" s="174">
        <v>49</v>
      </c>
    </row>
    <row r="27" spans="1:16" s="174" customFormat="1" ht="35" hidden="1" customHeight="1">
      <c r="A27" s="174">
        <f>ROW()-3</f>
        <v>24</v>
      </c>
      <c r="B27" s="174" t="s">
        <v>14</v>
      </c>
      <c r="C27" s="174" t="s">
        <v>966</v>
      </c>
      <c r="D27" s="174" t="s">
        <v>978</v>
      </c>
      <c r="E27" s="174" t="s">
        <v>979</v>
      </c>
      <c r="F27" s="174" t="s">
        <v>1036</v>
      </c>
      <c r="G27" s="174" t="s">
        <v>1037</v>
      </c>
      <c r="H27" s="174" t="s">
        <v>1038</v>
      </c>
      <c r="I27" s="174" t="s">
        <v>29</v>
      </c>
      <c r="J27" s="174" t="s">
        <v>160</v>
      </c>
      <c r="K27" s="174" t="s">
        <v>19</v>
      </c>
      <c r="L27" s="177">
        <v>43706</v>
      </c>
      <c r="M27" s="174">
        <v>43</v>
      </c>
      <c r="N27" s="179">
        <v>8.81</v>
      </c>
      <c r="O27" s="174" t="s">
        <v>20</v>
      </c>
      <c r="P27" s="174">
        <v>698</v>
      </c>
    </row>
    <row r="28" spans="1:16" s="174" customFormat="1" ht="35" hidden="1" customHeight="1">
      <c r="A28" s="174">
        <f>ROW()-3</f>
        <v>25</v>
      </c>
      <c r="B28" s="174" t="s">
        <v>14</v>
      </c>
      <c r="C28" s="174" t="s">
        <v>966</v>
      </c>
      <c r="D28" s="174" t="s">
        <v>978</v>
      </c>
      <c r="E28" s="174" t="s">
        <v>1008</v>
      </c>
      <c r="F28" s="174" t="s">
        <v>1039</v>
      </c>
      <c r="G28" s="174" t="s">
        <v>1040</v>
      </c>
      <c r="H28" s="174" t="s">
        <v>1041</v>
      </c>
      <c r="I28" s="174" t="s">
        <v>29</v>
      </c>
      <c r="J28" s="174" t="s">
        <v>1042</v>
      </c>
      <c r="K28" s="174" t="s">
        <v>67</v>
      </c>
      <c r="L28" s="177">
        <v>43712</v>
      </c>
      <c r="M28" s="174">
        <v>20</v>
      </c>
      <c r="N28" s="179">
        <v>1.95</v>
      </c>
      <c r="O28" s="174" t="s">
        <v>20</v>
      </c>
      <c r="P28" s="174">
        <v>99</v>
      </c>
    </row>
    <row r="29" spans="1:16" s="174" customFormat="1" ht="35" hidden="1" customHeight="1">
      <c r="A29" s="174">
        <f>ROW()-3</f>
        <v>26</v>
      </c>
      <c r="B29" s="174" t="s">
        <v>14</v>
      </c>
      <c r="C29" s="174" t="s">
        <v>966</v>
      </c>
      <c r="D29" s="174" t="s">
        <v>1043</v>
      </c>
      <c r="E29" s="174" t="s">
        <v>1044</v>
      </c>
      <c r="F29" s="174" t="s">
        <v>1045</v>
      </c>
      <c r="G29" s="174" t="s">
        <v>1046</v>
      </c>
      <c r="H29" s="174" t="s">
        <v>1047</v>
      </c>
      <c r="I29" s="174" t="s">
        <v>29</v>
      </c>
      <c r="J29" s="174" t="s">
        <v>39</v>
      </c>
      <c r="K29" s="174" t="s">
        <v>25</v>
      </c>
      <c r="L29" s="177">
        <v>43717</v>
      </c>
      <c r="M29" s="174">
        <v>36</v>
      </c>
      <c r="N29" s="179">
        <v>5.95</v>
      </c>
      <c r="O29" s="174" t="s">
        <v>20</v>
      </c>
      <c r="P29" s="174">
        <v>99</v>
      </c>
    </row>
    <row r="30" spans="1:16" s="174" customFormat="1" ht="35" hidden="1" customHeight="1">
      <c r="A30" s="174">
        <f>ROW()-3</f>
        <v>27</v>
      </c>
      <c r="B30" s="174" t="s">
        <v>14</v>
      </c>
      <c r="C30" s="174" t="s">
        <v>966</v>
      </c>
      <c r="D30" s="174" t="s">
        <v>960</v>
      </c>
      <c r="E30" s="174" t="s">
        <v>968</v>
      </c>
      <c r="F30" s="174" t="s">
        <v>1048</v>
      </c>
      <c r="G30" s="174" t="s">
        <v>1049</v>
      </c>
      <c r="H30" s="174" t="s">
        <v>1050</v>
      </c>
      <c r="I30" s="174" t="s">
        <v>29</v>
      </c>
      <c r="J30" s="174" t="s">
        <v>960</v>
      </c>
      <c r="K30" s="174" t="s">
        <v>174</v>
      </c>
      <c r="L30" s="177">
        <v>43770</v>
      </c>
      <c r="M30" s="174">
        <v>21</v>
      </c>
      <c r="N30" s="179">
        <v>4.43</v>
      </c>
      <c r="O30" s="174" t="s">
        <v>20</v>
      </c>
      <c r="P30" s="174">
        <v>99</v>
      </c>
    </row>
    <row r="31" spans="1:16" s="174" customFormat="1" ht="35" hidden="1" customHeight="1">
      <c r="A31" s="174">
        <f>ROW()-3</f>
        <v>28</v>
      </c>
      <c r="B31" s="174" t="s">
        <v>14</v>
      </c>
      <c r="C31" s="174" t="s">
        <v>966</v>
      </c>
      <c r="D31" s="174" t="s">
        <v>960</v>
      </c>
      <c r="E31" s="174" t="s">
        <v>968</v>
      </c>
      <c r="F31" s="174" t="s">
        <v>1051</v>
      </c>
      <c r="G31" s="174" t="s">
        <v>1052</v>
      </c>
      <c r="H31" s="174" t="s">
        <v>1053</v>
      </c>
      <c r="I31" s="174" t="s">
        <v>29</v>
      </c>
      <c r="J31" s="174" t="s">
        <v>960</v>
      </c>
      <c r="K31" s="174" t="s">
        <v>174</v>
      </c>
      <c r="L31" s="177">
        <v>43784</v>
      </c>
      <c r="M31" s="174">
        <v>53</v>
      </c>
      <c r="N31" s="179">
        <v>9.01</v>
      </c>
      <c r="O31" s="174" t="s">
        <v>20</v>
      </c>
      <c r="P31" s="174">
        <v>199</v>
      </c>
    </row>
    <row r="32" spans="1:16" s="174" customFormat="1" ht="35" hidden="1" customHeight="1">
      <c r="A32" s="174">
        <f>ROW()-3</f>
        <v>29</v>
      </c>
      <c r="B32" s="174" t="s">
        <v>14</v>
      </c>
      <c r="C32" s="174" t="s">
        <v>966</v>
      </c>
      <c r="D32" s="174" t="s">
        <v>960</v>
      </c>
      <c r="E32" s="174" t="s">
        <v>991</v>
      </c>
      <c r="F32" s="174" t="s">
        <v>1054</v>
      </c>
      <c r="G32" s="174" t="s">
        <v>1055</v>
      </c>
      <c r="H32" s="174" t="s">
        <v>1056</v>
      </c>
      <c r="I32" s="174" t="s">
        <v>29</v>
      </c>
      <c r="J32" s="174" t="s">
        <v>960</v>
      </c>
      <c r="K32" s="174" t="s">
        <v>174</v>
      </c>
      <c r="L32" s="177">
        <v>43805</v>
      </c>
      <c r="M32" s="174">
        <v>21</v>
      </c>
      <c r="N32" s="179">
        <v>5.1100000000000003</v>
      </c>
      <c r="O32" s="174" t="s">
        <v>20</v>
      </c>
      <c r="P32" s="174">
        <v>39</v>
      </c>
    </row>
    <row r="33" spans="1:16" s="174" customFormat="1" ht="35" hidden="1" customHeight="1">
      <c r="A33" s="174">
        <f>ROW()-3</f>
        <v>30</v>
      </c>
      <c r="B33" s="174" t="s">
        <v>14</v>
      </c>
      <c r="C33" s="174" t="s">
        <v>966</v>
      </c>
      <c r="D33" s="174" t="s">
        <v>960</v>
      </c>
      <c r="E33" s="174" t="s">
        <v>991</v>
      </c>
      <c r="F33" s="174" t="s">
        <v>1057</v>
      </c>
      <c r="G33" s="174" t="s">
        <v>1058</v>
      </c>
      <c r="H33" s="174" t="s">
        <v>1059</v>
      </c>
      <c r="I33" s="174" t="s">
        <v>29</v>
      </c>
      <c r="J33" s="174" t="s">
        <v>960</v>
      </c>
      <c r="K33" s="174" t="s">
        <v>174</v>
      </c>
      <c r="L33" s="177">
        <v>43849</v>
      </c>
      <c r="M33" s="174">
        <v>18</v>
      </c>
      <c r="N33" s="179">
        <v>4.0999999999999996</v>
      </c>
      <c r="O33" s="174" t="s">
        <v>20</v>
      </c>
      <c r="P33" s="174">
        <v>99</v>
      </c>
    </row>
    <row r="34" spans="1:16" s="174" customFormat="1" ht="35" hidden="1" customHeight="1">
      <c r="A34" s="174">
        <f>ROW()-3</f>
        <v>31</v>
      </c>
      <c r="B34" s="174" t="s">
        <v>14</v>
      </c>
      <c r="C34" s="174" t="s">
        <v>966</v>
      </c>
      <c r="D34" s="174" t="s">
        <v>960</v>
      </c>
      <c r="E34" s="174" t="s">
        <v>991</v>
      </c>
      <c r="F34" s="174" t="s">
        <v>1060</v>
      </c>
      <c r="G34" s="174" t="s">
        <v>1061</v>
      </c>
      <c r="H34" s="174" t="s">
        <v>1062</v>
      </c>
      <c r="I34" s="174" t="s">
        <v>29</v>
      </c>
      <c r="J34" s="174" t="s">
        <v>960</v>
      </c>
      <c r="K34" s="174" t="s">
        <v>174</v>
      </c>
      <c r="L34" s="177">
        <v>43881</v>
      </c>
      <c r="M34" s="174">
        <v>14</v>
      </c>
      <c r="N34" s="179">
        <v>1.91</v>
      </c>
      <c r="O34" s="174" t="s">
        <v>20</v>
      </c>
      <c r="P34" s="174">
        <v>99</v>
      </c>
    </row>
    <row r="35" spans="1:16" s="174" customFormat="1" ht="35" hidden="1" customHeight="1">
      <c r="A35" s="174">
        <f>ROW()-3</f>
        <v>32</v>
      </c>
      <c r="B35" s="174" t="s">
        <v>14</v>
      </c>
      <c r="C35" s="174" t="s">
        <v>966</v>
      </c>
      <c r="D35" s="174" t="s">
        <v>961</v>
      </c>
      <c r="E35" s="174" t="s">
        <v>962</v>
      </c>
      <c r="F35" s="174" t="s">
        <v>1063</v>
      </c>
      <c r="G35" s="174" t="s">
        <v>1064</v>
      </c>
      <c r="H35" s="174" t="s">
        <v>842</v>
      </c>
      <c r="I35" s="174" t="s">
        <v>17</v>
      </c>
      <c r="J35" s="174" t="s">
        <v>816</v>
      </c>
      <c r="K35" s="174" t="s">
        <v>174</v>
      </c>
      <c r="L35" s="177">
        <v>43896</v>
      </c>
      <c r="M35" s="174">
        <v>18</v>
      </c>
      <c r="N35" s="179">
        <v>1.86</v>
      </c>
      <c r="O35" s="174" t="s">
        <v>20</v>
      </c>
      <c r="P35" s="174">
        <v>128</v>
      </c>
    </row>
    <row r="36" spans="1:16" s="174" customFormat="1" ht="35" hidden="1" customHeight="1">
      <c r="A36" s="174">
        <f>ROW()-3</f>
        <v>33</v>
      </c>
      <c r="B36" s="174" t="s">
        <v>14</v>
      </c>
      <c r="C36" s="174" t="s">
        <v>966</v>
      </c>
      <c r="D36" s="174" t="s">
        <v>62</v>
      </c>
      <c r="E36" s="174" t="s">
        <v>1065</v>
      </c>
      <c r="F36" s="174" t="s">
        <v>1066</v>
      </c>
      <c r="G36" s="174" t="s">
        <v>1067</v>
      </c>
      <c r="H36" s="174" t="s">
        <v>1068</v>
      </c>
      <c r="I36" s="174" t="s">
        <v>29</v>
      </c>
      <c r="J36" s="174" t="s">
        <v>160</v>
      </c>
      <c r="K36" s="174" t="s">
        <v>25</v>
      </c>
      <c r="L36" s="177">
        <v>43912</v>
      </c>
      <c r="M36" s="174">
        <v>72</v>
      </c>
      <c r="N36" s="179">
        <v>15.01</v>
      </c>
      <c r="O36" s="174" t="s">
        <v>20</v>
      </c>
      <c r="P36" s="174">
        <v>199</v>
      </c>
    </row>
    <row r="37" spans="1:16" s="174" customFormat="1" ht="35" hidden="1" customHeight="1">
      <c r="A37" s="174">
        <f>ROW()-3</f>
        <v>34</v>
      </c>
      <c r="B37" s="174" t="s">
        <v>14</v>
      </c>
      <c r="C37" s="174" t="s">
        <v>966</v>
      </c>
      <c r="D37" s="174" t="s">
        <v>62</v>
      </c>
      <c r="E37" s="174" t="s">
        <v>1001</v>
      </c>
      <c r="F37" s="174" t="s">
        <v>1069</v>
      </c>
      <c r="G37" s="174" t="s">
        <v>1070</v>
      </c>
      <c r="H37" s="174" t="s">
        <v>289</v>
      </c>
      <c r="I37" s="174" t="s">
        <v>29</v>
      </c>
      <c r="J37" s="174" t="s">
        <v>160</v>
      </c>
      <c r="K37" s="174" t="s">
        <v>25</v>
      </c>
      <c r="L37" s="177">
        <v>43916</v>
      </c>
      <c r="M37" s="174">
        <v>33</v>
      </c>
      <c r="N37" s="179">
        <v>4.66</v>
      </c>
      <c r="O37" s="174" t="s">
        <v>20</v>
      </c>
      <c r="P37" s="174">
        <v>199</v>
      </c>
    </row>
    <row r="38" spans="1:16" s="174" customFormat="1" ht="35" hidden="1" customHeight="1">
      <c r="A38" s="174">
        <f>ROW()-3</f>
        <v>35</v>
      </c>
      <c r="B38" s="174" t="s">
        <v>14</v>
      </c>
      <c r="C38" s="174" t="s">
        <v>966</v>
      </c>
      <c r="D38" s="174" t="s">
        <v>951</v>
      </c>
      <c r="E38" s="174" t="s">
        <v>987</v>
      </c>
      <c r="F38" s="174" t="s">
        <v>1071</v>
      </c>
      <c r="G38" s="174" t="s">
        <v>1072</v>
      </c>
      <c r="H38" s="174" t="s">
        <v>1073</v>
      </c>
      <c r="I38" s="174" t="s">
        <v>17</v>
      </c>
      <c r="J38" s="174" t="s">
        <v>24</v>
      </c>
      <c r="K38" s="174" t="s">
        <v>25</v>
      </c>
      <c r="L38" s="177">
        <v>43924</v>
      </c>
      <c r="M38" s="174">
        <v>13</v>
      </c>
      <c r="N38" s="179">
        <v>2.68</v>
      </c>
      <c r="O38" s="174" t="s">
        <v>20</v>
      </c>
      <c r="P38" s="174">
        <v>99</v>
      </c>
    </row>
    <row r="39" spans="1:16" s="174" customFormat="1" ht="35" hidden="1" customHeight="1">
      <c r="A39" s="174">
        <f>ROW()-3</f>
        <v>36</v>
      </c>
      <c r="B39" s="174" t="s">
        <v>14</v>
      </c>
      <c r="C39" s="174" t="s">
        <v>966</v>
      </c>
      <c r="D39" s="174" t="s">
        <v>951</v>
      </c>
      <c r="E39" s="174" t="s">
        <v>956</v>
      </c>
      <c r="F39" s="174" t="s">
        <v>1074</v>
      </c>
      <c r="G39" s="174" t="s">
        <v>1075</v>
      </c>
      <c r="H39" s="174" t="s">
        <v>1076</v>
      </c>
      <c r="I39" s="174" t="s">
        <v>29</v>
      </c>
      <c r="J39" s="174" t="s">
        <v>1077</v>
      </c>
      <c r="K39" s="174" t="s">
        <v>174</v>
      </c>
      <c r="L39" s="177">
        <v>43924</v>
      </c>
      <c r="M39" s="174">
        <v>55</v>
      </c>
      <c r="N39" s="179">
        <v>10.3</v>
      </c>
      <c r="O39" s="174" t="s">
        <v>20</v>
      </c>
      <c r="P39" s="174">
        <v>99</v>
      </c>
    </row>
    <row r="40" spans="1:16" s="174" customFormat="1" ht="35" hidden="1" customHeight="1">
      <c r="A40" s="174">
        <f>ROW()-3</f>
        <v>37</v>
      </c>
      <c r="B40" s="174" t="s">
        <v>14</v>
      </c>
      <c r="C40" s="174" t="s">
        <v>966</v>
      </c>
      <c r="D40" s="174" t="s">
        <v>960</v>
      </c>
      <c r="E40" s="174" t="s">
        <v>968</v>
      </c>
      <c r="F40" s="174" t="s">
        <v>1078</v>
      </c>
      <c r="G40" s="174" t="s">
        <v>1079</v>
      </c>
      <c r="H40" s="174" t="s">
        <v>1080</v>
      </c>
      <c r="I40" s="174" t="s">
        <v>29</v>
      </c>
      <c r="J40" s="174" t="s">
        <v>960</v>
      </c>
      <c r="K40" s="174" t="s">
        <v>174</v>
      </c>
      <c r="L40" s="177">
        <v>43930</v>
      </c>
      <c r="M40" s="174">
        <v>24</v>
      </c>
      <c r="N40" s="179">
        <v>4.4000000000000004</v>
      </c>
      <c r="O40" s="174" t="s">
        <v>20</v>
      </c>
      <c r="P40" s="174">
        <v>99</v>
      </c>
    </row>
    <row r="41" spans="1:16" s="174" customFormat="1" ht="35" hidden="1" customHeight="1">
      <c r="A41" s="174">
        <f>ROW()-3</f>
        <v>38</v>
      </c>
      <c r="B41" s="174" t="s">
        <v>14</v>
      </c>
      <c r="C41" s="174" t="s">
        <v>966</v>
      </c>
      <c r="D41" s="174" t="s">
        <v>951</v>
      </c>
      <c r="E41" s="174" t="s">
        <v>956</v>
      </c>
      <c r="F41" s="174" t="s">
        <v>1081</v>
      </c>
      <c r="G41" s="174" t="s">
        <v>1082</v>
      </c>
      <c r="H41" s="174" t="s">
        <v>1083</v>
      </c>
      <c r="I41" s="174" t="s">
        <v>29</v>
      </c>
      <c r="J41" s="174" t="s">
        <v>173</v>
      </c>
      <c r="K41" s="174" t="s">
        <v>174</v>
      </c>
      <c r="L41" s="177">
        <v>43941</v>
      </c>
      <c r="M41" s="174">
        <v>57</v>
      </c>
      <c r="N41" s="179">
        <v>9.33</v>
      </c>
      <c r="O41" s="174" t="s">
        <v>20</v>
      </c>
      <c r="P41" s="174">
        <v>199</v>
      </c>
    </row>
    <row r="42" spans="1:16" s="174" customFormat="1" ht="35" hidden="1" customHeight="1">
      <c r="A42" s="174">
        <f>ROW()-3</f>
        <v>39</v>
      </c>
      <c r="B42" s="174" t="s">
        <v>14</v>
      </c>
      <c r="C42" s="174" t="s">
        <v>966</v>
      </c>
      <c r="D42" s="174" t="s">
        <v>1084</v>
      </c>
      <c r="E42" s="174" t="s">
        <v>1085</v>
      </c>
      <c r="F42" s="174" t="s">
        <v>1086</v>
      </c>
      <c r="G42" s="174" t="s">
        <v>1087</v>
      </c>
      <c r="H42" s="174" t="s">
        <v>1088</v>
      </c>
      <c r="I42" s="174" t="s">
        <v>29</v>
      </c>
      <c r="J42" s="174" t="s">
        <v>24</v>
      </c>
      <c r="K42" s="174" t="s">
        <v>25</v>
      </c>
      <c r="L42" s="177">
        <v>43943</v>
      </c>
      <c r="M42" s="174">
        <v>50</v>
      </c>
      <c r="N42" s="179">
        <v>7.28</v>
      </c>
      <c r="O42" s="174" t="s">
        <v>20</v>
      </c>
      <c r="P42" s="174">
        <v>99</v>
      </c>
    </row>
    <row r="43" spans="1:16" s="174" customFormat="1" ht="35" hidden="1" customHeight="1">
      <c r="A43" s="174">
        <f>ROW()-3</f>
        <v>40</v>
      </c>
      <c r="B43" s="174" t="s">
        <v>14</v>
      </c>
      <c r="C43" s="174" t="s">
        <v>966</v>
      </c>
      <c r="D43" s="174" t="s">
        <v>960</v>
      </c>
      <c r="E43" s="174" t="s">
        <v>1089</v>
      </c>
      <c r="F43" s="174" t="s">
        <v>1090</v>
      </c>
      <c r="G43" s="174" t="s">
        <v>1091</v>
      </c>
      <c r="H43" s="174" t="s">
        <v>1092</v>
      </c>
      <c r="I43" s="174" t="s">
        <v>29</v>
      </c>
      <c r="J43" s="174" t="s">
        <v>960</v>
      </c>
      <c r="K43" s="174" t="s">
        <v>174</v>
      </c>
      <c r="L43" s="177">
        <v>43969</v>
      </c>
      <c r="M43" s="174">
        <v>50</v>
      </c>
      <c r="N43" s="179">
        <v>5.83</v>
      </c>
      <c r="O43" s="174" t="s">
        <v>20</v>
      </c>
      <c r="P43" s="174">
        <v>69</v>
      </c>
    </row>
    <row r="44" spans="1:16" s="174" customFormat="1" ht="35" hidden="1" customHeight="1">
      <c r="A44" s="174">
        <f>ROW()-3</f>
        <v>41</v>
      </c>
      <c r="B44" s="174" t="s">
        <v>14</v>
      </c>
      <c r="C44" s="174" t="s">
        <v>966</v>
      </c>
      <c r="D44" s="174" t="s">
        <v>1093</v>
      </c>
      <c r="E44" s="174" t="s">
        <v>1094</v>
      </c>
      <c r="F44" s="174" t="s">
        <v>1095</v>
      </c>
      <c r="G44" s="174" t="s">
        <v>1096</v>
      </c>
      <c r="H44" s="174" t="s">
        <v>1097</v>
      </c>
      <c r="I44" s="174" t="s">
        <v>29</v>
      </c>
      <c r="J44" s="174" t="s">
        <v>1077</v>
      </c>
      <c r="K44" s="174" t="s">
        <v>174</v>
      </c>
      <c r="L44" s="177">
        <v>43971</v>
      </c>
      <c r="M44" s="174">
        <v>100</v>
      </c>
      <c r="N44" s="179">
        <v>7.77</v>
      </c>
      <c r="O44" s="174" t="s">
        <v>20</v>
      </c>
      <c r="P44" s="174">
        <v>99</v>
      </c>
    </row>
    <row r="45" spans="1:16" s="174" customFormat="1" ht="35" hidden="1" customHeight="1">
      <c r="A45" s="174">
        <f>ROW()-3</f>
        <v>42</v>
      </c>
      <c r="B45" s="174" t="s">
        <v>14</v>
      </c>
      <c r="C45" s="174" t="s">
        <v>966</v>
      </c>
      <c r="D45" s="174" t="s">
        <v>1084</v>
      </c>
      <c r="E45" s="174" t="s">
        <v>1085</v>
      </c>
      <c r="F45" s="174" t="s">
        <v>1098</v>
      </c>
      <c r="G45" s="174" t="s">
        <v>1099</v>
      </c>
      <c r="H45" s="174" t="s">
        <v>1100</v>
      </c>
      <c r="I45" s="174" t="s">
        <v>29</v>
      </c>
      <c r="J45" s="174" t="s">
        <v>34</v>
      </c>
      <c r="K45" s="174" t="s">
        <v>98</v>
      </c>
      <c r="L45" s="177">
        <v>43978</v>
      </c>
      <c r="M45" s="174">
        <v>92</v>
      </c>
      <c r="N45" s="179">
        <v>5</v>
      </c>
      <c r="O45" s="174" t="s">
        <v>20</v>
      </c>
      <c r="P45" s="174">
        <v>199</v>
      </c>
    </row>
    <row r="46" spans="1:16" s="174" customFormat="1" ht="35" hidden="1" customHeight="1">
      <c r="A46" s="174">
        <f>ROW()-3</f>
        <v>43</v>
      </c>
      <c r="B46" s="174" t="s">
        <v>14</v>
      </c>
      <c r="C46" s="174" t="s">
        <v>966</v>
      </c>
      <c r="D46" s="174" t="s">
        <v>1093</v>
      </c>
      <c r="E46" s="174" t="s">
        <v>1101</v>
      </c>
      <c r="F46" s="174" t="s">
        <v>1102</v>
      </c>
      <c r="G46" s="174" t="s">
        <v>1103</v>
      </c>
      <c r="H46" s="174" t="s">
        <v>1104</v>
      </c>
      <c r="I46" s="174" t="s">
        <v>29</v>
      </c>
      <c r="J46" s="174" t="s">
        <v>24</v>
      </c>
      <c r="K46" s="174" t="s">
        <v>93</v>
      </c>
      <c r="L46" s="177">
        <v>43985</v>
      </c>
      <c r="M46" s="174">
        <v>31</v>
      </c>
      <c r="N46" s="179">
        <v>5.45</v>
      </c>
      <c r="O46" s="174" t="s">
        <v>20</v>
      </c>
      <c r="P46" s="174">
        <v>69</v>
      </c>
    </row>
    <row r="47" spans="1:16" s="174" customFormat="1" ht="35" hidden="1" customHeight="1">
      <c r="A47" s="174">
        <f>ROW()-3</f>
        <v>44</v>
      </c>
      <c r="B47" s="174" t="s">
        <v>14</v>
      </c>
      <c r="C47" s="174" t="s">
        <v>966</v>
      </c>
      <c r="D47" s="174" t="s">
        <v>1093</v>
      </c>
      <c r="E47" s="174" t="s">
        <v>1105</v>
      </c>
      <c r="F47" s="174" t="s">
        <v>1106</v>
      </c>
      <c r="G47" s="174" t="s">
        <v>1107</v>
      </c>
      <c r="H47" s="174" t="s">
        <v>1108</v>
      </c>
      <c r="I47" s="174" t="s">
        <v>29</v>
      </c>
      <c r="J47" s="174" t="s">
        <v>57</v>
      </c>
      <c r="K47" s="174" t="s">
        <v>58</v>
      </c>
      <c r="L47" s="177">
        <v>43991</v>
      </c>
      <c r="M47" s="174">
        <v>37</v>
      </c>
      <c r="N47" s="179">
        <v>6.16</v>
      </c>
      <c r="O47" s="174" t="s">
        <v>20</v>
      </c>
      <c r="P47" s="174">
        <v>99</v>
      </c>
    </row>
    <row r="48" spans="1:16" s="174" customFormat="1" ht="35" hidden="1" customHeight="1">
      <c r="A48" s="174">
        <f>ROW()-3</f>
        <v>45</v>
      </c>
      <c r="B48" s="174" t="s">
        <v>14</v>
      </c>
      <c r="C48" s="174" t="s">
        <v>966</v>
      </c>
      <c r="D48" s="174" t="s">
        <v>978</v>
      </c>
      <c r="E48" s="174" t="s">
        <v>1109</v>
      </c>
      <c r="F48" s="174" t="s">
        <v>1110</v>
      </c>
      <c r="G48" s="174" t="s">
        <v>1111</v>
      </c>
      <c r="H48" s="174" t="s">
        <v>1112</v>
      </c>
      <c r="I48" s="174" t="s">
        <v>29</v>
      </c>
      <c r="J48" s="174" t="s">
        <v>160</v>
      </c>
      <c r="K48" s="174" t="s">
        <v>25</v>
      </c>
      <c r="L48" s="177">
        <v>44019</v>
      </c>
      <c r="M48" s="174">
        <v>36</v>
      </c>
      <c r="N48" s="179">
        <v>6.1</v>
      </c>
      <c r="O48" s="174" t="s">
        <v>20</v>
      </c>
      <c r="P48" s="174">
        <v>99</v>
      </c>
    </row>
    <row r="49" spans="1:16" s="174" customFormat="1" ht="35" hidden="1" customHeight="1">
      <c r="A49" s="174">
        <f>ROW()-3</f>
        <v>46</v>
      </c>
      <c r="B49" s="174" t="s">
        <v>14</v>
      </c>
      <c r="C49" s="174" t="s">
        <v>966</v>
      </c>
      <c r="D49" s="174" t="s">
        <v>978</v>
      </c>
      <c r="E49" s="174" t="s">
        <v>1113</v>
      </c>
      <c r="F49" s="174" t="s">
        <v>1114</v>
      </c>
      <c r="G49" s="174" t="s">
        <v>1115</v>
      </c>
      <c r="H49" s="174" t="s">
        <v>1116</v>
      </c>
      <c r="I49" s="174" t="s">
        <v>29</v>
      </c>
      <c r="J49" s="174" t="s">
        <v>24</v>
      </c>
      <c r="K49" s="174" t="s">
        <v>25</v>
      </c>
      <c r="L49" s="177">
        <v>44056</v>
      </c>
      <c r="M49" s="174">
        <v>15</v>
      </c>
      <c r="N49" s="179">
        <v>1</v>
      </c>
      <c r="O49" s="174" t="s">
        <v>30</v>
      </c>
      <c r="P49" s="174">
        <v>99</v>
      </c>
    </row>
    <row r="50" spans="1:16" s="174" customFormat="1" ht="35" hidden="1" customHeight="1">
      <c r="A50" s="174">
        <f>ROW()-3</f>
        <v>47</v>
      </c>
      <c r="B50" s="174" t="s">
        <v>14</v>
      </c>
      <c r="C50" s="174" t="s">
        <v>966</v>
      </c>
      <c r="D50" s="174" t="s">
        <v>978</v>
      </c>
      <c r="E50" s="174" t="s">
        <v>1008</v>
      </c>
      <c r="F50" s="174" t="s">
        <v>1117</v>
      </c>
      <c r="G50" s="174" t="s">
        <v>1118</v>
      </c>
      <c r="H50" s="174" t="s">
        <v>1119</v>
      </c>
      <c r="I50" s="174" t="s">
        <v>17</v>
      </c>
      <c r="J50" s="174" t="s">
        <v>24</v>
      </c>
      <c r="K50" s="174" t="s">
        <v>25</v>
      </c>
      <c r="L50" s="177">
        <v>44061</v>
      </c>
      <c r="M50" s="174">
        <v>43</v>
      </c>
      <c r="N50" s="179">
        <v>7.88</v>
      </c>
      <c r="O50" s="174" t="s">
        <v>20</v>
      </c>
      <c r="P50" s="174">
        <v>199</v>
      </c>
    </row>
    <row r="51" spans="1:16" s="174" customFormat="1" ht="35" hidden="1" customHeight="1">
      <c r="A51" s="174">
        <f>ROW()-3</f>
        <v>48</v>
      </c>
      <c r="B51" s="174" t="s">
        <v>14</v>
      </c>
      <c r="C51" s="174" t="s">
        <v>966</v>
      </c>
      <c r="D51" s="174" t="s">
        <v>978</v>
      </c>
      <c r="E51" s="174" t="s">
        <v>1120</v>
      </c>
      <c r="F51" s="174" t="s">
        <v>1121</v>
      </c>
      <c r="G51" s="174" t="s">
        <v>1122</v>
      </c>
      <c r="H51" s="174" t="s">
        <v>1123</v>
      </c>
      <c r="I51" s="174" t="s">
        <v>29</v>
      </c>
      <c r="J51" s="174" t="s">
        <v>1042</v>
      </c>
      <c r="K51" s="174" t="s">
        <v>67</v>
      </c>
      <c r="L51" s="177">
        <v>44067</v>
      </c>
      <c r="M51" s="174">
        <v>62</v>
      </c>
      <c r="N51" s="179">
        <v>14.3</v>
      </c>
      <c r="O51" s="174" t="s">
        <v>20</v>
      </c>
      <c r="P51" s="174">
        <v>198</v>
      </c>
    </row>
    <row r="52" spans="1:16" s="174" customFormat="1" ht="35" hidden="1" customHeight="1">
      <c r="A52" s="174">
        <f>ROW()-3</f>
        <v>49</v>
      </c>
      <c r="B52" s="174" t="s">
        <v>14</v>
      </c>
      <c r="C52" s="174" t="s">
        <v>966</v>
      </c>
      <c r="D52" s="174" t="s">
        <v>978</v>
      </c>
      <c r="E52" s="174" t="s">
        <v>1008</v>
      </c>
      <c r="F52" s="174" t="s">
        <v>1124</v>
      </c>
      <c r="G52" s="174" t="s">
        <v>1125</v>
      </c>
      <c r="H52" s="174" t="s">
        <v>1126</v>
      </c>
      <c r="I52" s="174" t="s">
        <v>29</v>
      </c>
      <c r="J52" s="174" t="s">
        <v>18</v>
      </c>
      <c r="K52" s="174" t="s">
        <v>19</v>
      </c>
      <c r="L52" s="177">
        <v>44084</v>
      </c>
      <c r="M52" s="174">
        <v>33</v>
      </c>
      <c r="N52" s="179">
        <v>6.8</v>
      </c>
      <c r="O52" s="174" t="s">
        <v>20</v>
      </c>
      <c r="P52" s="174">
        <v>199</v>
      </c>
    </row>
    <row r="53" spans="1:16" s="174" customFormat="1" ht="35" hidden="1" customHeight="1">
      <c r="A53" s="174">
        <f>ROW()-3</f>
        <v>50</v>
      </c>
      <c r="B53" s="174" t="s">
        <v>14</v>
      </c>
      <c r="C53" s="174" t="s">
        <v>966</v>
      </c>
      <c r="D53" s="174" t="s">
        <v>961</v>
      </c>
      <c r="E53" s="174" t="s">
        <v>1127</v>
      </c>
      <c r="F53" s="174" t="s">
        <v>1128</v>
      </c>
      <c r="G53" s="174" t="s">
        <v>1129</v>
      </c>
      <c r="H53" s="174" t="s">
        <v>1130</v>
      </c>
      <c r="I53" s="174" t="s">
        <v>29</v>
      </c>
      <c r="J53" s="174" t="s">
        <v>932</v>
      </c>
      <c r="K53" s="174" t="s">
        <v>174</v>
      </c>
      <c r="L53" s="177">
        <v>44084</v>
      </c>
      <c r="M53" s="174">
        <v>36</v>
      </c>
      <c r="N53" s="179">
        <v>7.1</v>
      </c>
      <c r="O53" s="174" t="s">
        <v>20</v>
      </c>
      <c r="P53" s="174">
        <v>69</v>
      </c>
    </row>
    <row r="54" spans="1:16" s="174" customFormat="1" ht="35" hidden="1" customHeight="1">
      <c r="A54" s="174">
        <f>ROW()-3</f>
        <v>51</v>
      </c>
      <c r="B54" s="174" t="s">
        <v>14</v>
      </c>
      <c r="C54" s="174" t="s">
        <v>966</v>
      </c>
      <c r="D54" s="174" t="s">
        <v>961</v>
      </c>
      <c r="E54" s="174" t="s">
        <v>1127</v>
      </c>
      <c r="F54" s="174" t="s">
        <v>1131</v>
      </c>
      <c r="G54" s="174" t="s">
        <v>1132</v>
      </c>
      <c r="H54" s="174" t="s">
        <v>1133</v>
      </c>
      <c r="I54" s="174" t="s">
        <v>29</v>
      </c>
      <c r="J54" s="174" t="s">
        <v>932</v>
      </c>
      <c r="K54" s="174" t="s">
        <v>174</v>
      </c>
      <c r="L54" s="177">
        <v>44095</v>
      </c>
      <c r="M54" s="174">
        <v>9</v>
      </c>
      <c r="N54" s="179">
        <v>1.6</v>
      </c>
      <c r="O54" s="174" t="s">
        <v>20</v>
      </c>
      <c r="P54" s="174">
        <v>499</v>
      </c>
    </row>
    <row r="55" spans="1:16" s="174" customFormat="1" ht="35" hidden="1" customHeight="1">
      <c r="A55" s="174">
        <f>ROW()-3</f>
        <v>52</v>
      </c>
      <c r="B55" s="174" t="s">
        <v>14</v>
      </c>
      <c r="C55" s="174" t="s">
        <v>966</v>
      </c>
      <c r="D55" s="174" t="s">
        <v>961</v>
      </c>
      <c r="E55" s="174" t="s">
        <v>1127</v>
      </c>
      <c r="F55" s="174" t="s">
        <v>1134</v>
      </c>
      <c r="G55" s="174" t="s">
        <v>1132</v>
      </c>
      <c r="H55" s="174" t="s">
        <v>1133</v>
      </c>
      <c r="I55" s="174" t="s">
        <v>29</v>
      </c>
      <c r="J55" s="174" t="s">
        <v>932</v>
      </c>
      <c r="K55" s="174" t="s">
        <v>174</v>
      </c>
      <c r="L55" s="177">
        <v>44095</v>
      </c>
      <c r="M55" s="174">
        <v>10</v>
      </c>
      <c r="N55" s="179">
        <v>1.7</v>
      </c>
      <c r="O55" s="174" t="s">
        <v>20</v>
      </c>
      <c r="P55" s="174">
        <v>499</v>
      </c>
    </row>
    <row r="56" spans="1:16" s="174" customFormat="1" ht="35" hidden="1" customHeight="1">
      <c r="A56" s="174">
        <f>ROW()-3</f>
        <v>53</v>
      </c>
      <c r="B56" s="174" t="s">
        <v>14</v>
      </c>
      <c r="C56" s="174" t="s">
        <v>966</v>
      </c>
      <c r="D56" s="174" t="s">
        <v>961</v>
      </c>
      <c r="E56" s="174" t="s">
        <v>1127</v>
      </c>
      <c r="F56" s="174" t="s">
        <v>1135</v>
      </c>
      <c r="G56" s="174" t="s">
        <v>1132</v>
      </c>
      <c r="H56" s="174" t="s">
        <v>1133</v>
      </c>
      <c r="I56" s="174" t="s">
        <v>29</v>
      </c>
      <c r="J56" s="174" t="s">
        <v>932</v>
      </c>
      <c r="K56" s="174" t="s">
        <v>174</v>
      </c>
      <c r="L56" s="177">
        <v>44095</v>
      </c>
      <c r="M56" s="174">
        <v>10</v>
      </c>
      <c r="N56" s="179">
        <v>1.7</v>
      </c>
      <c r="O56" s="174" t="s">
        <v>20</v>
      </c>
      <c r="P56" s="174">
        <v>499</v>
      </c>
    </row>
    <row r="57" spans="1:16" s="174" customFormat="1" ht="35" hidden="1" customHeight="1">
      <c r="A57" s="174">
        <f>ROW()-3</f>
        <v>54</v>
      </c>
      <c r="B57" s="174" t="s">
        <v>14</v>
      </c>
      <c r="C57" s="174" t="s">
        <v>966</v>
      </c>
      <c r="D57" s="174" t="s">
        <v>961</v>
      </c>
      <c r="E57" s="174" t="s">
        <v>1127</v>
      </c>
      <c r="F57" s="174" t="s">
        <v>1136</v>
      </c>
      <c r="G57" s="174" t="s">
        <v>1132</v>
      </c>
      <c r="H57" s="174" t="s">
        <v>1133</v>
      </c>
      <c r="I57" s="174" t="s">
        <v>29</v>
      </c>
      <c r="J57" s="174" t="s">
        <v>932</v>
      </c>
      <c r="K57" s="174" t="s">
        <v>174</v>
      </c>
      <c r="L57" s="177">
        <v>44095</v>
      </c>
      <c r="M57" s="174">
        <v>9</v>
      </c>
      <c r="N57" s="179">
        <v>1.6</v>
      </c>
      <c r="O57" s="174" t="s">
        <v>20</v>
      </c>
      <c r="P57" s="174">
        <v>499</v>
      </c>
    </row>
    <row r="58" spans="1:16" s="174" customFormat="1" ht="35" hidden="1" customHeight="1">
      <c r="A58" s="174">
        <f>ROW()-3</f>
        <v>55</v>
      </c>
      <c r="B58" s="174" t="s">
        <v>14</v>
      </c>
      <c r="C58" s="174" t="s">
        <v>966</v>
      </c>
      <c r="D58" s="174" t="s">
        <v>961</v>
      </c>
      <c r="E58" s="174" t="s">
        <v>1127</v>
      </c>
      <c r="F58" s="174" t="s">
        <v>1137</v>
      </c>
      <c r="G58" s="174" t="s">
        <v>1132</v>
      </c>
      <c r="H58" s="174" t="s">
        <v>1133</v>
      </c>
      <c r="I58" s="174" t="s">
        <v>29</v>
      </c>
      <c r="J58" s="174" t="s">
        <v>932</v>
      </c>
      <c r="K58" s="174" t="s">
        <v>174</v>
      </c>
      <c r="L58" s="177">
        <v>44095</v>
      </c>
      <c r="M58" s="174">
        <v>100</v>
      </c>
      <c r="N58" s="179">
        <v>14.3</v>
      </c>
      <c r="O58" s="174" t="s">
        <v>20</v>
      </c>
      <c r="P58" s="174">
        <v>499</v>
      </c>
    </row>
    <row r="59" spans="1:16" s="174" customFormat="1" ht="35" hidden="1" customHeight="1">
      <c r="A59" s="174">
        <f>ROW()-3</f>
        <v>56</v>
      </c>
      <c r="B59" s="174" t="s">
        <v>14</v>
      </c>
      <c r="C59" s="174" t="s">
        <v>966</v>
      </c>
      <c r="D59" s="174" t="s">
        <v>978</v>
      </c>
      <c r="E59" s="174" t="s">
        <v>1008</v>
      </c>
      <c r="F59" s="174" t="s">
        <v>2525</v>
      </c>
      <c r="G59" s="174" t="s">
        <v>1138</v>
      </c>
      <c r="H59" s="174" t="s">
        <v>1139</v>
      </c>
      <c r="I59" s="174" t="s">
        <v>29</v>
      </c>
      <c r="J59" s="174" t="s">
        <v>1042</v>
      </c>
      <c r="K59" s="174" t="s">
        <v>67</v>
      </c>
      <c r="L59" s="177">
        <v>44098</v>
      </c>
      <c r="M59" s="174">
        <v>33</v>
      </c>
      <c r="N59" s="179">
        <v>12.2</v>
      </c>
      <c r="O59" s="174" t="s">
        <v>20</v>
      </c>
      <c r="P59" s="174">
        <v>198</v>
      </c>
    </row>
    <row r="60" spans="1:16" s="174" customFormat="1" ht="35" hidden="1" customHeight="1">
      <c r="A60" s="174">
        <f>ROW()-3</f>
        <v>57</v>
      </c>
      <c r="B60" s="174" t="s">
        <v>14</v>
      </c>
      <c r="C60" s="174" t="s">
        <v>966</v>
      </c>
      <c r="D60" s="174" t="s">
        <v>978</v>
      </c>
      <c r="E60" s="174" t="s">
        <v>1008</v>
      </c>
      <c r="F60" s="174" t="s">
        <v>2526</v>
      </c>
      <c r="G60" s="174" t="s">
        <v>1140</v>
      </c>
      <c r="H60" s="174" t="s">
        <v>1139</v>
      </c>
      <c r="I60" s="174" t="s">
        <v>29</v>
      </c>
      <c r="J60" s="174" t="s">
        <v>1042</v>
      </c>
      <c r="K60" s="174" t="s">
        <v>67</v>
      </c>
      <c r="L60" s="177">
        <v>44098</v>
      </c>
      <c r="M60" s="174">
        <v>33</v>
      </c>
      <c r="N60" s="179">
        <v>6.6</v>
      </c>
      <c r="O60" s="174" t="s">
        <v>20</v>
      </c>
      <c r="P60" s="174">
        <v>199</v>
      </c>
    </row>
    <row r="61" spans="1:16" s="174" customFormat="1" ht="35" hidden="1" customHeight="1">
      <c r="A61" s="174">
        <f>ROW()-3</f>
        <v>58</v>
      </c>
      <c r="B61" s="174" t="s">
        <v>14</v>
      </c>
      <c r="C61" s="174" t="s">
        <v>966</v>
      </c>
      <c r="D61" s="174" t="s">
        <v>960</v>
      </c>
      <c r="E61" s="174" t="s">
        <v>1016</v>
      </c>
      <c r="F61" s="174" t="s">
        <v>1141</v>
      </c>
      <c r="G61" s="174" t="s">
        <v>1142</v>
      </c>
      <c r="H61" s="174" t="s">
        <v>1143</v>
      </c>
      <c r="I61" s="174" t="s">
        <v>29</v>
      </c>
      <c r="J61" s="174" t="s">
        <v>173</v>
      </c>
      <c r="K61" s="174" t="s">
        <v>174</v>
      </c>
      <c r="L61" s="177">
        <v>44132</v>
      </c>
      <c r="M61" s="174">
        <v>39</v>
      </c>
      <c r="N61" s="179">
        <v>9.75</v>
      </c>
      <c r="O61" s="174" t="s">
        <v>20</v>
      </c>
      <c r="P61" s="174">
        <v>199</v>
      </c>
    </row>
    <row r="62" spans="1:16" s="174" customFormat="1" ht="35" hidden="1" customHeight="1">
      <c r="A62" s="174">
        <f>ROW()-3</f>
        <v>59</v>
      </c>
      <c r="B62" s="174" t="s">
        <v>14</v>
      </c>
      <c r="C62" s="174" t="s">
        <v>966</v>
      </c>
      <c r="D62" s="174" t="s">
        <v>951</v>
      </c>
      <c r="E62" s="174" t="s">
        <v>956</v>
      </c>
      <c r="F62" s="174" t="s">
        <v>1144</v>
      </c>
      <c r="G62" s="174" t="s">
        <v>835</v>
      </c>
      <c r="H62" s="174" t="s">
        <v>1145</v>
      </c>
      <c r="I62" s="174" t="s">
        <v>29</v>
      </c>
      <c r="J62" s="174" t="s">
        <v>173</v>
      </c>
      <c r="K62" s="174" t="s">
        <v>174</v>
      </c>
      <c r="L62" s="177">
        <v>44132</v>
      </c>
      <c r="M62" s="174">
        <v>18</v>
      </c>
      <c r="N62" s="179">
        <v>2.1</v>
      </c>
      <c r="O62" s="174" t="s">
        <v>20</v>
      </c>
      <c r="P62" s="174">
        <v>129</v>
      </c>
    </row>
    <row r="63" spans="1:16" s="174" customFormat="1" ht="35" hidden="1" customHeight="1">
      <c r="A63" s="174">
        <f>ROW()-3</f>
        <v>60</v>
      </c>
      <c r="B63" s="174" t="s">
        <v>14</v>
      </c>
      <c r="C63" s="174" t="s">
        <v>966</v>
      </c>
      <c r="D63" s="174" t="s">
        <v>951</v>
      </c>
      <c r="E63" s="174" t="s">
        <v>956</v>
      </c>
      <c r="F63" s="174" t="s">
        <v>1146</v>
      </c>
      <c r="G63" s="174" t="s">
        <v>1147</v>
      </c>
      <c r="H63" s="174" t="s">
        <v>1148</v>
      </c>
      <c r="I63" s="174" t="s">
        <v>17</v>
      </c>
      <c r="J63" s="174" t="s">
        <v>173</v>
      </c>
      <c r="K63" s="174" t="s">
        <v>174</v>
      </c>
      <c r="L63" s="177">
        <v>44137</v>
      </c>
      <c r="M63" s="174">
        <v>12</v>
      </c>
      <c r="N63" s="179">
        <v>10</v>
      </c>
      <c r="O63" s="174" t="s">
        <v>20</v>
      </c>
      <c r="P63" s="174">
        <v>299</v>
      </c>
    </row>
    <row r="64" spans="1:16" s="174" customFormat="1" ht="35" hidden="1" customHeight="1">
      <c r="A64" s="174">
        <f>ROW()-3</f>
        <v>61</v>
      </c>
      <c r="B64" s="174" t="s">
        <v>14</v>
      </c>
      <c r="C64" s="174" t="s">
        <v>966</v>
      </c>
      <c r="D64" s="174" t="s">
        <v>978</v>
      </c>
      <c r="E64" s="174" t="s">
        <v>1113</v>
      </c>
      <c r="F64" s="174" t="s">
        <v>1149</v>
      </c>
      <c r="G64" s="174" t="s">
        <v>1150</v>
      </c>
      <c r="H64" s="174" t="s">
        <v>1151</v>
      </c>
      <c r="I64" s="174" t="s">
        <v>17</v>
      </c>
      <c r="J64" s="174" t="s">
        <v>160</v>
      </c>
      <c r="K64" s="174" t="s">
        <v>25</v>
      </c>
      <c r="L64" s="177">
        <v>44141</v>
      </c>
      <c r="M64" s="174">
        <v>5</v>
      </c>
      <c r="N64" s="179">
        <v>4.5</v>
      </c>
      <c r="O64" s="174" t="s">
        <v>20</v>
      </c>
      <c r="P64" s="174">
        <v>99</v>
      </c>
    </row>
    <row r="65" spans="1:16" s="174" customFormat="1" ht="35" hidden="1" customHeight="1">
      <c r="A65" s="174">
        <f>ROW()-3</f>
        <v>62</v>
      </c>
      <c r="B65" s="174" t="s">
        <v>14</v>
      </c>
      <c r="C65" s="174" t="s">
        <v>966</v>
      </c>
      <c r="D65" s="174" t="s">
        <v>1093</v>
      </c>
      <c r="E65" s="174" t="s">
        <v>1152</v>
      </c>
      <c r="F65" s="174" t="s">
        <v>1153</v>
      </c>
      <c r="G65" s="174" t="s">
        <v>1154</v>
      </c>
      <c r="H65" s="174" t="s">
        <v>1155</v>
      </c>
      <c r="I65" s="174" t="s">
        <v>17</v>
      </c>
      <c r="J65" s="174" t="s">
        <v>24</v>
      </c>
      <c r="K65" s="174" t="s">
        <v>25</v>
      </c>
      <c r="L65" s="177">
        <v>44146</v>
      </c>
      <c r="M65" s="174">
        <v>19</v>
      </c>
      <c r="N65" s="179">
        <v>3.16</v>
      </c>
      <c r="O65" s="174" t="s">
        <v>20</v>
      </c>
      <c r="P65" s="174">
        <v>108</v>
      </c>
    </row>
    <row r="66" spans="1:16" s="174" customFormat="1" ht="35" hidden="1" customHeight="1">
      <c r="A66" s="174">
        <f>ROW()-3</f>
        <v>63</v>
      </c>
      <c r="B66" s="174" t="s">
        <v>14</v>
      </c>
      <c r="C66" s="174" t="s">
        <v>966</v>
      </c>
      <c r="D66" s="174" t="s">
        <v>1093</v>
      </c>
      <c r="E66" s="174" t="s">
        <v>1105</v>
      </c>
      <c r="F66" s="174" t="s">
        <v>1156</v>
      </c>
      <c r="G66" s="174" t="s">
        <v>1157</v>
      </c>
      <c r="H66" s="174" t="s">
        <v>1158</v>
      </c>
      <c r="I66" s="174" t="s">
        <v>17</v>
      </c>
      <c r="J66" s="174" t="s">
        <v>24</v>
      </c>
      <c r="K66" s="174" t="s">
        <v>25</v>
      </c>
      <c r="L66" s="177">
        <v>44146</v>
      </c>
      <c r="M66" s="174">
        <v>47</v>
      </c>
      <c r="N66" s="179">
        <v>7.83</v>
      </c>
      <c r="O66" s="174" t="s">
        <v>20</v>
      </c>
      <c r="P66" s="174">
        <v>199</v>
      </c>
    </row>
    <row r="67" spans="1:16" s="174" customFormat="1" ht="35" hidden="1" customHeight="1">
      <c r="A67" s="174">
        <f>ROW()-3</f>
        <v>64</v>
      </c>
      <c r="B67" s="174" t="s">
        <v>14</v>
      </c>
      <c r="C67" s="174" t="s">
        <v>966</v>
      </c>
      <c r="D67" s="174" t="s">
        <v>1093</v>
      </c>
      <c r="E67" s="174" t="s">
        <v>1105</v>
      </c>
      <c r="F67" s="174" t="s">
        <v>1159</v>
      </c>
      <c r="G67" s="174" t="s">
        <v>1160</v>
      </c>
      <c r="H67" s="174" t="s">
        <v>1161</v>
      </c>
      <c r="I67" s="174" t="s">
        <v>17</v>
      </c>
      <c r="J67" s="174" t="s">
        <v>24</v>
      </c>
      <c r="K67" s="174" t="s">
        <v>25</v>
      </c>
      <c r="L67" s="177">
        <v>44146</v>
      </c>
      <c r="M67" s="174">
        <v>31</v>
      </c>
      <c r="N67" s="179">
        <v>5.68</v>
      </c>
      <c r="O67" s="174" t="s">
        <v>20</v>
      </c>
      <c r="P67" s="174">
        <v>98</v>
      </c>
    </row>
    <row r="68" spans="1:16" s="174" customFormat="1" ht="35" hidden="1" customHeight="1">
      <c r="A68" s="174">
        <f>ROW()-3</f>
        <v>65</v>
      </c>
      <c r="B68" s="174" t="s">
        <v>14</v>
      </c>
      <c r="C68" s="174" t="s">
        <v>966</v>
      </c>
      <c r="D68" s="174" t="s">
        <v>1093</v>
      </c>
      <c r="E68" s="174" t="s">
        <v>1105</v>
      </c>
      <c r="F68" s="174" t="s">
        <v>1162</v>
      </c>
      <c r="G68" s="174" t="s">
        <v>1163</v>
      </c>
      <c r="H68" s="174" t="s">
        <v>1164</v>
      </c>
      <c r="I68" s="174" t="s">
        <v>17</v>
      </c>
      <c r="J68" s="174" t="s">
        <v>24</v>
      </c>
      <c r="K68" s="174" t="s">
        <v>25</v>
      </c>
      <c r="L68" s="177">
        <v>44148</v>
      </c>
      <c r="M68" s="174">
        <v>8</v>
      </c>
      <c r="N68" s="179">
        <v>6</v>
      </c>
      <c r="O68" s="174" t="s">
        <v>20</v>
      </c>
      <c r="P68" s="174">
        <v>199</v>
      </c>
    </row>
    <row r="69" spans="1:16" s="174" customFormat="1" ht="35" hidden="1" customHeight="1">
      <c r="A69" s="174">
        <f>ROW()-3</f>
        <v>66</v>
      </c>
      <c r="B69" s="174" t="s">
        <v>14</v>
      </c>
      <c r="C69" s="174" t="s">
        <v>966</v>
      </c>
      <c r="D69" s="174" t="s">
        <v>951</v>
      </c>
      <c r="E69" s="174" t="s">
        <v>956</v>
      </c>
      <c r="F69" s="174" t="s">
        <v>1165</v>
      </c>
      <c r="G69" s="174" t="s">
        <v>1166</v>
      </c>
      <c r="H69" s="174" t="s">
        <v>1167</v>
      </c>
      <c r="I69" s="174" t="s">
        <v>17</v>
      </c>
      <c r="J69" s="174" t="s">
        <v>960</v>
      </c>
      <c r="K69" s="174" t="s">
        <v>174</v>
      </c>
      <c r="L69" s="177">
        <v>44154</v>
      </c>
      <c r="M69" s="174">
        <v>33</v>
      </c>
      <c r="N69" s="179">
        <v>8.5</v>
      </c>
      <c r="O69" s="174" t="s">
        <v>20</v>
      </c>
      <c r="P69" s="174">
        <v>599</v>
      </c>
    </row>
    <row r="70" spans="1:16" s="174" customFormat="1" ht="35" hidden="1" customHeight="1">
      <c r="A70" s="174">
        <f>ROW()-3</f>
        <v>67</v>
      </c>
      <c r="B70" s="174" t="s">
        <v>14</v>
      </c>
      <c r="C70" s="174" t="s">
        <v>966</v>
      </c>
      <c r="D70" s="174" t="s">
        <v>1093</v>
      </c>
      <c r="E70" s="174" t="s">
        <v>1152</v>
      </c>
      <c r="F70" s="174" t="s">
        <v>1168</v>
      </c>
      <c r="G70" s="174" t="s">
        <v>1169</v>
      </c>
      <c r="H70" s="174" t="s">
        <v>1170</v>
      </c>
      <c r="I70" s="174" t="s">
        <v>29</v>
      </c>
      <c r="J70" s="174" t="s">
        <v>57</v>
      </c>
      <c r="K70" s="174" t="s">
        <v>58</v>
      </c>
      <c r="L70" s="177">
        <v>44160</v>
      </c>
      <c r="M70" s="174">
        <v>48</v>
      </c>
      <c r="N70" s="179">
        <v>11.5</v>
      </c>
      <c r="O70" s="174" t="s">
        <v>20</v>
      </c>
      <c r="P70" s="174">
        <v>499</v>
      </c>
    </row>
    <row r="71" spans="1:16" s="174" customFormat="1" ht="35" hidden="1" customHeight="1">
      <c r="A71" s="174">
        <f>ROW()-3</f>
        <v>68</v>
      </c>
      <c r="B71" s="174" t="s">
        <v>14</v>
      </c>
      <c r="C71" s="174" t="s">
        <v>966</v>
      </c>
      <c r="D71" s="174" t="s">
        <v>951</v>
      </c>
      <c r="E71" s="174" t="s">
        <v>956</v>
      </c>
      <c r="F71" s="174" t="s">
        <v>1171</v>
      </c>
      <c r="G71" s="174" t="s">
        <v>1172</v>
      </c>
      <c r="H71" s="174" t="s">
        <v>1173</v>
      </c>
      <c r="I71" s="174" t="s">
        <v>17</v>
      </c>
      <c r="J71" s="174" t="s">
        <v>960</v>
      </c>
      <c r="K71" s="174" t="s">
        <v>174</v>
      </c>
      <c r="L71" s="177">
        <v>44162</v>
      </c>
      <c r="M71" s="174">
        <v>30</v>
      </c>
      <c r="N71" s="179">
        <v>4</v>
      </c>
      <c r="O71" s="174" t="s">
        <v>20</v>
      </c>
      <c r="P71" s="174">
        <v>69</v>
      </c>
    </row>
    <row r="72" spans="1:16" s="174" customFormat="1" ht="35" hidden="1" customHeight="1">
      <c r="A72" s="174">
        <f>ROW()-3</f>
        <v>69</v>
      </c>
      <c r="B72" s="174" t="s">
        <v>14</v>
      </c>
      <c r="C72" s="174" t="s">
        <v>966</v>
      </c>
      <c r="D72" s="174" t="s">
        <v>1093</v>
      </c>
      <c r="E72" s="174" t="s">
        <v>1105</v>
      </c>
      <c r="F72" s="174" t="s">
        <v>1174</v>
      </c>
      <c r="G72" s="174" t="s">
        <v>1175</v>
      </c>
      <c r="H72" s="174" t="s">
        <v>1176</v>
      </c>
      <c r="I72" s="174" t="s">
        <v>17</v>
      </c>
      <c r="J72" s="174" t="s">
        <v>57</v>
      </c>
      <c r="K72" s="174" t="s">
        <v>174</v>
      </c>
      <c r="L72" s="177">
        <v>44172</v>
      </c>
      <c r="M72" s="174">
        <v>10</v>
      </c>
      <c r="N72" s="179">
        <v>6</v>
      </c>
      <c r="O72" s="174" t="s">
        <v>20</v>
      </c>
      <c r="P72" s="174">
        <v>99</v>
      </c>
    </row>
    <row r="73" spans="1:16" s="174" customFormat="1" ht="35" hidden="1" customHeight="1">
      <c r="A73" s="174">
        <f>ROW()-3</f>
        <v>70</v>
      </c>
      <c r="B73" s="174" t="s">
        <v>14</v>
      </c>
      <c r="C73" s="174" t="s">
        <v>966</v>
      </c>
      <c r="D73" s="174" t="s">
        <v>978</v>
      </c>
      <c r="E73" s="174" t="s">
        <v>1008</v>
      </c>
      <c r="F73" s="174" t="s">
        <v>1177</v>
      </c>
      <c r="G73" s="174" t="s">
        <v>1178</v>
      </c>
      <c r="H73" s="174" t="s">
        <v>1179</v>
      </c>
      <c r="I73" s="174" t="s">
        <v>29</v>
      </c>
      <c r="J73" s="174" t="s">
        <v>18</v>
      </c>
      <c r="K73" s="174" t="s">
        <v>19</v>
      </c>
      <c r="L73" s="177">
        <v>44203</v>
      </c>
      <c r="M73" s="174">
        <v>109</v>
      </c>
      <c r="N73" s="179">
        <v>27.25</v>
      </c>
      <c r="O73" s="174" t="s">
        <v>20</v>
      </c>
      <c r="P73" s="174">
        <v>199</v>
      </c>
    </row>
    <row r="74" spans="1:16" s="174" customFormat="1" ht="35" hidden="1" customHeight="1">
      <c r="A74" s="174">
        <f>ROW()-3</f>
        <v>71</v>
      </c>
      <c r="B74" s="174" t="s">
        <v>14</v>
      </c>
      <c r="C74" s="174" t="s">
        <v>966</v>
      </c>
      <c r="D74" s="174" t="s">
        <v>978</v>
      </c>
      <c r="E74" s="174" t="s">
        <v>1008</v>
      </c>
      <c r="F74" s="174" t="s">
        <v>1180</v>
      </c>
      <c r="G74" s="174" t="s">
        <v>1181</v>
      </c>
      <c r="H74" s="174" t="s">
        <v>1179</v>
      </c>
      <c r="I74" s="174" t="s">
        <v>29</v>
      </c>
      <c r="J74" s="174" t="s">
        <v>24</v>
      </c>
      <c r="K74" s="174" t="s">
        <v>25</v>
      </c>
      <c r="L74" s="177">
        <v>44208</v>
      </c>
      <c r="M74" s="174">
        <v>56</v>
      </c>
      <c r="N74" s="179">
        <v>9.5</v>
      </c>
      <c r="O74" s="174" t="s">
        <v>20</v>
      </c>
      <c r="P74" s="174">
        <v>199</v>
      </c>
    </row>
    <row r="75" spans="1:16" s="174" customFormat="1" ht="35" hidden="1" customHeight="1">
      <c r="A75" s="174">
        <f>ROW()-3</f>
        <v>72</v>
      </c>
      <c r="B75" s="174" t="s">
        <v>14</v>
      </c>
      <c r="C75" s="174" t="s">
        <v>966</v>
      </c>
      <c r="D75" s="174" t="s">
        <v>1093</v>
      </c>
      <c r="E75" s="174" t="s">
        <v>1105</v>
      </c>
      <c r="F75" s="174" t="s">
        <v>1182</v>
      </c>
      <c r="G75" s="174" t="s">
        <v>1183</v>
      </c>
      <c r="H75" s="174" t="s">
        <v>1184</v>
      </c>
      <c r="I75" s="174" t="s">
        <v>29</v>
      </c>
      <c r="J75" s="174" t="s">
        <v>34</v>
      </c>
      <c r="K75" s="174" t="s">
        <v>154</v>
      </c>
      <c r="L75" s="177">
        <v>44228</v>
      </c>
      <c r="M75" s="174">
        <v>30</v>
      </c>
      <c r="N75" s="179">
        <v>8</v>
      </c>
      <c r="O75" s="174" t="s">
        <v>20</v>
      </c>
      <c r="P75" s="174">
        <v>39.200000000000003</v>
      </c>
    </row>
    <row r="76" spans="1:16" s="174" customFormat="1" ht="35" hidden="1" customHeight="1">
      <c r="A76" s="174">
        <f>ROW()-3</f>
        <v>73</v>
      </c>
      <c r="B76" s="174" t="s">
        <v>14</v>
      </c>
      <c r="C76" s="174" t="s">
        <v>966</v>
      </c>
      <c r="D76" s="174" t="s">
        <v>951</v>
      </c>
      <c r="E76" s="174" t="s">
        <v>956</v>
      </c>
      <c r="F76" s="174" t="s">
        <v>1185</v>
      </c>
      <c r="G76" s="174" t="s">
        <v>1186</v>
      </c>
      <c r="H76" s="174" t="s">
        <v>172</v>
      </c>
      <c r="I76" s="174" t="s">
        <v>29</v>
      </c>
      <c r="J76" s="174" t="s">
        <v>57</v>
      </c>
      <c r="K76" s="174" t="s">
        <v>58</v>
      </c>
      <c r="L76" s="177">
        <v>44228</v>
      </c>
      <c r="M76" s="174">
        <v>36</v>
      </c>
      <c r="N76" s="179">
        <v>7.2</v>
      </c>
      <c r="O76" s="174" t="s">
        <v>20</v>
      </c>
      <c r="P76" s="174">
        <v>198</v>
      </c>
    </row>
    <row r="77" spans="1:16" s="174" customFormat="1" ht="35" hidden="1" customHeight="1">
      <c r="A77" s="174">
        <f>ROW()-3</f>
        <v>74</v>
      </c>
      <c r="B77" s="174" t="s">
        <v>14</v>
      </c>
      <c r="C77" s="174" t="s">
        <v>966</v>
      </c>
      <c r="D77" s="174" t="s">
        <v>1093</v>
      </c>
      <c r="E77" s="174" t="s">
        <v>1152</v>
      </c>
      <c r="F77" s="174" t="s">
        <v>1187</v>
      </c>
      <c r="G77" s="174" t="s">
        <v>1188</v>
      </c>
      <c r="H77" s="174" t="s">
        <v>1158</v>
      </c>
      <c r="I77" s="174" t="s">
        <v>17</v>
      </c>
      <c r="J77" s="174" t="s">
        <v>57</v>
      </c>
      <c r="K77" s="174" t="s">
        <v>58</v>
      </c>
      <c r="L77" s="177">
        <v>44235</v>
      </c>
      <c r="M77" s="174">
        <v>16</v>
      </c>
      <c r="N77" s="179">
        <v>8</v>
      </c>
      <c r="O77" s="174" t="s">
        <v>20</v>
      </c>
      <c r="P77" s="174">
        <v>69</v>
      </c>
    </row>
    <row r="78" spans="1:16" s="174" customFormat="1" ht="35" hidden="1" customHeight="1">
      <c r="A78" s="174">
        <f>ROW()-3</f>
        <v>75</v>
      </c>
      <c r="B78" s="174" t="s">
        <v>14</v>
      </c>
      <c r="C78" s="174" t="s">
        <v>966</v>
      </c>
      <c r="D78" s="174" t="s">
        <v>1043</v>
      </c>
      <c r="E78" s="174" t="s">
        <v>1044</v>
      </c>
      <c r="F78" s="174" t="s">
        <v>1189</v>
      </c>
      <c r="G78" s="174" t="s">
        <v>1190</v>
      </c>
      <c r="H78" s="174" t="s">
        <v>1191</v>
      </c>
      <c r="I78" s="174" t="s">
        <v>17</v>
      </c>
      <c r="J78" s="174" t="s">
        <v>39</v>
      </c>
      <c r="K78" s="174" t="s">
        <v>75</v>
      </c>
      <c r="L78" s="177">
        <v>44249</v>
      </c>
      <c r="M78" s="174">
        <v>13</v>
      </c>
      <c r="N78" s="179">
        <v>2.2999999999999998</v>
      </c>
      <c r="O78" s="174" t="s">
        <v>20</v>
      </c>
      <c r="P78" s="174">
        <v>199</v>
      </c>
    </row>
    <row r="79" spans="1:16" s="174" customFormat="1" ht="35" hidden="1" customHeight="1">
      <c r="A79" s="174">
        <f>ROW()-3</f>
        <v>76</v>
      </c>
      <c r="B79" s="174" t="s">
        <v>14</v>
      </c>
      <c r="C79" s="174" t="s">
        <v>966</v>
      </c>
      <c r="D79" s="174" t="s">
        <v>1093</v>
      </c>
      <c r="E79" s="174" t="s">
        <v>1105</v>
      </c>
      <c r="F79" s="174" t="s">
        <v>1192</v>
      </c>
      <c r="G79" s="174" t="s">
        <v>1193</v>
      </c>
      <c r="H79" s="174" t="s">
        <v>1194</v>
      </c>
      <c r="I79" s="174" t="s">
        <v>29</v>
      </c>
      <c r="J79" s="174" t="s">
        <v>57</v>
      </c>
      <c r="K79" s="174" t="s">
        <v>58</v>
      </c>
      <c r="L79" s="177">
        <v>44251</v>
      </c>
      <c r="M79" s="174">
        <v>15</v>
      </c>
      <c r="N79" s="179">
        <v>3.25</v>
      </c>
      <c r="O79" s="174" t="s">
        <v>20</v>
      </c>
      <c r="P79" s="174">
        <v>99</v>
      </c>
    </row>
    <row r="80" spans="1:16" s="174" customFormat="1" ht="35" hidden="1" customHeight="1">
      <c r="A80" s="174">
        <f>ROW()-3</f>
        <v>77</v>
      </c>
      <c r="B80" s="174" t="s">
        <v>14</v>
      </c>
      <c r="C80" s="174" t="s">
        <v>966</v>
      </c>
      <c r="D80" s="174" t="s">
        <v>1043</v>
      </c>
      <c r="E80" s="174" t="s">
        <v>1195</v>
      </c>
      <c r="F80" s="174" t="s">
        <v>1196</v>
      </c>
      <c r="G80" s="174" t="s">
        <v>1197</v>
      </c>
      <c r="H80" s="174" t="s">
        <v>1198</v>
      </c>
      <c r="I80" s="174" t="s">
        <v>17</v>
      </c>
      <c r="J80" s="174" t="s">
        <v>39</v>
      </c>
      <c r="K80" s="174" t="s">
        <v>1199</v>
      </c>
      <c r="L80" s="177">
        <v>44251</v>
      </c>
      <c r="M80" s="174">
        <v>14</v>
      </c>
      <c r="N80" s="179">
        <v>3.9</v>
      </c>
      <c r="O80" s="174" t="s">
        <v>20</v>
      </c>
      <c r="P80" s="174">
        <v>199</v>
      </c>
    </row>
    <row r="81" spans="1:16" s="174" customFormat="1" ht="35" hidden="1" customHeight="1">
      <c r="A81" s="174">
        <f>ROW()-3</f>
        <v>78</v>
      </c>
      <c r="B81" s="174" t="s">
        <v>14</v>
      </c>
      <c r="C81" s="174" t="s">
        <v>966</v>
      </c>
      <c r="D81" s="174" t="s">
        <v>1043</v>
      </c>
      <c r="E81" s="174" t="s">
        <v>1195</v>
      </c>
      <c r="F81" s="174" t="s">
        <v>1200</v>
      </c>
      <c r="G81" s="174" t="s">
        <v>1201</v>
      </c>
      <c r="H81" s="174" t="s">
        <v>1202</v>
      </c>
      <c r="I81" s="174" t="s">
        <v>29</v>
      </c>
      <c r="J81" s="174" t="s">
        <v>39</v>
      </c>
      <c r="K81" s="174" t="s">
        <v>1203</v>
      </c>
      <c r="L81" s="177">
        <v>44286</v>
      </c>
      <c r="M81" s="174">
        <v>28</v>
      </c>
      <c r="N81" s="179">
        <v>0.93</v>
      </c>
      <c r="O81" s="174" t="s">
        <v>20</v>
      </c>
      <c r="P81" s="174">
        <v>199</v>
      </c>
    </row>
    <row r="82" spans="1:16" s="174" customFormat="1" ht="35" hidden="1" customHeight="1">
      <c r="A82" s="174">
        <f>ROW()-3</f>
        <v>79</v>
      </c>
      <c r="B82" s="174" t="s">
        <v>14</v>
      </c>
      <c r="C82" s="174" t="s">
        <v>966</v>
      </c>
      <c r="D82" s="174" t="s">
        <v>951</v>
      </c>
      <c r="E82" s="174" t="s">
        <v>956</v>
      </c>
      <c r="F82" s="174" t="s">
        <v>1204</v>
      </c>
      <c r="G82" s="174" t="s">
        <v>1205</v>
      </c>
      <c r="H82" s="174" t="s">
        <v>1206</v>
      </c>
      <c r="I82" s="174" t="s">
        <v>29</v>
      </c>
      <c r="J82" s="174" t="s">
        <v>34</v>
      </c>
      <c r="K82" s="174" t="s">
        <v>63</v>
      </c>
      <c r="L82" s="177">
        <v>44292</v>
      </c>
      <c r="M82" s="174">
        <v>29</v>
      </c>
      <c r="N82" s="179">
        <v>2.5</v>
      </c>
      <c r="O82" s="174" t="s">
        <v>30</v>
      </c>
      <c r="P82" s="174">
        <v>99</v>
      </c>
    </row>
    <row r="83" spans="1:16" s="174" customFormat="1" ht="35" hidden="1" customHeight="1">
      <c r="A83" s="174">
        <f>ROW()-3</f>
        <v>80</v>
      </c>
      <c r="B83" s="174" t="s">
        <v>14</v>
      </c>
      <c r="C83" s="174" t="s">
        <v>966</v>
      </c>
      <c r="D83" s="174" t="s">
        <v>1043</v>
      </c>
      <c r="E83" s="174" t="s">
        <v>1195</v>
      </c>
      <c r="F83" s="174" t="s">
        <v>1207</v>
      </c>
      <c r="G83" s="174" t="s">
        <v>1208</v>
      </c>
      <c r="H83" s="174" t="s">
        <v>1202</v>
      </c>
      <c r="I83" s="174" t="s">
        <v>29</v>
      </c>
      <c r="J83" s="174" t="s">
        <v>39</v>
      </c>
      <c r="K83" s="174" t="s">
        <v>1203</v>
      </c>
      <c r="L83" s="177">
        <v>44292</v>
      </c>
      <c r="M83" s="174">
        <v>15</v>
      </c>
      <c r="N83" s="179">
        <v>2.87</v>
      </c>
      <c r="O83" s="174" t="s">
        <v>30</v>
      </c>
      <c r="P83" s="174">
        <v>199</v>
      </c>
    </row>
    <row r="84" spans="1:16" s="174" customFormat="1" ht="35" hidden="1" customHeight="1">
      <c r="A84" s="174">
        <f>ROW()-3</f>
        <v>81</v>
      </c>
      <c r="B84" s="174" t="s">
        <v>14</v>
      </c>
      <c r="C84" s="174" t="s">
        <v>966</v>
      </c>
      <c r="D84" s="174" t="s">
        <v>961</v>
      </c>
      <c r="E84" s="174" t="s">
        <v>1127</v>
      </c>
      <c r="F84" s="174" t="s">
        <v>1209</v>
      </c>
      <c r="G84" s="174" t="s">
        <v>1210</v>
      </c>
      <c r="H84" s="174" t="s">
        <v>667</v>
      </c>
      <c r="I84" s="174" t="s">
        <v>29</v>
      </c>
      <c r="J84" s="174" t="s">
        <v>34</v>
      </c>
      <c r="K84" s="174" t="s">
        <v>154</v>
      </c>
      <c r="L84" s="177">
        <v>44305</v>
      </c>
      <c r="M84" s="174">
        <v>26</v>
      </c>
      <c r="N84" s="179">
        <v>1.66</v>
      </c>
      <c r="O84" s="174" t="s">
        <v>30</v>
      </c>
      <c r="P84" s="174">
        <v>199</v>
      </c>
    </row>
    <row r="85" spans="1:16" s="174" customFormat="1" ht="35" hidden="1" customHeight="1">
      <c r="A85" s="174">
        <f>ROW()-3</f>
        <v>82</v>
      </c>
      <c r="B85" s="174" t="s">
        <v>14</v>
      </c>
      <c r="C85" s="174" t="s">
        <v>966</v>
      </c>
      <c r="D85" s="174" t="s">
        <v>951</v>
      </c>
      <c r="E85" s="174" t="s">
        <v>952</v>
      </c>
      <c r="F85" s="174" t="s">
        <v>1211</v>
      </c>
      <c r="G85" s="174" t="s">
        <v>1212</v>
      </c>
      <c r="H85" s="174" t="s">
        <v>1213</v>
      </c>
      <c r="I85" s="174" t="s">
        <v>29</v>
      </c>
      <c r="J85" s="174" t="s">
        <v>960</v>
      </c>
      <c r="K85" s="174" t="s">
        <v>174</v>
      </c>
      <c r="L85" s="177">
        <v>44322</v>
      </c>
      <c r="M85" s="174">
        <v>36</v>
      </c>
      <c r="N85" s="179">
        <v>5</v>
      </c>
      <c r="O85" s="174" t="s">
        <v>30</v>
      </c>
      <c r="P85" s="174">
        <v>99</v>
      </c>
    </row>
    <row r="86" spans="1:16" s="174" customFormat="1" ht="35" hidden="1" customHeight="1">
      <c r="A86" s="174">
        <f>ROW()-3</f>
        <v>83</v>
      </c>
      <c r="B86" s="174" t="s">
        <v>14</v>
      </c>
      <c r="C86" s="174" t="s">
        <v>966</v>
      </c>
      <c r="D86" s="174" t="s">
        <v>960</v>
      </c>
      <c r="E86" s="174" t="s">
        <v>968</v>
      </c>
      <c r="F86" s="174" t="s">
        <v>2527</v>
      </c>
      <c r="G86" s="174" t="s">
        <v>1462</v>
      </c>
      <c r="H86" s="174" t="s">
        <v>1223</v>
      </c>
      <c r="I86" s="174" t="s">
        <v>29</v>
      </c>
      <c r="J86" s="174" t="s">
        <v>34</v>
      </c>
      <c r="K86" s="174" t="s">
        <v>2655</v>
      </c>
      <c r="L86" s="177">
        <v>44355</v>
      </c>
      <c r="M86" s="174">
        <v>55</v>
      </c>
      <c r="N86" s="179">
        <v>11.5</v>
      </c>
      <c r="O86" s="174" t="s">
        <v>89</v>
      </c>
      <c r="P86" s="174">
        <v>99</v>
      </c>
    </row>
    <row r="87" spans="1:16" s="174" customFormat="1" ht="35" hidden="1" customHeight="1">
      <c r="A87" s="174">
        <f>ROW()-3</f>
        <v>84</v>
      </c>
      <c r="B87" s="174" t="s">
        <v>14</v>
      </c>
      <c r="C87" s="174" t="s">
        <v>966</v>
      </c>
      <c r="D87" s="174" t="s">
        <v>1093</v>
      </c>
      <c r="E87" s="174" t="s">
        <v>1094</v>
      </c>
      <c r="F87" s="174" t="s">
        <v>1214</v>
      </c>
      <c r="G87" s="174" t="s">
        <v>1215</v>
      </c>
      <c r="H87" s="174" t="s">
        <v>1216</v>
      </c>
      <c r="I87" s="174" t="s">
        <v>17</v>
      </c>
      <c r="J87" s="174" t="s">
        <v>57</v>
      </c>
      <c r="K87" s="174" t="s">
        <v>58</v>
      </c>
      <c r="L87" s="177">
        <v>44355</v>
      </c>
      <c r="M87" s="174">
        <v>13</v>
      </c>
      <c r="N87" s="179">
        <v>3.25</v>
      </c>
      <c r="O87" s="174" t="s">
        <v>20</v>
      </c>
      <c r="P87" s="174">
        <v>99</v>
      </c>
    </row>
    <row r="88" spans="1:16" s="174" customFormat="1" ht="35" hidden="1" customHeight="1">
      <c r="A88" s="174">
        <f>ROW()-3</f>
        <v>85</v>
      </c>
      <c r="B88" s="174" t="s">
        <v>14</v>
      </c>
      <c r="C88" s="174" t="s">
        <v>966</v>
      </c>
      <c r="D88" s="174" t="s">
        <v>1093</v>
      </c>
      <c r="E88" s="174" t="s">
        <v>1094</v>
      </c>
      <c r="F88" s="174" t="s">
        <v>1217</v>
      </c>
      <c r="G88" s="174" t="s">
        <v>1218</v>
      </c>
      <c r="H88" s="174" t="s">
        <v>1216</v>
      </c>
      <c r="I88" s="174" t="s">
        <v>17</v>
      </c>
      <c r="J88" s="174" t="s">
        <v>57</v>
      </c>
      <c r="K88" s="174" t="s">
        <v>154</v>
      </c>
      <c r="L88" s="177">
        <v>44363</v>
      </c>
      <c r="M88" s="174">
        <v>21</v>
      </c>
      <c r="N88" s="179">
        <v>4.03</v>
      </c>
      <c r="O88" s="174" t="s">
        <v>30</v>
      </c>
      <c r="P88" s="174">
        <v>98</v>
      </c>
    </row>
    <row r="89" spans="1:16" s="174" customFormat="1" ht="35" hidden="1" customHeight="1">
      <c r="A89" s="174">
        <f>ROW()-3</f>
        <v>86</v>
      </c>
      <c r="B89" s="174" t="s">
        <v>14</v>
      </c>
      <c r="C89" s="174" t="s">
        <v>966</v>
      </c>
      <c r="D89" s="174" t="s">
        <v>1043</v>
      </c>
      <c r="E89" s="174" t="s">
        <v>1044</v>
      </c>
      <c r="F89" s="174" t="s">
        <v>1219</v>
      </c>
      <c r="G89" s="174" t="s">
        <v>1219</v>
      </c>
      <c r="H89" s="174" t="s">
        <v>1220</v>
      </c>
      <c r="I89" s="174" t="s">
        <v>17</v>
      </c>
      <c r="J89" s="174" t="s">
        <v>39</v>
      </c>
      <c r="K89" s="174" t="s">
        <v>1203</v>
      </c>
      <c r="L89" s="177">
        <v>44364</v>
      </c>
      <c r="M89" s="174">
        <v>15</v>
      </c>
      <c r="N89" s="179">
        <v>4.12</v>
      </c>
      <c r="O89" s="174" t="s">
        <v>20</v>
      </c>
      <c r="P89" s="174">
        <v>99</v>
      </c>
    </row>
    <row r="90" spans="1:16" s="174" customFormat="1" ht="35" hidden="1" customHeight="1">
      <c r="A90" s="174">
        <f>ROW()-3</f>
        <v>87</v>
      </c>
      <c r="B90" s="174" t="s">
        <v>14</v>
      </c>
      <c r="C90" s="174" t="s">
        <v>966</v>
      </c>
      <c r="D90" s="174" t="s">
        <v>960</v>
      </c>
      <c r="E90" s="174" t="s">
        <v>968</v>
      </c>
      <c r="F90" s="174" t="s">
        <v>1221</v>
      </c>
      <c r="G90" s="174" t="s">
        <v>1222</v>
      </c>
      <c r="H90" s="174" t="s">
        <v>1223</v>
      </c>
      <c r="I90" s="174" t="s">
        <v>29</v>
      </c>
      <c r="J90" s="174" t="s">
        <v>960</v>
      </c>
      <c r="K90" s="174" t="s">
        <v>174</v>
      </c>
      <c r="L90" s="177">
        <v>44375</v>
      </c>
      <c r="M90" s="174">
        <v>102</v>
      </c>
      <c r="N90" s="179">
        <v>18.7</v>
      </c>
      <c r="O90" s="174" t="s">
        <v>20</v>
      </c>
      <c r="P90" s="174">
        <v>99</v>
      </c>
    </row>
    <row r="91" spans="1:16" s="174" customFormat="1" ht="35" hidden="1" customHeight="1">
      <c r="A91" s="174">
        <f>ROW()-3</f>
        <v>88</v>
      </c>
      <c r="B91" s="174" t="s">
        <v>14</v>
      </c>
      <c r="C91" s="174" t="s">
        <v>966</v>
      </c>
      <c r="D91" s="174" t="s">
        <v>951</v>
      </c>
      <c r="E91" s="174" t="s">
        <v>987</v>
      </c>
      <c r="F91" s="174" t="s">
        <v>1224</v>
      </c>
      <c r="G91" s="174" t="s">
        <v>1225</v>
      </c>
      <c r="H91" s="174" t="s">
        <v>1226</v>
      </c>
      <c r="I91" s="174" t="s">
        <v>29</v>
      </c>
      <c r="J91" s="174" t="s">
        <v>173</v>
      </c>
      <c r="K91" s="174" t="s">
        <v>154</v>
      </c>
      <c r="L91" s="177">
        <v>44385</v>
      </c>
      <c r="M91" s="174">
        <v>37</v>
      </c>
      <c r="N91" s="179">
        <v>9.25</v>
      </c>
      <c r="O91" s="174" t="s">
        <v>20</v>
      </c>
      <c r="P91" s="174">
        <v>99</v>
      </c>
    </row>
    <row r="92" spans="1:16" s="174" customFormat="1" ht="35" hidden="1" customHeight="1">
      <c r="A92" s="174">
        <f>ROW()-3</f>
        <v>89</v>
      </c>
      <c r="B92" s="174" t="s">
        <v>14</v>
      </c>
      <c r="C92" s="174" t="s">
        <v>966</v>
      </c>
      <c r="D92" s="174" t="s">
        <v>1043</v>
      </c>
      <c r="E92" s="174" t="s">
        <v>1044</v>
      </c>
      <c r="F92" s="174" t="s">
        <v>1227</v>
      </c>
      <c r="G92" s="174" t="s">
        <v>1228</v>
      </c>
      <c r="H92" s="174" t="s">
        <v>1229</v>
      </c>
      <c r="I92" s="174" t="s">
        <v>29</v>
      </c>
      <c r="J92" s="174" t="s">
        <v>39</v>
      </c>
      <c r="K92" s="174" t="s">
        <v>1203</v>
      </c>
      <c r="L92" s="177">
        <v>44385</v>
      </c>
      <c r="M92" s="174">
        <v>21</v>
      </c>
      <c r="N92" s="179">
        <v>3.5</v>
      </c>
      <c r="O92" s="174" t="s">
        <v>20</v>
      </c>
      <c r="P92" s="174">
        <v>99</v>
      </c>
    </row>
    <row r="93" spans="1:16" s="174" customFormat="1" ht="35" hidden="1" customHeight="1">
      <c r="A93" s="174">
        <f>ROW()-3</f>
        <v>90</v>
      </c>
      <c r="B93" s="174" t="s">
        <v>14</v>
      </c>
      <c r="C93" s="174" t="s">
        <v>966</v>
      </c>
      <c r="D93" s="174" t="s">
        <v>961</v>
      </c>
      <c r="E93" s="174" t="s">
        <v>962</v>
      </c>
      <c r="F93" s="174" t="s">
        <v>1230</v>
      </c>
      <c r="G93" s="174" t="s">
        <v>1231</v>
      </c>
      <c r="H93" s="174" t="s">
        <v>1232</v>
      </c>
      <c r="I93" s="174" t="s">
        <v>939</v>
      </c>
      <c r="J93" s="174" t="s">
        <v>816</v>
      </c>
      <c r="K93" s="174" t="s">
        <v>174</v>
      </c>
      <c r="L93" s="177">
        <v>44391</v>
      </c>
      <c r="M93" s="174">
        <v>15</v>
      </c>
      <c r="N93" s="179">
        <v>5.46</v>
      </c>
      <c r="O93" s="174" t="s">
        <v>30</v>
      </c>
      <c r="P93" s="174">
        <v>99</v>
      </c>
    </row>
    <row r="94" spans="1:16" s="174" customFormat="1" ht="35" hidden="1" customHeight="1">
      <c r="A94" s="174">
        <f>ROW()-3</f>
        <v>91</v>
      </c>
      <c r="B94" s="174" t="s">
        <v>14</v>
      </c>
      <c r="C94" s="174" t="s">
        <v>966</v>
      </c>
      <c r="D94" s="174" t="s">
        <v>960</v>
      </c>
      <c r="E94" s="174" t="s">
        <v>968</v>
      </c>
      <c r="F94" s="174" t="s">
        <v>1233</v>
      </c>
      <c r="G94" s="174" t="s">
        <v>1234</v>
      </c>
      <c r="H94" s="174" t="s">
        <v>1235</v>
      </c>
      <c r="I94" s="174" t="s">
        <v>29</v>
      </c>
      <c r="J94" s="174" t="s">
        <v>960</v>
      </c>
      <c r="K94" s="174" t="s">
        <v>174</v>
      </c>
      <c r="L94" s="177">
        <v>44410</v>
      </c>
      <c r="M94" s="174">
        <v>40</v>
      </c>
      <c r="N94" s="179">
        <v>6.66</v>
      </c>
      <c r="O94" s="174" t="s">
        <v>20</v>
      </c>
      <c r="P94" s="174">
        <v>99</v>
      </c>
    </row>
    <row r="95" spans="1:16" s="174" customFormat="1" ht="35" hidden="1" customHeight="1">
      <c r="A95" s="174">
        <f>ROW()-3</f>
        <v>92</v>
      </c>
      <c r="B95" s="174" t="s">
        <v>14</v>
      </c>
      <c r="C95" s="174" t="s">
        <v>966</v>
      </c>
      <c r="D95" s="174" t="s">
        <v>951</v>
      </c>
      <c r="E95" s="174" t="s">
        <v>956</v>
      </c>
      <c r="F95" s="174" t="s">
        <v>1236</v>
      </c>
      <c r="G95" s="174" t="s">
        <v>1237</v>
      </c>
      <c r="H95" s="174" t="s">
        <v>1238</v>
      </c>
      <c r="I95" s="174" t="s">
        <v>29</v>
      </c>
      <c r="J95" s="174" t="s">
        <v>39</v>
      </c>
      <c r="K95" s="174" t="s">
        <v>75</v>
      </c>
      <c r="L95" s="177">
        <v>44416</v>
      </c>
      <c r="M95" s="174">
        <v>23</v>
      </c>
      <c r="N95" s="179">
        <v>5.0999999999999996</v>
      </c>
      <c r="O95" s="174" t="s">
        <v>20</v>
      </c>
      <c r="P95" s="174">
        <v>129</v>
      </c>
    </row>
    <row r="96" spans="1:16" s="174" customFormat="1" ht="35" hidden="1" customHeight="1">
      <c r="A96" s="174">
        <f>ROW()-3</f>
        <v>93</v>
      </c>
      <c r="B96" s="174" t="s">
        <v>14</v>
      </c>
      <c r="C96" s="174" t="s">
        <v>966</v>
      </c>
      <c r="D96" s="174" t="s">
        <v>978</v>
      </c>
      <c r="E96" s="174" t="s">
        <v>1120</v>
      </c>
      <c r="F96" s="174" t="s">
        <v>1239</v>
      </c>
      <c r="G96" s="174" t="s">
        <v>1240</v>
      </c>
      <c r="H96" s="174" t="s">
        <v>1241</v>
      </c>
      <c r="I96" s="174" t="s">
        <v>29</v>
      </c>
      <c r="J96" s="174" t="s">
        <v>34</v>
      </c>
      <c r="K96" s="174" t="s">
        <v>154</v>
      </c>
      <c r="L96" s="177">
        <v>44426</v>
      </c>
      <c r="M96" s="174">
        <v>19</v>
      </c>
      <c r="N96" s="179">
        <v>2.09</v>
      </c>
      <c r="O96" s="174" t="s">
        <v>30</v>
      </c>
      <c r="P96" s="174">
        <v>69</v>
      </c>
    </row>
    <row r="97" spans="1:16" s="174" customFormat="1" ht="35" hidden="1" customHeight="1">
      <c r="A97" s="174">
        <f>ROW()-3</f>
        <v>94</v>
      </c>
      <c r="B97" s="174" t="s">
        <v>14</v>
      </c>
      <c r="C97" s="174" t="s">
        <v>966</v>
      </c>
      <c r="D97" s="174" t="s">
        <v>1084</v>
      </c>
      <c r="E97" s="174" t="s">
        <v>1085</v>
      </c>
      <c r="F97" s="174" t="s">
        <v>1242</v>
      </c>
      <c r="G97" s="174" t="s">
        <v>1243</v>
      </c>
      <c r="H97" s="174" t="s">
        <v>1244</v>
      </c>
      <c r="I97" s="174" t="s">
        <v>17</v>
      </c>
      <c r="J97" s="174" t="s">
        <v>57</v>
      </c>
      <c r="K97" s="174" t="s">
        <v>154</v>
      </c>
      <c r="L97" s="177">
        <v>44437</v>
      </c>
      <c r="M97" s="174">
        <v>16</v>
      </c>
      <c r="N97" s="179">
        <v>4</v>
      </c>
      <c r="O97" s="174" t="s">
        <v>20</v>
      </c>
      <c r="P97" s="174">
        <v>198</v>
      </c>
    </row>
    <row r="98" spans="1:16" s="174" customFormat="1" ht="35" hidden="1" customHeight="1">
      <c r="A98" s="174">
        <f>ROW()-3</f>
        <v>95</v>
      </c>
      <c r="B98" s="174" t="s">
        <v>14</v>
      </c>
      <c r="C98" s="174" t="s">
        <v>966</v>
      </c>
      <c r="D98" s="174" t="s">
        <v>961</v>
      </c>
      <c r="E98" s="174" t="s">
        <v>983</v>
      </c>
      <c r="F98" s="174" t="s">
        <v>1245</v>
      </c>
      <c r="G98" s="174" t="s">
        <v>1246</v>
      </c>
      <c r="H98" s="174" t="s">
        <v>1247</v>
      </c>
      <c r="I98" s="174" t="s">
        <v>29</v>
      </c>
      <c r="J98" s="174" t="s">
        <v>986</v>
      </c>
      <c r="K98" s="174" t="s">
        <v>67</v>
      </c>
      <c r="L98" s="177">
        <v>44437</v>
      </c>
      <c r="M98" s="174">
        <v>13</v>
      </c>
      <c r="N98" s="179">
        <v>1.6</v>
      </c>
      <c r="O98" s="174" t="s">
        <v>20</v>
      </c>
      <c r="P98" s="174">
        <v>66</v>
      </c>
    </row>
    <row r="99" spans="1:16" s="174" customFormat="1" ht="35" hidden="1" customHeight="1">
      <c r="A99" s="174">
        <f>ROW()-3</f>
        <v>96</v>
      </c>
      <c r="B99" s="174" t="s">
        <v>14</v>
      </c>
      <c r="C99" s="174" t="s">
        <v>966</v>
      </c>
      <c r="D99" s="174" t="s">
        <v>961</v>
      </c>
      <c r="E99" s="174" t="s">
        <v>1127</v>
      </c>
      <c r="F99" s="174" t="s">
        <v>1248</v>
      </c>
      <c r="G99" s="174" t="s">
        <v>1248</v>
      </c>
      <c r="H99" s="174" t="s">
        <v>1249</v>
      </c>
      <c r="I99" s="174" t="s">
        <v>29</v>
      </c>
      <c r="J99" s="174" t="s">
        <v>932</v>
      </c>
      <c r="K99" s="174" t="s">
        <v>174</v>
      </c>
      <c r="L99" s="177">
        <v>44446</v>
      </c>
      <c r="M99" s="174">
        <v>11</v>
      </c>
      <c r="N99" s="179">
        <v>0.8</v>
      </c>
      <c r="O99" s="174" t="s">
        <v>30</v>
      </c>
      <c r="P99" s="174">
        <v>99</v>
      </c>
    </row>
    <row r="100" spans="1:16" s="174" customFormat="1" ht="35" hidden="1" customHeight="1">
      <c r="A100" s="174">
        <f>ROW()-3</f>
        <v>97</v>
      </c>
      <c r="B100" s="174" t="s">
        <v>14</v>
      </c>
      <c r="C100" s="174" t="s">
        <v>966</v>
      </c>
      <c r="D100" s="174" t="s">
        <v>978</v>
      </c>
      <c r="E100" s="174" t="s">
        <v>979</v>
      </c>
      <c r="F100" s="174" t="s">
        <v>1250</v>
      </c>
      <c r="G100" s="174" t="s">
        <v>1250</v>
      </c>
      <c r="H100" s="174" t="s">
        <v>1251</v>
      </c>
      <c r="I100" s="174" t="s">
        <v>17</v>
      </c>
      <c r="J100" s="174" t="s">
        <v>39</v>
      </c>
      <c r="K100" s="174" t="s">
        <v>1252</v>
      </c>
      <c r="L100" s="177">
        <v>44477</v>
      </c>
      <c r="M100" s="174">
        <v>20</v>
      </c>
      <c r="N100" s="179">
        <v>4</v>
      </c>
      <c r="O100" s="174" t="s">
        <v>20</v>
      </c>
      <c r="P100" s="174">
        <v>399</v>
      </c>
    </row>
    <row r="101" spans="1:16" s="174" customFormat="1" ht="35" hidden="1" customHeight="1">
      <c r="A101" s="174">
        <f>ROW()-3</f>
        <v>98</v>
      </c>
      <c r="B101" s="174" t="s">
        <v>14</v>
      </c>
      <c r="C101" s="174" t="s">
        <v>966</v>
      </c>
      <c r="D101" s="174" t="s">
        <v>1023</v>
      </c>
      <c r="E101" s="174" t="s">
        <v>1024</v>
      </c>
      <c r="F101" s="174" t="s">
        <v>1253</v>
      </c>
      <c r="G101" s="174" t="s">
        <v>1253</v>
      </c>
      <c r="H101" s="174" t="s">
        <v>61</v>
      </c>
      <c r="I101" s="174" t="s">
        <v>17</v>
      </c>
      <c r="J101" s="174" t="s">
        <v>34</v>
      </c>
      <c r="K101" s="174" t="s">
        <v>63</v>
      </c>
      <c r="L101" s="177">
        <v>44477</v>
      </c>
      <c r="M101" s="174">
        <v>8</v>
      </c>
      <c r="N101" s="179">
        <v>1</v>
      </c>
      <c r="O101" s="174" t="s">
        <v>20</v>
      </c>
      <c r="P101" s="174">
        <v>99</v>
      </c>
    </row>
    <row r="102" spans="1:16" s="174" customFormat="1" ht="35" hidden="1" customHeight="1">
      <c r="A102" s="174">
        <f>ROW()-3</f>
        <v>99</v>
      </c>
      <c r="B102" s="174" t="s">
        <v>14</v>
      </c>
      <c r="C102" s="174" t="s">
        <v>966</v>
      </c>
      <c r="D102" s="174" t="s">
        <v>978</v>
      </c>
      <c r="E102" s="174" t="s">
        <v>979</v>
      </c>
      <c r="F102" s="174" t="s">
        <v>1254</v>
      </c>
      <c r="G102" s="174" t="s">
        <v>1254</v>
      </c>
      <c r="H102" s="174" t="s">
        <v>1255</v>
      </c>
      <c r="I102" s="174" t="s">
        <v>17</v>
      </c>
      <c r="J102" s="174" t="s">
        <v>160</v>
      </c>
      <c r="K102" s="174" t="s">
        <v>25</v>
      </c>
      <c r="L102" s="177">
        <v>44478</v>
      </c>
      <c r="M102" s="174">
        <v>14</v>
      </c>
      <c r="N102" s="179">
        <v>2.2999999999999998</v>
      </c>
      <c r="O102" s="174" t="s">
        <v>20</v>
      </c>
      <c r="P102" s="174">
        <v>199</v>
      </c>
    </row>
    <row r="103" spans="1:16" s="174" customFormat="1" ht="35" hidden="1" customHeight="1">
      <c r="A103" s="174">
        <f>ROW()-3</f>
        <v>100</v>
      </c>
      <c r="B103" s="174" t="s">
        <v>14</v>
      </c>
      <c r="C103" s="174" t="s">
        <v>966</v>
      </c>
      <c r="D103" s="174" t="s">
        <v>1043</v>
      </c>
      <c r="E103" s="174" t="s">
        <v>1195</v>
      </c>
      <c r="F103" s="174" t="s">
        <v>1256</v>
      </c>
      <c r="G103" s="174" t="s">
        <v>1257</v>
      </c>
      <c r="H103" s="174" t="s">
        <v>942</v>
      </c>
      <c r="I103" s="174" t="s">
        <v>17</v>
      </c>
      <c r="J103" s="174" t="s">
        <v>39</v>
      </c>
      <c r="K103" s="174" t="s">
        <v>174</v>
      </c>
      <c r="L103" s="177">
        <v>44501</v>
      </c>
      <c r="M103" s="174">
        <v>22</v>
      </c>
      <c r="N103" s="179">
        <v>3.6</v>
      </c>
      <c r="O103" s="174" t="s">
        <v>30</v>
      </c>
      <c r="P103" s="174">
        <v>199</v>
      </c>
    </row>
    <row r="104" spans="1:16" s="174" customFormat="1" ht="35" hidden="1" customHeight="1">
      <c r="A104" s="174">
        <f>ROW()-3</f>
        <v>101</v>
      </c>
      <c r="B104" s="174" t="s">
        <v>14</v>
      </c>
      <c r="C104" s="174" t="s">
        <v>966</v>
      </c>
      <c r="D104" s="174" t="s">
        <v>961</v>
      </c>
      <c r="E104" s="174" t="s">
        <v>1127</v>
      </c>
      <c r="F104" s="174" t="s">
        <v>1258</v>
      </c>
      <c r="G104" s="174" t="s">
        <v>1258</v>
      </c>
      <c r="H104" s="174" t="s">
        <v>1259</v>
      </c>
      <c r="I104" s="174" t="s">
        <v>29</v>
      </c>
      <c r="J104" s="174" t="s">
        <v>932</v>
      </c>
      <c r="K104" s="174" t="s">
        <v>174</v>
      </c>
      <c r="L104" s="177">
        <v>44510</v>
      </c>
      <c r="M104" s="174">
        <v>25</v>
      </c>
      <c r="N104" s="179">
        <v>5</v>
      </c>
      <c r="O104" s="174" t="s">
        <v>20</v>
      </c>
      <c r="P104" s="174">
        <v>99</v>
      </c>
    </row>
    <row r="105" spans="1:16" s="174" customFormat="1" ht="35" hidden="1" customHeight="1">
      <c r="A105" s="174">
        <f>ROW()-3</f>
        <v>102</v>
      </c>
      <c r="B105" s="174" t="s">
        <v>14</v>
      </c>
      <c r="C105" s="174" t="s">
        <v>966</v>
      </c>
      <c r="D105" s="174" t="s">
        <v>62</v>
      </c>
      <c r="E105" s="174" t="s">
        <v>1065</v>
      </c>
      <c r="F105" s="174" t="s">
        <v>1260</v>
      </c>
      <c r="G105" s="174" t="s">
        <v>1260</v>
      </c>
      <c r="H105" s="174" t="s">
        <v>1261</v>
      </c>
      <c r="I105" s="174" t="s">
        <v>29</v>
      </c>
      <c r="J105" s="174" t="s">
        <v>160</v>
      </c>
      <c r="K105" s="174" t="s">
        <v>25</v>
      </c>
      <c r="L105" s="177">
        <v>44517</v>
      </c>
      <c r="M105" s="174">
        <v>31</v>
      </c>
      <c r="N105" s="179">
        <v>7.7</v>
      </c>
      <c r="O105" s="174" t="s">
        <v>20</v>
      </c>
      <c r="P105" s="174">
        <v>99</v>
      </c>
    </row>
    <row r="106" spans="1:16" s="174" customFormat="1" ht="35" hidden="1" customHeight="1">
      <c r="A106" s="174">
        <f>ROW()-3</f>
        <v>103</v>
      </c>
      <c r="B106" s="174" t="s">
        <v>14</v>
      </c>
      <c r="C106" s="174" t="s">
        <v>966</v>
      </c>
      <c r="D106" s="174" t="s">
        <v>978</v>
      </c>
      <c r="E106" s="174" t="s">
        <v>979</v>
      </c>
      <c r="F106" s="174" t="s">
        <v>1262</v>
      </c>
      <c r="G106" s="174" t="s">
        <v>1262</v>
      </c>
      <c r="H106" s="174" t="s">
        <v>61</v>
      </c>
      <c r="I106" s="174" t="s">
        <v>17</v>
      </c>
      <c r="J106" s="174" t="s">
        <v>66</v>
      </c>
      <c r="K106" s="174" t="s">
        <v>67</v>
      </c>
      <c r="L106" s="177">
        <v>44526</v>
      </c>
      <c r="M106" s="174">
        <v>40</v>
      </c>
      <c r="N106" s="179">
        <v>10</v>
      </c>
      <c r="O106" s="174" t="s">
        <v>20</v>
      </c>
      <c r="P106" s="174">
        <v>399</v>
      </c>
    </row>
    <row r="107" spans="1:16" s="174" customFormat="1" ht="35" hidden="1" customHeight="1">
      <c r="A107" s="174">
        <f>ROW()-3</f>
        <v>104</v>
      </c>
      <c r="B107" s="174" t="s">
        <v>14</v>
      </c>
      <c r="C107" s="174" t="s">
        <v>966</v>
      </c>
      <c r="D107" s="174" t="s">
        <v>961</v>
      </c>
      <c r="E107" s="174" t="s">
        <v>1127</v>
      </c>
      <c r="F107" s="174" t="s">
        <v>1263</v>
      </c>
      <c r="G107" s="174" t="s">
        <v>1263</v>
      </c>
      <c r="H107" s="174" t="s">
        <v>1264</v>
      </c>
      <c r="I107" s="174" t="s">
        <v>17</v>
      </c>
      <c r="J107" s="174" t="s">
        <v>932</v>
      </c>
      <c r="K107" s="174" t="s">
        <v>174</v>
      </c>
      <c r="L107" s="177">
        <v>44526</v>
      </c>
      <c r="M107" s="174">
        <v>27</v>
      </c>
      <c r="N107" s="179">
        <v>1.35</v>
      </c>
      <c r="O107" s="174" t="s">
        <v>20</v>
      </c>
      <c r="P107" s="174">
        <v>199</v>
      </c>
    </row>
    <row r="108" spans="1:16" s="174" customFormat="1" ht="35" hidden="1" customHeight="1">
      <c r="A108" s="174">
        <f>ROW()-3</f>
        <v>105</v>
      </c>
      <c r="B108" s="174" t="s">
        <v>14</v>
      </c>
      <c r="C108" s="174" t="s">
        <v>966</v>
      </c>
      <c r="D108" s="174" t="s">
        <v>961</v>
      </c>
      <c r="E108" s="174" t="s">
        <v>1127</v>
      </c>
      <c r="F108" s="174" t="s">
        <v>1265</v>
      </c>
      <c r="G108" s="174" t="s">
        <v>1265</v>
      </c>
      <c r="H108" s="174" t="s">
        <v>1266</v>
      </c>
      <c r="I108" s="174" t="s">
        <v>17</v>
      </c>
      <c r="J108" s="174" t="s">
        <v>932</v>
      </c>
      <c r="K108" s="174" t="s">
        <v>174</v>
      </c>
      <c r="L108" s="177">
        <v>44526</v>
      </c>
      <c r="M108" s="174">
        <v>10</v>
      </c>
      <c r="N108" s="179">
        <v>1.6</v>
      </c>
      <c r="O108" s="174" t="s">
        <v>30</v>
      </c>
      <c r="P108" s="174">
        <v>169</v>
      </c>
    </row>
    <row r="109" spans="1:16" s="174" customFormat="1" ht="35" hidden="1" customHeight="1">
      <c r="A109" s="174">
        <f>ROW()-3</f>
        <v>106</v>
      </c>
      <c r="B109" s="174" t="s">
        <v>14</v>
      </c>
      <c r="C109" s="174" t="s">
        <v>966</v>
      </c>
      <c r="D109" s="174" t="s">
        <v>961</v>
      </c>
      <c r="E109" s="174" t="s">
        <v>1127</v>
      </c>
      <c r="F109" s="174" t="s">
        <v>1267</v>
      </c>
      <c r="G109" s="174" t="s">
        <v>1267</v>
      </c>
      <c r="H109" s="174" t="s">
        <v>950</v>
      </c>
      <c r="I109" s="174" t="s">
        <v>17</v>
      </c>
      <c r="J109" s="174" t="s">
        <v>932</v>
      </c>
      <c r="K109" s="174" t="s">
        <v>174</v>
      </c>
      <c r="L109" s="177">
        <v>44526</v>
      </c>
      <c r="M109" s="174">
        <v>14</v>
      </c>
      <c r="N109" s="179">
        <v>8.75</v>
      </c>
      <c r="O109" s="174" t="s">
        <v>30</v>
      </c>
      <c r="P109" s="174">
        <v>168</v>
      </c>
    </row>
    <row r="110" spans="1:16" s="174" customFormat="1" ht="35" hidden="1" customHeight="1">
      <c r="A110" s="174">
        <f>ROW()-3</f>
        <v>107</v>
      </c>
      <c r="B110" s="174" t="s">
        <v>14</v>
      </c>
      <c r="C110" s="174" t="s">
        <v>966</v>
      </c>
      <c r="D110" s="174" t="s">
        <v>951</v>
      </c>
      <c r="E110" s="174" t="s">
        <v>956</v>
      </c>
      <c r="F110" s="174" t="s">
        <v>1268</v>
      </c>
      <c r="G110" s="174" t="s">
        <v>1268</v>
      </c>
      <c r="H110" s="174" t="s">
        <v>1269</v>
      </c>
      <c r="I110" s="174" t="s">
        <v>17</v>
      </c>
      <c r="J110" s="174" t="s">
        <v>932</v>
      </c>
      <c r="K110" s="174" t="s">
        <v>174</v>
      </c>
      <c r="L110" s="177">
        <v>44526</v>
      </c>
      <c r="M110" s="174">
        <v>20</v>
      </c>
      <c r="N110" s="179">
        <v>2.6</v>
      </c>
      <c r="O110" s="174" t="s">
        <v>30</v>
      </c>
      <c r="P110" s="174">
        <v>1499</v>
      </c>
    </row>
    <row r="111" spans="1:16" s="174" customFormat="1" ht="35" hidden="1" customHeight="1">
      <c r="A111" s="174">
        <f>ROW()-3</f>
        <v>108</v>
      </c>
      <c r="B111" s="174" t="s">
        <v>14</v>
      </c>
      <c r="C111" s="174" t="s">
        <v>966</v>
      </c>
      <c r="D111" s="174" t="s">
        <v>961</v>
      </c>
      <c r="E111" s="174" t="s">
        <v>1127</v>
      </c>
      <c r="F111" s="174" t="s">
        <v>1270</v>
      </c>
      <c r="G111" s="174" t="s">
        <v>1270</v>
      </c>
      <c r="H111" s="174" t="s">
        <v>1269</v>
      </c>
      <c r="I111" s="174" t="s">
        <v>17</v>
      </c>
      <c r="J111" s="174" t="s">
        <v>932</v>
      </c>
      <c r="K111" s="174" t="s">
        <v>174</v>
      </c>
      <c r="L111" s="177">
        <v>44526</v>
      </c>
      <c r="M111" s="174">
        <v>9</v>
      </c>
      <c r="N111" s="179">
        <v>1.5</v>
      </c>
      <c r="O111" s="174" t="s">
        <v>20</v>
      </c>
      <c r="P111" s="174">
        <v>199</v>
      </c>
    </row>
    <row r="112" spans="1:16" s="174" customFormat="1" ht="35" hidden="1" customHeight="1">
      <c r="A112" s="174">
        <f>ROW()-3</f>
        <v>109</v>
      </c>
      <c r="B112" s="174" t="s">
        <v>14</v>
      </c>
      <c r="C112" s="174" t="s">
        <v>966</v>
      </c>
      <c r="D112" s="174" t="s">
        <v>62</v>
      </c>
      <c r="E112" s="174" t="s">
        <v>1001</v>
      </c>
      <c r="F112" s="174" t="s">
        <v>1271</v>
      </c>
      <c r="G112" s="174" t="s">
        <v>1271</v>
      </c>
      <c r="H112" s="174" t="s">
        <v>5672</v>
      </c>
      <c r="I112" s="174" t="s">
        <v>17</v>
      </c>
      <c r="J112" s="174" t="s">
        <v>160</v>
      </c>
      <c r="K112" s="174" t="s">
        <v>25</v>
      </c>
      <c r="L112" s="177">
        <v>44526</v>
      </c>
      <c r="M112" s="174">
        <v>38</v>
      </c>
      <c r="N112" s="179">
        <v>13.9</v>
      </c>
      <c r="O112" s="174" t="s">
        <v>20</v>
      </c>
      <c r="P112" s="174">
        <v>169</v>
      </c>
    </row>
    <row r="113" spans="1:16" s="174" customFormat="1" ht="35" hidden="1" customHeight="1">
      <c r="A113" s="174">
        <f>ROW()-3</f>
        <v>110</v>
      </c>
      <c r="B113" s="174" t="s">
        <v>14</v>
      </c>
      <c r="C113" s="174" t="s">
        <v>966</v>
      </c>
      <c r="D113" s="174" t="s">
        <v>1023</v>
      </c>
      <c r="E113" s="174" t="s">
        <v>1024</v>
      </c>
      <c r="F113" s="174" t="s">
        <v>1273</v>
      </c>
      <c r="G113" s="174" t="s">
        <v>1273</v>
      </c>
      <c r="H113" s="174" t="s">
        <v>1274</v>
      </c>
      <c r="I113" s="174" t="s">
        <v>17</v>
      </c>
      <c r="J113" s="174" t="s">
        <v>5674</v>
      </c>
      <c r="K113" s="174" t="s">
        <v>2655</v>
      </c>
      <c r="L113" s="177">
        <v>44531</v>
      </c>
      <c r="M113" s="174">
        <v>28</v>
      </c>
      <c r="N113" s="179">
        <v>6.543333333333333</v>
      </c>
      <c r="O113" s="174" t="s">
        <v>20</v>
      </c>
      <c r="P113" s="174">
        <v>89</v>
      </c>
    </row>
    <row r="114" spans="1:16" s="174" customFormat="1" ht="35" hidden="1" customHeight="1">
      <c r="A114" s="174">
        <f>ROW()-3</f>
        <v>111</v>
      </c>
      <c r="B114" s="174" t="s">
        <v>14</v>
      </c>
      <c r="C114" s="174" t="s">
        <v>966</v>
      </c>
      <c r="D114" s="174" t="s">
        <v>5673</v>
      </c>
      <c r="E114" s="174" t="s">
        <v>1001</v>
      </c>
      <c r="F114" s="174" t="s">
        <v>1275</v>
      </c>
      <c r="G114" s="174" t="s">
        <v>1275</v>
      </c>
      <c r="H114" s="174" t="s">
        <v>1276</v>
      </c>
      <c r="I114" s="174" t="s">
        <v>29</v>
      </c>
      <c r="J114" s="174" t="s">
        <v>2663</v>
      </c>
      <c r="K114" s="174" t="s">
        <v>2666</v>
      </c>
      <c r="L114" s="177">
        <v>44531</v>
      </c>
      <c r="M114" s="174">
        <v>11</v>
      </c>
      <c r="N114" s="179">
        <v>2.0099999999999998</v>
      </c>
      <c r="O114" s="174" t="s">
        <v>20</v>
      </c>
      <c r="P114" s="174">
        <v>49</v>
      </c>
    </row>
    <row r="115" spans="1:16" s="174" customFormat="1" ht="35" hidden="1" customHeight="1">
      <c r="A115" s="174">
        <f>ROW()-3</f>
        <v>112</v>
      </c>
      <c r="B115" s="174" t="s">
        <v>14</v>
      </c>
      <c r="C115" s="174" t="s">
        <v>966</v>
      </c>
      <c r="D115" s="174" t="s">
        <v>961</v>
      </c>
      <c r="E115" s="174" t="s">
        <v>1277</v>
      </c>
      <c r="F115" s="174" t="s">
        <v>1278</v>
      </c>
      <c r="G115" s="174" t="s">
        <v>1279</v>
      </c>
      <c r="H115" s="174" t="s">
        <v>945</v>
      </c>
      <c r="I115" s="174" t="s">
        <v>17</v>
      </c>
      <c r="J115" s="174" t="s">
        <v>2663</v>
      </c>
      <c r="K115" s="174" t="s">
        <v>2666</v>
      </c>
      <c r="L115" s="177">
        <v>44534</v>
      </c>
      <c r="M115" s="174">
        <v>35</v>
      </c>
      <c r="N115" s="179">
        <v>6.6005555555555553</v>
      </c>
      <c r="O115" s="174" t="s">
        <v>20</v>
      </c>
      <c r="P115" s="174">
        <v>199</v>
      </c>
    </row>
    <row r="116" spans="1:16" s="174" customFormat="1" ht="35" hidden="1" customHeight="1">
      <c r="A116" s="174">
        <f>ROW()-3</f>
        <v>113</v>
      </c>
      <c r="B116" s="174" t="s">
        <v>14</v>
      </c>
      <c r="C116" s="174" t="s">
        <v>966</v>
      </c>
      <c r="D116" s="174" t="s">
        <v>961</v>
      </c>
      <c r="E116" s="174" t="s">
        <v>1277</v>
      </c>
      <c r="F116" s="174" t="s">
        <v>1280</v>
      </c>
      <c r="G116" s="174" t="s">
        <v>1280</v>
      </c>
      <c r="H116" s="174" t="s">
        <v>1291</v>
      </c>
      <c r="I116" s="174" t="s">
        <v>29</v>
      </c>
      <c r="J116" s="174" t="s">
        <v>39</v>
      </c>
      <c r="K116" s="174" t="s">
        <v>2666</v>
      </c>
      <c r="L116" s="177">
        <v>44534</v>
      </c>
      <c r="M116" s="174">
        <v>24</v>
      </c>
      <c r="N116" s="179">
        <v>24</v>
      </c>
      <c r="O116" s="174" t="s">
        <v>20</v>
      </c>
      <c r="P116" s="174">
        <v>0</v>
      </c>
    </row>
    <row r="117" spans="1:16" s="174" customFormat="1" ht="35" hidden="1" customHeight="1">
      <c r="A117" s="174">
        <f>ROW()-3</f>
        <v>114</v>
      </c>
      <c r="B117" s="174" t="s">
        <v>14</v>
      </c>
      <c r="C117" s="174" t="s">
        <v>966</v>
      </c>
      <c r="D117" s="174" t="s">
        <v>62</v>
      </c>
      <c r="E117" s="174" t="s">
        <v>1001</v>
      </c>
      <c r="F117" s="174" t="s">
        <v>1281</v>
      </c>
      <c r="G117" s="174" t="s">
        <v>1281</v>
      </c>
      <c r="H117" s="174" t="s">
        <v>1282</v>
      </c>
      <c r="I117" s="174" t="s">
        <v>17</v>
      </c>
      <c r="J117" s="174" t="s">
        <v>34</v>
      </c>
      <c r="K117" s="174" t="s">
        <v>2655</v>
      </c>
      <c r="L117" s="177">
        <v>44534</v>
      </c>
      <c r="M117" s="174">
        <v>36</v>
      </c>
      <c r="N117" s="179">
        <v>7.7336111111111112</v>
      </c>
      <c r="O117" s="174" t="s">
        <v>20</v>
      </c>
      <c r="P117" s="174">
        <v>199</v>
      </c>
    </row>
    <row r="118" spans="1:16" s="174" customFormat="1" ht="35" hidden="1" customHeight="1">
      <c r="A118" s="174">
        <f>ROW()-3</f>
        <v>115</v>
      </c>
      <c r="B118" s="174" t="s">
        <v>14</v>
      </c>
      <c r="C118" s="174" t="s">
        <v>966</v>
      </c>
      <c r="D118" s="174" t="s">
        <v>62</v>
      </c>
      <c r="E118" s="174" t="s">
        <v>1065</v>
      </c>
      <c r="F118" s="174" t="s">
        <v>1283</v>
      </c>
      <c r="G118" s="174" t="s">
        <v>1283</v>
      </c>
      <c r="H118" s="174" t="s">
        <v>1284</v>
      </c>
      <c r="I118" s="174" t="s">
        <v>17</v>
      </c>
      <c r="J118" s="174" t="s">
        <v>2663</v>
      </c>
      <c r="K118" s="174" t="s">
        <v>2666</v>
      </c>
      <c r="L118" s="177">
        <v>44534</v>
      </c>
      <c r="M118" s="174">
        <v>20</v>
      </c>
      <c r="N118" s="179">
        <v>3.0633333333333335</v>
      </c>
      <c r="O118" s="174" t="s">
        <v>20</v>
      </c>
      <c r="P118" s="174">
        <v>199</v>
      </c>
    </row>
    <row r="119" spans="1:16" s="174" customFormat="1" ht="35" hidden="1" customHeight="1">
      <c r="A119" s="174">
        <f>ROW()-3</f>
        <v>116</v>
      </c>
      <c r="B119" s="174" t="s">
        <v>14</v>
      </c>
      <c r="C119" s="174" t="s">
        <v>966</v>
      </c>
      <c r="D119" s="174" t="s">
        <v>1043</v>
      </c>
      <c r="E119" s="174" t="s">
        <v>1195</v>
      </c>
      <c r="F119" s="174" t="s">
        <v>1285</v>
      </c>
      <c r="G119" s="174" t="s">
        <v>1285</v>
      </c>
      <c r="H119" s="174" t="s">
        <v>1286</v>
      </c>
      <c r="I119" s="174" t="s">
        <v>17</v>
      </c>
      <c r="J119" s="174" t="s">
        <v>2663</v>
      </c>
      <c r="K119" s="174" t="s">
        <v>2666</v>
      </c>
      <c r="L119" s="177">
        <v>44534</v>
      </c>
      <c r="M119" s="174">
        <v>19</v>
      </c>
      <c r="N119" s="179">
        <v>3.0972222222222223</v>
      </c>
      <c r="O119" s="174" t="s">
        <v>20</v>
      </c>
      <c r="P119" s="174">
        <v>89</v>
      </c>
    </row>
    <row r="120" spans="1:16" s="174" customFormat="1" ht="35" hidden="1" customHeight="1">
      <c r="A120" s="174">
        <f>ROW()-3</f>
        <v>117</v>
      </c>
      <c r="B120" s="174" t="s">
        <v>14</v>
      </c>
      <c r="C120" s="174" t="s">
        <v>966</v>
      </c>
      <c r="D120" s="174" t="s">
        <v>961</v>
      </c>
      <c r="E120" s="174" t="s">
        <v>962</v>
      </c>
      <c r="F120" s="174" t="s">
        <v>1287</v>
      </c>
      <c r="G120" s="174" t="s">
        <v>1288</v>
      </c>
      <c r="H120" s="174" t="s">
        <v>16</v>
      </c>
      <c r="I120" s="174" t="s">
        <v>17</v>
      </c>
      <c r="J120" s="174" t="s">
        <v>39</v>
      </c>
      <c r="K120" s="174" t="s">
        <v>2666</v>
      </c>
      <c r="L120" s="177">
        <v>44535</v>
      </c>
      <c r="M120" s="174">
        <v>13</v>
      </c>
      <c r="N120" s="179">
        <v>2.7319444444444443</v>
      </c>
      <c r="O120" s="174" t="s">
        <v>20</v>
      </c>
      <c r="P120" s="174">
        <v>99</v>
      </c>
    </row>
    <row r="121" spans="1:16" s="174" customFormat="1" ht="35" hidden="1" customHeight="1">
      <c r="A121" s="174">
        <f>ROW()-3</f>
        <v>118</v>
      </c>
      <c r="B121" s="174" t="s">
        <v>14</v>
      </c>
      <c r="C121" s="174" t="s">
        <v>966</v>
      </c>
      <c r="D121" s="174" t="s">
        <v>961</v>
      </c>
      <c r="E121" s="174" t="s">
        <v>1012</v>
      </c>
      <c r="F121" s="174" t="s">
        <v>1289</v>
      </c>
      <c r="G121" s="174" t="s">
        <v>1289</v>
      </c>
      <c r="H121" s="174" t="s">
        <v>16</v>
      </c>
      <c r="I121" s="174" t="s">
        <v>29</v>
      </c>
      <c r="J121" s="174" t="s">
        <v>2663</v>
      </c>
      <c r="K121" s="174" t="s">
        <v>2666</v>
      </c>
      <c r="L121" s="177">
        <v>44535</v>
      </c>
      <c r="M121" s="174">
        <v>15</v>
      </c>
      <c r="N121" s="179">
        <v>3.0991666666666666</v>
      </c>
      <c r="O121" s="174" t="s">
        <v>20</v>
      </c>
      <c r="P121" s="174">
        <v>99</v>
      </c>
    </row>
    <row r="122" spans="1:16" s="174" customFormat="1" ht="35" hidden="1" customHeight="1">
      <c r="A122" s="174">
        <f>ROW()-3</f>
        <v>119</v>
      </c>
      <c r="B122" s="174" t="s">
        <v>14</v>
      </c>
      <c r="C122" s="174" t="s">
        <v>966</v>
      </c>
      <c r="D122" s="174" t="s">
        <v>961</v>
      </c>
      <c r="E122" s="174" t="s">
        <v>983</v>
      </c>
      <c r="F122" s="174" t="s">
        <v>1290</v>
      </c>
      <c r="G122" s="174" t="s">
        <v>1290</v>
      </c>
      <c r="H122" s="174" t="s">
        <v>1291</v>
      </c>
      <c r="I122" s="174" t="s">
        <v>29</v>
      </c>
      <c r="J122" s="174" t="s">
        <v>2663</v>
      </c>
      <c r="K122" s="174" t="s">
        <v>2666</v>
      </c>
      <c r="L122" s="177">
        <v>44535</v>
      </c>
      <c r="M122" s="174">
        <v>23</v>
      </c>
      <c r="N122" s="179">
        <v>5.3327777777777774</v>
      </c>
      <c r="O122" s="174" t="s">
        <v>20</v>
      </c>
      <c r="P122" s="174">
        <v>119</v>
      </c>
    </row>
    <row r="123" spans="1:16" s="174" customFormat="1" ht="35" hidden="1" customHeight="1">
      <c r="A123" s="174">
        <f>ROW()-3</f>
        <v>120</v>
      </c>
      <c r="B123" s="174" t="s">
        <v>14</v>
      </c>
      <c r="C123" s="174" t="s">
        <v>966</v>
      </c>
      <c r="D123" s="174" t="s">
        <v>960</v>
      </c>
      <c r="E123" s="174" t="s">
        <v>968</v>
      </c>
      <c r="F123" s="174" t="s">
        <v>1292</v>
      </c>
      <c r="G123" s="174" t="s">
        <v>1293</v>
      </c>
      <c r="H123" s="174" t="s">
        <v>599</v>
      </c>
      <c r="I123" s="174" t="s">
        <v>17</v>
      </c>
      <c r="J123" s="174" t="s">
        <v>34</v>
      </c>
      <c r="K123" s="174" t="s">
        <v>58</v>
      </c>
      <c r="L123" s="177">
        <v>44536</v>
      </c>
      <c r="M123" s="174">
        <v>9</v>
      </c>
      <c r="N123" s="179">
        <v>1.4530555555555555</v>
      </c>
      <c r="O123" s="174" t="s">
        <v>20</v>
      </c>
      <c r="P123" s="174">
        <v>128</v>
      </c>
    </row>
    <row r="124" spans="1:16" s="174" customFormat="1" ht="35" hidden="1" customHeight="1">
      <c r="A124" s="174">
        <f>ROW()-3</f>
        <v>121</v>
      </c>
      <c r="B124" s="174" t="s">
        <v>14</v>
      </c>
      <c r="C124" s="174" t="s">
        <v>966</v>
      </c>
      <c r="D124" s="174" t="s">
        <v>960</v>
      </c>
      <c r="E124" s="174" t="s">
        <v>1016</v>
      </c>
      <c r="F124" s="174" t="s">
        <v>1294</v>
      </c>
      <c r="G124" s="174" t="s">
        <v>1295</v>
      </c>
      <c r="H124" s="174" t="s">
        <v>1296</v>
      </c>
      <c r="I124" s="174" t="s">
        <v>17</v>
      </c>
      <c r="J124" s="174" t="s">
        <v>2667</v>
      </c>
      <c r="K124" s="174" t="s">
        <v>25</v>
      </c>
      <c r="L124" s="177">
        <v>44537</v>
      </c>
      <c r="M124" s="174">
        <v>30</v>
      </c>
      <c r="N124" s="179">
        <v>4.3202777777777781</v>
      </c>
      <c r="O124" s="174" t="s">
        <v>20</v>
      </c>
      <c r="P124" s="174">
        <v>99</v>
      </c>
    </row>
    <row r="125" spans="1:16" s="174" customFormat="1" ht="35" hidden="1" customHeight="1">
      <c r="A125" s="174">
        <f>ROW()-3</f>
        <v>122</v>
      </c>
      <c r="B125" s="174" t="s">
        <v>14</v>
      </c>
      <c r="C125" s="174" t="s">
        <v>966</v>
      </c>
      <c r="D125" s="174" t="s">
        <v>978</v>
      </c>
      <c r="E125" s="174" t="s">
        <v>1008</v>
      </c>
      <c r="F125" s="174" t="s">
        <v>1297</v>
      </c>
      <c r="G125" s="174" t="s">
        <v>1298</v>
      </c>
      <c r="H125" s="174" t="s">
        <v>1299</v>
      </c>
      <c r="I125" s="174" t="s">
        <v>17</v>
      </c>
      <c r="J125" s="174" t="s">
        <v>2667</v>
      </c>
      <c r="K125" s="174" t="s">
        <v>2666</v>
      </c>
      <c r="L125" s="177">
        <v>44537</v>
      </c>
      <c r="M125" s="174">
        <v>20</v>
      </c>
      <c r="N125" s="179">
        <v>5.7736111111111112</v>
      </c>
      <c r="O125" s="174" t="s">
        <v>20</v>
      </c>
      <c r="P125" s="174">
        <v>99</v>
      </c>
    </row>
    <row r="126" spans="1:16" s="174" customFormat="1" ht="35" hidden="1" customHeight="1">
      <c r="A126" s="174">
        <f>ROW()-3</f>
        <v>123</v>
      </c>
      <c r="B126" s="174" t="s">
        <v>14</v>
      </c>
      <c r="C126" s="174" t="s">
        <v>966</v>
      </c>
      <c r="D126" s="174" t="s">
        <v>960</v>
      </c>
      <c r="E126" s="174" t="s">
        <v>968</v>
      </c>
      <c r="F126" s="174" t="s">
        <v>1300</v>
      </c>
      <c r="G126" s="174" t="s">
        <v>1301</v>
      </c>
      <c r="H126" s="174" t="s">
        <v>1302</v>
      </c>
      <c r="I126" s="174" t="s">
        <v>17</v>
      </c>
      <c r="J126" s="174" t="s">
        <v>34</v>
      </c>
      <c r="K126" s="174" t="s">
        <v>53</v>
      </c>
      <c r="L126" s="177">
        <v>44537</v>
      </c>
      <c r="M126" s="174">
        <v>10</v>
      </c>
      <c r="N126" s="179">
        <v>2.0608333333333335</v>
      </c>
      <c r="O126" s="174" t="s">
        <v>20</v>
      </c>
      <c r="P126" s="174">
        <v>99</v>
      </c>
    </row>
    <row r="127" spans="1:16" s="174" customFormat="1" ht="35" hidden="1" customHeight="1">
      <c r="A127" s="174">
        <f>ROW()-3</f>
        <v>124</v>
      </c>
      <c r="B127" s="174" t="s">
        <v>14</v>
      </c>
      <c r="C127" s="174" t="s">
        <v>966</v>
      </c>
      <c r="D127" s="174" t="s">
        <v>1023</v>
      </c>
      <c r="E127" s="174" t="s">
        <v>1024</v>
      </c>
      <c r="F127" s="174" t="s">
        <v>1303</v>
      </c>
      <c r="G127" s="174" t="s">
        <v>1304</v>
      </c>
      <c r="H127" s="174" t="s">
        <v>1305</v>
      </c>
      <c r="I127" s="174" t="s">
        <v>29</v>
      </c>
      <c r="J127" s="174" t="s">
        <v>34</v>
      </c>
      <c r="K127" s="174" t="s">
        <v>53</v>
      </c>
      <c r="L127" s="177">
        <v>44537</v>
      </c>
      <c r="M127" s="174">
        <v>26</v>
      </c>
      <c r="N127" s="179">
        <v>4.5972222222222223</v>
      </c>
      <c r="O127" s="174" t="s">
        <v>20</v>
      </c>
      <c r="P127" s="174">
        <v>38</v>
      </c>
    </row>
    <row r="128" spans="1:16" s="174" customFormat="1" ht="35" hidden="1" customHeight="1">
      <c r="A128" s="174">
        <f>ROW()-3</f>
        <v>125</v>
      </c>
      <c r="B128" s="174" t="s">
        <v>14</v>
      </c>
      <c r="C128" s="174" t="s">
        <v>966</v>
      </c>
      <c r="D128" s="174" t="s">
        <v>1084</v>
      </c>
      <c r="E128" s="174" t="s">
        <v>1085</v>
      </c>
      <c r="F128" s="174" t="s">
        <v>1306</v>
      </c>
      <c r="G128" s="174" t="s">
        <v>1307</v>
      </c>
      <c r="H128" s="174" t="s">
        <v>79</v>
      </c>
      <c r="I128" s="174" t="s">
        <v>17</v>
      </c>
      <c r="J128" s="174" t="s">
        <v>57</v>
      </c>
      <c r="K128" s="174" t="s">
        <v>58</v>
      </c>
      <c r="L128" s="177">
        <v>44537</v>
      </c>
      <c r="M128" s="174">
        <v>15</v>
      </c>
      <c r="N128" s="179">
        <v>2.5</v>
      </c>
      <c r="O128" s="174" t="s">
        <v>20</v>
      </c>
      <c r="P128" s="174">
        <v>99</v>
      </c>
    </row>
    <row r="129" spans="1:16" s="174" customFormat="1" ht="35" hidden="1" customHeight="1">
      <c r="A129" s="174">
        <f>ROW()-3</f>
        <v>126</v>
      </c>
      <c r="B129" s="174" t="s">
        <v>14</v>
      </c>
      <c r="C129" s="174" t="s">
        <v>966</v>
      </c>
      <c r="D129" s="174" t="s">
        <v>978</v>
      </c>
      <c r="E129" s="174" t="s">
        <v>1109</v>
      </c>
      <c r="F129" s="174" t="s">
        <v>1308</v>
      </c>
      <c r="G129" s="174" t="s">
        <v>1309</v>
      </c>
      <c r="H129" s="174" t="s">
        <v>1310</v>
      </c>
      <c r="I129" s="174" t="s">
        <v>29</v>
      </c>
      <c r="J129" s="174" t="s">
        <v>2667</v>
      </c>
      <c r="K129" s="174" t="s">
        <v>2666</v>
      </c>
      <c r="L129" s="177">
        <v>44539</v>
      </c>
      <c r="M129" s="174">
        <v>7</v>
      </c>
      <c r="N129" s="179">
        <v>1.4</v>
      </c>
      <c r="O129" s="174" t="s">
        <v>20</v>
      </c>
      <c r="P129" s="174">
        <v>0</v>
      </c>
    </row>
    <row r="130" spans="1:16" s="174" customFormat="1" ht="35" hidden="1" customHeight="1">
      <c r="A130" s="174">
        <f>ROW()-3</f>
        <v>127</v>
      </c>
      <c r="B130" s="174" t="s">
        <v>14</v>
      </c>
      <c r="C130" s="174" t="s">
        <v>966</v>
      </c>
      <c r="D130" s="174" t="s">
        <v>978</v>
      </c>
      <c r="E130" s="174" t="s">
        <v>1008</v>
      </c>
      <c r="F130" s="174" t="s">
        <v>1311</v>
      </c>
      <c r="G130" s="174" t="s">
        <v>1312</v>
      </c>
      <c r="H130" s="174" t="s">
        <v>1097</v>
      </c>
      <c r="I130" s="174" t="s">
        <v>29</v>
      </c>
      <c r="J130" s="174" t="s">
        <v>2667</v>
      </c>
      <c r="K130" s="174" t="s">
        <v>2666</v>
      </c>
      <c r="L130" s="177">
        <v>44539</v>
      </c>
      <c r="M130" s="174">
        <v>157</v>
      </c>
      <c r="N130" s="179">
        <v>14.363888888888889</v>
      </c>
      <c r="O130" s="174" t="s">
        <v>20</v>
      </c>
      <c r="P130" s="174">
        <v>99</v>
      </c>
    </row>
    <row r="131" spans="1:16" s="174" customFormat="1" ht="35" hidden="1" customHeight="1">
      <c r="A131" s="174">
        <f>ROW()-3</f>
        <v>128</v>
      </c>
      <c r="B131" s="174" t="s">
        <v>14</v>
      </c>
      <c r="C131" s="174" t="s">
        <v>966</v>
      </c>
      <c r="D131" s="174" t="s">
        <v>960</v>
      </c>
      <c r="E131" s="174" t="s">
        <v>968</v>
      </c>
      <c r="F131" s="174" t="s">
        <v>1313</v>
      </c>
      <c r="G131" s="174" t="s">
        <v>1314</v>
      </c>
      <c r="H131" s="174" t="s">
        <v>1315</v>
      </c>
      <c r="I131" s="174" t="s">
        <v>29</v>
      </c>
      <c r="J131" s="174" t="s">
        <v>34</v>
      </c>
      <c r="K131" s="174" t="s">
        <v>364</v>
      </c>
      <c r="L131" s="177">
        <v>44539</v>
      </c>
      <c r="M131" s="174">
        <v>18</v>
      </c>
      <c r="N131" s="179">
        <v>2.4161111111111113</v>
      </c>
      <c r="O131" s="174" t="s">
        <v>20</v>
      </c>
      <c r="P131" s="174">
        <v>59</v>
      </c>
    </row>
    <row r="132" spans="1:16" s="174" customFormat="1" ht="35" hidden="1" customHeight="1">
      <c r="A132" s="174">
        <f>ROW()-3</f>
        <v>129</v>
      </c>
      <c r="B132" s="174" t="s">
        <v>14</v>
      </c>
      <c r="C132" s="174" t="s">
        <v>966</v>
      </c>
      <c r="D132" s="174" t="s">
        <v>960</v>
      </c>
      <c r="E132" s="174" t="s">
        <v>968</v>
      </c>
      <c r="F132" s="174" t="s">
        <v>1316</v>
      </c>
      <c r="G132" s="174" t="s">
        <v>1317</v>
      </c>
      <c r="H132" s="174" t="s">
        <v>1318</v>
      </c>
      <c r="I132" s="174" t="s">
        <v>17</v>
      </c>
      <c r="J132" s="174" t="s">
        <v>34</v>
      </c>
      <c r="K132" s="174" t="s">
        <v>364</v>
      </c>
      <c r="L132" s="177">
        <v>44539</v>
      </c>
      <c r="M132" s="174">
        <v>28</v>
      </c>
      <c r="N132" s="179">
        <v>4.5938888888888885</v>
      </c>
      <c r="O132" s="174" t="s">
        <v>20</v>
      </c>
      <c r="P132" s="174">
        <v>99</v>
      </c>
    </row>
    <row r="133" spans="1:16" s="174" customFormat="1" ht="35" hidden="1" customHeight="1">
      <c r="A133" s="174">
        <f>ROW()-3</f>
        <v>130</v>
      </c>
      <c r="B133" s="174" t="s">
        <v>14</v>
      </c>
      <c r="C133" s="174" t="s">
        <v>966</v>
      </c>
      <c r="D133" s="174" t="s">
        <v>951</v>
      </c>
      <c r="E133" s="174" t="s">
        <v>974</v>
      </c>
      <c r="F133" s="174" t="s">
        <v>1319</v>
      </c>
      <c r="G133" s="174" t="s">
        <v>1320</v>
      </c>
      <c r="H133" s="174" t="s">
        <v>1321</v>
      </c>
      <c r="I133" s="174" t="s">
        <v>17</v>
      </c>
      <c r="J133" s="174" t="s">
        <v>34</v>
      </c>
      <c r="K133" s="174" t="s">
        <v>2666</v>
      </c>
      <c r="L133" s="177">
        <v>44539</v>
      </c>
      <c r="M133" s="174">
        <v>18</v>
      </c>
      <c r="N133" s="179">
        <v>2.7308333333333334</v>
      </c>
      <c r="O133" s="174" t="s">
        <v>20</v>
      </c>
      <c r="P133" s="174">
        <v>99</v>
      </c>
    </row>
    <row r="134" spans="1:16" s="174" customFormat="1" ht="35" hidden="1" customHeight="1">
      <c r="A134" s="174">
        <f>ROW()-3</f>
        <v>131</v>
      </c>
      <c r="B134" s="174" t="s">
        <v>14</v>
      </c>
      <c r="C134" s="174" t="s">
        <v>966</v>
      </c>
      <c r="D134" s="174" t="s">
        <v>961</v>
      </c>
      <c r="E134" s="174" t="s">
        <v>1277</v>
      </c>
      <c r="F134" s="174" t="s">
        <v>1322</v>
      </c>
      <c r="G134" s="174" t="s">
        <v>1323</v>
      </c>
      <c r="H134" s="174" t="s">
        <v>1324</v>
      </c>
      <c r="I134" s="174" t="s">
        <v>17</v>
      </c>
      <c r="J134" s="174" t="s">
        <v>39</v>
      </c>
      <c r="K134" s="174" t="s">
        <v>2666</v>
      </c>
      <c r="L134" s="177">
        <v>44540</v>
      </c>
      <c r="M134" s="174">
        <v>40</v>
      </c>
      <c r="N134" s="179">
        <v>4.8927777777777779</v>
      </c>
      <c r="O134" s="174" t="s">
        <v>20</v>
      </c>
      <c r="P134" s="174">
        <v>199</v>
      </c>
    </row>
    <row r="135" spans="1:16" s="174" customFormat="1" ht="35" hidden="1" customHeight="1">
      <c r="A135" s="174">
        <f>ROW()-3</f>
        <v>132</v>
      </c>
      <c r="B135" s="174" t="s">
        <v>14</v>
      </c>
      <c r="C135" s="174" t="s">
        <v>966</v>
      </c>
      <c r="D135" s="174" t="s">
        <v>961</v>
      </c>
      <c r="E135" s="174" t="s">
        <v>1012</v>
      </c>
      <c r="F135" s="174" t="s">
        <v>1325</v>
      </c>
      <c r="G135" s="174" t="s">
        <v>1325</v>
      </c>
      <c r="H135" s="174" t="s">
        <v>1291</v>
      </c>
      <c r="I135" s="174" t="s">
        <v>29</v>
      </c>
      <c r="J135" s="174" t="s">
        <v>39</v>
      </c>
      <c r="K135" s="174" t="s">
        <v>2666</v>
      </c>
      <c r="L135" s="177">
        <v>44540</v>
      </c>
      <c r="M135" s="174">
        <v>22</v>
      </c>
      <c r="N135" s="179">
        <v>22</v>
      </c>
      <c r="O135" s="174" t="s">
        <v>20</v>
      </c>
      <c r="P135" s="174">
        <v>0</v>
      </c>
    </row>
    <row r="136" spans="1:16" s="174" customFormat="1" ht="35" hidden="1" customHeight="1">
      <c r="A136" s="174">
        <f>ROW()-3</f>
        <v>133</v>
      </c>
      <c r="B136" s="174" t="s">
        <v>14</v>
      </c>
      <c r="C136" s="174" t="s">
        <v>966</v>
      </c>
      <c r="D136" s="174" t="s">
        <v>961</v>
      </c>
      <c r="E136" s="174" t="s">
        <v>1326</v>
      </c>
      <c r="F136" s="174" t="s">
        <v>1327</v>
      </c>
      <c r="G136" s="174" t="s">
        <v>1327</v>
      </c>
      <c r="H136" s="174" t="s">
        <v>1328</v>
      </c>
      <c r="I136" s="174" t="s">
        <v>17</v>
      </c>
      <c r="J136" s="174" t="s">
        <v>39</v>
      </c>
      <c r="K136" s="174" t="s">
        <v>2666</v>
      </c>
      <c r="L136" s="177">
        <v>44540</v>
      </c>
      <c r="M136" s="174">
        <v>13</v>
      </c>
      <c r="N136" s="179">
        <v>2.3627777777777776</v>
      </c>
      <c r="O136" s="174" t="s">
        <v>20</v>
      </c>
      <c r="P136" s="174">
        <v>0</v>
      </c>
    </row>
    <row r="137" spans="1:16" s="174" customFormat="1" ht="35" hidden="1" customHeight="1">
      <c r="A137" s="174">
        <f>ROW()-3</f>
        <v>134</v>
      </c>
      <c r="B137" s="174" t="s">
        <v>14</v>
      </c>
      <c r="C137" s="174" t="s">
        <v>966</v>
      </c>
      <c r="D137" s="174" t="s">
        <v>961</v>
      </c>
      <c r="E137" s="174" t="s">
        <v>1326</v>
      </c>
      <c r="F137" s="174" t="s">
        <v>1329</v>
      </c>
      <c r="G137" s="174" t="s">
        <v>1330</v>
      </c>
      <c r="H137" s="174" t="s">
        <v>1331</v>
      </c>
      <c r="I137" s="174" t="s">
        <v>29</v>
      </c>
      <c r="J137" s="174" t="s">
        <v>39</v>
      </c>
      <c r="K137" s="174" t="s">
        <v>2666</v>
      </c>
      <c r="L137" s="177">
        <v>44540</v>
      </c>
      <c r="M137" s="174">
        <v>39</v>
      </c>
      <c r="N137" s="179">
        <v>7.2516666666666669</v>
      </c>
      <c r="O137" s="174" t="s">
        <v>20</v>
      </c>
      <c r="P137" s="174">
        <v>99</v>
      </c>
    </row>
    <row r="138" spans="1:16" s="174" customFormat="1" ht="35" hidden="1" customHeight="1">
      <c r="A138" s="174">
        <f>ROW()-3</f>
        <v>135</v>
      </c>
      <c r="B138" s="174" t="s">
        <v>14</v>
      </c>
      <c r="C138" s="174" t="s">
        <v>966</v>
      </c>
      <c r="D138" s="174" t="s">
        <v>961</v>
      </c>
      <c r="E138" s="174" t="s">
        <v>1326</v>
      </c>
      <c r="F138" s="174" t="s">
        <v>1332</v>
      </c>
      <c r="G138" s="174" t="s">
        <v>1333</v>
      </c>
      <c r="H138" s="174" t="s">
        <v>33</v>
      </c>
      <c r="I138" s="174" t="s">
        <v>17</v>
      </c>
      <c r="J138" s="174" t="s">
        <v>39</v>
      </c>
      <c r="K138" s="174" t="s">
        <v>2666</v>
      </c>
      <c r="L138" s="177">
        <v>44540</v>
      </c>
      <c r="M138" s="174">
        <v>25</v>
      </c>
      <c r="N138" s="179">
        <v>3.0702777777777777</v>
      </c>
      <c r="O138" s="174" t="s">
        <v>20</v>
      </c>
      <c r="P138" s="174">
        <v>79</v>
      </c>
    </row>
    <row r="139" spans="1:16" s="174" customFormat="1" ht="35" hidden="1" customHeight="1">
      <c r="A139" s="174">
        <f>ROW()-3</f>
        <v>136</v>
      </c>
      <c r="B139" s="174" t="s">
        <v>14</v>
      </c>
      <c r="C139" s="174" t="s">
        <v>966</v>
      </c>
      <c r="D139" s="174" t="s">
        <v>960</v>
      </c>
      <c r="E139" s="174" t="s">
        <v>1016</v>
      </c>
      <c r="F139" s="174" t="s">
        <v>1334</v>
      </c>
      <c r="G139" s="174" t="s">
        <v>1335</v>
      </c>
      <c r="H139" s="174" t="s">
        <v>1336</v>
      </c>
      <c r="I139" s="174" t="s">
        <v>29</v>
      </c>
      <c r="J139" s="174" t="s">
        <v>960</v>
      </c>
      <c r="K139" s="174" t="s">
        <v>174</v>
      </c>
      <c r="L139" s="177">
        <v>44543</v>
      </c>
      <c r="M139" s="174">
        <v>10</v>
      </c>
      <c r="N139" s="179">
        <v>1.1000000000000001</v>
      </c>
      <c r="O139" s="174" t="s">
        <v>30</v>
      </c>
      <c r="P139" s="174">
        <v>128</v>
      </c>
    </row>
    <row r="140" spans="1:16" s="174" customFormat="1" ht="35" hidden="1" customHeight="1">
      <c r="A140" s="174">
        <f>ROW()-3</f>
        <v>137</v>
      </c>
      <c r="B140" s="174" t="s">
        <v>14</v>
      </c>
      <c r="C140" s="174" t="s">
        <v>966</v>
      </c>
      <c r="D140" s="174" t="s">
        <v>961</v>
      </c>
      <c r="E140" s="174" t="s">
        <v>983</v>
      </c>
      <c r="F140" s="174" t="s">
        <v>1337</v>
      </c>
      <c r="G140" s="174" t="s">
        <v>1337</v>
      </c>
      <c r="H140" s="174" t="s">
        <v>1247</v>
      </c>
      <c r="I140" s="174" t="s">
        <v>29</v>
      </c>
      <c r="J140" s="174" t="s">
        <v>1338</v>
      </c>
      <c r="K140" s="174" t="s">
        <v>174</v>
      </c>
      <c r="L140" s="177">
        <v>44543</v>
      </c>
      <c r="M140" s="174">
        <v>16</v>
      </c>
      <c r="N140" s="179">
        <v>1</v>
      </c>
      <c r="O140" s="174" t="s">
        <v>30</v>
      </c>
      <c r="P140" s="174">
        <v>88</v>
      </c>
    </row>
    <row r="141" spans="1:16" s="174" customFormat="1" ht="35" hidden="1" customHeight="1">
      <c r="A141" s="174">
        <f>ROW()-3</f>
        <v>138</v>
      </c>
      <c r="B141" s="174" t="s">
        <v>14</v>
      </c>
      <c r="C141" s="174" t="s">
        <v>966</v>
      </c>
      <c r="D141" s="174" t="s">
        <v>978</v>
      </c>
      <c r="E141" s="174" t="s">
        <v>979</v>
      </c>
      <c r="F141" s="174" t="s">
        <v>1339</v>
      </c>
      <c r="G141" s="174" t="s">
        <v>1339</v>
      </c>
      <c r="H141" s="174" t="s">
        <v>1340</v>
      </c>
      <c r="I141" s="174" t="s">
        <v>17</v>
      </c>
      <c r="J141" s="174" t="s">
        <v>34</v>
      </c>
      <c r="K141" s="174" t="s">
        <v>35</v>
      </c>
      <c r="L141" s="177">
        <v>44545</v>
      </c>
      <c r="M141" s="174">
        <v>19</v>
      </c>
      <c r="N141" s="179">
        <v>2.62</v>
      </c>
      <c r="O141" s="174" t="s">
        <v>20</v>
      </c>
      <c r="P141" s="174">
        <v>199</v>
      </c>
    </row>
    <row r="142" spans="1:16" s="174" customFormat="1" ht="35" hidden="1" customHeight="1">
      <c r="A142" s="174">
        <f>ROW()-3</f>
        <v>139</v>
      </c>
      <c r="B142" s="174" t="s">
        <v>14</v>
      </c>
      <c r="C142" s="174" t="s">
        <v>966</v>
      </c>
      <c r="D142" s="174" t="s">
        <v>978</v>
      </c>
      <c r="E142" s="174" t="s">
        <v>979</v>
      </c>
      <c r="F142" s="174" t="s">
        <v>1341</v>
      </c>
      <c r="G142" s="174" t="s">
        <v>1341</v>
      </c>
      <c r="H142" s="174" t="s">
        <v>16</v>
      </c>
      <c r="I142" s="174" t="s">
        <v>17</v>
      </c>
      <c r="J142" s="174" t="s">
        <v>2667</v>
      </c>
      <c r="K142" s="174" t="s">
        <v>2666</v>
      </c>
      <c r="L142" s="177">
        <v>44545</v>
      </c>
      <c r="M142" s="174">
        <v>11</v>
      </c>
      <c r="N142" s="179">
        <v>2.6447222222222222</v>
      </c>
      <c r="O142" s="174" t="s">
        <v>20</v>
      </c>
      <c r="P142" s="174">
        <v>199</v>
      </c>
    </row>
    <row r="143" spans="1:16" s="174" customFormat="1" ht="35" hidden="1" customHeight="1">
      <c r="A143" s="174">
        <f>ROW()-3</f>
        <v>140</v>
      </c>
      <c r="B143" s="174" t="s">
        <v>14</v>
      </c>
      <c r="C143" s="174" t="s">
        <v>966</v>
      </c>
      <c r="D143" s="174" t="s">
        <v>951</v>
      </c>
      <c r="E143" s="174" t="s">
        <v>987</v>
      </c>
      <c r="F143" s="174" t="s">
        <v>1342</v>
      </c>
      <c r="G143" s="174" t="s">
        <v>1343</v>
      </c>
      <c r="H143" s="174" t="s">
        <v>1344</v>
      </c>
      <c r="I143" s="174" t="s">
        <v>17</v>
      </c>
      <c r="J143" s="174" t="s">
        <v>2667</v>
      </c>
      <c r="K143" s="174" t="s">
        <v>2666</v>
      </c>
      <c r="L143" s="177">
        <v>44545</v>
      </c>
      <c r="M143" s="174">
        <v>10</v>
      </c>
      <c r="N143" s="179">
        <v>1.6344444444444444</v>
      </c>
      <c r="O143" s="174" t="s">
        <v>20</v>
      </c>
      <c r="P143" s="174">
        <v>99</v>
      </c>
    </row>
    <row r="144" spans="1:16" s="174" customFormat="1" ht="35" hidden="1" customHeight="1">
      <c r="A144" s="174">
        <f>ROW()-3</f>
        <v>141</v>
      </c>
      <c r="B144" s="174" t="s">
        <v>14</v>
      </c>
      <c r="C144" s="174" t="s">
        <v>966</v>
      </c>
      <c r="D144" s="174" t="s">
        <v>951</v>
      </c>
      <c r="E144" s="174" t="s">
        <v>974</v>
      </c>
      <c r="F144" s="174" t="s">
        <v>1345</v>
      </c>
      <c r="G144" s="174" t="s">
        <v>1346</v>
      </c>
      <c r="H144" s="174" t="s">
        <v>1315</v>
      </c>
      <c r="I144" s="174" t="s">
        <v>29</v>
      </c>
      <c r="J144" s="174" t="s">
        <v>2667</v>
      </c>
      <c r="K144" s="174" t="s">
        <v>2668</v>
      </c>
      <c r="L144" s="177">
        <v>44545</v>
      </c>
      <c r="M144" s="174">
        <v>32</v>
      </c>
      <c r="N144" s="179">
        <v>4.8174999999999999</v>
      </c>
      <c r="O144" s="174" t="s">
        <v>20</v>
      </c>
      <c r="P144" s="174">
        <v>99</v>
      </c>
    </row>
    <row r="145" spans="1:16" s="174" customFormat="1" ht="35" hidden="1" customHeight="1">
      <c r="A145" s="174">
        <f>ROW()-3</f>
        <v>142</v>
      </c>
      <c r="B145" s="174" t="s">
        <v>14</v>
      </c>
      <c r="C145" s="174" t="s">
        <v>966</v>
      </c>
      <c r="D145" s="174" t="s">
        <v>951</v>
      </c>
      <c r="E145" s="174" t="s">
        <v>987</v>
      </c>
      <c r="F145" s="174" t="s">
        <v>1347</v>
      </c>
      <c r="G145" s="174" t="s">
        <v>1348</v>
      </c>
      <c r="H145" s="174" t="s">
        <v>1349</v>
      </c>
      <c r="I145" s="174" t="s">
        <v>17</v>
      </c>
      <c r="J145" s="174" t="s">
        <v>2667</v>
      </c>
      <c r="K145" s="174" t="s">
        <v>25</v>
      </c>
      <c r="L145" s="177">
        <v>44545</v>
      </c>
      <c r="M145" s="174">
        <v>20</v>
      </c>
      <c r="N145" s="179">
        <v>3.7777777777777777</v>
      </c>
      <c r="O145" s="174" t="s">
        <v>20</v>
      </c>
      <c r="P145" s="174">
        <v>199</v>
      </c>
    </row>
    <row r="146" spans="1:16" s="174" customFormat="1" ht="35" hidden="1" customHeight="1">
      <c r="A146" s="174">
        <f>ROW()-3</f>
        <v>143</v>
      </c>
      <c r="B146" s="174" t="s">
        <v>14</v>
      </c>
      <c r="C146" s="174" t="s">
        <v>966</v>
      </c>
      <c r="D146" s="174" t="s">
        <v>1093</v>
      </c>
      <c r="E146" s="174" t="s">
        <v>1094</v>
      </c>
      <c r="F146" s="174" t="s">
        <v>1350</v>
      </c>
      <c r="G146" s="174" t="s">
        <v>1351</v>
      </c>
      <c r="H146" s="174" t="s">
        <v>691</v>
      </c>
      <c r="I146" s="174" t="s">
        <v>29</v>
      </c>
      <c r="J146" s="174" t="s">
        <v>34</v>
      </c>
      <c r="K146" s="174" t="s">
        <v>35</v>
      </c>
      <c r="L146" s="177">
        <v>44545</v>
      </c>
      <c r="M146" s="174">
        <v>22</v>
      </c>
      <c r="N146" s="179">
        <v>4.0644444444444447</v>
      </c>
      <c r="O146" s="174" t="s">
        <v>20</v>
      </c>
      <c r="P146" s="174">
        <v>39</v>
      </c>
    </row>
    <row r="147" spans="1:16" s="174" customFormat="1" ht="35" hidden="1" customHeight="1">
      <c r="A147" s="174">
        <f>ROW()-3</f>
        <v>144</v>
      </c>
      <c r="B147" s="174" t="s">
        <v>14</v>
      </c>
      <c r="C147" s="174" t="s">
        <v>966</v>
      </c>
      <c r="D147" s="174" t="s">
        <v>951</v>
      </c>
      <c r="E147" s="174" t="s">
        <v>956</v>
      </c>
      <c r="F147" s="174" t="s">
        <v>1352</v>
      </c>
      <c r="G147" s="174" t="s">
        <v>1352</v>
      </c>
      <c r="H147" s="174" t="s">
        <v>691</v>
      </c>
      <c r="I147" s="174" t="s">
        <v>29</v>
      </c>
      <c r="J147" s="174" t="s">
        <v>34</v>
      </c>
      <c r="K147" s="174" t="s">
        <v>35</v>
      </c>
      <c r="L147" s="177">
        <v>44545</v>
      </c>
      <c r="M147" s="174">
        <v>22</v>
      </c>
      <c r="N147" s="179">
        <v>3.263611111111111</v>
      </c>
      <c r="O147" s="174" t="s">
        <v>20</v>
      </c>
      <c r="P147" s="174">
        <v>69</v>
      </c>
    </row>
    <row r="148" spans="1:16" s="174" customFormat="1" ht="35" hidden="1" customHeight="1">
      <c r="A148" s="174">
        <f>ROW()-3</f>
        <v>145</v>
      </c>
      <c r="B148" s="174" t="s">
        <v>14</v>
      </c>
      <c r="C148" s="174" t="s">
        <v>966</v>
      </c>
      <c r="D148" s="174" t="s">
        <v>1093</v>
      </c>
      <c r="E148" s="174" t="s">
        <v>1101</v>
      </c>
      <c r="F148" s="174" t="s">
        <v>1353</v>
      </c>
      <c r="G148" s="174" t="s">
        <v>1354</v>
      </c>
      <c r="H148" s="174" t="s">
        <v>1355</v>
      </c>
      <c r="I148" s="174" t="s">
        <v>29</v>
      </c>
      <c r="J148" s="174" t="s">
        <v>34</v>
      </c>
      <c r="K148" s="174" t="s">
        <v>35</v>
      </c>
      <c r="L148" s="177">
        <v>44545</v>
      </c>
      <c r="M148" s="174">
        <v>21</v>
      </c>
      <c r="N148" s="179">
        <v>3.5005555555555556</v>
      </c>
      <c r="O148" s="174" t="s">
        <v>20</v>
      </c>
      <c r="P148" s="174">
        <v>99</v>
      </c>
    </row>
    <row r="149" spans="1:16" s="174" customFormat="1" ht="35" hidden="1" customHeight="1">
      <c r="A149" s="174">
        <f>ROW()-3</f>
        <v>146</v>
      </c>
      <c r="B149" s="174" t="s">
        <v>14</v>
      </c>
      <c r="C149" s="174" t="s">
        <v>966</v>
      </c>
      <c r="D149" s="174" t="s">
        <v>1093</v>
      </c>
      <c r="E149" s="174" t="s">
        <v>1101</v>
      </c>
      <c r="F149" s="174" t="s">
        <v>1356</v>
      </c>
      <c r="G149" s="174" t="s">
        <v>1357</v>
      </c>
      <c r="H149" s="174" t="s">
        <v>1358</v>
      </c>
      <c r="I149" s="174" t="s">
        <v>17</v>
      </c>
      <c r="J149" s="174" t="s">
        <v>34</v>
      </c>
      <c r="K149" s="174" t="s">
        <v>35</v>
      </c>
      <c r="L149" s="177">
        <v>44545</v>
      </c>
      <c r="M149" s="174">
        <v>18</v>
      </c>
      <c r="N149" s="179">
        <v>5.3083333333333336</v>
      </c>
      <c r="O149" s="174" t="s">
        <v>20</v>
      </c>
      <c r="P149" s="174">
        <v>89</v>
      </c>
    </row>
    <row r="150" spans="1:16" s="174" customFormat="1" ht="35" hidden="1" customHeight="1">
      <c r="A150" s="174">
        <f>ROW()-3</f>
        <v>147</v>
      </c>
      <c r="B150" s="174" t="s">
        <v>14</v>
      </c>
      <c r="C150" s="174" t="s">
        <v>966</v>
      </c>
      <c r="D150" s="174" t="s">
        <v>960</v>
      </c>
      <c r="E150" s="174" t="s">
        <v>991</v>
      </c>
      <c r="F150" s="174" t="s">
        <v>1359</v>
      </c>
      <c r="G150" s="174" t="s">
        <v>1360</v>
      </c>
      <c r="H150" s="174" t="s">
        <v>1361</v>
      </c>
      <c r="I150" s="174" t="s">
        <v>17</v>
      </c>
      <c r="J150" s="174" t="s">
        <v>34</v>
      </c>
      <c r="K150" s="174" t="s">
        <v>35</v>
      </c>
      <c r="L150" s="177">
        <v>44546</v>
      </c>
      <c r="M150" s="174">
        <v>13</v>
      </c>
      <c r="N150" s="179">
        <v>2.5708333333333333</v>
      </c>
      <c r="O150" s="174" t="s">
        <v>20</v>
      </c>
      <c r="P150" s="174">
        <v>108</v>
      </c>
    </row>
    <row r="151" spans="1:16" s="174" customFormat="1" ht="35" hidden="1" customHeight="1">
      <c r="A151" s="174">
        <f>ROW()-3</f>
        <v>148</v>
      </c>
      <c r="B151" s="174" t="s">
        <v>14</v>
      </c>
      <c r="C151" s="174" t="s">
        <v>966</v>
      </c>
      <c r="D151" s="174" t="s">
        <v>1084</v>
      </c>
      <c r="E151" s="174" t="s">
        <v>1362</v>
      </c>
      <c r="F151" s="174" t="s">
        <v>1363</v>
      </c>
      <c r="G151" s="174" t="s">
        <v>1364</v>
      </c>
      <c r="H151" s="174" t="s">
        <v>1365</v>
      </c>
      <c r="I151" s="174" t="s">
        <v>17</v>
      </c>
      <c r="J151" s="174" t="s">
        <v>57</v>
      </c>
      <c r="K151" s="174" t="s">
        <v>58</v>
      </c>
      <c r="L151" s="177">
        <v>44546</v>
      </c>
      <c r="M151" s="174">
        <v>12</v>
      </c>
      <c r="N151" s="179">
        <v>2</v>
      </c>
      <c r="O151" s="174" t="s">
        <v>30</v>
      </c>
      <c r="P151" s="174">
        <v>89</v>
      </c>
    </row>
    <row r="152" spans="1:16" s="174" customFormat="1" ht="35" hidden="1" customHeight="1">
      <c r="A152" s="174">
        <f>ROW()-3</f>
        <v>149</v>
      </c>
      <c r="B152" s="174" t="s">
        <v>14</v>
      </c>
      <c r="C152" s="174" t="s">
        <v>966</v>
      </c>
      <c r="D152" s="174" t="s">
        <v>62</v>
      </c>
      <c r="E152" s="174" t="s">
        <v>1366</v>
      </c>
      <c r="F152" s="174" t="s">
        <v>1367</v>
      </c>
      <c r="G152" s="174" t="s">
        <v>1368</v>
      </c>
      <c r="H152" s="174" t="s">
        <v>1369</v>
      </c>
      <c r="I152" s="174" t="s">
        <v>17</v>
      </c>
      <c r="J152" s="174" t="s">
        <v>2667</v>
      </c>
      <c r="K152" s="174" t="s">
        <v>2668</v>
      </c>
      <c r="L152" s="177">
        <v>44546</v>
      </c>
      <c r="M152" s="174">
        <v>44</v>
      </c>
      <c r="N152" s="179">
        <v>8.0652777777777782</v>
      </c>
      <c r="O152" s="174" t="s">
        <v>20</v>
      </c>
      <c r="P152" s="174">
        <v>199</v>
      </c>
    </row>
    <row r="153" spans="1:16" s="174" customFormat="1" ht="35" hidden="1" customHeight="1">
      <c r="A153" s="174">
        <f>ROW()-3</f>
        <v>150</v>
      </c>
      <c r="B153" s="174" t="s">
        <v>14</v>
      </c>
      <c r="C153" s="174" t="s">
        <v>966</v>
      </c>
      <c r="D153" s="174" t="s">
        <v>978</v>
      </c>
      <c r="E153" s="174" t="s">
        <v>1120</v>
      </c>
      <c r="F153" s="174" t="s">
        <v>1370</v>
      </c>
      <c r="G153" s="174" t="s">
        <v>1371</v>
      </c>
      <c r="H153" s="174" t="s">
        <v>1372</v>
      </c>
      <c r="I153" s="174" t="s">
        <v>17</v>
      </c>
      <c r="J153" s="174" t="s">
        <v>34</v>
      </c>
      <c r="K153" s="174" t="s">
        <v>67</v>
      </c>
      <c r="L153" s="177">
        <v>44548</v>
      </c>
      <c r="M153" s="174">
        <v>19</v>
      </c>
      <c r="N153" s="179">
        <v>12.612222222222222</v>
      </c>
      <c r="O153" s="174" t="s">
        <v>20</v>
      </c>
      <c r="P153" s="174">
        <v>299</v>
      </c>
    </row>
    <row r="154" spans="1:16" s="174" customFormat="1" ht="35" hidden="1" customHeight="1">
      <c r="A154" s="174">
        <f>ROW()-3</f>
        <v>151</v>
      </c>
      <c r="B154" s="174" t="s">
        <v>14</v>
      </c>
      <c r="C154" s="174" t="s">
        <v>966</v>
      </c>
      <c r="D154" s="174" t="s">
        <v>978</v>
      </c>
      <c r="E154" s="174" t="s">
        <v>1109</v>
      </c>
      <c r="F154" s="174" t="s">
        <v>1373</v>
      </c>
      <c r="G154" s="174" t="s">
        <v>1374</v>
      </c>
      <c r="H154" s="174" t="s">
        <v>1375</v>
      </c>
      <c r="I154" s="174" t="s">
        <v>17</v>
      </c>
      <c r="J154" s="174" t="s">
        <v>34</v>
      </c>
      <c r="K154" s="174" t="s">
        <v>67</v>
      </c>
      <c r="L154" s="177">
        <v>44548</v>
      </c>
      <c r="M154" s="174">
        <v>15</v>
      </c>
      <c r="N154" s="179">
        <v>6.4983333333333331</v>
      </c>
      <c r="O154" s="174" t="s">
        <v>20</v>
      </c>
      <c r="P154" s="174">
        <v>298</v>
      </c>
    </row>
    <row r="155" spans="1:16" s="174" customFormat="1" ht="35" hidden="1" customHeight="1">
      <c r="A155" s="174">
        <f>ROW()-3</f>
        <v>152</v>
      </c>
      <c r="B155" s="174" t="s">
        <v>14</v>
      </c>
      <c r="C155" s="174" t="s">
        <v>966</v>
      </c>
      <c r="D155" s="174" t="s">
        <v>1084</v>
      </c>
      <c r="E155" s="174" t="s">
        <v>1362</v>
      </c>
      <c r="F155" s="174" t="s">
        <v>1376</v>
      </c>
      <c r="G155" s="174" t="s">
        <v>1377</v>
      </c>
      <c r="H155" s="174" t="s">
        <v>1378</v>
      </c>
      <c r="I155" s="174" t="s">
        <v>29</v>
      </c>
      <c r="J155" s="174" t="s">
        <v>34</v>
      </c>
      <c r="K155" s="174" t="s">
        <v>2665</v>
      </c>
      <c r="L155" s="177">
        <v>44548</v>
      </c>
      <c r="M155" s="174">
        <v>53</v>
      </c>
      <c r="N155" s="179">
        <v>6.8336111111111109</v>
      </c>
      <c r="O155" s="174" t="s">
        <v>20</v>
      </c>
      <c r="P155" s="174">
        <v>0</v>
      </c>
    </row>
    <row r="156" spans="1:16" s="174" customFormat="1" ht="35" hidden="1" customHeight="1">
      <c r="A156" s="174">
        <f>ROW()-3</f>
        <v>153</v>
      </c>
      <c r="B156" s="174" t="s">
        <v>14</v>
      </c>
      <c r="C156" s="174" t="s">
        <v>966</v>
      </c>
      <c r="D156" s="174" t="s">
        <v>961</v>
      </c>
      <c r="E156" s="174" t="s">
        <v>983</v>
      </c>
      <c r="F156" s="174" t="s">
        <v>1379</v>
      </c>
      <c r="G156" s="174" t="s">
        <v>2528</v>
      </c>
      <c r="H156" s="174" t="s">
        <v>796</v>
      </c>
      <c r="I156" s="174" t="s">
        <v>17</v>
      </c>
      <c r="J156" s="174" t="s">
        <v>2667</v>
      </c>
      <c r="K156" s="174" t="s">
        <v>2668</v>
      </c>
      <c r="L156" s="177">
        <v>44548</v>
      </c>
      <c r="M156" s="174">
        <v>7</v>
      </c>
      <c r="N156" s="179">
        <v>3.5319444444444446</v>
      </c>
      <c r="O156" s="174" t="s">
        <v>20</v>
      </c>
      <c r="P156" s="174">
        <v>99</v>
      </c>
    </row>
    <row r="157" spans="1:16" s="174" customFormat="1" ht="35" hidden="1" customHeight="1">
      <c r="A157" s="174">
        <f>ROW()-3</f>
        <v>154</v>
      </c>
      <c r="B157" s="174" t="s">
        <v>14</v>
      </c>
      <c r="C157" s="174" t="s">
        <v>966</v>
      </c>
      <c r="D157" s="174" t="s">
        <v>62</v>
      </c>
      <c r="E157" s="174" t="s">
        <v>1380</v>
      </c>
      <c r="F157" s="174" t="s">
        <v>1381</v>
      </c>
      <c r="G157" s="174" t="s">
        <v>1381</v>
      </c>
      <c r="H157" s="174" t="s">
        <v>1382</v>
      </c>
      <c r="I157" s="174" t="s">
        <v>29</v>
      </c>
      <c r="J157" s="174" t="s">
        <v>2667</v>
      </c>
      <c r="K157" s="174" t="s">
        <v>2656</v>
      </c>
      <c r="L157" s="177">
        <v>44548</v>
      </c>
      <c r="M157" s="174">
        <v>15</v>
      </c>
      <c r="N157" s="179">
        <v>2.2969444444444442</v>
      </c>
      <c r="O157" s="174" t="s">
        <v>20</v>
      </c>
      <c r="P157" s="174">
        <v>138</v>
      </c>
    </row>
    <row r="158" spans="1:16" s="174" customFormat="1" ht="35" hidden="1" customHeight="1">
      <c r="A158" s="174">
        <f>ROW()-3</f>
        <v>155</v>
      </c>
      <c r="B158" s="174" t="s">
        <v>14</v>
      </c>
      <c r="C158" s="174" t="s">
        <v>966</v>
      </c>
      <c r="D158" s="174" t="s">
        <v>62</v>
      </c>
      <c r="E158" s="174" t="s">
        <v>1380</v>
      </c>
      <c r="F158" s="174" t="s">
        <v>1383</v>
      </c>
      <c r="G158" s="174" t="s">
        <v>1384</v>
      </c>
      <c r="H158" s="174" t="s">
        <v>1382</v>
      </c>
      <c r="I158" s="174" t="s">
        <v>29</v>
      </c>
      <c r="J158" s="174" t="s">
        <v>2667</v>
      </c>
      <c r="K158" s="174" t="s">
        <v>67</v>
      </c>
      <c r="L158" s="177">
        <v>44548</v>
      </c>
      <c r="M158" s="174">
        <v>50</v>
      </c>
      <c r="N158" s="179">
        <v>9.4541666666666675</v>
      </c>
      <c r="O158" s="174" t="s">
        <v>20</v>
      </c>
      <c r="P158" s="174">
        <v>129</v>
      </c>
    </row>
    <row r="159" spans="1:16" s="174" customFormat="1" ht="35" hidden="1" customHeight="1">
      <c r="A159" s="174">
        <f>ROW()-3</f>
        <v>156</v>
      </c>
      <c r="B159" s="174" t="s">
        <v>14</v>
      </c>
      <c r="C159" s="174" t="s">
        <v>966</v>
      </c>
      <c r="D159" s="174" t="s">
        <v>62</v>
      </c>
      <c r="E159" s="174" t="s">
        <v>1380</v>
      </c>
      <c r="F159" s="174" t="s">
        <v>1385</v>
      </c>
      <c r="G159" s="174" t="s">
        <v>1385</v>
      </c>
      <c r="H159" s="174" t="s">
        <v>1382</v>
      </c>
      <c r="I159" s="174" t="s">
        <v>29</v>
      </c>
      <c r="J159" s="174" t="s">
        <v>2667</v>
      </c>
      <c r="K159" s="174" t="s">
        <v>67</v>
      </c>
      <c r="L159" s="177">
        <v>44548</v>
      </c>
      <c r="M159" s="174">
        <v>19</v>
      </c>
      <c r="N159" s="179">
        <v>3.4538888888888888</v>
      </c>
      <c r="O159" s="174" t="s">
        <v>20</v>
      </c>
      <c r="P159" s="174">
        <v>129</v>
      </c>
    </row>
    <row r="160" spans="1:16" s="174" customFormat="1" ht="35" hidden="1" customHeight="1">
      <c r="A160" s="174">
        <f>ROW()-3</f>
        <v>157</v>
      </c>
      <c r="B160" s="174" t="s">
        <v>14</v>
      </c>
      <c r="C160" s="174" t="s">
        <v>966</v>
      </c>
      <c r="D160" s="174" t="s">
        <v>961</v>
      </c>
      <c r="E160" s="174" t="s">
        <v>1127</v>
      </c>
      <c r="F160" s="174" t="s">
        <v>1386</v>
      </c>
      <c r="G160" s="174" t="s">
        <v>1387</v>
      </c>
      <c r="H160" s="174" t="s">
        <v>1269</v>
      </c>
      <c r="I160" s="174" t="s">
        <v>17</v>
      </c>
      <c r="J160" s="174" t="s">
        <v>34</v>
      </c>
      <c r="K160" s="174" t="s">
        <v>2668</v>
      </c>
      <c r="L160" s="177">
        <v>44550</v>
      </c>
      <c r="M160" s="174">
        <v>25</v>
      </c>
      <c r="N160" s="179">
        <v>4.5383333333333331</v>
      </c>
      <c r="O160" s="174" t="s">
        <v>20</v>
      </c>
      <c r="P160" s="174">
        <v>1499</v>
      </c>
    </row>
    <row r="161" spans="1:16" s="174" customFormat="1" ht="35" hidden="1" customHeight="1">
      <c r="A161" s="174">
        <f>ROW()-3</f>
        <v>158</v>
      </c>
      <c r="B161" s="174" t="s">
        <v>14</v>
      </c>
      <c r="C161" s="174" t="s">
        <v>966</v>
      </c>
      <c r="D161" s="174" t="s">
        <v>978</v>
      </c>
      <c r="E161" s="174" t="s">
        <v>979</v>
      </c>
      <c r="F161" s="174" t="s">
        <v>1388</v>
      </c>
      <c r="G161" s="174" t="s">
        <v>1389</v>
      </c>
      <c r="H161" s="174" t="s">
        <v>1390</v>
      </c>
      <c r="I161" s="174" t="s">
        <v>17</v>
      </c>
      <c r="J161" s="174" t="s">
        <v>34</v>
      </c>
      <c r="K161" s="174" t="s">
        <v>2665</v>
      </c>
      <c r="L161" s="177">
        <v>44554</v>
      </c>
      <c r="M161" s="174">
        <v>8</v>
      </c>
      <c r="N161" s="179">
        <v>2.0024999999999999</v>
      </c>
      <c r="O161" s="174" t="s">
        <v>20</v>
      </c>
      <c r="P161" s="174">
        <v>99</v>
      </c>
    </row>
    <row r="162" spans="1:16" s="174" customFormat="1" ht="35" hidden="1" customHeight="1">
      <c r="A162" s="174">
        <f>ROW()-3</f>
        <v>159</v>
      </c>
      <c r="B162" s="174" t="s">
        <v>14</v>
      </c>
      <c r="C162" s="174" t="s">
        <v>966</v>
      </c>
      <c r="D162" s="174" t="s">
        <v>62</v>
      </c>
      <c r="E162" s="174" t="s">
        <v>1366</v>
      </c>
      <c r="F162" s="174" t="s">
        <v>1391</v>
      </c>
      <c r="G162" s="174" t="s">
        <v>1392</v>
      </c>
      <c r="H162" s="174" t="s">
        <v>1393</v>
      </c>
      <c r="I162" s="174" t="s">
        <v>17</v>
      </c>
      <c r="J162" s="174" t="s">
        <v>34</v>
      </c>
      <c r="K162" s="174" t="s">
        <v>58</v>
      </c>
      <c r="L162" s="177">
        <v>44554</v>
      </c>
      <c r="M162" s="174">
        <v>11</v>
      </c>
      <c r="N162" s="179">
        <v>1.2524999999999999</v>
      </c>
      <c r="O162" s="174" t="s">
        <v>20</v>
      </c>
      <c r="P162" s="174">
        <v>69</v>
      </c>
    </row>
    <row r="163" spans="1:16" s="174" customFormat="1" ht="35" hidden="1" customHeight="1">
      <c r="A163" s="174">
        <f>ROW()-3</f>
        <v>160</v>
      </c>
      <c r="B163" s="174" t="s">
        <v>14</v>
      </c>
      <c r="C163" s="174" t="s">
        <v>966</v>
      </c>
      <c r="D163" s="174" t="s">
        <v>978</v>
      </c>
      <c r="E163" s="174" t="s">
        <v>1109</v>
      </c>
      <c r="F163" s="174" t="s">
        <v>1394</v>
      </c>
      <c r="G163" s="174" t="s">
        <v>1395</v>
      </c>
      <c r="H163" s="174" t="s">
        <v>1396</v>
      </c>
      <c r="I163" s="174" t="s">
        <v>29</v>
      </c>
      <c r="J163" s="174" t="s">
        <v>66</v>
      </c>
      <c r="K163" s="174" t="s">
        <v>67</v>
      </c>
      <c r="L163" s="177">
        <v>44563</v>
      </c>
      <c r="M163" s="174">
        <v>17</v>
      </c>
      <c r="N163" s="179">
        <v>2.8</v>
      </c>
      <c r="O163" s="174" t="s">
        <v>20</v>
      </c>
      <c r="P163" s="174">
        <v>69</v>
      </c>
    </row>
    <row r="164" spans="1:16" s="174" customFormat="1" ht="35" hidden="1" customHeight="1">
      <c r="A164" s="174">
        <f>ROW()-3</f>
        <v>161</v>
      </c>
      <c r="B164" s="174" t="s">
        <v>14</v>
      </c>
      <c r="C164" s="174" t="s">
        <v>966</v>
      </c>
      <c r="D164" s="174" t="s">
        <v>978</v>
      </c>
      <c r="E164" s="174" t="s">
        <v>1113</v>
      </c>
      <c r="F164" s="174" t="s">
        <v>1397</v>
      </c>
      <c r="G164" s="174" t="e">
        <v>#NAME?</v>
      </c>
      <c r="H164" s="174" t="s">
        <v>1398</v>
      </c>
      <c r="I164" s="174" t="s">
        <v>17</v>
      </c>
      <c r="J164" s="174" t="s">
        <v>34</v>
      </c>
      <c r="K164" s="174" t="s">
        <v>35</v>
      </c>
      <c r="L164" s="177">
        <v>44563</v>
      </c>
      <c r="M164" s="174">
        <v>12</v>
      </c>
      <c r="N164" s="179">
        <v>2.387777777777778</v>
      </c>
      <c r="O164" s="174" t="s">
        <v>20</v>
      </c>
      <c r="P164" s="174">
        <v>39</v>
      </c>
    </row>
    <row r="165" spans="1:16" s="174" customFormat="1" ht="35" hidden="1" customHeight="1">
      <c r="A165" s="174">
        <f>ROW()-3</f>
        <v>162</v>
      </c>
      <c r="B165" s="174" t="s">
        <v>14</v>
      </c>
      <c r="C165" s="174" t="s">
        <v>966</v>
      </c>
      <c r="D165" s="174" t="s">
        <v>978</v>
      </c>
      <c r="E165" s="174" t="s">
        <v>1113</v>
      </c>
      <c r="F165" s="174" t="s">
        <v>1399</v>
      </c>
      <c r="G165" s="174" t="s">
        <v>1400</v>
      </c>
      <c r="H165" s="174" t="s">
        <v>1401</v>
      </c>
      <c r="I165" s="174" t="s">
        <v>17</v>
      </c>
      <c r="J165" s="174" t="s">
        <v>34</v>
      </c>
      <c r="K165" s="174" t="s">
        <v>35</v>
      </c>
      <c r="L165" s="177">
        <v>44563</v>
      </c>
      <c r="M165" s="174">
        <v>16</v>
      </c>
      <c r="N165" s="179">
        <v>1.9572222222222222</v>
      </c>
      <c r="O165" s="174" t="s">
        <v>20</v>
      </c>
      <c r="P165" s="174">
        <v>99</v>
      </c>
    </row>
    <row r="166" spans="1:16" s="174" customFormat="1" ht="35" hidden="1" customHeight="1">
      <c r="A166" s="174">
        <f>ROW()-3</f>
        <v>163</v>
      </c>
      <c r="B166" s="174" t="s">
        <v>14</v>
      </c>
      <c r="C166" s="174" t="s">
        <v>966</v>
      </c>
      <c r="D166" s="174" t="s">
        <v>978</v>
      </c>
      <c r="E166" s="174" t="s">
        <v>1113</v>
      </c>
      <c r="F166" s="174" t="s">
        <v>1402</v>
      </c>
      <c r="G166" s="174" t="s">
        <v>1402</v>
      </c>
      <c r="H166" s="174" t="s">
        <v>1403</v>
      </c>
      <c r="I166" s="174" t="s">
        <v>17</v>
      </c>
      <c r="J166" s="174" t="s">
        <v>34</v>
      </c>
      <c r="K166" s="174" t="s">
        <v>35</v>
      </c>
      <c r="L166" s="177">
        <v>44563</v>
      </c>
      <c r="M166" s="174">
        <v>16</v>
      </c>
      <c r="N166" s="179">
        <v>1.6169444444444445</v>
      </c>
      <c r="O166" s="174" t="s">
        <v>20</v>
      </c>
      <c r="P166" s="174">
        <v>69</v>
      </c>
    </row>
    <row r="167" spans="1:16" s="174" customFormat="1" ht="35" hidden="1" customHeight="1">
      <c r="A167" s="174">
        <f>ROW()-3</f>
        <v>164</v>
      </c>
      <c r="B167" s="174" t="s">
        <v>14</v>
      </c>
      <c r="C167" s="174" t="s">
        <v>966</v>
      </c>
      <c r="D167" s="174" t="s">
        <v>978</v>
      </c>
      <c r="E167" s="174" t="s">
        <v>1113</v>
      </c>
      <c r="F167" s="174" t="s">
        <v>1404</v>
      </c>
      <c r="G167" s="174" t="s">
        <v>1404</v>
      </c>
      <c r="H167" s="174" t="s">
        <v>1405</v>
      </c>
      <c r="I167" s="174" t="s">
        <v>17</v>
      </c>
      <c r="J167" s="174" t="s">
        <v>34</v>
      </c>
      <c r="K167" s="174" t="s">
        <v>35</v>
      </c>
      <c r="L167" s="177">
        <v>44563</v>
      </c>
      <c r="M167" s="174">
        <v>11</v>
      </c>
      <c r="N167" s="179">
        <v>1.1744444444444444</v>
      </c>
      <c r="O167" s="174" t="s">
        <v>20</v>
      </c>
      <c r="P167" s="174">
        <v>99</v>
      </c>
    </row>
    <row r="168" spans="1:16" s="174" customFormat="1" ht="35" hidden="1" customHeight="1">
      <c r="A168" s="174">
        <f>ROW()-3</f>
        <v>165</v>
      </c>
      <c r="B168" s="174" t="s">
        <v>14</v>
      </c>
      <c r="C168" s="174" t="s">
        <v>966</v>
      </c>
      <c r="D168" s="174" t="s">
        <v>1023</v>
      </c>
      <c r="E168" s="174" t="s">
        <v>1024</v>
      </c>
      <c r="F168" s="174" t="s">
        <v>1406</v>
      </c>
      <c r="G168" s="174" t="s">
        <v>1406</v>
      </c>
      <c r="H168" s="174" t="s">
        <v>1407</v>
      </c>
      <c r="I168" s="174" t="s">
        <v>17</v>
      </c>
      <c r="J168" s="174" t="s">
        <v>34</v>
      </c>
      <c r="K168" s="174" t="s">
        <v>2665</v>
      </c>
      <c r="L168" s="177">
        <v>44563</v>
      </c>
      <c r="M168" s="174">
        <v>12</v>
      </c>
      <c r="N168" s="179">
        <v>2.4947222222222223</v>
      </c>
      <c r="O168" s="174" t="s">
        <v>20</v>
      </c>
      <c r="P168" s="174">
        <v>99</v>
      </c>
    </row>
    <row r="169" spans="1:16" s="174" customFormat="1" ht="35" hidden="1" customHeight="1">
      <c r="A169" s="174">
        <f>ROW()-3</f>
        <v>166</v>
      </c>
      <c r="B169" s="174" t="s">
        <v>14</v>
      </c>
      <c r="C169" s="174" t="s">
        <v>966</v>
      </c>
      <c r="D169" s="174" t="s">
        <v>961</v>
      </c>
      <c r="E169" s="174" t="s">
        <v>1127</v>
      </c>
      <c r="F169" s="174" t="s">
        <v>1408</v>
      </c>
      <c r="G169" s="174" t="s">
        <v>1408</v>
      </c>
      <c r="H169" s="174" t="s">
        <v>1409</v>
      </c>
      <c r="I169" s="174" t="s">
        <v>17</v>
      </c>
      <c r="J169" s="174" t="s">
        <v>34</v>
      </c>
      <c r="K169" s="174" t="s">
        <v>2665</v>
      </c>
      <c r="L169" s="177">
        <v>44563</v>
      </c>
      <c r="M169" s="174">
        <v>13</v>
      </c>
      <c r="N169" s="179">
        <v>3.1302777777777777</v>
      </c>
      <c r="O169" s="174" t="s">
        <v>20</v>
      </c>
      <c r="P169" s="174">
        <v>189</v>
      </c>
    </row>
    <row r="170" spans="1:16" s="174" customFormat="1" ht="35" hidden="1" customHeight="1">
      <c r="A170" s="174">
        <f>ROW()-3</f>
        <v>167</v>
      </c>
      <c r="B170" s="174" t="s">
        <v>14</v>
      </c>
      <c r="C170" s="174" t="s">
        <v>966</v>
      </c>
      <c r="D170" s="174" t="s">
        <v>961</v>
      </c>
      <c r="E170" s="174" t="s">
        <v>1127</v>
      </c>
      <c r="F170" s="174" t="s">
        <v>1410</v>
      </c>
      <c r="G170" s="174" t="s">
        <v>1410</v>
      </c>
      <c r="H170" s="174" t="s">
        <v>1409</v>
      </c>
      <c r="I170" s="174" t="s">
        <v>17</v>
      </c>
      <c r="J170" s="174" t="s">
        <v>34</v>
      </c>
      <c r="K170" s="174" t="s">
        <v>2668</v>
      </c>
      <c r="L170" s="177">
        <v>44563</v>
      </c>
      <c r="M170" s="174">
        <v>17</v>
      </c>
      <c r="N170" s="179">
        <v>4.1327777777777781</v>
      </c>
      <c r="O170" s="174" t="s">
        <v>20</v>
      </c>
      <c r="P170" s="174">
        <v>189</v>
      </c>
    </row>
    <row r="171" spans="1:16" s="174" customFormat="1" ht="35" hidden="1" customHeight="1">
      <c r="A171" s="174">
        <f>ROW()-3</f>
        <v>168</v>
      </c>
      <c r="B171" s="174" t="s">
        <v>14</v>
      </c>
      <c r="C171" s="174" t="s">
        <v>966</v>
      </c>
      <c r="D171" s="174" t="s">
        <v>62</v>
      </c>
      <c r="E171" s="174" t="s">
        <v>1001</v>
      </c>
      <c r="F171" s="174" t="s">
        <v>1411</v>
      </c>
      <c r="G171" s="174" t="s">
        <v>1411</v>
      </c>
      <c r="H171" s="174" t="s">
        <v>1412</v>
      </c>
      <c r="I171" s="174" t="s">
        <v>17</v>
      </c>
      <c r="J171" s="174" t="s">
        <v>2667</v>
      </c>
      <c r="K171" s="174" t="s">
        <v>2656</v>
      </c>
      <c r="L171" s="177">
        <v>44563</v>
      </c>
      <c r="M171" s="174">
        <v>14</v>
      </c>
      <c r="N171" s="179">
        <v>1.6863888888888889</v>
      </c>
      <c r="O171" s="174" t="s">
        <v>20</v>
      </c>
      <c r="P171" s="174">
        <v>69</v>
      </c>
    </row>
    <row r="172" spans="1:16" s="174" customFormat="1" ht="35" hidden="1" customHeight="1">
      <c r="A172" s="174">
        <f>ROW()-3</f>
        <v>169</v>
      </c>
      <c r="B172" s="174" t="s">
        <v>14</v>
      </c>
      <c r="C172" s="174" t="s">
        <v>966</v>
      </c>
      <c r="D172" s="174" t="s">
        <v>62</v>
      </c>
      <c r="E172" s="174" t="s">
        <v>1380</v>
      </c>
      <c r="F172" s="174" t="s">
        <v>1413</v>
      </c>
      <c r="G172" s="174" t="s">
        <v>1413</v>
      </c>
      <c r="H172" s="174" t="s">
        <v>1414</v>
      </c>
      <c r="I172" s="174" t="s">
        <v>17</v>
      </c>
      <c r="J172" s="174" t="s">
        <v>2667</v>
      </c>
      <c r="K172" s="174" t="s">
        <v>2666</v>
      </c>
      <c r="L172" s="177">
        <v>44563</v>
      </c>
      <c r="M172" s="174">
        <v>15</v>
      </c>
      <c r="N172" s="179">
        <v>2.1155555555555554</v>
      </c>
      <c r="O172" s="174" t="s">
        <v>20</v>
      </c>
      <c r="P172" s="174">
        <v>199</v>
      </c>
    </row>
    <row r="173" spans="1:16" s="174" customFormat="1" ht="35" hidden="1" customHeight="1">
      <c r="A173" s="174">
        <f>ROW()-3</f>
        <v>170</v>
      </c>
      <c r="B173" s="174" t="s">
        <v>14</v>
      </c>
      <c r="C173" s="174" t="s">
        <v>966</v>
      </c>
      <c r="D173" s="174" t="s">
        <v>62</v>
      </c>
      <c r="E173" s="174" t="s">
        <v>1380</v>
      </c>
      <c r="F173" s="174" t="s">
        <v>1415</v>
      </c>
      <c r="G173" s="174" t="s">
        <v>1416</v>
      </c>
      <c r="H173" s="174" t="s">
        <v>1417</v>
      </c>
      <c r="I173" s="174" t="s">
        <v>17</v>
      </c>
      <c r="J173" s="174" t="s">
        <v>2667</v>
      </c>
      <c r="K173" s="174" t="s">
        <v>2666</v>
      </c>
      <c r="L173" s="177">
        <v>44563</v>
      </c>
      <c r="M173" s="174">
        <v>25</v>
      </c>
      <c r="N173" s="179">
        <v>2.2174999999999998</v>
      </c>
      <c r="O173" s="174" t="s">
        <v>20</v>
      </c>
      <c r="P173" s="174">
        <v>199</v>
      </c>
    </row>
    <row r="174" spans="1:16" s="174" customFormat="1" ht="35" hidden="1" customHeight="1">
      <c r="A174" s="174">
        <f>ROW()-3</f>
        <v>171</v>
      </c>
      <c r="B174" s="174" t="s">
        <v>14</v>
      </c>
      <c r="C174" s="174" t="s">
        <v>966</v>
      </c>
      <c r="D174" s="174" t="s">
        <v>978</v>
      </c>
      <c r="E174" s="174" t="s">
        <v>1113</v>
      </c>
      <c r="F174" s="174" t="s">
        <v>1418</v>
      </c>
      <c r="G174" s="174" t="s">
        <v>1419</v>
      </c>
      <c r="H174" s="174" t="s">
        <v>1398</v>
      </c>
      <c r="I174" s="174" t="s">
        <v>17</v>
      </c>
      <c r="J174" s="174" t="s">
        <v>66</v>
      </c>
      <c r="K174" s="174" t="s">
        <v>67</v>
      </c>
      <c r="L174" s="177">
        <v>44566</v>
      </c>
      <c r="M174" s="174">
        <v>16</v>
      </c>
      <c r="N174" s="179">
        <v>2.6</v>
      </c>
      <c r="O174" s="174" t="s">
        <v>30</v>
      </c>
      <c r="P174" s="174">
        <v>39</v>
      </c>
    </row>
    <row r="175" spans="1:16" s="174" customFormat="1" ht="35" hidden="1" customHeight="1">
      <c r="A175" s="174">
        <f>ROW()-3</f>
        <v>172</v>
      </c>
      <c r="B175" s="174" t="s">
        <v>14</v>
      </c>
      <c r="C175" s="174" t="s">
        <v>966</v>
      </c>
      <c r="D175" s="174" t="s">
        <v>978</v>
      </c>
      <c r="E175" s="174" t="s">
        <v>1113</v>
      </c>
      <c r="F175" s="174" t="s">
        <v>2529</v>
      </c>
      <c r="G175" s="174" t="s">
        <v>2529</v>
      </c>
      <c r="H175" s="174" t="s">
        <v>1398</v>
      </c>
      <c r="I175" s="174" t="s">
        <v>17</v>
      </c>
      <c r="J175" s="174" t="s">
        <v>34</v>
      </c>
      <c r="K175" s="174" t="s">
        <v>2665</v>
      </c>
      <c r="L175" s="177">
        <v>44566</v>
      </c>
      <c r="M175" s="174">
        <v>17</v>
      </c>
      <c r="N175" s="179">
        <v>17</v>
      </c>
      <c r="O175" s="174" t="s">
        <v>89</v>
      </c>
      <c r="P175" s="174">
        <v>39</v>
      </c>
    </row>
    <row r="176" spans="1:16" s="174" customFormat="1" ht="35" hidden="1" customHeight="1">
      <c r="A176" s="174">
        <f>ROW()-3</f>
        <v>173</v>
      </c>
      <c r="B176" s="174" t="s">
        <v>14</v>
      </c>
      <c r="C176" s="174" t="s">
        <v>966</v>
      </c>
      <c r="D176" s="174" t="s">
        <v>978</v>
      </c>
      <c r="E176" s="174" t="s">
        <v>1113</v>
      </c>
      <c r="F176" s="174" t="s">
        <v>2530</v>
      </c>
      <c r="G176" s="174" t="s">
        <v>2531</v>
      </c>
      <c r="H176" s="174" t="s">
        <v>1420</v>
      </c>
      <c r="I176" s="174" t="s">
        <v>17</v>
      </c>
      <c r="J176" s="174" t="s">
        <v>34</v>
      </c>
      <c r="K176" s="174" t="s">
        <v>2665</v>
      </c>
      <c r="L176" s="177">
        <v>44566</v>
      </c>
      <c r="M176" s="174">
        <v>22</v>
      </c>
      <c r="N176" s="179">
        <v>2.8519444444444444</v>
      </c>
      <c r="O176" s="174" t="s">
        <v>20</v>
      </c>
      <c r="P176" s="174">
        <v>69</v>
      </c>
    </row>
    <row r="177" spans="1:45" s="174" customFormat="1" ht="35" hidden="1" customHeight="1">
      <c r="A177" s="174">
        <f>ROW()-3</f>
        <v>174</v>
      </c>
      <c r="B177" s="174" t="s">
        <v>14</v>
      </c>
      <c r="C177" s="174" t="s">
        <v>966</v>
      </c>
      <c r="D177" s="174" t="s">
        <v>978</v>
      </c>
      <c r="E177" s="174" t="s">
        <v>979</v>
      </c>
      <c r="F177" s="174" t="s">
        <v>2532</v>
      </c>
      <c r="G177" s="174" t="s">
        <v>2532</v>
      </c>
      <c r="H177" s="174" t="s">
        <v>1421</v>
      </c>
      <c r="I177" s="174" t="s">
        <v>29</v>
      </c>
      <c r="J177" s="174" t="s">
        <v>34</v>
      </c>
      <c r="K177" s="174" t="s">
        <v>2665</v>
      </c>
      <c r="L177" s="177">
        <v>44573</v>
      </c>
      <c r="M177" s="174">
        <v>7</v>
      </c>
      <c r="N177" s="179">
        <v>21</v>
      </c>
      <c r="O177" s="174" t="s">
        <v>20</v>
      </c>
      <c r="P177" s="174">
        <v>89</v>
      </c>
    </row>
    <row r="178" spans="1:45" s="174" customFormat="1" ht="35" hidden="1" customHeight="1">
      <c r="A178" s="174">
        <f>ROW()-3</f>
        <v>175</v>
      </c>
      <c r="B178" s="174" t="s">
        <v>14</v>
      </c>
      <c r="C178" s="174" t="s">
        <v>966</v>
      </c>
      <c r="D178" s="174" t="s">
        <v>978</v>
      </c>
      <c r="E178" s="174" t="s">
        <v>979</v>
      </c>
      <c r="F178" s="174" t="s">
        <v>1422</v>
      </c>
      <c r="G178" s="174" t="s">
        <v>1422</v>
      </c>
      <c r="H178" s="174" t="s">
        <v>1421</v>
      </c>
      <c r="I178" s="174" t="s">
        <v>29</v>
      </c>
      <c r="J178" s="174" t="s">
        <v>34</v>
      </c>
      <c r="K178" s="174" t="s">
        <v>2665</v>
      </c>
      <c r="L178" s="177">
        <v>44573</v>
      </c>
      <c r="M178" s="174">
        <v>9</v>
      </c>
      <c r="N178" s="179">
        <v>2.2000000000000002</v>
      </c>
      <c r="O178" s="174" t="s">
        <v>20</v>
      </c>
      <c r="P178" s="174">
        <v>99</v>
      </c>
    </row>
    <row r="179" spans="1:45" s="174" customFormat="1" ht="35" hidden="1" customHeight="1">
      <c r="A179" s="174">
        <f>ROW()-3</f>
        <v>176</v>
      </c>
      <c r="B179" s="174" t="s">
        <v>14</v>
      </c>
      <c r="C179" s="174" t="s">
        <v>966</v>
      </c>
      <c r="D179" s="174" t="s">
        <v>978</v>
      </c>
      <c r="E179" s="174" t="s">
        <v>979</v>
      </c>
      <c r="F179" s="174" t="s">
        <v>1423</v>
      </c>
      <c r="G179" s="174" t="s">
        <v>1423</v>
      </c>
      <c r="H179" s="174" t="s">
        <v>1424</v>
      </c>
      <c r="I179" s="174" t="s">
        <v>29</v>
      </c>
      <c r="J179" s="174" t="s">
        <v>34</v>
      </c>
      <c r="K179" s="174" t="s">
        <v>2665</v>
      </c>
      <c r="L179" s="177">
        <v>44573</v>
      </c>
      <c r="M179" s="174">
        <v>17</v>
      </c>
      <c r="N179" s="179">
        <v>2.7</v>
      </c>
      <c r="O179" s="174" t="s">
        <v>89</v>
      </c>
      <c r="P179" s="174">
        <v>129</v>
      </c>
    </row>
    <row r="180" spans="1:45" s="174" customFormat="1" ht="35" hidden="1" customHeight="1">
      <c r="A180" s="174">
        <f>ROW()-3</f>
        <v>177</v>
      </c>
      <c r="B180" s="174" t="s">
        <v>14</v>
      </c>
      <c r="C180" s="174" t="s">
        <v>966</v>
      </c>
      <c r="D180" s="174" t="s">
        <v>978</v>
      </c>
      <c r="E180" s="174" t="s">
        <v>979</v>
      </c>
      <c r="F180" s="174" t="s">
        <v>1425</v>
      </c>
      <c r="G180" s="174" t="s">
        <v>1425</v>
      </c>
      <c r="H180" s="174" t="s">
        <v>1426</v>
      </c>
      <c r="I180" s="174" t="s">
        <v>29</v>
      </c>
      <c r="J180" s="174" t="s">
        <v>34</v>
      </c>
      <c r="K180" s="174" t="s">
        <v>35</v>
      </c>
      <c r="L180" s="177">
        <v>44573</v>
      </c>
      <c r="M180" s="174">
        <v>29</v>
      </c>
      <c r="N180" s="179">
        <v>7</v>
      </c>
      <c r="O180" s="174" t="s">
        <v>20</v>
      </c>
      <c r="P180" s="174">
        <v>2998</v>
      </c>
    </row>
    <row r="181" spans="1:45" s="174" customFormat="1" ht="35" hidden="1" customHeight="1">
      <c r="A181" s="174">
        <f>ROW()-3</f>
        <v>178</v>
      </c>
      <c r="B181" s="174" t="s">
        <v>14</v>
      </c>
      <c r="C181" s="174" t="s">
        <v>966</v>
      </c>
      <c r="D181" s="174" t="s">
        <v>978</v>
      </c>
      <c r="E181" s="174" t="s">
        <v>979</v>
      </c>
      <c r="F181" s="174" t="s">
        <v>1427</v>
      </c>
      <c r="G181" s="174" t="s">
        <v>1427</v>
      </c>
      <c r="H181" s="174" t="s">
        <v>1428</v>
      </c>
      <c r="I181" s="174" t="s">
        <v>29</v>
      </c>
      <c r="J181" s="174" t="s">
        <v>34</v>
      </c>
      <c r="K181" s="174" t="s">
        <v>35</v>
      </c>
      <c r="L181" s="177">
        <v>44573</v>
      </c>
      <c r="M181" s="174">
        <v>6</v>
      </c>
      <c r="N181" s="179">
        <v>1.2</v>
      </c>
      <c r="O181" s="174" t="s">
        <v>20</v>
      </c>
      <c r="P181" s="174">
        <v>69</v>
      </c>
    </row>
    <row r="182" spans="1:45" s="174" customFormat="1" ht="35" hidden="1" customHeight="1">
      <c r="A182" s="174">
        <f>ROW()-3</f>
        <v>179</v>
      </c>
      <c r="B182" s="174" t="s">
        <v>14</v>
      </c>
      <c r="C182" s="174" t="s">
        <v>966</v>
      </c>
      <c r="D182" s="174" t="s">
        <v>1043</v>
      </c>
      <c r="E182" s="174" t="s">
        <v>1195</v>
      </c>
      <c r="F182" s="174" t="s">
        <v>2533</v>
      </c>
      <c r="G182" s="174" t="s">
        <v>2534</v>
      </c>
      <c r="H182" s="174" t="s">
        <v>942</v>
      </c>
      <c r="I182" s="174" t="s">
        <v>17</v>
      </c>
      <c r="J182" s="174" t="s">
        <v>39</v>
      </c>
      <c r="K182" s="174" t="s">
        <v>2668</v>
      </c>
      <c r="L182" s="177">
        <v>44578</v>
      </c>
      <c r="M182" s="174">
        <v>14</v>
      </c>
      <c r="N182" s="179">
        <v>3.8</v>
      </c>
      <c r="O182" s="174" t="s">
        <v>20</v>
      </c>
      <c r="P182" s="174">
        <v>199</v>
      </c>
    </row>
    <row r="183" spans="1:45" s="174" customFormat="1" ht="35" hidden="1" customHeight="1">
      <c r="A183" s="174">
        <f>ROW()-3</f>
        <v>180</v>
      </c>
      <c r="B183" s="174" t="s">
        <v>14</v>
      </c>
      <c r="C183" s="174" t="s">
        <v>966</v>
      </c>
      <c r="D183" s="174" t="s">
        <v>961</v>
      </c>
      <c r="E183" s="174" t="s">
        <v>1127</v>
      </c>
      <c r="F183" s="174" t="s">
        <v>2535</v>
      </c>
      <c r="G183" s="174" t="s">
        <v>2535</v>
      </c>
      <c r="H183" s="174" t="s">
        <v>2536</v>
      </c>
      <c r="I183" s="174" t="s">
        <v>29</v>
      </c>
      <c r="J183" s="174" t="s">
        <v>39</v>
      </c>
      <c r="K183" s="174" t="s">
        <v>2668</v>
      </c>
      <c r="L183" s="177">
        <v>44578</v>
      </c>
      <c r="M183" s="174">
        <v>6</v>
      </c>
      <c r="N183" s="179">
        <v>11.2</v>
      </c>
      <c r="O183" s="174" t="s">
        <v>89</v>
      </c>
      <c r="P183" s="174">
        <v>199</v>
      </c>
    </row>
    <row r="184" spans="1:45" s="174" customFormat="1" ht="35" hidden="1" customHeight="1">
      <c r="A184" s="174">
        <f>ROW()-3</f>
        <v>181</v>
      </c>
      <c r="B184" s="174" t="s">
        <v>14</v>
      </c>
      <c r="C184" s="174" t="s">
        <v>966</v>
      </c>
      <c r="D184" s="174" t="s">
        <v>951</v>
      </c>
      <c r="E184" s="174" t="s">
        <v>952</v>
      </c>
      <c r="F184" s="174" t="s">
        <v>2537</v>
      </c>
      <c r="G184" s="174" t="s">
        <v>2537</v>
      </c>
      <c r="H184" s="174" t="s">
        <v>1173</v>
      </c>
      <c r="I184" s="174" t="s">
        <v>29</v>
      </c>
      <c r="J184" s="174" t="s">
        <v>34</v>
      </c>
      <c r="K184" s="174" t="s">
        <v>35</v>
      </c>
      <c r="L184" s="177">
        <v>44586</v>
      </c>
      <c r="M184" s="174">
        <v>31</v>
      </c>
      <c r="N184" s="179">
        <v>7.8</v>
      </c>
      <c r="O184" s="174" t="s">
        <v>89</v>
      </c>
      <c r="P184" s="174">
        <v>98</v>
      </c>
    </row>
    <row r="185" spans="1:45" s="174" customFormat="1" ht="35" hidden="1" customHeight="1">
      <c r="A185" s="174">
        <f>ROW()-3</f>
        <v>182</v>
      </c>
      <c r="B185" s="174" t="s">
        <v>5353</v>
      </c>
      <c r="C185" s="174" t="s">
        <v>2635</v>
      </c>
      <c r="D185" s="174" t="s">
        <v>5351</v>
      </c>
      <c r="E185" s="174" t="s">
        <v>5350</v>
      </c>
      <c r="F185" s="174" t="s">
        <v>5349</v>
      </c>
      <c r="G185" s="174" t="s">
        <v>5349</v>
      </c>
      <c r="H185" s="174" t="s">
        <v>5352</v>
      </c>
      <c r="I185" s="174" t="s">
        <v>5341</v>
      </c>
      <c r="J185" s="174" t="s">
        <v>39</v>
      </c>
      <c r="K185" s="174" t="s">
        <v>2668</v>
      </c>
      <c r="L185" s="175">
        <v>44599</v>
      </c>
      <c r="M185" s="174">
        <v>22</v>
      </c>
      <c r="N185" s="249">
        <v>3.47</v>
      </c>
      <c r="O185" s="174" t="s">
        <v>5300</v>
      </c>
      <c r="P185" s="181">
        <v>129</v>
      </c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</row>
    <row r="186" spans="1:45" s="174" customFormat="1" ht="35" hidden="1" customHeight="1">
      <c r="A186" s="174">
        <f>ROW()-3</f>
        <v>183</v>
      </c>
      <c r="B186" s="181" t="s">
        <v>5365</v>
      </c>
      <c r="C186" s="181" t="s">
        <v>5372</v>
      </c>
      <c r="D186" s="181" t="s">
        <v>5374</v>
      </c>
      <c r="E186" s="181" t="s">
        <v>5375</v>
      </c>
      <c r="F186" s="181" t="s">
        <v>5373</v>
      </c>
      <c r="G186" s="181" t="s">
        <v>5373</v>
      </c>
      <c r="H186" s="181" t="s">
        <v>5376</v>
      </c>
      <c r="I186" s="181" t="s">
        <v>17</v>
      </c>
      <c r="J186" s="181" t="s">
        <v>39</v>
      </c>
      <c r="K186" s="181" t="s">
        <v>25</v>
      </c>
      <c r="L186" s="177">
        <v>44606</v>
      </c>
      <c r="M186" s="181">
        <v>21</v>
      </c>
      <c r="N186" s="179">
        <v>5.7</v>
      </c>
      <c r="O186" s="181" t="s">
        <v>5377</v>
      </c>
      <c r="P186" s="181">
        <v>199</v>
      </c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</row>
    <row r="187" spans="1:45" s="174" customFormat="1" ht="35" hidden="1" customHeight="1">
      <c r="A187" s="174">
        <f>ROW()-3</f>
        <v>184</v>
      </c>
      <c r="B187" s="181" t="s">
        <v>5365</v>
      </c>
      <c r="C187" s="181" t="s">
        <v>5372</v>
      </c>
      <c r="D187" s="181" t="s">
        <v>5378</v>
      </c>
      <c r="E187" s="181" t="s">
        <v>5379</v>
      </c>
      <c r="F187" s="181" t="s">
        <v>5380</v>
      </c>
      <c r="G187" s="181" t="s">
        <v>5380</v>
      </c>
      <c r="H187" s="181" t="s">
        <v>5381</v>
      </c>
      <c r="I187" s="181" t="s">
        <v>17</v>
      </c>
      <c r="J187" s="181" t="s">
        <v>160</v>
      </c>
      <c r="K187" s="181" t="s">
        <v>25</v>
      </c>
      <c r="L187" s="177">
        <v>44606</v>
      </c>
      <c r="M187" s="181">
        <v>9</v>
      </c>
      <c r="N187" s="179">
        <v>1.7</v>
      </c>
      <c r="O187" s="181" t="s">
        <v>5377</v>
      </c>
      <c r="P187" s="181">
        <v>59</v>
      </c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</row>
    <row r="188" spans="1:45" s="174" customFormat="1" ht="35" hidden="1" customHeight="1">
      <c r="A188" s="181">
        <f>ROW()-3</f>
        <v>185</v>
      </c>
      <c r="B188" s="181" t="s">
        <v>5640</v>
      </c>
      <c r="C188" s="181" t="s">
        <v>966</v>
      </c>
      <c r="D188" s="181" t="s">
        <v>951</v>
      </c>
      <c r="E188" s="181" t="s">
        <v>974</v>
      </c>
      <c r="F188" s="181" t="s">
        <v>5641</v>
      </c>
      <c r="G188" s="181" t="s">
        <v>5641</v>
      </c>
      <c r="H188" s="181" t="s">
        <v>5642</v>
      </c>
      <c r="I188" s="181" t="s">
        <v>5643</v>
      </c>
      <c r="J188" s="181" t="s">
        <v>5644</v>
      </c>
      <c r="K188" s="181" t="s">
        <v>5645</v>
      </c>
      <c r="L188" s="177">
        <v>44627</v>
      </c>
      <c r="M188" s="181">
        <v>12</v>
      </c>
      <c r="N188" s="179">
        <v>2.8</v>
      </c>
      <c r="O188" s="181" t="s">
        <v>5646</v>
      </c>
      <c r="P188" s="181">
        <v>199</v>
      </c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  <c r="AC188" s="181"/>
      <c r="AD188" s="181"/>
      <c r="AE188" s="181"/>
      <c r="AF188" s="181"/>
      <c r="AG188" s="181"/>
      <c r="AH188" s="181"/>
      <c r="AI188" s="181"/>
      <c r="AJ188" s="181"/>
      <c r="AK188" s="181"/>
      <c r="AL188" s="181"/>
      <c r="AM188" s="181"/>
      <c r="AN188" s="181"/>
      <c r="AO188" s="181"/>
      <c r="AP188" s="181"/>
      <c r="AQ188" s="181"/>
      <c r="AR188" s="181"/>
      <c r="AS188" s="181"/>
    </row>
    <row r="189" spans="1:45" s="174" customFormat="1" ht="35" hidden="1" customHeight="1">
      <c r="A189" s="174">
        <f>ROW()-3</f>
        <v>186</v>
      </c>
      <c r="B189" s="174" t="s">
        <v>14</v>
      </c>
      <c r="C189" s="174" t="s">
        <v>920</v>
      </c>
      <c r="D189" s="174" t="s">
        <v>2510</v>
      </c>
      <c r="E189" s="174" t="s">
        <v>2511</v>
      </c>
      <c r="F189" s="174" t="s">
        <v>921</v>
      </c>
      <c r="G189" s="174" t="s">
        <v>922</v>
      </c>
      <c r="H189" s="174" t="s">
        <v>923</v>
      </c>
      <c r="I189" s="174" t="s">
        <v>29</v>
      </c>
      <c r="J189" s="174" t="s">
        <v>816</v>
      </c>
      <c r="K189" s="174" t="s">
        <v>174</v>
      </c>
      <c r="L189" s="177">
        <v>43395</v>
      </c>
      <c r="M189" s="174">
        <v>37</v>
      </c>
      <c r="N189" s="179">
        <v>6.64</v>
      </c>
      <c r="O189" s="174" t="s">
        <v>20</v>
      </c>
      <c r="P189" s="174">
        <v>99</v>
      </c>
    </row>
    <row r="190" spans="1:45" s="174" customFormat="1" ht="35" hidden="1" customHeight="1">
      <c r="A190" s="174">
        <f>ROW()-3</f>
        <v>187</v>
      </c>
      <c r="B190" s="174" t="s">
        <v>14</v>
      </c>
      <c r="C190" s="174" t="s">
        <v>920</v>
      </c>
      <c r="D190" s="174" t="s">
        <v>2512</v>
      </c>
      <c r="E190" s="174" t="s">
        <v>2513</v>
      </c>
      <c r="F190" s="174" t="s">
        <v>924</v>
      </c>
      <c r="G190" s="174" t="s">
        <v>925</v>
      </c>
      <c r="H190" s="174" t="s">
        <v>926</v>
      </c>
      <c r="I190" s="174" t="s">
        <v>29</v>
      </c>
      <c r="J190" s="174" t="s">
        <v>816</v>
      </c>
      <c r="K190" s="174" t="s">
        <v>174</v>
      </c>
      <c r="L190" s="177">
        <v>43717</v>
      </c>
      <c r="M190" s="174">
        <v>32</v>
      </c>
      <c r="N190" s="179">
        <v>4.96</v>
      </c>
      <c r="O190" s="174" t="s">
        <v>20</v>
      </c>
      <c r="P190" s="174">
        <v>99</v>
      </c>
    </row>
    <row r="191" spans="1:45" s="174" customFormat="1" ht="35" hidden="1" customHeight="1">
      <c r="A191" s="174">
        <f>ROW()-3</f>
        <v>188</v>
      </c>
      <c r="B191" s="174" t="s">
        <v>14</v>
      </c>
      <c r="C191" s="174" t="s">
        <v>920</v>
      </c>
      <c r="D191" s="174" t="s">
        <v>2514</v>
      </c>
      <c r="E191" s="174" t="s">
        <v>2513</v>
      </c>
      <c r="F191" s="174" t="s">
        <v>927</v>
      </c>
      <c r="G191" s="174" t="s">
        <v>928</v>
      </c>
      <c r="H191" s="174" t="s">
        <v>760</v>
      </c>
      <c r="I191" s="174" t="s">
        <v>29</v>
      </c>
      <c r="J191" s="174" t="s">
        <v>24</v>
      </c>
      <c r="K191" s="174" t="s">
        <v>25</v>
      </c>
      <c r="L191" s="177">
        <v>43998</v>
      </c>
      <c r="M191" s="174">
        <v>79</v>
      </c>
      <c r="N191" s="179">
        <v>21.1</v>
      </c>
      <c r="O191" s="174" t="s">
        <v>20</v>
      </c>
      <c r="P191" s="174">
        <v>99</v>
      </c>
    </row>
    <row r="192" spans="1:45" s="174" customFormat="1" ht="35" hidden="1" customHeight="1">
      <c r="A192" s="174">
        <f>ROW()-3</f>
        <v>189</v>
      </c>
      <c r="B192" s="174" t="s">
        <v>14</v>
      </c>
      <c r="C192" s="174" t="s">
        <v>920</v>
      </c>
      <c r="D192" s="174" t="s">
        <v>2512</v>
      </c>
      <c r="E192" s="174" t="s">
        <v>2515</v>
      </c>
      <c r="F192" s="174" t="s">
        <v>929</v>
      </c>
      <c r="G192" s="174" t="s">
        <v>930</v>
      </c>
      <c r="H192" s="174" t="s">
        <v>931</v>
      </c>
      <c r="I192" s="174" t="s">
        <v>17</v>
      </c>
      <c r="J192" s="174" t="s">
        <v>932</v>
      </c>
      <c r="K192" s="174" t="s">
        <v>174</v>
      </c>
      <c r="L192" s="177">
        <v>44097</v>
      </c>
      <c r="M192" s="174">
        <v>23</v>
      </c>
      <c r="N192" s="179">
        <v>5.75</v>
      </c>
      <c r="O192" s="174" t="s">
        <v>20</v>
      </c>
      <c r="P192" s="174">
        <v>180</v>
      </c>
    </row>
    <row r="193" spans="1:45" s="174" customFormat="1" ht="35" hidden="1" customHeight="1">
      <c r="A193" s="174">
        <f>ROW()-3</f>
        <v>190</v>
      </c>
      <c r="B193" s="174" t="s">
        <v>14</v>
      </c>
      <c r="C193" s="174" t="s">
        <v>920</v>
      </c>
      <c r="D193" s="174" t="s">
        <v>2510</v>
      </c>
      <c r="E193" s="174" t="s">
        <v>2516</v>
      </c>
      <c r="F193" s="174" t="s">
        <v>933</v>
      </c>
      <c r="G193" s="174" t="s">
        <v>934</v>
      </c>
      <c r="H193" s="174" t="s">
        <v>935</v>
      </c>
      <c r="I193" s="174" t="s">
        <v>29</v>
      </c>
      <c r="J193" s="174" t="s">
        <v>816</v>
      </c>
      <c r="K193" s="174" t="s">
        <v>174</v>
      </c>
      <c r="L193" s="177">
        <v>44326</v>
      </c>
      <c r="M193" s="174">
        <v>19</v>
      </c>
      <c r="N193" s="179">
        <v>4.1100000000000003</v>
      </c>
      <c r="O193" s="174" t="s">
        <v>30</v>
      </c>
      <c r="P193" s="174">
        <v>69</v>
      </c>
    </row>
    <row r="194" spans="1:45" s="174" customFormat="1" ht="35" hidden="1" customHeight="1">
      <c r="A194" s="174">
        <f>ROW()-3</f>
        <v>191</v>
      </c>
      <c r="B194" s="174" t="s">
        <v>14</v>
      </c>
      <c r="C194" s="174" t="s">
        <v>920</v>
      </c>
      <c r="D194" s="174" t="s">
        <v>2512</v>
      </c>
      <c r="E194" s="174" t="s">
        <v>2517</v>
      </c>
      <c r="F194" s="174" t="s">
        <v>936</v>
      </c>
      <c r="G194" s="174" t="s">
        <v>937</v>
      </c>
      <c r="H194" s="174" t="s">
        <v>938</v>
      </c>
      <c r="I194" s="174" t="s">
        <v>939</v>
      </c>
      <c r="J194" s="174" t="s">
        <v>932</v>
      </c>
      <c r="K194" s="174" t="s">
        <v>174</v>
      </c>
      <c r="L194" s="177">
        <v>44423</v>
      </c>
      <c r="M194" s="174">
        <v>15</v>
      </c>
      <c r="N194" s="179">
        <v>2.5</v>
      </c>
      <c r="O194" s="174" t="s">
        <v>20</v>
      </c>
      <c r="P194" s="174">
        <v>198</v>
      </c>
    </row>
    <row r="195" spans="1:45" s="174" customFormat="1" ht="35" hidden="1" customHeight="1">
      <c r="A195" s="174">
        <f>ROW()-3</f>
        <v>192</v>
      </c>
      <c r="B195" s="174" t="s">
        <v>14</v>
      </c>
      <c r="C195" s="174" t="s">
        <v>920</v>
      </c>
      <c r="D195" s="174" t="s">
        <v>2518</v>
      </c>
      <c r="E195" s="174" t="s">
        <v>2519</v>
      </c>
      <c r="F195" s="174" t="s">
        <v>940</v>
      </c>
      <c r="G195" s="174" t="s">
        <v>941</v>
      </c>
      <c r="H195" s="174" t="s">
        <v>942</v>
      </c>
      <c r="I195" s="174" t="s">
        <v>17</v>
      </c>
      <c r="J195" s="174" t="s">
        <v>39</v>
      </c>
      <c r="K195" s="174" t="s">
        <v>93</v>
      </c>
      <c r="L195" s="177">
        <v>44463</v>
      </c>
      <c r="M195" s="174">
        <v>23</v>
      </c>
      <c r="N195" s="179">
        <v>3.06</v>
      </c>
      <c r="O195" s="174" t="s">
        <v>30</v>
      </c>
      <c r="P195" s="174">
        <v>199</v>
      </c>
    </row>
    <row r="196" spans="1:45" s="174" customFormat="1" ht="35" hidden="1" customHeight="1">
      <c r="A196" s="174">
        <f>ROW()-3</f>
        <v>193</v>
      </c>
      <c r="B196" s="174" t="s">
        <v>14</v>
      </c>
      <c r="C196" s="174" t="s">
        <v>920</v>
      </c>
      <c r="D196" s="174" t="s">
        <v>2510</v>
      </c>
      <c r="E196" s="174" t="s">
        <v>2511</v>
      </c>
      <c r="F196" s="174" t="s">
        <v>943</v>
      </c>
      <c r="G196" s="174" t="s">
        <v>944</v>
      </c>
      <c r="H196" s="174" t="s">
        <v>945</v>
      </c>
      <c r="I196" s="174" t="s">
        <v>17</v>
      </c>
      <c r="J196" s="174" t="s">
        <v>2663</v>
      </c>
      <c r="K196" s="174" t="s">
        <v>2664</v>
      </c>
      <c r="L196" s="177">
        <v>44534</v>
      </c>
      <c r="M196" s="174">
        <v>30</v>
      </c>
      <c r="N196" s="179">
        <v>5.1744444444444442</v>
      </c>
      <c r="O196" s="174" t="s">
        <v>20</v>
      </c>
      <c r="P196" s="174">
        <v>199</v>
      </c>
    </row>
    <row r="197" spans="1:45" s="174" customFormat="1" ht="35" hidden="1" customHeight="1">
      <c r="A197" s="174">
        <f>ROW()-3</f>
        <v>194</v>
      </c>
      <c r="B197" s="174" t="s">
        <v>14</v>
      </c>
      <c r="C197" s="174" t="s">
        <v>920</v>
      </c>
      <c r="D197" s="174" t="s">
        <v>2510</v>
      </c>
      <c r="E197" s="174" t="s">
        <v>2516</v>
      </c>
      <c r="F197" s="174" t="s">
        <v>946</v>
      </c>
      <c r="G197" s="174" t="s">
        <v>947</v>
      </c>
      <c r="H197" s="174" t="s">
        <v>948</v>
      </c>
      <c r="I197" s="174" t="s">
        <v>17</v>
      </c>
      <c r="J197" s="174" t="s">
        <v>2663</v>
      </c>
      <c r="K197" s="174" t="s">
        <v>2664</v>
      </c>
      <c r="L197" s="177">
        <v>44534</v>
      </c>
      <c r="M197" s="174">
        <v>16</v>
      </c>
      <c r="N197" s="179">
        <v>4.3202777777777781</v>
      </c>
      <c r="O197" s="174" t="s">
        <v>20</v>
      </c>
      <c r="P197" s="174">
        <v>89</v>
      </c>
    </row>
    <row r="198" spans="1:45" s="174" customFormat="1" ht="35" hidden="1" customHeight="1">
      <c r="A198" s="174">
        <f>ROW()-3</f>
        <v>195</v>
      </c>
      <c r="B198" s="174" t="s">
        <v>14</v>
      </c>
      <c r="C198" s="174" t="s">
        <v>920</v>
      </c>
      <c r="D198" s="174" t="s">
        <v>2520</v>
      </c>
      <c r="E198" s="174" t="s">
        <v>2521</v>
      </c>
      <c r="F198" s="174" t="s">
        <v>949</v>
      </c>
      <c r="G198" s="174" t="s">
        <v>949</v>
      </c>
      <c r="H198" s="174" t="s">
        <v>950</v>
      </c>
      <c r="I198" s="174" t="s">
        <v>29</v>
      </c>
      <c r="J198" s="174" t="s">
        <v>932</v>
      </c>
      <c r="K198" s="174" t="s">
        <v>174</v>
      </c>
      <c r="L198" s="177">
        <v>44563</v>
      </c>
      <c r="M198" s="174">
        <v>6</v>
      </c>
      <c r="N198" s="179">
        <v>0.8</v>
      </c>
      <c r="O198" s="174" t="s">
        <v>30</v>
      </c>
      <c r="P198" s="174">
        <v>99</v>
      </c>
    </row>
    <row r="199" spans="1:45" s="174" customFormat="1" ht="35" hidden="1" customHeight="1">
      <c r="A199" s="174">
        <f>ROW()-3</f>
        <v>196</v>
      </c>
      <c r="B199" s="174" t="s">
        <v>14</v>
      </c>
      <c r="C199" s="174" t="s">
        <v>920</v>
      </c>
      <c r="D199" s="174" t="s">
        <v>2512</v>
      </c>
      <c r="E199" s="174" t="s">
        <v>2515</v>
      </c>
      <c r="F199" s="174" t="s">
        <v>2522</v>
      </c>
      <c r="G199" s="174" t="s">
        <v>2522</v>
      </c>
      <c r="H199" s="174" t="s">
        <v>2523</v>
      </c>
      <c r="I199" s="174" t="s">
        <v>29</v>
      </c>
      <c r="J199" s="174" t="s">
        <v>2663</v>
      </c>
      <c r="K199" s="174" t="s">
        <v>600</v>
      </c>
      <c r="L199" s="177">
        <v>44585</v>
      </c>
      <c r="M199" s="174">
        <v>5</v>
      </c>
      <c r="N199" s="179">
        <v>0.72</v>
      </c>
      <c r="O199" s="174" t="s">
        <v>89</v>
      </c>
      <c r="P199" s="174">
        <v>69</v>
      </c>
    </row>
    <row r="200" spans="1:45" s="174" customFormat="1" ht="35" hidden="1" customHeight="1">
      <c r="A200" s="181">
        <f>ROW()-3</f>
        <v>197</v>
      </c>
      <c r="B200" s="181" t="s">
        <v>5640</v>
      </c>
      <c r="C200" s="181" t="s">
        <v>2636</v>
      </c>
      <c r="D200" s="181" t="s">
        <v>1594</v>
      </c>
      <c r="E200" s="181" t="s">
        <v>5647</v>
      </c>
      <c r="F200" s="181" t="s">
        <v>5648</v>
      </c>
      <c r="G200" s="181" t="s">
        <v>5648</v>
      </c>
      <c r="H200" s="181" t="s">
        <v>5649</v>
      </c>
      <c r="I200" s="181" t="s">
        <v>5643</v>
      </c>
      <c r="J200" s="181" t="s">
        <v>5644</v>
      </c>
      <c r="K200" s="181" t="s">
        <v>5645</v>
      </c>
      <c r="L200" s="177">
        <v>44627</v>
      </c>
      <c r="M200" s="181">
        <v>10</v>
      </c>
      <c r="N200" s="179">
        <v>2.1</v>
      </c>
      <c r="O200" s="181" t="s">
        <v>20</v>
      </c>
      <c r="P200" s="181">
        <v>399</v>
      </c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81"/>
      <c r="AJ200" s="181"/>
      <c r="AK200" s="181"/>
      <c r="AL200" s="181"/>
      <c r="AM200" s="181"/>
      <c r="AN200" s="181"/>
      <c r="AO200" s="181"/>
      <c r="AP200" s="181"/>
      <c r="AQ200" s="181"/>
      <c r="AR200" s="181"/>
      <c r="AS200" s="181"/>
    </row>
    <row r="201" spans="1:45" s="251" customFormat="1" ht="35" hidden="1" customHeight="1">
      <c r="A201" s="181">
        <f>ROW()-3</f>
        <v>198</v>
      </c>
      <c r="B201" s="181" t="s">
        <v>5679</v>
      </c>
      <c r="C201" s="181" t="s">
        <v>5709</v>
      </c>
      <c r="D201" s="181" t="s">
        <v>779</v>
      </c>
      <c r="E201" s="181" t="s">
        <v>757</v>
      </c>
      <c r="F201" s="262" t="s">
        <v>5675</v>
      </c>
      <c r="G201" s="262" t="s">
        <v>5675</v>
      </c>
      <c r="H201" s="262" t="s">
        <v>5685</v>
      </c>
      <c r="I201" s="262" t="s">
        <v>5682</v>
      </c>
      <c r="J201" s="307" t="s">
        <v>5683</v>
      </c>
      <c r="K201" s="181" t="s">
        <v>5684</v>
      </c>
      <c r="L201" s="177">
        <v>44634</v>
      </c>
      <c r="M201" s="22">
        <v>20</v>
      </c>
      <c r="N201" s="308">
        <v>4.5999999999999996</v>
      </c>
      <c r="O201" s="22" t="s">
        <v>5691</v>
      </c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</row>
    <row r="202" spans="1:45" s="174" customFormat="1" ht="35" hidden="1" customHeight="1">
      <c r="A202" s="174">
        <f>ROW()-3</f>
        <v>199</v>
      </c>
      <c r="B202" s="174" t="s">
        <v>14</v>
      </c>
      <c r="C202" s="174" t="s">
        <v>2723</v>
      </c>
      <c r="D202" s="174" t="s">
        <v>706</v>
      </c>
      <c r="E202" s="174" t="s">
        <v>1429</v>
      </c>
      <c r="F202" s="174" t="s">
        <v>1430</v>
      </c>
      <c r="G202" s="174" t="s">
        <v>1431</v>
      </c>
      <c r="H202" s="174" t="s">
        <v>292</v>
      </c>
      <c r="I202" s="174" t="s">
        <v>29</v>
      </c>
      <c r="J202" s="174" t="s">
        <v>34</v>
      </c>
      <c r="K202" s="174" t="s">
        <v>35</v>
      </c>
      <c r="L202" s="177">
        <v>43238</v>
      </c>
      <c r="M202" s="174">
        <v>6</v>
      </c>
      <c r="N202" s="179">
        <v>1.0900000000000001</v>
      </c>
      <c r="O202" s="174" t="s">
        <v>20</v>
      </c>
      <c r="P202" s="174">
        <v>9.9</v>
      </c>
    </row>
    <row r="203" spans="1:45" s="174" customFormat="1" ht="35" hidden="1" customHeight="1">
      <c r="A203" s="174">
        <f>ROW()-3</f>
        <v>200</v>
      </c>
      <c r="B203" s="174" t="s">
        <v>14</v>
      </c>
      <c r="C203" s="174" t="s">
        <v>2723</v>
      </c>
      <c r="D203" s="174" t="s">
        <v>1432</v>
      </c>
      <c r="E203" s="174" t="s">
        <v>1433</v>
      </c>
      <c r="F203" s="174" t="s">
        <v>1434</v>
      </c>
      <c r="G203" s="174" t="s">
        <v>1435</v>
      </c>
      <c r="H203" s="174" t="s">
        <v>1436</v>
      </c>
      <c r="I203" s="174" t="s">
        <v>29</v>
      </c>
      <c r="J203" s="174" t="s">
        <v>34</v>
      </c>
      <c r="K203" s="174" t="s">
        <v>93</v>
      </c>
      <c r="L203" s="177">
        <v>43238</v>
      </c>
      <c r="M203" s="174">
        <v>79</v>
      </c>
      <c r="N203" s="179">
        <v>24.04</v>
      </c>
      <c r="O203" s="174" t="s">
        <v>20</v>
      </c>
      <c r="P203" s="174">
        <v>199</v>
      </c>
    </row>
    <row r="204" spans="1:45" s="174" customFormat="1" ht="35" hidden="1" customHeight="1">
      <c r="A204" s="174">
        <f>ROW()-3</f>
        <v>201</v>
      </c>
      <c r="B204" s="174" t="s">
        <v>14</v>
      </c>
      <c r="C204" s="174" t="s">
        <v>2723</v>
      </c>
      <c r="D204" s="174" t="s">
        <v>1432</v>
      </c>
      <c r="E204" s="174" t="s">
        <v>1437</v>
      </c>
      <c r="F204" s="174" t="s">
        <v>1438</v>
      </c>
      <c r="G204" s="174" t="s">
        <v>1439</v>
      </c>
      <c r="H204" s="174" t="s">
        <v>1440</v>
      </c>
      <c r="I204" s="174" t="s">
        <v>29</v>
      </c>
      <c r="J204" s="174" t="s">
        <v>34</v>
      </c>
      <c r="K204" s="174" t="s">
        <v>93</v>
      </c>
      <c r="L204" s="177">
        <v>43238</v>
      </c>
      <c r="M204" s="174">
        <v>101</v>
      </c>
      <c r="N204" s="179">
        <v>28.52</v>
      </c>
      <c r="O204" s="174" t="s">
        <v>20</v>
      </c>
      <c r="P204" s="174">
        <v>199</v>
      </c>
    </row>
    <row r="205" spans="1:45" s="174" customFormat="1" ht="35" hidden="1" customHeight="1">
      <c r="A205" s="174">
        <f>ROW()-3</f>
        <v>202</v>
      </c>
      <c r="B205" s="174" t="s">
        <v>14</v>
      </c>
      <c r="C205" s="174" t="s">
        <v>2723</v>
      </c>
      <c r="D205" s="174" t="s">
        <v>1441</v>
      </c>
      <c r="E205" s="174" t="s">
        <v>952</v>
      </c>
      <c r="F205" s="174" t="s">
        <v>1442</v>
      </c>
      <c r="G205" s="174" t="s">
        <v>1443</v>
      </c>
      <c r="H205" s="174" t="s">
        <v>1444</v>
      </c>
      <c r="I205" s="174" t="s">
        <v>29</v>
      </c>
      <c r="J205" s="174" t="s">
        <v>173</v>
      </c>
      <c r="K205" s="174" t="s">
        <v>174</v>
      </c>
      <c r="L205" s="177">
        <v>43262</v>
      </c>
      <c r="M205" s="174">
        <v>153</v>
      </c>
      <c r="N205" s="179">
        <v>30.6</v>
      </c>
      <c r="O205" s="174" t="s">
        <v>20</v>
      </c>
      <c r="P205" s="174">
        <v>199</v>
      </c>
    </row>
    <row r="206" spans="1:45" s="174" customFormat="1" ht="35" hidden="1" customHeight="1">
      <c r="A206" s="174">
        <f>ROW()-3</f>
        <v>203</v>
      </c>
      <c r="B206" s="174" t="s">
        <v>14</v>
      </c>
      <c r="C206" s="174" t="s">
        <v>2723</v>
      </c>
      <c r="D206" s="174" t="s">
        <v>1445</v>
      </c>
      <c r="E206" s="174" t="s">
        <v>1445</v>
      </c>
      <c r="F206" s="174" t="s">
        <v>1446</v>
      </c>
      <c r="G206" s="174" t="s">
        <v>1446</v>
      </c>
      <c r="H206" s="174" t="s">
        <v>1447</v>
      </c>
      <c r="I206" s="174" t="s">
        <v>29</v>
      </c>
      <c r="J206" s="174" t="s">
        <v>1448</v>
      </c>
      <c r="K206" s="174" t="s">
        <v>67</v>
      </c>
      <c r="L206" s="177">
        <v>43321</v>
      </c>
      <c r="M206" s="174">
        <v>25</v>
      </c>
      <c r="N206" s="179">
        <v>4.82</v>
      </c>
      <c r="O206" s="174" t="s">
        <v>20</v>
      </c>
      <c r="P206" s="174">
        <v>59</v>
      </c>
    </row>
    <row r="207" spans="1:45" s="174" customFormat="1" ht="35" hidden="1" customHeight="1">
      <c r="A207" s="174">
        <f>ROW()-3</f>
        <v>204</v>
      </c>
      <c r="B207" s="174" t="s">
        <v>14</v>
      </c>
      <c r="C207" s="174" t="s">
        <v>2723</v>
      </c>
      <c r="D207" s="174" t="s">
        <v>1432</v>
      </c>
      <c r="E207" s="174" t="s">
        <v>1449</v>
      </c>
      <c r="F207" s="174" t="s">
        <v>1450</v>
      </c>
      <c r="G207" s="174" t="s">
        <v>1451</v>
      </c>
      <c r="H207" s="174" t="s">
        <v>1452</v>
      </c>
      <c r="I207" s="174" t="s">
        <v>29</v>
      </c>
      <c r="J207" s="174" t="s">
        <v>34</v>
      </c>
      <c r="K207" s="174" t="s">
        <v>154</v>
      </c>
      <c r="L207" s="177">
        <v>43381</v>
      </c>
      <c r="M207" s="174">
        <v>15</v>
      </c>
      <c r="N207" s="179">
        <v>3.08</v>
      </c>
      <c r="O207" s="174" t="s">
        <v>20</v>
      </c>
      <c r="P207" s="174">
        <v>99</v>
      </c>
    </row>
    <row r="208" spans="1:45" s="174" customFormat="1" ht="35" hidden="1" customHeight="1">
      <c r="A208" s="174">
        <f>ROW()-3</f>
        <v>205</v>
      </c>
      <c r="B208" s="174" t="s">
        <v>14</v>
      </c>
      <c r="C208" s="174" t="s">
        <v>2723</v>
      </c>
      <c r="D208" s="174" t="s">
        <v>1432</v>
      </c>
      <c r="E208" s="174" t="s">
        <v>1437</v>
      </c>
      <c r="F208" s="174" t="s">
        <v>1453</v>
      </c>
      <c r="G208" s="174" t="s">
        <v>1454</v>
      </c>
      <c r="H208" s="174" t="s">
        <v>1455</v>
      </c>
      <c r="I208" s="174" t="s">
        <v>29</v>
      </c>
      <c r="J208" s="174" t="s">
        <v>34</v>
      </c>
      <c r="K208" s="174" t="s">
        <v>93</v>
      </c>
      <c r="L208" s="177">
        <v>43388</v>
      </c>
      <c r="M208" s="174">
        <v>257</v>
      </c>
      <c r="N208" s="179">
        <v>40.369999999999997</v>
      </c>
      <c r="O208" s="174" t="s">
        <v>20</v>
      </c>
      <c r="P208" s="174">
        <v>199</v>
      </c>
    </row>
    <row r="209" spans="1:16" s="174" customFormat="1" ht="35" hidden="1" customHeight="1">
      <c r="A209" s="174">
        <f>ROW()-3</f>
        <v>206</v>
      </c>
      <c r="B209" s="174" t="s">
        <v>14</v>
      </c>
      <c r="C209" s="174" t="s">
        <v>2723</v>
      </c>
      <c r="D209" s="174" t="s">
        <v>1441</v>
      </c>
      <c r="E209" s="174" t="s">
        <v>1016</v>
      </c>
      <c r="F209" s="174" t="s">
        <v>1461</v>
      </c>
      <c r="G209" s="174" t="s">
        <v>1462</v>
      </c>
      <c r="H209" s="174" t="s">
        <v>1223</v>
      </c>
      <c r="I209" s="174" t="s">
        <v>29</v>
      </c>
      <c r="J209" s="174" t="s">
        <v>960</v>
      </c>
      <c r="K209" s="174" t="s">
        <v>174</v>
      </c>
      <c r="L209" s="177">
        <v>43573</v>
      </c>
      <c r="M209" s="174">
        <v>57</v>
      </c>
      <c r="N209" s="179">
        <v>12.8</v>
      </c>
      <c r="O209" s="174" t="s">
        <v>30</v>
      </c>
      <c r="P209" s="174">
        <v>99</v>
      </c>
    </row>
    <row r="210" spans="1:16" s="174" customFormat="1" ht="35" hidden="1" customHeight="1">
      <c r="A210" s="174">
        <f>ROW()-3</f>
        <v>207</v>
      </c>
      <c r="B210" s="174" t="s">
        <v>14</v>
      </c>
      <c r="C210" s="174" t="s">
        <v>2723</v>
      </c>
      <c r="D210" s="174" t="s">
        <v>1445</v>
      </c>
      <c r="E210" s="174" t="s">
        <v>1445</v>
      </c>
      <c r="F210" s="174" t="s">
        <v>1463</v>
      </c>
      <c r="G210" s="174" t="s">
        <v>1464</v>
      </c>
      <c r="H210" s="174" t="s">
        <v>1465</v>
      </c>
      <c r="I210" s="174" t="s">
        <v>29</v>
      </c>
      <c r="J210" s="174" t="s">
        <v>1448</v>
      </c>
      <c r="K210" s="174" t="s">
        <v>67</v>
      </c>
      <c r="L210" s="177">
        <v>43598</v>
      </c>
      <c r="M210" s="174">
        <v>17</v>
      </c>
      <c r="N210" s="179">
        <v>2.66</v>
      </c>
      <c r="O210" s="174" t="s">
        <v>30</v>
      </c>
      <c r="P210" s="174">
        <v>198</v>
      </c>
    </row>
    <row r="211" spans="1:16" s="174" customFormat="1" ht="35" hidden="1" customHeight="1">
      <c r="A211" s="174">
        <f>ROW()-3</f>
        <v>208</v>
      </c>
      <c r="B211" s="174" t="s">
        <v>14</v>
      </c>
      <c r="C211" s="174" t="s">
        <v>2723</v>
      </c>
      <c r="D211" s="174" t="s">
        <v>1432</v>
      </c>
      <c r="E211" s="174" t="s">
        <v>1449</v>
      </c>
      <c r="F211" s="174" t="s">
        <v>1466</v>
      </c>
      <c r="G211" s="174" t="s">
        <v>1467</v>
      </c>
      <c r="H211" s="174" t="s">
        <v>1468</v>
      </c>
      <c r="I211" s="174" t="s">
        <v>29</v>
      </c>
      <c r="J211" s="174" t="s">
        <v>34</v>
      </c>
      <c r="K211" s="174" t="s">
        <v>154</v>
      </c>
      <c r="L211" s="177">
        <v>43600</v>
      </c>
      <c r="M211" s="174">
        <v>70</v>
      </c>
      <c r="N211" s="179">
        <v>16.07</v>
      </c>
      <c r="O211" s="174" t="s">
        <v>20</v>
      </c>
      <c r="P211" s="174">
        <v>99</v>
      </c>
    </row>
    <row r="212" spans="1:16" s="174" customFormat="1" ht="35" hidden="1" customHeight="1">
      <c r="A212" s="174">
        <f>ROW()-3</f>
        <v>209</v>
      </c>
      <c r="B212" s="174" t="s">
        <v>14</v>
      </c>
      <c r="C212" s="174" t="s">
        <v>2723</v>
      </c>
      <c r="D212" s="174" t="s">
        <v>706</v>
      </c>
      <c r="E212" s="174" t="s">
        <v>1429</v>
      </c>
      <c r="F212" s="174" t="s">
        <v>1469</v>
      </c>
      <c r="G212" s="174" t="s">
        <v>1470</v>
      </c>
      <c r="H212" s="174" t="s">
        <v>1269</v>
      </c>
      <c r="I212" s="174" t="s">
        <v>29</v>
      </c>
      <c r="J212" s="174" t="s">
        <v>34</v>
      </c>
      <c r="K212" s="174" t="s">
        <v>35</v>
      </c>
      <c r="L212" s="177">
        <v>43634</v>
      </c>
      <c r="M212" s="174">
        <v>12</v>
      </c>
      <c r="N212" s="179">
        <v>4.83</v>
      </c>
      <c r="O212" s="174" t="s">
        <v>20</v>
      </c>
      <c r="P212" s="174">
        <v>49</v>
      </c>
    </row>
    <row r="213" spans="1:16" s="174" customFormat="1" ht="35" hidden="1" customHeight="1">
      <c r="A213" s="174">
        <f>ROW()-3</f>
        <v>210</v>
      </c>
      <c r="B213" s="174" t="s">
        <v>14</v>
      </c>
      <c r="C213" s="174" t="s">
        <v>2723</v>
      </c>
      <c r="D213" s="174" t="s">
        <v>706</v>
      </c>
      <c r="E213" s="174" t="s">
        <v>1471</v>
      </c>
      <c r="F213" s="174" t="s">
        <v>1472</v>
      </c>
      <c r="G213" s="174" t="s">
        <v>1473</v>
      </c>
      <c r="H213" s="174" t="s">
        <v>1474</v>
      </c>
      <c r="I213" s="174" t="s">
        <v>29</v>
      </c>
      <c r="J213" s="174" t="s">
        <v>34</v>
      </c>
      <c r="K213" s="174" t="s">
        <v>98</v>
      </c>
      <c r="L213" s="177">
        <v>43655</v>
      </c>
      <c r="M213" s="174">
        <v>59</v>
      </c>
      <c r="N213" s="179">
        <v>11.94</v>
      </c>
      <c r="O213" s="174" t="s">
        <v>20</v>
      </c>
      <c r="P213" s="174">
        <v>99</v>
      </c>
    </row>
    <row r="214" spans="1:16" s="174" customFormat="1" ht="35" hidden="1" customHeight="1">
      <c r="A214" s="174">
        <f>ROW()-3</f>
        <v>211</v>
      </c>
      <c r="B214" s="174" t="s">
        <v>14</v>
      </c>
      <c r="C214" s="174" t="s">
        <v>2723</v>
      </c>
      <c r="D214" s="174" t="s">
        <v>706</v>
      </c>
      <c r="E214" s="174" t="s">
        <v>1471</v>
      </c>
      <c r="F214" s="174" t="s">
        <v>1475</v>
      </c>
      <c r="G214" s="174" t="s">
        <v>1476</v>
      </c>
      <c r="H214" s="174" t="s">
        <v>1477</v>
      </c>
      <c r="I214" s="174" t="s">
        <v>29</v>
      </c>
      <c r="J214" s="174" t="s">
        <v>34</v>
      </c>
      <c r="K214" s="174" t="s">
        <v>98</v>
      </c>
      <c r="L214" s="177">
        <v>43655</v>
      </c>
      <c r="M214" s="174">
        <v>174</v>
      </c>
      <c r="N214" s="179">
        <v>24.83</v>
      </c>
      <c r="O214" s="174" t="s">
        <v>20</v>
      </c>
      <c r="P214" s="174">
        <v>299</v>
      </c>
    </row>
    <row r="215" spans="1:16" s="174" customFormat="1" ht="35" hidden="1" customHeight="1">
      <c r="A215" s="174">
        <f>ROW()-3</f>
        <v>212</v>
      </c>
      <c r="B215" s="174" t="s">
        <v>14</v>
      </c>
      <c r="C215" s="174" t="s">
        <v>2723</v>
      </c>
      <c r="D215" s="174" t="s">
        <v>1441</v>
      </c>
      <c r="E215" s="174" t="s">
        <v>1016</v>
      </c>
      <c r="F215" s="174" t="s">
        <v>1478</v>
      </c>
      <c r="G215" s="174" t="s">
        <v>1479</v>
      </c>
      <c r="H215" s="174" t="s">
        <v>1480</v>
      </c>
      <c r="I215" s="174" t="s">
        <v>29</v>
      </c>
      <c r="J215" s="174" t="s">
        <v>960</v>
      </c>
      <c r="K215" s="174" t="s">
        <v>174</v>
      </c>
      <c r="L215" s="177">
        <v>43679</v>
      </c>
      <c r="M215" s="174">
        <v>11</v>
      </c>
      <c r="N215" s="179">
        <v>1.65</v>
      </c>
      <c r="O215" s="174" t="s">
        <v>20</v>
      </c>
      <c r="P215" s="174">
        <v>29</v>
      </c>
    </row>
    <row r="216" spans="1:16" s="174" customFormat="1" ht="35" hidden="1" customHeight="1">
      <c r="A216" s="174">
        <f>ROW()-3</f>
        <v>213</v>
      </c>
      <c r="B216" s="174" t="s">
        <v>14</v>
      </c>
      <c r="C216" s="174" t="s">
        <v>2723</v>
      </c>
      <c r="D216" s="174" t="s">
        <v>1432</v>
      </c>
      <c r="E216" s="174" t="s">
        <v>1449</v>
      </c>
      <c r="F216" s="174" t="s">
        <v>1481</v>
      </c>
      <c r="G216" s="174" t="s">
        <v>1482</v>
      </c>
      <c r="H216" s="174" t="s">
        <v>1483</v>
      </c>
      <c r="I216" s="174" t="s">
        <v>29</v>
      </c>
      <c r="J216" s="174" t="s">
        <v>34</v>
      </c>
      <c r="K216" s="174" t="s">
        <v>154</v>
      </c>
      <c r="L216" s="177">
        <v>43682</v>
      </c>
      <c r="M216" s="174">
        <v>38</v>
      </c>
      <c r="N216" s="179">
        <v>6.99</v>
      </c>
      <c r="O216" s="174" t="s">
        <v>20</v>
      </c>
      <c r="P216" s="174">
        <v>59</v>
      </c>
    </row>
    <row r="217" spans="1:16" s="174" customFormat="1" ht="35" hidden="1" customHeight="1">
      <c r="A217" s="174">
        <f>ROW()-3</f>
        <v>214</v>
      </c>
      <c r="B217" s="174" t="s">
        <v>14</v>
      </c>
      <c r="C217" s="174" t="s">
        <v>2723</v>
      </c>
      <c r="D217" s="174" t="s">
        <v>706</v>
      </c>
      <c r="E217" s="174" t="s">
        <v>1471</v>
      </c>
      <c r="F217" s="174" t="s">
        <v>1484</v>
      </c>
      <c r="G217" s="174" t="s">
        <v>1485</v>
      </c>
      <c r="H217" s="174" t="s">
        <v>1486</v>
      </c>
      <c r="I217" s="174" t="s">
        <v>29</v>
      </c>
      <c r="J217" s="174" t="s">
        <v>34</v>
      </c>
      <c r="K217" s="174" t="s">
        <v>98</v>
      </c>
      <c r="L217" s="177">
        <v>43692</v>
      </c>
      <c r="M217" s="174">
        <v>93</v>
      </c>
      <c r="N217" s="179">
        <v>6.76</v>
      </c>
      <c r="O217" s="174" t="s">
        <v>20</v>
      </c>
      <c r="P217" s="174">
        <v>99</v>
      </c>
    </row>
    <row r="218" spans="1:16" s="174" customFormat="1" ht="35" hidden="1" customHeight="1">
      <c r="A218" s="174">
        <f>ROW()-3</f>
        <v>215</v>
      </c>
      <c r="B218" s="174" t="s">
        <v>14</v>
      </c>
      <c r="C218" s="174" t="s">
        <v>2723</v>
      </c>
      <c r="D218" s="174" t="s">
        <v>1432</v>
      </c>
      <c r="E218" s="174" t="s">
        <v>1449</v>
      </c>
      <c r="F218" s="174" t="s">
        <v>1487</v>
      </c>
      <c r="G218" s="174" t="s">
        <v>1488</v>
      </c>
      <c r="H218" s="174" t="s">
        <v>1489</v>
      </c>
      <c r="I218" s="174" t="s">
        <v>29</v>
      </c>
      <c r="J218" s="174" t="s">
        <v>34</v>
      </c>
      <c r="K218" s="174" t="s">
        <v>154</v>
      </c>
      <c r="L218" s="177">
        <v>43747</v>
      </c>
      <c r="M218" s="174">
        <v>85</v>
      </c>
      <c r="N218" s="179">
        <v>17.260000000000002</v>
      </c>
      <c r="O218" s="174" t="s">
        <v>20</v>
      </c>
      <c r="P218" s="174">
        <v>199</v>
      </c>
    </row>
    <row r="219" spans="1:16" s="174" customFormat="1" ht="35" hidden="1" customHeight="1">
      <c r="A219" s="174">
        <f>ROW()-3</f>
        <v>216</v>
      </c>
      <c r="B219" s="174" t="s">
        <v>14</v>
      </c>
      <c r="C219" s="174" t="s">
        <v>2723</v>
      </c>
      <c r="D219" s="174" t="s">
        <v>1432</v>
      </c>
      <c r="E219" s="174" t="s">
        <v>1490</v>
      </c>
      <c r="F219" s="174" t="s">
        <v>1491</v>
      </c>
      <c r="G219" s="174" t="s">
        <v>1492</v>
      </c>
      <c r="H219" s="174" t="s">
        <v>1493</v>
      </c>
      <c r="I219" s="174" t="s">
        <v>29</v>
      </c>
      <c r="J219" s="174" t="s">
        <v>34</v>
      </c>
      <c r="K219" s="174" t="s">
        <v>154</v>
      </c>
      <c r="L219" s="177">
        <v>43828</v>
      </c>
      <c r="M219" s="174">
        <v>115</v>
      </c>
      <c r="N219" s="179">
        <v>8.31</v>
      </c>
      <c r="O219" s="174" t="s">
        <v>30</v>
      </c>
      <c r="P219" s="174">
        <v>199</v>
      </c>
    </row>
    <row r="220" spans="1:16" s="174" customFormat="1" ht="35" hidden="1" customHeight="1">
      <c r="A220" s="174">
        <f>ROW()-3</f>
        <v>217</v>
      </c>
      <c r="B220" s="174" t="s">
        <v>14</v>
      </c>
      <c r="C220" s="174" t="s">
        <v>2723</v>
      </c>
      <c r="D220" s="174" t="s">
        <v>706</v>
      </c>
      <c r="E220" s="174" t="s">
        <v>1471</v>
      </c>
      <c r="F220" s="174" t="s">
        <v>1494</v>
      </c>
      <c r="G220" s="174" t="s">
        <v>1495</v>
      </c>
      <c r="H220" s="174" t="s">
        <v>1496</v>
      </c>
      <c r="I220" s="174" t="s">
        <v>29</v>
      </c>
      <c r="J220" s="174" t="s">
        <v>34</v>
      </c>
      <c r="K220" s="174" t="s">
        <v>98</v>
      </c>
      <c r="L220" s="177">
        <v>43847</v>
      </c>
      <c r="M220" s="174">
        <v>101</v>
      </c>
      <c r="N220" s="179">
        <v>28.75</v>
      </c>
      <c r="O220" s="174" t="s">
        <v>20</v>
      </c>
      <c r="P220" s="174">
        <v>199</v>
      </c>
    </row>
    <row r="221" spans="1:16" s="174" customFormat="1" ht="35" hidden="1" customHeight="1">
      <c r="A221" s="174">
        <f>ROW()-3</f>
        <v>218</v>
      </c>
      <c r="B221" s="174" t="s">
        <v>14</v>
      </c>
      <c r="C221" s="174" t="s">
        <v>2723</v>
      </c>
      <c r="D221" s="174" t="s">
        <v>706</v>
      </c>
      <c r="E221" s="174" t="s">
        <v>1429</v>
      </c>
      <c r="F221" s="174" t="s">
        <v>1497</v>
      </c>
      <c r="G221" s="174" t="s">
        <v>1498</v>
      </c>
      <c r="H221" s="174" t="s">
        <v>167</v>
      </c>
      <c r="I221" s="174" t="s">
        <v>29</v>
      </c>
      <c r="J221" s="174" t="s">
        <v>34</v>
      </c>
      <c r="K221" s="174" t="s">
        <v>53</v>
      </c>
      <c r="L221" s="177">
        <v>43852</v>
      </c>
      <c r="M221" s="174">
        <v>120</v>
      </c>
      <c r="N221" s="179">
        <v>19.37</v>
      </c>
      <c r="O221" s="174" t="s">
        <v>20</v>
      </c>
      <c r="P221" s="174">
        <v>198</v>
      </c>
    </row>
    <row r="222" spans="1:16" s="174" customFormat="1" ht="35" hidden="1" customHeight="1">
      <c r="A222" s="174">
        <f>ROW()-3</f>
        <v>219</v>
      </c>
      <c r="B222" s="174" t="s">
        <v>14</v>
      </c>
      <c r="C222" s="174" t="s">
        <v>2723</v>
      </c>
      <c r="D222" s="174" t="s">
        <v>1432</v>
      </c>
      <c r="E222" s="174" t="s">
        <v>1490</v>
      </c>
      <c r="F222" s="174" t="s">
        <v>1501</v>
      </c>
      <c r="G222" s="174" t="s">
        <v>1502</v>
      </c>
      <c r="H222" s="174" t="s">
        <v>1503</v>
      </c>
      <c r="I222" s="174" t="s">
        <v>29</v>
      </c>
      <c r="J222" s="174" t="s">
        <v>34</v>
      </c>
      <c r="K222" s="174" t="s">
        <v>154</v>
      </c>
      <c r="L222" s="177">
        <v>43852</v>
      </c>
      <c r="M222" s="174">
        <v>51</v>
      </c>
      <c r="N222" s="179">
        <v>12.97</v>
      </c>
      <c r="O222" s="174" t="s">
        <v>20</v>
      </c>
      <c r="P222" s="174">
        <v>118</v>
      </c>
    </row>
    <row r="223" spans="1:16" s="174" customFormat="1" ht="35" hidden="1" customHeight="1">
      <c r="A223" s="174">
        <f>ROW()-3</f>
        <v>220</v>
      </c>
      <c r="B223" s="174" t="s">
        <v>14</v>
      </c>
      <c r="C223" s="174" t="s">
        <v>2723</v>
      </c>
      <c r="D223" s="174" t="s">
        <v>1432</v>
      </c>
      <c r="E223" s="174" t="s">
        <v>1437</v>
      </c>
      <c r="F223" s="174" t="s">
        <v>1504</v>
      </c>
      <c r="G223" s="174" t="s">
        <v>1505</v>
      </c>
      <c r="H223" s="174" t="s">
        <v>1506</v>
      </c>
      <c r="I223" s="174" t="s">
        <v>29</v>
      </c>
      <c r="J223" s="174" t="s">
        <v>34</v>
      </c>
      <c r="K223" s="174" t="s">
        <v>154</v>
      </c>
      <c r="L223" s="177">
        <v>43948</v>
      </c>
      <c r="M223" s="174">
        <v>109</v>
      </c>
      <c r="N223" s="179">
        <v>29.43</v>
      </c>
      <c r="O223" s="174" t="s">
        <v>20</v>
      </c>
      <c r="P223" s="174">
        <v>199</v>
      </c>
    </row>
    <row r="224" spans="1:16" s="174" customFormat="1" ht="35" hidden="1" customHeight="1">
      <c r="A224" s="174">
        <f>ROW()-3</f>
        <v>221</v>
      </c>
      <c r="B224" s="174" t="s">
        <v>14</v>
      </c>
      <c r="C224" s="174" t="s">
        <v>2723</v>
      </c>
      <c r="D224" s="174" t="s">
        <v>1432</v>
      </c>
      <c r="E224" s="174" t="s">
        <v>1433</v>
      </c>
      <c r="F224" s="174" t="s">
        <v>1507</v>
      </c>
      <c r="G224" s="174" t="s">
        <v>1508</v>
      </c>
      <c r="H224" s="174" t="s">
        <v>1509</v>
      </c>
      <c r="I224" s="174" t="s">
        <v>29</v>
      </c>
      <c r="J224" s="174" t="s">
        <v>34</v>
      </c>
      <c r="K224" s="174" t="s">
        <v>93</v>
      </c>
      <c r="L224" s="177">
        <v>44033</v>
      </c>
      <c r="M224" s="174">
        <v>38</v>
      </c>
      <c r="N224" s="179">
        <v>6.96</v>
      </c>
      <c r="O224" s="174" t="s">
        <v>20</v>
      </c>
      <c r="P224" s="174">
        <v>99</v>
      </c>
    </row>
    <row r="225" spans="1:16" s="174" customFormat="1" ht="35" hidden="1" customHeight="1">
      <c r="A225" s="174">
        <f>ROW()-3</f>
        <v>222</v>
      </c>
      <c r="B225" s="174" t="s">
        <v>14</v>
      </c>
      <c r="C225" s="174" t="s">
        <v>2723</v>
      </c>
      <c r="D225" s="174" t="s">
        <v>706</v>
      </c>
      <c r="E225" s="174" t="s">
        <v>1471</v>
      </c>
      <c r="F225" s="174" t="s">
        <v>1510</v>
      </c>
      <c r="G225" s="174" t="s">
        <v>1511</v>
      </c>
      <c r="H225" s="174" t="s">
        <v>1512</v>
      </c>
      <c r="I225" s="174" t="s">
        <v>29</v>
      </c>
      <c r="J225" s="174" t="s">
        <v>34</v>
      </c>
      <c r="K225" s="174" t="s">
        <v>98</v>
      </c>
      <c r="L225" s="177">
        <v>44046</v>
      </c>
      <c r="M225" s="174">
        <v>662</v>
      </c>
      <c r="N225" s="179">
        <v>110.3</v>
      </c>
      <c r="O225" s="174" t="s">
        <v>20</v>
      </c>
      <c r="P225" s="174">
        <v>798</v>
      </c>
    </row>
    <row r="226" spans="1:16" s="174" customFormat="1" ht="35" hidden="1" customHeight="1">
      <c r="A226" s="174">
        <f>ROW()-3</f>
        <v>223</v>
      </c>
      <c r="B226" s="174" t="s">
        <v>14</v>
      </c>
      <c r="C226" s="174" t="s">
        <v>2723</v>
      </c>
      <c r="D226" s="174" t="s">
        <v>706</v>
      </c>
      <c r="E226" s="174" t="s">
        <v>1513</v>
      </c>
      <c r="F226" s="174" t="s">
        <v>1514</v>
      </c>
      <c r="G226" s="174" t="s">
        <v>1515</v>
      </c>
      <c r="H226" s="174" t="s">
        <v>393</v>
      </c>
      <c r="I226" s="174" t="s">
        <v>29</v>
      </c>
      <c r="J226" s="174" t="s">
        <v>34</v>
      </c>
      <c r="K226" s="174" t="s">
        <v>364</v>
      </c>
      <c r="L226" s="177">
        <v>44075</v>
      </c>
      <c r="M226" s="174">
        <v>13</v>
      </c>
      <c r="N226" s="179">
        <v>2.38</v>
      </c>
      <c r="O226" s="174" t="s">
        <v>20</v>
      </c>
      <c r="P226" s="174">
        <v>69</v>
      </c>
    </row>
    <row r="227" spans="1:16" s="174" customFormat="1" ht="35" hidden="1" customHeight="1">
      <c r="A227" s="174">
        <f>ROW()-3</f>
        <v>224</v>
      </c>
      <c r="B227" s="174" t="s">
        <v>14</v>
      </c>
      <c r="C227" s="174" t="s">
        <v>2723</v>
      </c>
      <c r="D227" s="174" t="s">
        <v>1432</v>
      </c>
      <c r="E227" s="174" t="s">
        <v>1490</v>
      </c>
      <c r="F227" s="174" t="s">
        <v>1516</v>
      </c>
      <c r="G227" s="174" t="s">
        <v>1517</v>
      </c>
      <c r="H227" s="174" t="s">
        <v>683</v>
      </c>
      <c r="I227" s="174" t="s">
        <v>29</v>
      </c>
      <c r="J227" s="174" t="s">
        <v>34</v>
      </c>
      <c r="K227" s="174" t="s">
        <v>154</v>
      </c>
      <c r="L227" s="177">
        <v>44082</v>
      </c>
      <c r="M227" s="174">
        <v>25</v>
      </c>
      <c r="N227" s="179">
        <v>3.75</v>
      </c>
      <c r="O227" s="174" t="s">
        <v>20</v>
      </c>
      <c r="P227" s="174">
        <v>99</v>
      </c>
    </row>
    <row r="228" spans="1:16" s="174" customFormat="1" ht="35" hidden="1" customHeight="1">
      <c r="A228" s="174">
        <f>ROW()-3</f>
        <v>225</v>
      </c>
      <c r="B228" s="174" t="s">
        <v>14</v>
      </c>
      <c r="C228" s="174" t="s">
        <v>2723</v>
      </c>
      <c r="D228" s="174" t="s">
        <v>1445</v>
      </c>
      <c r="E228" s="174" t="s">
        <v>1445</v>
      </c>
      <c r="F228" s="174" t="s">
        <v>1518</v>
      </c>
      <c r="G228" s="174" t="s">
        <v>1519</v>
      </c>
      <c r="H228" s="174" t="s">
        <v>1520</v>
      </c>
      <c r="I228" s="174" t="s">
        <v>29</v>
      </c>
      <c r="J228" s="174" t="s">
        <v>1042</v>
      </c>
      <c r="K228" s="174" t="s">
        <v>67</v>
      </c>
      <c r="L228" s="177">
        <v>44116</v>
      </c>
      <c r="M228" s="174">
        <v>67</v>
      </c>
      <c r="N228" s="179">
        <v>16.649999999999999</v>
      </c>
      <c r="O228" s="174" t="s">
        <v>20</v>
      </c>
      <c r="P228" s="174">
        <v>299</v>
      </c>
    </row>
    <row r="229" spans="1:16" s="174" customFormat="1" ht="35" hidden="1" customHeight="1">
      <c r="A229" s="174">
        <f>ROW()-3</f>
        <v>226</v>
      </c>
      <c r="B229" s="174" t="s">
        <v>14</v>
      </c>
      <c r="C229" s="174" t="s">
        <v>2723</v>
      </c>
      <c r="D229" s="174" t="s">
        <v>1432</v>
      </c>
      <c r="E229" s="174" t="s">
        <v>1490</v>
      </c>
      <c r="F229" s="174" t="s">
        <v>1521</v>
      </c>
      <c r="G229" s="174" t="s">
        <v>1522</v>
      </c>
      <c r="H229" s="174" t="s">
        <v>1523</v>
      </c>
      <c r="I229" s="174" t="s">
        <v>29</v>
      </c>
      <c r="J229" s="174" t="s">
        <v>34</v>
      </c>
      <c r="K229" s="174" t="s">
        <v>154</v>
      </c>
      <c r="L229" s="177">
        <v>44126</v>
      </c>
      <c r="M229" s="174">
        <v>107</v>
      </c>
      <c r="N229" s="179">
        <v>18.5</v>
      </c>
      <c r="O229" s="174" t="s">
        <v>20</v>
      </c>
      <c r="P229" s="174">
        <v>199</v>
      </c>
    </row>
    <row r="230" spans="1:16" s="174" customFormat="1" ht="35" hidden="1" customHeight="1">
      <c r="A230" s="174">
        <f>ROW()-3</f>
        <v>227</v>
      </c>
      <c r="B230" s="174" t="s">
        <v>14</v>
      </c>
      <c r="C230" s="174" t="s">
        <v>2723</v>
      </c>
      <c r="D230" s="174" t="s">
        <v>706</v>
      </c>
      <c r="E230" s="174" t="s">
        <v>1429</v>
      </c>
      <c r="F230" s="174" t="s">
        <v>2538</v>
      </c>
      <c r="G230" s="174" t="s">
        <v>1524</v>
      </c>
      <c r="H230" s="174" t="s">
        <v>1525</v>
      </c>
      <c r="I230" s="174" t="s">
        <v>17</v>
      </c>
      <c r="J230" s="174" t="s">
        <v>34</v>
      </c>
      <c r="K230" s="174" t="s">
        <v>53</v>
      </c>
      <c r="L230" s="177">
        <v>44155</v>
      </c>
      <c r="M230" s="174">
        <v>11</v>
      </c>
      <c r="N230" s="179">
        <v>3.33</v>
      </c>
      <c r="O230" s="174" t="s">
        <v>20</v>
      </c>
      <c r="P230" s="174">
        <v>69</v>
      </c>
    </row>
    <row r="231" spans="1:16" s="174" customFormat="1" ht="35" hidden="1" customHeight="1">
      <c r="A231" s="174">
        <f>ROW()-3</f>
        <v>228</v>
      </c>
      <c r="B231" s="174" t="s">
        <v>14</v>
      </c>
      <c r="C231" s="174" t="s">
        <v>2723</v>
      </c>
      <c r="D231" s="174" t="s">
        <v>961</v>
      </c>
      <c r="E231" s="174" t="s">
        <v>1526</v>
      </c>
      <c r="F231" s="174" t="s">
        <v>1527</v>
      </c>
      <c r="G231" s="174" t="s">
        <v>1528</v>
      </c>
      <c r="H231" s="174" t="s">
        <v>1529</v>
      </c>
      <c r="I231" s="174" t="s">
        <v>29</v>
      </c>
      <c r="J231" s="174" t="s">
        <v>39</v>
      </c>
      <c r="K231" s="174" t="s">
        <v>25</v>
      </c>
      <c r="L231" s="177">
        <v>44181</v>
      </c>
      <c r="M231" s="174">
        <v>38</v>
      </c>
      <c r="N231" s="179">
        <v>9.5</v>
      </c>
      <c r="O231" s="174" t="s">
        <v>20</v>
      </c>
      <c r="P231" s="174">
        <v>99</v>
      </c>
    </row>
    <row r="232" spans="1:16" s="174" customFormat="1" ht="35" hidden="1" customHeight="1">
      <c r="A232" s="174">
        <f>ROW()-3</f>
        <v>229</v>
      </c>
      <c r="B232" s="174" t="s">
        <v>14</v>
      </c>
      <c r="C232" s="174" t="s">
        <v>2723</v>
      </c>
      <c r="D232" s="174" t="s">
        <v>1432</v>
      </c>
      <c r="E232" s="174" t="s">
        <v>1449</v>
      </c>
      <c r="F232" s="174" t="s">
        <v>1530</v>
      </c>
      <c r="G232" s="174" t="s">
        <v>1531</v>
      </c>
      <c r="H232" s="174" t="s">
        <v>1532</v>
      </c>
      <c r="I232" s="174" t="s">
        <v>29</v>
      </c>
      <c r="J232" s="174" t="s">
        <v>34</v>
      </c>
      <c r="K232" s="174" t="s">
        <v>154</v>
      </c>
      <c r="L232" s="177">
        <v>44181</v>
      </c>
      <c r="M232" s="174">
        <v>73</v>
      </c>
      <c r="N232" s="179">
        <v>14.6</v>
      </c>
      <c r="O232" s="174" t="s">
        <v>20</v>
      </c>
      <c r="P232" s="174">
        <v>198</v>
      </c>
    </row>
    <row r="233" spans="1:16" s="174" customFormat="1" ht="35" hidden="1" customHeight="1">
      <c r="A233" s="174">
        <f>ROW()-3</f>
        <v>230</v>
      </c>
      <c r="B233" s="174" t="s">
        <v>14</v>
      </c>
      <c r="C233" s="174" t="s">
        <v>2723</v>
      </c>
      <c r="D233" s="174" t="s">
        <v>1432</v>
      </c>
      <c r="E233" s="174" t="s">
        <v>1437</v>
      </c>
      <c r="F233" s="174" t="s">
        <v>1533</v>
      </c>
      <c r="G233" s="174" t="s">
        <v>1534</v>
      </c>
      <c r="H233" s="174" t="s">
        <v>1535</v>
      </c>
      <c r="I233" s="174" t="s">
        <v>29</v>
      </c>
      <c r="J233" s="174" t="s">
        <v>34</v>
      </c>
      <c r="K233" s="174" t="s">
        <v>93</v>
      </c>
      <c r="L233" s="177">
        <v>44218</v>
      </c>
      <c r="M233" s="174">
        <v>90</v>
      </c>
      <c r="N233" s="179">
        <v>13.5</v>
      </c>
      <c r="O233" s="174" t="s">
        <v>30</v>
      </c>
      <c r="P233" s="174">
        <v>219</v>
      </c>
    </row>
    <row r="234" spans="1:16" s="174" customFormat="1" ht="35" hidden="1" customHeight="1">
      <c r="A234" s="174">
        <f>ROW()-3</f>
        <v>231</v>
      </c>
      <c r="B234" s="174" t="s">
        <v>14</v>
      </c>
      <c r="C234" s="174" t="s">
        <v>2723</v>
      </c>
      <c r="D234" s="174" t="s">
        <v>706</v>
      </c>
      <c r="E234" s="174" t="s">
        <v>1513</v>
      </c>
      <c r="F234" s="174" t="s">
        <v>1536</v>
      </c>
      <c r="G234" s="174" t="s">
        <v>1537</v>
      </c>
      <c r="H234" s="174" t="s">
        <v>1538</v>
      </c>
      <c r="I234" s="174" t="s">
        <v>29</v>
      </c>
      <c r="J234" s="174" t="s">
        <v>34</v>
      </c>
      <c r="K234" s="174" t="s">
        <v>364</v>
      </c>
      <c r="L234" s="177">
        <v>44221</v>
      </c>
      <c r="M234" s="174">
        <v>20</v>
      </c>
      <c r="N234" s="179">
        <v>3.3</v>
      </c>
      <c r="O234" s="174" t="s">
        <v>20</v>
      </c>
      <c r="P234" s="174">
        <v>99</v>
      </c>
    </row>
    <row r="235" spans="1:16" s="174" customFormat="1" ht="35" hidden="1" customHeight="1">
      <c r="A235" s="174">
        <f>ROW()-3</f>
        <v>232</v>
      </c>
      <c r="B235" s="174" t="s">
        <v>14</v>
      </c>
      <c r="C235" s="174" t="s">
        <v>2723</v>
      </c>
      <c r="D235" s="174" t="s">
        <v>706</v>
      </c>
      <c r="E235" s="174" t="s">
        <v>1429</v>
      </c>
      <c r="F235" s="174" t="s">
        <v>1539</v>
      </c>
      <c r="G235" s="174" t="s">
        <v>1540</v>
      </c>
      <c r="H235" s="174" t="s">
        <v>1541</v>
      </c>
      <c r="I235" s="174" t="s">
        <v>29</v>
      </c>
      <c r="J235" s="174" t="s">
        <v>34</v>
      </c>
      <c r="K235" s="174" t="s">
        <v>35</v>
      </c>
      <c r="L235" s="177">
        <v>44222</v>
      </c>
      <c r="M235" s="174">
        <v>56</v>
      </c>
      <c r="N235" s="179">
        <v>18.7</v>
      </c>
      <c r="O235" s="174" t="s">
        <v>20</v>
      </c>
      <c r="P235" s="174">
        <v>199</v>
      </c>
    </row>
    <row r="236" spans="1:16" s="174" customFormat="1" ht="35" hidden="1" customHeight="1">
      <c r="A236" s="174">
        <f>ROW()-3</f>
        <v>233</v>
      </c>
      <c r="B236" s="174" t="s">
        <v>14</v>
      </c>
      <c r="C236" s="174" t="s">
        <v>2723</v>
      </c>
      <c r="D236" s="174" t="s">
        <v>1432</v>
      </c>
      <c r="E236" s="174" t="s">
        <v>1490</v>
      </c>
      <c r="F236" s="174" t="s">
        <v>1542</v>
      </c>
      <c r="G236" s="174" t="s">
        <v>1543</v>
      </c>
      <c r="H236" s="174" t="s">
        <v>1544</v>
      </c>
      <c r="I236" s="174" t="s">
        <v>29</v>
      </c>
      <c r="J236" s="174" t="s">
        <v>34</v>
      </c>
      <c r="K236" s="174" t="s">
        <v>154</v>
      </c>
      <c r="L236" s="177">
        <v>44223</v>
      </c>
      <c r="M236" s="174">
        <v>51</v>
      </c>
      <c r="N236" s="179">
        <v>5.0999999999999996</v>
      </c>
      <c r="O236" s="174" t="s">
        <v>20</v>
      </c>
      <c r="P236" s="174">
        <v>69</v>
      </c>
    </row>
    <row r="237" spans="1:16" s="174" customFormat="1" ht="35" hidden="1" customHeight="1">
      <c r="A237" s="174">
        <f>ROW()-3</f>
        <v>234</v>
      </c>
      <c r="B237" s="174" t="s">
        <v>14</v>
      </c>
      <c r="C237" s="174" t="s">
        <v>2723</v>
      </c>
      <c r="D237" s="174" t="s">
        <v>1432</v>
      </c>
      <c r="E237" s="174" t="s">
        <v>1433</v>
      </c>
      <c r="F237" s="174" t="s">
        <v>1545</v>
      </c>
      <c r="G237" s="174" t="s">
        <v>1546</v>
      </c>
      <c r="H237" s="174" t="s">
        <v>1547</v>
      </c>
      <c r="I237" s="174" t="s">
        <v>29</v>
      </c>
      <c r="J237" s="174" t="s">
        <v>34</v>
      </c>
      <c r="K237" s="174" t="s">
        <v>93</v>
      </c>
      <c r="L237" s="177">
        <v>44245</v>
      </c>
      <c r="M237" s="174">
        <v>8</v>
      </c>
      <c r="N237" s="179">
        <v>1.46</v>
      </c>
      <c r="O237" s="174" t="s">
        <v>20</v>
      </c>
      <c r="P237" s="174">
        <v>99</v>
      </c>
    </row>
    <row r="238" spans="1:16" s="174" customFormat="1" ht="35" hidden="1" customHeight="1">
      <c r="A238" s="174">
        <f>ROW()-3</f>
        <v>235</v>
      </c>
      <c r="B238" s="174" t="s">
        <v>14</v>
      </c>
      <c r="C238" s="174" t="s">
        <v>2723</v>
      </c>
      <c r="D238" s="174" t="s">
        <v>1432</v>
      </c>
      <c r="E238" s="174" t="s">
        <v>1433</v>
      </c>
      <c r="F238" s="174" t="s">
        <v>1548</v>
      </c>
      <c r="G238" s="174" t="s">
        <v>1549</v>
      </c>
      <c r="H238" s="174" t="s">
        <v>1550</v>
      </c>
      <c r="I238" s="174" t="s">
        <v>29</v>
      </c>
      <c r="J238" s="174" t="s">
        <v>34</v>
      </c>
      <c r="K238" s="174" t="s">
        <v>93</v>
      </c>
      <c r="L238" s="177">
        <v>44256</v>
      </c>
      <c r="M238" s="174">
        <v>51</v>
      </c>
      <c r="N238" s="179">
        <v>11.05</v>
      </c>
      <c r="O238" s="174" t="s">
        <v>20</v>
      </c>
      <c r="P238" s="174">
        <v>99</v>
      </c>
    </row>
    <row r="239" spans="1:16" s="174" customFormat="1" ht="35" hidden="1" customHeight="1">
      <c r="A239" s="174">
        <f>ROW()-3</f>
        <v>236</v>
      </c>
      <c r="B239" s="174" t="s">
        <v>14</v>
      </c>
      <c r="C239" s="174" t="s">
        <v>2723</v>
      </c>
      <c r="D239" s="174" t="s">
        <v>706</v>
      </c>
      <c r="E239" s="174" t="s">
        <v>1513</v>
      </c>
      <c r="F239" s="174" t="s">
        <v>1551</v>
      </c>
      <c r="G239" s="174" t="s">
        <v>1552</v>
      </c>
      <c r="H239" s="174" t="s">
        <v>1553</v>
      </c>
      <c r="I239" s="174" t="s">
        <v>17</v>
      </c>
      <c r="J239" s="174" t="s">
        <v>34</v>
      </c>
      <c r="K239" s="174" t="s">
        <v>364</v>
      </c>
      <c r="L239" s="177">
        <v>44264</v>
      </c>
      <c r="M239" s="174">
        <v>8</v>
      </c>
      <c r="N239" s="179">
        <v>2.93</v>
      </c>
      <c r="O239" s="174" t="s">
        <v>20</v>
      </c>
      <c r="P239" s="174">
        <v>9.9</v>
      </c>
    </row>
    <row r="240" spans="1:16" s="174" customFormat="1" ht="35" hidden="1" customHeight="1">
      <c r="A240" s="174">
        <f>ROW()-3</f>
        <v>237</v>
      </c>
      <c r="B240" s="174" t="s">
        <v>14</v>
      </c>
      <c r="C240" s="174" t="s">
        <v>2723</v>
      </c>
      <c r="D240" s="174" t="s">
        <v>706</v>
      </c>
      <c r="E240" s="174" t="s">
        <v>1513</v>
      </c>
      <c r="F240" s="174" t="s">
        <v>1554</v>
      </c>
      <c r="G240" s="174" t="s">
        <v>1555</v>
      </c>
      <c r="H240" s="174" t="s">
        <v>1556</v>
      </c>
      <c r="I240" s="174" t="s">
        <v>29</v>
      </c>
      <c r="J240" s="174" t="s">
        <v>34</v>
      </c>
      <c r="K240" s="174" t="s">
        <v>364</v>
      </c>
      <c r="L240" s="177">
        <v>44264</v>
      </c>
      <c r="M240" s="174">
        <v>10</v>
      </c>
      <c r="N240" s="179">
        <v>2.33</v>
      </c>
      <c r="O240" s="174" t="s">
        <v>20</v>
      </c>
      <c r="P240" s="174">
        <v>9.9</v>
      </c>
    </row>
    <row r="241" spans="1:45" s="174" customFormat="1" ht="35" hidden="1" customHeight="1">
      <c r="A241" s="174">
        <f>ROW()-3</f>
        <v>238</v>
      </c>
      <c r="B241" s="174" t="s">
        <v>14</v>
      </c>
      <c r="C241" s="174" t="s">
        <v>2723</v>
      </c>
      <c r="D241" s="174" t="s">
        <v>1432</v>
      </c>
      <c r="E241" s="174" t="s">
        <v>1449</v>
      </c>
      <c r="F241" s="174" t="s">
        <v>1557</v>
      </c>
      <c r="G241" s="174" t="s">
        <v>1558</v>
      </c>
      <c r="H241" s="174" t="s">
        <v>1559</v>
      </c>
      <c r="I241" s="174" t="s">
        <v>29</v>
      </c>
      <c r="J241" s="174" t="s">
        <v>34</v>
      </c>
      <c r="K241" s="174" t="s">
        <v>154</v>
      </c>
      <c r="L241" s="177">
        <v>44326</v>
      </c>
      <c r="M241" s="174">
        <v>20</v>
      </c>
      <c r="N241" s="179">
        <v>3.8</v>
      </c>
      <c r="O241" s="174" t="s">
        <v>20</v>
      </c>
      <c r="P241" s="174">
        <v>69</v>
      </c>
    </row>
    <row r="242" spans="1:45" s="251" customFormat="1" ht="35" hidden="1" customHeight="1">
      <c r="A242" s="174">
        <f>ROW()-3</f>
        <v>239</v>
      </c>
      <c r="B242" s="174" t="s">
        <v>14</v>
      </c>
      <c r="C242" s="174" t="s">
        <v>2723</v>
      </c>
      <c r="D242" s="174" t="s">
        <v>1432</v>
      </c>
      <c r="E242" s="174" t="s">
        <v>1437</v>
      </c>
      <c r="F242" s="174" t="s">
        <v>1560</v>
      </c>
      <c r="G242" s="174" t="s">
        <v>1561</v>
      </c>
      <c r="H242" s="174" t="s">
        <v>1562</v>
      </c>
      <c r="I242" s="174" t="s">
        <v>29</v>
      </c>
      <c r="J242" s="174" t="s">
        <v>34</v>
      </c>
      <c r="K242" s="174" t="s">
        <v>19</v>
      </c>
      <c r="L242" s="177">
        <v>44333</v>
      </c>
      <c r="M242" s="174">
        <v>19</v>
      </c>
      <c r="N242" s="179">
        <v>4.9000000000000004</v>
      </c>
      <c r="O242" s="174" t="s">
        <v>30</v>
      </c>
      <c r="P242" s="174">
        <v>99</v>
      </c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  <c r="AL242" s="174"/>
      <c r="AM242" s="174"/>
      <c r="AN242" s="174"/>
      <c r="AO242" s="174"/>
      <c r="AP242" s="174"/>
      <c r="AQ242" s="174"/>
      <c r="AR242" s="174"/>
      <c r="AS242" s="174"/>
    </row>
    <row r="243" spans="1:45" s="174" customFormat="1" ht="35" hidden="1" customHeight="1">
      <c r="A243" s="174">
        <f>ROW()-3</f>
        <v>240</v>
      </c>
      <c r="B243" s="174" t="s">
        <v>14</v>
      </c>
      <c r="C243" s="174" t="s">
        <v>2723</v>
      </c>
      <c r="D243" s="174" t="s">
        <v>1445</v>
      </c>
      <c r="E243" s="174" t="s">
        <v>1445</v>
      </c>
      <c r="F243" s="174" t="s">
        <v>2539</v>
      </c>
      <c r="G243" s="174" t="s">
        <v>1563</v>
      </c>
      <c r="H243" s="174" t="s">
        <v>1241</v>
      </c>
      <c r="I243" s="174" t="s">
        <v>29</v>
      </c>
      <c r="J243" s="174" t="s">
        <v>34</v>
      </c>
      <c r="K243" s="174" t="s">
        <v>154</v>
      </c>
      <c r="L243" s="177">
        <v>44393</v>
      </c>
      <c r="M243" s="174">
        <v>22</v>
      </c>
      <c r="N243" s="179">
        <v>2.21</v>
      </c>
      <c r="O243" s="174" t="s">
        <v>30</v>
      </c>
      <c r="P243" s="174">
        <v>69</v>
      </c>
    </row>
    <row r="244" spans="1:45" s="174" customFormat="1" ht="35" hidden="1" customHeight="1">
      <c r="A244" s="174">
        <f>ROW()-3</f>
        <v>241</v>
      </c>
      <c r="B244" s="174" t="s">
        <v>14</v>
      </c>
      <c r="C244" s="174" t="s">
        <v>2723</v>
      </c>
      <c r="D244" s="174" t="s">
        <v>1441</v>
      </c>
      <c r="E244" s="174" t="s">
        <v>1016</v>
      </c>
      <c r="F244" s="174" t="s">
        <v>1564</v>
      </c>
      <c r="G244" s="174" t="s">
        <v>1565</v>
      </c>
      <c r="H244" s="174" t="s">
        <v>1566</v>
      </c>
      <c r="I244" s="174" t="s">
        <v>17</v>
      </c>
      <c r="J244" s="174" t="s">
        <v>960</v>
      </c>
      <c r="K244" s="174" t="s">
        <v>174</v>
      </c>
      <c r="L244" s="177">
        <v>44437</v>
      </c>
      <c r="M244" s="174">
        <v>24</v>
      </c>
      <c r="N244" s="179">
        <v>4</v>
      </c>
      <c r="O244" s="174" t="s">
        <v>30</v>
      </c>
      <c r="P244" s="174">
        <v>199</v>
      </c>
    </row>
    <row r="245" spans="1:45" s="174" customFormat="1" ht="35" hidden="1" customHeight="1">
      <c r="A245" s="174">
        <f>ROW()-3</f>
        <v>242</v>
      </c>
      <c r="B245" s="174" t="s">
        <v>14</v>
      </c>
      <c r="C245" s="174" t="s">
        <v>2723</v>
      </c>
      <c r="D245" s="174" t="s">
        <v>1432</v>
      </c>
      <c r="E245" s="174" t="s">
        <v>1490</v>
      </c>
      <c r="F245" s="174" t="s">
        <v>1567</v>
      </c>
      <c r="G245" s="174" t="s">
        <v>1568</v>
      </c>
      <c r="H245" s="174" t="s">
        <v>1569</v>
      </c>
      <c r="I245" s="174" t="s">
        <v>29</v>
      </c>
      <c r="J245" s="174" t="s">
        <v>34</v>
      </c>
      <c r="K245" s="174" t="s">
        <v>154</v>
      </c>
      <c r="L245" s="177">
        <v>44457</v>
      </c>
      <c r="M245" s="174">
        <v>70</v>
      </c>
      <c r="N245" s="179">
        <v>11.6</v>
      </c>
      <c r="O245" s="174" t="s">
        <v>20</v>
      </c>
      <c r="P245" s="174">
        <v>129</v>
      </c>
    </row>
    <row r="246" spans="1:45" s="174" customFormat="1" ht="35" hidden="1" customHeight="1">
      <c r="A246" s="174">
        <f>ROW()-3</f>
        <v>243</v>
      </c>
      <c r="B246" s="174" t="s">
        <v>14</v>
      </c>
      <c r="C246" s="174" t="s">
        <v>2723</v>
      </c>
      <c r="D246" s="174" t="s">
        <v>1432</v>
      </c>
      <c r="E246" s="174" t="s">
        <v>1449</v>
      </c>
      <c r="F246" s="174" t="s">
        <v>1570</v>
      </c>
      <c r="G246" s="174" t="s">
        <v>1571</v>
      </c>
      <c r="H246" s="174" t="s">
        <v>1572</v>
      </c>
      <c r="I246" s="174" t="s">
        <v>29</v>
      </c>
      <c r="J246" s="174" t="s">
        <v>34</v>
      </c>
      <c r="K246" s="174" t="s">
        <v>154</v>
      </c>
      <c r="L246" s="177">
        <v>44463</v>
      </c>
      <c r="M246" s="174">
        <v>52</v>
      </c>
      <c r="N246" s="179">
        <v>4.3</v>
      </c>
      <c r="O246" s="174" t="s">
        <v>20</v>
      </c>
    </row>
    <row r="247" spans="1:45" s="174" customFormat="1" ht="35" hidden="1" customHeight="1">
      <c r="A247" s="174">
        <f>ROW()-3</f>
        <v>244</v>
      </c>
      <c r="B247" s="174" t="s">
        <v>14</v>
      </c>
      <c r="C247" s="174" t="s">
        <v>2723</v>
      </c>
      <c r="D247" s="174" t="s">
        <v>1445</v>
      </c>
      <c r="E247" s="174" t="s">
        <v>1445</v>
      </c>
      <c r="F247" s="174" t="s">
        <v>1575</v>
      </c>
      <c r="G247" s="174" t="s">
        <v>1575</v>
      </c>
      <c r="H247" s="174" t="s">
        <v>1576</v>
      </c>
      <c r="I247" s="174" t="s">
        <v>29</v>
      </c>
      <c r="J247" s="174" t="s">
        <v>986</v>
      </c>
      <c r="K247" s="174" t="s">
        <v>67</v>
      </c>
      <c r="L247" s="177">
        <v>44550</v>
      </c>
      <c r="M247" s="174">
        <v>15</v>
      </c>
      <c r="N247" s="179">
        <v>0.9</v>
      </c>
      <c r="O247" s="174" t="s">
        <v>30</v>
      </c>
      <c r="P247" s="174">
        <v>69</v>
      </c>
    </row>
    <row r="248" spans="1:45" s="174" customFormat="1" ht="35" hidden="1" customHeight="1">
      <c r="A248" s="174">
        <f>ROW()-3</f>
        <v>245</v>
      </c>
      <c r="B248" s="174" t="s">
        <v>14</v>
      </c>
      <c r="C248" s="174" t="s">
        <v>381</v>
      </c>
      <c r="D248" s="174" t="s">
        <v>382</v>
      </c>
      <c r="E248" s="174" t="s">
        <v>732</v>
      </c>
      <c r="F248" s="174" t="s">
        <v>733</v>
      </c>
      <c r="G248" s="174" t="s">
        <v>734</v>
      </c>
      <c r="H248" s="174" t="s">
        <v>735</v>
      </c>
      <c r="I248" s="174" t="s">
        <v>29</v>
      </c>
      <c r="J248" s="174" t="s">
        <v>39</v>
      </c>
      <c r="K248" s="174" t="s">
        <v>25</v>
      </c>
      <c r="L248" s="177">
        <v>43227</v>
      </c>
      <c r="M248" s="174">
        <v>11</v>
      </c>
      <c r="N248" s="179">
        <v>2.6</v>
      </c>
      <c r="O248" s="174" t="s">
        <v>20</v>
      </c>
      <c r="P248" s="174">
        <v>19.899999999999999</v>
      </c>
    </row>
    <row r="249" spans="1:45" s="174" customFormat="1" ht="35" hidden="1" customHeight="1">
      <c r="A249" s="174">
        <f>ROW()-3</f>
        <v>246</v>
      </c>
      <c r="B249" s="174" t="s">
        <v>14</v>
      </c>
      <c r="C249" s="174" t="s">
        <v>381</v>
      </c>
      <c r="D249" s="174" t="s">
        <v>736</v>
      </c>
      <c r="E249" s="174" t="s">
        <v>732</v>
      </c>
      <c r="F249" s="174" t="s">
        <v>737</v>
      </c>
      <c r="G249" s="174" t="s">
        <v>738</v>
      </c>
      <c r="H249" s="174" t="s">
        <v>16</v>
      </c>
      <c r="I249" s="174" t="s">
        <v>29</v>
      </c>
      <c r="J249" s="174" t="s">
        <v>39</v>
      </c>
      <c r="K249" s="174" t="s">
        <v>25</v>
      </c>
      <c r="L249" s="177">
        <v>43238</v>
      </c>
      <c r="M249" s="174">
        <v>41</v>
      </c>
      <c r="N249" s="179">
        <v>6.97</v>
      </c>
      <c r="O249" s="174" t="s">
        <v>20</v>
      </c>
      <c r="P249" s="174">
        <v>99</v>
      </c>
    </row>
    <row r="250" spans="1:45" s="174" customFormat="1" ht="35" hidden="1" customHeight="1">
      <c r="A250" s="174">
        <f>ROW()-3</f>
        <v>247</v>
      </c>
      <c r="B250" s="174" t="s">
        <v>14</v>
      </c>
      <c r="C250" s="174" t="s">
        <v>381</v>
      </c>
      <c r="D250" s="174" t="s">
        <v>736</v>
      </c>
      <c r="E250" s="174" t="s">
        <v>739</v>
      </c>
      <c r="F250" s="174" t="s">
        <v>740</v>
      </c>
      <c r="G250" s="174" t="s">
        <v>741</v>
      </c>
      <c r="H250" s="174" t="s">
        <v>742</v>
      </c>
      <c r="I250" s="174" t="s">
        <v>29</v>
      </c>
      <c r="J250" s="174" t="s">
        <v>39</v>
      </c>
      <c r="K250" s="174" t="s">
        <v>25</v>
      </c>
      <c r="L250" s="177">
        <v>43321</v>
      </c>
      <c r="M250" s="174">
        <v>30</v>
      </c>
      <c r="N250" s="179">
        <v>4.79</v>
      </c>
      <c r="O250" s="174" t="s">
        <v>20</v>
      </c>
      <c r="P250" s="174">
        <v>99</v>
      </c>
    </row>
    <row r="251" spans="1:45" s="174" customFormat="1" ht="35" hidden="1" customHeight="1">
      <c r="A251" s="174">
        <f>ROW()-3</f>
        <v>248</v>
      </c>
      <c r="B251" s="174" t="s">
        <v>14</v>
      </c>
      <c r="C251" s="174" t="s">
        <v>381</v>
      </c>
      <c r="D251" s="174" t="s">
        <v>743</v>
      </c>
      <c r="E251" s="174" t="s">
        <v>739</v>
      </c>
      <c r="F251" s="174" t="s">
        <v>744</v>
      </c>
      <c r="G251" s="174" t="s">
        <v>745</v>
      </c>
      <c r="H251" s="174" t="s">
        <v>746</v>
      </c>
      <c r="I251" s="174" t="s">
        <v>29</v>
      </c>
      <c r="J251" s="174" t="s">
        <v>39</v>
      </c>
      <c r="K251" s="174" t="s">
        <v>25</v>
      </c>
      <c r="L251" s="177">
        <v>43381</v>
      </c>
      <c r="M251" s="174">
        <v>41</v>
      </c>
      <c r="N251" s="179">
        <v>5.61</v>
      </c>
      <c r="O251" s="174" t="s">
        <v>20</v>
      </c>
      <c r="P251" s="174">
        <v>99</v>
      </c>
    </row>
    <row r="252" spans="1:45" s="174" customFormat="1" ht="35" hidden="1" customHeight="1">
      <c r="A252" s="174">
        <f>ROW()-3</f>
        <v>249</v>
      </c>
      <c r="B252" s="174" t="s">
        <v>14</v>
      </c>
      <c r="C252" s="174" t="s">
        <v>381</v>
      </c>
      <c r="D252" s="174" t="s">
        <v>382</v>
      </c>
      <c r="E252" s="174" t="s">
        <v>739</v>
      </c>
      <c r="F252" s="174" t="s">
        <v>747</v>
      </c>
      <c r="G252" s="174" t="s">
        <v>748</v>
      </c>
      <c r="H252" s="174" t="s">
        <v>749</v>
      </c>
      <c r="I252" s="174" t="s">
        <v>29</v>
      </c>
      <c r="J252" s="174" t="s">
        <v>39</v>
      </c>
      <c r="K252" s="174" t="s">
        <v>25</v>
      </c>
      <c r="L252" s="177">
        <v>43399</v>
      </c>
      <c r="M252" s="174">
        <v>101</v>
      </c>
      <c r="N252" s="179">
        <v>11.2</v>
      </c>
      <c r="O252" s="174" t="s">
        <v>20</v>
      </c>
      <c r="P252" s="174">
        <v>99</v>
      </c>
    </row>
    <row r="253" spans="1:45" s="174" customFormat="1" ht="35" hidden="1" customHeight="1">
      <c r="A253" s="174">
        <f>ROW()-3</f>
        <v>250</v>
      </c>
      <c r="B253" s="174" t="s">
        <v>14</v>
      </c>
      <c r="C253" s="174" t="s">
        <v>381</v>
      </c>
      <c r="D253" s="174" t="s">
        <v>381</v>
      </c>
      <c r="E253" s="174" t="s">
        <v>736</v>
      </c>
      <c r="F253" s="174" t="s">
        <v>750</v>
      </c>
      <c r="G253" s="174" t="s">
        <v>751</v>
      </c>
      <c r="H253" s="174" t="s">
        <v>752</v>
      </c>
      <c r="I253" s="174" t="s">
        <v>29</v>
      </c>
      <c r="J253" s="174" t="s">
        <v>39</v>
      </c>
      <c r="K253" s="174" t="s">
        <v>25</v>
      </c>
      <c r="L253" s="177">
        <v>43488</v>
      </c>
      <c r="M253" s="174">
        <v>72</v>
      </c>
      <c r="N253" s="179">
        <v>10.77</v>
      </c>
      <c r="O253" s="174" t="s">
        <v>30</v>
      </c>
      <c r="P253" s="174">
        <v>129</v>
      </c>
    </row>
    <row r="254" spans="1:45" s="174" customFormat="1" ht="35" hidden="1" customHeight="1">
      <c r="A254" s="174">
        <f>ROW()-3</f>
        <v>251</v>
      </c>
      <c r="B254" s="174" t="s">
        <v>14</v>
      </c>
      <c r="C254" s="174" t="s">
        <v>381</v>
      </c>
      <c r="D254" s="174" t="s">
        <v>2502</v>
      </c>
      <c r="E254" s="174" t="s">
        <v>757</v>
      </c>
      <c r="F254" s="174" t="s">
        <v>2503</v>
      </c>
      <c r="G254" s="174" t="s">
        <v>753</v>
      </c>
      <c r="H254" s="174" t="s">
        <v>754</v>
      </c>
      <c r="I254" s="174" t="s">
        <v>29</v>
      </c>
      <c r="J254" s="174" t="s">
        <v>18</v>
      </c>
      <c r="K254" s="174" t="s">
        <v>19</v>
      </c>
      <c r="L254" s="177">
        <v>43552</v>
      </c>
      <c r="M254" s="174">
        <v>22</v>
      </c>
      <c r="N254" s="179">
        <v>23.03</v>
      </c>
      <c r="O254" s="174" t="s">
        <v>20</v>
      </c>
      <c r="P254" s="174">
        <v>99</v>
      </c>
    </row>
    <row r="255" spans="1:45" s="174" customFormat="1" ht="35" hidden="1" customHeight="1">
      <c r="A255" s="174">
        <f>ROW()-3</f>
        <v>252</v>
      </c>
      <c r="B255" s="174" t="s">
        <v>14</v>
      </c>
      <c r="C255" s="174" t="s">
        <v>381</v>
      </c>
      <c r="D255" s="174" t="s">
        <v>382</v>
      </c>
      <c r="E255" s="174" t="s">
        <v>739</v>
      </c>
      <c r="F255" s="174" t="s">
        <v>2504</v>
      </c>
      <c r="G255" s="174" t="s">
        <v>755</v>
      </c>
      <c r="H255" s="174" t="s">
        <v>756</v>
      </c>
      <c r="I255" s="174" t="s">
        <v>29</v>
      </c>
      <c r="J255" s="174" t="s">
        <v>39</v>
      </c>
      <c r="K255" s="174" t="s">
        <v>25</v>
      </c>
      <c r="L255" s="177">
        <v>43553</v>
      </c>
      <c r="M255" s="174">
        <v>15</v>
      </c>
      <c r="N255" s="179">
        <v>6.64</v>
      </c>
      <c r="O255" s="174" t="s">
        <v>20</v>
      </c>
      <c r="P255" s="174">
        <v>99</v>
      </c>
    </row>
    <row r="256" spans="1:45" s="174" customFormat="1" ht="35" hidden="1" customHeight="1">
      <c r="A256" s="174">
        <f>ROW()-3</f>
        <v>253</v>
      </c>
      <c r="B256" s="174" t="s">
        <v>14</v>
      </c>
      <c r="C256" s="174" t="s">
        <v>381</v>
      </c>
      <c r="D256" s="174" t="s">
        <v>736</v>
      </c>
      <c r="E256" s="174" t="s">
        <v>757</v>
      </c>
      <c r="F256" s="174" t="s">
        <v>758</v>
      </c>
      <c r="G256" s="174" t="s">
        <v>759</v>
      </c>
      <c r="H256" s="174" t="s">
        <v>760</v>
      </c>
      <c r="I256" s="174" t="s">
        <v>29</v>
      </c>
      <c r="J256" s="174" t="s">
        <v>39</v>
      </c>
      <c r="K256" s="174" t="s">
        <v>25</v>
      </c>
      <c r="L256" s="177">
        <v>43563</v>
      </c>
      <c r="M256" s="174">
        <v>74</v>
      </c>
      <c r="N256" s="179">
        <v>18.23</v>
      </c>
      <c r="O256" s="174" t="s">
        <v>20</v>
      </c>
      <c r="P256" s="174">
        <v>99</v>
      </c>
    </row>
    <row r="257" spans="1:16" s="174" customFormat="1" ht="35" hidden="1" customHeight="1">
      <c r="A257" s="174">
        <f>ROW()-3</f>
        <v>254</v>
      </c>
      <c r="B257" s="174" t="s">
        <v>14</v>
      </c>
      <c r="C257" s="174" t="s">
        <v>381</v>
      </c>
      <c r="D257" s="174" t="s">
        <v>761</v>
      </c>
      <c r="E257" s="174" t="s">
        <v>732</v>
      </c>
      <c r="F257" s="174" t="s">
        <v>762</v>
      </c>
      <c r="G257" s="174" t="s">
        <v>763</v>
      </c>
      <c r="H257" s="174" t="s">
        <v>764</v>
      </c>
      <c r="I257" s="174" t="s">
        <v>29</v>
      </c>
      <c r="J257" s="174" t="s">
        <v>39</v>
      </c>
      <c r="K257" s="174" t="s">
        <v>25</v>
      </c>
      <c r="L257" s="177">
        <v>43570</v>
      </c>
      <c r="M257" s="174">
        <v>17</v>
      </c>
      <c r="N257" s="179">
        <v>2.2200000000000002</v>
      </c>
      <c r="O257" s="174" t="s">
        <v>20</v>
      </c>
      <c r="P257" s="174">
        <v>46</v>
      </c>
    </row>
    <row r="258" spans="1:16" s="174" customFormat="1" ht="35" hidden="1" customHeight="1">
      <c r="A258" s="174">
        <f>ROW()-3</f>
        <v>255</v>
      </c>
      <c r="B258" s="174" t="s">
        <v>14</v>
      </c>
      <c r="C258" s="174" t="s">
        <v>381</v>
      </c>
      <c r="D258" s="174" t="s">
        <v>736</v>
      </c>
      <c r="E258" s="174" t="s">
        <v>732</v>
      </c>
      <c r="F258" s="174" t="s">
        <v>765</v>
      </c>
      <c r="G258" s="174" t="s">
        <v>766</v>
      </c>
      <c r="H258" s="174" t="s">
        <v>16</v>
      </c>
      <c r="I258" s="174" t="s">
        <v>17</v>
      </c>
      <c r="J258" s="174" t="s">
        <v>39</v>
      </c>
      <c r="K258" s="174" t="s">
        <v>25</v>
      </c>
      <c r="L258" s="177">
        <v>43579</v>
      </c>
      <c r="M258" s="174">
        <v>40</v>
      </c>
      <c r="N258" s="179">
        <v>3.57</v>
      </c>
      <c r="O258" s="174" t="s">
        <v>20</v>
      </c>
      <c r="P258" s="174">
        <v>99</v>
      </c>
    </row>
    <row r="259" spans="1:16" s="174" customFormat="1" ht="35" hidden="1" customHeight="1">
      <c r="A259" s="174">
        <f>ROW()-3</f>
        <v>256</v>
      </c>
      <c r="B259" s="174" t="s">
        <v>14</v>
      </c>
      <c r="C259" s="174" t="s">
        <v>381</v>
      </c>
      <c r="D259" s="174" t="s">
        <v>382</v>
      </c>
      <c r="E259" s="174" t="s">
        <v>739</v>
      </c>
      <c r="F259" s="174" t="s">
        <v>767</v>
      </c>
      <c r="G259" s="174" t="s">
        <v>768</v>
      </c>
      <c r="H259" s="174" t="s">
        <v>769</v>
      </c>
      <c r="I259" s="174" t="s">
        <v>29</v>
      </c>
      <c r="J259" s="174" t="s">
        <v>39</v>
      </c>
      <c r="K259" s="174" t="s">
        <v>25</v>
      </c>
      <c r="L259" s="177">
        <v>43605</v>
      </c>
      <c r="M259" s="174">
        <v>11</v>
      </c>
      <c r="N259" s="179">
        <v>1.43</v>
      </c>
      <c r="O259" s="174" t="s">
        <v>20</v>
      </c>
      <c r="P259" s="174">
        <v>49</v>
      </c>
    </row>
    <row r="260" spans="1:16" s="174" customFormat="1" ht="35" hidden="1" customHeight="1">
      <c r="A260" s="174">
        <f>ROW()-3</f>
        <v>257</v>
      </c>
      <c r="B260" s="174" t="s">
        <v>14</v>
      </c>
      <c r="C260" s="174" t="s">
        <v>381</v>
      </c>
      <c r="D260" s="174" t="s">
        <v>736</v>
      </c>
      <c r="E260" s="174" t="s">
        <v>757</v>
      </c>
      <c r="F260" s="174" t="s">
        <v>770</v>
      </c>
      <c r="G260" s="174" t="s">
        <v>771</v>
      </c>
      <c r="H260" s="174" t="s">
        <v>772</v>
      </c>
      <c r="I260" s="174" t="s">
        <v>29</v>
      </c>
      <c r="J260" s="174" t="s">
        <v>39</v>
      </c>
      <c r="K260" s="174" t="s">
        <v>25</v>
      </c>
      <c r="L260" s="177">
        <v>43659</v>
      </c>
      <c r="M260" s="174">
        <v>32</v>
      </c>
      <c r="N260" s="179">
        <v>9.8000000000000007</v>
      </c>
      <c r="O260" s="174" t="s">
        <v>20</v>
      </c>
      <c r="P260" s="174">
        <v>99</v>
      </c>
    </row>
    <row r="261" spans="1:16" s="174" customFormat="1" ht="35" hidden="1" customHeight="1">
      <c r="A261" s="174">
        <f>ROW()-3</f>
        <v>258</v>
      </c>
      <c r="B261" s="174" t="s">
        <v>14</v>
      </c>
      <c r="C261" s="174" t="s">
        <v>381</v>
      </c>
      <c r="D261" s="174" t="s">
        <v>773</v>
      </c>
      <c r="E261" s="174" t="s">
        <v>732</v>
      </c>
      <c r="F261" s="174" t="s">
        <v>774</v>
      </c>
      <c r="G261" s="174" t="s">
        <v>775</v>
      </c>
      <c r="H261" s="174" t="s">
        <v>776</v>
      </c>
      <c r="I261" s="174" t="s">
        <v>29</v>
      </c>
      <c r="J261" s="174" t="s">
        <v>24</v>
      </c>
      <c r="K261" s="174" t="s">
        <v>25</v>
      </c>
      <c r="L261" s="177">
        <v>43811</v>
      </c>
      <c r="M261" s="174">
        <v>109</v>
      </c>
      <c r="N261" s="179">
        <v>21.23</v>
      </c>
      <c r="O261" s="174" t="s">
        <v>20</v>
      </c>
      <c r="P261" s="174">
        <v>199</v>
      </c>
    </row>
    <row r="262" spans="1:16" s="174" customFormat="1" ht="35" hidden="1" customHeight="1">
      <c r="A262" s="174">
        <f>ROW()-3</f>
        <v>259</v>
      </c>
      <c r="B262" s="174" t="s">
        <v>14</v>
      </c>
      <c r="C262" s="174" t="s">
        <v>381</v>
      </c>
      <c r="D262" s="174" t="s">
        <v>382</v>
      </c>
      <c r="E262" s="174" t="s">
        <v>757</v>
      </c>
      <c r="F262" s="174" t="s">
        <v>777</v>
      </c>
      <c r="G262" s="174" t="s">
        <v>778</v>
      </c>
      <c r="H262" s="174" t="s">
        <v>310</v>
      </c>
      <c r="I262" s="174" t="s">
        <v>29</v>
      </c>
      <c r="J262" s="174" t="s">
        <v>39</v>
      </c>
      <c r="K262" s="174" t="s">
        <v>25</v>
      </c>
      <c r="L262" s="177">
        <v>43862</v>
      </c>
      <c r="M262" s="174">
        <v>24</v>
      </c>
      <c r="N262" s="179">
        <v>5.21</v>
      </c>
      <c r="O262" s="174" t="s">
        <v>20</v>
      </c>
      <c r="P262" s="174">
        <v>49.8</v>
      </c>
    </row>
    <row r="263" spans="1:16" s="174" customFormat="1" ht="35" hidden="1" customHeight="1">
      <c r="A263" s="174">
        <f>ROW()-3</f>
        <v>260</v>
      </c>
      <c r="B263" s="174" t="s">
        <v>14</v>
      </c>
      <c r="C263" s="174" t="s">
        <v>381</v>
      </c>
      <c r="D263" s="174" t="s">
        <v>779</v>
      </c>
      <c r="E263" s="174" t="s">
        <v>732</v>
      </c>
      <c r="F263" s="174" t="s">
        <v>780</v>
      </c>
      <c r="G263" s="174" t="s">
        <v>781</v>
      </c>
      <c r="H263" s="174" t="s">
        <v>782</v>
      </c>
      <c r="I263" s="174" t="s">
        <v>29</v>
      </c>
      <c r="J263" s="174" t="s">
        <v>160</v>
      </c>
      <c r="K263" s="174" t="s">
        <v>25</v>
      </c>
      <c r="L263" s="177">
        <v>43909</v>
      </c>
      <c r="M263" s="174">
        <v>56</v>
      </c>
      <c r="N263" s="179">
        <v>7.93</v>
      </c>
      <c r="O263" s="174" t="s">
        <v>20</v>
      </c>
      <c r="P263" s="174">
        <v>199</v>
      </c>
    </row>
    <row r="264" spans="1:16" s="174" customFormat="1" ht="35" hidden="1" customHeight="1">
      <c r="A264" s="174">
        <f>ROW()-3</f>
        <v>261</v>
      </c>
      <c r="B264" s="174" t="s">
        <v>14</v>
      </c>
      <c r="C264" s="174" t="s">
        <v>381</v>
      </c>
      <c r="D264" s="174" t="s">
        <v>773</v>
      </c>
      <c r="E264" s="174" t="s">
        <v>2684</v>
      </c>
      <c r="F264" s="174" t="s">
        <v>2678</v>
      </c>
      <c r="G264" s="174" t="s">
        <v>784</v>
      </c>
      <c r="H264" s="174" t="s">
        <v>785</v>
      </c>
      <c r="I264" s="174" t="s">
        <v>29</v>
      </c>
      <c r="J264" s="174" t="s">
        <v>18</v>
      </c>
      <c r="K264" s="174" t="s">
        <v>19</v>
      </c>
      <c r="L264" s="177">
        <v>43914</v>
      </c>
      <c r="M264" s="174">
        <v>10</v>
      </c>
      <c r="N264" s="179">
        <v>0.99</v>
      </c>
      <c r="O264" s="174" t="s">
        <v>20</v>
      </c>
      <c r="P264" s="174">
        <v>59</v>
      </c>
    </row>
    <row r="265" spans="1:16" s="174" customFormat="1" ht="35" hidden="1" customHeight="1">
      <c r="A265" s="174">
        <f>ROW()-3</f>
        <v>262</v>
      </c>
      <c r="B265" s="174" t="s">
        <v>14</v>
      </c>
      <c r="C265" s="174" t="s">
        <v>381</v>
      </c>
      <c r="D265" s="174" t="s">
        <v>773</v>
      </c>
      <c r="E265" s="174" t="s">
        <v>732</v>
      </c>
      <c r="F265" s="174" t="s">
        <v>2505</v>
      </c>
      <c r="G265" s="174" t="s">
        <v>786</v>
      </c>
      <c r="H265" s="174" t="s">
        <v>787</v>
      </c>
      <c r="I265" s="174" t="s">
        <v>29</v>
      </c>
      <c r="J265" s="174" t="s">
        <v>24</v>
      </c>
      <c r="K265" s="174" t="s">
        <v>25</v>
      </c>
      <c r="L265" s="177">
        <v>43928</v>
      </c>
      <c r="M265" s="174">
        <v>58</v>
      </c>
      <c r="N265" s="179">
        <v>16.37</v>
      </c>
      <c r="O265" s="174" t="s">
        <v>20</v>
      </c>
      <c r="P265" s="174">
        <v>299</v>
      </c>
    </row>
    <row r="266" spans="1:16" s="174" customFormat="1" ht="35" hidden="1" customHeight="1">
      <c r="A266" s="174">
        <f>ROW()-3</f>
        <v>263</v>
      </c>
      <c r="B266" s="174" t="s">
        <v>14</v>
      </c>
      <c r="C266" s="174" t="s">
        <v>381</v>
      </c>
      <c r="D266" s="174" t="s">
        <v>743</v>
      </c>
      <c r="E266" s="174" t="s">
        <v>732</v>
      </c>
      <c r="F266" s="174" t="s">
        <v>788</v>
      </c>
      <c r="G266" s="174" t="s">
        <v>789</v>
      </c>
      <c r="H266" s="174" t="s">
        <v>790</v>
      </c>
      <c r="I266" s="174" t="s">
        <v>29</v>
      </c>
      <c r="J266" s="174" t="s">
        <v>39</v>
      </c>
      <c r="K266" s="174" t="s">
        <v>25</v>
      </c>
      <c r="L266" s="177">
        <v>43928</v>
      </c>
      <c r="M266" s="174">
        <v>12</v>
      </c>
      <c r="N266" s="179">
        <v>2.13</v>
      </c>
      <c r="O266" s="174" t="s">
        <v>20</v>
      </c>
      <c r="P266" s="174">
        <v>69</v>
      </c>
    </row>
    <row r="267" spans="1:16" s="174" customFormat="1" ht="35" hidden="1" customHeight="1">
      <c r="A267" s="174">
        <f>ROW()-3</f>
        <v>264</v>
      </c>
      <c r="B267" s="174" t="s">
        <v>14</v>
      </c>
      <c r="C267" s="174" t="s">
        <v>381</v>
      </c>
      <c r="D267" s="174" t="s">
        <v>773</v>
      </c>
      <c r="E267" s="174" t="s">
        <v>739</v>
      </c>
      <c r="F267" s="174" t="s">
        <v>791</v>
      </c>
      <c r="G267" s="174" t="s">
        <v>792</v>
      </c>
      <c r="H267" s="174" t="s">
        <v>793</v>
      </c>
      <c r="I267" s="174" t="s">
        <v>29</v>
      </c>
      <c r="J267" s="174" t="s">
        <v>39</v>
      </c>
      <c r="K267" s="174" t="s">
        <v>25</v>
      </c>
      <c r="L267" s="177">
        <v>43935</v>
      </c>
      <c r="M267" s="174">
        <v>61</v>
      </c>
      <c r="N267" s="179">
        <v>12.57</v>
      </c>
      <c r="O267" s="174" t="s">
        <v>20</v>
      </c>
      <c r="P267" s="174">
        <v>99</v>
      </c>
    </row>
    <row r="268" spans="1:16" s="174" customFormat="1" ht="35" hidden="1" customHeight="1">
      <c r="A268" s="174">
        <f>ROW()-3</f>
        <v>265</v>
      </c>
      <c r="B268" s="174" t="s">
        <v>14</v>
      </c>
      <c r="C268" s="174" t="s">
        <v>381</v>
      </c>
      <c r="D268" s="174" t="s">
        <v>779</v>
      </c>
      <c r="E268" s="174" t="s">
        <v>739</v>
      </c>
      <c r="F268" s="174" t="s">
        <v>794</v>
      </c>
      <c r="G268" s="174" t="s">
        <v>795</v>
      </c>
      <c r="H268" s="174" t="s">
        <v>796</v>
      </c>
      <c r="I268" s="174" t="s">
        <v>29</v>
      </c>
      <c r="J268" s="174" t="s">
        <v>39</v>
      </c>
      <c r="K268" s="174" t="s">
        <v>25</v>
      </c>
      <c r="L268" s="177">
        <v>43941</v>
      </c>
      <c r="M268" s="174">
        <v>60</v>
      </c>
      <c r="N268" s="179">
        <v>14.69</v>
      </c>
      <c r="O268" s="174" t="s">
        <v>20</v>
      </c>
      <c r="P268" s="174">
        <v>199</v>
      </c>
    </row>
    <row r="269" spans="1:16" s="174" customFormat="1" ht="35" hidden="1" customHeight="1">
      <c r="A269" s="174">
        <f>ROW()-3</f>
        <v>266</v>
      </c>
      <c r="B269" s="174" t="s">
        <v>14</v>
      </c>
      <c r="C269" s="174" t="s">
        <v>381</v>
      </c>
      <c r="D269" s="174" t="s">
        <v>773</v>
      </c>
      <c r="E269" s="174" t="s">
        <v>757</v>
      </c>
      <c r="F269" s="174" t="s">
        <v>2506</v>
      </c>
      <c r="G269" s="174" t="s">
        <v>797</v>
      </c>
      <c r="H269" s="174" t="s">
        <v>798</v>
      </c>
      <c r="I269" s="174" t="s">
        <v>29</v>
      </c>
      <c r="J269" s="174" t="s">
        <v>24</v>
      </c>
      <c r="K269" s="174" t="s">
        <v>25</v>
      </c>
      <c r="L269" s="177">
        <v>43965</v>
      </c>
      <c r="M269" s="174">
        <v>31</v>
      </c>
      <c r="N269" s="179">
        <v>11.27</v>
      </c>
      <c r="O269" s="174" t="s">
        <v>20</v>
      </c>
      <c r="P269" s="174">
        <v>69</v>
      </c>
    </row>
    <row r="270" spans="1:16" s="174" customFormat="1" ht="35" hidden="1" customHeight="1">
      <c r="A270" s="174">
        <f>ROW()-3</f>
        <v>267</v>
      </c>
      <c r="B270" s="174" t="s">
        <v>14</v>
      </c>
      <c r="C270" s="174" t="s">
        <v>381</v>
      </c>
      <c r="D270" s="174" t="s">
        <v>779</v>
      </c>
      <c r="E270" s="174" t="s">
        <v>757</v>
      </c>
      <c r="F270" s="174" t="s">
        <v>799</v>
      </c>
      <c r="G270" s="174" t="s">
        <v>800</v>
      </c>
      <c r="H270" s="174" t="s">
        <v>801</v>
      </c>
      <c r="I270" s="174" t="s">
        <v>29</v>
      </c>
      <c r="J270" s="174" t="s">
        <v>39</v>
      </c>
      <c r="K270" s="174" t="s">
        <v>25</v>
      </c>
      <c r="L270" s="177">
        <v>43969</v>
      </c>
      <c r="M270" s="174">
        <v>10</v>
      </c>
      <c r="N270" s="179">
        <v>1.05</v>
      </c>
      <c r="O270" s="174" t="s">
        <v>30</v>
      </c>
      <c r="P270" s="174">
        <v>46</v>
      </c>
    </row>
    <row r="271" spans="1:16" s="174" customFormat="1" ht="35" hidden="1" customHeight="1">
      <c r="A271" s="174">
        <f>ROW()-3</f>
        <v>268</v>
      </c>
      <c r="B271" s="174" t="s">
        <v>14</v>
      </c>
      <c r="C271" s="174" t="s">
        <v>381</v>
      </c>
      <c r="D271" s="174" t="s">
        <v>761</v>
      </c>
      <c r="E271" s="174" t="s">
        <v>757</v>
      </c>
      <c r="F271" s="174" t="s">
        <v>802</v>
      </c>
      <c r="G271" s="174" t="s">
        <v>803</v>
      </c>
      <c r="H271" s="174" t="s">
        <v>804</v>
      </c>
      <c r="I271" s="174" t="s">
        <v>29</v>
      </c>
      <c r="J271" s="174" t="s">
        <v>39</v>
      </c>
      <c r="K271" s="174" t="s">
        <v>25</v>
      </c>
      <c r="L271" s="177">
        <v>43984</v>
      </c>
      <c r="M271" s="174">
        <v>31</v>
      </c>
      <c r="N271" s="179">
        <v>3.55</v>
      </c>
      <c r="O271" s="174" t="s">
        <v>20</v>
      </c>
      <c r="P271" s="174">
        <v>99</v>
      </c>
    </row>
    <row r="272" spans="1:16" s="174" customFormat="1" ht="35" hidden="1" customHeight="1">
      <c r="A272" s="174">
        <f>ROW()-3</f>
        <v>269</v>
      </c>
      <c r="B272" s="174" t="s">
        <v>14</v>
      </c>
      <c r="C272" s="174" t="s">
        <v>381</v>
      </c>
      <c r="D272" s="174" t="s">
        <v>382</v>
      </c>
      <c r="E272" s="174" t="s">
        <v>739</v>
      </c>
      <c r="F272" s="174" t="s">
        <v>805</v>
      </c>
      <c r="G272" s="174" t="s">
        <v>806</v>
      </c>
      <c r="H272" s="174" t="s">
        <v>807</v>
      </c>
      <c r="I272" s="174" t="s">
        <v>17</v>
      </c>
      <c r="J272" s="174" t="s">
        <v>39</v>
      </c>
      <c r="K272" s="174" t="s">
        <v>25</v>
      </c>
      <c r="L272" s="177">
        <v>44004</v>
      </c>
      <c r="M272" s="174">
        <v>32</v>
      </c>
      <c r="N272" s="179">
        <v>5.33</v>
      </c>
      <c r="O272" s="174" t="s">
        <v>20</v>
      </c>
      <c r="P272" s="174">
        <v>199</v>
      </c>
    </row>
    <row r="273" spans="1:16" s="174" customFormat="1" ht="35" hidden="1" customHeight="1">
      <c r="A273" s="174">
        <f>ROW()-3</f>
        <v>270</v>
      </c>
      <c r="B273" s="174" t="s">
        <v>14</v>
      </c>
      <c r="C273" s="174" t="s">
        <v>381</v>
      </c>
      <c r="D273" s="174" t="s">
        <v>382</v>
      </c>
      <c r="E273" s="174" t="s">
        <v>757</v>
      </c>
      <c r="F273" s="174" t="s">
        <v>808</v>
      </c>
      <c r="G273" s="174" t="s">
        <v>809</v>
      </c>
      <c r="H273" s="174" t="s">
        <v>810</v>
      </c>
      <c r="I273" s="174" t="s">
        <v>17</v>
      </c>
      <c r="J273" s="174" t="s">
        <v>39</v>
      </c>
      <c r="K273" s="174" t="s">
        <v>25</v>
      </c>
      <c r="L273" s="177">
        <v>44012</v>
      </c>
      <c r="M273" s="174">
        <v>12</v>
      </c>
      <c r="N273" s="179">
        <v>3.11</v>
      </c>
      <c r="O273" s="174" t="s">
        <v>20</v>
      </c>
      <c r="P273" s="174">
        <v>199</v>
      </c>
    </row>
    <row r="274" spans="1:16" s="174" customFormat="1" ht="35" hidden="1" customHeight="1">
      <c r="A274" s="174">
        <f>ROW()-3</f>
        <v>271</v>
      </c>
      <c r="B274" s="174" t="s">
        <v>14</v>
      </c>
      <c r="C274" s="174" t="s">
        <v>381</v>
      </c>
      <c r="D274" s="174" t="s">
        <v>382</v>
      </c>
      <c r="E274" s="174" t="s">
        <v>757</v>
      </c>
      <c r="F274" s="174" t="s">
        <v>811</v>
      </c>
      <c r="G274" s="174" t="s">
        <v>812</v>
      </c>
      <c r="H274" s="174" t="s">
        <v>310</v>
      </c>
      <c r="I274" s="174" t="s">
        <v>17</v>
      </c>
      <c r="J274" s="174" t="s">
        <v>39</v>
      </c>
      <c r="K274" s="174" t="s">
        <v>2661</v>
      </c>
      <c r="L274" s="177">
        <v>44025</v>
      </c>
      <c r="M274" s="174">
        <v>126</v>
      </c>
      <c r="N274" s="179">
        <v>23.754999999999999</v>
      </c>
      <c r="O274" s="174" t="s">
        <v>20</v>
      </c>
      <c r="P274" s="174">
        <v>99</v>
      </c>
    </row>
    <row r="275" spans="1:16" s="174" customFormat="1" ht="35" hidden="1" customHeight="1">
      <c r="A275" s="174">
        <f>ROW()-3</f>
        <v>272</v>
      </c>
      <c r="B275" s="174" t="s">
        <v>14</v>
      </c>
      <c r="C275" s="174" t="s">
        <v>381</v>
      </c>
      <c r="D275" s="174" t="s">
        <v>761</v>
      </c>
      <c r="E275" s="174" t="s">
        <v>739</v>
      </c>
      <c r="F275" s="174" t="s">
        <v>813</v>
      </c>
      <c r="G275" s="174" t="s">
        <v>814</v>
      </c>
      <c r="H275" s="174" t="s">
        <v>815</v>
      </c>
      <c r="I275" s="174" t="s">
        <v>17</v>
      </c>
      <c r="J275" s="174" t="s">
        <v>816</v>
      </c>
      <c r="K275" s="174" t="s">
        <v>174</v>
      </c>
      <c r="L275" s="177">
        <v>44029</v>
      </c>
      <c r="M275" s="174">
        <v>13</v>
      </c>
      <c r="N275" s="179">
        <v>1.1200000000000001</v>
      </c>
      <c r="O275" s="174" t="s">
        <v>20</v>
      </c>
      <c r="P275" s="174">
        <v>199</v>
      </c>
    </row>
    <row r="276" spans="1:16" s="174" customFormat="1" ht="35" hidden="1" customHeight="1">
      <c r="A276" s="174">
        <f>ROW()-3</f>
        <v>273</v>
      </c>
      <c r="B276" s="174" t="s">
        <v>14</v>
      </c>
      <c r="C276" s="174" t="s">
        <v>381</v>
      </c>
      <c r="D276" s="174" t="s">
        <v>743</v>
      </c>
      <c r="E276" s="174" t="s">
        <v>739</v>
      </c>
      <c r="F276" s="174" t="s">
        <v>817</v>
      </c>
      <c r="G276" s="174" t="s">
        <v>818</v>
      </c>
      <c r="H276" s="174" t="s">
        <v>819</v>
      </c>
      <c r="I276" s="174" t="s">
        <v>29</v>
      </c>
      <c r="J276" s="174" t="s">
        <v>39</v>
      </c>
      <c r="K276" s="174" t="s">
        <v>25</v>
      </c>
      <c r="L276" s="177">
        <v>44053</v>
      </c>
      <c r="M276" s="174">
        <v>31</v>
      </c>
      <c r="N276" s="179">
        <v>4.13</v>
      </c>
      <c r="O276" s="174" t="s">
        <v>20</v>
      </c>
      <c r="P276" s="174">
        <v>99</v>
      </c>
    </row>
    <row r="277" spans="1:16" s="174" customFormat="1" ht="35" hidden="1" customHeight="1">
      <c r="A277" s="174">
        <f>ROW()-3</f>
        <v>274</v>
      </c>
      <c r="B277" s="174" t="s">
        <v>14</v>
      </c>
      <c r="C277" s="174" t="s">
        <v>381</v>
      </c>
      <c r="D277" s="174" t="s">
        <v>736</v>
      </c>
      <c r="E277" s="174" t="s">
        <v>757</v>
      </c>
      <c r="F277" s="174" t="s">
        <v>820</v>
      </c>
      <c r="G277" s="174" t="s">
        <v>821</v>
      </c>
      <c r="H277" s="174" t="s">
        <v>822</v>
      </c>
      <c r="I277" s="174" t="s">
        <v>29</v>
      </c>
      <c r="J277" s="174" t="s">
        <v>39</v>
      </c>
      <c r="K277" s="174" t="s">
        <v>25</v>
      </c>
      <c r="L277" s="177">
        <v>44053</v>
      </c>
      <c r="M277" s="174">
        <v>27</v>
      </c>
      <c r="N277" s="179">
        <v>5.9</v>
      </c>
      <c r="O277" s="174" t="s">
        <v>20</v>
      </c>
      <c r="P277" s="174">
        <v>199</v>
      </c>
    </row>
    <row r="278" spans="1:16" s="174" customFormat="1" ht="35" hidden="1" customHeight="1">
      <c r="A278" s="174">
        <f>ROW()-3</f>
        <v>275</v>
      </c>
      <c r="B278" s="174" t="s">
        <v>14</v>
      </c>
      <c r="C278" s="174" t="s">
        <v>381</v>
      </c>
      <c r="D278" s="174" t="s">
        <v>823</v>
      </c>
      <c r="E278" s="174" t="s">
        <v>732</v>
      </c>
      <c r="F278" s="174" t="s">
        <v>824</v>
      </c>
      <c r="G278" s="174" t="s">
        <v>825</v>
      </c>
      <c r="H278" s="174" t="s">
        <v>752</v>
      </c>
      <c r="I278" s="174" t="s">
        <v>17</v>
      </c>
      <c r="J278" s="174" t="s">
        <v>39</v>
      </c>
      <c r="K278" s="174" t="s">
        <v>25</v>
      </c>
      <c r="L278" s="177">
        <v>44067</v>
      </c>
      <c r="M278" s="174">
        <v>31</v>
      </c>
      <c r="N278" s="179">
        <v>5.8</v>
      </c>
      <c r="O278" s="174" t="s">
        <v>20</v>
      </c>
      <c r="P278" s="174">
        <v>199</v>
      </c>
    </row>
    <row r="279" spans="1:16" s="174" customFormat="1" ht="35" hidden="1" customHeight="1">
      <c r="A279" s="174">
        <f>ROW()-3</f>
        <v>276</v>
      </c>
      <c r="B279" s="174" t="s">
        <v>14</v>
      </c>
      <c r="C279" s="174" t="s">
        <v>381</v>
      </c>
      <c r="D279" s="174" t="s">
        <v>779</v>
      </c>
      <c r="E279" s="174" t="s">
        <v>732</v>
      </c>
      <c r="F279" s="174" t="s">
        <v>826</v>
      </c>
      <c r="G279" s="174" t="s">
        <v>827</v>
      </c>
      <c r="H279" s="174" t="s">
        <v>828</v>
      </c>
      <c r="I279" s="174" t="s">
        <v>17</v>
      </c>
      <c r="J279" s="174" t="s">
        <v>39</v>
      </c>
      <c r="K279" s="174" t="s">
        <v>25</v>
      </c>
      <c r="L279" s="177">
        <v>44078</v>
      </c>
      <c r="M279" s="174">
        <v>11</v>
      </c>
      <c r="N279" s="179">
        <v>2.56</v>
      </c>
      <c r="O279" s="174" t="s">
        <v>20</v>
      </c>
      <c r="P279" s="174">
        <v>129</v>
      </c>
    </row>
    <row r="280" spans="1:16" s="174" customFormat="1" ht="35" hidden="1" customHeight="1">
      <c r="A280" s="174">
        <f>ROW()-3</f>
        <v>277</v>
      </c>
      <c r="B280" s="174" t="s">
        <v>14</v>
      </c>
      <c r="C280" s="174" t="s">
        <v>381</v>
      </c>
      <c r="D280" s="174" t="s">
        <v>382</v>
      </c>
      <c r="E280" s="174" t="s">
        <v>739</v>
      </c>
      <c r="F280" s="174" t="s">
        <v>829</v>
      </c>
      <c r="G280" s="174" t="s">
        <v>829</v>
      </c>
      <c r="H280" s="174" t="s">
        <v>830</v>
      </c>
      <c r="I280" s="174" t="s">
        <v>29</v>
      </c>
      <c r="J280" s="174" t="s">
        <v>39</v>
      </c>
      <c r="K280" s="174" t="s">
        <v>2661</v>
      </c>
      <c r="L280" s="177">
        <v>44089</v>
      </c>
      <c r="M280" s="174">
        <v>67</v>
      </c>
      <c r="N280" s="179">
        <v>24.372222220000001</v>
      </c>
      <c r="O280" s="174" t="s">
        <v>20</v>
      </c>
      <c r="P280" s="174">
        <v>99</v>
      </c>
    </row>
    <row r="281" spans="1:16" s="174" customFormat="1" ht="35" hidden="1" customHeight="1">
      <c r="A281" s="174">
        <f>ROW()-3</f>
        <v>278</v>
      </c>
      <c r="B281" s="174" t="s">
        <v>14</v>
      </c>
      <c r="C281" s="174" t="s">
        <v>381</v>
      </c>
      <c r="D281" s="174" t="s">
        <v>779</v>
      </c>
      <c r="E281" s="174" t="s">
        <v>2684</v>
      </c>
      <c r="F281" s="174" t="s">
        <v>831</v>
      </c>
      <c r="G281" s="174" t="s">
        <v>832</v>
      </c>
      <c r="H281" s="174" t="s">
        <v>833</v>
      </c>
      <c r="I281" s="174" t="s">
        <v>29</v>
      </c>
      <c r="J281" s="174" t="s">
        <v>39</v>
      </c>
      <c r="K281" s="174" t="s">
        <v>25</v>
      </c>
      <c r="L281" s="177">
        <v>44123</v>
      </c>
      <c r="M281" s="174">
        <v>8</v>
      </c>
      <c r="N281" s="179">
        <v>4.5</v>
      </c>
      <c r="O281" s="174" t="s">
        <v>20</v>
      </c>
      <c r="P281" s="174">
        <v>99</v>
      </c>
    </row>
    <row r="282" spans="1:16" s="174" customFormat="1" ht="35" hidden="1" customHeight="1">
      <c r="A282" s="174">
        <f>ROW()-3</f>
        <v>279</v>
      </c>
      <c r="B282" s="174" t="s">
        <v>14</v>
      </c>
      <c r="C282" s="174" t="s">
        <v>381</v>
      </c>
      <c r="D282" s="174" t="s">
        <v>743</v>
      </c>
      <c r="E282" s="174" t="s">
        <v>757</v>
      </c>
      <c r="F282" s="174" t="s">
        <v>834</v>
      </c>
      <c r="G282" s="174" t="s">
        <v>835</v>
      </c>
      <c r="H282" s="174" t="s">
        <v>836</v>
      </c>
      <c r="I282" s="174" t="s">
        <v>17</v>
      </c>
      <c r="J282" s="174" t="s">
        <v>816</v>
      </c>
      <c r="K282" s="174" t="s">
        <v>174</v>
      </c>
      <c r="L282" s="177">
        <v>44134</v>
      </c>
      <c r="M282" s="174">
        <v>13</v>
      </c>
      <c r="N282" s="179">
        <v>3.25</v>
      </c>
      <c r="O282" s="174" t="s">
        <v>20</v>
      </c>
      <c r="P282" s="174">
        <v>199</v>
      </c>
    </row>
    <row r="283" spans="1:16" s="174" customFormat="1" ht="35" hidden="1" customHeight="1">
      <c r="A283" s="174">
        <f>ROW()-3</f>
        <v>280</v>
      </c>
      <c r="B283" s="174" t="s">
        <v>14</v>
      </c>
      <c r="C283" s="174" t="s">
        <v>381</v>
      </c>
      <c r="D283" s="174" t="s">
        <v>382</v>
      </c>
      <c r="E283" s="174" t="s">
        <v>757</v>
      </c>
      <c r="F283" s="174" t="s">
        <v>837</v>
      </c>
      <c r="G283" s="174" t="s">
        <v>838</v>
      </c>
      <c r="H283" s="174" t="s">
        <v>839</v>
      </c>
      <c r="I283" s="174" t="s">
        <v>17</v>
      </c>
      <c r="J283" s="174" t="s">
        <v>816</v>
      </c>
      <c r="K283" s="174" t="s">
        <v>174</v>
      </c>
      <c r="L283" s="177">
        <v>44139</v>
      </c>
      <c r="M283" s="174">
        <v>11</v>
      </c>
      <c r="N283" s="179">
        <v>2.75</v>
      </c>
      <c r="O283" s="174" t="s">
        <v>20</v>
      </c>
      <c r="P283" s="174">
        <v>99</v>
      </c>
    </row>
    <row r="284" spans="1:16" s="174" customFormat="1" ht="35" hidden="1" customHeight="1">
      <c r="A284" s="174">
        <f>ROW()-3</f>
        <v>281</v>
      </c>
      <c r="B284" s="174" t="s">
        <v>14</v>
      </c>
      <c r="C284" s="174" t="s">
        <v>381</v>
      </c>
      <c r="D284" s="174" t="s">
        <v>743</v>
      </c>
      <c r="E284" s="174" t="s">
        <v>757</v>
      </c>
      <c r="F284" s="174" t="s">
        <v>840</v>
      </c>
      <c r="G284" s="174" t="s">
        <v>841</v>
      </c>
      <c r="H284" s="174" t="s">
        <v>842</v>
      </c>
      <c r="I284" s="174" t="s">
        <v>17</v>
      </c>
      <c r="J284" s="174" t="s">
        <v>816</v>
      </c>
      <c r="K284" s="174" t="s">
        <v>174</v>
      </c>
      <c r="L284" s="177">
        <v>44140</v>
      </c>
      <c r="M284" s="174">
        <v>23</v>
      </c>
      <c r="N284" s="179">
        <v>4.5999999999999996</v>
      </c>
      <c r="O284" s="174" t="s">
        <v>20</v>
      </c>
      <c r="P284" s="174">
        <v>99</v>
      </c>
    </row>
    <row r="285" spans="1:16" s="174" customFormat="1" ht="35" hidden="1" customHeight="1">
      <c r="A285" s="174">
        <f>ROW()-3</f>
        <v>282</v>
      </c>
      <c r="B285" s="174" t="s">
        <v>14</v>
      </c>
      <c r="C285" s="174" t="s">
        <v>381</v>
      </c>
      <c r="D285" s="174" t="s">
        <v>382</v>
      </c>
      <c r="E285" s="174" t="s">
        <v>732</v>
      </c>
      <c r="F285" s="174" t="s">
        <v>843</v>
      </c>
      <c r="G285" s="174" t="s">
        <v>844</v>
      </c>
      <c r="H285" s="174" t="s">
        <v>845</v>
      </c>
      <c r="I285" s="174" t="s">
        <v>17</v>
      </c>
      <c r="J285" s="174" t="s">
        <v>39</v>
      </c>
      <c r="K285" s="174" t="s">
        <v>25</v>
      </c>
      <c r="L285" s="177">
        <v>44154</v>
      </c>
      <c r="M285" s="174">
        <v>10</v>
      </c>
      <c r="N285" s="179">
        <v>9.5</v>
      </c>
      <c r="O285" s="174" t="s">
        <v>20</v>
      </c>
      <c r="P285" s="174">
        <v>599</v>
      </c>
    </row>
    <row r="286" spans="1:16" s="174" customFormat="1" ht="35" hidden="1" customHeight="1">
      <c r="A286" s="174">
        <f>ROW()-3</f>
        <v>283</v>
      </c>
      <c r="B286" s="174" t="s">
        <v>14</v>
      </c>
      <c r="C286" s="174" t="s">
        <v>381</v>
      </c>
      <c r="D286" s="174" t="s">
        <v>736</v>
      </c>
      <c r="E286" s="174" t="s">
        <v>732</v>
      </c>
      <c r="F286" s="174" t="s">
        <v>846</v>
      </c>
      <c r="G286" s="174" t="s">
        <v>847</v>
      </c>
      <c r="H286" s="174" t="s">
        <v>848</v>
      </c>
      <c r="I286" s="174" t="s">
        <v>29</v>
      </c>
      <c r="J286" s="174" t="s">
        <v>39</v>
      </c>
      <c r="K286" s="174" t="s">
        <v>25</v>
      </c>
      <c r="L286" s="177">
        <v>44175</v>
      </c>
      <c r="M286" s="174">
        <v>22</v>
      </c>
      <c r="N286" s="179">
        <v>5.5</v>
      </c>
      <c r="O286" s="174" t="s">
        <v>20</v>
      </c>
      <c r="P286" s="174">
        <v>99</v>
      </c>
    </row>
    <row r="287" spans="1:16" s="174" customFormat="1" ht="35" hidden="1" customHeight="1">
      <c r="A287" s="174">
        <f>ROW()-3</f>
        <v>284</v>
      </c>
      <c r="B287" s="174" t="s">
        <v>14</v>
      </c>
      <c r="C287" s="174" t="s">
        <v>381</v>
      </c>
      <c r="D287" s="174" t="s">
        <v>382</v>
      </c>
      <c r="E287" s="174" t="s">
        <v>732</v>
      </c>
      <c r="F287" s="174" t="s">
        <v>849</v>
      </c>
      <c r="G287" s="174" t="s">
        <v>850</v>
      </c>
      <c r="H287" s="174" t="s">
        <v>449</v>
      </c>
      <c r="I287" s="174" t="s">
        <v>29</v>
      </c>
      <c r="J287" s="174" t="s">
        <v>39</v>
      </c>
      <c r="K287" s="174" t="s">
        <v>25</v>
      </c>
      <c r="L287" s="177">
        <v>44189</v>
      </c>
      <c r="M287" s="174">
        <v>31</v>
      </c>
      <c r="N287" s="179">
        <v>6.2</v>
      </c>
      <c r="O287" s="174" t="s">
        <v>20</v>
      </c>
      <c r="P287" s="174">
        <v>199</v>
      </c>
    </row>
    <row r="288" spans="1:16" s="174" customFormat="1" ht="35" hidden="1" customHeight="1">
      <c r="A288" s="174">
        <f>ROW()-3</f>
        <v>285</v>
      </c>
      <c r="B288" s="174" t="s">
        <v>14</v>
      </c>
      <c r="C288" s="174" t="s">
        <v>381</v>
      </c>
      <c r="D288" s="174" t="s">
        <v>773</v>
      </c>
      <c r="E288" s="174" t="s">
        <v>732</v>
      </c>
      <c r="F288" s="174" t="s">
        <v>851</v>
      </c>
      <c r="G288" s="174" t="s">
        <v>852</v>
      </c>
      <c r="H288" s="174" t="s">
        <v>787</v>
      </c>
      <c r="I288" s="174" t="s">
        <v>29</v>
      </c>
      <c r="J288" s="174" t="s">
        <v>18</v>
      </c>
      <c r="K288" s="174" t="s">
        <v>19</v>
      </c>
      <c r="L288" s="177">
        <v>44195</v>
      </c>
      <c r="M288" s="174">
        <v>84</v>
      </c>
      <c r="N288" s="179">
        <v>14.1</v>
      </c>
      <c r="O288" s="174" t="s">
        <v>20</v>
      </c>
      <c r="P288" s="174">
        <v>199</v>
      </c>
    </row>
    <row r="289" spans="1:16" s="174" customFormat="1" ht="35" hidden="1" customHeight="1">
      <c r="A289" s="174">
        <f>ROW()-3</f>
        <v>286</v>
      </c>
      <c r="B289" s="174" t="s">
        <v>14</v>
      </c>
      <c r="C289" s="174" t="s">
        <v>381</v>
      </c>
      <c r="D289" s="174" t="s">
        <v>382</v>
      </c>
      <c r="E289" s="174" t="s">
        <v>757</v>
      </c>
      <c r="F289" s="174" t="s">
        <v>853</v>
      </c>
      <c r="G289" s="174" t="s">
        <v>854</v>
      </c>
      <c r="H289" s="174" t="s">
        <v>855</v>
      </c>
      <c r="I289" s="174" t="s">
        <v>29</v>
      </c>
      <c r="J289" s="174" t="s">
        <v>24</v>
      </c>
      <c r="K289" s="174" t="s">
        <v>25</v>
      </c>
      <c r="L289" s="177">
        <v>44263</v>
      </c>
      <c r="M289" s="174">
        <v>68</v>
      </c>
      <c r="N289" s="179">
        <v>4.5</v>
      </c>
      <c r="O289" s="174" t="s">
        <v>30</v>
      </c>
      <c r="P289" s="174">
        <v>99</v>
      </c>
    </row>
    <row r="290" spans="1:16" s="174" customFormat="1" ht="35" hidden="1" customHeight="1">
      <c r="A290" s="174">
        <f>ROW()-3</f>
        <v>287</v>
      </c>
      <c r="B290" s="174" t="s">
        <v>14</v>
      </c>
      <c r="C290" s="174" t="s">
        <v>381</v>
      </c>
      <c r="D290" s="174" t="s">
        <v>382</v>
      </c>
      <c r="E290" s="174" t="s">
        <v>739</v>
      </c>
      <c r="F290" s="174" t="s">
        <v>856</v>
      </c>
      <c r="G290" s="174" t="s">
        <v>857</v>
      </c>
      <c r="H290" s="174" t="s">
        <v>858</v>
      </c>
      <c r="I290" s="174" t="s">
        <v>29</v>
      </c>
      <c r="J290" s="174" t="s">
        <v>39</v>
      </c>
      <c r="K290" s="174" t="s">
        <v>25</v>
      </c>
      <c r="L290" s="177">
        <v>44292</v>
      </c>
      <c r="M290" s="174">
        <v>44</v>
      </c>
      <c r="N290" s="179">
        <v>0.6</v>
      </c>
      <c r="O290" s="174" t="s">
        <v>30</v>
      </c>
      <c r="P290" s="174">
        <v>99</v>
      </c>
    </row>
    <row r="291" spans="1:16" s="174" customFormat="1" ht="35" hidden="1" customHeight="1">
      <c r="A291" s="174">
        <f>ROW()-3</f>
        <v>288</v>
      </c>
      <c r="B291" s="174" t="s">
        <v>14</v>
      </c>
      <c r="C291" s="174" t="s">
        <v>381</v>
      </c>
      <c r="D291" s="174" t="s">
        <v>382</v>
      </c>
      <c r="E291" s="174" t="s">
        <v>739</v>
      </c>
      <c r="F291" s="174" t="s">
        <v>859</v>
      </c>
      <c r="G291" s="174" t="s">
        <v>860</v>
      </c>
      <c r="H291" s="174" t="s">
        <v>861</v>
      </c>
      <c r="I291" s="174" t="s">
        <v>29</v>
      </c>
      <c r="J291" s="174" t="s">
        <v>39</v>
      </c>
      <c r="K291" s="174" t="s">
        <v>25</v>
      </c>
      <c r="L291" s="177">
        <v>44292</v>
      </c>
      <c r="M291" s="174">
        <v>51</v>
      </c>
      <c r="N291" s="179">
        <v>25.5</v>
      </c>
      <c r="O291" s="174" t="s">
        <v>30</v>
      </c>
      <c r="P291" s="174">
        <v>199</v>
      </c>
    </row>
    <row r="292" spans="1:16" s="174" customFormat="1" ht="35" hidden="1" customHeight="1">
      <c r="A292" s="174">
        <f>ROW()-3</f>
        <v>289</v>
      </c>
      <c r="B292" s="174" t="s">
        <v>14</v>
      </c>
      <c r="C292" s="174" t="s">
        <v>381</v>
      </c>
      <c r="D292" s="174" t="s">
        <v>773</v>
      </c>
      <c r="E292" s="174" t="s">
        <v>757</v>
      </c>
      <c r="F292" s="174" t="s">
        <v>862</v>
      </c>
      <c r="G292" s="174" t="s">
        <v>863</v>
      </c>
      <c r="H292" s="174" t="s">
        <v>864</v>
      </c>
      <c r="I292" s="174" t="s">
        <v>29</v>
      </c>
      <c r="J292" s="174" t="s">
        <v>24</v>
      </c>
      <c r="K292" s="174" t="s">
        <v>25</v>
      </c>
      <c r="L292" s="177">
        <v>44298</v>
      </c>
      <c r="M292" s="174">
        <v>37</v>
      </c>
      <c r="N292" s="179">
        <v>4.16</v>
      </c>
      <c r="O292" s="174" t="s">
        <v>30</v>
      </c>
      <c r="P292" s="174">
        <v>99</v>
      </c>
    </row>
    <row r="293" spans="1:16" s="174" customFormat="1" ht="35" hidden="1" customHeight="1">
      <c r="A293" s="174">
        <f>ROW()-3</f>
        <v>290</v>
      </c>
      <c r="B293" s="174" t="s">
        <v>14</v>
      </c>
      <c r="C293" s="174" t="s">
        <v>381</v>
      </c>
      <c r="D293" s="174" t="s">
        <v>736</v>
      </c>
      <c r="E293" s="174" t="s">
        <v>732</v>
      </c>
      <c r="F293" s="174" t="s">
        <v>865</v>
      </c>
      <c r="G293" s="174" t="s">
        <v>866</v>
      </c>
      <c r="H293" s="174" t="s">
        <v>867</v>
      </c>
      <c r="I293" s="174" t="s">
        <v>29</v>
      </c>
      <c r="J293" s="174" t="s">
        <v>868</v>
      </c>
      <c r="K293" s="174" t="s">
        <v>868</v>
      </c>
      <c r="L293" s="177">
        <v>44307</v>
      </c>
      <c r="M293" s="174">
        <v>29</v>
      </c>
      <c r="N293" s="179">
        <v>1.8</v>
      </c>
      <c r="O293" s="174" t="s">
        <v>30</v>
      </c>
      <c r="P293" s="174">
        <v>129</v>
      </c>
    </row>
    <row r="294" spans="1:16" s="174" customFormat="1" ht="35" hidden="1" customHeight="1">
      <c r="A294" s="174">
        <f>ROW()-3</f>
        <v>291</v>
      </c>
      <c r="B294" s="174" t="s">
        <v>14</v>
      </c>
      <c r="C294" s="174" t="s">
        <v>381</v>
      </c>
      <c r="D294" s="174" t="s">
        <v>382</v>
      </c>
      <c r="E294" s="174" t="s">
        <v>732</v>
      </c>
      <c r="F294" s="174" t="s">
        <v>869</v>
      </c>
      <c r="G294" s="174" t="s">
        <v>870</v>
      </c>
      <c r="H294" s="174" t="s">
        <v>871</v>
      </c>
      <c r="I294" s="174" t="s">
        <v>29</v>
      </c>
      <c r="J294" s="174" t="s">
        <v>34</v>
      </c>
      <c r="K294" s="174" t="s">
        <v>63</v>
      </c>
      <c r="L294" s="177">
        <v>44356</v>
      </c>
      <c r="M294" s="174">
        <v>12</v>
      </c>
      <c r="N294" s="179">
        <v>2.6</v>
      </c>
      <c r="O294" s="174" t="s">
        <v>20</v>
      </c>
      <c r="P294" s="174">
        <v>99</v>
      </c>
    </row>
    <row r="295" spans="1:16" s="174" customFormat="1" ht="35" hidden="1" customHeight="1">
      <c r="A295" s="174">
        <f>ROW()-3</f>
        <v>292</v>
      </c>
      <c r="B295" s="174" t="s">
        <v>14</v>
      </c>
      <c r="C295" s="174" t="s">
        <v>381</v>
      </c>
      <c r="D295" s="174" t="s">
        <v>736</v>
      </c>
      <c r="E295" s="174" t="s">
        <v>739</v>
      </c>
      <c r="F295" s="174" t="s">
        <v>872</v>
      </c>
      <c r="G295" s="174" t="s">
        <v>873</v>
      </c>
      <c r="H295" s="174" t="s">
        <v>16</v>
      </c>
      <c r="I295" s="174" t="s">
        <v>17</v>
      </c>
      <c r="J295" s="174" t="s">
        <v>39</v>
      </c>
      <c r="K295" s="174" t="s">
        <v>25</v>
      </c>
      <c r="L295" s="177">
        <v>44357</v>
      </c>
      <c r="M295" s="174">
        <v>24</v>
      </c>
      <c r="N295" s="179">
        <v>6.66</v>
      </c>
      <c r="O295" s="174" t="s">
        <v>30</v>
      </c>
      <c r="P295" s="174">
        <v>199</v>
      </c>
    </row>
    <row r="296" spans="1:16" s="174" customFormat="1" ht="35" hidden="1" customHeight="1">
      <c r="A296" s="174">
        <f>ROW()-3</f>
        <v>293</v>
      </c>
      <c r="B296" s="174" t="s">
        <v>14</v>
      </c>
      <c r="C296" s="174" t="s">
        <v>381</v>
      </c>
      <c r="D296" s="174" t="s">
        <v>773</v>
      </c>
      <c r="E296" s="174" t="s">
        <v>732</v>
      </c>
      <c r="F296" s="174" t="s">
        <v>874</v>
      </c>
      <c r="G296" s="174" t="s">
        <v>875</v>
      </c>
      <c r="H296" s="174" t="s">
        <v>876</v>
      </c>
      <c r="I296" s="174" t="s">
        <v>29</v>
      </c>
      <c r="J296" s="174" t="s">
        <v>34</v>
      </c>
      <c r="K296" s="174" t="s">
        <v>19</v>
      </c>
      <c r="L296" s="177">
        <v>44358</v>
      </c>
      <c r="M296" s="174">
        <v>89</v>
      </c>
      <c r="N296" s="179">
        <v>13.35</v>
      </c>
      <c r="O296" s="174" t="s">
        <v>20</v>
      </c>
      <c r="P296" s="174">
        <v>99</v>
      </c>
    </row>
    <row r="297" spans="1:16" s="174" customFormat="1" ht="35" hidden="1" customHeight="1">
      <c r="A297" s="174">
        <f>ROW()-3</f>
        <v>294</v>
      </c>
      <c r="B297" s="174" t="s">
        <v>14</v>
      </c>
      <c r="C297" s="174" t="s">
        <v>381</v>
      </c>
      <c r="D297" s="174" t="s">
        <v>736</v>
      </c>
      <c r="E297" s="174" t="s">
        <v>2684</v>
      </c>
      <c r="F297" s="174" t="s">
        <v>2679</v>
      </c>
      <c r="G297" s="174" t="s">
        <v>878</v>
      </c>
      <c r="H297" s="174" t="s">
        <v>879</v>
      </c>
      <c r="I297" s="174" t="s">
        <v>29</v>
      </c>
      <c r="J297" s="174" t="s">
        <v>816</v>
      </c>
      <c r="K297" s="174" t="s">
        <v>174</v>
      </c>
      <c r="L297" s="177">
        <v>44410</v>
      </c>
      <c r="M297" s="174">
        <v>14</v>
      </c>
      <c r="N297" s="179">
        <v>1.1000000000000001</v>
      </c>
      <c r="O297" s="174" t="s">
        <v>20</v>
      </c>
      <c r="P297" s="174">
        <v>199</v>
      </c>
    </row>
    <row r="298" spans="1:16" s="174" customFormat="1" ht="35" hidden="1" customHeight="1">
      <c r="A298" s="174">
        <f>ROW()-3</f>
        <v>295</v>
      </c>
      <c r="B298" s="174" t="s">
        <v>14</v>
      </c>
      <c r="C298" s="174" t="s">
        <v>381</v>
      </c>
      <c r="D298" s="174" t="s">
        <v>773</v>
      </c>
      <c r="E298" s="174" t="s">
        <v>739</v>
      </c>
      <c r="F298" s="174" t="s">
        <v>2507</v>
      </c>
      <c r="G298" s="174" t="s">
        <v>880</v>
      </c>
      <c r="H298" s="174" t="s">
        <v>45</v>
      </c>
      <c r="I298" s="174" t="s">
        <v>29</v>
      </c>
      <c r="J298" s="174" t="s">
        <v>18</v>
      </c>
      <c r="K298" s="174" t="s">
        <v>19</v>
      </c>
      <c r="L298" s="177">
        <v>44449</v>
      </c>
      <c r="M298" s="174">
        <v>10</v>
      </c>
      <c r="N298" s="179">
        <v>1.6</v>
      </c>
      <c r="O298" s="174" t="s">
        <v>30</v>
      </c>
      <c r="P298" s="174">
        <v>168</v>
      </c>
    </row>
    <row r="299" spans="1:16" s="174" customFormat="1" ht="35" hidden="1" customHeight="1">
      <c r="A299" s="174">
        <f>ROW()-3</f>
        <v>296</v>
      </c>
      <c r="B299" s="174" t="s">
        <v>14</v>
      </c>
      <c r="C299" s="174" t="s">
        <v>381</v>
      </c>
      <c r="D299" s="174" t="s">
        <v>743</v>
      </c>
      <c r="E299" s="174" t="s">
        <v>732</v>
      </c>
      <c r="F299" s="174" t="s">
        <v>881</v>
      </c>
      <c r="G299" s="174" t="s">
        <v>882</v>
      </c>
      <c r="H299" s="174" t="s">
        <v>883</v>
      </c>
      <c r="I299" s="174" t="s">
        <v>29</v>
      </c>
      <c r="J299" s="174" t="s">
        <v>39</v>
      </c>
      <c r="K299" s="174" t="s">
        <v>25</v>
      </c>
      <c r="L299" s="177">
        <v>44457</v>
      </c>
      <c r="M299" s="174">
        <v>18</v>
      </c>
      <c r="N299" s="179">
        <v>4.5</v>
      </c>
      <c r="O299" s="174" t="s">
        <v>20</v>
      </c>
      <c r="P299" s="174">
        <v>12.99</v>
      </c>
    </row>
    <row r="300" spans="1:16" s="174" customFormat="1" ht="35" hidden="1" customHeight="1">
      <c r="A300" s="174">
        <f>ROW()-3</f>
        <v>297</v>
      </c>
      <c r="B300" s="174" t="s">
        <v>14</v>
      </c>
      <c r="C300" s="174" t="s">
        <v>381</v>
      </c>
      <c r="D300" s="174" t="s">
        <v>382</v>
      </c>
      <c r="E300" s="174" t="s">
        <v>732</v>
      </c>
      <c r="F300" s="174" t="s">
        <v>884</v>
      </c>
      <c r="G300" s="174" t="s">
        <v>885</v>
      </c>
      <c r="H300" s="174" t="s">
        <v>886</v>
      </c>
      <c r="I300" s="174" t="s">
        <v>29</v>
      </c>
      <c r="J300" s="174" t="s">
        <v>39</v>
      </c>
      <c r="K300" s="174" t="s">
        <v>25</v>
      </c>
      <c r="L300" s="177">
        <v>44467</v>
      </c>
      <c r="M300" s="174">
        <v>18</v>
      </c>
      <c r="N300" s="179">
        <v>3</v>
      </c>
      <c r="O300" s="174" t="s">
        <v>30</v>
      </c>
      <c r="P300" s="174">
        <v>169</v>
      </c>
    </row>
    <row r="301" spans="1:16" s="174" customFormat="1" ht="35" hidden="1" customHeight="1">
      <c r="A301" s="174">
        <f>ROW()-3</f>
        <v>298</v>
      </c>
      <c r="B301" s="174" t="s">
        <v>14</v>
      </c>
      <c r="C301" s="174" t="s">
        <v>381</v>
      </c>
      <c r="D301" s="174" t="s">
        <v>743</v>
      </c>
      <c r="E301" s="174" t="s">
        <v>757</v>
      </c>
      <c r="F301" s="174" t="s">
        <v>887</v>
      </c>
      <c r="G301" s="174" t="s">
        <v>888</v>
      </c>
      <c r="H301" s="174" t="s">
        <v>822</v>
      </c>
      <c r="I301" s="174" t="s">
        <v>17</v>
      </c>
      <c r="J301" s="174" t="s">
        <v>39</v>
      </c>
      <c r="K301" s="174" t="s">
        <v>25</v>
      </c>
      <c r="L301" s="177">
        <v>44487</v>
      </c>
      <c r="M301" s="174">
        <v>12</v>
      </c>
      <c r="N301" s="179">
        <v>1.6</v>
      </c>
      <c r="O301" s="174" t="s">
        <v>20</v>
      </c>
      <c r="P301" s="174">
        <v>69</v>
      </c>
    </row>
    <row r="302" spans="1:16" s="174" customFormat="1" ht="35" hidden="1" customHeight="1">
      <c r="A302" s="174">
        <f>ROW()-3</f>
        <v>299</v>
      </c>
      <c r="B302" s="174" t="s">
        <v>14</v>
      </c>
      <c r="C302" s="174" t="s">
        <v>381</v>
      </c>
      <c r="D302" s="174" t="s">
        <v>381</v>
      </c>
      <c r="E302" s="174" t="s">
        <v>743</v>
      </c>
      <c r="F302" s="174" t="s">
        <v>889</v>
      </c>
      <c r="G302" s="174" t="s">
        <v>890</v>
      </c>
      <c r="H302" s="174" t="s">
        <v>891</v>
      </c>
      <c r="I302" s="174" t="s">
        <v>29</v>
      </c>
      <c r="J302" s="174" t="s">
        <v>39</v>
      </c>
      <c r="K302" s="174" t="s">
        <v>25</v>
      </c>
      <c r="L302" s="177">
        <v>44502</v>
      </c>
      <c r="M302" s="174">
        <v>21</v>
      </c>
      <c r="N302" s="179">
        <v>3.5</v>
      </c>
      <c r="O302" s="174" t="s">
        <v>20</v>
      </c>
      <c r="P302" s="174">
        <v>99</v>
      </c>
    </row>
    <row r="303" spans="1:16" s="174" customFormat="1" ht="35" hidden="1" customHeight="1">
      <c r="A303" s="174">
        <f>ROW()-3</f>
        <v>300</v>
      </c>
      <c r="B303" s="174" t="s">
        <v>14</v>
      </c>
      <c r="C303" s="174" t="s">
        <v>381</v>
      </c>
      <c r="D303" s="174" t="s">
        <v>381</v>
      </c>
      <c r="E303" s="174" t="s">
        <v>779</v>
      </c>
      <c r="F303" s="174" t="s">
        <v>892</v>
      </c>
      <c r="G303" s="174" t="s">
        <v>892</v>
      </c>
      <c r="H303" s="174" t="s">
        <v>893</v>
      </c>
      <c r="I303" s="174" t="s">
        <v>29</v>
      </c>
      <c r="J303" s="174" t="s">
        <v>39</v>
      </c>
      <c r="K303" s="174" t="s">
        <v>25</v>
      </c>
      <c r="L303" s="177">
        <v>44509</v>
      </c>
      <c r="M303" s="174">
        <v>13</v>
      </c>
      <c r="N303" s="179">
        <v>2.1</v>
      </c>
      <c r="O303" s="174" t="s">
        <v>30</v>
      </c>
      <c r="P303" s="174">
        <v>99</v>
      </c>
    </row>
    <row r="304" spans="1:16" s="174" customFormat="1" ht="35" hidden="1" customHeight="1">
      <c r="A304" s="174">
        <f>ROW()-3</f>
        <v>301</v>
      </c>
      <c r="B304" s="174" t="s">
        <v>14</v>
      </c>
      <c r="C304" s="174" t="s">
        <v>381</v>
      </c>
      <c r="D304" s="174" t="s">
        <v>381</v>
      </c>
      <c r="E304" s="174" t="s">
        <v>894</v>
      </c>
      <c r="F304" s="174" t="s">
        <v>895</v>
      </c>
      <c r="G304" s="174" t="s">
        <v>895</v>
      </c>
      <c r="H304" s="174" t="s">
        <v>896</v>
      </c>
      <c r="I304" s="174" t="s">
        <v>17</v>
      </c>
      <c r="J304" s="174" t="s">
        <v>39</v>
      </c>
      <c r="K304" s="174" t="s">
        <v>93</v>
      </c>
      <c r="L304" s="177">
        <v>44517</v>
      </c>
      <c r="M304" s="174">
        <v>25</v>
      </c>
      <c r="N304" s="179">
        <v>8.3000000000000007</v>
      </c>
      <c r="O304" s="174" t="s">
        <v>30</v>
      </c>
      <c r="P304" s="174">
        <v>99</v>
      </c>
    </row>
    <row r="305" spans="1:45" s="174" customFormat="1" ht="35" hidden="1" customHeight="1">
      <c r="A305" s="174">
        <f>ROW()-3</f>
        <v>302</v>
      </c>
      <c r="B305" s="174" t="s">
        <v>14</v>
      </c>
      <c r="C305" s="174" t="s">
        <v>381</v>
      </c>
      <c r="D305" s="174" t="s">
        <v>736</v>
      </c>
      <c r="E305" s="174" t="s">
        <v>757</v>
      </c>
      <c r="F305" s="174" t="s">
        <v>897</v>
      </c>
      <c r="G305" s="174" t="s">
        <v>897</v>
      </c>
      <c r="H305" s="174" t="s">
        <v>898</v>
      </c>
      <c r="I305" s="174" t="s">
        <v>17</v>
      </c>
      <c r="J305" s="174" t="s">
        <v>39</v>
      </c>
      <c r="K305" s="174" t="s">
        <v>19</v>
      </c>
      <c r="L305" s="177">
        <v>44519</v>
      </c>
      <c r="M305" s="174">
        <v>22</v>
      </c>
      <c r="N305" s="179">
        <v>4.5819444440000003</v>
      </c>
      <c r="O305" s="174" t="s">
        <v>20</v>
      </c>
      <c r="P305" s="174">
        <v>399</v>
      </c>
    </row>
    <row r="306" spans="1:45" s="174" customFormat="1" ht="35" hidden="1" customHeight="1">
      <c r="A306" s="174">
        <f>ROW()-3</f>
        <v>303</v>
      </c>
      <c r="B306" s="174" t="s">
        <v>14</v>
      </c>
      <c r="C306" s="174" t="s">
        <v>381</v>
      </c>
      <c r="D306" s="174" t="s">
        <v>736</v>
      </c>
      <c r="E306" s="174" t="s">
        <v>732</v>
      </c>
      <c r="F306" s="174" t="s">
        <v>899</v>
      </c>
      <c r="G306" s="174" t="s">
        <v>899</v>
      </c>
      <c r="H306" s="174" t="s">
        <v>900</v>
      </c>
      <c r="I306" s="174" t="s">
        <v>17</v>
      </c>
      <c r="J306" s="174" t="s">
        <v>39</v>
      </c>
      <c r="K306" s="174" t="s">
        <v>63</v>
      </c>
      <c r="L306" s="177">
        <v>44519</v>
      </c>
      <c r="M306" s="174">
        <v>32</v>
      </c>
      <c r="N306" s="179">
        <v>4.0077777780000003</v>
      </c>
      <c r="O306" s="174" t="s">
        <v>20</v>
      </c>
      <c r="P306" s="174">
        <v>99</v>
      </c>
    </row>
    <row r="307" spans="1:45" s="174" customFormat="1" ht="35" hidden="1" customHeight="1">
      <c r="A307" s="174">
        <f>ROW()-3</f>
        <v>304</v>
      </c>
      <c r="B307" s="174" t="s">
        <v>14</v>
      </c>
      <c r="C307" s="174" t="s">
        <v>381</v>
      </c>
      <c r="D307" s="174" t="s">
        <v>736</v>
      </c>
      <c r="E307" s="174" t="s">
        <v>739</v>
      </c>
      <c r="F307" s="174" t="s">
        <v>901</v>
      </c>
      <c r="G307" s="174" t="s">
        <v>901</v>
      </c>
      <c r="H307" s="174" t="s">
        <v>900</v>
      </c>
      <c r="I307" s="174" t="s">
        <v>17</v>
      </c>
      <c r="J307" s="174" t="s">
        <v>39</v>
      </c>
      <c r="K307" s="174" t="s">
        <v>93</v>
      </c>
      <c r="L307" s="177">
        <v>44519</v>
      </c>
      <c r="M307" s="174">
        <v>46</v>
      </c>
      <c r="N307" s="179">
        <v>6.9136111109999998</v>
      </c>
      <c r="O307" s="174" t="s">
        <v>20</v>
      </c>
      <c r="P307" s="174">
        <v>199</v>
      </c>
    </row>
    <row r="308" spans="1:45" s="174" customFormat="1" ht="35" hidden="1" customHeight="1">
      <c r="A308" s="174">
        <f>ROW()-3</f>
        <v>305</v>
      </c>
      <c r="B308" s="174" t="s">
        <v>14</v>
      </c>
      <c r="C308" s="174" t="s">
        <v>381</v>
      </c>
      <c r="D308" s="174" t="s">
        <v>736</v>
      </c>
      <c r="E308" s="174" t="s">
        <v>732</v>
      </c>
      <c r="F308" s="174" t="s">
        <v>902</v>
      </c>
      <c r="G308" s="174" t="s">
        <v>902</v>
      </c>
      <c r="H308" s="174" t="s">
        <v>16</v>
      </c>
      <c r="I308" s="174" t="s">
        <v>29</v>
      </c>
      <c r="J308" s="174" t="s">
        <v>39</v>
      </c>
      <c r="K308" s="174" t="s">
        <v>25</v>
      </c>
      <c r="L308" s="177">
        <v>44531</v>
      </c>
      <c r="M308" s="174">
        <v>16</v>
      </c>
      <c r="N308" s="179">
        <v>3.2</v>
      </c>
      <c r="O308" s="174" t="s">
        <v>20</v>
      </c>
      <c r="P308" s="174">
        <v>99</v>
      </c>
    </row>
    <row r="309" spans="1:45" s="174" customFormat="1" ht="35" hidden="1" customHeight="1">
      <c r="A309" s="174">
        <f>ROW()-3</f>
        <v>306</v>
      </c>
      <c r="B309" s="174" t="s">
        <v>14</v>
      </c>
      <c r="C309" s="174" t="s">
        <v>381</v>
      </c>
      <c r="D309" s="174" t="s">
        <v>779</v>
      </c>
      <c r="E309" s="174" t="s">
        <v>757</v>
      </c>
      <c r="F309" s="174" t="s">
        <v>903</v>
      </c>
      <c r="G309" s="174" t="s">
        <v>903</v>
      </c>
      <c r="H309" s="174" t="s">
        <v>904</v>
      </c>
      <c r="I309" s="174" t="s">
        <v>29</v>
      </c>
      <c r="J309" s="174" t="s">
        <v>39</v>
      </c>
      <c r="K309" s="174" t="s">
        <v>25</v>
      </c>
      <c r="L309" s="177">
        <v>44531</v>
      </c>
      <c r="M309" s="174">
        <v>28</v>
      </c>
      <c r="N309" s="179">
        <v>4.5999999999999996</v>
      </c>
      <c r="O309" s="174" t="s">
        <v>30</v>
      </c>
      <c r="P309" s="174">
        <v>99</v>
      </c>
    </row>
    <row r="310" spans="1:45" s="174" customFormat="1" ht="35" hidden="1" customHeight="1">
      <c r="A310" s="174">
        <f>ROW()-3</f>
        <v>307</v>
      </c>
      <c r="B310" s="174" t="s">
        <v>14</v>
      </c>
      <c r="C310" s="174" t="s">
        <v>381</v>
      </c>
      <c r="D310" s="174" t="s">
        <v>779</v>
      </c>
      <c r="E310" s="174" t="s">
        <v>757</v>
      </c>
      <c r="F310" s="174" t="s">
        <v>905</v>
      </c>
      <c r="G310" s="174" t="s">
        <v>905</v>
      </c>
      <c r="H310" s="174" t="s">
        <v>900</v>
      </c>
      <c r="I310" s="174" t="s">
        <v>17</v>
      </c>
      <c r="J310" s="174" t="s">
        <v>39</v>
      </c>
      <c r="K310" s="174" t="s">
        <v>25</v>
      </c>
      <c r="L310" s="177">
        <v>44531</v>
      </c>
      <c r="M310" s="174">
        <v>24</v>
      </c>
      <c r="N310" s="179">
        <v>4</v>
      </c>
      <c r="O310" s="174" t="s">
        <v>30</v>
      </c>
      <c r="P310" s="174">
        <v>199</v>
      </c>
    </row>
    <row r="311" spans="1:45" s="174" customFormat="1" ht="35" hidden="1" customHeight="1">
      <c r="A311" s="174">
        <f>ROW()-3</f>
        <v>308</v>
      </c>
      <c r="B311" s="174" t="s">
        <v>14</v>
      </c>
      <c r="C311" s="174" t="s">
        <v>381</v>
      </c>
      <c r="D311" s="174" t="s">
        <v>779</v>
      </c>
      <c r="E311" s="174" t="s">
        <v>2685</v>
      </c>
      <c r="F311" s="174" t="s">
        <v>906</v>
      </c>
      <c r="G311" s="174" t="s">
        <v>907</v>
      </c>
      <c r="H311" s="174" t="s">
        <v>908</v>
      </c>
      <c r="I311" s="174" t="s">
        <v>29</v>
      </c>
      <c r="J311" s="174" t="s">
        <v>39</v>
      </c>
      <c r="K311" s="174" t="s">
        <v>25</v>
      </c>
      <c r="L311" s="177">
        <v>44531</v>
      </c>
      <c r="M311" s="174">
        <v>20</v>
      </c>
      <c r="N311" s="179">
        <v>3.3</v>
      </c>
      <c r="O311" s="174" t="s">
        <v>20</v>
      </c>
      <c r="P311" s="174">
        <v>19.899999999999999</v>
      </c>
    </row>
    <row r="312" spans="1:45" s="174" customFormat="1" ht="35" hidden="1" customHeight="1">
      <c r="A312" s="174">
        <f>ROW()-3</f>
        <v>309</v>
      </c>
      <c r="B312" s="174" t="s">
        <v>14</v>
      </c>
      <c r="C312" s="174" t="s">
        <v>381</v>
      </c>
      <c r="D312" s="174" t="s">
        <v>761</v>
      </c>
      <c r="E312" s="174" t="s">
        <v>2684</v>
      </c>
      <c r="F312" s="174" t="s">
        <v>2681</v>
      </c>
      <c r="G312" s="174" t="s">
        <v>910</v>
      </c>
      <c r="H312" s="174" t="s">
        <v>911</v>
      </c>
      <c r="I312" s="174" t="s">
        <v>17</v>
      </c>
      <c r="J312" s="174" t="s">
        <v>816</v>
      </c>
      <c r="K312" s="174" t="s">
        <v>174</v>
      </c>
      <c r="L312" s="177">
        <v>44531</v>
      </c>
      <c r="M312" s="174">
        <v>34</v>
      </c>
      <c r="N312" s="179">
        <v>8.5</v>
      </c>
      <c r="O312" s="174" t="s">
        <v>30</v>
      </c>
      <c r="P312" s="174">
        <v>169</v>
      </c>
    </row>
    <row r="313" spans="1:45" s="174" customFormat="1" ht="35" hidden="1" customHeight="1">
      <c r="A313" s="174">
        <f>ROW()-3</f>
        <v>310</v>
      </c>
      <c r="B313" s="174" t="s">
        <v>14</v>
      </c>
      <c r="C313" s="174" t="s">
        <v>381</v>
      </c>
      <c r="D313" s="174" t="s">
        <v>736</v>
      </c>
      <c r="E313" s="174" t="s">
        <v>2686</v>
      </c>
      <c r="F313" s="174" t="s">
        <v>2680</v>
      </c>
      <c r="G313" s="174" t="s">
        <v>912</v>
      </c>
      <c r="H313" s="174" t="s">
        <v>913</v>
      </c>
      <c r="I313" s="174" t="s">
        <v>29</v>
      </c>
      <c r="J313" s="174" t="s">
        <v>816</v>
      </c>
      <c r="K313" s="174" t="s">
        <v>174</v>
      </c>
      <c r="L313" s="177">
        <v>44531</v>
      </c>
      <c r="M313" s="174">
        <v>33</v>
      </c>
      <c r="N313" s="179">
        <v>5.5</v>
      </c>
      <c r="O313" s="174" t="s">
        <v>20</v>
      </c>
      <c r="P313" s="174">
        <v>199</v>
      </c>
    </row>
    <row r="314" spans="1:45" s="174" customFormat="1" ht="35" hidden="1" customHeight="1">
      <c r="A314" s="174">
        <f>ROW()-3</f>
        <v>311</v>
      </c>
      <c r="B314" s="174" t="s">
        <v>14</v>
      </c>
      <c r="C314" s="174" t="s">
        <v>381</v>
      </c>
      <c r="D314" s="174" t="s">
        <v>736</v>
      </c>
      <c r="E314" s="174" t="s">
        <v>739</v>
      </c>
      <c r="F314" s="174" t="s">
        <v>914</v>
      </c>
      <c r="G314" s="174" t="s">
        <v>914</v>
      </c>
      <c r="H314" s="174" t="s">
        <v>2508</v>
      </c>
      <c r="I314" s="174" t="s">
        <v>29</v>
      </c>
      <c r="J314" s="174" t="s">
        <v>34</v>
      </c>
      <c r="K314" s="174" t="s">
        <v>35</v>
      </c>
      <c r="L314" s="177">
        <v>44531</v>
      </c>
      <c r="M314" s="174">
        <v>24</v>
      </c>
      <c r="N314" s="179">
        <v>4.0308333333333337</v>
      </c>
      <c r="O314" s="174" t="s">
        <v>20</v>
      </c>
    </row>
    <row r="315" spans="1:45" s="174" customFormat="1" ht="35" hidden="1" customHeight="1">
      <c r="A315" s="174">
        <f>ROW()-3</f>
        <v>312</v>
      </c>
      <c r="B315" s="174" t="s">
        <v>14</v>
      </c>
      <c r="C315" s="174" t="s">
        <v>381</v>
      </c>
      <c r="D315" s="174" t="s">
        <v>736</v>
      </c>
      <c r="E315" s="174" t="s">
        <v>2685</v>
      </c>
      <c r="F315" s="174" t="s">
        <v>915</v>
      </c>
      <c r="G315" s="174" t="s">
        <v>915</v>
      </c>
      <c r="H315" s="174" t="s">
        <v>599</v>
      </c>
      <c r="I315" s="174" t="s">
        <v>17</v>
      </c>
      <c r="J315" s="174" t="s">
        <v>816</v>
      </c>
      <c r="K315" s="174" t="s">
        <v>174</v>
      </c>
      <c r="L315" s="177">
        <v>44550</v>
      </c>
      <c r="M315" s="174">
        <v>8</v>
      </c>
      <c r="N315" s="179">
        <v>1.3</v>
      </c>
      <c r="O315" s="174" t="s">
        <v>30</v>
      </c>
      <c r="P315" s="174">
        <v>128</v>
      </c>
    </row>
    <row r="316" spans="1:45" s="174" customFormat="1" ht="35" hidden="1" customHeight="1">
      <c r="A316" s="174">
        <f>ROW()-3</f>
        <v>313</v>
      </c>
      <c r="B316" s="174" t="s">
        <v>14</v>
      </c>
      <c r="C316" s="174" t="s">
        <v>381</v>
      </c>
      <c r="D316" s="174" t="s">
        <v>736</v>
      </c>
      <c r="E316" s="174" t="s">
        <v>757</v>
      </c>
      <c r="F316" s="174" t="s">
        <v>916</v>
      </c>
      <c r="G316" s="174" t="s">
        <v>916</v>
      </c>
      <c r="H316" s="174" t="s">
        <v>917</v>
      </c>
      <c r="I316" s="174" t="s">
        <v>29</v>
      </c>
      <c r="J316" s="174" t="s">
        <v>816</v>
      </c>
      <c r="K316" s="174" t="s">
        <v>174</v>
      </c>
      <c r="L316" s="177">
        <v>44550</v>
      </c>
      <c r="M316" s="174">
        <v>11</v>
      </c>
      <c r="N316" s="179">
        <v>2.2000000000000002</v>
      </c>
      <c r="O316" s="174" t="s">
        <v>30</v>
      </c>
      <c r="P316" s="174">
        <v>129</v>
      </c>
    </row>
    <row r="317" spans="1:45" s="174" customFormat="1" ht="35" hidden="1" customHeight="1">
      <c r="A317" s="174">
        <f>ROW()-3</f>
        <v>314</v>
      </c>
      <c r="B317" s="174" t="s">
        <v>14</v>
      </c>
      <c r="C317" s="174" t="s">
        <v>381</v>
      </c>
      <c r="D317" s="174" t="s">
        <v>382</v>
      </c>
      <c r="E317" s="174" t="s">
        <v>732</v>
      </c>
      <c r="F317" s="174" t="s">
        <v>918</v>
      </c>
      <c r="G317" s="174" t="s">
        <v>918</v>
      </c>
      <c r="H317" s="174" t="s">
        <v>2509</v>
      </c>
      <c r="I317" s="174" t="s">
        <v>17</v>
      </c>
      <c r="J317" s="174" t="s">
        <v>39</v>
      </c>
      <c r="K317" s="174" t="s">
        <v>63</v>
      </c>
      <c r="L317" s="177">
        <v>44563</v>
      </c>
      <c r="M317" s="174">
        <v>14</v>
      </c>
      <c r="N317" s="179">
        <v>3.1819444444444445</v>
      </c>
      <c r="O317" s="174" t="s">
        <v>20</v>
      </c>
    </row>
    <row r="318" spans="1:45" s="174" customFormat="1" ht="35" hidden="1" customHeight="1">
      <c r="A318" s="174">
        <f>ROW()-3</f>
        <v>315</v>
      </c>
      <c r="B318" s="174" t="s">
        <v>14</v>
      </c>
      <c r="C318" s="174" t="s">
        <v>381</v>
      </c>
      <c r="D318" s="174" t="s">
        <v>382</v>
      </c>
      <c r="E318" s="174" t="s">
        <v>739</v>
      </c>
      <c r="F318" s="174" t="s">
        <v>919</v>
      </c>
      <c r="G318" s="174" t="s">
        <v>919</v>
      </c>
      <c r="H318" s="174" t="s">
        <v>807</v>
      </c>
      <c r="I318" s="174" t="s">
        <v>17</v>
      </c>
      <c r="J318" s="174" t="s">
        <v>39</v>
      </c>
      <c r="K318" s="174" t="s">
        <v>2662</v>
      </c>
      <c r="L318" s="177">
        <v>44575</v>
      </c>
      <c r="M318" s="174">
        <v>31</v>
      </c>
      <c r="N318" s="179">
        <v>7.0583333330000002</v>
      </c>
      <c r="O318" s="174" t="s">
        <v>20</v>
      </c>
      <c r="P318" s="174">
        <v>218</v>
      </c>
    </row>
    <row r="319" spans="1:45" s="174" customFormat="1" ht="35" hidden="1" customHeight="1">
      <c r="A319" s="174">
        <f>ROW()-3</f>
        <v>316</v>
      </c>
      <c r="B319" s="174" t="s">
        <v>5353</v>
      </c>
      <c r="C319" s="174" t="s">
        <v>2636</v>
      </c>
      <c r="D319" s="174" t="s">
        <v>5342</v>
      </c>
      <c r="E319" s="174" t="s">
        <v>5343</v>
      </c>
      <c r="F319" s="174" t="s">
        <v>5344</v>
      </c>
      <c r="G319" s="174" t="s">
        <v>5344</v>
      </c>
      <c r="H319" s="174" t="s">
        <v>5345</v>
      </c>
      <c r="I319" s="174" t="s">
        <v>5341</v>
      </c>
      <c r="J319" s="174" t="s">
        <v>24</v>
      </c>
      <c r="K319" s="174" t="s">
        <v>25</v>
      </c>
      <c r="L319" s="177">
        <v>44599</v>
      </c>
      <c r="M319" s="181">
        <v>8</v>
      </c>
      <c r="N319" s="179">
        <v>0.9</v>
      </c>
      <c r="O319" s="181" t="s">
        <v>20</v>
      </c>
      <c r="P319" s="181">
        <v>128</v>
      </c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</row>
    <row r="320" spans="1:45" s="174" customFormat="1" ht="35" hidden="1" customHeight="1">
      <c r="A320" s="181">
        <f>ROW()-3</f>
        <v>317</v>
      </c>
      <c r="B320" s="181" t="s">
        <v>5611</v>
      </c>
      <c r="C320" s="181" t="s">
        <v>5632</v>
      </c>
      <c r="D320" s="181" t="s">
        <v>779</v>
      </c>
      <c r="E320" s="181" t="s">
        <v>757</v>
      </c>
      <c r="F320" s="181" t="s">
        <v>5620</v>
      </c>
      <c r="G320" s="181" t="s">
        <v>5620</v>
      </c>
      <c r="H320" s="181" t="s">
        <v>5621</v>
      </c>
      <c r="I320" s="181" t="s">
        <v>17</v>
      </c>
      <c r="J320" s="181" t="s">
        <v>5618</v>
      </c>
      <c r="K320" s="181" t="s">
        <v>5619</v>
      </c>
      <c r="L320" s="177">
        <v>44620</v>
      </c>
      <c r="M320" s="181">
        <v>14</v>
      </c>
      <c r="N320" s="179">
        <v>4.4800000000000004</v>
      </c>
      <c r="O320" s="181" t="s">
        <v>20</v>
      </c>
      <c r="P320" s="181">
        <v>89</v>
      </c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81"/>
      <c r="AG320" s="181"/>
      <c r="AH320" s="181"/>
      <c r="AI320" s="181"/>
      <c r="AJ320" s="181"/>
      <c r="AK320" s="181"/>
      <c r="AL320" s="181"/>
      <c r="AM320" s="181"/>
      <c r="AN320" s="181"/>
      <c r="AO320" s="181"/>
      <c r="AP320" s="181"/>
      <c r="AQ320" s="181"/>
      <c r="AR320" s="181"/>
      <c r="AS320" s="181"/>
    </row>
    <row r="321" spans="1:45" s="174" customFormat="1" ht="35" hidden="1" customHeight="1">
      <c r="A321" s="181">
        <f>ROW()-3</f>
        <v>318</v>
      </c>
      <c r="B321" s="181" t="s">
        <v>5611</v>
      </c>
      <c r="C321" s="181" t="s">
        <v>5632</v>
      </c>
      <c r="D321" s="181" t="s">
        <v>779</v>
      </c>
      <c r="E321" s="181" t="s">
        <v>732</v>
      </c>
      <c r="F321" s="181" t="s">
        <v>5612</v>
      </c>
      <c r="G321" s="181" t="s">
        <v>5622</v>
      </c>
      <c r="H321" s="181" t="s">
        <v>5623</v>
      </c>
      <c r="I321" s="181" t="s">
        <v>17</v>
      </c>
      <c r="J321" s="181" t="s">
        <v>5618</v>
      </c>
      <c r="K321" s="181" t="s">
        <v>5619</v>
      </c>
      <c r="L321" s="177">
        <v>44620</v>
      </c>
      <c r="M321" s="181">
        <v>4</v>
      </c>
      <c r="N321" s="179">
        <v>0.5</v>
      </c>
      <c r="O321" s="181" t="s">
        <v>20</v>
      </c>
      <c r="P321" s="181">
        <v>64</v>
      </c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  <c r="AE321" s="181"/>
      <c r="AF321" s="181"/>
      <c r="AG321" s="181"/>
      <c r="AH321" s="181"/>
      <c r="AI321" s="181"/>
      <c r="AJ321" s="181"/>
      <c r="AK321" s="181"/>
      <c r="AL321" s="181"/>
      <c r="AM321" s="181"/>
      <c r="AN321" s="181"/>
      <c r="AO321" s="181"/>
      <c r="AP321" s="181"/>
      <c r="AQ321" s="181"/>
      <c r="AR321" s="181"/>
      <c r="AS321" s="181"/>
    </row>
    <row r="322" spans="1:45" s="174" customFormat="1" ht="35" customHeight="1">
      <c r="A322" s="174">
        <f>ROW()-3</f>
        <v>319</v>
      </c>
      <c r="B322" s="174" t="s">
        <v>14</v>
      </c>
      <c r="C322" s="174" t="s">
        <v>83</v>
      </c>
      <c r="D322" s="174" t="s">
        <v>84</v>
      </c>
      <c r="E322" s="174" t="s">
        <v>85</v>
      </c>
      <c r="F322" s="174" t="s">
        <v>86</v>
      </c>
      <c r="G322" s="174" t="s">
        <v>87</v>
      </c>
      <c r="H322" s="174" t="s">
        <v>88</v>
      </c>
      <c r="I322" s="174" t="s">
        <v>29</v>
      </c>
      <c r="J322" s="174" t="s">
        <v>34</v>
      </c>
      <c r="K322" s="174" t="s">
        <v>53</v>
      </c>
      <c r="L322" s="177">
        <v>43227</v>
      </c>
      <c r="M322" s="174">
        <v>33</v>
      </c>
      <c r="N322" s="179">
        <v>4.63</v>
      </c>
      <c r="O322" s="174" t="s">
        <v>20</v>
      </c>
      <c r="P322" s="174">
        <v>58</v>
      </c>
      <c r="Q322" s="181"/>
    </row>
    <row r="323" spans="1:45" s="174" customFormat="1" ht="35" customHeight="1">
      <c r="A323" s="174">
        <f>ROW()-3</f>
        <v>320</v>
      </c>
      <c r="B323" s="174" t="s">
        <v>14</v>
      </c>
      <c r="C323" s="174" t="s">
        <v>83</v>
      </c>
      <c r="D323" s="174" t="s">
        <v>84</v>
      </c>
      <c r="E323" s="174" t="s">
        <v>94</v>
      </c>
      <c r="F323" s="174" t="s">
        <v>5543</v>
      </c>
      <c r="G323" s="174" t="s">
        <v>1499</v>
      </c>
      <c r="H323" s="174" t="s">
        <v>5480</v>
      </c>
      <c r="I323" s="174" t="s">
        <v>29</v>
      </c>
      <c r="J323" s="174" t="s">
        <v>24</v>
      </c>
      <c r="K323" s="174" t="s">
        <v>93</v>
      </c>
      <c r="L323" s="177">
        <v>43238</v>
      </c>
      <c r="M323" s="174">
        <v>63</v>
      </c>
      <c r="N323" s="179">
        <v>33.6</v>
      </c>
      <c r="O323" s="174" t="s">
        <v>20</v>
      </c>
      <c r="P323" s="180">
        <v>89</v>
      </c>
    </row>
    <row r="324" spans="1:45" s="174" customFormat="1" ht="35" customHeight="1">
      <c r="A324" s="174">
        <f>ROW()-3</f>
        <v>321</v>
      </c>
      <c r="B324" s="174" t="s">
        <v>14</v>
      </c>
      <c r="C324" s="174" t="s">
        <v>83</v>
      </c>
      <c r="D324" s="174" t="s">
        <v>84</v>
      </c>
      <c r="E324" s="174" t="s">
        <v>2478</v>
      </c>
      <c r="F324" s="174" t="s">
        <v>2479</v>
      </c>
      <c r="G324" s="174" t="s">
        <v>2480</v>
      </c>
      <c r="H324" s="174" t="s">
        <v>167</v>
      </c>
      <c r="I324" s="174" t="s">
        <v>29</v>
      </c>
      <c r="J324" s="174" t="s">
        <v>34</v>
      </c>
      <c r="K324" s="174" t="s">
        <v>34</v>
      </c>
      <c r="L324" s="177">
        <v>43238</v>
      </c>
      <c r="M324" s="174">
        <v>215</v>
      </c>
      <c r="N324" s="179">
        <v>32.700000000000003</v>
      </c>
      <c r="O324" s="174" t="s">
        <v>89</v>
      </c>
      <c r="P324" s="180">
        <v>0</v>
      </c>
      <c r="Q324" s="181"/>
    </row>
    <row r="325" spans="1:45" s="174" customFormat="1" ht="35" customHeight="1">
      <c r="A325" s="174">
        <f>ROW()-3</f>
        <v>322</v>
      </c>
      <c r="B325" s="174" t="s">
        <v>14</v>
      </c>
      <c r="C325" s="174" t="s">
        <v>83</v>
      </c>
      <c r="D325" s="174" t="s">
        <v>220</v>
      </c>
      <c r="E325" s="174" t="s">
        <v>2481</v>
      </c>
      <c r="F325" s="174" t="s">
        <v>90</v>
      </c>
      <c r="G325" s="174" t="s">
        <v>91</v>
      </c>
      <c r="H325" s="174" t="s">
        <v>92</v>
      </c>
      <c r="I325" s="174" t="s">
        <v>29</v>
      </c>
      <c r="J325" s="174" t="s">
        <v>24</v>
      </c>
      <c r="K325" s="174" t="s">
        <v>93</v>
      </c>
      <c r="L325" s="177">
        <v>43238</v>
      </c>
      <c r="M325" s="174">
        <v>22</v>
      </c>
      <c r="N325" s="179">
        <v>6.01</v>
      </c>
      <c r="O325" s="174" t="s">
        <v>20</v>
      </c>
      <c r="P325" s="174">
        <v>399</v>
      </c>
      <c r="Q325" s="181"/>
    </row>
    <row r="326" spans="1:45" s="174" customFormat="1" ht="35" customHeight="1">
      <c r="A326" s="174">
        <f>ROW()-3</f>
        <v>323</v>
      </c>
      <c r="B326" s="174" t="s">
        <v>14</v>
      </c>
      <c r="C326" s="174" t="s">
        <v>83</v>
      </c>
      <c r="D326" s="174" t="s">
        <v>84</v>
      </c>
      <c r="E326" s="174" t="s">
        <v>94</v>
      </c>
      <c r="F326" s="174" t="s">
        <v>95</v>
      </c>
      <c r="G326" s="174" t="s">
        <v>96</v>
      </c>
      <c r="H326" s="174" t="s">
        <v>97</v>
      </c>
      <c r="I326" s="174" t="s">
        <v>29</v>
      </c>
      <c r="J326" s="174" t="s">
        <v>34</v>
      </c>
      <c r="K326" s="174" t="s">
        <v>98</v>
      </c>
      <c r="L326" s="177">
        <v>43238</v>
      </c>
      <c r="M326" s="174">
        <v>19</v>
      </c>
      <c r="N326" s="179">
        <v>2.27</v>
      </c>
      <c r="O326" s="174" t="s">
        <v>20</v>
      </c>
      <c r="P326" s="174">
        <v>49</v>
      </c>
    </row>
    <row r="327" spans="1:45" s="174" customFormat="1" ht="35" customHeight="1">
      <c r="A327" s="174">
        <f>ROW()-3</f>
        <v>324</v>
      </c>
      <c r="B327" s="174" t="s">
        <v>14</v>
      </c>
      <c r="C327" s="174" t="s">
        <v>83</v>
      </c>
      <c r="D327" s="174" t="s">
        <v>84</v>
      </c>
      <c r="E327" s="174" t="s">
        <v>94</v>
      </c>
      <c r="F327" s="174" t="s">
        <v>99</v>
      </c>
      <c r="G327" s="174" t="s">
        <v>100</v>
      </c>
      <c r="H327" s="174" t="s">
        <v>101</v>
      </c>
      <c r="I327" s="174" t="s">
        <v>29</v>
      </c>
      <c r="J327" s="174" t="s">
        <v>34</v>
      </c>
      <c r="K327" s="174" t="s">
        <v>98</v>
      </c>
      <c r="L327" s="177">
        <v>43238</v>
      </c>
      <c r="M327" s="174">
        <v>38</v>
      </c>
      <c r="N327" s="179">
        <v>8.06</v>
      </c>
      <c r="O327" s="174" t="s">
        <v>20</v>
      </c>
      <c r="P327" s="174">
        <v>99</v>
      </c>
    </row>
    <row r="328" spans="1:45" s="174" customFormat="1" ht="35" customHeight="1">
      <c r="A328" s="174">
        <f>ROW()-3</f>
        <v>325</v>
      </c>
      <c r="B328" s="174" t="s">
        <v>14</v>
      </c>
      <c r="C328" s="174" t="s">
        <v>83</v>
      </c>
      <c r="D328" s="174" t="s">
        <v>84</v>
      </c>
      <c r="E328" s="174" t="s">
        <v>102</v>
      </c>
      <c r="F328" s="174" t="s">
        <v>103</v>
      </c>
      <c r="G328" s="174" t="s">
        <v>104</v>
      </c>
      <c r="H328" s="174" t="s">
        <v>105</v>
      </c>
      <c r="I328" s="174" t="s">
        <v>29</v>
      </c>
      <c r="J328" s="174" t="s">
        <v>34</v>
      </c>
      <c r="K328" s="174" t="s">
        <v>98</v>
      </c>
      <c r="L328" s="177">
        <v>43238</v>
      </c>
      <c r="M328" s="174">
        <v>24</v>
      </c>
      <c r="N328" s="179">
        <v>4.1500000000000004</v>
      </c>
      <c r="O328" s="174" t="s">
        <v>20</v>
      </c>
      <c r="P328" s="174">
        <v>68</v>
      </c>
    </row>
    <row r="329" spans="1:45" s="174" customFormat="1" ht="35" customHeight="1">
      <c r="A329" s="174">
        <f>ROW()-3</f>
        <v>326</v>
      </c>
      <c r="B329" s="174" t="s">
        <v>14</v>
      </c>
      <c r="C329" s="174" t="s">
        <v>83</v>
      </c>
      <c r="D329" s="174" t="s">
        <v>106</v>
      </c>
      <c r="E329" s="174" t="s">
        <v>107</v>
      </c>
      <c r="F329" s="174" t="s">
        <v>108</v>
      </c>
      <c r="G329" s="174" t="s">
        <v>109</v>
      </c>
      <c r="H329" s="174" t="s">
        <v>110</v>
      </c>
      <c r="I329" s="174" t="s">
        <v>29</v>
      </c>
      <c r="J329" s="174" t="s">
        <v>34</v>
      </c>
      <c r="K329" s="174" t="s">
        <v>35</v>
      </c>
      <c r="L329" s="177">
        <v>43238</v>
      </c>
      <c r="M329" s="174">
        <v>17</v>
      </c>
      <c r="N329" s="179">
        <v>5.42</v>
      </c>
      <c r="O329" s="174" t="s">
        <v>20</v>
      </c>
      <c r="P329" s="174">
        <v>198</v>
      </c>
    </row>
    <row r="330" spans="1:45" s="174" customFormat="1" ht="35" customHeight="1">
      <c r="A330" s="174">
        <f>ROW()-3</f>
        <v>327</v>
      </c>
      <c r="B330" s="174" t="s">
        <v>14</v>
      </c>
      <c r="C330" s="174" t="s">
        <v>83</v>
      </c>
      <c r="D330" s="174" t="s">
        <v>84</v>
      </c>
      <c r="E330" s="174" t="s">
        <v>111</v>
      </c>
      <c r="F330" s="174" t="s">
        <v>112</v>
      </c>
      <c r="G330" s="174" t="s">
        <v>113</v>
      </c>
      <c r="H330" s="174" t="s">
        <v>114</v>
      </c>
      <c r="I330" s="174" t="s">
        <v>29</v>
      </c>
      <c r="J330" s="174" t="s">
        <v>34</v>
      </c>
      <c r="K330" s="174" t="s">
        <v>98</v>
      </c>
      <c r="L330" s="177">
        <v>43238</v>
      </c>
      <c r="M330" s="174">
        <v>29</v>
      </c>
      <c r="N330" s="179">
        <v>5.74</v>
      </c>
      <c r="O330" s="174" t="s">
        <v>20</v>
      </c>
      <c r="P330" s="174">
        <v>99</v>
      </c>
    </row>
    <row r="331" spans="1:45" s="174" customFormat="1" ht="35" customHeight="1">
      <c r="A331" s="174">
        <f>ROW()-3</f>
        <v>328</v>
      </c>
      <c r="B331" s="174" t="s">
        <v>14</v>
      </c>
      <c r="C331" s="174" t="s">
        <v>83</v>
      </c>
      <c r="D331" s="174" t="s">
        <v>106</v>
      </c>
      <c r="E331" s="174" t="s">
        <v>115</v>
      </c>
      <c r="F331" s="174" t="s">
        <v>116</v>
      </c>
      <c r="G331" s="174" t="s">
        <v>117</v>
      </c>
      <c r="H331" s="174" t="s">
        <v>118</v>
      </c>
      <c r="I331" s="174" t="s">
        <v>29</v>
      </c>
      <c r="J331" s="174" t="s">
        <v>34</v>
      </c>
      <c r="K331" s="174" t="s">
        <v>53</v>
      </c>
      <c r="L331" s="177">
        <v>43238</v>
      </c>
      <c r="M331" s="174">
        <v>150</v>
      </c>
      <c r="N331" s="179">
        <v>17.7</v>
      </c>
      <c r="O331" s="174" t="s">
        <v>20</v>
      </c>
      <c r="P331" s="174">
        <v>99</v>
      </c>
    </row>
    <row r="332" spans="1:45" s="174" customFormat="1" ht="35" customHeight="1">
      <c r="A332" s="174">
        <f>ROW()-3</f>
        <v>329</v>
      </c>
      <c r="B332" s="174" t="s">
        <v>14</v>
      </c>
      <c r="C332" s="174" t="s">
        <v>83</v>
      </c>
      <c r="D332" s="174" t="s">
        <v>119</v>
      </c>
      <c r="E332" s="174" t="s">
        <v>120</v>
      </c>
      <c r="F332" s="174" t="s">
        <v>121</v>
      </c>
      <c r="G332" s="174" t="s">
        <v>122</v>
      </c>
      <c r="H332" s="174" t="s">
        <v>123</v>
      </c>
      <c r="I332" s="174" t="s">
        <v>29</v>
      </c>
      <c r="J332" s="174" t="s">
        <v>34</v>
      </c>
      <c r="K332" s="174" t="s">
        <v>19</v>
      </c>
      <c r="L332" s="177">
        <v>43238</v>
      </c>
      <c r="M332" s="174">
        <v>170</v>
      </c>
      <c r="N332" s="179">
        <v>44.02</v>
      </c>
      <c r="O332" s="174" t="s">
        <v>20</v>
      </c>
      <c r="P332" s="174">
        <v>199</v>
      </c>
    </row>
    <row r="333" spans="1:45" s="174" customFormat="1" ht="35" customHeight="1">
      <c r="A333" s="174">
        <f>ROW()-3</f>
        <v>330</v>
      </c>
      <c r="B333" s="174" t="s">
        <v>14</v>
      </c>
      <c r="C333" s="174" t="s">
        <v>83</v>
      </c>
      <c r="D333" s="174" t="s">
        <v>119</v>
      </c>
      <c r="E333" s="174" t="s">
        <v>120</v>
      </c>
      <c r="F333" s="174" t="s">
        <v>124</v>
      </c>
      <c r="G333" s="174" t="s">
        <v>125</v>
      </c>
      <c r="H333" s="174" t="s">
        <v>126</v>
      </c>
      <c r="I333" s="174" t="s">
        <v>29</v>
      </c>
      <c r="J333" s="174" t="s">
        <v>34</v>
      </c>
      <c r="K333" s="174" t="s">
        <v>19</v>
      </c>
      <c r="L333" s="177">
        <v>43238</v>
      </c>
      <c r="M333" s="174">
        <v>111</v>
      </c>
      <c r="N333" s="179">
        <v>45.14</v>
      </c>
      <c r="O333" s="174" t="s">
        <v>20</v>
      </c>
      <c r="P333" s="174">
        <v>199</v>
      </c>
    </row>
    <row r="334" spans="1:45" s="174" customFormat="1" ht="35" customHeight="1">
      <c r="A334" s="174">
        <f>ROW()-3</f>
        <v>331</v>
      </c>
      <c r="B334" s="174" t="s">
        <v>14</v>
      </c>
      <c r="C334" s="174" t="s">
        <v>83</v>
      </c>
      <c r="D334" s="174" t="s">
        <v>119</v>
      </c>
      <c r="E334" s="174" t="s">
        <v>127</v>
      </c>
      <c r="F334" s="174" t="s">
        <v>128</v>
      </c>
      <c r="G334" s="174" t="s">
        <v>129</v>
      </c>
      <c r="H334" s="174" t="s">
        <v>130</v>
      </c>
      <c r="I334" s="174" t="s">
        <v>29</v>
      </c>
      <c r="J334" s="174" t="s">
        <v>34</v>
      </c>
      <c r="K334" s="174" t="s">
        <v>19</v>
      </c>
      <c r="L334" s="177">
        <v>43238</v>
      </c>
      <c r="M334" s="174">
        <v>33</v>
      </c>
      <c r="N334" s="179">
        <v>8.91</v>
      </c>
      <c r="O334" s="174" t="s">
        <v>20</v>
      </c>
      <c r="P334" s="174">
        <v>49.9</v>
      </c>
    </row>
    <row r="335" spans="1:45" s="174" customFormat="1" ht="35" customHeight="1">
      <c r="A335" s="174">
        <f>ROW()-3</f>
        <v>332</v>
      </c>
      <c r="B335" s="174" t="s">
        <v>14</v>
      </c>
      <c r="C335" s="174" t="s">
        <v>83</v>
      </c>
      <c r="D335" s="174" t="s">
        <v>119</v>
      </c>
      <c r="E335" s="174" t="s">
        <v>120</v>
      </c>
      <c r="F335" s="174" t="s">
        <v>131</v>
      </c>
      <c r="G335" s="174" t="s">
        <v>132</v>
      </c>
      <c r="H335" s="174" t="s">
        <v>133</v>
      </c>
      <c r="I335" s="174" t="s">
        <v>29</v>
      </c>
      <c r="J335" s="174" t="s">
        <v>34</v>
      </c>
      <c r="K335" s="174" t="s">
        <v>19</v>
      </c>
      <c r="L335" s="177">
        <v>43238</v>
      </c>
      <c r="M335" s="174">
        <v>66</v>
      </c>
      <c r="N335" s="179">
        <v>24.18</v>
      </c>
      <c r="O335" s="174" t="s">
        <v>20</v>
      </c>
      <c r="P335" s="174">
        <v>128</v>
      </c>
    </row>
    <row r="336" spans="1:45" s="174" customFormat="1" ht="35" customHeight="1">
      <c r="A336" s="174">
        <f>ROW()-3</f>
        <v>333</v>
      </c>
      <c r="B336" s="174" t="s">
        <v>14</v>
      </c>
      <c r="C336" s="174" t="s">
        <v>83</v>
      </c>
      <c r="D336" s="174" t="s">
        <v>119</v>
      </c>
      <c r="E336" s="174" t="s">
        <v>120</v>
      </c>
      <c r="F336" s="174" t="s">
        <v>134</v>
      </c>
      <c r="G336" s="174" t="s">
        <v>135</v>
      </c>
      <c r="H336" s="174" t="s">
        <v>136</v>
      </c>
      <c r="I336" s="174" t="s">
        <v>29</v>
      </c>
      <c r="J336" s="174" t="s">
        <v>34</v>
      </c>
      <c r="K336" s="174" t="s">
        <v>19</v>
      </c>
      <c r="L336" s="177">
        <v>43238</v>
      </c>
      <c r="M336" s="174">
        <v>233</v>
      </c>
      <c r="N336" s="179">
        <v>58.25</v>
      </c>
      <c r="O336" s="174" t="s">
        <v>20</v>
      </c>
      <c r="P336" s="174">
        <v>168</v>
      </c>
    </row>
    <row r="337" spans="1:16" s="174" customFormat="1" ht="35" customHeight="1">
      <c r="A337" s="174">
        <f>ROW()-3</f>
        <v>334</v>
      </c>
      <c r="B337" s="174" t="s">
        <v>14</v>
      </c>
      <c r="C337" s="174" t="s">
        <v>83</v>
      </c>
      <c r="D337" s="174" t="s">
        <v>119</v>
      </c>
      <c r="E337" s="174" t="s">
        <v>120</v>
      </c>
      <c r="F337" s="174" t="s">
        <v>137</v>
      </c>
      <c r="G337" s="174" t="s">
        <v>138</v>
      </c>
      <c r="H337" s="174" t="s">
        <v>139</v>
      </c>
      <c r="I337" s="174" t="s">
        <v>29</v>
      </c>
      <c r="J337" s="174" t="s">
        <v>34</v>
      </c>
      <c r="K337" s="174" t="s">
        <v>93</v>
      </c>
      <c r="L337" s="177">
        <v>43262</v>
      </c>
      <c r="M337" s="174">
        <v>157</v>
      </c>
      <c r="N337" s="179">
        <v>52.91</v>
      </c>
      <c r="O337" s="174" t="s">
        <v>20</v>
      </c>
      <c r="P337" s="174">
        <v>199</v>
      </c>
    </row>
    <row r="338" spans="1:16" s="174" customFormat="1" ht="35" customHeight="1">
      <c r="A338" s="174">
        <f>ROW()-3</f>
        <v>335</v>
      </c>
      <c r="B338" s="174" t="s">
        <v>14</v>
      </c>
      <c r="C338" s="174" t="s">
        <v>83</v>
      </c>
      <c r="D338" s="174" t="s">
        <v>119</v>
      </c>
      <c r="E338" s="174" t="s">
        <v>120</v>
      </c>
      <c r="F338" s="174" t="s">
        <v>140</v>
      </c>
      <c r="G338" s="174" t="s">
        <v>141</v>
      </c>
      <c r="H338" s="174" t="s">
        <v>142</v>
      </c>
      <c r="I338" s="174" t="s">
        <v>29</v>
      </c>
      <c r="J338" s="174" t="s">
        <v>34</v>
      </c>
      <c r="K338" s="174" t="s">
        <v>19</v>
      </c>
      <c r="L338" s="177">
        <v>43294</v>
      </c>
      <c r="M338" s="174">
        <v>18</v>
      </c>
      <c r="N338" s="179">
        <v>3.84</v>
      </c>
      <c r="O338" s="174" t="s">
        <v>20</v>
      </c>
      <c r="P338" s="174">
        <v>39</v>
      </c>
    </row>
    <row r="339" spans="1:16" s="174" customFormat="1" ht="35" customHeight="1">
      <c r="A339" s="174">
        <f>ROW()-3</f>
        <v>336</v>
      </c>
      <c r="B339" s="174" t="s">
        <v>14</v>
      </c>
      <c r="C339" s="174" t="s">
        <v>83</v>
      </c>
      <c r="D339" s="174" t="s">
        <v>119</v>
      </c>
      <c r="E339" s="174" t="s">
        <v>120</v>
      </c>
      <c r="F339" s="174" t="s">
        <v>143</v>
      </c>
      <c r="G339" s="174" t="s">
        <v>144</v>
      </c>
      <c r="H339" s="174" t="s">
        <v>145</v>
      </c>
      <c r="I339" s="174" t="s">
        <v>29</v>
      </c>
      <c r="J339" s="174" t="s">
        <v>34</v>
      </c>
      <c r="K339" s="174" t="s">
        <v>19</v>
      </c>
      <c r="L339" s="177">
        <v>43315</v>
      </c>
      <c r="M339" s="174">
        <v>271</v>
      </c>
      <c r="N339" s="179">
        <v>87.39</v>
      </c>
      <c r="O339" s="174" t="s">
        <v>20</v>
      </c>
      <c r="P339" s="174">
        <v>199</v>
      </c>
    </row>
    <row r="340" spans="1:16" s="174" customFormat="1" ht="35" customHeight="1">
      <c r="A340" s="174">
        <f>ROW()-3</f>
        <v>337</v>
      </c>
      <c r="B340" s="174" t="s">
        <v>14</v>
      </c>
      <c r="C340" s="174" t="s">
        <v>83</v>
      </c>
      <c r="D340" s="174" t="s">
        <v>84</v>
      </c>
      <c r="E340" s="174" t="s">
        <v>111</v>
      </c>
      <c r="F340" s="174" t="s">
        <v>146</v>
      </c>
      <c r="G340" s="174" t="s">
        <v>147</v>
      </c>
      <c r="H340" s="174" t="s">
        <v>114</v>
      </c>
      <c r="I340" s="174" t="s">
        <v>29</v>
      </c>
      <c r="J340" s="174" t="s">
        <v>34</v>
      </c>
      <c r="K340" s="174" t="s">
        <v>98</v>
      </c>
      <c r="L340" s="177">
        <v>43318</v>
      </c>
      <c r="M340" s="174">
        <v>6</v>
      </c>
      <c r="N340" s="179">
        <v>1.02</v>
      </c>
      <c r="O340" s="174" t="s">
        <v>20</v>
      </c>
      <c r="P340" s="174">
        <v>9.9</v>
      </c>
    </row>
    <row r="341" spans="1:16" s="174" customFormat="1" ht="35" customHeight="1">
      <c r="A341" s="174">
        <f>ROW()-3</f>
        <v>338</v>
      </c>
      <c r="B341" s="174" t="s">
        <v>14</v>
      </c>
      <c r="C341" s="174" t="s">
        <v>83</v>
      </c>
      <c r="D341" s="174" t="s">
        <v>106</v>
      </c>
      <c r="E341" s="174" t="s">
        <v>115</v>
      </c>
      <c r="F341" s="174" t="s">
        <v>148</v>
      </c>
      <c r="G341" s="174" t="s">
        <v>149</v>
      </c>
      <c r="H341" s="174" t="s">
        <v>150</v>
      </c>
      <c r="I341" s="174" t="s">
        <v>29</v>
      </c>
      <c r="J341" s="174" t="s">
        <v>34</v>
      </c>
      <c r="K341" s="174" t="s">
        <v>53</v>
      </c>
      <c r="L341" s="177">
        <v>43318</v>
      </c>
      <c r="M341" s="174">
        <v>26</v>
      </c>
      <c r="N341" s="179">
        <v>7.12</v>
      </c>
      <c r="O341" s="174" t="s">
        <v>20</v>
      </c>
      <c r="P341" s="174">
        <v>199</v>
      </c>
    </row>
    <row r="342" spans="1:16" s="174" customFormat="1" ht="35" customHeight="1">
      <c r="A342" s="174">
        <f>ROW()-3</f>
        <v>339</v>
      </c>
      <c r="B342" s="174" t="s">
        <v>14</v>
      </c>
      <c r="C342" s="174" t="s">
        <v>83</v>
      </c>
      <c r="D342" s="174" t="s">
        <v>119</v>
      </c>
      <c r="E342" s="174" t="s">
        <v>120</v>
      </c>
      <c r="F342" s="174" t="s">
        <v>151</v>
      </c>
      <c r="G342" s="174" t="s">
        <v>152</v>
      </c>
      <c r="H342" s="174" t="s">
        <v>153</v>
      </c>
      <c r="I342" s="174" t="s">
        <v>29</v>
      </c>
      <c r="J342" s="174" t="s">
        <v>34</v>
      </c>
      <c r="K342" s="174" t="s">
        <v>154</v>
      </c>
      <c r="L342" s="177">
        <v>43322</v>
      </c>
      <c r="M342" s="174">
        <v>60</v>
      </c>
      <c r="N342" s="179">
        <v>18.71</v>
      </c>
      <c r="O342" s="174" t="s">
        <v>20</v>
      </c>
      <c r="P342" s="174">
        <v>99</v>
      </c>
    </row>
    <row r="343" spans="1:16" s="174" customFormat="1" ht="35" customHeight="1">
      <c r="A343" s="174">
        <f>ROW()-3</f>
        <v>340</v>
      </c>
      <c r="B343" s="174" t="s">
        <v>14</v>
      </c>
      <c r="C343" s="174" t="s">
        <v>83</v>
      </c>
      <c r="D343" s="174" t="s">
        <v>155</v>
      </c>
      <c r="E343" s="174" t="s">
        <v>156</v>
      </c>
      <c r="F343" s="174" t="s">
        <v>157</v>
      </c>
      <c r="G343" s="174" t="s">
        <v>158</v>
      </c>
      <c r="H343" s="174" t="s">
        <v>159</v>
      </c>
      <c r="I343" s="174" t="s">
        <v>29</v>
      </c>
      <c r="J343" s="174" t="s">
        <v>160</v>
      </c>
      <c r="K343" s="174" t="s">
        <v>25</v>
      </c>
      <c r="L343" s="177">
        <v>43329</v>
      </c>
      <c r="M343" s="174">
        <v>177</v>
      </c>
      <c r="N343" s="179">
        <v>40.51</v>
      </c>
      <c r="O343" s="174" t="s">
        <v>20</v>
      </c>
      <c r="P343" s="174">
        <v>199</v>
      </c>
    </row>
    <row r="344" spans="1:16" s="174" customFormat="1" ht="35" customHeight="1">
      <c r="A344" s="174">
        <f>ROW()-3</f>
        <v>341</v>
      </c>
      <c r="B344" s="174" t="s">
        <v>14</v>
      </c>
      <c r="C344" s="174" t="s">
        <v>83</v>
      </c>
      <c r="D344" s="174" t="s">
        <v>119</v>
      </c>
      <c r="E344" s="174" t="s">
        <v>161</v>
      </c>
      <c r="F344" s="174" t="s">
        <v>162</v>
      </c>
      <c r="G344" s="174" t="s">
        <v>163</v>
      </c>
      <c r="H344" s="174" t="s">
        <v>164</v>
      </c>
      <c r="I344" s="174" t="s">
        <v>29</v>
      </c>
      <c r="J344" s="174" t="s">
        <v>34</v>
      </c>
      <c r="K344" s="174" t="s">
        <v>154</v>
      </c>
      <c r="L344" s="177">
        <v>43347</v>
      </c>
      <c r="M344" s="174">
        <v>14</v>
      </c>
      <c r="N344" s="179">
        <v>4.99</v>
      </c>
      <c r="O344" s="174" t="s">
        <v>20</v>
      </c>
      <c r="P344" s="174">
        <v>79</v>
      </c>
    </row>
    <row r="345" spans="1:16" s="174" customFormat="1" ht="35" customHeight="1">
      <c r="A345" s="174">
        <f>ROW()-3</f>
        <v>342</v>
      </c>
      <c r="B345" s="174" t="s">
        <v>14</v>
      </c>
      <c r="C345" s="174" t="s">
        <v>83</v>
      </c>
      <c r="D345" s="174" t="s">
        <v>119</v>
      </c>
      <c r="E345" s="174" t="s">
        <v>127</v>
      </c>
      <c r="F345" s="174" t="s">
        <v>165</v>
      </c>
      <c r="G345" s="174" t="s">
        <v>166</v>
      </c>
      <c r="H345" s="174" t="s">
        <v>167</v>
      </c>
      <c r="I345" s="174" t="s">
        <v>29</v>
      </c>
      <c r="J345" s="174" t="s">
        <v>34</v>
      </c>
      <c r="K345" s="174" t="s">
        <v>53</v>
      </c>
      <c r="L345" s="177">
        <v>43363</v>
      </c>
      <c r="M345" s="174">
        <v>137</v>
      </c>
      <c r="N345" s="179">
        <v>15.44</v>
      </c>
      <c r="O345" s="174" t="s">
        <v>20</v>
      </c>
      <c r="P345" s="174">
        <v>198</v>
      </c>
    </row>
    <row r="346" spans="1:16" s="174" customFormat="1" ht="35" customHeight="1">
      <c r="A346" s="174">
        <f>ROW()-3</f>
        <v>343</v>
      </c>
      <c r="B346" s="174" t="s">
        <v>14</v>
      </c>
      <c r="C346" s="174" t="s">
        <v>83</v>
      </c>
      <c r="D346" s="174" t="s">
        <v>168</v>
      </c>
      <c r="E346" s="174" t="s">
        <v>169</v>
      </c>
      <c r="F346" s="174" t="s">
        <v>170</v>
      </c>
      <c r="G346" s="174" t="s">
        <v>171</v>
      </c>
      <c r="H346" s="174" t="s">
        <v>172</v>
      </c>
      <c r="I346" s="174" t="s">
        <v>29</v>
      </c>
      <c r="J346" s="174" t="s">
        <v>173</v>
      </c>
      <c r="K346" s="174" t="s">
        <v>174</v>
      </c>
      <c r="L346" s="177">
        <v>43368</v>
      </c>
      <c r="M346" s="174">
        <v>33</v>
      </c>
      <c r="N346" s="179">
        <v>6.02</v>
      </c>
      <c r="O346" s="174" t="s">
        <v>20</v>
      </c>
      <c r="P346" s="174">
        <v>99</v>
      </c>
    </row>
    <row r="347" spans="1:16" s="174" customFormat="1" ht="35" customHeight="1">
      <c r="A347" s="174">
        <f>ROW()-3</f>
        <v>344</v>
      </c>
      <c r="B347" s="174" t="s">
        <v>14</v>
      </c>
      <c r="C347" s="174" t="s">
        <v>83</v>
      </c>
      <c r="D347" s="174" t="s">
        <v>119</v>
      </c>
      <c r="E347" s="174" t="s">
        <v>127</v>
      </c>
      <c r="F347" s="174" t="s">
        <v>177</v>
      </c>
      <c r="G347" s="174" t="s">
        <v>178</v>
      </c>
      <c r="H347" s="174" t="s">
        <v>179</v>
      </c>
      <c r="I347" s="174" t="s">
        <v>29</v>
      </c>
      <c r="J347" s="174" t="s">
        <v>34</v>
      </c>
      <c r="K347" s="174" t="s">
        <v>35</v>
      </c>
      <c r="L347" s="177">
        <v>43398</v>
      </c>
      <c r="M347" s="174">
        <v>104</v>
      </c>
      <c r="N347" s="179">
        <v>17.32</v>
      </c>
      <c r="O347" s="174" t="s">
        <v>20</v>
      </c>
      <c r="P347" s="174">
        <v>199</v>
      </c>
    </row>
    <row r="348" spans="1:16" s="174" customFormat="1" ht="35" customHeight="1">
      <c r="A348" s="174">
        <f>ROW()-3</f>
        <v>345</v>
      </c>
      <c r="B348" s="174" t="s">
        <v>14</v>
      </c>
      <c r="C348" s="174" t="s">
        <v>83</v>
      </c>
      <c r="D348" s="174" t="s">
        <v>596</v>
      </c>
      <c r="E348" s="174" t="s">
        <v>180</v>
      </c>
      <c r="F348" s="174" t="s">
        <v>181</v>
      </c>
      <c r="G348" s="174" t="s">
        <v>182</v>
      </c>
      <c r="H348" s="174" t="s">
        <v>183</v>
      </c>
      <c r="I348" s="174" t="s">
        <v>29</v>
      </c>
      <c r="J348" s="174" t="s">
        <v>39</v>
      </c>
      <c r="K348" s="174" t="s">
        <v>25</v>
      </c>
      <c r="L348" s="177">
        <v>43412</v>
      </c>
      <c r="M348" s="174">
        <v>76</v>
      </c>
      <c r="N348" s="179">
        <v>13.19</v>
      </c>
      <c r="O348" s="174" t="s">
        <v>20</v>
      </c>
      <c r="P348" s="174">
        <v>199</v>
      </c>
    </row>
    <row r="349" spans="1:16" s="174" customFormat="1" ht="35" customHeight="1">
      <c r="A349" s="174">
        <f>ROW()-3</f>
        <v>346</v>
      </c>
      <c r="B349" s="174" t="s">
        <v>14</v>
      </c>
      <c r="C349" s="174" t="s">
        <v>83</v>
      </c>
      <c r="D349" s="174" t="s">
        <v>106</v>
      </c>
      <c r="E349" s="174" t="s">
        <v>175</v>
      </c>
      <c r="F349" s="174" t="s">
        <v>184</v>
      </c>
      <c r="G349" s="174" t="s">
        <v>185</v>
      </c>
      <c r="H349" s="174" t="s">
        <v>186</v>
      </c>
      <c r="I349" s="174" t="s">
        <v>17</v>
      </c>
      <c r="J349" s="174" t="s">
        <v>34</v>
      </c>
      <c r="K349" s="174" t="s">
        <v>98</v>
      </c>
      <c r="L349" s="177">
        <v>43417</v>
      </c>
      <c r="M349" s="174">
        <v>34</v>
      </c>
      <c r="N349" s="179">
        <v>3.85</v>
      </c>
      <c r="O349" s="174" t="s">
        <v>20</v>
      </c>
      <c r="P349" s="174">
        <v>99</v>
      </c>
    </row>
    <row r="350" spans="1:16" s="174" customFormat="1" ht="35" customHeight="1">
      <c r="A350" s="174">
        <f>ROW()-3</f>
        <v>347</v>
      </c>
      <c r="B350" s="174" t="s">
        <v>14</v>
      </c>
      <c r="C350" s="174" t="s">
        <v>83</v>
      </c>
      <c r="D350" s="174" t="s">
        <v>187</v>
      </c>
      <c r="E350" s="174" t="s">
        <v>188</v>
      </c>
      <c r="F350" s="174" t="s">
        <v>189</v>
      </c>
      <c r="G350" s="174" t="s">
        <v>190</v>
      </c>
      <c r="H350" s="174" t="s">
        <v>191</v>
      </c>
      <c r="I350" s="174" t="s">
        <v>29</v>
      </c>
      <c r="J350" s="174" t="s">
        <v>34</v>
      </c>
      <c r="K350" s="174" t="s">
        <v>53</v>
      </c>
      <c r="L350" s="177">
        <v>43420</v>
      </c>
      <c r="M350" s="174">
        <v>23</v>
      </c>
      <c r="N350" s="179">
        <v>4.4400000000000004</v>
      </c>
      <c r="O350" s="174" t="s">
        <v>20</v>
      </c>
      <c r="P350" s="174">
        <v>99</v>
      </c>
    </row>
    <row r="351" spans="1:16" s="174" customFormat="1" ht="35" customHeight="1">
      <c r="A351" s="174">
        <f>ROW()-3</f>
        <v>348</v>
      </c>
      <c r="B351" s="174" t="s">
        <v>14</v>
      </c>
      <c r="C351" s="174" t="s">
        <v>83</v>
      </c>
      <c r="D351" s="174" t="s">
        <v>106</v>
      </c>
      <c r="E351" s="174" t="s">
        <v>175</v>
      </c>
      <c r="F351" s="174" t="s">
        <v>192</v>
      </c>
      <c r="G351" s="174" t="s">
        <v>193</v>
      </c>
      <c r="H351" s="174" t="s">
        <v>186</v>
      </c>
      <c r="I351" s="174" t="s">
        <v>17</v>
      </c>
      <c r="J351" s="174" t="s">
        <v>34</v>
      </c>
      <c r="K351" s="174" t="s">
        <v>98</v>
      </c>
      <c r="L351" s="177">
        <v>43426</v>
      </c>
      <c r="M351" s="174">
        <v>18</v>
      </c>
      <c r="N351" s="179">
        <v>6.71</v>
      </c>
      <c r="O351" s="174" t="s">
        <v>20</v>
      </c>
      <c r="P351" s="174">
        <v>99</v>
      </c>
    </row>
    <row r="352" spans="1:16" s="174" customFormat="1" ht="35" customHeight="1">
      <c r="A352" s="174">
        <f>ROW()-3</f>
        <v>349</v>
      </c>
      <c r="B352" s="174" t="s">
        <v>14</v>
      </c>
      <c r="C352" s="174" t="s">
        <v>83</v>
      </c>
      <c r="D352" s="174" t="s">
        <v>106</v>
      </c>
      <c r="E352" s="174" t="s">
        <v>175</v>
      </c>
      <c r="F352" s="174" t="s">
        <v>194</v>
      </c>
      <c r="G352" s="174" t="s">
        <v>195</v>
      </c>
      <c r="H352" s="174" t="s">
        <v>186</v>
      </c>
      <c r="I352" s="174" t="s">
        <v>17</v>
      </c>
      <c r="J352" s="174" t="s">
        <v>34</v>
      </c>
      <c r="K352" s="174" t="s">
        <v>98</v>
      </c>
      <c r="L352" s="177">
        <v>43427</v>
      </c>
      <c r="M352" s="174">
        <v>40</v>
      </c>
      <c r="N352" s="179">
        <v>2.93</v>
      </c>
      <c r="O352" s="174" t="s">
        <v>20</v>
      </c>
      <c r="P352" s="174">
        <v>50</v>
      </c>
    </row>
    <row r="353" spans="1:45" s="174" customFormat="1" ht="35" customHeight="1">
      <c r="A353" s="174">
        <f>ROW()-3</f>
        <v>350</v>
      </c>
      <c r="B353" s="174" t="s">
        <v>14</v>
      </c>
      <c r="C353" s="174" t="s">
        <v>83</v>
      </c>
      <c r="D353" s="174" t="s">
        <v>106</v>
      </c>
      <c r="E353" s="174" t="s">
        <v>175</v>
      </c>
      <c r="F353" s="174" t="s">
        <v>196</v>
      </c>
      <c r="G353" s="174" t="s">
        <v>197</v>
      </c>
      <c r="H353" s="174" t="s">
        <v>186</v>
      </c>
      <c r="I353" s="174" t="s">
        <v>17</v>
      </c>
      <c r="J353" s="174" t="s">
        <v>34</v>
      </c>
      <c r="K353" s="174" t="s">
        <v>98</v>
      </c>
      <c r="L353" s="177">
        <v>43427</v>
      </c>
      <c r="M353" s="174">
        <v>50</v>
      </c>
      <c r="N353" s="179">
        <v>7.7</v>
      </c>
      <c r="O353" s="174" t="s">
        <v>20</v>
      </c>
      <c r="P353" s="174">
        <v>99</v>
      </c>
    </row>
    <row r="354" spans="1:45" s="174" customFormat="1" ht="35" customHeight="1">
      <c r="A354" s="174">
        <f>ROW()-3</f>
        <v>351</v>
      </c>
      <c r="B354" s="174" t="s">
        <v>14</v>
      </c>
      <c r="C354" s="174" t="s">
        <v>83</v>
      </c>
      <c r="D354" s="174" t="s">
        <v>106</v>
      </c>
      <c r="E354" s="174" t="s">
        <v>175</v>
      </c>
      <c r="F354" s="174" t="s">
        <v>198</v>
      </c>
      <c r="G354" s="174" t="s">
        <v>199</v>
      </c>
      <c r="H354" s="174" t="s">
        <v>186</v>
      </c>
      <c r="I354" s="174" t="s">
        <v>17</v>
      </c>
      <c r="J354" s="174" t="s">
        <v>34</v>
      </c>
      <c r="K354" s="174" t="s">
        <v>98</v>
      </c>
      <c r="L354" s="177">
        <v>43430</v>
      </c>
      <c r="M354" s="174">
        <v>30</v>
      </c>
      <c r="N354" s="179">
        <v>3.92</v>
      </c>
      <c r="O354" s="174" t="s">
        <v>20</v>
      </c>
      <c r="P354" s="174">
        <v>50</v>
      </c>
    </row>
    <row r="355" spans="1:45" s="174" customFormat="1" ht="35" customHeight="1">
      <c r="A355" s="174">
        <f>ROW()-3</f>
        <v>352</v>
      </c>
      <c r="B355" s="174" t="s">
        <v>14</v>
      </c>
      <c r="C355" s="174" t="s">
        <v>83</v>
      </c>
      <c r="D355" s="174" t="s">
        <v>106</v>
      </c>
      <c r="E355" s="174" t="s">
        <v>175</v>
      </c>
      <c r="F355" s="174" t="s">
        <v>200</v>
      </c>
      <c r="G355" s="174" t="s">
        <v>201</v>
      </c>
      <c r="H355" s="174" t="s">
        <v>186</v>
      </c>
      <c r="I355" s="174" t="s">
        <v>17</v>
      </c>
      <c r="J355" s="174" t="s">
        <v>34</v>
      </c>
      <c r="K355" s="174" t="s">
        <v>98</v>
      </c>
      <c r="L355" s="177">
        <v>43430</v>
      </c>
      <c r="M355" s="174">
        <v>10</v>
      </c>
      <c r="N355" s="179">
        <v>2.4900000000000002</v>
      </c>
      <c r="O355" s="174" t="s">
        <v>20</v>
      </c>
      <c r="P355" s="174">
        <v>59</v>
      </c>
    </row>
    <row r="356" spans="1:45" s="174" customFormat="1" ht="35" customHeight="1">
      <c r="A356" s="181">
        <f>ROW()-3</f>
        <v>353</v>
      </c>
      <c r="B356" s="181" t="s">
        <v>14</v>
      </c>
      <c r="C356" s="181" t="s">
        <v>2634</v>
      </c>
      <c r="D356" s="181" t="s">
        <v>5356</v>
      </c>
      <c r="E356" s="181" t="s">
        <v>5355</v>
      </c>
      <c r="F356" s="181" t="s">
        <v>5363</v>
      </c>
      <c r="G356" s="181" t="s">
        <v>1457</v>
      </c>
      <c r="H356" s="181" t="s">
        <v>1458</v>
      </c>
      <c r="I356" s="181" t="s">
        <v>29</v>
      </c>
      <c r="J356" s="181" t="s">
        <v>34</v>
      </c>
      <c r="K356" s="181" t="s">
        <v>154</v>
      </c>
      <c r="L356" s="177">
        <v>43453</v>
      </c>
      <c r="M356" s="181">
        <v>93</v>
      </c>
      <c r="N356" s="179">
        <v>14.93</v>
      </c>
      <c r="O356" s="181" t="s">
        <v>20</v>
      </c>
      <c r="P356" s="181">
        <v>199</v>
      </c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81"/>
      <c r="AJ356" s="181"/>
      <c r="AK356" s="181"/>
      <c r="AL356" s="181"/>
      <c r="AM356" s="181"/>
      <c r="AN356" s="181"/>
      <c r="AO356" s="181"/>
      <c r="AP356" s="181"/>
      <c r="AQ356" s="181"/>
      <c r="AR356" s="181"/>
      <c r="AS356" s="181"/>
    </row>
    <row r="357" spans="1:45" s="174" customFormat="1" ht="35" customHeight="1">
      <c r="A357" s="174">
        <f>ROW()-3</f>
        <v>354</v>
      </c>
      <c r="B357" s="174" t="s">
        <v>14</v>
      </c>
      <c r="C357" s="174" t="s">
        <v>83</v>
      </c>
      <c r="D357" s="174" t="s">
        <v>155</v>
      </c>
      <c r="E357" s="174" t="s">
        <v>202</v>
      </c>
      <c r="F357" s="174" t="s">
        <v>203</v>
      </c>
      <c r="G357" s="174" t="s">
        <v>204</v>
      </c>
      <c r="H357" s="174" t="s">
        <v>205</v>
      </c>
      <c r="I357" s="174" t="s">
        <v>17</v>
      </c>
      <c r="J357" s="174" t="s">
        <v>18</v>
      </c>
      <c r="K357" s="174" t="s">
        <v>19</v>
      </c>
      <c r="L357" s="177">
        <v>43463</v>
      </c>
      <c r="M357" s="174">
        <v>10</v>
      </c>
      <c r="N357" s="179">
        <v>1.89</v>
      </c>
      <c r="O357" s="174" t="s">
        <v>20</v>
      </c>
      <c r="P357" s="174">
        <v>99</v>
      </c>
    </row>
    <row r="358" spans="1:45" s="174" customFormat="1" ht="35" customHeight="1">
      <c r="A358" s="174">
        <f>ROW()-3</f>
        <v>355</v>
      </c>
      <c r="B358" s="174" t="s">
        <v>14</v>
      </c>
      <c r="C358" s="174" t="s">
        <v>83</v>
      </c>
      <c r="D358" s="174" t="s">
        <v>155</v>
      </c>
      <c r="E358" s="174" t="s">
        <v>202</v>
      </c>
      <c r="F358" s="174" t="s">
        <v>206</v>
      </c>
      <c r="G358" s="174" t="s">
        <v>207</v>
      </c>
      <c r="H358" s="174" t="s">
        <v>208</v>
      </c>
      <c r="I358" s="174" t="s">
        <v>29</v>
      </c>
      <c r="J358" s="174" t="s">
        <v>34</v>
      </c>
      <c r="K358" s="174" t="s">
        <v>35</v>
      </c>
      <c r="L358" s="177">
        <v>43480</v>
      </c>
      <c r="M358" s="174">
        <v>103</v>
      </c>
      <c r="N358" s="179">
        <v>14.8</v>
      </c>
      <c r="O358" s="174" t="s">
        <v>20</v>
      </c>
      <c r="P358" s="174">
        <v>99</v>
      </c>
    </row>
    <row r="359" spans="1:45" s="174" customFormat="1" ht="35" customHeight="1">
      <c r="A359" s="174">
        <f>ROW()-3</f>
        <v>356</v>
      </c>
      <c r="B359" s="174" t="s">
        <v>14</v>
      </c>
      <c r="C359" s="174" t="s">
        <v>83</v>
      </c>
      <c r="D359" s="174" t="s">
        <v>83</v>
      </c>
      <c r="E359" s="174" t="s">
        <v>187</v>
      </c>
      <c r="F359" s="174" t="s">
        <v>209</v>
      </c>
      <c r="G359" s="174" t="s">
        <v>210</v>
      </c>
      <c r="H359" s="174" t="s">
        <v>211</v>
      </c>
      <c r="I359" s="174" t="s">
        <v>29</v>
      </c>
      <c r="J359" s="174" t="s">
        <v>18</v>
      </c>
      <c r="K359" s="174" t="s">
        <v>19</v>
      </c>
      <c r="L359" s="177">
        <v>43483</v>
      </c>
      <c r="M359" s="174">
        <v>14</v>
      </c>
      <c r="N359" s="179">
        <v>2.52</v>
      </c>
      <c r="O359" s="174" t="s">
        <v>20</v>
      </c>
      <c r="P359" s="174">
        <v>39.9</v>
      </c>
    </row>
    <row r="360" spans="1:45" s="174" customFormat="1" ht="35" customHeight="1">
      <c r="A360" s="174">
        <f>ROW()-3</f>
        <v>357</v>
      </c>
      <c r="B360" s="174" t="s">
        <v>14</v>
      </c>
      <c r="C360" s="174" t="s">
        <v>83</v>
      </c>
      <c r="D360" s="174" t="s">
        <v>119</v>
      </c>
      <c r="E360" s="174" t="s">
        <v>127</v>
      </c>
      <c r="F360" s="174" t="s">
        <v>212</v>
      </c>
      <c r="G360" s="174" t="s">
        <v>213</v>
      </c>
      <c r="H360" s="174" t="s">
        <v>16</v>
      </c>
      <c r="I360" s="174" t="s">
        <v>29</v>
      </c>
      <c r="J360" s="174" t="s">
        <v>34</v>
      </c>
      <c r="K360" s="174" t="s">
        <v>35</v>
      </c>
      <c r="L360" s="177">
        <v>43525</v>
      </c>
      <c r="M360" s="174">
        <v>37</v>
      </c>
      <c r="N360" s="179">
        <v>5.58</v>
      </c>
      <c r="O360" s="174" t="s">
        <v>20</v>
      </c>
      <c r="P360" s="174">
        <v>99</v>
      </c>
    </row>
    <row r="361" spans="1:45" s="174" customFormat="1" ht="35" customHeight="1">
      <c r="A361" s="174">
        <f>ROW()-3</f>
        <v>358</v>
      </c>
      <c r="B361" s="174" t="s">
        <v>14</v>
      </c>
      <c r="C361" s="174" t="s">
        <v>83</v>
      </c>
      <c r="D361" s="174" t="s">
        <v>155</v>
      </c>
      <c r="E361" s="174" t="s">
        <v>2676</v>
      </c>
      <c r="F361" s="174" t="s">
        <v>214</v>
      </c>
      <c r="G361" s="174" t="s">
        <v>5339</v>
      </c>
      <c r="H361" s="174" t="s">
        <v>216</v>
      </c>
      <c r="I361" s="174" t="s">
        <v>29</v>
      </c>
      <c r="J361" s="174" t="s">
        <v>160</v>
      </c>
      <c r="K361" s="174" t="s">
        <v>25</v>
      </c>
      <c r="L361" s="177">
        <v>43525</v>
      </c>
      <c r="M361" s="174">
        <v>27</v>
      </c>
      <c r="N361" s="179">
        <v>10.72</v>
      </c>
      <c r="O361" s="174" t="s">
        <v>20</v>
      </c>
      <c r="P361" s="174">
        <v>99</v>
      </c>
    </row>
    <row r="362" spans="1:45" s="174" customFormat="1" ht="35" customHeight="1">
      <c r="A362" s="174">
        <f>ROW()-3</f>
        <v>359</v>
      </c>
      <c r="B362" s="174" t="s">
        <v>14</v>
      </c>
      <c r="C362" s="174" t="s">
        <v>83</v>
      </c>
      <c r="D362" s="174" t="s">
        <v>187</v>
      </c>
      <c r="E362" s="174" t="s">
        <v>188</v>
      </c>
      <c r="F362" s="174" t="s">
        <v>217</v>
      </c>
      <c r="G362" s="174" t="s">
        <v>218</v>
      </c>
      <c r="H362" s="174" t="s">
        <v>219</v>
      </c>
      <c r="I362" s="174" t="s">
        <v>29</v>
      </c>
      <c r="J362" s="174" t="s">
        <v>34</v>
      </c>
      <c r="K362" s="174" t="s">
        <v>53</v>
      </c>
      <c r="L362" s="177">
        <v>43536</v>
      </c>
      <c r="M362" s="174">
        <v>14</v>
      </c>
      <c r="N362" s="179">
        <v>2.68</v>
      </c>
      <c r="O362" s="174" t="s">
        <v>20</v>
      </c>
      <c r="P362" s="174">
        <v>69</v>
      </c>
    </row>
    <row r="363" spans="1:45" s="174" customFormat="1" ht="35" customHeight="1">
      <c r="A363" s="174">
        <f>ROW()-3</f>
        <v>360</v>
      </c>
      <c r="B363" s="174" t="s">
        <v>14</v>
      </c>
      <c r="C363" s="174" t="s">
        <v>83</v>
      </c>
      <c r="D363" s="174" t="s">
        <v>220</v>
      </c>
      <c r="E363" s="174" t="s">
        <v>2672</v>
      </c>
      <c r="F363" s="174" t="s">
        <v>221</v>
      </c>
      <c r="G363" s="174" t="s">
        <v>222</v>
      </c>
      <c r="H363" s="174" t="s">
        <v>223</v>
      </c>
      <c r="I363" s="174" t="s">
        <v>29</v>
      </c>
      <c r="J363" s="174" t="s">
        <v>24</v>
      </c>
      <c r="K363" s="174" t="s">
        <v>93</v>
      </c>
      <c r="L363" s="177">
        <v>43551</v>
      </c>
      <c r="M363" s="174">
        <v>10</v>
      </c>
      <c r="N363" s="179">
        <v>33.51</v>
      </c>
      <c r="O363" s="174" t="s">
        <v>20</v>
      </c>
      <c r="P363" s="174">
        <v>99</v>
      </c>
    </row>
    <row r="364" spans="1:45" s="174" customFormat="1" ht="35" customHeight="1">
      <c r="A364" s="174">
        <f>ROW()-3</f>
        <v>361</v>
      </c>
      <c r="B364" s="174" t="s">
        <v>14</v>
      </c>
      <c r="C364" s="174" t="s">
        <v>83</v>
      </c>
      <c r="D364" s="174" t="s">
        <v>155</v>
      </c>
      <c r="E364" s="174" t="s">
        <v>202</v>
      </c>
      <c r="F364" s="174" t="s">
        <v>224</v>
      </c>
      <c r="G364" s="174" t="s">
        <v>225</v>
      </c>
      <c r="H364" s="174" t="s">
        <v>226</v>
      </c>
      <c r="I364" s="174" t="s">
        <v>17</v>
      </c>
      <c r="J364" s="174" t="s">
        <v>18</v>
      </c>
      <c r="K364" s="174" t="s">
        <v>19</v>
      </c>
      <c r="L364" s="177">
        <v>43565</v>
      </c>
      <c r="M364" s="174">
        <v>5</v>
      </c>
      <c r="N364" s="179">
        <v>1.63</v>
      </c>
      <c r="O364" s="174" t="s">
        <v>20</v>
      </c>
      <c r="P364" s="174">
        <v>99</v>
      </c>
    </row>
    <row r="365" spans="1:45" s="174" customFormat="1" ht="35" customHeight="1">
      <c r="A365" s="174">
        <f>ROW()-3</f>
        <v>362</v>
      </c>
      <c r="B365" s="174" t="s">
        <v>14</v>
      </c>
      <c r="C365" s="174" t="s">
        <v>83</v>
      </c>
      <c r="D365" s="174" t="s">
        <v>155</v>
      </c>
      <c r="E365" s="174" t="s">
        <v>156</v>
      </c>
      <c r="F365" s="174" t="s">
        <v>227</v>
      </c>
      <c r="G365" s="174" t="s">
        <v>228</v>
      </c>
      <c r="H365" s="174" t="s">
        <v>229</v>
      </c>
      <c r="I365" s="174" t="s">
        <v>29</v>
      </c>
      <c r="J365" s="174" t="s">
        <v>160</v>
      </c>
      <c r="K365" s="174" t="s">
        <v>25</v>
      </c>
      <c r="L365" s="177">
        <v>43571</v>
      </c>
      <c r="M365" s="174">
        <v>158</v>
      </c>
      <c r="N365" s="179">
        <v>24.76</v>
      </c>
      <c r="O365" s="174" t="s">
        <v>20</v>
      </c>
      <c r="P365" s="174">
        <v>199</v>
      </c>
    </row>
    <row r="366" spans="1:45" s="174" customFormat="1" ht="35" customHeight="1">
      <c r="A366" s="174">
        <f>ROW()-3</f>
        <v>363</v>
      </c>
      <c r="B366" s="174" t="s">
        <v>14</v>
      </c>
      <c r="C366" s="174" t="s">
        <v>83</v>
      </c>
      <c r="D366" s="174" t="s">
        <v>106</v>
      </c>
      <c r="E366" s="174" t="s">
        <v>107</v>
      </c>
      <c r="F366" s="174" t="s">
        <v>230</v>
      </c>
      <c r="G366" s="174" t="s">
        <v>231</v>
      </c>
      <c r="H366" s="174" t="s">
        <v>232</v>
      </c>
      <c r="I366" s="174" t="s">
        <v>29</v>
      </c>
      <c r="J366" s="174" t="s">
        <v>34</v>
      </c>
      <c r="K366" s="174" t="s">
        <v>35</v>
      </c>
      <c r="L366" s="177">
        <v>43571</v>
      </c>
      <c r="M366" s="174">
        <v>59</v>
      </c>
      <c r="N366" s="179">
        <v>7.72</v>
      </c>
      <c r="O366" s="174" t="s">
        <v>20</v>
      </c>
      <c r="P366" s="174">
        <v>99</v>
      </c>
    </row>
    <row r="367" spans="1:45" s="174" customFormat="1" ht="35" customHeight="1">
      <c r="A367" s="174">
        <f>ROW()-3</f>
        <v>364</v>
      </c>
      <c r="B367" s="174" t="s">
        <v>14</v>
      </c>
      <c r="C367" s="174" t="s">
        <v>83</v>
      </c>
      <c r="D367" s="174" t="s">
        <v>119</v>
      </c>
      <c r="E367" s="174" t="s">
        <v>120</v>
      </c>
      <c r="F367" s="174" t="s">
        <v>233</v>
      </c>
      <c r="G367" s="174" t="s">
        <v>234</v>
      </c>
      <c r="H367" s="174" t="s">
        <v>235</v>
      </c>
      <c r="I367" s="174" t="s">
        <v>29</v>
      </c>
      <c r="J367" s="174" t="s">
        <v>34</v>
      </c>
      <c r="K367" s="174" t="s">
        <v>19</v>
      </c>
      <c r="L367" s="177">
        <v>43577</v>
      </c>
      <c r="M367" s="174">
        <v>104</v>
      </c>
      <c r="N367" s="179">
        <v>30.6</v>
      </c>
      <c r="O367" s="174" t="s">
        <v>20</v>
      </c>
      <c r="P367" s="174">
        <v>199</v>
      </c>
    </row>
    <row r="368" spans="1:45" s="174" customFormat="1" ht="35" customHeight="1">
      <c r="A368" s="174">
        <f>ROW()-3</f>
        <v>365</v>
      </c>
      <c r="B368" s="174" t="s">
        <v>14</v>
      </c>
      <c r="C368" s="174" t="s">
        <v>83</v>
      </c>
      <c r="D368" s="174" t="s">
        <v>119</v>
      </c>
      <c r="E368" s="174" t="s">
        <v>120</v>
      </c>
      <c r="F368" s="174" t="s">
        <v>236</v>
      </c>
      <c r="G368" s="174" t="s">
        <v>237</v>
      </c>
      <c r="H368" s="174" t="s">
        <v>238</v>
      </c>
      <c r="I368" s="174" t="s">
        <v>29</v>
      </c>
      <c r="J368" s="174" t="s">
        <v>34</v>
      </c>
      <c r="K368" s="174" t="s">
        <v>19</v>
      </c>
      <c r="L368" s="177">
        <v>43640</v>
      </c>
      <c r="M368" s="174">
        <v>106</v>
      </c>
      <c r="N368" s="179">
        <v>23.18</v>
      </c>
      <c r="O368" s="174" t="s">
        <v>20</v>
      </c>
      <c r="P368" s="174">
        <v>199</v>
      </c>
    </row>
    <row r="369" spans="1:16" s="174" customFormat="1" ht="35" customHeight="1">
      <c r="A369" s="174">
        <f>ROW()-3</f>
        <v>366</v>
      </c>
      <c r="B369" s="174" t="s">
        <v>14</v>
      </c>
      <c r="C369" s="174" t="s">
        <v>83</v>
      </c>
      <c r="D369" s="174" t="s">
        <v>106</v>
      </c>
      <c r="E369" s="174" t="s">
        <v>175</v>
      </c>
      <c r="F369" s="174" t="s">
        <v>239</v>
      </c>
      <c r="G369" s="174" t="s">
        <v>240</v>
      </c>
      <c r="H369" s="174" t="s">
        <v>241</v>
      </c>
      <c r="I369" s="174" t="s">
        <v>17</v>
      </c>
      <c r="J369" s="174" t="s">
        <v>34</v>
      </c>
      <c r="K369" s="174" t="s">
        <v>98</v>
      </c>
      <c r="L369" s="177">
        <v>43663</v>
      </c>
      <c r="M369" s="174">
        <v>14</v>
      </c>
      <c r="N369" s="179">
        <v>5.95</v>
      </c>
      <c r="O369" s="174" t="s">
        <v>20</v>
      </c>
      <c r="P369" s="174">
        <v>66</v>
      </c>
    </row>
    <row r="370" spans="1:16" s="174" customFormat="1" ht="35" customHeight="1">
      <c r="A370" s="174">
        <f>ROW()-3</f>
        <v>367</v>
      </c>
      <c r="B370" s="174" t="s">
        <v>14</v>
      </c>
      <c r="C370" s="174" t="s">
        <v>83</v>
      </c>
      <c r="D370" s="174" t="s">
        <v>106</v>
      </c>
      <c r="E370" s="174" t="s">
        <v>115</v>
      </c>
      <c r="F370" s="174" t="s">
        <v>242</v>
      </c>
      <c r="G370" s="174" t="s">
        <v>243</v>
      </c>
      <c r="H370" s="174" t="s">
        <v>223</v>
      </c>
      <c r="I370" s="174" t="s">
        <v>29</v>
      </c>
      <c r="J370" s="174" t="s">
        <v>34</v>
      </c>
      <c r="K370" s="174" t="s">
        <v>35</v>
      </c>
      <c r="L370" s="177">
        <v>43690</v>
      </c>
      <c r="M370" s="174">
        <v>68</v>
      </c>
      <c r="N370" s="179">
        <v>9.73</v>
      </c>
      <c r="O370" s="174" t="s">
        <v>20</v>
      </c>
      <c r="P370" s="174">
        <v>180</v>
      </c>
    </row>
    <row r="371" spans="1:16" s="174" customFormat="1" ht="35" customHeight="1">
      <c r="A371" s="174">
        <f>ROW()-3</f>
        <v>368</v>
      </c>
      <c r="B371" s="174" t="s">
        <v>14</v>
      </c>
      <c r="C371" s="174" t="s">
        <v>83</v>
      </c>
      <c r="D371" s="174" t="s">
        <v>155</v>
      </c>
      <c r="E371" s="174" t="s">
        <v>202</v>
      </c>
      <c r="F371" s="174" t="s">
        <v>244</v>
      </c>
      <c r="G371" s="174" t="s">
        <v>245</v>
      </c>
      <c r="H371" s="174" t="s">
        <v>246</v>
      </c>
      <c r="I371" s="174" t="s">
        <v>29</v>
      </c>
      <c r="J371" s="174" t="s">
        <v>18</v>
      </c>
      <c r="K371" s="174" t="s">
        <v>19</v>
      </c>
      <c r="L371" s="177">
        <v>43699</v>
      </c>
      <c r="M371" s="174">
        <v>23</v>
      </c>
      <c r="N371" s="179">
        <v>4.26</v>
      </c>
      <c r="O371" s="174" t="s">
        <v>20</v>
      </c>
      <c r="P371" s="174">
        <v>69</v>
      </c>
    </row>
    <row r="372" spans="1:16" s="174" customFormat="1" ht="35" customHeight="1">
      <c r="A372" s="174">
        <f>ROW()-3</f>
        <v>369</v>
      </c>
      <c r="B372" s="174" t="s">
        <v>14</v>
      </c>
      <c r="C372" s="174" t="s">
        <v>83</v>
      </c>
      <c r="D372" s="174" t="s">
        <v>220</v>
      </c>
      <c r="E372" s="174" t="s">
        <v>247</v>
      </c>
      <c r="F372" s="174" t="s">
        <v>248</v>
      </c>
      <c r="G372" s="174" t="s">
        <v>249</v>
      </c>
      <c r="H372" s="174" t="s">
        <v>250</v>
      </c>
      <c r="I372" s="174" t="s">
        <v>29</v>
      </c>
      <c r="J372" s="174" t="s">
        <v>18</v>
      </c>
      <c r="K372" s="174" t="s">
        <v>19</v>
      </c>
      <c r="L372" s="177">
        <v>43700</v>
      </c>
      <c r="M372" s="174">
        <v>27</v>
      </c>
      <c r="N372" s="179">
        <v>4.05</v>
      </c>
      <c r="O372" s="174" t="s">
        <v>20</v>
      </c>
      <c r="P372" s="174">
        <v>128</v>
      </c>
    </row>
    <row r="373" spans="1:16" s="174" customFormat="1" ht="35" customHeight="1">
      <c r="A373" s="174">
        <f>ROW()-3</f>
        <v>370</v>
      </c>
      <c r="B373" s="174" t="s">
        <v>14</v>
      </c>
      <c r="C373" s="174" t="s">
        <v>83</v>
      </c>
      <c r="D373" s="174" t="s">
        <v>155</v>
      </c>
      <c r="E373" s="174" t="s">
        <v>2676</v>
      </c>
      <c r="F373" s="174" t="s">
        <v>251</v>
      </c>
      <c r="G373" s="174" t="s">
        <v>252</v>
      </c>
      <c r="H373" s="174" t="s">
        <v>253</v>
      </c>
      <c r="I373" s="174" t="s">
        <v>29</v>
      </c>
      <c r="J373" s="174" t="s">
        <v>160</v>
      </c>
      <c r="K373" s="174" t="s">
        <v>19</v>
      </c>
      <c r="L373" s="177">
        <v>43712</v>
      </c>
      <c r="M373" s="174">
        <v>12</v>
      </c>
      <c r="N373" s="179">
        <v>2.78</v>
      </c>
      <c r="O373" s="174" t="s">
        <v>20</v>
      </c>
      <c r="P373" s="174">
        <v>199</v>
      </c>
    </row>
    <row r="374" spans="1:16" s="174" customFormat="1" ht="35" customHeight="1">
      <c r="A374" s="174">
        <f>ROW()-3</f>
        <v>371</v>
      </c>
      <c r="B374" s="174" t="s">
        <v>14</v>
      </c>
      <c r="C374" s="174" t="s">
        <v>83</v>
      </c>
      <c r="D374" s="174" t="s">
        <v>5165</v>
      </c>
      <c r="E374" s="174" t="s">
        <v>202</v>
      </c>
      <c r="F374" s="174" t="s">
        <v>254</v>
      </c>
      <c r="G374" s="174" t="s">
        <v>255</v>
      </c>
      <c r="H374" s="174" t="s">
        <v>256</v>
      </c>
      <c r="I374" s="174" t="s">
        <v>29</v>
      </c>
      <c r="J374" s="174" t="s">
        <v>160</v>
      </c>
      <c r="K374" s="174" t="s">
        <v>25</v>
      </c>
      <c r="L374" s="177">
        <v>43727</v>
      </c>
      <c r="M374" s="174">
        <v>200</v>
      </c>
      <c r="N374" s="179">
        <v>20.09</v>
      </c>
      <c r="O374" s="174" t="s">
        <v>20</v>
      </c>
      <c r="P374" s="174">
        <v>180</v>
      </c>
    </row>
    <row r="375" spans="1:16" s="174" customFormat="1" ht="35" customHeight="1">
      <c r="A375" s="174">
        <f>ROW()-3</f>
        <v>372</v>
      </c>
      <c r="B375" s="174" t="s">
        <v>14</v>
      </c>
      <c r="C375" s="174" t="s">
        <v>83</v>
      </c>
      <c r="D375" s="174" t="s">
        <v>119</v>
      </c>
      <c r="E375" s="174" t="s">
        <v>120</v>
      </c>
      <c r="F375" s="174" t="s">
        <v>257</v>
      </c>
      <c r="G375" s="174" t="s">
        <v>258</v>
      </c>
      <c r="H375" s="174" t="s">
        <v>259</v>
      </c>
      <c r="I375" s="174" t="s">
        <v>29</v>
      </c>
      <c r="J375" s="174" t="s">
        <v>34</v>
      </c>
      <c r="K375" s="174" t="s">
        <v>154</v>
      </c>
      <c r="L375" s="177">
        <v>43754</v>
      </c>
      <c r="M375" s="174">
        <v>44</v>
      </c>
      <c r="N375" s="179">
        <v>17.52</v>
      </c>
      <c r="O375" s="174" t="s">
        <v>30</v>
      </c>
      <c r="P375" s="174">
        <v>69</v>
      </c>
    </row>
    <row r="376" spans="1:16" s="174" customFormat="1" ht="35" customHeight="1">
      <c r="A376" s="174">
        <f>ROW()-3</f>
        <v>373</v>
      </c>
      <c r="B376" s="174" t="s">
        <v>14</v>
      </c>
      <c r="C376" s="174" t="s">
        <v>83</v>
      </c>
      <c r="D376" s="174" t="s">
        <v>84</v>
      </c>
      <c r="E376" s="174" t="s">
        <v>85</v>
      </c>
      <c r="F376" s="174" t="s">
        <v>260</v>
      </c>
      <c r="G376" s="174" t="s">
        <v>261</v>
      </c>
      <c r="H376" s="174" t="s">
        <v>262</v>
      </c>
      <c r="I376" s="174" t="s">
        <v>29</v>
      </c>
      <c r="J376" s="174" t="s">
        <v>34</v>
      </c>
      <c r="K376" s="174" t="s">
        <v>98</v>
      </c>
      <c r="L376" s="177">
        <v>43759</v>
      </c>
      <c r="M376" s="174">
        <v>55</v>
      </c>
      <c r="N376" s="179">
        <v>11.2</v>
      </c>
      <c r="O376" s="174" t="s">
        <v>20</v>
      </c>
      <c r="P376" s="174">
        <v>199</v>
      </c>
    </row>
    <row r="377" spans="1:16" s="174" customFormat="1" ht="35" customHeight="1">
      <c r="A377" s="174">
        <f>ROW()-3</f>
        <v>374</v>
      </c>
      <c r="B377" s="174" t="s">
        <v>14</v>
      </c>
      <c r="C377" s="174" t="s">
        <v>83</v>
      </c>
      <c r="D377" s="174" t="s">
        <v>220</v>
      </c>
      <c r="E377" s="174" t="s">
        <v>263</v>
      </c>
      <c r="F377" s="174" t="s">
        <v>264</v>
      </c>
      <c r="G377" s="174" t="s">
        <v>265</v>
      </c>
      <c r="H377" s="174" t="s">
        <v>266</v>
      </c>
      <c r="I377" s="174" t="s">
        <v>29</v>
      </c>
      <c r="J377" s="174" t="s">
        <v>34</v>
      </c>
      <c r="K377" s="174" t="s">
        <v>34</v>
      </c>
      <c r="L377" s="177">
        <v>43776</v>
      </c>
      <c r="M377" s="174">
        <v>75</v>
      </c>
      <c r="N377" s="179">
        <v>12.8</v>
      </c>
      <c r="O377" s="174" t="s">
        <v>20</v>
      </c>
      <c r="P377" s="174" t="s">
        <v>2709</v>
      </c>
    </row>
    <row r="378" spans="1:16" s="174" customFormat="1" ht="35" customHeight="1">
      <c r="A378" s="174">
        <f>ROW()-3</f>
        <v>375</v>
      </c>
      <c r="B378" s="174" t="s">
        <v>14</v>
      </c>
      <c r="C378" s="174" t="s">
        <v>83</v>
      </c>
      <c r="D378" s="174" t="s">
        <v>155</v>
      </c>
      <c r="E378" s="174" t="s">
        <v>202</v>
      </c>
      <c r="F378" s="174" t="s">
        <v>267</v>
      </c>
      <c r="G378" s="174" t="s">
        <v>268</v>
      </c>
      <c r="H378" s="174" t="s">
        <v>269</v>
      </c>
      <c r="I378" s="174" t="s">
        <v>29</v>
      </c>
      <c r="J378" s="174" t="s">
        <v>160</v>
      </c>
      <c r="K378" s="174" t="s">
        <v>25</v>
      </c>
      <c r="L378" s="177">
        <v>43787</v>
      </c>
      <c r="M378" s="174">
        <v>106</v>
      </c>
      <c r="N378" s="179">
        <v>22.09</v>
      </c>
      <c r="O378" s="174" t="s">
        <v>30</v>
      </c>
      <c r="P378" s="174">
        <v>99</v>
      </c>
    </row>
    <row r="379" spans="1:16" s="174" customFormat="1" ht="35" customHeight="1">
      <c r="A379" s="174">
        <f>ROW()-3</f>
        <v>376</v>
      </c>
      <c r="B379" s="174" t="s">
        <v>14</v>
      </c>
      <c r="C379" s="174" t="s">
        <v>83</v>
      </c>
      <c r="D379" s="174" t="s">
        <v>84</v>
      </c>
      <c r="E379" s="174" t="s">
        <v>102</v>
      </c>
      <c r="F379" s="174" t="s">
        <v>270</v>
      </c>
      <c r="G379" s="174" t="s">
        <v>271</v>
      </c>
      <c r="H379" s="174" t="s">
        <v>272</v>
      </c>
      <c r="I379" s="174" t="s">
        <v>29</v>
      </c>
      <c r="J379" s="174" t="s">
        <v>34</v>
      </c>
      <c r="K379" s="174" t="s">
        <v>98</v>
      </c>
      <c r="L379" s="177">
        <v>43832</v>
      </c>
      <c r="M379" s="174">
        <v>40</v>
      </c>
      <c r="N379" s="179">
        <v>7.17</v>
      </c>
      <c r="O379" s="174" t="s">
        <v>20</v>
      </c>
      <c r="P379" s="174">
        <v>99</v>
      </c>
    </row>
    <row r="380" spans="1:16" s="174" customFormat="1" ht="35" customHeight="1">
      <c r="A380" s="174">
        <f>ROW()-3</f>
        <v>377</v>
      </c>
      <c r="B380" s="174" t="s">
        <v>14</v>
      </c>
      <c r="C380" s="174" t="s">
        <v>83</v>
      </c>
      <c r="D380" s="174" t="s">
        <v>119</v>
      </c>
      <c r="E380" s="174" t="s">
        <v>120</v>
      </c>
      <c r="F380" s="174" t="s">
        <v>273</v>
      </c>
      <c r="G380" s="174" t="s">
        <v>274</v>
      </c>
      <c r="H380" s="174" t="s">
        <v>275</v>
      </c>
      <c r="I380" s="174" t="s">
        <v>29</v>
      </c>
      <c r="J380" s="174" t="s">
        <v>34</v>
      </c>
      <c r="K380" s="174" t="s">
        <v>154</v>
      </c>
      <c r="L380" s="177">
        <v>43852</v>
      </c>
      <c r="M380" s="174">
        <v>637</v>
      </c>
      <c r="N380" s="179">
        <v>109.4</v>
      </c>
      <c r="O380" s="174" t="s">
        <v>20</v>
      </c>
      <c r="P380" s="174">
        <v>199</v>
      </c>
    </row>
    <row r="381" spans="1:16" s="174" customFormat="1" ht="35" customHeight="1">
      <c r="A381" s="174">
        <f>ROW()-3</f>
        <v>378</v>
      </c>
      <c r="B381" s="174" t="s">
        <v>14</v>
      </c>
      <c r="C381" s="174" t="s">
        <v>83</v>
      </c>
      <c r="D381" s="174" t="s">
        <v>220</v>
      </c>
      <c r="E381" s="174" t="s">
        <v>2672</v>
      </c>
      <c r="F381" s="174" t="s">
        <v>2482</v>
      </c>
      <c r="G381" s="174" t="s">
        <v>276</v>
      </c>
      <c r="H381" s="174" t="s">
        <v>277</v>
      </c>
      <c r="I381" s="174" t="s">
        <v>29</v>
      </c>
      <c r="J381" s="174" t="s">
        <v>34</v>
      </c>
      <c r="K381" s="174" t="s">
        <v>19</v>
      </c>
      <c r="L381" s="177">
        <v>43852</v>
      </c>
      <c r="M381" s="174">
        <v>34</v>
      </c>
      <c r="N381" s="179">
        <v>9.68</v>
      </c>
      <c r="O381" s="174" t="s">
        <v>20</v>
      </c>
      <c r="P381" s="174">
        <v>99</v>
      </c>
    </row>
    <row r="382" spans="1:16" s="174" customFormat="1" ht="35" customHeight="1">
      <c r="A382" s="174">
        <f>ROW()-3</f>
        <v>379</v>
      </c>
      <c r="B382" s="174" t="s">
        <v>14</v>
      </c>
      <c r="C382" s="174" t="s">
        <v>83</v>
      </c>
      <c r="D382" s="174" t="s">
        <v>220</v>
      </c>
      <c r="E382" s="174" t="s">
        <v>2672</v>
      </c>
      <c r="F382" s="174" t="s">
        <v>278</v>
      </c>
      <c r="G382" s="174" t="s">
        <v>279</v>
      </c>
      <c r="H382" s="174" t="s">
        <v>280</v>
      </c>
      <c r="I382" s="174" t="s">
        <v>29</v>
      </c>
      <c r="J382" s="174" t="s">
        <v>24</v>
      </c>
      <c r="K382" s="174" t="s">
        <v>19</v>
      </c>
      <c r="L382" s="177">
        <v>43862</v>
      </c>
      <c r="M382" s="174">
        <v>10</v>
      </c>
      <c r="N382" s="179">
        <v>3.06</v>
      </c>
      <c r="O382" s="174" t="s">
        <v>20</v>
      </c>
      <c r="P382" s="174">
        <v>39</v>
      </c>
    </row>
    <row r="383" spans="1:16" s="174" customFormat="1" ht="35" customHeight="1">
      <c r="A383" s="174">
        <f>ROW()-3</f>
        <v>380</v>
      </c>
      <c r="B383" s="174" t="s">
        <v>14</v>
      </c>
      <c r="C383" s="174" t="s">
        <v>83</v>
      </c>
      <c r="D383" s="174" t="s">
        <v>119</v>
      </c>
      <c r="E383" s="174" t="s">
        <v>120</v>
      </c>
      <c r="F383" s="174" t="s">
        <v>281</v>
      </c>
      <c r="G383" s="174" t="s">
        <v>282</v>
      </c>
      <c r="H383" s="174" t="s">
        <v>283</v>
      </c>
      <c r="I383" s="174" t="s">
        <v>29</v>
      </c>
      <c r="J383" s="174" t="s">
        <v>34</v>
      </c>
      <c r="K383" s="174" t="s">
        <v>19</v>
      </c>
      <c r="L383" s="177">
        <v>43862</v>
      </c>
      <c r="M383" s="174">
        <v>290</v>
      </c>
      <c r="N383" s="179">
        <v>67.03</v>
      </c>
      <c r="O383" s="174" t="s">
        <v>20</v>
      </c>
      <c r="P383" s="174">
        <v>199</v>
      </c>
    </row>
    <row r="384" spans="1:16" s="174" customFormat="1" ht="35" customHeight="1">
      <c r="A384" s="174">
        <f>ROW()-3</f>
        <v>381</v>
      </c>
      <c r="B384" s="174" t="s">
        <v>14</v>
      </c>
      <c r="C384" s="174" t="s">
        <v>83</v>
      </c>
      <c r="D384" s="174" t="s">
        <v>155</v>
      </c>
      <c r="E384" s="174" t="s">
        <v>202</v>
      </c>
      <c r="F384" s="174" t="s">
        <v>284</v>
      </c>
      <c r="G384" s="174" t="s">
        <v>285</v>
      </c>
      <c r="H384" s="174" t="s">
        <v>286</v>
      </c>
      <c r="I384" s="174" t="s">
        <v>29</v>
      </c>
      <c r="J384" s="174" t="s">
        <v>24</v>
      </c>
      <c r="K384" s="174" t="s">
        <v>93</v>
      </c>
      <c r="L384" s="177">
        <v>43906</v>
      </c>
      <c r="M384" s="174">
        <v>20</v>
      </c>
      <c r="N384" s="179">
        <v>3.06</v>
      </c>
      <c r="O384" s="174" t="s">
        <v>20</v>
      </c>
      <c r="P384" s="174">
        <v>98</v>
      </c>
    </row>
    <row r="385" spans="1:45" s="174" customFormat="1" ht="35" customHeight="1">
      <c r="A385" s="174">
        <f>ROW()-3</f>
        <v>382</v>
      </c>
      <c r="B385" s="174" t="s">
        <v>14</v>
      </c>
      <c r="C385" s="174" t="s">
        <v>83</v>
      </c>
      <c r="D385" s="174" t="s">
        <v>155</v>
      </c>
      <c r="E385" s="174" t="s">
        <v>156</v>
      </c>
      <c r="F385" s="174" t="s">
        <v>287</v>
      </c>
      <c r="G385" s="174" t="s">
        <v>288</v>
      </c>
      <c r="H385" s="174" t="s">
        <v>289</v>
      </c>
      <c r="I385" s="174" t="s">
        <v>29</v>
      </c>
      <c r="J385" s="174" t="s">
        <v>160</v>
      </c>
      <c r="K385" s="174" t="s">
        <v>25</v>
      </c>
      <c r="L385" s="177">
        <v>43910</v>
      </c>
      <c r="M385" s="174">
        <v>68</v>
      </c>
      <c r="N385" s="179">
        <v>9.43</v>
      </c>
      <c r="O385" s="174" t="s">
        <v>20</v>
      </c>
      <c r="P385" s="174">
        <v>365</v>
      </c>
    </row>
    <row r="386" spans="1:45" s="174" customFormat="1" ht="35" customHeight="1">
      <c r="A386" s="174">
        <f>ROW()-3</f>
        <v>383</v>
      </c>
      <c r="B386" s="174" t="s">
        <v>14</v>
      </c>
      <c r="C386" s="174" t="s">
        <v>83</v>
      </c>
      <c r="D386" s="174" t="s">
        <v>106</v>
      </c>
      <c r="E386" s="174" t="s">
        <v>107</v>
      </c>
      <c r="F386" s="174" t="s">
        <v>290</v>
      </c>
      <c r="G386" s="174" t="s">
        <v>291</v>
      </c>
      <c r="H386" s="174" t="s">
        <v>292</v>
      </c>
      <c r="I386" s="174" t="s">
        <v>29</v>
      </c>
      <c r="J386" s="174" t="s">
        <v>34</v>
      </c>
      <c r="K386" s="174" t="s">
        <v>35</v>
      </c>
      <c r="L386" s="177">
        <v>43913</v>
      </c>
      <c r="M386" s="174">
        <v>68</v>
      </c>
      <c r="N386" s="179">
        <v>22.21</v>
      </c>
      <c r="O386" s="174" t="s">
        <v>20</v>
      </c>
      <c r="P386" s="174">
        <v>199</v>
      </c>
    </row>
    <row r="387" spans="1:45" s="174" customFormat="1" ht="35" customHeight="1">
      <c r="A387" s="174">
        <f>ROW()-3</f>
        <v>384</v>
      </c>
      <c r="B387" s="174" t="s">
        <v>14</v>
      </c>
      <c r="C387" s="174" t="s">
        <v>83</v>
      </c>
      <c r="D387" s="174" t="s">
        <v>106</v>
      </c>
      <c r="E387" s="174" t="s">
        <v>107</v>
      </c>
      <c r="F387" s="174" t="s">
        <v>293</v>
      </c>
      <c r="G387" s="174" t="s">
        <v>294</v>
      </c>
      <c r="H387" s="174" t="s">
        <v>292</v>
      </c>
      <c r="I387" s="174" t="s">
        <v>29</v>
      </c>
      <c r="J387" s="174" t="s">
        <v>34</v>
      </c>
      <c r="K387" s="174" t="s">
        <v>53</v>
      </c>
      <c r="L387" s="177">
        <v>43914</v>
      </c>
      <c r="M387" s="174">
        <v>54</v>
      </c>
      <c r="N387" s="179">
        <v>14.2</v>
      </c>
      <c r="O387" s="174" t="s">
        <v>20</v>
      </c>
      <c r="P387" s="174">
        <v>199</v>
      </c>
    </row>
    <row r="388" spans="1:45" s="174" customFormat="1" ht="35" customHeight="1">
      <c r="A388" s="174">
        <f>ROW()-3</f>
        <v>385</v>
      </c>
      <c r="B388" s="174" t="s">
        <v>14</v>
      </c>
      <c r="C388" s="174" t="s">
        <v>83</v>
      </c>
      <c r="D388" s="174" t="s">
        <v>106</v>
      </c>
      <c r="E388" s="174" t="s">
        <v>115</v>
      </c>
      <c r="F388" s="174" t="s">
        <v>295</v>
      </c>
      <c r="G388" s="174" t="s">
        <v>296</v>
      </c>
      <c r="H388" s="174" t="s">
        <v>297</v>
      </c>
      <c r="I388" s="174" t="s">
        <v>29</v>
      </c>
      <c r="J388" s="174" t="s">
        <v>34</v>
      </c>
      <c r="K388" s="174" t="s">
        <v>98</v>
      </c>
      <c r="L388" s="177">
        <v>43920</v>
      </c>
      <c r="M388" s="174">
        <v>6</v>
      </c>
      <c r="N388" s="179">
        <v>1.1299999999999999</v>
      </c>
      <c r="O388" s="174" t="s">
        <v>20</v>
      </c>
      <c r="P388" s="174">
        <v>19.899999999999999</v>
      </c>
    </row>
    <row r="389" spans="1:45" s="174" customFormat="1" ht="35" customHeight="1">
      <c r="A389" s="174">
        <f>ROW()-3</f>
        <v>386</v>
      </c>
      <c r="B389" s="174" t="s">
        <v>14</v>
      </c>
      <c r="C389" s="174" t="s">
        <v>83</v>
      </c>
      <c r="D389" s="174" t="s">
        <v>119</v>
      </c>
      <c r="E389" s="174" t="s">
        <v>120</v>
      </c>
      <c r="F389" s="174" t="s">
        <v>298</v>
      </c>
      <c r="G389" s="174" t="s">
        <v>299</v>
      </c>
      <c r="H389" s="174" t="s">
        <v>300</v>
      </c>
      <c r="I389" s="174" t="s">
        <v>29</v>
      </c>
      <c r="J389" s="174" t="s">
        <v>34</v>
      </c>
      <c r="K389" s="174" t="s">
        <v>93</v>
      </c>
      <c r="L389" s="177">
        <v>43921</v>
      </c>
      <c r="M389" s="174">
        <v>101</v>
      </c>
      <c r="N389" s="179">
        <v>25.25</v>
      </c>
      <c r="O389" s="174" t="s">
        <v>20</v>
      </c>
      <c r="P389" s="174">
        <v>199</v>
      </c>
    </row>
    <row r="390" spans="1:45" s="174" customFormat="1" ht="35" customHeight="1">
      <c r="A390" s="174">
        <f>ROW()-3</f>
        <v>387</v>
      </c>
      <c r="B390" s="174" t="s">
        <v>14</v>
      </c>
      <c r="C390" s="174" t="s">
        <v>83</v>
      </c>
      <c r="D390" s="174" t="s">
        <v>106</v>
      </c>
      <c r="E390" s="174" t="s">
        <v>175</v>
      </c>
      <c r="F390" s="174" t="s">
        <v>301</v>
      </c>
      <c r="G390" s="174" t="s">
        <v>302</v>
      </c>
      <c r="H390" s="174" t="s">
        <v>303</v>
      </c>
      <c r="I390" s="174" t="s">
        <v>17</v>
      </c>
      <c r="J390" s="174" t="s">
        <v>34</v>
      </c>
      <c r="K390" s="174" t="s">
        <v>98</v>
      </c>
      <c r="L390" s="177">
        <v>43923</v>
      </c>
      <c r="M390" s="174">
        <v>24</v>
      </c>
      <c r="N390" s="179">
        <v>7.35</v>
      </c>
      <c r="O390" s="174" t="s">
        <v>20</v>
      </c>
      <c r="P390" s="174">
        <v>99</v>
      </c>
    </row>
    <row r="391" spans="1:45" s="174" customFormat="1" ht="35" customHeight="1">
      <c r="A391" s="174">
        <f>ROW()-3</f>
        <v>388</v>
      </c>
      <c r="B391" s="174" t="s">
        <v>14</v>
      </c>
      <c r="C391" s="174" t="s">
        <v>83</v>
      </c>
      <c r="D391" s="174" t="s">
        <v>596</v>
      </c>
      <c r="E391" s="174" t="s">
        <v>304</v>
      </c>
      <c r="F391" s="174" t="s">
        <v>305</v>
      </c>
      <c r="G391" s="174" t="s">
        <v>306</v>
      </c>
      <c r="H391" s="174" t="s">
        <v>307</v>
      </c>
      <c r="I391" s="174" t="s">
        <v>29</v>
      </c>
      <c r="J391" s="174" t="s">
        <v>39</v>
      </c>
      <c r="K391" s="174" t="s">
        <v>25</v>
      </c>
      <c r="L391" s="177">
        <v>43928</v>
      </c>
      <c r="M391" s="174">
        <v>20</v>
      </c>
      <c r="N391" s="179">
        <v>3.5</v>
      </c>
      <c r="O391" s="174" t="s">
        <v>20</v>
      </c>
      <c r="P391" s="174">
        <v>49.9</v>
      </c>
    </row>
    <row r="392" spans="1:45" s="174" customFormat="1" ht="35" customHeight="1">
      <c r="A392" s="174">
        <f>ROW()-3</f>
        <v>389</v>
      </c>
      <c r="B392" s="174" t="s">
        <v>14</v>
      </c>
      <c r="C392" s="174" t="s">
        <v>83</v>
      </c>
      <c r="D392" s="174" t="s">
        <v>119</v>
      </c>
      <c r="E392" s="174" t="s">
        <v>120</v>
      </c>
      <c r="F392" s="174" t="s">
        <v>308</v>
      </c>
      <c r="G392" s="174" t="s">
        <v>309</v>
      </c>
      <c r="H392" s="174" t="s">
        <v>310</v>
      </c>
      <c r="I392" s="174" t="s">
        <v>29</v>
      </c>
      <c r="J392" s="174" t="s">
        <v>34</v>
      </c>
      <c r="K392" s="174" t="s">
        <v>19</v>
      </c>
      <c r="L392" s="177">
        <v>43931</v>
      </c>
      <c r="M392" s="174">
        <v>1735</v>
      </c>
      <c r="N392" s="179">
        <v>166.64</v>
      </c>
      <c r="O392" s="174" t="s">
        <v>30</v>
      </c>
      <c r="P392" s="174">
        <v>299</v>
      </c>
    </row>
    <row r="393" spans="1:45" s="174" customFormat="1" ht="35" customHeight="1">
      <c r="A393" s="174">
        <f>ROW()-3</f>
        <v>390</v>
      </c>
      <c r="B393" s="174" t="s">
        <v>14</v>
      </c>
      <c r="C393" s="174" t="s">
        <v>83</v>
      </c>
      <c r="D393" s="174" t="s">
        <v>155</v>
      </c>
      <c r="E393" s="174" t="s">
        <v>156</v>
      </c>
      <c r="F393" s="174" t="s">
        <v>311</v>
      </c>
      <c r="G393" s="174" t="s">
        <v>312</v>
      </c>
      <c r="H393" s="174" t="s">
        <v>313</v>
      </c>
      <c r="I393" s="174" t="s">
        <v>29</v>
      </c>
      <c r="J393" s="174" t="s">
        <v>24</v>
      </c>
      <c r="K393" s="174" t="s">
        <v>93</v>
      </c>
      <c r="L393" s="177">
        <v>43938</v>
      </c>
      <c r="M393" s="174">
        <v>62</v>
      </c>
      <c r="N393" s="179">
        <v>13.69</v>
      </c>
      <c r="O393" s="174" t="s">
        <v>30</v>
      </c>
      <c r="P393" s="174">
        <v>99</v>
      </c>
    </row>
    <row r="394" spans="1:45" s="174" customFormat="1" ht="35" customHeight="1">
      <c r="A394" s="174">
        <f>ROW()-3</f>
        <v>391</v>
      </c>
      <c r="B394" s="174" t="s">
        <v>14</v>
      </c>
      <c r="C394" s="174" t="s">
        <v>83</v>
      </c>
      <c r="D394" s="174" t="s">
        <v>155</v>
      </c>
      <c r="E394" s="174" t="s">
        <v>156</v>
      </c>
      <c r="F394" s="174" t="s">
        <v>314</v>
      </c>
      <c r="G394" s="174" t="s">
        <v>315</v>
      </c>
      <c r="H394" s="174" t="s">
        <v>316</v>
      </c>
      <c r="I394" s="174" t="s">
        <v>29</v>
      </c>
      <c r="J394" s="174" t="s">
        <v>24</v>
      </c>
      <c r="K394" s="174" t="s">
        <v>93</v>
      </c>
      <c r="L394" s="177">
        <v>43941</v>
      </c>
      <c r="M394" s="174">
        <v>20</v>
      </c>
      <c r="N394" s="179">
        <v>3.34</v>
      </c>
      <c r="O394" s="174" t="s">
        <v>20</v>
      </c>
      <c r="P394" s="174">
        <v>129</v>
      </c>
    </row>
    <row r="395" spans="1:45" s="174" customFormat="1" ht="35" customHeight="1">
      <c r="A395" s="174">
        <f>ROW()-3</f>
        <v>392</v>
      </c>
      <c r="B395" s="174" t="s">
        <v>14</v>
      </c>
      <c r="C395" s="174" t="s">
        <v>83</v>
      </c>
      <c r="D395" s="174" t="s">
        <v>155</v>
      </c>
      <c r="E395" s="174" t="s">
        <v>156</v>
      </c>
      <c r="F395" s="174" t="s">
        <v>317</v>
      </c>
      <c r="G395" s="174" t="s">
        <v>318</v>
      </c>
      <c r="H395" s="174" t="s">
        <v>319</v>
      </c>
      <c r="I395" s="174" t="s">
        <v>29</v>
      </c>
      <c r="J395" s="174" t="s">
        <v>24</v>
      </c>
      <c r="K395" s="174" t="s">
        <v>25</v>
      </c>
      <c r="L395" s="177">
        <v>43943</v>
      </c>
      <c r="M395" s="174">
        <v>48</v>
      </c>
      <c r="N395" s="179">
        <v>10.74</v>
      </c>
      <c r="O395" s="174" t="s">
        <v>20</v>
      </c>
      <c r="P395" s="174">
        <v>99</v>
      </c>
    </row>
    <row r="396" spans="1:45" s="174" customFormat="1" ht="35" customHeight="1">
      <c r="A396" s="174">
        <f>ROW()-3</f>
        <v>393</v>
      </c>
      <c r="B396" s="174" t="s">
        <v>14</v>
      </c>
      <c r="C396" s="174" t="s">
        <v>83</v>
      </c>
      <c r="D396" s="174" t="s">
        <v>187</v>
      </c>
      <c r="E396" s="174" t="s">
        <v>2674</v>
      </c>
      <c r="F396" s="174" t="s">
        <v>320</v>
      </c>
      <c r="G396" s="174" t="s">
        <v>321</v>
      </c>
      <c r="H396" s="174" t="s">
        <v>322</v>
      </c>
      <c r="I396" s="174" t="s">
        <v>29</v>
      </c>
      <c r="J396" s="174" t="s">
        <v>34</v>
      </c>
      <c r="K396" s="174" t="s">
        <v>93</v>
      </c>
      <c r="L396" s="177">
        <v>43945</v>
      </c>
      <c r="M396" s="174">
        <v>103</v>
      </c>
      <c r="N396" s="179">
        <v>23.79</v>
      </c>
      <c r="O396" s="174" t="s">
        <v>20</v>
      </c>
      <c r="P396" s="174">
        <v>199</v>
      </c>
    </row>
    <row r="397" spans="1:45" s="251" customFormat="1" ht="35" customHeight="1">
      <c r="A397" s="174">
        <f>ROW()-3</f>
        <v>394</v>
      </c>
      <c r="B397" s="174" t="s">
        <v>14</v>
      </c>
      <c r="C397" s="174" t="s">
        <v>83</v>
      </c>
      <c r="D397" s="174" t="s">
        <v>106</v>
      </c>
      <c r="E397" s="174" t="s">
        <v>175</v>
      </c>
      <c r="F397" s="174" t="s">
        <v>323</v>
      </c>
      <c r="G397" s="174" t="s">
        <v>324</v>
      </c>
      <c r="H397" s="174" t="s">
        <v>176</v>
      </c>
      <c r="I397" s="174" t="s">
        <v>17</v>
      </c>
      <c r="J397" s="174" t="s">
        <v>34</v>
      </c>
      <c r="K397" s="174" t="s">
        <v>98</v>
      </c>
      <c r="L397" s="177">
        <v>43951</v>
      </c>
      <c r="M397" s="174">
        <v>10</v>
      </c>
      <c r="N397" s="179">
        <v>4.26</v>
      </c>
      <c r="O397" s="174" t="s">
        <v>20</v>
      </c>
      <c r="P397" s="174">
        <v>99</v>
      </c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174"/>
      <c r="AB397" s="174"/>
      <c r="AC397" s="174"/>
      <c r="AD397" s="174"/>
      <c r="AE397" s="174"/>
      <c r="AF397" s="174"/>
      <c r="AG397" s="174"/>
      <c r="AH397" s="174"/>
      <c r="AI397" s="174"/>
      <c r="AJ397" s="174"/>
      <c r="AK397" s="174"/>
      <c r="AL397" s="174"/>
      <c r="AM397" s="174"/>
      <c r="AN397" s="174"/>
      <c r="AO397" s="174"/>
      <c r="AP397" s="174"/>
      <c r="AQ397" s="174"/>
      <c r="AR397" s="174"/>
      <c r="AS397" s="174"/>
    </row>
    <row r="398" spans="1:45" s="174" customFormat="1" ht="35" customHeight="1">
      <c r="A398" s="174">
        <f>ROW()-3</f>
        <v>395</v>
      </c>
      <c r="B398" s="174" t="s">
        <v>14</v>
      </c>
      <c r="C398" s="174" t="s">
        <v>83</v>
      </c>
      <c r="D398" s="174" t="s">
        <v>106</v>
      </c>
      <c r="E398" s="174" t="s">
        <v>175</v>
      </c>
      <c r="F398" s="174" t="s">
        <v>325</v>
      </c>
      <c r="G398" s="174" t="s">
        <v>326</v>
      </c>
      <c r="H398" s="174" t="s">
        <v>176</v>
      </c>
      <c r="I398" s="174" t="s">
        <v>17</v>
      </c>
      <c r="J398" s="174" t="s">
        <v>34</v>
      </c>
      <c r="K398" s="174" t="s">
        <v>98</v>
      </c>
      <c r="L398" s="177">
        <v>43951</v>
      </c>
      <c r="M398" s="174">
        <v>10</v>
      </c>
      <c r="N398" s="179">
        <v>3.79</v>
      </c>
      <c r="O398" s="174" t="s">
        <v>20</v>
      </c>
      <c r="P398" s="174">
        <v>119</v>
      </c>
    </row>
    <row r="399" spans="1:45" s="174" customFormat="1" ht="35" customHeight="1">
      <c r="A399" s="174">
        <f>ROW()-3</f>
        <v>396</v>
      </c>
      <c r="B399" s="174" t="s">
        <v>14</v>
      </c>
      <c r="C399" s="174" t="s">
        <v>83</v>
      </c>
      <c r="D399" s="174" t="s">
        <v>106</v>
      </c>
      <c r="E399" s="174" t="s">
        <v>175</v>
      </c>
      <c r="F399" s="174" t="s">
        <v>327</v>
      </c>
      <c r="G399" s="174" t="s">
        <v>328</v>
      </c>
      <c r="H399" s="174" t="s">
        <v>176</v>
      </c>
      <c r="I399" s="174" t="s">
        <v>17</v>
      </c>
      <c r="J399" s="174" t="s">
        <v>34</v>
      </c>
      <c r="K399" s="174" t="s">
        <v>98</v>
      </c>
      <c r="L399" s="177">
        <v>43951</v>
      </c>
      <c r="M399" s="174">
        <v>11</v>
      </c>
      <c r="N399" s="179">
        <v>3.11</v>
      </c>
      <c r="O399" s="174" t="s">
        <v>20</v>
      </c>
      <c r="P399" s="174">
        <v>149</v>
      </c>
    </row>
    <row r="400" spans="1:45" s="174" customFormat="1" ht="35" customHeight="1">
      <c r="A400" s="174">
        <f>ROW()-3</f>
        <v>397</v>
      </c>
      <c r="B400" s="174" t="s">
        <v>14</v>
      </c>
      <c r="C400" s="174" t="s">
        <v>83</v>
      </c>
      <c r="D400" s="174" t="s">
        <v>187</v>
      </c>
      <c r="E400" s="174" t="s">
        <v>188</v>
      </c>
      <c r="F400" s="174" t="s">
        <v>329</v>
      </c>
      <c r="G400" s="174" t="s">
        <v>330</v>
      </c>
      <c r="H400" s="174" t="s">
        <v>331</v>
      </c>
      <c r="I400" s="174" t="s">
        <v>29</v>
      </c>
      <c r="J400" s="174" t="s">
        <v>34</v>
      </c>
      <c r="K400" s="174" t="s">
        <v>35</v>
      </c>
      <c r="L400" s="177">
        <v>43960</v>
      </c>
      <c r="M400" s="174">
        <v>13</v>
      </c>
      <c r="N400" s="179">
        <v>2.08</v>
      </c>
      <c r="O400" s="174" t="s">
        <v>20</v>
      </c>
      <c r="P400" s="174">
        <v>199</v>
      </c>
    </row>
    <row r="401" spans="1:45" s="174" customFormat="1" ht="35" customHeight="1">
      <c r="A401" s="174">
        <f>ROW()-3</f>
        <v>398</v>
      </c>
      <c r="B401" s="174" t="s">
        <v>14</v>
      </c>
      <c r="C401" s="174" t="s">
        <v>83</v>
      </c>
      <c r="D401" s="174" t="s">
        <v>978</v>
      </c>
      <c r="E401" s="174" t="s">
        <v>979</v>
      </c>
      <c r="F401" s="174" t="s">
        <v>332</v>
      </c>
      <c r="G401" s="174" t="s">
        <v>333</v>
      </c>
      <c r="H401" s="174" t="s">
        <v>334</v>
      </c>
      <c r="I401" s="174" t="s">
        <v>29</v>
      </c>
      <c r="J401" s="174" t="s">
        <v>24</v>
      </c>
      <c r="K401" s="174" t="s">
        <v>93</v>
      </c>
      <c r="L401" s="177">
        <v>43966</v>
      </c>
      <c r="M401" s="174">
        <v>38</v>
      </c>
      <c r="N401" s="179">
        <v>7.34</v>
      </c>
      <c r="O401" s="174" t="s">
        <v>20</v>
      </c>
      <c r="P401" s="174">
        <v>199</v>
      </c>
    </row>
    <row r="402" spans="1:45" s="174" customFormat="1" ht="35" customHeight="1">
      <c r="A402" s="174">
        <f>ROW()-3</f>
        <v>399</v>
      </c>
      <c r="B402" s="174" t="s">
        <v>14</v>
      </c>
      <c r="C402" s="174" t="s">
        <v>83</v>
      </c>
      <c r="D402" s="174" t="s">
        <v>155</v>
      </c>
      <c r="E402" s="174" t="s">
        <v>202</v>
      </c>
      <c r="F402" s="174" t="s">
        <v>2483</v>
      </c>
      <c r="G402" s="174" t="s">
        <v>335</v>
      </c>
      <c r="H402" s="174" t="s">
        <v>336</v>
      </c>
      <c r="I402" s="174" t="s">
        <v>29</v>
      </c>
      <c r="J402" s="174" t="s">
        <v>160</v>
      </c>
      <c r="K402" s="174" t="s">
        <v>19</v>
      </c>
      <c r="L402" s="177">
        <v>43966</v>
      </c>
      <c r="M402" s="174">
        <v>57</v>
      </c>
      <c r="N402" s="179">
        <v>11.12</v>
      </c>
      <c r="O402" s="174" t="s">
        <v>20</v>
      </c>
      <c r="P402" s="174">
        <v>199</v>
      </c>
    </row>
    <row r="403" spans="1:45" s="174" customFormat="1" ht="35" customHeight="1">
      <c r="A403" s="174">
        <f>ROW()-3</f>
        <v>400</v>
      </c>
      <c r="B403" s="174" t="s">
        <v>14</v>
      </c>
      <c r="C403" s="174" t="s">
        <v>83</v>
      </c>
      <c r="D403" s="174" t="s">
        <v>106</v>
      </c>
      <c r="E403" s="174" t="s">
        <v>107</v>
      </c>
      <c r="F403" s="174" t="s">
        <v>337</v>
      </c>
      <c r="G403" s="174" t="s">
        <v>338</v>
      </c>
      <c r="H403" s="174" t="s">
        <v>110</v>
      </c>
      <c r="I403" s="174" t="s">
        <v>29</v>
      </c>
      <c r="J403" s="174" t="s">
        <v>34</v>
      </c>
      <c r="K403" s="174" t="s">
        <v>35</v>
      </c>
      <c r="L403" s="177">
        <v>43966</v>
      </c>
      <c r="M403" s="174">
        <v>62</v>
      </c>
      <c r="N403" s="179">
        <v>11.11</v>
      </c>
      <c r="O403" s="174" t="s">
        <v>20</v>
      </c>
      <c r="P403" s="174">
        <v>198</v>
      </c>
    </row>
    <row r="404" spans="1:45" s="174" customFormat="1" ht="35" customHeight="1">
      <c r="A404" s="181">
        <f>ROW()-3</f>
        <v>401</v>
      </c>
      <c r="B404" s="181" t="s">
        <v>14</v>
      </c>
      <c r="C404" s="181" t="s">
        <v>83</v>
      </c>
      <c r="D404" s="181" t="s">
        <v>119</v>
      </c>
      <c r="E404" s="181" t="s">
        <v>5355</v>
      </c>
      <c r="F404" s="181" t="s">
        <v>5364</v>
      </c>
      <c r="G404" s="181" t="s">
        <v>340</v>
      </c>
      <c r="H404" s="181" t="s">
        <v>341</v>
      </c>
      <c r="I404" s="181" t="s">
        <v>29</v>
      </c>
      <c r="J404" s="181" t="s">
        <v>34</v>
      </c>
      <c r="K404" s="181" t="s">
        <v>93</v>
      </c>
      <c r="L404" s="177">
        <v>43970</v>
      </c>
      <c r="M404" s="181">
        <v>60</v>
      </c>
      <c r="N404" s="179">
        <v>10</v>
      </c>
      <c r="O404" s="181" t="s">
        <v>20</v>
      </c>
      <c r="P404" s="181">
        <v>99</v>
      </c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81"/>
      <c r="AJ404" s="181"/>
      <c r="AK404" s="181"/>
      <c r="AL404" s="181"/>
      <c r="AM404" s="181"/>
      <c r="AN404" s="181"/>
      <c r="AO404" s="181"/>
      <c r="AP404" s="181"/>
      <c r="AQ404" s="181"/>
      <c r="AR404" s="181"/>
      <c r="AS404" s="181"/>
    </row>
    <row r="405" spans="1:45" s="174" customFormat="1" ht="35" customHeight="1">
      <c r="A405" s="174">
        <f>ROW()-3</f>
        <v>402</v>
      </c>
      <c r="B405" s="174" t="s">
        <v>14</v>
      </c>
      <c r="C405" s="174" t="s">
        <v>83</v>
      </c>
      <c r="D405" s="174" t="s">
        <v>119</v>
      </c>
      <c r="E405" s="174" t="s">
        <v>342</v>
      </c>
      <c r="F405" s="174" t="s">
        <v>343</v>
      </c>
      <c r="G405" s="174" t="s">
        <v>344</v>
      </c>
      <c r="H405" s="174" t="s">
        <v>345</v>
      </c>
      <c r="I405" s="174" t="s">
        <v>17</v>
      </c>
      <c r="J405" s="174" t="s">
        <v>34</v>
      </c>
      <c r="K405" s="174" t="s">
        <v>63</v>
      </c>
      <c r="L405" s="177">
        <v>43975</v>
      </c>
      <c r="M405" s="174">
        <v>12</v>
      </c>
      <c r="N405" s="179">
        <v>5.4</v>
      </c>
      <c r="O405" s="174" t="s">
        <v>20</v>
      </c>
      <c r="P405" s="174">
        <v>99</v>
      </c>
    </row>
    <row r="406" spans="1:45" s="174" customFormat="1" ht="35" customHeight="1">
      <c r="A406" s="174">
        <f>ROW()-3</f>
        <v>403</v>
      </c>
      <c r="B406" s="174" t="s">
        <v>14</v>
      </c>
      <c r="C406" s="174" t="s">
        <v>83</v>
      </c>
      <c r="D406" s="174" t="s">
        <v>187</v>
      </c>
      <c r="E406" s="174" t="s">
        <v>2674</v>
      </c>
      <c r="F406" s="174" t="s">
        <v>346</v>
      </c>
      <c r="G406" s="174" t="s">
        <v>347</v>
      </c>
      <c r="H406" s="174" t="s">
        <v>348</v>
      </c>
      <c r="I406" s="174" t="s">
        <v>29</v>
      </c>
      <c r="J406" s="174" t="s">
        <v>34</v>
      </c>
      <c r="K406" s="174" t="s">
        <v>35</v>
      </c>
      <c r="L406" s="177">
        <v>43978</v>
      </c>
      <c r="M406" s="174">
        <v>466</v>
      </c>
      <c r="N406" s="179">
        <v>62.1</v>
      </c>
      <c r="O406" s="174" t="s">
        <v>30</v>
      </c>
      <c r="P406" s="174">
        <v>199</v>
      </c>
    </row>
    <row r="407" spans="1:45" s="174" customFormat="1" ht="35" customHeight="1">
      <c r="A407" s="174">
        <f>ROW()-3</f>
        <v>404</v>
      </c>
      <c r="B407" s="174" t="s">
        <v>14</v>
      </c>
      <c r="C407" s="174" t="s">
        <v>83</v>
      </c>
      <c r="D407" s="174" t="s">
        <v>119</v>
      </c>
      <c r="E407" s="174" t="s">
        <v>161</v>
      </c>
      <c r="F407" s="174" t="s">
        <v>349</v>
      </c>
      <c r="G407" s="174" t="s">
        <v>350</v>
      </c>
      <c r="H407" s="174" t="s">
        <v>351</v>
      </c>
      <c r="I407" s="174" t="s">
        <v>29</v>
      </c>
      <c r="J407" s="174" t="s">
        <v>34</v>
      </c>
      <c r="K407" s="174" t="s">
        <v>93</v>
      </c>
      <c r="L407" s="177">
        <v>43991</v>
      </c>
      <c r="M407" s="174">
        <v>304</v>
      </c>
      <c r="N407" s="179">
        <v>50.6</v>
      </c>
      <c r="O407" s="174" t="s">
        <v>20</v>
      </c>
      <c r="P407" s="174">
        <v>199</v>
      </c>
    </row>
    <row r="408" spans="1:45" s="174" customFormat="1" ht="35" customHeight="1">
      <c r="A408" s="174">
        <f>ROW()-3</f>
        <v>405</v>
      </c>
      <c r="B408" s="174" t="s">
        <v>14</v>
      </c>
      <c r="C408" s="174" t="s">
        <v>83</v>
      </c>
      <c r="D408" s="174" t="s">
        <v>119</v>
      </c>
      <c r="E408" s="174" t="s">
        <v>161</v>
      </c>
      <c r="F408" s="174" t="s">
        <v>352</v>
      </c>
      <c r="G408" s="174" t="s">
        <v>353</v>
      </c>
      <c r="H408" s="174" t="s">
        <v>354</v>
      </c>
      <c r="I408" s="174" t="s">
        <v>29</v>
      </c>
      <c r="J408" s="174" t="s">
        <v>34</v>
      </c>
      <c r="K408" s="174" t="s">
        <v>154</v>
      </c>
      <c r="L408" s="177">
        <v>43998</v>
      </c>
      <c r="M408" s="174">
        <v>75</v>
      </c>
      <c r="N408" s="179">
        <v>36.299999999999997</v>
      </c>
      <c r="O408" s="174" t="s">
        <v>20</v>
      </c>
      <c r="P408" s="174">
        <v>199</v>
      </c>
    </row>
    <row r="409" spans="1:45" s="174" customFormat="1" ht="35" customHeight="1">
      <c r="A409" s="174">
        <f>ROW()-3</f>
        <v>406</v>
      </c>
      <c r="B409" s="174" t="s">
        <v>14</v>
      </c>
      <c r="C409" s="174" t="s">
        <v>83</v>
      </c>
      <c r="D409" s="174" t="s">
        <v>187</v>
      </c>
      <c r="E409" s="174" t="s">
        <v>355</v>
      </c>
      <c r="F409" s="174" t="s">
        <v>356</v>
      </c>
      <c r="G409" s="174" t="s">
        <v>357</v>
      </c>
      <c r="H409" s="174" t="s">
        <v>358</v>
      </c>
      <c r="I409" s="174" t="s">
        <v>29</v>
      </c>
      <c r="J409" s="174" t="s">
        <v>18</v>
      </c>
      <c r="K409" s="174" t="s">
        <v>19</v>
      </c>
      <c r="L409" s="177">
        <v>44003</v>
      </c>
      <c r="M409" s="174">
        <v>30</v>
      </c>
      <c r="N409" s="179">
        <v>3.6</v>
      </c>
      <c r="O409" s="174" t="s">
        <v>20</v>
      </c>
      <c r="P409" s="174">
        <v>99</v>
      </c>
    </row>
    <row r="410" spans="1:45" s="174" customFormat="1" ht="35" customHeight="1">
      <c r="A410" s="174">
        <f>ROW()-3</f>
        <v>407</v>
      </c>
      <c r="B410" s="174" t="s">
        <v>14</v>
      </c>
      <c r="C410" s="174" t="s">
        <v>83</v>
      </c>
      <c r="D410" s="174" t="s">
        <v>187</v>
      </c>
      <c r="E410" s="174" t="s">
        <v>2674</v>
      </c>
      <c r="F410" s="174" t="s">
        <v>2484</v>
      </c>
      <c r="G410" s="174" t="s">
        <v>359</v>
      </c>
      <c r="H410" s="174" t="s">
        <v>360</v>
      </c>
      <c r="I410" s="174" t="s">
        <v>29</v>
      </c>
      <c r="J410" s="174" t="s">
        <v>34</v>
      </c>
      <c r="K410" s="174" t="s">
        <v>19</v>
      </c>
      <c r="L410" s="177">
        <v>44019</v>
      </c>
      <c r="M410" s="174">
        <v>55</v>
      </c>
      <c r="N410" s="179">
        <v>11</v>
      </c>
      <c r="O410" s="174" t="s">
        <v>20</v>
      </c>
      <c r="P410" s="174" t="s">
        <v>2708</v>
      </c>
    </row>
    <row r="411" spans="1:45" s="174" customFormat="1" ht="35" customHeight="1">
      <c r="A411" s="174">
        <f>ROW()-3</f>
        <v>408</v>
      </c>
      <c r="B411" s="174" t="s">
        <v>14</v>
      </c>
      <c r="C411" s="174" t="s">
        <v>83</v>
      </c>
      <c r="D411" s="174" t="s">
        <v>84</v>
      </c>
      <c r="E411" s="174" t="s">
        <v>94</v>
      </c>
      <c r="F411" s="174" t="s">
        <v>361</v>
      </c>
      <c r="G411" s="174" t="s">
        <v>362</v>
      </c>
      <c r="H411" s="174" t="s">
        <v>363</v>
      </c>
      <c r="I411" s="174" t="s">
        <v>29</v>
      </c>
      <c r="J411" s="174" t="s">
        <v>34</v>
      </c>
      <c r="K411" s="174" t="s">
        <v>364</v>
      </c>
      <c r="L411" s="177">
        <v>44032</v>
      </c>
      <c r="M411" s="174">
        <v>14</v>
      </c>
      <c r="N411" s="179">
        <v>2.8</v>
      </c>
      <c r="O411" s="174" t="s">
        <v>20</v>
      </c>
      <c r="P411" s="174">
        <v>99</v>
      </c>
    </row>
    <row r="412" spans="1:45" s="174" customFormat="1" ht="35" customHeight="1">
      <c r="A412" s="174">
        <f>ROW()-3</f>
        <v>409</v>
      </c>
      <c r="B412" s="174" t="s">
        <v>14</v>
      </c>
      <c r="C412" s="174" t="s">
        <v>83</v>
      </c>
      <c r="D412" s="174" t="s">
        <v>736</v>
      </c>
      <c r="E412" s="174" t="s">
        <v>732</v>
      </c>
      <c r="F412" s="174" t="s">
        <v>365</v>
      </c>
      <c r="G412" s="174" t="s">
        <v>366</v>
      </c>
      <c r="H412" s="174" t="s">
        <v>367</v>
      </c>
      <c r="I412" s="174" t="s">
        <v>29</v>
      </c>
      <c r="J412" s="174" t="s">
        <v>34</v>
      </c>
      <c r="K412" s="174" t="s">
        <v>19</v>
      </c>
      <c r="L412" s="177">
        <v>44039</v>
      </c>
      <c r="M412" s="174">
        <v>61</v>
      </c>
      <c r="N412" s="179">
        <v>7.5</v>
      </c>
      <c r="O412" s="174" t="s">
        <v>20</v>
      </c>
      <c r="P412" s="174">
        <v>199</v>
      </c>
    </row>
    <row r="413" spans="1:45" s="174" customFormat="1" ht="35" customHeight="1">
      <c r="A413" s="174">
        <f>ROW()-3</f>
        <v>410</v>
      </c>
      <c r="B413" s="174" t="s">
        <v>14</v>
      </c>
      <c r="C413" s="174" t="s">
        <v>83</v>
      </c>
      <c r="D413" s="174" t="s">
        <v>220</v>
      </c>
      <c r="E413" s="174" t="s">
        <v>263</v>
      </c>
      <c r="F413" s="174" t="s">
        <v>368</v>
      </c>
      <c r="G413" s="174" t="s">
        <v>369</v>
      </c>
      <c r="H413" s="174" t="s">
        <v>370</v>
      </c>
      <c r="I413" s="174" t="s">
        <v>29</v>
      </c>
      <c r="J413" s="174" t="s">
        <v>34</v>
      </c>
      <c r="K413" s="174" t="s">
        <v>19</v>
      </c>
      <c r="L413" s="177">
        <v>44046</v>
      </c>
      <c r="M413" s="174">
        <v>57</v>
      </c>
      <c r="N413" s="179">
        <v>14.25</v>
      </c>
      <c r="O413" s="174" t="s">
        <v>20</v>
      </c>
      <c r="P413" s="174">
        <v>69</v>
      </c>
    </row>
    <row r="414" spans="1:45" s="174" customFormat="1" ht="35" customHeight="1">
      <c r="A414" s="174">
        <f>ROW()-3</f>
        <v>411</v>
      </c>
      <c r="B414" s="174" t="s">
        <v>14</v>
      </c>
      <c r="C414" s="174" t="s">
        <v>83</v>
      </c>
      <c r="D414" s="174" t="s">
        <v>119</v>
      </c>
      <c r="E414" s="174" t="s">
        <v>161</v>
      </c>
      <c r="F414" s="174" t="s">
        <v>371</v>
      </c>
      <c r="G414" s="174" t="s">
        <v>372</v>
      </c>
      <c r="H414" s="174" t="s">
        <v>373</v>
      </c>
      <c r="I414" s="174" t="s">
        <v>17</v>
      </c>
      <c r="J414" s="174" t="s">
        <v>34</v>
      </c>
      <c r="K414" s="174" t="s">
        <v>154</v>
      </c>
      <c r="L414" s="177">
        <v>44054</v>
      </c>
      <c r="M414" s="174">
        <v>22</v>
      </c>
      <c r="N414" s="179">
        <v>4.4000000000000004</v>
      </c>
      <c r="O414" s="174" t="s">
        <v>20</v>
      </c>
      <c r="P414" s="174">
        <v>99</v>
      </c>
    </row>
    <row r="415" spans="1:45" s="174" customFormat="1" ht="35" customHeight="1">
      <c r="A415" s="174">
        <f>ROW()-3</f>
        <v>412</v>
      </c>
      <c r="B415" s="174" t="s">
        <v>14</v>
      </c>
      <c r="C415" s="174" t="s">
        <v>83</v>
      </c>
      <c r="D415" s="174" t="s">
        <v>119</v>
      </c>
      <c r="E415" s="174" t="s">
        <v>127</v>
      </c>
      <c r="F415" s="174" t="s">
        <v>374</v>
      </c>
      <c r="G415" s="174" t="s">
        <v>375</v>
      </c>
      <c r="H415" s="174" t="s">
        <v>292</v>
      </c>
      <c r="I415" s="174" t="s">
        <v>29</v>
      </c>
      <c r="J415" s="174" t="s">
        <v>34</v>
      </c>
      <c r="K415" s="174" t="s">
        <v>35</v>
      </c>
      <c r="L415" s="177">
        <v>44054</v>
      </c>
      <c r="M415" s="174">
        <v>104</v>
      </c>
      <c r="N415" s="179">
        <v>17.329999999999998</v>
      </c>
      <c r="O415" s="174" t="s">
        <v>20</v>
      </c>
      <c r="P415" s="174">
        <v>399</v>
      </c>
    </row>
    <row r="416" spans="1:45" s="174" customFormat="1" ht="35" customHeight="1">
      <c r="A416" s="174">
        <f>ROW()-3</f>
        <v>413</v>
      </c>
      <c r="B416" s="174" t="s">
        <v>14</v>
      </c>
      <c r="C416" s="174" t="s">
        <v>83</v>
      </c>
      <c r="D416" s="174" t="s">
        <v>119</v>
      </c>
      <c r="E416" s="174" t="s">
        <v>161</v>
      </c>
      <c r="F416" s="174" t="s">
        <v>376</v>
      </c>
      <c r="G416" s="174" t="s">
        <v>377</v>
      </c>
      <c r="H416" s="174" t="s">
        <v>378</v>
      </c>
      <c r="I416" s="174" t="s">
        <v>29</v>
      </c>
      <c r="J416" s="174" t="s">
        <v>34</v>
      </c>
      <c r="K416" s="174" t="s">
        <v>154</v>
      </c>
      <c r="L416" s="177">
        <v>44061</v>
      </c>
      <c r="M416" s="174">
        <v>89</v>
      </c>
      <c r="N416" s="179">
        <v>7.58</v>
      </c>
      <c r="O416" s="174" t="s">
        <v>20</v>
      </c>
      <c r="P416" s="174">
        <v>99</v>
      </c>
    </row>
    <row r="417" spans="1:45" s="174" customFormat="1" ht="35" customHeight="1">
      <c r="A417" s="174">
        <f>ROW()-3</f>
        <v>414</v>
      </c>
      <c r="B417" s="174" t="s">
        <v>14</v>
      </c>
      <c r="C417" s="174" t="s">
        <v>83</v>
      </c>
      <c r="D417" s="174" t="s">
        <v>106</v>
      </c>
      <c r="E417" s="174" t="s">
        <v>175</v>
      </c>
      <c r="F417" s="174" t="s">
        <v>379</v>
      </c>
      <c r="G417" s="174" t="s">
        <v>380</v>
      </c>
      <c r="H417" s="174" t="s">
        <v>186</v>
      </c>
      <c r="I417" s="174" t="s">
        <v>17</v>
      </c>
      <c r="J417" s="174" t="s">
        <v>34</v>
      </c>
      <c r="K417" s="174" t="s">
        <v>98</v>
      </c>
      <c r="L417" s="177">
        <v>44067</v>
      </c>
      <c r="M417" s="174">
        <v>50</v>
      </c>
      <c r="N417" s="179">
        <v>4.16</v>
      </c>
      <c r="O417" s="174" t="s">
        <v>20</v>
      </c>
      <c r="P417" s="174">
        <v>99</v>
      </c>
    </row>
    <row r="418" spans="1:45" s="174" customFormat="1" ht="35" customHeight="1">
      <c r="A418" s="174">
        <f>ROW()-3</f>
        <v>415</v>
      </c>
      <c r="B418" s="174" t="s">
        <v>14</v>
      </c>
      <c r="C418" s="174" t="s">
        <v>83</v>
      </c>
      <c r="D418" s="174" t="s">
        <v>381</v>
      </c>
      <c r="E418" s="174" t="s">
        <v>382</v>
      </c>
      <c r="F418" s="174" t="s">
        <v>383</v>
      </c>
      <c r="G418" s="174" t="s">
        <v>384</v>
      </c>
      <c r="H418" s="174" t="s">
        <v>286</v>
      </c>
      <c r="I418" s="174" t="s">
        <v>29</v>
      </c>
      <c r="J418" s="174" t="s">
        <v>24</v>
      </c>
      <c r="K418" s="174" t="s">
        <v>174</v>
      </c>
      <c r="L418" s="177">
        <v>44068</v>
      </c>
      <c r="M418" s="174">
        <v>20</v>
      </c>
      <c r="N418" s="179">
        <v>5.43</v>
      </c>
      <c r="O418" s="174" t="s">
        <v>20</v>
      </c>
      <c r="P418" s="174">
        <v>98</v>
      </c>
    </row>
    <row r="419" spans="1:45" s="251" customFormat="1" ht="35" customHeight="1">
      <c r="A419" s="174">
        <f>ROW()-3</f>
        <v>416</v>
      </c>
      <c r="B419" s="174" t="s">
        <v>14</v>
      </c>
      <c r="C419" s="174" t="s">
        <v>83</v>
      </c>
      <c r="D419" s="174" t="s">
        <v>155</v>
      </c>
      <c r="E419" s="174" t="s">
        <v>156</v>
      </c>
      <c r="F419" s="174" t="s">
        <v>385</v>
      </c>
      <c r="G419" s="174" t="s">
        <v>386</v>
      </c>
      <c r="H419" s="174" t="s">
        <v>387</v>
      </c>
      <c r="I419" s="174" t="s">
        <v>29</v>
      </c>
      <c r="J419" s="174" t="s">
        <v>24</v>
      </c>
      <c r="K419" s="174" t="s">
        <v>25</v>
      </c>
      <c r="L419" s="177">
        <v>44075</v>
      </c>
      <c r="M419" s="174">
        <v>47</v>
      </c>
      <c r="N419" s="179">
        <v>9.75</v>
      </c>
      <c r="O419" s="174" t="s">
        <v>30</v>
      </c>
      <c r="P419" s="174">
        <v>199</v>
      </c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  <c r="AB419" s="174"/>
      <c r="AC419" s="174"/>
      <c r="AD419" s="174"/>
      <c r="AE419" s="174"/>
      <c r="AF419" s="174"/>
      <c r="AG419" s="174"/>
      <c r="AH419" s="174"/>
      <c r="AI419" s="174"/>
      <c r="AJ419" s="174"/>
      <c r="AK419" s="174"/>
      <c r="AL419" s="174"/>
      <c r="AM419" s="174"/>
      <c r="AN419" s="174"/>
      <c r="AO419" s="174"/>
      <c r="AP419" s="174"/>
      <c r="AQ419" s="174"/>
      <c r="AR419" s="174"/>
      <c r="AS419" s="174"/>
    </row>
    <row r="420" spans="1:45" s="174" customFormat="1" ht="35" customHeight="1">
      <c r="A420" s="174">
        <f>ROW()-3</f>
        <v>417</v>
      </c>
      <c r="B420" s="174" t="s">
        <v>14</v>
      </c>
      <c r="C420" s="174" t="s">
        <v>83</v>
      </c>
      <c r="D420" s="174" t="s">
        <v>155</v>
      </c>
      <c r="E420" s="174" t="s">
        <v>156</v>
      </c>
      <c r="F420" s="174" t="s">
        <v>388</v>
      </c>
      <c r="G420" s="174" t="s">
        <v>389</v>
      </c>
      <c r="H420" s="174" t="s">
        <v>390</v>
      </c>
      <c r="I420" s="174" t="s">
        <v>29</v>
      </c>
      <c r="J420" s="174" t="s">
        <v>24</v>
      </c>
      <c r="K420" s="174" t="s">
        <v>25</v>
      </c>
      <c r="L420" s="177">
        <v>44075</v>
      </c>
      <c r="M420" s="174">
        <v>100</v>
      </c>
      <c r="N420" s="179">
        <v>25.3</v>
      </c>
      <c r="O420" s="174" t="s">
        <v>20</v>
      </c>
      <c r="P420" s="174">
        <v>199</v>
      </c>
    </row>
    <row r="421" spans="1:45" s="174" customFormat="1" ht="35" customHeight="1">
      <c r="A421" s="174">
        <f>ROW()-3</f>
        <v>418</v>
      </c>
      <c r="B421" s="174" t="s">
        <v>14</v>
      </c>
      <c r="C421" s="174" t="s">
        <v>83</v>
      </c>
      <c r="D421" s="174" t="s">
        <v>119</v>
      </c>
      <c r="E421" s="174" t="s">
        <v>127</v>
      </c>
      <c r="F421" s="174" t="s">
        <v>391</v>
      </c>
      <c r="G421" s="174" t="s">
        <v>392</v>
      </c>
      <c r="H421" s="174" t="s">
        <v>393</v>
      </c>
      <c r="I421" s="174" t="s">
        <v>29</v>
      </c>
      <c r="J421" s="174" t="s">
        <v>34</v>
      </c>
      <c r="K421" s="174" t="s">
        <v>35</v>
      </c>
      <c r="L421" s="177">
        <v>44090</v>
      </c>
      <c r="M421" s="174">
        <v>53</v>
      </c>
      <c r="N421" s="179">
        <v>17.600000000000001</v>
      </c>
      <c r="O421" s="174" t="s">
        <v>20</v>
      </c>
      <c r="P421" s="174">
        <v>99</v>
      </c>
    </row>
    <row r="422" spans="1:45" s="174" customFormat="1" ht="35" customHeight="1">
      <c r="A422" s="174">
        <f>ROW()-3</f>
        <v>419</v>
      </c>
      <c r="B422" s="174" t="s">
        <v>14</v>
      </c>
      <c r="C422" s="174" t="s">
        <v>83</v>
      </c>
      <c r="D422" s="174" t="s">
        <v>119</v>
      </c>
      <c r="E422" s="174" t="s">
        <v>120</v>
      </c>
      <c r="F422" s="174" t="s">
        <v>394</v>
      </c>
      <c r="G422" s="174" t="s">
        <v>395</v>
      </c>
      <c r="H422" s="174" t="s">
        <v>396</v>
      </c>
      <c r="I422" s="174" t="s">
        <v>29</v>
      </c>
      <c r="J422" s="174" t="s">
        <v>34</v>
      </c>
      <c r="K422" s="174" t="s">
        <v>93</v>
      </c>
      <c r="L422" s="177">
        <v>44090</v>
      </c>
      <c r="M422" s="174">
        <v>147</v>
      </c>
      <c r="N422" s="179">
        <v>37.700000000000003</v>
      </c>
      <c r="O422" s="174" t="s">
        <v>20</v>
      </c>
      <c r="P422" s="174">
        <v>199</v>
      </c>
    </row>
    <row r="423" spans="1:45" s="174" customFormat="1" ht="35" customHeight="1">
      <c r="A423" s="174">
        <f>ROW()-3</f>
        <v>420</v>
      </c>
      <c r="B423" s="174" t="s">
        <v>14</v>
      </c>
      <c r="C423" s="174" t="s">
        <v>83</v>
      </c>
      <c r="D423" s="174" t="s">
        <v>106</v>
      </c>
      <c r="E423" s="174" t="s">
        <v>115</v>
      </c>
      <c r="F423" s="174" t="s">
        <v>397</v>
      </c>
      <c r="G423" s="174" t="s">
        <v>398</v>
      </c>
      <c r="H423" s="174" t="s">
        <v>399</v>
      </c>
      <c r="I423" s="174" t="s">
        <v>29</v>
      </c>
      <c r="J423" s="174" t="s">
        <v>34</v>
      </c>
      <c r="K423" s="174" t="s">
        <v>53</v>
      </c>
      <c r="L423" s="177">
        <v>44094</v>
      </c>
      <c r="M423" s="174">
        <v>25</v>
      </c>
      <c r="N423" s="179">
        <v>4.1100000000000003</v>
      </c>
      <c r="O423" s="174" t="s">
        <v>20</v>
      </c>
      <c r="P423" s="174">
        <v>199</v>
      </c>
    </row>
    <row r="424" spans="1:45" s="174" customFormat="1" ht="35" customHeight="1">
      <c r="A424" s="174">
        <f>ROW()-3</f>
        <v>421</v>
      </c>
      <c r="B424" s="174" t="s">
        <v>14</v>
      </c>
      <c r="C424" s="174" t="s">
        <v>83</v>
      </c>
      <c r="D424" s="174" t="s">
        <v>119</v>
      </c>
      <c r="E424" s="174" t="s">
        <v>161</v>
      </c>
      <c r="F424" s="174" t="s">
        <v>400</v>
      </c>
      <c r="G424" s="174" t="s">
        <v>401</v>
      </c>
      <c r="H424" s="174" t="s">
        <v>402</v>
      </c>
      <c r="I424" s="174" t="s">
        <v>29</v>
      </c>
      <c r="J424" s="174" t="s">
        <v>34</v>
      </c>
      <c r="K424" s="174" t="s">
        <v>93</v>
      </c>
      <c r="L424" s="177">
        <v>44099</v>
      </c>
      <c r="M424" s="174">
        <v>56</v>
      </c>
      <c r="N424" s="179">
        <v>14</v>
      </c>
      <c r="O424" s="174" t="s">
        <v>20</v>
      </c>
      <c r="P424" s="174">
        <v>129</v>
      </c>
    </row>
    <row r="425" spans="1:45" s="174" customFormat="1" ht="35" customHeight="1">
      <c r="A425" s="181">
        <f>ROW()-3</f>
        <v>422</v>
      </c>
      <c r="B425" s="181" t="s">
        <v>14</v>
      </c>
      <c r="C425" s="181" t="s">
        <v>83</v>
      </c>
      <c r="D425" s="181" t="s">
        <v>119</v>
      </c>
      <c r="E425" s="181" t="s">
        <v>5355</v>
      </c>
      <c r="F425" s="181" t="s">
        <v>405</v>
      </c>
      <c r="G425" s="181" t="s">
        <v>406</v>
      </c>
      <c r="H425" s="181" t="s">
        <v>407</v>
      </c>
      <c r="I425" s="181" t="s">
        <v>29</v>
      </c>
      <c r="J425" s="181" t="s">
        <v>34</v>
      </c>
      <c r="K425" s="181" t="s">
        <v>93</v>
      </c>
      <c r="L425" s="177">
        <v>44116</v>
      </c>
      <c r="M425" s="181">
        <v>46</v>
      </c>
      <c r="N425" s="179">
        <v>11.5</v>
      </c>
      <c r="O425" s="181" t="s">
        <v>20</v>
      </c>
      <c r="P425" s="181">
        <v>99</v>
      </c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  <c r="AH425" s="181"/>
      <c r="AI425" s="181"/>
      <c r="AJ425" s="181"/>
      <c r="AK425" s="181"/>
      <c r="AL425" s="181"/>
      <c r="AM425" s="181"/>
      <c r="AN425" s="181"/>
      <c r="AO425" s="181"/>
      <c r="AP425" s="181"/>
      <c r="AQ425" s="181"/>
      <c r="AR425" s="181"/>
      <c r="AS425" s="181"/>
    </row>
    <row r="426" spans="1:45" s="174" customFormat="1" ht="35" customHeight="1">
      <c r="A426" s="174">
        <f>ROW()-3</f>
        <v>423</v>
      </c>
      <c r="B426" s="174" t="s">
        <v>14</v>
      </c>
      <c r="C426" s="174" t="s">
        <v>83</v>
      </c>
      <c r="D426" s="174" t="s">
        <v>106</v>
      </c>
      <c r="E426" s="174" t="s">
        <v>115</v>
      </c>
      <c r="F426" s="174" t="s">
        <v>403</v>
      </c>
      <c r="G426" s="174" t="s">
        <v>404</v>
      </c>
      <c r="H426" s="174" t="s">
        <v>208</v>
      </c>
      <c r="I426" s="174" t="s">
        <v>29</v>
      </c>
      <c r="J426" s="174" t="s">
        <v>34</v>
      </c>
      <c r="K426" s="174" t="s">
        <v>35</v>
      </c>
      <c r="L426" s="177">
        <v>44116</v>
      </c>
      <c r="M426" s="174">
        <v>53</v>
      </c>
      <c r="N426" s="179">
        <v>8.83</v>
      </c>
      <c r="O426" s="174" t="s">
        <v>20</v>
      </c>
      <c r="P426" s="174">
        <v>99</v>
      </c>
    </row>
    <row r="427" spans="1:45" s="174" customFormat="1" ht="35" customHeight="1">
      <c r="A427" s="174">
        <f>ROW()-3</f>
        <v>424</v>
      </c>
      <c r="B427" s="174" t="s">
        <v>14</v>
      </c>
      <c r="C427" s="174" t="s">
        <v>83</v>
      </c>
      <c r="D427" s="174" t="s">
        <v>155</v>
      </c>
      <c r="E427" s="174" t="s">
        <v>408</v>
      </c>
      <c r="F427" s="174" t="s">
        <v>409</v>
      </c>
      <c r="G427" s="174" t="s">
        <v>410</v>
      </c>
      <c r="H427" s="174" t="s">
        <v>411</v>
      </c>
      <c r="I427" s="174" t="s">
        <v>29</v>
      </c>
      <c r="J427" s="174" t="s">
        <v>173</v>
      </c>
      <c r="K427" s="174" t="s">
        <v>174</v>
      </c>
      <c r="L427" s="177">
        <v>44118</v>
      </c>
      <c r="M427" s="174">
        <v>46</v>
      </c>
      <c r="N427" s="179">
        <v>5.37</v>
      </c>
      <c r="O427" s="174" t="s">
        <v>20</v>
      </c>
      <c r="P427" s="174">
        <v>99</v>
      </c>
    </row>
    <row r="428" spans="1:45" s="174" customFormat="1" ht="35" customHeight="1">
      <c r="A428" s="174">
        <f>ROW()-3</f>
        <v>425</v>
      </c>
      <c r="B428" s="174" t="s">
        <v>14</v>
      </c>
      <c r="C428" s="174" t="s">
        <v>83</v>
      </c>
      <c r="D428" s="174" t="s">
        <v>106</v>
      </c>
      <c r="E428" s="174" t="s">
        <v>115</v>
      </c>
      <c r="F428" s="174" t="s">
        <v>412</v>
      </c>
      <c r="G428" s="174" t="s">
        <v>413</v>
      </c>
      <c r="H428" s="174" t="s">
        <v>414</v>
      </c>
      <c r="I428" s="174" t="s">
        <v>29</v>
      </c>
      <c r="J428" s="174" t="s">
        <v>34</v>
      </c>
      <c r="K428" s="174" t="s">
        <v>63</v>
      </c>
      <c r="L428" s="177">
        <v>44118</v>
      </c>
      <c r="M428" s="174">
        <v>23</v>
      </c>
      <c r="N428" s="179">
        <v>10</v>
      </c>
      <c r="O428" s="174" t="s">
        <v>20</v>
      </c>
      <c r="P428" s="174">
        <v>169</v>
      </c>
    </row>
    <row r="429" spans="1:45" s="174" customFormat="1" ht="35" customHeight="1">
      <c r="A429" s="174">
        <f>ROW()-3</f>
        <v>426</v>
      </c>
      <c r="B429" s="174" t="s">
        <v>14</v>
      </c>
      <c r="C429" s="174" t="s">
        <v>83</v>
      </c>
      <c r="D429" s="174" t="s">
        <v>187</v>
      </c>
      <c r="E429" s="174" t="s">
        <v>2674</v>
      </c>
      <c r="F429" s="174" t="s">
        <v>415</v>
      </c>
      <c r="G429" s="174" t="s">
        <v>416</v>
      </c>
      <c r="H429" s="174" t="s">
        <v>417</v>
      </c>
      <c r="I429" s="174" t="s">
        <v>29</v>
      </c>
      <c r="J429" s="174" t="s">
        <v>34</v>
      </c>
      <c r="K429" s="174" t="s">
        <v>98</v>
      </c>
      <c r="L429" s="177">
        <v>44120</v>
      </c>
      <c r="M429" s="174">
        <v>18</v>
      </c>
      <c r="N429" s="179">
        <v>5.9</v>
      </c>
      <c r="O429" s="174" t="s">
        <v>20</v>
      </c>
      <c r="P429" s="174">
        <v>99</v>
      </c>
    </row>
    <row r="430" spans="1:45" s="174" customFormat="1" ht="35" customHeight="1">
      <c r="A430" s="174">
        <f>ROW()-3</f>
        <v>427</v>
      </c>
      <c r="B430" s="174" t="s">
        <v>14</v>
      </c>
      <c r="C430" s="174" t="s">
        <v>83</v>
      </c>
      <c r="D430" s="174" t="s">
        <v>187</v>
      </c>
      <c r="E430" s="174" t="s">
        <v>355</v>
      </c>
      <c r="F430" s="174" t="s">
        <v>418</v>
      </c>
      <c r="G430" s="174" t="s">
        <v>419</v>
      </c>
      <c r="H430" s="174" t="s">
        <v>420</v>
      </c>
      <c r="I430" s="174" t="s">
        <v>29</v>
      </c>
      <c r="J430" s="174" t="s">
        <v>18</v>
      </c>
      <c r="K430" s="174" t="s">
        <v>19</v>
      </c>
      <c r="L430" s="177">
        <v>44125</v>
      </c>
      <c r="M430" s="174">
        <v>53</v>
      </c>
      <c r="N430" s="179">
        <v>8.83</v>
      </c>
      <c r="O430" s="174" t="s">
        <v>20</v>
      </c>
      <c r="P430" s="174">
        <v>99</v>
      </c>
    </row>
    <row r="431" spans="1:45" s="174" customFormat="1" ht="35" customHeight="1">
      <c r="A431" s="174">
        <f>ROW()-3</f>
        <v>428</v>
      </c>
      <c r="B431" s="174" t="s">
        <v>14</v>
      </c>
      <c r="C431" s="174" t="s">
        <v>83</v>
      </c>
      <c r="D431" s="174" t="s">
        <v>84</v>
      </c>
      <c r="E431" s="174" t="s">
        <v>421</v>
      </c>
      <c r="F431" s="174" t="s">
        <v>422</v>
      </c>
      <c r="G431" s="174" t="s">
        <v>423</v>
      </c>
      <c r="H431" s="174" t="s">
        <v>424</v>
      </c>
      <c r="I431" s="174" t="s">
        <v>29</v>
      </c>
      <c r="J431" s="174" t="s">
        <v>34</v>
      </c>
      <c r="K431" s="174" t="s">
        <v>98</v>
      </c>
      <c r="L431" s="177">
        <v>44126</v>
      </c>
      <c r="M431" s="174">
        <v>79</v>
      </c>
      <c r="N431" s="179">
        <v>19.75</v>
      </c>
      <c r="O431" s="174" t="s">
        <v>20</v>
      </c>
      <c r="P431" s="174">
        <v>99</v>
      </c>
    </row>
    <row r="432" spans="1:45" s="174" customFormat="1" ht="35" customHeight="1">
      <c r="A432" s="174">
        <f>ROW()-3</f>
        <v>429</v>
      </c>
      <c r="B432" s="174" t="s">
        <v>14</v>
      </c>
      <c r="C432" s="174" t="s">
        <v>83</v>
      </c>
      <c r="D432" s="174" t="s">
        <v>84</v>
      </c>
      <c r="E432" s="174" t="s">
        <v>111</v>
      </c>
      <c r="F432" s="174" t="s">
        <v>425</v>
      </c>
      <c r="G432" s="174" t="s">
        <v>426</v>
      </c>
      <c r="H432" s="174" t="s">
        <v>427</v>
      </c>
      <c r="I432" s="174" t="s">
        <v>29</v>
      </c>
      <c r="J432" s="174" t="s">
        <v>34</v>
      </c>
      <c r="K432" s="174" t="s">
        <v>98</v>
      </c>
      <c r="L432" s="177">
        <v>44137</v>
      </c>
      <c r="M432" s="174">
        <v>9</v>
      </c>
      <c r="N432" s="179">
        <v>1.1000000000000001</v>
      </c>
      <c r="O432" s="174" t="s">
        <v>20</v>
      </c>
      <c r="P432" s="174">
        <v>19.899999999999999</v>
      </c>
    </row>
    <row r="433" spans="1:45" s="174" customFormat="1" ht="35" customHeight="1">
      <c r="A433" s="174">
        <f>ROW()-3</f>
        <v>430</v>
      </c>
      <c r="B433" s="174" t="s">
        <v>14</v>
      </c>
      <c r="C433" s="174" t="s">
        <v>83</v>
      </c>
      <c r="D433" s="174" t="s">
        <v>5164</v>
      </c>
      <c r="E433" s="174" t="s">
        <v>428</v>
      </c>
      <c r="F433" s="174" t="s">
        <v>429</v>
      </c>
      <c r="G433" s="174" t="s">
        <v>430</v>
      </c>
      <c r="H433" s="174" t="s">
        <v>431</v>
      </c>
      <c r="I433" s="174" t="s">
        <v>17</v>
      </c>
      <c r="J433" s="174" t="s">
        <v>34</v>
      </c>
      <c r="K433" s="174" t="s">
        <v>98</v>
      </c>
      <c r="L433" s="177">
        <v>44140</v>
      </c>
      <c r="M433" s="174">
        <v>28</v>
      </c>
      <c r="N433" s="179">
        <v>18.670000000000002</v>
      </c>
      <c r="O433" s="174" t="s">
        <v>20</v>
      </c>
      <c r="P433" s="174">
        <v>699</v>
      </c>
    </row>
    <row r="434" spans="1:45" s="174" customFormat="1" ht="35" customHeight="1">
      <c r="A434" s="174">
        <f>ROW()-3</f>
        <v>431</v>
      </c>
      <c r="B434" s="174" t="s">
        <v>14</v>
      </c>
      <c r="C434" s="174" t="s">
        <v>83</v>
      </c>
      <c r="D434" s="174" t="s">
        <v>155</v>
      </c>
      <c r="E434" s="174" t="s">
        <v>408</v>
      </c>
      <c r="F434" s="174" t="s">
        <v>432</v>
      </c>
      <c r="G434" s="174" t="s">
        <v>433</v>
      </c>
      <c r="H434" s="174" t="s">
        <v>434</v>
      </c>
      <c r="I434" s="174" t="s">
        <v>17</v>
      </c>
      <c r="J434" s="174" t="s">
        <v>173</v>
      </c>
      <c r="K434" s="174" t="s">
        <v>174</v>
      </c>
      <c r="L434" s="177">
        <v>44148</v>
      </c>
      <c r="M434" s="174">
        <v>4</v>
      </c>
      <c r="N434" s="179">
        <v>2.5</v>
      </c>
      <c r="O434" s="174" t="s">
        <v>20</v>
      </c>
      <c r="P434" s="174">
        <v>39</v>
      </c>
    </row>
    <row r="435" spans="1:45" s="174" customFormat="1" ht="35" customHeight="1">
      <c r="A435" s="174">
        <f>ROW()-3</f>
        <v>432</v>
      </c>
      <c r="B435" s="174" t="s">
        <v>14</v>
      </c>
      <c r="C435" s="174" t="s">
        <v>83</v>
      </c>
      <c r="D435" s="174" t="s">
        <v>119</v>
      </c>
      <c r="E435" s="174" t="s">
        <v>161</v>
      </c>
      <c r="F435" s="174" t="s">
        <v>435</v>
      </c>
      <c r="G435" s="174" t="s">
        <v>436</v>
      </c>
      <c r="H435" s="174" t="s">
        <v>437</v>
      </c>
      <c r="I435" s="174" t="s">
        <v>29</v>
      </c>
      <c r="J435" s="174" t="s">
        <v>34</v>
      </c>
      <c r="K435" s="174" t="s">
        <v>154</v>
      </c>
      <c r="L435" s="177">
        <v>44154</v>
      </c>
      <c r="M435" s="174">
        <v>42</v>
      </c>
      <c r="N435" s="179">
        <v>14</v>
      </c>
      <c r="O435" s="174" t="s">
        <v>20</v>
      </c>
      <c r="P435" s="174">
        <v>198</v>
      </c>
    </row>
    <row r="436" spans="1:45" s="174" customFormat="1" ht="35" customHeight="1">
      <c r="A436" s="174">
        <f>ROW()-3</f>
        <v>433</v>
      </c>
      <c r="B436" s="174" t="s">
        <v>14</v>
      </c>
      <c r="C436" s="174" t="s">
        <v>83</v>
      </c>
      <c r="D436" s="174" t="s">
        <v>84</v>
      </c>
      <c r="E436" s="174" t="s">
        <v>94</v>
      </c>
      <c r="F436" s="174" t="s">
        <v>438</v>
      </c>
      <c r="G436" s="174" t="s">
        <v>439</v>
      </c>
      <c r="H436" s="174" t="s">
        <v>440</v>
      </c>
      <c r="I436" s="174" t="s">
        <v>17</v>
      </c>
      <c r="J436" s="174" t="s">
        <v>34</v>
      </c>
      <c r="K436" s="174" t="s">
        <v>35</v>
      </c>
      <c r="L436" s="177">
        <v>44154</v>
      </c>
      <c r="M436" s="174">
        <v>25</v>
      </c>
      <c r="N436" s="179">
        <v>6.5</v>
      </c>
      <c r="O436" s="174" t="s">
        <v>20</v>
      </c>
      <c r="P436" s="174">
        <v>99</v>
      </c>
    </row>
    <row r="437" spans="1:45" s="174" customFormat="1" ht="35" customHeight="1">
      <c r="A437" s="174">
        <f>ROW()-3</f>
        <v>434</v>
      </c>
      <c r="B437" s="174" t="s">
        <v>14</v>
      </c>
      <c r="C437" s="174" t="s">
        <v>83</v>
      </c>
      <c r="D437" s="174" t="s">
        <v>84</v>
      </c>
      <c r="E437" s="174" t="s">
        <v>94</v>
      </c>
      <c r="F437" s="174" t="s">
        <v>441</v>
      </c>
      <c r="G437" s="174" t="s">
        <v>442</v>
      </c>
      <c r="H437" s="174" t="s">
        <v>443</v>
      </c>
      <c r="I437" s="174" t="s">
        <v>29</v>
      </c>
      <c r="J437" s="174" t="s">
        <v>34</v>
      </c>
      <c r="K437" s="174" t="s">
        <v>63</v>
      </c>
      <c r="L437" s="177">
        <v>44155</v>
      </c>
      <c r="M437" s="174">
        <v>39</v>
      </c>
      <c r="N437" s="179">
        <v>6.5</v>
      </c>
      <c r="O437" s="174" t="s">
        <v>20</v>
      </c>
      <c r="P437" s="174">
        <v>99</v>
      </c>
    </row>
    <row r="438" spans="1:45" s="174" customFormat="1" ht="35" customHeight="1">
      <c r="A438" s="174">
        <f>ROW()-3</f>
        <v>435</v>
      </c>
      <c r="B438" s="174" t="s">
        <v>14</v>
      </c>
      <c r="C438" s="174" t="s">
        <v>83</v>
      </c>
      <c r="D438" s="174" t="s">
        <v>155</v>
      </c>
      <c r="E438" s="174" t="s">
        <v>202</v>
      </c>
      <c r="F438" s="174" t="s">
        <v>444</v>
      </c>
      <c r="G438" s="174" t="s">
        <v>445</v>
      </c>
      <c r="H438" s="174" t="s">
        <v>446</v>
      </c>
      <c r="I438" s="174" t="s">
        <v>29</v>
      </c>
      <c r="J438" s="174" t="s">
        <v>160</v>
      </c>
      <c r="K438" s="174" t="s">
        <v>19</v>
      </c>
      <c r="L438" s="177">
        <v>44161</v>
      </c>
      <c r="M438" s="174">
        <v>56</v>
      </c>
      <c r="N438" s="179">
        <v>93</v>
      </c>
      <c r="O438" s="174" t="s">
        <v>20</v>
      </c>
      <c r="P438" s="174">
        <v>199</v>
      </c>
    </row>
    <row r="439" spans="1:45" s="174" customFormat="1" ht="35" customHeight="1">
      <c r="A439" s="174">
        <f>ROW()-3</f>
        <v>436</v>
      </c>
      <c r="B439" s="174" t="s">
        <v>14</v>
      </c>
      <c r="C439" s="174" t="s">
        <v>83</v>
      </c>
      <c r="D439" s="174" t="s">
        <v>84</v>
      </c>
      <c r="E439" s="174" t="s">
        <v>94</v>
      </c>
      <c r="F439" s="174" t="s">
        <v>447</v>
      </c>
      <c r="G439" s="174" t="s">
        <v>448</v>
      </c>
      <c r="H439" s="174" t="s">
        <v>449</v>
      </c>
      <c r="I439" s="174" t="s">
        <v>29</v>
      </c>
      <c r="J439" s="174" t="s">
        <v>34</v>
      </c>
      <c r="K439" s="174" t="s">
        <v>35</v>
      </c>
      <c r="L439" s="177">
        <v>44165</v>
      </c>
      <c r="M439" s="174">
        <v>47</v>
      </c>
      <c r="N439" s="179">
        <v>7.83</v>
      </c>
      <c r="O439" s="174" t="s">
        <v>20</v>
      </c>
      <c r="P439" s="174">
        <v>199</v>
      </c>
    </row>
    <row r="440" spans="1:45" s="174" customFormat="1" ht="35" customHeight="1">
      <c r="A440" s="174">
        <f>ROW()-3</f>
        <v>437</v>
      </c>
      <c r="B440" s="174" t="s">
        <v>14</v>
      </c>
      <c r="C440" s="174" t="s">
        <v>83</v>
      </c>
      <c r="D440" s="174" t="s">
        <v>155</v>
      </c>
      <c r="E440" s="174" t="s">
        <v>156</v>
      </c>
      <c r="F440" s="174" t="s">
        <v>450</v>
      </c>
      <c r="G440" s="174" t="s">
        <v>451</v>
      </c>
      <c r="H440" s="174" t="s">
        <v>452</v>
      </c>
      <c r="I440" s="174" t="s">
        <v>29</v>
      </c>
      <c r="J440" s="174" t="s">
        <v>18</v>
      </c>
      <c r="K440" s="174" t="s">
        <v>19</v>
      </c>
      <c r="L440" s="177">
        <v>44167</v>
      </c>
      <c r="M440" s="174">
        <v>91</v>
      </c>
      <c r="N440" s="179">
        <v>15.16</v>
      </c>
      <c r="O440" s="174" t="s">
        <v>20</v>
      </c>
      <c r="P440" s="174">
        <v>199</v>
      </c>
    </row>
    <row r="441" spans="1:45" s="174" customFormat="1" ht="35" customHeight="1">
      <c r="A441" s="174">
        <f>ROW()-3</f>
        <v>438</v>
      </c>
      <c r="B441" s="174" t="s">
        <v>14</v>
      </c>
      <c r="C441" s="174" t="s">
        <v>83</v>
      </c>
      <c r="D441" s="174" t="s">
        <v>119</v>
      </c>
      <c r="E441" s="174" t="s">
        <v>120</v>
      </c>
      <c r="F441" s="174" t="s">
        <v>453</v>
      </c>
      <c r="G441" s="174" t="s">
        <v>454</v>
      </c>
      <c r="H441" s="174" t="s">
        <v>351</v>
      </c>
      <c r="I441" s="174" t="s">
        <v>29</v>
      </c>
      <c r="J441" s="174" t="s">
        <v>34</v>
      </c>
      <c r="K441" s="174" t="s">
        <v>19</v>
      </c>
      <c r="L441" s="177">
        <v>44174</v>
      </c>
      <c r="M441" s="174">
        <v>94</v>
      </c>
      <c r="N441" s="179">
        <v>6.23</v>
      </c>
      <c r="O441" s="174" t="s">
        <v>20</v>
      </c>
      <c r="P441" s="174">
        <v>199</v>
      </c>
    </row>
    <row r="442" spans="1:45" s="174" customFormat="1" ht="35" customHeight="1">
      <c r="A442" s="174">
        <f>ROW()-3</f>
        <v>439</v>
      </c>
      <c r="B442" s="174" t="s">
        <v>14</v>
      </c>
      <c r="C442" s="174" t="s">
        <v>83</v>
      </c>
      <c r="D442" s="174" t="s">
        <v>155</v>
      </c>
      <c r="E442" s="174" t="s">
        <v>202</v>
      </c>
      <c r="F442" s="174" t="s">
        <v>455</v>
      </c>
      <c r="G442" s="174" t="s">
        <v>456</v>
      </c>
      <c r="H442" s="174" t="s">
        <v>457</v>
      </c>
      <c r="I442" s="174" t="s">
        <v>29</v>
      </c>
      <c r="J442" s="174" t="s">
        <v>18</v>
      </c>
      <c r="K442" s="174" t="s">
        <v>19</v>
      </c>
      <c r="L442" s="177">
        <v>44175</v>
      </c>
      <c r="M442" s="174">
        <v>88</v>
      </c>
      <c r="N442" s="179">
        <v>9.5</v>
      </c>
      <c r="O442" s="174" t="s">
        <v>20</v>
      </c>
      <c r="P442" s="174">
        <v>129</v>
      </c>
    </row>
    <row r="443" spans="1:45" s="174" customFormat="1" ht="35" customHeight="1">
      <c r="A443" s="174">
        <f>ROW()-3</f>
        <v>440</v>
      </c>
      <c r="B443" s="174" t="s">
        <v>14</v>
      </c>
      <c r="C443" s="174" t="s">
        <v>83</v>
      </c>
      <c r="D443" s="174" t="s">
        <v>84</v>
      </c>
      <c r="E443" s="174" t="s">
        <v>85</v>
      </c>
      <c r="F443" s="174" t="s">
        <v>458</v>
      </c>
      <c r="G443" s="174" t="s">
        <v>459</v>
      </c>
      <c r="H443" s="174" t="s">
        <v>460</v>
      </c>
      <c r="I443" s="174" t="s">
        <v>29</v>
      </c>
      <c r="J443" s="174" t="s">
        <v>34</v>
      </c>
      <c r="K443" s="174" t="s">
        <v>35</v>
      </c>
      <c r="L443" s="177">
        <v>44176</v>
      </c>
      <c r="M443" s="174">
        <v>28</v>
      </c>
      <c r="N443" s="179">
        <v>4.67</v>
      </c>
      <c r="O443" s="174" t="s">
        <v>20</v>
      </c>
      <c r="P443" s="174">
        <v>99</v>
      </c>
    </row>
    <row r="444" spans="1:45" s="174" customFormat="1" ht="35" customHeight="1">
      <c r="A444" s="174">
        <f>ROW()-3</f>
        <v>441</v>
      </c>
      <c r="B444" s="174" t="s">
        <v>14</v>
      </c>
      <c r="C444" s="174" t="s">
        <v>83</v>
      </c>
      <c r="D444" s="174" t="s">
        <v>119</v>
      </c>
      <c r="E444" s="174" t="s">
        <v>127</v>
      </c>
      <c r="F444" s="174" t="s">
        <v>461</v>
      </c>
      <c r="G444" s="174" t="s">
        <v>462</v>
      </c>
      <c r="H444" s="174" t="s">
        <v>463</v>
      </c>
      <c r="I444" s="174" t="s">
        <v>29</v>
      </c>
      <c r="J444" s="174" t="s">
        <v>39</v>
      </c>
      <c r="K444" s="174" t="s">
        <v>25</v>
      </c>
      <c r="L444" s="177">
        <v>44181</v>
      </c>
      <c r="M444" s="174">
        <v>40</v>
      </c>
      <c r="N444" s="179">
        <v>7.5</v>
      </c>
      <c r="O444" s="174" t="s">
        <v>20</v>
      </c>
      <c r="P444" s="174">
        <v>99</v>
      </c>
    </row>
    <row r="445" spans="1:45" s="251" customFormat="1" ht="35" customHeight="1">
      <c r="A445" s="174">
        <f>ROW()-3</f>
        <v>442</v>
      </c>
      <c r="B445" s="174" t="s">
        <v>14</v>
      </c>
      <c r="C445" s="174" t="s">
        <v>83</v>
      </c>
      <c r="D445" s="174" t="s">
        <v>119</v>
      </c>
      <c r="E445" s="174" t="s">
        <v>127</v>
      </c>
      <c r="F445" s="174" t="s">
        <v>464</v>
      </c>
      <c r="G445" s="174" t="s">
        <v>465</v>
      </c>
      <c r="H445" s="174" t="s">
        <v>466</v>
      </c>
      <c r="I445" s="174" t="s">
        <v>29</v>
      </c>
      <c r="J445" s="174" t="s">
        <v>39</v>
      </c>
      <c r="K445" s="174" t="s">
        <v>35</v>
      </c>
      <c r="L445" s="177">
        <v>44181</v>
      </c>
      <c r="M445" s="174">
        <v>25</v>
      </c>
      <c r="N445" s="179">
        <v>5</v>
      </c>
      <c r="O445" s="174" t="s">
        <v>20</v>
      </c>
      <c r="P445" s="174">
        <v>99</v>
      </c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  <c r="AB445" s="174"/>
      <c r="AC445" s="174"/>
      <c r="AD445" s="174"/>
      <c r="AE445" s="174"/>
      <c r="AF445" s="174"/>
      <c r="AG445" s="174"/>
      <c r="AH445" s="174"/>
      <c r="AI445" s="174"/>
      <c r="AJ445" s="174"/>
      <c r="AK445" s="174"/>
      <c r="AL445" s="174"/>
      <c r="AM445" s="174"/>
      <c r="AN445" s="174"/>
      <c r="AO445" s="174"/>
      <c r="AP445" s="174"/>
      <c r="AQ445" s="174"/>
      <c r="AR445" s="174"/>
      <c r="AS445" s="174"/>
    </row>
    <row r="446" spans="1:45" s="174" customFormat="1" ht="35" customHeight="1">
      <c r="A446" s="174">
        <f>ROW()-3</f>
        <v>443</v>
      </c>
      <c r="B446" s="174" t="s">
        <v>14</v>
      </c>
      <c r="C446" s="174" t="s">
        <v>83</v>
      </c>
      <c r="D446" s="174" t="s">
        <v>84</v>
      </c>
      <c r="E446" s="174" t="s">
        <v>102</v>
      </c>
      <c r="F446" s="174" t="s">
        <v>467</v>
      </c>
      <c r="G446" s="174" t="s">
        <v>468</v>
      </c>
      <c r="H446" s="174" t="s">
        <v>272</v>
      </c>
      <c r="I446" s="174" t="s">
        <v>29</v>
      </c>
      <c r="J446" s="174" t="s">
        <v>39</v>
      </c>
      <c r="K446" s="174" t="s">
        <v>25</v>
      </c>
      <c r="L446" s="177">
        <v>44183</v>
      </c>
      <c r="M446" s="174">
        <v>37</v>
      </c>
      <c r="N446" s="179">
        <v>9.25</v>
      </c>
      <c r="O446" s="174" t="s">
        <v>20</v>
      </c>
      <c r="P446" s="174">
        <v>99</v>
      </c>
    </row>
    <row r="447" spans="1:45" s="174" customFormat="1" ht="35" customHeight="1">
      <c r="A447" s="174">
        <f>ROW()-3</f>
        <v>444</v>
      </c>
      <c r="B447" s="174" t="s">
        <v>14</v>
      </c>
      <c r="C447" s="174" t="s">
        <v>83</v>
      </c>
      <c r="D447" s="174" t="s">
        <v>84</v>
      </c>
      <c r="E447" s="174" t="s">
        <v>85</v>
      </c>
      <c r="F447" s="174" t="s">
        <v>469</v>
      </c>
      <c r="G447" s="174" t="s">
        <v>470</v>
      </c>
      <c r="H447" s="174" t="s">
        <v>471</v>
      </c>
      <c r="I447" s="174" t="s">
        <v>29</v>
      </c>
      <c r="J447" s="174" t="s">
        <v>39</v>
      </c>
      <c r="K447" s="174" t="s">
        <v>25</v>
      </c>
      <c r="L447" s="177">
        <v>44189</v>
      </c>
      <c r="M447" s="174">
        <v>27</v>
      </c>
      <c r="N447" s="179">
        <v>4.5</v>
      </c>
      <c r="O447" s="174" t="s">
        <v>20</v>
      </c>
      <c r="P447" s="174">
        <v>69</v>
      </c>
    </row>
    <row r="448" spans="1:45" s="174" customFormat="1" ht="35" customHeight="1">
      <c r="A448" s="174">
        <f>ROW()-3</f>
        <v>445</v>
      </c>
      <c r="B448" s="174" t="s">
        <v>14</v>
      </c>
      <c r="C448" s="174" t="s">
        <v>83</v>
      </c>
      <c r="D448" s="174" t="s">
        <v>155</v>
      </c>
      <c r="E448" s="174" t="s">
        <v>156</v>
      </c>
      <c r="F448" s="174" t="s">
        <v>472</v>
      </c>
      <c r="G448" s="174" t="s">
        <v>473</v>
      </c>
      <c r="H448" s="174" t="s">
        <v>474</v>
      </c>
      <c r="I448" s="174" t="s">
        <v>29</v>
      </c>
      <c r="J448" s="174" t="s">
        <v>34</v>
      </c>
      <c r="K448" s="174" t="s">
        <v>19</v>
      </c>
      <c r="L448" s="177">
        <v>44195</v>
      </c>
      <c r="M448" s="174">
        <v>120</v>
      </c>
      <c r="N448" s="179">
        <v>20</v>
      </c>
      <c r="O448" s="174" t="s">
        <v>20</v>
      </c>
      <c r="P448" s="174">
        <v>29</v>
      </c>
    </row>
    <row r="449" spans="1:45" s="174" customFormat="1" ht="35" customHeight="1">
      <c r="A449" s="174">
        <f>ROW()-3</f>
        <v>446</v>
      </c>
      <c r="B449" s="174" t="s">
        <v>14</v>
      </c>
      <c r="C449" s="174" t="s">
        <v>83</v>
      </c>
      <c r="D449" s="174" t="s">
        <v>220</v>
      </c>
      <c r="E449" s="174" t="s">
        <v>2672</v>
      </c>
      <c r="F449" s="174" t="s">
        <v>475</v>
      </c>
      <c r="G449" s="174" t="s">
        <v>2485</v>
      </c>
      <c r="H449" s="174" t="s">
        <v>476</v>
      </c>
      <c r="I449" s="174" t="s">
        <v>29</v>
      </c>
      <c r="J449" s="174" t="s">
        <v>34</v>
      </c>
      <c r="K449" s="174" t="s">
        <v>19</v>
      </c>
      <c r="L449" s="177">
        <v>44196</v>
      </c>
      <c r="M449" s="174">
        <v>372</v>
      </c>
      <c r="N449" s="179">
        <v>62</v>
      </c>
      <c r="O449" s="174" t="s">
        <v>20</v>
      </c>
      <c r="P449" s="174">
        <v>199</v>
      </c>
    </row>
    <row r="450" spans="1:45" s="174" customFormat="1" ht="35" customHeight="1">
      <c r="A450" s="174">
        <f>ROW()-3</f>
        <v>447</v>
      </c>
      <c r="B450" s="174" t="s">
        <v>14</v>
      </c>
      <c r="C450" s="174" t="s">
        <v>83</v>
      </c>
      <c r="D450" s="174" t="s">
        <v>119</v>
      </c>
      <c r="E450" s="174" t="s">
        <v>127</v>
      </c>
      <c r="F450" s="174" t="s">
        <v>477</v>
      </c>
      <c r="G450" s="174" t="s">
        <v>478</v>
      </c>
      <c r="H450" s="174" t="s">
        <v>479</v>
      </c>
      <c r="I450" s="174" t="s">
        <v>29</v>
      </c>
      <c r="J450" s="174" t="s">
        <v>39</v>
      </c>
      <c r="K450" s="174" t="s">
        <v>25</v>
      </c>
      <c r="L450" s="177">
        <v>44196</v>
      </c>
      <c r="M450" s="174">
        <v>18</v>
      </c>
      <c r="N450" s="179">
        <v>2</v>
      </c>
      <c r="O450" s="174" t="s">
        <v>20</v>
      </c>
      <c r="P450" s="174">
        <v>69</v>
      </c>
    </row>
    <row r="451" spans="1:45" s="174" customFormat="1" ht="35" customHeight="1">
      <c r="A451" s="174">
        <f>ROW()-3</f>
        <v>448</v>
      </c>
      <c r="B451" s="174" t="s">
        <v>14</v>
      </c>
      <c r="C451" s="174" t="s">
        <v>83</v>
      </c>
      <c r="D451" s="174" t="s">
        <v>119</v>
      </c>
      <c r="E451" s="174" t="s">
        <v>127</v>
      </c>
      <c r="F451" s="174" t="s">
        <v>480</v>
      </c>
      <c r="G451" s="174" t="s">
        <v>481</v>
      </c>
      <c r="H451" s="174" t="s">
        <v>482</v>
      </c>
      <c r="I451" s="174" t="s">
        <v>29</v>
      </c>
      <c r="J451" s="174" t="s">
        <v>39</v>
      </c>
      <c r="K451" s="174" t="s">
        <v>25</v>
      </c>
      <c r="L451" s="177">
        <v>44196</v>
      </c>
      <c r="M451" s="174">
        <v>6</v>
      </c>
      <c r="N451" s="179">
        <v>1.8</v>
      </c>
      <c r="O451" s="174" t="s">
        <v>20</v>
      </c>
      <c r="P451" s="174">
        <v>9.9</v>
      </c>
    </row>
    <row r="452" spans="1:45" s="174" customFormat="1" ht="35" customHeight="1">
      <c r="A452" s="181">
        <f>ROW()-3</f>
        <v>449</v>
      </c>
      <c r="B452" s="181" t="s">
        <v>14</v>
      </c>
      <c r="C452" s="181" t="s">
        <v>83</v>
      </c>
      <c r="D452" s="181" t="s">
        <v>119</v>
      </c>
      <c r="E452" s="181" t="s">
        <v>5355</v>
      </c>
      <c r="F452" s="181" t="s">
        <v>483</v>
      </c>
      <c r="G452" s="181" t="s">
        <v>484</v>
      </c>
      <c r="H452" s="181" t="s">
        <v>485</v>
      </c>
      <c r="I452" s="181" t="s">
        <v>29</v>
      </c>
      <c r="J452" s="181" t="s">
        <v>34</v>
      </c>
      <c r="K452" s="181" t="s">
        <v>93</v>
      </c>
      <c r="L452" s="177">
        <v>44200</v>
      </c>
      <c r="M452" s="181">
        <v>40</v>
      </c>
      <c r="N452" s="179">
        <v>5.5</v>
      </c>
      <c r="O452" s="181" t="s">
        <v>20</v>
      </c>
      <c r="P452" s="181">
        <v>39</v>
      </c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  <c r="AD452" s="181"/>
      <c r="AE452" s="181"/>
      <c r="AF452" s="181"/>
      <c r="AG452" s="181"/>
      <c r="AH452" s="181"/>
      <c r="AI452" s="181"/>
      <c r="AJ452" s="181"/>
      <c r="AK452" s="181"/>
      <c r="AL452" s="181"/>
      <c r="AM452" s="181"/>
      <c r="AN452" s="181"/>
      <c r="AO452" s="181"/>
      <c r="AP452" s="181"/>
      <c r="AQ452" s="181"/>
      <c r="AR452" s="181"/>
      <c r="AS452" s="181"/>
    </row>
    <row r="453" spans="1:45" s="174" customFormat="1" ht="35" customHeight="1">
      <c r="A453" s="174">
        <f>ROW()-3</f>
        <v>450</v>
      </c>
      <c r="B453" s="174" t="s">
        <v>14</v>
      </c>
      <c r="C453" s="174" t="s">
        <v>83</v>
      </c>
      <c r="D453" s="174" t="s">
        <v>119</v>
      </c>
      <c r="E453" s="174" t="s">
        <v>120</v>
      </c>
      <c r="F453" s="174" t="s">
        <v>486</v>
      </c>
      <c r="G453" s="174" t="s">
        <v>487</v>
      </c>
      <c r="H453" s="174" t="s">
        <v>488</v>
      </c>
      <c r="I453" s="174" t="s">
        <v>29</v>
      </c>
      <c r="J453" s="174" t="s">
        <v>34</v>
      </c>
      <c r="K453" s="174" t="s">
        <v>19</v>
      </c>
      <c r="L453" s="177">
        <v>44203</v>
      </c>
      <c r="M453" s="174">
        <v>201</v>
      </c>
      <c r="N453" s="179">
        <v>67</v>
      </c>
      <c r="O453" s="174" t="s">
        <v>20</v>
      </c>
      <c r="P453" s="174">
        <v>199</v>
      </c>
    </row>
    <row r="454" spans="1:45" s="174" customFormat="1" ht="35" customHeight="1">
      <c r="A454" s="174">
        <f>ROW()-3</f>
        <v>451</v>
      </c>
      <c r="B454" s="174" t="s">
        <v>14</v>
      </c>
      <c r="C454" s="174" t="s">
        <v>83</v>
      </c>
      <c r="D454" s="174" t="s">
        <v>119</v>
      </c>
      <c r="E454" s="174" t="s">
        <v>127</v>
      </c>
      <c r="F454" s="174" t="s">
        <v>489</v>
      </c>
      <c r="G454" s="174" t="s">
        <v>490</v>
      </c>
      <c r="H454" s="174" t="s">
        <v>491</v>
      </c>
      <c r="I454" s="174" t="s">
        <v>29</v>
      </c>
      <c r="J454" s="174" t="s">
        <v>39</v>
      </c>
      <c r="K454" s="174" t="s">
        <v>25</v>
      </c>
      <c r="L454" s="177">
        <v>44203</v>
      </c>
      <c r="M454" s="174">
        <v>162</v>
      </c>
      <c r="N454" s="179">
        <v>27</v>
      </c>
      <c r="O454" s="174" t="s">
        <v>20</v>
      </c>
      <c r="P454" s="174">
        <v>198</v>
      </c>
    </row>
    <row r="455" spans="1:45" s="174" customFormat="1" ht="35" customHeight="1">
      <c r="A455" s="174">
        <f>ROW()-3</f>
        <v>452</v>
      </c>
      <c r="B455" s="174" t="s">
        <v>14</v>
      </c>
      <c r="C455" s="174" t="s">
        <v>83</v>
      </c>
      <c r="D455" s="174" t="s">
        <v>84</v>
      </c>
      <c r="E455" s="174" t="s">
        <v>421</v>
      </c>
      <c r="F455" s="174" t="s">
        <v>492</v>
      </c>
      <c r="G455" s="174" t="s">
        <v>493</v>
      </c>
      <c r="H455" s="174" t="s">
        <v>494</v>
      </c>
      <c r="I455" s="174" t="s">
        <v>29</v>
      </c>
      <c r="J455" s="174" t="s">
        <v>34</v>
      </c>
      <c r="K455" s="174" t="s">
        <v>63</v>
      </c>
      <c r="L455" s="177">
        <v>44204</v>
      </c>
      <c r="M455" s="174">
        <v>11</v>
      </c>
      <c r="N455" s="179">
        <v>1.5</v>
      </c>
      <c r="O455" s="174" t="s">
        <v>20</v>
      </c>
      <c r="P455" s="174">
        <v>19.899999999999999</v>
      </c>
    </row>
    <row r="456" spans="1:45" s="174" customFormat="1" ht="35" customHeight="1">
      <c r="A456" s="174">
        <f>ROW()-3</f>
        <v>453</v>
      </c>
      <c r="B456" s="174" t="s">
        <v>14</v>
      </c>
      <c r="C456" s="174" t="s">
        <v>83</v>
      </c>
      <c r="D456" s="174" t="s">
        <v>119</v>
      </c>
      <c r="E456" s="174" t="s">
        <v>161</v>
      </c>
      <c r="F456" s="174" t="s">
        <v>495</v>
      </c>
      <c r="G456" s="174" t="s">
        <v>496</v>
      </c>
      <c r="H456" s="174" t="s">
        <v>497</v>
      </c>
      <c r="I456" s="174" t="s">
        <v>29</v>
      </c>
      <c r="J456" s="174" t="s">
        <v>34</v>
      </c>
      <c r="K456" s="174" t="s">
        <v>154</v>
      </c>
      <c r="L456" s="177">
        <v>44208</v>
      </c>
      <c r="M456" s="174">
        <v>46</v>
      </c>
      <c r="N456" s="179">
        <v>8.3000000000000007</v>
      </c>
      <c r="O456" s="174" t="s">
        <v>20</v>
      </c>
      <c r="P456" s="174">
        <v>199</v>
      </c>
    </row>
    <row r="457" spans="1:45" s="174" customFormat="1" ht="35" customHeight="1">
      <c r="A457" s="174">
        <f>ROW()-3</f>
        <v>454</v>
      </c>
      <c r="B457" s="174" t="s">
        <v>14</v>
      </c>
      <c r="C457" s="174" t="s">
        <v>83</v>
      </c>
      <c r="D457" s="174" t="s">
        <v>119</v>
      </c>
      <c r="E457" s="174" t="s">
        <v>120</v>
      </c>
      <c r="F457" s="174" t="s">
        <v>498</v>
      </c>
      <c r="G457" s="174" t="s">
        <v>499</v>
      </c>
      <c r="H457" s="174" t="s">
        <v>500</v>
      </c>
      <c r="I457" s="174" t="s">
        <v>29</v>
      </c>
      <c r="J457" s="174" t="s">
        <v>34</v>
      </c>
      <c r="K457" s="174" t="s">
        <v>19</v>
      </c>
      <c r="L457" s="177">
        <v>44208</v>
      </c>
      <c r="M457" s="174">
        <v>101</v>
      </c>
      <c r="N457" s="179">
        <v>20.100000000000001</v>
      </c>
      <c r="O457" s="174" t="s">
        <v>20</v>
      </c>
      <c r="P457" s="174">
        <v>199</v>
      </c>
    </row>
    <row r="458" spans="1:45" s="174" customFormat="1" ht="35" customHeight="1">
      <c r="A458" s="174">
        <f>ROW()-3</f>
        <v>455</v>
      </c>
      <c r="B458" s="174" t="s">
        <v>14</v>
      </c>
      <c r="C458" s="174" t="s">
        <v>83</v>
      </c>
      <c r="D458" s="174" t="s">
        <v>119</v>
      </c>
      <c r="E458" s="174" t="s">
        <v>120</v>
      </c>
      <c r="F458" s="174" t="s">
        <v>501</v>
      </c>
      <c r="G458" s="174" t="s">
        <v>502</v>
      </c>
      <c r="H458" s="174" t="s">
        <v>503</v>
      </c>
      <c r="I458" s="174" t="s">
        <v>29</v>
      </c>
      <c r="J458" s="174" t="s">
        <v>34</v>
      </c>
      <c r="K458" s="174" t="s">
        <v>93</v>
      </c>
      <c r="L458" s="177">
        <v>44215</v>
      </c>
      <c r="M458" s="174">
        <v>102</v>
      </c>
      <c r="N458" s="179">
        <v>35</v>
      </c>
      <c r="O458" s="174" t="s">
        <v>20</v>
      </c>
      <c r="P458" s="174">
        <v>199</v>
      </c>
    </row>
    <row r="459" spans="1:45" s="174" customFormat="1" ht="35" customHeight="1">
      <c r="A459" s="174">
        <f>ROW()-3</f>
        <v>456</v>
      </c>
      <c r="B459" s="174" t="s">
        <v>14</v>
      </c>
      <c r="C459" s="174" t="s">
        <v>83</v>
      </c>
      <c r="D459" s="174" t="s">
        <v>119</v>
      </c>
      <c r="E459" s="174" t="s">
        <v>120</v>
      </c>
      <c r="F459" s="174" t="s">
        <v>504</v>
      </c>
      <c r="G459" s="174" t="s">
        <v>505</v>
      </c>
      <c r="H459" s="174" t="s">
        <v>506</v>
      </c>
      <c r="I459" s="174" t="s">
        <v>29</v>
      </c>
      <c r="J459" s="174" t="s">
        <v>34</v>
      </c>
      <c r="K459" s="174" t="s">
        <v>19</v>
      </c>
      <c r="L459" s="177">
        <v>44216</v>
      </c>
      <c r="M459" s="174">
        <v>100</v>
      </c>
      <c r="N459" s="179">
        <v>25</v>
      </c>
      <c r="O459" s="174" t="s">
        <v>20</v>
      </c>
      <c r="P459" s="174">
        <v>199</v>
      </c>
    </row>
    <row r="460" spans="1:45" s="174" customFormat="1" ht="35" customHeight="1">
      <c r="A460" s="174">
        <f>ROW()-3</f>
        <v>457</v>
      </c>
      <c r="B460" s="174" t="s">
        <v>14</v>
      </c>
      <c r="C460" s="174" t="s">
        <v>83</v>
      </c>
      <c r="D460" s="174" t="s">
        <v>155</v>
      </c>
      <c r="E460" s="174" t="s">
        <v>202</v>
      </c>
      <c r="F460" s="174" t="s">
        <v>507</v>
      </c>
      <c r="G460" s="174" t="s">
        <v>508</v>
      </c>
      <c r="H460" s="174" t="s">
        <v>509</v>
      </c>
      <c r="I460" s="174" t="s">
        <v>29</v>
      </c>
      <c r="J460" s="174" t="s">
        <v>24</v>
      </c>
      <c r="K460" s="174" t="s">
        <v>25</v>
      </c>
      <c r="L460" s="177">
        <v>44221</v>
      </c>
      <c r="M460" s="174">
        <v>52</v>
      </c>
      <c r="N460" s="179">
        <v>9.1</v>
      </c>
      <c r="O460" s="174" t="s">
        <v>20</v>
      </c>
      <c r="P460" s="174">
        <v>99</v>
      </c>
    </row>
    <row r="461" spans="1:45" s="174" customFormat="1" ht="35" customHeight="1">
      <c r="A461" s="174">
        <f>ROW()-3</f>
        <v>458</v>
      </c>
      <c r="B461" s="174" t="s">
        <v>14</v>
      </c>
      <c r="C461" s="174" t="s">
        <v>83</v>
      </c>
      <c r="D461" s="174" t="s">
        <v>220</v>
      </c>
      <c r="E461" s="174" t="s">
        <v>2672</v>
      </c>
      <c r="F461" s="174" t="s">
        <v>510</v>
      </c>
      <c r="G461" s="174" t="s">
        <v>511</v>
      </c>
      <c r="H461" s="174" t="s">
        <v>512</v>
      </c>
      <c r="I461" s="174" t="s">
        <v>29</v>
      </c>
      <c r="J461" s="174" t="s">
        <v>24</v>
      </c>
      <c r="K461" s="174" t="s">
        <v>19</v>
      </c>
      <c r="L461" s="177">
        <v>44245</v>
      </c>
      <c r="M461" s="174">
        <v>144</v>
      </c>
      <c r="N461" s="179">
        <v>21.4</v>
      </c>
      <c r="O461" s="174" t="s">
        <v>20</v>
      </c>
      <c r="P461" s="174">
        <v>199</v>
      </c>
    </row>
    <row r="462" spans="1:45" s="174" customFormat="1" ht="35" customHeight="1">
      <c r="A462" s="174">
        <f>ROW()-3</f>
        <v>459</v>
      </c>
      <c r="B462" s="174" t="s">
        <v>14</v>
      </c>
      <c r="C462" s="174" t="s">
        <v>83</v>
      </c>
      <c r="D462" s="174" t="s">
        <v>220</v>
      </c>
      <c r="E462" s="174" t="s">
        <v>513</v>
      </c>
      <c r="F462" s="174" t="s">
        <v>514</v>
      </c>
      <c r="G462" s="174" t="s">
        <v>515</v>
      </c>
      <c r="H462" s="174" t="s">
        <v>286</v>
      </c>
      <c r="I462" s="174" t="s">
        <v>29</v>
      </c>
      <c r="J462" s="174" t="s">
        <v>39</v>
      </c>
      <c r="K462" s="174" t="s">
        <v>516</v>
      </c>
      <c r="L462" s="177">
        <v>44247</v>
      </c>
      <c r="M462" s="174">
        <v>50</v>
      </c>
      <c r="N462" s="179">
        <v>5</v>
      </c>
      <c r="O462" s="174" t="s">
        <v>20</v>
      </c>
      <c r="P462" s="174">
        <v>198</v>
      </c>
    </row>
    <row r="463" spans="1:45" s="174" customFormat="1" ht="35" customHeight="1">
      <c r="A463" s="174">
        <f>ROW()-3</f>
        <v>460</v>
      </c>
      <c r="B463" s="174" t="s">
        <v>14</v>
      </c>
      <c r="C463" s="174" t="s">
        <v>83</v>
      </c>
      <c r="D463" s="174" t="s">
        <v>84</v>
      </c>
      <c r="E463" s="174" t="s">
        <v>111</v>
      </c>
      <c r="F463" s="174" t="s">
        <v>517</v>
      </c>
      <c r="G463" s="174" t="s">
        <v>518</v>
      </c>
      <c r="H463" s="174" t="s">
        <v>114</v>
      </c>
      <c r="I463" s="174" t="s">
        <v>17</v>
      </c>
      <c r="J463" s="174" t="s">
        <v>34</v>
      </c>
      <c r="K463" s="174" t="s">
        <v>364</v>
      </c>
      <c r="L463" s="177">
        <v>44249</v>
      </c>
      <c r="M463" s="174">
        <v>12</v>
      </c>
      <c r="N463" s="179">
        <v>3.4</v>
      </c>
      <c r="O463" s="174" t="s">
        <v>20</v>
      </c>
      <c r="P463" s="174">
        <v>99</v>
      </c>
    </row>
    <row r="464" spans="1:45" s="174" customFormat="1" ht="35" customHeight="1">
      <c r="A464" s="174">
        <f>ROW()-3</f>
        <v>461</v>
      </c>
      <c r="B464" s="174" t="s">
        <v>14</v>
      </c>
      <c r="C464" s="174" t="s">
        <v>83</v>
      </c>
      <c r="D464" s="174" t="s">
        <v>187</v>
      </c>
      <c r="E464" s="174" t="s">
        <v>355</v>
      </c>
      <c r="F464" s="174" t="s">
        <v>519</v>
      </c>
      <c r="G464" s="174" t="s">
        <v>520</v>
      </c>
      <c r="H464" s="174" t="s">
        <v>521</v>
      </c>
      <c r="I464" s="174" t="s">
        <v>17</v>
      </c>
      <c r="J464" s="174" t="s">
        <v>34</v>
      </c>
      <c r="K464" s="174" t="s">
        <v>154</v>
      </c>
      <c r="L464" s="177">
        <v>44251</v>
      </c>
      <c r="M464" s="174">
        <v>5</v>
      </c>
      <c r="N464" s="179">
        <v>1.3</v>
      </c>
      <c r="O464" s="174" t="s">
        <v>20</v>
      </c>
      <c r="P464" s="174">
        <v>19.899999999999999</v>
      </c>
    </row>
    <row r="465" spans="1:16" s="174" customFormat="1" ht="35" customHeight="1">
      <c r="A465" s="174">
        <f>ROW()-3</f>
        <v>462</v>
      </c>
      <c r="B465" s="174" t="s">
        <v>14</v>
      </c>
      <c r="C465" s="174" t="s">
        <v>83</v>
      </c>
      <c r="D465" s="174" t="s">
        <v>119</v>
      </c>
      <c r="E465" s="174" t="s">
        <v>120</v>
      </c>
      <c r="F465" s="174" t="s">
        <v>522</v>
      </c>
      <c r="G465" s="174" t="s">
        <v>523</v>
      </c>
      <c r="H465" s="174" t="s">
        <v>524</v>
      </c>
      <c r="I465" s="174" t="s">
        <v>29</v>
      </c>
      <c r="J465" s="174" t="s">
        <v>34</v>
      </c>
      <c r="K465" s="174" t="s">
        <v>19</v>
      </c>
      <c r="L465" s="177">
        <v>44263</v>
      </c>
      <c r="M465" s="174">
        <v>268</v>
      </c>
      <c r="N465" s="179">
        <v>13.45</v>
      </c>
      <c r="O465" s="174" t="s">
        <v>20</v>
      </c>
      <c r="P465" s="174">
        <v>199</v>
      </c>
    </row>
    <row r="466" spans="1:16" s="174" customFormat="1" ht="35" customHeight="1">
      <c r="A466" s="174">
        <f>ROW()-3</f>
        <v>463</v>
      </c>
      <c r="B466" s="174" t="s">
        <v>14</v>
      </c>
      <c r="C466" s="174" t="s">
        <v>83</v>
      </c>
      <c r="D466" s="174" t="s">
        <v>84</v>
      </c>
      <c r="E466" s="174" t="s">
        <v>85</v>
      </c>
      <c r="F466" s="174" t="s">
        <v>525</v>
      </c>
      <c r="G466" s="174" t="s">
        <v>526</v>
      </c>
      <c r="H466" s="174" t="s">
        <v>331</v>
      </c>
      <c r="I466" s="174" t="s">
        <v>17</v>
      </c>
      <c r="J466" s="174" t="s">
        <v>34</v>
      </c>
      <c r="K466" s="174" t="s">
        <v>364</v>
      </c>
      <c r="L466" s="177">
        <v>44263</v>
      </c>
      <c r="M466" s="174">
        <v>17</v>
      </c>
      <c r="N466" s="179">
        <v>4.5</v>
      </c>
      <c r="O466" s="174" t="s">
        <v>20</v>
      </c>
      <c r="P466" s="174">
        <v>99</v>
      </c>
    </row>
    <row r="467" spans="1:16" s="174" customFormat="1" ht="35" customHeight="1">
      <c r="A467" s="174">
        <f>ROW()-3</f>
        <v>464</v>
      </c>
      <c r="B467" s="174" t="s">
        <v>14</v>
      </c>
      <c r="C467" s="174" t="s">
        <v>83</v>
      </c>
      <c r="D467" s="174" t="s">
        <v>119</v>
      </c>
      <c r="E467" s="174" t="s">
        <v>120</v>
      </c>
      <c r="F467" s="174" t="s">
        <v>527</v>
      </c>
      <c r="G467" s="174" t="s">
        <v>528</v>
      </c>
      <c r="H467" s="174" t="s">
        <v>529</v>
      </c>
      <c r="I467" s="174" t="s">
        <v>29</v>
      </c>
      <c r="J467" s="174" t="s">
        <v>34</v>
      </c>
      <c r="K467" s="174" t="s">
        <v>19</v>
      </c>
      <c r="L467" s="177">
        <v>44270</v>
      </c>
      <c r="M467" s="174">
        <v>150</v>
      </c>
      <c r="N467" s="179">
        <v>40</v>
      </c>
      <c r="O467" s="174" t="s">
        <v>20</v>
      </c>
      <c r="P467" s="174">
        <v>199</v>
      </c>
    </row>
    <row r="468" spans="1:16" s="174" customFormat="1" ht="35" customHeight="1">
      <c r="A468" s="174">
        <f>ROW()-3</f>
        <v>465</v>
      </c>
      <c r="B468" s="174" t="s">
        <v>14</v>
      </c>
      <c r="C468" s="174" t="s">
        <v>83</v>
      </c>
      <c r="D468" s="174" t="s">
        <v>187</v>
      </c>
      <c r="E468" s="174" t="s">
        <v>2674</v>
      </c>
      <c r="F468" s="174" t="s">
        <v>530</v>
      </c>
      <c r="G468" s="174" t="s">
        <v>531</v>
      </c>
      <c r="H468" s="174" t="s">
        <v>532</v>
      </c>
      <c r="I468" s="174" t="s">
        <v>29</v>
      </c>
      <c r="J468" s="174" t="s">
        <v>34</v>
      </c>
      <c r="K468" s="174" t="s">
        <v>93</v>
      </c>
      <c r="L468" s="177">
        <v>44270</v>
      </c>
      <c r="M468" s="174">
        <v>126</v>
      </c>
      <c r="N468" s="179">
        <v>21</v>
      </c>
      <c r="O468" s="174" t="s">
        <v>20</v>
      </c>
      <c r="P468" s="174">
        <v>99</v>
      </c>
    </row>
    <row r="469" spans="1:16" s="174" customFormat="1" ht="35" customHeight="1">
      <c r="A469" s="174">
        <f>ROW()-3</f>
        <v>466</v>
      </c>
      <c r="B469" s="174" t="s">
        <v>14</v>
      </c>
      <c r="C469" s="174" t="s">
        <v>83</v>
      </c>
      <c r="D469" s="174" t="s">
        <v>155</v>
      </c>
      <c r="E469" s="174" t="s">
        <v>156</v>
      </c>
      <c r="F469" s="174" t="s">
        <v>533</v>
      </c>
      <c r="G469" s="174" t="s">
        <v>534</v>
      </c>
      <c r="H469" s="174" t="s">
        <v>535</v>
      </c>
      <c r="I469" s="174" t="s">
        <v>29</v>
      </c>
      <c r="J469" s="174" t="s">
        <v>24</v>
      </c>
      <c r="K469" s="174" t="s">
        <v>19</v>
      </c>
      <c r="L469" s="177">
        <v>44272</v>
      </c>
      <c r="M469" s="174">
        <v>239</v>
      </c>
      <c r="N469" s="179">
        <v>36.299999999999997</v>
      </c>
      <c r="O469" s="174" t="s">
        <v>30</v>
      </c>
      <c r="P469" s="174">
        <v>199</v>
      </c>
    </row>
    <row r="470" spans="1:16" s="174" customFormat="1" ht="35" customHeight="1">
      <c r="A470" s="174">
        <f>ROW()-3</f>
        <v>467</v>
      </c>
      <c r="B470" s="174" t="s">
        <v>14</v>
      </c>
      <c r="C470" s="174" t="s">
        <v>83</v>
      </c>
      <c r="D470" s="174" t="s">
        <v>119</v>
      </c>
      <c r="E470" s="174" t="s">
        <v>120</v>
      </c>
      <c r="F470" s="174" t="s">
        <v>536</v>
      </c>
      <c r="G470" s="174" t="s">
        <v>537</v>
      </c>
      <c r="H470" s="174" t="s">
        <v>538</v>
      </c>
      <c r="I470" s="174" t="s">
        <v>29</v>
      </c>
      <c r="J470" s="174" t="s">
        <v>34</v>
      </c>
      <c r="K470" s="174" t="s">
        <v>19</v>
      </c>
      <c r="L470" s="177">
        <v>44273</v>
      </c>
      <c r="M470" s="174">
        <v>504</v>
      </c>
      <c r="N470" s="179">
        <v>162</v>
      </c>
      <c r="O470" s="174" t="s">
        <v>30</v>
      </c>
      <c r="P470" s="174">
        <v>199</v>
      </c>
    </row>
    <row r="471" spans="1:16" s="174" customFormat="1" ht="35" customHeight="1">
      <c r="A471" s="174">
        <f>ROW()-3</f>
        <v>468</v>
      </c>
      <c r="B471" s="174" t="s">
        <v>14</v>
      </c>
      <c r="C471" s="174" t="s">
        <v>83</v>
      </c>
      <c r="D471" s="174" t="s">
        <v>187</v>
      </c>
      <c r="E471" s="174" t="s">
        <v>2674</v>
      </c>
      <c r="F471" s="174" t="s">
        <v>539</v>
      </c>
      <c r="G471" s="174" t="s">
        <v>540</v>
      </c>
      <c r="H471" s="174" t="s">
        <v>541</v>
      </c>
      <c r="I471" s="174" t="s">
        <v>29</v>
      </c>
      <c r="J471" s="174" t="s">
        <v>34</v>
      </c>
      <c r="K471" s="174" t="s">
        <v>19</v>
      </c>
      <c r="L471" s="177">
        <v>44279</v>
      </c>
      <c r="M471" s="174">
        <v>61</v>
      </c>
      <c r="N471" s="179">
        <v>13</v>
      </c>
      <c r="O471" s="174" t="s">
        <v>30</v>
      </c>
      <c r="P471" s="174">
        <v>199</v>
      </c>
    </row>
    <row r="472" spans="1:16" s="174" customFormat="1" ht="35" customHeight="1">
      <c r="A472" s="174">
        <f>ROW()-3</f>
        <v>469</v>
      </c>
      <c r="B472" s="174" t="s">
        <v>14</v>
      </c>
      <c r="C472" s="174" t="s">
        <v>83</v>
      </c>
      <c r="D472" s="174" t="s">
        <v>155</v>
      </c>
      <c r="E472" s="174" t="s">
        <v>202</v>
      </c>
      <c r="F472" s="174" t="s">
        <v>5542</v>
      </c>
      <c r="G472" s="174" t="s">
        <v>542</v>
      </c>
      <c r="H472" s="174" t="s">
        <v>543</v>
      </c>
      <c r="I472" s="174" t="s">
        <v>29</v>
      </c>
      <c r="J472" s="174" t="s">
        <v>34</v>
      </c>
      <c r="K472" s="174" t="s">
        <v>2655</v>
      </c>
      <c r="L472" s="177">
        <v>44281</v>
      </c>
      <c r="M472" s="174">
        <v>469</v>
      </c>
      <c r="N472" s="179">
        <v>62.8</v>
      </c>
      <c r="O472" s="174" t="s">
        <v>89</v>
      </c>
      <c r="P472" s="174">
        <v>0</v>
      </c>
    </row>
    <row r="473" spans="1:16" s="174" customFormat="1" ht="35" customHeight="1">
      <c r="A473" s="174">
        <f>ROW()-3</f>
        <v>470</v>
      </c>
      <c r="B473" s="174" t="s">
        <v>14</v>
      </c>
      <c r="C473" s="174" t="s">
        <v>83</v>
      </c>
      <c r="D473" s="174" t="s">
        <v>155</v>
      </c>
      <c r="E473" s="174" t="s">
        <v>202</v>
      </c>
      <c r="F473" s="174" t="s">
        <v>544</v>
      </c>
      <c r="G473" s="174" t="s">
        <v>545</v>
      </c>
      <c r="H473" s="174" t="s">
        <v>457</v>
      </c>
      <c r="I473" s="174" t="s">
        <v>29</v>
      </c>
      <c r="J473" s="174" t="s">
        <v>34</v>
      </c>
      <c r="K473" s="174" t="s">
        <v>19</v>
      </c>
      <c r="L473" s="177">
        <v>44292</v>
      </c>
      <c r="M473" s="174">
        <v>283</v>
      </c>
      <c r="N473" s="179">
        <v>29.51</v>
      </c>
      <c r="O473" s="174" t="s">
        <v>30</v>
      </c>
      <c r="P473" s="174">
        <v>180</v>
      </c>
    </row>
    <row r="474" spans="1:16" s="174" customFormat="1" ht="35" customHeight="1">
      <c r="A474" s="174">
        <f>ROW()-3</f>
        <v>471</v>
      </c>
      <c r="B474" s="174" t="s">
        <v>14</v>
      </c>
      <c r="C474" s="174" t="s">
        <v>83</v>
      </c>
      <c r="D474" s="174" t="s">
        <v>187</v>
      </c>
      <c r="E474" s="174" t="s">
        <v>2674</v>
      </c>
      <c r="F474" s="174" t="s">
        <v>546</v>
      </c>
      <c r="G474" s="174" t="s">
        <v>547</v>
      </c>
      <c r="H474" s="174" t="s">
        <v>548</v>
      </c>
      <c r="I474" s="174" t="s">
        <v>17</v>
      </c>
      <c r="J474" s="174" t="s">
        <v>34</v>
      </c>
      <c r="K474" s="174" t="s">
        <v>19</v>
      </c>
      <c r="L474" s="177">
        <v>44298</v>
      </c>
      <c r="M474" s="174">
        <v>10</v>
      </c>
      <c r="N474" s="179">
        <v>2.4</v>
      </c>
      <c r="O474" s="174" t="s">
        <v>30</v>
      </c>
      <c r="P474" s="174">
        <v>68</v>
      </c>
    </row>
    <row r="475" spans="1:16" s="174" customFormat="1" ht="35" customHeight="1">
      <c r="A475" s="174">
        <f>ROW()-3</f>
        <v>472</v>
      </c>
      <c r="B475" s="174" t="s">
        <v>14</v>
      </c>
      <c r="C475" s="174" t="s">
        <v>83</v>
      </c>
      <c r="D475" s="174" t="s">
        <v>119</v>
      </c>
      <c r="E475" s="174" t="s">
        <v>127</v>
      </c>
      <c r="F475" s="174" t="s">
        <v>549</v>
      </c>
      <c r="G475" s="174" t="s">
        <v>550</v>
      </c>
      <c r="H475" s="174" t="s">
        <v>551</v>
      </c>
      <c r="I475" s="174" t="s">
        <v>29</v>
      </c>
      <c r="J475" s="174" t="s">
        <v>34</v>
      </c>
      <c r="K475" s="174" t="s">
        <v>63</v>
      </c>
      <c r="L475" s="177">
        <v>44307</v>
      </c>
      <c r="M475" s="174">
        <v>20</v>
      </c>
      <c r="N475" s="179">
        <v>2.66</v>
      </c>
      <c r="O475" s="174" t="s">
        <v>20</v>
      </c>
      <c r="P475" s="174">
        <v>99</v>
      </c>
    </row>
    <row r="476" spans="1:16" s="174" customFormat="1" ht="35" customHeight="1">
      <c r="A476" s="174">
        <f>ROW()-3</f>
        <v>473</v>
      </c>
      <c r="B476" s="174" t="s">
        <v>14</v>
      </c>
      <c r="C476" s="174" t="s">
        <v>83</v>
      </c>
      <c r="D476" s="174" t="s">
        <v>119</v>
      </c>
      <c r="E476" s="174" t="s">
        <v>127</v>
      </c>
      <c r="F476" s="174" t="s">
        <v>552</v>
      </c>
      <c r="G476" s="174" t="s">
        <v>553</v>
      </c>
      <c r="H476" s="174" t="s">
        <v>554</v>
      </c>
      <c r="I476" s="174" t="s">
        <v>29</v>
      </c>
      <c r="J476" s="174" t="s">
        <v>34</v>
      </c>
      <c r="K476" s="174" t="s">
        <v>63</v>
      </c>
      <c r="L476" s="177">
        <v>44307</v>
      </c>
      <c r="M476" s="174">
        <v>17</v>
      </c>
      <c r="N476" s="179">
        <v>3.33</v>
      </c>
      <c r="O476" s="174" t="s">
        <v>20</v>
      </c>
      <c r="P476" s="174">
        <v>69</v>
      </c>
    </row>
    <row r="477" spans="1:16" s="174" customFormat="1" ht="35" customHeight="1">
      <c r="A477" s="174">
        <f>ROW()-3</f>
        <v>474</v>
      </c>
      <c r="B477" s="174" t="s">
        <v>14</v>
      </c>
      <c r="C477" s="174" t="s">
        <v>83</v>
      </c>
      <c r="D477" s="174" t="s">
        <v>119</v>
      </c>
      <c r="E477" s="174" t="s">
        <v>161</v>
      </c>
      <c r="F477" s="174" t="s">
        <v>555</v>
      </c>
      <c r="G477" s="174" t="s">
        <v>556</v>
      </c>
      <c r="H477" s="174" t="s">
        <v>557</v>
      </c>
      <c r="I477" s="174" t="s">
        <v>29</v>
      </c>
      <c r="J477" s="174" t="s">
        <v>34</v>
      </c>
      <c r="K477" s="174" t="s">
        <v>93</v>
      </c>
      <c r="L477" s="177">
        <v>44322</v>
      </c>
      <c r="M477" s="174">
        <v>80</v>
      </c>
      <c r="N477" s="179">
        <v>17.64</v>
      </c>
      <c r="O477" s="174" t="s">
        <v>20</v>
      </c>
      <c r="P477" s="174">
        <v>199</v>
      </c>
    </row>
    <row r="478" spans="1:16" s="174" customFormat="1" ht="35" customHeight="1">
      <c r="A478" s="174">
        <f>ROW()-3</f>
        <v>475</v>
      </c>
      <c r="B478" s="174" t="s">
        <v>14</v>
      </c>
      <c r="C478" s="174" t="s">
        <v>83</v>
      </c>
      <c r="D478" s="174" t="s">
        <v>220</v>
      </c>
      <c r="E478" s="174" t="s">
        <v>513</v>
      </c>
      <c r="F478" s="174" t="s">
        <v>558</v>
      </c>
      <c r="G478" s="174" t="s">
        <v>559</v>
      </c>
      <c r="H478" s="174" t="s">
        <v>457</v>
      </c>
      <c r="I478" s="174" t="s">
        <v>29</v>
      </c>
      <c r="J478" s="174" t="s">
        <v>39</v>
      </c>
      <c r="K478" s="174" t="s">
        <v>25</v>
      </c>
      <c r="L478" s="177">
        <v>44323</v>
      </c>
      <c r="M478" s="174">
        <v>54</v>
      </c>
      <c r="N478" s="179">
        <v>1.55</v>
      </c>
      <c r="O478" s="174" t="s">
        <v>30</v>
      </c>
      <c r="P478" s="174">
        <v>99</v>
      </c>
    </row>
    <row r="479" spans="1:16" s="174" customFormat="1" ht="35" customHeight="1">
      <c r="A479" s="174">
        <f>ROW()-3</f>
        <v>476</v>
      </c>
      <c r="B479" s="174" t="s">
        <v>14</v>
      </c>
      <c r="C479" s="174" t="s">
        <v>83</v>
      </c>
      <c r="D479" s="174" t="s">
        <v>155</v>
      </c>
      <c r="E479" s="174" t="s">
        <v>202</v>
      </c>
      <c r="F479" s="174" t="s">
        <v>560</v>
      </c>
      <c r="G479" s="174" t="s">
        <v>561</v>
      </c>
      <c r="H479" s="174" t="s">
        <v>562</v>
      </c>
      <c r="I479" s="174" t="s">
        <v>17</v>
      </c>
      <c r="J479" s="174" t="s">
        <v>34</v>
      </c>
      <c r="K479" s="174" t="s">
        <v>19</v>
      </c>
      <c r="L479" s="177">
        <v>44330</v>
      </c>
      <c r="M479" s="174">
        <v>70</v>
      </c>
      <c r="N479" s="179">
        <v>16.8</v>
      </c>
      <c r="O479" s="174" t="s">
        <v>30</v>
      </c>
      <c r="P479" s="174">
        <v>99</v>
      </c>
    </row>
    <row r="480" spans="1:16" s="174" customFormat="1" ht="35" customHeight="1">
      <c r="A480" s="174">
        <f>ROW()-3</f>
        <v>477</v>
      </c>
      <c r="B480" s="174" t="s">
        <v>14</v>
      </c>
      <c r="C480" s="174" t="s">
        <v>83</v>
      </c>
      <c r="D480" s="174" t="s">
        <v>187</v>
      </c>
      <c r="E480" s="174" t="s">
        <v>563</v>
      </c>
      <c r="F480" s="174" t="s">
        <v>564</v>
      </c>
      <c r="G480" s="174" t="s">
        <v>565</v>
      </c>
      <c r="H480" s="174" t="s">
        <v>566</v>
      </c>
      <c r="I480" s="174" t="s">
        <v>29</v>
      </c>
      <c r="J480" s="174" t="s">
        <v>34</v>
      </c>
      <c r="K480" s="174" t="s">
        <v>63</v>
      </c>
      <c r="L480" s="177">
        <v>44330</v>
      </c>
      <c r="M480" s="174">
        <v>23</v>
      </c>
      <c r="N480" s="179">
        <v>2.1</v>
      </c>
      <c r="O480" s="174" t="s">
        <v>30</v>
      </c>
      <c r="P480" s="174">
        <v>199</v>
      </c>
    </row>
    <row r="481" spans="1:16" s="174" customFormat="1" ht="35" customHeight="1">
      <c r="A481" s="174">
        <f>ROW()-3</f>
        <v>478</v>
      </c>
      <c r="B481" s="174" t="s">
        <v>14</v>
      </c>
      <c r="C481" s="174" t="s">
        <v>83</v>
      </c>
      <c r="D481" s="174" t="s">
        <v>187</v>
      </c>
      <c r="E481" s="174" t="s">
        <v>355</v>
      </c>
      <c r="F481" s="174" t="s">
        <v>2486</v>
      </c>
      <c r="G481" s="174" t="s">
        <v>567</v>
      </c>
      <c r="H481" s="174" t="s">
        <v>568</v>
      </c>
      <c r="I481" s="174" t="s">
        <v>29</v>
      </c>
      <c r="J481" s="174" t="s">
        <v>34</v>
      </c>
      <c r="K481" s="174" t="s">
        <v>34</v>
      </c>
      <c r="L481" s="177">
        <v>44335</v>
      </c>
      <c r="M481" s="174">
        <v>11</v>
      </c>
      <c r="N481" s="179">
        <v>2</v>
      </c>
      <c r="O481" s="174" t="s">
        <v>89</v>
      </c>
      <c r="P481" s="174">
        <v>29</v>
      </c>
    </row>
    <row r="482" spans="1:16" s="174" customFormat="1" ht="35" customHeight="1">
      <c r="A482" s="174">
        <f>ROW()-3</f>
        <v>479</v>
      </c>
      <c r="B482" s="174" t="s">
        <v>14</v>
      </c>
      <c r="C482" s="174" t="s">
        <v>83</v>
      </c>
      <c r="D482" s="174" t="s">
        <v>155</v>
      </c>
      <c r="E482" s="174" t="s">
        <v>202</v>
      </c>
      <c r="F482" s="174" t="s">
        <v>569</v>
      </c>
      <c r="G482" s="174" t="s">
        <v>570</v>
      </c>
      <c r="H482" s="174" t="s">
        <v>571</v>
      </c>
      <c r="I482" s="174" t="s">
        <v>29</v>
      </c>
      <c r="J482" s="174" t="s">
        <v>34</v>
      </c>
      <c r="K482" s="174" t="s">
        <v>19</v>
      </c>
      <c r="L482" s="177">
        <v>44340</v>
      </c>
      <c r="M482" s="174">
        <v>317</v>
      </c>
      <c r="N482" s="179">
        <v>59.4</v>
      </c>
      <c r="O482" s="174" t="s">
        <v>30</v>
      </c>
      <c r="P482" s="174">
        <v>399</v>
      </c>
    </row>
    <row r="483" spans="1:16" s="174" customFormat="1" ht="35" customHeight="1">
      <c r="A483" s="174">
        <f>ROW()-3</f>
        <v>480</v>
      </c>
      <c r="B483" s="174" t="s">
        <v>14</v>
      </c>
      <c r="C483" s="174" t="s">
        <v>83</v>
      </c>
      <c r="D483" s="174" t="s">
        <v>84</v>
      </c>
      <c r="E483" s="174" t="s">
        <v>94</v>
      </c>
      <c r="F483" s="174" t="s">
        <v>572</v>
      </c>
      <c r="G483" s="174" t="s">
        <v>573</v>
      </c>
      <c r="H483" s="174" t="s">
        <v>574</v>
      </c>
      <c r="I483" s="174" t="s">
        <v>29</v>
      </c>
      <c r="J483" s="174" t="s">
        <v>34</v>
      </c>
      <c r="K483" s="174" t="s">
        <v>63</v>
      </c>
      <c r="L483" s="177">
        <v>44340</v>
      </c>
      <c r="M483" s="174">
        <v>18</v>
      </c>
      <c r="N483" s="179">
        <v>3.2</v>
      </c>
      <c r="O483" s="174" t="s">
        <v>20</v>
      </c>
      <c r="P483" s="174">
        <v>49</v>
      </c>
    </row>
    <row r="484" spans="1:16" s="174" customFormat="1" ht="35" customHeight="1">
      <c r="A484" s="174">
        <f>ROW()-3</f>
        <v>481</v>
      </c>
      <c r="B484" s="174" t="s">
        <v>14</v>
      </c>
      <c r="C484" s="174" t="s">
        <v>83</v>
      </c>
      <c r="D484" s="174" t="s">
        <v>155</v>
      </c>
      <c r="E484" s="174" t="s">
        <v>156</v>
      </c>
      <c r="F484" s="174" t="s">
        <v>575</v>
      </c>
      <c r="G484" s="174" t="s">
        <v>576</v>
      </c>
      <c r="H484" s="174" t="s">
        <v>319</v>
      </c>
      <c r="I484" s="174" t="s">
        <v>29</v>
      </c>
      <c r="J484" s="174" t="s">
        <v>34</v>
      </c>
      <c r="K484" s="174" t="s">
        <v>19</v>
      </c>
      <c r="L484" s="177">
        <v>44349</v>
      </c>
      <c r="M484" s="174">
        <v>36</v>
      </c>
      <c r="N484" s="179">
        <v>7.5</v>
      </c>
      <c r="O484" s="174" t="s">
        <v>20</v>
      </c>
      <c r="P484" s="174">
        <v>99</v>
      </c>
    </row>
    <row r="485" spans="1:16" s="174" customFormat="1" ht="35" customHeight="1">
      <c r="A485" s="174">
        <f>ROW()-3</f>
        <v>482</v>
      </c>
      <c r="B485" s="174" t="s">
        <v>14</v>
      </c>
      <c r="C485" s="174" t="s">
        <v>83</v>
      </c>
      <c r="D485" s="174" t="s">
        <v>155</v>
      </c>
      <c r="E485" s="174" t="s">
        <v>202</v>
      </c>
      <c r="F485" s="174" t="s">
        <v>577</v>
      </c>
      <c r="G485" s="174" t="s">
        <v>578</v>
      </c>
      <c r="H485" s="174" t="s">
        <v>571</v>
      </c>
      <c r="I485" s="174" t="s">
        <v>29</v>
      </c>
      <c r="J485" s="174" t="s">
        <v>34</v>
      </c>
      <c r="K485" s="174" t="s">
        <v>19</v>
      </c>
      <c r="L485" s="177">
        <v>44349</v>
      </c>
      <c r="M485" s="174">
        <v>57</v>
      </c>
      <c r="N485" s="179">
        <v>10.45</v>
      </c>
      <c r="O485" s="174" t="s">
        <v>20</v>
      </c>
      <c r="P485" s="174">
        <v>68.599999999999994</v>
      </c>
    </row>
    <row r="486" spans="1:16" s="174" customFormat="1" ht="35" customHeight="1">
      <c r="A486" s="174">
        <f>ROW()-3</f>
        <v>483</v>
      </c>
      <c r="B486" s="174" t="s">
        <v>14</v>
      </c>
      <c r="C486" s="174" t="s">
        <v>83</v>
      </c>
      <c r="D486" s="174" t="s">
        <v>119</v>
      </c>
      <c r="E486" s="174" t="s">
        <v>161</v>
      </c>
      <c r="F486" s="174" t="s">
        <v>579</v>
      </c>
      <c r="G486" s="174" t="s">
        <v>579</v>
      </c>
      <c r="H486" s="174" t="s">
        <v>580</v>
      </c>
      <c r="I486" s="174" t="s">
        <v>29</v>
      </c>
      <c r="J486" s="174" t="s">
        <v>34</v>
      </c>
      <c r="K486" s="174" t="s">
        <v>93</v>
      </c>
      <c r="L486" s="177">
        <v>44349</v>
      </c>
      <c r="M486" s="174">
        <v>13</v>
      </c>
      <c r="N486" s="179">
        <v>5.2</v>
      </c>
      <c r="O486" s="174" t="s">
        <v>20</v>
      </c>
      <c r="P486" s="174">
        <v>19.899999999999999</v>
      </c>
    </row>
    <row r="487" spans="1:16" s="174" customFormat="1" ht="35" customHeight="1">
      <c r="A487" s="174">
        <f>ROW()-3</f>
        <v>484</v>
      </c>
      <c r="B487" s="174" t="s">
        <v>14</v>
      </c>
      <c r="C487" s="174" t="s">
        <v>83</v>
      </c>
      <c r="D487" s="174" t="s">
        <v>119</v>
      </c>
      <c r="E487" s="174" t="s">
        <v>161</v>
      </c>
      <c r="F487" s="174" t="s">
        <v>581</v>
      </c>
      <c r="G487" s="174" t="s">
        <v>582</v>
      </c>
      <c r="H487" s="174" t="s">
        <v>354</v>
      </c>
      <c r="I487" s="174" t="s">
        <v>29</v>
      </c>
      <c r="J487" s="174" t="s">
        <v>34</v>
      </c>
      <c r="K487" s="174" t="s">
        <v>154</v>
      </c>
      <c r="L487" s="177">
        <v>44369</v>
      </c>
      <c r="M487" s="174">
        <v>9</v>
      </c>
      <c r="N487" s="179">
        <v>0.45</v>
      </c>
      <c r="O487" s="174" t="s">
        <v>30</v>
      </c>
      <c r="P487" s="174">
        <v>0.9</v>
      </c>
    </row>
    <row r="488" spans="1:16" s="174" customFormat="1" ht="35" customHeight="1">
      <c r="A488" s="174">
        <f>ROW()-3</f>
        <v>485</v>
      </c>
      <c r="B488" s="174" t="s">
        <v>14</v>
      </c>
      <c r="C488" s="174" t="s">
        <v>83</v>
      </c>
      <c r="D488" s="174" t="s">
        <v>119</v>
      </c>
      <c r="E488" s="174" t="s">
        <v>120</v>
      </c>
      <c r="F488" s="174" t="s">
        <v>583</v>
      </c>
      <c r="G488" s="174" t="s">
        <v>584</v>
      </c>
      <c r="H488" s="174" t="s">
        <v>585</v>
      </c>
      <c r="I488" s="174" t="s">
        <v>29</v>
      </c>
      <c r="J488" s="174" t="s">
        <v>34</v>
      </c>
      <c r="K488" s="174" t="s">
        <v>19</v>
      </c>
      <c r="L488" s="177">
        <v>44369</v>
      </c>
      <c r="M488" s="174">
        <v>162</v>
      </c>
      <c r="N488" s="179">
        <v>15</v>
      </c>
      <c r="O488" s="174" t="s">
        <v>30</v>
      </c>
      <c r="P488" s="174">
        <v>199</v>
      </c>
    </row>
    <row r="489" spans="1:16" s="174" customFormat="1" ht="35" customHeight="1">
      <c r="A489" s="174">
        <f>ROW()-3</f>
        <v>486</v>
      </c>
      <c r="B489" s="174" t="s">
        <v>14</v>
      </c>
      <c r="C489" s="174" t="s">
        <v>83</v>
      </c>
      <c r="D489" s="174" t="s">
        <v>155</v>
      </c>
      <c r="E489" s="174" t="s">
        <v>156</v>
      </c>
      <c r="F489" s="174" t="s">
        <v>586</v>
      </c>
      <c r="G489" s="174" t="s">
        <v>587</v>
      </c>
      <c r="H489" s="174" t="s">
        <v>588</v>
      </c>
      <c r="I489" s="174" t="s">
        <v>29</v>
      </c>
      <c r="J489" s="174" t="s">
        <v>34</v>
      </c>
      <c r="K489" s="174" t="s">
        <v>19</v>
      </c>
      <c r="L489" s="177">
        <v>44375</v>
      </c>
      <c r="M489" s="174">
        <v>17</v>
      </c>
      <c r="N489" s="179">
        <v>8.5</v>
      </c>
      <c r="O489" s="174" t="s">
        <v>20</v>
      </c>
      <c r="P489" s="174">
        <v>98</v>
      </c>
    </row>
    <row r="490" spans="1:16" s="174" customFormat="1" ht="35" customHeight="1">
      <c r="A490" s="174">
        <f>ROW()-3</f>
        <v>487</v>
      </c>
      <c r="B490" s="174" t="s">
        <v>14</v>
      </c>
      <c r="C490" s="174" t="s">
        <v>83</v>
      </c>
      <c r="D490" s="174" t="s">
        <v>119</v>
      </c>
      <c r="E490" s="174" t="s">
        <v>127</v>
      </c>
      <c r="F490" s="174" t="s">
        <v>589</v>
      </c>
      <c r="G490" s="174" t="s">
        <v>590</v>
      </c>
      <c r="H490" s="174" t="s">
        <v>591</v>
      </c>
      <c r="I490" s="174" t="s">
        <v>29</v>
      </c>
      <c r="J490" s="174" t="s">
        <v>34</v>
      </c>
      <c r="K490" s="174" t="s">
        <v>53</v>
      </c>
      <c r="L490" s="177">
        <v>44377</v>
      </c>
      <c r="M490" s="174">
        <v>20</v>
      </c>
      <c r="N490" s="179">
        <v>3.75</v>
      </c>
      <c r="O490" s="174" t="s">
        <v>20</v>
      </c>
      <c r="P490" s="174">
        <v>99</v>
      </c>
    </row>
    <row r="491" spans="1:16" s="174" customFormat="1" ht="35" customHeight="1">
      <c r="A491" s="174">
        <f>ROW()-3</f>
        <v>488</v>
      </c>
      <c r="B491" s="174" t="s">
        <v>14</v>
      </c>
      <c r="C491" s="174" t="s">
        <v>83</v>
      </c>
      <c r="D491" s="174" t="s">
        <v>155</v>
      </c>
      <c r="E491" s="174" t="s">
        <v>202</v>
      </c>
      <c r="F491" s="174" t="s">
        <v>592</v>
      </c>
      <c r="G491" s="174" t="s">
        <v>593</v>
      </c>
      <c r="H491" s="174" t="s">
        <v>457</v>
      </c>
      <c r="I491" s="174" t="s">
        <v>29</v>
      </c>
      <c r="J491" s="174" t="s">
        <v>34</v>
      </c>
      <c r="K491" s="174" t="s">
        <v>19</v>
      </c>
      <c r="L491" s="177">
        <v>44391</v>
      </c>
      <c r="M491" s="174">
        <v>293</v>
      </c>
      <c r="N491" s="179">
        <v>26.82</v>
      </c>
      <c r="O491" s="174" t="s">
        <v>20</v>
      </c>
      <c r="P491" s="174">
        <v>180</v>
      </c>
    </row>
    <row r="492" spans="1:16" s="174" customFormat="1" ht="35" customHeight="1">
      <c r="A492" s="174">
        <f>ROW()-3</f>
        <v>489</v>
      </c>
      <c r="B492" s="174" t="s">
        <v>14</v>
      </c>
      <c r="C492" s="174" t="s">
        <v>83</v>
      </c>
      <c r="D492" s="174" t="s">
        <v>119</v>
      </c>
      <c r="E492" s="174" t="s">
        <v>127</v>
      </c>
      <c r="F492" s="174" t="s">
        <v>594</v>
      </c>
      <c r="G492" s="174" t="s">
        <v>595</v>
      </c>
      <c r="H492" s="174" t="s">
        <v>482</v>
      </c>
      <c r="I492" s="174" t="s">
        <v>29</v>
      </c>
      <c r="J492" s="174" t="s">
        <v>34</v>
      </c>
      <c r="K492" s="174" t="s">
        <v>35</v>
      </c>
      <c r="L492" s="177">
        <v>44400</v>
      </c>
      <c r="M492" s="174">
        <v>54</v>
      </c>
      <c r="N492" s="179">
        <v>12.8</v>
      </c>
      <c r="O492" s="174" t="s">
        <v>20</v>
      </c>
      <c r="P492" s="174">
        <v>88</v>
      </c>
    </row>
    <row r="493" spans="1:16" s="174" customFormat="1" ht="35" customHeight="1">
      <c r="A493" s="174">
        <f>ROW()-3</f>
        <v>490</v>
      </c>
      <c r="B493" s="174" t="s">
        <v>14</v>
      </c>
      <c r="C493" s="174" t="s">
        <v>83</v>
      </c>
      <c r="D493" s="174" t="s">
        <v>596</v>
      </c>
      <c r="E493" s="174" t="s">
        <v>180</v>
      </c>
      <c r="F493" s="174" t="s">
        <v>597</v>
      </c>
      <c r="G493" s="174" t="s">
        <v>598</v>
      </c>
      <c r="H493" s="174" t="s">
        <v>599</v>
      </c>
      <c r="I493" s="174" t="s">
        <v>17</v>
      </c>
      <c r="J493" s="174" t="s">
        <v>39</v>
      </c>
      <c r="K493" s="174" t="s">
        <v>5348</v>
      </c>
      <c r="L493" s="177">
        <v>44403</v>
      </c>
      <c r="M493" s="174">
        <v>9</v>
      </c>
      <c r="N493" s="179">
        <v>1.5</v>
      </c>
      <c r="O493" s="174" t="s">
        <v>20</v>
      </c>
      <c r="P493" s="174">
        <v>128</v>
      </c>
    </row>
    <row r="494" spans="1:16" s="174" customFormat="1" ht="35" customHeight="1">
      <c r="A494" s="174">
        <f>ROW()-3</f>
        <v>491</v>
      </c>
      <c r="B494" s="174" t="s">
        <v>14</v>
      </c>
      <c r="C494" s="174" t="s">
        <v>83</v>
      </c>
      <c r="D494" s="174" t="s">
        <v>84</v>
      </c>
      <c r="E494" s="174" t="s">
        <v>111</v>
      </c>
      <c r="F494" s="174" t="s">
        <v>601</v>
      </c>
      <c r="G494" s="174" t="s">
        <v>602</v>
      </c>
      <c r="H494" s="174" t="s">
        <v>603</v>
      </c>
      <c r="I494" s="174" t="s">
        <v>29</v>
      </c>
      <c r="J494" s="174" t="s">
        <v>34</v>
      </c>
      <c r="K494" s="174" t="s">
        <v>98</v>
      </c>
      <c r="L494" s="177">
        <v>44405</v>
      </c>
      <c r="M494" s="174">
        <v>8</v>
      </c>
      <c r="N494" s="179">
        <v>4.3600000000000003</v>
      </c>
      <c r="O494" s="174" t="s">
        <v>20</v>
      </c>
      <c r="P494" s="174">
        <v>99</v>
      </c>
    </row>
    <row r="495" spans="1:16" s="174" customFormat="1" ht="35" customHeight="1">
      <c r="A495" s="174">
        <f>ROW()-3</f>
        <v>492</v>
      </c>
      <c r="B495" s="174" t="s">
        <v>14</v>
      </c>
      <c r="C495" s="174" t="s">
        <v>83</v>
      </c>
      <c r="D495" s="174" t="s">
        <v>119</v>
      </c>
      <c r="E495" s="174" t="s">
        <v>127</v>
      </c>
      <c r="F495" s="174" t="s">
        <v>604</v>
      </c>
      <c r="G495" s="174" t="s">
        <v>605</v>
      </c>
      <c r="H495" s="174" t="s">
        <v>606</v>
      </c>
      <c r="I495" s="174" t="s">
        <v>17</v>
      </c>
      <c r="J495" s="174" t="s">
        <v>34</v>
      </c>
      <c r="K495" s="174" t="s">
        <v>53</v>
      </c>
      <c r="L495" s="177">
        <v>44406</v>
      </c>
      <c r="M495" s="174">
        <v>18</v>
      </c>
      <c r="N495" s="179">
        <v>2.7</v>
      </c>
      <c r="O495" s="174" t="s">
        <v>20</v>
      </c>
      <c r="P495" s="174">
        <v>198</v>
      </c>
    </row>
    <row r="496" spans="1:16" s="174" customFormat="1" ht="35" customHeight="1">
      <c r="A496" s="174">
        <f>ROW()-3</f>
        <v>493</v>
      </c>
      <c r="B496" s="174" t="s">
        <v>14</v>
      </c>
      <c r="C496" s="174" t="s">
        <v>83</v>
      </c>
      <c r="D496" s="174" t="s">
        <v>220</v>
      </c>
      <c r="E496" s="174" t="s">
        <v>2671</v>
      </c>
      <c r="F496" s="174" t="s">
        <v>607</v>
      </c>
      <c r="G496" s="174" t="s">
        <v>608</v>
      </c>
      <c r="H496" s="174" t="s">
        <v>609</v>
      </c>
      <c r="I496" s="174" t="s">
        <v>29</v>
      </c>
      <c r="J496" s="174" t="s">
        <v>39</v>
      </c>
      <c r="K496" s="174" t="s">
        <v>75</v>
      </c>
      <c r="L496" s="177">
        <v>44416</v>
      </c>
      <c r="M496" s="174">
        <v>31</v>
      </c>
      <c r="N496" s="179">
        <v>5.0999999999999996</v>
      </c>
      <c r="O496" s="174" t="s">
        <v>20</v>
      </c>
      <c r="P496" s="174">
        <v>129</v>
      </c>
    </row>
    <row r="497" spans="1:16" s="174" customFormat="1" ht="35" customHeight="1">
      <c r="A497" s="174">
        <f>ROW()-3</f>
        <v>494</v>
      </c>
      <c r="B497" s="174" t="s">
        <v>14</v>
      </c>
      <c r="C497" s="174" t="s">
        <v>83</v>
      </c>
      <c r="D497" s="174" t="s">
        <v>119</v>
      </c>
      <c r="E497" s="174" t="s">
        <v>127</v>
      </c>
      <c r="F497" s="174" t="s">
        <v>610</v>
      </c>
      <c r="G497" s="174" t="s">
        <v>611</v>
      </c>
      <c r="H497" s="174" t="s">
        <v>485</v>
      </c>
      <c r="I497" s="174" t="s">
        <v>29</v>
      </c>
      <c r="J497" s="174" t="s">
        <v>34</v>
      </c>
      <c r="K497" s="174" t="s">
        <v>35</v>
      </c>
      <c r="L497" s="177">
        <v>44416</v>
      </c>
      <c r="M497" s="174">
        <v>18</v>
      </c>
      <c r="N497" s="179">
        <v>3.9</v>
      </c>
      <c r="O497" s="174" t="s">
        <v>20</v>
      </c>
      <c r="P497" s="174">
        <v>99</v>
      </c>
    </row>
    <row r="498" spans="1:16" s="174" customFormat="1" ht="35" customHeight="1">
      <c r="A498" s="174">
        <f>ROW()-3</f>
        <v>495</v>
      </c>
      <c r="B498" s="174" t="s">
        <v>14</v>
      </c>
      <c r="C498" s="174" t="s">
        <v>83</v>
      </c>
      <c r="D498" s="174" t="s">
        <v>220</v>
      </c>
      <c r="E498" s="174" t="s">
        <v>2671</v>
      </c>
      <c r="F498" s="174" t="s">
        <v>612</v>
      </c>
      <c r="G498" s="174" t="s">
        <v>613</v>
      </c>
      <c r="H498" s="174" t="s">
        <v>614</v>
      </c>
      <c r="I498" s="174" t="s">
        <v>29</v>
      </c>
      <c r="J498" s="174" t="s">
        <v>39</v>
      </c>
      <c r="K498" s="174" t="s">
        <v>19</v>
      </c>
      <c r="L498" s="177">
        <v>44423</v>
      </c>
      <c r="M498" s="174">
        <v>115</v>
      </c>
      <c r="N498" s="179">
        <v>17.25</v>
      </c>
      <c r="O498" s="174" t="s">
        <v>20</v>
      </c>
      <c r="P498" s="174">
        <v>99</v>
      </c>
    </row>
    <row r="499" spans="1:16" s="174" customFormat="1" ht="35" customHeight="1">
      <c r="A499" s="174">
        <f>ROW()-3</f>
        <v>496</v>
      </c>
      <c r="B499" s="174" t="s">
        <v>14</v>
      </c>
      <c r="C499" s="174" t="s">
        <v>83</v>
      </c>
      <c r="D499" s="174" t="s">
        <v>119</v>
      </c>
      <c r="E499" s="174" t="s">
        <v>342</v>
      </c>
      <c r="F499" s="174" t="s">
        <v>615</v>
      </c>
      <c r="G499" s="174" t="s">
        <v>616</v>
      </c>
      <c r="H499" s="174" t="s">
        <v>617</v>
      </c>
      <c r="I499" s="174" t="s">
        <v>29</v>
      </c>
      <c r="J499" s="174" t="s">
        <v>34</v>
      </c>
      <c r="K499" s="174" t="s">
        <v>93</v>
      </c>
      <c r="L499" s="177">
        <v>44423</v>
      </c>
      <c r="M499" s="174">
        <v>25</v>
      </c>
      <c r="N499" s="179">
        <v>4.3</v>
      </c>
      <c r="O499" s="174" t="s">
        <v>30</v>
      </c>
      <c r="P499" s="174">
        <v>399</v>
      </c>
    </row>
    <row r="500" spans="1:16" s="174" customFormat="1" ht="35" customHeight="1">
      <c r="A500" s="174">
        <f>ROW()-3</f>
        <v>497</v>
      </c>
      <c r="B500" s="174" t="s">
        <v>14</v>
      </c>
      <c r="C500" s="174" t="s">
        <v>83</v>
      </c>
      <c r="D500" s="174" t="s">
        <v>119</v>
      </c>
      <c r="E500" s="174" t="s">
        <v>120</v>
      </c>
      <c r="F500" s="174" t="s">
        <v>2487</v>
      </c>
      <c r="G500" s="174" t="s">
        <v>618</v>
      </c>
      <c r="H500" s="174" t="s">
        <v>619</v>
      </c>
      <c r="I500" s="174" t="s">
        <v>29</v>
      </c>
      <c r="J500" s="174" t="s">
        <v>34</v>
      </c>
      <c r="K500" s="174" t="s">
        <v>93</v>
      </c>
      <c r="L500" s="177">
        <v>44426</v>
      </c>
      <c r="M500" s="174">
        <v>134</v>
      </c>
      <c r="N500" s="179">
        <v>32.4</v>
      </c>
      <c r="O500" s="174" t="s">
        <v>20</v>
      </c>
      <c r="P500" s="174">
        <v>128</v>
      </c>
    </row>
    <row r="501" spans="1:16" s="174" customFormat="1" ht="35" customHeight="1">
      <c r="A501" s="174">
        <f>ROW()-3</f>
        <v>498</v>
      </c>
      <c r="B501" s="174" t="s">
        <v>14</v>
      </c>
      <c r="C501" s="174" t="s">
        <v>83</v>
      </c>
      <c r="D501" s="174" t="s">
        <v>187</v>
      </c>
      <c r="E501" s="174" t="s">
        <v>563</v>
      </c>
      <c r="F501" s="174" t="s">
        <v>620</v>
      </c>
      <c r="G501" s="174" t="s">
        <v>621</v>
      </c>
      <c r="H501" s="174" t="s">
        <v>622</v>
      </c>
      <c r="I501" s="174" t="s">
        <v>17</v>
      </c>
      <c r="J501" s="174" t="s">
        <v>34</v>
      </c>
      <c r="K501" s="174" t="s">
        <v>63</v>
      </c>
      <c r="L501" s="177">
        <v>44430</v>
      </c>
      <c r="M501" s="174">
        <v>12</v>
      </c>
      <c r="N501" s="179">
        <v>1.2</v>
      </c>
      <c r="O501" s="174" t="s">
        <v>30</v>
      </c>
      <c r="P501" s="174">
        <v>198</v>
      </c>
    </row>
    <row r="502" spans="1:16" s="174" customFormat="1" ht="35" customHeight="1">
      <c r="A502" s="174">
        <f>ROW()-3</f>
        <v>499</v>
      </c>
      <c r="B502" s="174" t="s">
        <v>14</v>
      </c>
      <c r="C502" s="174" t="s">
        <v>83</v>
      </c>
      <c r="D502" s="174" t="s">
        <v>84</v>
      </c>
      <c r="E502" s="174" t="s">
        <v>111</v>
      </c>
      <c r="F502" s="174" t="s">
        <v>623</v>
      </c>
      <c r="G502" s="174" t="s">
        <v>624</v>
      </c>
      <c r="H502" s="174" t="s">
        <v>625</v>
      </c>
      <c r="I502" s="174" t="s">
        <v>29</v>
      </c>
      <c r="J502" s="174" t="s">
        <v>34</v>
      </c>
      <c r="K502" s="174" t="s">
        <v>364</v>
      </c>
      <c r="L502" s="177">
        <v>44440</v>
      </c>
      <c r="M502" s="174">
        <v>27</v>
      </c>
      <c r="N502" s="179">
        <v>5.4</v>
      </c>
      <c r="O502" s="174" t="s">
        <v>20</v>
      </c>
      <c r="P502" s="174">
        <v>199</v>
      </c>
    </row>
    <row r="503" spans="1:16" s="174" customFormat="1" ht="35" customHeight="1">
      <c r="A503" s="174">
        <f>ROW()-3</f>
        <v>500</v>
      </c>
      <c r="B503" s="174" t="s">
        <v>14</v>
      </c>
      <c r="C503" s="174" t="s">
        <v>83</v>
      </c>
      <c r="D503" s="174" t="s">
        <v>119</v>
      </c>
      <c r="E503" s="174" t="s">
        <v>127</v>
      </c>
      <c r="F503" s="174" t="s">
        <v>626</v>
      </c>
      <c r="G503" s="174" t="s">
        <v>627</v>
      </c>
      <c r="H503" s="174" t="s">
        <v>628</v>
      </c>
      <c r="I503" s="174" t="s">
        <v>29</v>
      </c>
      <c r="J503" s="174" t="s">
        <v>34</v>
      </c>
      <c r="K503" s="174" t="s">
        <v>35</v>
      </c>
      <c r="L503" s="177">
        <v>44444</v>
      </c>
      <c r="M503" s="174">
        <v>28</v>
      </c>
      <c r="N503" s="179">
        <v>9.3000000000000007</v>
      </c>
      <c r="O503" s="174" t="s">
        <v>20</v>
      </c>
      <c r="P503" s="174">
        <v>399</v>
      </c>
    </row>
    <row r="504" spans="1:16" s="174" customFormat="1" ht="35" customHeight="1">
      <c r="A504" s="174">
        <f>ROW()-3</f>
        <v>501</v>
      </c>
      <c r="B504" s="174" t="s">
        <v>14</v>
      </c>
      <c r="C504" s="174" t="s">
        <v>83</v>
      </c>
      <c r="D504" s="174" t="s">
        <v>155</v>
      </c>
      <c r="E504" s="174" t="s">
        <v>156</v>
      </c>
      <c r="F504" s="174" t="s">
        <v>629</v>
      </c>
      <c r="G504" s="174" t="s">
        <v>630</v>
      </c>
      <c r="H504" s="174" t="s">
        <v>631</v>
      </c>
      <c r="I504" s="174" t="s">
        <v>29</v>
      </c>
      <c r="J504" s="174" t="s">
        <v>34</v>
      </c>
      <c r="K504" s="174" t="s">
        <v>19</v>
      </c>
      <c r="L504" s="177">
        <v>44446</v>
      </c>
      <c r="M504" s="174">
        <v>50</v>
      </c>
      <c r="N504" s="179">
        <v>11.6</v>
      </c>
      <c r="O504" s="174" t="s">
        <v>30</v>
      </c>
      <c r="P504" s="174">
        <v>159</v>
      </c>
    </row>
    <row r="505" spans="1:16" s="174" customFormat="1" ht="35" customHeight="1">
      <c r="A505" s="174">
        <f>ROW()-3</f>
        <v>502</v>
      </c>
      <c r="B505" s="174" t="s">
        <v>14</v>
      </c>
      <c r="C505" s="174" t="s">
        <v>83</v>
      </c>
      <c r="D505" s="174" t="s">
        <v>155</v>
      </c>
      <c r="E505" s="174" t="s">
        <v>2676</v>
      </c>
      <c r="F505" s="174" t="s">
        <v>632</v>
      </c>
      <c r="G505" s="174" t="s">
        <v>633</v>
      </c>
      <c r="H505" s="174" t="s">
        <v>634</v>
      </c>
      <c r="I505" s="174" t="s">
        <v>29</v>
      </c>
      <c r="J505" s="174" t="s">
        <v>34</v>
      </c>
      <c r="K505" s="174" t="s">
        <v>63</v>
      </c>
      <c r="L505" s="177">
        <v>44449</v>
      </c>
      <c r="M505" s="174">
        <v>10</v>
      </c>
      <c r="N505" s="179">
        <v>1.6</v>
      </c>
      <c r="O505" s="174" t="s">
        <v>30</v>
      </c>
      <c r="P505" s="174">
        <v>129</v>
      </c>
    </row>
    <row r="506" spans="1:16" s="174" customFormat="1" ht="35" customHeight="1">
      <c r="A506" s="174">
        <f>ROW()-3</f>
        <v>503</v>
      </c>
      <c r="B506" s="174" t="s">
        <v>14</v>
      </c>
      <c r="C506" s="174" t="s">
        <v>83</v>
      </c>
      <c r="D506" s="174" t="s">
        <v>84</v>
      </c>
      <c r="E506" s="174" t="s">
        <v>94</v>
      </c>
      <c r="F506" s="174" t="s">
        <v>635</v>
      </c>
      <c r="G506" s="174" t="s">
        <v>636</v>
      </c>
      <c r="H506" s="174" t="s">
        <v>637</v>
      </c>
      <c r="I506" s="174" t="s">
        <v>29</v>
      </c>
      <c r="J506" s="174" t="s">
        <v>34</v>
      </c>
      <c r="K506" s="174" t="s">
        <v>98</v>
      </c>
      <c r="L506" s="177">
        <v>44457</v>
      </c>
      <c r="M506" s="174">
        <v>20</v>
      </c>
      <c r="N506" s="179">
        <v>3</v>
      </c>
      <c r="O506" s="174" t="s">
        <v>20</v>
      </c>
      <c r="P506" s="174">
        <v>99</v>
      </c>
    </row>
    <row r="507" spans="1:16" s="174" customFormat="1" ht="35" customHeight="1">
      <c r="A507" s="174">
        <f>ROW()-3</f>
        <v>504</v>
      </c>
      <c r="B507" s="174" t="s">
        <v>14</v>
      </c>
      <c r="C507" s="174" t="s">
        <v>83</v>
      </c>
      <c r="D507" s="174" t="s">
        <v>119</v>
      </c>
      <c r="E507" s="174" t="s">
        <v>120</v>
      </c>
      <c r="F507" s="174" t="s">
        <v>638</v>
      </c>
      <c r="G507" s="174" t="s">
        <v>639</v>
      </c>
      <c r="H507" s="174" t="s">
        <v>640</v>
      </c>
      <c r="I507" s="174" t="s">
        <v>29</v>
      </c>
      <c r="J507" s="174" t="s">
        <v>34</v>
      </c>
      <c r="K507" s="174" t="s">
        <v>154</v>
      </c>
      <c r="L507" s="177">
        <v>44467</v>
      </c>
      <c r="M507" s="174">
        <v>286</v>
      </c>
      <c r="N507" s="179">
        <v>48.6</v>
      </c>
      <c r="O507" s="174" t="s">
        <v>30</v>
      </c>
      <c r="P507" s="174">
        <v>259</v>
      </c>
    </row>
    <row r="508" spans="1:16" s="174" customFormat="1" ht="35" customHeight="1">
      <c r="A508" s="174">
        <f>ROW()-3</f>
        <v>505</v>
      </c>
      <c r="B508" s="174" t="s">
        <v>14</v>
      </c>
      <c r="C508" s="174" t="s">
        <v>83</v>
      </c>
      <c r="D508" s="174" t="s">
        <v>84</v>
      </c>
      <c r="E508" s="174" t="s">
        <v>111</v>
      </c>
      <c r="F508" s="174" t="s">
        <v>641</v>
      </c>
      <c r="G508" s="174" t="s">
        <v>642</v>
      </c>
      <c r="H508" s="174" t="s">
        <v>45</v>
      </c>
      <c r="I508" s="174" t="s">
        <v>29</v>
      </c>
      <c r="J508" s="174" t="s">
        <v>34</v>
      </c>
      <c r="K508" s="174" t="s">
        <v>364</v>
      </c>
      <c r="L508" s="177">
        <v>44467</v>
      </c>
      <c r="M508" s="174">
        <v>30</v>
      </c>
      <c r="N508" s="179">
        <v>4</v>
      </c>
      <c r="O508" s="174" t="s">
        <v>20</v>
      </c>
      <c r="P508" s="174">
        <v>666</v>
      </c>
    </row>
    <row r="509" spans="1:16" s="174" customFormat="1" ht="35" customHeight="1">
      <c r="A509" s="174">
        <f>ROW()-3</f>
        <v>506</v>
      </c>
      <c r="B509" s="174" t="s">
        <v>14</v>
      </c>
      <c r="C509" s="174" t="s">
        <v>83</v>
      </c>
      <c r="D509" s="174" t="s">
        <v>119</v>
      </c>
      <c r="E509" s="174" t="s">
        <v>127</v>
      </c>
      <c r="F509" s="174" t="s">
        <v>643</v>
      </c>
      <c r="G509" s="174" t="s">
        <v>643</v>
      </c>
      <c r="H509" s="174" t="s">
        <v>61</v>
      </c>
      <c r="I509" s="174" t="s">
        <v>17</v>
      </c>
      <c r="J509" s="174" t="s">
        <v>34</v>
      </c>
      <c r="K509" s="174" t="s">
        <v>35</v>
      </c>
      <c r="L509" s="177">
        <v>44477</v>
      </c>
      <c r="M509" s="174">
        <v>7</v>
      </c>
      <c r="N509" s="179">
        <v>1</v>
      </c>
      <c r="O509" s="174" t="s">
        <v>20</v>
      </c>
      <c r="P509" s="174">
        <v>99</v>
      </c>
    </row>
    <row r="510" spans="1:16" s="174" customFormat="1" ht="35" customHeight="1">
      <c r="A510" s="174">
        <f>ROW()-3</f>
        <v>507</v>
      </c>
      <c r="B510" s="174" t="s">
        <v>14</v>
      </c>
      <c r="C510" s="174" t="s">
        <v>83</v>
      </c>
      <c r="D510" s="174" t="s">
        <v>84</v>
      </c>
      <c r="E510" s="174" t="s">
        <v>94</v>
      </c>
      <c r="F510" s="174" t="s">
        <v>644</v>
      </c>
      <c r="G510" s="174" t="s">
        <v>645</v>
      </c>
      <c r="H510" s="174" t="s">
        <v>646</v>
      </c>
      <c r="I510" s="174" t="s">
        <v>29</v>
      </c>
      <c r="J510" s="174" t="s">
        <v>34</v>
      </c>
      <c r="K510" s="174" t="s">
        <v>364</v>
      </c>
      <c r="L510" s="177">
        <v>44478</v>
      </c>
      <c r="M510" s="174">
        <v>22</v>
      </c>
      <c r="N510" s="179">
        <v>1.5</v>
      </c>
      <c r="O510" s="174" t="s">
        <v>30</v>
      </c>
      <c r="P510" s="174">
        <v>199</v>
      </c>
    </row>
    <row r="511" spans="1:16" s="174" customFormat="1" ht="35" customHeight="1">
      <c r="A511" s="174">
        <f>ROW()-3</f>
        <v>508</v>
      </c>
      <c r="B511" s="174" t="s">
        <v>14</v>
      </c>
      <c r="C511" s="174" t="s">
        <v>83</v>
      </c>
      <c r="D511" s="174" t="s">
        <v>155</v>
      </c>
      <c r="E511" s="174" t="s">
        <v>202</v>
      </c>
      <c r="F511" s="174" t="s">
        <v>647</v>
      </c>
      <c r="G511" s="174" t="s">
        <v>648</v>
      </c>
      <c r="H511" s="174" t="s">
        <v>649</v>
      </c>
      <c r="I511" s="174" t="s">
        <v>29</v>
      </c>
      <c r="J511" s="174" t="s">
        <v>34</v>
      </c>
      <c r="K511" s="174" t="s">
        <v>34</v>
      </c>
      <c r="L511" s="177">
        <v>44487</v>
      </c>
      <c r="M511" s="174">
        <v>86</v>
      </c>
      <c r="N511" s="179">
        <v>21.5</v>
      </c>
      <c r="O511" s="174" t="s">
        <v>30</v>
      </c>
      <c r="P511" s="174">
        <v>99</v>
      </c>
    </row>
    <row r="512" spans="1:16" s="174" customFormat="1" ht="35" customHeight="1">
      <c r="A512" s="174">
        <f>ROW()-3</f>
        <v>509</v>
      </c>
      <c r="B512" s="174" t="s">
        <v>14</v>
      </c>
      <c r="C512" s="174" t="s">
        <v>83</v>
      </c>
      <c r="D512" s="174" t="s">
        <v>119</v>
      </c>
      <c r="E512" s="174" t="s">
        <v>127</v>
      </c>
      <c r="F512" s="174" t="s">
        <v>650</v>
      </c>
      <c r="G512" s="174" t="s">
        <v>651</v>
      </c>
      <c r="H512" s="174" t="s">
        <v>628</v>
      </c>
      <c r="I512" s="174" t="s">
        <v>29</v>
      </c>
      <c r="J512" s="174" t="s">
        <v>34</v>
      </c>
      <c r="K512" s="174" t="s">
        <v>35</v>
      </c>
      <c r="L512" s="177">
        <v>44487</v>
      </c>
      <c r="M512" s="174">
        <v>31</v>
      </c>
      <c r="N512" s="179">
        <v>166</v>
      </c>
      <c r="O512" s="174" t="s">
        <v>30</v>
      </c>
      <c r="P512" s="174">
        <v>498</v>
      </c>
    </row>
    <row r="513" spans="1:45" s="174" customFormat="1" ht="35" customHeight="1">
      <c r="A513" s="174">
        <f>ROW()-3</f>
        <v>510</v>
      </c>
      <c r="B513" s="174" t="s">
        <v>14</v>
      </c>
      <c r="C513" s="174" t="s">
        <v>83</v>
      </c>
      <c r="D513" s="174" t="s">
        <v>187</v>
      </c>
      <c r="E513" s="174" t="s">
        <v>355</v>
      </c>
      <c r="F513" s="174" t="s">
        <v>652</v>
      </c>
      <c r="G513" s="174" t="s">
        <v>652</v>
      </c>
      <c r="H513" s="174" t="s">
        <v>653</v>
      </c>
      <c r="I513" s="174" t="s">
        <v>29</v>
      </c>
      <c r="J513" s="174" t="s">
        <v>34</v>
      </c>
      <c r="K513" s="174" t="s">
        <v>93</v>
      </c>
      <c r="L513" s="177">
        <v>44489</v>
      </c>
      <c r="M513" s="174">
        <v>10</v>
      </c>
      <c r="N513" s="179">
        <v>1.1000000000000001</v>
      </c>
      <c r="O513" s="174" t="s">
        <v>20</v>
      </c>
      <c r="P513" s="174">
        <v>199</v>
      </c>
    </row>
    <row r="514" spans="1:45" s="174" customFormat="1" ht="35" customHeight="1">
      <c r="A514" s="174">
        <f>ROW()-3</f>
        <v>511</v>
      </c>
      <c r="B514" s="174" t="s">
        <v>14</v>
      </c>
      <c r="C514" s="174" t="s">
        <v>83</v>
      </c>
      <c r="D514" s="174" t="s">
        <v>155</v>
      </c>
      <c r="E514" s="174" t="s">
        <v>202</v>
      </c>
      <c r="F514" s="174" t="s">
        <v>654</v>
      </c>
      <c r="G514" s="174" t="s">
        <v>44</v>
      </c>
      <c r="H514" s="174" t="s">
        <v>45</v>
      </c>
      <c r="I514" s="174" t="s">
        <v>29</v>
      </c>
      <c r="J514" s="174" t="s">
        <v>24</v>
      </c>
      <c r="K514" s="174" t="s">
        <v>25</v>
      </c>
      <c r="L514" s="177">
        <v>44489</v>
      </c>
      <c r="M514" s="174">
        <v>10</v>
      </c>
      <c r="N514" s="179">
        <v>1.6</v>
      </c>
      <c r="O514" s="174" t="s">
        <v>30</v>
      </c>
      <c r="P514" s="174">
        <v>168</v>
      </c>
    </row>
    <row r="515" spans="1:45" s="174" customFormat="1" ht="35" customHeight="1">
      <c r="A515" s="174">
        <f>ROW()-3</f>
        <v>512</v>
      </c>
      <c r="B515" s="174" t="s">
        <v>14</v>
      </c>
      <c r="C515" s="174" t="s">
        <v>83</v>
      </c>
      <c r="D515" s="174" t="s">
        <v>84</v>
      </c>
      <c r="E515" s="174" t="s">
        <v>94</v>
      </c>
      <c r="F515" s="174" t="s">
        <v>655</v>
      </c>
      <c r="G515" s="174" t="s">
        <v>655</v>
      </c>
      <c r="H515" s="174" t="s">
        <v>656</v>
      </c>
      <c r="I515" s="174" t="s">
        <v>29</v>
      </c>
      <c r="J515" s="174" t="s">
        <v>34</v>
      </c>
      <c r="K515" s="174" t="s">
        <v>364</v>
      </c>
      <c r="L515" s="177">
        <v>44489</v>
      </c>
      <c r="M515" s="174">
        <v>23</v>
      </c>
      <c r="N515" s="179">
        <v>10</v>
      </c>
      <c r="O515" s="174" t="s">
        <v>30</v>
      </c>
      <c r="P515" s="174">
        <v>99</v>
      </c>
    </row>
    <row r="516" spans="1:45" s="174" customFormat="1" ht="35" customHeight="1">
      <c r="A516" s="174">
        <f>ROW()-3</f>
        <v>513</v>
      </c>
      <c r="B516" s="174" t="s">
        <v>14</v>
      </c>
      <c r="C516" s="174" t="s">
        <v>83</v>
      </c>
      <c r="D516" s="174" t="s">
        <v>187</v>
      </c>
      <c r="E516" s="174" t="s">
        <v>2674</v>
      </c>
      <c r="F516" s="174" t="s">
        <v>657</v>
      </c>
      <c r="G516" s="174" t="s">
        <v>657</v>
      </c>
      <c r="H516" s="174" t="s">
        <v>637</v>
      </c>
      <c r="I516" s="174" t="s">
        <v>29</v>
      </c>
      <c r="J516" s="174" t="s">
        <v>34</v>
      </c>
      <c r="K516" s="174" t="s">
        <v>35</v>
      </c>
      <c r="L516" s="177">
        <v>44489</v>
      </c>
      <c r="M516" s="174">
        <v>48</v>
      </c>
      <c r="N516" s="179">
        <v>12</v>
      </c>
      <c r="O516" s="174" t="s">
        <v>30</v>
      </c>
      <c r="P516" s="174">
        <v>299</v>
      </c>
    </row>
    <row r="517" spans="1:45" s="174" customFormat="1" ht="35" customHeight="1">
      <c r="A517" s="174">
        <f>ROW()-3</f>
        <v>514</v>
      </c>
      <c r="B517" s="174" t="s">
        <v>14</v>
      </c>
      <c r="C517" s="174" t="s">
        <v>83</v>
      </c>
      <c r="D517" s="174" t="s">
        <v>155</v>
      </c>
      <c r="E517" s="174" t="s">
        <v>202</v>
      </c>
      <c r="F517" s="174" t="s">
        <v>658</v>
      </c>
      <c r="G517" s="174" t="s">
        <v>44</v>
      </c>
      <c r="H517" s="174" t="s">
        <v>45</v>
      </c>
      <c r="I517" s="174" t="s">
        <v>29</v>
      </c>
      <c r="J517" s="174" t="s">
        <v>24</v>
      </c>
      <c r="K517" s="174" t="s">
        <v>25</v>
      </c>
      <c r="L517" s="177">
        <v>44498</v>
      </c>
      <c r="M517" s="174">
        <v>10</v>
      </c>
      <c r="N517" s="179">
        <v>2.1</v>
      </c>
      <c r="O517" s="174" t="s">
        <v>30</v>
      </c>
      <c r="P517" s="174">
        <v>168</v>
      </c>
    </row>
    <row r="518" spans="1:45" s="174" customFormat="1" ht="35" customHeight="1">
      <c r="A518" s="174">
        <f>ROW()-3</f>
        <v>515</v>
      </c>
      <c r="B518" s="174" t="s">
        <v>14</v>
      </c>
      <c r="C518" s="174" t="s">
        <v>83</v>
      </c>
      <c r="D518" s="174" t="s">
        <v>155</v>
      </c>
      <c r="E518" s="174" t="s">
        <v>202</v>
      </c>
      <c r="F518" s="174" t="s">
        <v>659</v>
      </c>
      <c r="G518" s="174" t="s">
        <v>44</v>
      </c>
      <c r="H518" s="174" t="s">
        <v>45</v>
      </c>
      <c r="I518" s="174" t="s">
        <v>29</v>
      </c>
      <c r="J518" s="174" t="s">
        <v>24</v>
      </c>
      <c r="K518" s="174" t="s">
        <v>25</v>
      </c>
      <c r="L518" s="177">
        <v>44498</v>
      </c>
      <c r="M518" s="174">
        <v>10</v>
      </c>
      <c r="N518" s="179">
        <v>1.6</v>
      </c>
      <c r="O518" s="174" t="s">
        <v>30</v>
      </c>
      <c r="P518" s="174">
        <v>168</v>
      </c>
    </row>
    <row r="519" spans="1:45" s="174" customFormat="1" ht="35" customHeight="1">
      <c r="A519" s="174">
        <f>ROW()-3</f>
        <v>516</v>
      </c>
      <c r="B519" s="174" t="s">
        <v>14</v>
      </c>
      <c r="C519" s="174" t="s">
        <v>83</v>
      </c>
      <c r="D519" s="174" t="s">
        <v>119</v>
      </c>
      <c r="E519" s="174" t="s">
        <v>120</v>
      </c>
      <c r="F519" s="174" t="s">
        <v>660</v>
      </c>
      <c r="G519" s="174" t="s">
        <v>660</v>
      </c>
      <c r="H519" s="174" t="s">
        <v>661</v>
      </c>
      <c r="I519" s="174" t="s">
        <v>29</v>
      </c>
      <c r="J519" s="174" t="s">
        <v>34</v>
      </c>
      <c r="K519" s="174" t="s">
        <v>154</v>
      </c>
      <c r="L519" s="177">
        <v>44501</v>
      </c>
      <c r="M519" s="174">
        <v>224</v>
      </c>
      <c r="N519" s="179">
        <v>38.1</v>
      </c>
      <c r="O519" s="174" t="s">
        <v>20</v>
      </c>
      <c r="P519" s="174">
        <v>199</v>
      </c>
    </row>
    <row r="520" spans="1:45" s="174" customFormat="1" ht="35" customHeight="1">
      <c r="A520" s="181">
        <f>ROW()-3</f>
        <v>517</v>
      </c>
      <c r="B520" s="181" t="s">
        <v>14</v>
      </c>
      <c r="C520" s="181" t="s">
        <v>2634</v>
      </c>
      <c r="D520" s="181" t="s">
        <v>5356</v>
      </c>
      <c r="E520" s="181" t="s">
        <v>5355</v>
      </c>
      <c r="F520" s="181" t="s">
        <v>1573</v>
      </c>
      <c r="G520" s="181" t="s">
        <v>1573</v>
      </c>
      <c r="H520" s="181" t="s">
        <v>1574</v>
      </c>
      <c r="I520" s="181" t="s">
        <v>29</v>
      </c>
      <c r="J520" s="181" t="s">
        <v>34</v>
      </c>
      <c r="K520" s="181" t="s">
        <v>154</v>
      </c>
      <c r="L520" s="177">
        <v>44504</v>
      </c>
      <c r="M520" s="181">
        <v>56</v>
      </c>
      <c r="N520" s="179">
        <v>9.3000000000000007</v>
      </c>
      <c r="O520" s="181" t="s">
        <v>30</v>
      </c>
      <c r="P520" s="181">
        <v>199</v>
      </c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  <c r="AC520" s="181"/>
      <c r="AD520" s="181"/>
      <c r="AE520" s="181"/>
      <c r="AF520" s="181"/>
      <c r="AG520" s="181"/>
      <c r="AH520" s="181"/>
      <c r="AI520" s="181"/>
      <c r="AJ520" s="181"/>
      <c r="AK520" s="181"/>
      <c r="AL520" s="181"/>
      <c r="AM520" s="181"/>
      <c r="AN520" s="181"/>
      <c r="AO520" s="181"/>
      <c r="AP520" s="181"/>
      <c r="AQ520" s="181"/>
      <c r="AR520" s="181"/>
      <c r="AS520" s="181"/>
    </row>
    <row r="521" spans="1:45" s="174" customFormat="1" ht="35" customHeight="1">
      <c r="A521" s="174">
        <f>ROW()-3</f>
        <v>518</v>
      </c>
      <c r="B521" s="174" t="s">
        <v>14</v>
      </c>
      <c r="C521" s="174" t="s">
        <v>83</v>
      </c>
      <c r="D521" s="174" t="s">
        <v>84</v>
      </c>
      <c r="E521" s="174" t="s">
        <v>662</v>
      </c>
      <c r="F521" s="174" t="s">
        <v>663</v>
      </c>
      <c r="G521" s="174" t="s">
        <v>663</v>
      </c>
      <c r="H521" s="174" t="s">
        <v>554</v>
      </c>
      <c r="I521" s="174" t="s">
        <v>29</v>
      </c>
      <c r="J521" s="174" t="s">
        <v>34</v>
      </c>
      <c r="K521" s="174" t="s">
        <v>35</v>
      </c>
      <c r="L521" s="177">
        <v>44504</v>
      </c>
      <c r="M521" s="174">
        <v>19</v>
      </c>
      <c r="N521" s="179">
        <v>3</v>
      </c>
      <c r="O521" s="174" t="s">
        <v>20</v>
      </c>
      <c r="P521" s="174">
        <v>69</v>
      </c>
    </row>
    <row r="522" spans="1:45" s="174" customFormat="1" ht="35" customHeight="1">
      <c r="A522" s="181">
        <f>ROW()-3</f>
        <v>519</v>
      </c>
      <c r="B522" s="181" t="s">
        <v>5353</v>
      </c>
      <c r="C522" s="181" t="s">
        <v>2634</v>
      </c>
      <c r="D522" s="181" t="s">
        <v>5482</v>
      </c>
      <c r="E522" s="181" t="s">
        <v>5483</v>
      </c>
      <c r="F522" s="181" t="s">
        <v>5484</v>
      </c>
      <c r="G522" s="181" t="s">
        <v>5485</v>
      </c>
      <c r="H522" s="181" t="s">
        <v>5486</v>
      </c>
      <c r="I522" s="181" t="s">
        <v>2652</v>
      </c>
      <c r="J522" s="181" t="s">
        <v>34</v>
      </c>
      <c r="K522" s="181" t="s">
        <v>154</v>
      </c>
      <c r="L522" s="177">
        <v>44509</v>
      </c>
      <c r="M522" s="181">
        <v>26</v>
      </c>
      <c r="N522" s="181">
        <v>3.53</v>
      </c>
      <c r="O522" s="181" t="s">
        <v>20</v>
      </c>
      <c r="P522" s="174">
        <v>99</v>
      </c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</row>
    <row r="523" spans="1:45" s="174" customFormat="1" ht="35" customHeight="1">
      <c r="A523" s="181">
        <f>ROW()-3</f>
        <v>520</v>
      </c>
      <c r="B523" s="181" t="s">
        <v>5353</v>
      </c>
      <c r="C523" s="181" t="s">
        <v>2634</v>
      </c>
      <c r="D523" s="181" t="s">
        <v>5482</v>
      </c>
      <c r="E523" s="181" t="s">
        <v>5487</v>
      </c>
      <c r="F523" s="181" t="s">
        <v>5488</v>
      </c>
      <c r="G523" s="181" t="s">
        <v>5488</v>
      </c>
      <c r="H523" s="181" t="s">
        <v>5489</v>
      </c>
      <c r="I523" s="181" t="s">
        <v>2652</v>
      </c>
      <c r="J523" s="181" t="s">
        <v>34</v>
      </c>
      <c r="K523" s="181" t="s">
        <v>154</v>
      </c>
      <c r="L523" s="177">
        <v>44509</v>
      </c>
      <c r="M523" s="181">
        <v>25</v>
      </c>
      <c r="N523" s="181">
        <v>3.86</v>
      </c>
      <c r="O523" s="181" t="s">
        <v>20</v>
      </c>
      <c r="P523" s="174">
        <v>99</v>
      </c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</row>
    <row r="524" spans="1:45" s="174" customFormat="1" ht="35" customHeight="1">
      <c r="A524" s="181">
        <f>ROW()-3</f>
        <v>521</v>
      </c>
      <c r="B524" s="181" t="s">
        <v>5353</v>
      </c>
      <c r="C524" s="181" t="s">
        <v>2634</v>
      </c>
      <c r="D524" s="181" t="s">
        <v>5482</v>
      </c>
      <c r="E524" s="181" t="s">
        <v>5483</v>
      </c>
      <c r="F524" s="181" t="s">
        <v>5490</v>
      </c>
      <c r="G524" s="181" t="s">
        <v>5490</v>
      </c>
      <c r="H524" s="181" t="s">
        <v>5491</v>
      </c>
      <c r="I524" s="181" t="s">
        <v>2652</v>
      </c>
      <c r="J524" s="181" t="s">
        <v>5481</v>
      </c>
      <c r="K524" s="181" t="s">
        <v>154</v>
      </c>
      <c r="L524" s="177">
        <v>44509</v>
      </c>
      <c r="M524" s="181">
        <v>16</v>
      </c>
      <c r="N524" s="181">
        <v>2.54</v>
      </c>
      <c r="O524" s="181" t="s">
        <v>20</v>
      </c>
      <c r="P524" s="174">
        <v>99</v>
      </c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</row>
    <row r="525" spans="1:45" s="174" customFormat="1" ht="35" customHeight="1">
      <c r="A525" s="174">
        <f>ROW()-3</f>
        <v>522</v>
      </c>
      <c r="B525" s="174" t="s">
        <v>14</v>
      </c>
      <c r="C525" s="174" t="s">
        <v>83</v>
      </c>
      <c r="D525" s="174" t="s">
        <v>187</v>
      </c>
      <c r="E525" s="174" t="s">
        <v>2674</v>
      </c>
      <c r="F525" s="174" t="s">
        <v>664</v>
      </c>
      <c r="G525" s="174" t="s">
        <v>664</v>
      </c>
      <c r="H525" s="174" t="s">
        <v>665</v>
      </c>
      <c r="I525" s="174" t="s">
        <v>29</v>
      </c>
      <c r="J525" s="174" t="s">
        <v>34</v>
      </c>
      <c r="K525" s="174" t="s">
        <v>35</v>
      </c>
      <c r="L525" s="177">
        <v>44510</v>
      </c>
      <c r="M525" s="174">
        <v>29</v>
      </c>
      <c r="N525" s="179">
        <v>7.2</v>
      </c>
      <c r="O525" s="174" t="s">
        <v>20</v>
      </c>
      <c r="P525" s="174">
        <v>98</v>
      </c>
    </row>
    <row r="526" spans="1:45" s="174" customFormat="1" ht="35" customHeight="1">
      <c r="A526" s="174">
        <f>ROW()-3</f>
        <v>523</v>
      </c>
      <c r="B526" s="174" t="s">
        <v>14</v>
      </c>
      <c r="C526" s="174" t="s">
        <v>83</v>
      </c>
      <c r="D526" s="174" t="s">
        <v>84</v>
      </c>
      <c r="E526" s="174" t="s">
        <v>85</v>
      </c>
      <c r="F526" s="174" t="s">
        <v>666</v>
      </c>
      <c r="G526" s="174" t="s">
        <v>666</v>
      </c>
      <c r="H526" s="174" t="s">
        <v>667</v>
      </c>
      <c r="I526" s="174" t="s">
        <v>29</v>
      </c>
      <c r="J526" s="174" t="s">
        <v>34</v>
      </c>
      <c r="K526" s="174" t="s">
        <v>364</v>
      </c>
      <c r="L526" s="177">
        <v>44517</v>
      </c>
      <c r="M526" s="174">
        <v>11</v>
      </c>
      <c r="N526" s="179">
        <v>1.8</v>
      </c>
      <c r="O526" s="174" t="s">
        <v>20</v>
      </c>
      <c r="P526" s="174">
        <v>69</v>
      </c>
    </row>
    <row r="527" spans="1:45" s="174" customFormat="1" ht="35" customHeight="1">
      <c r="A527" s="174">
        <f>ROW()-3</f>
        <v>524</v>
      </c>
      <c r="B527" s="174" t="s">
        <v>14</v>
      </c>
      <c r="C527" s="174" t="s">
        <v>83</v>
      </c>
      <c r="D527" s="174" t="s">
        <v>106</v>
      </c>
      <c r="E527" s="174" t="s">
        <v>668</v>
      </c>
      <c r="F527" s="174" t="s">
        <v>669</v>
      </c>
      <c r="G527" s="174" t="s">
        <v>670</v>
      </c>
      <c r="H527" s="174" t="s">
        <v>671</v>
      </c>
      <c r="I527" s="174" t="s">
        <v>29</v>
      </c>
      <c r="J527" s="174" t="s">
        <v>34</v>
      </c>
      <c r="K527" s="174" t="s">
        <v>35</v>
      </c>
      <c r="L527" s="177">
        <v>44526</v>
      </c>
      <c r="M527" s="174">
        <v>21</v>
      </c>
      <c r="N527" s="179">
        <v>2.5</v>
      </c>
      <c r="O527" s="174" t="s">
        <v>30</v>
      </c>
      <c r="P527" s="174">
        <v>99</v>
      </c>
    </row>
    <row r="528" spans="1:45" s="174" customFormat="1" ht="35" customHeight="1">
      <c r="A528" s="174">
        <f>ROW()-3</f>
        <v>525</v>
      </c>
      <c r="B528" s="174" t="s">
        <v>14</v>
      </c>
      <c r="C528" s="174" t="s">
        <v>83</v>
      </c>
      <c r="D528" s="174" t="s">
        <v>119</v>
      </c>
      <c r="E528" s="174" t="s">
        <v>127</v>
      </c>
      <c r="F528" s="174" t="s">
        <v>2488</v>
      </c>
      <c r="G528" s="174" t="s">
        <v>672</v>
      </c>
      <c r="H528" s="174" t="s">
        <v>673</v>
      </c>
      <c r="I528" s="174" t="s">
        <v>29</v>
      </c>
      <c r="J528" s="174" t="s">
        <v>34</v>
      </c>
      <c r="K528" s="174" t="s">
        <v>154</v>
      </c>
      <c r="L528" s="177">
        <v>44532</v>
      </c>
      <c r="M528" s="174">
        <v>25</v>
      </c>
      <c r="N528" s="179">
        <v>7.5</v>
      </c>
      <c r="O528" s="174" t="s">
        <v>20</v>
      </c>
      <c r="P528" s="174">
        <v>98</v>
      </c>
    </row>
    <row r="529" spans="1:45" s="174" customFormat="1" ht="35" customHeight="1">
      <c r="A529" s="174">
        <f>ROW()-3</f>
        <v>526</v>
      </c>
      <c r="B529" s="174" t="s">
        <v>14</v>
      </c>
      <c r="C529" s="174" t="s">
        <v>83</v>
      </c>
      <c r="D529" s="174" t="s">
        <v>187</v>
      </c>
      <c r="E529" s="174" t="s">
        <v>188</v>
      </c>
      <c r="F529" s="174" t="s">
        <v>187</v>
      </c>
      <c r="G529" s="174" t="s">
        <v>187</v>
      </c>
      <c r="H529" s="174" t="s">
        <v>674</v>
      </c>
      <c r="I529" s="174" t="s">
        <v>17</v>
      </c>
      <c r="J529" s="174" t="s">
        <v>34</v>
      </c>
      <c r="K529" s="174" t="s">
        <v>154</v>
      </c>
      <c r="L529" s="177">
        <v>44532</v>
      </c>
      <c r="M529" s="174">
        <v>10</v>
      </c>
      <c r="N529" s="179">
        <v>1.6</v>
      </c>
      <c r="O529" s="174" t="s">
        <v>20</v>
      </c>
      <c r="P529" s="174">
        <v>399</v>
      </c>
    </row>
    <row r="530" spans="1:45" s="174" customFormat="1" ht="35" customHeight="1">
      <c r="A530" s="174">
        <f>ROW()-3</f>
        <v>527</v>
      </c>
      <c r="B530" s="174" t="s">
        <v>14</v>
      </c>
      <c r="C530" s="174" t="s">
        <v>83</v>
      </c>
      <c r="D530" s="174" t="s">
        <v>84</v>
      </c>
      <c r="E530" s="174" t="s">
        <v>662</v>
      </c>
      <c r="F530" s="174" t="s">
        <v>675</v>
      </c>
      <c r="G530" s="174" t="s">
        <v>675</v>
      </c>
      <c r="H530" s="174" t="s">
        <v>676</v>
      </c>
      <c r="I530" s="174" t="s">
        <v>29</v>
      </c>
      <c r="J530" s="174" t="s">
        <v>34</v>
      </c>
      <c r="K530" s="174" t="s">
        <v>35</v>
      </c>
      <c r="L530" s="177">
        <v>44533</v>
      </c>
      <c r="M530" s="174">
        <v>12</v>
      </c>
      <c r="N530" s="179">
        <v>1.638611111111111</v>
      </c>
      <c r="O530" s="174" t="s">
        <v>20</v>
      </c>
      <c r="P530" s="174" t="s">
        <v>2710</v>
      </c>
    </row>
    <row r="531" spans="1:45" s="174" customFormat="1" ht="35" customHeight="1">
      <c r="A531" s="174">
        <f>ROW()-3</f>
        <v>528</v>
      </c>
      <c r="B531" s="174" t="s">
        <v>14</v>
      </c>
      <c r="C531" s="174" t="s">
        <v>83</v>
      </c>
      <c r="D531" s="174" t="s">
        <v>220</v>
      </c>
      <c r="E531" s="174" t="s">
        <v>247</v>
      </c>
      <c r="F531" s="174" t="s">
        <v>677</v>
      </c>
      <c r="G531" s="174" t="s">
        <v>678</v>
      </c>
      <c r="H531" s="174" t="s">
        <v>679</v>
      </c>
      <c r="I531" s="174" t="s">
        <v>17</v>
      </c>
      <c r="J531" s="174" t="s">
        <v>34</v>
      </c>
      <c r="K531" s="174" t="s">
        <v>2656</v>
      </c>
      <c r="L531" s="177">
        <v>44534</v>
      </c>
      <c r="M531" s="174">
        <v>15</v>
      </c>
      <c r="N531" s="179">
        <v>3.5074999999999998</v>
      </c>
      <c r="O531" s="174" t="s">
        <v>20</v>
      </c>
      <c r="P531" s="174" t="s">
        <v>2711</v>
      </c>
    </row>
    <row r="532" spans="1:45" s="174" customFormat="1" ht="35" customHeight="1">
      <c r="A532" s="174">
        <f>ROW()-3</f>
        <v>529</v>
      </c>
      <c r="B532" s="174" t="s">
        <v>14</v>
      </c>
      <c r="C532" s="174" t="s">
        <v>83</v>
      </c>
      <c r="D532" s="174" t="s">
        <v>596</v>
      </c>
      <c r="E532" s="174" t="s">
        <v>304</v>
      </c>
      <c r="F532" s="174" t="s">
        <v>680</v>
      </c>
      <c r="G532" s="174" t="s">
        <v>680</v>
      </c>
      <c r="H532" s="174" t="s">
        <v>681</v>
      </c>
      <c r="I532" s="174" t="s">
        <v>17</v>
      </c>
      <c r="J532" s="174" t="s">
        <v>34</v>
      </c>
      <c r="K532" s="174" t="s">
        <v>2657</v>
      </c>
      <c r="L532" s="177">
        <v>44538</v>
      </c>
      <c r="M532" s="174">
        <v>7</v>
      </c>
      <c r="N532" s="179">
        <v>2.5477777777777777</v>
      </c>
      <c r="O532" s="174" t="s">
        <v>20</v>
      </c>
      <c r="P532" s="174">
        <v>59</v>
      </c>
    </row>
    <row r="533" spans="1:45" s="174" customFormat="1" ht="35" customHeight="1">
      <c r="A533" s="174">
        <f>ROW()-3</f>
        <v>530</v>
      </c>
      <c r="B533" s="174" t="s">
        <v>14</v>
      </c>
      <c r="C533" s="174" t="s">
        <v>83</v>
      </c>
      <c r="D533" s="174" t="s">
        <v>596</v>
      </c>
      <c r="E533" s="174" t="s">
        <v>180</v>
      </c>
      <c r="F533" s="174" t="s">
        <v>682</v>
      </c>
      <c r="G533" s="174" t="s">
        <v>682</v>
      </c>
      <c r="H533" s="174" t="s">
        <v>683</v>
      </c>
      <c r="I533" s="174" t="s">
        <v>29</v>
      </c>
      <c r="J533" s="174" t="s">
        <v>34</v>
      </c>
      <c r="K533" s="174" t="s">
        <v>35</v>
      </c>
      <c r="L533" s="177">
        <v>44538</v>
      </c>
      <c r="M533" s="174">
        <v>35</v>
      </c>
      <c r="N533" s="179">
        <v>6.4649999999999999</v>
      </c>
      <c r="O533" s="174" t="s">
        <v>20</v>
      </c>
      <c r="P533" s="174">
        <v>99</v>
      </c>
    </row>
    <row r="534" spans="1:45" s="174" customFormat="1" ht="35" customHeight="1">
      <c r="A534" s="174">
        <f>ROW()-3</f>
        <v>531</v>
      </c>
      <c r="B534" s="174" t="s">
        <v>14</v>
      </c>
      <c r="C534" s="174" t="s">
        <v>83</v>
      </c>
      <c r="D534" s="174" t="s">
        <v>596</v>
      </c>
      <c r="E534" s="174" t="s">
        <v>180</v>
      </c>
      <c r="F534" s="174" t="s">
        <v>684</v>
      </c>
      <c r="G534" s="174" t="s">
        <v>684</v>
      </c>
      <c r="H534" s="174" t="s">
        <v>685</v>
      </c>
      <c r="I534" s="174" t="s">
        <v>17</v>
      </c>
      <c r="J534" s="174" t="s">
        <v>34</v>
      </c>
      <c r="K534" s="174" t="s">
        <v>67</v>
      </c>
      <c r="L534" s="177">
        <v>44538</v>
      </c>
      <c r="M534" s="174">
        <v>38</v>
      </c>
      <c r="N534" s="179">
        <v>6.9474999999999998</v>
      </c>
      <c r="O534" s="174" t="s">
        <v>20</v>
      </c>
      <c r="P534" s="174">
        <v>199</v>
      </c>
    </row>
    <row r="535" spans="1:45" s="174" customFormat="1" ht="35" customHeight="1">
      <c r="A535" s="174">
        <f>ROW()-3</f>
        <v>532</v>
      </c>
      <c r="B535" s="174" t="s">
        <v>14</v>
      </c>
      <c r="C535" s="174" t="s">
        <v>83</v>
      </c>
      <c r="D535" s="174" t="s">
        <v>119</v>
      </c>
      <c r="E535" s="174" t="s">
        <v>127</v>
      </c>
      <c r="F535" s="174" t="s">
        <v>686</v>
      </c>
      <c r="G535" s="174" t="s">
        <v>687</v>
      </c>
      <c r="H535" s="174" t="s">
        <v>688</v>
      </c>
      <c r="I535" s="174" t="s">
        <v>29</v>
      </c>
      <c r="J535" s="174" t="s">
        <v>34</v>
      </c>
      <c r="K535" s="174" t="s">
        <v>53</v>
      </c>
      <c r="L535" s="177">
        <v>44538</v>
      </c>
      <c r="M535" s="174">
        <v>21</v>
      </c>
      <c r="N535" s="179">
        <v>3.2141666666666668</v>
      </c>
      <c r="O535" s="174" t="s">
        <v>20</v>
      </c>
      <c r="P535" s="174">
        <v>99</v>
      </c>
    </row>
    <row r="536" spans="1:45" s="174" customFormat="1" ht="35" customHeight="1">
      <c r="A536" s="174">
        <f>ROW()-3</f>
        <v>533</v>
      </c>
      <c r="B536" s="174" t="s">
        <v>14</v>
      </c>
      <c r="C536" s="174" t="s">
        <v>83</v>
      </c>
      <c r="D536" s="174" t="s">
        <v>119</v>
      </c>
      <c r="E536" s="174" t="s">
        <v>127</v>
      </c>
      <c r="F536" s="174" t="s">
        <v>2489</v>
      </c>
      <c r="G536" s="174" t="s">
        <v>2489</v>
      </c>
      <c r="H536" s="174" t="s">
        <v>2490</v>
      </c>
      <c r="I536" s="174" t="s">
        <v>29</v>
      </c>
      <c r="J536" s="174" t="s">
        <v>34</v>
      </c>
      <c r="K536" s="174" t="s">
        <v>35</v>
      </c>
      <c r="L536" s="177">
        <v>44538</v>
      </c>
      <c r="M536" s="174">
        <v>21</v>
      </c>
      <c r="N536" s="179">
        <v>21</v>
      </c>
      <c r="O536" s="174" t="s">
        <v>20</v>
      </c>
      <c r="P536" s="174">
        <v>0</v>
      </c>
    </row>
    <row r="537" spans="1:45" s="174" customFormat="1" ht="35" customHeight="1">
      <c r="A537" s="174">
        <f>ROW()-3</f>
        <v>534</v>
      </c>
      <c r="B537" s="174" t="s">
        <v>14</v>
      </c>
      <c r="C537" s="174" t="s">
        <v>83</v>
      </c>
      <c r="D537" s="174" t="s">
        <v>84</v>
      </c>
      <c r="E537" s="174" t="s">
        <v>94</v>
      </c>
      <c r="F537" s="174" t="s">
        <v>2491</v>
      </c>
      <c r="G537" s="174" t="s">
        <v>2492</v>
      </c>
      <c r="H537" s="174" t="s">
        <v>2493</v>
      </c>
      <c r="I537" s="174" t="s">
        <v>29</v>
      </c>
      <c r="J537" s="174" t="s">
        <v>34</v>
      </c>
      <c r="K537" s="174" t="s">
        <v>2658</v>
      </c>
      <c r="L537" s="177">
        <v>44538</v>
      </c>
      <c r="M537" s="174">
        <v>24</v>
      </c>
      <c r="N537" s="179">
        <v>24</v>
      </c>
      <c r="O537" s="174" t="s">
        <v>20</v>
      </c>
      <c r="P537" s="174">
        <v>0</v>
      </c>
    </row>
    <row r="538" spans="1:45" s="174" customFormat="1" ht="35" customHeight="1">
      <c r="A538" s="174">
        <f>ROW()-3</f>
        <v>535</v>
      </c>
      <c r="B538" s="174" t="s">
        <v>14</v>
      </c>
      <c r="C538" s="174" t="s">
        <v>83</v>
      </c>
      <c r="D538" s="174" t="s">
        <v>84</v>
      </c>
      <c r="E538" s="174" t="s">
        <v>85</v>
      </c>
      <c r="F538" s="174" t="s">
        <v>689</v>
      </c>
      <c r="G538" s="174" t="s">
        <v>690</v>
      </c>
      <c r="H538" s="174" t="s">
        <v>691</v>
      </c>
      <c r="I538" s="174" t="s">
        <v>29</v>
      </c>
      <c r="J538" s="174" t="s">
        <v>34</v>
      </c>
      <c r="K538" s="174" t="s">
        <v>67</v>
      </c>
      <c r="L538" s="177">
        <v>44538</v>
      </c>
      <c r="M538" s="174">
        <v>9</v>
      </c>
      <c r="N538" s="179">
        <v>0.81083333333333329</v>
      </c>
      <c r="O538" s="174" t="s">
        <v>20</v>
      </c>
      <c r="P538" s="174" t="s">
        <v>2711</v>
      </c>
    </row>
    <row r="539" spans="1:45" s="251" customFormat="1" ht="35" customHeight="1">
      <c r="A539" s="174">
        <f>ROW()-3</f>
        <v>536</v>
      </c>
      <c r="B539" s="174" t="s">
        <v>14</v>
      </c>
      <c r="C539" s="174" t="s">
        <v>83</v>
      </c>
      <c r="D539" s="174" t="s">
        <v>5164</v>
      </c>
      <c r="E539" s="174" t="s">
        <v>428</v>
      </c>
      <c r="F539" s="174" t="s">
        <v>692</v>
      </c>
      <c r="G539" s="174" t="s">
        <v>692</v>
      </c>
      <c r="H539" s="174" t="s">
        <v>693</v>
      </c>
      <c r="I539" s="174" t="s">
        <v>17</v>
      </c>
      <c r="J539" s="174" t="s">
        <v>34</v>
      </c>
      <c r="K539" s="174" t="s">
        <v>67</v>
      </c>
      <c r="L539" s="177">
        <v>44538</v>
      </c>
      <c r="M539" s="174">
        <v>10</v>
      </c>
      <c r="N539" s="179">
        <v>8.612222222222222</v>
      </c>
      <c r="O539" s="174" t="s">
        <v>20</v>
      </c>
      <c r="P539" s="174">
        <v>99</v>
      </c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  <c r="AB539" s="174"/>
      <c r="AC539" s="174"/>
      <c r="AD539" s="174"/>
      <c r="AE539" s="174"/>
      <c r="AF539" s="174"/>
      <c r="AG539" s="174"/>
      <c r="AH539" s="174"/>
      <c r="AI539" s="174"/>
      <c r="AJ539" s="174"/>
      <c r="AK539" s="174"/>
      <c r="AL539" s="174"/>
      <c r="AM539" s="174"/>
      <c r="AN539" s="174"/>
      <c r="AO539" s="174"/>
      <c r="AP539" s="174"/>
      <c r="AQ539" s="174"/>
      <c r="AR539" s="174"/>
      <c r="AS539" s="174"/>
    </row>
    <row r="540" spans="1:45" s="174" customFormat="1" ht="35" customHeight="1">
      <c r="A540" s="174">
        <f>ROW()-3</f>
        <v>537</v>
      </c>
      <c r="B540" s="174" t="s">
        <v>14</v>
      </c>
      <c r="C540" s="174" t="s">
        <v>83</v>
      </c>
      <c r="D540" s="174" t="s">
        <v>5164</v>
      </c>
      <c r="E540" s="174" t="s">
        <v>428</v>
      </c>
      <c r="F540" s="174" t="s">
        <v>694</v>
      </c>
      <c r="G540" s="174" t="s">
        <v>694</v>
      </c>
      <c r="H540" s="174" t="s">
        <v>695</v>
      </c>
      <c r="I540" s="174" t="s">
        <v>17</v>
      </c>
      <c r="J540" s="174" t="s">
        <v>34</v>
      </c>
      <c r="K540" s="174" t="s">
        <v>34</v>
      </c>
      <c r="L540" s="177">
        <v>44539</v>
      </c>
      <c r="M540" s="174">
        <v>33</v>
      </c>
      <c r="N540" s="179">
        <v>5.5</v>
      </c>
      <c r="O540" s="174" t="s">
        <v>20</v>
      </c>
      <c r="P540" s="174">
        <v>88</v>
      </c>
    </row>
    <row r="541" spans="1:45" s="174" customFormat="1" ht="35" customHeight="1">
      <c r="A541" s="174">
        <f>ROW()-3</f>
        <v>538</v>
      </c>
      <c r="B541" s="174" t="s">
        <v>14</v>
      </c>
      <c r="C541" s="174" t="s">
        <v>83</v>
      </c>
      <c r="D541" s="174" t="s">
        <v>106</v>
      </c>
      <c r="E541" s="174" t="s">
        <v>696</v>
      </c>
      <c r="F541" s="174" t="s">
        <v>697</v>
      </c>
      <c r="G541" s="174" t="s">
        <v>697</v>
      </c>
      <c r="H541" s="174" t="s">
        <v>599</v>
      </c>
      <c r="I541" s="174" t="s">
        <v>17</v>
      </c>
      <c r="J541" s="174" t="s">
        <v>34</v>
      </c>
      <c r="K541" s="174" t="s">
        <v>154</v>
      </c>
      <c r="L541" s="177">
        <v>44547</v>
      </c>
      <c r="M541" s="174">
        <v>5</v>
      </c>
      <c r="N541" s="179">
        <v>0.8</v>
      </c>
      <c r="O541" s="174" t="s">
        <v>30</v>
      </c>
      <c r="P541" s="174">
        <v>68</v>
      </c>
    </row>
    <row r="542" spans="1:45" s="174" customFormat="1" ht="35" customHeight="1">
      <c r="A542" s="174">
        <f>ROW()-3</f>
        <v>539</v>
      </c>
      <c r="B542" s="174" t="s">
        <v>14</v>
      </c>
      <c r="C542" s="174" t="s">
        <v>83</v>
      </c>
      <c r="D542" s="174" t="s">
        <v>119</v>
      </c>
      <c r="E542" s="174" t="s">
        <v>161</v>
      </c>
      <c r="F542" s="174" t="s">
        <v>698</v>
      </c>
      <c r="G542" s="174" t="s">
        <v>699</v>
      </c>
      <c r="H542" s="174" t="s">
        <v>700</v>
      </c>
      <c r="I542" s="174" t="s">
        <v>29</v>
      </c>
      <c r="J542" s="174" t="s">
        <v>34</v>
      </c>
      <c r="K542" s="174" t="s">
        <v>2659</v>
      </c>
      <c r="L542" s="177">
        <v>44554</v>
      </c>
      <c r="M542" s="174">
        <v>27</v>
      </c>
      <c r="N542" s="179">
        <v>2.9252777777777776</v>
      </c>
      <c r="O542" s="174" t="s">
        <v>20</v>
      </c>
      <c r="P542" s="180">
        <v>199</v>
      </c>
    </row>
    <row r="543" spans="1:45" s="174" customFormat="1" ht="35" customHeight="1">
      <c r="A543" s="174">
        <f>ROW()-3</f>
        <v>540</v>
      </c>
      <c r="B543" s="174" t="s">
        <v>14</v>
      </c>
      <c r="C543" s="174" t="s">
        <v>83</v>
      </c>
      <c r="D543" s="174" t="s">
        <v>220</v>
      </c>
      <c r="E543" s="174" t="s">
        <v>2672</v>
      </c>
      <c r="F543" s="174" t="s">
        <v>701</v>
      </c>
      <c r="G543" s="174" t="s">
        <v>702</v>
      </c>
      <c r="H543" s="174" t="s">
        <v>703</v>
      </c>
      <c r="I543" s="174" t="s">
        <v>17</v>
      </c>
      <c r="J543" s="174" t="s">
        <v>34</v>
      </c>
      <c r="K543" s="174" t="s">
        <v>2656</v>
      </c>
      <c r="L543" s="177">
        <v>44554</v>
      </c>
      <c r="M543" s="174">
        <v>16</v>
      </c>
      <c r="N543" s="179">
        <v>3.5044444444444443</v>
      </c>
      <c r="O543" s="174" t="s">
        <v>20</v>
      </c>
      <c r="P543" s="174" t="s">
        <v>2712</v>
      </c>
    </row>
    <row r="544" spans="1:45" s="174" customFormat="1" ht="35" customHeight="1">
      <c r="A544" s="174">
        <f>ROW()-3</f>
        <v>541</v>
      </c>
      <c r="B544" s="174" t="s">
        <v>14</v>
      </c>
      <c r="C544" s="174" t="s">
        <v>83</v>
      </c>
      <c r="D544" s="174" t="s">
        <v>155</v>
      </c>
      <c r="E544" s="174" t="s">
        <v>202</v>
      </c>
      <c r="F544" s="174" t="s">
        <v>2494</v>
      </c>
      <c r="G544" s="174" t="s">
        <v>2494</v>
      </c>
      <c r="H544" s="174" t="s">
        <v>2495</v>
      </c>
      <c r="I544" s="174" t="s">
        <v>29</v>
      </c>
      <c r="J544" s="174" t="s">
        <v>34</v>
      </c>
      <c r="K544" s="174" t="s">
        <v>2656</v>
      </c>
      <c r="L544" s="177">
        <v>44554</v>
      </c>
      <c r="M544" s="174">
        <v>8</v>
      </c>
      <c r="N544" s="179">
        <v>8</v>
      </c>
      <c r="O544" s="174" t="s">
        <v>20</v>
      </c>
      <c r="P544" s="174">
        <v>0</v>
      </c>
    </row>
    <row r="545" spans="1:45" s="174" customFormat="1" ht="35" customHeight="1">
      <c r="A545" s="174">
        <f>ROW()-3</f>
        <v>542</v>
      </c>
      <c r="B545" s="174" t="s">
        <v>14</v>
      </c>
      <c r="C545" s="174" t="s">
        <v>83</v>
      </c>
      <c r="D545" s="174" t="s">
        <v>106</v>
      </c>
      <c r="E545" s="174" t="s">
        <v>696</v>
      </c>
      <c r="F545" s="174" t="s">
        <v>704</v>
      </c>
      <c r="G545" s="174" t="s">
        <v>704</v>
      </c>
      <c r="H545" s="174" t="s">
        <v>705</v>
      </c>
      <c r="I545" s="174" t="s">
        <v>17</v>
      </c>
      <c r="J545" s="174" t="s">
        <v>34</v>
      </c>
      <c r="K545" s="174" t="s">
        <v>2655</v>
      </c>
      <c r="L545" s="177">
        <v>44554</v>
      </c>
      <c r="M545" s="174">
        <v>13</v>
      </c>
      <c r="N545" s="179">
        <v>3.6197222222222223</v>
      </c>
      <c r="O545" s="174" t="s">
        <v>20</v>
      </c>
    </row>
    <row r="546" spans="1:45" s="174" customFormat="1" ht="35" customHeight="1">
      <c r="A546" s="174">
        <f>ROW()-3</f>
        <v>543</v>
      </c>
      <c r="B546" s="174" t="s">
        <v>14</v>
      </c>
      <c r="C546" s="174" t="s">
        <v>83</v>
      </c>
      <c r="D546" s="174" t="s">
        <v>220</v>
      </c>
      <c r="E546" s="174" t="s">
        <v>2672</v>
      </c>
      <c r="F546" s="174" t="s">
        <v>2496</v>
      </c>
      <c r="G546" s="174" t="s">
        <v>707</v>
      </c>
      <c r="H546" s="174" t="s">
        <v>708</v>
      </c>
      <c r="I546" s="174" t="s">
        <v>29</v>
      </c>
      <c r="J546" s="174" t="s">
        <v>34</v>
      </c>
      <c r="K546" s="174" t="s">
        <v>58</v>
      </c>
      <c r="L546" s="177">
        <v>44554</v>
      </c>
      <c r="M546" s="174">
        <v>32</v>
      </c>
      <c r="N546" s="179">
        <v>4.4447222222222225</v>
      </c>
      <c r="O546" s="174" t="s">
        <v>20</v>
      </c>
      <c r="P546" s="174" t="s">
        <v>2713</v>
      </c>
    </row>
    <row r="547" spans="1:45" s="174" customFormat="1" ht="35" customHeight="1">
      <c r="A547" s="174">
        <f>ROW()-3</f>
        <v>544</v>
      </c>
      <c r="B547" s="174" t="s">
        <v>14</v>
      </c>
      <c r="C547" s="174" t="s">
        <v>83</v>
      </c>
      <c r="D547" s="174" t="s">
        <v>119</v>
      </c>
      <c r="E547" s="174" t="s">
        <v>120</v>
      </c>
      <c r="F547" s="174" t="s">
        <v>709</v>
      </c>
      <c r="G547" s="174" t="s">
        <v>710</v>
      </c>
      <c r="H547" s="174" t="s">
        <v>711</v>
      </c>
      <c r="I547" s="174" t="s">
        <v>29</v>
      </c>
      <c r="J547" s="174" t="s">
        <v>34</v>
      </c>
      <c r="K547" s="174" t="s">
        <v>2659</v>
      </c>
      <c r="L547" s="177">
        <v>44555</v>
      </c>
      <c r="M547" s="174">
        <v>89</v>
      </c>
      <c r="N547" s="179">
        <v>7.9705555555555554</v>
      </c>
      <c r="O547" s="174" t="s">
        <v>20</v>
      </c>
      <c r="P547" s="180">
        <v>199</v>
      </c>
    </row>
    <row r="548" spans="1:45" s="174" customFormat="1" ht="35" customHeight="1">
      <c r="A548" s="174">
        <f>ROW()-3</f>
        <v>545</v>
      </c>
      <c r="B548" s="174" t="s">
        <v>14</v>
      </c>
      <c r="C548" s="174" t="s">
        <v>83</v>
      </c>
      <c r="D548" s="174" t="s">
        <v>119</v>
      </c>
      <c r="E548" s="174" t="s">
        <v>161</v>
      </c>
      <c r="F548" s="174" t="s">
        <v>712</v>
      </c>
      <c r="G548" s="174" t="s">
        <v>712</v>
      </c>
      <c r="H548" s="174" t="s">
        <v>713</v>
      </c>
      <c r="I548" s="174" t="s">
        <v>29</v>
      </c>
      <c r="J548" s="174" t="s">
        <v>34</v>
      </c>
      <c r="K548" s="174" t="s">
        <v>154</v>
      </c>
      <c r="L548" s="177">
        <v>44557</v>
      </c>
      <c r="M548" s="174">
        <v>10</v>
      </c>
      <c r="N548" s="179">
        <v>0.8</v>
      </c>
      <c r="O548" s="174" t="s">
        <v>30</v>
      </c>
      <c r="P548" s="174">
        <v>89</v>
      </c>
    </row>
    <row r="549" spans="1:45" s="174" customFormat="1" ht="35" customHeight="1">
      <c r="A549" s="174">
        <f>ROW()-3</f>
        <v>546</v>
      </c>
      <c r="B549" s="174" t="s">
        <v>14</v>
      </c>
      <c r="C549" s="174" t="s">
        <v>83</v>
      </c>
      <c r="D549" s="174" t="s">
        <v>106</v>
      </c>
      <c r="E549" s="174" t="s">
        <v>115</v>
      </c>
      <c r="F549" s="174" t="s">
        <v>714</v>
      </c>
      <c r="G549" s="174" t="s">
        <v>714</v>
      </c>
      <c r="H549" s="174" t="s">
        <v>715</v>
      </c>
      <c r="I549" s="174" t="s">
        <v>17</v>
      </c>
      <c r="J549" s="174" t="s">
        <v>34</v>
      </c>
      <c r="K549" s="174" t="s">
        <v>154</v>
      </c>
      <c r="L549" s="177">
        <v>44557</v>
      </c>
      <c r="M549" s="174">
        <v>6</v>
      </c>
      <c r="N549" s="179">
        <v>4.2</v>
      </c>
      <c r="O549" s="174" t="s">
        <v>20</v>
      </c>
      <c r="P549" s="174">
        <v>99</v>
      </c>
    </row>
    <row r="550" spans="1:45" s="174" customFormat="1" ht="35" customHeight="1">
      <c r="A550" s="181">
        <f>ROW()-3</f>
        <v>547</v>
      </c>
      <c r="B550" s="181" t="s">
        <v>14</v>
      </c>
      <c r="C550" s="181" t="s">
        <v>83</v>
      </c>
      <c r="D550" s="181" t="s">
        <v>119</v>
      </c>
      <c r="E550" s="181" t="s">
        <v>5355</v>
      </c>
      <c r="F550" s="181" t="s">
        <v>2497</v>
      </c>
      <c r="G550" s="181" t="s">
        <v>2497</v>
      </c>
      <c r="H550" s="181" t="s">
        <v>2498</v>
      </c>
      <c r="I550" s="181" t="s">
        <v>29</v>
      </c>
      <c r="J550" s="181" t="s">
        <v>34</v>
      </c>
      <c r="K550" s="181" t="s">
        <v>2659</v>
      </c>
      <c r="L550" s="177">
        <v>44559</v>
      </c>
      <c r="M550" s="181">
        <v>12</v>
      </c>
      <c r="N550" s="179">
        <v>12</v>
      </c>
      <c r="O550" s="181" t="s">
        <v>20</v>
      </c>
      <c r="P550" s="181">
        <v>0</v>
      </c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  <c r="AC550" s="181"/>
      <c r="AD550" s="181"/>
      <c r="AE550" s="181"/>
      <c r="AF550" s="181"/>
      <c r="AG550" s="181"/>
      <c r="AH550" s="181"/>
      <c r="AI550" s="181"/>
      <c r="AJ550" s="181"/>
      <c r="AK550" s="181"/>
      <c r="AL550" s="181"/>
      <c r="AM550" s="181"/>
      <c r="AN550" s="181"/>
      <c r="AO550" s="181"/>
      <c r="AP550" s="181"/>
      <c r="AQ550" s="181"/>
      <c r="AR550" s="181"/>
      <c r="AS550" s="181"/>
    </row>
    <row r="551" spans="1:45" s="174" customFormat="1" ht="35" customHeight="1">
      <c r="A551" s="174">
        <f>ROW()-3</f>
        <v>548</v>
      </c>
      <c r="B551" s="174" t="s">
        <v>14</v>
      </c>
      <c r="C551" s="174" t="s">
        <v>83</v>
      </c>
      <c r="D551" s="174" t="s">
        <v>187</v>
      </c>
      <c r="E551" s="174" t="s">
        <v>563</v>
      </c>
      <c r="F551" s="174" t="s">
        <v>716</v>
      </c>
      <c r="G551" s="174" t="s">
        <v>717</v>
      </c>
      <c r="H551" s="174" t="s">
        <v>718</v>
      </c>
      <c r="I551" s="174" t="s">
        <v>17</v>
      </c>
      <c r="J551" s="174" t="s">
        <v>34</v>
      </c>
      <c r="K551" s="174" t="s">
        <v>154</v>
      </c>
      <c r="L551" s="177">
        <v>44562</v>
      </c>
      <c r="M551" s="174">
        <v>14</v>
      </c>
      <c r="N551" s="179">
        <v>10.5</v>
      </c>
      <c r="O551" s="174" t="s">
        <v>20</v>
      </c>
      <c r="P551" s="174">
        <v>189</v>
      </c>
    </row>
    <row r="552" spans="1:45" s="174" customFormat="1" ht="35" customHeight="1">
      <c r="A552" s="174">
        <f>ROW()-3</f>
        <v>549</v>
      </c>
      <c r="B552" s="174" t="s">
        <v>14</v>
      </c>
      <c r="C552" s="174" t="s">
        <v>83</v>
      </c>
      <c r="D552" s="174" t="s">
        <v>596</v>
      </c>
      <c r="E552" s="174" t="s">
        <v>180</v>
      </c>
      <c r="F552" s="174" t="s">
        <v>719</v>
      </c>
      <c r="G552" s="174" t="s">
        <v>719</v>
      </c>
      <c r="H552" s="174" t="s">
        <v>720</v>
      </c>
      <c r="I552" s="174" t="s">
        <v>17</v>
      </c>
      <c r="J552" s="174" t="s">
        <v>34</v>
      </c>
      <c r="K552" s="174" t="s">
        <v>35</v>
      </c>
      <c r="L552" s="177">
        <v>44562</v>
      </c>
      <c r="M552" s="174">
        <v>12</v>
      </c>
      <c r="N552" s="179">
        <v>2.8161111111111112</v>
      </c>
      <c r="O552" s="174" t="s">
        <v>20</v>
      </c>
      <c r="P552" s="174">
        <v>129</v>
      </c>
    </row>
    <row r="553" spans="1:45" s="174" customFormat="1" ht="35" customHeight="1">
      <c r="A553" s="174">
        <f>ROW()-3</f>
        <v>550</v>
      </c>
      <c r="B553" s="174" t="s">
        <v>14</v>
      </c>
      <c r="C553" s="174" t="s">
        <v>83</v>
      </c>
      <c r="D553" s="174" t="s">
        <v>187</v>
      </c>
      <c r="E553" s="174" t="s">
        <v>188</v>
      </c>
      <c r="F553" s="174" t="s">
        <v>721</v>
      </c>
      <c r="G553" s="174" t="s">
        <v>721</v>
      </c>
      <c r="H553" s="174" t="s">
        <v>331</v>
      </c>
      <c r="I553" s="174" t="s">
        <v>17</v>
      </c>
      <c r="J553" s="174" t="s">
        <v>34</v>
      </c>
      <c r="K553" s="174" t="s">
        <v>35</v>
      </c>
      <c r="L553" s="177">
        <v>44562</v>
      </c>
      <c r="M553" s="174">
        <v>12</v>
      </c>
      <c r="N553" s="179">
        <v>2.4016666666666668</v>
      </c>
      <c r="O553" s="174" t="s">
        <v>20</v>
      </c>
      <c r="P553" s="174" t="s">
        <v>2710</v>
      </c>
    </row>
    <row r="554" spans="1:45" s="174" customFormat="1" ht="35" customHeight="1">
      <c r="A554" s="174">
        <f>ROW()-3</f>
        <v>551</v>
      </c>
      <c r="B554" s="174" t="s">
        <v>14</v>
      </c>
      <c r="C554" s="174" t="s">
        <v>83</v>
      </c>
      <c r="D554" s="174" t="s">
        <v>187</v>
      </c>
      <c r="E554" s="174" t="s">
        <v>188</v>
      </c>
      <c r="F554" s="174" t="s">
        <v>722</v>
      </c>
      <c r="G554" s="174" t="s">
        <v>722</v>
      </c>
      <c r="H554" s="174" t="s">
        <v>331</v>
      </c>
      <c r="I554" s="174" t="s">
        <v>17</v>
      </c>
      <c r="J554" s="174" t="s">
        <v>34</v>
      </c>
      <c r="K554" s="174" t="s">
        <v>35</v>
      </c>
      <c r="L554" s="177">
        <v>44562</v>
      </c>
      <c r="M554" s="174">
        <v>13</v>
      </c>
      <c r="N554" s="179">
        <v>2.0869444444444443</v>
      </c>
      <c r="O554" s="174" t="s">
        <v>20</v>
      </c>
      <c r="P554" s="174" t="s">
        <v>2710</v>
      </c>
    </row>
    <row r="555" spans="1:45" s="251" customFormat="1" ht="35" customHeight="1">
      <c r="A555" s="174">
        <f>ROW()-3</f>
        <v>552</v>
      </c>
      <c r="B555" s="174" t="s">
        <v>14</v>
      </c>
      <c r="C555" s="174" t="s">
        <v>83</v>
      </c>
      <c r="D555" s="174" t="s">
        <v>106</v>
      </c>
      <c r="E555" s="174" t="s">
        <v>115</v>
      </c>
      <c r="F555" s="174" t="s">
        <v>723</v>
      </c>
      <c r="G555" s="174" t="s">
        <v>723</v>
      </c>
      <c r="H555" s="174" t="s">
        <v>724</v>
      </c>
      <c r="I555" s="174" t="s">
        <v>17</v>
      </c>
      <c r="J555" s="174" t="s">
        <v>34</v>
      </c>
      <c r="K555" s="174" t="s">
        <v>35</v>
      </c>
      <c r="L555" s="177">
        <v>44562</v>
      </c>
      <c r="M555" s="174">
        <v>12</v>
      </c>
      <c r="N555" s="179">
        <v>3.2358333333333333</v>
      </c>
      <c r="O555" s="174" t="s">
        <v>20</v>
      </c>
      <c r="P555" s="174" t="s">
        <v>2714</v>
      </c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  <c r="AB555" s="174"/>
      <c r="AC555" s="174"/>
      <c r="AD555" s="174"/>
      <c r="AE555" s="174"/>
      <c r="AF555" s="174"/>
      <c r="AG555" s="174"/>
      <c r="AH555" s="174"/>
      <c r="AI555" s="174"/>
      <c r="AJ555" s="174"/>
      <c r="AK555" s="174"/>
      <c r="AL555" s="174"/>
      <c r="AM555" s="174"/>
      <c r="AN555" s="174"/>
      <c r="AO555" s="174"/>
      <c r="AP555" s="174"/>
      <c r="AQ555" s="174"/>
      <c r="AR555" s="174"/>
      <c r="AS555" s="174"/>
    </row>
    <row r="556" spans="1:45" s="174" customFormat="1" ht="35" customHeight="1">
      <c r="A556" s="174">
        <f>ROW()-3</f>
        <v>553</v>
      </c>
      <c r="B556" s="174" t="s">
        <v>14</v>
      </c>
      <c r="C556" s="174" t="s">
        <v>83</v>
      </c>
      <c r="D556" s="174" t="s">
        <v>119</v>
      </c>
      <c r="E556" s="174" t="s">
        <v>342</v>
      </c>
      <c r="F556" s="174" t="s">
        <v>725</v>
      </c>
      <c r="G556" s="174" t="s">
        <v>725</v>
      </c>
      <c r="H556" s="174" t="s">
        <v>42</v>
      </c>
      <c r="I556" s="174" t="s">
        <v>17</v>
      </c>
      <c r="J556" s="174" t="s">
        <v>34</v>
      </c>
      <c r="K556" s="174" t="s">
        <v>35</v>
      </c>
      <c r="L556" s="177">
        <v>44562</v>
      </c>
      <c r="M556" s="174">
        <v>14</v>
      </c>
      <c r="N556" s="179">
        <v>3.855</v>
      </c>
      <c r="O556" s="174" t="s">
        <v>20</v>
      </c>
      <c r="P556" s="174">
        <v>99</v>
      </c>
    </row>
    <row r="557" spans="1:45" s="174" customFormat="1" ht="35" customHeight="1">
      <c r="A557" s="174">
        <f>ROW()-3</f>
        <v>554</v>
      </c>
      <c r="B557" s="174" t="s">
        <v>14</v>
      </c>
      <c r="C557" s="174" t="s">
        <v>83</v>
      </c>
      <c r="D557" s="174" t="s">
        <v>106</v>
      </c>
      <c r="E557" s="174" t="s">
        <v>115</v>
      </c>
      <c r="F557" s="174" t="s">
        <v>726</v>
      </c>
      <c r="G557" s="174" t="s">
        <v>726</v>
      </c>
      <c r="H557" s="174" t="s">
        <v>331</v>
      </c>
      <c r="I557" s="174" t="s">
        <v>17</v>
      </c>
      <c r="J557" s="174" t="s">
        <v>34</v>
      </c>
      <c r="K557" s="174" t="s">
        <v>35</v>
      </c>
      <c r="L557" s="177">
        <v>44562</v>
      </c>
      <c r="M557" s="174">
        <v>15</v>
      </c>
      <c r="N557" s="179">
        <v>2.9294444444444445</v>
      </c>
      <c r="O557" s="174" t="s">
        <v>20</v>
      </c>
      <c r="P557" s="174" t="s">
        <v>2715</v>
      </c>
    </row>
    <row r="558" spans="1:45" s="174" customFormat="1" ht="35" customHeight="1">
      <c r="A558" s="174">
        <f>ROW()-3</f>
        <v>555</v>
      </c>
      <c r="B558" s="174" t="s">
        <v>14</v>
      </c>
      <c r="C558" s="174" t="s">
        <v>83</v>
      </c>
      <c r="D558" s="174" t="s">
        <v>106</v>
      </c>
      <c r="E558" s="174" t="s">
        <v>175</v>
      </c>
      <c r="F558" s="174" t="s">
        <v>727</v>
      </c>
      <c r="G558" s="174" t="s">
        <v>727</v>
      </c>
      <c r="H558" s="174" t="s">
        <v>176</v>
      </c>
      <c r="I558" s="174" t="s">
        <v>17</v>
      </c>
      <c r="J558" s="174" t="s">
        <v>34</v>
      </c>
      <c r="K558" s="174" t="s">
        <v>35</v>
      </c>
      <c r="L558" s="177">
        <v>44563</v>
      </c>
      <c r="M558" s="174">
        <v>13</v>
      </c>
      <c r="N558" s="179">
        <v>3.3436111111111111</v>
      </c>
      <c r="O558" s="174" t="s">
        <v>20</v>
      </c>
      <c r="P558" s="174" t="s">
        <v>2710</v>
      </c>
    </row>
    <row r="559" spans="1:45" s="174" customFormat="1" ht="35" customHeight="1">
      <c r="A559" s="174">
        <f>ROW()-3</f>
        <v>556</v>
      </c>
      <c r="B559" s="174" t="s">
        <v>14</v>
      </c>
      <c r="C559" s="174" t="s">
        <v>83</v>
      </c>
      <c r="D559" s="174" t="s">
        <v>119</v>
      </c>
      <c r="E559" s="174" t="s">
        <v>120</v>
      </c>
      <c r="F559" s="174" t="s">
        <v>728</v>
      </c>
      <c r="G559" s="174" t="s">
        <v>729</v>
      </c>
      <c r="H559" s="174" t="s">
        <v>619</v>
      </c>
      <c r="I559" s="174" t="s">
        <v>29</v>
      </c>
      <c r="J559" s="174" t="s">
        <v>34</v>
      </c>
      <c r="K559" s="174" t="s">
        <v>93</v>
      </c>
      <c r="L559" s="177">
        <v>44565</v>
      </c>
      <c r="M559" s="174">
        <v>134</v>
      </c>
      <c r="N559" s="179">
        <v>17.8</v>
      </c>
      <c r="O559" s="174" t="s">
        <v>20</v>
      </c>
      <c r="P559" s="174">
        <v>98</v>
      </c>
    </row>
    <row r="560" spans="1:45" s="174" customFormat="1" ht="35" customHeight="1">
      <c r="A560" s="174">
        <f>ROW()-3</f>
        <v>557</v>
      </c>
      <c r="B560" s="174" t="s">
        <v>14</v>
      </c>
      <c r="C560" s="174" t="s">
        <v>83</v>
      </c>
      <c r="D560" s="174" t="s">
        <v>155</v>
      </c>
      <c r="E560" s="174" t="s">
        <v>156</v>
      </c>
      <c r="F560" s="174" t="s">
        <v>730</v>
      </c>
      <c r="G560" s="174" t="s">
        <v>730</v>
      </c>
      <c r="H560" s="174" t="s">
        <v>390</v>
      </c>
      <c r="I560" s="174" t="s">
        <v>29</v>
      </c>
      <c r="J560" s="174" t="s">
        <v>34</v>
      </c>
      <c r="K560" s="174" t="s">
        <v>25</v>
      </c>
      <c r="L560" s="177">
        <v>44571</v>
      </c>
      <c r="M560" s="174">
        <v>101</v>
      </c>
      <c r="N560" s="179">
        <v>18.5</v>
      </c>
      <c r="O560" s="174" t="s">
        <v>30</v>
      </c>
      <c r="P560" s="174">
        <v>199</v>
      </c>
    </row>
    <row r="561" spans="1:45" s="174" customFormat="1" ht="35" customHeight="1">
      <c r="A561" s="174">
        <f>ROW()-3</f>
        <v>558</v>
      </c>
      <c r="B561" s="174" t="s">
        <v>14</v>
      </c>
      <c r="C561" s="174" t="s">
        <v>83</v>
      </c>
      <c r="D561" s="174" t="s">
        <v>119</v>
      </c>
      <c r="E561" s="174" t="s">
        <v>120</v>
      </c>
      <c r="F561" s="174" t="s">
        <v>2499</v>
      </c>
      <c r="G561" s="174" t="s">
        <v>731</v>
      </c>
      <c r="H561" s="174" t="s">
        <v>619</v>
      </c>
      <c r="I561" s="174" t="s">
        <v>29</v>
      </c>
      <c r="J561" s="174" t="s">
        <v>34</v>
      </c>
      <c r="K561" s="174" t="s">
        <v>93</v>
      </c>
      <c r="L561" s="177">
        <v>44571</v>
      </c>
      <c r="M561" s="174">
        <v>84</v>
      </c>
      <c r="N561" s="179">
        <v>21</v>
      </c>
      <c r="O561" s="174" t="s">
        <v>20</v>
      </c>
      <c r="P561" s="174">
        <v>98</v>
      </c>
    </row>
    <row r="562" spans="1:45" s="174" customFormat="1" ht="35" customHeight="1">
      <c r="A562" s="174">
        <f>ROW()-3</f>
        <v>559</v>
      </c>
      <c r="B562" s="174" t="s">
        <v>14</v>
      </c>
      <c r="C562" s="174" t="s">
        <v>83</v>
      </c>
      <c r="D562" s="174" t="s">
        <v>155</v>
      </c>
      <c r="E562" s="174" t="s">
        <v>2500</v>
      </c>
      <c r="F562" s="174" t="s">
        <v>2501</v>
      </c>
      <c r="G562" s="174" t="s">
        <v>2501</v>
      </c>
      <c r="H562" s="174" t="s">
        <v>390</v>
      </c>
      <c r="I562" s="174" t="s">
        <v>29</v>
      </c>
      <c r="J562" s="174" t="s">
        <v>34</v>
      </c>
      <c r="K562" s="174" t="s">
        <v>2660</v>
      </c>
      <c r="L562" s="177">
        <v>44586</v>
      </c>
      <c r="M562" s="174">
        <v>27</v>
      </c>
      <c r="N562" s="179">
        <v>102</v>
      </c>
      <c r="O562" s="174" t="s">
        <v>89</v>
      </c>
      <c r="P562" s="174">
        <v>199</v>
      </c>
    </row>
    <row r="563" spans="1:45" s="174" customFormat="1" ht="35" customHeight="1">
      <c r="A563" s="174">
        <f>ROW()-3</f>
        <v>560</v>
      </c>
      <c r="B563" s="174" t="s">
        <v>14</v>
      </c>
      <c r="C563" s="174" t="s">
        <v>83</v>
      </c>
      <c r="D563" s="174" t="s">
        <v>155</v>
      </c>
      <c r="E563" s="174" t="s">
        <v>202</v>
      </c>
      <c r="F563" s="174" t="s">
        <v>5337</v>
      </c>
      <c r="G563" s="174" t="s">
        <v>5338</v>
      </c>
      <c r="H563" s="174" t="s">
        <v>5340</v>
      </c>
      <c r="I563" s="174" t="s">
        <v>5341</v>
      </c>
      <c r="J563" s="174" t="s">
        <v>24</v>
      </c>
      <c r="K563" s="174" t="s">
        <v>25</v>
      </c>
      <c r="L563" s="177">
        <v>44599</v>
      </c>
      <c r="M563" s="174">
        <v>17</v>
      </c>
      <c r="N563" s="179">
        <v>3.76</v>
      </c>
      <c r="O563" s="174" t="s">
        <v>5300</v>
      </c>
      <c r="P563" s="174">
        <v>199</v>
      </c>
    </row>
    <row r="564" spans="1:45" s="174" customFormat="1" ht="35" customHeight="1">
      <c r="A564" s="174">
        <f>ROW()-3</f>
        <v>561</v>
      </c>
      <c r="B564" s="181" t="s">
        <v>5365</v>
      </c>
      <c r="C564" s="181" t="s">
        <v>2634</v>
      </c>
      <c r="D564" s="181" t="s">
        <v>5366</v>
      </c>
      <c r="E564" s="181" t="s">
        <v>5367</v>
      </c>
      <c r="F564" s="181" t="s">
        <v>5368</v>
      </c>
      <c r="G564" s="181" t="s">
        <v>5368</v>
      </c>
      <c r="H564" s="181" t="s">
        <v>5369</v>
      </c>
      <c r="I564" s="181" t="s">
        <v>29</v>
      </c>
      <c r="J564" s="181" t="s">
        <v>5370</v>
      </c>
      <c r="K564" s="181" t="s">
        <v>5371</v>
      </c>
      <c r="L564" s="177">
        <v>44606</v>
      </c>
      <c r="M564" s="181">
        <v>34</v>
      </c>
      <c r="N564" s="179">
        <v>8</v>
      </c>
      <c r="O564" s="181" t="s">
        <v>20</v>
      </c>
      <c r="P564" s="181">
        <v>299</v>
      </c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</row>
    <row r="565" spans="1:45" s="174" customFormat="1" ht="35" customHeight="1">
      <c r="A565" s="181">
        <f>ROW()-3</f>
        <v>562</v>
      </c>
      <c r="B565" s="181" t="s">
        <v>5457</v>
      </c>
      <c r="C565" s="181" t="s">
        <v>5461</v>
      </c>
      <c r="D565" s="181" t="s">
        <v>5459</v>
      </c>
      <c r="E565" s="181" t="s">
        <v>5460</v>
      </c>
      <c r="F565" s="181" t="s">
        <v>5458</v>
      </c>
      <c r="G565" s="181" t="s">
        <v>5458</v>
      </c>
      <c r="H565" s="181" t="s">
        <v>5462</v>
      </c>
      <c r="I565" s="181" t="s">
        <v>5455</v>
      </c>
      <c r="J565" s="181" t="s">
        <v>39</v>
      </c>
      <c r="K565" s="181" t="s">
        <v>5463</v>
      </c>
      <c r="L565" s="177">
        <v>44613</v>
      </c>
      <c r="M565" s="181">
        <v>6</v>
      </c>
      <c r="N565" s="179">
        <v>1.1000000000000001</v>
      </c>
      <c r="O565" s="181" t="s">
        <v>5456</v>
      </c>
      <c r="P565" s="181">
        <v>89</v>
      </c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  <c r="AC565" s="181"/>
      <c r="AD565" s="181"/>
      <c r="AE565" s="181"/>
      <c r="AF565" s="181"/>
      <c r="AG565" s="181"/>
      <c r="AH565" s="181"/>
      <c r="AI565" s="181"/>
      <c r="AJ565" s="181"/>
      <c r="AK565" s="181"/>
      <c r="AL565" s="181"/>
      <c r="AM565" s="181"/>
      <c r="AN565" s="181"/>
      <c r="AO565" s="181"/>
      <c r="AP565" s="181"/>
      <c r="AQ565" s="181"/>
      <c r="AR565" s="181"/>
      <c r="AS565" s="181"/>
    </row>
    <row r="566" spans="1:45" s="174" customFormat="1" ht="35" customHeight="1">
      <c r="A566" s="181">
        <f>ROW()-3</f>
        <v>563</v>
      </c>
      <c r="B566" s="181" t="s">
        <v>5457</v>
      </c>
      <c r="C566" s="181" t="s">
        <v>5461</v>
      </c>
      <c r="D566" s="181" t="s">
        <v>5464</v>
      </c>
      <c r="E566" s="181" t="s">
        <v>5465</v>
      </c>
      <c r="F566" s="181" t="s">
        <v>5466</v>
      </c>
      <c r="G566" s="181" t="s">
        <v>5466</v>
      </c>
      <c r="H566" s="181" t="s">
        <v>5467</v>
      </c>
      <c r="I566" s="181" t="s">
        <v>5455</v>
      </c>
      <c r="J566" s="181" t="s">
        <v>5468</v>
      </c>
      <c r="K566" s="181" t="s">
        <v>5463</v>
      </c>
      <c r="L566" s="177">
        <v>44613</v>
      </c>
      <c r="M566" s="181">
        <v>31</v>
      </c>
      <c r="N566" s="179">
        <v>5.0199999999999996</v>
      </c>
      <c r="O566" s="181" t="s">
        <v>5456</v>
      </c>
      <c r="P566" s="181">
        <v>99</v>
      </c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  <c r="AC566" s="181"/>
      <c r="AD566" s="181"/>
      <c r="AE566" s="181"/>
      <c r="AF566" s="181"/>
      <c r="AG566" s="181"/>
      <c r="AH566" s="181"/>
      <c r="AI566" s="181"/>
      <c r="AJ566" s="181"/>
      <c r="AK566" s="181"/>
      <c r="AL566" s="181"/>
      <c r="AM566" s="181"/>
      <c r="AN566" s="181"/>
      <c r="AO566" s="181"/>
      <c r="AP566" s="181"/>
      <c r="AQ566" s="181"/>
      <c r="AR566" s="181"/>
      <c r="AS566" s="181"/>
    </row>
    <row r="567" spans="1:45" s="174" customFormat="1" ht="35" customHeight="1">
      <c r="A567" s="181">
        <f>ROW()-3</f>
        <v>564</v>
      </c>
      <c r="B567" s="181" t="s">
        <v>5640</v>
      </c>
      <c r="C567" s="181" t="s">
        <v>5650</v>
      </c>
      <c r="D567" s="181" t="s">
        <v>106</v>
      </c>
      <c r="E567" s="181" t="s">
        <v>5655</v>
      </c>
      <c r="F567" s="181" t="s">
        <v>5651</v>
      </c>
      <c r="G567" s="181" t="s">
        <v>5651</v>
      </c>
      <c r="H567" s="181" t="s">
        <v>5652</v>
      </c>
      <c r="I567" s="181" t="s">
        <v>5643</v>
      </c>
      <c r="J567" s="181" t="s">
        <v>5653</v>
      </c>
      <c r="K567" s="181" t="s">
        <v>5654</v>
      </c>
      <c r="L567" s="177">
        <v>44627</v>
      </c>
      <c r="M567" s="181">
        <v>9</v>
      </c>
      <c r="N567" s="179">
        <v>2.2999999999999998</v>
      </c>
      <c r="O567" s="181" t="s">
        <v>20</v>
      </c>
      <c r="P567" s="181">
        <v>129</v>
      </c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  <c r="AC567" s="181"/>
      <c r="AD567" s="181"/>
      <c r="AE567" s="181"/>
      <c r="AF567" s="181"/>
      <c r="AG567" s="181"/>
      <c r="AH567" s="181"/>
      <c r="AI567" s="181"/>
      <c r="AJ567" s="181"/>
      <c r="AK567" s="181"/>
      <c r="AL567" s="181"/>
      <c r="AM567" s="181"/>
      <c r="AN567" s="181"/>
      <c r="AO567" s="181"/>
      <c r="AP567" s="181"/>
      <c r="AQ567" s="181"/>
      <c r="AR567" s="181"/>
      <c r="AS567" s="181"/>
    </row>
    <row r="568" spans="1:45" s="174" customFormat="1" ht="35" customHeight="1">
      <c r="A568" s="181">
        <f>ROW()-3</f>
        <v>565</v>
      </c>
      <c r="B568" s="174" t="s">
        <v>5679</v>
      </c>
      <c r="C568" s="181" t="s">
        <v>5680</v>
      </c>
      <c r="D568" s="181" t="s">
        <v>106</v>
      </c>
      <c r="E568" s="181" t="s">
        <v>668</v>
      </c>
      <c r="F568" s="306" t="s">
        <v>5706</v>
      </c>
      <c r="G568" s="306" t="s">
        <v>5706</v>
      </c>
      <c r="H568" s="306" t="s">
        <v>5681</v>
      </c>
      <c r="I568" s="181" t="s">
        <v>5682</v>
      </c>
      <c r="J568" s="307" t="s">
        <v>5683</v>
      </c>
      <c r="K568" s="181" t="s">
        <v>5684</v>
      </c>
      <c r="L568" s="177">
        <v>44634</v>
      </c>
      <c r="M568" s="22">
        <v>7</v>
      </c>
      <c r="N568" s="308">
        <v>0.8</v>
      </c>
      <c r="O568" s="22" t="s">
        <v>5691</v>
      </c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</row>
    <row r="569" spans="1:45" s="174" customFormat="1" ht="35" customHeight="1">
      <c r="A569" s="174">
        <f>ROW()-3</f>
        <v>566</v>
      </c>
      <c r="B569" s="174" t="s">
        <v>14</v>
      </c>
      <c r="C569" s="174" t="s">
        <v>2472</v>
      </c>
      <c r="D569" s="174" t="s">
        <v>71</v>
      </c>
      <c r="E569" s="174" t="s">
        <v>2473</v>
      </c>
      <c r="F569" s="174" t="s">
        <v>50</v>
      </c>
      <c r="G569" s="174" t="s">
        <v>51</v>
      </c>
      <c r="H569" s="174" t="s">
        <v>52</v>
      </c>
      <c r="I569" s="174" t="s">
        <v>17</v>
      </c>
      <c r="J569" s="174" t="s">
        <v>34</v>
      </c>
      <c r="K569" s="174" t="s">
        <v>53</v>
      </c>
      <c r="L569" s="177">
        <v>44141</v>
      </c>
      <c r="M569" s="174">
        <v>43</v>
      </c>
      <c r="N569" s="179">
        <v>5.33</v>
      </c>
      <c r="O569" s="174" t="s">
        <v>20</v>
      </c>
      <c r="P569" s="174">
        <v>199</v>
      </c>
      <c r="Q569" s="181"/>
    </row>
    <row r="570" spans="1:45" s="174" customFormat="1" ht="35" customHeight="1">
      <c r="A570" s="174">
        <f>ROW()-3</f>
        <v>567</v>
      </c>
      <c r="B570" s="174" t="s">
        <v>14</v>
      </c>
      <c r="C570" s="174" t="s">
        <v>2472</v>
      </c>
      <c r="D570" s="174" t="s">
        <v>2474</v>
      </c>
      <c r="E570" s="174" t="s">
        <v>2475</v>
      </c>
      <c r="F570" s="174" t="s">
        <v>54</v>
      </c>
      <c r="G570" s="174" t="s">
        <v>55</v>
      </c>
      <c r="H570" s="174" t="s">
        <v>56</v>
      </c>
      <c r="I570" s="174" t="s">
        <v>29</v>
      </c>
      <c r="J570" s="174" t="s">
        <v>2646</v>
      </c>
      <c r="K570" s="174" t="s">
        <v>58</v>
      </c>
      <c r="L570" s="177">
        <v>44160</v>
      </c>
      <c r="M570" s="174">
        <v>16</v>
      </c>
      <c r="N570" s="179">
        <v>4.53</v>
      </c>
      <c r="O570" s="174" t="s">
        <v>20</v>
      </c>
      <c r="P570" s="174">
        <v>88</v>
      </c>
      <c r="Q570" s="181"/>
    </row>
    <row r="571" spans="1:45" s="174" customFormat="1" ht="35" customHeight="1">
      <c r="A571" s="181">
        <f>ROW()-3</f>
        <v>568</v>
      </c>
      <c r="B571" s="181" t="s">
        <v>14</v>
      </c>
      <c r="C571" s="181" t="s">
        <v>2472</v>
      </c>
      <c r="D571" s="181" t="s">
        <v>59</v>
      </c>
      <c r="E571" s="181" t="s">
        <v>5357</v>
      </c>
      <c r="F571" s="181" t="s">
        <v>60</v>
      </c>
      <c r="G571" s="181" t="s">
        <v>60</v>
      </c>
      <c r="H571" s="181" t="s">
        <v>61</v>
      </c>
      <c r="I571" s="181" t="s">
        <v>17</v>
      </c>
      <c r="J571" s="181" t="s">
        <v>62</v>
      </c>
      <c r="K571" s="181" t="s">
        <v>63</v>
      </c>
      <c r="L571" s="177">
        <v>44477</v>
      </c>
      <c r="M571" s="181">
        <v>9</v>
      </c>
      <c r="N571" s="179">
        <v>1.9</v>
      </c>
      <c r="O571" s="181" t="s">
        <v>20</v>
      </c>
      <c r="P571" s="181">
        <v>199</v>
      </c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  <c r="AC571" s="181"/>
      <c r="AD571" s="181"/>
      <c r="AE571" s="181"/>
      <c r="AF571" s="181"/>
      <c r="AG571" s="181"/>
      <c r="AH571" s="181"/>
      <c r="AI571" s="181"/>
      <c r="AJ571" s="181"/>
      <c r="AK571" s="181"/>
      <c r="AL571" s="181"/>
      <c r="AM571" s="181"/>
      <c r="AN571" s="181"/>
      <c r="AO571" s="181"/>
      <c r="AP571" s="181"/>
      <c r="AQ571" s="181"/>
      <c r="AR571" s="181"/>
      <c r="AS571" s="181"/>
    </row>
    <row r="572" spans="1:45" s="174" customFormat="1" ht="35" customHeight="1">
      <c r="A572" s="174">
        <f>ROW()-3</f>
        <v>569</v>
      </c>
      <c r="B572" s="174" t="s">
        <v>14</v>
      </c>
      <c r="C572" s="174" t="s">
        <v>2472</v>
      </c>
      <c r="D572" s="174" t="s">
        <v>2476</v>
      </c>
      <c r="E572" s="174" t="s">
        <v>2677</v>
      </c>
      <c r="F572" s="174" t="s">
        <v>64</v>
      </c>
      <c r="G572" s="174" t="s">
        <v>64</v>
      </c>
      <c r="H572" s="174" t="s">
        <v>65</v>
      </c>
      <c r="I572" s="174" t="s">
        <v>17</v>
      </c>
      <c r="J572" s="174" t="s">
        <v>66</v>
      </c>
      <c r="K572" s="174" t="s">
        <v>67</v>
      </c>
      <c r="L572" s="177">
        <v>44478</v>
      </c>
      <c r="M572" s="174">
        <v>12</v>
      </c>
      <c r="N572" s="179">
        <v>1.6</v>
      </c>
      <c r="O572" s="174" t="s">
        <v>20</v>
      </c>
      <c r="P572" s="174">
        <v>399</v>
      </c>
      <c r="Q572" s="181"/>
    </row>
    <row r="573" spans="1:45" s="174" customFormat="1" ht="35" customHeight="1">
      <c r="A573" s="174">
        <f>ROW()-3</f>
        <v>570</v>
      </c>
      <c r="B573" s="174" t="s">
        <v>14</v>
      </c>
      <c r="C573" s="174" t="s">
        <v>2472</v>
      </c>
      <c r="D573" s="174" t="s">
        <v>71</v>
      </c>
      <c r="E573" s="174" t="s">
        <v>2473</v>
      </c>
      <c r="F573" s="174" t="s">
        <v>68</v>
      </c>
      <c r="G573" s="174" t="s">
        <v>69</v>
      </c>
      <c r="H573" s="174" t="s">
        <v>70</v>
      </c>
      <c r="I573" s="174" t="s">
        <v>29</v>
      </c>
      <c r="J573" s="174" t="s">
        <v>57</v>
      </c>
      <c r="K573" s="174" t="s">
        <v>58</v>
      </c>
      <c r="L573" s="177">
        <v>44532</v>
      </c>
      <c r="M573" s="174">
        <v>4</v>
      </c>
      <c r="N573" s="179">
        <v>0.6</v>
      </c>
      <c r="O573" s="174" t="s">
        <v>30</v>
      </c>
      <c r="Q573" s="181"/>
    </row>
    <row r="574" spans="1:45" s="174" customFormat="1" ht="35" customHeight="1">
      <c r="A574" s="174">
        <f>ROW()-3</f>
        <v>571</v>
      </c>
      <c r="B574" s="174" t="s">
        <v>14</v>
      </c>
      <c r="C574" s="174" t="s">
        <v>2472</v>
      </c>
      <c r="D574" s="174" t="s">
        <v>71</v>
      </c>
      <c r="E574" s="174" t="s">
        <v>2473</v>
      </c>
      <c r="F574" s="174" t="s">
        <v>72</v>
      </c>
      <c r="G574" s="174" t="s">
        <v>73</v>
      </c>
      <c r="H574" s="174" t="s">
        <v>74</v>
      </c>
      <c r="I574" s="174" t="s">
        <v>17</v>
      </c>
      <c r="J574" s="174" t="s">
        <v>39</v>
      </c>
      <c r="K574" s="174" t="s">
        <v>75</v>
      </c>
      <c r="L574" s="177">
        <v>44535</v>
      </c>
      <c r="M574" s="174">
        <v>10</v>
      </c>
      <c r="N574" s="179">
        <v>1.6</v>
      </c>
      <c r="O574" s="174" t="s">
        <v>30</v>
      </c>
      <c r="P574" s="174">
        <v>59</v>
      </c>
      <c r="Q574" s="181"/>
    </row>
    <row r="575" spans="1:45" s="174" customFormat="1" ht="35" customHeight="1">
      <c r="A575" s="174">
        <f>ROW()-3</f>
        <v>572</v>
      </c>
      <c r="B575" s="174" t="s">
        <v>14</v>
      </c>
      <c r="C575" s="174" t="s">
        <v>2472</v>
      </c>
      <c r="D575" s="174" t="s">
        <v>71</v>
      </c>
      <c r="E575" s="174" t="s">
        <v>2473</v>
      </c>
      <c r="F575" s="174" t="s">
        <v>76</v>
      </c>
      <c r="G575" s="174" t="s">
        <v>76</v>
      </c>
      <c r="H575" s="174" t="s">
        <v>77</v>
      </c>
      <c r="I575" s="174" t="s">
        <v>17</v>
      </c>
      <c r="J575" s="181" t="s">
        <v>34</v>
      </c>
      <c r="K575" s="181" t="s">
        <v>174</v>
      </c>
      <c r="L575" s="177">
        <v>44535</v>
      </c>
      <c r="M575" s="174">
        <v>50</v>
      </c>
      <c r="N575" s="179">
        <v>5.5466666666666669</v>
      </c>
      <c r="O575" s="174" t="s">
        <v>20</v>
      </c>
      <c r="P575" s="174">
        <v>199</v>
      </c>
      <c r="Q575" s="181"/>
    </row>
    <row r="576" spans="1:45" s="174" customFormat="1" ht="35" customHeight="1">
      <c r="A576" s="174">
        <f>ROW()-3</f>
        <v>573</v>
      </c>
      <c r="B576" s="174" t="s">
        <v>14</v>
      </c>
      <c r="C576" s="174" t="s">
        <v>2472</v>
      </c>
      <c r="D576" s="174" t="s">
        <v>71</v>
      </c>
      <c r="E576" s="174" t="s">
        <v>2473</v>
      </c>
      <c r="F576" s="174" t="s">
        <v>78</v>
      </c>
      <c r="G576" s="174" t="s">
        <v>78</v>
      </c>
      <c r="H576" s="174" t="s">
        <v>79</v>
      </c>
      <c r="I576" s="174" t="s">
        <v>17</v>
      </c>
      <c r="J576" s="174" t="s">
        <v>57</v>
      </c>
      <c r="K576" s="174" t="s">
        <v>58</v>
      </c>
      <c r="L576" s="177">
        <v>44537</v>
      </c>
      <c r="M576" s="174">
        <v>38</v>
      </c>
      <c r="N576" s="179">
        <v>19</v>
      </c>
      <c r="O576" s="174" t="s">
        <v>30</v>
      </c>
      <c r="Q576" s="181"/>
    </row>
    <row r="577" spans="1:45" s="174" customFormat="1" ht="35" customHeight="1">
      <c r="A577" s="174">
        <f>ROW()-3</f>
        <v>574</v>
      </c>
      <c r="B577" s="174" t="s">
        <v>14</v>
      </c>
      <c r="C577" s="174" t="s">
        <v>2472</v>
      </c>
      <c r="D577" s="174" t="s">
        <v>71</v>
      </c>
      <c r="E577" s="174" t="s">
        <v>2477</v>
      </c>
      <c r="F577" s="174" t="s">
        <v>80</v>
      </c>
      <c r="G577" s="174" t="s">
        <v>81</v>
      </c>
      <c r="H577" s="174" t="s">
        <v>82</v>
      </c>
      <c r="I577" s="174" t="s">
        <v>29</v>
      </c>
      <c r="J577" s="174" t="s">
        <v>57</v>
      </c>
      <c r="K577" s="174" t="s">
        <v>58</v>
      </c>
      <c r="L577" s="177">
        <v>44538</v>
      </c>
      <c r="M577" s="174">
        <v>21</v>
      </c>
      <c r="N577" s="179">
        <v>3.5</v>
      </c>
      <c r="O577" s="174" t="s">
        <v>30</v>
      </c>
      <c r="P577" s="174">
        <v>49</v>
      </c>
      <c r="Q577" s="181"/>
    </row>
    <row r="578" spans="1:45" s="174" customFormat="1" ht="35" customHeight="1">
      <c r="A578" s="181">
        <f>ROW()-3</f>
        <v>575</v>
      </c>
      <c r="B578" s="181" t="s">
        <v>5611</v>
      </c>
      <c r="C578" s="181" t="s">
        <v>2472</v>
      </c>
      <c r="D578" s="181" t="s">
        <v>5615</v>
      </c>
      <c r="E578" s="181" t="s">
        <v>5614</v>
      </c>
      <c r="F578" s="181" t="s">
        <v>5613</v>
      </c>
      <c r="G578" s="181" t="s">
        <v>5613</v>
      </c>
      <c r="H578" s="181" t="s">
        <v>5616</v>
      </c>
      <c r="I578" s="181" t="s">
        <v>5617</v>
      </c>
      <c r="J578" s="181" t="s">
        <v>5618</v>
      </c>
      <c r="K578" s="181" t="s">
        <v>5619</v>
      </c>
      <c r="L578" s="177">
        <v>44620</v>
      </c>
      <c r="M578" s="181">
        <v>19</v>
      </c>
      <c r="N578" s="179">
        <v>5.81</v>
      </c>
      <c r="O578" s="181" t="s">
        <v>20</v>
      </c>
      <c r="P578" s="181">
        <v>498</v>
      </c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  <c r="AC578" s="181"/>
      <c r="AD578" s="181"/>
      <c r="AE578" s="181"/>
      <c r="AF578" s="181"/>
      <c r="AG578" s="181"/>
      <c r="AH578" s="181"/>
      <c r="AI578" s="181"/>
      <c r="AJ578" s="181"/>
      <c r="AK578" s="181"/>
      <c r="AL578" s="181"/>
      <c r="AM578" s="181"/>
      <c r="AN578" s="181"/>
      <c r="AO578" s="181"/>
      <c r="AP578" s="181"/>
      <c r="AQ578" s="181"/>
      <c r="AR578" s="181"/>
      <c r="AS578" s="181"/>
    </row>
    <row r="579" spans="1:45" s="174" customFormat="1" ht="35" customHeight="1">
      <c r="A579" s="181">
        <f>ROW()-3</f>
        <v>576</v>
      </c>
      <c r="B579" s="181" t="s">
        <v>5679</v>
      </c>
      <c r="C579" s="181" t="s">
        <v>5712</v>
      </c>
      <c r="D579" s="181" t="s">
        <v>5676</v>
      </c>
      <c r="E579" s="181" t="s">
        <v>5677</v>
      </c>
      <c r="F579" s="306" t="s">
        <v>5678</v>
      </c>
      <c r="G579" s="306" t="s">
        <v>5692</v>
      </c>
      <c r="H579" s="306" t="s">
        <v>5687</v>
      </c>
      <c r="I579" s="181" t="s">
        <v>5686</v>
      </c>
      <c r="J579" s="307" t="s">
        <v>5688</v>
      </c>
      <c r="K579" s="181" t="s">
        <v>5689</v>
      </c>
      <c r="L579" s="177">
        <v>44634</v>
      </c>
      <c r="M579" s="22">
        <v>11</v>
      </c>
      <c r="N579" s="308">
        <v>2.2999999999999998</v>
      </c>
      <c r="O579" s="22" t="s">
        <v>5690</v>
      </c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</row>
    <row r="580" spans="1:45" s="174" customFormat="1" ht="35" customHeight="1">
      <c r="A580" s="174">
        <f>ROW()-3</f>
        <v>577</v>
      </c>
      <c r="B580" s="174" t="s">
        <v>14</v>
      </c>
      <c r="C580" s="174" t="s">
        <v>2458</v>
      </c>
      <c r="D580" s="174" t="s">
        <v>2459</v>
      </c>
      <c r="E580" s="174" t="s">
        <v>2460</v>
      </c>
      <c r="F580" s="174" t="s">
        <v>2461</v>
      </c>
      <c r="G580" s="174" t="s">
        <v>5135</v>
      </c>
      <c r="H580" s="174" t="s">
        <v>16</v>
      </c>
      <c r="I580" s="174" t="s">
        <v>17</v>
      </c>
      <c r="J580" s="174" t="s">
        <v>2648</v>
      </c>
      <c r="K580" s="174" t="s">
        <v>19</v>
      </c>
      <c r="L580" s="177">
        <v>43579</v>
      </c>
      <c r="M580" s="174">
        <v>41</v>
      </c>
      <c r="N580" s="179">
        <v>4.68</v>
      </c>
      <c r="O580" s="174" t="s">
        <v>20</v>
      </c>
      <c r="P580" s="174">
        <v>99</v>
      </c>
      <c r="Q580" s="181"/>
    </row>
    <row r="581" spans="1:45" s="174" customFormat="1" ht="35" customHeight="1">
      <c r="A581" s="174">
        <f>ROW()-3</f>
        <v>578</v>
      </c>
      <c r="B581" s="174" t="s">
        <v>14</v>
      </c>
      <c r="C581" s="174" t="s">
        <v>2458</v>
      </c>
      <c r="D581" s="174" t="s">
        <v>2462</v>
      </c>
      <c r="E581" s="174" t="s">
        <v>2463</v>
      </c>
      <c r="F581" s="174" t="s">
        <v>21</v>
      </c>
      <c r="G581" s="174" t="s">
        <v>22</v>
      </c>
      <c r="H581" s="174" t="s">
        <v>23</v>
      </c>
      <c r="I581" s="174" t="s">
        <v>17</v>
      </c>
      <c r="J581" s="174" t="s">
        <v>24</v>
      </c>
      <c r="K581" s="174" t="s">
        <v>5346</v>
      </c>
      <c r="L581" s="177">
        <v>43958</v>
      </c>
      <c r="M581" s="174">
        <v>32</v>
      </c>
      <c r="N581" s="179">
        <v>4.22</v>
      </c>
      <c r="O581" s="174" t="s">
        <v>20</v>
      </c>
      <c r="P581" s="174">
        <v>199</v>
      </c>
      <c r="Q581" s="181"/>
    </row>
    <row r="582" spans="1:45" s="174" customFormat="1" ht="35" customHeight="1">
      <c r="A582" s="174">
        <f>ROW()-3</f>
        <v>579</v>
      </c>
      <c r="B582" s="174" t="s">
        <v>14</v>
      </c>
      <c r="C582" s="174" t="s">
        <v>2458</v>
      </c>
      <c r="D582" s="174" t="s">
        <v>2462</v>
      </c>
      <c r="E582" s="174" t="s">
        <v>2460</v>
      </c>
      <c r="F582" s="174" t="s">
        <v>26</v>
      </c>
      <c r="G582" s="174" t="s">
        <v>27</v>
      </c>
      <c r="H582" s="174" t="s">
        <v>28</v>
      </c>
      <c r="I582" s="174" t="s">
        <v>29</v>
      </c>
      <c r="J582" s="174" t="s">
        <v>24</v>
      </c>
      <c r="K582" s="174" t="s">
        <v>25</v>
      </c>
      <c r="L582" s="177">
        <v>43979</v>
      </c>
      <c r="M582" s="174">
        <v>369</v>
      </c>
      <c r="N582" s="179">
        <v>20</v>
      </c>
      <c r="O582" s="174" t="s">
        <v>30</v>
      </c>
      <c r="P582" s="174">
        <v>99</v>
      </c>
      <c r="Q582" s="181"/>
    </row>
    <row r="583" spans="1:45" s="174" customFormat="1" ht="35" customHeight="1">
      <c r="A583" s="174">
        <f>ROW()-3</f>
        <v>580</v>
      </c>
      <c r="B583" s="174" t="s">
        <v>14</v>
      </c>
      <c r="C583" s="174" t="s">
        <v>2458</v>
      </c>
      <c r="D583" s="174" t="s">
        <v>2464</v>
      </c>
      <c r="E583" s="174" t="s">
        <v>2465</v>
      </c>
      <c r="F583" s="174" t="s">
        <v>31</v>
      </c>
      <c r="G583" s="174" t="s">
        <v>32</v>
      </c>
      <c r="H583" s="174" t="s">
        <v>33</v>
      </c>
      <c r="I583" s="174" t="s">
        <v>29</v>
      </c>
      <c r="J583" s="174" t="s">
        <v>34</v>
      </c>
      <c r="K583" s="174" t="s">
        <v>35</v>
      </c>
      <c r="L583" s="177">
        <v>43984</v>
      </c>
      <c r="M583" s="174">
        <v>27</v>
      </c>
      <c r="N583" s="179">
        <v>4.5</v>
      </c>
      <c r="O583" s="174" t="s">
        <v>20</v>
      </c>
      <c r="P583" s="174">
        <v>99</v>
      </c>
      <c r="Q583" s="181"/>
    </row>
    <row r="584" spans="1:45" s="174" customFormat="1" ht="35" customHeight="1">
      <c r="A584" s="174">
        <f>ROW()-3</f>
        <v>581</v>
      </c>
      <c r="B584" s="174" t="s">
        <v>14</v>
      </c>
      <c r="C584" s="174" t="s">
        <v>2458</v>
      </c>
      <c r="D584" s="174" t="s">
        <v>2464</v>
      </c>
      <c r="E584" s="174" t="s">
        <v>2465</v>
      </c>
      <c r="F584" s="174" t="s">
        <v>36</v>
      </c>
      <c r="G584" s="174" t="s">
        <v>37</v>
      </c>
      <c r="H584" s="174" t="s">
        <v>38</v>
      </c>
      <c r="I584" s="174" t="s">
        <v>29</v>
      </c>
      <c r="J584" s="174" t="s">
        <v>39</v>
      </c>
      <c r="K584" s="174" t="s">
        <v>25</v>
      </c>
      <c r="L584" s="177">
        <v>44204</v>
      </c>
      <c r="M584" s="174">
        <v>20</v>
      </c>
      <c r="N584" s="179">
        <v>2.1</v>
      </c>
      <c r="O584" s="174" t="s">
        <v>20</v>
      </c>
      <c r="P584" s="174">
        <v>99</v>
      </c>
      <c r="Q584" s="181"/>
    </row>
    <row r="585" spans="1:45" s="174" customFormat="1" ht="35" customHeight="1">
      <c r="A585" s="174">
        <f>ROW()-3</f>
        <v>582</v>
      </c>
      <c r="B585" s="174" t="s">
        <v>14</v>
      </c>
      <c r="C585" s="174" t="s">
        <v>2458</v>
      </c>
      <c r="D585" s="174" t="s">
        <v>40</v>
      </c>
      <c r="E585" s="174" t="s">
        <v>2466</v>
      </c>
      <c r="F585" s="174" t="s">
        <v>2467</v>
      </c>
      <c r="G585" s="174" t="s">
        <v>41</v>
      </c>
      <c r="H585" s="174" t="s">
        <v>42</v>
      </c>
      <c r="I585" s="174" t="s">
        <v>29</v>
      </c>
      <c r="J585" s="174" t="s">
        <v>39</v>
      </c>
      <c r="K585" s="174" t="s">
        <v>25</v>
      </c>
      <c r="L585" s="177">
        <v>44351</v>
      </c>
      <c r="M585" s="174">
        <v>20</v>
      </c>
      <c r="N585" s="179">
        <v>4.7300000000000004</v>
      </c>
      <c r="O585" s="174" t="s">
        <v>30</v>
      </c>
      <c r="P585" s="174">
        <v>98</v>
      </c>
      <c r="Q585" s="181"/>
    </row>
    <row r="586" spans="1:45" s="174" customFormat="1" ht="35" customHeight="1">
      <c r="A586" s="174">
        <f>ROW()-3</f>
        <v>583</v>
      </c>
      <c r="B586" s="174" t="s">
        <v>14</v>
      </c>
      <c r="C586" s="174" t="s">
        <v>2458</v>
      </c>
      <c r="D586" s="174" t="s">
        <v>2468</v>
      </c>
      <c r="E586" s="174" t="s">
        <v>2469</v>
      </c>
      <c r="F586" s="174" t="s">
        <v>43</v>
      </c>
      <c r="G586" s="174" t="s">
        <v>44</v>
      </c>
      <c r="H586" s="174" t="s">
        <v>45</v>
      </c>
      <c r="I586" s="174" t="s">
        <v>29</v>
      </c>
      <c r="J586" s="174" t="s">
        <v>24</v>
      </c>
      <c r="K586" s="174" t="s">
        <v>25</v>
      </c>
      <c r="L586" s="177">
        <v>44489</v>
      </c>
      <c r="M586" s="174">
        <v>10</v>
      </c>
      <c r="N586" s="179">
        <v>2.1</v>
      </c>
      <c r="O586" s="174" t="s">
        <v>30</v>
      </c>
      <c r="P586" s="174">
        <v>168</v>
      </c>
      <c r="Q586" s="181"/>
    </row>
    <row r="587" spans="1:45" s="174" customFormat="1" ht="35" customHeight="1">
      <c r="A587" s="174">
        <f>ROW()-3</f>
        <v>584</v>
      </c>
      <c r="B587" s="174" t="s">
        <v>14</v>
      </c>
      <c r="C587" s="174" t="s">
        <v>2458</v>
      </c>
      <c r="D587" s="174" t="s">
        <v>2464</v>
      </c>
      <c r="E587" s="174" t="s">
        <v>2470</v>
      </c>
      <c r="F587" s="174" t="s">
        <v>46</v>
      </c>
      <c r="G587" s="174" t="s">
        <v>47</v>
      </c>
      <c r="H587" s="174" t="s">
        <v>48</v>
      </c>
      <c r="I587" s="174" t="s">
        <v>17</v>
      </c>
      <c r="J587" s="181" t="s">
        <v>34</v>
      </c>
      <c r="K587" s="181" t="s">
        <v>2655</v>
      </c>
      <c r="L587" s="177">
        <v>44531</v>
      </c>
      <c r="M587" s="174">
        <v>10</v>
      </c>
      <c r="N587" s="179">
        <v>1.5536111111111111</v>
      </c>
      <c r="O587" s="174" t="s">
        <v>20</v>
      </c>
      <c r="Q587" s="181"/>
    </row>
    <row r="588" spans="1:45" s="174" customFormat="1" ht="35" customHeight="1">
      <c r="A588" s="174">
        <f>ROW()-3</f>
        <v>585</v>
      </c>
      <c r="B588" s="174" t="s">
        <v>14</v>
      </c>
      <c r="C588" s="174" t="s">
        <v>2458</v>
      </c>
      <c r="D588" s="174" t="s">
        <v>2464</v>
      </c>
      <c r="E588" s="174" t="s">
        <v>2471</v>
      </c>
      <c r="F588" s="174" t="s">
        <v>49</v>
      </c>
      <c r="G588" s="174" t="s">
        <v>49</v>
      </c>
      <c r="H588" s="174" t="s">
        <v>16</v>
      </c>
      <c r="I588" s="174" t="s">
        <v>17</v>
      </c>
      <c r="J588" s="181" t="s">
        <v>34</v>
      </c>
      <c r="K588" s="181" t="s">
        <v>1252</v>
      </c>
      <c r="L588" s="177">
        <v>44531</v>
      </c>
      <c r="M588" s="174">
        <v>21</v>
      </c>
      <c r="N588" s="179">
        <v>2.5991666666666666</v>
      </c>
      <c r="O588" s="174" t="s">
        <v>20</v>
      </c>
      <c r="Q588" s="181"/>
    </row>
    <row r="589" spans="1:45" s="174" customFormat="1" ht="35" hidden="1" customHeight="1">
      <c r="A589" s="174">
        <f>ROW()-3</f>
        <v>586</v>
      </c>
      <c r="B589" s="174" t="s">
        <v>1577</v>
      </c>
      <c r="C589" s="174" t="s">
        <v>966</v>
      </c>
      <c r="D589" s="174" t="s">
        <v>155</v>
      </c>
      <c r="E589" s="174" t="s">
        <v>156</v>
      </c>
      <c r="F589" s="174" t="s">
        <v>1762</v>
      </c>
      <c r="G589" s="174" t="s">
        <v>1763</v>
      </c>
      <c r="H589" s="174" t="s">
        <v>1764</v>
      </c>
      <c r="I589" s="174" t="s">
        <v>29</v>
      </c>
      <c r="J589" s="174" t="s">
        <v>34</v>
      </c>
      <c r="K589" s="174" t="s">
        <v>154</v>
      </c>
      <c r="L589" s="177">
        <v>43391</v>
      </c>
      <c r="M589" s="174">
        <v>99</v>
      </c>
      <c r="N589" s="179">
        <v>21.47</v>
      </c>
      <c r="O589" s="174" t="s">
        <v>30</v>
      </c>
      <c r="P589" s="174">
        <v>0</v>
      </c>
    </row>
    <row r="590" spans="1:45" s="174" customFormat="1" ht="35" hidden="1" customHeight="1">
      <c r="A590" s="174">
        <f>ROW()-3</f>
        <v>587</v>
      </c>
      <c r="B590" s="174" t="s">
        <v>1577</v>
      </c>
      <c r="C590" s="174" t="s">
        <v>966</v>
      </c>
      <c r="D590" s="174" t="s">
        <v>155</v>
      </c>
      <c r="E590" s="174" t="s">
        <v>156</v>
      </c>
      <c r="F590" s="174" t="s">
        <v>1765</v>
      </c>
      <c r="G590" s="174" t="s">
        <v>1766</v>
      </c>
      <c r="H590" s="174" t="s">
        <v>1623</v>
      </c>
      <c r="I590" s="174" t="s">
        <v>29</v>
      </c>
      <c r="J590" s="174" t="s">
        <v>34</v>
      </c>
      <c r="K590" s="174" t="s">
        <v>154</v>
      </c>
      <c r="L590" s="177">
        <v>43391</v>
      </c>
      <c r="M590" s="174">
        <v>38</v>
      </c>
      <c r="N590" s="179">
        <v>4.42</v>
      </c>
      <c r="O590" s="174" t="s">
        <v>20</v>
      </c>
      <c r="P590" s="174">
        <v>0</v>
      </c>
    </row>
    <row r="591" spans="1:45" s="174" customFormat="1" ht="35" hidden="1" customHeight="1">
      <c r="A591" s="174">
        <f>ROW()-3</f>
        <v>588</v>
      </c>
      <c r="B591" s="174" t="s">
        <v>1577</v>
      </c>
      <c r="C591" s="174" t="s">
        <v>966</v>
      </c>
      <c r="D591" s="174" t="s">
        <v>155</v>
      </c>
      <c r="E591" s="174" t="s">
        <v>156</v>
      </c>
      <c r="F591" s="174" t="s">
        <v>1767</v>
      </c>
      <c r="G591" s="174" t="s">
        <v>1768</v>
      </c>
      <c r="H591" s="174" t="s">
        <v>1623</v>
      </c>
      <c r="I591" s="174" t="s">
        <v>29</v>
      </c>
      <c r="J591" s="174" t="s">
        <v>34</v>
      </c>
      <c r="K591" s="174" t="s">
        <v>154</v>
      </c>
      <c r="L591" s="177">
        <v>43391</v>
      </c>
      <c r="M591" s="174">
        <v>123</v>
      </c>
      <c r="N591" s="179">
        <v>17.48</v>
      </c>
      <c r="O591" s="174" t="s">
        <v>20</v>
      </c>
      <c r="P591" s="174">
        <v>0</v>
      </c>
    </row>
    <row r="592" spans="1:45" s="174" customFormat="1" ht="35" hidden="1" customHeight="1">
      <c r="A592" s="174">
        <f>ROW()-3</f>
        <v>589</v>
      </c>
      <c r="B592" s="174" t="s">
        <v>1577</v>
      </c>
      <c r="C592" s="174" t="s">
        <v>966</v>
      </c>
      <c r="D592" s="174" t="s">
        <v>155</v>
      </c>
      <c r="E592" s="174" t="s">
        <v>156</v>
      </c>
      <c r="F592" s="174" t="s">
        <v>1769</v>
      </c>
      <c r="G592" s="174" t="s">
        <v>1770</v>
      </c>
      <c r="H592" s="174" t="s">
        <v>1176</v>
      </c>
      <c r="I592" s="174" t="s">
        <v>29</v>
      </c>
      <c r="J592" s="174" t="s">
        <v>34</v>
      </c>
      <c r="K592" s="174" t="s">
        <v>154</v>
      </c>
      <c r="L592" s="177">
        <v>43391</v>
      </c>
      <c r="M592" s="174">
        <v>66</v>
      </c>
      <c r="N592" s="179">
        <v>11.62</v>
      </c>
      <c r="O592" s="174" t="s">
        <v>20</v>
      </c>
      <c r="P592" s="174">
        <v>0</v>
      </c>
    </row>
    <row r="593" spans="1:16" s="174" customFormat="1" ht="35" hidden="1" customHeight="1">
      <c r="A593" s="174">
        <f>ROW()-3</f>
        <v>590</v>
      </c>
      <c r="B593" s="174" t="s">
        <v>1577</v>
      </c>
      <c r="C593" s="174" t="s">
        <v>966</v>
      </c>
      <c r="D593" s="174" t="s">
        <v>155</v>
      </c>
      <c r="E593" s="174" t="s">
        <v>156</v>
      </c>
      <c r="F593" s="174" t="s">
        <v>1771</v>
      </c>
      <c r="G593" s="174" t="s">
        <v>1772</v>
      </c>
      <c r="H593" s="174" t="s">
        <v>1621</v>
      </c>
      <c r="I593" s="174" t="s">
        <v>29</v>
      </c>
      <c r="J593" s="174" t="s">
        <v>34</v>
      </c>
      <c r="K593" s="174" t="s">
        <v>154</v>
      </c>
      <c r="L593" s="177">
        <v>43391</v>
      </c>
      <c r="M593" s="174">
        <v>134</v>
      </c>
      <c r="N593" s="179">
        <v>28.47</v>
      </c>
      <c r="O593" s="174" t="s">
        <v>30</v>
      </c>
    </row>
    <row r="594" spans="1:16" s="174" customFormat="1" ht="35" hidden="1" customHeight="1">
      <c r="A594" s="174">
        <f>ROW()-3</f>
        <v>591</v>
      </c>
      <c r="B594" s="174" t="s">
        <v>1577</v>
      </c>
      <c r="C594" s="174" t="s">
        <v>966</v>
      </c>
      <c r="D594" s="174" t="s">
        <v>951</v>
      </c>
      <c r="E594" s="174" t="s">
        <v>974</v>
      </c>
      <c r="F594" s="174" t="s">
        <v>1773</v>
      </c>
      <c r="G594" s="174" t="s">
        <v>1774</v>
      </c>
      <c r="H594" s="174" t="s">
        <v>1775</v>
      </c>
      <c r="I594" s="174" t="s">
        <v>29</v>
      </c>
      <c r="J594" s="174" t="s">
        <v>34</v>
      </c>
      <c r="K594" s="174" t="s">
        <v>154</v>
      </c>
      <c r="L594" s="177">
        <v>43391</v>
      </c>
      <c r="M594" s="174">
        <v>7</v>
      </c>
      <c r="N594" s="179">
        <v>2.02</v>
      </c>
      <c r="O594" s="174" t="s">
        <v>20</v>
      </c>
    </row>
    <row r="595" spans="1:16" s="174" customFormat="1" ht="35" hidden="1" customHeight="1">
      <c r="A595" s="174">
        <f>ROW()-3</f>
        <v>592</v>
      </c>
      <c r="B595" s="174" t="s">
        <v>1577</v>
      </c>
      <c r="C595" s="174" t="s">
        <v>966</v>
      </c>
      <c r="D595" s="174" t="s">
        <v>62</v>
      </c>
      <c r="E595" s="174" t="s">
        <v>1001</v>
      </c>
      <c r="F595" s="174" t="s">
        <v>1776</v>
      </c>
      <c r="G595" s="174" t="s">
        <v>1777</v>
      </c>
      <c r="H595" s="174" t="s">
        <v>1778</v>
      </c>
      <c r="I595" s="174" t="s">
        <v>29</v>
      </c>
      <c r="J595" s="174" t="s">
        <v>34</v>
      </c>
      <c r="K595" s="174" t="s">
        <v>154</v>
      </c>
      <c r="L595" s="177">
        <v>43391</v>
      </c>
      <c r="M595" s="174">
        <v>5</v>
      </c>
      <c r="N595" s="179">
        <v>0.43</v>
      </c>
      <c r="O595" s="174" t="s">
        <v>20</v>
      </c>
    </row>
    <row r="596" spans="1:16" s="174" customFormat="1" ht="35" hidden="1" customHeight="1">
      <c r="A596" s="174">
        <f>ROW()-3</f>
        <v>593</v>
      </c>
      <c r="B596" s="174" t="s">
        <v>1577</v>
      </c>
      <c r="C596" s="174" t="s">
        <v>966</v>
      </c>
      <c r="D596" s="174" t="s">
        <v>62</v>
      </c>
      <c r="E596" s="174" t="s">
        <v>1366</v>
      </c>
      <c r="F596" s="174" t="s">
        <v>1779</v>
      </c>
      <c r="G596" s="174" t="s">
        <v>1780</v>
      </c>
      <c r="H596" s="174" t="s">
        <v>1778</v>
      </c>
      <c r="I596" s="174" t="s">
        <v>29</v>
      </c>
      <c r="J596" s="174" t="s">
        <v>34</v>
      </c>
      <c r="K596" s="174" t="s">
        <v>154</v>
      </c>
      <c r="L596" s="177">
        <v>43391</v>
      </c>
      <c r="M596" s="174">
        <v>30</v>
      </c>
      <c r="N596" s="179">
        <v>6.15</v>
      </c>
      <c r="O596" s="174" t="s">
        <v>20</v>
      </c>
    </row>
    <row r="597" spans="1:16" s="174" customFormat="1" ht="35" hidden="1" customHeight="1">
      <c r="A597" s="174">
        <f>ROW()-3</f>
        <v>594</v>
      </c>
      <c r="B597" s="174" t="s">
        <v>1577</v>
      </c>
      <c r="C597" s="174" t="s">
        <v>966</v>
      </c>
      <c r="D597" s="174" t="s">
        <v>155</v>
      </c>
      <c r="E597" s="174" t="s">
        <v>156</v>
      </c>
      <c r="F597" s="174" t="s">
        <v>1781</v>
      </c>
      <c r="G597" s="174" t="s">
        <v>1782</v>
      </c>
      <c r="H597" s="174" t="s">
        <v>1783</v>
      </c>
      <c r="I597" s="174" t="s">
        <v>29</v>
      </c>
      <c r="J597" s="174" t="s">
        <v>34</v>
      </c>
      <c r="K597" s="174" t="s">
        <v>154</v>
      </c>
      <c r="L597" s="177">
        <v>43448</v>
      </c>
      <c r="M597" s="174">
        <v>76</v>
      </c>
      <c r="N597" s="179">
        <v>5.1100000000000003</v>
      </c>
      <c r="O597" s="174" t="s">
        <v>20</v>
      </c>
      <c r="P597" s="174">
        <v>0</v>
      </c>
    </row>
    <row r="598" spans="1:16" s="174" customFormat="1" ht="35" hidden="1" customHeight="1">
      <c r="A598" s="174">
        <f>ROW()-3</f>
        <v>595</v>
      </c>
      <c r="B598" s="174" t="s">
        <v>1577</v>
      </c>
      <c r="C598" s="174" t="s">
        <v>966</v>
      </c>
      <c r="D598" s="174" t="s">
        <v>155</v>
      </c>
      <c r="E598" s="174" t="s">
        <v>156</v>
      </c>
      <c r="F598" s="174" t="s">
        <v>1784</v>
      </c>
      <c r="G598" s="174" t="s">
        <v>1785</v>
      </c>
      <c r="H598" s="174" t="s">
        <v>1786</v>
      </c>
      <c r="I598" s="174" t="s">
        <v>29</v>
      </c>
      <c r="J598" s="174" t="s">
        <v>34</v>
      </c>
      <c r="K598" s="174" t="s">
        <v>154</v>
      </c>
      <c r="L598" s="177">
        <v>43459</v>
      </c>
      <c r="M598" s="174">
        <v>28</v>
      </c>
      <c r="N598" s="179">
        <v>4.42</v>
      </c>
      <c r="O598" s="174" t="s">
        <v>20</v>
      </c>
      <c r="P598" s="174">
        <v>0</v>
      </c>
    </row>
    <row r="599" spans="1:16" s="174" customFormat="1" ht="35" hidden="1" customHeight="1">
      <c r="A599" s="174">
        <f>ROW()-3</f>
        <v>596</v>
      </c>
      <c r="B599" s="174" t="s">
        <v>1577</v>
      </c>
      <c r="C599" s="174" t="s">
        <v>966</v>
      </c>
      <c r="D599" s="174" t="s">
        <v>155</v>
      </c>
      <c r="E599" s="174" t="s">
        <v>1787</v>
      </c>
      <c r="F599" s="174" t="s">
        <v>1788</v>
      </c>
      <c r="G599" s="174" t="s">
        <v>1789</v>
      </c>
      <c r="H599" s="174" t="s">
        <v>1790</v>
      </c>
      <c r="I599" s="174" t="s">
        <v>29</v>
      </c>
      <c r="J599" s="174" t="s">
        <v>34</v>
      </c>
      <c r="K599" s="174" t="s">
        <v>154</v>
      </c>
      <c r="L599" s="177">
        <v>43556</v>
      </c>
      <c r="M599" s="174">
        <v>19</v>
      </c>
      <c r="N599" s="179">
        <v>3.25</v>
      </c>
      <c r="O599" s="174" t="s">
        <v>20</v>
      </c>
      <c r="P599" s="174">
        <v>0</v>
      </c>
    </row>
    <row r="600" spans="1:16" s="174" customFormat="1" ht="35" hidden="1" customHeight="1">
      <c r="A600" s="174">
        <f>ROW()-3</f>
        <v>597</v>
      </c>
      <c r="B600" s="174" t="s">
        <v>1577</v>
      </c>
      <c r="C600" s="174" t="s">
        <v>966</v>
      </c>
      <c r="D600" s="174" t="s">
        <v>155</v>
      </c>
      <c r="E600" s="174" t="s">
        <v>202</v>
      </c>
      <c r="F600" s="174" t="s">
        <v>1791</v>
      </c>
      <c r="G600" s="174" t="s">
        <v>1792</v>
      </c>
      <c r="H600" s="174" t="s">
        <v>1793</v>
      </c>
      <c r="I600" s="174" t="s">
        <v>29</v>
      </c>
      <c r="J600" s="174" t="s">
        <v>34</v>
      </c>
      <c r="K600" s="174" t="s">
        <v>154</v>
      </c>
      <c r="L600" s="177">
        <v>43557</v>
      </c>
      <c r="M600" s="174">
        <v>9</v>
      </c>
      <c r="N600" s="179">
        <v>4.63</v>
      </c>
      <c r="O600" s="174" t="s">
        <v>20</v>
      </c>
    </row>
    <row r="601" spans="1:16" s="174" customFormat="1" ht="35" hidden="1" customHeight="1">
      <c r="A601" s="174">
        <f>ROW()-3</f>
        <v>598</v>
      </c>
      <c r="B601" s="174" t="s">
        <v>1577</v>
      </c>
      <c r="C601" s="174" t="s">
        <v>966</v>
      </c>
      <c r="D601" s="174" t="s">
        <v>155</v>
      </c>
      <c r="E601" s="174" t="s">
        <v>202</v>
      </c>
      <c r="F601" s="174" t="s">
        <v>1794</v>
      </c>
      <c r="G601" s="174" t="s">
        <v>1795</v>
      </c>
      <c r="H601" s="174" t="s">
        <v>79</v>
      </c>
      <c r="I601" s="174" t="s">
        <v>29</v>
      </c>
      <c r="J601" s="174" t="s">
        <v>34</v>
      </c>
      <c r="K601" s="174" t="s">
        <v>154</v>
      </c>
      <c r="L601" s="177">
        <v>43557</v>
      </c>
      <c r="M601" s="174">
        <v>53</v>
      </c>
      <c r="N601" s="179">
        <v>7.54</v>
      </c>
      <c r="O601" s="174" t="s">
        <v>20</v>
      </c>
    </row>
    <row r="602" spans="1:16" s="174" customFormat="1" ht="35" hidden="1" customHeight="1">
      <c r="A602" s="174">
        <f>ROW()-3</f>
        <v>599</v>
      </c>
      <c r="B602" s="174" t="s">
        <v>1577</v>
      </c>
      <c r="C602" s="174" t="s">
        <v>966</v>
      </c>
      <c r="D602" s="174" t="s">
        <v>1093</v>
      </c>
      <c r="E602" s="174" t="s">
        <v>1101</v>
      </c>
      <c r="F602" s="174" t="s">
        <v>1797</v>
      </c>
      <c r="G602" s="174" t="s">
        <v>1798</v>
      </c>
      <c r="H602" s="174" t="s">
        <v>82</v>
      </c>
      <c r="I602" s="174" t="s">
        <v>17</v>
      </c>
      <c r="J602" s="174" t="s">
        <v>34</v>
      </c>
      <c r="K602" s="174" t="s">
        <v>154</v>
      </c>
      <c r="L602" s="177">
        <v>43577</v>
      </c>
      <c r="M602" s="174">
        <v>6</v>
      </c>
      <c r="N602" s="179">
        <v>3.35</v>
      </c>
      <c r="O602" s="174" t="s">
        <v>30</v>
      </c>
    </row>
    <row r="603" spans="1:16" s="174" customFormat="1" ht="35" hidden="1" customHeight="1">
      <c r="A603" s="174">
        <f>ROW()-3</f>
        <v>600</v>
      </c>
      <c r="B603" s="174" t="s">
        <v>1577</v>
      </c>
      <c r="C603" s="174" t="s">
        <v>966</v>
      </c>
      <c r="D603" s="174" t="s">
        <v>155</v>
      </c>
      <c r="E603" s="174" t="s">
        <v>202</v>
      </c>
      <c r="F603" s="174" t="s">
        <v>1799</v>
      </c>
      <c r="G603" s="174" t="s">
        <v>1800</v>
      </c>
      <c r="H603" s="174" t="s">
        <v>1801</v>
      </c>
      <c r="I603" s="174" t="s">
        <v>29</v>
      </c>
      <c r="J603" s="174" t="s">
        <v>34</v>
      </c>
      <c r="K603" s="174" t="s">
        <v>154</v>
      </c>
      <c r="L603" s="177">
        <v>43599</v>
      </c>
      <c r="M603" s="174">
        <v>29</v>
      </c>
      <c r="N603" s="179">
        <v>15.03</v>
      </c>
      <c r="O603" s="174" t="s">
        <v>30</v>
      </c>
    </row>
    <row r="604" spans="1:16" s="174" customFormat="1" ht="35" hidden="1" customHeight="1">
      <c r="A604" s="174">
        <f>ROW()-3</f>
        <v>601</v>
      </c>
      <c r="B604" s="174" t="s">
        <v>1577</v>
      </c>
      <c r="C604" s="174" t="s">
        <v>966</v>
      </c>
      <c r="D604" s="174" t="s">
        <v>155</v>
      </c>
      <c r="E604" s="174" t="s">
        <v>156</v>
      </c>
      <c r="F604" s="174" t="s">
        <v>1016</v>
      </c>
      <c r="G604" s="174" t="s">
        <v>1802</v>
      </c>
      <c r="H604" s="174" t="s">
        <v>1803</v>
      </c>
      <c r="I604" s="174" t="s">
        <v>29</v>
      </c>
      <c r="J604" s="174" t="s">
        <v>34</v>
      </c>
      <c r="K604" s="174" t="s">
        <v>154</v>
      </c>
      <c r="L604" s="177">
        <v>43640</v>
      </c>
      <c r="M604" s="174">
        <v>4</v>
      </c>
      <c r="N604" s="179">
        <v>0.49</v>
      </c>
      <c r="O604" s="174" t="s">
        <v>30</v>
      </c>
      <c r="P604" s="174">
        <v>0</v>
      </c>
    </row>
    <row r="605" spans="1:16" s="174" customFormat="1" ht="35" hidden="1" customHeight="1">
      <c r="A605" s="174">
        <f>ROW()-3</f>
        <v>602</v>
      </c>
      <c r="B605" s="174" t="s">
        <v>1577</v>
      </c>
      <c r="C605" s="174" t="s">
        <v>966</v>
      </c>
      <c r="D605" s="174" t="s">
        <v>155</v>
      </c>
      <c r="E605" s="174" t="s">
        <v>156</v>
      </c>
      <c r="F605" s="174" t="s">
        <v>1804</v>
      </c>
      <c r="G605" s="174" t="s">
        <v>1805</v>
      </c>
      <c r="H605" s="174" t="s">
        <v>1803</v>
      </c>
      <c r="I605" s="174" t="s">
        <v>29</v>
      </c>
      <c r="J605" s="174" t="s">
        <v>34</v>
      </c>
      <c r="K605" s="174" t="s">
        <v>154</v>
      </c>
      <c r="L605" s="177">
        <v>43640</v>
      </c>
      <c r="M605" s="174">
        <v>4</v>
      </c>
      <c r="N605" s="179">
        <v>0.72</v>
      </c>
      <c r="O605" s="174" t="s">
        <v>30</v>
      </c>
    </row>
    <row r="606" spans="1:16" s="174" customFormat="1" ht="35" hidden="1" customHeight="1">
      <c r="A606" s="174">
        <f>ROW()-3</f>
        <v>603</v>
      </c>
      <c r="B606" s="174" t="s">
        <v>1577</v>
      </c>
      <c r="C606" s="174" t="s">
        <v>966</v>
      </c>
      <c r="D606" s="174" t="s">
        <v>155</v>
      </c>
      <c r="E606" s="174" t="s">
        <v>156</v>
      </c>
      <c r="F606" s="174" t="s">
        <v>1806</v>
      </c>
      <c r="G606" s="174" t="s">
        <v>1807</v>
      </c>
      <c r="H606" s="174" t="s">
        <v>1808</v>
      </c>
      <c r="I606" s="174" t="s">
        <v>29</v>
      </c>
      <c r="J606" s="174" t="s">
        <v>34</v>
      </c>
      <c r="K606" s="174" t="s">
        <v>154</v>
      </c>
      <c r="L606" s="177">
        <v>43811</v>
      </c>
      <c r="M606" s="174">
        <v>281</v>
      </c>
      <c r="N606" s="179">
        <v>62.12</v>
      </c>
      <c r="O606" s="174" t="s">
        <v>30</v>
      </c>
      <c r="P606" s="174">
        <v>0</v>
      </c>
    </row>
    <row r="607" spans="1:16" s="174" customFormat="1" ht="35" hidden="1" customHeight="1">
      <c r="A607" s="174">
        <f>ROW()-3</f>
        <v>604</v>
      </c>
      <c r="B607" s="174" t="s">
        <v>1577</v>
      </c>
      <c r="C607" s="174" t="s">
        <v>966</v>
      </c>
      <c r="D607" s="174" t="s">
        <v>155</v>
      </c>
      <c r="E607" s="174" t="s">
        <v>156</v>
      </c>
      <c r="F607" s="174" t="s">
        <v>1809</v>
      </c>
      <c r="G607" s="174" t="s">
        <v>1810</v>
      </c>
      <c r="H607" s="174" t="s">
        <v>1811</v>
      </c>
      <c r="I607" s="174" t="s">
        <v>29</v>
      </c>
      <c r="J607" s="174" t="s">
        <v>34</v>
      </c>
      <c r="K607" s="174" t="s">
        <v>154</v>
      </c>
      <c r="L607" s="177">
        <v>43873</v>
      </c>
      <c r="M607" s="174">
        <v>4</v>
      </c>
      <c r="N607" s="179">
        <v>1.1599999999999999</v>
      </c>
      <c r="O607" s="174" t="s">
        <v>20</v>
      </c>
      <c r="P607" s="174">
        <v>0</v>
      </c>
    </row>
    <row r="608" spans="1:16" s="174" customFormat="1" ht="35" hidden="1" customHeight="1">
      <c r="A608" s="174">
        <f>ROW()-3</f>
        <v>605</v>
      </c>
      <c r="B608" s="174" t="s">
        <v>1577</v>
      </c>
      <c r="C608" s="174" t="s">
        <v>966</v>
      </c>
      <c r="D608" s="174" t="s">
        <v>961</v>
      </c>
      <c r="E608" s="174" t="s">
        <v>983</v>
      </c>
      <c r="F608" s="174" t="s">
        <v>1812</v>
      </c>
      <c r="G608" s="174" t="s">
        <v>1813</v>
      </c>
      <c r="H608" s="174" t="s">
        <v>1814</v>
      </c>
      <c r="I608" s="174" t="s">
        <v>17</v>
      </c>
      <c r="J608" s="174" t="s">
        <v>34</v>
      </c>
      <c r="K608" s="174" t="s">
        <v>154</v>
      </c>
      <c r="L608" s="177">
        <v>43873</v>
      </c>
      <c r="M608" s="174">
        <v>1</v>
      </c>
      <c r="N608" s="179">
        <v>1.07</v>
      </c>
      <c r="O608" s="174" t="s">
        <v>20</v>
      </c>
    </row>
    <row r="609" spans="1:45" s="174" customFormat="1" ht="35" hidden="1" customHeight="1">
      <c r="A609" s="174">
        <f>ROW()-3</f>
        <v>606</v>
      </c>
      <c r="B609" s="174" t="s">
        <v>1577</v>
      </c>
      <c r="C609" s="174" t="s">
        <v>966</v>
      </c>
      <c r="D609" s="174" t="s">
        <v>155</v>
      </c>
      <c r="E609" s="174" t="s">
        <v>156</v>
      </c>
      <c r="F609" s="174" t="s">
        <v>1815</v>
      </c>
      <c r="G609" s="174" t="s">
        <v>1816</v>
      </c>
      <c r="H609" s="174" t="s">
        <v>1817</v>
      </c>
      <c r="I609" s="174" t="s">
        <v>17</v>
      </c>
      <c r="J609" s="174" t="s">
        <v>34</v>
      </c>
      <c r="K609" s="174" t="s">
        <v>154</v>
      </c>
      <c r="L609" s="177">
        <v>43886</v>
      </c>
      <c r="M609" s="174">
        <v>7</v>
      </c>
      <c r="N609" s="179">
        <v>4.8</v>
      </c>
      <c r="O609" s="174" t="s">
        <v>30</v>
      </c>
    </row>
    <row r="610" spans="1:45" s="174" customFormat="1" ht="35" hidden="1" customHeight="1">
      <c r="A610" s="174">
        <f>ROW()-3</f>
        <v>607</v>
      </c>
      <c r="B610" s="174" t="s">
        <v>1577</v>
      </c>
      <c r="C610" s="174" t="s">
        <v>966</v>
      </c>
      <c r="D610" s="174" t="s">
        <v>1084</v>
      </c>
      <c r="E610" s="174" t="s">
        <v>1362</v>
      </c>
      <c r="F610" s="174" t="s">
        <v>1818</v>
      </c>
      <c r="G610" s="174" t="s">
        <v>1819</v>
      </c>
      <c r="H610" s="174" t="s">
        <v>1820</v>
      </c>
      <c r="I610" s="174" t="s">
        <v>29</v>
      </c>
      <c r="J610" s="174" t="s">
        <v>34</v>
      </c>
      <c r="K610" s="174" t="s">
        <v>154</v>
      </c>
      <c r="L610" s="177">
        <v>43942</v>
      </c>
      <c r="M610" s="174">
        <v>829</v>
      </c>
      <c r="N610" s="179">
        <v>60.77</v>
      </c>
      <c r="O610" s="174" t="s">
        <v>30</v>
      </c>
    </row>
    <row r="611" spans="1:45" s="174" customFormat="1" ht="35" hidden="1" customHeight="1">
      <c r="A611" s="174">
        <f>ROW()-3</f>
        <v>608</v>
      </c>
      <c r="B611" s="174" t="s">
        <v>1577</v>
      </c>
      <c r="C611" s="174" t="s">
        <v>966</v>
      </c>
      <c r="D611" s="174" t="s">
        <v>155</v>
      </c>
      <c r="E611" s="174" t="s">
        <v>202</v>
      </c>
      <c r="F611" s="174" t="s">
        <v>1821</v>
      </c>
      <c r="G611" s="174" t="s">
        <v>1822</v>
      </c>
      <c r="H611" s="174" t="s">
        <v>1740</v>
      </c>
      <c r="I611" s="174" t="s">
        <v>29</v>
      </c>
      <c r="J611" s="174" t="s">
        <v>34</v>
      </c>
      <c r="K611" s="174" t="s">
        <v>154</v>
      </c>
      <c r="L611" s="177">
        <v>44032</v>
      </c>
      <c r="M611" s="174">
        <v>7</v>
      </c>
      <c r="N611" s="179">
        <v>1.1000000000000001</v>
      </c>
      <c r="O611" s="174" t="s">
        <v>20</v>
      </c>
    </row>
    <row r="612" spans="1:45" s="174" customFormat="1" ht="35" hidden="1" customHeight="1">
      <c r="A612" s="174">
        <f>ROW()-3</f>
        <v>609</v>
      </c>
      <c r="B612" s="174" t="s">
        <v>1577</v>
      </c>
      <c r="C612" s="174" t="s">
        <v>2723</v>
      </c>
      <c r="D612" s="261" t="s">
        <v>1441</v>
      </c>
      <c r="E612" s="261" t="s">
        <v>1441</v>
      </c>
      <c r="F612" s="174" t="s">
        <v>5397</v>
      </c>
      <c r="G612" s="174" t="s">
        <v>1825</v>
      </c>
      <c r="H612" s="174" t="s">
        <v>1824</v>
      </c>
      <c r="I612" s="174" t="s">
        <v>29</v>
      </c>
      <c r="J612" s="174" t="s">
        <v>34</v>
      </c>
      <c r="K612" s="174" t="s">
        <v>154</v>
      </c>
      <c r="L612" s="177">
        <v>43262</v>
      </c>
      <c r="M612" s="174">
        <v>379</v>
      </c>
      <c r="N612" s="179">
        <v>77.150000000000006</v>
      </c>
      <c r="O612" s="174" t="s">
        <v>30</v>
      </c>
    </row>
    <row r="613" spans="1:45" s="174" customFormat="1" ht="35" hidden="1" customHeight="1">
      <c r="A613" s="174">
        <f>ROW()-3</f>
        <v>610</v>
      </c>
      <c r="B613" s="174" t="s">
        <v>1577</v>
      </c>
      <c r="C613" s="174" t="s">
        <v>2723</v>
      </c>
      <c r="D613" s="181" t="s">
        <v>1578</v>
      </c>
      <c r="E613" s="181" t="s">
        <v>1826</v>
      </c>
      <c r="F613" s="174" t="s">
        <v>1827</v>
      </c>
      <c r="G613" s="174" t="s">
        <v>1828</v>
      </c>
      <c r="H613" s="174" t="s">
        <v>1829</v>
      </c>
      <c r="I613" s="174" t="s">
        <v>29</v>
      </c>
      <c r="J613" s="174" t="s">
        <v>34</v>
      </c>
      <c r="K613" s="174" t="s">
        <v>154</v>
      </c>
      <c r="L613" s="177">
        <v>43390</v>
      </c>
      <c r="M613" s="174">
        <v>1</v>
      </c>
      <c r="N613" s="179">
        <v>0.01</v>
      </c>
      <c r="O613" s="174" t="s">
        <v>20</v>
      </c>
    </row>
    <row r="614" spans="1:45" s="174" customFormat="1" ht="35" hidden="1" customHeight="1">
      <c r="A614" s="174">
        <f>ROW()-3</f>
        <v>611</v>
      </c>
      <c r="B614" s="174" t="s">
        <v>1577</v>
      </c>
      <c r="C614" s="174" t="s">
        <v>2723</v>
      </c>
      <c r="D614" s="261" t="s">
        <v>155</v>
      </c>
      <c r="E614" s="262" t="s">
        <v>202</v>
      </c>
      <c r="F614" s="174" t="s">
        <v>5398</v>
      </c>
      <c r="G614" s="174" t="s">
        <v>1830</v>
      </c>
      <c r="H614" s="174" t="s">
        <v>1831</v>
      </c>
      <c r="I614" s="174" t="s">
        <v>29</v>
      </c>
      <c r="J614" s="174" t="s">
        <v>34</v>
      </c>
      <c r="K614" s="174" t="s">
        <v>154</v>
      </c>
      <c r="L614" s="177">
        <v>43391</v>
      </c>
      <c r="M614" s="174">
        <v>23</v>
      </c>
      <c r="N614" s="179">
        <v>0.7</v>
      </c>
      <c r="O614" s="174" t="s">
        <v>20</v>
      </c>
    </row>
    <row r="615" spans="1:45" s="174" customFormat="1" ht="35" hidden="1" customHeight="1">
      <c r="A615" s="174">
        <f>ROW()-3</f>
        <v>612</v>
      </c>
      <c r="B615" s="174" t="s">
        <v>1577</v>
      </c>
      <c r="C615" s="174" t="s">
        <v>2723</v>
      </c>
      <c r="D615" s="261" t="s">
        <v>1593</v>
      </c>
      <c r="E615" s="262" t="s">
        <v>382</v>
      </c>
      <c r="F615" s="174" t="s">
        <v>5399</v>
      </c>
      <c r="G615" s="174" t="s">
        <v>1832</v>
      </c>
      <c r="H615" s="174" t="s">
        <v>1833</v>
      </c>
      <c r="I615" s="174" t="s">
        <v>29</v>
      </c>
      <c r="J615" s="174" t="s">
        <v>34</v>
      </c>
      <c r="K615" s="174" t="s">
        <v>154</v>
      </c>
      <c r="L615" s="177">
        <v>43391</v>
      </c>
      <c r="M615" s="174">
        <v>36</v>
      </c>
      <c r="N615" s="179">
        <v>11.41</v>
      </c>
      <c r="O615" s="174" t="s">
        <v>20</v>
      </c>
    </row>
    <row r="616" spans="1:45" s="174" customFormat="1" ht="35" hidden="1" customHeight="1">
      <c r="A616" s="174">
        <f>ROW()-3</f>
        <v>613</v>
      </c>
      <c r="B616" s="174" t="s">
        <v>1577</v>
      </c>
      <c r="C616" s="174" t="s">
        <v>2723</v>
      </c>
      <c r="D616" s="261" t="s">
        <v>1593</v>
      </c>
      <c r="E616" s="262" t="s">
        <v>382</v>
      </c>
      <c r="F616" s="174" t="s">
        <v>5400</v>
      </c>
      <c r="G616" s="174" t="s">
        <v>1834</v>
      </c>
      <c r="H616" s="174" t="s">
        <v>1623</v>
      </c>
      <c r="I616" s="174" t="s">
        <v>29</v>
      </c>
      <c r="J616" s="174" t="s">
        <v>34</v>
      </c>
      <c r="K616" s="174" t="s">
        <v>154</v>
      </c>
      <c r="L616" s="177">
        <v>43391</v>
      </c>
      <c r="M616" s="174">
        <v>36</v>
      </c>
      <c r="N616" s="179">
        <v>4.3899999999999997</v>
      </c>
      <c r="O616" s="174" t="s">
        <v>20</v>
      </c>
    </row>
    <row r="617" spans="1:45" s="174" customFormat="1" ht="35" hidden="1" customHeight="1">
      <c r="A617" s="174">
        <f>ROW()-3</f>
        <v>614</v>
      </c>
      <c r="B617" s="174" t="s">
        <v>1577</v>
      </c>
      <c r="C617" s="174" t="s">
        <v>2723</v>
      </c>
      <c r="D617" s="261" t="s">
        <v>1445</v>
      </c>
      <c r="E617" s="261" t="s">
        <v>1445</v>
      </c>
      <c r="F617" s="174" t="s">
        <v>5401</v>
      </c>
      <c r="G617" s="174" t="s">
        <v>1835</v>
      </c>
      <c r="H617" s="174" t="s">
        <v>1836</v>
      </c>
      <c r="I617" s="174" t="s">
        <v>29</v>
      </c>
      <c r="J617" s="174" t="s">
        <v>34</v>
      </c>
      <c r="K617" s="174" t="s">
        <v>154</v>
      </c>
      <c r="L617" s="177">
        <v>43391</v>
      </c>
      <c r="M617" s="174">
        <v>196</v>
      </c>
      <c r="N617" s="179">
        <v>52.83</v>
      </c>
      <c r="O617" s="174" t="s">
        <v>30</v>
      </c>
    </row>
    <row r="618" spans="1:45" s="174" customFormat="1" ht="35" hidden="1" customHeight="1">
      <c r="A618" s="181">
        <f>ROW()-3</f>
        <v>615</v>
      </c>
      <c r="B618" s="181" t="s">
        <v>1577</v>
      </c>
      <c r="C618" s="181" t="s">
        <v>5445</v>
      </c>
      <c r="D618" s="261" t="s">
        <v>155</v>
      </c>
      <c r="E618" s="262" t="s">
        <v>156</v>
      </c>
      <c r="F618" s="181" t="s">
        <v>1607</v>
      </c>
      <c r="G618" s="181" t="s">
        <v>1608</v>
      </c>
      <c r="H618" s="181" t="s">
        <v>1609</v>
      </c>
      <c r="I618" s="181" t="s">
        <v>29</v>
      </c>
      <c r="J618" s="181" t="s">
        <v>34</v>
      </c>
      <c r="K618" s="181" t="s">
        <v>154</v>
      </c>
      <c r="L618" s="177">
        <v>43391</v>
      </c>
      <c r="M618" s="181">
        <v>612</v>
      </c>
      <c r="N618" s="179">
        <v>27.87</v>
      </c>
      <c r="O618" s="181" t="s">
        <v>30</v>
      </c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  <c r="AC618" s="181"/>
      <c r="AD618" s="181"/>
      <c r="AE618" s="181"/>
      <c r="AF618" s="181"/>
      <c r="AG618" s="181"/>
      <c r="AH618" s="181"/>
      <c r="AI618" s="181"/>
      <c r="AJ618" s="181"/>
      <c r="AK618" s="181"/>
      <c r="AL618" s="181"/>
      <c r="AM618" s="181"/>
      <c r="AN618" s="181"/>
      <c r="AO618" s="181"/>
      <c r="AP618" s="181"/>
      <c r="AQ618" s="181"/>
      <c r="AR618" s="181"/>
      <c r="AS618" s="181"/>
    </row>
    <row r="619" spans="1:45" s="174" customFormat="1" ht="35" hidden="1" customHeight="1">
      <c r="A619" s="181">
        <f>ROW()-3</f>
        <v>616</v>
      </c>
      <c r="B619" s="181" t="s">
        <v>1577</v>
      </c>
      <c r="C619" s="181" t="s">
        <v>5445</v>
      </c>
      <c r="D619" s="261" t="s">
        <v>706</v>
      </c>
      <c r="E619" s="262" t="s">
        <v>1429</v>
      </c>
      <c r="F619" s="181" t="s">
        <v>1616</v>
      </c>
      <c r="G619" s="181" t="s">
        <v>1617</v>
      </c>
      <c r="H619" s="181" t="s">
        <v>1618</v>
      </c>
      <c r="I619" s="181" t="s">
        <v>29</v>
      </c>
      <c r="J619" s="181" t="s">
        <v>34</v>
      </c>
      <c r="K619" s="181" t="s">
        <v>154</v>
      </c>
      <c r="L619" s="177">
        <v>43391</v>
      </c>
      <c r="M619" s="181">
        <v>18</v>
      </c>
      <c r="N619" s="179">
        <v>4.25</v>
      </c>
      <c r="O619" s="181" t="s">
        <v>20</v>
      </c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  <c r="AC619" s="181"/>
      <c r="AD619" s="181"/>
      <c r="AE619" s="181"/>
      <c r="AF619" s="181"/>
      <c r="AG619" s="181"/>
      <c r="AH619" s="181"/>
      <c r="AI619" s="181"/>
      <c r="AJ619" s="181"/>
      <c r="AK619" s="181"/>
      <c r="AL619" s="181"/>
      <c r="AM619" s="181"/>
      <c r="AN619" s="181"/>
      <c r="AO619" s="181"/>
      <c r="AP619" s="181"/>
      <c r="AQ619" s="181"/>
      <c r="AR619" s="181"/>
      <c r="AS619" s="181"/>
    </row>
    <row r="620" spans="1:45" s="174" customFormat="1" ht="35" hidden="1" customHeight="1">
      <c r="A620" s="174">
        <f>ROW()-3</f>
        <v>617</v>
      </c>
      <c r="B620" s="174" t="s">
        <v>1577</v>
      </c>
      <c r="C620" s="174" t="s">
        <v>2723</v>
      </c>
      <c r="D620" s="261" t="s">
        <v>1432</v>
      </c>
      <c r="E620" s="262" t="s">
        <v>1437</v>
      </c>
      <c r="F620" s="174" t="s">
        <v>5402</v>
      </c>
      <c r="G620" s="174" t="s">
        <v>1837</v>
      </c>
      <c r="H620" s="174" t="s">
        <v>300</v>
      </c>
      <c r="I620" s="174" t="s">
        <v>29</v>
      </c>
      <c r="J620" s="174" t="s">
        <v>34</v>
      </c>
      <c r="K620" s="174" t="s">
        <v>154</v>
      </c>
      <c r="L620" s="177">
        <v>43392</v>
      </c>
      <c r="M620" s="174">
        <v>134</v>
      </c>
      <c r="N620" s="179">
        <v>85.76</v>
      </c>
      <c r="O620" s="174" t="s">
        <v>20</v>
      </c>
    </row>
    <row r="621" spans="1:45" s="174" customFormat="1" ht="35" hidden="1" customHeight="1">
      <c r="A621" s="174">
        <f>ROW()-3</f>
        <v>618</v>
      </c>
      <c r="B621" s="174" t="s">
        <v>1577</v>
      </c>
      <c r="C621" s="174" t="s">
        <v>2723</v>
      </c>
      <c r="D621" s="261" t="s">
        <v>1432</v>
      </c>
      <c r="E621" s="262" t="s">
        <v>1437</v>
      </c>
      <c r="F621" s="174" t="s">
        <v>5403</v>
      </c>
      <c r="G621" s="174" t="s">
        <v>1838</v>
      </c>
      <c r="H621" s="174" t="s">
        <v>1839</v>
      </c>
      <c r="I621" s="174" t="s">
        <v>29</v>
      </c>
      <c r="J621" s="174" t="s">
        <v>34</v>
      </c>
      <c r="K621" s="174" t="s">
        <v>154</v>
      </c>
      <c r="L621" s="177">
        <v>43392</v>
      </c>
      <c r="M621" s="174">
        <v>180</v>
      </c>
      <c r="N621" s="179">
        <v>56.07</v>
      </c>
      <c r="O621" s="174" t="s">
        <v>30</v>
      </c>
    </row>
    <row r="622" spans="1:45" s="174" customFormat="1" ht="35" hidden="1" customHeight="1">
      <c r="A622" s="174">
        <f>ROW()-3</f>
        <v>619</v>
      </c>
      <c r="B622" s="174" t="s">
        <v>1577</v>
      </c>
      <c r="C622" s="174" t="s">
        <v>2723</v>
      </c>
      <c r="D622" s="261" t="s">
        <v>706</v>
      </c>
      <c r="E622" s="261" t="s">
        <v>115</v>
      </c>
      <c r="F622" s="174" t="s">
        <v>5404</v>
      </c>
      <c r="G622" s="174" t="s">
        <v>1840</v>
      </c>
      <c r="H622" s="174" t="s">
        <v>1841</v>
      </c>
      <c r="I622" s="174" t="s">
        <v>29</v>
      </c>
      <c r="J622" s="174" t="s">
        <v>34</v>
      </c>
      <c r="K622" s="174" t="s">
        <v>154</v>
      </c>
      <c r="L622" s="177">
        <v>43397</v>
      </c>
      <c r="M622" s="174">
        <v>11</v>
      </c>
      <c r="N622" s="179">
        <v>3.72</v>
      </c>
      <c r="O622" s="174" t="s">
        <v>20</v>
      </c>
    </row>
    <row r="623" spans="1:45" s="174" customFormat="1" ht="35" hidden="1" customHeight="1">
      <c r="A623" s="174">
        <f>ROW()-3</f>
        <v>620</v>
      </c>
      <c r="B623" s="174" t="s">
        <v>1577</v>
      </c>
      <c r="C623" s="174" t="s">
        <v>2723</v>
      </c>
      <c r="D623" s="261" t="s">
        <v>706</v>
      </c>
      <c r="E623" s="262" t="s">
        <v>1429</v>
      </c>
      <c r="F623" s="174" t="s">
        <v>5405</v>
      </c>
      <c r="G623" s="174" t="s">
        <v>1842</v>
      </c>
      <c r="H623" s="174" t="s">
        <v>1843</v>
      </c>
      <c r="I623" s="174" t="s">
        <v>29</v>
      </c>
      <c r="J623" s="174" t="s">
        <v>34</v>
      </c>
      <c r="K623" s="174" t="s">
        <v>154</v>
      </c>
      <c r="L623" s="177">
        <v>43431</v>
      </c>
      <c r="M623" s="174">
        <v>6</v>
      </c>
      <c r="N623" s="179">
        <v>0.54</v>
      </c>
      <c r="O623" s="174" t="s">
        <v>20</v>
      </c>
    </row>
    <row r="624" spans="1:45" s="174" customFormat="1" ht="35" hidden="1" customHeight="1">
      <c r="A624" s="174">
        <f>ROW()-3</f>
        <v>621</v>
      </c>
      <c r="B624" s="174" t="s">
        <v>1577</v>
      </c>
      <c r="C624" s="174" t="s">
        <v>2723</v>
      </c>
      <c r="D624" s="261" t="s">
        <v>706</v>
      </c>
      <c r="E624" s="262" t="s">
        <v>1471</v>
      </c>
      <c r="F624" s="174" t="s">
        <v>5406</v>
      </c>
      <c r="G624" s="174" t="s">
        <v>1844</v>
      </c>
      <c r="H624" s="174" t="s">
        <v>1845</v>
      </c>
      <c r="I624" s="174" t="s">
        <v>29</v>
      </c>
      <c r="J624" s="174" t="s">
        <v>34</v>
      </c>
      <c r="K624" s="174" t="s">
        <v>154</v>
      </c>
      <c r="L624" s="177">
        <v>43440</v>
      </c>
      <c r="M624" s="174">
        <v>859</v>
      </c>
      <c r="N624" s="179">
        <v>175.42</v>
      </c>
      <c r="O624" s="174" t="s">
        <v>30</v>
      </c>
    </row>
    <row r="625" spans="1:15" s="174" customFormat="1" ht="35" hidden="1" customHeight="1">
      <c r="A625" s="174">
        <f>ROW()-3</f>
        <v>622</v>
      </c>
      <c r="B625" s="174" t="s">
        <v>1577</v>
      </c>
      <c r="C625" s="174" t="s">
        <v>2723</v>
      </c>
      <c r="D625" s="261" t="s">
        <v>706</v>
      </c>
      <c r="E625" s="262" t="s">
        <v>1471</v>
      </c>
      <c r="F625" s="174" t="s">
        <v>1846</v>
      </c>
      <c r="G625" s="174" t="s">
        <v>1847</v>
      </c>
      <c r="H625" s="174" t="s">
        <v>1848</v>
      </c>
      <c r="I625" s="174" t="s">
        <v>29</v>
      </c>
      <c r="J625" s="174" t="s">
        <v>34</v>
      </c>
      <c r="K625" s="174" t="s">
        <v>154</v>
      </c>
      <c r="L625" s="177">
        <v>43440</v>
      </c>
      <c r="M625" s="174">
        <v>138</v>
      </c>
      <c r="N625" s="179">
        <v>7.6</v>
      </c>
      <c r="O625" s="174" t="s">
        <v>30</v>
      </c>
    </row>
    <row r="626" spans="1:15" s="174" customFormat="1" ht="35" hidden="1" customHeight="1">
      <c r="A626" s="174">
        <f>ROW()-3</f>
        <v>623</v>
      </c>
      <c r="B626" s="174" t="s">
        <v>1577</v>
      </c>
      <c r="C626" s="174" t="s">
        <v>2723</v>
      </c>
      <c r="D626" s="261" t="s">
        <v>706</v>
      </c>
      <c r="E626" s="262" t="s">
        <v>1471</v>
      </c>
      <c r="F626" s="174" t="s">
        <v>1849</v>
      </c>
      <c r="G626" s="174" t="s">
        <v>1850</v>
      </c>
      <c r="H626" s="174" t="s">
        <v>1851</v>
      </c>
      <c r="I626" s="174" t="s">
        <v>29</v>
      </c>
      <c r="J626" s="174" t="s">
        <v>34</v>
      </c>
      <c r="K626" s="174" t="s">
        <v>154</v>
      </c>
      <c r="L626" s="177">
        <v>43440</v>
      </c>
      <c r="M626" s="174">
        <v>520</v>
      </c>
      <c r="N626" s="179">
        <v>20.32</v>
      </c>
      <c r="O626" s="174" t="s">
        <v>30</v>
      </c>
    </row>
    <row r="627" spans="1:15" s="174" customFormat="1" ht="35" hidden="1" customHeight="1">
      <c r="A627" s="174">
        <f>ROW()-3</f>
        <v>624</v>
      </c>
      <c r="B627" s="174" t="s">
        <v>1577</v>
      </c>
      <c r="C627" s="174" t="s">
        <v>2723</v>
      </c>
      <c r="D627" s="261" t="s">
        <v>706</v>
      </c>
      <c r="E627" s="262" t="s">
        <v>1429</v>
      </c>
      <c r="F627" s="174" t="s">
        <v>5407</v>
      </c>
      <c r="G627" s="174" t="s">
        <v>1852</v>
      </c>
      <c r="H627" s="174" t="s">
        <v>292</v>
      </c>
      <c r="I627" s="174" t="s">
        <v>29</v>
      </c>
      <c r="J627" s="174" t="s">
        <v>34</v>
      </c>
      <c r="K627" s="174" t="s">
        <v>154</v>
      </c>
      <c r="L627" s="177">
        <v>43440</v>
      </c>
      <c r="M627" s="174">
        <v>14</v>
      </c>
      <c r="N627" s="179">
        <v>2.87</v>
      </c>
      <c r="O627" s="174" t="s">
        <v>20</v>
      </c>
    </row>
    <row r="628" spans="1:15" s="174" customFormat="1" ht="35" hidden="1" customHeight="1">
      <c r="A628" s="174">
        <f>ROW()-3</f>
        <v>625</v>
      </c>
      <c r="B628" s="174" t="s">
        <v>1577</v>
      </c>
      <c r="C628" s="174" t="s">
        <v>2723</v>
      </c>
      <c r="D628" s="261" t="s">
        <v>1432</v>
      </c>
      <c r="E628" s="262" t="s">
        <v>1437</v>
      </c>
      <c r="F628" s="174" t="s">
        <v>5408</v>
      </c>
      <c r="G628" s="174" t="s">
        <v>1853</v>
      </c>
      <c r="H628" s="174" t="s">
        <v>1854</v>
      </c>
      <c r="I628" s="174" t="s">
        <v>29</v>
      </c>
      <c r="J628" s="174" t="s">
        <v>34</v>
      </c>
      <c r="K628" s="174" t="s">
        <v>154</v>
      </c>
      <c r="L628" s="177">
        <v>43440</v>
      </c>
      <c r="M628" s="174">
        <v>338</v>
      </c>
      <c r="N628" s="179">
        <v>75.05</v>
      </c>
      <c r="O628" s="174" t="s">
        <v>30</v>
      </c>
    </row>
    <row r="629" spans="1:15" s="174" customFormat="1" ht="35" hidden="1" customHeight="1">
      <c r="A629" s="174">
        <f>ROW()-3</f>
        <v>626</v>
      </c>
      <c r="B629" s="174" t="s">
        <v>1577</v>
      </c>
      <c r="C629" s="174" t="s">
        <v>2723</v>
      </c>
      <c r="D629" s="261" t="s">
        <v>155</v>
      </c>
      <c r="E629" s="262" t="s">
        <v>202</v>
      </c>
      <c r="F629" s="174" t="s">
        <v>5409</v>
      </c>
      <c r="G629" s="174" t="s">
        <v>1855</v>
      </c>
      <c r="H629" s="174" t="s">
        <v>1856</v>
      </c>
      <c r="I629" s="174" t="s">
        <v>29</v>
      </c>
      <c r="J629" s="174" t="s">
        <v>34</v>
      </c>
      <c r="K629" s="174" t="s">
        <v>154</v>
      </c>
      <c r="L629" s="177">
        <v>43441</v>
      </c>
      <c r="M629" s="174">
        <v>397</v>
      </c>
      <c r="N629" s="179">
        <v>35.880000000000003</v>
      </c>
      <c r="O629" s="174" t="s">
        <v>30</v>
      </c>
    </row>
    <row r="630" spans="1:15" s="174" customFormat="1" ht="35" hidden="1" customHeight="1">
      <c r="A630" s="174">
        <f>ROW()-3</f>
        <v>627</v>
      </c>
      <c r="B630" s="174" t="s">
        <v>1577</v>
      </c>
      <c r="C630" s="174" t="s">
        <v>2723</v>
      </c>
      <c r="D630" s="261" t="s">
        <v>1593</v>
      </c>
      <c r="E630" s="262" t="s">
        <v>382</v>
      </c>
      <c r="F630" s="174" t="s">
        <v>5410</v>
      </c>
      <c r="G630" s="174" t="s">
        <v>1857</v>
      </c>
      <c r="H630" s="174" t="s">
        <v>1858</v>
      </c>
      <c r="I630" s="174" t="s">
        <v>29</v>
      </c>
      <c r="J630" s="174" t="s">
        <v>34</v>
      </c>
      <c r="K630" s="174" t="s">
        <v>154</v>
      </c>
      <c r="L630" s="177">
        <v>43441</v>
      </c>
      <c r="M630" s="174">
        <v>11</v>
      </c>
      <c r="N630" s="179">
        <v>8.49</v>
      </c>
      <c r="O630" s="174" t="s">
        <v>20</v>
      </c>
    </row>
    <row r="631" spans="1:15" s="174" customFormat="1" ht="35" hidden="1" customHeight="1">
      <c r="A631" s="174">
        <f>ROW()-3</f>
        <v>628</v>
      </c>
      <c r="B631" s="174" t="s">
        <v>1577</v>
      </c>
      <c r="C631" s="174" t="s">
        <v>2723</v>
      </c>
      <c r="D631" s="261" t="s">
        <v>1593</v>
      </c>
      <c r="E631" s="262" t="s">
        <v>382</v>
      </c>
      <c r="F631" s="174" t="s">
        <v>1859</v>
      </c>
      <c r="G631" s="174" t="s">
        <v>1857</v>
      </c>
      <c r="H631" s="174" t="s">
        <v>1858</v>
      </c>
      <c r="I631" s="174" t="s">
        <v>29</v>
      </c>
      <c r="J631" s="174" t="s">
        <v>34</v>
      </c>
      <c r="K631" s="174" t="s">
        <v>154</v>
      </c>
      <c r="L631" s="177">
        <v>43441</v>
      </c>
      <c r="M631" s="174">
        <v>20</v>
      </c>
      <c r="N631" s="179">
        <v>17.420000000000002</v>
      </c>
      <c r="O631" s="174" t="s">
        <v>20</v>
      </c>
    </row>
    <row r="632" spans="1:15" s="174" customFormat="1" ht="35" hidden="1" customHeight="1">
      <c r="A632" s="174">
        <f>ROW()-3</f>
        <v>629</v>
      </c>
      <c r="B632" s="174" t="s">
        <v>1577</v>
      </c>
      <c r="C632" s="174" t="s">
        <v>2723</v>
      </c>
      <c r="D632" s="261" t="s">
        <v>1593</v>
      </c>
      <c r="E632" s="262" t="s">
        <v>382</v>
      </c>
      <c r="F632" s="174" t="s">
        <v>1860</v>
      </c>
      <c r="G632" s="174" t="s">
        <v>1861</v>
      </c>
      <c r="H632" s="174" t="s">
        <v>1858</v>
      </c>
      <c r="I632" s="174" t="s">
        <v>29</v>
      </c>
      <c r="J632" s="174" t="s">
        <v>34</v>
      </c>
      <c r="K632" s="174" t="s">
        <v>154</v>
      </c>
      <c r="L632" s="177">
        <v>43441</v>
      </c>
      <c r="M632" s="174">
        <v>20</v>
      </c>
      <c r="N632" s="179">
        <v>16.68</v>
      </c>
      <c r="O632" s="174" t="s">
        <v>20</v>
      </c>
    </row>
    <row r="633" spans="1:15" s="174" customFormat="1" ht="35" hidden="1" customHeight="1">
      <c r="A633" s="174">
        <f>ROW()-3</f>
        <v>630</v>
      </c>
      <c r="B633" s="174" t="s">
        <v>1577</v>
      </c>
      <c r="C633" s="174" t="s">
        <v>2723</v>
      </c>
      <c r="D633" s="261" t="s">
        <v>1593</v>
      </c>
      <c r="E633" s="262" t="s">
        <v>382</v>
      </c>
      <c r="F633" s="174" t="s">
        <v>1862</v>
      </c>
      <c r="G633" s="174" t="s">
        <v>1861</v>
      </c>
      <c r="H633" s="174" t="s">
        <v>1858</v>
      </c>
      <c r="I633" s="174" t="s">
        <v>29</v>
      </c>
      <c r="J633" s="174" t="s">
        <v>34</v>
      </c>
      <c r="K633" s="174" t="s">
        <v>154</v>
      </c>
      <c r="L633" s="177">
        <v>43441</v>
      </c>
      <c r="M633" s="174">
        <v>7</v>
      </c>
      <c r="N633" s="179">
        <v>6.74</v>
      </c>
      <c r="O633" s="174" t="s">
        <v>20</v>
      </c>
    </row>
    <row r="634" spans="1:15" s="174" customFormat="1" ht="35" hidden="1" customHeight="1">
      <c r="A634" s="174">
        <f>ROW()-3</f>
        <v>631</v>
      </c>
      <c r="B634" s="174" t="s">
        <v>1577</v>
      </c>
      <c r="C634" s="174" t="s">
        <v>2723</v>
      </c>
      <c r="D634" s="259" t="s">
        <v>1432</v>
      </c>
      <c r="E634" s="260" t="s">
        <v>1437</v>
      </c>
      <c r="F634" s="174" t="s">
        <v>5411</v>
      </c>
      <c r="G634" s="174" t="s">
        <v>1863</v>
      </c>
      <c r="H634" s="174" t="s">
        <v>1864</v>
      </c>
      <c r="I634" s="174" t="s">
        <v>29</v>
      </c>
      <c r="J634" s="174" t="s">
        <v>34</v>
      </c>
      <c r="K634" s="174" t="s">
        <v>154</v>
      </c>
      <c r="L634" s="177">
        <v>43447</v>
      </c>
      <c r="M634" s="174">
        <v>465</v>
      </c>
      <c r="N634" s="179">
        <v>211.02</v>
      </c>
      <c r="O634" s="174" t="s">
        <v>30</v>
      </c>
    </row>
    <row r="635" spans="1:15" s="174" customFormat="1" ht="35" hidden="1" customHeight="1">
      <c r="A635" s="174">
        <f>ROW()-3</f>
        <v>632</v>
      </c>
      <c r="B635" s="174" t="s">
        <v>1577</v>
      </c>
      <c r="C635" s="174" t="s">
        <v>2723</v>
      </c>
      <c r="D635" s="259" t="s">
        <v>1432</v>
      </c>
      <c r="E635" s="260" t="s">
        <v>1437</v>
      </c>
      <c r="F635" s="174" t="s">
        <v>5412</v>
      </c>
      <c r="G635" s="174" t="s">
        <v>1865</v>
      </c>
      <c r="H635" s="174" t="s">
        <v>1866</v>
      </c>
      <c r="I635" s="174" t="s">
        <v>29</v>
      </c>
      <c r="J635" s="174" t="s">
        <v>34</v>
      </c>
      <c r="K635" s="174" t="s">
        <v>154</v>
      </c>
      <c r="L635" s="177">
        <v>43447</v>
      </c>
      <c r="M635" s="174">
        <v>580</v>
      </c>
      <c r="N635" s="179">
        <v>139.05000000000001</v>
      </c>
      <c r="O635" s="174" t="s">
        <v>30</v>
      </c>
    </row>
    <row r="636" spans="1:15" s="174" customFormat="1" ht="35" hidden="1" customHeight="1">
      <c r="A636" s="174">
        <f>ROW()-3</f>
        <v>633</v>
      </c>
      <c r="B636" s="174" t="s">
        <v>1577</v>
      </c>
      <c r="C636" s="174" t="s">
        <v>2723</v>
      </c>
      <c r="D636" s="259" t="s">
        <v>706</v>
      </c>
      <c r="E636" s="260" t="s">
        <v>1471</v>
      </c>
      <c r="F636" s="174" t="s">
        <v>5413</v>
      </c>
      <c r="G636" s="174" t="s">
        <v>1867</v>
      </c>
      <c r="H636" s="174" t="s">
        <v>1868</v>
      </c>
      <c r="I636" s="174" t="s">
        <v>29</v>
      </c>
      <c r="J636" s="174" t="s">
        <v>34</v>
      </c>
      <c r="K636" s="174" t="s">
        <v>154</v>
      </c>
      <c r="L636" s="177">
        <v>43448</v>
      </c>
      <c r="M636" s="174">
        <v>958</v>
      </c>
      <c r="N636" s="179">
        <v>74.709999999999994</v>
      </c>
      <c r="O636" s="174" t="s">
        <v>30</v>
      </c>
    </row>
    <row r="637" spans="1:15" s="174" customFormat="1" ht="35" hidden="1" customHeight="1">
      <c r="A637" s="174">
        <f>ROW()-3</f>
        <v>634</v>
      </c>
      <c r="B637" s="174" t="s">
        <v>1577</v>
      </c>
      <c r="C637" s="174" t="s">
        <v>2723</v>
      </c>
      <c r="D637" s="259" t="s">
        <v>706</v>
      </c>
      <c r="E637" s="260" t="s">
        <v>1471</v>
      </c>
      <c r="F637" s="174" t="s">
        <v>1869</v>
      </c>
      <c r="G637" s="174" t="s">
        <v>1870</v>
      </c>
      <c r="H637" s="174" t="s">
        <v>1871</v>
      </c>
      <c r="I637" s="174" t="s">
        <v>29</v>
      </c>
      <c r="J637" s="174" t="s">
        <v>34</v>
      </c>
      <c r="K637" s="174" t="s">
        <v>154</v>
      </c>
      <c r="L637" s="177">
        <v>43452</v>
      </c>
      <c r="M637" s="174">
        <v>959</v>
      </c>
      <c r="N637" s="179">
        <v>54.67</v>
      </c>
      <c r="O637" s="174" t="s">
        <v>30</v>
      </c>
    </row>
    <row r="638" spans="1:15" s="174" customFormat="1" ht="35" hidden="1" customHeight="1">
      <c r="A638" s="174">
        <f>ROW()-3</f>
        <v>635</v>
      </c>
      <c r="B638" s="174" t="s">
        <v>1577</v>
      </c>
      <c r="C638" s="174" t="s">
        <v>2723</v>
      </c>
      <c r="D638" s="259" t="s">
        <v>1593</v>
      </c>
      <c r="E638" s="260" t="s">
        <v>382</v>
      </c>
      <c r="F638" s="174" t="s">
        <v>5414</v>
      </c>
      <c r="G638" s="174" t="s">
        <v>1872</v>
      </c>
      <c r="H638" s="174" t="s">
        <v>1873</v>
      </c>
      <c r="I638" s="174" t="s">
        <v>29</v>
      </c>
      <c r="J638" s="174" t="s">
        <v>34</v>
      </c>
      <c r="K638" s="174" t="s">
        <v>154</v>
      </c>
      <c r="L638" s="177">
        <v>43460</v>
      </c>
      <c r="M638" s="174">
        <v>440</v>
      </c>
      <c r="N638" s="179">
        <v>61.8</v>
      </c>
      <c r="O638" s="174" t="s">
        <v>30</v>
      </c>
    </row>
    <row r="639" spans="1:15" s="174" customFormat="1" ht="35" hidden="1" customHeight="1">
      <c r="A639" s="174">
        <f>ROW()-3</f>
        <v>636</v>
      </c>
      <c r="B639" s="174" t="s">
        <v>1577</v>
      </c>
      <c r="C639" s="174" t="s">
        <v>2723</v>
      </c>
      <c r="D639" s="259" t="s">
        <v>1593</v>
      </c>
      <c r="E639" s="259" t="s">
        <v>1594</v>
      </c>
      <c r="F639" s="174" t="s">
        <v>5415</v>
      </c>
      <c r="G639" s="174" t="s">
        <v>1874</v>
      </c>
      <c r="H639" s="174" t="s">
        <v>1875</v>
      </c>
      <c r="I639" s="174" t="s">
        <v>29</v>
      </c>
      <c r="J639" s="174" t="s">
        <v>34</v>
      </c>
      <c r="K639" s="174" t="s">
        <v>154</v>
      </c>
      <c r="L639" s="177">
        <v>43461</v>
      </c>
      <c r="M639" s="174">
        <v>42</v>
      </c>
      <c r="N639" s="179">
        <v>14.74</v>
      </c>
      <c r="O639" s="174" t="s">
        <v>20</v>
      </c>
    </row>
    <row r="640" spans="1:15" s="174" customFormat="1" ht="35" hidden="1" customHeight="1">
      <c r="A640" s="174">
        <f>ROW()-3</f>
        <v>637</v>
      </c>
      <c r="B640" s="174" t="s">
        <v>1577</v>
      </c>
      <c r="C640" s="174" t="s">
        <v>2723</v>
      </c>
      <c r="D640" s="259" t="s">
        <v>1441</v>
      </c>
      <c r="E640" s="259" t="s">
        <v>1441</v>
      </c>
      <c r="F640" s="174" t="s">
        <v>5416</v>
      </c>
      <c r="G640" s="174" t="s">
        <v>1876</v>
      </c>
      <c r="H640" s="174" t="s">
        <v>1877</v>
      </c>
      <c r="I640" s="174" t="s">
        <v>29</v>
      </c>
      <c r="J640" s="174" t="s">
        <v>34</v>
      </c>
      <c r="K640" s="174" t="s">
        <v>154</v>
      </c>
      <c r="L640" s="177">
        <v>43461</v>
      </c>
      <c r="M640" s="174">
        <v>41</v>
      </c>
      <c r="N640" s="179">
        <v>13.55</v>
      </c>
      <c r="O640" s="174" t="s">
        <v>20</v>
      </c>
    </row>
    <row r="641" spans="1:15" s="174" customFormat="1" ht="35" hidden="1" customHeight="1">
      <c r="A641" s="174">
        <f>ROW()-3</f>
        <v>638</v>
      </c>
      <c r="B641" s="174" t="s">
        <v>1577</v>
      </c>
      <c r="C641" s="174" t="s">
        <v>2723</v>
      </c>
      <c r="D641" s="174" t="s">
        <v>1578</v>
      </c>
      <c r="E641" s="174" t="s">
        <v>1878</v>
      </c>
      <c r="F641" s="174" t="s">
        <v>1879</v>
      </c>
      <c r="G641" s="174" t="s">
        <v>1880</v>
      </c>
      <c r="H641" s="174" t="s">
        <v>1829</v>
      </c>
      <c r="I641" s="174" t="s">
        <v>29</v>
      </c>
      <c r="J641" s="174" t="s">
        <v>34</v>
      </c>
      <c r="K641" s="174" t="s">
        <v>154</v>
      </c>
      <c r="L641" s="177">
        <v>43474</v>
      </c>
      <c r="M641" s="174">
        <v>19</v>
      </c>
      <c r="N641" s="179">
        <v>1.9</v>
      </c>
      <c r="O641" s="174" t="s">
        <v>20</v>
      </c>
    </row>
    <row r="642" spans="1:15" s="174" customFormat="1" ht="35" hidden="1" customHeight="1">
      <c r="A642" s="174">
        <f>ROW()-3</f>
        <v>639</v>
      </c>
      <c r="B642" s="174" t="s">
        <v>1577</v>
      </c>
      <c r="C642" s="174" t="s">
        <v>2723</v>
      </c>
      <c r="D642" s="174" t="s">
        <v>1578</v>
      </c>
      <c r="E642" s="174" t="s">
        <v>1881</v>
      </c>
      <c r="F642" s="174" t="s">
        <v>1882</v>
      </c>
      <c r="G642" s="174" t="s">
        <v>1883</v>
      </c>
      <c r="H642" s="174" t="s">
        <v>1829</v>
      </c>
      <c r="I642" s="174" t="s">
        <v>29</v>
      </c>
      <c r="J642" s="174" t="s">
        <v>34</v>
      </c>
      <c r="K642" s="174" t="s">
        <v>154</v>
      </c>
      <c r="L642" s="177">
        <v>43474</v>
      </c>
      <c r="M642" s="174">
        <v>14</v>
      </c>
      <c r="N642" s="179">
        <v>4.3499999999999996</v>
      </c>
      <c r="O642" s="174" t="s">
        <v>20</v>
      </c>
    </row>
    <row r="643" spans="1:15" s="174" customFormat="1" ht="35" hidden="1" customHeight="1">
      <c r="A643" s="174">
        <f>ROW()-3</f>
        <v>640</v>
      </c>
      <c r="B643" s="174" t="s">
        <v>1577</v>
      </c>
      <c r="C643" s="174" t="s">
        <v>2723</v>
      </c>
      <c r="D643" s="174" t="s">
        <v>1578</v>
      </c>
      <c r="E643" s="174" t="s">
        <v>1884</v>
      </c>
      <c r="F643" s="174" t="s">
        <v>1885</v>
      </c>
      <c r="G643" s="174" t="s">
        <v>1886</v>
      </c>
      <c r="H643" s="174" t="s">
        <v>1887</v>
      </c>
      <c r="I643" s="174" t="s">
        <v>29</v>
      </c>
      <c r="J643" s="174" t="s">
        <v>34</v>
      </c>
      <c r="K643" s="174" t="s">
        <v>154</v>
      </c>
      <c r="L643" s="177">
        <v>43474</v>
      </c>
      <c r="M643" s="174">
        <v>91</v>
      </c>
      <c r="N643" s="179">
        <v>4.5999999999999996</v>
      </c>
      <c r="O643" s="174" t="s">
        <v>20</v>
      </c>
    </row>
    <row r="644" spans="1:15" s="174" customFormat="1" ht="35" hidden="1" customHeight="1">
      <c r="A644" s="174">
        <f>ROW()-3</f>
        <v>641</v>
      </c>
      <c r="B644" s="174" t="s">
        <v>1577</v>
      </c>
      <c r="C644" s="174" t="s">
        <v>2723</v>
      </c>
      <c r="D644" s="174" t="s">
        <v>1578</v>
      </c>
      <c r="E644" s="174" t="s">
        <v>1823</v>
      </c>
      <c r="F644" s="174" t="s">
        <v>1888</v>
      </c>
      <c r="G644" s="174" t="s">
        <v>1889</v>
      </c>
      <c r="H644" s="174" t="s">
        <v>1890</v>
      </c>
      <c r="I644" s="174" t="s">
        <v>29</v>
      </c>
      <c r="J644" s="174" t="s">
        <v>34</v>
      </c>
      <c r="K644" s="174" t="s">
        <v>154</v>
      </c>
      <c r="L644" s="177">
        <v>43494</v>
      </c>
      <c r="M644" s="174">
        <v>16</v>
      </c>
      <c r="N644" s="179">
        <v>2.77</v>
      </c>
      <c r="O644" s="174" t="s">
        <v>20</v>
      </c>
    </row>
    <row r="645" spans="1:15" s="174" customFormat="1" ht="35" hidden="1" customHeight="1">
      <c r="A645" s="174">
        <f>ROW()-3</f>
        <v>642</v>
      </c>
      <c r="B645" s="174" t="s">
        <v>1577</v>
      </c>
      <c r="C645" s="174" t="s">
        <v>2723</v>
      </c>
      <c r="D645" s="259" t="s">
        <v>706</v>
      </c>
      <c r="E645" s="260" t="s">
        <v>1429</v>
      </c>
      <c r="F645" s="174" t="s">
        <v>5417</v>
      </c>
      <c r="G645" s="174" t="s">
        <v>1891</v>
      </c>
      <c r="H645" s="174" t="s">
        <v>82</v>
      </c>
      <c r="I645" s="174" t="s">
        <v>17</v>
      </c>
      <c r="J645" s="174" t="s">
        <v>34</v>
      </c>
      <c r="K645" s="174" t="s">
        <v>154</v>
      </c>
      <c r="L645" s="177">
        <v>43570</v>
      </c>
      <c r="M645" s="174">
        <v>6</v>
      </c>
      <c r="N645" s="179">
        <v>3.69</v>
      </c>
      <c r="O645" s="174" t="s">
        <v>20</v>
      </c>
    </row>
    <row r="646" spans="1:15" s="174" customFormat="1" ht="35" hidden="1" customHeight="1">
      <c r="A646" s="174">
        <f>ROW()-3</f>
        <v>643</v>
      </c>
      <c r="B646" s="174" t="s">
        <v>1577</v>
      </c>
      <c r="C646" s="174" t="s">
        <v>2723</v>
      </c>
      <c r="D646" s="174" t="s">
        <v>1578</v>
      </c>
      <c r="E646" s="174" t="s">
        <v>1826</v>
      </c>
      <c r="F646" s="174" t="s">
        <v>1892</v>
      </c>
      <c r="G646" s="174" t="s">
        <v>1893</v>
      </c>
      <c r="H646" s="174" t="s">
        <v>1829</v>
      </c>
      <c r="I646" s="174" t="s">
        <v>29</v>
      </c>
      <c r="J646" s="174" t="s">
        <v>34</v>
      </c>
      <c r="K646" s="174" t="s">
        <v>154</v>
      </c>
      <c r="L646" s="177">
        <v>43572</v>
      </c>
      <c r="M646" s="174">
        <v>7</v>
      </c>
      <c r="N646" s="179">
        <v>2.4900000000000002</v>
      </c>
      <c r="O646" s="174" t="s">
        <v>20</v>
      </c>
    </row>
    <row r="647" spans="1:15" s="174" customFormat="1" ht="35" hidden="1" customHeight="1">
      <c r="A647" s="174">
        <f>ROW()-3</f>
        <v>644</v>
      </c>
      <c r="B647" s="174" t="s">
        <v>1577</v>
      </c>
      <c r="C647" s="174" t="s">
        <v>2723</v>
      </c>
      <c r="D647" s="174" t="s">
        <v>1578</v>
      </c>
      <c r="E647" s="174" t="s">
        <v>1884</v>
      </c>
      <c r="F647" s="174" t="s">
        <v>1894</v>
      </c>
      <c r="G647" s="174" t="s">
        <v>1895</v>
      </c>
      <c r="H647" s="174" t="s">
        <v>1829</v>
      </c>
      <c r="I647" s="174" t="s">
        <v>29</v>
      </c>
      <c r="J647" s="174" t="s">
        <v>34</v>
      </c>
      <c r="K647" s="174" t="s">
        <v>154</v>
      </c>
      <c r="L647" s="177">
        <v>43572</v>
      </c>
      <c r="M647" s="174">
        <v>15</v>
      </c>
      <c r="N647" s="179">
        <v>1.77</v>
      </c>
      <c r="O647" s="174" t="s">
        <v>20</v>
      </c>
    </row>
    <row r="648" spans="1:15" s="174" customFormat="1" ht="35" hidden="1" customHeight="1">
      <c r="A648" s="174">
        <f>ROW()-3</f>
        <v>645</v>
      </c>
      <c r="B648" s="174" t="s">
        <v>1577</v>
      </c>
      <c r="C648" s="174" t="s">
        <v>2723</v>
      </c>
      <c r="D648" s="174" t="s">
        <v>1578</v>
      </c>
      <c r="E648" s="174" t="s">
        <v>1826</v>
      </c>
      <c r="F648" s="174" t="s">
        <v>1896</v>
      </c>
      <c r="G648" s="174" t="s">
        <v>1897</v>
      </c>
      <c r="H648" s="174" t="s">
        <v>1898</v>
      </c>
      <c r="I648" s="174" t="s">
        <v>29</v>
      </c>
      <c r="J648" s="174" t="s">
        <v>34</v>
      </c>
      <c r="K648" s="174" t="s">
        <v>154</v>
      </c>
      <c r="L648" s="177">
        <v>43573</v>
      </c>
      <c r="M648" s="174">
        <v>63</v>
      </c>
      <c r="N648" s="179">
        <v>8.25</v>
      </c>
      <c r="O648" s="174" t="s">
        <v>20</v>
      </c>
    </row>
    <row r="649" spans="1:15" s="174" customFormat="1" ht="35" hidden="1" customHeight="1">
      <c r="A649" s="174">
        <f>ROW()-3</f>
        <v>646</v>
      </c>
      <c r="B649" s="174" t="s">
        <v>1577</v>
      </c>
      <c r="C649" s="174" t="s">
        <v>2723</v>
      </c>
      <c r="D649" s="174" t="s">
        <v>1578</v>
      </c>
      <c r="E649" s="174" t="s">
        <v>1884</v>
      </c>
      <c r="F649" s="174" t="s">
        <v>1899</v>
      </c>
      <c r="G649" s="174" t="s">
        <v>1900</v>
      </c>
      <c r="H649" s="174" t="s">
        <v>1901</v>
      </c>
      <c r="I649" s="174" t="s">
        <v>29</v>
      </c>
      <c r="J649" s="174" t="s">
        <v>34</v>
      </c>
      <c r="K649" s="174" t="s">
        <v>154</v>
      </c>
      <c r="L649" s="177">
        <v>43573</v>
      </c>
      <c r="M649" s="174">
        <v>16</v>
      </c>
      <c r="N649" s="179">
        <v>1.27</v>
      </c>
      <c r="O649" s="174" t="s">
        <v>20</v>
      </c>
    </row>
    <row r="650" spans="1:15" s="174" customFormat="1" ht="35" hidden="1" customHeight="1">
      <c r="A650" s="174">
        <f>ROW()-3</f>
        <v>647</v>
      </c>
      <c r="B650" s="174" t="s">
        <v>1577</v>
      </c>
      <c r="C650" s="174" t="s">
        <v>2723</v>
      </c>
      <c r="D650" s="174" t="s">
        <v>1578</v>
      </c>
      <c r="E650" s="174" t="s">
        <v>1884</v>
      </c>
      <c r="F650" s="174" t="s">
        <v>1902</v>
      </c>
      <c r="G650" s="174" t="s">
        <v>1903</v>
      </c>
      <c r="H650" s="174" t="s">
        <v>1904</v>
      </c>
      <c r="I650" s="174" t="s">
        <v>29</v>
      </c>
      <c r="J650" s="174" t="s">
        <v>34</v>
      </c>
      <c r="K650" s="174" t="s">
        <v>154</v>
      </c>
      <c r="L650" s="177">
        <v>43655</v>
      </c>
      <c r="M650" s="174">
        <v>25</v>
      </c>
      <c r="N650" s="179">
        <v>3.58</v>
      </c>
      <c r="O650" s="174" t="s">
        <v>20</v>
      </c>
    </row>
    <row r="651" spans="1:15" s="174" customFormat="1" ht="35" hidden="1" customHeight="1">
      <c r="A651" s="174">
        <f>ROW()-3</f>
        <v>648</v>
      </c>
      <c r="B651" s="174" t="s">
        <v>1577</v>
      </c>
      <c r="C651" s="174" t="s">
        <v>2723</v>
      </c>
      <c r="D651" s="259" t="s">
        <v>1593</v>
      </c>
      <c r="E651" s="259" t="s">
        <v>382</v>
      </c>
      <c r="F651" s="174" t="s">
        <v>5439</v>
      </c>
      <c r="G651" s="174" t="s">
        <v>1905</v>
      </c>
      <c r="H651" s="174" t="s">
        <v>1906</v>
      </c>
      <c r="I651" s="174" t="s">
        <v>29</v>
      </c>
      <c r="J651" s="174" t="s">
        <v>34</v>
      </c>
      <c r="K651" s="174" t="s">
        <v>154</v>
      </c>
      <c r="L651" s="177">
        <v>43668</v>
      </c>
      <c r="M651" s="174">
        <v>21</v>
      </c>
      <c r="N651" s="179">
        <v>4.3600000000000003</v>
      </c>
      <c r="O651" s="174" t="s">
        <v>20</v>
      </c>
    </row>
    <row r="652" spans="1:15" s="174" customFormat="1" ht="35" hidden="1" customHeight="1">
      <c r="A652" s="174">
        <f>ROW()-3</f>
        <v>649</v>
      </c>
      <c r="B652" s="174" t="s">
        <v>1577</v>
      </c>
      <c r="C652" s="174" t="s">
        <v>2723</v>
      </c>
      <c r="D652" s="259" t="s">
        <v>1432</v>
      </c>
      <c r="E652" s="260" t="s">
        <v>1437</v>
      </c>
      <c r="F652" s="174" t="s">
        <v>5440</v>
      </c>
      <c r="G652" s="174" t="s">
        <v>1907</v>
      </c>
      <c r="H652" s="174" t="s">
        <v>1908</v>
      </c>
      <c r="I652" s="174" t="s">
        <v>29</v>
      </c>
      <c r="J652" s="174" t="s">
        <v>34</v>
      </c>
      <c r="K652" s="174" t="s">
        <v>154</v>
      </c>
      <c r="L652" s="177">
        <v>43672</v>
      </c>
      <c r="M652" s="174">
        <v>89</v>
      </c>
      <c r="N652" s="179">
        <v>52.88</v>
      </c>
      <c r="O652" s="174" t="s">
        <v>30</v>
      </c>
    </row>
    <row r="653" spans="1:15" s="174" customFormat="1" ht="35" hidden="1" customHeight="1">
      <c r="A653" s="174">
        <f>ROW()-3</f>
        <v>650</v>
      </c>
      <c r="B653" s="174" t="s">
        <v>1577</v>
      </c>
      <c r="C653" s="174" t="s">
        <v>2723</v>
      </c>
      <c r="D653" s="259" t="s">
        <v>706</v>
      </c>
      <c r="E653" s="260" t="s">
        <v>1429</v>
      </c>
      <c r="F653" s="174" t="s">
        <v>5441</v>
      </c>
      <c r="G653" s="174" t="s">
        <v>1910</v>
      </c>
      <c r="H653" s="174" t="s">
        <v>1909</v>
      </c>
      <c r="I653" s="174" t="s">
        <v>29</v>
      </c>
      <c r="J653" s="174" t="s">
        <v>34</v>
      </c>
      <c r="K653" s="174" t="s">
        <v>154</v>
      </c>
      <c r="L653" s="177">
        <v>43673</v>
      </c>
      <c r="M653" s="174">
        <v>350</v>
      </c>
      <c r="N653" s="179">
        <v>82.37</v>
      </c>
      <c r="O653" s="174" t="s">
        <v>30</v>
      </c>
    </row>
    <row r="654" spans="1:15" s="174" customFormat="1" ht="35" hidden="1" customHeight="1">
      <c r="A654" s="174">
        <f>ROW()-3</f>
        <v>651</v>
      </c>
      <c r="B654" s="174" t="s">
        <v>1577</v>
      </c>
      <c r="C654" s="174" t="s">
        <v>2723</v>
      </c>
      <c r="D654" s="174" t="s">
        <v>1578</v>
      </c>
      <c r="E654" s="174" t="s">
        <v>1826</v>
      </c>
      <c r="F654" s="174" t="s">
        <v>1911</v>
      </c>
      <c r="G654" s="174" t="s">
        <v>1912</v>
      </c>
      <c r="H654" s="174" t="s">
        <v>1913</v>
      </c>
      <c r="I654" s="174" t="s">
        <v>29</v>
      </c>
      <c r="J654" s="174" t="s">
        <v>34</v>
      </c>
      <c r="K654" s="174" t="s">
        <v>154</v>
      </c>
      <c r="L654" s="177">
        <v>43673</v>
      </c>
      <c r="M654" s="174">
        <v>17</v>
      </c>
      <c r="N654" s="179">
        <v>1.88</v>
      </c>
      <c r="O654" s="174" t="s">
        <v>20</v>
      </c>
    </row>
    <row r="655" spans="1:15" s="174" customFormat="1" ht="35" hidden="1" customHeight="1">
      <c r="A655" s="174">
        <f>ROW()-3</f>
        <v>652</v>
      </c>
      <c r="B655" s="174" t="s">
        <v>1577</v>
      </c>
      <c r="C655" s="174" t="s">
        <v>2723</v>
      </c>
      <c r="D655" s="174" t="s">
        <v>1578</v>
      </c>
      <c r="E655" s="174" t="s">
        <v>1881</v>
      </c>
      <c r="F655" s="174" t="s">
        <v>1914</v>
      </c>
      <c r="G655" s="174" t="s">
        <v>1915</v>
      </c>
      <c r="H655" s="174" t="s">
        <v>1913</v>
      </c>
      <c r="I655" s="174" t="s">
        <v>29</v>
      </c>
      <c r="J655" s="174" t="s">
        <v>34</v>
      </c>
      <c r="K655" s="174" t="s">
        <v>154</v>
      </c>
      <c r="L655" s="177">
        <v>43673</v>
      </c>
      <c r="M655" s="174">
        <v>6</v>
      </c>
      <c r="N655" s="179">
        <v>1.44</v>
      </c>
      <c r="O655" s="174" t="s">
        <v>20</v>
      </c>
    </row>
    <row r="656" spans="1:15" s="174" customFormat="1" ht="35" hidden="1" customHeight="1">
      <c r="A656" s="174">
        <f>ROW()-3</f>
        <v>653</v>
      </c>
      <c r="B656" s="174" t="s">
        <v>1577</v>
      </c>
      <c r="C656" s="174" t="s">
        <v>2723</v>
      </c>
      <c r="D656" s="174" t="s">
        <v>1578</v>
      </c>
      <c r="E656" s="174" t="s">
        <v>1881</v>
      </c>
      <c r="F656" s="174" t="s">
        <v>1916</v>
      </c>
      <c r="G656" s="174" t="s">
        <v>1917</v>
      </c>
      <c r="H656" s="174" t="s">
        <v>1918</v>
      </c>
      <c r="I656" s="174" t="s">
        <v>29</v>
      </c>
      <c r="J656" s="174" t="s">
        <v>34</v>
      </c>
      <c r="K656" s="174" t="s">
        <v>154</v>
      </c>
      <c r="L656" s="177">
        <v>43673</v>
      </c>
      <c r="M656" s="174">
        <v>51</v>
      </c>
      <c r="N656" s="179">
        <v>46</v>
      </c>
      <c r="O656" s="174" t="s">
        <v>20</v>
      </c>
    </row>
    <row r="657" spans="1:15" s="174" customFormat="1" ht="35" hidden="1" customHeight="1">
      <c r="A657" s="174">
        <f>ROW()-3</f>
        <v>654</v>
      </c>
      <c r="B657" s="174" t="s">
        <v>1577</v>
      </c>
      <c r="C657" s="174" t="s">
        <v>2723</v>
      </c>
      <c r="D657" s="174" t="s">
        <v>1578</v>
      </c>
      <c r="E657" s="174" t="s">
        <v>1884</v>
      </c>
      <c r="F657" s="174" t="s">
        <v>1919</v>
      </c>
      <c r="G657" s="174" t="s">
        <v>1920</v>
      </c>
      <c r="H657" s="174" t="s">
        <v>1898</v>
      </c>
      <c r="I657" s="174" t="s">
        <v>29</v>
      </c>
      <c r="J657" s="174" t="s">
        <v>34</v>
      </c>
      <c r="K657" s="174" t="s">
        <v>154</v>
      </c>
      <c r="L657" s="177">
        <v>43673</v>
      </c>
      <c r="M657" s="174">
        <v>26</v>
      </c>
      <c r="N657" s="179">
        <v>3.86</v>
      </c>
      <c r="O657" s="174" t="s">
        <v>20</v>
      </c>
    </row>
    <row r="658" spans="1:15" s="174" customFormat="1" ht="35" hidden="1" customHeight="1">
      <c r="A658" s="174">
        <f>ROW()-3</f>
        <v>655</v>
      </c>
      <c r="B658" s="174" t="s">
        <v>1577</v>
      </c>
      <c r="C658" s="174" t="s">
        <v>2723</v>
      </c>
      <c r="D658" s="174" t="s">
        <v>1578</v>
      </c>
      <c r="E658" s="174" t="s">
        <v>1884</v>
      </c>
      <c r="F658" s="174" t="s">
        <v>1921</v>
      </c>
      <c r="G658" s="174" t="s">
        <v>1922</v>
      </c>
      <c r="H658" s="174" t="s">
        <v>1901</v>
      </c>
      <c r="I658" s="174" t="s">
        <v>29</v>
      </c>
      <c r="J658" s="174" t="s">
        <v>34</v>
      </c>
      <c r="K658" s="174" t="s">
        <v>154</v>
      </c>
      <c r="L658" s="177">
        <v>43673</v>
      </c>
      <c r="M658" s="174">
        <v>9</v>
      </c>
      <c r="N658" s="179">
        <v>0.48</v>
      </c>
      <c r="O658" s="174" t="s">
        <v>20</v>
      </c>
    </row>
    <row r="659" spans="1:15" s="174" customFormat="1" ht="35" hidden="1" customHeight="1">
      <c r="A659" s="174">
        <f>ROW()-3</f>
        <v>656</v>
      </c>
      <c r="B659" s="174" t="s">
        <v>1577</v>
      </c>
      <c r="C659" s="174" t="s">
        <v>2723</v>
      </c>
      <c r="D659" s="174" t="s">
        <v>1578</v>
      </c>
      <c r="E659" s="174" t="s">
        <v>1884</v>
      </c>
      <c r="F659" s="174" t="s">
        <v>1923</v>
      </c>
      <c r="G659" s="174" t="s">
        <v>1924</v>
      </c>
      <c r="H659" s="174" t="s">
        <v>1925</v>
      </c>
      <c r="I659" s="174" t="s">
        <v>29</v>
      </c>
      <c r="J659" s="174" t="s">
        <v>34</v>
      </c>
      <c r="K659" s="174" t="s">
        <v>154</v>
      </c>
      <c r="L659" s="177">
        <v>43673</v>
      </c>
      <c r="M659" s="174">
        <v>100</v>
      </c>
      <c r="N659" s="179">
        <v>9.5299999999999994</v>
      </c>
      <c r="O659" s="174" t="s">
        <v>20</v>
      </c>
    </row>
    <row r="660" spans="1:15" s="174" customFormat="1" ht="35" hidden="1" customHeight="1">
      <c r="A660" s="174">
        <f>ROW()-3</f>
        <v>657</v>
      </c>
      <c r="B660" s="174" t="s">
        <v>1577</v>
      </c>
      <c r="C660" s="174" t="s">
        <v>2723</v>
      </c>
      <c r="D660" s="174" t="s">
        <v>1578</v>
      </c>
      <c r="E660" s="174" t="s">
        <v>1884</v>
      </c>
      <c r="F660" s="174" t="s">
        <v>1926</v>
      </c>
      <c r="G660" s="174" t="s">
        <v>1927</v>
      </c>
      <c r="H660" s="174" t="s">
        <v>1928</v>
      </c>
      <c r="I660" s="174" t="s">
        <v>29</v>
      </c>
      <c r="J660" s="174" t="s">
        <v>34</v>
      </c>
      <c r="K660" s="174" t="s">
        <v>154</v>
      </c>
      <c r="L660" s="177">
        <v>43673</v>
      </c>
      <c r="M660" s="174">
        <v>166</v>
      </c>
      <c r="N660" s="179">
        <v>14.52</v>
      </c>
      <c r="O660" s="174" t="s">
        <v>20</v>
      </c>
    </row>
    <row r="661" spans="1:15" s="174" customFormat="1" ht="35" hidden="1" customHeight="1">
      <c r="A661" s="174">
        <f>ROW()-3</f>
        <v>658</v>
      </c>
      <c r="B661" s="174" t="s">
        <v>1577</v>
      </c>
      <c r="C661" s="174" t="s">
        <v>2723</v>
      </c>
      <c r="D661" s="174" t="s">
        <v>1578</v>
      </c>
      <c r="E661" s="174" t="s">
        <v>1884</v>
      </c>
      <c r="F661" s="174" t="s">
        <v>1929</v>
      </c>
      <c r="G661" s="174" t="s">
        <v>1930</v>
      </c>
      <c r="H661" s="174" t="s">
        <v>1901</v>
      </c>
      <c r="I661" s="174" t="s">
        <v>29</v>
      </c>
      <c r="J661" s="174" t="s">
        <v>34</v>
      </c>
      <c r="K661" s="174" t="s">
        <v>154</v>
      </c>
      <c r="L661" s="177">
        <v>43673</v>
      </c>
      <c r="M661" s="174">
        <v>11</v>
      </c>
      <c r="N661" s="179">
        <v>6.74</v>
      </c>
      <c r="O661" s="174" t="s">
        <v>20</v>
      </c>
    </row>
    <row r="662" spans="1:15" s="174" customFormat="1" ht="35" hidden="1" customHeight="1">
      <c r="A662" s="174">
        <f>ROW()-3</f>
        <v>659</v>
      </c>
      <c r="B662" s="174" t="s">
        <v>1577</v>
      </c>
      <c r="C662" s="174" t="s">
        <v>2723</v>
      </c>
      <c r="D662" s="174" t="s">
        <v>1578</v>
      </c>
      <c r="E662" s="174" t="s">
        <v>1884</v>
      </c>
      <c r="F662" s="174" t="s">
        <v>1931</v>
      </c>
      <c r="G662" s="174" t="s">
        <v>1932</v>
      </c>
      <c r="H662" s="174" t="s">
        <v>1829</v>
      </c>
      <c r="I662" s="174" t="s">
        <v>29</v>
      </c>
      <c r="J662" s="174" t="s">
        <v>34</v>
      </c>
      <c r="K662" s="174" t="s">
        <v>154</v>
      </c>
      <c r="L662" s="177">
        <v>43673</v>
      </c>
      <c r="M662" s="174">
        <v>110</v>
      </c>
      <c r="N662" s="179">
        <v>12.6</v>
      </c>
      <c r="O662" s="174" t="s">
        <v>30</v>
      </c>
    </row>
    <row r="663" spans="1:15" s="174" customFormat="1" ht="35" hidden="1" customHeight="1">
      <c r="A663" s="174">
        <f>ROW()-3</f>
        <v>660</v>
      </c>
      <c r="B663" s="174" t="s">
        <v>1577</v>
      </c>
      <c r="C663" s="174" t="s">
        <v>2723</v>
      </c>
      <c r="D663" s="174" t="s">
        <v>1578</v>
      </c>
      <c r="E663" s="174" t="s">
        <v>1884</v>
      </c>
      <c r="F663" s="174" t="s">
        <v>1933</v>
      </c>
      <c r="G663" s="174" t="s">
        <v>1934</v>
      </c>
      <c r="H663" s="174" t="s">
        <v>1901</v>
      </c>
      <c r="I663" s="174" t="s">
        <v>29</v>
      </c>
      <c r="J663" s="174" t="s">
        <v>34</v>
      </c>
      <c r="K663" s="174" t="s">
        <v>154</v>
      </c>
      <c r="L663" s="177">
        <v>43673</v>
      </c>
      <c r="M663" s="174">
        <v>16</v>
      </c>
      <c r="N663" s="179">
        <v>3.4</v>
      </c>
      <c r="O663" s="174" t="s">
        <v>20</v>
      </c>
    </row>
    <row r="664" spans="1:15" s="174" customFormat="1" ht="35" hidden="1" customHeight="1">
      <c r="A664" s="174">
        <f>ROW()-3</f>
        <v>661</v>
      </c>
      <c r="B664" s="174" t="s">
        <v>1577</v>
      </c>
      <c r="C664" s="174" t="s">
        <v>2723</v>
      </c>
      <c r="D664" s="174" t="s">
        <v>1578</v>
      </c>
      <c r="E664" s="174" t="s">
        <v>1884</v>
      </c>
      <c r="F664" s="174" t="s">
        <v>1935</v>
      </c>
      <c r="G664" s="174" t="s">
        <v>1936</v>
      </c>
      <c r="H664" s="174" t="s">
        <v>1901</v>
      </c>
      <c r="I664" s="174" t="s">
        <v>29</v>
      </c>
      <c r="J664" s="174" t="s">
        <v>34</v>
      </c>
      <c r="K664" s="174" t="s">
        <v>154</v>
      </c>
      <c r="L664" s="177">
        <v>43673</v>
      </c>
      <c r="M664" s="174">
        <v>33</v>
      </c>
      <c r="N664" s="179">
        <v>2.76</v>
      </c>
      <c r="O664" s="174" t="s">
        <v>20</v>
      </c>
    </row>
    <row r="665" spans="1:15" s="174" customFormat="1" ht="35" hidden="1" customHeight="1">
      <c r="A665" s="174">
        <f>ROW()-3</f>
        <v>662</v>
      </c>
      <c r="B665" s="174" t="s">
        <v>1577</v>
      </c>
      <c r="C665" s="174" t="s">
        <v>2723</v>
      </c>
      <c r="D665" s="174" t="s">
        <v>1578</v>
      </c>
      <c r="E665" s="174" t="s">
        <v>1884</v>
      </c>
      <c r="F665" s="174" t="s">
        <v>1937</v>
      </c>
      <c r="G665" s="174" t="s">
        <v>1938</v>
      </c>
      <c r="H665" s="174" t="s">
        <v>1901</v>
      </c>
      <c r="I665" s="174" t="s">
        <v>29</v>
      </c>
      <c r="J665" s="174" t="s">
        <v>34</v>
      </c>
      <c r="K665" s="174" t="s">
        <v>154</v>
      </c>
      <c r="L665" s="177">
        <v>43673</v>
      </c>
      <c r="M665" s="174">
        <v>114</v>
      </c>
      <c r="N665" s="179">
        <v>14.7</v>
      </c>
      <c r="O665" s="174" t="s">
        <v>20</v>
      </c>
    </row>
    <row r="666" spans="1:15" s="174" customFormat="1" ht="35" hidden="1" customHeight="1">
      <c r="A666" s="174">
        <f>ROW()-3</f>
        <v>663</v>
      </c>
      <c r="B666" s="174" t="s">
        <v>1577</v>
      </c>
      <c r="C666" s="174" t="s">
        <v>2723</v>
      </c>
      <c r="D666" s="174" t="s">
        <v>1578</v>
      </c>
      <c r="E666" s="174" t="s">
        <v>1884</v>
      </c>
      <c r="F666" s="174" t="s">
        <v>1939</v>
      </c>
      <c r="G666" s="174" t="s">
        <v>1940</v>
      </c>
      <c r="H666" s="174" t="s">
        <v>1829</v>
      </c>
      <c r="I666" s="174" t="s">
        <v>29</v>
      </c>
      <c r="J666" s="174" t="s">
        <v>34</v>
      </c>
      <c r="K666" s="174" t="s">
        <v>154</v>
      </c>
      <c r="L666" s="177">
        <v>43673</v>
      </c>
      <c r="M666" s="174">
        <v>58</v>
      </c>
      <c r="N666" s="179">
        <v>11.84</v>
      </c>
      <c r="O666" s="174" t="s">
        <v>20</v>
      </c>
    </row>
    <row r="667" spans="1:15" s="174" customFormat="1" ht="35" hidden="1" customHeight="1">
      <c r="A667" s="174">
        <f>ROW()-3</f>
        <v>664</v>
      </c>
      <c r="B667" s="174" t="s">
        <v>1577</v>
      </c>
      <c r="C667" s="174" t="s">
        <v>2723</v>
      </c>
      <c r="D667" s="174" t="s">
        <v>1578</v>
      </c>
      <c r="E667" s="174" t="s">
        <v>1884</v>
      </c>
      <c r="F667" s="174" t="s">
        <v>1941</v>
      </c>
      <c r="G667" s="174" t="s">
        <v>1942</v>
      </c>
      <c r="H667" s="174" t="s">
        <v>1829</v>
      </c>
      <c r="I667" s="174" t="s">
        <v>29</v>
      </c>
      <c r="J667" s="174" t="s">
        <v>34</v>
      </c>
      <c r="K667" s="174" t="s">
        <v>154</v>
      </c>
      <c r="L667" s="177">
        <v>43673</v>
      </c>
      <c r="M667" s="174">
        <v>20</v>
      </c>
      <c r="N667" s="179">
        <v>3.21</v>
      </c>
      <c r="O667" s="174" t="s">
        <v>20</v>
      </c>
    </row>
    <row r="668" spans="1:15" s="174" customFormat="1" ht="35" hidden="1" customHeight="1">
      <c r="A668" s="174">
        <f>ROW()-3</f>
        <v>665</v>
      </c>
      <c r="B668" s="174" t="s">
        <v>1577</v>
      </c>
      <c r="C668" s="174" t="s">
        <v>2723</v>
      </c>
      <c r="D668" s="174" t="s">
        <v>1578</v>
      </c>
      <c r="E668" s="174" t="s">
        <v>1943</v>
      </c>
      <c r="F668" s="174" t="s">
        <v>1944</v>
      </c>
      <c r="G668" s="174" t="s">
        <v>1945</v>
      </c>
      <c r="H668" s="174" t="s">
        <v>1829</v>
      </c>
      <c r="I668" s="174" t="s">
        <v>29</v>
      </c>
      <c r="J668" s="174" t="s">
        <v>34</v>
      </c>
      <c r="K668" s="174" t="s">
        <v>154</v>
      </c>
      <c r="L668" s="177">
        <v>43673</v>
      </c>
      <c r="M668" s="174">
        <v>39</v>
      </c>
      <c r="N668" s="179">
        <v>4.0599999999999996</v>
      </c>
      <c r="O668" s="174" t="s">
        <v>30</v>
      </c>
    </row>
    <row r="669" spans="1:15" s="174" customFormat="1" ht="35" hidden="1" customHeight="1">
      <c r="A669" s="174">
        <f>ROW()-3</f>
        <v>666</v>
      </c>
      <c r="B669" s="174" t="s">
        <v>1577</v>
      </c>
      <c r="C669" s="174" t="s">
        <v>2723</v>
      </c>
      <c r="D669" s="174" t="s">
        <v>1578</v>
      </c>
      <c r="E669" s="174" t="s">
        <v>1943</v>
      </c>
      <c r="F669" s="174" t="s">
        <v>1946</v>
      </c>
      <c r="G669" s="174" t="s">
        <v>1947</v>
      </c>
      <c r="H669" s="174" t="s">
        <v>1829</v>
      </c>
      <c r="I669" s="174" t="s">
        <v>29</v>
      </c>
      <c r="J669" s="174" t="s">
        <v>34</v>
      </c>
      <c r="K669" s="174" t="s">
        <v>154</v>
      </c>
      <c r="L669" s="177">
        <v>43673</v>
      </c>
      <c r="M669" s="174">
        <v>17</v>
      </c>
      <c r="N669" s="179">
        <v>1.24</v>
      </c>
      <c r="O669" s="174" t="s">
        <v>20</v>
      </c>
    </row>
    <row r="670" spans="1:15" s="174" customFormat="1" ht="35" hidden="1" customHeight="1">
      <c r="A670" s="174">
        <f>ROW()-3</f>
        <v>667</v>
      </c>
      <c r="B670" s="174" t="s">
        <v>1577</v>
      </c>
      <c r="C670" s="174" t="s">
        <v>2723</v>
      </c>
      <c r="D670" s="174" t="s">
        <v>1578</v>
      </c>
      <c r="E670" s="174" t="s">
        <v>1943</v>
      </c>
      <c r="F670" s="174" t="s">
        <v>1948</v>
      </c>
      <c r="G670" s="174" t="s">
        <v>1949</v>
      </c>
      <c r="H670" s="174" t="s">
        <v>1829</v>
      </c>
      <c r="I670" s="174" t="s">
        <v>29</v>
      </c>
      <c r="J670" s="174" t="s">
        <v>34</v>
      </c>
      <c r="K670" s="174" t="s">
        <v>154</v>
      </c>
      <c r="L670" s="177">
        <v>43673</v>
      </c>
      <c r="M670" s="174">
        <v>10</v>
      </c>
      <c r="N670" s="179">
        <v>1.1000000000000001</v>
      </c>
      <c r="O670" s="174" t="s">
        <v>20</v>
      </c>
    </row>
    <row r="671" spans="1:15" s="174" customFormat="1" ht="35" hidden="1" customHeight="1">
      <c r="A671" s="174">
        <f>ROW()-3</f>
        <v>668</v>
      </c>
      <c r="B671" s="174" t="s">
        <v>1577</v>
      </c>
      <c r="C671" s="174" t="s">
        <v>2723</v>
      </c>
      <c r="D671" s="174" t="s">
        <v>1578</v>
      </c>
      <c r="E671" s="174" t="s">
        <v>1943</v>
      </c>
      <c r="F671" s="174" t="s">
        <v>1950</v>
      </c>
      <c r="G671" s="174" t="s">
        <v>1951</v>
      </c>
      <c r="H671" s="174" t="s">
        <v>1829</v>
      </c>
      <c r="I671" s="174" t="s">
        <v>29</v>
      </c>
      <c r="J671" s="174" t="s">
        <v>34</v>
      </c>
      <c r="K671" s="174" t="s">
        <v>154</v>
      </c>
      <c r="L671" s="177">
        <v>43673</v>
      </c>
      <c r="M671" s="174">
        <v>16</v>
      </c>
      <c r="N671" s="179">
        <v>2.78</v>
      </c>
      <c r="O671" s="174" t="s">
        <v>30</v>
      </c>
    </row>
    <row r="672" spans="1:15" s="174" customFormat="1" ht="35" hidden="1" customHeight="1">
      <c r="A672" s="174">
        <f>ROW()-3</f>
        <v>669</v>
      </c>
      <c r="B672" s="174" t="s">
        <v>1577</v>
      </c>
      <c r="C672" s="174" t="s">
        <v>2723</v>
      </c>
      <c r="D672" s="174" t="s">
        <v>1578</v>
      </c>
      <c r="E672" s="174" t="s">
        <v>1943</v>
      </c>
      <c r="F672" s="174" t="s">
        <v>1952</v>
      </c>
      <c r="G672" s="174" t="s">
        <v>1953</v>
      </c>
      <c r="H672" s="174" t="s">
        <v>1829</v>
      </c>
      <c r="I672" s="174" t="s">
        <v>29</v>
      </c>
      <c r="J672" s="174" t="s">
        <v>34</v>
      </c>
      <c r="K672" s="174" t="s">
        <v>154</v>
      </c>
      <c r="L672" s="177">
        <v>43673</v>
      </c>
      <c r="M672" s="174">
        <v>58</v>
      </c>
      <c r="N672" s="179">
        <v>5.41</v>
      </c>
      <c r="O672" s="174" t="s">
        <v>20</v>
      </c>
    </row>
    <row r="673" spans="1:15" s="174" customFormat="1" ht="35" hidden="1" customHeight="1">
      <c r="A673" s="174">
        <f>ROW()-3</f>
        <v>670</v>
      </c>
      <c r="B673" s="174" t="s">
        <v>1577</v>
      </c>
      <c r="C673" s="174" t="s">
        <v>2723</v>
      </c>
      <c r="D673" s="174" t="s">
        <v>1578</v>
      </c>
      <c r="E673" s="174" t="s">
        <v>1826</v>
      </c>
      <c r="F673" s="174" t="s">
        <v>1954</v>
      </c>
      <c r="G673" s="174" t="s">
        <v>1954</v>
      </c>
      <c r="H673" s="174" t="s">
        <v>1955</v>
      </c>
      <c r="I673" s="174" t="s">
        <v>29</v>
      </c>
      <c r="J673" s="174" t="s">
        <v>34</v>
      </c>
      <c r="K673" s="174" t="s">
        <v>154</v>
      </c>
      <c r="L673" s="177">
        <v>43673</v>
      </c>
      <c r="M673" s="174">
        <v>27</v>
      </c>
      <c r="N673" s="179">
        <v>1.49</v>
      </c>
      <c r="O673" s="174" t="s">
        <v>20</v>
      </c>
    </row>
    <row r="674" spans="1:15" s="174" customFormat="1" ht="35" hidden="1" customHeight="1">
      <c r="A674" s="174">
        <f>ROW()-3</f>
        <v>671</v>
      </c>
      <c r="B674" s="174" t="s">
        <v>1577</v>
      </c>
      <c r="C674" s="174" t="s">
        <v>2723</v>
      </c>
      <c r="D674" s="174" t="s">
        <v>1578</v>
      </c>
      <c r="E674" s="174" t="s">
        <v>1826</v>
      </c>
      <c r="F674" s="174" t="s">
        <v>1956</v>
      </c>
      <c r="G674" s="174" t="s">
        <v>1957</v>
      </c>
      <c r="H674" s="174" t="s">
        <v>1958</v>
      </c>
      <c r="I674" s="174" t="s">
        <v>29</v>
      </c>
      <c r="J674" s="174" t="s">
        <v>34</v>
      </c>
      <c r="K674" s="174" t="s">
        <v>154</v>
      </c>
      <c r="L674" s="177">
        <v>43673</v>
      </c>
      <c r="M674" s="174">
        <v>27</v>
      </c>
      <c r="N674" s="179">
        <v>0.88</v>
      </c>
      <c r="O674" s="174" t="s">
        <v>20</v>
      </c>
    </row>
    <row r="675" spans="1:15" s="174" customFormat="1" ht="35" hidden="1" customHeight="1">
      <c r="A675" s="174">
        <f>ROW()-3</f>
        <v>672</v>
      </c>
      <c r="B675" s="174" t="s">
        <v>1577</v>
      </c>
      <c r="C675" s="174" t="s">
        <v>2723</v>
      </c>
      <c r="D675" s="174" t="s">
        <v>1578</v>
      </c>
      <c r="E675" s="174" t="s">
        <v>1884</v>
      </c>
      <c r="F675" s="174" t="s">
        <v>1959</v>
      </c>
      <c r="G675" s="174" t="s">
        <v>1960</v>
      </c>
      <c r="H675" s="174" t="s">
        <v>1901</v>
      </c>
      <c r="I675" s="174" t="s">
        <v>29</v>
      </c>
      <c r="J675" s="174" t="s">
        <v>34</v>
      </c>
      <c r="K675" s="174" t="s">
        <v>154</v>
      </c>
      <c r="L675" s="177">
        <v>43673</v>
      </c>
      <c r="M675" s="174">
        <v>154</v>
      </c>
      <c r="N675" s="179">
        <v>1.53</v>
      </c>
      <c r="O675" s="174" t="s">
        <v>20</v>
      </c>
    </row>
    <row r="676" spans="1:15" s="174" customFormat="1" ht="35" hidden="1" customHeight="1">
      <c r="A676" s="174">
        <f>ROW()-3</f>
        <v>673</v>
      </c>
      <c r="B676" s="174" t="s">
        <v>1577</v>
      </c>
      <c r="C676" s="174" t="s">
        <v>2723</v>
      </c>
      <c r="D676" s="174" t="s">
        <v>1578</v>
      </c>
      <c r="E676" s="174" t="s">
        <v>1884</v>
      </c>
      <c r="F676" s="174" t="s">
        <v>1961</v>
      </c>
      <c r="G676" s="174" t="s">
        <v>1962</v>
      </c>
      <c r="H676" s="174" t="s">
        <v>1901</v>
      </c>
      <c r="I676" s="174" t="s">
        <v>29</v>
      </c>
      <c r="J676" s="174" t="s">
        <v>34</v>
      </c>
      <c r="K676" s="174" t="s">
        <v>154</v>
      </c>
      <c r="L676" s="177">
        <v>43673</v>
      </c>
      <c r="M676" s="174">
        <v>25</v>
      </c>
      <c r="N676" s="179">
        <v>2.87</v>
      </c>
      <c r="O676" s="174" t="s">
        <v>20</v>
      </c>
    </row>
    <row r="677" spans="1:15" s="174" customFormat="1" ht="35" hidden="1" customHeight="1">
      <c r="A677" s="174">
        <f>ROW()-3</f>
        <v>674</v>
      </c>
      <c r="B677" s="174" t="s">
        <v>1577</v>
      </c>
      <c r="C677" s="174" t="s">
        <v>2723</v>
      </c>
      <c r="D677" s="174" t="s">
        <v>1578</v>
      </c>
      <c r="E677" s="174" t="s">
        <v>1884</v>
      </c>
      <c r="F677" s="174" t="s">
        <v>1963</v>
      </c>
      <c r="G677" s="174" t="s">
        <v>1964</v>
      </c>
      <c r="H677" s="174" t="s">
        <v>1829</v>
      </c>
      <c r="I677" s="174" t="s">
        <v>29</v>
      </c>
      <c r="J677" s="174" t="s">
        <v>34</v>
      </c>
      <c r="K677" s="174" t="s">
        <v>154</v>
      </c>
      <c r="L677" s="177">
        <v>43673</v>
      </c>
      <c r="M677" s="174">
        <v>23</v>
      </c>
      <c r="N677" s="179">
        <v>2.69</v>
      </c>
      <c r="O677" s="174" t="s">
        <v>20</v>
      </c>
    </row>
    <row r="678" spans="1:15" s="174" customFormat="1" ht="35" hidden="1" customHeight="1">
      <c r="A678" s="174">
        <f>ROW()-3</f>
        <v>675</v>
      </c>
      <c r="B678" s="174" t="s">
        <v>1577</v>
      </c>
      <c r="C678" s="174" t="s">
        <v>2723</v>
      </c>
      <c r="D678" s="174" t="s">
        <v>1578</v>
      </c>
      <c r="E678" s="174" t="s">
        <v>1943</v>
      </c>
      <c r="F678" s="174" t="s">
        <v>1965</v>
      </c>
      <c r="G678" s="174" t="s">
        <v>1966</v>
      </c>
      <c r="H678" s="174" t="s">
        <v>1967</v>
      </c>
      <c r="I678" s="174" t="s">
        <v>29</v>
      </c>
      <c r="J678" s="174" t="s">
        <v>34</v>
      </c>
      <c r="K678" s="174" t="s">
        <v>154</v>
      </c>
      <c r="L678" s="177">
        <v>43673</v>
      </c>
      <c r="M678" s="174">
        <v>20</v>
      </c>
      <c r="N678" s="179">
        <v>2.54</v>
      </c>
      <c r="O678" s="174" t="s">
        <v>20</v>
      </c>
    </row>
    <row r="679" spans="1:15" s="174" customFormat="1" ht="35" hidden="1" customHeight="1">
      <c r="A679" s="174">
        <f>ROW()-3</f>
        <v>676</v>
      </c>
      <c r="B679" s="174" t="s">
        <v>1577</v>
      </c>
      <c r="C679" s="174" t="s">
        <v>2723</v>
      </c>
      <c r="D679" s="174" t="s">
        <v>1578</v>
      </c>
      <c r="E679" s="174" t="s">
        <v>1826</v>
      </c>
      <c r="F679" s="174" t="s">
        <v>1968</v>
      </c>
      <c r="G679" s="174" t="s">
        <v>1969</v>
      </c>
      <c r="H679" s="174" t="s">
        <v>1829</v>
      </c>
      <c r="I679" s="174" t="s">
        <v>29</v>
      </c>
      <c r="J679" s="174" t="s">
        <v>34</v>
      </c>
      <c r="K679" s="174" t="s">
        <v>154</v>
      </c>
      <c r="L679" s="177">
        <v>43676</v>
      </c>
      <c r="M679" s="174">
        <v>3</v>
      </c>
      <c r="N679" s="179">
        <v>0.39</v>
      </c>
      <c r="O679" s="174" t="s">
        <v>20</v>
      </c>
    </row>
    <row r="680" spans="1:15" s="174" customFormat="1" ht="35" hidden="1" customHeight="1">
      <c r="A680" s="174">
        <f>ROW()-3</f>
        <v>677</v>
      </c>
      <c r="B680" s="174" t="s">
        <v>1577</v>
      </c>
      <c r="C680" s="174" t="s">
        <v>2723</v>
      </c>
      <c r="D680" s="259" t="s">
        <v>706</v>
      </c>
      <c r="E680" s="260" t="s">
        <v>1471</v>
      </c>
      <c r="F680" s="174" t="s">
        <v>5418</v>
      </c>
      <c r="G680" s="174" t="s">
        <v>1970</v>
      </c>
      <c r="H680" s="174" t="s">
        <v>1971</v>
      </c>
      <c r="I680" s="174" t="s">
        <v>29</v>
      </c>
      <c r="J680" s="174" t="s">
        <v>34</v>
      </c>
      <c r="K680" s="174" t="s">
        <v>154</v>
      </c>
      <c r="L680" s="177">
        <v>43692</v>
      </c>
      <c r="M680" s="174">
        <v>569</v>
      </c>
      <c r="N680" s="179">
        <v>64.650000000000006</v>
      </c>
      <c r="O680" s="174" t="s">
        <v>30</v>
      </c>
    </row>
    <row r="681" spans="1:15" s="174" customFormat="1" ht="35" hidden="1" customHeight="1">
      <c r="A681" s="174">
        <f>ROW()-3</f>
        <v>678</v>
      </c>
      <c r="B681" s="174" t="s">
        <v>1577</v>
      </c>
      <c r="C681" s="174" t="s">
        <v>2723</v>
      </c>
      <c r="D681" s="259" t="s">
        <v>706</v>
      </c>
      <c r="E681" s="260" t="s">
        <v>1471</v>
      </c>
      <c r="F681" s="174" t="s">
        <v>5419</v>
      </c>
      <c r="G681" s="174" t="s">
        <v>1972</v>
      </c>
      <c r="H681" s="174" t="s">
        <v>1973</v>
      </c>
      <c r="I681" s="174" t="s">
        <v>29</v>
      </c>
      <c r="J681" s="174" t="s">
        <v>34</v>
      </c>
      <c r="K681" s="174" t="s">
        <v>154</v>
      </c>
      <c r="L681" s="177">
        <v>43692</v>
      </c>
      <c r="M681" s="174">
        <v>590</v>
      </c>
      <c r="N681" s="179">
        <v>43.49</v>
      </c>
      <c r="O681" s="174" t="s">
        <v>30</v>
      </c>
    </row>
    <row r="682" spans="1:15" s="174" customFormat="1" ht="35" hidden="1" customHeight="1">
      <c r="A682" s="174">
        <f>ROW()-3</f>
        <v>679</v>
      </c>
      <c r="B682" s="174" t="s">
        <v>1577</v>
      </c>
      <c r="C682" s="174" t="s">
        <v>2723</v>
      </c>
      <c r="D682" s="259" t="s">
        <v>706</v>
      </c>
      <c r="E682" s="260" t="s">
        <v>1429</v>
      </c>
      <c r="F682" s="174" t="s">
        <v>5420</v>
      </c>
      <c r="G682" s="174" t="s">
        <v>1891</v>
      </c>
      <c r="H682" s="174" t="s">
        <v>82</v>
      </c>
      <c r="I682" s="174" t="s">
        <v>17</v>
      </c>
      <c r="J682" s="174" t="s">
        <v>34</v>
      </c>
      <c r="K682" s="174" t="s">
        <v>154</v>
      </c>
      <c r="L682" s="177">
        <v>43714</v>
      </c>
      <c r="M682" s="174">
        <v>6</v>
      </c>
      <c r="N682" s="179">
        <v>4.09</v>
      </c>
      <c r="O682" s="174" t="s">
        <v>20</v>
      </c>
    </row>
    <row r="683" spans="1:15" s="174" customFormat="1" ht="35" hidden="1" customHeight="1">
      <c r="A683" s="174">
        <f>ROW()-3</f>
        <v>680</v>
      </c>
      <c r="B683" s="174" t="s">
        <v>1577</v>
      </c>
      <c r="C683" s="174" t="s">
        <v>2723</v>
      </c>
      <c r="D683" s="174" t="s">
        <v>1578</v>
      </c>
      <c r="E683" s="174" t="s">
        <v>1943</v>
      </c>
      <c r="F683" s="174" t="s">
        <v>1974</v>
      </c>
      <c r="G683" s="174" t="s">
        <v>1975</v>
      </c>
      <c r="H683" s="174" t="s">
        <v>1976</v>
      </c>
      <c r="I683" s="174" t="s">
        <v>29</v>
      </c>
      <c r="J683" s="174" t="s">
        <v>34</v>
      </c>
      <c r="K683" s="174" t="s">
        <v>154</v>
      </c>
      <c r="L683" s="177">
        <v>43733</v>
      </c>
      <c r="M683" s="174">
        <v>77</v>
      </c>
      <c r="N683" s="179">
        <v>12.98</v>
      </c>
      <c r="O683" s="174" t="s">
        <v>20</v>
      </c>
    </row>
    <row r="684" spans="1:15" s="174" customFormat="1" ht="35" hidden="1" customHeight="1">
      <c r="A684" s="174">
        <f>ROW()-3</f>
        <v>681</v>
      </c>
      <c r="B684" s="174" t="s">
        <v>1577</v>
      </c>
      <c r="C684" s="174" t="s">
        <v>2723</v>
      </c>
      <c r="D684" s="259" t="s">
        <v>1432</v>
      </c>
      <c r="E684" s="260" t="s">
        <v>1437</v>
      </c>
      <c r="F684" s="174" t="s">
        <v>5421</v>
      </c>
      <c r="G684" s="174" t="s">
        <v>1977</v>
      </c>
      <c r="H684" s="174" t="s">
        <v>1978</v>
      </c>
      <c r="I684" s="174" t="s">
        <v>29</v>
      </c>
      <c r="J684" s="174" t="s">
        <v>34</v>
      </c>
      <c r="K684" s="174" t="s">
        <v>154</v>
      </c>
      <c r="L684" s="177">
        <v>43775</v>
      </c>
      <c r="M684" s="174">
        <v>1728</v>
      </c>
      <c r="N684" s="179">
        <v>180.95</v>
      </c>
      <c r="O684" s="174" t="s">
        <v>30</v>
      </c>
    </row>
    <row r="685" spans="1:15" s="174" customFormat="1" ht="35" hidden="1" customHeight="1">
      <c r="A685" s="174">
        <f>ROW()-3</f>
        <v>682</v>
      </c>
      <c r="B685" s="174" t="s">
        <v>1577</v>
      </c>
      <c r="C685" s="174" t="s">
        <v>2723</v>
      </c>
      <c r="D685" s="259" t="s">
        <v>1432</v>
      </c>
      <c r="E685" s="260" t="s">
        <v>1437</v>
      </c>
      <c r="F685" s="174" t="s">
        <v>5422</v>
      </c>
      <c r="G685" s="174" t="s">
        <v>1979</v>
      </c>
      <c r="H685" s="174" t="s">
        <v>1980</v>
      </c>
      <c r="I685" s="174" t="s">
        <v>29</v>
      </c>
      <c r="J685" s="174" t="s">
        <v>34</v>
      </c>
      <c r="K685" s="174" t="s">
        <v>154</v>
      </c>
      <c r="L685" s="177">
        <v>43790</v>
      </c>
      <c r="M685" s="174">
        <v>30</v>
      </c>
      <c r="N685" s="179">
        <v>5.96</v>
      </c>
      <c r="O685" s="174" t="s">
        <v>20</v>
      </c>
    </row>
    <row r="686" spans="1:15" s="174" customFormat="1" ht="35" hidden="1" customHeight="1">
      <c r="A686" s="174">
        <f>ROW()-3</f>
        <v>683</v>
      </c>
      <c r="B686" s="174" t="s">
        <v>1577</v>
      </c>
      <c r="C686" s="174" t="s">
        <v>2723</v>
      </c>
      <c r="D686" s="174" t="s">
        <v>1578</v>
      </c>
      <c r="E686" s="174" t="s">
        <v>1884</v>
      </c>
      <c r="F686" s="174" t="s">
        <v>1981</v>
      </c>
      <c r="G686" s="174" t="s">
        <v>1982</v>
      </c>
      <c r="H686" s="174" t="s">
        <v>1983</v>
      </c>
      <c r="I686" s="174" t="s">
        <v>29</v>
      </c>
      <c r="J686" s="174" t="s">
        <v>34</v>
      </c>
      <c r="K686" s="174" t="s">
        <v>154</v>
      </c>
      <c r="L686" s="177">
        <v>43795</v>
      </c>
      <c r="M686" s="174">
        <v>58</v>
      </c>
      <c r="N686" s="179">
        <v>16.93</v>
      </c>
      <c r="O686" s="174" t="s">
        <v>20</v>
      </c>
    </row>
    <row r="687" spans="1:15" s="174" customFormat="1" ht="35" hidden="1" customHeight="1">
      <c r="A687" s="174">
        <f>ROW()-3</f>
        <v>684</v>
      </c>
      <c r="B687" s="174" t="s">
        <v>1577</v>
      </c>
      <c r="C687" s="174" t="s">
        <v>2723</v>
      </c>
      <c r="D687" s="174" t="s">
        <v>1578</v>
      </c>
      <c r="E687" s="174" t="s">
        <v>1826</v>
      </c>
      <c r="F687" s="174" t="s">
        <v>1984</v>
      </c>
      <c r="G687" s="174" t="s">
        <v>1985</v>
      </c>
      <c r="H687" s="174" t="s">
        <v>1829</v>
      </c>
      <c r="I687" s="174" t="s">
        <v>29</v>
      </c>
      <c r="J687" s="174" t="s">
        <v>34</v>
      </c>
      <c r="K687" s="174" t="s">
        <v>154</v>
      </c>
      <c r="L687" s="177">
        <v>43811</v>
      </c>
      <c r="M687" s="174">
        <v>20</v>
      </c>
      <c r="N687" s="179">
        <v>8.18</v>
      </c>
      <c r="O687" s="174" t="s">
        <v>20</v>
      </c>
    </row>
    <row r="688" spans="1:15" s="174" customFormat="1" ht="35" hidden="1" customHeight="1">
      <c r="A688" s="174">
        <f>ROW()-3</f>
        <v>685</v>
      </c>
      <c r="B688" s="174" t="s">
        <v>1577</v>
      </c>
      <c r="C688" s="174" t="s">
        <v>2723</v>
      </c>
      <c r="D688" s="174" t="s">
        <v>1578</v>
      </c>
      <c r="E688" s="174" t="s">
        <v>1884</v>
      </c>
      <c r="F688" s="174" t="s">
        <v>1986</v>
      </c>
      <c r="G688" s="174" t="s">
        <v>1987</v>
      </c>
      <c r="H688" s="174" t="s">
        <v>1928</v>
      </c>
      <c r="I688" s="174" t="s">
        <v>29</v>
      </c>
      <c r="J688" s="174" t="s">
        <v>34</v>
      </c>
      <c r="K688" s="174" t="s">
        <v>154</v>
      </c>
      <c r="L688" s="177">
        <v>43811</v>
      </c>
      <c r="M688" s="174">
        <v>16</v>
      </c>
      <c r="N688" s="179">
        <v>4.28</v>
      </c>
      <c r="O688" s="174" t="s">
        <v>20</v>
      </c>
    </row>
    <row r="689" spans="1:45" s="174" customFormat="1" ht="35" hidden="1" customHeight="1">
      <c r="A689" s="174">
        <f>ROW()-3</f>
        <v>686</v>
      </c>
      <c r="B689" s="174" t="s">
        <v>1577</v>
      </c>
      <c r="C689" s="174" t="s">
        <v>2723</v>
      </c>
      <c r="D689" s="174" t="s">
        <v>1578</v>
      </c>
      <c r="E689" s="174" t="s">
        <v>1884</v>
      </c>
      <c r="F689" s="174" t="s">
        <v>1988</v>
      </c>
      <c r="G689" s="174" t="s">
        <v>1989</v>
      </c>
      <c r="H689" s="174" t="s">
        <v>1829</v>
      </c>
      <c r="I689" s="174" t="s">
        <v>29</v>
      </c>
      <c r="J689" s="174" t="s">
        <v>34</v>
      </c>
      <c r="K689" s="174" t="s">
        <v>154</v>
      </c>
      <c r="L689" s="177">
        <v>43811</v>
      </c>
      <c r="M689" s="174">
        <v>35</v>
      </c>
      <c r="N689" s="179">
        <v>4.2300000000000004</v>
      </c>
      <c r="O689" s="174" t="s">
        <v>20</v>
      </c>
    </row>
    <row r="690" spans="1:45" s="174" customFormat="1" ht="35" hidden="1" customHeight="1">
      <c r="A690" s="174">
        <f>ROW()-3</f>
        <v>687</v>
      </c>
      <c r="B690" s="174" t="s">
        <v>1577</v>
      </c>
      <c r="C690" s="174" t="s">
        <v>2723</v>
      </c>
      <c r="D690" s="174" t="s">
        <v>1578</v>
      </c>
      <c r="E690" s="174" t="s">
        <v>1884</v>
      </c>
      <c r="F690" s="174" t="s">
        <v>1990</v>
      </c>
      <c r="G690" s="174" t="s">
        <v>1991</v>
      </c>
      <c r="H690" s="174" t="s">
        <v>1829</v>
      </c>
      <c r="I690" s="174" t="s">
        <v>29</v>
      </c>
      <c r="J690" s="174" t="s">
        <v>34</v>
      </c>
      <c r="K690" s="174" t="s">
        <v>154</v>
      </c>
      <c r="L690" s="177">
        <v>43811</v>
      </c>
      <c r="M690" s="174">
        <v>15</v>
      </c>
      <c r="N690" s="179">
        <v>5.71</v>
      </c>
      <c r="O690" s="174" t="s">
        <v>20</v>
      </c>
    </row>
    <row r="691" spans="1:45" s="181" customFormat="1" ht="35" hidden="1" customHeight="1">
      <c r="A691" s="174">
        <f>ROW()-3</f>
        <v>688</v>
      </c>
      <c r="B691" s="174" t="s">
        <v>1577</v>
      </c>
      <c r="C691" s="174" t="s">
        <v>2723</v>
      </c>
      <c r="D691" s="174" t="s">
        <v>1578</v>
      </c>
      <c r="E691" s="174" t="s">
        <v>1884</v>
      </c>
      <c r="F691" s="174" t="s">
        <v>1992</v>
      </c>
      <c r="G691" s="174" t="s">
        <v>1993</v>
      </c>
      <c r="H691" s="174" t="s">
        <v>1928</v>
      </c>
      <c r="I691" s="174" t="s">
        <v>29</v>
      </c>
      <c r="J691" s="174" t="s">
        <v>34</v>
      </c>
      <c r="K691" s="174" t="s">
        <v>154</v>
      </c>
      <c r="L691" s="177">
        <v>43811</v>
      </c>
      <c r="M691" s="174">
        <v>21</v>
      </c>
      <c r="N691" s="179">
        <v>2.33</v>
      </c>
      <c r="O691" s="174" t="s">
        <v>20</v>
      </c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  <c r="AB691" s="174"/>
      <c r="AC691" s="174"/>
      <c r="AD691" s="174"/>
      <c r="AE691" s="174"/>
      <c r="AF691" s="174"/>
      <c r="AG691" s="174"/>
      <c r="AH691" s="174"/>
      <c r="AI691" s="174"/>
      <c r="AJ691" s="174"/>
      <c r="AK691" s="174"/>
      <c r="AL691" s="174"/>
      <c r="AM691" s="174"/>
      <c r="AN691" s="174"/>
      <c r="AO691" s="174"/>
      <c r="AP691" s="174"/>
      <c r="AQ691" s="174"/>
      <c r="AR691" s="174"/>
      <c r="AS691" s="174"/>
    </row>
    <row r="692" spans="1:45" s="181" customFormat="1" ht="35" hidden="1" customHeight="1">
      <c r="A692" s="174">
        <f>ROW()-3</f>
        <v>689</v>
      </c>
      <c r="B692" s="174" t="s">
        <v>1577</v>
      </c>
      <c r="C692" s="174" t="s">
        <v>2723</v>
      </c>
      <c r="D692" s="174" t="s">
        <v>1578</v>
      </c>
      <c r="E692" s="174" t="s">
        <v>1943</v>
      </c>
      <c r="F692" s="174" t="s">
        <v>1994</v>
      </c>
      <c r="G692" s="174" t="s">
        <v>1994</v>
      </c>
      <c r="H692" s="174" t="s">
        <v>1955</v>
      </c>
      <c r="I692" s="174" t="s">
        <v>29</v>
      </c>
      <c r="J692" s="174" t="s">
        <v>34</v>
      </c>
      <c r="K692" s="174" t="s">
        <v>154</v>
      </c>
      <c r="L692" s="177">
        <v>43811</v>
      </c>
      <c r="M692" s="174">
        <v>39</v>
      </c>
      <c r="N692" s="179">
        <v>1.33</v>
      </c>
      <c r="O692" s="174" t="s">
        <v>20</v>
      </c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  <c r="AA692" s="174"/>
      <c r="AB692" s="174"/>
      <c r="AC692" s="174"/>
      <c r="AD692" s="174"/>
      <c r="AE692" s="174"/>
      <c r="AF692" s="174"/>
      <c r="AG692" s="174"/>
      <c r="AH692" s="174"/>
      <c r="AI692" s="174"/>
      <c r="AJ692" s="174"/>
      <c r="AK692" s="174"/>
      <c r="AL692" s="174"/>
      <c r="AM692" s="174"/>
      <c r="AN692" s="174"/>
      <c r="AO692" s="174"/>
      <c r="AP692" s="174"/>
      <c r="AQ692" s="174"/>
      <c r="AR692" s="174"/>
      <c r="AS692" s="174"/>
    </row>
    <row r="693" spans="1:45" s="174" customFormat="1" ht="35" hidden="1" customHeight="1">
      <c r="A693" s="174">
        <f>ROW()-3</f>
        <v>690</v>
      </c>
      <c r="B693" s="174" t="s">
        <v>1577</v>
      </c>
      <c r="C693" s="174" t="s">
        <v>2723</v>
      </c>
      <c r="D693" s="259" t="s">
        <v>1432</v>
      </c>
      <c r="E693" s="260" t="s">
        <v>1437</v>
      </c>
      <c r="F693" s="174" t="s">
        <v>5423</v>
      </c>
      <c r="G693" s="174" t="s">
        <v>1995</v>
      </c>
      <c r="H693" s="174" t="s">
        <v>1996</v>
      </c>
      <c r="I693" s="174" t="s">
        <v>29</v>
      </c>
      <c r="J693" s="174" t="s">
        <v>34</v>
      </c>
      <c r="K693" s="174" t="s">
        <v>154</v>
      </c>
      <c r="L693" s="177">
        <v>43846</v>
      </c>
      <c r="M693" s="174">
        <v>69</v>
      </c>
      <c r="N693" s="179">
        <v>2.35</v>
      </c>
      <c r="O693" s="174" t="s">
        <v>20</v>
      </c>
    </row>
    <row r="694" spans="1:45" s="174" customFormat="1" ht="35" hidden="1" customHeight="1">
      <c r="A694" s="174">
        <f>ROW()-3</f>
        <v>691</v>
      </c>
      <c r="B694" s="174" t="s">
        <v>1577</v>
      </c>
      <c r="C694" s="174" t="s">
        <v>2723</v>
      </c>
      <c r="D694" s="259" t="s">
        <v>155</v>
      </c>
      <c r="E694" s="259" t="s">
        <v>156</v>
      </c>
      <c r="F694" s="174" t="s">
        <v>5424</v>
      </c>
      <c r="G694" s="174" t="s">
        <v>1997</v>
      </c>
      <c r="H694" s="174" t="s">
        <v>1998</v>
      </c>
      <c r="I694" s="174" t="s">
        <v>29</v>
      </c>
      <c r="J694" s="174" t="s">
        <v>34</v>
      </c>
      <c r="K694" s="174" t="s">
        <v>154</v>
      </c>
      <c r="L694" s="177">
        <v>43857</v>
      </c>
      <c r="M694" s="174">
        <v>908</v>
      </c>
      <c r="N694" s="179">
        <v>43.63</v>
      </c>
      <c r="O694" s="174" t="s">
        <v>30</v>
      </c>
    </row>
    <row r="695" spans="1:45" s="181" customFormat="1" ht="35" hidden="1" customHeight="1">
      <c r="A695" s="174">
        <f>ROW()-3</f>
        <v>692</v>
      </c>
      <c r="B695" s="174" t="s">
        <v>1577</v>
      </c>
      <c r="C695" s="174" t="s">
        <v>2723</v>
      </c>
      <c r="D695" s="259" t="s">
        <v>155</v>
      </c>
      <c r="E695" s="259" t="s">
        <v>156</v>
      </c>
      <c r="F695" s="174" t="s">
        <v>5425</v>
      </c>
      <c r="G695" s="174" t="s">
        <v>1999</v>
      </c>
      <c r="H695" s="174" t="s">
        <v>2000</v>
      </c>
      <c r="I695" s="174" t="s">
        <v>29</v>
      </c>
      <c r="J695" s="174" t="s">
        <v>34</v>
      </c>
      <c r="K695" s="174" t="s">
        <v>154</v>
      </c>
      <c r="L695" s="177">
        <v>43860</v>
      </c>
      <c r="M695" s="174">
        <v>77</v>
      </c>
      <c r="N695" s="179">
        <v>6.52</v>
      </c>
      <c r="O695" s="174" t="s">
        <v>30</v>
      </c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  <c r="AA695" s="174"/>
      <c r="AB695" s="174"/>
      <c r="AC695" s="174"/>
      <c r="AD695" s="174"/>
      <c r="AE695" s="174"/>
      <c r="AF695" s="174"/>
      <c r="AG695" s="174"/>
      <c r="AH695" s="174"/>
      <c r="AI695" s="174"/>
      <c r="AJ695" s="174"/>
      <c r="AK695" s="174"/>
      <c r="AL695" s="174"/>
      <c r="AM695" s="174"/>
      <c r="AN695" s="174"/>
      <c r="AO695" s="174"/>
      <c r="AP695" s="174"/>
      <c r="AQ695" s="174"/>
      <c r="AR695" s="174"/>
      <c r="AS695" s="174"/>
    </row>
    <row r="696" spans="1:45" s="181" customFormat="1" ht="35" hidden="1" customHeight="1">
      <c r="A696" s="174">
        <f>ROW()-3</f>
        <v>693</v>
      </c>
      <c r="B696" s="174" t="s">
        <v>1577</v>
      </c>
      <c r="C696" s="174" t="s">
        <v>2723</v>
      </c>
      <c r="D696" s="259" t="s">
        <v>155</v>
      </c>
      <c r="E696" s="259" t="s">
        <v>156</v>
      </c>
      <c r="F696" s="174" t="s">
        <v>2001</v>
      </c>
      <c r="G696" s="174" t="s">
        <v>2002</v>
      </c>
      <c r="H696" s="174" t="s">
        <v>2003</v>
      </c>
      <c r="I696" s="174" t="s">
        <v>29</v>
      </c>
      <c r="J696" s="174" t="s">
        <v>34</v>
      </c>
      <c r="K696" s="174" t="s">
        <v>154</v>
      </c>
      <c r="L696" s="177">
        <v>43861</v>
      </c>
      <c r="M696" s="174">
        <v>55</v>
      </c>
      <c r="N696" s="179">
        <v>0.6</v>
      </c>
      <c r="O696" s="174" t="s">
        <v>20</v>
      </c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  <c r="AA696" s="174"/>
      <c r="AB696" s="174"/>
      <c r="AC696" s="174"/>
      <c r="AD696" s="174"/>
      <c r="AE696" s="174"/>
      <c r="AF696" s="174"/>
      <c r="AG696" s="174"/>
      <c r="AH696" s="174"/>
      <c r="AI696" s="174"/>
      <c r="AJ696" s="174"/>
      <c r="AK696" s="174"/>
      <c r="AL696" s="174"/>
      <c r="AM696" s="174"/>
      <c r="AN696" s="174"/>
      <c r="AO696" s="174"/>
      <c r="AP696" s="174"/>
      <c r="AQ696" s="174"/>
      <c r="AR696" s="174"/>
      <c r="AS696" s="174"/>
    </row>
    <row r="697" spans="1:45" s="181" customFormat="1" ht="35" hidden="1" customHeight="1">
      <c r="A697" s="174">
        <f>ROW()-3</f>
        <v>694</v>
      </c>
      <c r="B697" s="174" t="s">
        <v>1577</v>
      </c>
      <c r="C697" s="174" t="s">
        <v>2723</v>
      </c>
      <c r="D697" s="259" t="s">
        <v>1432</v>
      </c>
      <c r="E697" s="260" t="s">
        <v>1433</v>
      </c>
      <c r="F697" s="174" t="s">
        <v>5426</v>
      </c>
      <c r="G697" s="174" t="s">
        <v>2004</v>
      </c>
      <c r="H697" s="174" t="s">
        <v>1493</v>
      </c>
      <c r="I697" s="174" t="s">
        <v>29</v>
      </c>
      <c r="J697" s="174" t="s">
        <v>34</v>
      </c>
      <c r="K697" s="174" t="s">
        <v>154</v>
      </c>
      <c r="L697" s="177">
        <v>43861</v>
      </c>
      <c r="M697" s="174">
        <v>14</v>
      </c>
      <c r="N697" s="179">
        <v>1.31</v>
      </c>
      <c r="O697" s="174" t="s">
        <v>20</v>
      </c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  <c r="AB697" s="174"/>
      <c r="AC697" s="174"/>
      <c r="AD697" s="174"/>
      <c r="AE697" s="174"/>
      <c r="AF697" s="174"/>
      <c r="AG697" s="174"/>
      <c r="AH697" s="174"/>
      <c r="AI697" s="174"/>
      <c r="AJ697" s="174"/>
      <c r="AK697" s="174"/>
      <c r="AL697" s="174"/>
      <c r="AM697" s="174"/>
      <c r="AN697" s="174"/>
      <c r="AO697" s="174"/>
      <c r="AP697" s="174"/>
      <c r="AQ697" s="174"/>
      <c r="AR697" s="174"/>
      <c r="AS697" s="174"/>
    </row>
    <row r="698" spans="1:45" s="181" customFormat="1" ht="35" hidden="1" customHeight="1">
      <c r="A698" s="174">
        <f>ROW()-3</f>
        <v>695</v>
      </c>
      <c r="B698" s="174" t="s">
        <v>1577</v>
      </c>
      <c r="C698" s="174" t="s">
        <v>2723</v>
      </c>
      <c r="D698" s="259" t="s">
        <v>155</v>
      </c>
      <c r="E698" s="260" t="s">
        <v>202</v>
      </c>
      <c r="F698" s="174" t="s">
        <v>5427</v>
      </c>
      <c r="G698" s="174" t="s">
        <v>2005</v>
      </c>
      <c r="H698" s="174" t="s">
        <v>2006</v>
      </c>
      <c r="I698" s="174" t="s">
        <v>29</v>
      </c>
      <c r="J698" s="174" t="s">
        <v>34</v>
      </c>
      <c r="K698" s="174" t="s">
        <v>154</v>
      </c>
      <c r="L698" s="177">
        <v>43874</v>
      </c>
      <c r="M698" s="174">
        <v>447</v>
      </c>
      <c r="N698" s="179">
        <v>106.94</v>
      </c>
      <c r="O698" s="174" t="s">
        <v>30</v>
      </c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  <c r="AA698" s="174"/>
      <c r="AB698" s="174"/>
      <c r="AC698" s="174"/>
      <c r="AD698" s="174"/>
      <c r="AE698" s="174"/>
      <c r="AF698" s="174"/>
      <c r="AG698" s="174"/>
      <c r="AH698" s="174"/>
      <c r="AI698" s="174"/>
      <c r="AJ698" s="174"/>
      <c r="AK698" s="174"/>
      <c r="AL698" s="174"/>
      <c r="AM698" s="174"/>
      <c r="AN698" s="174"/>
      <c r="AO698" s="174"/>
      <c r="AP698" s="174"/>
      <c r="AQ698" s="174"/>
      <c r="AR698" s="174"/>
      <c r="AS698" s="174"/>
    </row>
    <row r="699" spans="1:45" s="181" customFormat="1" ht="35" hidden="1" customHeight="1">
      <c r="A699" s="174">
        <f>ROW()-3</f>
        <v>696</v>
      </c>
      <c r="B699" s="174" t="s">
        <v>1577</v>
      </c>
      <c r="C699" s="174" t="s">
        <v>2723</v>
      </c>
      <c r="D699" s="259" t="s">
        <v>1432</v>
      </c>
      <c r="E699" s="260" t="s">
        <v>1449</v>
      </c>
      <c r="F699" s="174" t="s">
        <v>5428</v>
      </c>
      <c r="G699" s="174" t="s">
        <v>2007</v>
      </c>
      <c r="H699" s="174" t="s">
        <v>1452</v>
      </c>
      <c r="I699" s="174" t="s">
        <v>29</v>
      </c>
      <c r="J699" s="174" t="s">
        <v>34</v>
      </c>
      <c r="K699" s="174" t="s">
        <v>154</v>
      </c>
      <c r="L699" s="177">
        <v>43874</v>
      </c>
      <c r="M699" s="174">
        <v>128</v>
      </c>
      <c r="N699" s="179">
        <v>14.47</v>
      </c>
      <c r="O699" s="174" t="s">
        <v>20</v>
      </c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  <c r="AA699" s="174"/>
      <c r="AB699" s="174"/>
      <c r="AC699" s="174"/>
      <c r="AD699" s="174"/>
      <c r="AE699" s="174"/>
      <c r="AF699" s="174"/>
      <c r="AG699" s="174"/>
      <c r="AH699" s="174"/>
      <c r="AI699" s="174"/>
      <c r="AJ699" s="174"/>
      <c r="AK699" s="174"/>
      <c r="AL699" s="174"/>
      <c r="AM699" s="174"/>
      <c r="AN699" s="174"/>
      <c r="AO699" s="174"/>
      <c r="AP699" s="174"/>
      <c r="AQ699" s="174"/>
      <c r="AR699" s="174"/>
      <c r="AS699" s="174"/>
    </row>
    <row r="700" spans="1:45" s="181" customFormat="1" ht="35" hidden="1" customHeight="1">
      <c r="A700" s="174">
        <f>ROW()-3</f>
        <v>697</v>
      </c>
      <c r="B700" s="174" t="s">
        <v>1577</v>
      </c>
      <c r="C700" s="174" t="s">
        <v>2723</v>
      </c>
      <c r="D700" s="259" t="s">
        <v>155</v>
      </c>
      <c r="E700" s="260" t="s">
        <v>202</v>
      </c>
      <c r="F700" s="174" t="s">
        <v>5429</v>
      </c>
      <c r="G700" s="174" t="s">
        <v>2008</v>
      </c>
      <c r="H700" s="174" t="s">
        <v>2009</v>
      </c>
      <c r="I700" s="174" t="s">
        <v>17</v>
      </c>
      <c r="J700" s="174" t="s">
        <v>34</v>
      </c>
      <c r="K700" s="174" t="s">
        <v>154</v>
      </c>
      <c r="L700" s="177">
        <v>43878</v>
      </c>
      <c r="M700" s="174">
        <v>4</v>
      </c>
      <c r="N700" s="179">
        <v>5.24</v>
      </c>
      <c r="O700" s="174" t="s">
        <v>30</v>
      </c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  <c r="AA700" s="174"/>
      <c r="AB700" s="174"/>
      <c r="AC700" s="174"/>
      <c r="AD700" s="174"/>
      <c r="AE700" s="174"/>
      <c r="AF700" s="174"/>
      <c r="AG700" s="174"/>
      <c r="AH700" s="174"/>
      <c r="AI700" s="174"/>
      <c r="AJ700" s="174"/>
      <c r="AK700" s="174"/>
      <c r="AL700" s="174"/>
      <c r="AM700" s="174"/>
      <c r="AN700" s="174"/>
      <c r="AO700" s="174"/>
      <c r="AP700" s="174"/>
      <c r="AQ700" s="174"/>
      <c r="AR700" s="174"/>
      <c r="AS700" s="174"/>
    </row>
    <row r="701" spans="1:45" s="174" customFormat="1" ht="35" hidden="1" customHeight="1">
      <c r="A701" s="174">
        <f>ROW()-3</f>
        <v>698</v>
      </c>
      <c r="B701" s="174" t="s">
        <v>1577</v>
      </c>
      <c r="C701" s="174" t="s">
        <v>2723</v>
      </c>
      <c r="D701" s="259" t="s">
        <v>706</v>
      </c>
      <c r="E701" s="260" t="s">
        <v>1471</v>
      </c>
      <c r="F701" s="174" t="s">
        <v>5430</v>
      </c>
      <c r="G701" s="174" t="s">
        <v>2010</v>
      </c>
      <c r="H701" s="174" t="s">
        <v>2011</v>
      </c>
      <c r="I701" s="174" t="s">
        <v>29</v>
      </c>
      <c r="J701" s="174" t="s">
        <v>34</v>
      </c>
      <c r="K701" s="174" t="s">
        <v>154</v>
      </c>
      <c r="L701" s="177">
        <v>43880</v>
      </c>
      <c r="M701" s="174">
        <v>534</v>
      </c>
      <c r="N701" s="179">
        <v>5.41</v>
      </c>
      <c r="O701" s="174" t="s">
        <v>20</v>
      </c>
    </row>
    <row r="702" spans="1:45" s="174" customFormat="1" ht="35" hidden="1" customHeight="1">
      <c r="A702" s="174">
        <f>ROW()-3</f>
        <v>699</v>
      </c>
      <c r="B702" s="174" t="s">
        <v>1577</v>
      </c>
      <c r="C702" s="174" t="s">
        <v>2723</v>
      </c>
      <c r="D702" s="259" t="s">
        <v>155</v>
      </c>
      <c r="E702" s="259" t="s">
        <v>156</v>
      </c>
      <c r="F702" s="174" t="s">
        <v>5431</v>
      </c>
      <c r="G702" s="174" t="s">
        <v>2012</v>
      </c>
      <c r="H702" s="174" t="s">
        <v>1740</v>
      </c>
      <c r="I702" s="174" t="s">
        <v>29</v>
      </c>
      <c r="J702" s="174" t="s">
        <v>34</v>
      </c>
      <c r="K702" s="174" t="s">
        <v>154</v>
      </c>
      <c r="L702" s="177">
        <v>43881</v>
      </c>
      <c r="M702" s="174">
        <v>34</v>
      </c>
      <c r="N702" s="179">
        <v>5.65</v>
      </c>
      <c r="O702" s="174" t="s">
        <v>20</v>
      </c>
    </row>
    <row r="703" spans="1:45" s="174" customFormat="1" ht="35" hidden="1" customHeight="1">
      <c r="A703" s="174">
        <f>ROW()-3</f>
        <v>700</v>
      </c>
      <c r="B703" s="174" t="s">
        <v>1577</v>
      </c>
      <c r="C703" s="174" t="s">
        <v>2723</v>
      </c>
      <c r="D703" s="259" t="s">
        <v>1441</v>
      </c>
      <c r="E703" s="259" t="s">
        <v>1441</v>
      </c>
      <c r="F703" s="174" t="s">
        <v>5432</v>
      </c>
      <c r="G703" s="174" t="s">
        <v>2013</v>
      </c>
      <c r="H703" s="174" t="s">
        <v>1803</v>
      </c>
      <c r="I703" s="174" t="s">
        <v>29</v>
      </c>
      <c r="J703" s="174" t="s">
        <v>34</v>
      </c>
      <c r="K703" s="174" t="s">
        <v>154</v>
      </c>
      <c r="L703" s="177">
        <v>43889</v>
      </c>
      <c r="M703" s="174">
        <v>4</v>
      </c>
      <c r="N703" s="179">
        <v>0.85</v>
      </c>
      <c r="O703" s="174" t="s">
        <v>30</v>
      </c>
    </row>
    <row r="704" spans="1:45" s="174" customFormat="1" ht="35" hidden="1" customHeight="1">
      <c r="A704" s="174">
        <f>ROW()-3</f>
        <v>701</v>
      </c>
      <c r="B704" s="174" t="s">
        <v>1577</v>
      </c>
      <c r="C704" s="174" t="s">
        <v>2723</v>
      </c>
      <c r="D704" s="259" t="s">
        <v>155</v>
      </c>
      <c r="E704" s="260" t="s">
        <v>156</v>
      </c>
      <c r="F704" s="174" t="s">
        <v>5433</v>
      </c>
      <c r="G704" s="174" t="s">
        <v>2014</v>
      </c>
      <c r="H704" s="174" t="s">
        <v>2015</v>
      </c>
      <c r="I704" s="174" t="s">
        <v>29</v>
      </c>
      <c r="J704" s="174" t="s">
        <v>34</v>
      </c>
      <c r="K704" s="174" t="s">
        <v>154</v>
      </c>
      <c r="L704" s="177">
        <v>43895</v>
      </c>
      <c r="M704" s="174">
        <v>26</v>
      </c>
      <c r="N704" s="179">
        <v>4.4800000000000004</v>
      </c>
      <c r="O704" s="174" t="s">
        <v>30</v>
      </c>
    </row>
    <row r="705" spans="1:45" s="174" customFormat="1" ht="35" hidden="1" customHeight="1">
      <c r="A705" s="174">
        <f>ROW()-3</f>
        <v>702</v>
      </c>
      <c r="B705" s="174" t="s">
        <v>1577</v>
      </c>
      <c r="C705" s="174" t="s">
        <v>2723</v>
      </c>
      <c r="D705" s="259" t="s">
        <v>155</v>
      </c>
      <c r="E705" s="260" t="s">
        <v>156</v>
      </c>
      <c r="F705" s="174" t="s">
        <v>2016</v>
      </c>
      <c r="G705" s="174" t="s">
        <v>2017</v>
      </c>
      <c r="H705" s="174" t="s">
        <v>2018</v>
      </c>
      <c r="I705" s="174" t="s">
        <v>29</v>
      </c>
      <c r="J705" s="174" t="s">
        <v>34</v>
      </c>
      <c r="K705" s="174" t="s">
        <v>154</v>
      </c>
      <c r="L705" s="177">
        <v>43895</v>
      </c>
      <c r="M705" s="174">
        <v>3</v>
      </c>
      <c r="N705" s="179">
        <v>2.88</v>
      </c>
      <c r="O705" s="174" t="s">
        <v>20</v>
      </c>
    </row>
    <row r="706" spans="1:45" s="174" customFormat="1" ht="35" hidden="1" customHeight="1">
      <c r="A706" s="174">
        <f>ROW()-3</f>
        <v>703</v>
      </c>
      <c r="B706" s="174" t="s">
        <v>1577</v>
      </c>
      <c r="C706" s="174" t="s">
        <v>2723</v>
      </c>
      <c r="D706" s="259" t="s">
        <v>155</v>
      </c>
      <c r="E706" s="259" t="s">
        <v>156</v>
      </c>
      <c r="F706" s="174" t="s">
        <v>2019</v>
      </c>
      <c r="G706" s="174" t="s">
        <v>2020</v>
      </c>
      <c r="H706" s="174" t="s">
        <v>16</v>
      </c>
      <c r="I706" s="174" t="s">
        <v>17</v>
      </c>
      <c r="J706" s="174" t="s">
        <v>34</v>
      </c>
      <c r="K706" s="174" t="s">
        <v>154</v>
      </c>
      <c r="L706" s="177">
        <v>43900</v>
      </c>
      <c r="M706" s="174">
        <v>15</v>
      </c>
      <c r="N706" s="179">
        <v>2.71</v>
      </c>
      <c r="O706" s="174" t="s">
        <v>20</v>
      </c>
    </row>
    <row r="707" spans="1:45" s="174" customFormat="1" ht="35" hidden="1" customHeight="1">
      <c r="A707" s="174">
        <f>ROW()-3</f>
        <v>704</v>
      </c>
      <c r="B707" s="174" t="s">
        <v>1577</v>
      </c>
      <c r="C707" s="174" t="s">
        <v>2723</v>
      </c>
      <c r="D707" s="259" t="s">
        <v>1593</v>
      </c>
      <c r="E707" s="260" t="s">
        <v>1757</v>
      </c>
      <c r="F707" s="174" t="s">
        <v>2021</v>
      </c>
      <c r="G707" s="174" t="s">
        <v>2012</v>
      </c>
      <c r="H707" s="174" t="s">
        <v>1740</v>
      </c>
      <c r="I707" s="174" t="s">
        <v>29</v>
      </c>
      <c r="J707" s="174" t="s">
        <v>34</v>
      </c>
      <c r="K707" s="174" t="s">
        <v>154</v>
      </c>
      <c r="L707" s="177">
        <v>43903</v>
      </c>
      <c r="M707" s="174">
        <v>9</v>
      </c>
      <c r="N707" s="179">
        <v>1.55</v>
      </c>
      <c r="O707" s="174" t="s">
        <v>20</v>
      </c>
    </row>
    <row r="708" spans="1:45" s="174" customFormat="1" ht="35" hidden="1" customHeight="1">
      <c r="A708" s="181">
        <f>ROW()-3</f>
        <v>705</v>
      </c>
      <c r="B708" s="181" t="s">
        <v>1577</v>
      </c>
      <c r="C708" s="181" t="s">
        <v>2723</v>
      </c>
      <c r="D708" s="181" t="s">
        <v>1578</v>
      </c>
      <c r="E708" s="181" t="s">
        <v>1884</v>
      </c>
      <c r="F708" s="181" t="s">
        <v>2022</v>
      </c>
      <c r="G708" s="181" t="s">
        <v>2023</v>
      </c>
      <c r="H708" s="181" t="s">
        <v>1928</v>
      </c>
      <c r="I708" s="181" t="s">
        <v>29</v>
      </c>
      <c r="J708" s="181" t="s">
        <v>34</v>
      </c>
      <c r="K708" s="181" t="s">
        <v>154</v>
      </c>
      <c r="L708" s="177">
        <v>43921</v>
      </c>
      <c r="M708" s="181">
        <v>11</v>
      </c>
      <c r="N708" s="179">
        <v>4.25</v>
      </c>
      <c r="O708" s="181" t="s">
        <v>20</v>
      </c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  <c r="AC708" s="181"/>
      <c r="AD708" s="181"/>
      <c r="AE708" s="181"/>
      <c r="AF708" s="181"/>
      <c r="AG708" s="181"/>
      <c r="AH708" s="181"/>
      <c r="AI708" s="181"/>
      <c r="AJ708" s="181"/>
      <c r="AK708" s="181"/>
      <c r="AL708" s="181"/>
      <c r="AM708" s="181"/>
      <c r="AN708" s="181"/>
      <c r="AO708" s="181"/>
      <c r="AP708" s="181"/>
      <c r="AQ708" s="181"/>
      <c r="AR708" s="181"/>
      <c r="AS708" s="181"/>
    </row>
    <row r="709" spans="1:45" s="174" customFormat="1" ht="35" hidden="1" customHeight="1">
      <c r="A709" s="181">
        <f>ROW()-3</f>
        <v>706</v>
      </c>
      <c r="B709" s="181" t="s">
        <v>1577</v>
      </c>
      <c r="C709" s="181" t="s">
        <v>2723</v>
      </c>
      <c r="D709" s="261" t="s">
        <v>1578</v>
      </c>
      <c r="E709" s="261" t="s">
        <v>1943</v>
      </c>
      <c r="F709" s="181" t="s">
        <v>5434</v>
      </c>
      <c r="G709" s="181" t="s">
        <v>2024</v>
      </c>
      <c r="H709" s="181" t="s">
        <v>1901</v>
      </c>
      <c r="I709" s="181" t="s">
        <v>29</v>
      </c>
      <c r="J709" s="181" t="s">
        <v>34</v>
      </c>
      <c r="K709" s="181" t="s">
        <v>154</v>
      </c>
      <c r="L709" s="177">
        <v>43921</v>
      </c>
      <c r="M709" s="181">
        <v>14</v>
      </c>
      <c r="N709" s="179">
        <v>7.41</v>
      </c>
      <c r="O709" s="181" t="s">
        <v>20</v>
      </c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  <c r="AC709" s="181"/>
      <c r="AD709" s="181"/>
      <c r="AE709" s="181"/>
      <c r="AF709" s="181"/>
      <c r="AG709" s="181"/>
      <c r="AH709" s="181"/>
      <c r="AI709" s="181"/>
      <c r="AJ709" s="181"/>
      <c r="AK709" s="181"/>
      <c r="AL709" s="181"/>
      <c r="AM709" s="181"/>
      <c r="AN709" s="181"/>
      <c r="AO709" s="181"/>
      <c r="AP709" s="181"/>
      <c r="AQ709" s="181"/>
      <c r="AR709" s="181"/>
      <c r="AS709" s="181"/>
    </row>
    <row r="710" spans="1:45" s="174" customFormat="1" ht="35" hidden="1" customHeight="1">
      <c r="A710" s="174">
        <f>ROW()-3</f>
        <v>707</v>
      </c>
      <c r="B710" s="174" t="s">
        <v>1577</v>
      </c>
      <c r="C710" s="174" t="s">
        <v>2723</v>
      </c>
      <c r="D710" s="259" t="s">
        <v>1432</v>
      </c>
      <c r="E710" s="260" t="s">
        <v>1437</v>
      </c>
      <c r="F710" s="174" t="s">
        <v>5435</v>
      </c>
      <c r="G710" s="174" t="s">
        <v>2025</v>
      </c>
      <c r="H710" s="174" t="s">
        <v>2026</v>
      </c>
      <c r="I710" s="174" t="s">
        <v>29</v>
      </c>
      <c r="J710" s="174" t="s">
        <v>34</v>
      </c>
      <c r="K710" s="174" t="s">
        <v>154</v>
      </c>
      <c r="L710" s="177">
        <v>43948</v>
      </c>
      <c r="M710" s="174">
        <v>795</v>
      </c>
      <c r="N710" s="179">
        <v>165.35</v>
      </c>
      <c r="O710" s="174" t="s">
        <v>30</v>
      </c>
    </row>
    <row r="711" spans="1:45" s="174" customFormat="1" ht="35" hidden="1" customHeight="1">
      <c r="A711" s="174">
        <f>ROW()-3</f>
        <v>708</v>
      </c>
      <c r="B711" s="174" t="s">
        <v>1577</v>
      </c>
      <c r="C711" s="174" t="s">
        <v>2723</v>
      </c>
      <c r="D711" s="259" t="s">
        <v>1432</v>
      </c>
      <c r="E711" s="260" t="s">
        <v>1490</v>
      </c>
      <c r="F711" s="174" t="s">
        <v>5436</v>
      </c>
      <c r="G711" s="174" t="s">
        <v>2027</v>
      </c>
      <c r="H711" s="174" t="s">
        <v>2028</v>
      </c>
      <c r="I711" s="174" t="s">
        <v>29</v>
      </c>
      <c r="J711" s="174" t="s">
        <v>34</v>
      </c>
      <c r="K711" s="174" t="s">
        <v>154</v>
      </c>
      <c r="L711" s="177">
        <v>43957</v>
      </c>
      <c r="M711" s="174">
        <v>371</v>
      </c>
      <c r="N711" s="179">
        <v>27.77</v>
      </c>
      <c r="O711" s="174" t="s">
        <v>20</v>
      </c>
    </row>
    <row r="712" spans="1:45" s="174" customFormat="1" ht="35" hidden="1" customHeight="1">
      <c r="A712" s="181">
        <f>ROW()-3</f>
        <v>709</v>
      </c>
      <c r="B712" s="181" t="s">
        <v>1577</v>
      </c>
      <c r="C712" s="181" t="s">
        <v>2723</v>
      </c>
      <c r="D712" s="181" t="s">
        <v>1578</v>
      </c>
      <c r="E712" s="181" t="s">
        <v>1826</v>
      </c>
      <c r="F712" s="181" t="s">
        <v>2029</v>
      </c>
      <c r="G712" s="181" t="s">
        <v>2030</v>
      </c>
      <c r="H712" s="181" t="s">
        <v>1829</v>
      </c>
      <c r="I712" s="181" t="s">
        <v>29</v>
      </c>
      <c r="J712" s="181" t="s">
        <v>34</v>
      </c>
      <c r="K712" s="181" t="s">
        <v>154</v>
      </c>
      <c r="L712" s="177">
        <v>43957</v>
      </c>
      <c r="M712" s="181">
        <v>8</v>
      </c>
      <c r="N712" s="179">
        <v>1.06</v>
      </c>
      <c r="O712" s="181" t="s">
        <v>20</v>
      </c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  <c r="AC712" s="181"/>
      <c r="AD712" s="181"/>
      <c r="AE712" s="181"/>
      <c r="AF712" s="181"/>
      <c r="AG712" s="181"/>
      <c r="AH712" s="181"/>
      <c r="AI712" s="181"/>
      <c r="AJ712" s="181"/>
      <c r="AK712" s="181"/>
      <c r="AL712" s="181"/>
      <c r="AM712" s="181"/>
      <c r="AN712" s="181"/>
      <c r="AO712" s="181"/>
      <c r="AP712" s="181"/>
      <c r="AQ712" s="181"/>
      <c r="AR712" s="181"/>
      <c r="AS712" s="181"/>
    </row>
    <row r="713" spans="1:45" s="174" customFormat="1" ht="35" hidden="1" customHeight="1">
      <c r="A713" s="181">
        <f>ROW()-3</f>
        <v>710</v>
      </c>
      <c r="B713" s="181" t="s">
        <v>1577</v>
      </c>
      <c r="C713" s="181" t="s">
        <v>2723</v>
      </c>
      <c r="D713" s="181" t="s">
        <v>1578</v>
      </c>
      <c r="E713" s="181" t="s">
        <v>1943</v>
      </c>
      <c r="F713" s="181" t="s">
        <v>2031</v>
      </c>
      <c r="G713" s="181" t="s">
        <v>2032</v>
      </c>
      <c r="H713" s="181" t="s">
        <v>2033</v>
      </c>
      <c r="I713" s="181" t="s">
        <v>29</v>
      </c>
      <c r="J713" s="181" t="s">
        <v>34</v>
      </c>
      <c r="K713" s="181" t="s">
        <v>154</v>
      </c>
      <c r="L713" s="177">
        <v>43976</v>
      </c>
      <c r="M713" s="181">
        <v>164</v>
      </c>
      <c r="N713" s="179">
        <v>3.52</v>
      </c>
      <c r="O713" s="181" t="s">
        <v>20</v>
      </c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  <c r="AC713" s="181"/>
      <c r="AD713" s="181"/>
      <c r="AE713" s="181"/>
      <c r="AF713" s="181"/>
      <c r="AG713" s="181"/>
      <c r="AH713" s="181"/>
      <c r="AI713" s="181"/>
      <c r="AJ713" s="181"/>
      <c r="AK713" s="181"/>
      <c r="AL713" s="181"/>
      <c r="AM713" s="181"/>
      <c r="AN713" s="181"/>
      <c r="AO713" s="181"/>
      <c r="AP713" s="181"/>
      <c r="AQ713" s="181"/>
      <c r="AR713" s="181"/>
      <c r="AS713" s="181"/>
    </row>
    <row r="714" spans="1:45" s="174" customFormat="1" ht="35" hidden="1" customHeight="1">
      <c r="A714" s="181">
        <f>ROW()-3</f>
        <v>711</v>
      </c>
      <c r="B714" s="181" t="s">
        <v>1577</v>
      </c>
      <c r="C714" s="181" t="s">
        <v>2723</v>
      </c>
      <c r="D714" s="181" t="s">
        <v>1578</v>
      </c>
      <c r="E714" s="181" t="s">
        <v>1943</v>
      </c>
      <c r="F714" s="181" t="s">
        <v>2034</v>
      </c>
      <c r="G714" s="181" t="s">
        <v>2035</v>
      </c>
      <c r="H714" s="181" t="s">
        <v>1901</v>
      </c>
      <c r="I714" s="181" t="s">
        <v>29</v>
      </c>
      <c r="J714" s="181" t="s">
        <v>34</v>
      </c>
      <c r="K714" s="181" t="s">
        <v>154</v>
      </c>
      <c r="L714" s="177">
        <v>43976</v>
      </c>
      <c r="M714" s="181">
        <v>166</v>
      </c>
      <c r="N714" s="179">
        <v>6.48</v>
      </c>
      <c r="O714" s="181" t="s">
        <v>20</v>
      </c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  <c r="AC714" s="181"/>
      <c r="AD714" s="181"/>
      <c r="AE714" s="181"/>
      <c r="AF714" s="181"/>
      <c r="AG714" s="181"/>
      <c r="AH714" s="181"/>
      <c r="AI714" s="181"/>
      <c r="AJ714" s="181"/>
      <c r="AK714" s="181"/>
      <c r="AL714" s="181"/>
      <c r="AM714" s="181"/>
      <c r="AN714" s="181"/>
      <c r="AO714" s="181"/>
      <c r="AP714" s="181"/>
      <c r="AQ714" s="181"/>
      <c r="AR714" s="181"/>
      <c r="AS714" s="181"/>
    </row>
    <row r="715" spans="1:45" s="174" customFormat="1" ht="35" hidden="1" customHeight="1">
      <c r="A715" s="181">
        <f>ROW()-3</f>
        <v>712</v>
      </c>
      <c r="B715" s="181" t="s">
        <v>1577</v>
      </c>
      <c r="C715" s="181" t="s">
        <v>2723</v>
      </c>
      <c r="D715" s="181" t="s">
        <v>1578</v>
      </c>
      <c r="E715" s="181" t="s">
        <v>1823</v>
      </c>
      <c r="F715" s="181" t="s">
        <v>2036</v>
      </c>
      <c r="G715" s="181" t="s">
        <v>2037</v>
      </c>
      <c r="H715" s="181" t="s">
        <v>1913</v>
      </c>
      <c r="I715" s="181" t="s">
        <v>29</v>
      </c>
      <c r="J715" s="181" t="s">
        <v>34</v>
      </c>
      <c r="K715" s="181" t="s">
        <v>154</v>
      </c>
      <c r="L715" s="177">
        <v>43978</v>
      </c>
      <c r="M715" s="181">
        <v>29</v>
      </c>
      <c r="N715" s="179">
        <v>4.3899999999999997</v>
      </c>
      <c r="O715" s="181" t="s">
        <v>20</v>
      </c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  <c r="AC715" s="181"/>
      <c r="AD715" s="181"/>
      <c r="AE715" s="181"/>
      <c r="AF715" s="181"/>
      <c r="AG715" s="181"/>
      <c r="AH715" s="181"/>
      <c r="AI715" s="181"/>
      <c r="AJ715" s="181"/>
      <c r="AK715" s="181"/>
      <c r="AL715" s="181"/>
      <c r="AM715" s="181"/>
      <c r="AN715" s="181"/>
      <c r="AO715" s="181"/>
      <c r="AP715" s="181"/>
      <c r="AQ715" s="181"/>
      <c r="AR715" s="181"/>
      <c r="AS715" s="181"/>
    </row>
    <row r="716" spans="1:45" s="174" customFormat="1" ht="35" hidden="1" customHeight="1">
      <c r="A716" s="181">
        <f>ROW()-3</f>
        <v>713</v>
      </c>
      <c r="B716" s="181" t="s">
        <v>1577</v>
      </c>
      <c r="C716" s="181" t="s">
        <v>2723</v>
      </c>
      <c r="D716" s="181" t="s">
        <v>1578</v>
      </c>
      <c r="E716" s="181" t="s">
        <v>5438</v>
      </c>
      <c r="F716" s="181" t="s">
        <v>5437</v>
      </c>
      <c r="G716" s="181" t="s">
        <v>2038</v>
      </c>
      <c r="H716" s="181" t="s">
        <v>1829</v>
      </c>
      <c r="I716" s="181" t="s">
        <v>29</v>
      </c>
      <c r="J716" s="181" t="s">
        <v>34</v>
      </c>
      <c r="K716" s="181" t="s">
        <v>154</v>
      </c>
      <c r="L716" s="177">
        <v>43978</v>
      </c>
      <c r="M716" s="181">
        <v>7</v>
      </c>
      <c r="N716" s="179">
        <v>2.98</v>
      </c>
      <c r="O716" s="181" t="s">
        <v>20</v>
      </c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  <c r="AC716" s="181"/>
      <c r="AD716" s="181"/>
      <c r="AE716" s="181"/>
      <c r="AF716" s="181"/>
      <c r="AG716" s="181"/>
      <c r="AH716" s="181"/>
      <c r="AI716" s="181"/>
      <c r="AJ716" s="181"/>
      <c r="AK716" s="181"/>
      <c r="AL716" s="181"/>
      <c r="AM716" s="181"/>
      <c r="AN716" s="181"/>
      <c r="AO716" s="181"/>
      <c r="AP716" s="181"/>
      <c r="AQ716" s="181"/>
      <c r="AR716" s="181"/>
      <c r="AS716" s="181"/>
    </row>
    <row r="717" spans="1:45" s="174" customFormat="1" ht="35" hidden="1" customHeight="1">
      <c r="A717" s="181">
        <f>ROW()-3</f>
        <v>714</v>
      </c>
      <c r="B717" s="181" t="s">
        <v>1577</v>
      </c>
      <c r="C717" s="181" t="s">
        <v>2723</v>
      </c>
      <c r="D717" s="181" t="s">
        <v>1578</v>
      </c>
      <c r="E717" s="181" t="s">
        <v>1826</v>
      </c>
      <c r="F717" s="181" t="s">
        <v>2039</v>
      </c>
      <c r="G717" s="181" t="s">
        <v>2040</v>
      </c>
      <c r="H717" s="181" t="s">
        <v>1918</v>
      </c>
      <c r="I717" s="181" t="s">
        <v>29</v>
      </c>
      <c r="J717" s="181" t="s">
        <v>34</v>
      </c>
      <c r="K717" s="181" t="s">
        <v>154</v>
      </c>
      <c r="L717" s="177">
        <v>43978</v>
      </c>
      <c r="M717" s="181">
        <v>8</v>
      </c>
      <c r="N717" s="179">
        <v>5.14</v>
      </c>
      <c r="O717" s="181" t="s">
        <v>20</v>
      </c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  <c r="AC717" s="181"/>
      <c r="AD717" s="181"/>
      <c r="AE717" s="181"/>
      <c r="AF717" s="181"/>
      <c r="AG717" s="181"/>
      <c r="AH717" s="181"/>
      <c r="AI717" s="181"/>
      <c r="AJ717" s="181"/>
      <c r="AK717" s="181"/>
      <c r="AL717" s="181"/>
      <c r="AM717" s="181"/>
      <c r="AN717" s="181"/>
      <c r="AO717" s="181"/>
      <c r="AP717" s="181"/>
      <c r="AQ717" s="181"/>
      <c r="AR717" s="181"/>
      <c r="AS717" s="181"/>
    </row>
    <row r="718" spans="1:45" s="174" customFormat="1" ht="35" hidden="1" customHeight="1">
      <c r="A718" s="174">
        <f>ROW()-3</f>
        <v>715</v>
      </c>
      <c r="B718" s="174" t="s">
        <v>1577</v>
      </c>
      <c r="C718" s="174" t="s">
        <v>2723</v>
      </c>
      <c r="D718" s="174" t="s">
        <v>1578</v>
      </c>
      <c r="E718" s="174" t="s">
        <v>1826</v>
      </c>
      <c r="F718" s="174" t="s">
        <v>2041</v>
      </c>
      <c r="G718" s="174" t="s">
        <v>2042</v>
      </c>
      <c r="H718" s="174" t="s">
        <v>1913</v>
      </c>
      <c r="I718" s="174" t="s">
        <v>29</v>
      </c>
      <c r="J718" s="174" t="s">
        <v>34</v>
      </c>
      <c r="K718" s="174" t="s">
        <v>154</v>
      </c>
      <c r="L718" s="177">
        <v>43978</v>
      </c>
      <c r="M718" s="174">
        <v>8</v>
      </c>
      <c r="N718" s="179">
        <v>0.55000000000000004</v>
      </c>
      <c r="O718" s="174" t="s">
        <v>20</v>
      </c>
    </row>
    <row r="719" spans="1:45" s="174" customFormat="1" ht="35" hidden="1" customHeight="1">
      <c r="A719" s="174">
        <f>ROW()-3</f>
        <v>716</v>
      </c>
      <c r="B719" s="174" t="s">
        <v>1577</v>
      </c>
      <c r="C719" s="174" t="s">
        <v>2723</v>
      </c>
      <c r="D719" s="174" t="s">
        <v>1578</v>
      </c>
      <c r="E719" s="174" t="s">
        <v>1826</v>
      </c>
      <c r="F719" s="174" t="s">
        <v>2043</v>
      </c>
      <c r="G719" s="174" t="s">
        <v>2044</v>
      </c>
      <c r="H719" s="174" t="s">
        <v>1829</v>
      </c>
      <c r="I719" s="174" t="s">
        <v>29</v>
      </c>
      <c r="J719" s="174" t="s">
        <v>34</v>
      </c>
      <c r="K719" s="174" t="s">
        <v>154</v>
      </c>
      <c r="L719" s="177">
        <v>43978</v>
      </c>
      <c r="M719" s="174">
        <v>5</v>
      </c>
      <c r="N719" s="179">
        <v>0.28999999999999998</v>
      </c>
      <c r="O719" s="174" t="s">
        <v>20</v>
      </c>
    </row>
    <row r="720" spans="1:45" s="174" customFormat="1" ht="35" hidden="1" customHeight="1">
      <c r="A720" s="174">
        <f>ROW()-3</f>
        <v>717</v>
      </c>
      <c r="B720" s="174" t="s">
        <v>1577</v>
      </c>
      <c r="C720" s="174" t="s">
        <v>2723</v>
      </c>
      <c r="D720" s="174" t="s">
        <v>1578</v>
      </c>
      <c r="E720" s="174" t="s">
        <v>1826</v>
      </c>
      <c r="F720" s="174" t="s">
        <v>2045</v>
      </c>
      <c r="G720" s="174" t="s">
        <v>2044</v>
      </c>
      <c r="H720" s="174" t="s">
        <v>1829</v>
      </c>
      <c r="I720" s="174" t="s">
        <v>29</v>
      </c>
      <c r="J720" s="174" t="s">
        <v>34</v>
      </c>
      <c r="K720" s="174" t="s">
        <v>154</v>
      </c>
      <c r="L720" s="177">
        <v>43978</v>
      </c>
      <c r="M720" s="174">
        <v>7</v>
      </c>
      <c r="N720" s="179">
        <v>0.5</v>
      </c>
      <c r="O720" s="174" t="s">
        <v>20</v>
      </c>
    </row>
    <row r="721" spans="1:15" s="174" customFormat="1" ht="35" hidden="1" customHeight="1">
      <c r="A721" s="174">
        <f>ROW()-3</f>
        <v>718</v>
      </c>
      <c r="B721" s="174" t="s">
        <v>1577</v>
      </c>
      <c r="C721" s="174" t="s">
        <v>2723</v>
      </c>
      <c r="D721" s="174" t="s">
        <v>1578</v>
      </c>
      <c r="E721" s="174" t="s">
        <v>1826</v>
      </c>
      <c r="F721" s="174" t="s">
        <v>2046</v>
      </c>
      <c r="G721" s="174" t="s">
        <v>2044</v>
      </c>
      <c r="H721" s="174" t="s">
        <v>1829</v>
      </c>
      <c r="I721" s="174" t="s">
        <v>29</v>
      </c>
      <c r="J721" s="174" t="s">
        <v>34</v>
      </c>
      <c r="K721" s="174" t="s">
        <v>154</v>
      </c>
      <c r="L721" s="177">
        <v>43978</v>
      </c>
      <c r="M721" s="174">
        <v>1</v>
      </c>
      <c r="N721" s="179">
        <v>0.03</v>
      </c>
      <c r="O721" s="174" t="s">
        <v>20</v>
      </c>
    </row>
    <row r="722" spans="1:15" s="174" customFormat="1" ht="35" hidden="1" customHeight="1">
      <c r="A722" s="174">
        <f>ROW()-3</f>
        <v>719</v>
      </c>
      <c r="B722" s="174" t="s">
        <v>1577</v>
      </c>
      <c r="C722" s="174" t="s">
        <v>2723</v>
      </c>
      <c r="D722" s="174" t="s">
        <v>1578</v>
      </c>
      <c r="E722" s="174" t="s">
        <v>1826</v>
      </c>
      <c r="F722" s="174" t="s">
        <v>2047</v>
      </c>
      <c r="G722" s="174" t="s">
        <v>2044</v>
      </c>
      <c r="H722" s="174" t="s">
        <v>1829</v>
      </c>
      <c r="I722" s="174" t="s">
        <v>29</v>
      </c>
      <c r="J722" s="174" t="s">
        <v>34</v>
      </c>
      <c r="K722" s="174" t="s">
        <v>154</v>
      </c>
      <c r="L722" s="177">
        <v>43978</v>
      </c>
      <c r="M722" s="174">
        <v>7</v>
      </c>
      <c r="N722" s="179">
        <v>0.34</v>
      </c>
      <c r="O722" s="174" t="s">
        <v>20</v>
      </c>
    </row>
    <row r="723" spans="1:15" s="174" customFormat="1" ht="35" hidden="1" customHeight="1">
      <c r="A723" s="174">
        <f>ROW()-3</f>
        <v>720</v>
      </c>
      <c r="B723" s="174" t="s">
        <v>1577</v>
      </c>
      <c r="C723" s="174" t="s">
        <v>2723</v>
      </c>
      <c r="D723" s="174" t="s">
        <v>1578</v>
      </c>
      <c r="E723" s="174" t="s">
        <v>1826</v>
      </c>
      <c r="F723" s="174" t="s">
        <v>2048</v>
      </c>
      <c r="G723" s="174" t="s">
        <v>2044</v>
      </c>
      <c r="H723" s="174" t="s">
        <v>1829</v>
      </c>
      <c r="I723" s="174" t="s">
        <v>29</v>
      </c>
      <c r="J723" s="174" t="s">
        <v>34</v>
      </c>
      <c r="K723" s="174" t="s">
        <v>154</v>
      </c>
      <c r="L723" s="177">
        <v>43978</v>
      </c>
      <c r="M723" s="174">
        <v>1</v>
      </c>
      <c r="N723" s="179">
        <v>0.28999999999999998</v>
      </c>
      <c r="O723" s="174" t="s">
        <v>20</v>
      </c>
    </row>
    <row r="724" spans="1:15" s="174" customFormat="1" ht="35" hidden="1" customHeight="1">
      <c r="A724" s="174">
        <f>ROW()-3</f>
        <v>721</v>
      </c>
      <c r="B724" s="174" t="s">
        <v>1577</v>
      </c>
      <c r="C724" s="174" t="s">
        <v>2723</v>
      </c>
      <c r="D724" s="174" t="s">
        <v>1578</v>
      </c>
      <c r="E724" s="174" t="s">
        <v>2049</v>
      </c>
      <c r="F724" s="174" t="s">
        <v>2050</v>
      </c>
      <c r="G724" s="174" t="s">
        <v>2051</v>
      </c>
      <c r="H724" s="174" t="s">
        <v>1829</v>
      </c>
      <c r="I724" s="174" t="s">
        <v>29</v>
      </c>
      <c r="J724" s="174" t="s">
        <v>34</v>
      </c>
      <c r="K724" s="174" t="s">
        <v>154</v>
      </c>
      <c r="L724" s="177">
        <v>43978</v>
      </c>
      <c r="M724" s="174">
        <v>4</v>
      </c>
      <c r="N724" s="179">
        <v>5.35</v>
      </c>
      <c r="O724" s="174" t="s">
        <v>20</v>
      </c>
    </row>
    <row r="725" spans="1:15" s="174" customFormat="1" ht="35" hidden="1" customHeight="1">
      <c r="A725" s="174">
        <f>ROW()-3</f>
        <v>722</v>
      </c>
      <c r="B725" s="174" t="s">
        <v>1577</v>
      </c>
      <c r="C725" s="174" t="s">
        <v>2723</v>
      </c>
      <c r="D725" s="174" t="s">
        <v>1578</v>
      </c>
      <c r="E725" s="174" t="s">
        <v>2052</v>
      </c>
      <c r="F725" s="174" t="s">
        <v>2053</v>
      </c>
      <c r="G725" s="174" t="s">
        <v>2044</v>
      </c>
      <c r="H725" s="174" t="s">
        <v>1829</v>
      </c>
      <c r="I725" s="174" t="s">
        <v>29</v>
      </c>
      <c r="J725" s="174" t="s">
        <v>34</v>
      </c>
      <c r="K725" s="174" t="s">
        <v>154</v>
      </c>
      <c r="L725" s="177">
        <v>43978</v>
      </c>
      <c r="M725" s="174">
        <v>8</v>
      </c>
      <c r="N725" s="179">
        <v>0.64</v>
      </c>
      <c r="O725" s="174" t="s">
        <v>20</v>
      </c>
    </row>
    <row r="726" spans="1:15" s="174" customFormat="1" ht="35" hidden="1" customHeight="1">
      <c r="A726" s="174">
        <f>ROW()-3</f>
        <v>723</v>
      </c>
      <c r="B726" s="174" t="s">
        <v>1577</v>
      </c>
      <c r="C726" s="174" t="s">
        <v>2723</v>
      </c>
      <c r="D726" s="174" t="s">
        <v>1578</v>
      </c>
      <c r="E726" s="174" t="s">
        <v>2052</v>
      </c>
      <c r="F726" s="174" t="s">
        <v>2054</v>
      </c>
      <c r="G726" s="174" t="s">
        <v>2044</v>
      </c>
      <c r="H726" s="174" t="s">
        <v>1913</v>
      </c>
      <c r="I726" s="174" t="s">
        <v>29</v>
      </c>
      <c r="J726" s="174" t="s">
        <v>34</v>
      </c>
      <c r="K726" s="174" t="s">
        <v>154</v>
      </c>
      <c r="L726" s="177">
        <v>43978</v>
      </c>
      <c r="M726" s="174">
        <v>9</v>
      </c>
      <c r="N726" s="179">
        <v>0.51</v>
      </c>
      <c r="O726" s="174" t="s">
        <v>20</v>
      </c>
    </row>
    <row r="727" spans="1:15" s="174" customFormat="1" ht="35" hidden="1" customHeight="1">
      <c r="A727" s="174">
        <f>ROW()-3</f>
        <v>724</v>
      </c>
      <c r="B727" s="174" t="s">
        <v>1577</v>
      </c>
      <c r="C727" s="174" t="s">
        <v>2723</v>
      </c>
      <c r="D727" s="174" t="s">
        <v>1578</v>
      </c>
      <c r="E727" s="174" t="s">
        <v>2055</v>
      </c>
      <c r="F727" s="174" t="s">
        <v>2056</v>
      </c>
      <c r="G727" s="174" t="s">
        <v>2044</v>
      </c>
      <c r="H727" s="174" t="s">
        <v>1829</v>
      </c>
      <c r="I727" s="174" t="s">
        <v>29</v>
      </c>
      <c r="J727" s="174" t="s">
        <v>34</v>
      </c>
      <c r="K727" s="174" t="s">
        <v>154</v>
      </c>
      <c r="L727" s="177">
        <v>43978</v>
      </c>
      <c r="M727" s="174">
        <v>10</v>
      </c>
      <c r="N727" s="179">
        <v>0.47</v>
      </c>
      <c r="O727" s="174" t="s">
        <v>20</v>
      </c>
    </row>
    <row r="728" spans="1:15" s="174" customFormat="1" ht="35" hidden="1" customHeight="1">
      <c r="A728" s="174">
        <f>ROW()-3</f>
        <v>725</v>
      </c>
      <c r="B728" s="174" t="s">
        <v>1577</v>
      </c>
      <c r="C728" s="174" t="s">
        <v>2723</v>
      </c>
      <c r="D728" s="174" t="s">
        <v>1578</v>
      </c>
      <c r="E728" s="174" t="s">
        <v>2055</v>
      </c>
      <c r="F728" s="174" t="s">
        <v>2057</v>
      </c>
      <c r="G728" s="174" t="s">
        <v>2058</v>
      </c>
      <c r="H728" s="174" t="s">
        <v>1913</v>
      </c>
      <c r="I728" s="174" t="s">
        <v>29</v>
      </c>
      <c r="J728" s="174" t="s">
        <v>34</v>
      </c>
      <c r="K728" s="174" t="s">
        <v>154</v>
      </c>
      <c r="L728" s="177">
        <v>43978</v>
      </c>
      <c r="M728" s="174">
        <v>1</v>
      </c>
      <c r="N728" s="179">
        <v>0.15</v>
      </c>
      <c r="O728" s="174" t="s">
        <v>20</v>
      </c>
    </row>
    <row r="729" spans="1:15" s="174" customFormat="1" ht="35" hidden="1" customHeight="1">
      <c r="A729" s="174">
        <f>ROW()-3</f>
        <v>726</v>
      </c>
      <c r="B729" s="174" t="s">
        <v>1577</v>
      </c>
      <c r="C729" s="174" t="s">
        <v>2723</v>
      </c>
      <c r="D729" s="174" t="s">
        <v>1578</v>
      </c>
      <c r="E729" s="174" t="s">
        <v>2055</v>
      </c>
      <c r="F729" s="174" t="s">
        <v>2059</v>
      </c>
      <c r="G729" s="174" t="s">
        <v>2044</v>
      </c>
      <c r="H729" s="174" t="s">
        <v>1829</v>
      </c>
      <c r="I729" s="174" t="s">
        <v>29</v>
      </c>
      <c r="J729" s="174" t="s">
        <v>34</v>
      </c>
      <c r="K729" s="174" t="s">
        <v>154</v>
      </c>
      <c r="L729" s="177">
        <v>43978</v>
      </c>
      <c r="M729" s="174">
        <v>7</v>
      </c>
      <c r="N729" s="179">
        <v>0.32</v>
      </c>
      <c r="O729" s="174" t="s">
        <v>20</v>
      </c>
    </row>
    <row r="730" spans="1:15" s="174" customFormat="1" ht="35" hidden="1" customHeight="1">
      <c r="A730" s="174">
        <f>ROW()-3</f>
        <v>727</v>
      </c>
      <c r="B730" s="174" t="s">
        <v>1577</v>
      </c>
      <c r="C730" s="174" t="s">
        <v>2723</v>
      </c>
      <c r="D730" s="174" t="s">
        <v>1578</v>
      </c>
      <c r="E730" s="174" t="s">
        <v>2055</v>
      </c>
      <c r="F730" s="174" t="s">
        <v>2060</v>
      </c>
      <c r="G730" s="174" t="s">
        <v>2061</v>
      </c>
      <c r="H730" s="174" t="s">
        <v>1829</v>
      </c>
      <c r="I730" s="174" t="s">
        <v>29</v>
      </c>
      <c r="J730" s="174" t="s">
        <v>34</v>
      </c>
      <c r="K730" s="174" t="s">
        <v>154</v>
      </c>
      <c r="L730" s="177">
        <v>43978</v>
      </c>
      <c r="M730" s="174">
        <v>6</v>
      </c>
      <c r="N730" s="179">
        <v>0.61</v>
      </c>
      <c r="O730" s="174" t="s">
        <v>20</v>
      </c>
    </row>
    <row r="731" spans="1:15" s="174" customFormat="1" ht="35" hidden="1" customHeight="1">
      <c r="A731" s="174">
        <f>ROW()-3</f>
        <v>728</v>
      </c>
      <c r="B731" s="174" t="s">
        <v>1577</v>
      </c>
      <c r="C731" s="174" t="s">
        <v>2723</v>
      </c>
      <c r="D731" s="174" t="s">
        <v>1578</v>
      </c>
      <c r="E731" s="174" t="s">
        <v>1878</v>
      </c>
      <c r="F731" s="174" t="s">
        <v>2062</v>
      </c>
      <c r="G731" s="174" t="s">
        <v>2062</v>
      </c>
      <c r="H731" s="174" t="s">
        <v>1829</v>
      </c>
      <c r="I731" s="174" t="s">
        <v>29</v>
      </c>
      <c r="J731" s="174" t="s">
        <v>34</v>
      </c>
      <c r="K731" s="174" t="s">
        <v>154</v>
      </c>
      <c r="L731" s="177">
        <v>43978</v>
      </c>
      <c r="M731" s="174">
        <v>6</v>
      </c>
      <c r="N731" s="179">
        <v>0.4</v>
      </c>
      <c r="O731" s="174" t="s">
        <v>20</v>
      </c>
    </row>
    <row r="732" spans="1:15" s="174" customFormat="1" ht="35" hidden="1" customHeight="1">
      <c r="A732" s="174">
        <f>ROW()-3</f>
        <v>729</v>
      </c>
      <c r="B732" s="174" t="s">
        <v>1577</v>
      </c>
      <c r="C732" s="174" t="s">
        <v>2723</v>
      </c>
      <c r="D732" s="174" t="s">
        <v>1578</v>
      </c>
      <c r="E732" s="174" t="s">
        <v>1881</v>
      </c>
      <c r="F732" s="174" t="s">
        <v>2063</v>
      </c>
      <c r="G732" s="174" t="s">
        <v>2064</v>
      </c>
      <c r="H732" s="174" t="s">
        <v>1918</v>
      </c>
      <c r="I732" s="174" t="s">
        <v>29</v>
      </c>
      <c r="J732" s="174" t="s">
        <v>34</v>
      </c>
      <c r="K732" s="174" t="s">
        <v>154</v>
      </c>
      <c r="L732" s="177">
        <v>43978</v>
      </c>
      <c r="M732" s="174">
        <v>5</v>
      </c>
      <c r="N732" s="179">
        <v>3.09</v>
      </c>
      <c r="O732" s="174" t="s">
        <v>20</v>
      </c>
    </row>
    <row r="733" spans="1:15" s="174" customFormat="1" ht="35" hidden="1" customHeight="1">
      <c r="A733" s="174">
        <f>ROW()-3</f>
        <v>730</v>
      </c>
      <c r="B733" s="174" t="s">
        <v>1577</v>
      </c>
      <c r="C733" s="174" t="s">
        <v>2723</v>
      </c>
      <c r="D733" s="174" t="s">
        <v>1578</v>
      </c>
      <c r="E733" s="174" t="s">
        <v>1884</v>
      </c>
      <c r="F733" s="174" t="s">
        <v>2065</v>
      </c>
      <c r="G733" s="174" t="s">
        <v>2066</v>
      </c>
      <c r="H733" s="174" t="s">
        <v>1829</v>
      </c>
      <c r="I733" s="174" t="s">
        <v>29</v>
      </c>
      <c r="J733" s="174" t="s">
        <v>34</v>
      </c>
      <c r="K733" s="174" t="s">
        <v>154</v>
      </c>
      <c r="L733" s="177">
        <v>43978</v>
      </c>
      <c r="M733" s="174">
        <v>6</v>
      </c>
      <c r="N733" s="179">
        <v>1.2</v>
      </c>
      <c r="O733" s="174" t="s">
        <v>20</v>
      </c>
    </row>
    <row r="734" spans="1:15" s="174" customFormat="1" ht="35" hidden="1" customHeight="1">
      <c r="A734" s="174">
        <f>ROW()-3</f>
        <v>731</v>
      </c>
      <c r="B734" s="174" t="s">
        <v>1577</v>
      </c>
      <c r="C734" s="174" t="s">
        <v>2723</v>
      </c>
      <c r="D734" s="174" t="s">
        <v>1578</v>
      </c>
      <c r="E734" s="174" t="s">
        <v>1884</v>
      </c>
      <c r="F734" s="174" t="s">
        <v>2067</v>
      </c>
      <c r="G734" s="174" t="s">
        <v>2068</v>
      </c>
      <c r="H734" s="174" t="s">
        <v>1829</v>
      </c>
      <c r="I734" s="174" t="s">
        <v>29</v>
      </c>
      <c r="J734" s="174" t="s">
        <v>34</v>
      </c>
      <c r="K734" s="174" t="s">
        <v>154</v>
      </c>
      <c r="L734" s="177">
        <v>43978</v>
      </c>
      <c r="M734" s="174">
        <v>5</v>
      </c>
      <c r="N734" s="179">
        <v>2.48</v>
      </c>
      <c r="O734" s="174" t="s">
        <v>20</v>
      </c>
    </row>
    <row r="735" spans="1:15" s="174" customFormat="1" ht="35" hidden="1" customHeight="1">
      <c r="A735" s="174">
        <f>ROW()-3</f>
        <v>732</v>
      </c>
      <c r="B735" s="174" t="s">
        <v>1577</v>
      </c>
      <c r="C735" s="174" t="s">
        <v>2723</v>
      </c>
      <c r="D735" s="174" t="s">
        <v>1578</v>
      </c>
      <c r="E735" s="174" t="s">
        <v>1884</v>
      </c>
      <c r="F735" s="174" t="s">
        <v>2069</v>
      </c>
      <c r="G735" s="174" t="s">
        <v>2070</v>
      </c>
      <c r="H735" s="174" t="s">
        <v>1829</v>
      </c>
      <c r="I735" s="174" t="s">
        <v>29</v>
      </c>
      <c r="J735" s="174" t="s">
        <v>34</v>
      </c>
      <c r="K735" s="174" t="s">
        <v>154</v>
      </c>
      <c r="L735" s="177">
        <v>43978</v>
      </c>
      <c r="M735" s="174">
        <v>7</v>
      </c>
      <c r="N735" s="179">
        <v>0.14000000000000001</v>
      </c>
      <c r="O735" s="174" t="s">
        <v>20</v>
      </c>
    </row>
    <row r="736" spans="1:15" s="174" customFormat="1" ht="35" hidden="1" customHeight="1">
      <c r="A736" s="174">
        <f>ROW()-3</f>
        <v>733</v>
      </c>
      <c r="B736" s="174" t="s">
        <v>1577</v>
      </c>
      <c r="C736" s="174" t="s">
        <v>2723</v>
      </c>
      <c r="D736" s="174" t="s">
        <v>1578</v>
      </c>
      <c r="E736" s="174" t="s">
        <v>1884</v>
      </c>
      <c r="F736" s="174" t="s">
        <v>2071</v>
      </c>
      <c r="G736" s="174" t="s">
        <v>2072</v>
      </c>
      <c r="H736" s="174" t="s">
        <v>1829</v>
      </c>
      <c r="I736" s="174" t="s">
        <v>29</v>
      </c>
      <c r="J736" s="174" t="s">
        <v>34</v>
      </c>
      <c r="K736" s="174" t="s">
        <v>154</v>
      </c>
      <c r="L736" s="177">
        <v>43978</v>
      </c>
      <c r="M736" s="174">
        <v>5</v>
      </c>
      <c r="N736" s="179">
        <v>3.32</v>
      </c>
      <c r="O736" s="174" t="s">
        <v>20</v>
      </c>
    </row>
    <row r="737" spans="1:15" s="174" customFormat="1" ht="35" hidden="1" customHeight="1">
      <c r="A737" s="174">
        <f>ROW()-3</f>
        <v>734</v>
      </c>
      <c r="B737" s="174" t="s">
        <v>1577</v>
      </c>
      <c r="C737" s="174" t="s">
        <v>2723</v>
      </c>
      <c r="D737" s="174" t="s">
        <v>1578</v>
      </c>
      <c r="E737" s="174" t="s">
        <v>1884</v>
      </c>
      <c r="F737" s="174" t="s">
        <v>2073</v>
      </c>
      <c r="G737" s="174" t="s">
        <v>2074</v>
      </c>
      <c r="H737" s="174" t="s">
        <v>1829</v>
      </c>
      <c r="I737" s="174" t="s">
        <v>29</v>
      </c>
      <c r="J737" s="174" t="s">
        <v>34</v>
      </c>
      <c r="K737" s="174" t="s">
        <v>154</v>
      </c>
      <c r="L737" s="177">
        <v>43978</v>
      </c>
      <c r="M737" s="174">
        <v>10</v>
      </c>
      <c r="N737" s="179">
        <v>0.19</v>
      </c>
      <c r="O737" s="174" t="s">
        <v>20</v>
      </c>
    </row>
    <row r="738" spans="1:15" s="174" customFormat="1" ht="35" hidden="1" customHeight="1">
      <c r="A738" s="174">
        <f>ROW()-3</f>
        <v>735</v>
      </c>
      <c r="B738" s="174" t="s">
        <v>1577</v>
      </c>
      <c r="C738" s="174" t="s">
        <v>2723</v>
      </c>
      <c r="D738" s="174" t="s">
        <v>1578</v>
      </c>
      <c r="E738" s="174" t="s">
        <v>1884</v>
      </c>
      <c r="F738" s="174" t="s">
        <v>2075</v>
      </c>
      <c r="G738" s="174" t="s">
        <v>2076</v>
      </c>
      <c r="H738" s="174" t="s">
        <v>1913</v>
      </c>
      <c r="I738" s="174" t="s">
        <v>29</v>
      </c>
      <c r="J738" s="174" t="s">
        <v>34</v>
      </c>
      <c r="K738" s="174" t="s">
        <v>154</v>
      </c>
      <c r="L738" s="177">
        <v>43978</v>
      </c>
      <c r="M738" s="174">
        <v>16</v>
      </c>
      <c r="N738" s="179">
        <v>2.16</v>
      </c>
      <c r="O738" s="174" t="s">
        <v>20</v>
      </c>
    </row>
    <row r="739" spans="1:15" s="174" customFormat="1" ht="35" hidden="1" customHeight="1">
      <c r="A739" s="174">
        <f>ROW()-3</f>
        <v>736</v>
      </c>
      <c r="B739" s="174" t="s">
        <v>1577</v>
      </c>
      <c r="C739" s="174" t="s">
        <v>2723</v>
      </c>
      <c r="D739" s="174" t="s">
        <v>1578</v>
      </c>
      <c r="E739" s="174" t="s">
        <v>1943</v>
      </c>
      <c r="F739" s="174" t="s">
        <v>2077</v>
      </c>
      <c r="G739" s="174" t="s">
        <v>2078</v>
      </c>
      <c r="H739" s="174" t="s">
        <v>1829</v>
      </c>
      <c r="I739" s="174" t="s">
        <v>29</v>
      </c>
      <c r="J739" s="174" t="s">
        <v>34</v>
      </c>
      <c r="K739" s="174" t="s">
        <v>154</v>
      </c>
      <c r="L739" s="177">
        <v>43978</v>
      </c>
      <c r="M739" s="174">
        <v>17</v>
      </c>
      <c r="N739" s="179">
        <v>4.18</v>
      </c>
      <c r="O739" s="174" t="s">
        <v>20</v>
      </c>
    </row>
    <row r="740" spans="1:15" s="174" customFormat="1" ht="35" hidden="1" customHeight="1">
      <c r="A740" s="174">
        <f>ROW()-3</f>
        <v>737</v>
      </c>
      <c r="B740" s="174" t="s">
        <v>1577</v>
      </c>
      <c r="C740" s="174" t="s">
        <v>2723</v>
      </c>
      <c r="D740" s="174" t="s">
        <v>1578</v>
      </c>
      <c r="E740" s="174" t="s">
        <v>1943</v>
      </c>
      <c r="F740" s="174" t="s">
        <v>2079</v>
      </c>
      <c r="G740" s="174" t="s">
        <v>2080</v>
      </c>
      <c r="H740" s="174" t="s">
        <v>1829</v>
      </c>
      <c r="I740" s="174" t="s">
        <v>29</v>
      </c>
      <c r="J740" s="174" t="s">
        <v>34</v>
      </c>
      <c r="K740" s="174" t="s">
        <v>154</v>
      </c>
      <c r="L740" s="177">
        <v>43978</v>
      </c>
      <c r="M740" s="174">
        <v>9</v>
      </c>
      <c r="N740" s="179">
        <v>1.01</v>
      </c>
      <c r="O740" s="174" t="s">
        <v>20</v>
      </c>
    </row>
    <row r="741" spans="1:15" s="174" customFormat="1" ht="35" hidden="1" customHeight="1">
      <c r="A741" s="174">
        <f>ROW()-3</f>
        <v>738</v>
      </c>
      <c r="B741" s="174" t="s">
        <v>1577</v>
      </c>
      <c r="C741" s="174" t="s">
        <v>2723</v>
      </c>
      <c r="D741" s="174" t="s">
        <v>1578</v>
      </c>
      <c r="E741" s="174" t="s">
        <v>1943</v>
      </c>
      <c r="F741" s="174" t="s">
        <v>2081</v>
      </c>
      <c r="G741" s="174" t="s">
        <v>2082</v>
      </c>
      <c r="H741" s="174" t="s">
        <v>1829</v>
      </c>
      <c r="I741" s="174" t="s">
        <v>29</v>
      </c>
      <c r="J741" s="174" t="s">
        <v>34</v>
      </c>
      <c r="K741" s="174" t="s">
        <v>154</v>
      </c>
      <c r="L741" s="177">
        <v>43978</v>
      </c>
      <c r="M741" s="174">
        <v>44</v>
      </c>
      <c r="N741" s="179">
        <v>1.68</v>
      </c>
      <c r="O741" s="174" t="s">
        <v>20</v>
      </c>
    </row>
    <row r="742" spans="1:15" s="174" customFormat="1" ht="35" hidden="1" customHeight="1">
      <c r="A742" s="174">
        <f>ROW()-3</f>
        <v>739</v>
      </c>
      <c r="B742" s="174" t="s">
        <v>1577</v>
      </c>
      <c r="C742" s="174" t="s">
        <v>2723</v>
      </c>
      <c r="D742" s="174" t="s">
        <v>1578</v>
      </c>
      <c r="E742" s="174" t="s">
        <v>1884</v>
      </c>
      <c r="F742" s="174" t="s">
        <v>2083</v>
      </c>
      <c r="G742" s="174" t="s">
        <v>2084</v>
      </c>
      <c r="H742" s="174" t="s">
        <v>1829</v>
      </c>
      <c r="I742" s="174" t="s">
        <v>29</v>
      </c>
      <c r="J742" s="174" t="s">
        <v>34</v>
      </c>
      <c r="K742" s="174" t="s">
        <v>154</v>
      </c>
      <c r="L742" s="177">
        <v>43978</v>
      </c>
      <c r="M742" s="174">
        <v>1</v>
      </c>
      <c r="N742" s="179">
        <v>0.18</v>
      </c>
      <c r="O742" s="174" t="s">
        <v>20</v>
      </c>
    </row>
    <row r="743" spans="1:15" s="174" customFormat="1" ht="35" hidden="1" customHeight="1">
      <c r="A743" s="174">
        <f>ROW()-3</f>
        <v>740</v>
      </c>
      <c r="B743" s="174" t="s">
        <v>1577</v>
      </c>
      <c r="C743" s="174" t="s">
        <v>2723</v>
      </c>
      <c r="D743" s="174" t="s">
        <v>1578</v>
      </c>
      <c r="E743" s="174" t="s">
        <v>1884</v>
      </c>
      <c r="F743" s="174" t="s">
        <v>2085</v>
      </c>
      <c r="G743" s="174" t="s">
        <v>2086</v>
      </c>
      <c r="H743" s="174" t="s">
        <v>1829</v>
      </c>
      <c r="I743" s="174" t="s">
        <v>29</v>
      </c>
      <c r="J743" s="174" t="s">
        <v>34</v>
      </c>
      <c r="K743" s="174" t="s">
        <v>154</v>
      </c>
      <c r="L743" s="177">
        <v>43978</v>
      </c>
      <c r="M743" s="174">
        <v>1</v>
      </c>
      <c r="N743" s="179">
        <v>0.15</v>
      </c>
      <c r="O743" s="174" t="s">
        <v>20</v>
      </c>
    </row>
    <row r="744" spans="1:15" s="174" customFormat="1" ht="35" hidden="1" customHeight="1">
      <c r="A744" s="174">
        <f>ROW()-3</f>
        <v>741</v>
      </c>
      <c r="B744" s="174" t="s">
        <v>1577</v>
      </c>
      <c r="C744" s="174" t="s">
        <v>2723</v>
      </c>
      <c r="D744" s="174" t="s">
        <v>1578</v>
      </c>
      <c r="E744" s="174" t="s">
        <v>1884</v>
      </c>
      <c r="F744" s="174" t="s">
        <v>2087</v>
      </c>
      <c r="G744" s="174" t="s">
        <v>2088</v>
      </c>
      <c r="H744" s="174" t="s">
        <v>1829</v>
      </c>
      <c r="I744" s="174" t="s">
        <v>29</v>
      </c>
      <c r="J744" s="174" t="s">
        <v>34</v>
      </c>
      <c r="K744" s="174" t="s">
        <v>154</v>
      </c>
      <c r="L744" s="177">
        <v>43978</v>
      </c>
      <c r="M744" s="174">
        <v>8</v>
      </c>
      <c r="N744" s="179">
        <v>0.39</v>
      </c>
      <c r="O744" s="174" t="s">
        <v>20</v>
      </c>
    </row>
    <row r="745" spans="1:15" s="174" customFormat="1" ht="35" hidden="1" customHeight="1">
      <c r="A745" s="174">
        <f>ROW()-3</f>
        <v>742</v>
      </c>
      <c r="B745" s="174" t="s">
        <v>1577</v>
      </c>
      <c r="C745" s="174" t="s">
        <v>2723</v>
      </c>
      <c r="D745" s="174" t="s">
        <v>1578</v>
      </c>
      <c r="E745" s="174" t="s">
        <v>1884</v>
      </c>
      <c r="F745" s="174" t="s">
        <v>2089</v>
      </c>
      <c r="G745" s="174" t="s">
        <v>2090</v>
      </c>
      <c r="H745" s="174" t="s">
        <v>1829</v>
      </c>
      <c r="I745" s="174" t="s">
        <v>29</v>
      </c>
      <c r="J745" s="174" t="s">
        <v>34</v>
      </c>
      <c r="K745" s="174" t="s">
        <v>154</v>
      </c>
      <c r="L745" s="177">
        <v>43978</v>
      </c>
      <c r="M745" s="174">
        <v>12</v>
      </c>
      <c r="N745" s="179">
        <v>0.63</v>
      </c>
      <c r="O745" s="174" t="s">
        <v>20</v>
      </c>
    </row>
    <row r="746" spans="1:15" s="174" customFormat="1" ht="35" hidden="1" customHeight="1">
      <c r="A746" s="174">
        <f>ROW()-3</f>
        <v>743</v>
      </c>
      <c r="B746" s="174" t="s">
        <v>1577</v>
      </c>
      <c r="C746" s="174" t="s">
        <v>2723</v>
      </c>
      <c r="D746" s="174" t="s">
        <v>1578</v>
      </c>
      <c r="E746" s="174" t="s">
        <v>1884</v>
      </c>
      <c r="F746" s="174" t="s">
        <v>2091</v>
      </c>
      <c r="G746" s="174" t="s">
        <v>2092</v>
      </c>
      <c r="H746" s="174" t="s">
        <v>1829</v>
      </c>
      <c r="I746" s="174" t="s">
        <v>29</v>
      </c>
      <c r="J746" s="174" t="s">
        <v>34</v>
      </c>
      <c r="K746" s="174" t="s">
        <v>154</v>
      </c>
      <c r="L746" s="177">
        <v>43978</v>
      </c>
      <c r="M746" s="174">
        <v>25</v>
      </c>
      <c r="N746" s="179">
        <v>4.07</v>
      </c>
      <c r="O746" s="174" t="s">
        <v>20</v>
      </c>
    </row>
    <row r="747" spans="1:15" s="174" customFormat="1" ht="35" hidden="1" customHeight="1">
      <c r="A747" s="174">
        <f>ROW()-3</f>
        <v>744</v>
      </c>
      <c r="B747" s="174" t="s">
        <v>1577</v>
      </c>
      <c r="C747" s="174" t="s">
        <v>2723</v>
      </c>
      <c r="D747" s="174" t="s">
        <v>1578</v>
      </c>
      <c r="E747" s="174" t="s">
        <v>1884</v>
      </c>
      <c r="F747" s="174" t="s">
        <v>2093</v>
      </c>
      <c r="G747" s="174" t="s">
        <v>2094</v>
      </c>
      <c r="H747" s="174" t="s">
        <v>1901</v>
      </c>
      <c r="I747" s="174" t="s">
        <v>29</v>
      </c>
      <c r="J747" s="174" t="s">
        <v>34</v>
      </c>
      <c r="K747" s="174" t="s">
        <v>154</v>
      </c>
      <c r="L747" s="177">
        <v>43978</v>
      </c>
      <c r="M747" s="174">
        <v>8</v>
      </c>
      <c r="N747" s="179">
        <v>1.1100000000000001</v>
      </c>
      <c r="O747" s="174" t="s">
        <v>20</v>
      </c>
    </row>
    <row r="748" spans="1:15" s="174" customFormat="1" ht="35" hidden="1" customHeight="1">
      <c r="A748" s="174">
        <f>ROW()-3</f>
        <v>745</v>
      </c>
      <c r="B748" s="174" t="s">
        <v>1577</v>
      </c>
      <c r="C748" s="174" t="s">
        <v>2723</v>
      </c>
      <c r="D748" s="174" t="s">
        <v>1578</v>
      </c>
      <c r="E748" s="174" t="s">
        <v>1884</v>
      </c>
      <c r="F748" s="174" t="s">
        <v>2095</v>
      </c>
      <c r="G748" s="174" t="s">
        <v>2096</v>
      </c>
      <c r="H748" s="174" t="s">
        <v>1829</v>
      </c>
      <c r="I748" s="174" t="s">
        <v>29</v>
      </c>
      <c r="J748" s="174" t="s">
        <v>34</v>
      </c>
      <c r="K748" s="174" t="s">
        <v>154</v>
      </c>
      <c r="L748" s="177">
        <v>43978</v>
      </c>
      <c r="M748" s="174">
        <v>18</v>
      </c>
      <c r="N748" s="179">
        <v>1.82</v>
      </c>
      <c r="O748" s="174" t="s">
        <v>20</v>
      </c>
    </row>
    <row r="749" spans="1:15" s="174" customFormat="1" ht="35" hidden="1" customHeight="1">
      <c r="A749" s="174">
        <f>ROW()-3</f>
        <v>746</v>
      </c>
      <c r="B749" s="174" t="s">
        <v>1577</v>
      </c>
      <c r="C749" s="174" t="s">
        <v>2723</v>
      </c>
      <c r="D749" s="174" t="s">
        <v>1578</v>
      </c>
      <c r="E749" s="174" t="s">
        <v>1884</v>
      </c>
      <c r="F749" s="174" t="s">
        <v>2097</v>
      </c>
      <c r="G749" s="174" t="s">
        <v>2098</v>
      </c>
      <c r="H749" s="174" t="s">
        <v>2099</v>
      </c>
      <c r="I749" s="174" t="s">
        <v>29</v>
      </c>
      <c r="J749" s="174" t="s">
        <v>34</v>
      </c>
      <c r="K749" s="174" t="s">
        <v>154</v>
      </c>
      <c r="L749" s="177">
        <v>43978</v>
      </c>
      <c r="M749" s="174">
        <v>26</v>
      </c>
      <c r="N749" s="179">
        <v>2.4</v>
      </c>
      <c r="O749" s="174" t="s">
        <v>20</v>
      </c>
    </row>
    <row r="750" spans="1:15" s="174" customFormat="1" ht="35" hidden="1" customHeight="1">
      <c r="A750" s="174">
        <f>ROW()-3</f>
        <v>747</v>
      </c>
      <c r="B750" s="174" t="s">
        <v>1577</v>
      </c>
      <c r="C750" s="174" t="s">
        <v>2723</v>
      </c>
      <c r="D750" s="174" t="s">
        <v>1578</v>
      </c>
      <c r="E750" s="174" t="s">
        <v>1884</v>
      </c>
      <c r="F750" s="174" t="s">
        <v>2100</v>
      </c>
      <c r="G750" s="174" t="s">
        <v>2101</v>
      </c>
      <c r="H750" s="174" t="s">
        <v>1829</v>
      </c>
      <c r="I750" s="174" t="s">
        <v>29</v>
      </c>
      <c r="J750" s="174" t="s">
        <v>34</v>
      </c>
      <c r="K750" s="174" t="s">
        <v>154</v>
      </c>
      <c r="L750" s="177">
        <v>43978</v>
      </c>
      <c r="M750" s="174">
        <v>11</v>
      </c>
      <c r="N750" s="179">
        <v>0.48</v>
      </c>
      <c r="O750" s="174" t="s">
        <v>20</v>
      </c>
    </row>
    <row r="751" spans="1:15" s="174" customFormat="1" ht="35" hidden="1" customHeight="1">
      <c r="A751" s="174">
        <f>ROW()-3</f>
        <v>748</v>
      </c>
      <c r="B751" s="174" t="s">
        <v>1577</v>
      </c>
      <c r="C751" s="174" t="s">
        <v>2723</v>
      </c>
      <c r="D751" s="174" t="s">
        <v>1578</v>
      </c>
      <c r="E751" s="174" t="s">
        <v>1884</v>
      </c>
      <c r="F751" s="174" t="s">
        <v>2102</v>
      </c>
      <c r="G751" s="174" t="s">
        <v>2103</v>
      </c>
      <c r="H751" s="174" t="s">
        <v>1829</v>
      </c>
      <c r="I751" s="174" t="s">
        <v>29</v>
      </c>
      <c r="J751" s="174" t="s">
        <v>34</v>
      </c>
      <c r="K751" s="174" t="s">
        <v>154</v>
      </c>
      <c r="L751" s="177">
        <v>43978</v>
      </c>
      <c r="M751" s="174">
        <v>9</v>
      </c>
      <c r="N751" s="179">
        <v>0.76</v>
      </c>
      <c r="O751" s="174" t="s">
        <v>20</v>
      </c>
    </row>
    <row r="752" spans="1:15" s="174" customFormat="1" ht="35" hidden="1" customHeight="1">
      <c r="A752" s="174">
        <f>ROW()-3</f>
        <v>749</v>
      </c>
      <c r="B752" s="174" t="s">
        <v>1577</v>
      </c>
      <c r="C752" s="174" t="s">
        <v>2723</v>
      </c>
      <c r="D752" s="174" t="s">
        <v>1578</v>
      </c>
      <c r="E752" s="174" t="s">
        <v>1884</v>
      </c>
      <c r="F752" s="174" t="s">
        <v>2104</v>
      </c>
      <c r="G752" s="174" t="s">
        <v>2105</v>
      </c>
      <c r="H752" s="174" t="s">
        <v>1829</v>
      </c>
      <c r="I752" s="174" t="s">
        <v>29</v>
      </c>
      <c r="J752" s="174" t="s">
        <v>34</v>
      </c>
      <c r="K752" s="174" t="s">
        <v>154</v>
      </c>
      <c r="L752" s="177">
        <v>43978</v>
      </c>
      <c r="M752" s="174">
        <v>2</v>
      </c>
      <c r="N752" s="179">
        <v>0.01</v>
      </c>
      <c r="O752" s="174" t="s">
        <v>20</v>
      </c>
    </row>
    <row r="753" spans="1:15" s="174" customFormat="1" ht="35" hidden="1" customHeight="1">
      <c r="A753" s="174">
        <f>ROW()-3</f>
        <v>750</v>
      </c>
      <c r="B753" s="174" t="s">
        <v>1577</v>
      </c>
      <c r="C753" s="174" t="s">
        <v>2723</v>
      </c>
      <c r="D753" s="174" t="s">
        <v>1578</v>
      </c>
      <c r="E753" s="174" t="s">
        <v>1884</v>
      </c>
      <c r="F753" s="174" t="s">
        <v>2106</v>
      </c>
      <c r="G753" s="174" t="s">
        <v>2107</v>
      </c>
      <c r="H753" s="174" t="s">
        <v>1829</v>
      </c>
      <c r="I753" s="174" t="s">
        <v>29</v>
      </c>
      <c r="J753" s="174" t="s">
        <v>34</v>
      </c>
      <c r="K753" s="174" t="s">
        <v>154</v>
      </c>
      <c r="L753" s="177">
        <v>43978</v>
      </c>
      <c r="M753" s="174">
        <v>10</v>
      </c>
      <c r="N753" s="179">
        <v>0.26</v>
      </c>
      <c r="O753" s="174" t="s">
        <v>20</v>
      </c>
    </row>
    <row r="754" spans="1:15" s="174" customFormat="1" ht="35" hidden="1" customHeight="1">
      <c r="A754" s="174">
        <f>ROW()-3</f>
        <v>751</v>
      </c>
      <c r="B754" s="174" t="s">
        <v>1577</v>
      </c>
      <c r="C754" s="174" t="s">
        <v>2723</v>
      </c>
      <c r="D754" s="174" t="s">
        <v>1578</v>
      </c>
      <c r="E754" s="174" t="s">
        <v>1884</v>
      </c>
      <c r="F754" s="174" t="s">
        <v>2108</v>
      </c>
      <c r="G754" s="174" t="s">
        <v>2109</v>
      </c>
      <c r="H754" s="174" t="s">
        <v>1829</v>
      </c>
      <c r="I754" s="174" t="s">
        <v>29</v>
      </c>
      <c r="J754" s="174" t="s">
        <v>34</v>
      </c>
      <c r="K754" s="174" t="s">
        <v>154</v>
      </c>
      <c r="L754" s="177">
        <v>43978</v>
      </c>
      <c r="M754" s="174">
        <v>3</v>
      </c>
      <c r="N754" s="179">
        <v>0.12</v>
      </c>
      <c r="O754" s="174" t="s">
        <v>20</v>
      </c>
    </row>
    <row r="755" spans="1:15" s="174" customFormat="1" ht="35" hidden="1" customHeight="1">
      <c r="A755" s="174">
        <f>ROW()-3</f>
        <v>752</v>
      </c>
      <c r="B755" s="174" t="s">
        <v>1577</v>
      </c>
      <c r="C755" s="174" t="s">
        <v>2723</v>
      </c>
      <c r="D755" s="174" t="s">
        <v>1578</v>
      </c>
      <c r="E755" s="174" t="s">
        <v>1884</v>
      </c>
      <c r="F755" s="174" t="s">
        <v>2110</v>
      </c>
      <c r="G755" s="174" t="s">
        <v>2111</v>
      </c>
      <c r="H755" s="174" t="s">
        <v>1829</v>
      </c>
      <c r="I755" s="174" t="s">
        <v>29</v>
      </c>
      <c r="J755" s="174" t="s">
        <v>34</v>
      </c>
      <c r="K755" s="174" t="s">
        <v>154</v>
      </c>
      <c r="L755" s="177">
        <v>43978</v>
      </c>
      <c r="M755" s="174">
        <v>14</v>
      </c>
      <c r="N755" s="179">
        <v>4.43</v>
      </c>
      <c r="O755" s="174" t="s">
        <v>20</v>
      </c>
    </row>
    <row r="756" spans="1:15" s="174" customFormat="1" ht="35" hidden="1" customHeight="1">
      <c r="A756" s="174">
        <f>ROW()-3</f>
        <v>753</v>
      </c>
      <c r="B756" s="174" t="s">
        <v>1577</v>
      </c>
      <c r="C756" s="174" t="s">
        <v>2723</v>
      </c>
      <c r="D756" s="174" t="s">
        <v>1578</v>
      </c>
      <c r="E756" s="174" t="s">
        <v>1943</v>
      </c>
      <c r="F756" s="174" t="s">
        <v>2112</v>
      </c>
      <c r="G756" s="174" t="s">
        <v>2113</v>
      </c>
      <c r="H756" s="174" t="s">
        <v>1918</v>
      </c>
      <c r="I756" s="174" t="s">
        <v>29</v>
      </c>
      <c r="J756" s="174" t="s">
        <v>34</v>
      </c>
      <c r="K756" s="174" t="s">
        <v>154</v>
      </c>
      <c r="L756" s="177">
        <v>43978</v>
      </c>
      <c r="M756" s="174">
        <v>8</v>
      </c>
      <c r="N756" s="179">
        <v>5</v>
      </c>
      <c r="O756" s="174" t="s">
        <v>20</v>
      </c>
    </row>
    <row r="757" spans="1:15" s="174" customFormat="1" ht="35" hidden="1" customHeight="1">
      <c r="A757" s="174">
        <f>ROW()-3</f>
        <v>754</v>
      </c>
      <c r="B757" s="174" t="s">
        <v>1577</v>
      </c>
      <c r="C757" s="174" t="s">
        <v>2723</v>
      </c>
      <c r="D757" s="174" t="s">
        <v>1578</v>
      </c>
      <c r="E757" s="174" t="s">
        <v>1943</v>
      </c>
      <c r="F757" s="174" t="s">
        <v>2114</v>
      </c>
      <c r="G757" s="174" t="s">
        <v>2115</v>
      </c>
      <c r="H757" s="174" t="s">
        <v>2116</v>
      </c>
      <c r="I757" s="174" t="s">
        <v>29</v>
      </c>
      <c r="J757" s="174" t="s">
        <v>34</v>
      </c>
      <c r="K757" s="174" t="s">
        <v>154</v>
      </c>
      <c r="L757" s="177">
        <v>43978</v>
      </c>
      <c r="M757" s="174">
        <v>3</v>
      </c>
      <c r="N757" s="179">
        <v>1.48</v>
      </c>
      <c r="O757" s="174" t="s">
        <v>20</v>
      </c>
    </row>
    <row r="758" spans="1:15" s="174" customFormat="1" ht="35" hidden="1" customHeight="1">
      <c r="A758" s="174">
        <f>ROW()-3</f>
        <v>755</v>
      </c>
      <c r="B758" s="174" t="s">
        <v>1577</v>
      </c>
      <c r="C758" s="174" t="s">
        <v>2723</v>
      </c>
      <c r="D758" s="174" t="s">
        <v>1578</v>
      </c>
      <c r="E758" s="174" t="s">
        <v>1823</v>
      </c>
      <c r="F758" s="174" t="s">
        <v>2117</v>
      </c>
      <c r="G758" s="174" t="s">
        <v>2118</v>
      </c>
      <c r="H758" s="174" t="s">
        <v>1901</v>
      </c>
      <c r="I758" s="174" t="s">
        <v>17</v>
      </c>
      <c r="J758" s="174" t="s">
        <v>34</v>
      </c>
      <c r="K758" s="174" t="s">
        <v>154</v>
      </c>
      <c r="L758" s="177">
        <v>43979</v>
      </c>
      <c r="M758" s="174">
        <v>28</v>
      </c>
      <c r="N758" s="179">
        <v>1.44</v>
      </c>
      <c r="O758" s="174" t="s">
        <v>20</v>
      </c>
    </row>
    <row r="759" spans="1:15" s="174" customFormat="1" ht="35" hidden="1" customHeight="1">
      <c r="A759" s="174">
        <f>ROW()-3</f>
        <v>756</v>
      </c>
      <c r="B759" s="174" t="s">
        <v>1577</v>
      </c>
      <c r="C759" s="174" t="s">
        <v>2723</v>
      </c>
      <c r="D759" s="174" t="s">
        <v>1578</v>
      </c>
      <c r="E759" s="174" t="s">
        <v>1826</v>
      </c>
      <c r="F759" s="174" t="s">
        <v>2119</v>
      </c>
      <c r="G759" s="174" t="s">
        <v>2119</v>
      </c>
      <c r="H759" s="174" t="s">
        <v>2120</v>
      </c>
      <c r="I759" s="174" t="s">
        <v>29</v>
      </c>
      <c r="J759" s="174" t="s">
        <v>34</v>
      </c>
      <c r="K759" s="174" t="s">
        <v>154</v>
      </c>
      <c r="L759" s="177">
        <v>43979</v>
      </c>
      <c r="M759" s="174">
        <v>20</v>
      </c>
      <c r="N759" s="179">
        <v>7.48</v>
      </c>
      <c r="O759" s="174" t="s">
        <v>20</v>
      </c>
    </row>
    <row r="760" spans="1:15" s="174" customFormat="1" ht="35" hidden="1" customHeight="1">
      <c r="A760" s="174">
        <f>ROW()-3</f>
        <v>757</v>
      </c>
      <c r="B760" s="174" t="s">
        <v>1577</v>
      </c>
      <c r="C760" s="174" t="s">
        <v>2723</v>
      </c>
      <c r="D760" s="174" t="s">
        <v>1578</v>
      </c>
      <c r="E760" s="174" t="s">
        <v>1826</v>
      </c>
      <c r="F760" s="174" t="s">
        <v>2121</v>
      </c>
      <c r="G760" s="174" t="s">
        <v>2122</v>
      </c>
      <c r="H760" s="174" t="s">
        <v>1829</v>
      </c>
      <c r="I760" s="174" t="s">
        <v>29</v>
      </c>
      <c r="J760" s="174" t="s">
        <v>34</v>
      </c>
      <c r="K760" s="174" t="s">
        <v>154</v>
      </c>
      <c r="L760" s="177">
        <v>43979</v>
      </c>
      <c r="M760" s="174">
        <v>5</v>
      </c>
      <c r="N760" s="179">
        <v>1.83</v>
      </c>
      <c r="O760" s="174" t="s">
        <v>20</v>
      </c>
    </row>
    <row r="761" spans="1:15" s="174" customFormat="1" ht="35" hidden="1" customHeight="1">
      <c r="A761" s="174">
        <f>ROW()-3</f>
        <v>758</v>
      </c>
      <c r="B761" s="174" t="s">
        <v>1577</v>
      </c>
      <c r="C761" s="174" t="s">
        <v>2723</v>
      </c>
      <c r="D761" s="174" t="s">
        <v>1578</v>
      </c>
      <c r="E761" s="174" t="s">
        <v>1826</v>
      </c>
      <c r="F761" s="174" t="s">
        <v>2123</v>
      </c>
      <c r="G761" s="174" t="s">
        <v>2124</v>
      </c>
      <c r="H761" s="174" t="s">
        <v>1918</v>
      </c>
      <c r="I761" s="174" t="s">
        <v>29</v>
      </c>
      <c r="J761" s="174" t="s">
        <v>34</v>
      </c>
      <c r="K761" s="174" t="s">
        <v>154</v>
      </c>
      <c r="L761" s="177">
        <v>43979</v>
      </c>
      <c r="M761" s="174">
        <v>10</v>
      </c>
      <c r="N761" s="179">
        <v>6.23</v>
      </c>
      <c r="O761" s="174" t="s">
        <v>20</v>
      </c>
    </row>
    <row r="762" spans="1:15" s="174" customFormat="1" ht="35" hidden="1" customHeight="1">
      <c r="A762" s="174">
        <f>ROW()-3</f>
        <v>759</v>
      </c>
      <c r="B762" s="174" t="s">
        <v>1577</v>
      </c>
      <c r="C762" s="174" t="s">
        <v>2723</v>
      </c>
      <c r="D762" s="174" t="s">
        <v>1578</v>
      </c>
      <c r="E762" s="174" t="s">
        <v>1826</v>
      </c>
      <c r="F762" s="174" t="s">
        <v>2125</v>
      </c>
      <c r="G762" s="174" t="s">
        <v>2125</v>
      </c>
      <c r="H762" s="174" t="s">
        <v>1829</v>
      </c>
      <c r="I762" s="174" t="s">
        <v>29</v>
      </c>
      <c r="J762" s="174" t="s">
        <v>34</v>
      </c>
      <c r="K762" s="174" t="s">
        <v>154</v>
      </c>
      <c r="L762" s="177">
        <v>43979</v>
      </c>
      <c r="M762" s="174">
        <v>1</v>
      </c>
      <c r="N762" s="179">
        <v>0.13</v>
      </c>
      <c r="O762" s="174" t="s">
        <v>20</v>
      </c>
    </row>
    <row r="763" spans="1:15" s="174" customFormat="1" ht="35" hidden="1" customHeight="1">
      <c r="A763" s="174">
        <f>ROW()-3</f>
        <v>760</v>
      </c>
      <c r="B763" s="174" t="s">
        <v>1577</v>
      </c>
      <c r="C763" s="174" t="s">
        <v>2723</v>
      </c>
      <c r="D763" s="174" t="s">
        <v>1578</v>
      </c>
      <c r="E763" s="174" t="s">
        <v>1826</v>
      </c>
      <c r="F763" s="174" t="s">
        <v>2126</v>
      </c>
      <c r="G763" s="174" t="s">
        <v>2126</v>
      </c>
      <c r="H763" s="174" t="s">
        <v>1829</v>
      </c>
      <c r="I763" s="174" t="s">
        <v>29</v>
      </c>
      <c r="J763" s="174" t="s">
        <v>34</v>
      </c>
      <c r="K763" s="174" t="s">
        <v>154</v>
      </c>
      <c r="L763" s="177">
        <v>43979</v>
      </c>
      <c r="M763" s="174">
        <v>13</v>
      </c>
      <c r="N763" s="179">
        <v>1.01</v>
      </c>
      <c r="O763" s="174" t="s">
        <v>20</v>
      </c>
    </row>
    <row r="764" spans="1:15" s="174" customFormat="1" ht="35" hidden="1" customHeight="1">
      <c r="A764" s="174">
        <f>ROW()-3</f>
        <v>761</v>
      </c>
      <c r="B764" s="174" t="s">
        <v>1577</v>
      </c>
      <c r="C764" s="174" t="s">
        <v>2723</v>
      </c>
      <c r="D764" s="174" t="s">
        <v>1578</v>
      </c>
      <c r="E764" s="174" t="s">
        <v>1826</v>
      </c>
      <c r="F764" s="174" t="s">
        <v>2127</v>
      </c>
      <c r="G764" s="174" t="s">
        <v>2127</v>
      </c>
      <c r="H764" s="174" t="s">
        <v>1829</v>
      </c>
      <c r="I764" s="174" t="s">
        <v>29</v>
      </c>
      <c r="J764" s="174" t="s">
        <v>34</v>
      </c>
      <c r="K764" s="174" t="s">
        <v>154</v>
      </c>
      <c r="L764" s="177">
        <v>43979</v>
      </c>
      <c r="M764" s="174">
        <v>1</v>
      </c>
      <c r="N764" s="179">
        <v>0.11</v>
      </c>
      <c r="O764" s="174" t="s">
        <v>20</v>
      </c>
    </row>
    <row r="765" spans="1:15" s="174" customFormat="1" ht="35" hidden="1" customHeight="1">
      <c r="A765" s="174">
        <f>ROW()-3</f>
        <v>762</v>
      </c>
      <c r="B765" s="174" t="s">
        <v>1577</v>
      </c>
      <c r="C765" s="174" t="s">
        <v>2723</v>
      </c>
      <c r="D765" s="174" t="s">
        <v>1578</v>
      </c>
      <c r="E765" s="174" t="s">
        <v>1826</v>
      </c>
      <c r="F765" s="174" t="s">
        <v>2128</v>
      </c>
      <c r="G765" s="174" t="s">
        <v>2128</v>
      </c>
      <c r="H765" s="174" t="s">
        <v>1829</v>
      </c>
      <c r="I765" s="174" t="s">
        <v>29</v>
      </c>
      <c r="J765" s="174" t="s">
        <v>34</v>
      </c>
      <c r="K765" s="174" t="s">
        <v>154</v>
      </c>
      <c r="L765" s="177">
        <v>43979</v>
      </c>
      <c r="M765" s="174">
        <v>1</v>
      </c>
      <c r="N765" s="179">
        <v>0.11</v>
      </c>
      <c r="O765" s="174" t="s">
        <v>20</v>
      </c>
    </row>
    <row r="766" spans="1:15" s="174" customFormat="1" ht="35" hidden="1" customHeight="1">
      <c r="A766" s="174">
        <f>ROW()-3</f>
        <v>763</v>
      </c>
      <c r="B766" s="174" t="s">
        <v>1577</v>
      </c>
      <c r="C766" s="174" t="s">
        <v>2723</v>
      </c>
      <c r="D766" s="174" t="s">
        <v>1578</v>
      </c>
      <c r="E766" s="174" t="s">
        <v>1826</v>
      </c>
      <c r="F766" s="174" t="s">
        <v>2129</v>
      </c>
      <c r="G766" s="174" t="s">
        <v>2129</v>
      </c>
      <c r="H766" s="174" t="s">
        <v>1829</v>
      </c>
      <c r="I766" s="174" t="s">
        <v>29</v>
      </c>
      <c r="J766" s="174" t="s">
        <v>34</v>
      </c>
      <c r="K766" s="174" t="s">
        <v>154</v>
      </c>
      <c r="L766" s="177">
        <v>43979</v>
      </c>
      <c r="M766" s="174">
        <v>12</v>
      </c>
      <c r="N766" s="179">
        <v>0.86</v>
      </c>
      <c r="O766" s="174" t="s">
        <v>20</v>
      </c>
    </row>
    <row r="767" spans="1:15" s="174" customFormat="1" ht="35" hidden="1" customHeight="1">
      <c r="A767" s="174">
        <f>ROW()-3</f>
        <v>764</v>
      </c>
      <c r="B767" s="174" t="s">
        <v>1577</v>
      </c>
      <c r="C767" s="174" t="s">
        <v>2723</v>
      </c>
      <c r="D767" s="174" t="s">
        <v>1578</v>
      </c>
      <c r="E767" s="174" t="s">
        <v>2052</v>
      </c>
      <c r="F767" s="174" t="s">
        <v>2130</v>
      </c>
      <c r="G767" s="174" t="s">
        <v>2131</v>
      </c>
      <c r="H767" s="174" t="s">
        <v>1829</v>
      </c>
      <c r="I767" s="174" t="s">
        <v>29</v>
      </c>
      <c r="J767" s="174" t="s">
        <v>34</v>
      </c>
      <c r="K767" s="174" t="s">
        <v>154</v>
      </c>
      <c r="L767" s="177">
        <v>43979</v>
      </c>
      <c r="M767" s="174">
        <v>16</v>
      </c>
      <c r="N767" s="179">
        <v>0.61</v>
      </c>
      <c r="O767" s="174" t="s">
        <v>20</v>
      </c>
    </row>
    <row r="768" spans="1:15" s="174" customFormat="1" ht="35" hidden="1" customHeight="1">
      <c r="A768" s="174">
        <f>ROW()-3</f>
        <v>765</v>
      </c>
      <c r="B768" s="174" t="s">
        <v>1577</v>
      </c>
      <c r="C768" s="174" t="s">
        <v>2723</v>
      </c>
      <c r="D768" s="174" t="s">
        <v>1578</v>
      </c>
      <c r="E768" s="174" t="s">
        <v>2052</v>
      </c>
      <c r="F768" s="174" t="s">
        <v>2132</v>
      </c>
      <c r="G768" s="174" t="s">
        <v>2133</v>
      </c>
      <c r="H768" s="174" t="s">
        <v>1829</v>
      </c>
      <c r="I768" s="174" t="s">
        <v>29</v>
      </c>
      <c r="J768" s="174" t="s">
        <v>34</v>
      </c>
      <c r="K768" s="174" t="s">
        <v>154</v>
      </c>
      <c r="L768" s="177">
        <v>43979</v>
      </c>
      <c r="M768" s="174">
        <v>6</v>
      </c>
      <c r="N768" s="179">
        <v>0.83</v>
      </c>
      <c r="O768" s="174" t="s">
        <v>20</v>
      </c>
    </row>
    <row r="769" spans="1:15" s="174" customFormat="1" ht="35" hidden="1" customHeight="1">
      <c r="A769" s="174">
        <f>ROW()-3</f>
        <v>766</v>
      </c>
      <c r="B769" s="174" t="s">
        <v>1577</v>
      </c>
      <c r="C769" s="174" t="s">
        <v>2723</v>
      </c>
      <c r="D769" s="174" t="s">
        <v>1578</v>
      </c>
      <c r="E769" s="174" t="s">
        <v>2052</v>
      </c>
      <c r="F769" s="174" t="s">
        <v>2134</v>
      </c>
      <c r="G769" s="174" t="s">
        <v>2134</v>
      </c>
      <c r="H769" s="174" t="s">
        <v>1829</v>
      </c>
      <c r="I769" s="174" t="s">
        <v>29</v>
      </c>
      <c r="J769" s="174" t="s">
        <v>34</v>
      </c>
      <c r="K769" s="174" t="s">
        <v>154</v>
      </c>
      <c r="L769" s="177">
        <v>43979</v>
      </c>
      <c r="M769" s="174">
        <v>22</v>
      </c>
      <c r="N769" s="179">
        <v>1.1299999999999999</v>
      </c>
      <c r="O769" s="174" t="s">
        <v>20</v>
      </c>
    </row>
    <row r="770" spans="1:15" s="174" customFormat="1" ht="35" hidden="1" customHeight="1">
      <c r="A770" s="174">
        <f>ROW()-3</f>
        <v>767</v>
      </c>
      <c r="B770" s="174" t="s">
        <v>1577</v>
      </c>
      <c r="C770" s="174" t="s">
        <v>2723</v>
      </c>
      <c r="D770" s="174" t="s">
        <v>1578</v>
      </c>
      <c r="E770" s="174" t="s">
        <v>2052</v>
      </c>
      <c r="F770" s="174" t="s">
        <v>2135</v>
      </c>
      <c r="G770" s="174" t="s">
        <v>2135</v>
      </c>
      <c r="H770" s="174" t="s">
        <v>1913</v>
      </c>
      <c r="I770" s="174" t="s">
        <v>29</v>
      </c>
      <c r="J770" s="174" t="s">
        <v>34</v>
      </c>
      <c r="K770" s="174" t="s">
        <v>154</v>
      </c>
      <c r="L770" s="177">
        <v>43979</v>
      </c>
      <c r="M770" s="174">
        <v>7</v>
      </c>
      <c r="N770" s="179">
        <v>0.55000000000000004</v>
      </c>
      <c r="O770" s="174" t="s">
        <v>20</v>
      </c>
    </row>
    <row r="771" spans="1:15" s="174" customFormat="1" ht="35" hidden="1" customHeight="1">
      <c r="A771" s="174">
        <f>ROW()-3</f>
        <v>768</v>
      </c>
      <c r="B771" s="174" t="s">
        <v>1577</v>
      </c>
      <c r="C771" s="174" t="s">
        <v>2723</v>
      </c>
      <c r="D771" s="174" t="s">
        <v>1578</v>
      </c>
      <c r="E771" s="174" t="s">
        <v>2052</v>
      </c>
      <c r="F771" s="174" t="s">
        <v>2136</v>
      </c>
      <c r="G771" s="174" t="s">
        <v>2136</v>
      </c>
      <c r="H771" s="174" t="s">
        <v>1829</v>
      </c>
      <c r="I771" s="174" t="s">
        <v>29</v>
      </c>
      <c r="J771" s="174" t="s">
        <v>34</v>
      </c>
      <c r="K771" s="174" t="s">
        <v>154</v>
      </c>
      <c r="L771" s="177">
        <v>43979</v>
      </c>
      <c r="M771" s="174">
        <v>17</v>
      </c>
      <c r="N771" s="179">
        <v>0.93</v>
      </c>
      <c r="O771" s="174" t="s">
        <v>20</v>
      </c>
    </row>
    <row r="772" spans="1:15" s="174" customFormat="1" ht="35" hidden="1" customHeight="1">
      <c r="A772" s="174">
        <f>ROW()-3</f>
        <v>769</v>
      </c>
      <c r="B772" s="174" t="s">
        <v>1577</v>
      </c>
      <c r="C772" s="174" t="s">
        <v>2723</v>
      </c>
      <c r="D772" s="174" t="s">
        <v>1578</v>
      </c>
      <c r="E772" s="174" t="s">
        <v>2052</v>
      </c>
      <c r="F772" s="174" t="s">
        <v>2137</v>
      </c>
      <c r="G772" s="174" t="s">
        <v>2138</v>
      </c>
      <c r="H772" s="174" t="s">
        <v>1829</v>
      </c>
      <c r="I772" s="174" t="s">
        <v>29</v>
      </c>
      <c r="J772" s="174" t="s">
        <v>34</v>
      </c>
      <c r="K772" s="174" t="s">
        <v>154</v>
      </c>
      <c r="L772" s="177">
        <v>43979</v>
      </c>
      <c r="M772" s="174">
        <v>5</v>
      </c>
      <c r="N772" s="179">
        <v>0.31</v>
      </c>
      <c r="O772" s="174" t="s">
        <v>20</v>
      </c>
    </row>
    <row r="773" spans="1:15" s="174" customFormat="1" ht="35" hidden="1" customHeight="1">
      <c r="A773" s="174">
        <f>ROW()-3</f>
        <v>770</v>
      </c>
      <c r="B773" s="174" t="s">
        <v>1577</v>
      </c>
      <c r="C773" s="174" t="s">
        <v>2723</v>
      </c>
      <c r="D773" s="174" t="s">
        <v>1578</v>
      </c>
      <c r="E773" s="174" t="s">
        <v>2055</v>
      </c>
      <c r="F773" s="174" t="s">
        <v>2139</v>
      </c>
      <c r="G773" s="174" t="s">
        <v>2140</v>
      </c>
      <c r="H773" s="174" t="s">
        <v>1913</v>
      </c>
      <c r="I773" s="174" t="s">
        <v>29</v>
      </c>
      <c r="J773" s="174" t="s">
        <v>34</v>
      </c>
      <c r="K773" s="174" t="s">
        <v>154</v>
      </c>
      <c r="L773" s="177">
        <v>43979</v>
      </c>
      <c r="M773" s="174">
        <v>27</v>
      </c>
      <c r="N773" s="179">
        <v>7.21</v>
      </c>
      <c r="O773" s="174" t="s">
        <v>20</v>
      </c>
    </row>
    <row r="774" spans="1:15" s="174" customFormat="1" ht="35" hidden="1" customHeight="1">
      <c r="A774" s="174">
        <f>ROW()-3</f>
        <v>771</v>
      </c>
      <c r="B774" s="174" t="s">
        <v>1577</v>
      </c>
      <c r="C774" s="174" t="s">
        <v>2723</v>
      </c>
      <c r="D774" s="174" t="s">
        <v>1578</v>
      </c>
      <c r="E774" s="174" t="s">
        <v>2055</v>
      </c>
      <c r="F774" s="174" t="s">
        <v>2141</v>
      </c>
      <c r="G774" s="174" t="s">
        <v>2142</v>
      </c>
      <c r="H774" s="174" t="s">
        <v>1913</v>
      </c>
      <c r="I774" s="174" t="s">
        <v>29</v>
      </c>
      <c r="J774" s="174" t="s">
        <v>34</v>
      </c>
      <c r="K774" s="174" t="s">
        <v>154</v>
      </c>
      <c r="L774" s="177">
        <v>43979</v>
      </c>
      <c r="M774" s="174">
        <v>5</v>
      </c>
      <c r="N774" s="179">
        <v>0.77</v>
      </c>
      <c r="O774" s="174" t="s">
        <v>20</v>
      </c>
    </row>
    <row r="775" spans="1:15" s="174" customFormat="1" ht="35" hidden="1" customHeight="1">
      <c r="A775" s="174">
        <f>ROW()-3</f>
        <v>772</v>
      </c>
      <c r="B775" s="174" t="s">
        <v>1577</v>
      </c>
      <c r="C775" s="174" t="s">
        <v>2723</v>
      </c>
      <c r="D775" s="174" t="s">
        <v>1578</v>
      </c>
      <c r="E775" s="174" t="s">
        <v>1881</v>
      </c>
      <c r="F775" s="174" t="s">
        <v>2143</v>
      </c>
      <c r="G775" s="174" t="s">
        <v>2143</v>
      </c>
      <c r="H775" s="174" t="s">
        <v>1918</v>
      </c>
      <c r="I775" s="174" t="s">
        <v>29</v>
      </c>
      <c r="J775" s="174" t="s">
        <v>34</v>
      </c>
      <c r="K775" s="174" t="s">
        <v>154</v>
      </c>
      <c r="L775" s="177">
        <v>43979</v>
      </c>
      <c r="M775" s="174">
        <v>3</v>
      </c>
      <c r="N775" s="179">
        <v>2.0499999999999998</v>
      </c>
      <c r="O775" s="174" t="s">
        <v>20</v>
      </c>
    </row>
    <row r="776" spans="1:15" s="174" customFormat="1" ht="35" hidden="1" customHeight="1">
      <c r="A776" s="174">
        <f>ROW()-3</f>
        <v>773</v>
      </c>
      <c r="B776" s="174" t="s">
        <v>1577</v>
      </c>
      <c r="C776" s="174" t="s">
        <v>2723</v>
      </c>
      <c r="D776" s="174" t="s">
        <v>1578</v>
      </c>
      <c r="E776" s="174" t="s">
        <v>1881</v>
      </c>
      <c r="F776" s="174" t="s">
        <v>2144</v>
      </c>
      <c r="G776" s="174" t="s">
        <v>2145</v>
      </c>
      <c r="H776" s="174" t="s">
        <v>1901</v>
      </c>
      <c r="I776" s="174" t="s">
        <v>29</v>
      </c>
      <c r="J776" s="174" t="s">
        <v>34</v>
      </c>
      <c r="K776" s="174" t="s">
        <v>154</v>
      </c>
      <c r="L776" s="177">
        <v>43979</v>
      </c>
      <c r="M776" s="174">
        <v>45</v>
      </c>
      <c r="N776" s="179">
        <v>4.66</v>
      </c>
      <c r="O776" s="174" t="s">
        <v>20</v>
      </c>
    </row>
    <row r="777" spans="1:15" s="174" customFormat="1" ht="35" hidden="1" customHeight="1">
      <c r="A777" s="174">
        <f>ROW()-3</f>
        <v>774</v>
      </c>
      <c r="B777" s="174" t="s">
        <v>1577</v>
      </c>
      <c r="C777" s="174" t="s">
        <v>2723</v>
      </c>
      <c r="D777" s="174" t="s">
        <v>1578</v>
      </c>
      <c r="E777" s="174" t="s">
        <v>1881</v>
      </c>
      <c r="F777" s="174" t="s">
        <v>2146</v>
      </c>
      <c r="G777" s="174" t="s">
        <v>2147</v>
      </c>
      <c r="H777" s="174" t="s">
        <v>1901</v>
      </c>
      <c r="I777" s="174" t="s">
        <v>29</v>
      </c>
      <c r="J777" s="174" t="s">
        <v>34</v>
      </c>
      <c r="K777" s="174" t="s">
        <v>154</v>
      </c>
      <c r="L777" s="177">
        <v>43979</v>
      </c>
      <c r="M777" s="174">
        <v>5</v>
      </c>
      <c r="N777" s="179">
        <v>0.44</v>
      </c>
      <c r="O777" s="174" t="s">
        <v>20</v>
      </c>
    </row>
    <row r="778" spans="1:15" s="174" customFormat="1" ht="35" hidden="1" customHeight="1">
      <c r="A778" s="174">
        <f>ROW()-3</f>
        <v>775</v>
      </c>
      <c r="B778" s="174" t="s">
        <v>1577</v>
      </c>
      <c r="C778" s="174" t="s">
        <v>2723</v>
      </c>
      <c r="D778" s="174" t="s">
        <v>1578</v>
      </c>
      <c r="E778" s="174" t="s">
        <v>1881</v>
      </c>
      <c r="F778" s="174" t="s">
        <v>2148</v>
      </c>
      <c r="G778" s="174" t="s">
        <v>2148</v>
      </c>
      <c r="H778" s="174" t="s">
        <v>1829</v>
      </c>
      <c r="I778" s="174" t="s">
        <v>29</v>
      </c>
      <c r="J778" s="174" t="s">
        <v>34</v>
      </c>
      <c r="K778" s="174" t="s">
        <v>154</v>
      </c>
      <c r="L778" s="177">
        <v>43979</v>
      </c>
      <c r="M778" s="174">
        <v>20</v>
      </c>
      <c r="N778" s="179">
        <v>3.42</v>
      </c>
      <c r="O778" s="174" t="s">
        <v>20</v>
      </c>
    </row>
    <row r="779" spans="1:15" s="174" customFormat="1" ht="35" hidden="1" customHeight="1">
      <c r="A779" s="174">
        <f>ROW()-3</f>
        <v>776</v>
      </c>
      <c r="B779" s="174" t="s">
        <v>1577</v>
      </c>
      <c r="C779" s="174" t="s">
        <v>2723</v>
      </c>
      <c r="D779" s="174" t="s">
        <v>1578</v>
      </c>
      <c r="E779" s="174" t="s">
        <v>1881</v>
      </c>
      <c r="F779" s="174" t="s">
        <v>2149</v>
      </c>
      <c r="G779" s="174" t="s">
        <v>2150</v>
      </c>
      <c r="H779" s="174" t="s">
        <v>2151</v>
      </c>
      <c r="I779" s="174" t="s">
        <v>29</v>
      </c>
      <c r="J779" s="174" t="s">
        <v>34</v>
      </c>
      <c r="K779" s="174" t="s">
        <v>154</v>
      </c>
      <c r="L779" s="177">
        <v>43979</v>
      </c>
      <c r="M779" s="174">
        <v>73</v>
      </c>
      <c r="N779" s="179">
        <v>12.79</v>
      </c>
      <c r="O779" s="174" t="s">
        <v>20</v>
      </c>
    </row>
    <row r="780" spans="1:15" s="174" customFormat="1" ht="35" hidden="1" customHeight="1">
      <c r="A780" s="174">
        <f>ROW()-3</f>
        <v>777</v>
      </c>
      <c r="B780" s="174" t="s">
        <v>1577</v>
      </c>
      <c r="C780" s="174" t="s">
        <v>2723</v>
      </c>
      <c r="D780" s="174" t="s">
        <v>1578</v>
      </c>
      <c r="E780" s="174" t="s">
        <v>1884</v>
      </c>
      <c r="F780" s="174" t="s">
        <v>2152</v>
      </c>
      <c r="G780" s="174" t="s">
        <v>2152</v>
      </c>
      <c r="H780" s="174" t="s">
        <v>1829</v>
      </c>
      <c r="I780" s="174" t="s">
        <v>29</v>
      </c>
      <c r="J780" s="174" t="s">
        <v>34</v>
      </c>
      <c r="K780" s="174" t="s">
        <v>154</v>
      </c>
      <c r="L780" s="177">
        <v>43979</v>
      </c>
      <c r="M780" s="174">
        <v>5</v>
      </c>
      <c r="N780" s="179">
        <v>2.17</v>
      </c>
      <c r="O780" s="174" t="s">
        <v>20</v>
      </c>
    </row>
    <row r="781" spans="1:15" s="174" customFormat="1" ht="35" hidden="1" customHeight="1">
      <c r="A781" s="174">
        <f>ROW()-3</f>
        <v>778</v>
      </c>
      <c r="B781" s="174" t="s">
        <v>1577</v>
      </c>
      <c r="C781" s="174" t="s">
        <v>2723</v>
      </c>
      <c r="D781" s="174" t="s">
        <v>1578</v>
      </c>
      <c r="E781" s="174" t="s">
        <v>1884</v>
      </c>
      <c r="F781" s="174" t="s">
        <v>2153</v>
      </c>
      <c r="G781" s="174" t="s">
        <v>2153</v>
      </c>
      <c r="H781" s="174" t="s">
        <v>2154</v>
      </c>
      <c r="I781" s="174" t="s">
        <v>29</v>
      </c>
      <c r="J781" s="174" t="s">
        <v>34</v>
      </c>
      <c r="K781" s="174" t="s">
        <v>154</v>
      </c>
      <c r="L781" s="177">
        <v>43979</v>
      </c>
      <c r="M781" s="174">
        <v>103</v>
      </c>
      <c r="N781" s="179">
        <v>10.8</v>
      </c>
      <c r="O781" s="174" t="s">
        <v>20</v>
      </c>
    </row>
    <row r="782" spans="1:15" s="174" customFormat="1" ht="35" hidden="1" customHeight="1">
      <c r="A782" s="174">
        <f>ROW()-3</f>
        <v>779</v>
      </c>
      <c r="B782" s="174" t="s">
        <v>1577</v>
      </c>
      <c r="C782" s="174" t="s">
        <v>2723</v>
      </c>
      <c r="D782" s="174" t="s">
        <v>1578</v>
      </c>
      <c r="E782" s="174" t="s">
        <v>1884</v>
      </c>
      <c r="F782" s="174" t="s">
        <v>2155</v>
      </c>
      <c r="G782" s="174" t="s">
        <v>2155</v>
      </c>
      <c r="H782" s="174" t="s">
        <v>2099</v>
      </c>
      <c r="I782" s="174" t="s">
        <v>29</v>
      </c>
      <c r="J782" s="174" t="s">
        <v>34</v>
      </c>
      <c r="K782" s="174" t="s">
        <v>154</v>
      </c>
      <c r="L782" s="177">
        <v>43979</v>
      </c>
      <c r="M782" s="174">
        <v>8</v>
      </c>
      <c r="N782" s="179">
        <v>1.82</v>
      </c>
      <c r="O782" s="174" t="s">
        <v>20</v>
      </c>
    </row>
    <row r="783" spans="1:15" s="174" customFormat="1" ht="35" hidden="1" customHeight="1">
      <c r="A783" s="174">
        <f>ROW()-3</f>
        <v>780</v>
      </c>
      <c r="B783" s="174" t="s">
        <v>1577</v>
      </c>
      <c r="C783" s="174" t="s">
        <v>2723</v>
      </c>
      <c r="D783" s="174" t="s">
        <v>1578</v>
      </c>
      <c r="E783" s="174" t="s">
        <v>1943</v>
      </c>
      <c r="F783" s="174" t="s">
        <v>2156</v>
      </c>
      <c r="G783" s="174" t="s">
        <v>2156</v>
      </c>
      <c r="H783" s="174" t="s">
        <v>1829</v>
      </c>
      <c r="I783" s="174" t="s">
        <v>29</v>
      </c>
      <c r="J783" s="174" t="s">
        <v>34</v>
      </c>
      <c r="K783" s="174" t="s">
        <v>154</v>
      </c>
      <c r="L783" s="177">
        <v>43979</v>
      </c>
      <c r="M783" s="174">
        <v>16</v>
      </c>
      <c r="N783" s="179">
        <v>1.59</v>
      </c>
      <c r="O783" s="174" t="s">
        <v>20</v>
      </c>
    </row>
    <row r="784" spans="1:15" s="174" customFormat="1" ht="35" hidden="1" customHeight="1">
      <c r="A784" s="174">
        <f>ROW()-3</f>
        <v>781</v>
      </c>
      <c r="B784" s="174" t="s">
        <v>1577</v>
      </c>
      <c r="C784" s="174" t="s">
        <v>2723</v>
      </c>
      <c r="D784" s="174" t="s">
        <v>1578</v>
      </c>
      <c r="E784" s="174" t="s">
        <v>1943</v>
      </c>
      <c r="F784" s="174" t="s">
        <v>2157</v>
      </c>
      <c r="G784" s="174" t="s">
        <v>2157</v>
      </c>
      <c r="H784" s="174" t="s">
        <v>2158</v>
      </c>
      <c r="I784" s="174" t="s">
        <v>29</v>
      </c>
      <c r="J784" s="174" t="s">
        <v>34</v>
      </c>
      <c r="K784" s="174" t="s">
        <v>154</v>
      </c>
      <c r="L784" s="177">
        <v>43979</v>
      </c>
      <c r="M784" s="174">
        <v>37</v>
      </c>
      <c r="N784" s="179">
        <v>13.27</v>
      </c>
      <c r="O784" s="174" t="s">
        <v>20</v>
      </c>
    </row>
    <row r="785" spans="1:15" s="174" customFormat="1" ht="35" hidden="1" customHeight="1">
      <c r="A785" s="174">
        <f>ROW()-3</f>
        <v>782</v>
      </c>
      <c r="B785" s="174" t="s">
        <v>1577</v>
      </c>
      <c r="C785" s="174" t="s">
        <v>2723</v>
      </c>
      <c r="D785" s="174" t="s">
        <v>1578</v>
      </c>
      <c r="E785" s="174" t="s">
        <v>1884</v>
      </c>
      <c r="F785" s="174" t="s">
        <v>2159</v>
      </c>
      <c r="G785" s="174" t="s">
        <v>2131</v>
      </c>
      <c r="H785" s="174" t="s">
        <v>1829</v>
      </c>
      <c r="I785" s="174" t="s">
        <v>29</v>
      </c>
      <c r="J785" s="174" t="s">
        <v>34</v>
      </c>
      <c r="K785" s="174" t="s">
        <v>154</v>
      </c>
      <c r="L785" s="177">
        <v>43979</v>
      </c>
      <c r="M785" s="174">
        <v>8</v>
      </c>
      <c r="N785" s="179">
        <v>0.48</v>
      </c>
      <c r="O785" s="174" t="s">
        <v>20</v>
      </c>
    </row>
    <row r="786" spans="1:15" s="174" customFormat="1" ht="35" hidden="1" customHeight="1">
      <c r="A786" s="174">
        <f>ROW()-3</f>
        <v>783</v>
      </c>
      <c r="B786" s="174" t="s">
        <v>1577</v>
      </c>
      <c r="C786" s="174" t="s">
        <v>2723</v>
      </c>
      <c r="D786" s="174" t="s">
        <v>1578</v>
      </c>
      <c r="E786" s="174" t="s">
        <v>1884</v>
      </c>
      <c r="F786" s="174" t="s">
        <v>2160</v>
      </c>
      <c r="G786" s="174" t="s">
        <v>2161</v>
      </c>
      <c r="H786" s="174" t="s">
        <v>1829</v>
      </c>
      <c r="I786" s="174" t="s">
        <v>29</v>
      </c>
      <c r="J786" s="174" t="s">
        <v>34</v>
      </c>
      <c r="K786" s="174" t="s">
        <v>154</v>
      </c>
      <c r="L786" s="177">
        <v>43979</v>
      </c>
      <c r="M786" s="174">
        <v>29</v>
      </c>
      <c r="N786" s="179">
        <v>4.4800000000000004</v>
      </c>
      <c r="O786" s="174" t="s">
        <v>20</v>
      </c>
    </row>
    <row r="787" spans="1:15" s="174" customFormat="1" ht="35" hidden="1" customHeight="1">
      <c r="A787" s="174">
        <f>ROW()-3</f>
        <v>784</v>
      </c>
      <c r="B787" s="174" t="s">
        <v>1577</v>
      </c>
      <c r="C787" s="174" t="s">
        <v>2723</v>
      </c>
      <c r="D787" s="174" t="s">
        <v>1578</v>
      </c>
      <c r="E787" s="174" t="s">
        <v>1884</v>
      </c>
      <c r="F787" s="174" t="s">
        <v>2162</v>
      </c>
      <c r="G787" s="174" t="s">
        <v>2163</v>
      </c>
      <c r="H787" s="174" t="s">
        <v>1829</v>
      </c>
      <c r="I787" s="174" t="s">
        <v>29</v>
      </c>
      <c r="J787" s="174" t="s">
        <v>34</v>
      </c>
      <c r="K787" s="174" t="s">
        <v>154</v>
      </c>
      <c r="L787" s="177">
        <v>43979</v>
      </c>
      <c r="M787" s="174">
        <v>6</v>
      </c>
      <c r="N787" s="179">
        <v>0.53</v>
      </c>
      <c r="O787" s="174" t="s">
        <v>20</v>
      </c>
    </row>
    <row r="788" spans="1:15" s="174" customFormat="1" ht="35" hidden="1" customHeight="1">
      <c r="A788" s="174">
        <f>ROW()-3</f>
        <v>785</v>
      </c>
      <c r="B788" s="174" t="s">
        <v>1577</v>
      </c>
      <c r="C788" s="174" t="s">
        <v>2723</v>
      </c>
      <c r="D788" s="174" t="s">
        <v>1578</v>
      </c>
      <c r="E788" s="174" t="s">
        <v>1884</v>
      </c>
      <c r="F788" s="174" t="s">
        <v>2164</v>
      </c>
      <c r="G788" s="174" t="s">
        <v>2164</v>
      </c>
      <c r="H788" s="174" t="s">
        <v>1829</v>
      </c>
      <c r="I788" s="174" t="s">
        <v>29</v>
      </c>
      <c r="J788" s="174" t="s">
        <v>34</v>
      </c>
      <c r="K788" s="174" t="s">
        <v>154</v>
      </c>
      <c r="L788" s="177">
        <v>43979</v>
      </c>
      <c r="M788" s="174">
        <v>8</v>
      </c>
      <c r="N788" s="179">
        <v>0.09</v>
      </c>
      <c r="O788" s="174" t="s">
        <v>20</v>
      </c>
    </row>
    <row r="789" spans="1:15" s="174" customFormat="1" ht="35" hidden="1" customHeight="1">
      <c r="A789" s="174">
        <f>ROW()-3</f>
        <v>786</v>
      </c>
      <c r="B789" s="174" t="s">
        <v>1577</v>
      </c>
      <c r="C789" s="174" t="s">
        <v>2723</v>
      </c>
      <c r="D789" s="174" t="s">
        <v>1578</v>
      </c>
      <c r="E789" s="174" t="s">
        <v>1884</v>
      </c>
      <c r="F789" s="174" t="s">
        <v>2165</v>
      </c>
      <c r="G789" s="174" t="s">
        <v>2165</v>
      </c>
      <c r="H789" s="174" t="s">
        <v>1829</v>
      </c>
      <c r="I789" s="174" t="s">
        <v>29</v>
      </c>
      <c r="J789" s="174" t="s">
        <v>34</v>
      </c>
      <c r="K789" s="174" t="s">
        <v>154</v>
      </c>
      <c r="L789" s="177">
        <v>43979</v>
      </c>
      <c r="M789" s="174">
        <v>6</v>
      </c>
      <c r="N789" s="179">
        <v>0.1</v>
      </c>
      <c r="O789" s="174" t="s">
        <v>20</v>
      </c>
    </row>
    <row r="790" spans="1:15" s="174" customFormat="1" ht="35" hidden="1" customHeight="1">
      <c r="A790" s="174">
        <f>ROW()-3</f>
        <v>787</v>
      </c>
      <c r="B790" s="174" t="s">
        <v>1577</v>
      </c>
      <c r="C790" s="174" t="s">
        <v>2723</v>
      </c>
      <c r="D790" s="174" t="s">
        <v>1578</v>
      </c>
      <c r="E790" s="174" t="s">
        <v>1943</v>
      </c>
      <c r="F790" s="174" t="s">
        <v>2166</v>
      </c>
      <c r="G790" s="174" t="s">
        <v>2166</v>
      </c>
      <c r="H790" s="174" t="s">
        <v>1829</v>
      </c>
      <c r="I790" s="174" t="s">
        <v>29</v>
      </c>
      <c r="J790" s="174" t="s">
        <v>34</v>
      </c>
      <c r="K790" s="174" t="s">
        <v>154</v>
      </c>
      <c r="L790" s="177">
        <v>43979</v>
      </c>
      <c r="M790" s="174">
        <v>11</v>
      </c>
      <c r="N790" s="179">
        <v>2.35</v>
      </c>
      <c r="O790" s="174" t="s">
        <v>20</v>
      </c>
    </row>
    <row r="791" spans="1:15" s="174" customFormat="1" ht="35" hidden="1" customHeight="1">
      <c r="A791" s="174">
        <f>ROW()-3</f>
        <v>788</v>
      </c>
      <c r="B791" s="174" t="s">
        <v>1577</v>
      </c>
      <c r="C791" s="174" t="s">
        <v>2723</v>
      </c>
      <c r="D791" s="174" t="s">
        <v>1578</v>
      </c>
      <c r="E791" s="174" t="s">
        <v>1943</v>
      </c>
      <c r="F791" s="174" t="s">
        <v>2167</v>
      </c>
      <c r="G791" s="174" t="s">
        <v>2168</v>
      </c>
      <c r="H791" s="174" t="s">
        <v>2169</v>
      </c>
      <c r="I791" s="174" t="s">
        <v>17</v>
      </c>
      <c r="J791" s="174" t="s">
        <v>34</v>
      </c>
      <c r="K791" s="174" t="s">
        <v>154</v>
      </c>
      <c r="L791" s="177">
        <v>43979</v>
      </c>
      <c r="M791" s="174">
        <v>71</v>
      </c>
      <c r="N791" s="179">
        <v>1.49</v>
      </c>
      <c r="O791" s="174" t="s">
        <v>20</v>
      </c>
    </row>
    <row r="792" spans="1:15" s="174" customFormat="1" ht="35" hidden="1" customHeight="1">
      <c r="A792" s="174">
        <f>ROW()-3</f>
        <v>789</v>
      </c>
      <c r="B792" s="174" t="s">
        <v>1577</v>
      </c>
      <c r="C792" s="174" t="s">
        <v>2723</v>
      </c>
      <c r="D792" s="174" t="s">
        <v>1578</v>
      </c>
      <c r="E792" s="174" t="s">
        <v>1943</v>
      </c>
      <c r="F792" s="174" t="s">
        <v>2170</v>
      </c>
      <c r="G792" s="174" t="s">
        <v>2170</v>
      </c>
      <c r="H792" s="174" t="s">
        <v>1901</v>
      </c>
      <c r="I792" s="174" t="s">
        <v>29</v>
      </c>
      <c r="J792" s="174" t="s">
        <v>34</v>
      </c>
      <c r="K792" s="174" t="s">
        <v>154</v>
      </c>
      <c r="L792" s="177">
        <v>43979</v>
      </c>
      <c r="M792" s="174">
        <v>12</v>
      </c>
      <c r="N792" s="179">
        <v>1.81</v>
      </c>
      <c r="O792" s="174" t="s">
        <v>20</v>
      </c>
    </row>
    <row r="793" spans="1:15" s="174" customFormat="1" ht="35" hidden="1" customHeight="1">
      <c r="A793" s="174">
        <f>ROW()-3</f>
        <v>790</v>
      </c>
      <c r="B793" s="174" t="s">
        <v>1577</v>
      </c>
      <c r="C793" s="174" t="s">
        <v>2723</v>
      </c>
      <c r="D793" s="174" t="s">
        <v>1578</v>
      </c>
      <c r="E793" s="174" t="s">
        <v>1823</v>
      </c>
      <c r="F793" s="174" t="s">
        <v>2171</v>
      </c>
      <c r="G793" s="174" t="s">
        <v>2172</v>
      </c>
      <c r="H793" s="174" t="s">
        <v>1955</v>
      </c>
      <c r="I793" s="174" t="s">
        <v>29</v>
      </c>
      <c r="J793" s="174" t="s">
        <v>34</v>
      </c>
      <c r="K793" s="174" t="s">
        <v>154</v>
      </c>
      <c r="L793" s="177">
        <v>43980</v>
      </c>
      <c r="M793" s="174">
        <v>29</v>
      </c>
      <c r="N793" s="179">
        <v>1.95</v>
      </c>
      <c r="O793" s="174" t="s">
        <v>20</v>
      </c>
    </row>
    <row r="794" spans="1:15" s="174" customFormat="1" ht="35" hidden="1" customHeight="1">
      <c r="A794" s="174">
        <f>ROW()-3</f>
        <v>791</v>
      </c>
      <c r="B794" s="174" t="s">
        <v>1577</v>
      </c>
      <c r="C794" s="174" t="s">
        <v>2723</v>
      </c>
      <c r="D794" s="174" t="s">
        <v>1578</v>
      </c>
      <c r="E794" s="174" t="s">
        <v>1826</v>
      </c>
      <c r="F794" s="174" t="s">
        <v>2173</v>
      </c>
      <c r="G794" s="174" t="s">
        <v>2174</v>
      </c>
      <c r="H794" s="174" t="s">
        <v>1913</v>
      </c>
      <c r="I794" s="174" t="s">
        <v>29</v>
      </c>
      <c r="J794" s="174" t="s">
        <v>34</v>
      </c>
      <c r="K794" s="174" t="s">
        <v>154</v>
      </c>
      <c r="L794" s="177">
        <v>43980</v>
      </c>
      <c r="M794" s="174">
        <v>155</v>
      </c>
      <c r="N794" s="179">
        <v>5.24</v>
      </c>
      <c r="O794" s="174" t="s">
        <v>20</v>
      </c>
    </row>
    <row r="795" spans="1:15" s="174" customFormat="1" ht="35" hidden="1" customHeight="1">
      <c r="A795" s="174">
        <f>ROW()-3</f>
        <v>792</v>
      </c>
      <c r="B795" s="174" t="s">
        <v>1577</v>
      </c>
      <c r="C795" s="174" t="s">
        <v>2723</v>
      </c>
      <c r="D795" s="174" t="s">
        <v>1578</v>
      </c>
      <c r="E795" s="174" t="s">
        <v>1826</v>
      </c>
      <c r="F795" s="174" t="s">
        <v>2175</v>
      </c>
      <c r="G795" s="174" t="s">
        <v>2176</v>
      </c>
      <c r="H795" s="174" t="s">
        <v>2177</v>
      </c>
      <c r="I795" s="174" t="s">
        <v>29</v>
      </c>
      <c r="J795" s="174" t="s">
        <v>34</v>
      </c>
      <c r="K795" s="174" t="s">
        <v>154</v>
      </c>
      <c r="L795" s="177">
        <v>43980</v>
      </c>
      <c r="M795" s="174">
        <v>200</v>
      </c>
      <c r="N795" s="179">
        <v>13.53</v>
      </c>
      <c r="O795" s="174" t="s">
        <v>20</v>
      </c>
    </row>
    <row r="796" spans="1:15" s="174" customFormat="1" ht="35" hidden="1" customHeight="1">
      <c r="A796" s="174">
        <f>ROW()-3</f>
        <v>793</v>
      </c>
      <c r="B796" s="174" t="s">
        <v>1577</v>
      </c>
      <c r="C796" s="174" t="s">
        <v>2723</v>
      </c>
      <c r="D796" s="174" t="s">
        <v>1578</v>
      </c>
      <c r="E796" s="174" t="s">
        <v>1826</v>
      </c>
      <c r="F796" s="174" t="s">
        <v>2178</v>
      </c>
      <c r="G796" s="174" t="s">
        <v>2179</v>
      </c>
      <c r="H796" s="174" t="s">
        <v>1829</v>
      </c>
      <c r="I796" s="174" t="s">
        <v>29</v>
      </c>
      <c r="J796" s="174" t="s">
        <v>34</v>
      </c>
      <c r="K796" s="174" t="s">
        <v>154</v>
      </c>
      <c r="L796" s="177">
        <v>43980</v>
      </c>
      <c r="M796" s="174">
        <v>1</v>
      </c>
      <c r="N796" s="179">
        <v>0.12</v>
      </c>
      <c r="O796" s="174" t="s">
        <v>20</v>
      </c>
    </row>
    <row r="797" spans="1:15" s="174" customFormat="1" ht="35" hidden="1" customHeight="1">
      <c r="A797" s="174">
        <f>ROW()-3</f>
        <v>794</v>
      </c>
      <c r="B797" s="174" t="s">
        <v>1577</v>
      </c>
      <c r="C797" s="174" t="s">
        <v>2723</v>
      </c>
      <c r="D797" s="174" t="s">
        <v>1578</v>
      </c>
      <c r="E797" s="174" t="s">
        <v>1826</v>
      </c>
      <c r="F797" s="174" t="s">
        <v>2180</v>
      </c>
      <c r="G797" s="174" t="s">
        <v>2181</v>
      </c>
      <c r="H797" s="174" t="s">
        <v>2182</v>
      </c>
      <c r="I797" s="174" t="s">
        <v>29</v>
      </c>
      <c r="J797" s="174" t="s">
        <v>34</v>
      </c>
      <c r="K797" s="174" t="s">
        <v>154</v>
      </c>
      <c r="L797" s="177">
        <v>43980</v>
      </c>
      <c r="M797" s="174">
        <v>55</v>
      </c>
      <c r="N797" s="179">
        <v>11.4</v>
      </c>
      <c r="O797" s="174" t="s">
        <v>20</v>
      </c>
    </row>
    <row r="798" spans="1:15" s="174" customFormat="1" ht="35" hidden="1" customHeight="1">
      <c r="A798" s="174">
        <f>ROW()-3</f>
        <v>795</v>
      </c>
      <c r="B798" s="174" t="s">
        <v>1577</v>
      </c>
      <c r="C798" s="174" t="s">
        <v>2723</v>
      </c>
      <c r="D798" s="174" t="s">
        <v>1578</v>
      </c>
      <c r="E798" s="174" t="s">
        <v>1826</v>
      </c>
      <c r="F798" s="174" t="s">
        <v>2183</v>
      </c>
      <c r="G798" s="174" t="s">
        <v>2184</v>
      </c>
      <c r="H798" s="174" t="s">
        <v>2185</v>
      </c>
      <c r="I798" s="174" t="s">
        <v>29</v>
      </c>
      <c r="J798" s="174" t="s">
        <v>34</v>
      </c>
      <c r="K798" s="174" t="s">
        <v>154</v>
      </c>
      <c r="L798" s="177">
        <v>43980</v>
      </c>
      <c r="M798" s="174">
        <v>71</v>
      </c>
      <c r="N798" s="179">
        <v>6.04</v>
      </c>
      <c r="O798" s="174" t="s">
        <v>20</v>
      </c>
    </row>
    <row r="799" spans="1:15" s="174" customFormat="1" ht="35" hidden="1" customHeight="1">
      <c r="A799" s="174">
        <f>ROW()-3</f>
        <v>796</v>
      </c>
      <c r="B799" s="174" t="s">
        <v>1577</v>
      </c>
      <c r="C799" s="174" t="s">
        <v>2723</v>
      </c>
      <c r="D799" s="174" t="s">
        <v>1578</v>
      </c>
      <c r="E799" s="174" t="s">
        <v>1826</v>
      </c>
      <c r="F799" s="174" t="s">
        <v>2186</v>
      </c>
      <c r="G799" s="174" t="s">
        <v>2187</v>
      </c>
      <c r="H799" s="174" t="s">
        <v>1918</v>
      </c>
      <c r="I799" s="174" t="s">
        <v>29</v>
      </c>
      <c r="J799" s="174" t="s">
        <v>34</v>
      </c>
      <c r="K799" s="174" t="s">
        <v>154</v>
      </c>
      <c r="L799" s="177">
        <v>43980</v>
      </c>
      <c r="M799" s="174">
        <v>10</v>
      </c>
      <c r="N799" s="179">
        <v>6.26</v>
      </c>
      <c r="O799" s="174" t="s">
        <v>20</v>
      </c>
    </row>
    <row r="800" spans="1:15" s="174" customFormat="1" ht="35" hidden="1" customHeight="1">
      <c r="A800" s="174">
        <f>ROW()-3</f>
        <v>797</v>
      </c>
      <c r="B800" s="174" t="s">
        <v>1577</v>
      </c>
      <c r="C800" s="174" t="s">
        <v>2723</v>
      </c>
      <c r="D800" s="174" t="s">
        <v>1578</v>
      </c>
      <c r="E800" s="174" t="s">
        <v>1826</v>
      </c>
      <c r="F800" s="174" t="s">
        <v>2188</v>
      </c>
      <c r="G800" s="174" t="s">
        <v>2188</v>
      </c>
      <c r="H800" s="174" t="s">
        <v>1829</v>
      </c>
      <c r="I800" s="174" t="s">
        <v>29</v>
      </c>
      <c r="J800" s="174" t="s">
        <v>34</v>
      </c>
      <c r="K800" s="174" t="s">
        <v>154</v>
      </c>
      <c r="L800" s="177">
        <v>43980</v>
      </c>
      <c r="M800" s="174">
        <v>2</v>
      </c>
      <c r="N800" s="179">
        <v>0.22</v>
      </c>
      <c r="O800" s="174" t="s">
        <v>20</v>
      </c>
    </row>
    <row r="801" spans="1:15" s="174" customFormat="1" ht="35" hidden="1" customHeight="1">
      <c r="A801" s="174">
        <f>ROW()-3</f>
        <v>798</v>
      </c>
      <c r="B801" s="174" t="s">
        <v>1577</v>
      </c>
      <c r="C801" s="174" t="s">
        <v>2723</v>
      </c>
      <c r="D801" s="174" t="s">
        <v>1578</v>
      </c>
      <c r="E801" s="174" t="s">
        <v>2052</v>
      </c>
      <c r="F801" s="174" t="s">
        <v>2189</v>
      </c>
      <c r="G801" s="174" t="s">
        <v>2190</v>
      </c>
      <c r="H801" s="174" t="s">
        <v>1829</v>
      </c>
      <c r="I801" s="174" t="s">
        <v>29</v>
      </c>
      <c r="J801" s="174" t="s">
        <v>34</v>
      </c>
      <c r="K801" s="174" t="s">
        <v>154</v>
      </c>
      <c r="L801" s="177">
        <v>43980</v>
      </c>
      <c r="M801" s="174">
        <v>6</v>
      </c>
      <c r="N801" s="179">
        <v>0.26</v>
      </c>
      <c r="O801" s="174" t="s">
        <v>20</v>
      </c>
    </row>
    <row r="802" spans="1:15" s="174" customFormat="1" ht="35" hidden="1" customHeight="1">
      <c r="A802" s="174">
        <f>ROW()-3</f>
        <v>799</v>
      </c>
      <c r="B802" s="174" t="s">
        <v>1577</v>
      </c>
      <c r="C802" s="174" t="s">
        <v>2723</v>
      </c>
      <c r="D802" s="174" t="s">
        <v>1578</v>
      </c>
      <c r="E802" s="174" t="s">
        <v>2052</v>
      </c>
      <c r="F802" s="174" t="s">
        <v>2191</v>
      </c>
      <c r="G802" s="174" t="s">
        <v>2192</v>
      </c>
      <c r="H802" s="174" t="s">
        <v>1829</v>
      </c>
      <c r="I802" s="174" t="s">
        <v>29</v>
      </c>
      <c r="J802" s="174" t="s">
        <v>34</v>
      </c>
      <c r="K802" s="174" t="s">
        <v>154</v>
      </c>
      <c r="L802" s="177">
        <v>43980</v>
      </c>
      <c r="M802" s="174">
        <v>10</v>
      </c>
      <c r="N802" s="179">
        <v>0.26</v>
      </c>
      <c r="O802" s="174" t="s">
        <v>20</v>
      </c>
    </row>
    <row r="803" spans="1:15" s="174" customFormat="1" ht="35" hidden="1" customHeight="1">
      <c r="A803" s="174">
        <f>ROW()-3</f>
        <v>800</v>
      </c>
      <c r="B803" s="174" t="s">
        <v>1577</v>
      </c>
      <c r="C803" s="174" t="s">
        <v>2723</v>
      </c>
      <c r="D803" s="174" t="s">
        <v>1578</v>
      </c>
      <c r="E803" s="174" t="s">
        <v>2052</v>
      </c>
      <c r="F803" s="174" t="s">
        <v>2193</v>
      </c>
      <c r="G803" s="174" t="s">
        <v>2194</v>
      </c>
      <c r="H803" s="174" t="s">
        <v>1829</v>
      </c>
      <c r="I803" s="174" t="s">
        <v>29</v>
      </c>
      <c r="J803" s="174" t="s">
        <v>34</v>
      </c>
      <c r="K803" s="174" t="s">
        <v>154</v>
      </c>
      <c r="L803" s="177">
        <v>43980</v>
      </c>
      <c r="M803" s="174">
        <v>6</v>
      </c>
      <c r="N803" s="179">
        <v>0.85</v>
      </c>
      <c r="O803" s="174" t="s">
        <v>20</v>
      </c>
    </row>
    <row r="804" spans="1:15" s="174" customFormat="1" ht="35" hidden="1" customHeight="1">
      <c r="A804" s="174">
        <f>ROW()-3</f>
        <v>801</v>
      </c>
      <c r="B804" s="174" t="s">
        <v>1577</v>
      </c>
      <c r="C804" s="174" t="s">
        <v>2723</v>
      </c>
      <c r="D804" s="174" t="s">
        <v>1578</v>
      </c>
      <c r="E804" s="174" t="s">
        <v>2055</v>
      </c>
      <c r="F804" s="174" t="s">
        <v>2195</v>
      </c>
      <c r="G804" s="174" t="s">
        <v>2196</v>
      </c>
      <c r="H804" s="174" t="s">
        <v>1913</v>
      </c>
      <c r="I804" s="174" t="s">
        <v>29</v>
      </c>
      <c r="J804" s="174" t="s">
        <v>34</v>
      </c>
      <c r="K804" s="174" t="s">
        <v>154</v>
      </c>
      <c r="L804" s="177">
        <v>43980</v>
      </c>
      <c r="M804" s="174">
        <v>8</v>
      </c>
      <c r="N804" s="179">
        <v>1.6</v>
      </c>
      <c r="O804" s="174" t="s">
        <v>20</v>
      </c>
    </row>
    <row r="805" spans="1:15" s="174" customFormat="1" ht="35" hidden="1" customHeight="1">
      <c r="A805" s="174">
        <f>ROW()-3</f>
        <v>802</v>
      </c>
      <c r="B805" s="174" t="s">
        <v>1577</v>
      </c>
      <c r="C805" s="174" t="s">
        <v>2723</v>
      </c>
      <c r="D805" s="174" t="s">
        <v>1578</v>
      </c>
      <c r="E805" s="174" t="s">
        <v>1881</v>
      </c>
      <c r="F805" s="174" t="s">
        <v>2197</v>
      </c>
      <c r="G805" s="174" t="s">
        <v>1991</v>
      </c>
      <c r="H805" s="174" t="s">
        <v>1829</v>
      </c>
      <c r="I805" s="174" t="s">
        <v>29</v>
      </c>
      <c r="J805" s="174" t="s">
        <v>34</v>
      </c>
      <c r="K805" s="174" t="s">
        <v>154</v>
      </c>
      <c r="L805" s="177">
        <v>43980</v>
      </c>
      <c r="M805" s="174">
        <v>10</v>
      </c>
      <c r="N805" s="179">
        <v>1.7</v>
      </c>
      <c r="O805" s="174" t="s">
        <v>20</v>
      </c>
    </row>
    <row r="806" spans="1:15" s="174" customFormat="1" ht="35" hidden="1" customHeight="1">
      <c r="A806" s="174">
        <f>ROW()-3</f>
        <v>803</v>
      </c>
      <c r="B806" s="174" t="s">
        <v>1577</v>
      </c>
      <c r="C806" s="174" t="s">
        <v>2723</v>
      </c>
      <c r="D806" s="174" t="s">
        <v>1578</v>
      </c>
      <c r="E806" s="174" t="s">
        <v>1881</v>
      </c>
      <c r="F806" s="174" t="s">
        <v>2198</v>
      </c>
      <c r="G806" s="174" t="s">
        <v>2199</v>
      </c>
      <c r="H806" s="174" t="s">
        <v>2200</v>
      </c>
      <c r="I806" s="174" t="s">
        <v>29</v>
      </c>
      <c r="J806" s="174" t="s">
        <v>34</v>
      </c>
      <c r="K806" s="174" t="s">
        <v>154</v>
      </c>
      <c r="L806" s="177">
        <v>43980</v>
      </c>
      <c r="M806" s="174">
        <v>54</v>
      </c>
      <c r="N806" s="179">
        <v>18.03</v>
      </c>
      <c r="O806" s="174" t="s">
        <v>20</v>
      </c>
    </row>
    <row r="807" spans="1:15" s="174" customFormat="1" ht="35" hidden="1" customHeight="1">
      <c r="A807" s="174">
        <f>ROW()-3</f>
        <v>804</v>
      </c>
      <c r="B807" s="174" t="s">
        <v>1577</v>
      </c>
      <c r="C807" s="174" t="s">
        <v>2723</v>
      </c>
      <c r="D807" s="174" t="s">
        <v>1578</v>
      </c>
      <c r="E807" s="174" t="s">
        <v>1881</v>
      </c>
      <c r="F807" s="174" t="s">
        <v>2201</v>
      </c>
      <c r="G807" s="174" t="s">
        <v>2202</v>
      </c>
      <c r="H807" s="174" t="s">
        <v>1829</v>
      </c>
      <c r="I807" s="174" t="s">
        <v>29</v>
      </c>
      <c r="J807" s="174" t="s">
        <v>34</v>
      </c>
      <c r="K807" s="174" t="s">
        <v>154</v>
      </c>
      <c r="L807" s="177">
        <v>43980</v>
      </c>
      <c r="M807" s="174">
        <v>47</v>
      </c>
      <c r="N807" s="179">
        <v>13.04</v>
      </c>
      <c r="O807" s="174" t="s">
        <v>20</v>
      </c>
    </row>
    <row r="808" spans="1:15" s="174" customFormat="1" ht="35" hidden="1" customHeight="1">
      <c r="A808" s="174">
        <f>ROW()-3</f>
        <v>805</v>
      </c>
      <c r="B808" s="174" t="s">
        <v>1577</v>
      </c>
      <c r="C808" s="174" t="s">
        <v>2723</v>
      </c>
      <c r="D808" s="174" t="s">
        <v>1578</v>
      </c>
      <c r="E808" s="174" t="s">
        <v>1881</v>
      </c>
      <c r="F808" s="174" t="s">
        <v>2203</v>
      </c>
      <c r="G808" s="174" t="s">
        <v>2204</v>
      </c>
      <c r="H808" s="174" t="s">
        <v>2205</v>
      </c>
      <c r="I808" s="174" t="s">
        <v>29</v>
      </c>
      <c r="J808" s="174" t="s">
        <v>34</v>
      </c>
      <c r="K808" s="174" t="s">
        <v>154</v>
      </c>
      <c r="L808" s="177">
        <v>43980</v>
      </c>
      <c r="M808" s="174">
        <v>30</v>
      </c>
      <c r="N808" s="179">
        <v>4.09</v>
      </c>
      <c r="O808" s="174" t="s">
        <v>20</v>
      </c>
    </row>
    <row r="809" spans="1:15" s="174" customFormat="1" ht="35" hidden="1" customHeight="1">
      <c r="A809" s="174">
        <f>ROW()-3</f>
        <v>806</v>
      </c>
      <c r="B809" s="174" t="s">
        <v>1577</v>
      </c>
      <c r="C809" s="174" t="s">
        <v>2723</v>
      </c>
      <c r="D809" s="174" t="s">
        <v>1578</v>
      </c>
      <c r="E809" s="174" t="s">
        <v>1881</v>
      </c>
      <c r="F809" s="174" t="s">
        <v>2206</v>
      </c>
      <c r="G809" s="174" t="s">
        <v>2207</v>
      </c>
      <c r="H809" s="174" t="s">
        <v>1829</v>
      </c>
      <c r="I809" s="174" t="s">
        <v>29</v>
      </c>
      <c r="J809" s="174" t="s">
        <v>34</v>
      </c>
      <c r="K809" s="174" t="s">
        <v>154</v>
      </c>
      <c r="L809" s="177">
        <v>43980</v>
      </c>
      <c r="M809" s="174">
        <v>55</v>
      </c>
      <c r="N809" s="179">
        <v>9.9</v>
      </c>
      <c r="O809" s="174" t="s">
        <v>20</v>
      </c>
    </row>
    <row r="810" spans="1:15" s="174" customFormat="1" ht="35" hidden="1" customHeight="1">
      <c r="A810" s="174">
        <f>ROW()-3</f>
        <v>807</v>
      </c>
      <c r="B810" s="174" t="s">
        <v>1577</v>
      </c>
      <c r="C810" s="174" t="s">
        <v>2723</v>
      </c>
      <c r="D810" s="174" t="s">
        <v>1578</v>
      </c>
      <c r="E810" s="174" t="s">
        <v>1884</v>
      </c>
      <c r="F810" s="174" t="s">
        <v>2208</v>
      </c>
      <c r="G810" s="174" t="s">
        <v>2209</v>
      </c>
      <c r="H810" s="174" t="s">
        <v>2210</v>
      </c>
      <c r="I810" s="174" t="s">
        <v>29</v>
      </c>
      <c r="J810" s="174" t="s">
        <v>34</v>
      </c>
      <c r="K810" s="174" t="s">
        <v>154</v>
      </c>
      <c r="L810" s="177">
        <v>43980</v>
      </c>
      <c r="M810" s="174">
        <v>19</v>
      </c>
      <c r="N810" s="179">
        <v>1.51</v>
      </c>
      <c r="O810" s="174" t="s">
        <v>20</v>
      </c>
    </row>
    <row r="811" spans="1:15" s="174" customFormat="1" ht="35" hidden="1" customHeight="1">
      <c r="A811" s="174">
        <f>ROW()-3</f>
        <v>808</v>
      </c>
      <c r="B811" s="174" t="s">
        <v>1577</v>
      </c>
      <c r="C811" s="174" t="s">
        <v>2723</v>
      </c>
      <c r="D811" s="174" t="s">
        <v>1578</v>
      </c>
      <c r="E811" s="174" t="s">
        <v>1884</v>
      </c>
      <c r="F811" s="174" t="s">
        <v>2211</v>
      </c>
      <c r="G811" s="174" t="s">
        <v>2211</v>
      </c>
      <c r="H811" s="174" t="s">
        <v>1829</v>
      </c>
      <c r="I811" s="174" t="s">
        <v>29</v>
      </c>
      <c r="J811" s="174" t="s">
        <v>34</v>
      </c>
      <c r="K811" s="174" t="s">
        <v>154</v>
      </c>
      <c r="L811" s="177">
        <v>43980</v>
      </c>
      <c r="M811" s="174">
        <v>56</v>
      </c>
      <c r="N811" s="179">
        <v>2.02</v>
      </c>
      <c r="O811" s="174" t="s">
        <v>20</v>
      </c>
    </row>
    <row r="812" spans="1:15" s="174" customFormat="1" ht="35" hidden="1" customHeight="1">
      <c r="A812" s="174">
        <f>ROW()-3</f>
        <v>809</v>
      </c>
      <c r="B812" s="174" t="s">
        <v>1577</v>
      </c>
      <c r="C812" s="174" t="s">
        <v>2723</v>
      </c>
      <c r="D812" s="174" t="s">
        <v>1578</v>
      </c>
      <c r="E812" s="174" t="s">
        <v>1884</v>
      </c>
      <c r="F812" s="174" t="s">
        <v>2212</v>
      </c>
      <c r="G812" s="174" t="s">
        <v>2213</v>
      </c>
      <c r="H812" s="174" t="s">
        <v>1829</v>
      </c>
      <c r="I812" s="174" t="s">
        <v>29</v>
      </c>
      <c r="J812" s="174" t="s">
        <v>34</v>
      </c>
      <c r="K812" s="174" t="s">
        <v>154</v>
      </c>
      <c r="L812" s="177">
        <v>43980</v>
      </c>
      <c r="M812" s="174">
        <v>15</v>
      </c>
      <c r="N812" s="179">
        <v>2.0499999999999998</v>
      </c>
      <c r="O812" s="174" t="s">
        <v>20</v>
      </c>
    </row>
    <row r="813" spans="1:15" s="174" customFormat="1" ht="35" hidden="1" customHeight="1">
      <c r="A813" s="174">
        <f>ROW()-3</f>
        <v>810</v>
      </c>
      <c r="B813" s="174" t="s">
        <v>1577</v>
      </c>
      <c r="C813" s="174" t="s">
        <v>2723</v>
      </c>
      <c r="D813" s="174" t="s">
        <v>1578</v>
      </c>
      <c r="E813" s="174" t="s">
        <v>1884</v>
      </c>
      <c r="F813" s="174" t="s">
        <v>2214</v>
      </c>
      <c r="G813" s="174" t="s">
        <v>2215</v>
      </c>
      <c r="H813" s="174" t="s">
        <v>1913</v>
      </c>
      <c r="I813" s="174" t="s">
        <v>29</v>
      </c>
      <c r="J813" s="174" t="s">
        <v>34</v>
      </c>
      <c r="K813" s="174" t="s">
        <v>154</v>
      </c>
      <c r="L813" s="177">
        <v>43980</v>
      </c>
      <c r="M813" s="174">
        <v>126</v>
      </c>
      <c r="N813" s="179">
        <v>11.05</v>
      </c>
      <c r="O813" s="174" t="s">
        <v>20</v>
      </c>
    </row>
    <row r="814" spans="1:15" s="174" customFormat="1" ht="35" hidden="1" customHeight="1">
      <c r="A814" s="174">
        <f>ROW()-3</f>
        <v>811</v>
      </c>
      <c r="B814" s="174" t="s">
        <v>1577</v>
      </c>
      <c r="C814" s="174" t="s">
        <v>2723</v>
      </c>
      <c r="D814" s="174" t="s">
        <v>1578</v>
      </c>
      <c r="E814" s="174" t="s">
        <v>1884</v>
      </c>
      <c r="F814" s="174" t="s">
        <v>2216</v>
      </c>
      <c r="G814" s="174" t="s">
        <v>2217</v>
      </c>
      <c r="H814" s="174" t="s">
        <v>1913</v>
      </c>
      <c r="I814" s="174" t="s">
        <v>29</v>
      </c>
      <c r="J814" s="174" t="s">
        <v>34</v>
      </c>
      <c r="K814" s="174" t="s">
        <v>154</v>
      </c>
      <c r="L814" s="177">
        <v>43980</v>
      </c>
      <c r="M814" s="174">
        <v>36</v>
      </c>
      <c r="N814" s="179">
        <v>2.04</v>
      </c>
      <c r="O814" s="174" t="s">
        <v>20</v>
      </c>
    </row>
    <row r="815" spans="1:15" s="174" customFormat="1" ht="35" hidden="1" customHeight="1">
      <c r="A815" s="174">
        <f>ROW()-3</f>
        <v>812</v>
      </c>
      <c r="B815" s="174" t="s">
        <v>1577</v>
      </c>
      <c r="C815" s="174" t="s">
        <v>2723</v>
      </c>
      <c r="D815" s="174" t="s">
        <v>1578</v>
      </c>
      <c r="E815" s="174" t="s">
        <v>1884</v>
      </c>
      <c r="F815" s="174" t="s">
        <v>2218</v>
      </c>
      <c r="G815" s="174" t="s">
        <v>2219</v>
      </c>
      <c r="H815" s="174" t="s">
        <v>1901</v>
      </c>
      <c r="I815" s="174" t="s">
        <v>29</v>
      </c>
      <c r="J815" s="174" t="s">
        <v>34</v>
      </c>
      <c r="K815" s="174" t="s">
        <v>154</v>
      </c>
      <c r="L815" s="177">
        <v>43980</v>
      </c>
      <c r="M815" s="174">
        <v>517</v>
      </c>
      <c r="N815" s="179">
        <v>52.23</v>
      </c>
      <c r="O815" s="174" t="s">
        <v>30</v>
      </c>
    </row>
    <row r="816" spans="1:15" s="174" customFormat="1" ht="35" hidden="1" customHeight="1">
      <c r="A816" s="174">
        <f>ROW()-3</f>
        <v>813</v>
      </c>
      <c r="B816" s="174" t="s">
        <v>1577</v>
      </c>
      <c r="C816" s="174" t="s">
        <v>2723</v>
      </c>
      <c r="D816" s="174" t="s">
        <v>1578</v>
      </c>
      <c r="E816" s="174" t="s">
        <v>1884</v>
      </c>
      <c r="F816" s="174" t="s">
        <v>2220</v>
      </c>
      <c r="G816" s="174" t="s">
        <v>2221</v>
      </c>
      <c r="H816" s="174" t="s">
        <v>1829</v>
      </c>
      <c r="I816" s="174" t="s">
        <v>29</v>
      </c>
      <c r="J816" s="174" t="s">
        <v>34</v>
      </c>
      <c r="K816" s="174" t="s">
        <v>154</v>
      </c>
      <c r="L816" s="177">
        <v>43980</v>
      </c>
      <c r="M816" s="174">
        <v>5</v>
      </c>
      <c r="N816" s="179">
        <v>0.21</v>
      </c>
      <c r="O816" s="174" t="s">
        <v>20</v>
      </c>
    </row>
    <row r="817" spans="1:15" s="174" customFormat="1" ht="35" hidden="1" customHeight="1">
      <c r="A817" s="174">
        <f>ROW()-3</f>
        <v>814</v>
      </c>
      <c r="B817" s="174" t="s">
        <v>1577</v>
      </c>
      <c r="C817" s="174" t="s">
        <v>2723</v>
      </c>
      <c r="D817" s="174" t="s">
        <v>1578</v>
      </c>
      <c r="E817" s="174" t="s">
        <v>1884</v>
      </c>
      <c r="F817" s="174" t="s">
        <v>2222</v>
      </c>
      <c r="G817" s="174" t="s">
        <v>2223</v>
      </c>
      <c r="H817" s="174" t="s">
        <v>1829</v>
      </c>
      <c r="I817" s="174" t="s">
        <v>29</v>
      </c>
      <c r="J817" s="174" t="s">
        <v>34</v>
      </c>
      <c r="K817" s="174" t="s">
        <v>154</v>
      </c>
      <c r="L817" s="177">
        <v>43980</v>
      </c>
      <c r="M817" s="174">
        <v>13</v>
      </c>
      <c r="N817" s="179">
        <v>0.55000000000000004</v>
      </c>
      <c r="O817" s="174" t="s">
        <v>20</v>
      </c>
    </row>
    <row r="818" spans="1:15" s="174" customFormat="1" ht="35" hidden="1" customHeight="1">
      <c r="A818" s="174">
        <f>ROW()-3</f>
        <v>815</v>
      </c>
      <c r="B818" s="174" t="s">
        <v>1577</v>
      </c>
      <c r="C818" s="174" t="s">
        <v>2723</v>
      </c>
      <c r="D818" s="174" t="s">
        <v>1578</v>
      </c>
      <c r="E818" s="174" t="s">
        <v>1884</v>
      </c>
      <c r="F818" s="174" t="s">
        <v>2224</v>
      </c>
      <c r="G818" s="174" t="s">
        <v>2224</v>
      </c>
      <c r="H818" s="174" t="s">
        <v>1918</v>
      </c>
      <c r="I818" s="174" t="s">
        <v>29</v>
      </c>
      <c r="J818" s="174" t="s">
        <v>34</v>
      </c>
      <c r="K818" s="174" t="s">
        <v>154</v>
      </c>
      <c r="L818" s="177">
        <v>43980</v>
      </c>
      <c r="M818" s="174">
        <v>12</v>
      </c>
      <c r="N818" s="179">
        <v>8.1999999999999993</v>
      </c>
      <c r="O818" s="174" t="s">
        <v>20</v>
      </c>
    </row>
    <row r="819" spans="1:15" s="174" customFormat="1" ht="35" hidden="1" customHeight="1">
      <c r="A819" s="174">
        <f>ROW()-3</f>
        <v>816</v>
      </c>
      <c r="B819" s="174" t="s">
        <v>1577</v>
      </c>
      <c r="C819" s="174" t="s">
        <v>2723</v>
      </c>
      <c r="D819" s="174" t="s">
        <v>1578</v>
      </c>
      <c r="E819" s="174" t="s">
        <v>1884</v>
      </c>
      <c r="F819" s="174" t="s">
        <v>2225</v>
      </c>
      <c r="G819" s="174" t="s">
        <v>2226</v>
      </c>
      <c r="H819" s="174" t="s">
        <v>1829</v>
      </c>
      <c r="I819" s="174" t="s">
        <v>29</v>
      </c>
      <c r="J819" s="174" t="s">
        <v>34</v>
      </c>
      <c r="K819" s="174" t="s">
        <v>154</v>
      </c>
      <c r="L819" s="177">
        <v>43980</v>
      </c>
      <c r="M819" s="174">
        <v>5</v>
      </c>
      <c r="N819" s="179">
        <v>0.55000000000000004</v>
      </c>
      <c r="O819" s="174" t="s">
        <v>20</v>
      </c>
    </row>
    <row r="820" spans="1:15" s="174" customFormat="1" ht="35" hidden="1" customHeight="1">
      <c r="A820" s="174">
        <f>ROW()-3</f>
        <v>817</v>
      </c>
      <c r="B820" s="174" t="s">
        <v>1577</v>
      </c>
      <c r="C820" s="174" t="s">
        <v>2723</v>
      </c>
      <c r="D820" s="174" t="s">
        <v>1578</v>
      </c>
      <c r="E820" s="174" t="s">
        <v>1884</v>
      </c>
      <c r="F820" s="174" t="s">
        <v>2227</v>
      </c>
      <c r="G820" s="174" t="s">
        <v>2228</v>
      </c>
      <c r="H820" s="174" t="s">
        <v>1913</v>
      </c>
      <c r="I820" s="174" t="s">
        <v>29</v>
      </c>
      <c r="J820" s="174" t="s">
        <v>34</v>
      </c>
      <c r="K820" s="174" t="s">
        <v>154</v>
      </c>
      <c r="L820" s="177">
        <v>43980</v>
      </c>
      <c r="M820" s="174">
        <v>6</v>
      </c>
      <c r="N820" s="179">
        <v>1.1000000000000001</v>
      </c>
      <c r="O820" s="174" t="s">
        <v>20</v>
      </c>
    </row>
    <row r="821" spans="1:15" s="174" customFormat="1" ht="35" hidden="1" customHeight="1">
      <c r="A821" s="174">
        <f>ROW()-3</f>
        <v>818</v>
      </c>
      <c r="B821" s="174" t="s">
        <v>1577</v>
      </c>
      <c r="C821" s="174" t="s">
        <v>2723</v>
      </c>
      <c r="D821" s="174" t="s">
        <v>1578</v>
      </c>
      <c r="E821" s="174" t="s">
        <v>1884</v>
      </c>
      <c r="F821" s="174" t="s">
        <v>2229</v>
      </c>
      <c r="G821" s="174" t="s">
        <v>2230</v>
      </c>
      <c r="H821" s="174" t="s">
        <v>1829</v>
      </c>
      <c r="I821" s="174" t="s">
        <v>29</v>
      </c>
      <c r="J821" s="174" t="s">
        <v>34</v>
      </c>
      <c r="K821" s="174" t="s">
        <v>154</v>
      </c>
      <c r="L821" s="177">
        <v>43980</v>
      </c>
      <c r="M821" s="174">
        <v>5</v>
      </c>
      <c r="N821" s="179">
        <v>0.25</v>
      </c>
      <c r="O821" s="174" t="s">
        <v>20</v>
      </c>
    </row>
    <row r="822" spans="1:15" s="174" customFormat="1" ht="35" hidden="1" customHeight="1">
      <c r="A822" s="174">
        <f>ROW()-3</f>
        <v>819</v>
      </c>
      <c r="B822" s="174" t="s">
        <v>1577</v>
      </c>
      <c r="C822" s="174" t="s">
        <v>2723</v>
      </c>
      <c r="D822" s="174" t="s">
        <v>1578</v>
      </c>
      <c r="E822" s="174" t="s">
        <v>1884</v>
      </c>
      <c r="F822" s="174" t="s">
        <v>2231</v>
      </c>
      <c r="G822" s="174" t="s">
        <v>2232</v>
      </c>
      <c r="H822" s="174" t="s">
        <v>1829</v>
      </c>
      <c r="I822" s="174" t="s">
        <v>29</v>
      </c>
      <c r="J822" s="174" t="s">
        <v>34</v>
      </c>
      <c r="K822" s="174" t="s">
        <v>154</v>
      </c>
      <c r="L822" s="177">
        <v>43980</v>
      </c>
      <c r="M822" s="174">
        <v>13</v>
      </c>
      <c r="N822" s="179">
        <v>0.28999999999999998</v>
      </c>
      <c r="O822" s="174" t="s">
        <v>20</v>
      </c>
    </row>
    <row r="823" spans="1:15" s="174" customFormat="1" ht="35" hidden="1" customHeight="1">
      <c r="A823" s="174">
        <f>ROW()-3</f>
        <v>820</v>
      </c>
      <c r="B823" s="174" t="s">
        <v>1577</v>
      </c>
      <c r="C823" s="174" t="s">
        <v>2723</v>
      </c>
      <c r="D823" s="174" t="s">
        <v>1578</v>
      </c>
      <c r="E823" s="174" t="s">
        <v>1884</v>
      </c>
      <c r="F823" s="174" t="s">
        <v>2233</v>
      </c>
      <c r="G823" s="174" t="s">
        <v>2234</v>
      </c>
      <c r="H823" s="174" t="s">
        <v>1913</v>
      </c>
      <c r="I823" s="174" t="s">
        <v>29</v>
      </c>
      <c r="J823" s="174" t="s">
        <v>34</v>
      </c>
      <c r="K823" s="174" t="s">
        <v>154</v>
      </c>
      <c r="L823" s="177">
        <v>43980</v>
      </c>
      <c r="M823" s="174">
        <v>15</v>
      </c>
      <c r="N823" s="179">
        <v>6</v>
      </c>
      <c r="O823" s="174" t="s">
        <v>30</v>
      </c>
    </row>
    <row r="824" spans="1:15" s="174" customFormat="1" ht="35" hidden="1" customHeight="1">
      <c r="A824" s="174">
        <f>ROW()-3</f>
        <v>821</v>
      </c>
      <c r="B824" s="174" t="s">
        <v>1577</v>
      </c>
      <c r="C824" s="174" t="s">
        <v>2723</v>
      </c>
      <c r="D824" s="174" t="s">
        <v>1578</v>
      </c>
      <c r="E824" s="174" t="s">
        <v>1884</v>
      </c>
      <c r="F824" s="174" t="s">
        <v>2235</v>
      </c>
      <c r="G824" s="174" t="s">
        <v>2236</v>
      </c>
      <c r="H824" s="174" t="s">
        <v>1983</v>
      </c>
      <c r="I824" s="174" t="s">
        <v>29</v>
      </c>
      <c r="J824" s="174" t="s">
        <v>34</v>
      </c>
      <c r="K824" s="174" t="s">
        <v>154</v>
      </c>
      <c r="L824" s="177">
        <v>43980</v>
      </c>
      <c r="M824" s="174">
        <v>20</v>
      </c>
      <c r="N824" s="179">
        <v>7.55</v>
      </c>
      <c r="O824" s="174" t="s">
        <v>20</v>
      </c>
    </row>
    <row r="825" spans="1:15" s="174" customFormat="1" ht="35" hidden="1" customHeight="1">
      <c r="A825" s="174">
        <f>ROW()-3</f>
        <v>822</v>
      </c>
      <c r="B825" s="174" t="s">
        <v>1577</v>
      </c>
      <c r="C825" s="174" t="s">
        <v>2723</v>
      </c>
      <c r="D825" s="174" t="s">
        <v>1578</v>
      </c>
      <c r="E825" s="174" t="s">
        <v>1943</v>
      </c>
      <c r="F825" s="174" t="s">
        <v>2237</v>
      </c>
      <c r="G825" s="174" t="s">
        <v>2238</v>
      </c>
      <c r="H825" s="174" t="s">
        <v>1829</v>
      </c>
      <c r="I825" s="174" t="s">
        <v>29</v>
      </c>
      <c r="J825" s="174" t="s">
        <v>34</v>
      </c>
      <c r="K825" s="174" t="s">
        <v>154</v>
      </c>
      <c r="L825" s="177">
        <v>43980</v>
      </c>
      <c r="M825" s="174">
        <v>3</v>
      </c>
      <c r="N825" s="179">
        <v>0.2</v>
      </c>
      <c r="O825" s="174" t="s">
        <v>20</v>
      </c>
    </row>
    <row r="826" spans="1:15" s="174" customFormat="1" ht="35" hidden="1" customHeight="1">
      <c r="A826" s="174">
        <f>ROW()-3</f>
        <v>823</v>
      </c>
      <c r="B826" s="174" t="s">
        <v>1577</v>
      </c>
      <c r="C826" s="174" t="s">
        <v>2723</v>
      </c>
      <c r="D826" s="174" t="s">
        <v>1578</v>
      </c>
      <c r="E826" s="174" t="s">
        <v>1943</v>
      </c>
      <c r="F826" s="174" t="s">
        <v>2239</v>
      </c>
      <c r="G826" s="174" t="s">
        <v>2240</v>
      </c>
      <c r="H826" s="174" t="s">
        <v>1967</v>
      </c>
      <c r="I826" s="174" t="s">
        <v>29</v>
      </c>
      <c r="J826" s="174" t="s">
        <v>34</v>
      </c>
      <c r="K826" s="174" t="s">
        <v>154</v>
      </c>
      <c r="L826" s="177">
        <v>43980</v>
      </c>
      <c r="M826" s="174">
        <v>44</v>
      </c>
      <c r="N826" s="179">
        <v>8.61</v>
      </c>
      <c r="O826" s="174" t="s">
        <v>20</v>
      </c>
    </row>
    <row r="827" spans="1:15" s="174" customFormat="1" ht="35" hidden="1" customHeight="1">
      <c r="A827" s="174">
        <f>ROW()-3</f>
        <v>824</v>
      </c>
      <c r="B827" s="174" t="s">
        <v>1577</v>
      </c>
      <c r="C827" s="174" t="s">
        <v>2723</v>
      </c>
      <c r="D827" s="174" t="s">
        <v>1578</v>
      </c>
      <c r="E827" s="174" t="s">
        <v>1943</v>
      </c>
      <c r="F827" s="174" t="s">
        <v>2241</v>
      </c>
      <c r="G827" s="174" t="s">
        <v>2242</v>
      </c>
      <c r="H827" s="174" t="s">
        <v>1829</v>
      </c>
      <c r="I827" s="174" t="s">
        <v>29</v>
      </c>
      <c r="J827" s="174" t="s">
        <v>34</v>
      </c>
      <c r="K827" s="174" t="s">
        <v>154</v>
      </c>
      <c r="L827" s="177">
        <v>43980</v>
      </c>
      <c r="M827" s="174">
        <v>10</v>
      </c>
      <c r="N827" s="179">
        <v>1.43</v>
      </c>
      <c r="O827" s="174" t="s">
        <v>20</v>
      </c>
    </row>
    <row r="828" spans="1:15" s="174" customFormat="1" ht="35" hidden="1" customHeight="1">
      <c r="A828" s="174">
        <f>ROW()-3</f>
        <v>825</v>
      </c>
      <c r="B828" s="174" t="s">
        <v>1577</v>
      </c>
      <c r="C828" s="174" t="s">
        <v>2723</v>
      </c>
      <c r="D828" s="174" t="s">
        <v>1578</v>
      </c>
      <c r="E828" s="174" t="s">
        <v>1943</v>
      </c>
      <c r="F828" s="174" t="s">
        <v>2243</v>
      </c>
      <c r="G828" s="174" t="s">
        <v>2243</v>
      </c>
      <c r="H828" s="174" t="s">
        <v>1829</v>
      </c>
      <c r="I828" s="174" t="s">
        <v>29</v>
      </c>
      <c r="J828" s="174" t="s">
        <v>34</v>
      </c>
      <c r="K828" s="174" t="s">
        <v>154</v>
      </c>
      <c r="L828" s="177">
        <v>43980</v>
      </c>
      <c r="M828" s="174">
        <v>29</v>
      </c>
      <c r="N828" s="179">
        <v>7.55</v>
      </c>
      <c r="O828" s="174" t="s">
        <v>20</v>
      </c>
    </row>
    <row r="829" spans="1:15" s="174" customFormat="1" ht="35" hidden="1" customHeight="1">
      <c r="A829" s="174">
        <f>ROW()-3</f>
        <v>826</v>
      </c>
      <c r="B829" s="174" t="s">
        <v>1577</v>
      </c>
      <c r="C829" s="174" t="s">
        <v>2723</v>
      </c>
      <c r="D829" s="174" t="s">
        <v>1578</v>
      </c>
      <c r="E829" s="174" t="s">
        <v>1943</v>
      </c>
      <c r="F829" s="174" t="s">
        <v>2244</v>
      </c>
      <c r="G829" s="174" t="s">
        <v>2245</v>
      </c>
      <c r="H829" s="174" t="s">
        <v>1829</v>
      </c>
      <c r="I829" s="174" t="s">
        <v>29</v>
      </c>
      <c r="J829" s="174" t="s">
        <v>34</v>
      </c>
      <c r="K829" s="174" t="s">
        <v>154</v>
      </c>
      <c r="L829" s="177">
        <v>43980</v>
      </c>
      <c r="M829" s="174">
        <v>22</v>
      </c>
      <c r="N829" s="179">
        <v>2.76</v>
      </c>
      <c r="O829" s="174" t="s">
        <v>20</v>
      </c>
    </row>
    <row r="830" spans="1:15" s="174" customFormat="1" ht="35" hidden="1" customHeight="1">
      <c r="A830" s="174">
        <f>ROW()-3</f>
        <v>827</v>
      </c>
      <c r="B830" s="174" t="s">
        <v>1577</v>
      </c>
      <c r="C830" s="174" t="s">
        <v>2723</v>
      </c>
      <c r="D830" s="174" t="s">
        <v>1578</v>
      </c>
      <c r="E830" s="174" t="s">
        <v>1943</v>
      </c>
      <c r="F830" s="174" t="s">
        <v>2246</v>
      </c>
      <c r="G830" s="174" t="s">
        <v>2247</v>
      </c>
      <c r="H830" s="174" t="s">
        <v>1829</v>
      </c>
      <c r="I830" s="174" t="s">
        <v>29</v>
      </c>
      <c r="J830" s="174" t="s">
        <v>34</v>
      </c>
      <c r="K830" s="174" t="s">
        <v>154</v>
      </c>
      <c r="L830" s="177">
        <v>43980</v>
      </c>
      <c r="M830" s="174">
        <v>10</v>
      </c>
      <c r="N830" s="179">
        <v>2.0099999999999998</v>
      </c>
      <c r="O830" s="174" t="s">
        <v>20</v>
      </c>
    </row>
    <row r="831" spans="1:15" s="174" customFormat="1" ht="35" hidden="1" customHeight="1">
      <c r="A831" s="174">
        <f>ROW()-3</f>
        <v>828</v>
      </c>
      <c r="B831" s="174" t="s">
        <v>1577</v>
      </c>
      <c r="C831" s="174" t="s">
        <v>2723</v>
      </c>
      <c r="D831" s="174" t="s">
        <v>1578</v>
      </c>
      <c r="E831" s="174" t="s">
        <v>1943</v>
      </c>
      <c r="F831" s="174" t="s">
        <v>2248</v>
      </c>
      <c r="G831" s="174" t="s">
        <v>2249</v>
      </c>
      <c r="H831" s="174" t="s">
        <v>1829</v>
      </c>
      <c r="I831" s="174" t="s">
        <v>29</v>
      </c>
      <c r="J831" s="174" t="s">
        <v>34</v>
      </c>
      <c r="K831" s="174" t="s">
        <v>154</v>
      </c>
      <c r="L831" s="177">
        <v>43980</v>
      </c>
      <c r="M831" s="174">
        <v>30</v>
      </c>
      <c r="N831" s="179">
        <v>1.99</v>
      </c>
      <c r="O831" s="174" t="s">
        <v>30</v>
      </c>
    </row>
    <row r="832" spans="1:15" s="174" customFormat="1" ht="35" hidden="1" customHeight="1">
      <c r="A832" s="174">
        <f>ROW()-3</f>
        <v>829</v>
      </c>
      <c r="B832" s="174" t="s">
        <v>1577</v>
      </c>
      <c r="C832" s="174" t="s">
        <v>2723</v>
      </c>
      <c r="D832" s="174" t="s">
        <v>1578</v>
      </c>
      <c r="E832" s="174" t="s">
        <v>1826</v>
      </c>
      <c r="F832" s="174" t="s">
        <v>2250</v>
      </c>
      <c r="G832" s="174" t="s">
        <v>2251</v>
      </c>
      <c r="H832" s="174" t="s">
        <v>2177</v>
      </c>
      <c r="I832" s="174" t="s">
        <v>17</v>
      </c>
      <c r="J832" s="174" t="s">
        <v>34</v>
      </c>
      <c r="K832" s="174" t="s">
        <v>154</v>
      </c>
      <c r="L832" s="177">
        <v>43983</v>
      </c>
      <c r="M832" s="174">
        <v>116</v>
      </c>
      <c r="N832" s="179">
        <v>43.75</v>
      </c>
      <c r="O832" s="174" t="s">
        <v>30</v>
      </c>
    </row>
    <row r="833" spans="1:15" s="174" customFormat="1" ht="35" hidden="1" customHeight="1">
      <c r="A833" s="174">
        <f>ROW()-3</f>
        <v>830</v>
      </c>
      <c r="B833" s="174" t="s">
        <v>1577</v>
      </c>
      <c r="C833" s="174" t="s">
        <v>2723</v>
      </c>
      <c r="D833" s="174" t="s">
        <v>1578</v>
      </c>
      <c r="E833" s="174" t="s">
        <v>2055</v>
      </c>
      <c r="F833" s="174" t="s">
        <v>2252</v>
      </c>
      <c r="G833" s="174" t="s">
        <v>2252</v>
      </c>
      <c r="H833" s="174" t="s">
        <v>1829</v>
      </c>
      <c r="I833" s="174" t="s">
        <v>29</v>
      </c>
      <c r="J833" s="174" t="s">
        <v>34</v>
      </c>
      <c r="K833" s="174" t="s">
        <v>154</v>
      </c>
      <c r="L833" s="177">
        <v>44028</v>
      </c>
      <c r="M833" s="174">
        <v>8</v>
      </c>
      <c r="N833" s="179">
        <v>0.3</v>
      </c>
      <c r="O833" s="174" t="s">
        <v>20</v>
      </c>
    </row>
    <row r="834" spans="1:15" s="174" customFormat="1" ht="35" hidden="1" customHeight="1">
      <c r="A834" s="174">
        <f>ROW()-3</f>
        <v>831</v>
      </c>
      <c r="B834" s="174" t="s">
        <v>1577</v>
      </c>
      <c r="C834" s="174" t="s">
        <v>2723</v>
      </c>
      <c r="D834" s="174" t="s">
        <v>1578</v>
      </c>
      <c r="E834" s="174" t="s">
        <v>2055</v>
      </c>
      <c r="F834" s="174" t="s">
        <v>2253</v>
      </c>
      <c r="G834" s="174" t="s">
        <v>2253</v>
      </c>
      <c r="H834" s="174" t="s">
        <v>1829</v>
      </c>
      <c r="I834" s="174" t="s">
        <v>29</v>
      </c>
      <c r="J834" s="174" t="s">
        <v>34</v>
      </c>
      <c r="K834" s="174" t="s">
        <v>154</v>
      </c>
      <c r="L834" s="177">
        <v>44028</v>
      </c>
      <c r="M834" s="174">
        <v>7</v>
      </c>
      <c r="N834" s="179">
        <v>0.35</v>
      </c>
      <c r="O834" s="174" t="s">
        <v>20</v>
      </c>
    </row>
    <row r="835" spans="1:15" s="174" customFormat="1" ht="35" hidden="1" customHeight="1">
      <c r="A835" s="174">
        <f>ROW()-3</f>
        <v>832</v>
      </c>
      <c r="B835" s="174" t="s">
        <v>1577</v>
      </c>
      <c r="C835" s="174" t="s">
        <v>2723</v>
      </c>
      <c r="D835" s="174" t="s">
        <v>1578</v>
      </c>
      <c r="E835" s="174" t="s">
        <v>2055</v>
      </c>
      <c r="F835" s="174" t="s">
        <v>2254</v>
      </c>
      <c r="G835" s="174" t="s">
        <v>2254</v>
      </c>
      <c r="H835" s="174" t="s">
        <v>1829</v>
      </c>
      <c r="I835" s="174" t="s">
        <v>29</v>
      </c>
      <c r="J835" s="174" t="s">
        <v>34</v>
      </c>
      <c r="K835" s="174" t="s">
        <v>154</v>
      </c>
      <c r="L835" s="177">
        <v>44028</v>
      </c>
      <c r="M835" s="174">
        <v>1</v>
      </c>
      <c r="N835" s="179">
        <v>0.28000000000000003</v>
      </c>
      <c r="O835" s="174" t="s">
        <v>20</v>
      </c>
    </row>
    <row r="836" spans="1:15" s="174" customFormat="1" ht="35" hidden="1" customHeight="1">
      <c r="A836" s="174">
        <f>ROW()-3</f>
        <v>833</v>
      </c>
      <c r="B836" s="174" t="s">
        <v>1577</v>
      </c>
      <c r="C836" s="174" t="s">
        <v>2723</v>
      </c>
      <c r="D836" s="174" t="s">
        <v>1578</v>
      </c>
      <c r="E836" s="174" t="s">
        <v>2055</v>
      </c>
      <c r="F836" s="174" t="s">
        <v>2255</v>
      </c>
      <c r="G836" s="174" t="s">
        <v>2255</v>
      </c>
      <c r="H836" s="174" t="s">
        <v>1829</v>
      </c>
      <c r="I836" s="174" t="s">
        <v>29</v>
      </c>
      <c r="J836" s="174" t="s">
        <v>34</v>
      </c>
      <c r="K836" s="174" t="s">
        <v>154</v>
      </c>
      <c r="L836" s="177">
        <v>44028</v>
      </c>
      <c r="M836" s="174">
        <v>10</v>
      </c>
      <c r="N836" s="179">
        <v>0.5</v>
      </c>
      <c r="O836" s="174" t="s">
        <v>20</v>
      </c>
    </row>
    <row r="837" spans="1:15" s="174" customFormat="1" ht="35" hidden="1" customHeight="1">
      <c r="A837" s="174">
        <f>ROW()-3</f>
        <v>834</v>
      </c>
      <c r="B837" s="174" t="s">
        <v>1577</v>
      </c>
      <c r="C837" s="174" t="s">
        <v>2723</v>
      </c>
      <c r="D837" s="174" t="s">
        <v>1578</v>
      </c>
      <c r="E837" s="174" t="s">
        <v>2055</v>
      </c>
      <c r="F837" s="174" t="s">
        <v>2256</v>
      </c>
      <c r="G837" s="174" t="s">
        <v>2256</v>
      </c>
      <c r="H837" s="174" t="s">
        <v>1829</v>
      </c>
      <c r="I837" s="174" t="s">
        <v>29</v>
      </c>
      <c r="J837" s="174" t="s">
        <v>34</v>
      </c>
      <c r="K837" s="174" t="s">
        <v>154</v>
      </c>
      <c r="L837" s="177">
        <v>44028</v>
      </c>
      <c r="M837" s="174">
        <v>1</v>
      </c>
      <c r="N837" s="179">
        <v>0.63</v>
      </c>
      <c r="O837" s="174" t="s">
        <v>20</v>
      </c>
    </row>
    <row r="838" spans="1:15" s="174" customFormat="1" ht="35" hidden="1" customHeight="1">
      <c r="A838" s="174">
        <f>ROW()-3</f>
        <v>835</v>
      </c>
      <c r="B838" s="174" t="s">
        <v>1577</v>
      </c>
      <c r="C838" s="174" t="s">
        <v>2723</v>
      </c>
      <c r="D838" s="174" t="s">
        <v>1578</v>
      </c>
      <c r="E838" s="174" t="s">
        <v>2055</v>
      </c>
      <c r="F838" s="174" t="s">
        <v>2257</v>
      </c>
      <c r="G838" s="174" t="s">
        <v>2257</v>
      </c>
      <c r="H838" s="174" t="s">
        <v>1829</v>
      </c>
      <c r="I838" s="174" t="s">
        <v>29</v>
      </c>
      <c r="J838" s="174" t="s">
        <v>34</v>
      </c>
      <c r="K838" s="174" t="s">
        <v>154</v>
      </c>
      <c r="L838" s="177">
        <v>44028</v>
      </c>
      <c r="M838" s="174">
        <v>8</v>
      </c>
      <c r="N838" s="179">
        <v>0.4</v>
      </c>
      <c r="O838" s="174" t="s">
        <v>20</v>
      </c>
    </row>
    <row r="839" spans="1:15" s="174" customFormat="1" ht="35" hidden="1" customHeight="1">
      <c r="A839" s="174">
        <f>ROW()-3</f>
        <v>836</v>
      </c>
      <c r="B839" s="174" t="s">
        <v>1577</v>
      </c>
      <c r="C839" s="174" t="s">
        <v>2723</v>
      </c>
      <c r="D839" s="174" t="s">
        <v>1578</v>
      </c>
      <c r="E839" s="174" t="s">
        <v>2055</v>
      </c>
      <c r="F839" s="174" t="s">
        <v>2258</v>
      </c>
      <c r="G839" s="174" t="s">
        <v>2258</v>
      </c>
      <c r="H839" s="174" t="s">
        <v>1829</v>
      </c>
      <c r="I839" s="174" t="s">
        <v>29</v>
      </c>
      <c r="J839" s="174" t="s">
        <v>34</v>
      </c>
      <c r="K839" s="174" t="s">
        <v>154</v>
      </c>
      <c r="L839" s="177">
        <v>44028</v>
      </c>
      <c r="M839" s="174">
        <v>7</v>
      </c>
      <c r="N839" s="179">
        <v>0.33</v>
      </c>
      <c r="O839" s="174" t="s">
        <v>20</v>
      </c>
    </row>
    <row r="840" spans="1:15" s="174" customFormat="1" ht="35" hidden="1" customHeight="1">
      <c r="A840" s="174">
        <f>ROW()-3</f>
        <v>837</v>
      </c>
      <c r="B840" s="174" t="s">
        <v>1577</v>
      </c>
      <c r="C840" s="174" t="s">
        <v>2723</v>
      </c>
      <c r="D840" s="174" t="s">
        <v>1578</v>
      </c>
      <c r="E840" s="174" t="s">
        <v>1884</v>
      </c>
      <c r="F840" s="174" t="s">
        <v>2259</v>
      </c>
      <c r="G840" s="174" t="s">
        <v>2259</v>
      </c>
      <c r="H840" s="174" t="s">
        <v>1829</v>
      </c>
      <c r="I840" s="174" t="s">
        <v>29</v>
      </c>
      <c r="J840" s="174" t="s">
        <v>34</v>
      </c>
      <c r="K840" s="174" t="s">
        <v>154</v>
      </c>
      <c r="L840" s="177">
        <v>44028</v>
      </c>
      <c r="M840" s="174">
        <v>18</v>
      </c>
      <c r="N840" s="179">
        <v>1.2</v>
      </c>
      <c r="O840" s="174" t="s">
        <v>20</v>
      </c>
    </row>
    <row r="841" spans="1:15" s="174" customFormat="1" ht="35" hidden="1" customHeight="1">
      <c r="A841" s="174">
        <f>ROW()-3</f>
        <v>838</v>
      </c>
      <c r="B841" s="174" t="s">
        <v>1577</v>
      </c>
      <c r="C841" s="174" t="s">
        <v>2723</v>
      </c>
      <c r="D841" s="174" t="s">
        <v>1578</v>
      </c>
      <c r="E841" s="174" t="s">
        <v>1884</v>
      </c>
      <c r="F841" s="174" t="s">
        <v>2260</v>
      </c>
      <c r="G841" s="174" t="s">
        <v>2260</v>
      </c>
      <c r="H841" s="174" t="s">
        <v>1829</v>
      </c>
      <c r="I841" s="174" t="s">
        <v>29</v>
      </c>
      <c r="J841" s="174" t="s">
        <v>34</v>
      </c>
      <c r="K841" s="174" t="s">
        <v>154</v>
      </c>
      <c r="L841" s="177">
        <v>44028</v>
      </c>
      <c r="M841" s="174">
        <v>3</v>
      </c>
      <c r="N841" s="179">
        <v>0.05</v>
      </c>
      <c r="O841" s="174" t="s">
        <v>20</v>
      </c>
    </row>
    <row r="842" spans="1:15" s="174" customFormat="1" ht="35" hidden="1" customHeight="1">
      <c r="A842" s="174">
        <f>ROW()-3</f>
        <v>839</v>
      </c>
      <c r="B842" s="174" t="s">
        <v>1577</v>
      </c>
      <c r="C842" s="174" t="s">
        <v>2723</v>
      </c>
      <c r="D842" s="174" t="s">
        <v>1578</v>
      </c>
      <c r="E842" s="174" t="s">
        <v>1884</v>
      </c>
      <c r="F842" s="174" t="s">
        <v>2261</v>
      </c>
      <c r="G842" s="174" t="s">
        <v>2261</v>
      </c>
      <c r="H842" s="174" t="s">
        <v>1829</v>
      </c>
      <c r="I842" s="174" t="s">
        <v>29</v>
      </c>
      <c r="J842" s="174" t="s">
        <v>34</v>
      </c>
      <c r="K842" s="174" t="s">
        <v>154</v>
      </c>
      <c r="L842" s="177">
        <v>44028</v>
      </c>
      <c r="M842" s="174">
        <v>1</v>
      </c>
      <c r="N842" s="179">
        <v>0.05</v>
      </c>
      <c r="O842" s="174" t="s">
        <v>20</v>
      </c>
    </row>
    <row r="843" spans="1:15" s="174" customFormat="1" ht="35" hidden="1" customHeight="1">
      <c r="A843" s="174">
        <f>ROW()-3</f>
        <v>840</v>
      </c>
      <c r="B843" s="174" t="s">
        <v>1577</v>
      </c>
      <c r="C843" s="174" t="s">
        <v>2723</v>
      </c>
      <c r="D843" s="174" t="s">
        <v>1578</v>
      </c>
      <c r="E843" s="174" t="s">
        <v>1884</v>
      </c>
      <c r="F843" s="174" t="s">
        <v>2262</v>
      </c>
      <c r="G843" s="174" t="s">
        <v>2262</v>
      </c>
      <c r="H843" s="174" t="s">
        <v>1829</v>
      </c>
      <c r="I843" s="174" t="s">
        <v>29</v>
      </c>
      <c r="J843" s="174" t="s">
        <v>34</v>
      </c>
      <c r="K843" s="174" t="s">
        <v>154</v>
      </c>
      <c r="L843" s="177">
        <v>44028</v>
      </c>
      <c r="M843" s="174">
        <v>8</v>
      </c>
      <c r="N843" s="179">
        <v>0.83</v>
      </c>
      <c r="O843" s="174" t="s">
        <v>20</v>
      </c>
    </row>
    <row r="844" spans="1:15" s="174" customFormat="1" ht="35" hidden="1" customHeight="1">
      <c r="A844" s="174">
        <f>ROW()-3</f>
        <v>841</v>
      </c>
      <c r="B844" s="174" t="s">
        <v>1577</v>
      </c>
      <c r="C844" s="174" t="s">
        <v>2723</v>
      </c>
      <c r="D844" s="174" t="s">
        <v>1578</v>
      </c>
      <c r="E844" s="174" t="s">
        <v>1884</v>
      </c>
      <c r="F844" s="174" t="s">
        <v>2263</v>
      </c>
      <c r="G844" s="174" t="s">
        <v>2263</v>
      </c>
      <c r="H844" s="174" t="s">
        <v>1829</v>
      </c>
      <c r="I844" s="174" t="s">
        <v>29</v>
      </c>
      <c r="J844" s="174" t="s">
        <v>34</v>
      </c>
      <c r="K844" s="174" t="s">
        <v>154</v>
      </c>
      <c r="L844" s="177">
        <v>44028</v>
      </c>
      <c r="M844" s="174">
        <v>3</v>
      </c>
      <c r="N844" s="179">
        <v>0.36</v>
      </c>
      <c r="O844" s="174" t="s">
        <v>20</v>
      </c>
    </row>
    <row r="845" spans="1:15" s="174" customFormat="1" ht="35" hidden="1" customHeight="1">
      <c r="A845" s="174">
        <f>ROW()-3</f>
        <v>842</v>
      </c>
      <c r="B845" s="174" t="s">
        <v>1577</v>
      </c>
      <c r="C845" s="174" t="s">
        <v>2723</v>
      </c>
      <c r="D845" s="174" t="s">
        <v>1578</v>
      </c>
      <c r="E845" s="174" t="s">
        <v>1826</v>
      </c>
      <c r="F845" s="174" t="s">
        <v>2264</v>
      </c>
      <c r="G845" s="174" t="s">
        <v>2264</v>
      </c>
      <c r="H845" s="174" t="s">
        <v>2265</v>
      </c>
      <c r="I845" s="174" t="s">
        <v>29</v>
      </c>
      <c r="J845" s="174" t="s">
        <v>34</v>
      </c>
      <c r="K845" s="174" t="s">
        <v>154</v>
      </c>
      <c r="L845" s="177">
        <v>44029</v>
      </c>
      <c r="M845" s="174">
        <v>12</v>
      </c>
      <c r="N845" s="179">
        <v>1</v>
      </c>
      <c r="O845" s="174" t="s">
        <v>20</v>
      </c>
    </row>
    <row r="846" spans="1:15" s="174" customFormat="1" ht="35" hidden="1" customHeight="1">
      <c r="A846" s="174">
        <f>ROW()-3</f>
        <v>843</v>
      </c>
      <c r="B846" s="174" t="s">
        <v>1577</v>
      </c>
      <c r="C846" s="174" t="s">
        <v>2723</v>
      </c>
      <c r="D846" s="174" t="s">
        <v>1578</v>
      </c>
      <c r="E846" s="174" t="s">
        <v>2055</v>
      </c>
      <c r="F846" s="174" t="s">
        <v>2266</v>
      </c>
      <c r="G846" s="174" t="s">
        <v>2266</v>
      </c>
      <c r="H846" s="174" t="s">
        <v>1829</v>
      </c>
      <c r="I846" s="174" t="s">
        <v>29</v>
      </c>
      <c r="J846" s="174" t="s">
        <v>34</v>
      </c>
      <c r="K846" s="174" t="s">
        <v>154</v>
      </c>
      <c r="L846" s="177">
        <v>44029</v>
      </c>
      <c r="M846" s="174">
        <v>10</v>
      </c>
      <c r="N846" s="179">
        <v>0.83</v>
      </c>
      <c r="O846" s="174" t="s">
        <v>20</v>
      </c>
    </row>
    <row r="847" spans="1:15" s="174" customFormat="1" ht="35" hidden="1" customHeight="1">
      <c r="A847" s="174">
        <f>ROW()-3</f>
        <v>844</v>
      </c>
      <c r="B847" s="174" t="s">
        <v>1577</v>
      </c>
      <c r="C847" s="174" t="s">
        <v>2723</v>
      </c>
      <c r="D847" s="174" t="s">
        <v>1578</v>
      </c>
      <c r="E847" s="174" t="s">
        <v>2055</v>
      </c>
      <c r="F847" s="174" t="s">
        <v>2267</v>
      </c>
      <c r="G847" s="174" t="s">
        <v>2267</v>
      </c>
      <c r="H847" s="174" t="s">
        <v>1829</v>
      </c>
      <c r="I847" s="174" t="s">
        <v>29</v>
      </c>
      <c r="J847" s="174" t="s">
        <v>34</v>
      </c>
      <c r="K847" s="174" t="s">
        <v>154</v>
      </c>
      <c r="L847" s="177">
        <v>44029</v>
      </c>
      <c r="M847" s="174">
        <v>11</v>
      </c>
      <c r="N847" s="179">
        <v>0.55000000000000004</v>
      </c>
      <c r="O847" s="174" t="s">
        <v>20</v>
      </c>
    </row>
    <row r="848" spans="1:15" s="174" customFormat="1" ht="35" hidden="1" customHeight="1">
      <c r="A848" s="174">
        <f>ROW()-3</f>
        <v>845</v>
      </c>
      <c r="B848" s="174" t="s">
        <v>1577</v>
      </c>
      <c r="C848" s="174" t="s">
        <v>2723</v>
      </c>
      <c r="D848" s="174" t="s">
        <v>1578</v>
      </c>
      <c r="E848" s="174" t="s">
        <v>1878</v>
      </c>
      <c r="F848" s="174" t="s">
        <v>2268</v>
      </c>
      <c r="G848" s="174" t="s">
        <v>2268</v>
      </c>
      <c r="H848" s="174" t="s">
        <v>1829</v>
      </c>
      <c r="I848" s="174" t="s">
        <v>29</v>
      </c>
      <c r="J848" s="174" t="s">
        <v>34</v>
      </c>
      <c r="K848" s="174" t="s">
        <v>154</v>
      </c>
      <c r="L848" s="177">
        <v>44029</v>
      </c>
      <c r="M848" s="174">
        <v>13</v>
      </c>
      <c r="N848" s="179">
        <v>1.17</v>
      </c>
      <c r="O848" s="174" t="s">
        <v>20</v>
      </c>
    </row>
    <row r="849" spans="1:15" s="174" customFormat="1" ht="35" hidden="1" customHeight="1">
      <c r="A849" s="174">
        <f>ROW()-3</f>
        <v>846</v>
      </c>
      <c r="B849" s="174" t="s">
        <v>1577</v>
      </c>
      <c r="C849" s="174" t="s">
        <v>2723</v>
      </c>
      <c r="D849" s="174" t="s">
        <v>1578</v>
      </c>
      <c r="E849" s="174" t="s">
        <v>1878</v>
      </c>
      <c r="F849" s="174" t="s">
        <v>2269</v>
      </c>
      <c r="G849" s="174" t="s">
        <v>2269</v>
      </c>
      <c r="H849" s="174" t="s">
        <v>1829</v>
      </c>
      <c r="I849" s="174" t="s">
        <v>29</v>
      </c>
      <c r="J849" s="174" t="s">
        <v>34</v>
      </c>
      <c r="K849" s="174" t="s">
        <v>154</v>
      </c>
      <c r="L849" s="177">
        <v>44029</v>
      </c>
      <c r="M849" s="174">
        <v>38</v>
      </c>
      <c r="N849" s="179">
        <v>0.63</v>
      </c>
      <c r="O849" s="174" t="s">
        <v>20</v>
      </c>
    </row>
    <row r="850" spans="1:15" s="174" customFormat="1" ht="35" hidden="1" customHeight="1">
      <c r="A850" s="174">
        <f>ROW()-3</f>
        <v>847</v>
      </c>
      <c r="B850" s="174" t="s">
        <v>1577</v>
      </c>
      <c r="C850" s="174" t="s">
        <v>2723</v>
      </c>
      <c r="D850" s="174" t="s">
        <v>1578</v>
      </c>
      <c r="E850" s="174" t="s">
        <v>1878</v>
      </c>
      <c r="F850" s="174" t="s">
        <v>2270</v>
      </c>
      <c r="G850" s="174" t="s">
        <v>2271</v>
      </c>
      <c r="H850" s="174" t="s">
        <v>1829</v>
      </c>
      <c r="I850" s="174" t="s">
        <v>29</v>
      </c>
      <c r="J850" s="174" t="s">
        <v>34</v>
      </c>
      <c r="K850" s="174" t="s">
        <v>154</v>
      </c>
      <c r="L850" s="177">
        <v>44029</v>
      </c>
      <c r="M850" s="174">
        <v>10</v>
      </c>
      <c r="N850" s="179">
        <v>1.83</v>
      </c>
      <c r="O850" s="174" t="s">
        <v>20</v>
      </c>
    </row>
    <row r="851" spans="1:15" s="174" customFormat="1" ht="35" hidden="1" customHeight="1">
      <c r="A851" s="174">
        <f>ROW()-3</f>
        <v>848</v>
      </c>
      <c r="B851" s="174" t="s">
        <v>1577</v>
      </c>
      <c r="C851" s="174" t="s">
        <v>2723</v>
      </c>
      <c r="D851" s="174" t="s">
        <v>1578</v>
      </c>
      <c r="E851" s="174" t="s">
        <v>1884</v>
      </c>
      <c r="F851" s="174" t="s">
        <v>2272</v>
      </c>
      <c r="G851" s="174" t="s">
        <v>2272</v>
      </c>
      <c r="H851" s="174" t="s">
        <v>2273</v>
      </c>
      <c r="I851" s="174" t="s">
        <v>29</v>
      </c>
      <c r="J851" s="174" t="s">
        <v>34</v>
      </c>
      <c r="K851" s="174" t="s">
        <v>154</v>
      </c>
      <c r="L851" s="177">
        <v>44029</v>
      </c>
      <c r="M851" s="174">
        <v>71</v>
      </c>
      <c r="N851" s="179">
        <v>3.55</v>
      </c>
      <c r="O851" s="174" t="s">
        <v>20</v>
      </c>
    </row>
    <row r="852" spans="1:15" s="174" customFormat="1" ht="35" hidden="1" customHeight="1">
      <c r="A852" s="174">
        <f>ROW()-3</f>
        <v>849</v>
      </c>
      <c r="B852" s="174" t="s">
        <v>1577</v>
      </c>
      <c r="C852" s="174" t="s">
        <v>2723</v>
      </c>
      <c r="D852" s="174" t="s">
        <v>1578</v>
      </c>
      <c r="E852" s="174" t="s">
        <v>1884</v>
      </c>
      <c r="F852" s="174" t="s">
        <v>2274</v>
      </c>
      <c r="G852" s="174" t="s">
        <v>2274</v>
      </c>
      <c r="H852" s="174" t="s">
        <v>2273</v>
      </c>
      <c r="I852" s="174" t="s">
        <v>29</v>
      </c>
      <c r="J852" s="174" t="s">
        <v>34</v>
      </c>
      <c r="K852" s="174" t="s">
        <v>154</v>
      </c>
      <c r="L852" s="177">
        <v>44029</v>
      </c>
      <c r="M852" s="174">
        <v>40</v>
      </c>
      <c r="N852" s="179">
        <v>2</v>
      </c>
      <c r="O852" s="174" t="s">
        <v>20</v>
      </c>
    </row>
    <row r="853" spans="1:15" s="174" customFormat="1" ht="35" hidden="1" customHeight="1">
      <c r="A853" s="174">
        <f>ROW()-3</f>
        <v>850</v>
      </c>
      <c r="B853" s="174" t="s">
        <v>1577</v>
      </c>
      <c r="C853" s="174" t="s">
        <v>2723</v>
      </c>
      <c r="D853" s="174" t="s">
        <v>1578</v>
      </c>
      <c r="E853" s="174" t="s">
        <v>1884</v>
      </c>
      <c r="F853" s="174" t="s">
        <v>2275</v>
      </c>
      <c r="G853" s="174" t="s">
        <v>2275</v>
      </c>
      <c r="H853" s="174" t="s">
        <v>2276</v>
      </c>
      <c r="I853" s="174" t="s">
        <v>29</v>
      </c>
      <c r="J853" s="174" t="s">
        <v>34</v>
      </c>
      <c r="K853" s="174" t="s">
        <v>154</v>
      </c>
      <c r="L853" s="177">
        <v>44029</v>
      </c>
      <c r="M853" s="174">
        <v>11</v>
      </c>
      <c r="N853" s="179">
        <v>2.5</v>
      </c>
      <c r="O853" s="174" t="s">
        <v>20</v>
      </c>
    </row>
    <row r="854" spans="1:15" s="174" customFormat="1" ht="35" hidden="1" customHeight="1">
      <c r="A854" s="174">
        <f>ROW()-3</f>
        <v>851</v>
      </c>
      <c r="B854" s="174" t="s">
        <v>1577</v>
      </c>
      <c r="C854" s="174" t="s">
        <v>2723</v>
      </c>
      <c r="D854" s="174" t="s">
        <v>1578</v>
      </c>
      <c r="E854" s="174" t="s">
        <v>1884</v>
      </c>
      <c r="F854" s="174" t="s">
        <v>2277</v>
      </c>
      <c r="G854" s="174" t="s">
        <v>2277</v>
      </c>
      <c r="H854" s="174" t="s">
        <v>1901</v>
      </c>
      <c r="I854" s="174" t="s">
        <v>29</v>
      </c>
      <c r="J854" s="174" t="s">
        <v>34</v>
      </c>
      <c r="K854" s="174" t="s">
        <v>154</v>
      </c>
      <c r="L854" s="177">
        <v>44029</v>
      </c>
      <c r="M854" s="174">
        <v>7</v>
      </c>
      <c r="N854" s="179">
        <v>2.52</v>
      </c>
      <c r="O854" s="174" t="s">
        <v>20</v>
      </c>
    </row>
    <row r="855" spans="1:15" s="174" customFormat="1" ht="35" hidden="1" customHeight="1">
      <c r="A855" s="174">
        <f>ROW()-3</f>
        <v>852</v>
      </c>
      <c r="B855" s="174" t="s">
        <v>1577</v>
      </c>
      <c r="C855" s="174" t="s">
        <v>2723</v>
      </c>
      <c r="D855" s="174" t="s">
        <v>1578</v>
      </c>
      <c r="E855" s="174" t="s">
        <v>1943</v>
      </c>
      <c r="F855" s="174" t="s">
        <v>2278</v>
      </c>
      <c r="G855" s="174" t="s">
        <v>2278</v>
      </c>
      <c r="H855" s="174" t="s">
        <v>2279</v>
      </c>
      <c r="I855" s="174" t="s">
        <v>29</v>
      </c>
      <c r="J855" s="174" t="s">
        <v>34</v>
      </c>
      <c r="K855" s="174" t="s">
        <v>154</v>
      </c>
      <c r="L855" s="177">
        <v>44029</v>
      </c>
      <c r="M855" s="174">
        <v>37</v>
      </c>
      <c r="N855" s="179">
        <v>6.75</v>
      </c>
      <c r="O855" s="174" t="s">
        <v>20</v>
      </c>
    </row>
    <row r="856" spans="1:15" s="174" customFormat="1" ht="35" hidden="1" customHeight="1">
      <c r="A856" s="174">
        <f>ROW()-3</f>
        <v>853</v>
      </c>
      <c r="B856" s="174" t="s">
        <v>1577</v>
      </c>
      <c r="C856" s="174" t="s">
        <v>2723</v>
      </c>
      <c r="D856" s="174" t="s">
        <v>1578</v>
      </c>
      <c r="E856" s="174" t="s">
        <v>1943</v>
      </c>
      <c r="F856" s="174" t="s">
        <v>2280</v>
      </c>
      <c r="G856" s="174" t="s">
        <v>2280</v>
      </c>
      <c r="H856" s="174" t="s">
        <v>2279</v>
      </c>
      <c r="I856" s="174" t="s">
        <v>29</v>
      </c>
      <c r="J856" s="174" t="s">
        <v>34</v>
      </c>
      <c r="K856" s="174" t="s">
        <v>154</v>
      </c>
      <c r="L856" s="177">
        <v>44029</v>
      </c>
      <c r="M856" s="174">
        <v>53</v>
      </c>
      <c r="N856" s="179">
        <v>9.17</v>
      </c>
      <c r="O856" s="174" t="s">
        <v>20</v>
      </c>
    </row>
    <row r="857" spans="1:15" s="174" customFormat="1" ht="35" hidden="1" customHeight="1">
      <c r="A857" s="174">
        <f>ROW()-3</f>
        <v>854</v>
      </c>
      <c r="B857" s="174" t="s">
        <v>1577</v>
      </c>
      <c r="C857" s="174" t="s">
        <v>2723</v>
      </c>
      <c r="D857" s="174" t="s">
        <v>1578</v>
      </c>
      <c r="E857" s="174" t="s">
        <v>1878</v>
      </c>
      <c r="F857" s="174" t="s">
        <v>2281</v>
      </c>
      <c r="G857" s="174" t="s">
        <v>2281</v>
      </c>
      <c r="H857" s="174" t="s">
        <v>1829</v>
      </c>
      <c r="I857" s="174" t="s">
        <v>29</v>
      </c>
      <c r="J857" s="174" t="s">
        <v>34</v>
      </c>
      <c r="K857" s="174" t="s">
        <v>154</v>
      </c>
      <c r="L857" s="177">
        <v>44033</v>
      </c>
      <c r="M857" s="174">
        <v>9</v>
      </c>
      <c r="N857" s="179">
        <v>0.15</v>
      </c>
      <c r="O857" s="174" t="s">
        <v>20</v>
      </c>
    </row>
    <row r="858" spans="1:15" s="174" customFormat="1" ht="35" hidden="1" customHeight="1">
      <c r="A858" s="174">
        <f>ROW()-3</f>
        <v>855</v>
      </c>
      <c r="B858" s="174" t="s">
        <v>1577</v>
      </c>
      <c r="C858" s="174" t="s">
        <v>2723</v>
      </c>
      <c r="D858" s="174" t="s">
        <v>1578</v>
      </c>
      <c r="E858" s="174" t="s">
        <v>1878</v>
      </c>
      <c r="F858" s="174" t="s">
        <v>2282</v>
      </c>
      <c r="G858" s="174" t="s">
        <v>2282</v>
      </c>
      <c r="H858" s="174" t="s">
        <v>1829</v>
      </c>
      <c r="I858" s="174" t="s">
        <v>29</v>
      </c>
      <c r="J858" s="174" t="s">
        <v>34</v>
      </c>
      <c r="K858" s="174" t="s">
        <v>154</v>
      </c>
      <c r="L858" s="177">
        <v>44033</v>
      </c>
      <c r="M858" s="174">
        <v>6</v>
      </c>
      <c r="N858" s="179">
        <v>0.25</v>
      </c>
      <c r="O858" s="174" t="s">
        <v>20</v>
      </c>
    </row>
    <row r="859" spans="1:15" s="174" customFormat="1" ht="35" hidden="1" customHeight="1">
      <c r="A859" s="174">
        <f>ROW()-3</f>
        <v>856</v>
      </c>
      <c r="B859" s="174" t="s">
        <v>1577</v>
      </c>
      <c r="C859" s="174" t="s">
        <v>2723</v>
      </c>
      <c r="D859" s="174" t="s">
        <v>1578</v>
      </c>
      <c r="E859" s="174" t="s">
        <v>1878</v>
      </c>
      <c r="F859" s="174" t="s">
        <v>2283</v>
      </c>
      <c r="G859" s="174" t="s">
        <v>2283</v>
      </c>
      <c r="H859" s="174" t="s">
        <v>1829</v>
      </c>
      <c r="I859" s="174" t="s">
        <v>29</v>
      </c>
      <c r="J859" s="174" t="s">
        <v>34</v>
      </c>
      <c r="K859" s="174" t="s">
        <v>154</v>
      </c>
      <c r="L859" s="177">
        <v>44033</v>
      </c>
      <c r="M859" s="174">
        <v>6</v>
      </c>
      <c r="N859" s="179">
        <v>0.15</v>
      </c>
      <c r="O859" s="174" t="s">
        <v>20</v>
      </c>
    </row>
    <row r="860" spans="1:15" s="174" customFormat="1" ht="35" hidden="1" customHeight="1">
      <c r="A860" s="174">
        <f>ROW()-3</f>
        <v>857</v>
      </c>
      <c r="B860" s="174" t="s">
        <v>1577</v>
      </c>
      <c r="C860" s="174" t="s">
        <v>2723</v>
      </c>
      <c r="D860" s="174" t="s">
        <v>1578</v>
      </c>
      <c r="E860" s="174" t="s">
        <v>1878</v>
      </c>
      <c r="F860" s="174" t="s">
        <v>2284</v>
      </c>
      <c r="G860" s="174" t="s">
        <v>2284</v>
      </c>
      <c r="H860" s="174" t="s">
        <v>1829</v>
      </c>
      <c r="I860" s="174" t="s">
        <v>29</v>
      </c>
      <c r="J860" s="174" t="s">
        <v>34</v>
      </c>
      <c r="K860" s="174" t="s">
        <v>154</v>
      </c>
      <c r="L860" s="177">
        <v>44033</v>
      </c>
      <c r="M860" s="174">
        <v>30</v>
      </c>
      <c r="N860" s="179">
        <v>0.5</v>
      </c>
      <c r="O860" s="174" t="s">
        <v>20</v>
      </c>
    </row>
    <row r="861" spans="1:15" s="174" customFormat="1" ht="35" hidden="1" customHeight="1">
      <c r="A861" s="174">
        <f>ROW()-3</f>
        <v>858</v>
      </c>
      <c r="B861" s="174" t="s">
        <v>1577</v>
      </c>
      <c r="C861" s="174" t="s">
        <v>2723</v>
      </c>
      <c r="D861" s="174" t="s">
        <v>1578</v>
      </c>
      <c r="E861" s="174" t="s">
        <v>1878</v>
      </c>
      <c r="F861" s="174" t="s">
        <v>2285</v>
      </c>
      <c r="G861" s="174" t="s">
        <v>2285</v>
      </c>
      <c r="H861" s="174" t="s">
        <v>1829</v>
      </c>
      <c r="I861" s="174" t="s">
        <v>29</v>
      </c>
      <c r="J861" s="174" t="s">
        <v>34</v>
      </c>
      <c r="K861" s="174" t="s">
        <v>154</v>
      </c>
      <c r="L861" s="177">
        <v>44033</v>
      </c>
      <c r="M861" s="174">
        <v>21</v>
      </c>
      <c r="N861" s="179">
        <v>1.75</v>
      </c>
      <c r="O861" s="174" t="s">
        <v>20</v>
      </c>
    </row>
    <row r="862" spans="1:15" s="174" customFormat="1" ht="35" hidden="1" customHeight="1">
      <c r="A862" s="174">
        <f>ROW()-3</f>
        <v>859</v>
      </c>
      <c r="B862" s="174" t="s">
        <v>1577</v>
      </c>
      <c r="C862" s="174" t="s">
        <v>2723</v>
      </c>
      <c r="D862" s="174" t="s">
        <v>1578</v>
      </c>
      <c r="E862" s="174" t="s">
        <v>1878</v>
      </c>
      <c r="F862" s="174" t="s">
        <v>2286</v>
      </c>
      <c r="G862" s="174" t="s">
        <v>2286</v>
      </c>
      <c r="H862" s="174" t="s">
        <v>1829</v>
      </c>
      <c r="I862" s="174" t="s">
        <v>29</v>
      </c>
      <c r="J862" s="174" t="s">
        <v>34</v>
      </c>
      <c r="K862" s="174" t="s">
        <v>154</v>
      </c>
      <c r="L862" s="177">
        <v>44033</v>
      </c>
      <c r="M862" s="174">
        <v>33</v>
      </c>
      <c r="N862" s="179">
        <v>0.6</v>
      </c>
      <c r="O862" s="174" t="s">
        <v>20</v>
      </c>
    </row>
    <row r="863" spans="1:15" s="174" customFormat="1" ht="35" hidden="1" customHeight="1">
      <c r="A863" s="174">
        <f>ROW()-3</f>
        <v>860</v>
      </c>
      <c r="B863" s="174" t="s">
        <v>1577</v>
      </c>
      <c r="C863" s="174" t="s">
        <v>2723</v>
      </c>
      <c r="D863" s="174" t="s">
        <v>1578</v>
      </c>
      <c r="E863" s="174" t="s">
        <v>1943</v>
      </c>
      <c r="F863" s="174" t="s">
        <v>2287</v>
      </c>
      <c r="G863" s="174" t="s">
        <v>2288</v>
      </c>
      <c r="H863" s="174" t="s">
        <v>1829</v>
      </c>
      <c r="I863" s="174" t="s">
        <v>29</v>
      </c>
      <c r="J863" s="174" t="s">
        <v>34</v>
      </c>
      <c r="K863" s="174" t="s">
        <v>154</v>
      </c>
      <c r="L863" s="177">
        <v>44033</v>
      </c>
      <c r="M863" s="174">
        <v>13</v>
      </c>
      <c r="N863" s="179">
        <v>1.3</v>
      </c>
      <c r="O863" s="174" t="s">
        <v>20</v>
      </c>
    </row>
    <row r="864" spans="1:15" s="174" customFormat="1" ht="35" hidden="1" customHeight="1">
      <c r="A864" s="174">
        <f>ROW()-3</f>
        <v>861</v>
      </c>
      <c r="B864" s="174" t="s">
        <v>1577</v>
      </c>
      <c r="C864" s="174" t="s">
        <v>2723</v>
      </c>
      <c r="D864" s="174" t="s">
        <v>1578</v>
      </c>
      <c r="E864" s="174" t="s">
        <v>1943</v>
      </c>
      <c r="F864" s="174" t="s">
        <v>2289</v>
      </c>
      <c r="G864" s="174" t="s">
        <v>2289</v>
      </c>
      <c r="H864" s="174" t="s">
        <v>1829</v>
      </c>
      <c r="I864" s="174" t="s">
        <v>17</v>
      </c>
      <c r="J864" s="174" t="s">
        <v>34</v>
      </c>
      <c r="K864" s="174" t="s">
        <v>154</v>
      </c>
      <c r="L864" s="177">
        <v>44033</v>
      </c>
      <c r="M864" s="174">
        <v>30</v>
      </c>
      <c r="N864" s="179">
        <v>7.14</v>
      </c>
      <c r="O864" s="174" t="s">
        <v>20</v>
      </c>
    </row>
    <row r="865" spans="1:15" s="174" customFormat="1" ht="35" hidden="1" customHeight="1">
      <c r="A865" s="174">
        <f>ROW()-3</f>
        <v>862</v>
      </c>
      <c r="B865" s="174" t="s">
        <v>1577</v>
      </c>
      <c r="C865" s="174" t="s">
        <v>2723</v>
      </c>
      <c r="D865" s="174" t="s">
        <v>1578</v>
      </c>
      <c r="E865" s="174" t="s">
        <v>1943</v>
      </c>
      <c r="F865" s="174" t="s">
        <v>2290</v>
      </c>
      <c r="G865" s="174" t="s">
        <v>2290</v>
      </c>
      <c r="H865" s="174" t="s">
        <v>1829</v>
      </c>
      <c r="I865" s="174" t="s">
        <v>17</v>
      </c>
      <c r="J865" s="174" t="s">
        <v>34</v>
      </c>
      <c r="K865" s="174" t="s">
        <v>154</v>
      </c>
      <c r="L865" s="177">
        <v>44033</v>
      </c>
      <c r="M865" s="174">
        <v>50</v>
      </c>
      <c r="N865" s="179">
        <v>12.5</v>
      </c>
      <c r="O865" s="174" t="s">
        <v>20</v>
      </c>
    </row>
    <row r="866" spans="1:15" s="174" customFormat="1" ht="35" hidden="1" customHeight="1">
      <c r="A866" s="174">
        <f>ROW()-3</f>
        <v>863</v>
      </c>
      <c r="B866" s="174" t="s">
        <v>1577</v>
      </c>
      <c r="C866" s="174" t="s">
        <v>2723</v>
      </c>
      <c r="D866" s="174" t="s">
        <v>1578</v>
      </c>
      <c r="E866" s="174" t="s">
        <v>1884</v>
      </c>
      <c r="F866" s="174" t="s">
        <v>2291</v>
      </c>
      <c r="G866" s="174" t="s">
        <v>2291</v>
      </c>
      <c r="H866" s="174" t="s">
        <v>1829</v>
      </c>
      <c r="I866" s="174" t="s">
        <v>29</v>
      </c>
      <c r="J866" s="174" t="s">
        <v>34</v>
      </c>
      <c r="K866" s="174" t="s">
        <v>154</v>
      </c>
      <c r="L866" s="177">
        <v>44033</v>
      </c>
      <c r="M866" s="174">
        <v>4</v>
      </c>
      <c r="N866" s="179">
        <v>0.15</v>
      </c>
      <c r="O866" s="174" t="s">
        <v>20</v>
      </c>
    </row>
    <row r="867" spans="1:15" s="174" customFormat="1" ht="35" hidden="1" customHeight="1">
      <c r="A867" s="174">
        <f>ROW()-3</f>
        <v>864</v>
      </c>
      <c r="B867" s="174" t="s">
        <v>1577</v>
      </c>
      <c r="C867" s="174" t="s">
        <v>2723</v>
      </c>
      <c r="D867" s="174" t="s">
        <v>1578</v>
      </c>
      <c r="E867" s="174" t="s">
        <v>1884</v>
      </c>
      <c r="F867" s="174" t="s">
        <v>2292</v>
      </c>
      <c r="G867" s="174" t="s">
        <v>2292</v>
      </c>
      <c r="H867" s="174" t="s">
        <v>1829</v>
      </c>
      <c r="I867" s="174" t="s">
        <v>29</v>
      </c>
      <c r="J867" s="174" t="s">
        <v>34</v>
      </c>
      <c r="K867" s="174" t="s">
        <v>154</v>
      </c>
      <c r="L867" s="177">
        <v>44033</v>
      </c>
      <c r="M867" s="174">
        <v>96</v>
      </c>
      <c r="N867" s="179">
        <v>10</v>
      </c>
      <c r="O867" s="174" t="s">
        <v>20</v>
      </c>
    </row>
    <row r="868" spans="1:15" s="174" customFormat="1" ht="35" hidden="1" customHeight="1">
      <c r="A868" s="174">
        <f>ROW()-3</f>
        <v>865</v>
      </c>
      <c r="B868" s="174" t="s">
        <v>1577</v>
      </c>
      <c r="C868" s="174" t="s">
        <v>2723</v>
      </c>
      <c r="D868" s="174" t="s">
        <v>1578</v>
      </c>
      <c r="E868" s="174" t="s">
        <v>1943</v>
      </c>
      <c r="F868" s="174" t="s">
        <v>2293</v>
      </c>
      <c r="G868" s="174" t="s">
        <v>2294</v>
      </c>
      <c r="H868" s="174" t="s">
        <v>2295</v>
      </c>
      <c r="I868" s="174" t="s">
        <v>29</v>
      </c>
      <c r="J868" s="174" t="s">
        <v>34</v>
      </c>
      <c r="K868" s="174" t="s">
        <v>154</v>
      </c>
      <c r="L868" s="177">
        <v>44033</v>
      </c>
      <c r="M868" s="174">
        <v>14</v>
      </c>
      <c r="N868" s="179">
        <v>1.17</v>
      </c>
      <c r="O868" s="174" t="s">
        <v>20</v>
      </c>
    </row>
    <row r="869" spans="1:15" s="174" customFormat="1" ht="35" hidden="1" customHeight="1">
      <c r="A869" s="174">
        <f>ROW()-3</f>
        <v>866</v>
      </c>
      <c r="B869" s="174" t="s">
        <v>1577</v>
      </c>
      <c r="C869" s="174" t="s">
        <v>2723</v>
      </c>
      <c r="D869" s="174" t="s">
        <v>1578</v>
      </c>
      <c r="E869" s="174" t="s">
        <v>1823</v>
      </c>
      <c r="F869" s="174" t="s">
        <v>2296</v>
      </c>
      <c r="G869" s="174" t="s">
        <v>2296</v>
      </c>
      <c r="H869" s="174" t="s">
        <v>2297</v>
      </c>
      <c r="I869" s="174" t="s">
        <v>29</v>
      </c>
      <c r="J869" s="174" t="s">
        <v>34</v>
      </c>
      <c r="K869" s="174" t="s">
        <v>154</v>
      </c>
      <c r="L869" s="177">
        <v>44034</v>
      </c>
      <c r="M869" s="174">
        <v>37</v>
      </c>
      <c r="N869" s="179">
        <v>2.25</v>
      </c>
      <c r="O869" s="174" t="s">
        <v>20</v>
      </c>
    </row>
    <row r="870" spans="1:15" s="174" customFormat="1" ht="35" hidden="1" customHeight="1">
      <c r="A870" s="174">
        <f>ROW()-3</f>
        <v>867</v>
      </c>
      <c r="B870" s="174" t="s">
        <v>1577</v>
      </c>
      <c r="C870" s="174" t="s">
        <v>2723</v>
      </c>
      <c r="D870" s="174" t="s">
        <v>1578</v>
      </c>
      <c r="E870" s="174" t="s">
        <v>1823</v>
      </c>
      <c r="F870" s="174" t="s">
        <v>2298</v>
      </c>
      <c r="G870" s="174" t="s">
        <v>2299</v>
      </c>
      <c r="H870" s="174" t="s">
        <v>1967</v>
      </c>
      <c r="I870" s="174" t="s">
        <v>29</v>
      </c>
      <c r="J870" s="174" t="s">
        <v>34</v>
      </c>
      <c r="K870" s="174" t="s">
        <v>154</v>
      </c>
      <c r="L870" s="177">
        <v>44034</v>
      </c>
      <c r="M870" s="174">
        <v>50</v>
      </c>
      <c r="N870" s="179">
        <v>3.7</v>
      </c>
      <c r="O870" s="174" t="s">
        <v>20</v>
      </c>
    </row>
    <row r="871" spans="1:15" s="174" customFormat="1" ht="35" hidden="1" customHeight="1">
      <c r="A871" s="174">
        <f>ROW()-3</f>
        <v>868</v>
      </c>
      <c r="B871" s="174" t="s">
        <v>1577</v>
      </c>
      <c r="C871" s="174" t="s">
        <v>2723</v>
      </c>
      <c r="D871" s="174" t="s">
        <v>1578</v>
      </c>
      <c r="E871" s="174" t="s">
        <v>1826</v>
      </c>
      <c r="F871" s="174" t="s">
        <v>2300</v>
      </c>
      <c r="G871" s="174" t="s">
        <v>2300</v>
      </c>
      <c r="H871" s="174" t="s">
        <v>2301</v>
      </c>
      <c r="I871" s="174" t="s">
        <v>29</v>
      </c>
      <c r="J871" s="174" t="s">
        <v>34</v>
      </c>
      <c r="K871" s="174" t="s">
        <v>154</v>
      </c>
      <c r="L871" s="177">
        <v>44034</v>
      </c>
      <c r="M871" s="174">
        <v>24</v>
      </c>
      <c r="N871" s="179">
        <v>4.5</v>
      </c>
      <c r="O871" s="174" t="s">
        <v>20</v>
      </c>
    </row>
    <row r="872" spans="1:15" s="174" customFormat="1" ht="35" hidden="1" customHeight="1">
      <c r="A872" s="174">
        <f>ROW()-3</f>
        <v>869</v>
      </c>
      <c r="B872" s="174" t="s">
        <v>1577</v>
      </c>
      <c r="C872" s="174" t="s">
        <v>2723</v>
      </c>
      <c r="D872" s="174" t="s">
        <v>1578</v>
      </c>
      <c r="E872" s="174" t="s">
        <v>1826</v>
      </c>
      <c r="F872" s="174" t="s">
        <v>2302</v>
      </c>
      <c r="G872" s="174" t="s">
        <v>2302</v>
      </c>
      <c r="H872" s="174" t="s">
        <v>2303</v>
      </c>
      <c r="I872" s="174" t="s">
        <v>29</v>
      </c>
      <c r="J872" s="174" t="s">
        <v>34</v>
      </c>
      <c r="K872" s="174" t="s">
        <v>154</v>
      </c>
      <c r="L872" s="177">
        <v>44034</v>
      </c>
      <c r="M872" s="174">
        <v>65</v>
      </c>
      <c r="N872" s="179">
        <v>3.8</v>
      </c>
      <c r="O872" s="174" t="s">
        <v>20</v>
      </c>
    </row>
    <row r="873" spans="1:15" s="174" customFormat="1" ht="35" hidden="1" customHeight="1">
      <c r="A873" s="174">
        <f>ROW()-3</f>
        <v>870</v>
      </c>
      <c r="B873" s="174" t="s">
        <v>1577</v>
      </c>
      <c r="C873" s="174" t="s">
        <v>2723</v>
      </c>
      <c r="D873" s="174" t="s">
        <v>1578</v>
      </c>
      <c r="E873" s="174" t="s">
        <v>1826</v>
      </c>
      <c r="F873" s="174" t="s">
        <v>2304</v>
      </c>
      <c r="G873" s="174" t="s">
        <v>2304</v>
      </c>
      <c r="H873" s="174" t="s">
        <v>2305</v>
      </c>
      <c r="I873" s="174" t="s">
        <v>29</v>
      </c>
      <c r="J873" s="174" t="s">
        <v>34</v>
      </c>
      <c r="K873" s="174" t="s">
        <v>154</v>
      </c>
      <c r="L873" s="177">
        <v>44034</v>
      </c>
      <c r="M873" s="174">
        <v>48</v>
      </c>
      <c r="N873" s="179">
        <v>6.4</v>
      </c>
      <c r="O873" s="174" t="s">
        <v>20</v>
      </c>
    </row>
    <row r="874" spans="1:15" s="174" customFormat="1" ht="35" hidden="1" customHeight="1">
      <c r="A874" s="174">
        <f>ROW()-3</f>
        <v>871</v>
      </c>
      <c r="B874" s="174" t="s">
        <v>1577</v>
      </c>
      <c r="C874" s="174" t="s">
        <v>2723</v>
      </c>
      <c r="D874" s="174" t="s">
        <v>1578</v>
      </c>
      <c r="E874" s="174" t="s">
        <v>1826</v>
      </c>
      <c r="F874" s="174" t="s">
        <v>2306</v>
      </c>
      <c r="G874" s="174" t="s">
        <v>2306</v>
      </c>
      <c r="H874" s="174" t="s">
        <v>2305</v>
      </c>
      <c r="I874" s="174" t="s">
        <v>29</v>
      </c>
      <c r="J874" s="174" t="s">
        <v>34</v>
      </c>
      <c r="K874" s="174" t="s">
        <v>154</v>
      </c>
      <c r="L874" s="177">
        <v>44034</v>
      </c>
      <c r="M874" s="174">
        <v>411</v>
      </c>
      <c r="N874" s="179">
        <v>64.14</v>
      </c>
      <c r="O874" s="174" t="s">
        <v>30</v>
      </c>
    </row>
    <row r="875" spans="1:15" s="174" customFormat="1" ht="35" hidden="1" customHeight="1">
      <c r="A875" s="174">
        <f>ROW()-3</f>
        <v>872</v>
      </c>
      <c r="B875" s="174" t="s">
        <v>1577</v>
      </c>
      <c r="C875" s="174" t="s">
        <v>2723</v>
      </c>
      <c r="D875" s="174" t="s">
        <v>1578</v>
      </c>
      <c r="E875" s="174" t="s">
        <v>1826</v>
      </c>
      <c r="F875" s="174" t="s">
        <v>2307</v>
      </c>
      <c r="G875" s="174" t="s">
        <v>2307</v>
      </c>
      <c r="H875" s="174" t="s">
        <v>2308</v>
      </c>
      <c r="I875" s="174" t="s">
        <v>29</v>
      </c>
      <c r="J875" s="174" t="s">
        <v>34</v>
      </c>
      <c r="K875" s="174" t="s">
        <v>154</v>
      </c>
      <c r="L875" s="177">
        <v>44034</v>
      </c>
      <c r="M875" s="174">
        <v>22</v>
      </c>
      <c r="N875" s="179">
        <v>6.23</v>
      </c>
      <c r="O875" s="174" t="s">
        <v>20</v>
      </c>
    </row>
    <row r="876" spans="1:15" s="174" customFormat="1" ht="35" hidden="1" customHeight="1">
      <c r="A876" s="174">
        <f>ROW()-3</f>
        <v>873</v>
      </c>
      <c r="B876" s="174" t="s">
        <v>1577</v>
      </c>
      <c r="C876" s="174" t="s">
        <v>2723</v>
      </c>
      <c r="D876" s="174" t="s">
        <v>1578</v>
      </c>
      <c r="E876" s="174" t="s">
        <v>1826</v>
      </c>
      <c r="F876" s="174" t="s">
        <v>2309</v>
      </c>
      <c r="G876" s="174" t="s">
        <v>2309</v>
      </c>
      <c r="H876" s="174" t="s">
        <v>2308</v>
      </c>
      <c r="I876" s="174" t="s">
        <v>29</v>
      </c>
      <c r="J876" s="174" t="s">
        <v>34</v>
      </c>
      <c r="K876" s="174" t="s">
        <v>154</v>
      </c>
      <c r="L876" s="177">
        <v>44034</v>
      </c>
      <c r="M876" s="174">
        <v>19</v>
      </c>
      <c r="N876" s="179">
        <v>4.75</v>
      </c>
      <c r="O876" s="174" t="s">
        <v>20</v>
      </c>
    </row>
    <row r="877" spans="1:15" s="174" customFormat="1" ht="35" hidden="1" customHeight="1">
      <c r="A877" s="174">
        <f>ROW()-3</f>
        <v>874</v>
      </c>
      <c r="B877" s="174" t="s">
        <v>1577</v>
      </c>
      <c r="C877" s="174" t="s">
        <v>2723</v>
      </c>
      <c r="D877" s="174" t="s">
        <v>1578</v>
      </c>
      <c r="E877" s="174" t="s">
        <v>1826</v>
      </c>
      <c r="F877" s="174" t="s">
        <v>2310</v>
      </c>
      <c r="G877" s="174" t="s">
        <v>2310</v>
      </c>
      <c r="H877" s="174" t="s">
        <v>2311</v>
      </c>
      <c r="I877" s="174" t="s">
        <v>29</v>
      </c>
      <c r="J877" s="174" t="s">
        <v>34</v>
      </c>
      <c r="K877" s="174" t="s">
        <v>154</v>
      </c>
      <c r="L877" s="177">
        <v>44034</v>
      </c>
      <c r="M877" s="174">
        <v>10</v>
      </c>
      <c r="N877" s="179">
        <v>7.1</v>
      </c>
      <c r="O877" s="174" t="s">
        <v>20</v>
      </c>
    </row>
    <row r="878" spans="1:15" s="174" customFormat="1" ht="35" hidden="1" customHeight="1">
      <c r="A878" s="174">
        <f>ROW()-3</f>
        <v>875</v>
      </c>
      <c r="B878" s="174" t="s">
        <v>1577</v>
      </c>
      <c r="C878" s="174" t="s">
        <v>2723</v>
      </c>
      <c r="D878" s="174" t="s">
        <v>1578</v>
      </c>
      <c r="E878" s="174" t="s">
        <v>1826</v>
      </c>
      <c r="F878" s="174" t="s">
        <v>2312</v>
      </c>
      <c r="G878" s="174" t="s">
        <v>2312</v>
      </c>
      <c r="H878" s="174" t="s">
        <v>2311</v>
      </c>
      <c r="I878" s="174" t="s">
        <v>29</v>
      </c>
      <c r="J878" s="174" t="s">
        <v>34</v>
      </c>
      <c r="K878" s="174" t="s">
        <v>154</v>
      </c>
      <c r="L878" s="177">
        <v>44034</v>
      </c>
      <c r="M878" s="174">
        <v>10</v>
      </c>
      <c r="N878" s="179">
        <v>2.5</v>
      </c>
      <c r="O878" s="174" t="s">
        <v>20</v>
      </c>
    </row>
    <row r="879" spans="1:15" s="174" customFormat="1" ht="35" hidden="1" customHeight="1">
      <c r="A879" s="174">
        <f>ROW()-3</f>
        <v>876</v>
      </c>
      <c r="B879" s="174" t="s">
        <v>1577</v>
      </c>
      <c r="C879" s="174" t="s">
        <v>2723</v>
      </c>
      <c r="D879" s="174" t="s">
        <v>1578</v>
      </c>
      <c r="E879" s="174" t="s">
        <v>1881</v>
      </c>
      <c r="F879" s="174" t="s">
        <v>2313</v>
      </c>
      <c r="G879" s="174" t="s">
        <v>2313</v>
      </c>
      <c r="H879" s="174" t="s">
        <v>1913</v>
      </c>
      <c r="I879" s="174" t="s">
        <v>29</v>
      </c>
      <c r="J879" s="174" t="s">
        <v>34</v>
      </c>
      <c r="K879" s="174" t="s">
        <v>154</v>
      </c>
      <c r="L879" s="177">
        <v>44034</v>
      </c>
      <c r="M879" s="174">
        <v>8</v>
      </c>
      <c r="N879" s="179">
        <v>2</v>
      </c>
      <c r="O879" s="174" t="s">
        <v>20</v>
      </c>
    </row>
    <row r="880" spans="1:15" s="174" customFormat="1" ht="35" hidden="1" customHeight="1">
      <c r="A880" s="174">
        <f>ROW()-3</f>
        <v>877</v>
      </c>
      <c r="B880" s="174" t="s">
        <v>1577</v>
      </c>
      <c r="C880" s="174" t="s">
        <v>2723</v>
      </c>
      <c r="D880" s="174" t="s">
        <v>1578</v>
      </c>
      <c r="E880" s="174" t="s">
        <v>1943</v>
      </c>
      <c r="F880" s="174" t="s">
        <v>2314</v>
      </c>
      <c r="G880" s="174" t="s">
        <v>2314</v>
      </c>
      <c r="H880" s="174" t="s">
        <v>1829</v>
      </c>
      <c r="I880" s="174" t="s">
        <v>29</v>
      </c>
      <c r="J880" s="174" t="s">
        <v>34</v>
      </c>
      <c r="K880" s="174" t="s">
        <v>154</v>
      </c>
      <c r="L880" s="177">
        <v>44034</v>
      </c>
      <c r="M880" s="174">
        <v>27</v>
      </c>
      <c r="N880" s="179">
        <v>4.2</v>
      </c>
      <c r="O880" s="174" t="s">
        <v>20</v>
      </c>
    </row>
    <row r="881" spans="1:15" s="174" customFormat="1" ht="35" hidden="1" customHeight="1">
      <c r="A881" s="174">
        <f>ROW()-3</f>
        <v>878</v>
      </c>
      <c r="B881" s="174" t="s">
        <v>1577</v>
      </c>
      <c r="C881" s="174" t="s">
        <v>2723</v>
      </c>
      <c r="D881" s="174" t="s">
        <v>1578</v>
      </c>
      <c r="E881" s="174" t="s">
        <v>1943</v>
      </c>
      <c r="F881" s="174" t="s">
        <v>2288</v>
      </c>
      <c r="G881" s="174" t="s">
        <v>2288</v>
      </c>
      <c r="H881" s="174" t="s">
        <v>1829</v>
      </c>
      <c r="I881" s="174" t="s">
        <v>29</v>
      </c>
      <c r="J881" s="174" t="s">
        <v>34</v>
      </c>
      <c r="K881" s="174" t="s">
        <v>154</v>
      </c>
      <c r="L881" s="177">
        <v>44034</v>
      </c>
      <c r="M881" s="174">
        <v>22</v>
      </c>
      <c r="N881" s="179">
        <v>3</v>
      </c>
      <c r="O881" s="174" t="s">
        <v>20</v>
      </c>
    </row>
    <row r="882" spans="1:15" s="174" customFormat="1" ht="35" hidden="1" customHeight="1">
      <c r="A882" s="174">
        <f>ROW()-3</f>
        <v>879</v>
      </c>
      <c r="B882" s="174" t="s">
        <v>1577</v>
      </c>
      <c r="C882" s="174" t="s">
        <v>2723</v>
      </c>
      <c r="D882" s="174" t="s">
        <v>1578</v>
      </c>
      <c r="E882" s="174" t="s">
        <v>1878</v>
      </c>
      <c r="F882" s="174" t="s">
        <v>2315</v>
      </c>
      <c r="G882" s="174" t="s">
        <v>2315</v>
      </c>
      <c r="H882" s="174" t="s">
        <v>2316</v>
      </c>
      <c r="I882" s="174" t="s">
        <v>29</v>
      </c>
      <c r="J882" s="174" t="s">
        <v>34</v>
      </c>
      <c r="K882" s="174" t="s">
        <v>154</v>
      </c>
      <c r="L882" s="177">
        <v>44035</v>
      </c>
      <c r="M882" s="174">
        <v>10</v>
      </c>
      <c r="N882" s="179">
        <v>0.53</v>
      </c>
      <c r="O882" s="174" t="s">
        <v>20</v>
      </c>
    </row>
    <row r="883" spans="1:15" s="174" customFormat="1" ht="35" hidden="1" customHeight="1">
      <c r="A883" s="174">
        <f>ROW()-3</f>
        <v>880</v>
      </c>
      <c r="B883" s="174" t="s">
        <v>1577</v>
      </c>
      <c r="C883" s="174" t="s">
        <v>2723</v>
      </c>
      <c r="D883" s="174" t="s">
        <v>1578</v>
      </c>
      <c r="E883" s="174" t="s">
        <v>1878</v>
      </c>
      <c r="F883" s="174" t="s">
        <v>2317</v>
      </c>
      <c r="G883" s="174" t="s">
        <v>2317</v>
      </c>
      <c r="H883" s="174" t="s">
        <v>2316</v>
      </c>
      <c r="I883" s="174" t="s">
        <v>29</v>
      </c>
      <c r="J883" s="174" t="s">
        <v>34</v>
      </c>
      <c r="K883" s="174" t="s">
        <v>154</v>
      </c>
      <c r="L883" s="177">
        <v>44035</v>
      </c>
      <c r="M883" s="174">
        <v>8</v>
      </c>
      <c r="N883" s="179">
        <v>0.33</v>
      </c>
      <c r="O883" s="174" t="s">
        <v>20</v>
      </c>
    </row>
    <row r="884" spans="1:15" s="174" customFormat="1" ht="35" hidden="1" customHeight="1">
      <c r="A884" s="174">
        <f>ROW()-3</f>
        <v>881</v>
      </c>
      <c r="B884" s="174" t="s">
        <v>1577</v>
      </c>
      <c r="C884" s="174" t="s">
        <v>2723</v>
      </c>
      <c r="D884" s="174" t="s">
        <v>5493</v>
      </c>
      <c r="E884" s="174" t="s">
        <v>5494</v>
      </c>
      <c r="F884" s="174" t="s">
        <v>5492</v>
      </c>
      <c r="G884" s="174" t="s">
        <v>2318</v>
      </c>
      <c r="H884" s="174" t="s">
        <v>1512</v>
      </c>
      <c r="I884" s="174" t="s">
        <v>29</v>
      </c>
      <c r="J884" s="174" t="s">
        <v>34</v>
      </c>
      <c r="K884" s="174" t="s">
        <v>154</v>
      </c>
      <c r="L884" s="177">
        <v>44046</v>
      </c>
      <c r="M884" s="174">
        <v>68</v>
      </c>
      <c r="N884" s="179">
        <v>6.5</v>
      </c>
      <c r="O884" s="174" t="s">
        <v>20</v>
      </c>
    </row>
    <row r="885" spans="1:15" s="174" customFormat="1" ht="35" hidden="1" customHeight="1">
      <c r="A885" s="174">
        <f>ROW()-3</f>
        <v>882</v>
      </c>
      <c r="B885" s="174" t="s">
        <v>1577</v>
      </c>
      <c r="C885" s="174" t="s">
        <v>2723</v>
      </c>
      <c r="D885" s="174" t="s">
        <v>1578</v>
      </c>
      <c r="E885" s="174" t="s">
        <v>1884</v>
      </c>
      <c r="F885" s="174" t="s">
        <v>2319</v>
      </c>
      <c r="G885" s="174" t="s">
        <v>2320</v>
      </c>
      <c r="H885" s="174" t="s">
        <v>2321</v>
      </c>
      <c r="I885" s="174" t="s">
        <v>29</v>
      </c>
      <c r="J885" s="174" t="s">
        <v>34</v>
      </c>
      <c r="K885" s="174" t="s">
        <v>154</v>
      </c>
      <c r="L885" s="177">
        <v>44083</v>
      </c>
      <c r="M885" s="174">
        <v>57</v>
      </c>
      <c r="N885" s="179">
        <v>4.75</v>
      </c>
      <c r="O885" s="174" t="s">
        <v>20</v>
      </c>
    </row>
    <row r="886" spans="1:15" s="174" customFormat="1" ht="35" hidden="1" customHeight="1">
      <c r="A886" s="174">
        <f>ROW()-3</f>
        <v>883</v>
      </c>
      <c r="B886" s="174" t="s">
        <v>1577</v>
      </c>
      <c r="C886" s="174" t="s">
        <v>2723</v>
      </c>
      <c r="D886" s="174" t="s">
        <v>1578</v>
      </c>
      <c r="E886" s="174" t="s">
        <v>1884</v>
      </c>
      <c r="F886" s="174" t="s">
        <v>2322</v>
      </c>
      <c r="G886" s="174" t="s">
        <v>2322</v>
      </c>
      <c r="H886" s="174" t="s">
        <v>1983</v>
      </c>
      <c r="I886" s="174" t="s">
        <v>29</v>
      </c>
      <c r="J886" s="174" t="s">
        <v>34</v>
      </c>
      <c r="K886" s="174" t="s">
        <v>154</v>
      </c>
      <c r="L886" s="177">
        <v>44141</v>
      </c>
      <c r="M886" s="174">
        <v>18</v>
      </c>
      <c r="N886" s="179">
        <v>1.91</v>
      </c>
      <c r="O886" s="174" t="s">
        <v>20</v>
      </c>
    </row>
    <row r="887" spans="1:15" s="174" customFormat="1" ht="35" hidden="1" customHeight="1">
      <c r="A887" s="174">
        <f>ROW()-3</f>
        <v>884</v>
      </c>
      <c r="B887" s="174" t="s">
        <v>1577</v>
      </c>
      <c r="C887" s="174" t="s">
        <v>2723</v>
      </c>
      <c r="D887" s="174" t="s">
        <v>1578</v>
      </c>
      <c r="E887" s="174" t="s">
        <v>1884</v>
      </c>
      <c r="F887" s="174" t="s">
        <v>2323</v>
      </c>
      <c r="G887" s="174" t="s">
        <v>2323</v>
      </c>
      <c r="H887" s="174" t="s">
        <v>1983</v>
      </c>
      <c r="I887" s="174" t="s">
        <v>29</v>
      </c>
      <c r="J887" s="174" t="s">
        <v>34</v>
      </c>
      <c r="K887" s="174" t="s">
        <v>154</v>
      </c>
      <c r="L887" s="177">
        <v>44141</v>
      </c>
      <c r="M887" s="174">
        <v>17</v>
      </c>
      <c r="N887" s="179">
        <v>3.2</v>
      </c>
      <c r="O887" s="174" t="s">
        <v>20</v>
      </c>
    </row>
    <row r="888" spans="1:15" s="174" customFormat="1" ht="35" hidden="1" customHeight="1">
      <c r="A888" s="174">
        <f>ROW()-3</f>
        <v>885</v>
      </c>
      <c r="B888" s="174" t="s">
        <v>1577</v>
      </c>
      <c r="C888" s="174" t="s">
        <v>2723</v>
      </c>
      <c r="D888" s="174" t="s">
        <v>1578</v>
      </c>
      <c r="E888" s="174" t="s">
        <v>1826</v>
      </c>
      <c r="F888" s="174" t="s">
        <v>2324</v>
      </c>
      <c r="G888" s="174" t="s">
        <v>2325</v>
      </c>
      <c r="H888" s="174" t="s">
        <v>2326</v>
      </c>
      <c r="I888" s="174" t="s">
        <v>29</v>
      </c>
      <c r="J888" s="174" t="s">
        <v>34</v>
      </c>
      <c r="K888" s="174" t="s">
        <v>154</v>
      </c>
      <c r="L888" s="177">
        <v>44144</v>
      </c>
      <c r="M888" s="174">
        <v>10</v>
      </c>
      <c r="N888" s="179">
        <v>2.67</v>
      </c>
      <c r="O888" s="174" t="s">
        <v>20</v>
      </c>
    </row>
    <row r="889" spans="1:15" s="174" customFormat="1" ht="35" hidden="1" customHeight="1">
      <c r="A889" s="174">
        <f>ROW()-3</f>
        <v>886</v>
      </c>
      <c r="B889" s="174" t="s">
        <v>1577</v>
      </c>
      <c r="C889" s="174" t="s">
        <v>2723</v>
      </c>
      <c r="D889" s="174" t="s">
        <v>1578</v>
      </c>
      <c r="E889" s="174" t="s">
        <v>1884</v>
      </c>
      <c r="F889" s="174" t="s">
        <v>2327</v>
      </c>
      <c r="G889" s="174" t="s">
        <v>2328</v>
      </c>
      <c r="H889" s="174" t="s">
        <v>1967</v>
      </c>
      <c r="I889" s="174" t="s">
        <v>29</v>
      </c>
      <c r="J889" s="174" t="s">
        <v>34</v>
      </c>
      <c r="K889" s="174" t="s">
        <v>154</v>
      </c>
      <c r="L889" s="177">
        <v>44144</v>
      </c>
      <c r="M889" s="174">
        <v>7</v>
      </c>
      <c r="N889" s="179">
        <v>2.33</v>
      </c>
      <c r="O889" s="174" t="s">
        <v>20</v>
      </c>
    </row>
    <row r="890" spans="1:15" s="174" customFormat="1" ht="35" hidden="1" customHeight="1">
      <c r="A890" s="174">
        <f>ROW()-3</f>
        <v>887</v>
      </c>
      <c r="B890" s="174" t="s">
        <v>1577</v>
      </c>
      <c r="C890" s="174" t="s">
        <v>2723</v>
      </c>
      <c r="D890" s="174" t="s">
        <v>1578</v>
      </c>
      <c r="E890" s="174" t="s">
        <v>1884</v>
      </c>
      <c r="F890" s="174" t="s">
        <v>2329</v>
      </c>
      <c r="G890" s="174" t="s">
        <v>2330</v>
      </c>
      <c r="H890" s="174" t="s">
        <v>1967</v>
      </c>
      <c r="I890" s="174" t="s">
        <v>29</v>
      </c>
      <c r="J890" s="174" t="s">
        <v>34</v>
      </c>
      <c r="K890" s="174" t="s">
        <v>154</v>
      </c>
      <c r="L890" s="177">
        <v>44144</v>
      </c>
      <c r="M890" s="174">
        <v>9</v>
      </c>
      <c r="N890" s="179">
        <v>2.66</v>
      </c>
      <c r="O890" s="174" t="s">
        <v>20</v>
      </c>
    </row>
    <row r="891" spans="1:15" s="174" customFormat="1" ht="35" hidden="1" customHeight="1">
      <c r="A891" s="174">
        <f>ROW()-3</f>
        <v>888</v>
      </c>
      <c r="B891" s="174" t="s">
        <v>1577</v>
      </c>
      <c r="C891" s="174" t="s">
        <v>2723</v>
      </c>
      <c r="D891" s="174" t="s">
        <v>1578</v>
      </c>
      <c r="E891" s="174" t="s">
        <v>1943</v>
      </c>
      <c r="F891" s="174" t="s">
        <v>2331</v>
      </c>
      <c r="G891" s="174" t="s">
        <v>2332</v>
      </c>
      <c r="H891" s="174" t="s">
        <v>2333</v>
      </c>
      <c r="I891" s="174" t="s">
        <v>29</v>
      </c>
      <c r="J891" s="174" t="s">
        <v>34</v>
      </c>
      <c r="K891" s="174" t="s">
        <v>154</v>
      </c>
      <c r="L891" s="177">
        <v>44144</v>
      </c>
      <c r="M891" s="174">
        <v>43</v>
      </c>
      <c r="N891" s="179">
        <v>5</v>
      </c>
      <c r="O891" s="174" t="s">
        <v>20</v>
      </c>
    </row>
    <row r="892" spans="1:15" s="174" customFormat="1" ht="35" hidden="1" customHeight="1">
      <c r="A892" s="174">
        <f>ROW()-3</f>
        <v>889</v>
      </c>
      <c r="B892" s="174" t="s">
        <v>1577</v>
      </c>
      <c r="C892" s="174" t="s">
        <v>2723</v>
      </c>
      <c r="D892" s="174" t="s">
        <v>1578</v>
      </c>
      <c r="E892" s="174" t="s">
        <v>1943</v>
      </c>
      <c r="F892" s="174" t="s">
        <v>2334</v>
      </c>
      <c r="G892" s="174" t="s">
        <v>2335</v>
      </c>
      <c r="H892" s="174" t="s">
        <v>2333</v>
      </c>
      <c r="I892" s="174" t="s">
        <v>29</v>
      </c>
      <c r="J892" s="174" t="s">
        <v>34</v>
      </c>
      <c r="K892" s="174" t="s">
        <v>154</v>
      </c>
      <c r="L892" s="177">
        <v>44144</v>
      </c>
      <c r="M892" s="174">
        <v>23</v>
      </c>
      <c r="N892" s="179">
        <v>3.83</v>
      </c>
      <c r="O892" s="174" t="s">
        <v>20</v>
      </c>
    </row>
    <row r="893" spans="1:15" s="174" customFormat="1" ht="35" hidden="1" customHeight="1">
      <c r="A893" s="174">
        <f>ROW()-3</f>
        <v>890</v>
      </c>
      <c r="B893" s="174" t="s">
        <v>1577</v>
      </c>
      <c r="C893" s="174" t="s">
        <v>2723</v>
      </c>
      <c r="D893" s="174" t="s">
        <v>1578</v>
      </c>
      <c r="E893" s="174" t="s">
        <v>1943</v>
      </c>
      <c r="F893" s="174" t="s">
        <v>2336</v>
      </c>
      <c r="G893" s="174" t="s">
        <v>2337</v>
      </c>
      <c r="H893" s="174" t="s">
        <v>2338</v>
      </c>
      <c r="I893" s="174" t="s">
        <v>17</v>
      </c>
      <c r="J893" s="174" t="s">
        <v>34</v>
      </c>
      <c r="K893" s="174" t="s">
        <v>154</v>
      </c>
      <c r="L893" s="177">
        <v>44214</v>
      </c>
      <c r="M893" s="174">
        <v>15</v>
      </c>
      <c r="N893" s="179">
        <v>2.73</v>
      </c>
      <c r="O893" s="174" t="s">
        <v>20</v>
      </c>
    </row>
    <row r="894" spans="1:15" s="174" customFormat="1" ht="35" hidden="1" customHeight="1">
      <c r="A894" s="174">
        <f>ROW()-3</f>
        <v>891</v>
      </c>
      <c r="B894" s="174" t="s">
        <v>1577</v>
      </c>
      <c r="C894" s="174" t="s">
        <v>2723</v>
      </c>
      <c r="D894" s="174" t="s">
        <v>1578</v>
      </c>
      <c r="E894" s="174" t="s">
        <v>1943</v>
      </c>
      <c r="F894" s="174" t="s">
        <v>2339</v>
      </c>
      <c r="G894" s="174" t="s">
        <v>2340</v>
      </c>
      <c r="H894" s="174" t="s">
        <v>1925</v>
      </c>
      <c r="I894" s="174" t="s">
        <v>29</v>
      </c>
      <c r="J894" s="174" t="s">
        <v>34</v>
      </c>
      <c r="K894" s="174" t="s">
        <v>154</v>
      </c>
      <c r="L894" s="177">
        <v>44214</v>
      </c>
      <c r="M894" s="174">
        <v>112</v>
      </c>
      <c r="N894" s="179">
        <v>2.2999999999999998</v>
      </c>
      <c r="O894" s="174" t="s">
        <v>20</v>
      </c>
    </row>
    <row r="895" spans="1:15" s="174" customFormat="1" ht="35" hidden="1" customHeight="1">
      <c r="A895" s="174">
        <f>ROW()-3</f>
        <v>892</v>
      </c>
      <c r="B895" s="174" t="s">
        <v>1577</v>
      </c>
      <c r="C895" s="174" t="s">
        <v>2723</v>
      </c>
      <c r="D895" s="174" t="s">
        <v>1578</v>
      </c>
      <c r="E895" s="174" t="s">
        <v>1943</v>
      </c>
      <c r="F895" s="174" t="s">
        <v>2341</v>
      </c>
      <c r="G895" s="174" t="s">
        <v>2337</v>
      </c>
      <c r="H895" s="174" t="s">
        <v>2338</v>
      </c>
      <c r="I895" s="174" t="s">
        <v>17</v>
      </c>
      <c r="J895" s="174" t="s">
        <v>34</v>
      </c>
      <c r="K895" s="174" t="s">
        <v>154</v>
      </c>
      <c r="L895" s="177">
        <v>44260</v>
      </c>
      <c r="M895" s="174">
        <v>16</v>
      </c>
      <c r="N895" s="179">
        <v>2.93</v>
      </c>
      <c r="O895" s="174" t="s">
        <v>20</v>
      </c>
    </row>
    <row r="896" spans="1:15" s="174" customFormat="1" ht="35" hidden="1" customHeight="1">
      <c r="A896" s="174">
        <f>ROW()-3</f>
        <v>893</v>
      </c>
      <c r="B896" s="174" t="s">
        <v>1577</v>
      </c>
      <c r="C896" s="174" t="s">
        <v>2723</v>
      </c>
      <c r="D896" s="174" t="s">
        <v>1578</v>
      </c>
      <c r="E896" s="174" t="s">
        <v>1826</v>
      </c>
      <c r="F896" s="174" t="s">
        <v>2342</v>
      </c>
      <c r="G896" s="174" t="s">
        <v>2342</v>
      </c>
      <c r="H896" s="174" t="s">
        <v>1913</v>
      </c>
      <c r="I896" s="174" t="s">
        <v>29</v>
      </c>
      <c r="J896" s="174" t="s">
        <v>34</v>
      </c>
      <c r="K896" s="174" t="s">
        <v>154</v>
      </c>
      <c r="L896" s="177">
        <v>44286</v>
      </c>
      <c r="M896" s="174">
        <v>24</v>
      </c>
      <c r="N896" s="179">
        <v>2.4</v>
      </c>
      <c r="O896" s="174" t="s">
        <v>20</v>
      </c>
    </row>
    <row r="897" spans="1:15" s="174" customFormat="1" ht="35" hidden="1" customHeight="1">
      <c r="A897" s="174">
        <f>ROW()-3</f>
        <v>894</v>
      </c>
      <c r="B897" s="174" t="s">
        <v>1577</v>
      </c>
      <c r="C897" s="174" t="s">
        <v>2723</v>
      </c>
      <c r="D897" s="174" t="s">
        <v>1578</v>
      </c>
      <c r="E897" s="174" t="s">
        <v>1881</v>
      </c>
      <c r="F897" s="174" t="s">
        <v>2343</v>
      </c>
      <c r="G897" s="174" t="s">
        <v>2343</v>
      </c>
      <c r="H897" s="174" t="s">
        <v>1829</v>
      </c>
      <c r="I897" s="174" t="s">
        <v>29</v>
      </c>
      <c r="J897" s="174" t="s">
        <v>34</v>
      </c>
      <c r="K897" s="174" t="s">
        <v>154</v>
      </c>
      <c r="L897" s="177">
        <v>44286</v>
      </c>
      <c r="M897" s="174">
        <v>12</v>
      </c>
      <c r="N897" s="179">
        <v>0.6</v>
      </c>
      <c r="O897" s="174" t="s">
        <v>20</v>
      </c>
    </row>
    <row r="898" spans="1:15" s="174" customFormat="1" ht="35" hidden="1" customHeight="1">
      <c r="A898" s="174">
        <f>ROW()-3</f>
        <v>895</v>
      </c>
      <c r="B898" s="174" t="s">
        <v>1577</v>
      </c>
      <c r="C898" s="174" t="s">
        <v>2723</v>
      </c>
      <c r="D898" s="174" t="s">
        <v>1578</v>
      </c>
      <c r="E898" s="174" t="s">
        <v>1881</v>
      </c>
      <c r="F898" s="174" t="s">
        <v>2344</v>
      </c>
      <c r="G898" s="174" t="s">
        <v>2344</v>
      </c>
      <c r="H898" s="174" t="s">
        <v>1829</v>
      </c>
      <c r="I898" s="174" t="s">
        <v>29</v>
      </c>
      <c r="J898" s="174" t="s">
        <v>34</v>
      </c>
      <c r="K898" s="174" t="s">
        <v>154</v>
      </c>
      <c r="L898" s="177">
        <v>44286</v>
      </c>
      <c r="M898" s="174">
        <v>5</v>
      </c>
      <c r="N898" s="179">
        <v>0.4</v>
      </c>
      <c r="O898" s="174" t="s">
        <v>30</v>
      </c>
    </row>
    <row r="899" spans="1:15" s="174" customFormat="1" ht="35" hidden="1" customHeight="1">
      <c r="A899" s="174">
        <f>ROW()-3</f>
        <v>896</v>
      </c>
      <c r="B899" s="174" t="s">
        <v>1577</v>
      </c>
      <c r="C899" s="174" t="s">
        <v>2723</v>
      </c>
      <c r="D899" s="174" t="s">
        <v>1578</v>
      </c>
      <c r="E899" s="174" t="s">
        <v>1881</v>
      </c>
      <c r="F899" s="174" t="s">
        <v>2345</v>
      </c>
      <c r="G899" s="174" t="s">
        <v>2345</v>
      </c>
      <c r="H899" s="174" t="s">
        <v>2265</v>
      </c>
      <c r="I899" s="174" t="s">
        <v>29</v>
      </c>
      <c r="J899" s="174" t="s">
        <v>34</v>
      </c>
      <c r="K899" s="174" t="s">
        <v>154</v>
      </c>
      <c r="L899" s="177">
        <v>44286</v>
      </c>
      <c r="M899" s="174">
        <v>7</v>
      </c>
      <c r="N899" s="179">
        <v>3.3</v>
      </c>
      <c r="O899" s="174" t="s">
        <v>20</v>
      </c>
    </row>
    <row r="900" spans="1:15" s="174" customFormat="1" ht="35" hidden="1" customHeight="1">
      <c r="A900" s="174">
        <f>ROW()-3</f>
        <v>897</v>
      </c>
      <c r="B900" s="174" t="s">
        <v>1577</v>
      </c>
      <c r="C900" s="174" t="s">
        <v>2723</v>
      </c>
      <c r="D900" s="174" t="s">
        <v>1578</v>
      </c>
      <c r="E900" s="174" t="s">
        <v>1881</v>
      </c>
      <c r="F900" s="174" t="s">
        <v>2346</v>
      </c>
      <c r="G900" s="174" t="s">
        <v>2346</v>
      </c>
      <c r="H900" s="174" t="s">
        <v>1829</v>
      </c>
      <c r="I900" s="174" t="s">
        <v>29</v>
      </c>
      <c r="J900" s="174" t="s">
        <v>34</v>
      </c>
      <c r="K900" s="174" t="s">
        <v>154</v>
      </c>
      <c r="L900" s="177">
        <v>44286</v>
      </c>
      <c r="M900" s="174">
        <v>12</v>
      </c>
      <c r="N900" s="179">
        <v>5.8</v>
      </c>
      <c r="O900" s="174" t="s">
        <v>20</v>
      </c>
    </row>
    <row r="901" spans="1:15" s="174" customFormat="1" ht="35" hidden="1" customHeight="1">
      <c r="A901" s="174">
        <f>ROW()-3</f>
        <v>898</v>
      </c>
      <c r="B901" s="174" t="s">
        <v>1577</v>
      </c>
      <c r="C901" s="174" t="s">
        <v>2723</v>
      </c>
      <c r="D901" s="174" t="s">
        <v>1578</v>
      </c>
      <c r="E901" s="174" t="s">
        <v>1881</v>
      </c>
      <c r="F901" s="174" t="s">
        <v>2347</v>
      </c>
      <c r="G901" s="174" t="s">
        <v>2347</v>
      </c>
      <c r="H901" s="174" t="s">
        <v>1928</v>
      </c>
      <c r="I901" s="174" t="s">
        <v>29</v>
      </c>
      <c r="J901" s="174" t="s">
        <v>34</v>
      </c>
      <c r="K901" s="174" t="s">
        <v>154</v>
      </c>
      <c r="L901" s="177">
        <v>44286</v>
      </c>
      <c r="M901" s="174">
        <v>10</v>
      </c>
      <c r="N901" s="179">
        <v>1</v>
      </c>
      <c r="O901" s="174" t="s">
        <v>30</v>
      </c>
    </row>
    <row r="902" spans="1:15" s="174" customFormat="1" ht="35" hidden="1" customHeight="1">
      <c r="A902" s="174">
        <f>ROW()-3</f>
        <v>899</v>
      </c>
      <c r="B902" s="174" t="s">
        <v>1577</v>
      </c>
      <c r="C902" s="174" t="s">
        <v>2723</v>
      </c>
      <c r="D902" s="174" t="s">
        <v>1578</v>
      </c>
      <c r="E902" s="174" t="s">
        <v>1881</v>
      </c>
      <c r="F902" s="174" t="s">
        <v>2348</v>
      </c>
      <c r="G902" s="174" t="s">
        <v>2348</v>
      </c>
      <c r="H902" s="174" t="s">
        <v>1829</v>
      </c>
      <c r="I902" s="174" t="s">
        <v>29</v>
      </c>
      <c r="J902" s="174" t="s">
        <v>34</v>
      </c>
      <c r="K902" s="174" t="s">
        <v>154</v>
      </c>
      <c r="L902" s="177">
        <v>44286</v>
      </c>
      <c r="M902" s="174">
        <v>4</v>
      </c>
      <c r="N902" s="179">
        <v>0.53</v>
      </c>
      <c r="O902" s="174" t="s">
        <v>20</v>
      </c>
    </row>
    <row r="903" spans="1:15" s="174" customFormat="1" ht="35" hidden="1" customHeight="1">
      <c r="A903" s="174">
        <f>ROW()-3</f>
        <v>900</v>
      </c>
      <c r="B903" s="174" t="s">
        <v>1577</v>
      </c>
      <c r="C903" s="174" t="s">
        <v>2723</v>
      </c>
      <c r="D903" s="174" t="s">
        <v>1578</v>
      </c>
      <c r="E903" s="174" t="s">
        <v>1881</v>
      </c>
      <c r="F903" s="174" t="s">
        <v>2349</v>
      </c>
      <c r="G903" s="174" t="s">
        <v>2350</v>
      </c>
      <c r="H903" s="174" t="s">
        <v>2351</v>
      </c>
      <c r="I903" s="174" t="s">
        <v>29</v>
      </c>
      <c r="J903" s="174" t="s">
        <v>34</v>
      </c>
      <c r="K903" s="174" t="s">
        <v>154</v>
      </c>
      <c r="L903" s="177">
        <v>44286</v>
      </c>
      <c r="M903" s="174">
        <v>32</v>
      </c>
      <c r="N903" s="179">
        <v>13.3</v>
      </c>
      <c r="O903" s="174" t="s">
        <v>20</v>
      </c>
    </row>
    <row r="904" spans="1:15" s="174" customFormat="1" ht="35" hidden="1" customHeight="1">
      <c r="A904" s="174">
        <f>ROW()-3</f>
        <v>901</v>
      </c>
      <c r="B904" s="174" t="s">
        <v>1577</v>
      </c>
      <c r="C904" s="174" t="s">
        <v>2723</v>
      </c>
      <c r="D904" s="174" t="s">
        <v>1578</v>
      </c>
      <c r="E904" s="174" t="s">
        <v>1881</v>
      </c>
      <c r="F904" s="174" t="s">
        <v>2352</v>
      </c>
      <c r="G904" s="174" t="s">
        <v>2352</v>
      </c>
      <c r="H904" s="174" t="s">
        <v>2353</v>
      </c>
      <c r="I904" s="174" t="s">
        <v>29</v>
      </c>
      <c r="J904" s="174" t="s">
        <v>34</v>
      </c>
      <c r="K904" s="174" t="s">
        <v>154</v>
      </c>
      <c r="L904" s="177">
        <v>44286</v>
      </c>
      <c r="M904" s="174">
        <v>156</v>
      </c>
      <c r="N904" s="179">
        <v>20.8</v>
      </c>
      <c r="O904" s="174" t="s">
        <v>20</v>
      </c>
    </row>
    <row r="905" spans="1:15" s="174" customFormat="1" ht="35" hidden="1" customHeight="1">
      <c r="A905" s="174">
        <f>ROW()-3</f>
        <v>902</v>
      </c>
      <c r="B905" s="174" t="s">
        <v>1577</v>
      </c>
      <c r="C905" s="174" t="s">
        <v>2723</v>
      </c>
      <c r="D905" s="174" t="s">
        <v>1578</v>
      </c>
      <c r="E905" s="174" t="s">
        <v>1881</v>
      </c>
      <c r="F905" s="174" t="s">
        <v>2354</v>
      </c>
      <c r="G905" s="174" t="s">
        <v>2355</v>
      </c>
      <c r="H905" s="174" t="s">
        <v>1913</v>
      </c>
      <c r="I905" s="174" t="s">
        <v>29</v>
      </c>
      <c r="J905" s="174" t="s">
        <v>34</v>
      </c>
      <c r="K905" s="174" t="s">
        <v>154</v>
      </c>
      <c r="L905" s="177">
        <v>44286</v>
      </c>
      <c r="M905" s="174">
        <v>15</v>
      </c>
      <c r="N905" s="179">
        <v>1.61</v>
      </c>
      <c r="O905" s="174" t="s">
        <v>20</v>
      </c>
    </row>
    <row r="906" spans="1:15" s="174" customFormat="1" ht="35" hidden="1" customHeight="1">
      <c r="A906" s="174">
        <f>ROW()-3</f>
        <v>903</v>
      </c>
      <c r="B906" s="174" t="s">
        <v>1577</v>
      </c>
      <c r="C906" s="174" t="s">
        <v>2723</v>
      </c>
      <c r="D906" s="174" t="s">
        <v>1578</v>
      </c>
      <c r="E906" s="174" t="s">
        <v>1884</v>
      </c>
      <c r="F906" s="174" t="s">
        <v>2356</v>
      </c>
      <c r="G906" s="174" t="s">
        <v>2356</v>
      </c>
      <c r="H906" s="174" t="s">
        <v>2357</v>
      </c>
      <c r="I906" s="174" t="s">
        <v>29</v>
      </c>
      <c r="J906" s="174" t="s">
        <v>34</v>
      </c>
      <c r="K906" s="174" t="s">
        <v>154</v>
      </c>
      <c r="L906" s="177">
        <v>44286</v>
      </c>
      <c r="M906" s="174">
        <v>14</v>
      </c>
      <c r="N906" s="179">
        <v>4.0999999999999996</v>
      </c>
      <c r="O906" s="174" t="s">
        <v>20</v>
      </c>
    </row>
    <row r="907" spans="1:15" s="174" customFormat="1" ht="35" hidden="1" customHeight="1">
      <c r="A907" s="174">
        <f>ROW()-3</f>
        <v>904</v>
      </c>
      <c r="B907" s="174" t="s">
        <v>1577</v>
      </c>
      <c r="C907" s="174" t="s">
        <v>2723</v>
      </c>
      <c r="D907" s="174" t="s">
        <v>1578</v>
      </c>
      <c r="E907" s="174" t="s">
        <v>1884</v>
      </c>
      <c r="F907" s="174" t="s">
        <v>2358</v>
      </c>
      <c r="G907" s="174" t="s">
        <v>2358</v>
      </c>
      <c r="H907" s="174" t="s">
        <v>2357</v>
      </c>
      <c r="I907" s="174" t="s">
        <v>29</v>
      </c>
      <c r="J907" s="174" t="s">
        <v>34</v>
      </c>
      <c r="K907" s="174" t="s">
        <v>154</v>
      </c>
      <c r="L907" s="177">
        <v>44286</v>
      </c>
      <c r="M907" s="174">
        <v>17</v>
      </c>
      <c r="N907" s="179">
        <v>1.8</v>
      </c>
      <c r="O907" s="174" t="s">
        <v>20</v>
      </c>
    </row>
    <row r="908" spans="1:15" s="174" customFormat="1" ht="35" hidden="1" customHeight="1">
      <c r="A908" s="174">
        <f>ROW()-3</f>
        <v>905</v>
      </c>
      <c r="B908" s="174" t="s">
        <v>1577</v>
      </c>
      <c r="C908" s="174" t="s">
        <v>2723</v>
      </c>
      <c r="D908" s="174" t="s">
        <v>1578</v>
      </c>
      <c r="E908" s="174" t="s">
        <v>1884</v>
      </c>
      <c r="F908" s="174" t="s">
        <v>2359</v>
      </c>
      <c r="G908" s="174" t="s">
        <v>2360</v>
      </c>
      <c r="H908" s="174" t="s">
        <v>1829</v>
      </c>
      <c r="I908" s="174" t="s">
        <v>29</v>
      </c>
      <c r="J908" s="174" t="s">
        <v>34</v>
      </c>
      <c r="K908" s="174" t="s">
        <v>154</v>
      </c>
      <c r="L908" s="177">
        <v>44286</v>
      </c>
      <c r="M908" s="174">
        <v>45</v>
      </c>
      <c r="N908" s="179">
        <v>21</v>
      </c>
      <c r="O908" s="174" t="s">
        <v>20</v>
      </c>
    </row>
    <row r="909" spans="1:15" s="174" customFormat="1" ht="35" hidden="1" customHeight="1">
      <c r="A909" s="174">
        <f>ROW()-3</f>
        <v>906</v>
      </c>
      <c r="B909" s="174" t="s">
        <v>1577</v>
      </c>
      <c r="C909" s="174" t="s">
        <v>2723</v>
      </c>
      <c r="D909" s="174" t="s">
        <v>1578</v>
      </c>
      <c r="E909" s="174" t="s">
        <v>1884</v>
      </c>
      <c r="F909" s="174" t="s">
        <v>2361</v>
      </c>
      <c r="G909" s="174" t="s">
        <v>2362</v>
      </c>
      <c r="H909" s="174" t="s">
        <v>1829</v>
      </c>
      <c r="I909" s="174" t="s">
        <v>29</v>
      </c>
      <c r="J909" s="174" t="s">
        <v>34</v>
      </c>
      <c r="K909" s="174" t="s">
        <v>154</v>
      </c>
      <c r="L909" s="177">
        <v>44286</v>
      </c>
      <c r="M909" s="174">
        <v>75</v>
      </c>
      <c r="N909" s="179">
        <v>23.33</v>
      </c>
      <c r="O909" s="174" t="s">
        <v>30</v>
      </c>
    </row>
    <row r="910" spans="1:15" s="174" customFormat="1" ht="35" hidden="1" customHeight="1">
      <c r="A910" s="174">
        <f>ROW()-3</f>
        <v>907</v>
      </c>
      <c r="B910" s="174" t="s">
        <v>1577</v>
      </c>
      <c r="C910" s="174" t="s">
        <v>2723</v>
      </c>
      <c r="D910" s="174" t="s">
        <v>1578</v>
      </c>
      <c r="E910" s="174" t="s">
        <v>1884</v>
      </c>
      <c r="F910" s="174" t="s">
        <v>2363</v>
      </c>
      <c r="G910" s="174" t="s">
        <v>2363</v>
      </c>
      <c r="H910" s="174" t="s">
        <v>1829</v>
      </c>
      <c r="I910" s="174" t="s">
        <v>29</v>
      </c>
      <c r="J910" s="174" t="s">
        <v>34</v>
      </c>
      <c r="K910" s="174" t="s">
        <v>154</v>
      </c>
      <c r="L910" s="177">
        <v>44286</v>
      </c>
      <c r="M910" s="174">
        <v>40</v>
      </c>
      <c r="N910" s="179">
        <v>4.5999999999999996</v>
      </c>
      <c r="O910" s="174" t="s">
        <v>20</v>
      </c>
    </row>
    <row r="911" spans="1:15" s="174" customFormat="1" ht="35" hidden="1" customHeight="1">
      <c r="A911" s="174">
        <f>ROW()-3</f>
        <v>908</v>
      </c>
      <c r="B911" s="174" t="s">
        <v>1577</v>
      </c>
      <c r="C911" s="174" t="s">
        <v>2723</v>
      </c>
      <c r="D911" s="174" t="s">
        <v>1578</v>
      </c>
      <c r="E911" s="174" t="s">
        <v>1884</v>
      </c>
      <c r="F911" s="174" t="s">
        <v>2364</v>
      </c>
      <c r="G911" s="174" t="s">
        <v>2364</v>
      </c>
      <c r="H911" s="174" t="s">
        <v>1913</v>
      </c>
      <c r="I911" s="174" t="s">
        <v>29</v>
      </c>
      <c r="J911" s="174" t="s">
        <v>34</v>
      </c>
      <c r="K911" s="174" t="s">
        <v>154</v>
      </c>
      <c r="L911" s="177">
        <v>44286</v>
      </c>
      <c r="M911" s="174">
        <v>11</v>
      </c>
      <c r="N911" s="179">
        <v>1.46</v>
      </c>
      <c r="O911" s="174" t="s">
        <v>20</v>
      </c>
    </row>
    <row r="912" spans="1:15" s="174" customFormat="1" ht="35" hidden="1" customHeight="1">
      <c r="A912" s="174">
        <f>ROW()-3</f>
        <v>909</v>
      </c>
      <c r="B912" s="174" t="s">
        <v>1577</v>
      </c>
      <c r="C912" s="174" t="s">
        <v>2723</v>
      </c>
      <c r="D912" s="174" t="s">
        <v>1578</v>
      </c>
      <c r="E912" s="174" t="s">
        <v>1884</v>
      </c>
      <c r="F912" s="174" t="s">
        <v>2365</v>
      </c>
      <c r="G912" s="174" t="s">
        <v>2365</v>
      </c>
      <c r="H912" s="174" t="s">
        <v>1898</v>
      </c>
      <c r="I912" s="174" t="s">
        <v>29</v>
      </c>
      <c r="J912" s="174" t="s">
        <v>34</v>
      </c>
      <c r="K912" s="174" t="s">
        <v>154</v>
      </c>
      <c r="L912" s="177">
        <v>44286</v>
      </c>
      <c r="M912" s="174">
        <v>9</v>
      </c>
      <c r="N912" s="179">
        <v>1.2</v>
      </c>
      <c r="O912" s="174" t="s">
        <v>20</v>
      </c>
    </row>
    <row r="913" spans="1:15" s="174" customFormat="1" ht="35" hidden="1" customHeight="1">
      <c r="A913" s="174">
        <f>ROW()-3</f>
        <v>910</v>
      </c>
      <c r="B913" s="174" t="s">
        <v>1577</v>
      </c>
      <c r="C913" s="174" t="s">
        <v>2723</v>
      </c>
      <c r="D913" s="174" t="s">
        <v>1578</v>
      </c>
      <c r="E913" s="174" t="s">
        <v>1884</v>
      </c>
      <c r="F913" s="174" t="s">
        <v>2366</v>
      </c>
      <c r="G913" s="174" t="s">
        <v>2366</v>
      </c>
      <c r="H913" s="174" t="s">
        <v>1913</v>
      </c>
      <c r="I913" s="174" t="s">
        <v>29</v>
      </c>
      <c r="J913" s="174" t="s">
        <v>34</v>
      </c>
      <c r="K913" s="174" t="s">
        <v>154</v>
      </c>
      <c r="L913" s="177">
        <v>44286</v>
      </c>
      <c r="M913" s="174">
        <v>14</v>
      </c>
      <c r="N913" s="179">
        <v>1.63</v>
      </c>
      <c r="O913" s="174" t="s">
        <v>20</v>
      </c>
    </row>
    <row r="914" spans="1:15" s="174" customFormat="1" ht="35" hidden="1" customHeight="1">
      <c r="A914" s="174">
        <f>ROW()-3</f>
        <v>911</v>
      </c>
      <c r="B914" s="174" t="s">
        <v>1577</v>
      </c>
      <c r="C914" s="174" t="s">
        <v>2723</v>
      </c>
      <c r="D914" s="174" t="s">
        <v>1578</v>
      </c>
      <c r="E914" s="174" t="s">
        <v>1884</v>
      </c>
      <c r="F914" s="174" t="s">
        <v>2367</v>
      </c>
      <c r="G914" s="174" t="s">
        <v>2367</v>
      </c>
      <c r="H914" s="174" t="s">
        <v>1829</v>
      </c>
      <c r="I914" s="174" t="s">
        <v>29</v>
      </c>
      <c r="J914" s="174" t="s">
        <v>34</v>
      </c>
      <c r="K914" s="174" t="s">
        <v>154</v>
      </c>
      <c r="L914" s="177">
        <v>44286</v>
      </c>
      <c r="M914" s="174">
        <v>72</v>
      </c>
      <c r="N914" s="179">
        <v>8.4</v>
      </c>
      <c r="O914" s="174" t="s">
        <v>20</v>
      </c>
    </row>
    <row r="915" spans="1:15" s="174" customFormat="1" ht="35" hidden="1" customHeight="1">
      <c r="A915" s="174">
        <f>ROW()-3</f>
        <v>912</v>
      </c>
      <c r="B915" s="174" t="s">
        <v>1577</v>
      </c>
      <c r="C915" s="174" t="s">
        <v>2723</v>
      </c>
      <c r="D915" s="174" t="s">
        <v>1578</v>
      </c>
      <c r="E915" s="174" t="s">
        <v>1884</v>
      </c>
      <c r="F915" s="174" t="s">
        <v>2368</v>
      </c>
      <c r="G915" s="174" t="s">
        <v>2368</v>
      </c>
      <c r="H915" s="174" t="s">
        <v>2151</v>
      </c>
      <c r="I915" s="174" t="s">
        <v>29</v>
      </c>
      <c r="J915" s="174" t="s">
        <v>34</v>
      </c>
      <c r="K915" s="174" t="s">
        <v>154</v>
      </c>
      <c r="L915" s="177">
        <v>44288</v>
      </c>
      <c r="M915" s="174">
        <v>10</v>
      </c>
      <c r="N915" s="179">
        <v>1.6</v>
      </c>
      <c r="O915" s="174" t="s">
        <v>20</v>
      </c>
    </row>
    <row r="916" spans="1:15" s="174" customFormat="1" ht="35" hidden="1" customHeight="1">
      <c r="A916" s="174">
        <f>ROW()-3</f>
        <v>913</v>
      </c>
      <c r="B916" s="174" t="s">
        <v>1577</v>
      </c>
      <c r="C916" s="174" t="s">
        <v>2723</v>
      </c>
      <c r="D916" s="174" t="s">
        <v>1578</v>
      </c>
      <c r="E916" s="174" t="s">
        <v>1884</v>
      </c>
      <c r="F916" s="174" t="s">
        <v>2369</v>
      </c>
      <c r="G916" s="174" t="s">
        <v>2369</v>
      </c>
      <c r="H916" s="174" t="s">
        <v>2151</v>
      </c>
      <c r="I916" s="174" t="s">
        <v>29</v>
      </c>
      <c r="J916" s="174" t="s">
        <v>34</v>
      </c>
      <c r="K916" s="174" t="s">
        <v>154</v>
      </c>
      <c r="L916" s="177">
        <v>44288</v>
      </c>
      <c r="M916" s="174">
        <v>10</v>
      </c>
      <c r="N916" s="179">
        <v>0.91</v>
      </c>
      <c r="O916" s="174" t="s">
        <v>20</v>
      </c>
    </row>
    <row r="917" spans="1:15" s="174" customFormat="1" ht="35" hidden="1" customHeight="1">
      <c r="A917" s="174">
        <f>ROW()-3</f>
        <v>914</v>
      </c>
      <c r="B917" s="174" t="s">
        <v>1577</v>
      </c>
      <c r="C917" s="174" t="s">
        <v>2723</v>
      </c>
      <c r="D917" s="174" t="s">
        <v>1578</v>
      </c>
      <c r="E917" s="174" t="s">
        <v>1884</v>
      </c>
      <c r="F917" s="174" t="s">
        <v>2370</v>
      </c>
      <c r="G917" s="174" t="s">
        <v>2370</v>
      </c>
      <c r="H917" s="174" t="s">
        <v>2371</v>
      </c>
      <c r="I917" s="174" t="s">
        <v>29</v>
      </c>
      <c r="J917" s="174" t="s">
        <v>34</v>
      </c>
      <c r="K917" s="174" t="s">
        <v>154</v>
      </c>
      <c r="L917" s="177">
        <v>44288</v>
      </c>
      <c r="M917" s="174">
        <v>10</v>
      </c>
      <c r="N917" s="179">
        <v>2.66</v>
      </c>
      <c r="O917" s="174" t="s">
        <v>20</v>
      </c>
    </row>
    <row r="918" spans="1:15" s="174" customFormat="1" ht="35" hidden="1" customHeight="1">
      <c r="A918" s="174">
        <f>ROW()-3</f>
        <v>915</v>
      </c>
      <c r="B918" s="174" t="s">
        <v>1577</v>
      </c>
      <c r="C918" s="174" t="s">
        <v>2723</v>
      </c>
      <c r="D918" s="174" t="s">
        <v>1578</v>
      </c>
      <c r="E918" s="174" t="s">
        <v>1884</v>
      </c>
      <c r="F918" s="174" t="s">
        <v>2372</v>
      </c>
      <c r="G918" s="174" t="s">
        <v>2372</v>
      </c>
      <c r="H918" s="174" t="s">
        <v>1829</v>
      </c>
      <c r="I918" s="174" t="s">
        <v>29</v>
      </c>
      <c r="J918" s="174" t="s">
        <v>34</v>
      </c>
      <c r="K918" s="174" t="s">
        <v>154</v>
      </c>
      <c r="L918" s="177">
        <v>44288</v>
      </c>
      <c r="M918" s="174">
        <v>17</v>
      </c>
      <c r="N918" s="179">
        <v>0.85</v>
      </c>
      <c r="O918" s="174" t="s">
        <v>20</v>
      </c>
    </row>
    <row r="919" spans="1:15" s="174" customFormat="1" ht="35" hidden="1" customHeight="1">
      <c r="A919" s="174">
        <f>ROW()-3</f>
        <v>916</v>
      </c>
      <c r="B919" s="174" t="s">
        <v>1577</v>
      </c>
      <c r="C919" s="174" t="s">
        <v>2723</v>
      </c>
      <c r="D919" s="174" t="s">
        <v>1578</v>
      </c>
      <c r="E919" s="174" t="s">
        <v>1943</v>
      </c>
      <c r="F919" s="174" t="s">
        <v>2373</v>
      </c>
      <c r="G919" s="174" t="s">
        <v>2373</v>
      </c>
      <c r="H919" s="174" t="s">
        <v>2151</v>
      </c>
      <c r="I919" s="174" t="s">
        <v>29</v>
      </c>
      <c r="J919" s="174" t="s">
        <v>34</v>
      </c>
      <c r="K919" s="174" t="s">
        <v>154</v>
      </c>
      <c r="L919" s="177">
        <v>44288</v>
      </c>
      <c r="M919" s="174">
        <v>10</v>
      </c>
      <c r="N919" s="179">
        <v>0.56000000000000005</v>
      </c>
      <c r="O919" s="174" t="s">
        <v>20</v>
      </c>
    </row>
    <row r="920" spans="1:15" s="174" customFormat="1" ht="35" hidden="1" customHeight="1">
      <c r="A920" s="174">
        <f>ROW()-3</f>
        <v>917</v>
      </c>
      <c r="B920" s="174" t="s">
        <v>1577</v>
      </c>
      <c r="C920" s="174" t="s">
        <v>2723</v>
      </c>
      <c r="D920" s="174" t="s">
        <v>1578</v>
      </c>
      <c r="E920" s="174" t="s">
        <v>1943</v>
      </c>
      <c r="F920" s="174" t="s">
        <v>2374</v>
      </c>
      <c r="G920" s="174" t="s">
        <v>2374</v>
      </c>
      <c r="H920" s="174" t="s">
        <v>2375</v>
      </c>
      <c r="I920" s="174" t="s">
        <v>29</v>
      </c>
      <c r="J920" s="174" t="s">
        <v>34</v>
      </c>
      <c r="K920" s="174" t="s">
        <v>154</v>
      </c>
      <c r="L920" s="177">
        <v>44288</v>
      </c>
      <c r="M920" s="174">
        <v>16</v>
      </c>
      <c r="N920" s="179">
        <v>1.18</v>
      </c>
      <c r="O920" s="174" t="s">
        <v>20</v>
      </c>
    </row>
    <row r="921" spans="1:15" s="174" customFormat="1" ht="35" hidden="1" customHeight="1">
      <c r="A921" s="174">
        <f>ROW()-3</f>
        <v>918</v>
      </c>
      <c r="B921" s="174" t="s">
        <v>1577</v>
      </c>
      <c r="C921" s="174" t="s">
        <v>2723</v>
      </c>
      <c r="D921" s="174" t="s">
        <v>1578</v>
      </c>
      <c r="E921" s="174" t="s">
        <v>1826</v>
      </c>
      <c r="F921" s="174" t="s">
        <v>2376</v>
      </c>
      <c r="G921" s="174" t="s">
        <v>2377</v>
      </c>
      <c r="H921" s="174" t="s">
        <v>1829</v>
      </c>
      <c r="I921" s="174" t="s">
        <v>29</v>
      </c>
      <c r="J921" s="174" t="s">
        <v>34</v>
      </c>
      <c r="K921" s="174" t="s">
        <v>154</v>
      </c>
      <c r="L921" s="177">
        <v>44294</v>
      </c>
      <c r="M921" s="174">
        <v>92</v>
      </c>
      <c r="N921" s="179">
        <v>32.119999999999997</v>
      </c>
      <c r="O921" s="174" t="s">
        <v>20</v>
      </c>
    </row>
    <row r="922" spans="1:15" s="174" customFormat="1" ht="35" hidden="1" customHeight="1">
      <c r="A922" s="174">
        <f>ROW()-3</f>
        <v>919</v>
      </c>
      <c r="B922" s="174" t="s">
        <v>1577</v>
      </c>
      <c r="C922" s="174" t="s">
        <v>2723</v>
      </c>
      <c r="D922" s="174" t="s">
        <v>1578</v>
      </c>
      <c r="E922" s="174" t="s">
        <v>1884</v>
      </c>
      <c r="F922" s="174" t="s">
        <v>2378</v>
      </c>
      <c r="G922" s="174" t="s">
        <v>2378</v>
      </c>
      <c r="H922" s="174" t="s">
        <v>1829</v>
      </c>
      <c r="I922" s="174" t="s">
        <v>17</v>
      </c>
      <c r="J922" s="174" t="s">
        <v>34</v>
      </c>
      <c r="K922" s="174" t="s">
        <v>154</v>
      </c>
      <c r="L922" s="177">
        <v>44294</v>
      </c>
      <c r="M922" s="174">
        <v>70</v>
      </c>
      <c r="N922" s="179">
        <v>11.6</v>
      </c>
      <c r="O922" s="174" t="s">
        <v>30</v>
      </c>
    </row>
    <row r="923" spans="1:15" s="174" customFormat="1" ht="35" hidden="1" customHeight="1">
      <c r="A923" s="174">
        <f>ROW()-3</f>
        <v>920</v>
      </c>
      <c r="B923" s="174" t="s">
        <v>1577</v>
      </c>
      <c r="C923" s="174" t="s">
        <v>2723</v>
      </c>
      <c r="D923" s="174" t="s">
        <v>1578</v>
      </c>
      <c r="E923" s="174" t="s">
        <v>1884</v>
      </c>
      <c r="F923" s="174" t="s">
        <v>2379</v>
      </c>
      <c r="G923" s="174" t="s">
        <v>2379</v>
      </c>
      <c r="H923" s="174" t="s">
        <v>2265</v>
      </c>
      <c r="I923" s="174" t="s">
        <v>29</v>
      </c>
      <c r="J923" s="174" t="s">
        <v>34</v>
      </c>
      <c r="K923" s="174" t="s">
        <v>154</v>
      </c>
      <c r="L923" s="177">
        <v>44294</v>
      </c>
      <c r="M923" s="174">
        <v>5</v>
      </c>
      <c r="N923" s="179">
        <v>0.75</v>
      </c>
      <c r="O923" s="174" t="s">
        <v>20</v>
      </c>
    </row>
    <row r="924" spans="1:15" s="174" customFormat="1" ht="35" hidden="1" customHeight="1">
      <c r="A924" s="174">
        <f>ROW()-3</f>
        <v>921</v>
      </c>
      <c r="B924" s="174" t="s">
        <v>1577</v>
      </c>
      <c r="C924" s="174" t="s">
        <v>2723</v>
      </c>
      <c r="D924" s="174" t="s">
        <v>1578</v>
      </c>
      <c r="E924" s="174" t="s">
        <v>1884</v>
      </c>
      <c r="F924" s="174" t="s">
        <v>2380</v>
      </c>
      <c r="G924" s="174" t="s">
        <v>2380</v>
      </c>
      <c r="H924" s="174" t="s">
        <v>2151</v>
      </c>
      <c r="I924" s="174" t="s">
        <v>29</v>
      </c>
      <c r="J924" s="174" t="s">
        <v>34</v>
      </c>
      <c r="K924" s="174" t="s">
        <v>154</v>
      </c>
      <c r="L924" s="177">
        <v>44294</v>
      </c>
      <c r="M924" s="174">
        <v>8</v>
      </c>
      <c r="N924" s="179">
        <v>1.46</v>
      </c>
      <c r="O924" s="174" t="s">
        <v>20</v>
      </c>
    </row>
    <row r="925" spans="1:15" s="174" customFormat="1" ht="35" hidden="1" customHeight="1">
      <c r="A925" s="174">
        <f>ROW()-3</f>
        <v>922</v>
      </c>
      <c r="B925" s="174" t="s">
        <v>1577</v>
      </c>
      <c r="C925" s="174" t="s">
        <v>2723</v>
      </c>
      <c r="D925" s="174" t="s">
        <v>1578</v>
      </c>
      <c r="E925" s="174" t="s">
        <v>1884</v>
      </c>
      <c r="F925" s="174" t="s">
        <v>2381</v>
      </c>
      <c r="G925" s="174" t="s">
        <v>2381</v>
      </c>
      <c r="H925" s="174" t="s">
        <v>2279</v>
      </c>
      <c r="I925" s="174" t="s">
        <v>29</v>
      </c>
      <c r="J925" s="174" t="s">
        <v>34</v>
      </c>
      <c r="K925" s="174" t="s">
        <v>154</v>
      </c>
      <c r="L925" s="177">
        <v>44294</v>
      </c>
      <c r="M925" s="174">
        <v>2</v>
      </c>
      <c r="N925" s="179">
        <v>1.46</v>
      </c>
      <c r="O925" s="174" t="s">
        <v>20</v>
      </c>
    </row>
    <row r="926" spans="1:15" s="174" customFormat="1" ht="35" hidden="1" customHeight="1">
      <c r="A926" s="174">
        <f>ROW()-3</f>
        <v>923</v>
      </c>
      <c r="B926" s="174" t="s">
        <v>1577</v>
      </c>
      <c r="C926" s="174" t="s">
        <v>2723</v>
      </c>
      <c r="D926" s="174" t="s">
        <v>1578</v>
      </c>
      <c r="E926" s="174" t="s">
        <v>1881</v>
      </c>
      <c r="F926" s="174" t="s">
        <v>2382</v>
      </c>
      <c r="G926" s="174" t="s">
        <v>2383</v>
      </c>
      <c r="H926" s="174" t="s">
        <v>2543</v>
      </c>
      <c r="I926" s="174" t="s">
        <v>29</v>
      </c>
      <c r="J926" s="174" t="s">
        <v>34</v>
      </c>
      <c r="K926" s="174" t="s">
        <v>154</v>
      </c>
      <c r="L926" s="177">
        <v>44295</v>
      </c>
      <c r="M926" s="174">
        <v>769</v>
      </c>
      <c r="N926" s="179">
        <v>36.29</v>
      </c>
      <c r="O926" s="174" t="s">
        <v>20</v>
      </c>
    </row>
    <row r="927" spans="1:15" s="174" customFormat="1" ht="35" hidden="1" customHeight="1">
      <c r="A927" s="174">
        <f>ROW()-3</f>
        <v>924</v>
      </c>
      <c r="B927" s="174" t="s">
        <v>1577</v>
      </c>
      <c r="C927" s="174" t="s">
        <v>2723</v>
      </c>
      <c r="D927" s="174" t="s">
        <v>1578</v>
      </c>
      <c r="E927" s="174" t="s">
        <v>1884</v>
      </c>
      <c r="F927" s="174" t="s">
        <v>2384</v>
      </c>
      <c r="G927" s="174" t="s">
        <v>2385</v>
      </c>
      <c r="H927" s="174" t="s">
        <v>2386</v>
      </c>
      <c r="I927" s="174" t="s">
        <v>29</v>
      </c>
      <c r="J927" s="174" t="s">
        <v>34</v>
      </c>
      <c r="K927" s="174" t="s">
        <v>154</v>
      </c>
      <c r="L927" s="177">
        <v>44295</v>
      </c>
      <c r="M927" s="174">
        <v>1257</v>
      </c>
      <c r="N927" s="179">
        <v>62.85</v>
      </c>
      <c r="O927" s="174" t="s">
        <v>20</v>
      </c>
    </row>
    <row r="928" spans="1:15" s="174" customFormat="1" ht="35" hidden="1" customHeight="1">
      <c r="A928" s="174">
        <f>ROW()-3</f>
        <v>925</v>
      </c>
      <c r="B928" s="174" t="s">
        <v>1577</v>
      </c>
      <c r="C928" s="174" t="s">
        <v>2723</v>
      </c>
      <c r="D928" s="174" t="s">
        <v>1578</v>
      </c>
      <c r="E928" s="174" t="s">
        <v>1884</v>
      </c>
      <c r="F928" s="174" t="s">
        <v>2387</v>
      </c>
      <c r="G928" s="174" t="s">
        <v>2387</v>
      </c>
      <c r="H928" s="174" t="s">
        <v>2388</v>
      </c>
      <c r="I928" s="174" t="s">
        <v>29</v>
      </c>
      <c r="J928" s="174" t="s">
        <v>34</v>
      </c>
      <c r="K928" s="174" t="s">
        <v>154</v>
      </c>
      <c r="L928" s="177">
        <v>44295</v>
      </c>
      <c r="M928" s="174">
        <v>58</v>
      </c>
      <c r="N928" s="179">
        <v>11.1</v>
      </c>
      <c r="O928" s="174" t="s">
        <v>30</v>
      </c>
    </row>
    <row r="929" spans="1:15" s="174" customFormat="1" ht="35" hidden="1" customHeight="1">
      <c r="A929" s="174">
        <f>ROW()-3</f>
        <v>926</v>
      </c>
      <c r="B929" s="174" t="s">
        <v>1577</v>
      </c>
      <c r="C929" s="174" t="s">
        <v>2723</v>
      </c>
      <c r="D929" s="174" t="s">
        <v>1578</v>
      </c>
      <c r="E929" s="174" t="s">
        <v>1884</v>
      </c>
      <c r="F929" s="174" t="s">
        <v>2389</v>
      </c>
      <c r="G929" s="174" t="s">
        <v>2389</v>
      </c>
      <c r="H929" s="174" t="s">
        <v>2390</v>
      </c>
      <c r="I929" s="174" t="s">
        <v>29</v>
      </c>
      <c r="J929" s="174" t="s">
        <v>34</v>
      </c>
      <c r="K929" s="174" t="s">
        <v>154</v>
      </c>
      <c r="L929" s="177">
        <v>44295</v>
      </c>
      <c r="M929" s="174">
        <v>8</v>
      </c>
      <c r="N929" s="179">
        <v>3.6</v>
      </c>
      <c r="O929" s="174" t="s">
        <v>30</v>
      </c>
    </row>
    <row r="930" spans="1:15" s="174" customFormat="1" ht="35" hidden="1" customHeight="1">
      <c r="A930" s="174">
        <f>ROW()-3</f>
        <v>927</v>
      </c>
      <c r="B930" s="174" t="s">
        <v>1577</v>
      </c>
      <c r="C930" s="174" t="s">
        <v>2723</v>
      </c>
      <c r="D930" s="174" t="s">
        <v>1578</v>
      </c>
      <c r="E930" s="174" t="s">
        <v>1884</v>
      </c>
      <c r="F930" s="174" t="s">
        <v>2391</v>
      </c>
      <c r="G930" s="174" t="s">
        <v>2391</v>
      </c>
      <c r="H930" s="174" t="s">
        <v>2392</v>
      </c>
      <c r="I930" s="174" t="s">
        <v>29</v>
      </c>
      <c r="J930" s="174" t="s">
        <v>34</v>
      </c>
      <c r="K930" s="174" t="s">
        <v>154</v>
      </c>
      <c r="L930" s="177">
        <v>44295</v>
      </c>
      <c r="M930" s="174">
        <v>15</v>
      </c>
      <c r="N930" s="179">
        <v>2.29</v>
      </c>
      <c r="O930" s="174" t="s">
        <v>20</v>
      </c>
    </row>
    <row r="931" spans="1:15" s="174" customFormat="1" ht="35" hidden="1" customHeight="1">
      <c r="A931" s="174">
        <f>ROW()-3</f>
        <v>928</v>
      </c>
      <c r="B931" s="174" t="s">
        <v>1577</v>
      </c>
      <c r="C931" s="174" t="s">
        <v>2723</v>
      </c>
      <c r="D931" s="174" t="s">
        <v>1578</v>
      </c>
      <c r="E931" s="174" t="s">
        <v>1943</v>
      </c>
      <c r="F931" s="174" t="s">
        <v>2393</v>
      </c>
      <c r="G931" s="174" t="s">
        <v>2393</v>
      </c>
      <c r="H931" s="174" t="s">
        <v>2375</v>
      </c>
      <c r="I931" s="174" t="s">
        <v>29</v>
      </c>
      <c r="J931" s="174" t="s">
        <v>34</v>
      </c>
      <c r="K931" s="174" t="s">
        <v>154</v>
      </c>
      <c r="L931" s="177">
        <v>44295</v>
      </c>
      <c r="M931" s="174">
        <v>24</v>
      </c>
      <c r="N931" s="179">
        <v>3.36</v>
      </c>
      <c r="O931" s="174" t="s">
        <v>30</v>
      </c>
    </row>
    <row r="932" spans="1:15" s="174" customFormat="1" ht="35" hidden="1" customHeight="1">
      <c r="A932" s="174">
        <f>ROW()-3</f>
        <v>929</v>
      </c>
      <c r="B932" s="174" t="s">
        <v>1577</v>
      </c>
      <c r="C932" s="174" t="s">
        <v>2723</v>
      </c>
      <c r="D932" s="174" t="s">
        <v>1578</v>
      </c>
      <c r="E932" s="174" t="s">
        <v>1943</v>
      </c>
      <c r="F932" s="174" t="s">
        <v>2394</v>
      </c>
      <c r="G932" s="174" t="s">
        <v>2394</v>
      </c>
      <c r="H932" s="174" t="s">
        <v>2375</v>
      </c>
      <c r="I932" s="174" t="s">
        <v>29</v>
      </c>
      <c r="J932" s="174" t="s">
        <v>34</v>
      </c>
      <c r="K932" s="174" t="s">
        <v>154</v>
      </c>
      <c r="L932" s="177">
        <v>44295</v>
      </c>
      <c r="M932" s="174">
        <v>25</v>
      </c>
      <c r="N932" s="179">
        <v>0.47</v>
      </c>
      <c r="O932" s="174" t="s">
        <v>20</v>
      </c>
    </row>
    <row r="933" spans="1:15" s="174" customFormat="1" ht="35" hidden="1" customHeight="1">
      <c r="A933" s="174">
        <f>ROW()-3</f>
        <v>930</v>
      </c>
      <c r="B933" s="174" t="s">
        <v>1577</v>
      </c>
      <c r="C933" s="174" t="s">
        <v>2723</v>
      </c>
      <c r="D933" s="174" t="s">
        <v>1578</v>
      </c>
      <c r="E933" s="174" t="s">
        <v>1943</v>
      </c>
      <c r="F933" s="174" t="s">
        <v>2395</v>
      </c>
      <c r="G933" s="174" t="s">
        <v>2395</v>
      </c>
      <c r="H933" s="174" t="s">
        <v>2396</v>
      </c>
      <c r="I933" s="174" t="s">
        <v>29</v>
      </c>
      <c r="J933" s="174" t="s">
        <v>34</v>
      </c>
      <c r="K933" s="174" t="s">
        <v>154</v>
      </c>
      <c r="L933" s="177">
        <v>44295</v>
      </c>
      <c r="M933" s="174">
        <v>6</v>
      </c>
      <c r="N933" s="179">
        <v>1.34</v>
      </c>
      <c r="O933" s="174" t="s">
        <v>20</v>
      </c>
    </row>
    <row r="934" spans="1:15" s="174" customFormat="1" ht="35" hidden="1" customHeight="1">
      <c r="A934" s="174">
        <f>ROW()-3</f>
        <v>931</v>
      </c>
      <c r="B934" s="174" t="s">
        <v>1577</v>
      </c>
      <c r="C934" s="174" t="s">
        <v>2723</v>
      </c>
      <c r="D934" s="174" t="s">
        <v>1578</v>
      </c>
      <c r="E934" s="174" t="s">
        <v>1943</v>
      </c>
      <c r="F934" s="174" t="s">
        <v>2397</v>
      </c>
      <c r="G934" s="174" t="s">
        <v>2397</v>
      </c>
      <c r="H934" s="174" t="s">
        <v>2398</v>
      </c>
      <c r="I934" s="174" t="s">
        <v>29</v>
      </c>
      <c r="J934" s="174" t="s">
        <v>34</v>
      </c>
      <c r="K934" s="174" t="s">
        <v>154</v>
      </c>
      <c r="L934" s="177">
        <v>44295</v>
      </c>
      <c r="M934" s="174">
        <v>43</v>
      </c>
      <c r="N934" s="179">
        <v>4.4400000000000004</v>
      </c>
      <c r="O934" s="174" t="s">
        <v>30</v>
      </c>
    </row>
    <row r="935" spans="1:15" s="174" customFormat="1" ht="35" hidden="1" customHeight="1">
      <c r="A935" s="174">
        <f>ROW()-3</f>
        <v>932</v>
      </c>
      <c r="B935" s="174" t="s">
        <v>1577</v>
      </c>
      <c r="C935" s="174" t="s">
        <v>2723</v>
      </c>
      <c r="D935" s="174" t="s">
        <v>1578</v>
      </c>
      <c r="E935" s="174" t="s">
        <v>1826</v>
      </c>
      <c r="F935" s="174" t="s">
        <v>2399</v>
      </c>
      <c r="G935" s="174" t="s">
        <v>2400</v>
      </c>
      <c r="H935" s="174" t="s">
        <v>1955</v>
      </c>
      <c r="I935" s="174" t="s">
        <v>29</v>
      </c>
      <c r="J935" s="174" t="s">
        <v>34</v>
      </c>
      <c r="K935" s="174" t="s">
        <v>154</v>
      </c>
      <c r="L935" s="177">
        <v>44298</v>
      </c>
      <c r="M935" s="174">
        <v>39</v>
      </c>
      <c r="N935" s="179">
        <v>2.0299999999999998</v>
      </c>
      <c r="O935" s="174" t="s">
        <v>20</v>
      </c>
    </row>
    <row r="936" spans="1:15" s="174" customFormat="1" ht="35" hidden="1" customHeight="1">
      <c r="A936" s="174">
        <f>ROW()-3</f>
        <v>933</v>
      </c>
      <c r="B936" s="174" t="s">
        <v>1577</v>
      </c>
      <c r="C936" s="174" t="s">
        <v>2723</v>
      </c>
      <c r="D936" s="174" t="s">
        <v>1578</v>
      </c>
      <c r="E936" s="174" t="s">
        <v>1878</v>
      </c>
      <c r="F936" s="174" t="s">
        <v>2401</v>
      </c>
      <c r="G936" s="174" t="s">
        <v>2401</v>
      </c>
      <c r="H936" s="174" t="s">
        <v>1829</v>
      </c>
      <c r="I936" s="174" t="s">
        <v>29</v>
      </c>
      <c r="J936" s="174" t="s">
        <v>34</v>
      </c>
      <c r="K936" s="174" t="s">
        <v>154</v>
      </c>
      <c r="L936" s="177">
        <v>44298</v>
      </c>
      <c r="M936" s="174">
        <v>1</v>
      </c>
      <c r="N936" s="179">
        <v>0.01</v>
      </c>
      <c r="O936" s="174" t="s">
        <v>20</v>
      </c>
    </row>
    <row r="937" spans="1:15" s="174" customFormat="1" ht="35" hidden="1" customHeight="1">
      <c r="A937" s="174">
        <f>ROW()-3</f>
        <v>934</v>
      </c>
      <c r="B937" s="174" t="s">
        <v>1577</v>
      </c>
      <c r="C937" s="174" t="s">
        <v>2723</v>
      </c>
      <c r="D937" s="174" t="s">
        <v>1578</v>
      </c>
      <c r="E937" s="174" t="s">
        <v>1878</v>
      </c>
      <c r="F937" s="174" t="s">
        <v>2402</v>
      </c>
      <c r="G937" s="174" t="s">
        <v>2402</v>
      </c>
      <c r="H937" s="174" t="s">
        <v>1829</v>
      </c>
      <c r="I937" s="174" t="s">
        <v>29</v>
      </c>
      <c r="J937" s="174" t="s">
        <v>34</v>
      </c>
      <c r="K937" s="174" t="s">
        <v>154</v>
      </c>
      <c r="L937" s="177">
        <v>44298</v>
      </c>
      <c r="M937" s="174">
        <v>1</v>
      </c>
      <c r="N937" s="179">
        <v>0.03</v>
      </c>
      <c r="O937" s="174" t="s">
        <v>20</v>
      </c>
    </row>
    <row r="938" spans="1:15" s="174" customFormat="1" ht="35" hidden="1" customHeight="1">
      <c r="A938" s="174">
        <f>ROW()-3</f>
        <v>935</v>
      </c>
      <c r="B938" s="174" t="s">
        <v>1577</v>
      </c>
      <c r="C938" s="174" t="s">
        <v>2723</v>
      </c>
      <c r="D938" s="174" t="s">
        <v>1578</v>
      </c>
      <c r="E938" s="174" t="s">
        <v>1878</v>
      </c>
      <c r="F938" s="174" t="s">
        <v>2403</v>
      </c>
      <c r="G938" s="174" t="s">
        <v>2403</v>
      </c>
      <c r="H938" s="174" t="s">
        <v>1829</v>
      </c>
      <c r="I938" s="174" t="s">
        <v>29</v>
      </c>
      <c r="J938" s="174" t="s">
        <v>34</v>
      </c>
      <c r="K938" s="174" t="s">
        <v>154</v>
      </c>
      <c r="L938" s="177">
        <v>44298</v>
      </c>
      <c r="M938" s="174">
        <v>1</v>
      </c>
      <c r="N938" s="179">
        <v>0.01</v>
      </c>
      <c r="O938" s="174" t="s">
        <v>20</v>
      </c>
    </row>
    <row r="939" spans="1:15" s="174" customFormat="1" ht="35" hidden="1" customHeight="1">
      <c r="A939" s="174">
        <f>ROW()-3</f>
        <v>936</v>
      </c>
      <c r="B939" s="174" t="s">
        <v>1577</v>
      </c>
      <c r="C939" s="174" t="s">
        <v>2723</v>
      </c>
      <c r="D939" s="174" t="s">
        <v>1578</v>
      </c>
      <c r="E939" s="174" t="s">
        <v>1884</v>
      </c>
      <c r="F939" s="174" t="s">
        <v>2404</v>
      </c>
      <c r="G939" s="174" t="s">
        <v>2404</v>
      </c>
      <c r="H939" s="174" t="s">
        <v>2151</v>
      </c>
      <c r="I939" s="174" t="s">
        <v>29</v>
      </c>
      <c r="J939" s="174" t="s">
        <v>34</v>
      </c>
      <c r="K939" s="174" t="s">
        <v>154</v>
      </c>
      <c r="L939" s="177">
        <v>44298</v>
      </c>
      <c r="M939" s="174">
        <v>7</v>
      </c>
      <c r="N939" s="179">
        <v>0.35</v>
      </c>
      <c r="O939" s="174" t="s">
        <v>20</v>
      </c>
    </row>
    <row r="940" spans="1:15" s="174" customFormat="1" ht="35" hidden="1" customHeight="1">
      <c r="A940" s="174">
        <f>ROW()-3</f>
        <v>937</v>
      </c>
      <c r="B940" s="174" t="s">
        <v>1577</v>
      </c>
      <c r="C940" s="174" t="s">
        <v>2723</v>
      </c>
      <c r="D940" s="174" t="s">
        <v>1578</v>
      </c>
      <c r="E940" s="174" t="s">
        <v>1884</v>
      </c>
      <c r="F940" s="174" t="s">
        <v>2405</v>
      </c>
      <c r="G940" s="174" t="s">
        <v>2405</v>
      </c>
      <c r="H940" s="174" t="s">
        <v>2396</v>
      </c>
      <c r="I940" s="174" t="s">
        <v>29</v>
      </c>
      <c r="J940" s="174" t="s">
        <v>34</v>
      </c>
      <c r="K940" s="174" t="s">
        <v>154</v>
      </c>
      <c r="L940" s="177">
        <v>44298</v>
      </c>
      <c r="M940" s="174">
        <v>5</v>
      </c>
      <c r="N940" s="179">
        <v>1.92</v>
      </c>
      <c r="O940" s="174" t="s">
        <v>20</v>
      </c>
    </row>
    <row r="941" spans="1:15" s="174" customFormat="1" ht="35" hidden="1" customHeight="1">
      <c r="A941" s="174">
        <f>ROW()-3</f>
        <v>938</v>
      </c>
      <c r="B941" s="174" t="s">
        <v>1577</v>
      </c>
      <c r="C941" s="174" t="s">
        <v>2723</v>
      </c>
      <c r="D941" s="174" t="s">
        <v>1578</v>
      </c>
      <c r="E941" s="174" t="s">
        <v>1884</v>
      </c>
      <c r="F941" s="174" t="s">
        <v>2406</v>
      </c>
      <c r="G941" s="174" t="s">
        <v>2406</v>
      </c>
      <c r="H941" s="174" t="s">
        <v>2273</v>
      </c>
      <c r="I941" s="174" t="s">
        <v>17</v>
      </c>
      <c r="J941" s="174" t="s">
        <v>34</v>
      </c>
      <c r="K941" s="174" t="s">
        <v>154</v>
      </c>
      <c r="L941" s="177">
        <v>44298</v>
      </c>
      <c r="M941" s="174">
        <v>8</v>
      </c>
      <c r="N941" s="179">
        <v>2.44</v>
      </c>
      <c r="O941" s="174" t="s">
        <v>20</v>
      </c>
    </row>
    <row r="942" spans="1:15" s="174" customFormat="1" ht="35" hidden="1" customHeight="1">
      <c r="A942" s="174">
        <f>ROW()-3</f>
        <v>939</v>
      </c>
      <c r="B942" s="174" t="s">
        <v>1577</v>
      </c>
      <c r="C942" s="174" t="s">
        <v>2723</v>
      </c>
      <c r="D942" s="174" t="s">
        <v>1578</v>
      </c>
      <c r="E942" s="174" t="s">
        <v>1884</v>
      </c>
      <c r="F942" s="174" t="s">
        <v>2407</v>
      </c>
      <c r="G942" s="174" t="s">
        <v>2407</v>
      </c>
      <c r="H942" s="174" t="s">
        <v>1829</v>
      </c>
      <c r="I942" s="174" t="s">
        <v>29</v>
      </c>
      <c r="J942" s="174" t="s">
        <v>34</v>
      </c>
      <c r="K942" s="174" t="s">
        <v>154</v>
      </c>
      <c r="L942" s="177">
        <v>44298</v>
      </c>
      <c r="M942" s="174">
        <v>252</v>
      </c>
      <c r="N942" s="179">
        <v>3.63</v>
      </c>
      <c r="O942" s="174" t="s">
        <v>30</v>
      </c>
    </row>
    <row r="943" spans="1:15" s="174" customFormat="1" ht="35" hidden="1" customHeight="1">
      <c r="A943" s="174">
        <f>ROW()-3</f>
        <v>940</v>
      </c>
      <c r="B943" s="174" t="s">
        <v>1577</v>
      </c>
      <c r="C943" s="174" t="s">
        <v>2723</v>
      </c>
      <c r="D943" s="174" t="s">
        <v>1578</v>
      </c>
      <c r="E943" s="174" t="s">
        <v>1884</v>
      </c>
      <c r="F943" s="174" t="s">
        <v>2408</v>
      </c>
      <c r="G943" s="174" t="s">
        <v>2408</v>
      </c>
      <c r="H943" s="174" t="s">
        <v>2409</v>
      </c>
      <c r="I943" s="174" t="s">
        <v>29</v>
      </c>
      <c r="J943" s="174" t="s">
        <v>34</v>
      </c>
      <c r="K943" s="174" t="s">
        <v>154</v>
      </c>
      <c r="L943" s="177">
        <v>44298</v>
      </c>
      <c r="M943" s="174">
        <v>36</v>
      </c>
      <c r="N943" s="179">
        <v>8.4</v>
      </c>
      <c r="O943" s="174" t="s">
        <v>20</v>
      </c>
    </row>
    <row r="944" spans="1:15" s="174" customFormat="1" ht="35" hidden="1" customHeight="1">
      <c r="A944" s="174">
        <f>ROW()-3</f>
        <v>941</v>
      </c>
      <c r="B944" s="174" t="s">
        <v>1577</v>
      </c>
      <c r="C944" s="174" t="s">
        <v>2723</v>
      </c>
      <c r="D944" s="174" t="s">
        <v>1578</v>
      </c>
      <c r="E944" s="174" t="s">
        <v>1884</v>
      </c>
      <c r="F944" s="174" t="s">
        <v>2410</v>
      </c>
      <c r="G944" s="174" t="s">
        <v>2410</v>
      </c>
      <c r="H944" s="174" t="s">
        <v>1898</v>
      </c>
      <c r="I944" s="174" t="s">
        <v>29</v>
      </c>
      <c r="J944" s="174" t="s">
        <v>34</v>
      </c>
      <c r="K944" s="174" t="s">
        <v>154</v>
      </c>
      <c r="L944" s="177">
        <v>44298</v>
      </c>
      <c r="M944" s="174">
        <v>12</v>
      </c>
      <c r="N944" s="179">
        <v>2.2000000000000002</v>
      </c>
      <c r="O944" s="174" t="s">
        <v>20</v>
      </c>
    </row>
    <row r="945" spans="1:45" s="174" customFormat="1" ht="35" hidden="1" customHeight="1">
      <c r="A945" s="174">
        <f>ROW()-3</f>
        <v>942</v>
      </c>
      <c r="B945" s="174" t="s">
        <v>1577</v>
      </c>
      <c r="C945" s="174" t="s">
        <v>2723</v>
      </c>
      <c r="D945" s="174" t="s">
        <v>1578</v>
      </c>
      <c r="E945" s="174" t="s">
        <v>1884</v>
      </c>
      <c r="F945" s="174" t="s">
        <v>2411</v>
      </c>
      <c r="G945" s="174" t="s">
        <v>2411</v>
      </c>
      <c r="H945" s="174" t="s">
        <v>1898</v>
      </c>
      <c r="I945" s="174" t="s">
        <v>29</v>
      </c>
      <c r="J945" s="174" t="s">
        <v>34</v>
      </c>
      <c r="K945" s="174" t="s">
        <v>154</v>
      </c>
      <c r="L945" s="177">
        <v>44298</v>
      </c>
      <c r="M945" s="174">
        <v>24</v>
      </c>
      <c r="N945" s="179">
        <v>4.9400000000000004</v>
      </c>
      <c r="O945" s="174" t="s">
        <v>20</v>
      </c>
    </row>
    <row r="946" spans="1:45" s="174" customFormat="1" ht="35" hidden="1" customHeight="1">
      <c r="A946" s="174">
        <f>ROW()-3</f>
        <v>943</v>
      </c>
      <c r="B946" s="174" t="s">
        <v>1577</v>
      </c>
      <c r="C946" s="174" t="s">
        <v>2723</v>
      </c>
      <c r="D946" s="174" t="s">
        <v>1578</v>
      </c>
      <c r="E946" s="174" t="s">
        <v>1884</v>
      </c>
      <c r="F946" s="174" t="s">
        <v>2412</v>
      </c>
      <c r="G946" s="174" t="s">
        <v>2412</v>
      </c>
      <c r="H946" s="174" t="s">
        <v>2413</v>
      </c>
      <c r="I946" s="174" t="s">
        <v>29</v>
      </c>
      <c r="J946" s="174" t="s">
        <v>34</v>
      </c>
      <c r="K946" s="174" t="s">
        <v>154</v>
      </c>
      <c r="L946" s="177">
        <v>44298</v>
      </c>
      <c r="M946" s="174">
        <v>23</v>
      </c>
      <c r="N946" s="179">
        <v>8.8000000000000007</v>
      </c>
      <c r="O946" s="174" t="s">
        <v>20</v>
      </c>
    </row>
    <row r="947" spans="1:45" s="174" customFormat="1" ht="35" hidden="1" customHeight="1">
      <c r="A947" s="174">
        <f>ROW()-3</f>
        <v>944</v>
      </c>
      <c r="B947" s="174" t="s">
        <v>1577</v>
      </c>
      <c r="C947" s="174" t="s">
        <v>2723</v>
      </c>
      <c r="D947" s="174" t="s">
        <v>1578</v>
      </c>
      <c r="E947" s="174" t="s">
        <v>1943</v>
      </c>
      <c r="F947" s="174" t="s">
        <v>2414</v>
      </c>
      <c r="G947" s="174" t="s">
        <v>2414</v>
      </c>
      <c r="H947" s="174" t="s">
        <v>2415</v>
      </c>
      <c r="I947" s="174" t="s">
        <v>29</v>
      </c>
      <c r="J947" s="174" t="s">
        <v>34</v>
      </c>
      <c r="K947" s="174" t="s">
        <v>154</v>
      </c>
      <c r="L947" s="177">
        <v>44298</v>
      </c>
      <c r="M947" s="174">
        <v>28</v>
      </c>
      <c r="N947" s="179">
        <v>8.17</v>
      </c>
      <c r="O947" s="174" t="s">
        <v>20</v>
      </c>
    </row>
    <row r="948" spans="1:45" s="174" customFormat="1" ht="35" hidden="1" customHeight="1">
      <c r="A948" s="174">
        <f>ROW()-3</f>
        <v>945</v>
      </c>
      <c r="B948" s="174" t="s">
        <v>1577</v>
      </c>
      <c r="C948" s="174" t="s">
        <v>2723</v>
      </c>
      <c r="D948" s="174" t="s">
        <v>1578</v>
      </c>
      <c r="E948" s="174" t="s">
        <v>1943</v>
      </c>
      <c r="F948" s="174" t="s">
        <v>2416</v>
      </c>
      <c r="G948" s="174" t="s">
        <v>2416</v>
      </c>
      <c r="H948" s="174" t="s">
        <v>2417</v>
      </c>
      <c r="I948" s="174" t="s">
        <v>29</v>
      </c>
      <c r="J948" s="174" t="s">
        <v>34</v>
      </c>
      <c r="K948" s="174" t="s">
        <v>154</v>
      </c>
      <c r="L948" s="177">
        <v>44298</v>
      </c>
      <c r="M948" s="174">
        <v>130</v>
      </c>
      <c r="N948" s="179">
        <v>36.799999999999997</v>
      </c>
      <c r="O948" s="174" t="s">
        <v>20</v>
      </c>
    </row>
    <row r="949" spans="1:45" s="174" customFormat="1" ht="35" hidden="1" customHeight="1">
      <c r="A949" s="174">
        <f>ROW()-3</f>
        <v>946</v>
      </c>
      <c r="B949" s="174" t="s">
        <v>1577</v>
      </c>
      <c r="C949" s="174" t="s">
        <v>2723</v>
      </c>
      <c r="D949" s="174" t="s">
        <v>1578</v>
      </c>
      <c r="E949" s="174" t="s">
        <v>1943</v>
      </c>
      <c r="F949" s="174" t="s">
        <v>2418</v>
      </c>
      <c r="G949" s="174" t="s">
        <v>2418</v>
      </c>
      <c r="H949" s="174" t="s">
        <v>2419</v>
      </c>
      <c r="I949" s="174" t="s">
        <v>29</v>
      </c>
      <c r="J949" s="174" t="s">
        <v>34</v>
      </c>
      <c r="K949" s="174" t="s">
        <v>154</v>
      </c>
      <c r="L949" s="177">
        <v>44298</v>
      </c>
      <c r="M949" s="174">
        <v>20</v>
      </c>
      <c r="N949" s="179">
        <v>6.12</v>
      </c>
      <c r="O949" s="174" t="s">
        <v>20</v>
      </c>
    </row>
    <row r="950" spans="1:45" s="174" customFormat="1" ht="35" hidden="1" customHeight="1">
      <c r="A950" s="174">
        <f>ROW()-3</f>
        <v>947</v>
      </c>
      <c r="B950" s="174" t="s">
        <v>1577</v>
      </c>
      <c r="C950" s="174" t="s">
        <v>2723</v>
      </c>
      <c r="D950" s="174" t="s">
        <v>1578</v>
      </c>
      <c r="E950" s="174" t="s">
        <v>1884</v>
      </c>
      <c r="F950" s="174" t="s">
        <v>2420</v>
      </c>
      <c r="G950" s="174" t="s">
        <v>2420</v>
      </c>
      <c r="H950" s="174" t="s">
        <v>2333</v>
      </c>
      <c r="I950" s="174" t="s">
        <v>29</v>
      </c>
      <c r="J950" s="174" t="s">
        <v>34</v>
      </c>
      <c r="K950" s="174" t="s">
        <v>154</v>
      </c>
      <c r="L950" s="177">
        <v>44299</v>
      </c>
      <c r="M950" s="174">
        <v>50</v>
      </c>
      <c r="N950" s="179">
        <v>22</v>
      </c>
      <c r="O950" s="174" t="s">
        <v>20</v>
      </c>
    </row>
    <row r="951" spans="1:45" s="174" customFormat="1" ht="35" hidden="1" customHeight="1">
      <c r="A951" s="174">
        <f>ROW()-3</f>
        <v>948</v>
      </c>
      <c r="B951" s="174" t="s">
        <v>1577</v>
      </c>
      <c r="C951" s="174" t="s">
        <v>2723</v>
      </c>
      <c r="D951" s="174" t="s">
        <v>1578</v>
      </c>
      <c r="E951" s="174" t="s">
        <v>1884</v>
      </c>
      <c r="F951" s="174" t="s">
        <v>2421</v>
      </c>
      <c r="G951" s="174" t="s">
        <v>2421</v>
      </c>
      <c r="H951" s="174" t="s">
        <v>2333</v>
      </c>
      <c r="I951" s="174" t="s">
        <v>29</v>
      </c>
      <c r="J951" s="174" t="s">
        <v>34</v>
      </c>
      <c r="K951" s="174" t="s">
        <v>154</v>
      </c>
      <c r="L951" s="177">
        <v>44300</v>
      </c>
      <c r="M951" s="174">
        <v>139</v>
      </c>
      <c r="N951" s="179">
        <v>5.0999999999999996</v>
      </c>
      <c r="O951" s="174" t="s">
        <v>30</v>
      </c>
    </row>
    <row r="952" spans="1:45" s="174" customFormat="1" ht="35" hidden="1" customHeight="1">
      <c r="A952" s="174">
        <f>ROW()-3</f>
        <v>949</v>
      </c>
      <c r="B952" s="174" t="s">
        <v>1577</v>
      </c>
      <c r="C952" s="174" t="s">
        <v>2723</v>
      </c>
      <c r="D952" s="174" t="s">
        <v>1578</v>
      </c>
      <c r="E952" s="174" t="s">
        <v>1826</v>
      </c>
      <c r="F952" s="174" t="s">
        <v>2422</v>
      </c>
      <c r="G952" s="174" t="s">
        <v>2422</v>
      </c>
      <c r="H952" s="174" t="s">
        <v>2265</v>
      </c>
      <c r="I952" s="174" t="s">
        <v>29</v>
      </c>
      <c r="J952" s="174" t="s">
        <v>34</v>
      </c>
      <c r="K952" s="174" t="s">
        <v>154</v>
      </c>
      <c r="L952" s="177">
        <v>44305</v>
      </c>
      <c r="M952" s="174">
        <v>9</v>
      </c>
      <c r="N952" s="179">
        <v>1.8</v>
      </c>
      <c r="O952" s="174" t="s">
        <v>20</v>
      </c>
    </row>
    <row r="953" spans="1:45" s="174" customFormat="1" ht="35" hidden="1" customHeight="1">
      <c r="A953" s="174">
        <f>ROW()-3</f>
        <v>950</v>
      </c>
      <c r="B953" s="174" t="s">
        <v>1577</v>
      </c>
      <c r="C953" s="174" t="s">
        <v>2723</v>
      </c>
      <c r="D953" s="174" t="s">
        <v>1578</v>
      </c>
      <c r="E953" s="174" t="s">
        <v>1826</v>
      </c>
      <c r="F953" s="174" t="s">
        <v>2423</v>
      </c>
      <c r="G953" s="174" t="s">
        <v>2423</v>
      </c>
      <c r="H953" s="174" t="s">
        <v>2265</v>
      </c>
      <c r="I953" s="174" t="s">
        <v>29</v>
      </c>
      <c r="J953" s="174" t="s">
        <v>34</v>
      </c>
      <c r="K953" s="174" t="s">
        <v>154</v>
      </c>
      <c r="L953" s="177">
        <v>44305</v>
      </c>
      <c r="M953" s="174">
        <v>14</v>
      </c>
      <c r="N953" s="179">
        <v>1.1599999999999999</v>
      </c>
      <c r="O953" s="174" t="s">
        <v>20</v>
      </c>
    </row>
    <row r="954" spans="1:45" s="174" customFormat="1" ht="35" hidden="1" customHeight="1">
      <c r="A954" s="174">
        <f>ROW()-3</f>
        <v>951</v>
      </c>
      <c r="B954" s="174" t="s">
        <v>1577</v>
      </c>
      <c r="C954" s="174" t="s">
        <v>2723</v>
      </c>
      <c r="D954" s="174" t="s">
        <v>1578</v>
      </c>
      <c r="E954" s="174" t="s">
        <v>1884</v>
      </c>
      <c r="F954" s="174" t="s">
        <v>2424</v>
      </c>
      <c r="G954" s="174" t="s">
        <v>2424</v>
      </c>
      <c r="H954" s="174" t="s">
        <v>2265</v>
      </c>
      <c r="I954" s="174" t="s">
        <v>29</v>
      </c>
      <c r="J954" s="174" t="s">
        <v>34</v>
      </c>
      <c r="K954" s="174" t="s">
        <v>154</v>
      </c>
      <c r="L954" s="177">
        <v>44305</v>
      </c>
      <c r="M954" s="174">
        <v>10</v>
      </c>
      <c r="N954" s="179">
        <v>2</v>
      </c>
      <c r="O954" s="174" t="s">
        <v>20</v>
      </c>
    </row>
    <row r="955" spans="1:45" s="174" customFormat="1" ht="35" hidden="1" customHeight="1">
      <c r="A955" s="174">
        <f>ROW()-3</f>
        <v>952</v>
      </c>
      <c r="B955" s="174" t="s">
        <v>1577</v>
      </c>
      <c r="C955" s="174" t="s">
        <v>2723</v>
      </c>
      <c r="D955" s="174" t="s">
        <v>1578</v>
      </c>
      <c r="E955" s="174" t="s">
        <v>1878</v>
      </c>
      <c r="F955" s="174" t="s">
        <v>2425</v>
      </c>
      <c r="G955" s="174" t="s">
        <v>2425</v>
      </c>
      <c r="H955" s="174" t="s">
        <v>2426</v>
      </c>
      <c r="I955" s="174" t="s">
        <v>29</v>
      </c>
      <c r="J955" s="174" t="s">
        <v>34</v>
      </c>
      <c r="K955" s="174" t="s">
        <v>154</v>
      </c>
      <c r="L955" s="177">
        <v>44311</v>
      </c>
      <c r="M955" s="174">
        <v>11</v>
      </c>
      <c r="N955" s="179">
        <v>6.05</v>
      </c>
      <c r="O955" s="174" t="s">
        <v>20</v>
      </c>
    </row>
    <row r="956" spans="1:45" s="174" customFormat="1" ht="35" hidden="1" customHeight="1">
      <c r="A956" s="174">
        <f>ROW()-3</f>
        <v>953</v>
      </c>
      <c r="B956" s="174" t="s">
        <v>1577</v>
      </c>
      <c r="C956" s="174" t="s">
        <v>2723</v>
      </c>
      <c r="D956" s="174" t="s">
        <v>1578</v>
      </c>
      <c r="E956" s="174" t="s">
        <v>1878</v>
      </c>
      <c r="F956" s="174" t="s">
        <v>2427</v>
      </c>
      <c r="G956" s="174" t="s">
        <v>2427</v>
      </c>
      <c r="H956" s="174" t="s">
        <v>2151</v>
      </c>
      <c r="I956" s="174" t="s">
        <v>29</v>
      </c>
      <c r="J956" s="174" t="s">
        <v>34</v>
      </c>
      <c r="K956" s="174" t="s">
        <v>154</v>
      </c>
      <c r="L956" s="177">
        <v>44311</v>
      </c>
      <c r="M956" s="174">
        <v>10</v>
      </c>
      <c r="N956" s="179">
        <v>1.66</v>
      </c>
      <c r="O956" s="174" t="s">
        <v>20</v>
      </c>
    </row>
    <row r="957" spans="1:45" s="174" customFormat="1" ht="35" hidden="1" customHeight="1">
      <c r="A957" s="174">
        <f>ROW()-3</f>
        <v>954</v>
      </c>
      <c r="B957" s="174" t="s">
        <v>1577</v>
      </c>
      <c r="C957" s="174" t="s">
        <v>2723</v>
      </c>
      <c r="D957" s="174" t="s">
        <v>1578</v>
      </c>
      <c r="E957" s="174" t="s">
        <v>1884</v>
      </c>
      <c r="F957" s="174" t="s">
        <v>2428</v>
      </c>
      <c r="G957" s="174" t="s">
        <v>2428</v>
      </c>
      <c r="H957" s="174" t="s">
        <v>2151</v>
      </c>
      <c r="I957" s="174" t="s">
        <v>29</v>
      </c>
      <c r="J957" s="174" t="s">
        <v>34</v>
      </c>
      <c r="K957" s="174" t="s">
        <v>154</v>
      </c>
      <c r="L957" s="177">
        <v>44311</v>
      </c>
      <c r="M957" s="174">
        <v>10</v>
      </c>
      <c r="N957" s="179">
        <v>1</v>
      </c>
      <c r="O957" s="174" t="s">
        <v>20</v>
      </c>
    </row>
    <row r="958" spans="1:45" s="174" customFormat="1" ht="35" hidden="1" customHeight="1">
      <c r="A958" s="174">
        <f>ROW()-3</f>
        <v>955</v>
      </c>
      <c r="B958" s="174" t="s">
        <v>1577</v>
      </c>
      <c r="C958" s="174" t="s">
        <v>2723</v>
      </c>
      <c r="D958" s="174" t="s">
        <v>1578</v>
      </c>
      <c r="E958" s="174" t="s">
        <v>1884</v>
      </c>
      <c r="F958" s="174" t="s">
        <v>2429</v>
      </c>
      <c r="G958" s="174" t="s">
        <v>2429</v>
      </c>
      <c r="H958" s="174" t="s">
        <v>2151</v>
      </c>
      <c r="I958" s="174" t="s">
        <v>29</v>
      </c>
      <c r="J958" s="174" t="s">
        <v>34</v>
      </c>
      <c r="K958" s="174" t="s">
        <v>154</v>
      </c>
      <c r="L958" s="177">
        <v>44311</v>
      </c>
      <c r="M958" s="174">
        <v>9</v>
      </c>
      <c r="N958" s="179">
        <v>0.93</v>
      </c>
      <c r="O958" s="174" t="s">
        <v>20</v>
      </c>
    </row>
    <row r="959" spans="1:45" s="181" customFormat="1" ht="35" hidden="1" customHeight="1">
      <c r="A959" s="174">
        <f>ROW()-3</f>
        <v>956</v>
      </c>
      <c r="B959" s="174" t="s">
        <v>1577</v>
      </c>
      <c r="C959" s="174" t="s">
        <v>2723</v>
      </c>
      <c r="D959" s="174" t="s">
        <v>1578</v>
      </c>
      <c r="E959" s="174" t="s">
        <v>1884</v>
      </c>
      <c r="F959" s="174" t="s">
        <v>2430</v>
      </c>
      <c r="G959" s="174" t="s">
        <v>2431</v>
      </c>
      <c r="H959" s="174" t="s">
        <v>2432</v>
      </c>
      <c r="I959" s="174" t="s">
        <v>29</v>
      </c>
      <c r="J959" s="174" t="s">
        <v>34</v>
      </c>
      <c r="K959" s="174" t="s">
        <v>154</v>
      </c>
      <c r="L959" s="177">
        <v>44311</v>
      </c>
      <c r="M959" s="174">
        <v>181</v>
      </c>
      <c r="N959" s="179">
        <v>6.26</v>
      </c>
      <c r="O959" s="174" t="s">
        <v>20</v>
      </c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  <c r="AA959" s="174"/>
      <c r="AB959" s="174"/>
      <c r="AC959" s="174"/>
      <c r="AD959" s="174"/>
      <c r="AE959" s="174"/>
      <c r="AF959" s="174"/>
      <c r="AG959" s="174"/>
      <c r="AH959" s="174"/>
      <c r="AI959" s="174"/>
      <c r="AJ959" s="174"/>
      <c r="AK959" s="174"/>
      <c r="AL959" s="174"/>
      <c r="AM959" s="174"/>
      <c r="AN959" s="174"/>
      <c r="AO959" s="174"/>
      <c r="AP959" s="174"/>
      <c r="AQ959" s="174"/>
      <c r="AR959" s="174"/>
      <c r="AS959" s="174"/>
    </row>
    <row r="960" spans="1:45" s="181" customFormat="1" ht="35" hidden="1" customHeight="1">
      <c r="A960" s="174">
        <f>ROW()-3</f>
        <v>957</v>
      </c>
      <c r="B960" s="174" t="s">
        <v>1577</v>
      </c>
      <c r="C960" s="174" t="s">
        <v>2723</v>
      </c>
      <c r="D960" s="174" t="s">
        <v>1578</v>
      </c>
      <c r="E960" s="174" t="s">
        <v>1884</v>
      </c>
      <c r="F960" s="174" t="s">
        <v>2433</v>
      </c>
      <c r="G960" s="174" t="s">
        <v>2433</v>
      </c>
      <c r="H960" s="174" t="s">
        <v>1928</v>
      </c>
      <c r="I960" s="174" t="s">
        <v>29</v>
      </c>
      <c r="J960" s="174" t="s">
        <v>34</v>
      </c>
      <c r="K960" s="174" t="s">
        <v>154</v>
      </c>
      <c r="L960" s="177">
        <v>44311</v>
      </c>
      <c r="M960" s="174">
        <v>6</v>
      </c>
      <c r="N960" s="179">
        <v>0.23</v>
      </c>
      <c r="O960" s="174" t="s">
        <v>20</v>
      </c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  <c r="AA960" s="174"/>
      <c r="AB960" s="174"/>
      <c r="AC960" s="174"/>
      <c r="AD960" s="174"/>
      <c r="AE960" s="174"/>
      <c r="AF960" s="174"/>
      <c r="AG960" s="174"/>
      <c r="AH960" s="174"/>
      <c r="AI960" s="174"/>
      <c r="AJ960" s="174"/>
      <c r="AK960" s="174"/>
      <c r="AL960" s="174"/>
      <c r="AM960" s="174"/>
      <c r="AN960" s="174"/>
      <c r="AO960" s="174"/>
      <c r="AP960" s="174"/>
      <c r="AQ960" s="174"/>
      <c r="AR960" s="174"/>
      <c r="AS960" s="174"/>
    </row>
    <row r="961" spans="1:45" s="181" customFormat="1" ht="35" hidden="1" customHeight="1">
      <c r="A961" s="174">
        <f>ROW()-3</f>
        <v>958</v>
      </c>
      <c r="B961" s="174" t="s">
        <v>1577</v>
      </c>
      <c r="C961" s="174" t="s">
        <v>2723</v>
      </c>
      <c r="D961" s="174" t="s">
        <v>1578</v>
      </c>
      <c r="E961" s="174" t="s">
        <v>1884</v>
      </c>
      <c r="F961" s="174" t="s">
        <v>2434</v>
      </c>
      <c r="G961" s="174" t="s">
        <v>2434</v>
      </c>
      <c r="H961" s="174" t="s">
        <v>1901</v>
      </c>
      <c r="I961" s="174" t="s">
        <v>29</v>
      </c>
      <c r="J961" s="174" t="s">
        <v>34</v>
      </c>
      <c r="K961" s="174" t="s">
        <v>154</v>
      </c>
      <c r="L961" s="177">
        <v>44311</v>
      </c>
      <c r="M961" s="174">
        <v>177</v>
      </c>
      <c r="N961" s="179">
        <v>27.4</v>
      </c>
      <c r="O961" s="174" t="s">
        <v>20</v>
      </c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  <c r="AA961" s="174"/>
      <c r="AB961" s="174"/>
      <c r="AC961" s="174"/>
      <c r="AD961" s="174"/>
      <c r="AE961" s="174"/>
      <c r="AF961" s="174"/>
      <c r="AG961" s="174"/>
      <c r="AH961" s="174"/>
      <c r="AI961" s="174"/>
      <c r="AJ961" s="174"/>
      <c r="AK961" s="174"/>
      <c r="AL961" s="174"/>
      <c r="AM961" s="174"/>
      <c r="AN961" s="174"/>
      <c r="AO961" s="174"/>
      <c r="AP961" s="174"/>
      <c r="AQ961" s="174"/>
      <c r="AR961" s="174"/>
      <c r="AS961" s="174"/>
    </row>
    <row r="962" spans="1:45" s="181" customFormat="1" ht="35" hidden="1" customHeight="1">
      <c r="A962" s="174">
        <f>ROW()-3</f>
        <v>959</v>
      </c>
      <c r="B962" s="174" t="s">
        <v>1577</v>
      </c>
      <c r="C962" s="174" t="s">
        <v>2723</v>
      </c>
      <c r="D962" s="174" t="s">
        <v>1578</v>
      </c>
      <c r="E962" s="174" t="s">
        <v>1943</v>
      </c>
      <c r="F962" s="174" t="s">
        <v>2435</v>
      </c>
      <c r="G962" s="174" t="s">
        <v>2435</v>
      </c>
      <c r="H962" s="174" t="s">
        <v>1976</v>
      </c>
      <c r="I962" s="174" t="s">
        <v>17</v>
      </c>
      <c r="J962" s="174" t="s">
        <v>34</v>
      </c>
      <c r="K962" s="174" t="s">
        <v>154</v>
      </c>
      <c r="L962" s="177">
        <v>44311</v>
      </c>
      <c r="M962" s="174">
        <v>388</v>
      </c>
      <c r="N962" s="179">
        <v>75.099999999999994</v>
      </c>
      <c r="O962" s="174" t="s">
        <v>30</v>
      </c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  <c r="AA962" s="174"/>
      <c r="AB962" s="174"/>
      <c r="AC962" s="174"/>
      <c r="AD962" s="174"/>
      <c r="AE962" s="174"/>
      <c r="AF962" s="174"/>
      <c r="AG962" s="174"/>
      <c r="AH962" s="174"/>
      <c r="AI962" s="174"/>
      <c r="AJ962" s="174"/>
      <c r="AK962" s="174"/>
      <c r="AL962" s="174"/>
      <c r="AM962" s="174"/>
      <c r="AN962" s="174"/>
      <c r="AO962" s="174"/>
      <c r="AP962" s="174"/>
      <c r="AQ962" s="174"/>
      <c r="AR962" s="174"/>
      <c r="AS962" s="174"/>
    </row>
    <row r="963" spans="1:45" s="181" customFormat="1" ht="35" hidden="1" customHeight="1">
      <c r="A963" s="174">
        <f>ROW()-3</f>
        <v>960</v>
      </c>
      <c r="B963" s="174" t="s">
        <v>1577</v>
      </c>
      <c r="C963" s="174" t="s">
        <v>2723</v>
      </c>
      <c r="D963" s="174" t="s">
        <v>1578</v>
      </c>
      <c r="E963" s="174" t="s">
        <v>1943</v>
      </c>
      <c r="F963" s="174" t="s">
        <v>2436</v>
      </c>
      <c r="G963" s="174" t="s">
        <v>2436</v>
      </c>
      <c r="H963" s="174" t="s">
        <v>1829</v>
      </c>
      <c r="I963" s="174" t="s">
        <v>29</v>
      </c>
      <c r="J963" s="174" t="s">
        <v>34</v>
      </c>
      <c r="K963" s="174" t="s">
        <v>154</v>
      </c>
      <c r="L963" s="177">
        <v>44311</v>
      </c>
      <c r="M963" s="174">
        <v>4</v>
      </c>
      <c r="N963" s="179">
        <v>0.8</v>
      </c>
      <c r="O963" s="174" t="s">
        <v>20</v>
      </c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  <c r="AA963" s="174"/>
      <c r="AB963" s="174"/>
      <c r="AC963" s="174"/>
      <c r="AD963" s="174"/>
      <c r="AE963" s="174"/>
      <c r="AF963" s="174"/>
      <c r="AG963" s="174"/>
      <c r="AH963" s="174"/>
      <c r="AI963" s="174"/>
      <c r="AJ963" s="174"/>
      <c r="AK963" s="174"/>
      <c r="AL963" s="174"/>
      <c r="AM963" s="174"/>
      <c r="AN963" s="174"/>
      <c r="AO963" s="174"/>
      <c r="AP963" s="174"/>
      <c r="AQ963" s="174"/>
      <c r="AR963" s="174"/>
      <c r="AS963" s="174"/>
    </row>
    <row r="964" spans="1:45" s="181" customFormat="1" ht="35" hidden="1" customHeight="1">
      <c r="A964" s="174">
        <f>ROW()-3</f>
        <v>961</v>
      </c>
      <c r="B964" s="174" t="s">
        <v>1577</v>
      </c>
      <c r="C964" s="174" t="s">
        <v>2723</v>
      </c>
      <c r="D964" s="174" t="s">
        <v>1578</v>
      </c>
      <c r="E964" s="174" t="s">
        <v>1943</v>
      </c>
      <c r="F964" s="174" t="s">
        <v>2437</v>
      </c>
      <c r="G964" s="174" t="s">
        <v>2437</v>
      </c>
      <c r="H964" s="174" t="s">
        <v>2151</v>
      </c>
      <c r="I964" s="174" t="s">
        <v>29</v>
      </c>
      <c r="J964" s="174" t="s">
        <v>34</v>
      </c>
      <c r="K964" s="174" t="s">
        <v>154</v>
      </c>
      <c r="L964" s="177">
        <v>44311</v>
      </c>
      <c r="M964" s="174">
        <v>10</v>
      </c>
      <c r="N964" s="179">
        <v>2.1</v>
      </c>
      <c r="O964" s="174" t="s">
        <v>20</v>
      </c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  <c r="AA964" s="174"/>
      <c r="AB964" s="174"/>
      <c r="AC964" s="174"/>
      <c r="AD964" s="174"/>
      <c r="AE964" s="174"/>
      <c r="AF964" s="174"/>
      <c r="AG964" s="174"/>
      <c r="AH964" s="174"/>
      <c r="AI964" s="174"/>
      <c r="AJ964" s="174"/>
      <c r="AK964" s="174"/>
      <c r="AL964" s="174"/>
      <c r="AM964" s="174"/>
      <c r="AN964" s="174"/>
      <c r="AO964" s="174"/>
      <c r="AP964" s="174"/>
      <c r="AQ964" s="174"/>
      <c r="AR964" s="174"/>
      <c r="AS964" s="174"/>
    </row>
    <row r="965" spans="1:45" s="181" customFormat="1" ht="35" hidden="1" customHeight="1">
      <c r="A965" s="174">
        <f>ROW()-3</f>
        <v>962</v>
      </c>
      <c r="B965" s="174" t="s">
        <v>1577</v>
      </c>
      <c r="C965" s="174" t="s">
        <v>2723</v>
      </c>
      <c r="D965" s="174" t="s">
        <v>1578</v>
      </c>
      <c r="E965" s="174" t="s">
        <v>1943</v>
      </c>
      <c r="F965" s="174" t="s">
        <v>2438</v>
      </c>
      <c r="G965" s="174" t="s">
        <v>2438</v>
      </c>
      <c r="H965" s="174" t="s">
        <v>1976</v>
      </c>
      <c r="I965" s="174" t="s">
        <v>29</v>
      </c>
      <c r="J965" s="174" t="s">
        <v>34</v>
      </c>
      <c r="K965" s="174" t="s">
        <v>154</v>
      </c>
      <c r="L965" s="177">
        <v>44311</v>
      </c>
      <c r="M965" s="174">
        <v>13</v>
      </c>
      <c r="N965" s="179">
        <v>2.11</v>
      </c>
      <c r="O965" s="174" t="s">
        <v>20</v>
      </c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  <c r="AA965" s="174"/>
      <c r="AB965" s="174"/>
      <c r="AC965" s="174"/>
      <c r="AD965" s="174"/>
      <c r="AE965" s="174"/>
      <c r="AF965" s="174"/>
      <c r="AG965" s="174"/>
      <c r="AH965" s="174"/>
      <c r="AI965" s="174"/>
      <c r="AJ965" s="174"/>
      <c r="AK965" s="174"/>
      <c r="AL965" s="174"/>
      <c r="AM965" s="174"/>
      <c r="AN965" s="174"/>
      <c r="AO965" s="174"/>
      <c r="AP965" s="174"/>
      <c r="AQ965" s="174"/>
      <c r="AR965" s="174"/>
      <c r="AS965" s="174"/>
    </row>
    <row r="966" spans="1:45" s="181" customFormat="1" ht="35" hidden="1" customHeight="1">
      <c r="A966" s="174">
        <f>ROW()-3</f>
        <v>963</v>
      </c>
      <c r="B966" s="174" t="s">
        <v>1577</v>
      </c>
      <c r="C966" s="174" t="s">
        <v>2723</v>
      </c>
      <c r="D966" s="174" t="s">
        <v>1578</v>
      </c>
      <c r="E966" s="174" t="s">
        <v>1943</v>
      </c>
      <c r="F966" s="174" t="s">
        <v>2439</v>
      </c>
      <c r="G966" s="174" t="s">
        <v>2439</v>
      </c>
      <c r="H966" s="174" t="s">
        <v>1829</v>
      </c>
      <c r="I966" s="174" t="s">
        <v>29</v>
      </c>
      <c r="J966" s="174" t="s">
        <v>34</v>
      </c>
      <c r="K966" s="174" t="s">
        <v>154</v>
      </c>
      <c r="L966" s="177">
        <v>44311</v>
      </c>
      <c r="M966" s="174">
        <v>3</v>
      </c>
      <c r="N966" s="179">
        <v>0.2</v>
      </c>
      <c r="O966" s="174" t="s">
        <v>20</v>
      </c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  <c r="AA966" s="174"/>
      <c r="AB966" s="174"/>
      <c r="AC966" s="174"/>
      <c r="AD966" s="174"/>
      <c r="AE966" s="174"/>
      <c r="AF966" s="174"/>
      <c r="AG966" s="174"/>
      <c r="AH966" s="174"/>
      <c r="AI966" s="174"/>
      <c r="AJ966" s="174"/>
      <c r="AK966" s="174"/>
      <c r="AL966" s="174"/>
      <c r="AM966" s="174"/>
      <c r="AN966" s="174"/>
      <c r="AO966" s="174"/>
      <c r="AP966" s="174"/>
      <c r="AQ966" s="174"/>
      <c r="AR966" s="174"/>
      <c r="AS966" s="174"/>
    </row>
    <row r="967" spans="1:45" s="181" customFormat="1" ht="35" hidden="1" customHeight="1">
      <c r="A967" s="174">
        <f>ROW()-3</f>
        <v>964</v>
      </c>
      <c r="B967" s="174" t="s">
        <v>1577</v>
      </c>
      <c r="C967" s="174" t="s">
        <v>2723</v>
      </c>
      <c r="D967" s="174" t="s">
        <v>1578</v>
      </c>
      <c r="E967" s="174" t="s">
        <v>1943</v>
      </c>
      <c r="F967" s="174" t="s">
        <v>2440</v>
      </c>
      <c r="G967" s="174" t="s">
        <v>2440</v>
      </c>
      <c r="H967" s="174" t="s">
        <v>1829</v>
      </c>
      <c r="I967" s="174" t="s">
        <v>29</v>
      </c>
      <c r="J967" s="174" t="s">
        <v>34</v>
      </c>
      <c r="K967" s="174" t="s">
        <v>154</v>
      </c>
      <c r="L967" s="177">
        <v>44311</v>
      </c>
      <c r="M967" s="174">
        <v>7</v>
      </c>
      <c r="N967" s="179">
        <v>0.57999999999999996</v>
      </c>
      <c r="O967" s="174" t="s">
        <v>20</v>
      </c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  <c r="AA967" s="174"/>
      <c r="AB967" s="174"/>
      <c r="AC967" s="174"/>
      <c r="AD967" s="174"/>
      <c r="AE967" s="174"/>
      <c r="AF967" s="174"/>
      <c r="AG967" s="174"/>
      <c r="AH967" s="174"/>
      <c r="AI967" s="174"/>
      <c r="AJ967" s="174"/>
      <c r="AK967" s="174"/>
      <c r="AL967" s="174"/>
      <c r="AM967" s="174"/>
      <c r="AN967" s="174"/>
      <c r="AO967" s="174"/>
      <c r="AP967" s="174"/>
      <c r="AQ967" s="174"/>
      <c r="AR967" s="174"/>
      <c r="AS967" s="174"/>
    </row>
    <row r="968" spans="1:45" s="181" customFormat="1" ht="35" hidden="1" customHeight="1">
      <c r="A968" s="174">
        <f>ROW()-3</f>
        <v>965</v>
      </c>
      <c r="B968" s="174" t="s">
        <v>1577</v>
      </c>
      <c r="C968" s="174" t="s">
        <v>2723</v>
      </c>
      <c r="D968" s="174" t="s">
        <v>1578</v>
      </c>
      <c r="E968" s="174" t="s">
        <v>1884</v>
      </c>
      <c r="F968" s="174" t="s">
        <v>2441</v>
      </c>
      <c r="G968" s="174" t="s">
        <v>2441</v>
      </c>
      <c r="H968" s="174" t="s">
        <v>2442</v>
      </c>
      <c r="I968" s="174" t="s">
        <v>29</v>
      </c>
      <c r="J968" s="174" t="s">
        <v>34</v>
      </c>
      <c r="K968" s="174" t="s">
        <v>154</v>
      </c>
      <c r="L968" s="177">
        <v>44311</v>
      </c>
      <c r="M968" s="174">
        <v>47</v>
      </c>
      <c r="N968" s="179">
        <v>4.9000000000000004</v>
      </c>
      <c r="O968" s="174" t="s">
        <v>20</v>
      </c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  <c r="AA968" s="174"/>
      <c r="AB968" s="174"/>
      <c r="AC968" s="174"/>
      <c r="AD968" s="174"/>
      <c r="AE968" s="174"/>
      <c r="AF968" s="174"/>
      <c r="AG968" s="174"/>
      <c r="AH968" s="174"/>
      <c r="AI968" s="174"/>
      <c r="AJ968" s="174"/>
      <c r="AK968" s="174"/>
      <c r="AL968" s="174"/>
      <c r="AM968" s="174"/>
      <c r="AN968" s="174"/>
      <c r="AO968" s="174"/>
      <c r="AP968" s="174"/>
      <c r="AQ968" s="174"/>
      <c r="AR968" s="174"/>
      <c r="AS968" s="174"/>
    </row>
    <row r="969" spans="1:45" s="181" customFormat="1" ht="35" hidden="1" customHeight="1">
      <c r="A969" s="174">
        <f>ROW()-3</f>
        <v>966</v>
      </c>
      <c r="B969" s="174" t="s">
        <v>1577</v>
      </c>
      <c r="C969" s="174" t="s">
        <v>2723</v>
      </c>
      <c r="D969" s="174" t="s">
        <v>1578</v>
      </c>
      <c r="E969" s="174" t="s">
        <v>1884</v>
      </c>
      <c r="F969" s="174" t="s">
        <v>2443</v>
      </c>
      <c r="G969" s="174" t="s">
        <v>2443</v>
      </c>
      <c r="H969" s="174" t="s">
        <v>2444</v>
      </c>
      <c r="I969" s="174" t="s">
        <v>29</v>
      </c>
      <c r="J969" s="174" t="s">
        <v>34</v>
      </c>
      <c r="K969" s="174" t="s">
        <v>154</v>
      </c>
      <c r="L969" s="177">
        <v>44313</v>
      </c>
      <c r="M969" s="174">
        <v>97</v>
      </c>
      <c r="N969" s="179">
        <v>18.600000000000001</v>
      </c>
      <c r="O969" s="174" t="s">
        <v>30</v>
      </c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  <c r="AA969" s="174"/>
      <c r="AB969" s="174"/>
      <c r="AC969" s="174"/>
      <c r="AD969" s="174"/>
      <c r="AE969" s="174"/>
      <c r="AF969" s="174"/>
      <c r="AG969" s="174"/>
      <c r="AH969" s="174"/>
      <c r="AI969" s="174"/>
      <c r="AJ969" s="174"/>
      <c r="AK969" s="174"/>
      <c r="AL969" s="174"/>
      <c r="AM969" s="174"/>
      <c r="AN969" s="174"/>
      <c r="AO969" s="174"/>
      <c r="AP969" s="174"/>
      <c r="AQ969" s="174"/>
      <c r="AR969" s="174"/>
      <c r="AS969" s="174"/>
    </row>
    <row r="970" spans="1:45" s="181" customFormat="1" ht="35" hidden="1" customHeight="1">
      <c r="A970" s="174">
        <f>ROW()-3</f>
        <v>967</v>
      </c>
      <c r="B970" s="174" t="s">
        <v>1577</v>
      </c>
      <c r="C970" s="174" t="s">
        <v>2723</v>
      </c>
      <c r="D970" s="174" t="s">
        <v>1578</v>
      </c>
      <c r="E970" s="174" t="s">
        <v>1884</v>
      </c>
      <c r="F970" s="174" t="s">
        <v>2445</v>
      </c>
      <c r="G970" s="174" t="s">
        <v>2445</v>
      </c>
      <c r="H970" s="174" t="s">
        <v>1829</v>
      </c>
      <c r="I970" s="174" t="s">
        <v>29</v>
      </c>
      <c r="J970" s="174" t="s">
        <v>34</v>
      </c>
      <c r="K970" s="174" t="s">
        <v>154</v>
      </c>
      <c r="L970" s="177">
        <v>44323</v>
      </c>
      <c r="M970" s="174">
        <v>22</v>
      </c>
      <c r="N970" s="179">
        <v>1.05</v>
      </c>
      <c r="O970" s="174" t="s">
        <v>30</v>
      </c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  <c r="AA970" s="174"/>
      <c r="AB970" s="174"/>
      <c r="AC970" s="174"/>
      <c r="AD970" s="174"/>
      <c r="AE970" s="174"/>
      <c r="AF970" s="174"/>
      <c r="AG970" s="174"/>
      <c r="AH970" s="174"/>
      <c r="AI970" s="174"/>
      <c r="AJ970" s="174"/>
      <c r="AK970" s="174"/>
      <c r="AL970" s="174"/>
      <c r="AM970" s="174"/>
      <c r="AN970" s="174"/>
      <c r="AO970" s="174"/>
      <c r="AP970" s="174"/>
      <c r="AQ970" s="174"/>
      <c r="AR970" s="174"/>
      <c r="AS970" s="174"/>
    </row>
    <row r="971" spans="1:45" s="181" customFormat="1" ht="35" hidden="1" customHeight="1">
      <c r="A971" s="174">
        <f>ROW()-3</f>
        <v>968</v>
      </c>
      <c r="B971" s="174" t="s">
        <v>1577</v>
      </c>
      <c r="C971" s="174" t="s">
        <v>2723</v>
      </c>
      <c r="D971" s="174" t="s">
        <v>1578</v>
      </c>
      <c r="E971" s="174" t="s">
        <v>1826</v>
      </c>
      <c r="F971" s="174" t="s">
        <v>2446</v>
      </c>
      <c r="G971" s="174" t="s">
        <v>2446</v>
      </c>
      <c r="H971" s="174" t="s">
        <v>2265</v>
      </c>
      <c r="I971" s="174" t="s">
        <v>29</v>
      </c>
      <c r="J971" s="174" t="s">
        <v>34</v>
      </c>
      <c r="K971" s="174" t="s">
        <v>154</v>
      </c>
      <c r="L971" s="177">
        <v>44328</v>
      </c>
      <c r="M971" s="174">
        <v>140</v>
      </c>
      <c r="N971" s="179">
        <v>0.6</v>
      </c>
      <c r="O971" s="174" t="s">
        <v>30</v>
      </c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  <c r="AA971" s="174"/>
      <c r="AB971" s="174"/>
      <c r="AC971" s="174"/>
      <c r="AD971" s="174"/>
      <c r="AE971" s="174"/>
      <c r="AF971" s="174"/>
      <c r="AG971" s="174"/>
      <c r="AH971" s="174"/>
      <c r="AI971" s="174"/>
      <c r="AJ971" s="174"/>
      <c r="AK971" s="174"/>
      <c r="AL971" s="174"/>
      <c r="AM971" s="174"/>
      <c r="AN971" s="174"/>
      <c r="AO971" s="174"/>
      <c r="AP971" s="174"/>
      <c r="AQ971" s="174"/>
      <c r="AR971" s="174"/>
      <c r="AS971" s="174"/>
    </row>
    <row r="972" spans="1:45" s="181" customFormat="1" ht="35" hidden="1" customHeight="1">
      <c r="A972" s="174">
        <f>ROW()-3</f>
        <v>969</v>
      </c>
      <c r="B972" s="174" t="s">
        <v>1577</v>
      </c>
      <c r="C972" s="174" t="s">
        <v>2723</v>
      </c>
      <c r="D972" s="174" t="s">
        <v>1578</v>
      </c>
      <c r="E972" s="174" t="s">
        <v>1826</v>
      </c>
      <c r="F972" s="174" t="s">
        <v>2447</v>
      </c>
      <c r="G972" s="174" t="s">
        <v>2447</v>
      </c>
      <c r="H972" s="174" t="s">
        <v>2448</v>
      </c>
      <c r="I972" s="174" t="s">
        <v>29</v>
      </c>
      <c r="J972" s="174" t="s">
        <v>34</v>
      </c>
      <c r="K972" s="174" t="s">
        <v>154</v>
      </c>
      <c r="L972" s="177">
        <v>44368</v>
      </c>
      <c r="M972" s="174">
        <v>91</v>
      </c>
      <c r="N972" s="179">
        <v>11.2</v>
      </c>
      <c r="O972" s="174" t="s">
        <v>20</v>
      </c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  <c r="AA972" s="174"/>
      <c r="AB972" s="174"/>
      <c r="AC972" s="174"/>
      <c r="AD972" s="174"/>
      <c r="AE972" s="174"/>
      <c r="AF972" s="174"/>
      <c r="AG972" s="174"/>
      <c r="AH972" s="174"/>
      <c r="AI972" s="174"/>
      <c r="AJ972" s="174"/>
      <c r="AK972" s="174"/>
      <c r="AL972" s="174"/>
      <c r="AM972" s="174"/>
      <c r="AN972" s="174"/>
      <c r="AO972" s="174"/>
      <c r="AP972" s="174"/>
      <c r="AQ972" s="174"/>
      <c r="AR972" s="174"/>
      <c r="AS972" s="174"/>
    </row>
    <row r="973" spans="1:45" s="181" customFormat="1" ht="35" hidden="1" customHeight="1">
      <c r="A973" s="174">
        <f>ROW()-3</f>
        <v>970</v>
      </c>
      <c r="B973" s="174" t="s">
        <v>1577</v>
      </c>
      <c r="C973" s="174" t="s">
        <v>2723</v>
      </c>
      <c r="D973" s="174" t="s">
        <v>1578</v>
      </c>
      <c r="E973" s="174" t="s">
        <v>1884</v>
      </c>
      <c r="F973" s="174" t="s">
        <v>2449</v>
      </c>
      <c r="G973" s="174" t="s">
        <v>2449</v>
      </c>
      <c r="H973" s="174" t="s">
        <v>1829</v>
      </c>
      <c r="I973" s="174" t="s">
        <v>17</v>
      </c>
      <c r="J973" s="174" t="s">
        <v>34</v>
      </c>
      <c r="K973" s="174" t="s">
        <v>154</v>
      </c>
      <c r="L973" s="177">
        <v>44379</v>
      </c>
      <c r="M973" s="174">
        <v>3</v>
      </c>
      <c r="N973" s="179">
        <v>30</v>
      </c>
      <c r="O973" s="174" t="s">
        <v>20</v>
      </c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  <c r="AA973" s="174"/>
      <c r="AB973" s="174"/>
      <c r="AC973" s="174"/>
      <c r="AD973" s="174"/>
      <c r="AE973" s="174"/>
      <c r="AF973" s="174"/>
      <c r="AG973" s="174"/>
      <c r="AH973" s="174"/>
      <c r="AI973" s="174"/>
      <c r="AJ973" s="174"/>
      <c r="AK973" s="174"/>
      <c r="AL973" s="174"/>
      <c r="AM973" s="174"/>
      <c r="AN973" s="174"/>
      <c r="AO973" s="174"/>
      <c r="AP973" s="174"/>
      <c r="AQ973" s="174"/>
      <c r="AR973" s="174"/>
      <c r="AS973" s="174"/>
    </row>
    <row r="974" spans="1:45" s="181" customFormat="1" ht="35" hidden="1" customHeight="1">
      <c r="A974" s="174">
        <f>ROW()-3</f>
        <v>971</v>
      </c>
      <c r="B974" s="174" t="s">
        <v>1577</v>
      </c>
      <c r="C974" s="174" t="s">
        <v>2723</v>
      </c>
      <c r="D974" s="246" t="s">
        <v>1578</v>
      </c>
      <c r="E974" s="246" t="s">
        <v>1884</v>
      </c>
      <c r="F974" s="174" t="s">
        <v>2450</v>
      </c>
      <c r="G974" s="174" t="s">
        <v>2450</v>
      </c>
      <c r="H974" s="174" t="s">
        <v>1829</v>
      </c>
      <c r="I974" s="174" t="s">
        <v>29</v>
      </c>
      <c r="J974" s="174" t="s">
        <v>34</v>
      </c>
      <c r="K974" s="174" t="s">
        <v>154</v>
      </c>
      <c r="L974" s="177">
        <v>44522</v>
      </c>
      <c r="M974" s="174">
        <v>32</v>
      </c>
      <c r="N974" s="179">
        <v>5.6</v>
      </c>
      <c r="O974" s="174" t="s">
        <v>30</v>
      </c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  <c r="AA974" s="174"/>
      <c r="AB974" s="174"/>
      <c r="AC974" s="174"/>
      <c r="AD974" s="174"/>
      <c r="AE974" s="174"/>
      <c r="AF974" s="174"/>
      <c r="AG974" s="174"/>
      <c r="AH974" s="174"/>
      <c r="AI974" s="174"/>
      <c r="AJ974" s="174"/>
      <c r="AK974" s="174"/>
      <c r="AL974" s="174"/>
      <c r="AM974" s="174"/>
      <c r="AN974" s="174"/>
      <c r="AO974" s="174"/>
      <c r="AP974" s="174"/>
      <c r="AQ974" s="174"/>
      <c r="AR974" s="174"/>
      <c r="AS974" s="174"/>
    </row>
    <row r="975" spans="1:45" s="181" customFormat="1" ht="35" hidden="1" customHeight="1">
      <c r="A975" s="174">
        <f>ROW()-3</f>
        <v>972</v>
      </c>
      <c r="B975" s="174" t="s">
        <v>1577</v>
      </c>
      <c r="C975" s="174" t="s">
        <v>2723</v>
      </c>
      <c r="D975" s="174" t="s">
        <v>1578</v>
      </c>
      <c r="E975" s="174" t="s">
        <v>1884</v>
      </c>
      <c r="F975" s="174" t="s">
        <v>2451</v>
      </c>
      <c r="G975" s="174" t="s">
        <v>2451</v>
      </c>
      <c r="H975" s="174" t="s">
        <v>1829</v>
      </c>
      <c r="I975" s="174" t="s">
        <v>29</v>
      </c>
      <c r="J975" s="174" t="s">
        <v>34</v>
      </c>
      <c r="K975" s="174" t="s">
        <v>154</v>
      </c>
      <c r="L975" s="177">
        <v>44524</v>
      </c>
      <c r="M975" s="174">
        <v>5</v>
      </c>
      <c r="N975" s="179">
        <v>1.8</v>
      </c>
      <c r="O975" s="174" t="s">
        <v>20</v>
      </c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  <c r="AA975" s="174"/>
      <c r="AB975" s="174"/>
      <c r="AC975" s="174"/>
      <c r="AD975" s="174"/>
      <c r="AE975" s="174"/>
      <c r="AF975" s="174"/>
      <c r="AG975" s="174"/>
      <c r="AH975" s="174"/>
      <c r="AI975" s="174"/>
      <c r="AJ975" s="174"/>
      <c r="AK975" s="174"/>
      <c r="AL975" s="174"/>
      <c r="AM975" s="174"/>
      <c r="AN975" s="174"/>
      <c r="AO975" s="174"/>
      <c r="AP975" s="174"/>
      <c r="AQ975" s="174"/>
      <c r="AR975" s="174"/>
      <c r="AS975" s="174"/>
    </row>
    <row r="976" spans="1:45" s="181" customFormat="1" ht="35" hidden="1" customHeight="1">
      <c r="A976" s="181">
        <f>ROW()-3</f>
        <v>973</v>
      </c>
      <c r="B976" s="181" t="s">
        <v>1577</v>
      </c>
      <c r="C976" s="181" t="s">
        <v>2723</v>
      </c>
      <c r="D976" s="181" t="s">
        <v>1578</v>
      </c>
      <c r="E976" s="181" t="s">
        <v>1943</v>
      </c>
      <c r="F976" s="181" t="s">
        <v>2452</v>
      </c>
      <c r="G976" s="181" t="s">
        <v>2452</v>
      </c>
      <c r="H976" s="181" t="s">
        <v>1829</v>
      </c>
      <c r="I976" s="181" t="s">
        <v>29</v>
      </c>
      <c r="J976" s="181" t="s">
        <v>34</v>
      </c>
      <c r="K976" s="181" t="s">
        <v>154</v>
      </c>
      <c r="L976" s="177">
        <v>44524</v>
      </c>
      <c r="M976" s="181">
        <v>14</v>
      </c>
      <c r="N976" s="179">
        <v>1.6</v>
      </c>
      <c r="O976" s="181" t="s">
        <v>20</v>
      </c>
    </row>
    <row r="977" spans="1:45" s="181" customFormat="1" ht="35" hidden="1" customHeight="1">
      <c r="A977" s="181">
        <f>ROW()-3</f>
        <v>974</v>
      </c>
      <c r="B977" s="181" t="s">
        <v>1577</v>
      </c>
      <c r="C977" s="181" t="s">
        <v>2723</v>
      </c>
      <c r="D977" s="181" t="s">
        <v>1578</v>
      </c>
      <c r="E977" s="181" t="s">
        <v>1943</v>
      </c>
      <c r="F977" s="181" t="s">
        <v>2453</v>
      </c>
      <c r="G977" s="181" t="s">
        <v>2453</v>
      </c>
      <c r="H977" s="181" t="s">
        <v>1829</v>
      </c>
      <c r="I977" s="181" t="s">
        <v>29</v>
      </c>
      <c r="J977" s="181" t="s">
        <v>34</v>
      </c>
      <c r="K977" s="181" t="s">
        <v>154</v>
      </c>
      <c r="L977" s="177">
        <v>44524</v>
      </c>
      <c r="M977" s="181">
        <v>13</v>
      </c>
      <c r="N977" s="179">
        <v>1.2</v>
      </c>
      <c r="O977" s="181" t="s">
        <v>30</v>
      </c>
    </row>
    <row r="978" spans="1:45" s="181" customFormat="1" ht="35" hidden="1" customHeight="1">
      <c r="A978" s="181">
        <f>ROW()-3</f>
        <v>975</v>
      </c>
      <c r="B978" s="181" t="s">
        <v>1577</v>
      </c>
      <c r="C978" s="181" t="s">
        <v>2723</v>
      </c>
      <c r="D978" s="181" t="s">
        <v>1578</v>
      </c>
      <c r="E978" s="181" t="s">
        <v>1943</v>
      </c>
      <c r="F978" s="181" t="s">
        <v>2454</v>
      </c>
      <c r="G978" s="181" t="s">
        <v>2454</v>
      </c>
      <c r="H978" s="181" t="s">
        <v>1829</v>
      </c>
      <c r="I978" s="181" t="s">
        <v>17</v>
      </c>
      <c r="J978" s="181" t="s">
        <v>34</v>
      </c>
      <c r="K978" s="181" t="s">
        <v>154</v>
      </c>
      <c r="L978" s="177">
        <v>44524</v>
      </c>
      <c r="M978" s="181">
        <v>10</v>
      </c>
      <c r="N978" s="179">
        <v>1.1000000000000001</v>
      </c>
      <c r="O978" s="181" t="s">
        <v>30</v>
      </c>
    </row>
    <row r="979" spans="1:45" s="181" customFormat="1" ht="35" hidden="1" customHeight="1">
      <c r="A979" s="181">
        <f>ROW()-3</f>
        <v>976</v>
      </c>
      <c r="B979" s="181" t="s">
        <v>1577</v>
      </c>
      <c r="C979" s="181" t="s">
        <v>2723</v>
      </c>
      <c r="D979" s="181" t="s">
        <v>1578</v>
      </c>
      <c r="E979" s="181" t="s">
        <v>1943</v>
      </c>
      <c r="F979" s="181" t="s">
        <v>2455</v>
      </c>
      <c r="G979" s="181" t="s">
        <v>2455</v>
      </c>
      <c r="H979" s="181" t="s">
        <v>1829</v>
      </c>
      <c r="I979" s="181" t="s">
        <v>17</v>
      </c>
      <c r="J979" s="181" t="s">
        <v>34</v>
      </c>
      <c r="K979" s="181" t="s">
        <v>154</v>
      </c>
      <c r="L979" s="177">
        <v>44524</v>
      </c>
      <c r="M979" s="181">
        <v>5</v>
      </c>
      <c r="N979" s="179">
        <v>0.4</v>
      </c>
      <c r="O979" s="181" t="s">
        <v>20</v>
      </c>
    </row>
    <row r="980" spans="1:45" s="181" customFormat="1" ht="35" hidden="1" customHeight="1">
      <c r="A980" s="181">
        <f>ROW()-3</f>
        <v>977</v>
      </c>
      <c r="B980" s="181" t="s">
        <v>1577</v>
      </c>
      <c r="C980" s="181" t="s">
        <v>2723</v>
      </c>
      <c r="D980" s="181" t="s">
        <v>1578</v>
      </c>
      <c r="E980" s="181" t="s">
        <v>1884</v>
      </c>
      <c r="F980" s="181" t="s">
        <v>2457</v>
      </c>
      <c r="G980" s="181" t="s">
        <v>2457</v>
      </c>
      <c r="H980" s="181" t="s">
        <v>1829</v>
      </c>
      <c r="I980" s="181" t="s">
        <v>29</v>
      </c>
      <c r="J980" s="181" t="s">
        <v>34</v>
      </c>
      <c r="K980" s="181" t="s">
        <v>5347</v>
      </c>
      <c r="L980" s="177">
        <v>44532</v>
      </c>
      <c r="M980" s="181">
        <v>2</v>
      </c>
      <c r="N980" s="179">
        <v>0.3</v>
      </c>
      <c r="O980" s="181" t="s">
        <v>20</v>
      </c>
    </row>
    <row r="981" spans="1:45" s="181" customFormat="1" ht="35" hidden="1" customHeight="1">
      <c r="A981" s="181">
        <f>ROW()-3</f>
        <v>978</v>
      </c>
      <c r="B981" s="181" t="s">
        <v>1577</v>
      </c>
      <c r="C981" s="181" t="s">
        <v>381</v>
      </c>
      <c r="D981" s="181" t="s">
        <v>1593</v>
      </c>
      <c r="E981" s="181" t="s">
        <v>382</v>
      </c>
      <c r="F981" s="181" t="s">
        <v>1751</v>
      </c>
      <c r="G981" s="181" t="s">
        <v>1752</v>
      </c>
      <c r="H981" s="181" t="s">
        <v>1753</v>
      </c>
      <c r="I981" s="181" t="s">
        <v>29</v>
      </c>
      <c r="J981" s="181" t="s">
        <v>34</v>
      </c>
      <c r="K981" s="181" t="s">
        <v>154</v>
      </c>
      <c r="L981" s="177">
        <v>43461</v>
      </c>
      <c r="M981" s="181">
        <v>33</v>
      </c>
      <c r="N981" s="179">
        <v>11.16</v>
      </c>
      <c r="O981" s="181" t="s">
        <v>20</v>
      </c>
    </row>
    <row r="982" spans="1:45" s="181" customFormat="1" ht="35" hidden="1" customHeight="1">
      <c r="A982" s="181">
        <f>ROW()-3</f>
        <v>979</v>
      </c>
      <c r="B982" s="181" t="s">
        <v>1577</v>
      </c>
      <c r="C982" s="181" t="s">
        <v>381</v>
      </c>
      <c r="D982" s="253" t="s">
        <v>1593</v>
      </c>
      <c r="E982" s="253" t="s">
        <v>382</v>
      </c>
      <c r="F982" s="181" t="s">
        <v>1754</v>
      </c>
      <c r="G982" s="181" t="s">
        <v>1755</v>
      </c>
      <c r="H982" s="181" t="s">
        <v>1756</v>
      </c>
      <c r="I982" s="181" t="s">
        <v>29</v>
      </c>
      <c r="J982" s="181" t="s">
        <v>34</v>
      </c>
      <c r="K982" s="181" t="s">
        <v>154</v>
      </c>
      <c r="L982" s="177">
        <v>43640</v>
      </c>
      <c r="M982" s="181">
        <v>15</v>
      </c>
      <c r="N982" s="179">
        <v>2.02</v>
      </c>
      <c r="O982" s="181" t="s">
        <v>30</v>
      </c>
    </row>
    <row r="983" spans="1:45" s="181" customFormat="1" ht="35" hidden="1" customHeight="1">
      <c r="A983" s="181">
        <f>ROW()-3</f>
        <v>980</v>
      </c>
      <c r="B983" s="181" t="s">
        <v>1577</v>
      </c>
      <c r="C983" s="181" t="s">
        <v>381</v>
      </c>
      <c r="D983" s="181" t="s">
        <v>1593</v>
      </c>
      <c r="E983" s="181" t="s">
        <v>1757</v>
      </c>
      <c r="F983" s="181" t="s">
        <v>1758</v>
      </c>
      <c r="G983" s="181" t="s">
        <v>1759</v>
      </c>
      <c r="H983" s="181" t="s">
        <v>1007</v>
      </c>
      <c r="I983" s="181" t="s">
        <v>29</v>
      </c>
      <c r="J983" s="181" t="s">
        <v>34</v>
      </c>
      <c r="K983" s="181" t="s">
        <v>154</v>
      </c>
      <c r="L983" s="177">
        <v>43886</v>
      </c>
      <c r="M983" s="181">
        <v>1</v>
      </c>
      <c r="N983" s="179">
        <v>0.7</v>
      </c>
      <c r="O983" s="181" t="s">
        <v>20</v>
      </c>
    </row>
    <row r="984" spans="1:45" s="181" customFormat="1" ht="35" hidden="1" customHeight="1">
      <c r="A984" s="181">
        <f>ROW()-3</f>
        <v>981</v>
      </c>
      <c r="B984" s="181" t="s">
        <v>5451</v>
      </c>
      <c r="C984" s="181" t="s">
        <v>2636</v>
      </c>
      <c r="D984" s="181" t="s">
        <v>5453</v>
      </c>
      <c r="E984" s="181" t="s">
        <v>2686</v>
      </c>
      <c r="F984" s="181" t="s">
        <v>5452</v>
      </c>
      <c r="G984" s="181" t="s">
        <v>5452</v>
      </c>
      <c r="H984" s="181" t="s">
        <v>5454</v>
      </c>
      <c r="I984" s="181" t="s">
        <v>5455</v>
      </c>
      <c r="J984" s="181" t="s">
        <v>34</v>
      </c>
      <c r="K984" s="181" t="s">
        <v>154</v>
      </c>
      <c r="L984" s="177">
        <v>44613</v>
      </c>
      <c r="M984" s="181">
        <v>26</v>
      </c>
      <c r="N984" s="179">
        <v>23.2</v>
      </c>
      <c r="O984" s="181" t="s">
        <v>5456</v>
      </c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</row>
    <row r="985" spans="1:45" s="181" customFormat="1" ht="35" customHeight="1">
      <c r="A985" s="181">
        <f>ROW()-3</f>
        <v>982</v>
      </c>
      <c r="B985" s="181" t="s">
        <v>1577</v>
      </c>
      <c r="C985" s="181" t="s">
        <v>83</v>
      </c>
      <c r="D985" s="261" t="s">
        <v>106</v>
      </c>
      <c r="E985" s="262" t="s">
        <v>107</v>
      </c>
      <c r="F985" s="181" t="s">
        <v>5442</v>
      </c>
      <c r="G985" s="181" t="s">
        <v>1580</v>
      </c>
      <c r="H985" s="181" t="s">
        <v>110</v>
      </c>
      <c r="I985" s="181" t="s">
        <v>29</v>
      </c>
      <c r="J985" s="181" t="s">
        <v>34</v>
      </c>
      <c r="K985" s="181" t="s">
        <v>154</v>
      </c>
      <c r="L985" s="177">
        <v>43227</v>
      </c>
      <c r="M985" s="181">
        <v>199</v>
      </c>
      <c r="N985" s="179">
        <v>25.3</v>
      </c>
      <c r="O985" s="181" t="s">
        <v>20</v>
      </c>
    </row>
    <row r="986" spans="1:45" s="181" customFormat="1" ht="35" customHeight="1">
      <c r="A986" s="181">
        <f>ROW()-3</f>
        <v>983</v>
      </c>
      <c r="B986" s="181" t="s">
        <v>1577</v>
      </c>
      <c r="C986" s="181" t="s">
        <v>83</v>
      </c>
      <c r="D986" s="181" t="s">
        <v>119</v>
      </c>
      <c r="E986" s="181" t="s">
        <v>127</v>
      </c>
      <c r="F986" s="181" t="s">
        <v>5443</v>
      </c>
      <c r="G986" s="181" t="s">
        <v>1582</v>
      </c>
      <c r="H986" s="181" t="s">
        <v>1583</v>
      </c>
      <c r="I986" s="181" t="s">
        <v>29</v>
      </c>
      <c r="J986" s="181" t="s">
        <v>34</v>
      </c>
      <c r="K986" s="181" t="s">
        <v>154</v>
      </c>
      <c r="L986" s="177">
        <v>43256</v>
      </c>
      <c r="M986" s="181">
        <v>27</v>
      </c>
      <c r="N986" s="179">
        <v>3.97</v>
      </c>
      <c r="O986" s="181" t="s">
        <v>20</v>
      </c>
    </row>
    <row r="987" spans="1:45" s="181" customFormat="1" ht="35" customHeight="1">
      <c r="A987" s="181">
        <f>ROW()-3</f>
        <v>984</v>
      </c>
      <c r="B987" s="181" t="s">
        <v>1577</v>
      </c>
      <c r="C987" s="181" t="s">
        <v>83</v>
      </c>
      <c r="D987" s="181" t="s">
        <v>119</v>
      </c>
      <c r="E987" s="181" t="s">
        <v>120</v>
      </c>
      <c r="F987" s="181" t="s">
        <v>1584</v>
      </c>
      <c r="G987" s="181" t="s">
        <v>1585</v>
      </c>
      <c r="H987" s="181" t="s">
        <v>1586</v>
      </c>
      <c r="I987" s="181" t="s">
        <v>29</v>
      </c>
      <c r="J987" s="181" t="s">
        <v>34</v>
      </c>
      <c r="K987" s="181" t="s">
        <v>154</v>
      </c>
      <c r="L987" s="177">
        <v>43256</v>
      </c>
      <c r="M987" s="181">
        <v>106</v>
      </c>
      <c r="N987" s="179">
        <v>21.02</v>
      </c>
      <c r="O987" s="181" t="s">
        <v>20</v>
      </c>
    </row>
    <row r="988" spans="1:45" s="181" customFormat="1" ht="35" customHeight="1">
      <c r="A988" s="181">
        <f>ROW()-3</f>
        <v>985</v>
      </c>
      <c r="B988" s="181" t="s">
        <v>1577</v>
      </c>
      <c r="C988" s="181" t="s">
        <v>83</v>
      </c>
      <c r="D988" s="181" t="s">
        <v>84</v>
      </c>
      <c r="E988" s="181" t="s">
        <v>94</v>
      </c>
      <c r="F988" s="181" t="s">
        <v>1587</v>
      </c>
      <c r="G988" s="181" t="s">
        <v>1588</v>
      </c>
      <c r="H988" s="181" t="s">
        <v>1589</v>
      </c>
      <c r="I988" s="181" t="s">
        <v>29</v>
      </c>
      <c r="J988" s="181" t="s">
        <v>34</v>
      </c>
      <c r="K988" s="181" t="s">
        <v>154</v>
      </c>
      <c r="L988" s="177">
        <v>43257</v>
      </c>
      <c r="M988" s="181">
        <v>143</v>
      </c>
      <c r="N988" s="179">
        <v>11.87</v>
      </c>
      <c r="O988" s="181" t="s">
        <v>30</v>
      </c>
    </row>
    <row r="989" spans="1:45" s="181" customFormat="1" ht="35" customHeight="1">
      <c r="A989" s="181">
        <f>ROW()-3</f>
        <v>986</v>
      </c>
      <c r="B989" s="181" t="s">
        <v>1577</v>
      </c>
      <c r="C989" s="181" t="s">
        <v>83</v>
      </c>
      <c r="D989" s="181" t="s">
        <v>119</v>
      </c>
      <c r="E989" s="181" t="s">
        <v>127</v>
      </c>
      <c r="F989" s="181" t="s">
        <v>1590</v>
      </c>
      <c r="G989" s="181" t="s">
        <v>1591</v>
      </c>
      <c r="H989" s="181" t="s">
        <v>1592</v>
      </c>
      <c r="I989" s="181" t="s">
        <v>29</v>
      </c>
      <c r="J989" s="181" t="s">
        <v>34</v>
      </c>
      <c r="K989" s="181" t="s">
        <v>154</v>
      </c>
      <c r="L989" s="177">
        <v>43257</v>
      </c>
      <c r="M989" s="181">
        <v>204</v>
      </c>
      <c r="N989" s="179">
        <v>63.6</v>
      </c>
      <c r="O989" s="181" t="s">
        <v>30</v>
      </c>
    </row>
    <row r="990" spans="1:45" s="181" customFormat="1" ht="35" customHeight="1">
      <c r="A990" s="181">
        <f>ROW()-3</f>
        <v>987</v>
      </c>
      <c r="B990" s="181" t="s">
        <v>1577</v>
      </c>
      <c r="C990" s="181" t="s">
        <v>83</v>
      </c>
      <c r="D990" s="181" t="s">
        <v>119</v>
      </c>
      <c r="E990" s="181" t="s">
        <v>1594</v>
      </c>
      <c r="F990" s="181" t="s">
        <v>1595</v>
      </c>
      <c r="G990" s="181" t="s">
        <v>1596</v>
      </c>
      <c r="H990" s="181" t="s">
        <v>1597</v>
      </c>
      <c r="I990" s="181" t="s">
        <v>29</v>
      </c>
      <c r="J990" s="181" t="s">
        <v>1042</v>
      </c>
      <c r="K990" s="181" t="s">
        <v>67</v>
      </c>
      <c r="L990" s="177">
        <v>43322</v>
      </c>
      <c r="M990" s="181">
        <v>22</v>
      </c>
      <c r="N990" s="179">
        <v>3.37</v>
      </c>
      <c r="O990" s="181" t="s">
        <v>20</v>
      </c>
      <c r="P990" s="181">
        <v>59</v>
      </c>
    </row>
    <row r="991" spans="1:45" s="181" customFormat="1" ht="35" customHeight="1">
      <c r="A991" s="181">
        <f>ROW()-3</f>
        <v>988</v>
      </c>
      <c r="B991" s="181" t="s">
        <v>1577</v>
      </c>
      <c r="C991" s="181" t="s">
        <v>83</v>
      </c>
      <c r="D991" s="181" t="s">
        <v>5446</v>
      </c>
      <c r="E991" s="181" t="s">
        <v>127</v>
      </c>
      <c r="F991" s="181" t="s">
        <v>1598</v>
      </c>
      <c r="G991" s="181" t="s">
        <v>1599</v>
      </c>
      <c r="H991" s="181" t="s">
        <v>1176</v>
      </c>
      <c r="I991" s="181" t="s">
        <v>29</v>
      </c>
      <c r="J991" s="181" t="s">
        <v>34</v>
      </c>
      <c r="K991" s="181" t="s">
        <v>154</v>
      </c>
      <c r="L991" s="177">
        <v>43390</v>
      </c>
      <c r="M991" s="181">
        <v>366</v>
      </c>
      <c r="N991" s="179">
        <v>31.67</v>
      </c>
      <c r="O991" s="181" t="s">
        <v>30</v>
      </c>
    </row>
    <row r="992" spans="1:45" s="181" customFormat="1" ht="35" customHeight="1">
      <c r="A992" s="181">
        <f>ROW()-3</f>
        <v>989</v>
      </c>
      <c r="B992" s="181" t="s">
        <v>1577</v>
      </c>
      <c r="C992" s="181" t="s">
        <v>83</v>
      </c>
      <c r="D992" s="181" t="s">
        <v>71</v>
      </c>
      <c r="E992" s="181" t="s">
        <v>2473</v>
      </c>
      <c r="F992" s="181" t="s">
        <v>1600</v>
      </c>
      <c r="G992" s="181" t="s">
        <v>1601</v>
      </c>
      <c r="H992" s="181" t="s">
        <v>1176</v>
      </c>
      <c r="I992" s="181" t="s">
        <v>29</v>
      </c>
      <c r="J992" s="181" t="s">
        <v>34</v>
      </c>
      <c r="K992" s="181" t="s">
        <v>154</v>
      </c>
      <c r="L992" s="177">
        <v>43390</v>
      </c>
      <c r="M992" s="181">
        <v>91</v>
      </c>
      <c r="N992" s="179">
        <v>16.899999999999999</v>
      </c>
      <c r="O992" s="181" t="s">
        <v>20</v>
      </c>
    </row>
    <row r="993" spans="1:45" s="181" customFormat="1" ht="35" customHeight="1">
      <c r="A993" s="181">
        <f>ROW()-3</f>
        <v>990</v>
      </c>
      <c r="B993" s="181" t="s">
        <v>1577</v>
      </c>
      <c r="C993" s="181" t="s">
        <v>83</v>
      </c>
      <c r="D993" s="181" t="s">
        <v>5605</v>
      </c>
      <c r="E993" s="181" t="s">
        <v>5606</v>
      </c>
      <c r="F993" s="181" t="s">
        <v>5604</v>
      </c>
      <c r="G993" s="181" t="s">
        <v>1603</v>
      </c>
      <c r="H993" s="181" t="s">
        <v>571</v>
      </c>
      <c r="I993" s="181" t="s">
        <v>29</v>
      </c>
      <c r="J993" s="181" t="s">
        <v>34</v>
      </c>
      <c r="K993" s="181" t="s">
        <v>154</v>
      </c>
      <c r="L993" s="177">
        <v>43391</v>
      </c>
      <c r="M993" s="181">
        <v>257</v>
      </c>
      <c r="N993" s="179">
        <v>64.63</v>
      </c>
      <c r="O993" s="181" t="s">
        <v>30</v>
      </c>
      <c r="P993" s="181">
        <v>0</v>
      </c>
    </row>
    <row r="994" spans="1:45" s="181" customFormat="1" ht="35" customHeight="1">
      <c r="A994" s="181">
        <f>ROW()-3</f>
        <v>991</v>
      </c>
      <c r="B994" s="181" t="s">
        <v>1577</v>
      </c>
      <c r="C994" s="181" t="s">
        <v>83</v>
      </c>
      <c r="D994" s="174" t="s">
        <v>220</v>
      </c>
      <c r="E994" s="174" t="s">
        <v>2672</v>
      </c>
      <c r="F994" s="181" t="s">
        <v>1604</v>
      </c>
      <c r="G994" s="181" t="s">
        <v>1605</v>
      </c>
      <c r="H994" s="181" t="s">
        <v>1606</v>
      </c>
      <c r="I994" s="181" t="s">
        <v>29</v>
      </c>
      <c r="J994" s="181" t="s">
        <v>34</v>
      </c>
      <c r="K994" s="181" t="s">
        <v>154</v>
      </c>
      <c r="L994" s="177">
        <v>43391</v>
      </c>
      <c r="M994" s="181">
        <v>461</v>
      </c>
      <c r="N994" s="179">
        <v>123.5</v>
      </c>
      <c r="O994" s="181" t="s">
        <v>30</v>
      </c>
    </row>
    <row r="995" spans="1:45" s="181" customFormat="1" ht="35" customHeight="1">
      <c r="A995" s="181">
        <f>ROW()-3</f>
        <v>992</v>
      </c>
      <c r="B995" s="181" t="s">
        <v>1577</v>
      </c>
      <c r="C995" s="181" t="s">
        <v>83</v>
      </c>
      <c r="D995" s="181" t="s">
        <v>155</v>
      </c>
      <c r="E995" s="181" t="s">
        <v>202</v>
      </c>
      <c r="F995" s="181" t="s">
        <v>1610</v>
      </c>
      <c r="G995" s="181" t="s">
        <v>1611</v>
      </c>
      <c r="H995" s="181" t="s">
        <v>1612</v>
      </c>
      <c r="I995" s="181" t="s">
        <v>29</v>
      </c>
      <c r="J995" s="181" t="s">
        <v>34</v>
      </c>
      <c r="K995" s="181" t="s">
        <v>154</v>
      </c>
      <c r="L995" s="177">
        <v>43391</v>
      </c>
      <c r="M995" s="181">
        <v>14</v>
      </c>
      <c r="N995" s="179">
        <v>6.01</v>
      </c>
      <c r="O995" s="181" t="s">
        <v>20</v>
      </c>
    </row>
    <row r="996" spans="1:45" s="251" customFormat="1" ht="35" customHeight="1">
      <c r="A996" s="181">
        <f>ROW()-3</f>
        <v>993</v>
      </c>
      <c r="B996" s="181" t="s">
        <v>1577</v>
      </c>
      <c r="C996" s="181" t="s">
        <v>83</v>
      </c>
      <c r="D996" s="253" t="s">
        <v>106</v>
      </c>
      <c r="E996" s="253" t="s">
        <v>175</v>
      </c>
      <c r="F996" s="181" t="s">
        <v>1613</v>
      </c>
      <c r="G996" s="181" t="s">
        <v>1614</v>
      </c>
      <c r="H996" s="181" t="s">
        <v>1615</v>
      </c>
      <c r="I996" s="181" t="s">
        <v>29</v>
      </c>
      <c r="J996" s="181" t="s">
        <v>34</v>
      </c>
      <c r="K996" s="181" t="s">
        <v>154</v>
      </c>
      <c r="L996" s="177">
        <v>43391</v>
      </c>
      <c r="M996" s="181">
        <v>62</v>
      </c>
      <c r="N996" s="179">
        <v>10.54</v>
      </c>
      <c r="O996" s="181" t="s">
        <v>20</v>
      </c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  <c r="AA996" s="181"/>
      <c r="AB996" s="181"/>
      <c r="AC996" s="181"/>
      <c r="AD996" s="181"/>
      <c r="AE996" s="181"/>
      <c r="AF996" s="181"/>
      <c r="AG996" s="181"/>
      <c r="AH996" s="181"/>
      <c r="AI996" s="181"/>
      <c r="AJ996" s="181"/>
      <c r="AK996" s="181"/>
      <c r="AL996" s="181"/>
      <c r="AM996" s="181"/>
      <c r="AN996" s="181"/>
      <c r="AO996" s="181"/>
      <c r="AP996" s="181"/>
      <c r="AQ996" s="181"/>
      <c r="AR996" s="181"/>
      <c r="AS996" s="181"/>
    </row>
    <row r="997" spans="1:45" s="181" customFormat="1" ht="35" customHeight="1">
      <c r="A997" s="181">
        <f>ROW()-3</f>
        <v>994</v>
      </c>
      <c r="B997" s="181" t="s">
        <v>1577</v>
      </c>
      <c r="C997" s="181" t="s">
        <v>83</v>
      </c>
      <c r="D997" s="181" t="s">
        <v>119</v>
      </c>
      <c r="E997" s="181" t="s">
        <v>127</v>
      </c>
      <c r="F997" s="181" t="s">
        <v>5447</v>
      </c>
      <c r="G997" s="181" t="s">
        <v>1620</v>
      </c>
      <c r="H997" s="181" t="s">
        <v>1621</v>
      </c>
      <c r="I997" s="181" t="s">
        <v>29</v>
      </c>
      <c r="J997" s="181" t="s">
        <v>34</v>
      </c>
      <c r="K997" s="181" t="s">
        <v>154</v>
      </c>
      <c r="L997" s="177">
        <v>43391</v>
      </c>
      <c r="M997" s="181">
        <v>15</v>
      </c>
      <c r="N997" s="179">
        <v>2.72</v>
      </c>
      <c r="O997" s="181" t="s">
        <v>20</v>
      </c>
    </row>
    <row r="998" spans="1:45" s="181" customFormat="1" ht="35" customHeight="1">
      <c r="A998" s="181">
        <f>ROW()-3</f>
        <v>995</v>
      </c>
      <c r="B998" s="181" t="s">
        <v>1577</v>
      </c>
      <c r="C998" s="181" t="s">
        <v>83</v>
      </c>
      <c r="D998" s="181" t="s">
        <v>1441</v>
      </c>
      <c r="E998" s="181" t="s">
        <v>1441</v>
      </c>
      <c r="F998" s="181" t="s">
        <v>1625</v>
      </c>
      <c r="G998" s="181" t="s">
        <v>1626</v>
      </c>
      <c r="H998" s="181" t="s">
        <v>1627</v>
      </c>
      <c r="I998" s="181" t="s">
        <v>29</v>
      </c>
      <c r="J998" s="181" t="s">
        <v>34</v>
      </c>
      <c r="K998" s="181" t="s">
        <v>154</v>
      </c>
      <c r="L998" s="177">
        <v>43392</v>
      </c>
      <c r="M998" s="181">
        <v>30</v>
      </c>
      <c r="N998" s="179">
        <v>18.45</v>
      </c>
      <c r="O998" s="181" t="s">
        <v>20</v>
      </c>
    </row>
    <row r="999" spans="1:45" s="181" customFormat="1" ht="35" customHeight="1">
      <c r="A999" s="181">
        <f>ROW()-3</f>
        <v>996</v>
      </c>
      <c r="B999" s="181" t="s">
        <v>1577</v>
      </c>
      <c r="C999" s="181" t="s">
        <v>83</v>
      </c>
      <c r="D999" s="181" t="s">
        <v>119</v>
      </c>
      <c r="E999" s="181" t="s">
        <v>127</v>
      </c>
      <c r="F999" s="181" t="s">
        <v>2540</v>
      </c>
      <c r="G999" s="181" t="s">
        <v>1628</v>
      </c>
      <c r="H999" s="181" t="s">
        <v>1629</v>
      </c>
      <c r="I999" s="181" t="s">
        <v>29</v>
      </c>
      <c r="J999" s="181" t="s">
        <v>34</v>
      </c>
      <c r="K999" s="181" t="s">
        <v>154</v>
      </c>
      <c r="L999" s="177">
        <v>43438</v>
      </c>
      <c r="M999" s="181">
        <v>53</v>
      </c>
      <c r="N999" s="179">
        <v>12.4</v>
      </c>
      <c r="O999" s="181" t="s">
        <v>20</v>
      </c>
    </row>
    <row r="1000" spans="1:45" s="181" customFormat="1" ht="35" customHeight="1">
      <c r="A1000" s="181">
        <f>ROW()-3</f>
        <v>997</v>
      </c>
      <c r="B1000" s="181" t="s">
        <v>1577</v>
      </c>
      <c r="C1000" s="181" t="s">
        <v>83</v>
      </c>
      <c r="D1000" s="181" t="s">
        <v>5605</v>
      </c>
      <c r="E1000" s="181" t="s">
        <v>5606</v>
      </c>
      <c r="F1000" s="181" t="s">
        <v>1630</v>
      </c>
      <c r="G1000" s="181" t="s">
        <v>1631</v>
      </c>
      <c r="H1000" s="181" t="s">
        <v>1632</v>
      </c>
      <c r="I1000" s="181" t="s">
        <v>29</v>
      </c>
      <c r="J1000" s="181" t="s">
        <v>34</v>
      </c>
      <c r="K1000" s="181" t="s">
        <v>154</v>
      </c>
      <c r="L1000" s="177">
        <v>43440</v>
      </c>
      <c r="M1000" s="181">
        <v>1835</v>
      </c>
      <c r="N1000" s="179">
        <v>179.24</v>
      </c>
      <c r="O1000" s="181" t="s">
        <v>30</v>
      </c>
      <c r="P1000" s="181">
        <v>0</v>
      </c>
    </row>
    <row r="1001" spans="1:45" s="181" customFormat="1" ht="35" customHeight="1">
      <c r="A1001" s="181">
        <f>ROW()-3</f>
        <v>998</v>
      </c>
      <c r="B1001" s="181" t="s">
        <v>1577</v>
      </c>
      <c r="C1001" s="181" t="s">
        <v>83</v>
      </c>
      <c r="D1001" s="181" t="s">
        <v>5605</v>
      </c>
      <c r="E1001" s="181" t="s">
        <v>5606</v>
      </c>
      <c r="F1001" s="181" t="s">
        <v>1633</v>
      </c>
      <c r="G1001" s="181" t="s">
        <v>1634</v>
      </c>
      <c r="H1001" s="181" t="s">
        <v>1635</v>
      </c>
      <c r="I1001" s="181" t="s">
        <v>29</v>
      </c>
      <c r="J1001" s="181" t="s">
        <v>34</v>
      </c>
      <c r="K1001" s="181" t="s">
        <v>154</v>
      </c>
      <c r="L1001" s="177">
        <v>43440</v>
      </c>
      <c r="M1001" s="181">
        <v>430</v>
      </c>
      <c r="N1001" s="179">
        <v>32.99</v>
      </c>
      <c r="O1001" s="181" t="s">
        <v>20</v>
      </c>
      <c r="P1001" s="181">
        <v>0</v>
      </c>
    </row>
    <row r="1002" spans="1:45" s="181" customFormat="1" ht="35" customHeight="1">
      <c r="A1002" s="181">
        <f>ROW()-3</f>
        <v>999</v>
      </c>
      <c r="B1002" s="181" t="s">
        <v>1577</v>
      </c>
      <c r="C1002" s="181" t="s">
        <v>83</v>
      </c>
      <c r="D1002" s="253" t="s">
        <v>5605</v>
      </c>
      <c r="E1002" s="253" t="s">
        <v>5606</v>
      </c>
      <c r="F1002" s="181" t="s">
        <v>1636</v>
      </c>
      <c r="G1002" s="181" t="s">
        <v>1637</v>
      </c>
      <c r="H1002" s="181" t="s">
        <v>1638</v>
      </c>
      <c r="I1002" s="181" t="s">
        <v>29</v>
      </c>
      <c r="J1002" s="181" t="s">
        <v>34</v>
      </c>
      <c r="K1002" s="181" t="s">
        <v>154</v>
      </c>
      <c r="L1002" s="177">
        <v>43440</v>
      </c>
      <c r="M1002" s="181">
        <v>613</v>
      </c>
      <c r="N1002" s="179">
        <v>64.400000000000006</v>
      </c>
      <c r="O1002" s="181" t="s">
        <v>30</v>
      </c>
      <c r="P1002" s="181">
        <v>0</v>
      </c>
    </row>
    <row r="1003" spans="1:45" s="181" customFormat="1" ht="35" customHeight="1">
      <c r="A1003" s="181">
        <f>ROW()-3</f>
        <v>1000</v>
      </c>
      <c r="B1003" s="181" t="s">
        <v>1577</v>
      </c>
      <c r="C1003" s="181" t="s">
        <v>83</v>
      </c>
      <c r="D1003" s="253" t="s">
        <v>187</v>
      </c>
      <c r="E1003" s="253" t="s">
        <v>2674</v>
      </c>
      <c r="F1003" s="181" t="s">
        <v>5607</v>
      </c>
      <c r="G1003" s="181" t="s">
        <v>1640</v>
      </c>
      <c r="H1003" s="181" t="s">
        <v>1641</v>
      </c>
      <c r="I1003" s="181" t="s">
        <v>29</v>
      </c>
      <c r="J1003" s="181" t="s">
        <v>34</v>
      </c>
      <c r="K1003" s="181" t="s">
        <v>154</v>
      </c>
      <c r="L1003" s="177">
        <v>43440</v>
      </c>
      <c r="M1003" s="181">
        <v>13</v>
      </c>
      <c r="N1003" s="179">
        <v>0.83</v>
      </c>
      <c r="O1003" s="181" t="s">
        <v>20</v>
      </c>
      <c r="P1003" s="181">
        <v>0</v>
      </c>
    </row>
    <row r="1004" spans="1:45" s="181" customFormat="1" ht="35" customHeight="1">
      <c r="A1004" s="181">
        <f>ROW()-3</f>
        <v>1001</v>
      </c>
      <c r="B1004" s="181" t="s">
        <v>1577</v>
      </c>
      <c r="C1004" s="181" t="s">
        <v>83</v>
      </c>
      <c r="D1004" s="174" t="s">
        <v>220</v>
      </c>
      <c r="E1004" s="174" t="s">
        <v>2672</v>
      </c>
      <c r="F1004" s="181" t="s">
        <v>1642</v>
      </c>
      <c r="G1004" s="181" t="s">
        <v>1643</v>
      </c>
      <c r="H1004" s="181" t="s">
        <v>1644</v>
      </c>
      <c r="I1004" s="181" t="s">
        <v>29</v>
      </c>
      <c r="J1004" s="181" t="s">
        <v>34</v>
      </c>
      <c r="K1004" s="181" t="s">
        <v>154</v>
      </c>
      <c r="L1004" s="177">
        <v>43440</v>
      </c>
      <c r="M1004" s="181">
        <v>326</v>
      </c>
      <c r="N1004" s="179">
        <v>13.86</v>
      </c>
      <c r="O1004" s="181" t="s">
        <v>30</v>
      </c>
    </row>
    <row r="1005" spans="1:45" s="181" customFormat="1" ht="35" customHeight="1">
      <c r="A1005" s="181">
        <f>ROW()-3</f>
        <v>1002</v>
      </c>
      <c r="B1005" s="181" t="s">
        <v>1577</v>
      </c>
      <c r="C1005" s="181" t="s">
        <v>83</v>
      </c>
      <c r="D1005" s="181" t="s">
        <v>5362</v>
      </c>
      <c r="E1005" s="181" t="s">
        <v>5359</v>
      </c>
      <c r="F1005" s="181" t="s">
        <v>2541</v>
      </c>
      <c r="G1005" s="181" t="s">
        <v>1645</v>
      </c>
      <c r="H1005" s="181" t="s">
        <v>1646</v>
      </c>
      <c r="I1005" s="181" t="s">
        <v>29</v>
      </c>
      <c r="J1005" s="181" t="s">
        <v>34</v>
      </c>
      <c r="K1005" s="181" t="s">
        <v>154</v>
      </c>
      <c r="L1005" s="177">
        <v>43440</v>
      </c>
      <c r="M1005" s="181">
        <v>82</v>
      </c>
      <c r="N1005" s="179">
        <v>10.92</v>
      </c>
      <c r="O1005" s="181" t="s">
        <v>20</v>
      </c>
    </row>
    <row r="1006" spans="1:45" s="181" customFormat="1" ht="35" customHeight="1">
      <c r="A1006" s="181">
        <f>ROW()-3</f>
        <v>1003</v>
      </c>
      <c r="B1006" s="181" t="s">
        <v>1577</v>
      </c>
      <c r="C1006" s="181" t="s">
        <v>83</v>
      </c>
      <c r="D1006" s="181" t="s">
        <v>5362</v>
      </c>
      <c r="E1006" s="181" t="s">
        <v>5359</v>
      </c>
      <c r="F1006" s="181" t="s">
        <v>1647</v>
      </c>
      <c r="G1006" s="181" t="s">
        <v>1648</v>
      </c>
      <c r="H1006" s="181" t="s">
        <v>1649</v>
      </c>
      <c r="I1006" s="181" t="s">
        <v>29</v>
      </c>
      <c r="J1006" s="181" t="s">
        <v>34</v>
      </c>
      <c r="K1006" s="181" t="s">
        <v>154</v>
      </c>
      <c r="L1006" s="177">
        <v>43440</v>
      </c>
      <c r="M1006" s="181">
        <v>90</v>
      </c>
      <c r="N1006" s="179">
        <v>40.07</v>
      </c>
      <c r="O1006" s="181" t="s">
        <v>20</v>
      </c>
    </row>
    <row r="1007" spans="1:45" s="181" customFormat="1" ht="35" customHeight="1">
      <c r="A1007" s="181">
        <f>ROW()-3</f>
        <v>1004</v>
      </c>
      <c r="B1007" s="181" t="s">
        <v>1577</v>
      </c>
      <c r="C1007" s="181" t="s">
        <v>83</v>
      </c>
      <c r="D1007" s="181" t="s">
        <v>5362</v>
      </c>
      <c r="E1007" s="181" t="s">
        <v>5359</v>
      </c>
      <c r="F1007" s="181" t="s">
        <v>1650</v>
      </c>
      <c r="G1007" s="181" t="s">
        <v>1651</v>
      </c>
      <c r="H1007" s="181" t="s">
        <v>1652</v>
      </c>
      <c r="I1007" s="181" t="s">
        <v>29</v>
      </c>
      <c r="J1007" s="181" t="s">
        <v>34</v>
      </c>
      <c r="K1007" s="181" t="s">
        <v>154</v>
      </c>
      <c r="L1007" s="177">
        <v>43440</v>
      </c>
      <c r="M1007" s="181">
        <v>43</v>
      </c>
      <c r="N1007" s="179">
        <v>7.4</v>
      </c>
      <c r="O1007" s="181" t="s">
        <v>20</v>
      </c>
    </row>
    <row r="1008" spans="1:45" s="181" customFormat="1" ht="35" customHeight="1">
      <c r="A1008" s="181">
        <f>ROW()-3</f>
        <v>1005</v>
      </c>
      <c r="B1008" s="181" t="s">
        <v>1577</v>
      </c>
      <c r="C1008" s="181" t="s">
        <v>83</v>
      </c>
      <c r="D1008" s="181" t="s">
        <v>5362</v>
      </c>
      <c r="E1008" s="181" t="s">
        <v>5360</v>
      </c>
      <c r="F1008" s="181" t="s">
        <v>1653</v>
      </c>
      <c r="G1008" s="181" t="s">
        <v>1654</v>
      </c>
      <c r="H1008" s="181" t="s">
        <v>1655</v>
      </c>
      <c r="I1008" s="181" t="s">
        <v>29</v>
      </c>
      <c r="J1008" s="181" t="s">
        <v>34</v>
      </c>
      <c r="K1008" s="181" t="s">
        <v>154</v>
      </c>
      <c r="L1008" s="177">
        <v>43441</v>
      </c>
      <c r="M1008" s="181">
        <v>13</v>
      </c>
      <c r="N1008" s="179">
        <v>2.4</v>
      </c>
      <c r="O1008" s="181" t="s">
        <v>20</v>
      </c>
    </row>
    <row r="1009" spans="1:16" s="181" customFormat="1" ht="35" customHeight="1">
      <c r="A1009" s="181">
        <f>ROW()-3</f>
        <v>1006</v>
      </c>
      <c r="B1009" s="181" t="s">
        <v>1577</v>
      </c>
      <c r="C1009" s="181" t="s">
        <v>83</v>
      </c>
      <c r="D1009" s="181" t="s">
        <v>5605</v>
      </c>
      <c r="E1009" s="181" t="s">
        <v>5606</v>
      </c>
      <c r="F1009" s="181" t="s">
        <v>5610</v>
      </c>
      <c r="G1009" s="181" t="s">
        <v>1657</v>
      </c>
      <c r="H1009" s="181" t="s">
        <v>1658</v>
      </c>
      <c r="I1009" s="181" t="s">
        <v>29</v>
      </c>
      <c r="J1009" s="181" t="s">
        <v>34</v>
      </c>
      <c r="K1009" s="181" t="s">
        <v>154</v>
      </c>
      <c r="L1009" s="177">
        <v>43447</v>
      </c>
      <c r="M1009" s="181">
        <v>98</v>
      </c>
      <c r="N1009" s="179">
        <v>44.75</v>
      </c>
      <c r="O1009" s="181" t="s">
        <v>20</v>
      </c>
      <c r="P1009" s="181">
        <v>0</v>
      </c>
    </row>
    <row r="1010" spans="1:16" s="181" customFormat="1" ht="35" customHeight="1">
      <c r="A1010" s="181">
        <f>ROW()-3</f>
        <v>1007</v>
      </c>
      <c r="B1010" s="181" t="s">
        <v>1577</v>
      </c>
      <c r="C1010" s="181" t="s">
        <v>83</v>
      </c>
      <c r="D1010" s="253" t="s">
        <v>5362</v>
      </c>
      <c r="E1010" s="253" t="s">
        <v>5361</v>
      </c>
      <c r="F1010" s="181" t="s">
        <v>1659</v>
      </c>
      <c r="G1010" s="181" t="s">
        <v>1660</v>
      </c>
      <c r="H1010" s="181" t="s">
        <v>1661</v>
      </c>
      <c r="I1010" s="181" t="s">
        <v>29</v>
      </c>
      <c r="J1010" s="181" t="s">
        <v>34</v>
      </c>
      <c r="K1010" s="181" t="s">
        <v>154</v>
      </c>
      <c r="L1010" s="177">
        <v>43447</v>
      </c>
      <c r="M1010" s="181">
        <v>465</v>
      </c>
      <c r="N1010" s="179">
        <v>71.81</v>
      </c>
      <c r="O1010" s="181" t="s">
        <v>30</v>
      </c>
    </row>
    <row r="1011" spans="1:16" s="181" customFormat="1" ht="35" customHeight="1">
      <c r="A1011" s="181">
        <f>ROW()-3</f>
        <v>1008</v>
      </c>
      <c r="B1011" s="181" t="s">
        <v>1577</v>
      </c>
      <c r="C1011" s="181" t="s">
        <v>83</v>
      </c>
      <c r="D1011" s="253" t="s">
        <v>155</v>
      </c>
      <c r="E1011" s="253" t="s">
        <v>202</v>
      </c>
      <c r="F1011" s="181" t="s">
        <v>1662</v>
      </c>
      <c r="G1011" s="181" t="s">
        <v>1662</v>
      </c>
      <c r="H1011" s="181" t="s">
        <v>1663</v>
      </c>
      <c r="I1011" s="181" t="s">
        <v>29</v>
      </c>
      <c r="J1011" s="181" t="s">
        <v>34</v>
      </c>
      <c r="K1011" s="181" t="s">
        <v>154</v>
      </c>
      <c r="L1011" s="177">
        <v>43447</v>
      </c>
      <c r="M1011" s="181">
        <v>454</v>
      </c>
      <c r="N1011" s="179">
        <v>12.87</v>
      </c>
      <c r="O1011" s="181" t="s">
        <v>30</v>
      </c>
    </row>
    <row r="1012" spans="1:16" s="181" customFormat="1" ht="35" customHeight="1">
      <c r="A1012" s="181">
        <f>ROW()-3</f>
        <v>1009</v>
      </c>
      <c r="B1012" s="181" t="s">
        <v>1577</v>
      </c>
      <c r="C1012" s="181" t="s">
        <v>83</v>
      </c>
      <c r="D1012" s="181" t="s">
        <v>5358</v>
      </c>
      <c r="E1012" s="181" t="s">
        <v>5354</v>
      </c>
      <c r="F1012" s="181" t="s">
        <v>1670</v>
      </c>
      <c r="G1012" s="181" t="s">
        <v>1671</v>
      </c>
      <c r="H1012" s="181" t="s">
        <v>1672</v>
      </c>
      <c r="I1012" s="181" t="s">
        <v>29</v>
      </c>
      <c r="J1012" s="181" t="s">
        <v>34</v>
      </c>
      <c r="K1012" s="181" t="s">
        <v>154</v>
      </c>
      <c r="L1012" s="177">
        <v>43448</v>
      </c>
      <c r="M1012" s="181">
        <v>82</v>
      </c>
      <c r="N1012" s="179">
        <v>9.36</v>
      </c>
      <c r="O1012" s="181" t="s">
        <v>20</v>
      </c>
    </row>
    <row r="1013" spans="1:16" s="181" customFormat="1" ht="35" customHeight="1">
      <c r="A1013" s="181">
        <f>ROW()-3</f>
        <v>1010</v>
      </c>
      <c r="B1013" s="181" t="s">
        <v>1577</v>
      </c>
      <c r="C1013" s="181" t="s">
        <v>83</v>
      </c>
      <c r="D1013" s="181" t="s">
        <v>119</v>
      </c>
      <c r="E1013" s="181" t="s">
        <v>120</v>
      </c>
      <c r="F1013" s="181" t="s">
        <v>1664</v>
      </c>
      <c r="G1013" s="181" t="s">
        <v>1665</v>
      </c>
      <c r="H1013" s="181" t="s">
        <v>1666</v>
      </c>
      <c r="I1013" s="181" t="s">
        <v>29</v>
      </c>
      <c r="J1013" s="181" t="s">
        <v>34</v>
      </c>
      <c r="K1013" s="181" t="s">
        <v>154</v>
      </c>
      <c r="L1013" s="177">
        <v>43448</v>
      </c>
      <c r="M1013" s="181">
        <v>514</v>
      </c>
      <c r="N1013" s="179">
        <v>170.21</v>
      </c>
      <c r="O1013" s="181" t="s">
        <v>20</v>
      </c>
    </row>
    <row r="1014" spans="1:16" s="181" customFormat="1" ht="35" customHeight="1">
      <c r="A1014" s="181">
        <f>ROW()-3</f>
        <v>1011</v>
      </c>
      <c r="B1014" s="181" t="s">
        <v>1577</v>
      </c>
      <c r="C1014" s="181" t="s">
        <v>83</v>
      </c>
      <c r="D1014" s="181" t="s">
        <v>706</v>
      </c>
      <c r="E1014" s="181" t="s">
        <v>1429</v>
      </c>
      <c r="F1014" s="181" t="s">
        <v>1667</v>
      </c>
      <c r="G1014" s="181" t="s">
        <v>1668</v>
      </c>
      <c r="H1014" s="181" t="s">
        <v>1669</v>
      </c>
      <c r="I1014" s="181" t="s">
        <v>29</v>
      </c>
      <c r="J1014" s="181" t="s">
        <v>34</v>
      </c>
      <c r="K1014" s="181" t="s">
        <v>154</v>
      </c>
      <c r="L1014" s="177">
        <v>43448</v>
      </c>
      <c r="M1014" s="181">
        <v>55</v>
      </c>
      <c r="N1014" s="179">
        <v>7.07</v>
      </c>
      <c r="O1014" s="181" t="s">
        <v>20</v>
      </c>
    </row>
    <row r="1015" spans="1:16" s="181" customFormat="1" ht="35" customHeight="1">
      <c r="A1015" s="181">
        <f>ROW()-3</f>
        <v>1012</v>
      </c>
      <c r="B1015" s="181" t="s">
        <v>1577</v>
      </c>
      <c r="C1015" s="181" t="s">
        <v>83</v>
      </c>
      <c r="D1015" s="253" t="s">
        <v>5362</v>
      </c>
      <c r="E1015" s="253" t="s">
        <v>5361</v>
      </c>
      <c r="F1015" s="181" t="s">
        <v>1673</v>
      </c>
      <c r="G1015" s="181" t="s">
        <v>1674</v>
      </c>
      <c r="H1015" s="181" t="s">
        <v>609</v>
      </c>
      <c r="I1015" s="181" t="s">
        <v>29</v>
      </c>
      <c r="J1015" s="181" t="s">
        <v>34</v>
      </c>
      <c r="K1015" s="181" t="s">
        <v>154</v>
      </c>
      <c r="L1015" s="177">
        <v>43448</v>
      </c>
      <c r="M1015" s="181">
        <v>303</v>
      </c>
      <c r="N1015" s="179">
        <v>39.22</v>
      </c>
      <c r="O1015" s="181" t="s">
        <v>30</v>
      </c>
    </row>
    <row r="1016" spans="1:16" s="181" customFormat="1" ht="35" customHeight="1">
      <c r="A1016" s="181">
        <f>ROW()-3</f>
        <v>1013</v>
      </c>
      <c r="B1016" s="181" t="s">
        <v>1577</v>
      </c>
      <c r="C1016" s="181" t="s">
        <v>83</v>
      </c>
      <c r="D1016" s="253" t="s">
        <v>220</v>
      </c>
      <c r="E1016" s="253" t="s">
        <v>2672</v>
      </c>
      <c r="F1016" s="181" t="s">
        <v>1675</v>
      </c>
      <c r="G1016" s="181" t="s">
        <v>1676</v>
      </c>
      <c r="H1016" s="181" t="s">
        <v>1675</v>
      </c>
      <c r="I1016" s="181" t="s">
        <v>29</v>
      </c>
      <c r="J1016" s="181" t="s">
        <v>34</v>
      </c>
      <c r="K1016" s="181" t="s">
        <v>154</v>
      </c>
      <c r="L1016" s="177">
        <v>43459</v>
      </c>
      <c r="M1016" s="181">
        <v>219</v>
      </c>
      <c r="N1016" s="179">
        <v>81.66</v>
      </c>
      <c r="O1016" s="181" t="s">
        <v>30</v>
      </c>
      <c r="P1016" s="181">
        <v>0</v>
      </c>
    </row>
    <row r="1017" spans="1:16" s="181" customFormat="1" ht="35" customHeight="1">
      <c r="A1017" s="181">
        <f>ROW()-3</f>
        <v>1014</v>
      </c>
      <c r="B1017" s="181" t="s">
        <v>1577</v>
      </c>
      <c r="C1017" s="181" t="s">
        <v>83</v>
      </c>
      <c r="D1017" s="181" t="s">
        <v>155</v>
      </c>
      <c r="E1017" s="181" t="s">
        <v>202</v>
      </c>
      <c r="F1017" s="181" t="s">
        <v>1677</v>
      </c>
      <c r="G1017" s="181" t="s">
        <v>1678</v>
      </c>
      <c r="H1017" s="181" t="s">
        <v>1679</v>
      </c>
      <c r="I1017" s="181" t="s">
        <v>29</v>
      </c>
      <c r="J1017" s="181" t="s">
        <v>34</v>
      </c>
      <c r="K1017" s="181" t="s">
        <v>154</v>
      </c>
      <c r="L1017" s="177">
        <v>43459</v>
      </c>
      <c r="M1017" s="181">
        <v>19</v>
      </c>
      <c r="N1017" s="179">
        <v>4.1900000000000004</v>
      </c>
      <c r="O1017" s="181" t="s">
        <v>20</v>
      </c>
    </row>
    <row r="1018" spans="1:16" s="181" customFormat="1" ht="35" customHeight="1">
      <c r="A1018" s="181">
        <f>ROW()-3</f>
        <v>1015</v>
      </c>
      <c r="B1018" s="181" t="s">
        <v>1577</v>
      </c>
      <c r="C1018" s="181" t="s">
        <v>83</v>
      </c>
      <c r="D1018" s="181" t="s">
        <v>119</v>
      </c>
      <c r="E1018" s="181" t="s">
        <v>127</v>
      </c>
      <c r="F1018" s="181" t="s">
        <v>1680</v>
      </c>
      <c r="G1018" s="181" t="s">
        <v>1681</v>
      </c>
      <c r="H1018" s="181" t="s">
        <v>1682</v>
      </c>
      <c r="I1018" s="181" t="s">
        <v>29</v>
      </c>
      <c r="J1018" s="181" t="s">
        <v>34</v>
      </c>
      <c r="K1018" s="181" t="s">
        <v>154</v>
      </c>
      <c r="L1018" s="177">
        <v>43459</v>
      </c>
      <c r="M1018" s="181">
        <v>83</v>
      </c>
      <c r="N1018" s="179">
        <v>11.8</v>
      </c>
      <c r="O1018" s="181" t="s">
        <v>20</v>
      </c>
    </row>
    <row r="1019" spans="1:16" s="181" customFormat="1" ht="35" customHeight="1">
      <c r="A1019" s="181">
        <f>ROW()-3</f>
        <v>1016</v>
      </c>
      <c r="B1019" s="181" t="s">
        <v>1577</v>
      </c>
      <c r="C1019" s="181" t="s">
        <v>83</v>
      </c>
      <c r="D1019" s="181" t="s">
        <v>5362</v>
      </c>
      <c r="E1019" s="181" t="s">
        <v>5359</v>
      </c>
      <c r="F1019" s="181" t="s">
        <v>1683</v>
      </c>
      <c r="G1019" s="181" t="s">
        <v>1684</v>
      </c>
      <c r="H1019" s="181" t="s">
        <v>1683</v>
      </c>
      <c r="I1019" s="181" t="s">
        <v>29</v>
      </c>
      <c r="J1019" s="181" t="s">
        <v>34</v>
      </c>
      <c r="K1019" s="181" t="s">
        <v>154</v>
      </c>
      <c r="L1019" s="177">
        <v>43460</v>
      </c>
      <c r="M1019" s="181">
        <v>2097</v>
      </c>
      <c r="N1019" s="179">
        <v>66.06</v>
      </c>
      <c r="O1019" s="181" t="s">
        <v>30</v>
      </c>
    </row>
    <row r="1020" spans="1:16" s="181" customFormat="1" ht="35" customHeight="1">
      <c r="A1020" s="181">
        <f>ROW()-3</f>
        <v>1017</v>
      </c>
      <c r="B1020" s="181" t="s">
        <v>1577</v>
      </c>
      <c r="C1020" s="181" t="s">
        <v>83</v>
      </c>
      <c r="D1020" s="181" t="s">
        <v>5362</v>
      </c>
      <c r="E1020" s="181" t="s">
        <v>5359</v>
      </c>
      <c r="F1020" s="181" t="s">
        <v>1685</v>
      </c>
      <c r="G1020" s="181" t="s">
        <v>1686</v>
      </c>
      <c r="H1020" s="181" t="s">
        <v>1687</v>
      </c>
      <c r="I1020" s="181" t="s">
        <v>29</v>
      </c>
      <c r="J1020" s="181" t="s">
        <v>34</v>
      </c>
      <c r="K1020" s="181" t="s">
        <v>154</v>
      </c>
      <c r="L1020" s="177">
        <v>43460</v>
      </c>
      <c r="M1020" s="181">
        <v>822</v>
      </c>
      <c r="N1020" s="179">
        <v>36.22</v>
      </c>
      <c r="O1020" s="181" t="s">
        <v>30</v>
      </c>
    </row>
    <row r="1021" spans="1:16" s="181" customFormat="1" ht="35" customHeight="1">
      <c r="A1021" s="181">
        <f>ROW()-3</f>
        <v>1018</v>
      </c>
      <c r="B1021" s="181" t="s">
        <v>1577</v>
      </c>
      <c r="C1021" s="181" t="s">
        <v>83</v>
      </c>
      <c r="D1021" s="181" t="s">
        <v>5362</v>
      </c>
      <c r="E1021" s="181" t="s">
        <v>5359</v>
      </c>
      <c r="F1021" s="181" t="s">
        <v>1688</v>
      </c>
      <c r="G1021" s="181" t="s">
        <v>1689</v>
      </c>
      <c r="H1021" s="181" t="s">
        <v>1690</v>
      </c>
      <c r="I1021" s="181" t="s">
        <v>29</v>
      </c>
      <c r="J1021" s="181" t="s">
        <v>34</v>
      </c>
      <c r="K1021" s="181" t="s">
        <v>154</v>
      </c>
      <c r="L1021" s="177">
        <v>43460</v>
      </c>
      <c r="M1021" s="181">
        <v>29</v>
      </c>
      <c r="N1021" s="179">
        <v>2.52</v>
      </c>
      <c r="O1021" s="181" t="s">
        <v>20</v>
      </c>
    </row>
    <row r="1022" spans="1:16" s="181" customFormat="1" ht="35" customHeight="1">
      <c r="A1022" s="181">
        <f>ROW()-3</f>
        <v>1019</v>
      </c>
      <c r="B1022" s="181" t="s">
        <v>1577</v>
      </c>
      <c r="C1022" s="181" t="s">
        <v>83</v>
      </c>
      <c r="D1022" s="181" t="s">
        <v>84</v>
      </c>
      <c r="E1022" s="181" t="s">
        <v>111</v>
      </c>
      <c r="F1022" s="181" t="s">
        <v>1691</v>
      </c>
      <c r="G1022" s="181" t="s">
        <v>1692</v>
      </c>
      <c r="H1022" s="181" t="s">
        <v>1691</v>
      </c>
      <c r="I1022" s="181" t="s">
        <v>29</v>
      </c>
      <c r="J1022" s="181" t="s">
        <v>34</v>
      </c>
      <c r="K1022" s="181" t="s">
        <v>154</v>
      </c>
      <c r="L1022" s="177">
        <v>43460</v>
      </c>
      <c r="M1022" s="181">
        <v>35</v>
      </c>
      <c r="N1022" s="179">
        <v>3.34</v>
      </c>
      <c r="O1022" s="181" t="s">
        <v>20</v>
      </c>
    </row>
    <row r="1023" spans="1:16" s="181" customFormat="1" ht="35" customHeight="1">
      <c r="A1023" s="181">
        <f>ROW()-3</f>
        <v>1020</v>
      </c>
      <c r="B1023" s="181" t="s">
        <v>1577</v>
      </c>
      <c r="C1023" s="181" t="s">
        <v>83</v>
      </c>
      <c r="D1023" s="181" t="s">
        <v>187</v>
      </c>
      <c r="E1023" s="181" t="s">
        <v>2674</v>
      </c>
      <c r="F1023" s="181" t="s">
        <v>5608</v>
      </c>
      <c r="G1023" s="181" t="s">
        <v>1694</v>
      </c>
      <c r="H1023" s="181" t="s">
        <v>1695</v>
      </c>
      <c r="I1023" s="181" t="s">
        <v>29</v>
      </c>
      <c r="J1023" s="181" t="s">
        <v>34</v>
      </c>
      <c r="K1023" s="181" t="s">
        <v>154</v>
      </c>
      <c r="L1023" s="177">
        <v>43461</v>
      </c>
      <c r="M1023" s="181">
        <v>27</v>
      </c>
      <c r="N1023" s="179">
        <v>9.58</v>
      </c>
      <c r="O1023" s="181" t="s">
        <v>20</v>
      </c>
      <c r="P1023" s="181">
        <v>0</v>
      </c>
    </row>
    <row r="1024" spans="1:16" s="181" customFormat="1" ht="35" customHeight="1">
      <c r="A1024" s="181">
        <f>ROW()-3</f>
        <v>1021</v>
      </c>
      <c r="B1024" s="181" t="s">
        <v>1577</v>
      </c>
      <c r="C1024" s="181" t="s">
        <v>83</v>
      </c>
      <c r="D1024" s="181" t="s">
        <v>706</v>
      </c>
      <c r="E1024" s="181" t="s">
        <v>1429</v>
      </c>
      <c r="F1024" s="181" t="s">
        <v>1696</v>
      </c>
      <c r="G1024" s="181" t="s">
        <v>1697</v>
      </c>
      <c r="H1024" s="181" t="s">
        <v>1698</v>
      </c>
      <c r="I1024" s="181" t="s">
        <v>29</v>
      </c>
      <c r="J1024" s="181" t="s">
        <v>34</v>
      </c>
      <c r="K1024" s="181" t="s">
        <v>154</v>
      </c>
      <c r="L1024" s="177">
        <v>43461</v>
      </c>
      <c r="M1024" s="181">
        <v>34</v>
      </c>
      <c r="N1024" s="179">
        <v>10.92</v>
      </c>
      <c r="O1024" s="181" t="s">
        <v>20</v>
      </c>
      <c r="P1024" s="181">
        <v>0</v>
      </c>
    </row>
    <row r="1025" spans="1:45" s="181" customFormat="1" ht="35" customHeight="1">
      <c r="A1025" s="181">
        <f>ROW()-3</f>
        <v>1022</v>
      </c>
      <c r="B1025" s="181" t="s">
        <v>1577</v>
      </c>
      <c r="C1025" s="181" t="s">
        <v>83</v>
      </c>
      <c r="D1025" s="181" t="s">
        <v>119</v>
      </c>
      <c r="E1025" s="181" t="s">
        <v>120</v>
      </c>
      <c r="F1025" s="181" t="s">
        <v>1700</v>
      </c>
      <c r="G1025" s="181" t="s">
        <v>1701</v>
      </c>
      <c r="H1025" s="181" t="s">
        <v>1586</v>
      </c>
      <c r="I1025" s="181" t="s">
        <v>29</v>
      </c>
      <c r="J1025" s="181" t="s">
        <v>34</v>
      </c>
      <c r="K1025" s="181" t="s">
        <v>154</v>
      </c>
      <c r="L1025" s="177">
        <v>43673</v>
      </c>
      <c r="M1025" s="181">
        <v>347</v>
      </c>
      <c r="N1025" s="179">
        <v>74.88</v>
      </c>
      <c r="O1025" s="181" t="s">
        <v>20</v>
      </c>
    </row>
    <row r="1026" spans="1:45" s="181" customFormat="1" ht="35" customHeight="1">
      <c r="A1026" s="181">
        <f>ROW()-3</f>
        <v>1023</v>
      </c>
      <c r="B1026" s="181" t="s">
        <v>1577</v>
      </c>
      <c r="C1026" s="181" t="s">
        <v>83</v>
      </c>
      <c r="D1026" s="181" t="s">
        <v>155</v>
      </c>
      <c r="E1026" s="181" t="s">
        <v>156</v>
      </c>
      <c r="F1026" s="181" t="s">
        <v>1702</v>
      </c>
      <c r="G1026" s="181" t="s">
        <v>1703</v>
      </c>
      <c r="H1026" s="181" t="s">
        <v>1179</v>
      </c>
      <c r="I1026" s="181" t="s">
        <v>29</v>
      </c>
      <c r="J1026" s="181" t="s">
        <v>34</v>
      </c>
      <c r="K1026" s="181" t="s">
        <v>154</v>
      </c>
      <c r="L1026" s="177">
        <v>43750</v>
      </c>
      <c r="M1026" s="181">
        <v>996</v>
      </c>
      <c r="N1026" s="179">
        <v>76.180000000000007</v>
      </c>
      <c r="O1026" s="181" t="s">
        <v>30</v>
      </c>
    </row>
    <row r="1027" spans="1:45" s="181" customFormat="1" ht="35" customHeight="1">
      <c r="A1027" s="181">
        <f>ROW()-3</f>
        <v>1024</v>
      </c>
      <c r="B1027" s="181" t="s">
        <v>1577</v>
      </c>
      <c r="C1027" s="181" t="s">
        <v>83</v>
      </c>
      <c r="D1027" s="253" t="s">
        <v>119</v>
      </c>
      <c r="E1027" s="253" t="s">
        <v>161</v>
      </c>
      <c r="F1027" s="181" t="s">
        <v>1704</v>
      </c>
      <c r="G1027" s="181" t="s">
        <v>1705</v>
      </c>
      <c r="H1027" s="181" t="s">
        <v>1706</v>
      </c>
      <c r="I1027" s="181" t="s">
        <v>29</v>
      </c>
      <c r="J1027" s="181" t="s">
        <v>34</v>
      </c>
      <c r="K1027" s="181" t="s">
        <v>154</v>
      </c>
      <c r="L1027" s="177">
        <v>43756</v>
      </c>
      <c r="M1027" s="181">
        <v>31</v>
      </c>
      <c r="N1027" s="179">
        <v>1.74</v>
      </c>
      <c r="O1027" s="181" t="s">
        <v>20</v>
      </c>
    </row>
    <row r="1028" spans="1:45" s="181" customFormat="1" ht="35" customHeight="1">
      <c r="A1028" s="181">
        <f>ROW()-3</f>
        <v>1025</v>
      </c>
      <c r="B1028" s="181" t="s">
        <v>1577</v>
      </c>
      <c r="C1028" s="181" t="s">
        <v>83</v>
      </c>
      <c r="D1028" s="174" t="s">
        <v>220</v>
      </c>
      <c r="E1028" s="174" t="s">
        <v>2672</v>
      </c>
      <c r="F1028" s="181" t="s">
        <v>1707</v>
      </c>
      <c r="G1028" s="181" t="s">
        <v>1708</v>
      </c>
      <c r="H1028" s="181" t="s">
        <v>1709</v>
      </c>
      <c r="I1028" s="181" t="s">
        <v>29</v>
      </c>
      <c r="J1028" s="181" t="s">
        <v>34</v>
      </c>
      <c r="K1028" s="181" t="s">
        <v>154</v>
      </c>
      <c r="L1028" s="177">
        <v>43763</v>
      </c>
      <c r="M1028" s="181">
        <v>10</v>
      </c>
      <c r="N1028" s="179">
        <v>0.28000000000000003</v>
      </c>
      <c r="O1028" s="181" t="s">
        <v>20</v>
      </c>
    </row>
    <row r="1029" spans="1:45" s="252" customFormat="1" ht="35" customHeight="1">
      <c r="A1029" s="181">
        <f>ROW()-3</f>
        <v>1026</v>
      </c>
      <c r="B1029" s="181" t="s">
        <v>1577</v>
      </c>
      <c r="C1029" s="181" t="s">
        <v>83</v>
      </c>
      <c r="D1029" s="253" t="s">
        <v>155</v>
      </c>
      <c r="E1029" s="253" t="s">
        <v>156</v>
      </c>
      <c r="F1029" s="181" t="s">
        <v>5609</v>
      </c>
      <c r="G1029" s="181" t="s">
        <v>1711</v>
      </c>
      <c r="H1029" s="181" t="s">
        <v>1712</v>
      </c>
      <c r="I1029" s="181" t="s">
        <v>29</v>
      </c>
      <c r="J1029" s="181" t="s">
        <v>34</v>
      </c>
      <c r="K1029" s="181" t="s">
        <v>154</v>
      </c>
      <c r="L1029" s="247">
        <v>43790</v>
      </c>
      <c r="M1029" s="253">
        <v>373</v>
      </c>
      <c r="N1029" s="250">
        <v>21.48</v>
      </c>
      <c r="O1029" s="181" t="s">
        <v>30</v>
      </c>
      <c r="P1029" s="253">
        <v>0</v>
      </c>
      <c r="Q1029" s="253"/>
      <c r="R1029" s="253"/>
      <c r="S1029" s="253"/>
      <c r="T1029" s="253"/>
      <c r="U1029" s="253"/>
      <c r="V1029" s="253"/>
      <c r="W1029" s="253"/>
      <c r="X1029" s="253"/>
      <c r="Y1029" s="253"/>
      <c r="Z1029" s="253"/>
      <c r="AA1029" s="253"/>
      <c r="AB1029" s="253"/>
      <c r="AC1029" s="253"/>
      <c r="AD1029" s="253"/>
      <c r="AE1029" s="253"/>
      <c r="AF1029" s="253"/>
      <c r="AG1029" s="253"/>
      <c r="AH1029" s="253"/>
      <c r="AI1029" s="253"/>
      <c r="AJ1029" s="253"/>
      <c r="AK1029" s="253"/>
      <c r="AL1029" s="253"/>
      <c r="AM1029" s="253"/>
      <c r="AN1029" s="253"/>
      <c r="AO1029" s="253"/>
      <c r="AP1029" s="253"/>
      <c r="AQ1029" s="253"/>
      <c r="AR1029" s="253"/>
      <c r="AS1029" s="253"/>
    </row>
    <row r="1030" spans="1:45" s="252" customFormat="1" ht="35" customHeight="1">
      <c r="A1030" s="181">
        <f>ROW()-3</f>
        <v>1027</v>
      </c>
      <c r="B1030" s="181" t="s">
        <v>1577</v>
      </c>
      <c r="C1030" s="181" t="s">
        <v>83</v>
      </c>
      <c r="D1030" s="253" t="s">
        <v>155</v>
      </c>
      <c r="E1030" s="253" t="s">
        <v>156</v>
      </c>
      <c r="F1030" s="181" t="s">
        <v>1713</v>
      </c>
      <c r="G1030" s="181" t="s">
        <v>1714</v>
      </c>
      <c r="H1030" s="181" t="s">
        <v>1715</v>
      </c>
      <c r="I1030" s="181" t="s">
        <v>29</v>
      </c>
      <c r="J1030" s="253" t="s">
        <v>34</v>
      </c>
      <c r="K1030" s="253" t="s">
        <v>154</v>
      </c>
      <c r="L1030" s="247">
        <v>43830</v>
      </c>
      <c r="M1030" s="253">
        <v>291</v>
      </c>
      <c r="N1030" s="250">
        <v>13.58</v>
      </c>
      <c r="O1030" s="253" t="s">
        <v>20</v>
      </c>
      <c r="P1030" s="253"/>
      <c r="Q1030" s="253"/>
      <c r="R1030" s="253"/>
      <c r="S1030" s="253"/>
      <c r="T1030" s="253"/>
      <c r="U1030" s="253"/>
      <c r="V1030" s="253"/>
      <c r="W1030" s="253"/>
      <c r="X1030" s="253"/>
      <c r="Y1030" s="253"/>
      <c r="Z1030" s="253"/>
      <c r="AA1030" s="253"/>
      <c r="AB1030" s="253"/>
      <c r="AC1030" s="253"/>
      <c r="AD1030" s="253"/>
      <c r="AE1030" s="253"/>
      <c r="AF1030" s="253"/>
      <c r="AG1030" s="253"/>
      <c r="AH1030" s="253"/>
      <c r="AI1030" s="253"/>
      <c r="AJ1030" s="253"/>
      <c r="AK1030" s="253"/>
      <c r="AL1030" s="253"/>
      <c r="AM1030" s="253"/>
      <c r="AN1030" s="253"/>
      <c r="AO1030" s="253"/>
      <c r="AP1030" s="253"/>
      <c r="AQ1030" s="253"/>
      <c r="AR1030" s="253"/>
      <c r="AS1030" s="253"/>
    </row>
    <row r="1031" spans="1:45" s="252" customFormat="1" ht="35" customHeight="1">
      <c r="A1031" s="181">
        <f>ROW()-3</f>
        <v>1028</v>
      </c>
      <c r="B1031" s="181" t="s">
        <v>1577</v>
      </c>
      <c r="C1031" s="181" t="s">
        <v>83</v>
      </c>
      <c r="D1031" s="181" t="s">
        <v>106</v>
      </c>
      <c r="E1031" s="181" t="s">
        <v>115</v>
      </c>
      <c r="F1031" s="253" t="s">
        <v>1716</v>
      </c>
      <c r="G1031" s="253" t="s">
        <v>1717</v>
      </c>
      <c r="H1031" s="253" t="s">
        <v>1718</v>
      </c>
      <c r="I1031" s="181" t="s">
        <v>17</v>
      </c>
      <c r="J1031" s="253" t="s">
        <v>34</v>
      </c>
      <c r="K1031" s="253" t="s">
        <v>154</v>
      </c>
      <c r="L1031" s="247">
        <v>43873</v>
      </c>
      <c r="M1031" s="253">
        <v>1</v>
      </c>
      <c r="N1031" s="250">
        <v>0.88</v>
      </c>
      <c r="O1031" s="253" t="s">
        <v>20</v>
      </c>
      <c r="P1031" s="253"/>
      <c r="Q1031" s="253"/>
      <c r="R1031" s="253"/>
      <c r="S1031" s="253"/>
      <c r="T1031" s="253"/>
      <c r="U1031" s="253"/>
      <c r="V1031" s="253"/>
      <c r="W1031" s="253"/>
      <c r="X1031" s="253"/>
      <c r="Y1031" s="253"/>
      <c r="Z1031" s="253"/>
      <c r="AA1031" s="253"/>
      <c r="AB1031" s="253"/>
      <c r="AC1031" s="253"/>
      <c r="AD1031" s="253"/>
      <c r="AE1031" s="253"/>
      <c r="AF1031" s="253"/>
      <c r="AG1031" s="253"/>
      <c r="AH1031" s="253"/>
      <c r="AI1031" s="253"/>
      <c r="AJ1031" s="253"/>
      <c r="AK1031" s="253"/>
      <c r="AL1031" s="253"/>
      <c r="AM1031" s="253"/>
      <c r="AN1031" s="253"/>
      <c r="AO1031" s="253"/>
      <c r="AP1031" s="253"/>
      <c r="AQ1031" s="253"/>
      <c r="AR1031" s="253"/>
      <c r="AS1031" s="253"/>
    </row>
    <row r="1032" spans="1:45" s="252" customFormat="1" ht="35" customHeight="1">
      <c r="A1032" s="181">
        <f>ROW()-3</f>
        <v>1029</v>
      </c>
      <c r="B1032" s="181" t="s">
        <v>1577</v>
      </c>
      <c r="C1032" s="253" t="s">
        <v>83</v>
      </c>
      <c r="D1032" s="253" t="s">
        <v>155</v>
      </c>
      <c r="E1032" s="253" t="s">
        <v>202</v>
      </c>
      <c r="F1032" s="253" t="s">
        <v>2542</v>
      </c>
      <c r="G1032" s="253" t="s">
        <v>1719</v>
      </c>
      <c r="H1032" s="253" t="s">
        <v>1720</v>
      </c>
      <c r="I1032" s="181" t="s">
        <v>29</v>
      </c>
      <c r="J1032" s="181" t="s">
        <v>34</v>
      </c>
      <c r="K1032" s="181" t="s">
        <v>154</v>
      </c>
      <c r="L1032" s="247">
        <v>43875</v>
      </c>
      <c r="M1032" s="253">
        <v>13</v>
      </c>
      <c r="N1032" s="250">
        <v>14.57</v>
      </c>
      <c r="O1032" s="253" t="s">
        <v>30</v>
      </c>
      <c r="P1032" s="253"/>
      <c r="Q1032" s="253"/>
      <c r="R1032" s="253"/>
      <c r="S1032" s="253"/>
      <c r="T1032" s="253"/>
      <c r="U1032" s="253"/>
      <c r="V1032" s="253"/>
      <c r="W1032" s="253"/>
      <c r="X1032" s="253"/>
      <c r="Y1032" s="253"/>
      <c r="Z1032" s="253"/>
      <c r="AA1032" s="253"/>
      <c r="AB1032" s="253"/>
      <c r="AC1032" s="253"/>
      <c r="AD1032" s="253"/>
      <c r="AE1032" s="253"/>
      <c r="AF1032" s="253"/>
      <c r="AG1032" s="253"/>
      <c r="AH1032" s="253"/>
      <c r="AI1032" s="253"/>
      <c r="AJ1032" s="253"/>
      <c r="AK1032" s="253"/>
      <c r="AL1032" s="253"/>
      <c r="AM1032" s="253"/>
      <c r="AN1032" s="253"/>
      <c r="AO1032" s="253"/>
      <c r="AP1032" s="253"/>
      <c r="AQ1032" s="253"/>
      <c r="AR1032" s="253"/>
      <c r="AS1032" s="253"/>
    </row>
    <row r="1033" spans="1:45" s="252" customFormat="1" ht="35" customHeight="1">
      <c r="A1033" s="181">
        <f>ROW()-3</f>
        <v>1030</v>
      </c>
      <c r="B1033" s="181" t="s">
        <v>1577</v>
      </c>
      <c r="C1033" s="253" t="s">
        <v>83</v>
      </c>
      <c r="D1033" s="253" t="s">
        <v>155</v>
      </c>
      <c r="E1033" s="253" t="s">
        <v>202</v>
      </c>
      <c r="F1033" s="253" t="s">
        <v>1721</v>
      </c>
      <c r="G1033" s="253" t="s">
        <v>1722</v>
      </c>
      <c r="H1033" s="253" t="s">
        <v>1679</v>
      </c>
      <c r="I1033" s="181" t="s">
        <v>29</v>
      </c>
      <c r="J1033" s="181" t="s">
        <v>34</v>
      </c>
      <c r="K1033" s="181" t="s">
        <v>154</v>
      </c>
      <c r="L1033" s="247">
        <v>43924</v>
      </c>
      <c r="M1033" s="253">
        <v>7</v>
      </c>
      <c r="N1033" s="250">
        <v>2.4700000000000002</v>
      </c>
      <c r="O1033" s="253" t="s">
        <v>20</v>
      </c>
      <c r="P1033" s="253"/>
      <c r="Q1033" s="253"/>
      <c r="R1033" s="253"/>
      <c r="S1033" s="253"/>
      <c r="T1033" s="253"/>
      <c r="U1033" s="253"/>
      <c r="V1033" s="253"/>
      <c r="W1033" s="253"/>
      <c r="X1033" s="253"/>
      <c r="Y1033" s="253"/>
      <c r="Z1033" s="253"/>
      <c r="AA1033" s="253"/>
      <c r="AB1033" s="253"/>
      <c r="AC1033" s="253"/>
      <c r="AD1033" s="253"/>
      <c r="AE1033" s="253"/>
      <c r="AF1033" s="253"/>
      <c r="AG1033" s="253"/>
      <c r="AH1033" s="253"/>
      <c r="AI1033" s="253"/>
      <c r="AJ1033" s="253"/>
      <c r="AK1033" s="253"/>
      <c r="AL1033" s="253"/>
      <c r="AM1033" s="253"/>
      <c r="AN1033" s="253"/>
      <c r="AO1033" s="253"/>
      <c r="AP1033" s="253"/>
      <c r="AQ1033" s="253"/>
      <c r="AR1033" s="253"/>
      <c r="AS1033" s="253"/>
    </row>
    <row r="1034" spans="1:45" ht="35" customHeight="1">
      <c r="A1034" s="181">
        <f>ROW()-3</f>
        <v>1031</v>
      </c>
      <c r="B1034" s="181" t="s">
        <v>1577</v>
      </c>
      <c r="C1034" s="253" t="s">
        <v>83</v>
      </c>
      <c r="D1034" s="246" t="s">
        <v>220</v>
      </c>
      <c r="E1034" s="246" t="s">
        <v>2672</v>
      </c>
      <c r="F1034" s="253" t="s">
        <v>1723</v>
      </c>
      <c r="G1034" s="253" t="s">
        <v>1724</v>
      </c>
      <c r="H1034" s="253" t="s">
        <v>1723</v>
      </c>
      <c r="I1034" s="181" t="s">
        <v>29</v>
      </c>
      <c r="J1034" s="181" t="s">
        <v>34</v>
      </c>
      <c r="K1034" s="181" t="s">
        <v>154</v>
      </c>
      <c r="L1034" s="247">
        <v>43943</v>
      </c>
      <c r="M1034" s="253">
        <v>481</v>
      </c>
      <c r="N1034" s="250">
        <v>29.46</v>
      </c>
      <c r="O1034" s="253" t="s">
        <v>30</v>
      </c>
      <c r="P1034" s="253"/>
      <c r="Q1034" s="253"/>
      <c r="R1034" s="253"/>
      <c r="S1034" s="253"/>
      <c r="T1034" s="253"/>
      <c r="U1034" s="253"/>
      <c r="V1034" s="253"/>
      <c r="W1034" s="253"/>
      <c r="X1034" s="253"/>
      <c r="Y1034" s="253"/>
      <c r="Z1034" s="253"/>
      <c r="AA1034" s="253"/>
      <c r="AB1034" s="253"/>
      <c r="AC1034" s="253"/>
      <c r="AD1034" s="253"/>
      <c r="AE1034" s="253"/>
      <c r="AF1034" s="253"/>
      <c r="AG1034" s="253"/>
      <c r="AH1034" s="253"/>
      <c r="AI1034" s="253"/>
      <c r="AJ1034" s="253"/>
      <c r="AK1034" s="253"/>
      <c r="AL1034" s="253"/>
      <c r="AM1034" s="253"/>
      <c r="AN1034" s="253"/>
      <c r="AO1034" s="253"/>
      <c r="AP1034" s="253"/>
      <c r="AQ1034" s="253"/>
      <c r="AR1034" s="253"/>
      <c r="AS1034" s="253"/>
    </row>
    <row r="1035" spans="1:45" s="252" customFormat="1" ht="35" customHeight="1">
      <c r="A1035" s="181">
        <f>ROW()-3</f>
        <v>1032</v>
      </c>
      <c r="B1035" s="253" t="s">
        <v>1577</v>
      </c>
      <c r="C1035" s="253" t="s">
        <v>83</v>
      </c>
      <c r="D1035" s="253" t="s">
        <v>5362</v>
      </c>
      <c r="E1035" s="253" t="s">
        <v>5359</v>
      </c>
      <c r="F1035" s="253" t="s">
        <v>1725</v>
      </c>
      <c r="G1035" s="253" t="s">
        <v>1726</v>
      </c>
      <c r="H1035" s="253" t="s">
        <v>1727</v>
      </c>
      <c r="I1035" s="181" t="s">
        <v>29</v>
      </c>
      <c r="J1035" s="181" t="s">
        <v>34</v>
      </c>
      <c r="K1035" s="181" t="s">
        <v>154</v>
      </c>
      <c r="L1035" s="247">
        <v>43947</v>
      </c>
      <c r="M1035" s="253">
        <v>367</v>
      </c>
      <c r="N1035" s="250">
        <v>9.6300000000000008</v>
      </c>
      <c r="O1035" s="253" t="s">
        <v>30</v>
      </c>
      <c r="P1035" s="253"/>
      <c r="Q1035" s="253"/>
      <c r="R1035" s="253"/>
      <c r="S1035" s="253"/>
      <c r="T1035" s="253"/>
      <c r="U1035" s="253"/>
      <c r="V1035" s="253"/>
      <c r="W1035" s="253"/>
      <c r="X1035" s="253"/>
      <c r="Y1035" s="253"/>
      <c r="Z1035" s="253"/>
      <c r="AA1035" s="253"/>
      <c r="AB1035" s="253"/>
      <c r="AC1035" s="253"/>
      <c r="AD1035" s="253"/>
      <c r="AE1035" s="253"/>
      <c r="AF1035" s="253"/>
      <c r="AG1035" s="253"/>
      <c r="AH1035" s="253"/>
      <c r="AI1035" s="253"/>
      <c r="AJ1035" s="253"/>
      <c r="AK1035" s="253"/>
      <c r="AL1035" s="253"/>
      <c r="AM1035" s="253"/>
      <c r="AN1035" s="253"/>
      <c r="AO1035" s="253"/>
      <c r="AP1035" s="253"/>
      <c r="AQ1035" s="253"/>
      <c r="AR1035" s="253"/>
      <c r="AS1035" s="253"/>
    </row>
    <row r="1036" spans="1:45" s="252" customFormat="1" ht="35" customHeight="1">
      <c r="A1036" s="181">
        <f>ROW()-3</f>
        <v>1033</v>
      </c>
      <c r="B1036" s="253" t="s">
        <v>1577</v>
      </c>
      <c r="C1036" s="253" t="s">
        <v>83</v>
      </c>
      <c r="D1036" s="253" t="s">
        <v>5362</v>
      </c>
      <c r="E1036" s="253" t="s">
        <v>5359</v>
      </c>
      <c r="F1036" s="253" t="s">
        <v>1728</v>
      </c>
      <c r="G1036" s="253" t="s">
        <v>1729</v>
      </c>
      <c r="H1036" s="253" t="s">
        <v>1728</v>
      </c>
      <c r="I1036" s="181" t="s">
        <v>29</v>
      </c>
      <c r="J1036" s="181" t="s">
        <v>34</v>
      </c>
      <c r="K1036" s="181" t="s">
        <v>154</v>
      </c>
      <c r="L1036" s="247">
        <v>43957</v>
      </c>
      <c r="M1036" s="253">
        <v>79</v>
      </c>
      <c r="N1036" s="250">
        <v>2.74</v>
      </c>
      <c r="O1036" s="253" t="s">
        <v>20</v>
      </c>
      <c r="P1036" s="253"/>
      <c r="Q1036" s="253"/>
      <c r="R1036" s="253"/>
      <c r="S1036" s="253"/>
      <c r="T1036" s="253"/>
      <c r="U1036" s="253"/>
      <c r="V1036" s="253"/>
      <c r="W1036" s="253"/>
      <c r="X1036" s="253"/>
      <c r="Y1036" s="253"/>
      <c r="Z1036" s="253"/>
      <c r="AA1036" s="253"/>
      <c r="AB1036" s="253"/>
      <c r="AC1036" s="253"/>
      <c r="AD1036" s="253"/>
      <c r="AE1036" s="253"/>
      <c r="AF1036" s="253"/>
      <c r="AG1036" s="253"/>
      <c r="AH1036" s="253"/>
      <c r="AI1036" s="253"/>
      <c r="AJ1036" s="253"/>
      <c r="AK1036" s="253"/>
      <c r="AL1036" s="253"/>
      <c r="AM1036" s="253"/>
      <c r="AN1036" s="253"/>
      <c r="AO1036" s="253"/>
      <c r="AP1036" s="253"/>
      <c r="AQ1036" s="253"/>
      <c r="AR1036" s="253"/>
      <c r="AS1036" s="253"/>
    </row>
    <row r="1037" spans="1:45" ht="35" customHeight="1">
      <c r="A1037" s="181">
        <f>ROW()-3</f>
        <v>1034</v>
      </c>
      <c r="B1037" s="253" t="s">
        <v>1577</v>
      </c>
      <c r="C1037" s="253" t="s">
        <v>83</v>
      </c>
      <c r="D1037" s="253" t="s">
        <v>5362</v>
      </c>
      <c r="E1037" s="253" t="s">
        <v>5359</v>
      </c>
      <c r="F1037" s="253" t="s">
        <v>1730</v>
      </c>
      <c r="G1037" s="253" t="s">
        <v>1731</v>
      </c>
      <c r="H1037" s="253" t="s">
        <v>1732</v>
      </c>
      <c r="I1037" s="253" t="s">
        <v>29</v>
      </c>
      <c r="J1037" s="181" t="s">
        <v>34</v>
      </c>
      <c r="K1037" s="181" t="s">
        <v>154</v>
      </c>
      <c r="L1037" s="247">
        <v>43965</v>
      </c>
      <c r="M1037" s="253">
        <v>508</v>
      </c>
      <c r="N1037" s="250">
        <v>16.22</v>
      </c>
      <c r="O1037" s="253" t="s">
        <v>30</v>
      </c>
      <c r="P1037" s="253"/>
      <c r="Q1037" s="253"/>
      <c r="R1037" s="253"/>
      <c r="S1037" s="253"/>
      <c r="T1037" s="253"/>
      <c r="U1037" s="253"/>
      <c r="V1037" s="253"/>
      <c r="W1037" s="253"/>
      <c r="X1037" s="253"/>
      <c r="Y1037" s="253"/>
      <c r="Z1037" s="253"/>
      <c r="AA1037" s="253"/>
      <c r="AB1037" s="253"/>
      <c r="AC1037" s="253"/>
      <c r="AD1037" s="253"/>
      <c r="AE1037" s="253"/>
      <c r="AF1037" s="253"/>
      <c r="AG1037" s="253"/>
      <c r="AH1037" s="253"/>
      <c r="AI1037" s="253"/>
      <c r="AJ1037" s="253"/>
      <c r="AK1037" s="253"/>
      <c r="AL1037" s="253"/>
      <c r="AM1037" s="253"/>
      <c r="AN1037" s="253"/>
      <c r="AO1037" s="253"/>
      <c r="AP1037" s="253"/>
      <c r="AQ1037" s="253"/>
      <c r="AR1037" s="253"/>
      <c r="AS1037" s="253"/>
    </row>
    <row r="1038" spans="1:45" ht="35" customHeight="1">
      <c r="A1038" s="181">
        <f>ROW()-3</f>
        <v>1035</v>
      </c>
      <c r="B1038" s="253" t="s">
        <v>1577</v>
      </c>
      <c r="C1038" s="253" t="s">
        <v>83</v>
      </c>
      <c r="D1038" s="253" t="s">
        <v>1445</v>
      </c>
      <c r="E1038" s="253" t="s">
        <v>1445</v>
      </c>
      <c r="F1038" s="253" t="s">
        <v>1733</v>
      </c>
      <c r="G1038" s="253" t="s">
        <v>1734</v>
      </c>
      <c r="H1038" s="253" t="s">
        <v>1735</v>
      </c>
      <c r="I1038" s="253" t="s">
        <v>29</v>
      </c>
      <c r="J1038" s="181" t="s">
        <v>34</v>
      </c>
      <c r="K1038" s="181" t="s">
        <v>154</v>
      </c>
      <c r="L1038" s="247">
        <v>44035</v>
      </c>
      <c r="M1038" s="253">
        <v>21</v>
      </c>
      <c r="N1038" s="250">
        <v>0.93</v>
      </c>
      <c r="O1038" s="253" t="s">
        <v>20</v>
      </c>
      <c r="P1038" s="253"/>
      <c r="Q1038" s="253"/>
      <c r="R1038" s="253"/>
      <c r="S1038" s="253"/>
      <c r="T1038" s="253"/>
      <c r="U1038" s="253"/>
      <c r="V1038" s="253"/>
      <c r="W1038" s="253"/>
      <c r="X1038" s="253"/>
      <c r="Y1038" s="253"/>
      <c r="Z1038" s="253"/>
      <c r="AA1038" s="253"/>
      <c r="AB1038" s="253"/>
      <c r="AC1038" s="253"/>
      <c r="AD1038" s="253"/>
      <c r="AE1038" s="253"/>
      <c r="AF1038" s="253"/>
      <c r="AG1038" s="253"/>
      <c r="AH1038" s="253"/>
      <c r="AI1038" s="253"/>
      <c r="AJ1038" s="253"/>
      <c r="AK1038" s="253"/>
      <c r="AL1038" s="253"/>
      <c r="AM1038" s="253"/>
      <c r="AN1038" s="253"/>
      <c r="AO1038" s="253"/>
      <c r="AP1038" s="253"/>
      <c r="AQ1038" s="253"/>
      <c r="AR1038" s="253"/>
      <c r="AS1038" s="253"/>
    </row>
    <row r="1039" spans="1:45" ht="35" customHeight="1">
      <c r="A1039" s="181">
        <f>ROW()-3</f>
        <v>1036</v>
      </c>
      <c r="B1039" s="253" t="s">
        <v>1577</v>
      </c>
      <c r="C1039" s="253" t="s">
        <v>83</v>
      </c>
      <c r="D1039" s="253" t="s">
        <v>706</v>
      </c>
      <c r="E1039" s="253" t="s">
        <v>1429</v>
      </c>
      <c r="F1039" s="253" t="s">
        <v>1736</v>
      </c>
      <c r="G1039" s="253" t="s">
        <v>1737</v>
      </c>
      <c r="H1039" s="253" t="s">
        <v>1738</v>
      </c>
      <c r="I1039" s="253" t="s">
        <v>29</v>
      </c>
      <c r="J1039" s="181" t="s">
        <v>34</v>
      </c>
      <c r="K1039" s="181" t="s">
        <v>154</v>
      </c>
      <c r="L1039" s="247">
        <v>44099</v>
      </c>
      <c r="M1039" s="253">
        <v>2895</v>
      </c>
      <c r="N1039" s="250">
        <v>25.9</v>
      </c>
      <c r="O1039" s="253" t="s">
        <v>30</v>
      </c>
      <c r="P1039" s="253"/>
      <c r="Q1039" s="253"/>
      <c r="R1039" s="253"/>
      <c r="S1039" s="253"/>
      <c r="T1039" s="253"/>
      <c r="U1039" s="253"/>
      <c r="V1039" s="253"/>
      <c r="W1039" s="253"/>
      <c r="X1039" s="253"/>
      <c r="Y1039" s="253"/>
      <c r="Z1039" s="253"/>
      <c r="AA1039" s="253"/>
      <c r="AB1039" s="253"/>
      <c r="AC1039" s="253"/>
      <c r="AD1039" s="253"/>
      <c r="AE1039" s="253"/>
      <c r="AF1039" s="253"/>
      <c r="AG1039" s="253"/>
      <c r="AH1039" s="253"/>
      <c r="AI1039" s="253"/>
      <c r="AJ1039" s="253"/>
      <c r="AK1039" s="253"/>
      <c r="AL1039" s="253"/>
      <c r="AM1039" s="253"/>
      <c r="AN1039" s="253"/>
      <c r="AO1039" s="253"/>
      <c r="AP1039" s="253"/>
      <c r="AQ1039" s="253"/>
      <c r="AR1039" s="253"/>
      <c r="AS1039" s="253"/>
    </row>
    <row r="1040" spans="1:45" s="252" customFormat="1" ht="35" customHeight="1">
      <c r="A1040" s="181">
        <f>ROW()-3</f>
        <v>1037</v>
      </c>
      <c r="B1040" s="253" t="s">
        <v>1577</v>
      </c>
      <c r="C1040" s="253" t="s">
        <v>83</v>
      </c>
      <c r="D1040" s="253" t="s">
        <v>155</v>
      </c>
      <c r="E1040" s="253" t="s">
        <v>156</v>
      </c>
      <c r="F1040" s="253" t="s">
        <v>5450</v>
      </c>
      <c r="G1040" s="253" t="s">
        <v>1739</v>
      </c>
      <c r="H1040" s="253" t="s">
        <v>1740</v>
      </c>
      <c r="I1040" s="253" t="s">
        <v>29</v>
      </c>
      <c r="J1040" s="253" t="s">
        <v>34</v>
      </c>
      <c r="K1040" s="253" t="s">
        <v>154</v>
      </c>
      <c r="L1040" s="247">
        <v>44165</v>
      </c>
      <c r="M1040" s="253">
        <v>5</v>
      </c>
      <c r="N1040" s="250">
        <v>0.9</v>
      </c>
      <c r="O1040" s="253" t="s">
        <v>20</v>
      </c>
      <c r="P1040" s="253"/>
      <c r="Q1040" s="253"/>
      <c r="R1040" s="253"/>
      <c r="S1040" s="253"/>
      <c r="T1040" s="253"/>
      <c r="U1040" s="253"/>
      <c r="V1040" s="253"/>
      <c r="W1040" s="253"/>
      <c r="X1040" s="253"/>
      <c r="Y1040" s="253"/>
      <c r="Z1040" s="253"/>
      <c r="AA1040" s="253"/>
      <c r="AB1040" s="253"/>
      <c r="AC1040" s="253"/>
      <c r="AD1040" s="253"/>
      <c r="AE1040" s="253"/>
      <c r="AF1040" s="253"/>
      <c r="AG1040" s="253"/>
      <c r="AH1040" s="253"/>
      <c r="AI1040" s="253"/>
      <c r="AJ1040" s="253"/>
      <c r="AK1040" s="253"/>
      <c r="AL1040" s="253"/>
      <c r="AM1040" s="253"/>
      <c r="AN1040" s="253"/>
      <c r="AO1040" s="253"/>
      <c r="AP1040" s="253"/>
      <c r="AQ1040" s="253"/>
      <c r="AR1040" s="253"/>
      <c r="AS1040" s="253"/>
    </row>
    <row r="1041" spans="1:45" s="252" customFormat="1" ht="35" customHeight="1">
      <c r="A1041" s="181">
        <f>ROW()-3</f>
        <v>1038</v>
      </c>
      <c r="B1041" s="253" t="s">
        <v>1577</v>
      </c>
      <c r="C1041" s="253" t="s">
        <v>83</v>
      </c>
      <c r="D1041" s="253" t="s">
        <v>119</v>
      </c>
      <c r="E1041" s="253" t="s">
        <v>161</v>
      </c>
      <c r="F1041" s="253" t="s">
        <v>1741</v>
      </c>
      <c r="G1041" s="253" t="s">
        <v>1742</v>
      </c>
      <c r="H1041" s="253" t="s">
        <v>1743</v>
      </c>
      <c r="I1041" s="253" t="s">
        <v>29</v>
      </c>
      <c r="J1041" s="253" t="s">
        <v>34</v>
      </c>
      <c r="K1041" s="253" t="s">
        <v>154</v>
      </c>
      <c r="L1041" s="247">
        <v>44188</v>
      </c>
      <c r="M1041" s="253">
        <v>105</v>
      </c>
      <c r="N1041" s="250">
        <v>240</v>
      </c>
      <c r="O1041" s="253" t="s">
        <v>30</v>
      </c>
      <c r="P1041" s="253"/>
      <c r="Q1041" s="253"/>
      <c r="R1041" s="253"/>
      <c r="S1041" s="253"/>
      <c r="T1041" s="253"/>
      <c r="U1041" s="253"/>
      <c r="V1041" s="253"/>
      <c r="W1041" s="253"/>
      <c r="X1041" s="253"/>
      <c r="Y1041" s="253"/>
      <c r="Z1041" s="253"/>
      <c r="AA1041" s="253"/>
      <c r="AB1041" s="253"/>
      <c r="AC1041" s="253"/>
      <c r="AD1041" s="253"/>
      <c r="AE1041" s="253"/>
      <c r="AF1041" s="253"/>
      <c r="AG1041" s="253"/>
      <c r="AH1041" s="253"/>
      <c r="AI1041" s="253"/>
      <c r="AJ1041" s="253"/>
      <c r="AK1041" s="253"/>
      <c r="AL1041" s="253"/>
      <c r="AM1041" s="253"/>
      <c r="AN1041" s="253"/>
      <c r="AO1041" s="253"/>
      <c r="AP1041" s="253"/>
      <c r="AQ1041" s="253"/>
      <c r="AR1041" s="253"/>
      <c r="AS1041" s="253"/>
    </row>
    <row r="1042" spans="1:45" s="252" customFormat="1" ht="35" customHeight="1">
      <c r="A1042" s="181">
        <f>ROW()-3</f>
        <v>1039</v>
      </c>
      <c r="B1042" s="253" t="s">
        <v>1577</v>
      </c>
      <c r="C1042" s="253" t="s">
        <v>83</v>
      </c>
      <c r="D1042" s="252" t="s">
        <v>155</v>
      </c>
      <c r="E1042" s="252" t="s">
        <v>202</v>
      </c>
      <c r="F1042" s="253" t="s">
        <v>1744</v>
      </c>
      <c r="G1042" s="253" t="s">
        <v>1745</v>
      </c>
      <c r="H1042" s="253" t="s">
        <v>1744</v>
      </c>
      <c r="I1042" s="253" t="s">
        <v>29</v>
      </c>
      <c r="J1042" s="253" t="s">
        <v>34</v>
      </c>
      <c r="K1042" s="253" t="s">
        <v>154</v>
      </c>
      <c r="L1042" s="247">
        <v>44188</v>
      </c>
      <c r="M1042" s="253">
        <v>35</v>
      </c>
      <c r="N1042" s="250">
        <v>1.7</v>
      </c>
      <c r="O1042" s="253" t="s">
        <v>30</v>
      </c>
      <c r="P1042" s="253"/>
      <c r="Q1042" s="253"/>
      <c r="R1042" s="253"/>
      <c r="S1042" s="253"/>
      <c r="T1042" s="253"/>
      <c r="U1042" s="253"/>
      <c r="V1042" s="253"/>
      <c r="W1042" s="253"/>
      <c r="X1042" s="253"/>
      <c r="Y1042" s="253"/>
      <c r="Z1042" s="253"/>
      <c r="AA1042" s="253"/>
      <c r="AB1042" s="253"/>
      <c r="AC1042" s="253"/>
      <c r="AD1042" s="253"/>
      <c r="AE1042" s="253"/>
      <c r="AF1042" s="253"/>
      <c r="AG1042" s="253"/>
      <c r="AH1042" s="253"/>
      <c r="AI1042" s="253"/>
      <c r="AJ1042" s="253"/>
      <c r="AK1042" s="253"/>
      <c r="AL1042" s="253"/>
      <c r="AM1042" s="253"/>
      <c r="AN1042" s="253"/>
      <c r="AO1042" s="253"/>
      <c r="AP1042" s="253"/>
      <c r="AQ1042" s="253"/>
      <c r="AR1042" s="253"/>
      <c r="AS1042" s="253"/>
    </row>
    <row r="1043" spans="1:45" s="252" customFormat="1" ht="35" customHeight="1">
      <c r="A1043" s="181">
        <f>ROW()-3</f>
        <v>1040</v>
      </c>
      <c r="B1043" s="253" t="s">
        <v>1577</v>
      </c>
      <c r="C1043" s="253" t="s">
        <v>83</v>
      </c>
      <c r="D1043" s="253" t="s">
        <v>155</v>
      </c>
      <c r="E1043" s="304" t="s">
        <v>202</v>
      </c>
      <c r="F1043" s="304" t="s">
        <v>5449</v>
      </c>
      <c r="G1043" s="253" t="s">
        <v>1746</v>
      </c>
      <c r="H1043" s="253" t="s">
        <v>1658</v>
      </c>
      <c r="I1043" s="253" t="s">
        <v>29</v>
      </c>
      <c r="J1043" s="253" t="s">
        <v>34</v>
      </c>
      <c r="K1043" s="253" t="s">
        <v>154</v>
      </c>
      <c r="L1043" s="247">
        <v>44189</v>
      </c>
      <c r="M1043" s="253">
        <v>12</v>
      </c>
      <c r="N1043" s="250">
        <v>3</v>
      </c>
      <c r="O1043" s="253" t="s">
        <v>20</v>
      </c>
      <c r="P1043" s="253"/>
      <c r="Q1043" s="253"/>
      <c r="R1043" s="253"/>
      <c r="S1043" s="253"/>
      <c r="T1043" s="253"/>
      <c r="U1043" s="253"/>
      <c r="V1043" s="253"/>
      <c r="W1043" s="253"/>
      <c r="X1043" s="253"/>
      <c r="Y1043" s="253"/>
      <c r="Z1043" s="253"/>
      <c r="AA1043" s="253"/>
      <c r="AB1043" s="253"/>
      <c r="AC1043" s="253"/>
      <c r="AD1043" s="253"/>
      <c r="AE1043" s="253"/>
      <c r="AF1043" s="253"/>
      <c r="AG1043" s="253"/>
      <c r="AH1043" s="253"/>
      <c r="AI1043" s="253"/>
      <c r="AJ1043" s="253"/>
      <c r="AK1043" s="253"/>
      <c r="AL1043" s="253"/>
      <c r="AM1043" s="253"/>
      <c r="AN1043" s="253"/>
      <c r="AO1043" s="253"/>
      <c r="AP1043" s="253"/>
      <c r="AQ1043" s="253"/>
      <c r="AR1043" s="253"/>
      <c r="AS1043" s="253"/>
    </row>
    <row r="1044" spans="1:45" s="252" customFormat="1" ht="35" customHeight="1">
      <c r="A1044" s="181">
        <f>ROW()-3</f>
        <v>1041</v>
      </c>
      <c r="B1044" s="253" t="s">
        <v>1577</v>
      </c>
      <c r="C1044" s="253" t="s">
        <v>83</v>
      </c>
      <c r="D1044" s="252" t="s">
        <v>5444</v>
      </c>
      <c r="E1044" s="304" t="s">
        <v>127</v>
      </c>
      <c r="F1044" s="304" t="s">
        <v>1747</v>
      </c>
      <c r="G1044" s="253" t="s">
        <v>1747</v>
      </c>
      <c r="H1044" s="253" t="s">
        <v>562</v>
      </c>
      <c r="I1044" s="253" t="s">
        <v>29</v>
      </c>
      <c r="J1044" s="253" t="s">
        <v>34</v>
      </c>
      <c r="K1044" s="253" t="s">
        <v>154</v>
      </c>
      <c r="L1044" s="247">
        <v>44406</v>
      </c>
      <c r="M1044" s="253">
        <v>94</v>
      </c>
      <c r="N1044" s="250">
        <v>15.6</v>
      </c>
      <c r="O1044" s="253" t="s">
        <v>20</v>
      </c>
      <c r="P1044" s="253"/>
      <c r="Q1044" s="253"/>
      <c r="R1044" s="253"/>
      <c r="S1044" s="253"/>
      <c r="T1044" s="253"/>
      <c r="U1044" s="253"/>
      <c r="V1044" s="253"/>
      <c r="W1044" s="253"/>
      <c r="X1044" s="253"/>
      <c r="Y1044" s="253"/>
      <c r="Z1044" s="253"/>
      <c r="AA1044" s="253"/>
      <c r="AB1044" s="253"/>
      <c r="AC1044" s="253"/>
      <c r="AD1044" s="253"/>
      <c r="AE1044" s="253"/>
      <c r="AF1044" s="253"/>
      <c r="AG1044" s="253"/>
      <c r="AH1044" s="253"/>
      <c r="AI1044" s="253"/>
      <c r="AJ1044" s="253"/>
      <c r="AK1044" s="253"/>
      <c r="AL1044" s="253"/>
      <c r="AM1044" s="253"/>
      <c r="AN1044" s="253"/>
      <c r="AO1044" s="253"/>
      <c r="AP1044" s="253"/>
      <c r="AQ1044" s="253"/>
      <c r="AR1044" s="253"/>
      <c r="AS1044" s="253"/>
    </row>
    <row r="1045" spans="1:45" ht="35" customHeight="1">
      <c r="A1045" s="181">
        <f>ROW()-3</f>
        <v>1042</v>
      </c>
      <c r="B1045" s="253" t="s">
        <v>1577</v>
      </c>
      <c r="C1045" s="253" t="s">
        <v>83</v>
      </c>
      <c r="D1045" s="252" t="s">
        <v>155</v>
      </c>
      <c r="E1045" s="304" t="s">
        <v>156</v>
      </c>
      <c r="F1045" s="304" t="s">
        <v>1748</v>
      </c>
      <c r="G1045" s="304" t="s">
        <v>1749</v>
      </c>
      <c r="H1045" s="304" t="s">
        <v>1750</v>
      </c>
      <c r="I1045" s="253" t="s">
        <v>29</v>
      </c>
      <c r="J1045" s="253" t="s">
        <v>34</v>
      </c>
      <c r="K1045" s="253" t="s">
        <v>154</v>
      </c>
      <c r="L1045" s="247">
        <v>44440</v>
      </c>
      <c r="M1045" s="253">
        <v>735</v>
      </c>
      <c r="N1045" s="250">
        <v>147.4</v>
      </c>
      <c r="O1045" s="253" t="s">
        <v>30</v>
      </c>
      <c r="P1045" s="253"/>
      <c r="Q1045" s="253"/>
      <c r="R1045" s="253"/>
      <c r="S1045" s="253"/>
      <c r="T1045" s="253"/>
      <c r="U1045" s="253"/>
      <c r="V1045" s="253"/>
      <c r="W1045" s="253"/>
      <c r="X1045" s="253"/>
      <c r="Y1045" s="253"/>
      <c r="Z1045" s="253"/>
      <c r="AA1045" s="253"/>
      <c r="AB1045" s="253"/>
      <c r="AC1045" s="253"/>
      <c r="AD1045" s="253"/>
      <c r="AE1045" s="253"/>
      <c r="AF1045" s="253"/>
      <c r="AG1045" s="253"/>
      <c r="AH1045" s="253"/>
      <c r="AI1045" s="253"/>
      <c r="AJ1045" s="253"/>
      <c r="AK1045" s="253"/>
      <c r="AL1045" s="253"/>
      <c r="AM1045" s="253"/>
      <c r="AN1045" s="253"/>
      <c r="AO1045" s="253"/>
      <c r="AP1045" s="253"/>
      <c r="AQ1045" s="253"/>
      <c r="AR1045" s="253"/>
      <c r="AS1045" s="253"/>
    </row>
    <row r="1046" spans="1:45" ht="35" customHeight="1">
      <c r="A1046" s="181">
        <f>ROW()-3</f>
        <v>1043</v>
      </c>
      <c r="B1046" s="253" t="s">
        <v>1577</v>
      </c>
      <c r="C1046" s="253" t="s">
        <v>2650</v>
      </c>
      <c r="D1046" s="253" t="s">
        <v>2474</v>
      </c>
      <c r="E1046" s="304" t="s">
        <v>2475</v>
      </c>
      <c r="F1046" s="304" t="s">
        <v>1761</v>
      </c>
      <c r="G1046" s="304" t="s">
        <v>1622</v>
      </c>
      <c r="H1046" s="304" t="s">
        <v>1623</v>
      </c>
      <c r="I1046" s="304" t="s">
        <v>29</v>
      </c>
      <c r="J1046" s="253" t="s">
        <v>34</v>
      </c>
      <c r="K1046" s="253" t="s">
        <v>154</v>
      </c>
      <c r="L1046" s="247">
        <v>43391</v>
      </c>
      <c r="M1046" s="253">
        <v>117</v>
      </c>
      <c r="N1046" s="250">
        <v>22.7</v>
      </c>
      <c r="O1046" s="253" t="s">
        <v>20</v>
      </c>
      <c r="P1046" s="253"/>
      <c r="Q1046" s="253"/>
      <c r="R1046" s="253"/>
      <c r="S1046" s="253"/>
      <c r="T1046" s="253"/>
      <c r="U1046" s="253"/>
      <c r="V1046" s="253"/>
      <c r="W1046" s="253"/>
      <c r="X1046" s="253"/>
      <c r="Y1046" s="253"/>
      <c r="Z1046" s="253"/>
      <c r="AA1046" s="253"/>
      <c r="AB1046" s="253"/>
      <c r="AC1046" s="253"/>
      <c r="AD1046" s="253"/>
      <c r="AE1046" s="253"/>
      <c r="AF1046" s="253"/>
      <c r="AG1046" s="253"/>
      <c r="AH1046" s="253"/>
      <c r="AI1046" s="253"/>
      <c r="AJ1046" s="253"/>
      <c r="AK1046" s="253"/>
      <c r="AL1046" s="253"/>
      <c r="AM1046" s="253"/>
      <c r="AN1046" s="253"/>
      <c r="AO1046" s="253"/>
      <c r="AP1046" s="253"/>
      <c r="AQ1046" s="253"/>
      <c r="AR1046" s="253"/>
      <c r="AS1046" s="253"/>
    </row>
    <row r="1047" spans="1:45" ht="35" customHeight="1">
      <c r="A1047" s="181">
        <f>ROW()-3</f>
        <v>1044</v>
      </c>
      <c r="B1047" s="253" t="s">
        <v>1577</v>
      </c>
      <c r="C1047" s="253" t="s">
        <v>2650</v>
      </c>
      <c r="D1047" s="253" t="s">
        <v>2474</v>
      </c>
      <c r="E1047" s="304" t="s">
        <v>2475</v>
      </c>
      <c r="F1047" s="304" t="s">
        <v>1624</v>
      </c>
      <c r="G1047" s="304" t="s">
        <v>1760</v>
      </c>
      <c r="H1047" s="304" t="s">
        <v>1176</v>
      </c>
      <c r="I1047" s="253" t="s">
        <v>29</v>
      </c>
      <c r="J1047" s="253" t="s">
        <v>34</v>
      </c>
      <c r="K1047" s="253" t="s">
        <v>154</v>
      </c>
      <c r="L1047" s="247">
        <v>43391</v>
      </c>
      <c r="M1047" s="253">
        <v>53</v>
      </c>
      <c r="N1047" s="250">
        <v>9.82</v>
      </c>
      <c r="O1047" s="253" t="s">
        <v>20</v>
      </c>
      <c r="P1047" s="253"/>
      <c r="Q1047" s="253"/>
      <c r="R1047" s="253"/>
      <c r="S1047" s="253"/>
      <c r="T1047" s="253"/>
      <c r="U1047" s="253"/>
      <c r="V1047" s="253"/>
      <c r="W1047" s="253"/>
      <c r="X1047" s="253"/>
      <c r="Y1047" s="253"/>
      <c r="Z1047" s="253"/>
      <c r="AA1047" s="253"/>
      <c r="AB1047" s="253"/>
      <c r="AC1047" s="253"/>
      <c r="AD1047" s="253"/>
      <c r="AE1047" s="253"/>
      <c r="AF1047" s="253"/>
      <c r="AG1047" s="253"/>
      <c r="AH1047" s="253"/>
      <c r="AI1047" s="253"/>
      <c r="AJ1047" s="253"/>
      <c r="AK1047" s="253"/>
      <c r="AL1047" s="253"/>
      <c r="AM1047" s="253"/>
      <c r="AN1047" s="253"/>
      <c r="AO1047" s="253"/>
      <c r="AP1047" s="253"/>
      <c r="AQ1047" s="253"/>
      <c r="AR1047" s="253"/>
      <c r="AS1047" s="253"/>
    </row>
  </sheetData>
  <autoFilter ref="A3:AS1047" xr:uid="{F02984E9-64BA-4B59-88AF-047BB5B94CA2}">
    <filterColumn colId="2">
      <filters>
        <filter val="通用课"/>
        <filter val="通用课/岗位课"/>
        <filter val="通用课/商学院"/>
      </filters>
    </filterColumn>
  </autoFilter>
  <sortState ref="A4:AS1047">
    <sortCondition ref="B4:B1047" customList="VIP 精品课，畅听课"/>
    <sortCondition ref="C4:C1047" customList="通用课，岗位课，商学院，其他"/>
    <sortCondition ref="L4:L1047"/>
  </sortState>
  <mergeCells count="2">
    <mergeCell ref="A1:P1"/>
    <mergeCell ref="A2:P2"/>
  </mergeCells>
  <phoneticPr fontId="1" type="noConversion"/>
  <conditionalFormatting sqref="A3:A1048576">
    <cfRule type="duplicateValues" dxfId="1" priority="4"/>
    <cfRule type="duplicateValues" dxfId="0" priority="5"/>
  </conditionalFormatting>
  <conditionalFormatting sqref="F4:F1039">
    <cfRule type="duplicateValues" dxfId="16" priority="47"/>
    <cfRule type="duplicateValues" dxfId="15" priority="48"/>
    <cfRule type="duplicateValues" dxfId="14" priority="4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286A-2395-4576-AF74-D0A824E46E4C}">
  <dimension ref="A1:AS334"/>
  <sheetViews>
    <sheetView zoomScaleNormal="100" workbookViewId="0">
      <pane ySplit="2" topLeftCell="A329" activePane="bottomLeft" state="frozen"/>
      <selection pane="bottomLeft" activeCell="F3" sqref="F3:F334"/>
    </sheetView>
  </sheetViews>
  <sheetFormatPr defaultRowHeight="14"/>
  <cols>
    <col min="1" max="1" width="8.6640625" style="22" customWidth="1"/>
    <col min="2" max="5" width="8.6640625" style="22"/>
    <col min="6" max="6" width="29.58203125" style="22" customWidth="1"/>
    <col min="7" max="7" width="41.1640625" style="22" customWidth="1"/>
    <col min="8" max="8" width="8.6640625" style="22" customWidth="1"/>
    <col min="9" max="9" width="8.6640625" style="22"/>
    <col min="10" max="10" width="10.58203125" style="22" customWidth="1"/>
    <col min="11" max="16384" width="8.6640625" style="22"/>
  </cols>
  <sheetData>
    <row r="1" spans="1:42" s="24" customFormat="1" ht="35" customHeight="1">
      <c r="A1" s="299" t="s">
        <v>2720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</row>
    <row r="2" spans="1:42" ht="35" customHeight="1">
      <c r="A2" s="163" t="s">
        <v>11</v>
      </c>
      <c r="B2" s="163" t="s">
        <v>0</v>
      </c>
      <c r="C2" s="163" t="s">
        <v>13</v>
      </c>
      <c r="D2" s="163" t="s">
        <v>1</v>
      </c>
      <c r="E2" s="1" t="s">
        <v>2</v>
      </c>
      <c r="F2" s="163" t="s">
        <v>12</v>
      </c>
      <c r="G2" s="163" t="s">
        <v>3</v>
      </c>
      <c r="H2" s="163" t="s">
        <v>4</v>
      </c>
      <c r="I2" s="163" t="s">
        <v>5</v>
      </c>
      <c r="J2" s="163" t="s">
        <v>6</v>
      </c>
      <c r="K2" s="164" t="s">
        <v>2642</v>
      </c>
      <c r="L2" s="165" t="s">
        <v>2641</v>
      </c>
      <c r="M2" s="163" t="s">
        <v>9</v>
      </c>
      <c r="N2" s="163" t="s">
        <v>10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s="2" customFormat="1" ht="35" customHeight="1">
      <c r="A3" s="174">
        <f>ROW()-2</f>
        <v>1</v>
      </c>
      <c r="B3" s="174" t="s">
        <v>14</v>
      </c>
      <c r="C3" s="174" t="s">
        <v>83</v>
      </c>
      <c r="D3" s="174" t="s">
        <v>106</v>
      </c>
      <c r="E3" s="174" t="s">
        <v>107</v>
      </c>
      <c r="F3" s="174" t="s">
        <v>108</v>
      </c>
      <c r="G3" s="174" t="s">
        <v>109</v>
      </c>
      <c r="H3" s="174" t="s">
        <v>110</v>
      </c>
      <c r="I3" s="174" t="s">
        <v>29</v>
      </c>
      <c r="J3" s="175">
        <v>43238</v>
      </c>
      <c r="K3" s="174">
        <v>20</v>
      </c>
      <c r="L3" s="176">
        <v>7.4641666666666664</v>
      </c>
      <c r="M3" s="174" t="s">
        <v>20</v>
      </c>
      <c r="N3" s="174">
        <v>198</v>
      </c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</row>
    <row r="4" spans="1:42" s="174" customFormat="1" ht="35" customHeight="1">
      <c r="A4" s="174">
        <f>ROW()-2</f>
        <v>2</v>
      </c>
      <c r="B4" s="174" t="s">
        <v>14</v>
      </c>
      <c r="C4" s="174" t="s">
        <v>83</v>
      </c>
      <c r="D4" s="174" t="s">
        <v>106</v>
      </c>
      <c r="E4" s="174" t="s">
        <v>115</v>
      </c>
      <c r="F4" s="174" t="s">
        <v>116</v>
      </c>
      <c r="G4" s="174" t="s">
        <v>117</v>
      </c>
      <c r="H4" s="174" t="s">
        <v>118</v>
      </c>
      <c r="I4" s="174" t="s">
        <v>29</v>
      </c>
      <c r="J4" s="175">
        <v>43238</v>
      </c>
      <c r="K4" s="174">
        <v>150</v>
      </c>
      <c r="L4" s="176">
        <v>17.702500000000001</v>
      </c>
      <c r="M4" s="174" t="s">
        <v>20</v>
      </c>
      <c r="N4" s="174">
        <v>99</v>
      </c>
    </row>
    <row r="5" spans="1:42" s="174" customFormat="1" ht="35" customHeight="1">
      <c r="A5" s="174">
        <f>ROW()-2</f>
        <v>3</v>
      </c>
      <c r="B5" s="174" t="s">
        <v>14</v>
      </c>
      <c r="C5" s="174" t="s">
        <v>83</v>
      </c>
      <c r="D5" s="174" t="s">
        <v>106</v>
      </c>
      <c r="E5" s="174" t="s">
        <v>115</v>
      </c>
      <c r="F5" s="174" t="s">
        <v>148</v>
      </c>
      <c r="G5" s="174" t="s">
        <v>149</v>
      </c>
      <c r="H5" s="174" t="s">
        <v>150</v>
      </c>
      <c r="I5" s="174" t="s">
        <v>29</v>
      </c>
      <c r="J5" s="175">
        <v>43318</v>
      </c>
      <c r="K5" s="174">
        <v>72</v>
      </c>
      <c r="L5" s="176">
        <v>15.259722222222223</v>
      </c>
      <c r="M5" s="174" t="s">
        <v>20</v>
      </c>
      <c r="N5" s="174">
        <v>199</v>
      </c>
    </row>
    <row r="6" spans="1:42" s="174" customFormat="1" ht="35" customHeight="1">
      <c r="A6" s="174">
        <f>ROW()-2</f>
        <v>4</v>
      </c>
      <c r="B6" s="174" t="s">
        <v>14</v>
      </c>
      <c r="C6" s="174" t="s">
        <v>83</v>
      </c>
      <c r="D6" s="174" t="s">
        <v>106</v>
      </c>
      <c r="E6" s="174" t="s">
        <v>175</v>
      </c>
      <c r="F6" s="174" t="s">
        <v>184</v>
      </c>
      <c r="G6" s="174" t="s">
        <v>185</v>
      </c>
      <c r="H6" s="174" t="s">
        <v>186</v>
      </c>
      <c r="I6" s="174" t="s">
        <v>17</v>
      </c>
      <c r="J6" s="175">
        <v>43417</v>
      </c>
      <c r="K6" s="174">
        <v>34</v>
      </c>
      <c r="L6" s="176">
        <v>3.8472222222222223</v>
      </c>
      <c r="M6" s="174" t="s">
        <v>20</v>
      </c>
      <c r="N6" s="174">
        <v>99</v>
      </c>
    </row>
    <row r="7" spans="1:42" s="174" customFormat="1" ht="35" customHeight="1">
      <c r="A7" s="174">
        <f>ROW()-2</f>
        <v>5</v>
      </c>
      <c r="B7" s="174" t="s">
        <v>14</v>
      </c>
      <c r="C7" s="174" t="s">
        <v>83</v>
      </c>
      <c r="D7" s="174" t="s">
        <v>106</v>
      </c>
      <c r="E7" s="174" t="s">
        <v>175</v>
      </c>
      <c r="F7" s="174" t="s">
        <v>192</v>
      </c>
      <c r="G7" s="174" t="s">
        <v>193</v>
      </c>
      <c r="H7" s="174" t="s">
        <v>186</v>
      </c>
      <c r="I7" s="174" t="s">
        <v>17</v>
      </c>
      <c r="J7" s="175">
        <v>43426</v>
      </c>
      <c r="K7" s="174">
        <v>19</v>
      </c>
      <c r="L7" s="176">
        <v>7.3119444444444444</v>
      </c>
      <c r="M7" s="174" t="s">
        <v>20</v>
      </c>
      <c r="N7" s="174">
        <v>99</v>
      </c>
    </row>
    <row r="8" spans="1:42" s="174" customFormat="1" ht="35" customHeight="1">
      <c r="A8" s="174">
        <f>ROW()-2</f>
        <v>6</v>
      </c>
      <c r="B8" s="174" t="s">
        <v>14</v>
      </c>
      <c r="C8" s="174" t="s">
        <v>83</v>
      </c>
      <c r="D8" s="174" t="s">
        <v>106</v>
      </c>
      <c r="E8" s="174" t="s">
        <v>175</v>
      </c>
      <c r="F8" s="174" t="s">
        <v>194</v>
      </c>
      <c r="G8" s="174" t="s">
        <v>195</v>
      </c>
      <c r="H8" s="174" t="s">
        <v>186</v>
      </c>
      <c r="I8" s="174" t="s">
        <v>17</v>
      </c>
      <c r="J8" s="175">
        <v>43427</v>
      </c>
      <c r="K8" s="174">
        <v>40</v>
      </c>
      <c r="L8" s="176">
        <v>2.9275000000000002</v>
      </c>
      <c r="M8" s="174" t="s">
        <v>20</v>
      </c>
      <c r="N8" s="174">
        <v>50</v>
      </c>
    </row>
    <row r="9" spans="1:42" s="174" customFormat="1" ht="35" customHeight="1">
      <c r="A9" s="174">
        <f>ROW()-2</f>
        <v>7</v>
      </c>
      <c r="B9" s="174" t="s">
        <v>14</v>
      </c>
      <c r="C9" s="174" t="s">
        <v>83</v>
      </c>
      <c r="D9" s="174" t="s">
        <v>106</v>
      </c>
      <c r="E9" s="174" t="s">
        <v>175</v>
      </c>
      <c r="F9" s="174" t="s">
        <v>196</v>
      </c>
      <c r="G9" s="174" t="s">
        <v>197</v>
      </c>
      <c r="H9" s="174" t="s">
        <v>186</v>
      </c>
      <c r="I9" s="174" t="s">
        <v>17</v>
      </c>
      <c r="J9" s="175">
        <v>43427</v>
      </c>
      <c r="K9" s="174">
        <v>50</v>
      </c>
      <c r="L9" s="176">
        <v>7.6994444444444445</v>
      </c>
      <c r="M9" s="174" t="s">
        <v>20</v>
      </c>
      <c r="N9" s="174">
        <v>99</v>
      </c>
    </row>
    <row r="10" spans="1:42" s="174" customFormat="1" ht="35" customHeight="1">
      <c r="A10" s="174">
        <f>ROW()-2</f>
        <v>8</v>
      </c>
      <c r="B10" s="174" t="s">
        <v>14</v>
      </c>
      <c r="C10" s="174" t="s">
        <v>83</v>
      </c>
      <c r="D10" s="174" t="s">
        <v>106</v>
      </c>
      <c r="E10" s="174" t="s">
        <v>175</v>
      </c>
      <c r="F10" s="174" t="s">
        <v>198</v>
      </c>
      <c r="G10" s="174" t="s">
        <v>199</v>
      </c>
      <c r="H10" s="174" t="s">
        <v>186</v>
      </c>
      <c r="I10" s="174" t="s">
        <v>17</v>
      </c>
      <c r="J10" s="175">
        <v>43430</v>
      </c>
      <c r="K10" s="174">
        <v>33</v>
      </c>
      <c r="L10" s="176">
        <v>3.9175</v>
      </c>
      <c r="M10" s="174" t="s">
        <v>89</v>
      </c>
      <c r="N10" s="174">
        <v>50</v>
      </c>
    </row>
    <row r="11" spans="1:42" s="174" customFormat="1" ht="35" customHeight="1">
      <c r="A11" s="174">
        <f>ROW()-2</f>
        <v>9</v>
      </c>
      <c r="B11" s="174" t="s">
        <v>14</v>
      </c>
      <c r="C11" s="174" t="s">
        <v>83</v>
      </c>
      <c r="D11" s="174" t="s">
        <v>106</v>
      </c>
      <c r="E11" s="174" t="s">
        <v>175</v>
      </c>
      <c r="F11" s="174" t="s">
        <v>200</v>
      </c>
      <c r="G11" s="174" t="s">
        <v>5639</v>
      </c>
      <c r="H11" s="174" t="s">
        <v>186</v>
      </c>
      <c r="I11" s="174" t="s">
        <v>17</v>
      </c>
      <c r="J11" s="175">
        <v>43430</v>
      </c>
      <c r="K11" s="174">
        <v>10</v>
      </c>
      <c r="L11" s="176">
        <v>2.4908333333333332</v>
      </c>
      <c r="M11" s="174" t="s">
        <v>20</v>
      </c>
      <c r="N11" s="174">
        <v>59</v>
      </c>
    </row>
    <row r="12" spans="1:42" s="174" customFormat="1" ht="35" customHeight="1">
      <c r="A12" s="174">
        <f>ROW()-2</f>
        <v>10</v>
      </c>
      <c r="B12" s="174" t="s">
        <v>14</v>
      </c>
      <c r="C12" s="174" t="s">
        <v>83</v>
      </c>
      <c r="D12" s="174" t="s">
        <v>106</v>
      </c>
      <c r="E12" s="174" t="s">
        <v>107</v>
      </c>
      <c r="F12" s="174" t="s">
        <v>230</v>
      </c>
      <c r="G12" s="174" t="s">
        <v>231</v>
      </c>
      <c r="H12" s="174" t="s">
        <v>232</v>
      </c>
      <c r="I12" s="174" t="s">
        <v>29</v>
      </c>
      <c r="J12" s="175">
        <v>43571</v>
      </c>
      <c r="K12" s="174">
        <v>59</v>
      </c>
      <c r="L12" s="176">
        <v>7.5022222222222226</v>
      </c>
      <c r="M12" s="174" t="s">
        <v>20</v>
      </c>
      <c r="N12" s="174">
        <v>99</v>
      </c>
    </row>
    <row r="13" spans="1:42" s="174" customFormat="1" ht="35" customHeight="1">
      <c r="A13" s="174">
        <f>ROW()-2</f>
        <v>11</v>
      </c>
      <c r="B13" s="174" t="s">
        <v>14</v>
      </c>
      <c r="C13" s="174" t="s">
        <v>83</v>
      </c>
      <c r="D13" s="174" t="s">
        <v>106</v>
      </c>
      <c r="E13" s="174" t="s">
        <v>175</v>
      </c>
      <c r="F13" s="174" t="s">
        <v>239</v>
      </c>
      <c r="G13" s="174" t="s">
        <v>240</v>
      </c>
      <c r="H13" s="174" t="s">
        <v>241</v>
      </c>
      <c r="I13" s="174" t="s">
        <v>17</v>
      </c>
      <c r="J13" s="175">
        <v>43663</v>
      </c>
      <c r="K13" s="174">
        <v>14</v>
      </c>
      <c r="L13" s="176">
        <v>5.9477777777777776</v>
      </c>
      <c r="M13" s="174" t="s">
        <v>20</v>
      </c>
      <c r="N13" s="174">
        <v>66</v>
      </c>
    </row>
    <row r="14" spans="1:42" s="174" customFormat="1" ht="35" customHeight="1">
      <c r="A14" s="174">
        <f>ROW()-2</f>
        <v>12</v>
      </c>
      <c r="B14" s="174" t="s">
        <v>14</v>
      </c>
      <c r="C14" s="174" t="s">
        <v>83</v>
      </c>
      <c r="D14" s="174" t="s">
        <v>106</v>
      </c>
      <c r="E14" s="174" t="s">
        <v>115</v>
      </c>
      <c r="F14" s="174" t="s">
        <v>242</v>
      </c>
      <c r="G14" s="174" t="s">
        <v>243</v>
      </c>
      <c r="H14" s="174" t="s">
        <v>223</v>
      </c>
      <c r="I14" s="174" t="s">
        <v>29</v>
      </c>
      <c r="J14" s="175">
        <v>43690</v>
      </c>
      <c r="K14" s="174">
        <v>73</v>
      </c>
      <c r="L14" s="176">
        <v>9.674722222222222</v>
      </c>
      <c r="M14" s="174" t="s">
        <v>20</v>
      </c>
      <c r="N14" s="174">
        <v>180</v>
      </c>
    </row>
    <row r="15" spans="1:42" s="174" customFormat="1" ht="35" customHeight="1">
      <c r="A15" s="174">
        <f>ROW()-2</f>
        <v>13</v>
      </c>
      <c r="B15" s="174" t="s">
        <v>14</v>
      </c>
      <c r="C15" s="174" t="s">
        <v>83</v>
      </c>
      <c r="D15" s="174" t="s">
        <v>106</v>
      </c>
      <c r="E15" s="174" t="s">
        <v>107</v>
      </c>
      <c r="F15" s="174" t="s">
        <v>290</v>
      </c>
      <c r="G15" s="174" t="s">
        <v>291</v>
      </c>
      <c r="H15" s="174" t="s">
        <v>292</v>
      </c>
      <c r="I15" s="174" t="s">
        <v>29</v>
      </c>
      <c r="J15" s="175">
        <v>43913</v>
      </c>
      <c r="K15" s="174">
        <v>68</v>
      </c>
      <c r="L15" s="176">
        <v>22.213333333333335</v>
      </c>
      <c r="M15" s="174" t="s">
        <v>20</v>
      </c>
      <c r="N15" s="174">
        <v>199</v>
      </c>
    </row>
    <row r="16" spans="1:42" s="174" customFormat="1" ht="35" customHeight="1">
      <c r="A16" s="174">
        <f>ROW()-2</f>
        <v>14</v>
      </c>
      <c r="B16" s="174" t="s">
        <v>14</v>
      </c>
      <c r="C16" s="174" t="s">
        <v>83</v>
      </c>
      <c r="D16" s="174" t="s">
        <v>106</v>
      </c>
      <c r="E16" s="174" t="s">
        <v>107</v>
      </c>
      <c r="F16" s="174" t="s">
        <v>293</v>
      </c>
      <c r="G16" s="174" t="s">
        <v>294</v>
      </c>
      <c r="H16" s="174" t="s">
        <v>292</v>
      </c>
      <c r="I16" s="174" t="s">
        <v>29</v>
      </c>
      <c r="J16" s="175">
        <v>43914</v>
      </c>
      <c r="K16" s="174">
        <v>54</v>
      </c>
      <c r="L16" s="176">
        <v>14.196388888888889</v>
      </c>
      <c r="M16" s="174" t="s">
        <v>20</v>
      </c>
      <c r="N16" s="174">
        <v>199</v>
      </c>
    </row>
    <row r="17" spans="1:14" s="174" customFormat="1" ht="35" customHeight="1">
      <c r="A17" s="174">
        <f>ROW()-2</f>
        <v>15</v>
      </c>
      <c r="B17" s="174" t="s">
        <v>14</v>
      </c>
      <c r="C17" s="174" t="s">
        <v>83</v>
      </c>
      <c r="D17" s="174" t="s">
        <v>106</v>
      </c>
      <c r="E17" s="174" t="s">
        <v>115</v>
      </c>
      <c r="F17" s="174" t="s">
        <v>295</v>
      </c>
      <c r="G17" s="174" t="s">
        <v>296</v>
      </c>
      <c r="H17" s="174" t="s">
        <v>297</v>
      </c>
      <c r="I17" s="174" t="s">
        <v>29</v>
      </c>
      <c r="J17" s="175">
        <v>43920</v>
      </c>
      <c r="K17" s="174">
        <v>6</v>
      </c>
      <c r="L17" s="176">
        <v>1.1274999999999999</v>
      </c>
      <c r="M17" s="174" t="s">
        <v>20</v>
      </c>
      <c r="N17" s="174">
        <v>19.899999999999999</v>
      </c>
    </row>
    <row r="18" spans="1:14" s="174" customFormat="1" ht="35" customHeight="1">
      <c r="A18" s="174">
        <f>ROW()-2</f>
        <v>16</v>
      </c>
      <c r="B18" s="174" t="s">
        <v>14</v>
      </c>
      <c r="C18" s="174" t="s">
        <v>83</v>
      </c>
      <c r="D18" s="174" t="s">
        <v>106</v>
      </c>
      <c r="E18" s="174" t="s">
        <v>175</v>
      </c>
      <c r="F18" s="174" t="s">
        <v>301</v>
      </c>
      <c r="G18" s="174" t="s">
        <v>302</v>
      </c>
      <c r="H18" s="174" t="s">
        <v>303</v>
      </c>
      <c r="I18" s="174" t="s">
        <v>17</v>
      </c>
      <c r="J18" s="175">
        <v>43923</v>
      </c>
      <c r="K18" s="174">
        <v>25</v>
      </c>
      <c r="L18" s="176">
        <v>7.2769444444444442</v>
      </c>
      <c r="M18" s="174" t="s">
        <v>20</v>
      </c>
      <c r="N18" s="174">
        <v>99</v>
      </c>
    </row>
    <row r="19" spans="1:14" s="174" customFormat="1" ht="35" customHeight="1">
      <c r="A19" s="174">
        <f>ROW()-2</f>
        <v>17</v>
      </c>
      <c r="B19" s="174" t="s">
        <v>14</v>
      </c>
      <c r="C19" s="174" t="s">
        <v>83</v>
      </c>
      <c r="D19" s="174" t="s">
        <v>106</v>
      </c>
      <c r="E19" s="174" t="s">
        <v>175</v>
      </c>
      <c r="F19" s="174" t="s">
        <v>323</v>
      </c>
      <c r="G19" s="174" t="s">
        <v>324</v>
      </c>
      <c r="H19" s="174" t="s">
        <v>176</v>
      </c>
      <c r="I19" s="174" t="s">
        <v>17</v>
      </c>
      <c r="J19" s="175">
        <v>43951</v>
      </c>
      <c r="K19" s="174">
        <v>10</v>
      </c>
      <c r="L19" s="176">
        <v>4.2594444444444441</v>
      </c>
      <c r="M19" s="174" t="s">
        <v>20</v>
      </c>
      <c r="N19" s="174">
        <v>99</v>
      </c>
    </row>
    <row r="20" spans="1:14" s="174" customFormat="1" ht="35" customHeight="1">
      <c r="A20" s="174">
        <f>ROW()-2</f>
        <v>18</v>
      </c>
      <c r="B20" s="174" t="s">
        <v>14</v>
      </c>
      <c r="C20" s="174" t="s">
        <v>83</v>
      </c>
      <c r="D20" s="174" t="s">
        <v>106</v>
      </c>
      <c r="E20" s="174" t="s">
        <v>175</v>
      </c>
      <c r="F20" s="174" t="s">
        <v>325</v>
      </c>
      <c r="G20" s="174" t="s">
        <v>326</v>
      </c>
      <c r="H20" s="174" t="s">
        <v>176</v>
      </c>
      <c r="I20" s="174" t="s">
        <v>17</v>
      </c>
      <c r="J20" s="175">
        <v>43951</v>
      </c>
      <c r="K20" s="174">
        <v>10</v>
      </c>
      <c r="L20" s="176">
        <v>3.7925</v>
      </c>
      <c r="M20" s="174" t="s">
        <v>20</v>
      </c>
      <c r="N20" s="174">
        <v>119</v>
      </c>
    </row>
    <row r="21" spans="1:14" s="174" customFormat="1" ht="35" customHeight="1">
      <c r="A21" s="174">
        <f>ROW()-2</f>
        <v>19</v>
      </c>
      <c r="B21" s="174" t="s">
        <v>14</v>
      </c>
      <c r="C21" s="174" t="s">
        <v>83</v>
      </c>
      <c r="D21" s="174" t="s">
        <v>106</v>
      </c>
      <c r="E21" s="174" t="s">
        <v>175</v>
      </c>
      <c r="F21" s="174" t="s">
        <v>327</v>
      </c>
      <c r="G21" s="174" t="s">
        <v>328</v>
      </c>
      <c r="H21" s="174" t="s">
        <v>176</v>
      </c>
      <c r="I21" s="174" t="s">
        <v>17</v>
      </c>
      <c r="J21" s="175">
        <v>43951</v>
      </c>
      <c r="K21" s="174">
        <v>11</v>
      </c>
      <c r="L21" s="176">
        <v>4.1977777777777776</v>
      </c>
      <c r="M21" s="174" t="s">
        <v>20</v>
      </c>
      <c r="N21" s="174">
        <v>149</v>
      </c>
    </row>
    <row r="22" spans="1:14" s="174" customFormat="1" ht="35" customHeight="1">
      <c r="A22" s="174">
        <f>ROW()-2</f>
        <v>20</v>
      </c>
      <c r="B22" s="174" t="s">
        <v>14</v>
      </c>
      <c r="C22" s="174" t="s">
        <v>83</v>
      </c>
      <c r="D22" s="174" t="s">
        <v>106</v>
      </c>
      <c r="E22" s="174" t="s">
        <v>107</v>
      </c>
      <c r="F22" s="174" t="s">
        <v>2569</v>
      </c>
      <c r="G22" s="174" t="s">
        <v>338</v>
      </c>
      <c r="H22" s="174" t="s">
        <v>110</v>
      </c>
      <c r="I22" s="174" t="s">
        <v>29</v>
      </c>
      <c r="J22" s="175">
        <v>43966</v>
      </c>
      <c r="K22" s="174">
        <v>62</v>
      </c>
      <c r="L22" s="176">
        <v>11.110277777777778</v>
      </c>
      <c r="M22" s="174" t="s">
        <v>20</v>
      </c>
      <c r="N22" s="174">
        <v>198</v>
      </c>
    </row>
    <row r="23" spans="1:14" s="174" customFormat="1" ht="35" customHeight="1">
      <c r="A23" s="174">
        <f>ROW()-2</f>
        <v>21</v>
      </c>
      <c r="B23" s="174" t="s">
        <v>14</v>
      </c>
      <c r="C23" s="174" t="s">
        <v>83</v>
      </c>
      <c r="D23" s="174" t="s">
        <v>106</v>
      </c>
      <c r="E23" s="174" t="s">
        <v>2570</v>
      </c>
      <c r="F23" s="174" t="s">
        <v>31</v>
      </c>
      <c r="G23" s="174" t="s">
        <v>32</v>
      </c>
      <c r="H23" s="174" t="s">
        <v>33</v>
      </c>
      <c r="I23" s="174" t="s">
        <v>29</v>
      </c>
      <c r="J23" s="175">
        <v>43984</v>
      </c>
      <c r="K23" s="174">
        <v>27</v>
      </c>
      <c r="L23" s="176">
        <v>4.4544444444444444</v>
      </c>
      <c r="M23" s="174" t="s">
        <v>20</v>
      </c>
      <c r="N23" s="174">
        <v>99</v>
      </c>
    </row>
    <row r="24" spans="1:14" s="174" customFormat="1" ht="35" customHeight="1">
      <c r="A24" s="174">
        <f>ROW()-2</f>
        <v>22</v>
      </c>
      <c r="B24" s="174" t="s">
        <v>14</v>
      </c>
      <c r="C24" s="174" t="s">
        <v>83</v>
      </c>
      <c r="D24" s="174" t="s">
        <v>106</v>
      </c>
      <c r="E24" s="174" t="s">
        <v>175</v>
      </c>
      <c r="F24" s="174" t="s">
        <v>379</v>
      </c>
      <c r="G24" s="174" t="s">
        <v>380</v>
      </c>
      <c r="H24" s="174" t="s">
        <v>186</v>
      </c>
      <c r="I24" s="174" t="s">
        <v>17</v>
      </c>
      <c r="J24" s="175">
        <v>44067</v>
      </c>
      <c r="K24" s="174">
        <v>103</v>
      </c>
      <c r="L24" s="176">
        <v>13.118611111111111</v>
      </c>
      <c r="M24" s="174" t="s">
        <v>20</v>
      </c>
      <c r="N24" s="174">
        <v>99</v>
      </c>
    </row>
    <row r="25" spans="1:14" s="174" customFormat="1" ht="35" customHeight="1">
      <c r="A25" s="174">
        <f>ROW()-2</f>
        <v>23</v>
      </c>
      <c r="B25" s="174" t="s">
        <v>14</v>
      </c>
      <c r="C25" s="174" t="s">
        <v>83</v>
      </c>
      <c r="D25" s="174" t="s">
        <v>106</v>
      </c>
      <c r="E25" s="174" t="s">
        <v>115</v>
      </c>
      <c r="F25" s="174" t="s">
        <v>397</v>
      </c>
      <c r="G25" s="174" t="s">
        <v>398</v>
      </c>
      <c r="H25" s="174" t="s">
        <v>399</v>
      </c>
      <c r="I25" s="174" t="s">
        <v>29</v>
      </c>
      <c r="J25" s="175">
        <v>44094</v>
      </c>
      <c r="K25" s="174">
        <v>25</v>
      </c>
      <c r="L25" s="176">
        <v>4.3619444444444442</v>
      </c>
      <c r="M25" s="174" t="s">
        <v>20</v>
      </c>
      <c r="N25" s="174">
        <v>199</v>
      </c>
    </row>
    <row r="26" spans="1:14" s="174" customFormat="1" ht="35" customHeight="1">
      <c r="A26" s="174">
        <f>ROW()-2</f>
        <v>24</v>
      </c>
      <c r="B26" s="174" t="s">
        <v>14</v>
      </c>
      <c r="C26" s="174" t="s">
        <v>83</v>
      </c>
      <c r="D26" s="174" t="s">
        <v>106</v>
      </c>
      <c r="E26" s="174" t="s">
        <v>115</v>
      </c>
      <c r="F26" s="174" t="s">
        <v>403</v>
      </c>
      <c r="G26" s="174" t="s">
        <v>404</v>
      </c>
      <c r="H26" s="174" t="s">
        <v>208</v>
      </c>
      <c r="I26" s="174" t="s">
        <v>29</v>
      </c>
      <c r="J26" s="175">
        <v>44116</v>
      </c>
      <c r="K26" s="174">
        <v>53</v>
      </c>
      <c r="L26" s="176">
        <v>9.5933333333333337</v>
      </c>
      <c r="M26" s="174" t="s">
        <v>20</v>
      </c>
      <c r="N26" s="174">
        <v>99</v>
      </c>
    </row>
    <row r="27" spans="1:14" s="174" customFormat="1" ht="35" customHeight="1">
      <c r="A27" s="174">
        <f>ROW()-2</f>
        <v>25</v>
      </c>
      <c r="B27" s="174" t="s">
        <v>14</v>
      </c>
      <c r="C27" s="174" t="s">
        <v>83</v>
      </c>
      <c r="D27" s="174" t="s">
        <v>106</v>
      </c>
      <c r="E27" s="174" t="s">
        <v>115</v>
      </c>
      <c r="F27" s="174" t="s">
        <v>412</v>
      </c>
      <c r="G27" s="174" t="s">
        <v>413</v>
      </c>
      <c r="H27" s="174" t="s">
        <v>414</v>
      </c>
      <c r="I27" s="174" t="s">
        <v>29</v>
      </c>
      <c r="J27" s="175">
        <v>44118</v>
      </c>
      <c r="K27" s="174">
        <v>25</v>
      </c>
      <c r="L27" s="176">
        <v>9.8733333333333331</v>
      </c>
      <c r="M27" s="174" t="s">
        <v>20</v>
      </c>
      <c r="N27" s="174">
        <v>169</v>
      </c>
    </row>
    <row r="28" spans="1:14" s="174" customFormat="1" ht="35" customHeight="1">
      <c r="A28" s="174">
        <f>ROW()-2</f>
        <v>26</v>
      </c>
      <c r="B28" s="174" t="s">
        <v>14</v>
      </c>
      <c r="C28" s="174" t="s">
        <v>83</v>
      </c>
      <c r="D28" s="174" t="s">
        <v>106</v>
      </c>
      <c r="E28" s="174" t="s">
        <v>115</v>
      </c>
      <c r="F28" s="174" t="s">
        <v>36</v>
      </c>
      <c r="G28" s="174" t="s">
        <v>37</v>
      </c>
      <c r="H28" s="174" t="s">
        <v>38</v>
      </c>
      <c r="I28" s="174" t="s">
        <v>29</v>
      </c>
      <c r="J28" s="175">
        <v>44204</v>
      </c>
      <c r="K28" s="174">
        <v>20</v>
      </c>
      <c r="L28" s="176">
        <v>3.3725000000000001</v>
      </c>
      <c r="M28" s="174" t="s">
        <v>20</v>
      </c>
      <c r="N28" s="174">
        <v>99</v>
      </c>
    </row>
    <row r="29" spans="1:14" s="174" customFormat="1" ht="35" customHeight="1">
      <c r="A29" s="174">
        <f>ROW()-2</f>
        <v>27</v>
      </c>
      <c r="B29" s="174" t="s">
        <v>14</v>
      </c>
      <c r="C29" s="174" t="s">
        <v>83</v>
      </c>
      <c r="D29" s="174" t="s">
        <v>106</v>
      </c>
      <c r="E29" s="174" t="s">
        <v>2571</v>
      </c>
      <c r="F29" s="174" t="s">
        <v>669</v>
      </c>
      <c r="G29" s="174" t="s">
        <v>670</v>
      </c>
      <c r="H29" s="174" t="s">
        <v>671</v>
      </c>
      <c r="I29" s="174" t="s">
        <v>29</v>
      </c>
      <c r="J29" s="175">
        <v>44526</v>
      </c>
      <c r="K29" s="174">
        <v>21</v>
      </c>
      <c r="L29" s="176">
        <v>3.2866666666666666</v>
      </c>
      <c r="M29" s="174" t="s">
        <v>20</v>
      </c>
      <c r="N29" s="174">
        <v>99</v>
      </c>
    </row>
    <row r="30" spans="1:14" s="174" customFormat="1" ht="35" customHeight="1">
      <c r="A30" s="174">
        <f>ROW()-2</f>
        <v>28</v>
      </c>
      <c r="B30" s="174" t="s">
        <v>14</v>
      </c>
      <c r="C30" s="174" t="s">
        <v>83</v>
      </c>
      <c r="D30" s="174" t="s">
        <v>106</v>
      </c>
      <c r="E30" s="174" t="s">
        <v>668</v>
      </c>
      <c r="F30" s="174" t="s">
        <v>2701</v>
      </c>
      <c r="G30" s="174" t="s">
        <v>47</v>
      </c>
      <c r="H30" s="174" t="s">
        <v>48</v>
      </c>
      <c r="I30" s="174" t="s">
        <v>17</v>
      </c>
      <c r="J30" s="175">
        <v>44531</v>
      </c>
      <c r="K30" s="174">
        <v>10</v>
      </c>
      <c r="L30" s="176">
        <v>1.5536111111111111</v>
      </c>
      <c r="M30" s="174" t="s">
        <v>20</v>
      </c>
      <c r="N30" s="174">
        <v>199</v>
      </c>
    </row>
    <row r="31" spans="1:14" s="174" customFormat="1" ht="35" customHeight="1">
      <c r="A31" s="174">
        <f>ROW()-2</f>
        <v>29</v>
      </c>
      <c r="B31" s="174" t="s">
        <v>14</v>
      </c>
      <c r="C31" s="174" t="s">
        <v>83</v>
      </c>
      <c r="D31" s="174" t="s">
        <v>106</v>
      </c>
      <c r="E31" s="174" t="s">
        <v>668</v>
      </c>
      <c r="F31" s="174" t="s">
        <v>2702</v>
      </c>
      <c r="G31" s="174" t="s">
        <v>49</v>
      </c>
      <c r="H31" s="174" t="s">
        <v>16</v>
      </c>
      <c r="I31" s="174" t="s">
        <v>17</v>
      </c>
      <c r="J31" s="175">
        <v>44531</v>
      </c>
      <c r="K31" s="174">
        <v>21</v>
      </c>
      <c r="L31" s="176">
        <v>2.5991666666666666</v>
      </c>
      <c r="M31" s="174" t="s">
        <v>20</v>
      </c>
      <c r="N31" s="174">
        <v>99</v>
      </c>
    </row>
    <row r="32" spans="1:14" s="174" customFormat="1" ht="35" customHeight="1">
      <c r="A32" s="174">
        <f>ROW()-2</f>
        <v>30</v>
      </c>
      <c r="B32" s="174" t="s">
        <v>14</v>
      </c>
      <c r="C32" s="174" t="s">
        <v>83</v>
      </c>
      <c r="D32" s="174" t="s">
        <v>106</v>
      </c>
      <c r="E32" s="174" t="s">
        <v>696</v>
      </c>
      <c r="F32" s="174" t="s">
        <v>697</v>
      </c>
      <c r="G32" s="174" t="s">
        <v>697</v>
      </c>
      <c r="H32" s="174" t="s">
        <v>599</v>
      </c>
      <c r="I32" s="174" t="s">
        <v>17</v>
      </c>
      <c r="J32" s="175">
        <v>44547</v>
      </c>
      <c r="K32" s="174">
        <v>5</v>
      </c>
      <c r="L32" s="176">
        <v>0.81805555555555554</v>
      </c>
      <c r="M32" s="174" t="s">
        <v>89</v>
      </c>
      <c r="N32" s="174">
        <v>68</v>
      </c>
    </row>
    <row r="33" spans="1:45" s="174" customFormat="1" ht="35" customHeight="1">
      <c r="A33" s="174">
        <f>ROW()-2</f>
        <v>31</v>
      </c>
      <c r="B33" s="174" t="s">
        <v>14</v>
      </c>
      <c r="C33" s="174" t="s">
        <v>83</v>
      </c>
      <c r="D33" s="174" t="s">
        <v>106</v>
      </c>
      <c r="E33" s="174" t="s">
        <v>696</v>
      </c>
      <c r="F33" s="174" t="s">
        <v>2703</v>
      </c>
      <c r="G33" s="174" t="s">
        <v>704</v>
      </c>
      <c r="H33" s="174" t="s">
        <v>705</v>
      </c>
      <c r="I33" s="174" t="s">
        <v>17</v>
      </c>
      <c r="J33" s="175">
        <v>44554</v>
      </c>
      <c r="K33" s="174">
        <v>13</v>
      </c>
      <c r="L33" s="176">
        <v>3.6197222222222223</v>
      </c>
      <c r="M33" s="174" t="s">
        <v>20</v>
      </c>
      <c r="N33" s="174">
        <v>99</v>
      </c>
    </row>
    <row r="34" spans="1:45" s="174" customFormat="1" ht="35" customHeight="1">
      <c r="A34" s="174">
        <f>ROW()-2</f>
        <v>32</v>
      </c>
      <c r="B34" s="174" t="s">
        <v>14</v>
      </c>
      <c r="C34" s="174" t="s">
        <v>83</v>
      </c>
      <c r="D34" s="174" t="s">
        <v>106</v>
      </c>
      <c r="E34" s="174" t="s">
        <v>115</v>
      </c>
      <c r="F34" s="174" t="s">
        <v>714</v>
      </c>
      <c r="G34" s="174" t="s">
        <v>714</v>
      </c>
      <c r="H34" s="174" t="s">
        <v>715</v>
      </c>
      <c r="I34" s="174" t="s">
        <v>17</v>
      </c>
      <c r="J34" s="175">
        <v>44557</v>
      </c>
      <c r="K34" s="174">
        <v>6</v>
      </c>
      <c r="L34" s="176">
        <v>4.673055555555556</v>
      </c>
      <c r="M34" s="174" t="s">
        <v>20</v>
      </c>
      <c r="N34" s="174">
        <v>99</v>
      </c>
    </row>
    <row r="35" spans="1:45" s="174" customFormat="1" ht="35" customHeight="1">
      <c r="A35" s="174">
        <f>ROW()-2</f>
        <v>33</v>
      </c>
      <c r="B35" s="174" t="s">
        <v>14</v>
      </c>
      <c r="C35" s="174" t="s">
        <v>83</v>
      </c>
      <c r="D35" s="174" t="s">
        <v>106</v>
      </c>
      <c r="E35" s="174" t="s">
        <v>115</v>
      </c>
      <c r="F35" s="174" t="s">
        <v>2704</v>
      </c>
      <c r="G35" s="174" t="s">
        <v>726</v>
      </c>
      <c r="H35" s="174" t="s">
        <v>331</v>
      </c>
      <c r="I35" s="174" t="s">
        <v>17</v>
      </c>
      <c r="J35" s="175">
        <v>44562</v>
      </c>
      <c r="K35" s="174">
        <v>15</v>
      </c>
      <c r="L35" s="176">
        <v>2.9294444444444445</v>
      </c>
      <c r="M35" s="174" t="s">
        <v>20</v>
      </c>
      <c r="N35" s="174">
        <v>159</v>
      </c>
    </row>
    <row r="36" spans="1:45" s="174" customFormat="1" ht="35" customHeight="1">
      <c r="A36" s="174">
        <f>ROW()-2</f>
        <v>34</v>
      </c>
      <c r="B36" s="174" t="s">
        <v>14</v>
      </c>
      <c r="C36" s="174" t="s">
        <v>83</v>
      </c>
      <c r="D36" s="174" t="s">
        <v>106</v>
      </c>
      <c r="E36" s="174" t="s">
        <v>115</v>
      </c>
      <c r="F36" s="174" t="s">
        <v>2705</v>
      </c>
      <c r="G36" s="174" t="s">
        <v>723</v>
      </c>
      <c r="H36" s="174" t="s">
        <v>724</v>
      </c>
      <c r="I36" s="174" t="s">
        <v>17</v>
      </c>
      <c r="J36" s="175">
        <v>44562</v>
      </c>
      <c r="K36" s="174">
        <v>12</v>
      </c>
      <c r="L36" s="176">
        <v>3.2358333333333333</v>
      </c>
      <c r="M36" s="174" t="s">
        <v>20</v>
      </c>
      <c r="N36" s="174">
        <v>129</v>
      </c>
    </row>
    <row r="37" spans="1:45" s="174" customFormat="1" ht="35" customHeight="1">
      <c r="A37" s="174">
        <f>ROW()-2</f>
        <v>35</v>
      </c>
      <c r="B37" s="174" t="s">
        <v>14</v>
      </c>
      <c r="C37" s="174" t="s">
        <v>83</v>
      </c>
      <c r="D37" s="174" t="s">
        <v>106</v>
      </c>
      <c r="E37" s="174" t="s">
        <v>175</v>
      </c>
      <c r="F37" s="174" t="s">
        <v>2706</v>
      </c>
      <c r="G37" s="174" t="s">
        <v>727</v>
      </c>
      <c r="H37" s="174" t="s">
        <v>176</v>
      </c>
      <c r="I37" s="174" t="s">
        <v>17</v>
      </c>
      <c r="J37" s="175">
        <v>44563</v>
      </c>
      <c r="K37" s="174">
        <v>13</v>
      </c>
      <c r="L37" s="176">
        <v>3.3436111111111111</v>
      </c>
      <c r="M37" s="174" t="s">
        <v>20</v>
      </c>
      <c r="N37" s="174">
        <v>99</v>
      </c>
    </row>
    <row r="38" spans="1:45" s="174" customFormat="1" ht="35" customHeight="1">
      <c r="A38" s="174">
        <f>ROW()-2</f>
        <v>36</v>
      </c>
      <c r="B38" s="181" t="s">
        <v>5457</v>
      </c>
      <c r="C38" s="181" t="s">
        <v>5461</v>
      </c>
      <c r="D38" s="181" t="s">
        <v>5459</v>
      </c>
      <c r="E38" s="181" t="s">
        <v>5460</v>
      </c>
      <c r="F38" s="181" t="s">
        <v>5458</v>
      </c>
      <c r="G38" s="181" t="s">
        <v>5458</v>
      </c>
      <c r="H38" s="181" t="s">
        <v>5462</v>
      </c>
      <c r="I38" s="181" t="s">
        <v>5455</v>
      </c>
      <c r="J38" s="177">
        <v>44613</v>
      </c>
      <c r="K38" s="181">
        <v>6</v>
      </c>
      <c r="L38" s="179">
        <v>1.07</v>
      </c>
      <c r="M38" s="181" t="s">
        <v>5456</v>
      </c>
      <c r="N38" s="181">
        <v>88</v>
      </c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  <c r="AK38" s="181"/>
      <c r="AL38" s="181"/>
      <c r="AM38" s="181"/>
      <c r="AN38" s="181"/>
      <c r="AO38" s="181"/>
      <c r="AP38" s="181"/>
      <c r="AQ38" s="181"/>
      <c r="AR38" s="181"/>
      <c r="AS38" s="181"/>
    </row>
    <row r="39" spans="1:45" s="174" customFormat="1" ht="35" customHeight="1">
      <c r="A39" s="174">
        <f>ROW()-2</f>
        <v>37</v>
      </c>
      <c r="B39" s="181" t="s">
        <v>5640</v>
      </c>
      <c r="C39" s="181" t="s">
        <v>5650</v>
      </c>
      <c r="D39" s="181" t="s">
        <v>106</v>
      </c>
      <c r="E39" s="181" t="s">
        <v>5655</v>
      </c>
      <c r="F39" s="181" t="s">
        <v>5651</v>
      </c>
      <c r="G39" s="181" t="s">
        <v>5651</v>
      </c>
      <c r="H39" s="181" t="s">
        <v>5652</v>
      </c>
      <c r="I39" s="181" t="s">
        <v>5643</v>
      </c>
      <c r="J39" s="177">
        <v>44627</v>
      </c>
      <c r="K39" s="181">
        <v>9</v>
      </c>
      <c r="L39" s="179">
        <v>2.2999999999999998</v>
      </c>
      <c r="M39" s="181" t="s">
        <v>20</v>
      </c>
      <c r="N39" s="181">
        <v>129</v>
      </c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</row>
    <row r="40" spans="1:45" s="174" customFormat="1" ht="35" customHeight="1">
      <c r="A40" s="174">
        <f>ROW()-2</f>
        <v>38</v>
      </c>
      <c r="B40" s="174" t="s">
        <v>5679</v>
      </c>
      <c r="C40" s="181" t="s">
        <v>5680</v>
      </c>
      <c r="D40" s="181" t="s">
        <v>106</v>
      </c>
      <c r="E40" s="181" t="s">
        <v>668</v>
      </c>
      <c r="F40" s="306" t="s">
        <v>5706</v>
      </c>
      <c r="G40" s="306" t="s">
        <v>5706</v>
      </c>
      <c r="H40" s="306" t="s">
        <v>5681</v>
      </c>
      <c r="I40" s="181" t="s">
        <v>5682</v>
      </c>
      <c r="J40" s="307" t="s">
        <v>5683</v>
      </c>
      <c r="K40" s="181" t="s">
        <v>5684</v>
      </c>
      <c r="L40" s="177">
        <v>44634</v>
      </c>
      <c r="M40" s="22">
        <v>7</v>
      </c>
      <c r="N40" s="308">
        <v>0.8</v>
      </c>
      <c r="O40" s="22" t="s">
        <v>5691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</row>
    <row r="41" spans="1:45" s="174" customFormat="1" ht="35" customHeight="1">
      <c r="A41" s="174">
        <f>ROW()-2</f>
        <v>39</v>
      </c>
      <c r="B41" s="174" t="s">
        <v>14</v>
      </c>
      <c r="C41" s="174" t="s">
        <v>83</v>
      </c>
      <c r="D41" s="174" t="s">
        <v>84</v>
      </c>
      <c r="E41" s="174" t="s">
        <v>85</v>
      </c>
      <c r="F41" s="174" t="s">
        <v>86</v>
      </c>
      <c r="G41" s="174" t="s">
        <v>87</v>
      </c>
      <c r="H41" s="174" t="s">
        <v>88</v>
      </c>
      <c r="I41" s="174" t="s">
        <v>29</v>
      </c>
      <c r="J41" s="175">
        <v>43227</v>
      </c>
      <c r="K41" s="174">
        <v>33</v>
      </c>
      <c r="L41" s="176">
        <v>4.6330555555555559</v>
      </c>
      <c r="M41" s="174" t="s">
        <v>20</v>
      </c>
      <c r="N41" s="174">
        <v>58</v>
      </c>
    </row>
    <row r="42" spans="1:45" s="174" customFormat="1" ht="35" customHeight="1">
      <c r="A42" s="174">
        <f>ROW()-2</f>
        <v>40</v>
      </c>
      <c r="B42" s="174" t="s">
        <v>14</v>
      </c>
      <c r="C42" s="174" t="s">
        <v>83</v>
      </c>
      <c r="D42" s="174" t="s">
        <v>84</v>
      </c>
      <c r="E42" s="174" t="s">
        <v>94</v>
      </c>
      <c r="F42" s="174" t="s">
        <v>95</v>
      </c>
      <c r="G42" s="174" t="s">
        <v>96</v>
      </c>
      <c r="H42" s="174" t="s">
        <v>97</v>
      </c>
      <c r="I42" s="174" t="s">
        <v>29</v>
      </c>
      <c r="J42" s="175">
        <v>43238</v>
      </c>
      <c r="K42" s="174">
        <v>23</v>
      </c>
      <c r="L42" s="176">
        <v>2.5863888888888891</v>
      </c>
      <c r="M42" s="174" t="s">
        <v>20</v>
      </c>
      <c r="N42" s="174">
        <v>49</v>
      </c>
    </row>
    <row r="43" spans="1:45" s="174" customFormat="1" ht="35" customHeight="1">
      <c r="A43" s="174">
        <f>ROW()-2</f>
        <v>41</v>
      </c>
      <c r="B43" s="174" t="s">
        <v>14</v>
      </c>
      <c r="C43" s="174" t="s">
        <v>83</v>
      </c>
      <c r="D43" s="174" t="s">
        <v>84</v>
      </c>
      <c r="E43" s="174" t="s">
        <v>94</v>
      </c>
      <c r="F43" s="174" t="s">
        <v>99</v>
      </c>
      <c r="G43" s="174" t="s">
        <v>100</v>
      </c>
      <c r="H43" s="174" t="s">
        <v>101</v>
      </c>
      <c r="I43" s="174" t="s">
        <v>29</v>
      </c>
      <c r="J43" s="175">
        <v>43238</v>
      </c>
      <c r="K43" s="174">
        <v>39</v>
      </c>
      <c r="L43" s="176">
        <v>8.1741666666666664</v>
      </c>
      <c r="M43" s="174" t="s">
        <v>20</v>
      </c>
      <c r="N43" s="174">
        <v>99</v>
      </c>
    </row>
    <row r="44" spans="1:45" s="174" customFormat="1" ht="35" customHeight="1">
      <c r="A44" s="174">
        <f>ROW()-2</f>
        <v>42</v>
      </c>
      <c r="B44" s="174" t="s">
        <v>14</v>
      </c>
      <c r="C44" s="174" t="s">
        <v>83</v>
      </c>
      <c r="D44" s="174" t="s">
        <v>84</v>
      </c>
      <c r="E44" s="174" t="s">
        <v>102</v>
      </c>
      <c r="F44" s="174" t="s">
        <v>103</v>
      </c>
      <c r="G44" s="174" t="s">
        <v>104</v>
      </c>
      <c r="H44" s="174" t="s">
        <v>105</v>
      </c>
      <c r="I44" s="174" t="s">
        <v>29</v>
      </c>
      <c r="J44" s="175">
        <v>43238</v>
      </c>
      <c r="K44" s="174">
        <v>24</v>
      </c>
      <c r="L44" s="176">
        <v>4.1500000000000004</v>
      </c>
      <c r="M44" s="174" t="s">
        <v>20</v>
      </c>
      <c r="N44" s="174">
        <v>68</v>
      </c>
    </row>
    <row r="45" spans="1:45" s="174" customFormat="1" ht="35" customHeight="1">
      <c r="A45" s="174">
        <f>ROW()-2</f>
        <v>43</v>
      </c>
      <c r="B45" s="174" t="s">
        <v>14</v>
      </c>
      <c r="C45" s="174" t="s">
        <v>83</v>
      </c>
      <c r="D45" s="174" t="s">
        <v>84</v>
      </c>
      <c r="E45" s="174" t="s">
        <v>111</v>
      </c>
      <c r="F45" s="174" t="s">
        <v>112</v>
      </c>
      <c r="G45" s="174" t="s">
        <v>113</v>
      </c>
      <c r="H45" s="174" t="s">
        <v>114</v>
      </c>
      <c r="I45" s="174" t="s">
        <v>29</v>
      </c>
      <c r="J45" s="175">
        <v>43238</v>
      </c>
      <c r="K45" s="174">
        <v>32</v>
      </c>
      <c r="L45" s="176">
        <v>5.9369444444444444</v>
      </c>
      <c r="M45" s="174" t="s">
        <v>20</v>
      </c>
      <c r="N45" s="174">
        <v>99</v>
      </c>
    </row>
    <row r="46" spans="1:45" s="174" customFormat="1" ht="35" customHeight="1">
      <c r="A46" s="174">
        <f>ROW()-2</f>
        <v>44</v>
      </c>
      <c r="B46" s="174" t="s">
        <v>14</v>
      </c>
      <c r="C46" s="174" t="s">
        <v>83</v>
      </c>
      <c r="D46" s="174" t="s">
        <v>84</v>
      </c>
      <c r="E46" s="174" t="s">
        <v>94</v>
      </c>
      <c r="F46" s="174" t="s">
        <v>2697</v>
      </c>
      <c r="G46" s="174" t="s">
        <v>1499</v>
      </c>
      <c r="H46" s="174" t="s">
        <v>1500</v>
      </c>
      <c r="I46" s="174" t="s">
        <v>29</v>
      </c>
      <c r="J46" s="175">
        <v>43238</v>
      </c>
      <c r="K46" s="174">
        <v>111</v>
      </c>
      <c r="L46" s="176">
        <v>33.622500000000002</v>
      </c>
      <c r="M46" s="174" t="s">
        <v>20</v>
      </c>
      <c r="N46" s="174">
        <v>199</v>
      </c>
    </row>
    <row r="47" spans="1:45" s="174" customFormat="1" ht="35" customHeight="1">
      <c r="A47" s="174">
        <f>ROW()-2</f>
        <v>45</v>
      </c>
      <c r="B47" s="174" t="s">
        <v>14</v>
      </c>
      <c r="C47" s="174" t="s">
        <v>83</v>
      </c>
      <c r="D47" s="174" t="s">
        <v>84</v>
      </c>
      <c r="E47" s="174" t="s">
        <v>2478</v>
      </c>
      <c r="F47" s="174" t="s">
        <v>2698</v>
      </c>
      <c r="G47" s="174" t="s">
        <v>2480</v>
      </c>
      <c r="H47" s="174" t="s">
        <v>167</v>
      </c>
      <c r="I47" s="174" t="s">
        <v>29</v>
      </c>
      <c r="J47" s="175">
        <v>43238</v>
      </c>
      <c r="K47" s="174">
        <v>280</v>
      </c>
      <c r="L47" s="176">
        <v>32.7425</v>
      </c>
      <c r="M47" s="174" t="s">
        <v>89</v>
      </c>
      <c r="N47" s="174">
        <v>198</v>
      </c>
    </row>
    <row r="48" spans="1:45" s="174" customFormat="1" ht="35" customHeight="1">
      <c r="A48" s="174">
        <f>ROW()-2</f>
        <v>46</v>
      </c>
      <c r="B48" s="174" t="s">
        <v>14</v>
      </c>
      <c r="C48" s="174" t="s">
        <v>83</v>
      </c>
      <c r="D48" s="174" t="s">
        <v>84</v>
      </c>
      <c r="E48" s="174" t="s">
        <v>111</v>
      </c>
      <c r="F48" s="174" t="s">
        <v>146</v>
      </c>
      <c r="G48" s="174" t="s">
        <v>147</v>
      </c>
      <c r="H48" s="174" t="s">
        <v>114</v>
      </c>
      <c r="I48" s="174" t="s">
        <v>29</v>
      </c>
      <c r="J48" s="175">
        <v>43318</v>
      </c>
      <c r="K48" s="174">
        <v>7</v>
      </c>
      <c r="L48" s="176">
        <v>1.0577777777777777</v>
      </c>
      <c r="M48" s="174" t="s">
        <v>20</v>
      </c>
      <c r="N48" s="174">
        <v>9.9</v>
      </c>
    </row>
    <row r="49" spans="1:14" s="174" customFormat="1" ht="35" customHeight="1">
      <c r="A49" s="174">
        <f>ROW()-2</f>
        <v>47</v>
      </c>
      <c r="B49" s="174" t="s">
        <v>14</v>
      </c>
      <c r="C49" s="174" t="s">
        <v>83</v>
      </c>
      <c r="D49" s="174" t="s">
        <v>84</v>
      </c>
      <c r="E49" s="174" t="s">
        <v>85</v>
      </c>
      <c r="F49" s="174" t="s">
        <v>260</v>
      </c>
      <c r="G49" s="174" t="s">
        <v>261</v>
      </c>
      <c r="H49" s="174" t="s">
        <v>262</v>
      </c>
      <c r="I49" s="174" t="s">
        <v>29</v>
      </c>
      <c r="J49" s="175">
        <v>43759</v>
      </c>
      <c r="K49" s="174">
        <v>55</v>
      </c>
      <c r="L49" s="176">
        <v>11.202500000000001</v>
      </c>
      <c r="M49" s="174" t="s">
        <v>20</v>
      </c>
      <c r="N49" s="174">
        <v>199</v>
      </c>
    </row>
    <row r="50" spans="1:14" s="174" customFormat="1" ht="35" customHeight="1">
      <c r="A50" s="174">
        <f>ROW()-2</f>
        <v>48</v>
      </c>
      <c r="B50" s="174" t="s">
        <v>14</v>
      </c>
      <c r="C50" s="174" t="s">
        <v>83</v>
      </c>
      <c r="D50" s="174" t="s">
        <v>84</v>
      </c>
      <c r="E50" s="174" t="s">
        <v>102</v>
      </c>
      <c r="F50" s="174" t="s">
        <v>270</v>
      </c>
      <c r="G50" s="174" t="s">
        <v>271</v>
      </c>
      <c r="H50" s="174" t="s">
        <v>272</v>
      </c>
      <c r="I50" s="174" t="s">
        <v>29</v>
      </c>
      <c r="J50" s="175">
        <v>43832</v>
      </c>
      <c r="K50" s="174">
        <v>40</v>
      </c>
      <c r="L50" s="176">
        <v>7.166666666666667</v>
      </c>
      <c r="M50" s="174" t="s">
        <v>20</v>
      </c>
      <c r="N50" s="174">
        <v>99</v>
      </c>
    </row>
    <row r="51" spans="1:14" s="174" customFormat="1" ht="35" customHeight="1">
      <c r="A51" s="174">
        <f>ROW()-2</f>
        <v>49</v>
      </c>
      <c r="B51" s="174" t="s">
        <v>14</v>
      </c>
      <c r="C51" s="174" t="s">
        <v>83</v>
      </c>
      <c r="D51" s="174" t="s">
        <v>84</v>
      </c>
      <c r="E51" s="174" t="s">
        <v>2478</v>
      </c>
      <c r="F51" s="174" t="s">
        <v>361</v>
      </c>
      <c r="G51" s="174" t="s">
        <v>362</v>
      </c>
      <c r="H51" s="174" t="s">
        <v>363</v>
      </c>
      <c r="I51" s="174" t="s">
        <v>29</v>
      </c>
      <c r="J51" s="175">
        <v>44032</v>
      </c>
      <c r="K51" s="174">
        <v>14</v>
      </c>
      <c r="L51" s="176">
        <v>2.5327777777777776</v>
      </c>
      <c r="M51" s="174" t="s">
        <v>20</v>
      </c>
      <c r="N51" s="174">
        <v>99</v>
      </c>
    </row>
    <row r="52" spans="1:14" s="174" customFormat="1" ht="35" customHeight="1">
      <c r="A52" s="174">
        <f>ROW()-2</f>
        <v>50</v>
      </c>
      <c r="B52" s="174" t="s">
        <v>14</v>
      </c>
      <c r="C52" s="174" t="s">
        <v>83</v>
      </c>
      <c r="D52" s="174" t="s">
        <v>84</v>
      </c>
      <c r="E52" s="174" t="s">
        <v>421</v>
      </c>
      <c r="F52" s="174" t="s">
        <v>422</v>
      </c>
      <c r="G52" s="174" t="s">
        <v>423</v>
      </c>
      <c r="H52" s="174" t="s">
        <v>424</v>
      </c>
      <c r="I52" s="174" t="s">
        <v>29</v>
      </c>
      <c r="J52" s="175">
        <v>44126</v>
      </c>
      <c r="K52" s="174">
        <v>79</v>
      </c>
      <c r="L52" s="176">
        <v>19.671666666666667</v>
      </c>
      <c r="M52" s="174" t="s">
        <v>20</v>
      </c>
      <c r="N52" s="174">
        <v>99</v>
      </c>
    </row>
    <row r="53" spans="1:14" s="174" customFormat="1" ht="35" customHeight="1">
      <c r="A53" s="174">
        <f>ROW()-2</f>
        <v>51</v>
      </c>
      <c r="B53" s="174" t="s">
        <v>14</v>
      </c>
      <c r="C53" s="174" t="s">
        <v>83</v>
      </c>
      <c r="D53" s="174" t="s">
        <v>84</v>
      </c>
      <c r="E53" s="174" t="s">
        <v>111</v>
      </c>
      <c r="F53" s="174" t="s">
        <v>425</v>
      </c>
      <c r="G53" s="174" t="s">
        <v>426</v>
      </c>
      <c r="H53" s="174" t="s">
        <v>427</v>
      </c>
      <c r="I53" s="174" t="s">
        <v>29</v>
      </c>
      <c r="J53" s="175">
        <v>44137</v>
      </c>
      <c r="K53" s="174">
        <v>9</v>
      </c>
      <c r="L53" s="176">
        <v>0.68055555555555558</v>
      </c>
      <c r="M53" s="174" t="s">
        <v>20</v>
      </c>
      <c r="N53" s="174">
        <v>19.899999999999999</v>
      </c>
    </row>
    <row r="54" spans="1:14" s="174" customFormat="1" ht="35" customHeight="1">
      <c r="A54" s="174">
        <f>ROW()-2</f>
        <v>52</v>
      </c>
      <c r="B54" s="174" t="s">
        <v>14</v>
      </c>
      <c r="C54" s="174" t="s">
        <v>83</v>
      </c>
      <c r="D54" s="174" t="s">
        <v>84</v>
      </c>
      <c r="E54" s="174" t="s">
        <v>94</v>
      </c>
      <c r="F54" s="174" t="s">
        <v>2566</v>
      </c>
      <c r="G54" s="174" t="s">
        <v>442</v>
      </c>
      <c r="H54" s="174" t="s">
        <v>443</v>
      </c>
      <c r="I54" s="174" t="s">
        <v>29</v>
      </c>
      <c r="J54" s="175">
        <v>44155</v>
      </c>
      <c r="K54" s="174">
        <v>85</v>
      </c>
      <c r="L54" s="176">
        <v>15.924722222222222</v>
      </c>
      <c r="M54" s="174" t="s">
        <v>20</v>
      </c>
      <c r="N54" s="174">
        <v>99</v>
      </c>
    </row>
    <row r="55" spans="1:14" s="174" customFormat="1" ht="35" customHeight="1">
      <c r="A55" s="174">
        <f>ROW()-2</f>
        <v>53</v>
      </c>
      <c r="B55" s="174" t="s">
        <v>14</v>
      </c>
      <c r="C55" s="174" t="s">
        <v>83</v>
      </c>
      <c r="D55" s="174" t="s">
        <v>84</v>
      </c>
      <c r="E55" s="174" t="s">
        <v>94</v>
      </c>
      <c r="F55" s="174" t="s">
        <v>2567</v>
      </c>
      <c r="G55" s="174" t="s">
        <v>448</v>
      </c>
      <c r="H55" s="174" t="s">
        <v>449</v>
      </c>
      <c r="I55" s="174" t="s">
        <v>29</v>
      </c>
      <c r="J55" s="175">
        <v>44165</v>
      </c>
      <c r="K55" s="174">
        <v>47</v>
      </c>
      <c r="L55" s="176">
        <v>7.7561111111111112</v>
      </c>
      <c r="M55" s="174" t="s">
        <v>20</v>
      </c>
      <c r="N55" s="174">
        <v>199</v>
      </c>
    </row>
    <row r="56" spans="1:14" s="174" customFormat="1" ht="35" customHeight="1">
      <c r="A56" s="174">
        <f>ROW()-2</f>
        <v>54</v>
      </c>
      <c r="B56" s="174" t="s">
        <v>14</v>
      </c>
      <c r="C56" s="174" t="s">
        <v>83</v>
      </c>
      <c r="D56" s="174" t="s">
        <v>84</v>
      </c>
      <c r="E56" s="174" t="s">
        <v>85</v>
      </c>
      <c r="F56" s="174" t="s">
        <v>458</v>
      </c>
      <c r="G56" s="174" t="s">
        <v>459</v>
      </c>
      <c r="H56" s="174" t="s">
        <v>460</v>
      </c>
      <c r="I56" s="174" t="s">
        <v>29</v>
      </c>
      <c r="J56" s="175">
        <v>44176</v>
      </c>
      <c r="K56" s="174">
        <v>28</v>
      </c>
      <c r="L56" s="176">
        <v>3.6013888888888888</v>
      </c>
      <c r="M56" s="174" t="s">
        <v>20</v>
      </c>
      <c r="N56" s="174">
        <v>99</v>
      </c>
    </row>
    <row r="57" spans="1:14" s="174" customFormat="1" ht="35" customHeight="1">
      <c r="A57" s="174">
        <f>ROW()-2</f>
        <v>55</v>
      </c>
      <c r="B57" s="174" t="s">
        <v>14</v>
      </c>
      <c r="C57" s="174" t="s">
        <v>83</v>
      </c>
      <c r="D57" s="174" t="s">
        <v>84</v>
      </c>
      <c r="E57" s="174" t="s">
        <v>102</v>
      </c>
      <c r="F57" s="174" t="s">
        <v>467</v>
      </c>
      <c r="G57" s="174" t="s">
        <v>468</v>
      </c>
      <c r="H57" s="174" t="s">
        <v>272</v>
      </c>
      <c r="I57" s="174" t="s">
        <v>29</v>
      </c>
      <c r="J57" s="175">
        <v>44183</v>
      </c>
      <c r="K57" s="174">
        <v>40</v>
      </c>
      <c r="L57" s="176">
        <v>9.1925000000000008</v>
      </c>
      <c r="M57" s="174" t="s">
        <v>20</v>
      </c>
      <c r="N57" s="174">
        <v>99</v>
      </c>
    </row>
    <row r="58" spans="1:14" s="174" customFormat="1" ht="35" customHeight="1">
      <c r="A58" s="174">
        <f>ROW()-2</f>
        <v>56</v>
      </c>
      <c r="B58" s="174" t="s">
        <v>14</v>
      </c>
      <c r="C58" s="174" t="s">
        <v>83</v>
      </c>
      <c r="D58" s="174" t="s">
        <v>84</v>
      </c>
      <c r="E58" s="174" t="s">
        <v>85</v>
      </c>
      <c r="F58" s="174" t="s">
        <v>469</v>
      </c>
      <c r="G58" s="174" t="s">
        <v>470</v>
      </c>
      <c r="H58" s="174" t="s">
        <v>471</v>
      </c>
      <c r="I58" s="174" t="s">
        <v>29</v>
      </c>
      <c r="J58" s="175">
        <v>44189</v>
      </c>
      <c r="K58" s="174">
        <v>27</v>
      </c>
      <c r="L58" s="176">
        <v>4.2949999999999999</v>
      </c>
      <c r="M58" s="174" t="s">
        <v>20</v>
      </c>
      <c r="N58" s="174">
        <v>69</v>
      </c>
    </row>
    <row r="59" spans="1:14" s="174" customFormat="1" ht="35" customHeight="1">
      <c r="A59" s="174">
        <f>ROW()-2</f>
        <v>57</v>
      </c>
      <c r="B59" s="174" t="s">
        <v>14</v>
      </c>
      <c r="C59" s="174" t="s">
        <v>83</v>
      </c>
      <c r="D59" s="174" t="s">
        <v>84</v>
      </c>
      <c r="E59" s="174" t="s">
        <v>421</v>
      </c>
      <c r="F59" s="174" t="s">
        <v>492</v>
      </c>
      <c r="G59" s="174" t="s">
        <v>493</v>
      </c>
      <c r="H59" s="174" t="s">
        <v>494</v>
      </c>
      <c r="I59" s="174" t="s">
        <v>29</v>
      </c>
      <c r="J59" s="175">
        <v>44204</v>
      </c>
      <c r="K59" s="174">
        <v>11</v>
      </c>
      <c r="L59" s="176">
        <v>1.6786111111111111</v>
      </c>
      <c r="M59" s="174" t="s">
        <v>20</v>
      </c>
      <c r="N59" s="174">
        <v>19.899999999999999</v>
      </c>
    </row>
    <row r="60" spans="1:14" s="174" customFormat="1" ht="35" customHeight="1">
      <c r="A60" s="174">
        <f>ROW()-2</f>
        <v>58</v>
      </c>
      <c r="B60" s="174" t="s">
        <v>14</v>
      </c>
      <c r="C60" s="174" t="s">
        <v>83</v>
      </c>
      <c r="D60" s="174" t="s">
        <v>84</v>
      </c>
      <c r="E60" s="174" t="s">
        <v>111</v>
      </c>
      <c r="F60" s="174" t="s">
        <v>517</v>
      </c>
      <c r="G60" s="174" t="s">
        <v>518</v>
      </c>
      <c r="H60" s="174" t="s">
        <v>114</v>
      </c>
      <c r="I60" s="174" t="s">
        <v>17</v>
      </c>
      <c r="J60" s="175">
        <v>44249</v>
      </c>
      <c r="K60" s="174">
        <v>12</v>
      </c>
      <c r="L60" s="176">
        <v>3.4169444444444443</v>
      </c>
      <c r="M60" s="174" t="s">
        <v>20</v>
      </c>
      <c r="N60" s="174">
        <v>99</v>
      </c>
    </row>
    <row r="61" spans="1:14" s="174" customFormat="1" ht="35" customHeight="1">
      <c r="A61" s="174">
        <f>ROW()-2</f>
        <v>59</v>
      </c>
      <c r="B61" s="174" t="s">
        <v>14</v>
      </c>
      <c r="C61" s="174" t="s">
        <v>83</v>
      </c>
      <c r="D61" s="174" t="s">
        <v>84</v>
      </c>
      <c r="E61" s="174" t="s">
        <v>85</v>
      </c>
      <c r="F61" s="174" t="s">
        <v>525</v>
      </c>
      <c r="G61" s="174" t="s">
        <v>526</v>
      </c>
      <c r="H61" s="174" t="s">
        <v>331</v>
      </c>
      <c r="I61" s="174" t="s">
        <v>17</v>
      </c>
      <c r="J61" s="175">
        <v>44263</v>
      </c>
      <c r="K61" s="174">
        <v>17</v>
      </c>
      <c r="L61" s="176">
        <v>3.7225000000000001</v>
      </c>
      <c r="M61" s="174" t="s">
        <v>20</v>
      </c>
      <c r="N61" s="174">
        <v>99</v>
      </c>
    </row>
    <row r="62" spans="1:14" s="174" customFormat="1" ht="35" customHeight="1">
      <c r="A62" s="174">
        <f>ROW()-2</f>
        <v>60</v>
      </c>
      <c r="B62" s="174" t="s">
        <v>14</v>
      </c>
      <c r="C62" s="174" t="s">
        <v>83</v>
      </c>
      <c r="D62" s="174" t="s">
        <v>84</v>
      </c>
      <c r="E62" s="174" t="s">
        <v>94</v>
      </c>
      <c r="F62" s="174" t="s">
        <v>572</v>
      </c>
      <c r="G62" s="174" t="s">
        <v>573</v>
      </c>
      <c r="H62" s="174" t="s">
        <v>574</v>
      </c>
      <c r="I62" s="174" t="s">
        <v>29</v>
      </c>
      <c r="J62" s="175">
        <v>44340</v>
      </c>
      <c r="K62" s="174">
        <v>18</v>
      </c>
      <c r="L62" s="176">
        <v>3.846111111111111</v>
      </c>
      <c r="M62" s="174" t="s">
        <v>20</v>
      </c>
      <c r="N62" s="174">
        <v>49</v>
      </c>
    </row>
    <row r="63" spans="1:14" s="174" customFormat="1" ht="35" customHeight="1">
      <c r="A63" s="174">
        <f>ROW()-2</f>
        <v>61</v>
      </c>
      <c r="B63" s="174" t="s">
        <v>14</v>
      </c>
      <c r="C63" s="174" t="s">
        <v>83</v>
      </c>
      <c r="D63" s="174" t="s">
        <v>84</v>
      </c>
      <c r="E63" s="174" t="s">
        <v>94</v>
      </c>
      <c r="F63" s="174" t="s">
        <v>2467</v>
      </c>
      <c r="G63" s="174" t="s">
        <v>41</v>
      </c>
      <c r="H63" s="174" t="s">
        <v>42</v>
      </c>
      <c r="I63" s="174" t="s">
        <v>29</v>
      </c>
      <c r="J63" s="175">
        <v>44351</v>
      </c>
      <c r="K63" s="174">
        <v>20</v>
      </c>
      <c r="L63" s="176">
        <v>3.4197222222222221</v>
      </c>
      <c r="M63" s="174" t="s">
        <v>89</v>
      </c>
      <c r="N63" s="174">
        <v>98</v>
      </c>
    </row>
    <row r="64" spans="1:14" s="174" customFormat="1" ht="35" customHeight="1">
      <c r="A64" s="174">
        <f>ROW()-2</f>
        <v>62</v>
      </c>
      <c r="B64" s="174" t="s">
        <v>14</v>
      </c>
      <c r="C64" s="174" t="s">
        <v>83</v>
      </c>
      <c r="D64" s="174" t="s">
        <v>84</v>
      </c>
      <c r="E64" s="174" t="s">
        <v>111</v>
      </c>
      <c r="F64" s="174" t="s">
        <v>601</v>
      </c>
      <c r="G64" s="174" t="s">
        <v>602</v>
      </c>
      <c r="H64" s="174" t="s">
        <v>603</v>
      </c>
      <c r="I64" s="174" t="s">
        <v>29</v>
      </c>
      <c r="J64" s="175">
        <v>44405</v>
      </c>
      <c r="K64" s="174">
        <v>8</v>
      </c>
      <c r="L64" s="176">
        <v>1.2038888888888888</v>
      </c>
      <c r="M64" s="174" t="s">
        <v>20</v>
      </c>
      <c r="N64" s="174">
        <v>99</v>
      </c>
    </row>
    <row r="65" spans="1:45" s="174" customFormat="1" ht="35" customHeight="1">
      <c r="A65" s="174">
        <f>ROW()-2</f>
        <v>63</v>
      </c>
      <c r="B65" s="174" t="s">
        <v>14</v>
      </c>
      <c r="C65" s="174" t="s">
        <v>83</v>
      </c>
      <c r="D65" s="174" t="s">
        <v>84</v>
      </c>
      <c r="E65" s="174" t="s">
        <v>111</v>
      </c>
      <c r="F65" s="174" t="s">
        <v>2568</v>
      </c>
      <c r="G65" s="174" t="s">
        <v>624</v>
      </c>
      <c r="H65" s="174" t="s">
        <v>625</v>
      </c>
      <c r="I65" s="174" t="s">
        <v>29</v>
      </c>
      <c r="J65" s="175">
        <v>44440</v>
      </c>
      <c r="K65" s="174">
        <v>27</v>
      </c>
      <c r="L65" s="176">
        <v>0</v>
      </c>
      <c r="M65" s="174" t="s">
        <v>20</v>
      </c>
      <c r="N65" s="174">
        <v>199</v>
      </c>
    </row>
    <row r="66" spans="1:45" s="174" customFormat="1" ht="35" customHeight="1">
      <c r="A66" s="174">
        <f>ROW()-2</f>
        <v>64</v>
      </c>
      <c r="B66" s="174" t="s">
        <v>14</v>
      </c>
      <c r="C66" s="174" t="s">
        <v>83</v>
      </c>
      <c r="D66" s="174" t="s">
        <v>84</v>
      </c>
      <c r="E66" s="174" t="s">
        <v>94</v>
      </c>
      <c r="F66" s="174" t="s">
        <v>635</v>
      </c>
      <c r="G66" s="174" t="s">
        <v>636</v>
      </c>
      <c r="H66" s="174" t="s">
        <v>637</v>
      </c>
      <c r="I66" s="174" t="s">
        <v>29</v>
      </c>
      <c r="J66" s="175">
        <v>44457</v>
      </c>
      <c r="K66" s="174">
        <v>20</v>
      </c>
      <c r="L66" s="176">
        <v>2.9830555555555556</v>
      </c>
      <c r="M66" s="174" t="s">
        <v>20</v>
      </c>
      <c r="N66" s="174">
        <v>99</v>
      </c>
    </row>
    <row r="67" spans="1:45" s="174" customFormat="1" ht="35" customHeight="1">
      <c r="A67" s="174">
        <f>ROW()-2</f>
        <v>65</v>
      </c>
      <c r="B67" s="174" t="s">
        <v>14</v>
      </c>
      <c r="C67" s="174" t="s">
        <v>83</v>
      </c>
      <c r="D67" s="174" t="s">
        <v>84</v>
      </c>
      <c r="E67" s="174" t="s">
        <v>111</v>
      </c>
      <c r="F67" s="174" t="s">
        <v>641</v>
      </c>
      <c r="G67" s="174" t="s">
        <v>642</v>
      </c>
      <c r="H67" s="174" t="s">
        <v>45</v>
      </c>
      <c r="I67" s="174" t="s">
        <v>29</v>
      </c>
      <c r="J67" s="175">
        <v>44467</v>
      </c>
      <c r="K67" s="174">
        <v>30</v>
      </c>
      <c r="L67" s="176">
        <v>3.757222222222222</v>
      </c>
      <c r="M67" s="174" t="s">
        <v>20</v>
      </c>
      <c r="N67" s="174">
        <v>666</v>
      </c>
    </row>
    <row r="68" spans="1:45" s="174" customFormat="1" ht="35" customHeight="1">
      <c r="A68" s="174">
        <f>ROW()-2</f>
        <v>66</v>
      </c>
      <c r="B68" s="174" t="s">
        <v>14</v>
      </c>
      <c r="C68" s="174" t="s">
        <v>83</v>
      </c>
      <c r="D68" s="174" t="s">
        <v>84</v>
      </c>
      <c r="E68" s="174" t="s">
        <v>94</v>
      </c>
      <c r="F68" s="174" t="s">
        <v>644</v>
      </c>
      <c r="G68" s="174" t="s">
        <v>645</v>
      </c>
      <c r="H68" s="174" t="s">
        <v>646</v>
      </c>
      <c r="I68" s="174" t="s">
        <v>29</v>
      </c>
      <c r="J68" s="175">
        <v>44478</v>
      </c>
      <c r="K68" s="174">
        <v>22</v>
      </c>
      <c r="L68" s="176">
        <v>4.1055555555555552</v>
      </c>
      <c r="M68" s="174" t="s">
        <v>20</v>
      </c>
      <c r="N68" s="174">
        <v>199</v>
      </c>
    </row>
    <row r="69" spans="1:45" s="174" customFormat="1" ht="35" customHeight="1">
      <c r="A69" s="174">
        <f>ROW()-2</f>
        <v>67</v>
      </c>
      <c r="B69" s="174" t="s">
        <v>14</v>
      </c>
      <c r="C69" s="174" t="s">
        <v>83</v>
      </c>
      <c r="D69" s="174" t="s">
        <v>84</v>
      </c>
      <c r="E69" s="174" t="s">
        <v>94</v>
      </c>
      <c r="F69" s="174" t="s">
        <v>655</v>
      </c>
      <c r="G69" s="174" t="s">
        <v>655</v>
      </c>
      <c r="H69" s="174" t="s">
        <v>656</v>
      </c>
      <c r="I69" s="174" t="s">
        <v>29</v>
      </c>
      <c r="J69" s="175">
        <v>44489</v>
      </c>
      <c r="K69" s="174">
        <v>24</v>
      </c>
      <c r="L69" s="176">
        <v>7.6036111111111113</v>
      </c>
      <c r="M69" s="174" t="s">
        <v>89</v>
      </c>
      <c r="N69" s="174">
        <v>99</v>
      </c>
    </row>
    <row r="70" spans="1:45" s="174" customFormat="1" ht="35" customHeight="1">
      <c r="A70" s="174">
        <f>ROW()-2</f>
        <v>68</v>
      </c>
      <c r="B70" s="174" t="s">
        <v>14</v>
      </c>
      <c r="C70" s="174" t="s">
        <v>83</v>
      </c>
      <c r="D70" s="174" t="s">
        <v>84</v>
      </c>
      <c r="E70" s="174" t="s">
        <v>85</v>
      </c>
      <c r="F70" s="174" t="s">
        <v>666</v>
      </c>
      <c r="G70" s="174" t="s">
        <v>666</v>
      </c>
      <c r="H70" s="174" t="s">
        <v>667</v>
      </c>
      <c r="I70" s="174" t="s">
        <v>29</v>
      </c>
      <c r="J70" s="175">
        <v>44517</v>
      </c>
      <c r="K70" s="174">
        <v>11</v>
      </c>
      <c r="L70" s="176">
        <v>1.915</v>
      </c>
      <c r="M70" s="174" t="s">
        <v>20</v>
      </c>
      <c r="N70" s="174">
        <v>69</v>
      </c>
    </row>
    <row r="71" spans="1:45" s="174" customFormat="1" ht="35" customHeight="1">
      <c r="A71" s="174">
        <f>ROW()-2</f>
        <v>69</v>
      </c>
      <c r="B71" s="174" t="s">
        <v>14</v>
      </c>
      <c r="C71" s="174" t="s">
        <v>83</v>
      </c>
      <c r="D71" s="174" t="s">
        <v>84</v>
      </c>
      <c r="E71" s="174" t="s">
        <v>662</v>
      </c>
      <c r="F71" s="174" t="s">
        <v>2699</v>
      </c>
      <c r="G71" s="174" t="s">
        <v>675</v>
      </c>
      <c r="H71" s="174" t="s">
        <v>676</v>
      </c>
      <c r="I71" s="174" t="s">
        <v>29</v>
      </c>
      <c r="J71" s="175">
        <v>44533</v>
      </c>
      <c r="K71" s="174">
        <v>12</v>
      </c>
      <c r="L71" s="176">
        <v>1.638611111111111</v>
      </c>
      <c r="M71" s="174" t="s">
        <v>20</v>
      </c>
    </row>
    <row r="72" spans="1:45" s="174" customFormat="1" ht="35" customHeight="1">
      <c r="A72" s="174">
        <f>ROW()-2</f>
        <v>70</v>
      </c>
      <c r="B72" s="174" t="s">
        <v>14</v>
      </c>
      <c r="C72" s="174" t="s">
        <v>83</v>
      </c>
      <c r="D72" s="174" t="s">
        <v>84</v>
      </c>
      <c r="E72" s="174" t="s">
        <v>85</v>
      </c>
      <c r="F72" s="174" t="s">
        <v>2700</v>
      </c>
      <c r="G72" s="174" t="s">
        <v>690</v>
      </c>
      <c r="H72" s="174" t="s">
        <v>691</v>
      </c>
      <c r="I72" s="174" t="s">
        <v>29</v>
      </c>
      <c r="J72" s="175">
        <v>44538</v>
      </c>
      <c r="K72" s="174">
        <v>9</v>
      </c>
      <c r="L72" s="176">
        <v>0.81083333333333329</v>
      </c>
      <c r="M72" s="174" t="s">
        <v>20</v>
      </c>
      <c r="N72" s="174">
        <v>19</v>
      </c>
    </row>
    <row r="73" spans="1:45" s="174" customFormat="1" ht="35" customHeight="1">
      <c r="A73" s="174">
        <f>ROW()-2</f>
        <v>71</v>
      </c>
      <c r="B73" s="174" t="s">
        <v>14</v>
      </c>
      <c r="C73" s="174" t="s">
        <v>83</v>
      </c>
      <c r="D73" s="174" t="s">
        <v>84</v>
      </c>
      <c r="E73" s="174" t="s">
        <v>94</v>
      </c>
      <c r="F73" s="174" t="s">
        <v>2491</v>
      </c>
      <c r="G73" s="174" t="s">
        <v>2492</v>
      </c>
      <c r="H73" s="174" t="s">
        <v>2493</v>
      </c>
      <c r="I73" s="174" t="s">
        <v>29</v>
      </c>
      <c r="J73" s="175">
        <v>44538</v>
      </c>
      <c r="K73" s="174">
        <v>24</v>
      </c>
      <c r="L73" s="176">
        <v>5.5297222222222224</v>
      </c>
      <c r="M73" s="174" t="s">
        <v>20</v>
      </c>
    </row>
    <row r="74" spans="1:45" s="174" customFormat="1" ht="35" customHeight="1">
      <c r="A74" s="174">
        <f>ROW()-2</f>
        <v>72</v>
      </c>
      <c r="B74" s="181" t="s">
        <v>5353</v>
      </c>
      <c r="C74" s="181" t="s">
        <v>2634</v>
      </c>
      <c r="D74" s="181" t="s">
        <v>5482</v>
      </c>
      <c r="E74" s="181" t="s">
        <v>5483</v>
      </c>
      <c r="F74" s="181" t="s">
        <v>5484</v>
      </c>
      <c r="G74" s="181" t="s">
        <v>5485</v>
      </c>
      <c r="H74" s="181" t="s">
        <v>5486</v>
      </c>
      <c r="I74" s="181" t="s">
        <v>2652</v>
      </c>
      <c r="J74" s="181" t="s">
        <v>34</v>
      </c>
      <c r="K74" s="181" t="s">
        <v>154</v>
      </c>
      <c r="L74" s="177">
        <v>44509</v>
      </c>
      <c r="M74" s="181">
        <v>26</v>
      </c>
      <c r="N74" s="181">
        <v>3.53</v>
      </c>
      <c r="O74" s="181" t="s">
        <v>20</v>
      </c>
      <c r="P74" s="174">
        <v>99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</row>
    <row r="75" spans="1:45" s="174" customFormat="1" ht="35" customHeight="1">
      <c r="A75" s="174">
        <f>ROW()-2</f>
        <v>73</v>
      </c>
      <c r="B75" s="181" t="s">
        <v>5353</v>
      </c>
      <c r="C75" s="181" t="s">
        <v>2634</v>
      </c>
      <c r="D75" s="181" t="s">
        <v>5482</v>
      </c>
      <c r="E75" s="181" t="s">
        <v>5487</v>
      </c>
      <c r="F75" s="181" t="s">
        <v>5488</v>
      </c>
      <c r="G75" s="181" t="s">
        <v>5488</v>
      </c>
      <c r="H75" s="181" t="s">
        <v>5489</v>
      </c>
      <c r="I75" s="181" t="s">
        <v>2652</v>
      </c>
      <c r="J75" s="181" t="s">
        <v>34</v>
      </c>
      <c r="K75" s="181" t="s">
        <v>154</v>
      </c>
      <c r="L75" s="177">
        <v>44509</v>
      </c>
      <c r="M75" s="181">
        <v>25</v>
      </c>
      <c r="N75" s="181">
        <v>3.86</v>
      </c>
      <c r="O75" s="181" t="s">
        <v>20</v>
      </c>
      <c r="P75" s="174">
        <v>99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spans="1:45" s="174" customFormat="1" ht="35" customHeight="1">
      <c r="A76" s="174">
        <f>ROW()-2</f>
        <v>74</v>
      </c>
      <c r="B76" s="181" t="s">
        <v>5353</v>
      </c>
      <c r="C76" s="181" t="s">
        <v>2634</v>
      </c>
      <c r="D76" s="181" t="s">
        <v>5482</v>
      </c>
      <c r="E76" s="181" t="s">
        <v>5483</v>
      </c>
      <c r="F76" s="181" t="s">
        <v>5490</v>
      </c>
      <c r="G76" s="181" t="s">
        <v>5490</v>
      </c>
      <c r="H76" s="181" t="s">
        <v>5491</v>
      </c>
      <c r="I76" s="181" t="s">
        <v>2652</v>
      </c>
      <c r="J76" s="181" t="s">
        <v>5481</v>
      </c>
      <c r="K76" s="181" t="s">
        <v>154</v>
      </c>
      <c r="L76" s="177">
        <v>44509</v>
      </c>
      <c r="M76" s="181">
        <v>16</v>
      </c>
      <c r="N76" s="181">
        <v>2.54</v>
      </c>
      <c r="O76" s="181" t="s">
        <v>20</v>
      </c>
      <c r="P76" s="174">
        <v>99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</row>
    <row r="77" spans="1:45" s="174" customFormat="1" ht="35" customHeight="1">
      <c r="A77" s="174">
        <f>ROW()-2</f>
        <v>75</v>
      </c>
      <c r="B77" s="174" t="s">
        <v>14</v>
      </c>
      <c r="C77" s="174" t="s">
        <v>83</v>
      </c>
      <c r="D77" s="174" t="s">
        <v>187</v>
      </c>
      <c r="E77" s="174" t="s">
        <v>188</v>
      </c>
      <c r="F77" s="174" t="s">
        <v>189</v>
      </c>
      <c r="G77" s="174" t="s">
        <v>190</v>
      </c>
      <c r="H77" s="174" t="s">
        <v>191</v>
      </c>
      <c r="I77" s="174" t="s">
        <v>29</v>
      </c>
      <c r="J77" s="175">
        <v>43420</v>
      </c>
      <c r="K77" s="174">
        <v>24</v>
      </c>
      <c r="L77" s="176">
        <v>4.6563888888888885</v>
      </c>
      <c r="M77" s="174" t="s">
        <v>20</v>
      </c>
      <c r="N77" s="174">
        <v>99</v>
      </c>
    </row>
    <row r="78" spans="1:45" s="174" customFormat="1" ht="35" customHeight="1">
      <c r="A78" s="174">
        <f>ROW()-2</f>
        <v>76</v>
      </c>
      <c r="B78" s="174" t="s">
        <v>14</v>
      </c>
      <c r="C78" s="174" t="s">
        <v>83</v>
      </c>
      <c r="D78" s="174" t="s">
        <v>187</v>
      </c>
      <c r="E78" s="174" t="s">
        <v>188</v>
      </c>
      <c r="F78" s="174" t="s">
        <v>217</v>
      </c>
      <c r="G78" s="174" t="s">
        <v>218</v>
      </c>
      <c r="H78" s="174" t="s">
        <v>219</v>
      </c>
      <c r="I78" s="174" t="s">
        <v>29</v>
      </c>
      <c r="J78" s="175">
        <v>43536</v>
      </c>
      <c r="K78" s="174">
        <v>14</v>
      </c>
      <c r="L78" s="176">
        <v>2.6769444444444446</v>
      </c>
      <c r="M78" s="174" t="s">
        <v>20</v>
      </c>
      <c r="N78" s="174">
        <v>69</v>
      </c>
    </row>
    <row r="79" spans="1:45" s="174" customFormat="1" ht="35" customHeight="1">
      <c r="A79" s="174">
        <f>ROW()-2</f>
        <v>77</v>
      </c>
      <c r="B79" s="174" t="s">
        <v>14</v>
      </c>
      <c r="C79" s="174" t="s">
        <v>83</v>
      </c>
      <c r="D79" s="174" t="s">
        <v>187</v>
      </c>
      <c r="E79" s="174" t="s">
        <v>2674</v>
      </c>
      <c r="F79" s="174" t="s">
        <v>320</v>
      </c>
      <c r="G79" s="174" t="s">
        <v>321</v>
      </c>
      <c r="H79" s="174" t="s">
        <v>322</v>
      </c>
      <c r="I79" s="174" t="s">
        <v>29</v>
      </c>
      <c r="J79" s="175">
        <v>43945</v>
      </c>
      <c r="K79" s="174">
        <v>103</v>
      </c>
      <c r="L79" s="176">
        <v>23.793055555555554</v>
      </c>
      <c r="M79" s="174" t="s">
        <v>20</v>
      </c>
      <c r="N79" s="174">
        <v>199</v>
      </c>
    </row>
    <row r="80" spans="1:45" s="174" customFormat="1" ht="35" customHeight="1">
      <c r="A80" s="174">
        <f>ROW()-2</f>
        <v>78</v>
      </c>
      <c r="B80" s="174" t="s">
        <v>14</v>
      </c>
      <c r="C80" s="174" t="s">
        <v>83</v>
      </c>
      <c r="D80" s="174" t="s">
        <v>187</v>
      </c>
      <c r="E80" s="174" t="s">
        <v>188</v>
      </c>
      <c r="F80" s="174" t="s">
        <v>329</v>
      </c>
      <c r="G80" s="174" t="s">
        <v>330</v>
      </c>
      <c r="H80" s="174" t="s">
        <v>331</v>
      </c>
      <c r="I80" s="174" t="s">
        <v>29</v>
      </c>
      <c r="J80" s="175">
        <v>43960</v>
      </c>
      <c r="K80" s="174">
        <v>13</v>
      </c>
      <c r="L80" s="176">
        <v>2.076111111111111</v>
      </c>
      <c r="M80" s="174" t="s">
        <v>20</v>
      </c>
      <c r="N80" s="174">
        <v>199</v>
      </c>
    </row>
    <row r="81" spans="1:14" s="174" customFormat="1" ht="35" customHeight="1">
      <c r="A81" s="174">
        <f>ROW()-2</f>
        <v>79</v>
      </c>
      <c r="B81" s="174" t="s">
        <v>14</v>
      </c>
      <c r="C81" s="174" t="s">
        <v>83</v>
      </c>
      <c r="D81" s="174" t="s">
        <v>187</v>
      </c>
      <c r="E81" s="174" t="s">
        <v>2674</v>
      </c>
      <c r="F81" s="174" t="s">
        <v>346</v>
      </c>
      <c r="G81" s="174" t="s">
        <v>347</v>
      </c>
      <c r="H81" s="174" t="s">
        <v>348</v>
      </c>
      <c r="I81" s="174" t="s">
        <v>29</v>
      </c>
      <c r="J81" s="175">
        <v>43978</v>
      </c>
      <c r="K81" s="174">
        <v>504</v>
      </c>
      <c r="L81" s="176">
        <v>56.043888888888887</v>
      </c>
      <c r="M81" s="174" t="s">
        <v>89</v>
      </c>
      <c r="N81" s="174">
        <v>199</v>
      </c>
    </row>
    <row r="82" spans="1:14" s="174" customFormat="1" ht="35" customHeight="1">
      <c r="A82" s="174">
        <f>ROW()-2</f>
        <v>80</v>
      </c>
      <c r="B82" s="174" t="s">
        <v>14</v>
      </c>
      <c r="C82" s="174" t="s">
        <v>83</v>
      </c>
      <c r="D82" s="174" t="s">
        <v>187</v>
      </c>
      <c r="E82" s="174" t="s">
        <v>355</v>
      </c>
      <c r="F82" s="174" t="s">
        <v>356</v>
      </c>
      <c r="G82" s="174" t="s">
        <v>357</v>
      </c>
      <c r="H82" s="174" t="s">
        <v>358</v>
      </c>
      <c r="I82" s="174" t="s">
        <v>29</v>
      </c>
      <c r="J82" s="175">
        <v>44003</v>
      </c>
      <c r="K82" s="174">
        <v>30</v>
      </c>
      <c r="L82" s="176">
        <v>6.3650000000000002</v>
      </c>
      <c r="M82" s="174" t="s">
        <v>20</v>
      </c>
      <c r="N82" s="174">
        <v>99</v>
      </c>
    </row>
    <row r="83" spans="1:14" s="174" customFormat="1" ht="35" customHeight="1">
      <c r="A83" s="174">
        <f>ROW()-2</f>
        <v>81</v>
      </c>
      <c r="B83" s="174" t="s">
        <v>14</v>
      </c>
      <c r="C83" s="174" t="s">
        <v>83</v>
      </c>
      <c r="D83" s="174" t="s">
        <v>187</v>
      </c>
      <c r="E83" s="174" t="s">
        <v>2674</v>
      </c>
      <c r="F83" s="174" t="s">
        <v>2693</v>
      </c>
      <c r="G83" s="174" t="s">
        <v>359</v>
      </c>
      <c r="H83" s="174" t="s">
        <v>360</v>
      </c>
      <c r="I83" s="174" t="s">
        <v>29</v>
      </c>
      <c r="J83" s="175">
        <v>44019</v>
      </c>
      <c r="K83" s="174">
        <v>57</v>
      </c>
      <c r="L83" s="176">
        <v>11.418333333333333</v>
      </c>
      <c r="M83" s="174" t="s">
        <v>20</v>
      </c>
      <c r="N83" s="174">
        <v>99</v>
      </c>
    </row>
    <row r="84" spans="1:14" s="174" customFormat="1" ht="35" customHeight="1">
      <c r="A84" s="174">
        <f>ROW()-2</f>
        <v>82</v>
      </c>
      <c r="B84" s="174" t="s">
        <v>14</v>
      </c>
      <c r="C84" s="174" t="s">
        <v>83</v>
      </c>
      <c r="D84" s="174" t="s">
        <v>187</v>
      </c>
      <c r="E84" s="174" t="s">
        <v>2674</v>
      </c>
      <c r="F84" s="174" t="s">
        <v>415</v>
      </c>
      <c r="G84" s="174" t="s">
        <v>416</v>
      </c>
      <c r="H84" s="174" t="s">
        <v>417</v>
      </c>
      <c r="I84" s="174" t="s">
        <v>29</v>
      </c>
      <c r="J84" s="175">
        <v>44120</v>
      </c>
      <c r="K84" s="174">
        <v>19</v>
      </c>
      <c r="L84" s="176">
        <v>6.5163888888888888</v>
      </c>
      <c r="M84" s="174" t="s">
        <v>20</v>
      </c>
      <c r="N84" s="174">
        <v>99</v>
      </c>
    </row>
    <row r="85" spans="1:14" s="174" customFormat="1" ht="35" customHeight="1">
      <c r="A85" s="174">
        <f>ROW()-2</f>
        <v>83</v>
      </c>
      <c r="B85" s="174" t="s">
        <v>14</v>
      </c>
      <c r="C85" s="174" t="s">
        <v>83</v>
      </c>
      <c r="D85" s="174" t="s">
        <v>187</v>
      </c>
      <c r="E85" s="174" t="s">
        <v>355</v>
      </c>
      <c r="F85" s="174" t="s">
        <v>418</v>
      </c>
      <c r="G85" s="174" t="s">
        <v>419</v>
      </c>
      <c r="H85" s="174" t="s">
        <v>420</v>
      </c>
      <c r="I85" s="174" t="s">
        <v>29</v>
      </c>
      <c r="J85" s="175">
        <v>44125</v>
      </c>
      <c r="K85" s="174">
        <v>53</v>
      </c>
      <c r="L85" s="176">
        <v>9.1875</v>
      </c>
      <c r="M85" s="174" t="s">
        <v>20</v>
      </c>
      <c r="N85" s="174">
        <v>99</v>
      </c>
    </row>
    <row r="86" spans="1:14" s="174" customFormat="1" ht="35" customHeight="1">
      <c r="A86" s="174">
        <f>ROW()-2</f>
        <v>84</v>
      </c>
      <c r="B86" s="174" t="s">
        <v>14</v>
      </c>
      <c r="C86" s="174" t="s">
        <v>83</v>
      </c>
      <c r="D86" s="174" t="s">
        <v>187</v>
      </c>
      <c r="E86" s="174" t="s">
        <v>355</v>
      </c>
      <c r="F86" s="174" t="s">
        <v>519</v>
      </c>
      <c r="G86" s="174" t="s">
        <v>520</v>
      </c>
      <c r="H86" s="174" t="s">
        <v>521</v>
      </c>
      <c r="I86" s="174" t="s">
        <v>17</v>
      </c>
      <c r="J86" s="175">
        <v>44251</v>
      </c>
      <c r="K86" s="174">
        <v>5</v>
      </c>
      <c r="L86" s="176">
        <v>2.3808333333333334</v>
      </c>
      <c r="M86" s="174" t="s">
        <v>20</v>
      </c>
      <c r="N86" s="174">
        <v>19.899999999999999</v>
      </c>
    </row>
    <row r="87" spans="1:14" s="174" customFormat="1" ht="35" customHeight="1">
      <c r="A87" s="174">
        <f>ROW()-2</f>
        <v>85</v>
      </c>
      <c r="B87" s="174" t="s">
        <v>14</v>
      </c>
      <c r="C87" s="174" t="s">
        <v>83</v>
      </c>
      <c r="D87" s="174" t="s">
        <v>187</v>
      </c>
      <c r="E87" s="174" t="s">
        <v>2674</v>
      </c>
      <c r="F87" s="174" t="s">
        <v>530</v>
      </c>
      <c r="G87" s="174" t="s">
        <v>531</v>
      </c>
      <c r="H87" s="174" t="s">
        <v>532</v>
      </c>
      <c r="I87" s="174" t="s">
        <v>29</v>
      </c>
      <c r="J87" s="175">
        <v>44270</v>
      </c>
      <c r="K87" s="174">
        <v>126</v>
      </c>
      <c r="L87" s="176">
        <v>26.55638888888889</v>
      </c>
      <c r="M87" s="174" t="s">
        <v>20</v>
      </c>
      <c r="N87" s="174">
        <v>99</v>
      </c>
    </row>
    <row r="88" spans="1:14" s="174" customFormat="1" ht="35" customHeight="1">
      <c r="A88" s="174">
        <f>ROW()-2</f>
        <v>86</v>
      </c>
      <c r="B88" s="174" t="s">
        <v>14</v>
      </c>
      <c r="C88" s="174" t="s">
        <v>83</v>
      </c>
      <c r="D88" s="174" t="s">
        <v>187</v>
      </c>
      <c r="E88" s="174" t="s">
        <v>2674</v>
      </c>
      <c r="F88" s="174" t="s">
        <v>539</v>
      </c>
      <c r="G88" s="174" t="s">
        <v>540</v>
      </c>
      <c r="H88" s="174" t="s">
        <v>541</v>
      </c>
      <c r="I88" s="174" t="s">
        <v>29</v>
      </c>
      <c r="J88" s="175">
        <v>44279</v>
      </c>
      <c r="K88" s="174">
        <v>152</v>
      </c>
      <c r="L88" s="176">
        <v>35.080277777777781</v>
      </c>
      <c r="M88" s="174" t="s">
        <v>20</v>
      </c>
      <c r="N88" s="174">
        <v>199</v>
      </c>
    </row>
    <row r="89" spans="1:14" s="174" customFormat="1" ht="35" customHeight="1">
      <c r="A89" s="174">
        <f>ROW()-2</f>
        <v>87</v>
      </c>
      <c r="B89" s="174" t="s">
        <v>14</v>
      </c>
      <c r="C89" s="174" t="s">
        <v>83</v>
      </c>
      <c r="D89" s="174" t="s">
        <v>187</v>
      </c>
      <c r="E89" s="174" t="s">
        <v>2674</v>
      </c>
      <c r="F89" s="174" t="s">
        <v>546</v>
      </c>
      <c r="G89" s="174" t="s">
        <v>547</v>
      </c>
      <c r="H89" s="174" t="s">
        <v>548</v>
      </c>
      <c r="I89" s="174" t="s">
        <v>17</v>
      </c>
      <c r="J89" s="175">
        <v>44298</v>
      </c>
      <c r="K89" s="174">
        <v>10</v>
      </c>
      <c r="L89" s="176">
        <v>2.4563888888888887</v>
      </c>
      <c r="M89" s="174" t="s">
        <v>89</v>
      </c>
      <c r="N89" s="174">
        <v>68</v>
      </c>
    </row>
    <row r="90" spans="1:14" s="174" customFormat="1" ht="35" customHeight="1">
      <c r="A90" s="174">
        <f>ROW()-2</f>
        <v>88</v>
      </c>
      <c r="B90" s="174" t="s">
        <v>14</v>
      </c>
      <c r="C90" s="174" t="s">
        <v>83</v>
      </c>
      <c r="D90" s="174" t="s">
        <v>187</v>
      </c>
      <c r="E90" s="174" t="s">
        <v>563</v>
      </c>
      <c r="F90" s="174" t="s">
        <v>564</v>
      </c>
      <c r="G90" s="174" t="s">
        <v>565</v>
      </c>
      <c r="H90" s="174" t="s">
        <v>566</v>
      </c>
      <c r="I90" s="174" t="s">
        <v>29</v>
      </c>
      <c r="J90" s="175">
        <v>44330</v>
      </c>
      <c r="K90" s="174">
        <v>23</v>
      </c>
      <c r="L90" s="176">
        <v>4.6366666666666667</v>
      </c>
      <c r="M90" s="174" t="s">
        <v>20</v>
      </c>
      <c r="N90" s="174">
        <v>199</v>
      </c>
    </row>
    <row r="91" spans="1:14" s="174" customFormat="1" ht="35" customHeight="1">
      <c r="A91" s="174">
        <f>ROW()-2</f>
        <v>89</v>
      </c>
      <c r="B91" s="174" t="s">
        <v>14</v>
      </c>
      <c r="C91" s="174" t="s">
        <v>83</v>
      </c>
      <c r="D91" s="174" t="s">
        <v>187</v>
      </c>
      <c r="E91" s="174" t="s">
        <v>355</v>
      </c>
      <c r="F91" s="174" t="s">
        <v>2486</v>
      </c>
      <c r="G91" s="174" t="s">
        <v>567</v>
      </c>
      <c r="H91" s="174" t="s">
        <v>568</v>
      </c>
      <c r="I91" s="174" t="s">
        <v>29</v>
      </c>
      <c r="J91" s="175">
        <v>44335</v>
      </c>
      <c r="K91" s="174">
        <v>11</v>
      </c>
      <c r="L91" s="176">
        <v>2.0405555555555557</v>
      </c>
      <c r="M91" s="174" t="s">
        <v>89</v>
      </c>
      <c r="N91" s="174">
        <v>29</v>
      </c>
    </row>
    <row r="92" spans="1:14" s="174" customFormat="1" ht="35" customHeight="1">
      <c r="A92" s="174">
        <f>ROW()-2</f>
        <v>90</v>
      </c>
      <c r="B92" s="174" t="s">
        <v>14</v>
      </c>
      <c r="C92" s="174" t="s">
        <v>83</v>
      </c>
      <c r="D92" s="174" t="s">
        <v>187</v>
      </c>
      <c r="E92" s="174" t="s">
        <v>563</v>
      </c>
      <c r="F92" s="174" t="s">
        <v>620</v>
      </c>
      <c r="G92" s="174" t="s">
        <v>621</v>
      </c>
      <c r="H92" s="174" t="s">
        <v>622</v>
      </c>
      <c r="I92" s="174" t="s">
        <v>17</v>
      </c>
      <c r="J92" s="175">
        <v>44430</v>
      </c>
      <c r="K92" s="174">
        <v>12</v>
      </c>
      <c r="L92" s="176">
        <v>1.1680555555555556</v>
      </c>
      <c r="M92" s="174" t="s">
        <v>89</v>
      </c>
      <c r="N92" s="174">
        <v>198</v>
      </c>
    </row>
    <row r="93" spans="1:14" s="174" customFormat="1" ht="35" customHeight="1">
      <c r="A93" s="174">
        <f>ROW()-2</f>
        <v>91</v>
      </c>
      <c r="B93" s="174" t="s">
        <v>14</v>
      </c>
      <c r="C93" s="174" t="s">
        <v>83</v>
      </c>
      <c r="D93" s="174" t="s">
        <v>187</v>
      </c>
      <c r="E93" s="174" t="s">
        <v>2674</v>
      </c>
      <c r="F93" s="174" t="s">
        <v>2565</v>
      </c>
      <c r="G93" s="174" t="s">
        <v>657</v>
      </c>
      <c r="H93" s="174" t="s">
        <v>637</v>
      </c>
      <c r="I93" s="174" t="s">
        <v>29</v>
      </c>
      <c r="J93" s="175">
        <v>44489</v>
      </c>
      <c r="K93" s="174">
        <v>48</v>
      </c>
      <c r="L93" s="176">
        <v>10.421388888888888</v>
      </c>
      <c r="M93" s="174" t="s">
        <v>20</v>
      </c>
      <c r="N93" s="174">
        <v>299</v>
      </c>
    </row>
    <row r="94" spans="1:14" s="174" customFormat="1" ht="35" customHeight="1">
      <c r="A94" s="174">
        <f>ROW()-2</f>
        <v>92</v>
      </c>
      <c r="B94" s="174" t="s">
        <v>14</v>
      </c>
      <c r="C94" s="174" t="s">
        <v>83</v>
      </c>
      <c r="D94" s="174" t="s">
        <v>187</v>
      </c>
      <c r="E94" s="174" t="s">
        <v>355</v>
      </c>
      <c r="F94" s="174" t="s">
        <v>652</v>
      </c>
      <c r="G94" s="174" t="s">
        <v>652</v>
      </c>
      <c r="H94" s="174" t="s">
        <v>653</v>
      </c>
      <c r="I94" s="174" t="s">
        <v>29</v>
      </c>
      <c r="J94" s="175">
        <v>44489</v>
      </c>
      <c r="K94" s="174">
        <v>10</v>
      </c>
      <c r="L94" s="176">
        <v>0</v>
      </c>
      <c r="M94" s="174" t="s">
        <v>20</v>
      </c>
      <c r="N94" s="174">
        <v>199</v>
      </c>
    </row>
    <row r="95" spans="1:14" s="174" customFormat="1" ht="35" customHeight="1">
      <c r="A95" s="174">
        <f>ROW()-2</f>
        <v>93</v>
      </c>
      <c r="B95" s="174" t="s">
        <v>14</v>
      </c>
      <c r="C95" s="174" t="s">
        <v>83</v>
      </c>
      <c r="D95" s="174" t="s">
        <v>187</v>
      </c>
      <c r="E95" s="174" t="s">
        <v>2674</v>
      </c>
      <c r="F95" s="174" t="s">
        <v>664</v>
      </c>
      <c r="G95" s="174" t="s">
        <v>664</v>
      </c>
      <c r="H95" s="174" t="s">
        <v>665</v>
      </c>
      <c r="I95" s="174" t="s">
        <v>29</v>
      </c>
      <c r="J95" s="175">
        <v>44510</v>
      </c>
      <c r="K95" s="174">
        <v>29</v>
      </c>
      <c r="L95" s="176">
        <v>6.2094444444444443</v>
      </c>
      <c r="M95" s="174" t="s">
        <v>20</v>
      </c>
      <c r="N95" s="174">
        <v>98</v>
      </c>
    </row>
    <row r="96" spans="1:14" s="174" customFormat="1" ht="35" customHeight="1">
      <c r="A96" s="174">
        <f>ROW()-2</f>
        <v>94</v>
      </c>
      <c r="B96" s="174" t="s">
        <v>14</v>
      </c>
      <c r="C96" s="174" t="s">
        <v>83</v>
      </c>
      <c r="D96" s="174" t="s">
        <v>187</v>
      </c>
      <c r="E96" s="174" t="s">
        <v>188</v>
      </c>
      <c r="F96" s="174" t="s">
        <v>187</v>
      </c>
      <c r="G96" s="174" t="s">
        <v>187</v>
      </c>
      <c r="H96" s="174" t="s">
        <v>674</v>
      </c>
      <c r="I96" s="174" t="s">
        <v>17</v>
      </c>
      <c r="J96" s="175">
        <v>44532</v>
      </c>
      <c r="K96" s="174">
        <v>10</v>
      </c>
      <c r="L96" s="176">
        <v>1.7875000000000001</v>
      </c>
      <c r="M96" s="174" t="s">
        <v>20</v>
      </c>
      <c r="N96" s="174">
        <v>399</v>
      </c>
    </row>
    <row r="97" spans="1:45" s="174" customFormat="1" ht="35" customHeight="1">
      <c r="A97" s="174">
        <f>ROW()-2</f>
        <v>95</v>
      </c>
      <c r="B97" s="174" t="s">
        <v>14</v>
      </c>
      <c r="C97" s="174" t="s">
        <v>83</v>
      </c>
      <c r="D97" s="174" t="s">
        <v>187</v>
      </c>
      <c r="E97" s="174" t="s">
        <v>188</v>
      </c>
      <c r="F97" s="174" t="s">
        <v>2695</v>
      </c>
      <c r="G97" s="174" t="s">
        <v>722</v>
      </c>
      <c r="H97" s="174" t="s">
        <v>331</v>
      </c>
      <c r="I97" s="174" t="s">
        <v>17</v>
      </c>
      <c r="J97" s="175">
        <v>44562</v>
      </c>
      <c r="K97" s="174">
        <v>13</v>
      </c>
      <c r="L97" s="176">
        <v>2.0869444444444443</v>
      </c>
      <c r="M97" s="174" t="s">
        <v>20</v>
      </c>
      <c r="N97" s="174">
        <v>189</v>
      </c>
    </row>
    <row r="98" spans="1:45" s="174" customFormat="1" ht="35" customHeight="1">
      <c r="A98" s="174">
        <f>ROW()-2</f>
        <v>96</v>
      </c>
      <c r="B98" s="174" t="s">
        <v>14</v>
      </c>
      <c r="C98" s="174" t="s">
        <v>83</v>
      </c>
      <c r="D98" s="174" t="s">
        <v>187</v>
      </c>
      <c r="E98" s="174" t="s">
        <v>188</v>
      </c>
      <c r="F98" s="174" t="s">
        <v>2696</v>
      </c>
      <c r="G98" s="174" t="s">
        <v>721</v>
      </c>
      <c r="H98" s="174" t="s">
        <v>331</v>
      </c>
      <c r="I98" s="174" t="s">
        <v>17</v>
      </c>
      <c r="J98" s="175">
        <v>44562</v>
      </c>
      <c r="K98" s="174">
        <v>12</v>
      </c>
      <c r="L98" s="176">
        <v>2.4016666666666668</v>
      </c>
      <c r="M98" s="174" t="s">
        <v>20</v>
      </c>
      <c r="N98" s="174">
        <v>189</v>
      </c>
    </row>
    <row r="99" spans="1:45" s="174" customFormat="1" ht="35" customHeight="1">
      <c r="A99" s="174">
        <f>ROW()-2</f>
        <v>97</v>
      </c>
      <c r="B99" s="174" t="s">
        <v>14</v>
      </c>
      <c r="C99" s="174" t="s">
        <v>83</v>
      </c>
      <c r="D99" s="174" t="s">
        <v>187</v>
      </c>
      <c r="E99" s="174" t="s">
        <v>563</v>
      </c>
      <c r="F99" s="174" t="s">
        <v>716</v>
      </c>
      <c r="G99" s="174" t="s">
        <v>722</v>
      </c>
      <c r="H99" s="174" t="s">
        <v>718</v>
      </c>
      <c r="I99" s="174" t="s">
        <v>17</v>
      </c>
      <c r="J99" s="175">
        <v>44562</v>
      </c>
      <c r="K99" s="174">
        <v>14</v>
      </c>
      <c r="L99" s="176">
        <v>4.0680555555555555</v>
      </c>
      <c r="M99" s="174" t="s">
        <v>20</v>
      </c>
      <c r="N99" s="174">
        <v>189</v>
      </c>
    </row>
    <row r="100" spans="1:45" s="174" customFormat="1" ht="35" customHeight="1">
      <c r="A100" s="174">
        <f>ROW()-2</f>
        <v>98</v>
      </c>
      <c r="B100" s="181" t="s">
        <v>5611</v>
      </c>
      <c r="C100" s="181" t="s">
        <v>5633</v>
      </c>
      <c r="D100" s="181" t="s">
        <v>5634</v>
      </c>
      <c r="E100" s="181" t="s">
        <v>5635</v>
      </c>
      <c r="F100" s="181" t="s">
        <v>5613</v>
      </c>
      <c r="G100" s="181" t="s">
        <v>5613</v>
      </c>
      <c r="H100" s="181" t="s">
        <v>5616</v>
      </c>
      <c r="I100" s="181" t="s">
        <v>5617</v>
      </c>
      <c r="J100" s="177">
        <v>44620</v>
      </c>
      <c r="K100" s="181">
        <v>19</v>
      </c>
      <c r="L100" s="179">
        <v>5.81</v>
      </c>
      <c r="M100" s="181" t="s">
        <v>20</v>
      </c>
      <c r="N100" s="181">
        <v>498</v>
      </c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81"/>
      <c r="AJ100" s="181"/>
      <c r="AK100" s="181"/>
      <c r="AL100" s="181"/>
      <c r="AM100" s="181"/>
      <c r="AN100" s="181"/>
      <c r="AO100" s="181"/>
      <c r="AP100" s="181"/>
      <c r="AQ100" s="181"/>
      <c r="AR100" s="181"/>
      <c r="AS100" s="181"/>
    </row>
    <row r="101" spans="1:45" s="174" customFormat="1" ht="35" customHeight="1">
      <c r="A101" s="174">
        <f>ROW()-2</f>
        <v>99</v>
      </c>
      <c r="B101" s="181" t="s">
        <v>5679</v>
      </c>
      <c r="C101" s="181" t="s">
        <v>5680</v>
      </c>
      <c r="D101" s="181" t="s">
        <v>5707</v>
      </c>
      <c r="E101" s="181" t="s">
        <v>5708</v>
      </c>
      <c r="F101" s="306" t="s">
        <v>5678</v>
      </c>
      <c r="G101" s="306" t="s">
        <v>5692</v>
      </c>
      <c r="H101" s="306" t="s">
        <v>5687</v>
      </c>
      <c r="I101" s="181" t="s">
        <v>5686</v>
      </c>
      <c r="J101" s="307" t="s">
        <v>5688</v>
      </c>
      <c r="K101" s="181" t="s">
        <v>5689</v>
      </c>
      <c r="L101" s="177">
        <v>44634</v>
      </c>
      <c r="M101" s="22">
        <v>11</v>
      </c>
      <c r="N101" s="308">
        <v>2.2999999999999998</v>
      </c>
      <c r="O101" s="22" t="s">
        <v>5690</v>
      </c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</row>
    <row r="102" spans="1:45" s="174" customFormat="1" ht="35" customHeight="1">
      <c r="A102" s="174">
        <f>ROW()-2</f>
        <v>100</v>
      </c>
      <c r="B102" s="174" t="s">
        <v>14</v>
      </c>
      <c r="C102" s="174" t="s">
        <v>83</v>
      </c>
      <c r="D102" s="174" t="s">
        <v>220</v>
      </c>
      <c r="E102" s="174" t="s">
        <v>2481</v>
      </c>
      <c r="F102" s="174" t="s">
        <v>90</v>
      </c>
      <c r="G102" s="174" t="s">
        <v>91</v>
      </c>
      <c r="H102" s="174" t="s">
        <v>92</v>
      </c>
      <c r="I102" s="174" t="s">
        <v>29</v>
      </c>
      <c r="J102" s="175">
        <v>43238</v>
      </c>
      <c r="K102" s="174">
        <v>64</v>
      </c>
      <c r="L102" s="176">
        <v>18.41611111111111</v>
      </c>
      <c r="M102" s="174" t="s">
        <v>20</v>
      </c>
      <c r="N102" s="174">
        <v>399</v>
      </c>
    </row>
    <row r="103" spans="1:45" s="174" customFormat="1" ht="35" customHeight="1">
      <c r="A103" s="174">
        <f>ROW()-2</f>
        <v>101</v>
      </c>
      <c r="B103" s="174" t="s">
        <v>14</v>
      </c>
      <c r="C103" s="174" t="s">
        <v>83</v>
      </c>
      <c r="D103" s="174" t="s">
        <v>220</v>
      </c>
      <c r="E103" s="174" t="s">
        <v>2672</v>
      </c>
      <c r="F103" s="174" t="s">
        <v>221</v>
      </c>
      <c r="G103" s="174" t="s">
        <v>222</v>
      </c>
      <c r="H103" s="174" t="s">
        <v>223</v>
      </c>
      <c r="I103" s="174" t="s">
        <v>29</v>
      </c>
      <c r="J103" s="175">
        <v>43238</v>
      </c>
      <c r="K103" s="174">
        <v>116</v>
      </c>
      <c r="L103" s="176">
        <v>33.50611111111111</v>
      </c>
      <c r="M103" s="174" t="s">
        <v>20</v>
      </c>
      <c r="N103" s="174">
        <v>99</v>
      </c>
    </row>
    <row r="104" spans="1:45" s="174" customFormat="1" ht="35" customHeight="1">
      <c r="A104" s="174">
        <f>ROW()-2</f>
        <v>102</v>
      </c>
      <c r="B104" s="174" t="s">
        <v>14</v>
      </c>
      <c r="C104" s="174" t="s">
        <v>83</v>
      </c>
      <c r="D104" s="174" t="s">
        <v>220</v>
      </c>
      <c r="E104" s="174" t="s">
        <v>247</v>
      </c>
      <c r="F104" s="174" t="s">
        <v>248</v>
      </c>
      <c r="G104" s="174" t="s">
        <v>249</v>
      </c>
      <c r="H104" s="174" t="s">
        <v>250</v>
      </c>
      <c r="I104" s="174" t="s">
        <v>29</v>
      </c>
      <c r="J104" s="175">
        <v>43700</v>
      </c>
      <c r="K104" s="174">
        <v>30</v>
      </c>
      <c r="L104" s="176">
        <v>4.4786111111111113</v>
      </c>
      <c r="M104" s="174" t="s">
        <v>20</v>
      </c>
      <c r="N104" s="174">
        <v>128</v>
      </c>
    </row>
    <row r="105" spans="1:45" s="174" customFormat="1" ht="35" customHeight="1">
      <c r="A105" s="174">
        <f>ROW()-2</f>
        <v>103</v>
      </c>
      <c r="B105" s="174" t="s">
        <v>14</v>
      </c>
      <c r="C105" s="174" t="s">
        <v>83</v>
      </c>
      <c r="D105" s="174" t="s">
        <v>220</v>
      </c>
      <c r="E105" s="174" t="s">
        <v>2672</v>
      </c>
      <c r="F105" s="174" t="s">
        <v>2482</v>
      </c>
      <c r="G105" s="174" t="s">
        <v>276</v>
      </c>
      <c r="H105" s="174" t="s">
        <v>277</v>
      </c>
      <c r="I105" s="174" t="s">
        <v>29</v>
      </c>
      <c r="J105" s="175">
        <v>43700</v>
      </c>
      <c r="K105" s="174">
        <v>32</v>
      </c>
      <c r="L105" s="176">
        <v>9.6791666666666671</v>
      </c>
      <c r="M105" s="174" t="s">
        <v>20</v>
      </c>
      <c r="N105" s="174">
        <v>99</v>
      </c>
    </row>
    <row r="106" spans="1:45" s="174" customFormat="1" ht="35" customHeight="1">
      <c r="A106" s="174">
        <f>ROW()-2</f>
        <v>104</v>
      </c>
      <c r="B106" s="174" t="s">
        <v>14</v>
      </c>
      <c r="C106" s="174" t="s">
        <v>83</v>
      </c>
      <c r="D106" s="174" t="s">
        <v>220</v>
      </c>
      <c r="E106" s="174" t="s">
        <v>263</v>
      </c>
      <c r="F106" s="174" t="s">
        <v>278</v>
      </c>
      <c r="G106" s="174" t="s">
        <v>279</v>
      </c>
      <c r="H106" s="174" t="s">
        <v>280</v>
      </c>
      <c r="I106" s="174" t="s">
        <v>29</v>
      </c>
      <c r="J106" s="175">
        <v>43706</v>
      </c>
      <c r="K106" s="174">
        <v>10</v>
      </c>
      <c r="L106" s="176">
        <v>3.0597222222222222</v>
      </c>
      <c r="M106" s="174" t="s">
        <v>20</v>
      </c>
      <c r="N106" s="174">
        <v>39</v>
      </c>
    </row>
    <row r="107" spans="1:45" s="174" customFormat="1" ht="35" customHeight="1">
      <c r="A107" s="174">
        <f>ROW()-2</f>
        <v>105</v>
      </c>
      <c r="B107" s="174" t="s">
        <v>14</v>
      </c>
      <c r="C107" s="174" t="s">
        <v>83</v>
      </c>
      <c r="D107" s="174" t="s">
        <v>220</v>
      </c>
      <c r="E107" s="174" t="s">
        <v>247</v>
      </c>
      <c r="F107" s="174" t="s">
        <v>2691</v>
      </c>
      <c r="G107" s="174" t="s">
        <v>265</v>
      </c>
      <c r="H107" s="174" t="s">
        <v>266</v>
      </c>
      <c r="I107" s="174" t="s">
        <v>29</v>
      </c>
      <c r="J107" s="175">
        <v>43776</v>
      </c>
      <c r="K107" s="174">
        <v>75</v>
      </c>
      <c r="L107" s="176">
        <v>12.760277777777778</v>
      </c>
      <c r="M107" s="174" t="s">
        <v>20</v>
      </c>
      <c r="N107" s="174">
        <v>0</v>
      </c>
    </row>
    <row r="108" spans="1:45" s="174" customFormat="1" ht="35" customHeight="1">
      <c r="A108" s="174">
        <f>ROW()-2</f>
        <v>106</v>
      </c>
      <c r="B108" s="174" t="s">
        <v>14</v>
      </c>
      <c r="C108" s="174" t="s">
        <v>83</v>
      </c>
      <c r="D108" s="174" t="s">
        <v>220</v>
      </c>
      <c r="E108" s="174" t="s">
        <v>513</v>
      </c>
      <c r="F108" s="174" t="s">
        <v>284</v>
      </c>
      <c r="G108" s="174" t="s">
        <v>285</v>
      </c>
      <c r="H108" s="174" t="s">
        <v>286</v>
      </c>
      <c r="I108" s="174" t="s">
        <v>29</v>
      </c>
      <c r="J108" s="175">
        <v>43906</v>
      </c>
      <c r="K108" s="174">
        <v>21</v>
      </c>
      <c r="L108" s="176">
        <v>3.2258333333333336</v>
      </c>
      <c r="M108" s="174" t="s">
        <v>20</v>
      </c>
      <c r="N108" s="174">
        <v>98</v>
      </c>
    </row>
    <row r="109" spans="1:45" s="174" customFormat="1" ht="35" customHeight="1">
      <c r="A109" s="174">
        <f>ROW()-2</f>
        <v>107</v>
      </c>
      <c r="B109" s="174" t="s">
        <v>14</v>
      </c>
      <c r="C109" s="174" t="s">
        <v>83</v>
      </c>
      <c r="D109" s="174" t="s">
        <v>220</v>
      </c>
      <c r="E109" s="174" t="s">
        <v>263</v>
      </c>
      <c r="F109" s="174" t="s">
        <v>311</v>
      </c>
      <c r="G109" s="174" t="s">
        <v>312</v>
      </c>
      <c r="H109" s="174" t="s">
        <v>313</v>
      </c>
      <c r="I109" s="174" t="s">
        <v>29</v>
      </c>
      <c r="J109" s="175">
        <v>43938</v>
      </c>
      <c r="K109" s="174">
        <v>62</v>
      </c>
      <c r="L109" s="176">
        <v>13.688333333333333</v>
      </c>
      <c r="M109" s="174" t="s">
        <v>89</v>
      </c>
      <c r="N109" s="174">
        <v>99</v>
      </c>
    </row>
    <row r="110" spans="1:45" s="174" customFormat="1" ht="35" customHeight="1">
      <c r="A110" s="174">
        <f>ROW()-2</f>
        <v>108</v>
      </c>
      <c r="B110" s="174" t="s">
        <v>14</v>
      </c>
      <c r="C110" s="174" t="s">
        <v>83</v>
      </c>
      <c r="D110" s="174" t="s">
        <v>220</v>
      </c>
      <c r="E110" s="174" t="s">
        <v>2481</v>
      </c>
      <c r="F110" s="174" t="s">
        <v>332</v>
      </c>
      <c r="G110" s="174" t="s">
        <v>333</v>
      </c>
      <c r="H110" s="174" t="s">
        <v>334</v>
      </c>
      <c r="I110" s="174" t="s">
        <v>29</v>
      </c>
      <c r="J110" s="175">
        <v>43966</v>
      </c>
      <c r="K110" s="174">
        <v>38</v>
      </c>
      <c r="L110" s="176">
        <v>7.3430555555555559</v>
      </c>
      <c r="M110" s="174" t="s">
        <v>20</v>
      </c>
      <c r="N110" s="174">
        <v>199</v>
      </c>
    </row>
    <row r="111" spans="1:45" s="174" customFormat="1" ht="35" customHeight="1">
      <c r="A111" s="174">
        <f>ROW()-2</f>
        <v>109</v>
      </c>
      <c r="B111" s="174" t="s">
        <v>14</v>
      </c>
      <c r="C111" s="174" t="s">
        <v>83</v>
      </c>
      <c r="D111" s="174" t="s">
        <v>220</v>
      </c>
      <c r="E111" s="174" t="s">
        <v>247</v>
      </c>
      <c r="F111" s="174" t="s">
        <v>365</v>
      </c>
      <c r="G111" s="174" t="s">
        <v>366</v>
      </c>
      <c r="H111" s="174" t="s">
        <v>367</v>
      </c>
      <c r="I111" s="174" t="s">
        <v>29</v>
      </c>
      <c r="J111" s="175">
        <v>44039</v>
      </c>
      <c r="K111" s="174">
        <v>61</v>
      </c>
      <c r="L111" s="176">
        <v>10.649166666666666</v>
      </c>
      <c r="M111" s="174" t="s">
        <v>20</v>
      </c>
      <c r="N111" s="174">
        <v>199</v>
      </c>
    </row>
    <row r="112" spans="1:45" s="181" customFormat="1" ht="35" customHeight="1">
      <c r="A112" s="174">
        <f>ROW()-2</f>
        <v>110</v>
      </c>
      <c r="B112" s="174" t="s">
        <v>14</v>
      </c>
      <c r="C112" s="174" t="s">
        <v>83</v>
      </c>
      <c r="D112" s="174" t="s">
        <v>220</v>
      </c>
      <c r="E112" s="174" t="s">
        <v>263</v>
      </c>
      <c r="F112" s="174" t="s">
        <v>2562</v>
      </c>
      <c r="G112" s="174" t="s">
        <v>369</v>
      </c>
      <c r="H112" s="174" t="s">
        <v>370</v>
      </c>
      <c r="I112" s="174" t="s">
        <v>29</v>
      </c>
      <c r="J112" s="175">
        <v>44046</v>
      </c>
      <c r="K112" s="174">
        <v>57</v>
      </c>
      <c r="L112" s="176">
        <v>14.363055555555556</v>
      </c>
      <c r="M112" s="174" t="s">
        <v>20</v>
      </c>
      <c r="N112" s="174">
        <v>69</v>
      </c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4"/>
      <c r="AS112" s="174"/>
    </row>
    <row r="113" spans="1:45" s="174" customFormat="1" ht="35" customHeight="1">
      <c r="A113" s="174">
        <f>ROW()-2</f>
        <v>111</v>
      </c>
      <c r="B113" s="174" t="s">
        <v>14</v>
      </c>
      <c r="C113" s="174" t="s">
        <v>83</v>
      </c>
      <c r="D113" s="174" t="s">
        <v>220</v>
      </c>
      <c r="E113" s="174" t="s">
        <v>513</v>
      </c>
      <c r="F113" s="174" t="s">
        <v>383</v>
      </c>
      <c r="G113" s="174" t="s">
        <v>384</v>
      </c>
      <c r="H113" s="174" t="s">
        <v>286</v>
      </c>
      <c r="I113" s="174" t="s">
        <v>29</v>
      </c>
      <c r="J113" s="175">
        <v>44068</v>
      </c>
      <c r="K113" s="174">
        <v>20</v>
      </c>
      <c r="L113" s="176">
        <v>5.6111111111111107</v>
      </c>
      <c r="M113" s="174" t="s">
        <v>20</v>
      </c>
      <c r="N113" s="174">
        <v>98</v>
      </c>
    </row>
    <row r="114" spans="1:45" s="174" customFormat="1" ht="35" customHeight="1">
      <c r="A114" s="174">
        <f>ROW()-2</f>
        <v>112</v>
      </c>
      <c r="B114" s="174" t="s">
        <v>14</v>
      </c>
      <c r="C114" s="174" t="s">
        <v>83</v>
      </c>
      <c r="D114" s="174" t="s">
        <v>220</v>
      </c>
      <c r="E114" s="174" t="s">
        <v>2672</v>
      </c>
      <c r="F114" s="174" t="s">
        <v>475</v>
      </c>
      <c r="G114" s="174" t="s">
        <v>2485</v>
      </c>
      <c r="H114" s="174" t="s">
        <v>476</v>
      </c>
      <c r="I114" s="174" t="s">
        <v>29</v>
      </c>
      <c r="J114" s="175">
        <v>44196</v>
      </c>
      <c r="K114" s="174">
        <v>372</v>
      </c>
      <c r="L114" s="176">
        <v>59.479444444444447</v>
      </c>
      <c r="M114" s="174" t="s">
        <v>20</v>
      </c>
      <c r="N114" s="174">
        <v>199</v>
      </c>
    </row>
    <row r="115" spans="1:45" s="174" customFormat="1" ht="35" customHeight="1">
      <c r="A115" s="174">
        <f>ROW()-2</f>
        <v>113</v>
      </c>
      <c r="B115" s="174" t="s">
        <v>14</v>
      </c>
      <c r="C115" s="174" t="s">
        <v>83</v>
      </c>
      <c r="D115" s="174" t="s">
        <v>220</v>
      </c>
      <c r="E115" s="174" t="s">
        <v>2672</v>
      </c>
      <c r="F115" s="174" t="s">
        <v>510</v>
      </c>
      <c r="G115" s="174" t="s">
        <v>511</v>
      </c>
      <c r="H115" s="174" t="s">
        <v>512</v>
      </c>
      <c r="I115" s="174" t="s">
        <v>29</v>
      </c>
      <c r="J115" s="175">
        <v>44245</v>
      </c>
      <c r="K115" s="174">
        <v>144</v>
      </c>
      <c r="L115" s="176">
        <v>21.359166666666667</v>
      </c>
      <c r="M115" s="174" t="s">
        <v>20</v>
      </c>
      <c r="N115" s="174">
        <v>199</v>
      </c>
    </row>
    <row r="116" spans="1:45" s="174" customFormat="1" ht="35" customHeight="1">
      <c r="A116" s="174">
        <f>ROW()-2</f>
        <v>114</v>
      </c>
      <c r="B116" s="174" t="s">
        <v>14</v>
      </c>
      <c r="C116" s="174" t="s">
        <v>83</v>
      </c>
      <c r="D116" s="174" t="s">
        <v>220</v>
      </c>
      <c r="E116" s="174" t="s">
        <v>513</v>
      </c>
      <c r="F116" s="174" t="s">
        <v>2563</v>
      </c>
      <c r="G116" s="174" t="s">
        <v>515</v>
      </c>
      <c r="H116" s="174" t="s">
        <v>286</v>
      </c>
      <c r="I116" s="174" t="s">
        <v>29</v>
      </c>
      <c r="J116" s="175">
        <v>44247</v>
      </c>
      <c r="K116" s="174">
        <v>50</v>
      </c>
      <c r="L116" s="176">
        <v>7.5355555555555558</v>
      </c>
      <c r="M116" s="174" t="s">
        <v>20</v>
      </c>
      <c r="N116" s="174">
        <v>198</v>
      </c>
    </row>
    <row r="117" spans="1:45" s="174" customFormat="1" ht="35" customHeight="1">
      <c r="A117" s="174">
        <f>ROW()-2</f>
        <v>115</v>
      </c>
      <c r="B117" s="174" t="s">
        <v>14</v>
      </c>
      <c r="C117" s="174" t="s">
        <v>83</v>
      </c>
      <c r="D117" s="174" t="s">
        <v>220</v>
      </c>
      <c r="E117" s="174" t="s">
        <v>513</v>
      </c>
      <c r="F117" s="174" t="s">
        <v>2564</v>
      </c>
      <c r="G117" s="174" t="s">
        <v>559</v>
      </c>
      <c r="H117" s="174" t="s">
        <v>457</v>
      </c>
      <c r="I117" s="174" t="s">
        <v>29</v>
      </c>
      <c r="J117" s="175">
        <v>44323</v>
      </c>
      <c r="K117" s="174">
        <v>54</v>
      </c>
      <c r="L117" s="176">
        <v>8.0102777777777785</v>
      </c>
      <c r="M117" s="174" t="s">
        <v>20</v>
      </c>
      <c r="N117" s="174">
        <v>99</v>
      </c>
    </row>
    <row r="118" spans="1:45" s="174" customFormat="1" ht="35" customHeight="1">
      <c r="A118" s="174">
        <f>ROW()-2</f>
        <v>116</v>
      </c>
      <c r="B118" s="174" t="s">
        <v>14</v>
      </c>
      <c r="C118" s="174" t="s">
        <v>83</v>
      </c>
      <c r="D118" s="174" t="s">
        <v>220</v>
      </c>
      <c r="E118" s="174" t="s">
        <v>2671</v>
      </c>
      <c r="F118" s="174" t="s">
        <v>607</v>
      </c>
      <c r="G118" s="174" t="s">
        <v>608</v>
      </c>
      <c r="H118" s="174" t="s">
        <v>609</v>
      </c>
      <c r="I118" s="174" t="s">
        <v>29</v>
      </c>
      <c r="J118" s="175">
        <v>44416</v>
      </c>
      <c r="K118" s="174">
        <v>32</v>
      </c>
      <c r="L118" s="176">
        <v>6.6372222222222224</v>
      </c>
      <c r="M118" s="174" t="s">
        <v>20</v>
      </c>
      <c r="N118" s="174">
        <v>129</v>
      </c>
    </row>
    <row r="119" spans="1:45" s="174" customFormat="1" ht="35" customHeight="1">
      <c r="A119" s="174">
        <f>ROW()-2</f>
        <v>117</v>
      </c>
      <c r="B119" s="174" t="s">
        <v>14</v>
      </c>
      <c r="C119" s="174" t="s">
        <v>83</v>
      </c>
      <c r="D119" s="174" t="s">
        <v>220</v>
      </c>
      <c r="E119" s="174" t="s">
        <v>2671</v>
      </c>
      <c r="F119" s="174" t="s">
        <v>612</v>
      </c>
      <c r="G119" s="174" t="s">
        <v>613</v>
      </c>
      <c r="H119" s="174" t="s">
        <v>614</v>
      </c>
      <c r="I119" s="174" t="s">
        <v>29</v>
      </c>
      <c r="J119" s="175">
        <v>44423</v>
      </c>
      <c r="K119" s="174">
        <v>115</v>
      </c>
      <c r="L119" s="176">
        <v>18.379722222222224</v>
      </c>
      <c r="M119" s="174" t="s">
        <v>20</v>
      </c>
      <c r="N119" s="174">
        <v>99</v>
      </c>
    </row>
    <row r="120" spans="1:45" s="174" customFormat="1" ht="35" customHeight="1">
      <c r="A120" s="181">
        <f>ROW()-2</f>
        <v>118</v>
      </c>
      <c r="B120" s="181" t="s">
        <v>14</v>
      </c>
      <c r="C120" s="181" t="s">
        <v>83</v>
      </c>
      <c r="D120" s="181" t="s">
        <v>220</v>
      </c>
      <c r="E120" s="181" t="s">
        <v>5354</v>
      </c>
      <c r="F120" s="181" t="s">
        <v>60</v>
      </c>
      <c r="G120" s="181" t="s">
        <v>60</v>
      </c>
      <c r="H120" s="181" t="s">
        <v>61</v>
      </c>
      <c r="I120" s="181" t="s">
        <v>17</v>
      </c>
      <c r="J120" s="177">
        <v>44477</v>
      </c>
      <c r="K120" s="181">
        <v>9</v>
      </c>
      <c r="L120" s="178">
        <v>2.0591666666666666</v>
      </c>
      <c r="M120" s="181" t="s">
        <v>20</v>
      </c>
      <c r="N120" s="181">
        <v>199</v>
      </c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  <c r="AJ120" s="181"/>
      <c r="AK120" s="181"/>
      <c r="AL120" s="181"/>
      <c r="AM120" s="181"/>
      <c r="AN120" s="181"/>
      <c r="AO120" s="181"/>
      <c r="AP120" s="181"/>
      <c r="AQ120" s="181"/>
      <c r="AR120" s="181"/>
      <c r="AS120" s="181"/>
    </row>
    <row r="121" spans="1:45" s="174" customFormat="1" ht="35" customHeight="1">
      <c r="A121" s="174">
        <f>ROW()-2</f>
        <v>119</v>
      </c>
      <c r="B121" s="174" t="s">
        <v>14</v>
      </c>
      <c r="C121" s="174" t="s">
        <v>83</v>
      </c>
      <c r="D121" s="174" t="s">
        <v>220</v>
      </c>
      <c r="E121" s="174" t="s">
        <v>247</v>
      </c>
      <c r="F121" s="174" t="s">
        <v>678</v>
      </c>
      <c r="G121" s="174" t="s">
        <v>678</v>
      </c>
      <c r="H121" s="174" t="s">
        <v>679</v>
      </c>
      <c r="I121" s="174" t="s">
        <v>17</v>
      </c>
      <c r="J121" s="175">
        <v>44534</v>
      </c>
      <c r="K121" s="174">
        <v>15</v>
      </c>
      <c r="L121" s="176">
        <v>3.5074999999999998</v>
      </c>
      <c r="M121" s="174" t="s">
        <v>20</v>
      </c>
      <c r="N121" s="174">
        <v>89</v>
      </c>
    </row>
    <row r="122" spans="1:45" s="174" customFormat="1" ht="35" customHeight="1">
      <c r="A122" s="174">
        <f>ROW()-2</f>
        <v>120</v>
      </c>
      <c r="B122" s="174" t="s">
        <v>14</v>
      </c>
      <c r="C122" s="174" t="s">
        <v>83</v>
      </c>
      <c r="D122" s="174" t="s">
        <v>220</v>
      </c>
      <c r="E122" s="174" t="s">
        <v>2672</v>
      </c>
      <c r="F122" s="174" t="s">
        <v>2692</v>
      </c>
      <c r="G122" s="174" t="s">
        <v>707</v>
      </c>
      <c r="H122" s="174" t="s">
        <v>708</v>
      </c>
      <c r="I122" s="174" t="s">
        <v>29</v>
      </c>
      <c r="J122" s="175">
        <v>44554</v>
      </c>
      <c r="K122" s="174">
        <v>32</v>
      </c>
      <c r="L122" s="176">
        <v>4.4447222222222225</v>
      </c>
      <c r="M122" s="174" t="s">
        <v>20</v>
      </c>
      <c r="N122" s="174">
        <v>199</v>
      </c>
    </row>
    <row r="123" spans="1:45" s="174" customFormat="1" ht="35" customHeight="1">
      <c r="A123" s="174">
        <f>ROW()-2</f>
        <v>121</v>
      </c>
      <c r="B123" s="174" t="s">
        <v>14</v>
      </c>
      <c r="C123" s="174" t="s">
        <v>83</v>
      </c>
      <c r="D123" s="174" t="s">
        <v>220</v>
      </c>
      <c r="E123" s="174" t="s">
        <v>2672</v>
      </c>
      <c r="F123" s="174" t="s">
        <v>2694</v>
      </c>
      <c r="G123" s="174" t="s">
        <v>702</v>
      </c>
      <c r="H123" s="174" t="s">
        <v>703</v>
      </c>
      <c r="I123" s="174" t="s">
        <v>17</v>
      </c>
      <c r="J123" s="175">
        <v>44554</v>
      </c>
      <c r="K123" s="174">
        <v>21</v>
      </c>
      <c r="L123" s="176">
        <v>3.5044444444444443</v>
      </c>
      <c r="M123" s="174" t="s">
        <v>20</v>
      </c>
      <c r="N123" s="174">
        <v>89</v>
      </c>
    </row>
    <row r="124" spans="1:45" s="174" customFormat="1" ht="35" customHeight="1">
      <c r="A124" s="174">
        <f>ROW()-2</f>
        <v>122</v>
      </c>
      <c r="B124" s="174" t="s">
        <v>14</v>
      </c>
      <c r="C124" s="174" t="s">
        <v>83</v>
      </c>
      <c r="D124" s="174" t="s">
        <v>155</v>
      </c>
      <c r="E124" s="174" t="s">
        <v>156</v>
      </c>
      <c r="F124" s="174" t="s">
        <v>227</v>
      </c>
      <c r="G124" s="174" t="s">
        <v>228</v>
      </c>
      <c r="H124" s="174" t="s">
        <v>2556</v>
      </c>
      <c r="I124" s="174" t="s">
        <v>29</v>
      </c>
      <c r="J124" s="175">
        <v>43238</v>
      </c>
      <c r="K124" s="174">
        <v>154</v>
      </c>
      <c r="L124" s="176">
        <v>25.627777777777776</v>
      </c>
      <c r="M124" s="174" t="s">
        <v>89</v>
      </c>
      <c r="N124" s="174">
        <v>199</v>
      </c>
    </row>
    <row r="125" spans="1:45" s="174" customFormat="1" ht="35" customHeight="1">
      <c r="A125" s="174">
        <f>ROW()-2</f>
        <v>123</v>
      </c>
      <c r="B125" s="174" t="s">
        <v>14</v>
      </c>
      <c r="C125" s="174" t="s">
        <v>83</v>
      </c>
      <c r="D125" s="174" t="s">
        <v>155</v>
      </c>
      <c r="E125" s="174" t="s">
        <v>2557</v>
      </c>
      <c r="F125" s="174" t="s">
        <v>1595</v>
      </c>
      <c r="G125" s="174" t="s">
        <v>1596</v>
      </c>
      <c r="H125" s="174" t="s">
        <v>1597</v>
      </c>
      <c r="I125" s="174" t="s">
        <v>29</v>
      </c>
      <c r="J125" s="175">
        <v>43322</v>
      </c>
      <c r="K125" s="174">
        <v>24</v>
      </c>
      <c r="L125" s="176">
        <v>3.3933333333333335</v>
      </c>
      <c r="M125" s="174" t="s">
        <v>20</v>
      </c>
      <c r="N125" s="174">
        <v>59</v>
      </c>
    </row>
    <row r="126" spans="1:45" s="174" customFormat="1" ht="35" customHeight="1">
      <c r="A126" s="174">
        <f>ROW()-2</f>
        <v>124</v>
      </c>
      <c r="B126" s="174" t="s">
        <v>14</v>
      </c>
      <c r="C126" s="174" t="s">
        <v>83</v>
      </c>
      <c r="D126" s="174" t="s">
        <v>155</v>
      </c>
      <c r="E126" s="174" t="s">
        <v>156</v>
      </c>
      <c r="F126" s="174" t="s">
        <v>157</v>
      </c>
      <c r="G126" s="174" t="s">
        <v>158</v>
      </c>
      <c r="H126" s="174" t="s">
        <v>159</v>
      </c>
      <c r="I126" s="174" t="s">
        <v>29</v>
      </c>
      <c r="J126" s="175">
        <v>43329</v>
      </c>
      <c r="K126" s="174">
        <v>181</v>
      </c>
      <c r="L126" s="176">
        <v>41.424722222222222</v>
      </c>
      <c r="M126" s="174" t="s">
        <v>20</v>
      </c>
      <c r="N126" s="174">
        <v>199</v>
      </c>
    </row>
    <row r="127" spans="1:45" s="174" customFormat="1" ht="35" customHeight="1">
      <c r="A127" s="174">
        <f>ROW()-2</f>
        <v>125</v>
      </c>
      <c r="B127" s="174" t="s">
        <v>14</v>
      </c>
      <c r="C127" s="174" t="s">
        <v>83</v>
      </c>
      <c r="D127" s="174" t="s">
        <v>155</v>
      </c>
      <c r="E127" s="174" t="s">
        <v>202</v>
      </c>
      <c r="F127" s="174" t="s">
        <v>203</v>
      </c>
      <c r="G127" s="174" t="s">
        <v>204</v>
      </c>
      <c r="H127" s="174" t="s">
        <v>205</v>
      </c>
      <c r="I127" s="174" t="s">
        <v>17</v>
      </c>
      <c r="J127" s="175">
        <v>43463</v>
      </c>
      <c r="K127" s="174">
        <v>20</v>
      </c>
      <c r="L127" s="176">
        <v>1.8930555555555555</v>
      </c>
      <c r="M127" s="174" t="s">
        <v>20</v>
      </c>
      <c r="N127" s="174">
        <v>99</v>
      </c>
    </row>
    <row r="128" spans="1:45" s="174" customFormat="1" ht="35" customHeight="1">
      <c r="A128" s="174">
        <f>ROW()-2</f>
        <v>126</v>
      </c>
      <c r="B128" s="174" t="s">
        <v>14</v>
      </c>
      <c r="C128" s="174" t="s">
        <v>83</v>
      </c>
      <c r="D128" s="174" t="s">
        <v>155</v>
      </c>
      <c r="E128" s="174" t="s">
        <v>202</v>
      </c>
      <c r="F128" s="174" t="s">
        <v>224</v>
      </c>
      <c r="G128" s="174" t="s">
        <v>225</v>
      </c>
      <c r="H128" s="174" t="s">
        <v>226</v>
      </c>
      <c r="I128" s="174" t="s">
        <v>17</v>
      </c>
      <c r="J128" s="175">
        <v>43463</v>
      </c>
      <c r="K128" s="174">
        <v>22</v>
      </c>
      <c r="L128" s="176">
        <v>1.6274999999999999</v>
      </c>
      <c r="M128" s="174" t="s">
        <v>20</v>
      </c>
      <c r="N128" s="174">
        <v>99</v>
      </c>
    </row>
    <row r="129" spans="1:14" s="174" customFormat="1" ht="35" customHeight="1">
      <c r="A129" s="174">
        <f>ROW()-2</f>
        <v>127</v>
      </c>
      <c r="B129" s="174" t="s">
        <v>14</v>
      </c>
      <c r="C129" s="174" t="s">
        <v>83</v>
      </c>
      <c r="D129" s="174" t="s">
        <v>155</v>
      </c>
      <c r="E129" s="174" t="s">
        <v>202</v>
      </c>
      <c r="F129" s="174" t="s">
        <v>206</v>
      </c>
      <c r="G129" s="174" t="s">
        <v>207</v>
      </c>
      <c r="H129" s="174" t="s">
        <v>208</v>
      </c>
      <c r="I129" s="174" t="s">
        <v>29</v>
      </c>
      <c r="J129" s="175">
        <v>43480</v>
      </c>
      <c r="K129" s="174">
        <v>103</v>
      </c>
      <c r="L129" s="176">
        <v>14.799444444444445</v>
      </c>
      <c r="M129" s="174" t="s">
        <v>20</v>
      </c>
      <c r="N129" s="174">
        <v>99</v>
      </c>
    </row>
    <row r="130" spans="1:14" s="174" customFormat="1" ht="35" customHeight="1">
      <c r="A130" s="174">
        <f>ROW()-2</f>
        <v>128</v>
      </c>
      <c r="B130" s="174" t="s">
        <v>14</v>
      </c>
      <c r="C130" s="174" t="s">
        <v>83</v>
      </c>
      <c r="D130" s="174" t="s">
        <v>155</v>
      </c>
      <c r="E130" s="174" t="s">
        <v>408</v>
      </c>
      <c r="F130" s="174" t="s">
        <v>209</v>
      </c>
      <c r="G130" s="174" t="s">
        <v>210</v>
      </c>
      <c r="H130" s="174" t="s">
        <v>211</v>
      </c>
      <c r="I130" s="174" t="s">
        <v>29</v>
      </c>
      <c r="J130" s="175">
        <v>43483</v>
      </c>
      <c r="K130" s="174">
        <v>14</v>
      </c>
      <c r="L130" s="176">
        <v>2.5183333333333335</v>
      </c>
      <c r="M130" s="174" t="s">
        <v>20</v>
      </c>
      <c r="N130" s="174">
        <v>39.9</v>
      </c>
    </row>
    <row r="131" spans="1:14" s="174" customFormat="1" ht="35" customHeight="1">
      <c r="A131" s="174">
        <f>ROW()-2</f>
        <v>129</v>
      </c>
      <c r="B131" s="174" t="s">
        <v>14</v>
      </c>
      <c r="C131" s="174" t="s">
        <v>83</v>
      </c>
      <c r="D131" s="174" t="s">
        <v>155</v>
      </c>
      <c r="E131" s="174" t="s">
        <v>2673</v>
      </c>
      <c r="F131" s="174" t="s">
        <v>214</v>
      </c>
      <c r="G131" s="174" t="s">
        <v>215</v>
      </c>
      <c r="H131" s="174" t="s">
        <v>216</v>
      </c>
      <c r="I131" s="174" t="s">
        <v>29</v>
      </c>
      <c r="J131" s="175">
        <v>43525</v>
      </c>
      <c r="K131" s="174">
        <v>27</v>
      </c>
      <c r="L131" s="176">
        <v>10.716666666666667</v>
      </c>
      <c r="M131" s="174" t="s">
        <v>20</v>
      </c>
      <c r="N131" s="174">
        <v>99</v>
      </c>
    </row>
    <row r="132" spans="1:14" s="174" customFormat="1" ht="35" customHeight="1">
      <c r="A132" s="174">
        <f>ROW()-2</f>
        <v>130</v>
      </c>
      <c r="B132" s="174" t="s">
        <v>14</v>
      </c>
      <c r="C132" s="174" t="s">
        <v>83</v>
      </c>
      <c r="D132" s="174" t="s">
        <v>155</v>
      </c>
      <c r="E132" s="174" t="s">
        <v>202</v>
      </c>
      <c r="F132" s="174" t="s">
        <v>2461</v>
      </c>
      <c r="G132" s="174" t="s">
        <v>15</v>
      </c>
      <c r="H132" s="174" t="s">
        <v>16</v>
      </c>
      <c r="I132" s="174" t="s">
        <v>17</v>
      </c>
      <c r="J132" s="175">
        <v>43579</v>
      </c>
      <c r="K132" s="174">
        <v>41</v>
      </c>
      <c r="L132" s="176">
        <v>4.6822222222222223</v>
      </c>
      <c r="M132" s="174" t="s">
        <v>20</v>
      </c>
      <c r="N132" s="174">
        <v>99</v>
      </c>
    </row>
    <row r="133" spans="1:14" s="174" customFormat="1" ht="35" customHeight="1">
      <c r="A133" s="174">
        <f>ROW()-2</f>
        <v>131</v>
      </c>
      <c r="B133" s="174" t="s">
        <v>14</v>
      </c>
      <c r="C133" s="174" t="s">
        <v>83</v>
      </c>
      <c r="D133" s="174" t="s">
        <v>155</v>
      </c>
      <c r="E133" s="174" t="s">
        <v>202</v>
      </c>
      <c r="F133" s="174" t="s">
        <v>244</v>
      </c>
      <c r="G133" s="174" t="s">
        <v>245</v>
      </c>
      <c r="H133" s="174" t="s">
        <v>246</v>
      </c>
      <c r="I133" s="174" t="s">
        <v>29</v>
      </c>
      <c r="J133" s="175">
        <v>43699</v>
      </c>
      <c r="K133" s="174">
        <v>23</v>
      </c>
      <c r="L133" s="176">
        <v>4.2549999999999999</v>
      </c>
      <c r="M133" s="174" t="s">
        <v>20</v>
      </c>
      <c r="N133" s="174">
        <v>69</v>
      </c>
    </row>
    <row r="134" spans="1:14" s="174" customFormat="1" ht="35" customHeight="1">
      <c r="A134" s="174">
        <f>ROW()-2</f>
        <v>132</v>
      </c>
      <c r="B134" s="174" t="s">
        <v>14</v>
      </c>
      <c r="C134" s="174" t="s">
        <v>83</v>
      </c>
      <c r="D134" s="174" t="s">
        <v>155</v>
      </c>
      <c r="E134" s="174" t="s">
        <v>2673</v>
      </c>
      <c r="F134" s="174" t="s">
        <v>251</v>
      </c>
      <c r="G134" s="174" t="s">
        <v>252</v>
      </c>
      <c r="H134" s="174" t="s">
        <v>253</v>
      </c>
      <c r="I134" s="174" t="s">
        <v>29</v>
      </c>
      <c r="J134" s="175">
        <v>43712</v>
      </c>
      <c r="K134" s="174">
        <v>12</v>
      </c>
      <c r="L134" s="176">
        <v>2.7844444444444445</v>
      </c>
      <c r="M134" s="174" t="s">
        <v>20</v>
      </c>
      <c r="N134" s="174">
        <v>199</v>
      </c>
    </row>
    <row r="135" spans="1:14" s="174" customFormat="1" ht="35" customHeight="1">
      <c r="A135" s="174">
        <f>ROW()-2</f>
        <v>133</v>
      </c>
      <c r="B135" s="174" t="s">
        <v>14</v>
      </c>
      <c r="C135" s="174" t="s">
        <v>83</v>
      </c>
      <c r="D135" s="174" t="s">
        <v>155</v>
      </c>
      <c r="E135" s="174" t="s">
        <v>202</v>
      </c>
      <c r="F135" s="174" t="s">
        <v>254</v>
      </c>
      <c r="G135" s="174" t="s">
        <v>255</v>
      </c>
      <c r="H135" s="174" t="s">
        <v>256</v>
      </c>
      <c r="I135" s="174" t="s">
        <v>29</v>
      </c>
      <c r="J135" s="175">
        <v>43727</v>
      </c>
      <c r="K135" s="174">
        <v>200</v>
      </c>
      <c r="L135" s="176">
        <v>20.395277777777778</v>
      </c>
      <c r="M135" s="174" t="s">
        <v>20</v>
      </c>
      <c r="N135" s="174">
        <v>180</v>
      </c>
    </row>
    <row r="136" spans="1:14" s="174" customFormat="1" ht="35" customHeight="1">
      <c r="A136" s="174">
        <f>ROW()-2</f>
        <v>134</v>
      </c>
      <c r="B136" s="174" t="s">
        <v>14</v>
      </c>
      <c r="C136" s="174" t="s">
        <v>83</v>
      </c>
      <c r="D136" s="174" t="s">
        <v>155</v>
      </c>
      <c r="E136" s="174" t="s">
        <v>202</v>
      </c>
      <c r="F136" s="174" t="s">
        <v>267</v>
      </c>
      <c r="G136" s="174" t="s">
        <v>268</v>
      </c>
      <c r="H136" s="174" t="s">
        <v>269</v>
      </c>
      <c r="I136" s="174" t="s">
        <v>29</v>
      </c>
      <c r="J136" s="175">
        <v>43787</v>
      </c>
      <c r="K136" s="174">
        <v>107</v>
      </c>
      <c r="L136" s="176">
        <v>23.1525</v>
      </c>
      <c r="M136" s="174" t="s">
        <v>20</v>
      </c>
      <c r="N136" s="174">
        <v>99</v>
      </c>
    </row>
    <row r="137" spans="1:14" s="174" customFormat="1" ht="35" customHeight="1">
      <c r="A137" s="174">
        <f>ROW()-2</f>
        <v>135</v>
      </c>
      <c r="B137" s="174" t="s">
        <v>14</v>
      </c>
      <c r="C137" s="174" t="s">
        <v>83</v>
      </c>
      <c r="D137" s="174" t="s">
        <v>155</v>
      </c>
      <c r="E137" s="174" t="s">
        <v>156</v>
      </c>
      <c r="F137" s="174" t="s">
        <v>287</v>
      </c>
      <c r="G137" s="174" t="s">
        <v>288</v>
      </c>
      <c r="H137" s="174" t="s">
        <v>289</v>
      </c>
      <c r="I137" s="174" t="s">
        <v>29</v>
      </c>
      <c r="J137" s="175">
        <v>43910</v>
      </c>
      <c r="K137" s="174">
        <v>75</v>
      </c>
      <c r="L137" s="176">
        <v>12.526666666666667</v>
      </c>
      <c r="M137" s="174" t="s">
        <v>20</v>
      </c>
      <c r="N137" s="174">
        <v>365</v>
      </c>
    </row>
    <row r="138" spans="1:14" s="174" customFormat="1" ht="35" customHeight="1">
      <c r="A138" s="174">
        <f>ROW()-2</f>
        <v>136</v>
      </c>
      <c r="B138" s="174" t="s">
        <v>14</v>
      </c>
      <c r="C138" s="174" t="s">
        <v>83</v>
      </c>
      <c r="D138" s="174" t="s">
        <v>155</v>
      </c>
      <c r="E138" s="174" t="s">
        <v>156</v>
      </c>
      <c r="F138" s="174" t="s">
        <v>314</v>
      </c>
      <c r="G138" s="174" t="s">
        <v>315</v>
      </c>
      <c r="H138" s="174" t="s">
        <v>2558</v>
      </c>
      <c r="I138" s="174" t="s">
        <v>29</v>
      </c>
      <c r="J138" s="175">
        <v>43941</v>
      </c>
      <c r="K138" s="174">
        <v>20</v>
      </c>
      <c r="L138" s="176">
        <v>3.3325</v>
      </c>
      <c r="M138" s="174" t="s">
        <v>20</v>
      </c>
      <c r="N138" s="174">
        <v>129</v>
      </c>
    </row>
    <row r="139" spans="1:14" s="174" customFormat="1" ht="35" customHeight="1">
      <c r="A139" s="174">
        <f>ROW()-2</f>
        <v>137</v>
      </c>
      <c r="B139" s="174" t="s">
        <v>14</v>
      </c>
      <c r="C139" s="174" t="s">
        <v>83</v>
      </c>
      <c r="D139" s="174" t="s">
        <v>155</v>
      </c>
      <c r="E139" s="174" t="s">
        <v>156</v>
      </c>
      <c r="F139" s="174" t="s">
        <v>317</v>
      </c>
      <c r="G139" s="174" t="s">
        <v>318</v>
      </c>
      <c r="H139" s="174" t="s">
        <v>319</v>
      </c>
      <c r="I139" s="174" t="s">
        <v>29</v>
      </c>
      <c r="J139" s="175">
        <v>43943</v>
      </c>
      <c r="K139" s="174">
        <v>48</v>
      </c>
      <c r="L139" s="176">
        <v>10.968888888888889</v>
      </c>
      <c r="M139" s="174" t="s">
        <v>20</v>
      </c>
      <c r="N139" s="174">
        <v>99</v>
      </c>
    </row>
    <row r="140" spans="1:14" s="174" customFormat="1" ht="35" customHeight="1">
      <c r="A140" s="174">
        <f>ROW()-2</f>
        <v>138</v>
      </c>
      <c r="B140" s="174" t="s">
        <v>14</v>
      </c>
      <c r="C140" s="174" t="s">
        <v>83</v>
      </c>
      <c r="D140" s="174" t="s">
        <v>155</v>
      </c>
      <c r="E140" s="174" t="s">
        <v>202</v>
      </c>
      <c r="F140" s="174" t="s">
        <v>21</v>
      </c>
      <c r="G140" s="174" t="s">
        <v>22</v>
      </c>
      <c r="H140" s="174" t="s">
        <v>23</v>
      </c>
      <c r="I140" s="174" t="s">
        <v>17</v>
      </c>
      <c r="J140" s="175">
        <v>43958</v>
      </c>
      <c r="K140" s="174">
        <v>146</v>
      </c>
      <c r="L140" s="176">
        <v>14.248888888888889</v>
      </c>
      <c r="M140" s="174" t="s">
        <v>20</v>
      </c>
      <c r="N140" s="174">
        <v>199</v>
      </c>
    </row>
    <row r="141" spans="1:14" s="174" customFormat="1" ht="35" customHeight="1">
      <c r="A141" s="174">
        <f>ROW()-2</f>
        <v>139</v>
      </c>
      <c r="B141" s="174" t="s">
        <v>14</v>
      </c>
      <c r="C141" s="174" t="s">
        <v>83</v>
      </c>
      <c r="D141" s="174" t="s">
        <v>155</v>
      </c>
      <c r="E141" s="174" t="s">
        <v>202</v>
      </c>
      <c r="F141" s="174" t="s">
        <v>2559</v>
      </c>
      <c r="G141" s="174" t="s">
        <v>335</v>
      </c>
      <c r="H141" s="174" t="s">
        <v>336</v>
      </c>
      <c r="I141" s="174" t="s">
        <v>29</v>
      </c>
      <c r="J141" s="175">
        <v>43966</v>
      </c>
      <c r="K141" s="174">
        <v>57</v>
      </c>
      <c r="L141" s="176">
        <v>11.123333333333333</v>
      </c>
      <c r="M141" s="174" t="s">
        <v>20</v>
      </c>
      <c r="N141" s="174">
        <v>199</v>
      </c>
    </row>
    <row r="142" spans="1:14" s="174" customFormat="1" ht="35" customHeight="1">
      <c r="A142" s="174">
        <f>ROW()-2</f>
        <v>140</v>
      </c>
      <c r="B142" s="174" t="s">
        <v>14</v>
      </c>
      <c r="C142" s="174" t="s">
        <v>83</v>
      </c>
      <c r="D142" s="174" t="s">
        <v>155</v>
      </c>
      <c r="E142" s="174" t="s">
        <v>202</v>
      </c>
      <c r="F142" s="174" t="s">
        <v>26</v>
      </c>
      <c r="G142" s="174" t="s">
        <v>27</v>
      </c>
      <c r="H142" s="174" t="s">
        <v>28</v>
      </c>
      <c r="I142" s="174" t="s">
        <v>29</v>
      </c>
      <c r="J142" s="175">
        <v>43979</v>
      </c>
      <c r="K142" s="174">
        <v>432</v>
      </c>
      <c r="L142" s="176">
        <v>109.32638888888889</v>
      </c>
      <c r="M142" s="174" t="s">
        <v>89</v>
      </c>
      <c r="N142" s="174">
        <v>99</v>
      </c>
    </row>
    <row r="143" spans="1:14" s="174" customFormat="1" ht="35" customHeight="1">
      <c r="A143" s="174">
        <f>ROW()-2</f>
        <v>141</v>
      </c>
      <c r="B143" s="174" t="s">
        <v>14</v>
      </c>
      <c r="C143" s="174" t="s">
        <v>83</v>
      </c>
      <c r="D143" s="174" t="s">
        <v>155</v>
      </c>
      <c r="E143" s="174" t="s">
        <v>156</v>
      </c>
      <c r="F143" s="174" t="s">
        <v>385</v>
      </c>
      <c r="G143" s="174" t="s">
        <v>386</v>
      </c>
      <c r="H143" s="174" t="s">
        <v>387</v>
      </c>
      <c r="I143" s="174" t="s">
        <v>29</v>
      </c>
      <c r="J143" s="175">
        <v>44075</v>
      </c>
      <c r="K143" s="174">
        <v>49</v>
      </c>
      <c r="L143" s="176">
        <v>8.4841666666666669</v>
      </c>
      <c r="M143" s="174" t="s">
        <v>89</v>
      </c>
      <c r="N143" s="174">
        <v>199</v>
      </c>
    </row>
    <row r="144" spans="1:14" s="174" customFormat="1" ht="35" customHeight="1">
      <c r="A144" s="174">
        <f>ROW()-2</f>
        <v>142</v>
      </c>
      <c r="B144" s="174" t="s">
        <v>14</v>
      </c>
      <c r="C144" s="174" t="s">
        <v>83</v>
      </c>
      <c r="D144" s="174" t="s">
        <v>155</v>
      </c>
      <c r="E144" s="174" t="s">
        <v>156</v>
      </c>
      <c r="F144" s="174" t="s">
        <v>388</v>
      </c>
      <c r="G144" s="174" t="s">
        <v>389</v>
      </c>
      <c r="H144" s="174" t="s">
        <v>390</v>
      </c>
      <c r="I144" s="174" t="s">
        <v>29</v>
      </c>
      <c r="J144" s="175">
        <v>44075</v>
      </c>
      <c r="K144" s="174">
        <v>100</v>
      </c>
      <c r="L144" s="176">
        <v>26.664722222222224</v>
      </c>
      <c r="M144" s="174" t="s">
        <v>20</v>
      </c>
      <c r="N144" s="174">
        <v>199</v>
      </c>
    </row>
    <row r="145" spans="1:14" s="174" customFormat="1" ht="35" customHeight="1">
      <c r="A145" s="174">
        <f>ROW()-2</f>
        <v>143</v>
      </c>
      <c r="B145" s="174" t="s">
        <v>14</v>
      </c>
      <c r="C145" s="174" t="s">
        <v>83</v>
      </c>
      <c r="D145" s="174" t="s">
        <v>155</v>
      </c>
      <c r="E145" s="174" t="s">
        <v>408</v>
      </c>
      <c r="F145" s="174" t="s">
        <v>409</v>
      </c>
      <c r="G145" s="174" t="s">
        <v>410</v>
      </c>
      <c r="H145" s="174" t="s">
        <v>411</v>
      </c>
      <c r="I145" s="174" t="s">
        <v>29</v>
      </c>
      <c r="J145" s="175">
        <v>44118</v>
      </c>
      <c r="K145" s="174">
        <v>46</v>
      </c>
      <c r="L145" s="176">
        <v>4.783611111111111</v>
      </c>
      <c r="M145" s="174" t="s">
        <v>20</v>
      </c>
      <c r="N145" s="174">
        <v>99</v>
      </c>
    </row>
    <row r="146" spans="1:14" s="174" customFormat="1" ht="35" customHeight="1">
      <c r="A146" s="174">
        <f>ROW()-2</f>
        <v>144</v>
      </c>
      <c r="B146" s="174" t="s">
        <v>14</v>
      </c>
      <c r="C146" s="174" t="s">
        <v>83</v>
      </c>
      <c r="D146" s="174" t="s">
        <v>155</v>
      </c>
      <c r="E146" s="174" t="s">
        <v>408</v>
      </c>
      <c r="F146" s="174" t="s">
        <v>432</v>
      </c>
      <c r="G146" s="174" t="s">
        <v>433</v>
      </c>
      <c r="H146" s="174" t="s">
        <v>434</v>
      </c>
      <c r="I146" s="174" t="s">
        <v>17</v>
      </c>
      <c r="J146" s="175">
        <v>44148</v>
      </c>
      <c r="K146" s="174">
        <v>4</v>
      </c>
      <c r="L146" s="176">
        <v>2.1394444444444445</v>
      </c>
      <c r="M146" s="174" t="s">
        <v>20</v>
      </c>
      <c r="N146" s="174">
        <v>39</v>
      </c>
    </row>
    <row r="147" spans="1:14" s="174" customFormat="1" ht="35" customHeight="1">
      <c r="A147" s="174">
        <f>ROW()-2</f>
        <v>145</v>
      </c>
      <c r="B147" s="174" t="s">
        <v>14</v>
      </c>
      <c r="C147" s="174" t="s">
        <v>83</v>
      </c>
      <c r="D147" s="174" t="s">
        <v>155</v>
      </c>
      <c r="E147" s="174" t="s">
        <v>202</v>
      </c>
      <c r="F147" s="174" t="s">
        <v>438</v>
      </c>
      <c r="G147" s="174" t="s">
        <v>439</v>
      </c>
      <c r="H147" s="174" t="s">
        <v>440</v>
      </c>
      <c r="I147" s="174" t="s">
        <v>17</v>
      </c>
      <c r="J147" s="175">
        <v>44154</v>
      </c>
      <c r="K147" s="174">
        <v>26</v>
      </c>
      <c r="L147" s="176">
        <v>5.331666666666667</v>
      </c>
      <c r="M147" s="174" t="s">
        <v>20</v>
      </c>
      <c r="N147" s="174">
        <v>99</v>
      </c>
    </row>
    <row r="148" spans="1:14" s="174" customFormat="1" ht="35" customHeight="1">
      <c r="A148" s="174">
        <f>ROW()-2</f>
        <v>146</v>
      </c>
      <c r="B148" s="174" t="s">
        <v>14</v>
      </c>
      <c r="C148" s="174" t="s">
        <v>83</v>
      </c>
      <c r="D148" s="174" t="s">
        <v>155</v>
      </c>
      <c r="E148" s="174" t="s">
        <v>202</v>
      </c>
      <c r="F148" s="174" t="s">
        <v>444</v>
      </c>
      <c r="G148" s="174" t="s">
        <v>445</v>
      </c>
      <c r="H148" s="174" t="s">
        <v>446</v>
      </c>
      <c r="I148" s="174" t="s">
        <v>29</v>
      </c>
      <c r="J148" s="175">
        <v>44161</v>
      </c>
      <c r="K148" s="174">
        <v>116</v>
      </c>
      <c r="L148" s="176">
        <v>26.432222222222222</v>
      </c>
      <c r="M148" s="174" t="s">
        <v>20</v>
      </c>
      <c r="N148" s="174">
        <v>199</v>
      </c>
    </row>
    <row r="149" spans="1:14" s="174" customFormat="1" ht="35" customHeight="1">
      <c r="A149" s="174">
        <f>ROW()-2</f>
        <v>147</v>
      </c>
      <c r="B149" s="174" t="s">
        <v>14</v>
      </c>
      <c r="C149" s="174" t="s">
        <v>83</v>
      </c>
      <c r="D149" s="174" t="s">
        <v>155</v>
      </c>
      <c r="E149" s="174" t="s">
        <v>156</v>
      </c>
      <c r="F149" s="174" t="s">
        <v>450</v>
      </c>
      <c r="G149" s="174" t="s">
        <v>451</v>
      </c>
      <c r="H149" s="174" t="s">
        <v>452</v>
      </c>
      <c r="I149" s="174" t="s">
        <v>29</v>
      </c>
      <c r="J149" s="175">
        <v>44167</v>
      </c>
      <c r="K149" s="174">
        <v>91</v>
      </c>
      <c r="L149" s="176">
        <v>17.003333333333334</v>
      </c>
      <c r="M149" s="174" t="s">
        <v>20</v>
      </c>
      <c r="N149" s="174">
        <v>199</v>
      </c>
    </row>
    <row r="150" spans="1:14" s="174" customFormat="1" ht="35" customHeight="1">
      <c r="A150" s="174">
        <f>ROW()-2</f>
        <v>148</v>
      </c>
      <c r="B150" s="174" t="s">
        <v>14</v>
      </c>
      <c r="C150" s="174" t="s">
        <v>83</v>
      </c>
      <c r="D150" s="174" t="s">
        <v>155</v>
      </c>
      <c r="E150" s="174" t="s">
        <v>202</v>
      </c>
      <c r="F150" s="174" t="s">
        <v>455</v>
      </c>
      <c r="G150" s="174" t="s">
        <v>456</v>
      </c>
      <c r="H150" s="174" t="s">
        <v>457</v>
      </c>
      <c r="I150" s="174" t="s">
        <v>29</v>
      </c>
      <c r="J150" s="175">
        <v>44175</v>
      </c>
      <c r="K150" s="174">
        <v>94</v>
      </c>
      <c r="L150" s="176">
        <v>16.399999999999999</v>
      </c>
      <c r="M150" s="174" t="s">
        <v>20</v>
      </c>
      <c r="N150" s="174">
        <v>129</v>
      </c>
    </row>
    <row r="151" spans="1:14" s="174" customFormat="1" ht="35" customHeight="1">
      <c r="A151" s="174">
        <f>ROW()-2</f>
        <v>149</v>
      </c>
      <c r="B151" s="174" t="s">
        <v>14</v>
      </c>
      <c r="C151" s="174" t="s">
        <v>83</v>
      </c>
      <c r="D151" s="174" t="s">
        <v>155</v>
      </c>
      <c r="E151" s="174" t="s">
        <v>156</v>
      </c>
      <c r="F151" s="174" t="s">
        <v>472</v>
      </c>
      <c r="G151" s="174" t="s">
        <v>473</v>
      </c>
      <c r="H151" s="174" t="s">
        <v>474</v>
      </c>
      <c r="I151" s="174" t="s">
        <v>29</v>
      </c>
      <c r="J151" s="175">
        <v>44195</v>
      </c>
      <c r="K151" s="174">
        <v>120</v>
      </c>
      <c r="L151" s="176">
        <v>19.36611111111111</v>
      </c>
      <c r="M151" s="174" t="s">
        <v>20</v>
      </c>
      <c r="N151" s="174">
        <v>29</v>
      </c>
    </row>
    <row r="152" spans="1:14" s="174" customFormat="1" ht="35" customHeight="1">
      <c r="A152" s="174">
        <f>ROW()-2</f>
        <v>150</v>
      </c>
      <c r="B152" s="174" t="s">
        <v>14</v>
      </c>
      <c r="C152" s="174" t="s">
        <v>83</v>
      </c>
      <c r="D152" s="174" t="s">
        <v>155</v>
      </c>
      <c r="E152" s="174" t="s">
        <v>202</v>
      </c>
      <c r="F152" s="174" t="s">
        <v>507</v>
      </c>
      <c r="G152" s="174" t="s">
        <v>508</v>
      </c>
      <c r="H152" s="174" t="s">
        <v>509</v>
      </c>
      <c r="I152" s="174" t="s">
        <v>29</v>
      </c>
      <c r="J152" s="175">
        <v>44221</v>
      </c>
      <c r="K152" s="174">
        <v>52</v>
      </c>
      <c r="L152" s="176">
        <v>13.848611111111111</v>
      </c>
      <c r="M152" s="174" t="s">
        <v>20</v>
      </c>
      <c r="N152" s="174">
        <v>99</v>
      </c>
    </row>
    <row r="153" spans="1:14" s="174" customFormat="1" ht="35" customHeight="1">
      <c r="A153" s="174">
        <f>ROW()-2</f>
        <v>151</v>
      </c>
      <c r="B153" s="174" t="s">
        <v>14</v>
      </c>
      <c r="C153" s="174" t="s">
        <v>83</v>
      </c>
      <c r="D153" s="174" t="s">
        <v>155</v>
      </c>
      <c r="E153" s="174" t="s">
        <v>156</v>
      </c>
      <c r="F153" s="174" t="s">
        <v>533</v>
      </c>
      <c r="G153" s="174" t="s">
        <v>534</v>
      </c>
      <c r="H153" s="174" t="s">
        <v>535</v>
      </c>
      <c r="I153" s="174" t="s">
        <v>29</v>
      </c>
      <c r="J153" s="175">
        <v>44272</v>
      </c>
      <c r="K153" s="174">
        <v>251</v>
      </c>
      <c r="L153" s="176">
        <v>52.8675</v>
      </c>
      <c r="M153" s="174" t="s">
        <v>89</v>
      </c>
      <c r="N153" s="174">
        <v>199</v>
      </c>
    </row>
    <row r="154" spans="1:14" s="174" customFormat="1" ht="35" customHeight="1">
      <c r="A154" s="174">
        <f>ROW()-2</f>
        <v>152</v>
      </c>
      <c r="B154" s="174" t="s">
        <v>14</v>
      </c>
      <c r="C154" s="174" t="s">
        <v>83</v>
      </c>
      <c r="D154" s="174" t="s">
        <v>155</v>
      </c>
      <c r="E154" s="174" t="s">
        <v>202</v>
      </c>
      <c r="F154" s="174" t="s">
        <v>2560</v>
      </c>
      <c r="G154" s="174" t="s">
        <v>545</v>
      </c>
      <c r="H154" s="174" t="s">
        <v>457</v>
      </c>
      <c r="I154" s="174" t="s">
        <v>29</v>
      </c>
      <c r="J154" s="175">
        <v>44292</v>
      </c>
      <c r="K154" s="174">
        <v>351</v>
      </c>
      <c r="L154" s="176">
        <v>47.145000000000003</v>
      </c>
      <c r="M154" s="174" t="s">
        <v>89</v>
      </c>
      <c r="N154" s="174">
        <v>180</v>
      </c>
    </row>
    <row r="155" spans="1:14" s="174" customFormat="1" ht="35" customHeight="1">
      <c r="A155" s="174">
        <f>ROW()-2</f>
        <v>153</v>
      </c>
      <c r="B155" s="174" t="s">
        <v>14</v>
      </c>
      <c r="C155" s="174" t="s">
        <v>83</v>
      </c>
      <c r="D155" s="174" t="s">
        <v>155</v>
      </c>
      <c r="E155" s="174" t="s">
        <v>202</v>
      </c>
      <c r="F155" s="174" t="s">
        <v>2561</v>
      </c>
      <c r="G155" s="174" t="s">
        <v>561</v>
      </c>
      <c r="H155" s="174" t="s">
        <v>562</v>
      </c>
      <c r="I155" s="174" t="s">
        <v>17</v>
      </c>
      <c r="J155" s="175">
        <v>44330</v>
      </c>
      <c r="K155" s="174">
        <v>71</v>
      </c>
      <c r="L155" s="176">
        <v>11.311111111111112</v>
      </c>
      <c r="M155" s="174" t="s">
        <v>20</v>
      </c>
      <c r="N155" s="174">
        <v>99</v>
      </c>
    </row>
    <row r="156" spans="1:14" s="174" customFormat="1" ht="35" customHeight="1">
      <c r="A156" s="174">
        <f>ROW()-2</f>
        <v>154</v>
      </c>
      <c r="B156" s="174" t="s">
        <v>14</v>
      </c>
      <c r="C156" s="174" t="s">
        <v>83</v>
      </c>
      <c r="D156" s="174" t="s">
        <v>155</v>
      </c>
      <c r="E156" s="174" t="s">
        <v>202</v>
      </c>
      <c r="F156" s="174" t="s">
        <v>569</v>
      </c>
      <c r="G156" s="174" t="s">
        <v>570</v>
      </c>
      <c r="H156" s="174" t="s">
        <v>571</v>
      </c>
      <c r="I156" s="174" t="s">
        <v>29</v>
      </c>
      <c r="J156" s="175">
        <v>44340</v>
      </c>
      <c r="K156" s="174">
        <v>318</v>
      </c>
      <c r="L156" s="176">
        <v>78.947777777777773</v>
      </c>
      <c r="M156" s="174" t="s">
        <v>89</v>
      </c>
      <c r="N156" s="174">
        <v>399</v>
      </c>
    </row>
    <row r="157" spans="1:14" s="174" customFormat="1" ht="35" customHeight="1">
      <c r="A157" s="174">
        <f>ROW()-2</f>
        <v>155</v>
      </c>
      <c r="B157" s="174" t="s">
        <v>14</v>
      </c>
      <c r="C157" s="174" t="s">
        <v>83</v>
      </c>
      <c r="D157" s="174" t="s">
        <v>155</v>
      </c>
      <c r="E157" s="174" t="s">
        <v>156</v>
      </c>
      <c r="F157" s="174" t="s">
        <v>575</v>
      </c>
      <c r="G157" s="174" t="s">
        <v>576</v>
      </c>
      <c r="H157" s="174" t="s">
        <v>319</v>
      </c>
      <c r="I157" s="174" t="s">
        <v>29</v>
      </c>
      <c r="J157" s="175">
        <v>44349</v>
      </c>
      <c r="K157" s="174">
        <v>36</v>
      </c>
      <c r="L157" s="176">
        <v>8.5211111111111109</v>
      </c>
      <c r="M157" s="174" t="s">
        <v>20</v>
      </c>
      <c r="N157" s="174">
        <v>99</v>
      </c>
    </row>
    <row r="158" spans="1:14" s="174" customFormat="1" ht="35" customHeight="1">
      <c r="A158" s="174">
        <f>ROW()-2</f>
        <v>156</v>
      </c>
      <c r="B158" s="174" t="s">
        <v>14</v>
      </c>
      <c r="C158" s="174" t="s">
        <v>83</v>
      </c>
      <c r="D158" s="174" t="s">
        <v>155</v>
      </c>
      <c r="E158" s="174" t="s">
        <v>202</v>
      </c>
      <c r="F158" s="174" t="s">
        <v>577</v>
      </c>
      <c r="G158" s="174" t="s">
        <v>578</v>
      </c>
      <c r="H158" s="174" t="s">
        <v>571</v>
      </c>
      <c r="I158" s="174" t="s">
        <v>29</v>
      </c>
      <c r="J158" s="175">
        <v>44349</v>
      </c>
      <c r="K158" s="174">
        <v>66</v>
      </c>
      <c r="L158" s="176">
        <v>19.232777777777777</v>
      </c>
      <c r="M158" s="174" t="s">
        <v>20</v>
      </c>
      <c r="N158" s="174">
        <v>68.599999999999994</v>
      </c>
    </row>
    <row r="159" spans="1:14" s="174" customFormat="1" ht="35" customHeight="1">
      <c r="A159" s="174">
        <f>ROW()-2</f>
        <v>157</v>
      </c>
      <c r="B159" s="174" t="s">
        <v>14</v>
      </c>
      <c r="C159" s="174" t="s">
        <v>83</v>
      </c>
      <c r="D159" s="174" t="s">
        <v>155</v>
      </c>
      <c r="E159" s="174" t="s">
        <v>156</v>
      </c>
      <c r="F159" s="174" t="s">
        <v>586</v>
      </c>
      <c r="G159" s="174" t="s">
        <v>587</v>
      </c>
      <c r="H159" s="174" t="s">
        <v>588</v>
      </c>
      <c r="I159" s="174" t="s">
        <v>29</v>
      </c>
      <c r="J159" s="175">
        <v>44375</v>
      </c>
      <c r="K159" s="174">
        <v>17</v>
      </c>
      <c r="L159" s="176">
        <v>6.3425000000000002</v>
      </c>
      <c r="M159" s="174" t="s">
        <v>20</v>
      </c>
      <c r="N159" s="174">
        <v>98</v>
      </c>
    </row>
    <row r="160" spans="1:14" s="174" customFormat="1" ht="35" customHeight="1">
      <c r="A160" s="174">
        <f>ROW()-2</f>
        <v>158</v>
      </c>
      <c r="B160" s="174" t="s">
        <v>14</v>
      </c>
      <c r="C160" s="174" t="s">
        <v>83</v>
      </c>
      <c r="D160" s="174" t="s">
        <v>155</v>
      </c>
      <c r="E160" s="174" t="s">
        <v>202</v>
      </c>
      <c r="F160" s="174" t="s">
        <v>592</v>
      </c>
      <c r="G160" s="174" t="s">
        <v>593</v>
      </c>
      <c r="H160" s="174" t="s">
        <v>457</v>
      </c>
      <c r="I160" s="174" t="s">
        <v>29</v>
      </c>
      <c r="J160" s="175">
        <v>44391</v>
      </c>
      <c r="K160" s="174">
        <v>295</v>
      </c>
      <c r="L160" s="176">
        <v>31.297777777777778</v>
      </c>
      <c r="M160" s="174" t="s">
        <v>20</v>
      </c>
      <c r="N160" s="174">
        <v>180</v>
      </c>
    </row>
    <row r="161" spans="1:45" s="174" customFormat="1" ht="35" customHeight="1">
      <c r="A161" s="174">
        <f>ROW()-2</f>
        <v>159</v>
      </c>
      <c r="B161" s="174" t="s">
        <v>14</v>
      </c>
      <c r="C161" s="174" t="s">
        <v>83</v>
      </c>
      <c r="D161" s="174" t="s">
        <v>155</v>
      </c>
      <c r="E161" s="174" t="s">
        <v>156</v>
      </c>
      <c r="F161" s="174" t="s">
        <v>629</v>
      </c>
      <c r="G161" s="174" t="s">
        <v>630</v>
      </c>
      <c r="H161" s="174" t="s">
        <v>631</v>
      </c>
      <c r="I161" s="174" t="s">
        <v>29</v>
      </c>
      <c r="J161" s="175">
        <v>44446</v>
      </c>
      <c r="K161" s="174">
        <v>53</v>
      </c>
      <c r="L161" s="176">
        <v>9.23</v>
      </c>
      <c r="M161" s="174" t="s">
        <v>20</v>
      </c>
      <c r="N161" s="174">
        <v>159</v>
      </c>
    </row>
    <row r="162" spans="1:45" s="174" customFormat="1" ht="35" customHeight="1">
      <c r="A162" s="174">
        <f>ROW()-2</f>
        <v>160</v>
      </c>
      <c r="B162" s="174" t="s">
        <v>14</v>
      </c>
      <c r="C162" s="174" t="s">
        <v>83</v>
      </c>
      <c r="D162" s="174" t="s">
        <v>155</v>
      </c>
      <c r="E162" s="174" t="s">
        <v>2673</v>
      </c>
      <c r="F162" s="174" t="s">
        <v>632</v>
      </c>
      <c r="G162" s="174" t="s">
        <v>633</v>
      </c>
      <c r="H162" s="174" t="s">
        <v>634</v>
      </c>
      <c r="I162" s="174" t="s">
        <v>29</v>
      </c>
      <c r="J162" s="175">
        <v>44449</v>
      </c>
      <c r="K162" s="174">
        <v>12</v>
      </c>
      <c r="L162" s="176">
        <v>1.981111111111111</v>
      </c>
      <c r="M162" s="174" t="s">
        <v>20</v>
      </c>
      <c r="N162" s="174">
        <v>129</v>
      </c>
    </row>
    <row r="163" spans="1:45" s="174" customFormat="1" ht="35" customHeight="1">
      <c r="A163" s="174">
        <f>ROW()-2</f>
        <v>161</v>
      </c>
      <c r="B163" s="174" t="s">
        <v>14</v>
      </c>
      <c r="C163" s="174" t="s">
        <v>83</v>
      </c>
      <c r="D163" s="174" t="s">
        <v>155</v>
      </c>
      <c r="E163" s="174" t="s">
        <v>2673</v>
      </c>
      <c r="F163" s="174" t="s">
        <v>64</v>
      </c>
      <c r="G163" s="174" t="s">
        <v>64</v>
      </c>
      <c r="H163" s="174" t="s">
        <v>65</v>
      </c>
      <c r="I163" s="174" t="s">
        <v>17</v>
      </c>
      <c r="J163" s="175">
        <v>44478</v>
      </c>
      <c r="K163" s="174">
        <v>12</v>
      </c>
      <c r="L163" s="176">
        <v>2.2097222222222221</v>
      </c>
      <c r="M163" s="174" t="s">
        <v>20</v>
      </c>
      <c r="N163" s="174">
        <v>399</v>
      </c>
    </row>
    <row r="164" spans="1:45" s="174" customFormat="1" ht="35" customHeight="1">
      <c r="A164" s="174">
        <f>ROW()-2</f>
        <v>162</v>
      </c>
      <c r="B164" s="174" t="s">
        <v>14</v>
      </c>
      <c r="C164" s="174" t="s">
        <v>83</v>
      </c>
      <c r="D164" s="174" t="s">
        <v>155</v>
      </c>
      <c r="E164" s="174" t="s">
        <v>202</v>
      </c>
      <c r="F164" s="174" t="s">
        <v>647</v>
      </c>
      <c r="G164" s="174" t="s">
        <v>648</v>
      </c>
      <c r="H164" s="174" t="s">
        <v>649</v>
      </c>
      <c r="I164" s="174" t="s">
        <v>29</v>
      </c>
      <c r="J164" s="175">
        <v>44487</v>
      </c>
      <c r="K164" s="174">
        <v>86</v>
      </c>
      <c r="L164" s="176">
        <v>21.423888888888889</v>
      </c>
      <c r="M164" s="174" t="s">
        <v>20</v>
      </c>
      <c r="N164" s="174">
        <v>99</v>
      </c>
    </row>
    <row r="165" spans="1:45" s="174" customFormat="1" ht="35" customHeight="1">
      <c r="A165" s="174">
        <f>ROW()-2</f>
        <v>163</v>
      </c>
      <c r="B165" s="174" t="s">
        <v>14</v>
      </c>
      <c r="C165" s="174" t="s">
        <v>83</v>
      </c>
      <c r="D165" s="174" t="s">
        <v>155</v>
      </c>
      <c r="E165" s="174" t="s">
        <v>202</v>
      </c>
      <c r="F165" s="174" t="s">
        <v>654</v>
      </c>
      <c r="G165" s="174" t="s">
        <v>44</v>
      </c>
      <c r="H165" s="174" t="s">
        <v>45</v>
      </c>
      <c r="I165" s="174" t="s">
        <v>29</v>
      </c>
      <c r="J165" s="175">
        <v>44489</v>
      </c>
      <c r="K165" s="174">
        <v>10</v>
      </c>
      <c r="L165" s="176">
        <v>2.0894444444444447</v>
      </c>
      <c r="M165" s="174" t="s">
        <v>20</v>
      </c>
      <c r="N165" s="174">
        <v>168</v>
      </c>
    </row>
    <row r="166" spans="1:45" s="174" customFormat="1" ht="35" customHeight="1">
      <c r="A166" s="174">
        <f>ROW()-2</f>
        <v>164</v>
      </c>
      <c r="B166" s="174" t="s">
        <v>14</v>
      </c>
      <c r="C166" s="174" t="s">
        <v>83</v>
      </c>
      <c r="D166" s="174" t="s">
        <v>155</v>
      </c>
      <c r="E166" s="174" t="s">
        <v>202</v>
      </c>
      <c r="F166" s="174" t="s">
        <v>43</v>
      </c>
      <c r="G166" s="174" t="s">
        <v>44</v>
      </c>
      <c r="H166" s="174" t="s">
        <v>45</v>
      </c>
      <c r="I166" s="174" t="s">
        <v>29</v>
      </c>
      <c r="J166" s="175">
        <v>44489</v>
      </c>
      <c r="K166" s="174">
        <v>10</v>
      </c>
      <c r="L166" s="176">
        <v>2.1652777777777779</v>
      </c>
      <c r="M166" s="174" t="s">
        <v>89</v>
      </c>
      <c r="N166" s="174">
        <v>168</v>
      </c>
    </row>
    <row r="167" spans="1:45" s="174" customFormat="1" ht="35" customHeight="1">
      <c r="A167" s="174">
        <f>ROW()-2</f>
        <v>165</v>
      </c>
      <c r="B167" s="174" t="s">
        <v>14</v>
      </c>
      <c r="C167" s="174" t="s">
        <v>83</v>
      </c>
      <c r="D167" s="174" t="s">
        <v>155</v>
      </c>
      <c r="E167" s="174" t="s">
        <v>202</v>
      </c>
      <c r="F167" s="174" t="s">
        <v>659</v>
      </c>
      <c r="G167" s="174" t="s">
        <v>44</v>
      </c>
      <c r="H167" s="174" t="s">
        <v>45</v>
      </c>
      <c r="I167" s="174" t="s">
        <v>29</v>
      </c>
      <c r="J167" s="175">
        <v>44498</v>
      </c>
      <c r="K167" s="174">
        <v>10</v>
      </c>
      <c r="L167" s="176">
        <v>2.0430555555555556</v>
      </c>
      <c r="M167" s="174" t="s">
        <v>20</v>
      </c>
      <c r="N167" s="174">
        <v>168</v>
      </c>
    </row>
    <row r="168" spans="1:45" s="174" customFormat="1" ht="35" customHeight="1">
      <c r="A168" s="174">
        <f>ROW()-2</f>
        <v>166</v>
      </c>
      <c r="B168" s="174" t="s">
        <v>14</v>
      </c>
      <c r="C168" s="174" t="s">
        <v>83</v>
      </c>
      <c r="D168" s="174" t="s">
        <v>155</v>
      </c>
      <c r="E168" s="174" t="s">
        <v>202</v>
      </c>
      <c r="F168" s="174" t="s">
        <v>658</v>
      </c>
      <c r="G168" s="174" t="s">
        <v>44</v>
      </c>
      <c r="H168" s="174" t="s">
        <v>45</v>
      </c>
      <c r="I168" s="174" t="s">
        <v>29</v>
      </c>
      <c r="J168" s="175">
        <v>44498</v>
      </c>
      <c r="K168" s="174">
        <v>10</v>
      </c>
      <c r="L168" s="176">
        <v>2.1949999999999998</v>
      </c>
      <c r="M168" s="174" t="s">
        <v>20</v>
      </c>
      <c r="N168" s="174">
        <v>168</v>
      </c>
    </row>
    <row r="169" spans="1:45" s="174" customFormat="1" ht="35" customHeight="1">
      <c r="A169" s="174">
        <f>ROW()-2</f>
        <v>167</v>
      </c>
      <c r="B169" s="174" t="s">
        <v>14</v>
      </c>
      <c r="C169" s="174" t="s">
        <v>83</v>
      </c>
      <c r="D169" s="174" t="s">
        <v>155</v>
      </c>
      <c r="E169" s="174" t="s">
        <v>156</v>
      </c>
      <c r="F169" s="174" t="s">
        <v>730</v>
      </c>
      <c r="G169" s="174" t="s">
        <v>730</v>
      </c>
      <c r="H169" s="174" t="s">
        <v>390</v>
      </c>
      <c r="I169" s="174" t="s">
        <v>29</v>
      </c>
      <c r="J169" s="175">
        <v>44571</v>
      </c>
      <c r="K169" s="174">
        <v>102</v>
      </c>
      <c r="L169" s="176">
        <v>26.934999999999999</v>
      </c>
      <c r="M169" s="174" t="s">
        <v>89</v>
      </c>
      <c r="N169" s="174">
        <v>199</v>
      </c>
    </row>
    <row r="170" spans="1:45" s="174" customFormat="1" ht="35" customHeight="1">
      <c r="A170" s="174">
        <f>ROW()-2</f>
        <v>168</v>
      </c>
      <c r="B170" s="174" t="s">
        <v>14</v>
      </c>
      <c r="C170" s="174" t="s">
        <v>83</v>
      </c>
      <c r="D170" s="174" t="s">
        <v>155</v>
      </c>
      <c r="E170" s="174" t="s">
        <v>156</v>
      </c>
      <c r="F170" s="174" t="s">
        <v>2501</v>
      </c>
      <c r="G170" s="174" t="s">
        <v>2501</v>
      </c>
      <c r="H170" s="174" t="s">
        <v>390</v>
      </c>
      <c r="I170" s="174" t="s">
        <v>29</v>
      </c>
      <c r="J170" s="175">
        <v>44586</v>
      </c>
      <c r="K170" s="174">
        <v>102</v>
      </c>
      <c r="L170" s="176">
        <v>27.007222222222222</v>
      </c>
      <c r="M170" s="174" t="s">
        <v>89</v>
      </c>
      <c r="N170" s="174">
        <v>199</v>
      </c>
    </row>
    <row r="171" spans="1:45" s="174" customFormat="1" ht="35" customHeight="1">
      <c r="A171" s="174">
        <f>ROW()-3</f>
        <v>168</v>
      </c>
      <c r="B171" s="174" t="s">
        <v>14</v>
      </c>
      <c r="C171" s="174" t="s">
        <v>83</v>
      </c>
      <c r="D171" s="174" t="s">
        <v>155</v>
      </c>
      <c r="E171" s="174" t="s">
        <v>202</v>
      </c>
      <c r="F171" s="174" t="s">
        <v>5337</v>
      </c>
      <c r="G171" s="174" t="s">
        <v>5338</v>
      </c>
      <c r="H171" s="174" t="s">
        <v>5340</v>
      </c>
      <c r="I171" s="174" t="s">
        <v>5341</v>
      </c>
      <c r="J171" s="177">
        <v>44599</v>
      </c>
      <c r="K171" s="174">
        <v>17</v>
      </c>
      <c r="L171" s="179">
        <v>3.76</v>
      </c>
      <c r="M171" s="174" t="s">
        <v>5300</v>
      </c>
      <c r="N171" s="174">
        <v>199</v>
      </c>
    </row>
    <row r="172" spans="1:45" s="174" customFormat="1" ht="35" customHeight="1">
      <c r="A172" s="174">
        <f>ROW()-2</f>
        <v>170</v>
      </c>
      <c r="B172" s="181" t="s">
        <v>5365</v>
      </c>
      <c r="C172" s="181" t="s">
        <v>2634</v>
      </c>
      <c r="D172" s="181" t="s">
        <v>5366</v>
      </c>
      <c r="E172" s="181" t="s">
        <v>5367</v>
      </c>
      <c r="F172" s="181" t="s">
        <v>5368</v>
      </c>
      <c r="G172" s="181" t="s">
        <v>5368</v>
      </c>
      <c r="H172" s="181" t="s">
        <v>5369</v>
      </c>
      <c r="I172" s="181" t="s">
        <v>29</v>
      </c>
      <c r="J172" s="177">
        <v>44606</v>
      </c>
      <c r="K172" s="181">
        <v>34</v>
      </c>
      <c r="L172" s="179">
        <v>8</v>
      </c>
      <c r="M172" s="181" t="s">
        <v>20</v>
      </c>
      <c r="N172" s="181">
        <v>299</v>
      </c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</row>
    <row r="173" spans="1:45" s="174" customFormat="1" ht="35" customHeight="1">
      <c r="A173" s="174">
        <f>ROW()-2</f>
        <v>171</v>
      </c>
      <c r="B173" s="174" t="s">
        <v>14</v>
      </c>
      <c r="C173" s="174" t="s">
        <v>83</v>
      </c>
      <c r="D173" s="174" t="s">
        <v>428</v>
      </c>
      <c r="E173" s="174" t="s">
        <v>2572</v>
      </c>
      <c r="F173" s="174" t="s">
        <v>2573</v>
      </c>
      <c r="G173" s="174" t="s">
        <v>430</v>
      </c>
      <c r="H173" s="174" t="s">
        <v>431</v>
      </c>
      <c r="I173" s="174" t="s">
        <v>17</v>
      </c>
      <c r="J173" s="175">
        <v>44140</v>
      </c>
      <c r="K173" s="174">
        <v>29</v>
      </c>
      <c r="L173" s="176">
        <v>14.644722222222223</v>
      </c>
      <c r="M173" s="174" t="s">
        <v>20</v>
      </c>
      <c r="N173" s="174">
        <v>699</v>
      </c>
    </row>
    <row r="174" spans="1:45" s="174" customFormat="1" ht="35" customHeight="1">
      <c r="A174" s="174">
        <f>ROW()-2</f>
        <v>172</v>
      </c>
      <c r="B174" s="174" t="s">
        <v>14</v>
      </c>
      <c r="C174" s="174" t="s">
        <v>83</v>
      </c>
      <c r="D174" s="174" t="s">
        <v>428</v>
      </c>
      <c r="E174" s="174" t="s">
        <v>428</v>
      </c>
      <c r="F174" s="174" t="s">
        <v>692</v>
      </c>
      <c r="G174" s="174" t="s">
        <v>692</v>
      </c>
      <c r="H174" s="174" t="s">
        <v>693</v>
      </c>
      <c r="I174" s="174" t="s">
        <v>17</v>
      </c>
      <c r="J174" s="175">
        <v>44538</v>
      </c>
      <c r="K174" s="174">
        <v>10</v>
      </c>
      <c r="L174" s="176">
        <v>8.612222222222222</v>
      </c>
      <c r="M174" s="174" t="s">
        <v>20</v>
      </c>
      <c r="N174" s="174">
        <v>99</v>
      </c>
    </row>
    <row r="175" spans="1:45" s="174" customFormat="1" ht="35" customHeight="1">
      <c r="A175" s="174">
        <f>ROW()-2</f>
        <v>173</v>
      </c>
      <c r="B175" s="174" t="s">
        <v>14</v>
      </c>
      <c r="C175" s="174" t="s">
        <v>83</v>
      </c>
      <c r="D175" s="174" t="s">
        <v>428</v>
      </c>
      <c r="E175" s="174" t="s">
        <v>428</v>
      </c>
      <c r="F175" s="174" t="s">
        <v>694</v>
      </c>
      <c r="G175" s="174" t="s">
        <v>694</v>
      </c>
      <c r="H175" s="174" t="s">
        <v>695</v>
      </c>
      <c r="I175" s="174" t="s">
        <v>17</v>
      </c>
      <c r="J175" s="175">
        <v>44539</v>
      </c>
      <c r="K175" s="174">
        <v>33</v>
      </c>
      <c r="L175" s="176">
        <v>6.1780555555555559</v>
      </c>
      <c r="M175" s="174" t="s">
        <v>20</v>
      </c>
      <c r="N175" s="174">
        <v>88</v>
      </c>
    </row>
    <row r="176" spans="1:45" s="174" customFormat="1" ht="35" customHeight="1">
      <c r="A176" s="174">
        <f>ROW()-2</f>
        <v>174</v>
      </c>
      <c r="B176" s="174" t="s">
        <v>14</v>
      </c>
      <c r="C176" s="174" t="s">
        <v>83</v>
      </c>
      <c r="D176" s="174" t="s">
        <v>596</v>
      </c>
      <c r="E176" s="174" t="s">
        <v>2555</v>
      </c>
      <c r="F176" s="174" t="s">
        <v>181</v>
      </c>
      <c r="G176" s="174" t="s">
        <v>182</v>
      </c>
      <c r="H176" s="174" t="s">
        <v>183</v>
      </c>
      <c r="I176" s="174" t="s">
        <v>29</v>
      </c>
      <c r="J176" s="175">
        <v>43412</v>
      </c>
      <c r="K176" s="174">
        <v>76</v>
      </c>
      <c r="L176" s="176">
        <v>13.188611111111111</v>
      </c>
      <c r="M176" s="174" t="s">
        <v>20</v>
      </c>
      <c r="N176" s="174">
        <v>199</v>
      </c>
    </row>
    <row r="177" spans="1:45" s="174" customFormat="1" ht="35" customHeight="1">
      <c r="A177" s="174">
        <f>ROW()-2</f>
        <v>175</v>
      </c>
      <c r="B177" s="174" t="s">
        <v>14</v>
      </c>
      <c r="C177" s="174" t="s">
        <v>83</v>
      </c>
      <c r="D177" s="174" t="s">
        <v>596</v>
      </c>
      <c r="E177" s="174" t="s">
        <v>304</v>
      </c>
      <c r="F177" s="174" t="s">
        <v>305</v>
      </c>
      <c r="G177" s="174" t="s">
        <v>306</v>
      </c>
      <c r="H177" s="174" t="s">
        <v>307</v>
      </c>
      <c r="I177" s="174" t="s">
        <v>29</v>
      </c>
      <c r="J177" s="175">
        <v>43928</v>
      </c>
      <c r="K177" s="174">
        <v>20</v>
      </c>
      <c r="L177" s="176">
        <v>3.4988888888888887</v>
      </c>
      <c r="M177" s="174" t="s">
        <v>20</v>
      </c>
      <c r="N177" s="174">
        <v>49.9</v>
      </c>
    </row>
    <row r="178" spans="1:45" s="174" customFormat="1" ht="35" customHeight="1">
      <c r="A178" s="174">
        <f>ROW()-2</f>
        <v>176</v>
      </c>
      <c r="B178" s="174" t="s">
        <v>14</v>
      </c>
      <c r="C178" s="174" t="s">
        <v>83</v>
      </c>
      <c r="D178" s="174" t="s">
        <v>596</v>
      </c>
      <c r="E178" s="174" t="s">
        <v>180</v>
      </c>
      <c r="F178" s="174" t="s">
        <v>597</v>
      </c>
      <c r="G178" s="174" t="s">
        <v>598</v>
      </c>
      <c r="H178" s="174" t="s">
        <v>599</v>
      </c>
      <c r="I178" s="174" t="s">
        <v>17</v>
      </c>
      <c r="J178" s="175">
        <v>44403</v>
      </c>
      <c r="K178" s="174">
        <v>9</v>
      </c>
      <c r="L178" s="176">
        <v>1.425</v>
      </c>
      <c r="M178" s="174" t="s">
        <v>20</v>
      </c>
      <c r="N178" s="174">
        <v>128</v>
      </c>
    </row>
    <row r="179" spans="1:45" s="174" customFormat="1" ht="35" customHeight="1">
      <c r="A179" s="174">
        <f>ROW()-2</f>
        <v>177</v>
      </c>
      <c r="B179" s="174" t="s">
        <v>14</v>
      </c>
      <c r="C179" s="174" t="s">
        <v>83</v>
      </c>
      <c r="D179" s="174" t="s">
        <v>596</v>
      </c>
      <c r="E179" s="174" t="s">
        <v>304</v>
      </c>
      <c r="F179" s="174" t="s">
        <v>680</v>
      </c>
      <c r="G179" s="174" t="s">
        <v>680</v>
      </c>
      <c r="H179" s="174" t="s">
        <v>681</v>
      </c>
      <c r="I179" s="174" t="s">
        <v>17</v>
      </c>
      <c r="J179" s="175">
        <v>44538</v>
      </c>
      <c r="K179" s="174">
        <v>7</v>
      </c>
      <c r="L179" s="176">
        <v>2.5477777777777777</v>
      </c>
      <c r="M179" s="174" t="s">
        <v>20</v>
      </c>
      <c r="N179" s="174">
        <v>59</v>
      </c>
    </row>
    <row r="180" spans="1:45" s="174" customFormat="1" ht="35" customHeight="1">
      <c r="A180" s="174">
        <f>ROW()-2</f>
        <v>178</v>
      </c>
      <c r="B180" s="174" t="s">
        <v>14</v>
      </c>
      <c r="C180" s="174" t="s">
        <v>83</v>
      </c>
      <c r="D180" s="174" t="s">
        <v>596</v>
      </c>
      <c r="E180" s="174" t="s">
        <v>180</v>
      </c>
      <c r="F180" s="174" t="s">
        <v>682</v>
      </c>
      <c r="G180" s="174" t="s">
        <v>682</v>
      </c>
      <c r="H180" s="174" t="s">
        <v>683</v>
      </c>
      <c r="I180" s="174" t="s">
        <v>29</v>
      </c>
      <c r="J180" s="175">
        <v>44538</v>
      </c>
      <c r="K180" s="174">
        <v>35</v>
      </c>
      <c r="L180" s="176">
        <v>6.4649999999999999</v>
      </c>
      <c r="M180" s="174" t="s">
        <v>20</v>
      </c>
      <c r="N180" s="174">
        <v>99</v>
      </c>
    </row>
    <row r="181" spans="1:45" s="174" customFormat="1" ht="35" customHeight="1">
      <c r="A181" s="174">
        <f>ROW()-2</f>
        <v>179</v>
      </c>
      <c r="B181" s="174" t="s">
        <v>14</v>
      </c>
      <c r="C181" s="174" t="s">
        <v>83</v>
      </c>
      <c r="D181" s="174" t="s">
        <v>596</v>
      </c>
      <c r="E181" s="174" t="s">
        <v>180</v>
      </c>
      <c r="F181" s="174" t="s">
        <v>684</v>
      </c>
      <c r="G181" s="174" t="s">
        <v>684</v>
      </c>
      <c r="H181" s="174" t="s">
        <v>685</v>
      </c>
      <c r="I181" s="174" t="s">
        <v>17</v>
      </c>
      <c r="J181" s="175">
        <v>44538</v>
      </c>
      <c r="K181" s="174">
        <v>38</v>
      </c>
      <c r="L181" s="176">
        <v>6.9474999999999998</v>
      </c>
      <c r="M181" s="174" t="s">
        <v>20</v>
      </c>
      <c r="N181" s="174">
        <v>199</v>
      </c>
    </row>
    <row r="182" spans="1:45" s="174" customFormat="1" ht="35" customHeight="1">
      <c r="A182" s="174">
        <f>ROW()-2</f>
        <v>180</v>
      </c>
      <c r="B182" s="174" t="s">
        <v>14</v>
      </c>
      <c r="C182" s="174" t="s">
        <v>83</v>
      </c>
      <c r="D182" s="174" t="s">
        <v>596</v>
      </c>
      <c r="E182" s="174" t="s">
        <v>180</v>
      </c>
      <c r="F182" s="174" t="s">
        <v>719</v>
      </c>
      <c r="G182" s="174" t="s">
        <v>719</v>
      </c>
      <c r="H182" s="174" t="s">
        <v>720</v>
      </c>
      <c r="I182" s="174" t="s">
        <v>17</v>
      </c>
      <c r="J182" s="175">
        <v>44562</v>
      </c>
      <c r="K182" s="174">
        <v>12</v>
      </c>
      <c r="L182" s="176">
        <v>2.8161111111111112</v>
      </c>
      <c r="M182" s="174" t="s">
        <v>20</v>
      </c>
      <c r="N182" s="174">
        <v>129</v>
      </c>
    </row>
    <row r="183" spans="1:45" s="174" customFormat="1" ht="35" customHeight="1">
      <c r="A183" s="174">
        <f>ROW()-2</f>
        <v>181</v>
      </c>
      <c r="B183" s="174" t="s">
        <v>14</v>
      </c>
      <c r="C183" s="174" t="s">
        <v>83</v>
      </c>
      <c r="D183" s="174" t="s">
        <v>168</v>
      </c>
      <c r="E183" s="174" t="s">
        <v>169</v>
      </c>
      <c r="F183" s="174" t="s">
        <v>170</v>
      </c>
      <c r="G183" s="174" t="s">
        <v>171</v>
      </c>
      <c r="H183" s="174" t="s">
        <v>172</v>
      </c>
      <c r="I183" s="174" t="s">
        <v>29</v>
      </c>
      <c r="J183" s="175">
        <v>43368</v>
      </c>
      <c r="K183" s="174">
        <v>33</v>
      </c>
      <c r="L183" s="176">
        <v>6.0225</v>
      </c>
      <c r="M183" s="174" t="s">
        <v>20</v>
      </c>
      <c r="N183" s="174">
        <v>99</v>
      </c>
    </row>
    <row r="184" spans="1:45" s="174" customFormat="1" ht="35" customHeight="1">
      <c r="A184" s="174">
        <f>ROW()-2</f>
        <v>182</v>
      </c>
      <c r="B184" s="174" t="s">
        <v>14</v>
      </c>
      <c r="C184" s="174" t="s">
        <v>83</v>
      </c>
      <c r="D184" s="174" t="s">
        <v>168</v>
      </c>
      <c r="E184" s="174" t="s">
        <v>1362</v>
      </c>
      <c r="F184" s="174" t="s">
        <v>50</v>
      </c>
      <c r="G184" s="174" t="s">
        <v>51</v>
      </c>
      <c r="H184" s="174" t="s">
        <v>52</v>
      </c>
      <c r="I184" s="174" t="s">
        <v>17</v>
      </c>
      <c r="J184" s="175">
        <v>44141</v>
      </c>
      <c r="K184" s="174">
        <v>43</v>
      </c>
      <c r="L184" s="176">
        <v>7.4458333333333337</v>
      </c>
      <c r="M184" s="174" t="s">
        <v>89</v>
      </c>
      <c r="N184" s="174">
        <v>199</v>
      </c>
    </row>
    <row r="185" spans="1:45" s="174" customFormat="1" ht="35" customHeight="1">
      <c r="A185" s="174">
        <f>ROW()-2</f>
        <v>183</v>
      </c>
      <c r="B185" s="174" t="s">
        <v>14</v>
      </c>
      <c r="C185" s="174" t="s">
        <v>83</v>
      </c>
      <c r="D185" s="174" t="s">
        <v>168</v>
      </c>
      <c r="E185" s="174" t="s">
        <v>169</v>
      </c>
      <c r="F185" s="174" t="s">
        <v>54</v>
      </c>
      <c r="G185" s="174" t="s">
        <v>55</v>
      </c>
      <c r="H185" s="174" t="s">
        <v>56</v>
      </c>
      <c r="I185" s="174" t="s">
        <v>29</v>
      </c>
      <c r="J185" s="175">
        <v>44160</v>
      </c>
      <c r="K185" s="174">
        <v>16</v>
      </c>
      <c r="L185" s="176">
        <v>4.3141666666666669</v>
      </c>
      <c r="M185" s="174" t="s">
        <v>20</v>
      </c>
      <c r="N185" s="174">
        <v>88</v>
      </c>
    </row>
    <row r="186" spans="1:45" s="174" customFormat="1" ht="35" customHeight="1">
      <c r="A186" s="174">
        <f>ROW()-2</f>
        <v>184</v>
      </c>
      <c r="B186" s="174" t="s">
        <v>14</v>
      </c>
      <c r="C186" s="174" t="s">
        <v>83</v>
      </c>
      <c r="D186" s="174" t="s">
        <v>168</v>
      </c>
      <c r="E186" s="174" t="s">
        <v>1362</v>
      </c>
      <c r="F186" s="174" t="s">
        <v>2689</v>
      </c>
      <c r="G186" s="174" t="s">
        <v>69</v>
      </c>
      <c r="H186" s="174" t="s">
        <v>70</v>
      </c>
      <c r="I186" s="174" t="s">
        <v>29</v>
      </c>
      <c r="J186" s="175">
        <v>44532</v>
      </c>
      <c r="K186" s="174">
        <v>4</v>
      </c>
      <c r="L186" s="176">
        <v>0.60333333333333339</v>
      </c>
      <c r="M186" s="174" t="s">
        <v>89</v>
      </c>
    </row>
    <row r="187" spans="1:45" s="174" customFormat="1" ht="35" customHeight="1">
      <c r="A187" s="174">
        <f>ROW()-2</f>
        <v>185</v>
      </c>
      <c r="B187" s="174" t="s">
        <v>14</v>
      </c>
      <c r="C187" s="174" t="s">
        <v>83</v>
      </c>
      <c r="D187" s="174" t="s">
        <v>168</v>
      </c>
      <c r="E187" s="174" t="s">
        <v>1362</v>
      </c>
      <c r="F187" s="174" t="s">
        <v>76</v>
      </c>
      <c r="G187" s="174" t="s">
        <v>76</v>
      </c>
      <c r="H187" s="174" t="s">
        <v>77</v>
      </c>
      <c r="I187" s="174" t="s">
        <v>17</v>
      </c>
      <c r="J187" s="175">
        <v>44535</v>
      </c>
      <c r="K187" s="174">
        <v>50</v>
      </c>
      <c r="L187" s="176">
        <v>5.5466666666666669</v>
      </c>
      <c r="M187" s="174" t="s">
        <v>20</v>
      </c>
      <c r="N187" s="174">
        <v>199</v>
      </c>
    </row>
    <row r="188" spans="1:45" s="174" customFormat="1" ht="35" customHeight="1">
      <c r="A188" s="174">
        <f>ROW()-2</f>
        <v>186</v>
      </c>
      <c r="B188" s="174" t="s">
        <v>14</v>
      </c>
      <c r="C188" s="174" t="s">
        <v>83</v>
      </c>
      <c r="D188" s="174" t="s">
        <v>168</v>
      </c>
      <c r="E188" s="174" t="s">
        <v>1362</v>
      </c>
      <c r="F188" s="174" t="s">
        <v>72</v>
      </c>
      <c r="G188" s="174" t="s">
        <v>73</v>
      </c>
      <c r="H188" s="174" t="s">
        <v>74</v>
      </c>
      <c r="I188" s="174" t="s">
        <v>17</v>
      </c>
      <c r="J188" s="175">
        <v>44535</v>
      </c>
      <c r="K188" s="174">
        <v>10</v>
      </c>
      <c r="L188" s="176">
        <v>1.5977777777777777</v>
      </c>
      <c r="M188" s="174" t="s">
        <v>20</v>
      </c>
      <c r="N188" s="174">
        <v>59</v>
      </c>
    </row>
    <row r="189" spans="1:45" s="174" customFormat="1" ht="35" customHeight="1">
      <c r="A189" s="174">
        <f>ROW()-2</f>
        <v>187</v>
      </c>
      <c r="B189" s="174" t="s">
        <v>14</v>
      </c>
      <c r="C189" s="174" t="s">
        <v>83</v>
      </c>
      <c r="D189" s="174" t="s">
        <v>168</v>
      </c>
      <c r="E189" s="174" t="s">
        <v>1362</v>
      </c>
      <c r="F189" s="174" t="s">
        <v>2690</v>
      </c>
      <c r="G189" s="174" t="s">
        <v>78</v>
      </c>
      <c r="H189" s="174" t="s">
        <v>79</v>
      </c>
      <c r="I189" s="174" t="s">
        <v>17</v>
      </c>
      <c r="J189" s="175">
        <v>44537</v>
      </c>
      <c r="K189" s="174">
        <v>38</v>
      </c>
      <c r="L189" s="176">
        <v>21.093888888888888</v>
      </c>
      <c r="M189" s="174" t="s">
        <v>20</v>
      </c>
    </row>
    <row r="190" spans="1:45" s="174" customFormat="1" ht="35" customHeight="1">
      <c r="A190" s="174">
        <f>ROW()-2</f>
        <v>188</v>
      </c>
      <c r="B190" s="174" t="s">
        <v>14</v>
      </c>
      <c r="C190" s="174" t="s">
        <v>83</v>
      </c>
      <c r="D190" s="174" t="s">
        <v>168</v>
      </c>
      <c r="E190" s="174" t="s">
        <v>1362</v>
      </c>
      <c r="F190" s="174" t="s">
        <v>80</v>
      </c>
      <c r="G190" s="174" t="s">
        <v>81</v>
      </c>
      <c r="H190" s="174" t="s">
        <v>82</v>
      </c>
      <c r="I190" s="174" t="s">
        <v>29</v>
      </c>
      <c r="J190" s="175">
        <v>44538</v>
      </c>
      <c r="K190" s="174">
        <v>21</v>
      </c>
      <c r="L190" s="176">
        <v>4.6052777777777774</v>
      </c>
      <c r="M190" s="174" t="s">
        <v>20</v>
      </c>
      <c r="N190" s="174">
        <v>49</v>
      </c>
    </row>
    <row r="191" spans="1:45" s="174" customFormat="1" ht="35" customHeight="1">
      <c r="A191" s="174">
        <f>ROW()-2</f>
        <v>189</v>
      </c>
      <c r="B191" s="181" t="s">
        <v>5457</v>
      </c>
      <c r="C191" s="181" t="s">
        <v>5461</v>
      </c>
      <c r="D191" s="181" t="s">
        <v>5356</v>
      </c>
      <c r="E191" s="181" t="s">
        <v>5465</v>
      </c>
      <c r="F191" s="181" t="s">
        <v>5466</v>
      </c>
      <c r="G191" s="181" t="s">
        <v>5466</v>
      </c>
      <c r="H191" s="181" t="s">
        <v>5467</v>
      </c>
      <c r="I191" s="181" t="s">
        <v>5455</v>
      </c>
      <c r="J191" s="177">
        <v>44613</v>
      </c>
      <c r="K191" s="181">
        <v>31</v>
      </c>
      <c r="L191" s="179">
        <v>5.0199999999999996</v>
      </c>
      <c r="M191" s="181" t="s">
        <v>5456</v>
      </c>
      <c r="N191" s="181">
        <v>99</v>
      </c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81"/>
      <c r="AJ191" s="181"/>
      <c r="AK191" s="181"/>
      <c r="AL191" s="181"/>
      <c r="AM191" s="181"/>
      <c r="AN191" s="181"/>
      <c r="AO191" s="181"/>
      <c r="AP191" s="181"/>
      <c r="AQ191" s="181"/>
      <c r="AR191" s="181"/>
      <c r="AS191" s="181"/>
    </row>
    <row r="192" spans="1:45" s="174" customFormat="1" ht="35" customHeight="1">
      <c r="A192" s="174">
        <f>ROW()-2</f>
        <v>190</v>
      </c>
      <c r="B192" s="174" t="s">
        <v>14</v>
      </c>
      <c r="C192" s="174" t="s">
        <v>83</v>
      </c>
      <c r="D192" s="174" t="s">
        <v>119</v>
      </c>
      <c r="E192" s="174" t="s">
        <v>120</v>
      </c>
      <c r="F192" s="174" t="s">
        <v>121</v>
      </c>
      <c r="G192" s="174" t="s">
        <v>122</v>
      </c>
      <c r="H192" s="174" t="s">
        <v>123</v>
      </c>
      <c r="I192" s="174" t="s">
        <v>29</v>
      </c>
      <c r="J192" s="175">
        <v>43238</v>
      </c>
      <c r="K192" s="174">
        <v>221</v>
      </c>
      <c r="L192" s="176">
        <v>57.087222222222223</v>
      </c>
      <c r="M192" s="174" t="s">
        <v>20</v>
      </c>
      <c r="N192" s="174">
        <v>199</v>
      </c>
    </row>
    <row r="193" spans="1:45" s="174" customFormat="1" ht="35" customHeight="1">
      <c r="A193" s="174">
        <f>ROW()-2</f>
        <v>191</v>
      </c>
      <c r="B193" s="174" t="s">
        <v>14</v>
      </c>
      <c r="C193" s="174" t="s">
        <v>83</v>
      </c>
      <c r="D193" s="174" t="s">
        <v>119</v>
      </c>
      <c r="E193" s="174" t="s">
        <v>120</v>
      </c>
      <c r="F193" s="174" t="s">
        <v>124</v>
      </c>
      <c r="G193" s="174" t="s">
        <v>125</v>
      </c>
      <c r="H193" s="174" t="s">
        <v>126</v>
      </c>
      <c r="I193" s="174" t="s">
        <v>29</v>
      </c>
      <c r="J193" s="175">
        <v>43238</v>
      </c>
      <c r="K193" s="174">
        <v>114</v>
      </c>
      <c r="L193" s="176">
        <v>48.737777777777779</v>
      </c>
      <c r="M193" s="174" t="s">
        <v>20</v>
      </c>
      <c r="N193" s="174">
        <v>199</v>
      </c>
    </row>
    <row r="194" spans="1:45" s="174" customFormat="1" ht="35" customHeight="1">
      <c r="A194" s="174">
        <f>ROW()-2</f>
        <v>192</v>
      </c>
      <c r="B194" s="174" t="s">
        <v>14</v>
      </c>
      <c r="C194" s="174" t="s">
        <v>83</v>
      </c>
      <c r="D194" s="174" t="s">
        <v>119</v>
      </c>
      <c r="E194" s="174" t="s">
        <v>127</v>
      </c>
      <c r="F194" s="174" t="s">
        <v>128</v>
      </c>
      <c r="G194" s="174" t="s">
        <v>129</v>
      </c>
      <c r="H194" s="174" t="s">
        <v>130</v>
      </c>
      <c r="I194" s="174" t="s">
        <v>29</v>
      </c>
      <c r="J194" s="175">
        <v>43238</v>
      </c>
      <c r="K194" s="174">
        <v>46</v>
      </c>
      <c r="L194" s="176">
        <v>9.9522222222222219</v>
      </c>
      <c r="M194" s="174" t="s">
        <v>20</v>
      </c>
      <c r="N194" s="174">
        <v>49.9</v>
      </c>
    </row>
    <row r="195" spans="1:45" s="174" customFormat="1" ht="35" customHeight="1">
      <c r="A195" s="174">
        <f>ROW()-2</f>
        <v>193</v>
      </c>
      <c r="B195" s="174" t="s">
        <v>14</v>
      </c>
      <c r="C195" s="174" t="s">
        <v>83</v>
      </c>
      <c r="D195" s="174" t="s">
        <v>119</v>
      </c>
      <c r="E195" s="174" t="s">
        <v>120</v>
      </c>
      <c r="F195" s="174" t="s">
        <v>131</v>
      </c>
      <c r="G195" s="174" t="s">
        <v>132</v>
      </c>
      <c r="H195" s="174" t="s">
        <v>133</v>
      </c>
      <c r="I195" s="174" t="s">
        <v>29</v>
      </c>
      <c r="J195" s="175">
        <v>43238</v>
      </c>
      <c r="K195" s="174">
        <v>66</v>
      </c>
      <c r="L195" s="176">
        <v>24.18</v>
      </c>
      <c r="M195" s="174" t="s">
        <v>20</v>
      </c>
      <c r="N195" s="174">
        <v>128</v>
      </c>
    </row>
    <row r="196" spans="1:45" s="174" customFormat="1" ht="35" customHeight="1">
      <c r="A196" s="174">
        <f>ROW()-2</f>
        <v>194</v>
      </c>
      <c r="B196" s="174" t="s">
        <v>14</v>
      </c>
      <c r="C196" s="174" t="s">
        <v>83</v>
      </c>
      <c r="D196" s="174" t="s">
        <v>119</v>
      </c>
      <c r="E196" s="174" t="s">
        <v>120</v>
      </c>
      <c r="F196" s="174" t="s">
        <v>134</v>
      </c>
      <c r="G196" s="174" t="s">
        <v>135</v>
      </c>
      <c r="H196" s="174" t="s">
        <v>136</v>
      </c>
      <c r="I196" s="174" t="s">
        <v>29</v>
      </c>
      <c r="J196" s="175">
        <v>43238</v>
      </c>
      <c r="K196" s="174">
        <v>234</v>
      </c>
      <c r="L196" s="176">
        <v>65.74666666666667</v>
      </c>
      <c r="M196" s="174" t="s">
        <v>20</v>
      </c>
      <c r="N196" s="174">
        <v>168</v>
      </c>
    </row>
    <row r="197" spans="1:45" s="174" customFormat="1" ht="35" customHeight="1">
      <c r="A197" s="174">
        <f>ROW()-2</f>
        <v>195</v>
      </c>
      <c r="B197" s="174" t="s">
        <v>14</v>
      </c>
      <c r="C197" s="174" t="s">
        <v>83</v>
      </c>
      <c r="D197" s="174" t="s">
        <v>119</v>
      </c>
      <c r="E197" s="174" t="s">
        <v>120</v>
      </c>
      <c r="F197" s="174" t="s">
        <v>137</v>
      </c>
      <c r="G197" s="174" t="s">
        <v>138</v>
      </c>
      <c r="H197" s="174" t="s">
        <v>139</v>
      </c>
      <c r="I197" s="174" t="s">
        <v>29</v>
      </c>
      <c r="J197" s="175">
        <v>43262</v>
      </c>
      <c r="K197" s="174">
        <v>167</v>
      </c>
      <c r="L197" s="176">
        <v>69.189722222222215</v>
      </c>
      <c r="M197" s="174" t="s">
        <v>20</v>
      </c>
      <c r="N197" s="174">
        <v>199</v>
      </c>
    </row>
    <row r="198" spans="1:45" s="174" customFormat="1" ht="35" customHeight="1">
      <c r="A198" s="174">
        <f>ROW()-2</f>
        <v>196</v>
      </c>
      <c r="B198" s="174" t="s">
        <v>14</v>
      </c>
      <c r="C198" s="174" t="s">
        <v>83</v>
      </c>
      <c r="D198" s="174" t="s">
        <v>119</v>
      </c>
      <c r="E198" s="174" t="s">
        <v>120</v>
      </c>
      <c r="F198" s="174" t="s">
        <v>140</v>
      </c>
      <c r="G198" s="174" t="s">
        <v>141</v>
      </c>
      <c r="H198" s="174" t="s">
        <v>142</v>
      </c>
      <c r="I198" s="174" t="s">
        <v>29</v>
      </c>
      <c r="J198" s="175">
        <v>43294</v>
      </c>
      <c r="K198" s="174">
        <v>21</v>
      </c>
      <c r="L198" s="176">
        <v>5.0188888888888892</v>
      </c>
      <c r="M198" s="174" t="s">
        <v>20</v>
      </c>
      <c r="N198" s="174">
        <v>39</v>
      </c>
    </row>
    <row r="199" spans="1:45" s="174" customFormat="1" ht="35" customHeight="1">
      <c r="A199" s="174">
        <f>ROW()-2</f>
        <v>197</v>
      </c>
      <c r="B199" s="174" t="s">
        <v>14</v>
      </c>
      <c r="C199" s="174" t="s">
        <v>83</v>
      </c>
      <c r="D199" s="174" t="s">
        <v>119</v>
      </c>
      <c r="E199" s="174" t="s">
        <v>120</v>
      </c>
      <c r="F199" s="174" t="s">
        <v>143</v>
      </c>
      <c r="G199" s="174" t="s">
        <v>144</v>
      </c>
      <c r="H199" s="174" t="s">
        <v>145</v>
      </c>
      <c r="I199" s="174" t="s">
        <v>29</v>
      </c>
      <c r="J199" s="175">
        <v>43315</v>
      </c>
      <c r="K199" s="174">
        <v>289</v>
      </c>
      <c r="L199" s="176">
        <v>91.890555555555551</v>
      </c>
      <c r="M199" s="174" t="s">
        <v>20</v>
      </c>
      <c r="N199" s="174">
        <v>199</v>
      </c>
    </row>
    <row r="200" spans="1:45" s="174" customFormat="1" ht="35" customHeight="1">
      <c r="A200" s="174">
        <f>ROW()-2</f>
        <v>198</v>
      </c>
      <c r="B200" s="174" t="s">
        <v>14</v>
      </c>
      <c r="C200" s="174" t="s">
        <v>83</v>
      </c>
      <c r="D200" s="174" t="s">
        <v>119</v>
      </c>
      <c r="E200" s="174" t="s">
        <v>120</v>
      </c>
      <c r="F200" s="174" t="s">
        <v>151</v>
      </c>
      <c r="G200" s="174" t="s">
        <v>152</v>
      </c>
      <c r="H200" s="174" t="s">
        <v>153</v>
      </c>
      <c r="I200" s="174" t="s">
        <v>29</v>
      </c>
      <c r="J200" s="175">
        <v>43322</v>
      </c>
      <c r="K200" s="174">
        <v>61</v>
      </c>
      <c r="L200" s="176">
        <v>18.75888888888889</v>
      </c>
      <c r="M200" s="174" t="s">
        <v>20</v>
      </c>
      <c r="N200" s="174">
        <v>99</v>
      </c>
    </row>
    <row r="201" spans="1:45" s="174" customFormat="1" ht="35" customHeight="1">
      <c r="A201" s="174">
        <f>ROW()-2</f>
        <v>199</v>
      </c>
      <c r="B201" s="174" t="s">
        <v>14</v>
      </c>
      <c r="C201" s="174" t="s">
        <v>83</v>
      </c>
      <c r="D201" s="174" t="s">
        <v>119</v>
      </c>
      <c r="E201" s="174" t="s">
        <v>161</v>
      </c>
      <c r="F201" s="174" t="s">
        <v>162</v>
      </c>
      <c r="G201" s="174" t="s">
        <v>163</v>
      </c>
      <c r="H201" s="174" t="s">
        <v>164</v>
      </c>
      <c r="I201" s="174" t="s">
        <v>29</v>
      </c>
      <c r="J201" s="175">
        <v>43347</v>
      </c>
      <c r="K201" s="174">
        <v>18</v>
      </c>
      <c r="L201" s="176">
        <v>5.1775000000000002</v>
      </c>
      <c r="M201" s="174" t="s">
        <v>20</v>
      </c>
      <c r="N201" s="174">
        <v>79</v>
      </c>
    </row>
    <row r="202" spans="1:45" s="181" customFormat="1" ht="35" customHeight="1">
      <c r="A202" s="174">
        <f>ROW()-2</f>
        <v>200</v>
      </c>
      <c r="B202" s="174" t="s">
        <v>14</v>
      </c>
      <c r="C202" s="174" t="s">
        <v>83</v>
      </c>
      <c r="D202" s="174" t="s">
        <v>119</v>
      </c>
      <c r="E202" s="174" t="s">
        <v>127</v>
      </c>
      <c r="F202" s="174" t="s">
        <v>165</v>
      </c>
      <c r="G202" s="174" t="s">
        <v>166</v>
      </c>
      <c r="H202" s="174" t="s">
        <v>167</v>
      </c>
      <c r="I202" s="174" t="s">
        <v>29</v>
      </c>
      <c r="J202" s="175">
        <v>43363</v>
      </c>
      <c r="K202" s="174">
        <v>195</v>
      </c>
      <c r="L202" s="176">
        <v>23.300277777777779</v>
      </c>
      <c r="M202" s="174" t="s">
        <v>20</v>
      </c>
      <c r="N202" s="174">
        <v>198</v>
      </c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  <c r="AL202" s="174"/>
      <c r="AM202" s="174"/>
      <c r="AN202" s="174"/>
      <c r="AO202" s="174"/>
      <c r="AP202" s="174"/>
      <c r="AQ202" s="174"/>
      <c r="AR202" s="174"/>
      <c r="AS202" s="174"/>
    </row>
    <row r="203" spans="1:45" s="174" customFormat="1" ht="35" customHeight="1">
      <c r="A203" s="174">
        <f>ROW()-2</f>
        <v>201</v>
      </c>
      <c r="B203" s="174" t="s">
        <v>14</v>
      </c>
      <c r="C203" s="174" t="s">
        <v>83</v>
      </c>
      <c r="D203" s="174" t="s">
        <v>119</v>
      </c>
      <c r="E203" s="174" t="s">
        <v>127</v>
      </c>
      <c r="F203" s="174" t="s">
        <v>177</v>
      </c>
      <c r="G203" s="174" t="s">
        <v>178</v>
      </c>
      <c r="H203" s="174" t="s">
        <v>179</v>
      </c>
      <c r="I203" s="174" t="s">
        <v>29</v>
      </c>
      <c r="J203" s="175">
        <v>43398</v>
      </c>
      <c r="K203" s="174">
        <v>104</v>
      </c>
      <c r="L203" s="176">
        <v>17.322777777777777</v>
      </c>
      <c r="M203" s="174" t="s">
        <v>20</v>
      </c>
      <c r="N203" s="174">
        <v>199</v>
      </c>
    </row>
    <row r="204" spans="1:45" s="174" customFormat="1" ht="35" customHeight="1">
      <c r="A204" s="181">
        <f>ROW()-2</f>
        <v>202</v>
      </c>
      <c r="B204" s="181" t="s">
        <v>14</v>
      </c>
      <c r="C204" s="181" t="s">
        <v>2634</v>
      </c>
      <c r="D204" s="181" t="s">
        <v>5356</v>
      </c>
      <c r="E204" s="181" t="s">
        <v>5355</v>
      </c>
      <c r="F204" s="181" t="s">
        <v>1456</v>
      </c>
      <c r="G204" s="181" t="s">
        <v>1457</v>
      </c>
      <c r="H204" s="181" t="s">
        <v>1458</v>
      </c>
      <c r="I204" s="181" t="s">
        <v>29</v>
      </c>
      <c r="J204" s="177">
        <v>43453</v>
      </c>
      <c r="K204" s="181">
        <v>93</v>
      </c>
      <c r="L204" s="179">
        <v>14.93</v>
      </c>
      <c r="M204" s="181" t="s">
        <v>20</v>
      </c>
      <c r="N204" s="181">
        <v>199</v>
      </c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81"/>
      <c r="AI204" s="181"/>
      <c r="AJ204" s="181"/>
      <c r="AK204" s="181"/>
      <c r="AL204" s="181"/>
      <c r="AM204" s="181"/>
      <c r="AN204" s="181"/>
      <c r="AO204" s="181"/>
      <c r="AP204" s="181"/>
    </row>
    <row r="205" spans="1:45" s="174" customFormat="1" ht="35" customHeight="1">
      <c r="A205" s="174">
        <f>ROW()-2</f>
        <v>203</v>
      </c>
      <c r="B205" s="174" t="s">
        <v>14</v>
      </c>
      <c r="C205" s="174" t="s">
        <v>83</v>
      </c>
      <c r="D205" s="174" t="s">
        <v>119</v>
      </c>
      <c r="E205" s="174" t="s">
        <v>127</v>
      </c>
      <c r="F205" s="174" t="s">
        <v>212</v>
      </c>
      <c r="G205" s="174" t="s">
        <v>213</v>
      </c>
      <c r="H205" s="174" t="s">
        <v>16</v>
      </c>
      <c r="I205" s="174" t="s">
        <v>29</v>
      </c>
      <c r="J205" s="175">
        <v>43525</v>
      </c>
      <c r="K205" s="174">
        <v>37</v>
      </c>
      <c r="L205" s="176">
        <v>5.5774999999999997</v>
      </c>
      <c r="M205" s="174" t="s">
        <v>20</v>
      </c>
      <c r="N205" s="174">
        <v>99</v>
      </c>
    </row>
    <row r="206" spans="1:45" s="174" customFormat="1" ht="35" customHeight="1">
      <c r="A206" s="174">
        <f>ROW()-2</f>
        <v>204</v>
      </c>
      <c r="B206" s="174" t="s">
        <v>14</v>
      </c>
      <c r="C206" s="174" t="s">
        <v>83</v>
      </c>
      <c r="D206" s="174" t="s">
        <v>119</v>
      </c>
      <c r="E206" s="174" t="s">
        <v>120</v>
      </c>
      <c r="F206" s="174" t="s">
        <v>233</v>
      </c>
      <c r="G206" s="174" t="s">
        <v>234</v>
      </c>
      <c r="H206" s="174" t="s">
        <v>235</v>
      </c>
      <c r="I206" s="174" t="s">
        <v>29</v>
      </c>
      <c r="J206" s="175">
        <v>43577</v>
      </c>
      <c r="K206" s="174">
        <v>105</v>
      </c>
      <c r="L206" s="176">
        <v>30.607500000000002</v>
      </c>
      <c r="M206" s="174" t="s">
        <v>20</v>
      </c>
      <c r="N206" s="174">
        <v>199</v>
      </c>
    </row>
    <row r="207" spans="1:45" s="174" customFormat="1" ht="35" customHeight="1">
      <c r="A207" s="174">
        <f>ROW()-2</f>
        <v>205</v>
      </c>
      <c r="B207" s="174" t="s">
        <v>14</v>
      </c>
      <c r="C207" s="174" t="s">
        <v>83</v>
      </c>
      <c r="D207" s="174" t="s">
        <v>119</v>
      </c>
      <c r="E207" s="174" t="s">
        <v>120</v>
      </c>
      <c r="F207" s="174" t="s">
        <v>236</v>
      </c>
      <c r="G207" s="174" t="s">
        <v>237</v>
      </c>
      <c r="H207" s="174" t="s">
        <v>238</v>
      </c>
      <c r="I207" s="174" t="s">
        <v>29</v>
      </c>
      <c r="J207" s="175">
        <v>43640</v>
      </c>
      <c r="K207" s="174">
        <v>116</v>
      </c>
      <c r="L207" s="176">
        <v>24.592222222222222</v>
      </c>
      <c r="M207" s="174" t="s">
        <v>20</v>
      </c>
      <c r="N207" s="174">
        <v>199</v>
      </c>
    </row>
    <row r="208" spans="1:45" s="174" customFormat="1" ht="35" customHeight="1">
      <c r="A208" s="174">
        <f>ROW()-2</f>
        <v>206</v>
      </c>
      <c r="B208" s="174" t="s">
        <v>14</v>
      </c>
      <c r="C208" s="174" t="s">
        <v>83</v>
      </c>
      <c r="D208" s="174" t="s">
        <v>119</v>
      </c>
      <c r="E208" s="174" t="s">
        <v>120</v>
      </c>
      <c r="F208" s="174" t="s">
        <v>257</v>
      </c>
      <c r="G208" s="174" t="s">
        <v>258</v>
      </c>
      <c r="H208" s="174" t="s">
        <v>259</v>
      </c>
      <c r="I208" s="174" t="s">
        <v>29</v>
      </c>
      <c r="J208" s="175">
        <v>43754</v>
      </c>
      <c r="K208" s="174">
        <v>48</v>
      </c>
      <c r="L208" s="176">
        <v>18.134166666666665</v>
      </c>
      <c r="M208" s="174" t="s">
        <v>89</v>
      </c>
      <c r="N208" s="174">
        <v>69</v>
      </c>
    </row>
    <row r="209" spans="1:45" s="174" customFormat="1" ht="35" customHeight="1">
      <c r="A209" s="174">
        <f>ROW()-2</f>
        <v>207</v>
      </c>
      <c r="B209" s="174" t="s">
        <v>14</v>
      </c>
      <c r="C209" s="174" t="s">
        <v>83</v>
      </c>
      <c r="D209" s="174" t="s">
        <v>119</v>
      </c>
      <c r="E209" s="174" t="s">
        <v>120</v>
      </c>
      <c r="F209" s="174" t="s">
        <v>273</v>
      </c>
      <c r="G209" s="174" t="s">
        <v>274</v>
      </c>
      <c r="H209" s="174" t="s">
        <v>275</v>
      </c>
      <c r="I209" s="174" t="s">
        <v>29</v>
      </c>
      <c r="J209" s="175">
        <v>43852</v>
      </c>
      <c r="K209" s="174">
        <v>637</v>
      </c>
      <c r="L209" s="176">
        <v>109.57777777777778</v>
      </c>
      <c r="M209" s="174" t="s">
        <v>20</v>
      </c>
      <c r="N209" s="174">
        <v>199</v>
      </c>
    </row>
    <row r="210" spans="1:45" s="174" customFormat="1" ht="35" customHeight="1">
      <c r="A210" s="174">
        <f>ROW()-2</f>
        <v>208</v>
      </c>
      <c r="B210" s="174" t="s">
        <v>14</v>
      </c>
      <c r="C210" s="174" t="s">
        <v>83</v>
      </c>
      <c r="D210" s="174" t="s">
        <v>119</v>
      </c>
      <c r="E210" s="174" t="s">
        <v>120</v>
      </c>
      <c r="F210" s="174" t="s">
        <v>281</v>
      </c>
      <c r="G210" s="174" t="s">
        <v>282</v>
      </c>
      <c r="H210" s="174" t="s">
        <v>283</v>
      </c>
      <c r="I210" s="174" t="s">
        <v>29</v>
      </c>
      <c r="J210" s="175">
        <v>43862</v>
      </c>
      <c r="K210" s="174">
        <v>292</v>
      </c>
      <c r="L210" s="176">
        <v>74.234722222222217</v>
      </c>
      <c r="M210" s="174" t="s">
        <v>20</v>
      </c>
      <c r="N210" s="174">
        <v>199</v>
      </c>
    </row>
    <row r="211" spans="1:45" s="174" customFormat="1" ht="35" customHeight="1">
      <c r="A211" s="174">
        <f>ROW()-2</f>
        <v>209</v>
      </c>
      <c r="B211" s="174" t="s">
        <v>14</v>
      </c>
      <c r="C211" s="174" t="s">
        <v>83</v>
      </c>
      <c r="D211" s="174" t="s">
        <v>119</v>
      </c>
      <c r="E211" s="174" t="s">
        <v>120</v>
      </c>
      <c r="F211" s="174" t="s">
        <v>298</v>
      </c>
      <c r="G211" s="174" t="s">
        <v>299</v>
      </c>
      <c r="H211" s="174" t="s">
        <v>300</v>
      </c>
      <c r="I211" s="174" t="s">
        <v>29</v>
      </c>
      <c r="J211" s="175">
        <v>43921</v>
      </c>
      <c r="K211" s="174">
        <v>101</v>
      </c>
      <c r="L211" s="176">
        <v>32.610833333333332</v>
      </c>
      <c r="M211" s="174" t="s">
        <v>20</v>
      </c>
      <c r="N211" s="174">
        <v>199</v>
      </c>
    </row>
    <row r="212" spans="1:45" s="181" customFormat="1" ht="35" customHeight="1">
      <c r="A212" s="174">
        <f>ROW()-2</f>
        <v>210</v>
      </c>
      <c r="B212" s="174" t="s">
        <v>14</v>
      </c>
      <c r="C212" s="174" t="s">
        <v>83</v>
      </c>
      <c r="D212" s="174" t="s">
        <v>119</v>
      </c>
      <c r="E212" s="174" t="s">
        <v>120</v>
      </c>
      <c r="F212" s="174" t="s">
        <v>308</v>
      </c>
      <c r="G212" s="174" t="s">
        <v>309</v>
      </c>
      <c r="H212" s="174" t="s">
        <v>310</v>
      </c>
      <c r="I212" s="174" t="s">
        <v>29</v>
      </c>
      <c r="J212" s="175">
        <v>43931</v>
      </c>
      <c r="K212" s="174">
        <v>1769</v>
      </c>
      <c r="L212" s="176">
        <v>207.26722222222222</v>
      </c>
      <c r="M212" s="174" t="s">
        <v>89</v>
      </c>
      <c r="N212" s="174">
        <v>299</v>
      </c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  <c r="AL212" s="174"/>
      <c r="AM212" s="174"/>
      <c r="AN212" s="174"/>
      <c r="AO212" s="174"/>
      <c r="AP212" s="174"/>
    </row>
    <row r="213" spans="1:45" s="174" customFormat="1" ht="35" customHeight="1">
      <c r="A213" s="181">
        <f>ROW()-2</f>
        <v>211</v>
      </c>
      <c r="B213" s="181" t="s">
        <v>14</v>
      </c>
      <c r="C213" s="181" t="s">
        <v>83</v>
      </c>
      <c r="D213" s="181" t="s">
        <v>119</v>
      </c>
      <c r="E213" s="181" t="s">
        <v>5355</v>
      </c>
      <c r="F213" s="181" t="s">
        <v>339</v>
      </c>
      <c r="G213" s="181" t="s">
        <v>340</v>
      </c>
      <c r="H213" s="181" t="s">
        <v>341</v>
      </c>
      <c r="I213" s="181" t="s">
        <v>29</v>
      </c>
      <c r="J213" s="177">
        <v>43970</v>
      </c>
      <c r="K213" s="181">
        <v>60</v>
      </c>
      <c r="L213" s="178">
        <v>15.294444444444444</v>
      </c>
      <c r="M213" s="181" t="s">
        <v>20</v>
      </c>
      <c r="N213" s="181">
        <v>99</v>
      </c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81"/>
      <c r="AJ213" s="181"/>
      <c r="AK213" s="181"/>
      <c r="AL213" s="181"/>
      <c r="AM213" s="181"/>
      <c r="AN213" s="181"/>
      <c r="AO213" s="181"/>
      <c r="AP213" s="181"/>
    </row>
    <row r="214" spans="1:45" s="174" customFormat="1" ht="35" customHeight="1">
      <c r="A214" s="174">
        <f>ROW()-2</f>
        <v>212</v>
      </c>
      <c r="B214" s="174" t="s">
        <v>14</v>
      </c>
      <c r="C214" s="174" t="s">
        <v>83</v>
      </c>
      <c r="D214" s="174" t="s">
        <v>119</v>
      </c>
      <c r="E214" s="174" t="s">
        <v>342</v>
      </c>
      <c r="F214" s="174" t="s">
        <v>343</v>
      </c>
      <c r="G214" s="174" t="s">
        <v>344</v>
      </c>
      <c r="H214" s="174" t="s">
        <v>345</v>
      </c>
      <c r="I214" s="174" t="s">
        <v>17</v>
      </c>
      <c r="J214" s="175">
        <v>43975</v>
      </c>
      <c r="K214" s="174">
        <v>12</v>
      </c>
      <c r="L214" s="176">
        <v>6.3419444444444446</v>
      </c>
      <c r="M214" s="174" t="s">
        <v>20</v>
      </c>
      <c r="N214" s="174">
        <v>99</v>
      </c>
    </row>
    <row r="215" spans="1:45" s="174" customFormat="1" ht="35" customHeight="1">
      <c r="A215" s="174">
        <f>ROW()-2</f>
        <v>213</v>
      </c>
      <c r="B215" s="174" t="s">
        <v>14</v>
      </c>
      <c r="C215" s="174" t="s">
        <v>83</v>
      </c>
      <c r="D215" s="174" t="s">
        <v>119</v>
      </c>
      <c r="E215" s="174" t="s">
        <v>161</v>
      </c>
      <c r="F215" s="174" t="s">
        <v>349</v>
      </c>
      <c r="G215" s="174" t="s">
        <v>350</v>
      </c>
      <c r="H215" s="174" t="s">
        <v>351</v>
      </c>
      <c r="I215" s="174" t="s">
        <v>29</v>
      </c>
      <c r="J215" s="175">
        <v>43991</v>
      </c>
      <c r="K215" s="174">
        <v>307</v>
      </c>
      <c r="L215" s="176">
        <v>48.323611111111113</v>
      </c>
      <c r="M215" s="174" t="s">
        <v>89</v>
      </c>
      <c r="N215" s="174">
        <v>199</v>
      </c>
    </row>
    <row r="216" spans="1:45" s="174" customFormat="1" ht="35" customHeight="1">
      <c r="A216" s="174">
        <f>ROW()-2</f>
        <v>214</v>
      </c>
      <c r="B216" s="174" t="s">
        <v>14</v>
      </c>
      <c r="C216" s="174" t="s">
        <v>83</v>
      </c>
      <c r="D216" s="174" t="s">
        <v>119</v>
      </c>
      <c r="E216" s="174" t="s">
        <v>161</v>
      </c>
      <c r="F216" s="174" t="s">
        <v>352</v>
      </c>
      <c r="G216" s="174" t="s">
        <v>353</v>
      </c>
      <c r="H216" s="174" t="s">
        <v>354</v>
      </c>
      <c r="I216" s="174" t="s">
        <v>29</v>
      </c>
      <c r="J216" s="175">
        <v>43998</v>
      </c>
      <c r="K216" s="174">
        <v>75</v>
      </c>
      <c r="L216" s="176">
        <v>35.987499999999997</v>
      </c>
      <c r="M216" s="174" t="s">
        <v>20</v>
      </c>
      <c r="N216" s="174">
        <v>199</v>
      </c>
    </row>
    <row r="217" spans="1:45" s="174" customFormat="1" ht="35" customHeight="1">
      <c r="A217" s="174">
        <f>ROW()-2</f>
        <v>215</v>
      </c>
      <c r="B217" s="174" t="s">
        <v>14</v>
      </c>
      <c r="C217" s="174" t="s">
        <v>83</v>
      </c>
      <c r="D217" s="174" t="s">
        <v>119</v>
      </c>
      <c r="E217" s="174" t="s">
        <v>127</v>
      </c>
      <c r="F217" s="174" t="s">
        <v>374</v>
      </c>
      <c r="G217" s="174" t="s">
        <v>375</v>
      </c>
      <c r="H217" s="174" t="s">
        <v>292</v>
      </c>
      <c r="I217" s="174" t="s">
        <v>29</v>
      </c>
      <c r="J217" s="175">
        <v>44054</v>
      </c>
      <c r="K217" s="174">
        <v>104</v>
      </c>
      <c r="L217" s="176">
        <v>29.029166666666665</v>
      </c>
      <c r="M217" s="174" t="s">
        <v>20</v>
      </c>
      <c r="N217" s="174">
        <v>399</v>
      </c>
    </row>
    <row r="218" spans="1:45" s="174" customFormat="1" ht="35" customHeight="1">
      <c r="A218" s="174">
        <f>ROW()-2</f>
        <v>216</v>
      </c>
      <c r="B218" s="174" t="s">
        <v>14</v>
      </c>
      <c r="C218" s="174" t="s">
        <v>83</v>
      </c>
      <c r="D218" s="174" t="s">
        <v>119</v>
      </c>
      <c r="E218" s="174" t="s">
        <v>161</v>
      </c>
      <c r="F218" s="174" t="s">
        <v>371</v>
      </c>
      <c r="G218" s="174" t="s">
        <v>372</v>
      </c>
      <c r="H218" s="174" t="s">
        <v>373</v>
      </c>
      <c r="I218" s="174" t="s">
        <v>17</v>
      </c>
      <c r="J218" s="175">
        <v>44054</v>
      </c>
      <c r="K218" s="174">
        <v>22</v>
      </c>
      <c r="L218" s="176">
        <v>4.197222222222222</v>
      </c>
      <c r="M218" s="174" t="s">
        <v>20</v>
      </c>
      <c r="N218" s="174">
        <v>99</v>
      </c>
    </row>
    <row r="219" spans="1:45" s="181" customFormat="1" ht="35" customHeight="1">
      <c r="A219" s="174">
        <f>ROW()-2</f>
        <v>217</v>
      </c>
      <c r="B219" s="174" t="s">
        <v>14</v>
      </c>
      <c r="C219" s="174" t="s">
        <v>83</v>
      </c>
      <c r="D219" s="174" t="s">
        <v>119</v>
      </c>
      <c r="E219" s="174" t="s">
        <v>161</v>
      </c>
      <c r="F219" s="174" t="s">
        <v>376</v>
      </c>
      <c r="G219" s="174" t="s">
        <v>377</v>
      </c>
      <c r="H219" s="174" t="s">
        <v>378</v>
      </c>
      <c r="I219" s="174" t="s">
        <v>29</v>
      </c>
      <c r="J219" s="175">
        <v>44061</v>
      </c>
      <c r="K219" s="174">
        <v>93</v>
      </c>
      <c r="L219" s="176">
        <v>19.778055555555557</v>
      </c>
      <c r="M219" s="174" t="s">
        <v>20</v>
      </c>
      <c r="N219" s="174">
        <v>99</v>
      </c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  <c r="AL219" s="174"/>
      <c r="AM219" s="174"/>
      <c r="AN219" s="174"/>
      <c r="AO219" s="174"/>
      <c r="AP219" s="174"/>
      <c r="AQ219" s="174"/>
      <c r="AR219" s="174"/>
      <c r="AS219" s="174"/>
    </row>
    <row r="220" spans="1:45" s="174" customFormat="1" ht="35" customHeight="1">
      <c r="A220" s="174">
        <f>ROW()-2</f>
        <v>218</v>
      </c>
      <c r="B220" s="174" t="s">
        <v>14</v>
      </c>
      <c r="C220" s="174" t="s">
        <v>83</v>
      </c>
      <c r="D220" s="174" t="s">
        <v>119</v>
      </c>
      <c r="E220" s="174" t="s">
        <v>127</v>
      </c>
      <c r="F220" s="174" t="s">
        <v>391</v>
      </c>
      <c r="G220" s="174" t="s">
        <v>392</v>
      </c>
      <c r="H220" s="174" t="s">
        <v>393</v>
      </c>
      <c r="I220" s="174" t="s">
        <v>29</v>
      </c>
      <c r="J220" s="175">
        <v>44090</v>
      </c>
      <c r="K220" s="174">
        <v>53</v>
      </c>
      <c r="L220" s="176">
        <v>18.535277777777779</v>
      </c>
      <c r="M220" s="174" t="s">
        <v>20</v>
      </c>
      <c r="N220" s="174">
        <v>99</v>
      </c>
    </row>
    <row r="221" spans="1:45" s="174" customFormat="1" ht="35" customHeight="1">
      <c r="A221" s="174">
        <f>ROW()-2</f>
        <v>219</v>
      </c>
      <c r="B221" s="174" t="s">
        <v>14</v>
      </c>
      <c r="C221" s="174" t="s">
        <v>83</v>
      </c>
      <c r="D221" s="174" t="s">
        <v>119</v>
      </c>
      <c r="E221" s="174" t="s">
        <v>120</v>
      </c>
      <c r="F221" s="174" t="s">
        <v>2544</v>
      </c>
      <c r="G221" s="174" t="s">
        <v>395</v>
      </c>
      <c r="H221" s="174" t="s">
        <v>396</v>
      </c>
      <c r="I221" s="174" t="s">
        <v>29</v>
      </c>
      <c r="J221" s="175">
        <v>44090</v>
      </c>
      <c r="K221" s="174">
        <v>149</v>
      </c>
      <c r="L221" s="176">
        <v>43.219166666666666</v>
      </c>
      <c r="M221" s="174" t="s">
        <v>20</v>
      </c>
      <c r="N221" s="174">
        <v>199</v>
      </c>
    </row>
    <row r="222" spans="1:45" s="174" customFormat="1" ht="35" customHeight="1">
      <c r="A222" s="174">
        <f>ROW()-2</f>
        <v>220</v>
      </c>
      <c r="B222" s="174" t="s">
        <v>14</v>
      </c>
      <c r="C222" s="174" t="s">
        <v>83</v>
      </c>
      <c r="D222" s="174" t="s">
        <v>119</v>
      </c>
      <c r="E222" s="174" t="s">
        <v>161</v>
      </c>
      <c r="F222" s="174" t="s">
        <v>400</v>
      </c>
      <c r="G222" s="174" t="s">
        <v>401</v>
      </c>
      <c r="H222" s="174" t="s">
        <v>402</v>
      </c>
      <c r="I222" s="174" t="s">
        <v>29</v>
      </c>
      <c r="J222" s="175">
        <v>44099</v>
      </c>
      <c r="K222" s="174">
        <v>108</v>
      </c>
      <c r="L222" s="176">
        <v>34.213888888888889</v>
      </c>
      <c r="M222" s="174" t="s">
        <v>20</v>
      </c>
      <c r="N222" s="174">
        <v>129</v>
      </c>
      <c r="AQ222" s="181"/>
      <c r="AR222" s="181"/>
      <c r="AS222" s="181"/>
    </row>
    <row r="223" spans="1:45" s="174" customFormat="1" ht="35" customHeight="1">
      <c r="A223" s="181">
        <f>ROW()-2</f>
        <v>221</v>
      </c>
      <c r="B223" s="181" t="s">
        <v>14</v>
      </c>
      <c r="C223" s="181" t="s">
        <v>83</v>
      </c>
      <c r="D223" s="181" t="s">
        <v>119</v>
      </c>
      <c r="E223" s="181" t="s">
        <v>5355</v>
      </c>
      <c r="F223" s="181" t="s">
        <v>405</v>
      </c>
      <c r="G223" s="181" t="s">
        <v>406</v>
      </c>
      <c r="H223" s="181" t="s">
        <v>407</v>
      </c>
      <c r="I223" s="181" t="s">
        <v>29</v>
      </c>
      <c r="J223" s="177">
        <v>44116</v>
      </c>
      <c r="K223" s="181">
        <v>46</v>
      </c>
      <c r="L223" s="178">
        <v>12.358333333333333</v>
      </c>
      <c r="M223" s="181" t="s">
        <v>20</v>
      </c>
      <c r="N223" s="181">
        <v>99</v>
      </c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81"/>
      <c r="AJ223" s="181"/>
      <c r="AK223" s="181"/>
      <c r="AL223" s="181"/>
      <c r="AM223" s="181"/>
      <c r="AN223" s="181"/>
      <c r="AO223" s="181"/>
      <c r="AP223" s="181"/>
    </row>
    <row r="224" spans="1:45" s="174" customFormat="1" ht="35" customHeight="1">
      <c r="A224" s="174">
        <f>ROW()-2</f>
        <v>222</v>
      </c>
      <c r="B224" s="174" t="s">
        <v>14</v>
      </c>
      <c r="C224" s="174" t="s">
        <v>83</v>
      </c>
      <c r="D224" s="174" t="s">
        <v>119</v>
      </c>
      <c r="E224" s="174" t="s">
        <v>161</v>
      </c>
      <c r="F224" s="174" t="s">
        <v>435</v>
      </c>
      <c r="G224" s="174" t="s">
        <v>436</v>
      </c>
      <c r="H224" s="174" t="s">
        <v>437</v>
      </c>
      <c r="I224" s="174" t="s">
        <v>29</v>
      </c>
      <c r="J224" s="175">
        <v>44154</v>
      </c>
      <c r="K224" s="174">
        <v>42</v>
      </c>
      <c r="L224" s="176">
        <v>12.611111111111111</v>
      </c>
      <c r="M224" s="174" t="s">
        <v>20</v>
      </c>
      <c r="N224" s="174">
        <v>198</v>
      </c>
    </row>
    <row r="225" spans="1:45" s="174" customFormat="1" ht="35" customHeight="1">
      <c r="A225" s="174">
        <f>ROW()-2</f>
        <v>223</v>
      </c>
      <c r="B225" s="174" t="s">
        <v>14</v>
      </c>
      <c r="C225" s="174" t="s">
        <v>83</v>
      </c>
      <c r="D225" s="174" t="s">
        <v>119</v>
      </c>
      <c r="E225" s="174" t="s">
        <v>120</v>
      </c>
      <c r="F225" s="174" t="s">
        <v>2545</v>
      </c>
      <c r="G225" s="174" t="s">
        <v>454</v>
      </c>
      <c r="H225" s="174" t="s">
        <v>351</v>
      </c>
      <c r="I225" s="174" t="s">
        <v>29</v>
      </c>
      <c r="J225" s="175">
        <v>44174</v>
      </c>
      <c r="K225" s="174">
        <v>149</v>
      </c>
      <c r="L225" s="176">
        <v>27.566666666666666</v>
      </c>
      <c r="M225" s="174" t="s">
        <v>89</v>
      </c>
      <c r="N225" s="174">
        <v>199</v>
      </c>
    </row>
    <row r="226" spans="1:45" s="174" customFormat="1" ht="35" customHeight="1">
      <c r="A226" s="174">
        <f>ROW()-2</f>
        <v>224</v>
      </c>
      <c r="B226" s="174" t="s">
        <v>14</v>
      </c>
      <c r="C226" s="174" t="s">
        <v>83</v>
      </c>
      <c r="D226" s="174" t="s">
        <v>119</v>
      </c>
      <c r="E226" s="174" t="s">
        <v>127</v>
      </c>
      <c r="F226" s="174" t="s">
        <v>461</v>
      </c>
      <c r="G226" s="174" t="s">
        <v>462</v>
      </c>
      <c r="H226" s="174" t="s">
        <v>463</v>
      </c>
      <c r="I226" s="174" t="s">
        <v>29</v>
      </c>
      <c r="J226" s="175">
        <v>44181</v>
      </c>
      <c r="K226" s="174">
        <v>40</v>
      </c>
      <c r="L226" s="176">
        <v>8.3127777777777769</v>
      </c>
      <c r="M226" s="174" t="s">
        <v>20</v>
      </c>
      <c r="N226" s="174">
        <v>99</v>
      </c>
    </row>
    <row r="227" spans="1:45" s="174" customFormat="1" ht="35" customHeight="1">
      <c r="A227" s="174">
        <f>ROW()-2</f>
        <v>225</v>
      </c>
      <c r="B227" s="174" t="s">
        <v>14</v>
      </c>
      <c r="C227" s="174" t="s">
        <v>83</v>
      </c>
      <c r="D227" s="174" t="s">
        <v>119</v>
      </c>
      <c r="E227" s="174" t="s">
        <v>127</v>
      </c>
      <c r="F227" s="174" t="s">
        <v>464</v>
      </c>
      <c r="G227" s="174" t="s">
        <v>465</v>
      </c>
      <c r="H227" s="174" t="s">
        <v>466</v>
      </c>
      <c r="I227" s="174" t="s">
        <v>29</v>
      </c>
      <c r="J227" s="175">
        <v>44181</v>
      </c>
      <c r="K227" s="174">
        <v>25</v>
      </c>
      <c r="L227" s="176">
        <v>5.2874999999999996</v>
      </c>
      <c r="M227" s="174" t="s">
        <v>20</v>
      </c>
      <c r="N227" s="174">
        <v>99</v>
      </c>
    </row>
    <row r="228" spans="1:45" s="174" customFormat="1" ht="35" customHeight="1">
      <c r="A228" s="174">
        <f>ROW()-2</f>
        <v>226</v>
      </c>
      <c r="B228" s="174" t="s">
        <v>14</v>
      </c>
      <c r="C228" s="174" t="s">
        <v>83</v>
      </c>
      <c r="D228" s="174" t="s">
        <v>119</v>
      </c>
      <c r="E228" s="174" t="s">
        <v>127</v>
      </c>
      <c r="F228" s="174" t="s">
        <v>477</v>
      </c>
      <c r="G228" s="174" t="s">
        <v>478</v>
      </c>
      <c r="H228" s="174" t="s">
        <v>479</v>
      </c>
      <c r="I228" s="174" t="s">
        <v>29</v>
      </c>
      <c r="J228" s="175">
        <v>44196</v>
      </c>
      <c r="K228" s="174">
        <v>18</v>
      </c>
      <c r="L228" s="176">
        <v>2.0013888888888891</v>
      </c>
      <c r="M228" s="174" t="s">
        <v>20</v>
      </c>
      <c r="N228" s="174">
        <v>69</v>
      </c>
    </row>
    <row r="229" spans="1:45" s="174" customFormat="1" ht="35" customHeight="1">
      <c r="A229" s="174">
        <f>ROW()-2</f>
        <v>227</v>
      </c>
      <c r="B229" s="174" t="s">
        <v>14</v>
      </c>
      <c r="C229" s="174" t="s">
        <v>83</v>
      </c>
      <c r="D229" s="174" t="s">
        <v>119</v>
      </c>
      <c r="E229" s="174" t="s">
        <v>127</v>
      </c>
      <c r="F229" s="174" t="s">
        <v>480</v>
      </c>
      <c r="G229" s="174" t="s">
        <v>481</v>
      </c>
      <c r="H229" s="174" t="s">
        <v>482</v>
      </c>
      <c r="I229" s="174" t="s">
        <v>29</v>
      </c>
      <c r="J229" s="175">
        <v>44196</v>
      </c>
      <c r="K229" s="174">
        <v>6</v>
      </c>
      <c r="L229" s="176">
        <v>1.645</v>
      </c>
      <c r="M229" s="174" t="s">
        <v>20</v>
      </c>
      <c r="N229" s="174">
        <v>9.9</v>
      </c>
      <c r="AQ229" s="181"/>
      <c r="AR229" s="181"/>
      <c r="AS229" s="181"/>
    </row>
    <row r="230" spans="1:45" s="174" customFormat="1" ht="35" customHeight="1">
      <c r="A230" s="181">
        <f>ROW()-2</f>
        <v>228</v>
      </c>
      <c r="B230" s="181" t="s">
        <v>14</v>
      </c>
      <c r="C230" s="181" t="s">
        <v>83</v>
      </c>
      <c r="D230" s="181" t="s">
        <v>119</v>
      </c>
      <c r="E230" s="181" t="s">
        <v>5355</v>
      </c>
      <c r="F230" s="181" t="s">
        <v>483</v>
      </c>
      <c r="G230" s="181" t="s">
        <v>484</v>
      </c>
      <c r="H230" s="181" t="s">
        <v>485</v>
      </c>
      <c r="I230" s="181" t="s">
        <v>29</v>
      </c>
      <c r="J230" s="177">
        <v>44200</v>
      </c>
      <c r="K230" s="181">
        <v>40</v>
      </c>
      <c r="L230" s="178">
        <v>8.0341666666666658</v>
      </c>
      <c r="M230" s="181" t="s">
        <v>20</v>
      </c>
      <c r="N230" s="181">
        <v>39</v>
      </c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  <c r="AC230" s="181"/>
      <c r="AD230" s="181"/>
      <c r="AE230" s="181"/>
      <c r="AF230" s="181"/>
      <c r="AG230" s="181"/>
      <c r="AH230" s="181"/>
      <c r="AI230" s="181"/>
      <c r="AJ230" s="181"/>
      <c r="AK230" s="181"/>
      <c r="AL230" s="181"/>
      <c r="AM230" s="181"/>
      <c r="AN230" s="181"/>
      <c r="AO230" s="181"/>
      <c r="AP230" s="181"/>
    </row>
    <row r="231" spans="1:45" s="174" customFormat="1" ht="35" customHeight="1">
      <c r="A231" s="174">
        <f>ROW()-2</f>
        <v>229</v>
      </c>
      <c r="B231" s="174" t="s">
        <v>14</v>
      </c>
      <c r="C231" s="174" t="s">
        <v>83</v>
      </c>
      <c r="D231" s="174" t="s">
        <v>119</v>
      </c>
      <c r="E231" s="174" t="s">
        <v>120</v>
      </c>
      <c r="F231" s="174" t="s">
        <v>486</v>
      </c>
      <c r="G231" s="174" t="s">
        <v>487</v>
      </c>
      <c r="H231" s="174" t="s">
        <v>488</v>
      </c>
      <c r="I231" s="174" t="s">
        <v>29</v>
      </c>
      <c r="J231" s="175">
        <v>44203</v>
      </c>
      <c r="K231" s="174">
        <v>201</v>
      </c>
      <c r="L231" s="176">
        <v>41.475000000000001</v>
      </c>
      <c r="M231" s="174" t="s">
        <v>20</v>
      </c>
      <c r="N231" s="174">
        <v>199</v>
      </c>
    </row>
    <row r="232" spans="1:45" s="174" customFormat="1" ht="35" customHeight="1">
      <c r="A232" s="174">
        <f>ROW()-2</f>
        <v>230</v>
      </c>
      <c r="B232" s="174" t="s">
        <v>14</v>
      </c>
      <c r="C232" s="174" t="s">
        <v>83</v>
      </c>
      <c r="D232" s="174" t="s">
        <v>119</v>
      </c>
      <c r="E232" s="174" t="s">
        <v>127</v>
      </c>
      <c r="F232" s="174" t="s">
        <v>489</v>
      </c>
      <c r="G232" s="174" t="s">
        <v>490</v>
      </c>
      <c r="H232" s="174" t="s">
        <v>491</v>
      </c>
      <c r="I232" s="174" t="s">
        <v>29</v>
      </c>
      <c r="J232" s="175">
        <v>44203</v>
      </c>
      <c r="K232" s="174">
        <v>162</v>
      </c>
      <c r="L232" s="176">
        <v>28.218333333333334</v>
      </c>
      <c r="M232" s="174" t="s">
        <v>20</v>
      </c>
      <c r="N232" s="174">
        <v>198</v>
      </c>
    </row>
    <row r="233" spans="1:45" s="174" customFormat="1" ht="35" customHeight="1">
      <c r="A233" s="174">
        <f>ROW()-2</f>
        <v>231</v>
      </c>
      <c r="B233" s="174" t="s">
        <v>14</v>
      </c>
      <c r="C233" s="174" t="s">
        <v>83</v>
      </c>
      <c r="D233" s="174" t="s">
        <v>119</v>
      </c>
      <c r="E233" s="174" t="s">
        <v>120</v>
      </c>
      <c r="F233" s="174" t="s">
        <v>498</v>
      </c>
      <c r="G233" s="174" t="s">
        <v>499</v>
      </c>
      <c r="H233" s="174" t="s">
        <v>500</v>
      </c>
      <c r="I233" s="174" t="s">
        <v>29</v>
      </c>
      <c r="J233" s="175">
        <v>44208</v>
      </c>
      <c r="K233" s="174">
        <v>101</v>
      </c>
      <c r="L233" s="176">
        <v>24.247777777777777</v>
      </c>
      <c r="M233" s="174" t="s">
        <v>20</v>
      </c>
      <c r="N233" s="174">
        <v>199</v>
      </c>
    </row>
    <row r="234" spans="1:45" s="174" customFormat="1" ht="35" customHeight="1">
      <c r="A234" s="174">
        <f>ROW()-2</f>
        <v>232</v>
      </c>
      <c r="B234" s="174" t="s">
        <v>14</v>
      </c>
      <c r="C234" s="174" t="s">
        <v>83</v>
      </c>
      <c r="D234" s="174" t="s">
        <v>119</v>
      </c>
      <c r="E234" s="174" t="s">
        <v>161</v>
      </c>
      <c r="F234" s="174" t="s">
        <v>495</v>
      </c>
      <c r="G234" s="174" t="s">
        <v>496</v>
      </c>
      <c r="H234" s="174" t="s">
        <v>497</v>
      </c>
      <c r="I234" s="174" t="s">
        <v>29</v>
      </c>
      <c r="J234" s="175">
        <v>44208</v>
      </c>
      <c r="K234" s="174">
        <v>46</v>
      </c>
      <c r="L234" s="176">
        <v>9.0722222222222229</v>
      </c>
      <c r="M234" s="174" t="s">
        <v>20</v>
      </c>
      <c r="N234" s="174">
        <v>199</v>
      </c>
    </row>
    <row r="235" spans="1:45" s="174" customFormat="1" ht="35" customHeight="1">
      <c r="A235" s="174">
        <f>ROW()-2</f>
        <v>233</v>
      </c>
      <c r="B235" s="174" t="s">
        <v>14</v>
      </c>
      <c r="C235" s="174" t="s">
        <v>83</v>
      </c>
      <c r="D235" s="174" t="s">
        <v>119</v>
      </c>
      <c r="E235" s="174" t="s">
        <v>120</v>
      </c>
      <c r="F235" s="174" t="s">
        <v>501</v>
      </c>
      <c r="G235" s="174" t="s">
        <v>502</v>
      </c>
      <c r="H235" s="174" t="s">
        <v>503</v>
      </c>
      <c r="I235" s="174" t="s">
        <v>29</v>
      </c>
      <c r="J235" s="175">
        <v>44215</v>
      </c>
      <c r="K235" s="174">
        <v>107</v>
      </c>
      <c r="L235" s="176">
        <v>28.764444444444443</v>
      </c>
      <c r="M235" s="174" t="s">
        <v>20</v>
      </c>
      <c r="N235" s="174">
        <v>199</v>
      </c>
    </row>
    <row r="236" spans="1:45" s="174" customFormat="1" ht="35" customHeight="1">
      <c r="A236" s="174">
        <f>ROW()-2</f>
        <v>234</v>
      </c>
      <c r="B236" s="174" t="s">
        <v>14</v>
      </c>
      <c r="C236" s="174" t="s">
        <v>83</v>
      </c>
      <c r="D236" s="174" t="s">
        <v>119</v>
      </c>
      <c r="E236" s="174" t="s">
        <v>120</v>
      </c>
      <c r="F236" s="174" t="s">
        <v>2546</v>
      </c>
      <c r="G236" s="174" t="s">
        <v>505</v>
      </c>
      <c r="H236" s="174" t="s">
        <v>506</v>
      </c>
      <c r="I236" s="174" t="s">
        <v>29</v>
      </c>
      <c r="J236" s="175">
        <v>44216</v>
      </c>
      <c r="K236" s="174">
        <v>100</v>
      </c>
      <c r="L236" s="176">
        <v>25.008611111111112</v>
      </c>
      <c r="M236" s="174" t="s">
        <v>20</v>
      </c>
      <c r="N236" s="174">
        <v>199</v>
      </c>
    </row>
    <row r="237" spans="1:45" s="174" customFormat="1" ht="35" customHeight="1">
      <c r="A237" s="174">
        <f>ROW()-2</f>
        <v>235</v>
      </c>
      <c r="B237" s="174" t="s">
        <v>14</v>
      </c>
      <c r="C237" s="174" t="s">
        <v>83</v>
      </c>
      <c r="D237" s="174" t="s">
        <v>119</v>
      </c>
      <c r="E237" s="174" t="s">
        <v>120</v>
      </c>
      <c r="F237" s="174" t="s">
        <v>522</v>
      </c>
      <c r="G237" s="174" t="s">
        <v>523</v>
      </c>
      <c r="H237" s="174" t="s">
        <v>524</v>
      </c>
      <c r="I237" s="174" t="s">
        <v>29</v>
      </c>
      <c r="J237" s="175">
        <v>44263</v>
      </c>
      <c r="K237" s="174">
        <v>268</v>
      </c>
      <c r="L237" s="176">
        <v>82.270555555555561</v>
      </c>
      <c r="M237" s="174" t="s">
        <v>20</v>
      </c>
      <c r="N237" s="174">
        <v>199</v>
      </c>
    </row>
    <row r="238" spans="1:45" s="174" customFormat="1" ht="35" customHeight="1">
      <c r="A238" s="174">
        <f>ROW()-2</f>
        <v>236</v>
      </c>
      <c r="B238" s="174" t="s">
        <v>14</v>
      </c>
      <c r="C238" s="174" t="s">
        <v>83</v>
      </c>
      <c r="D238" s="174" t="s">
        <v>119</v>
      </c>
      <c r="E238" s="174" t="s">
        <v>120</v>
      </c>
      <c r="F238" s="174" t="s">
        <v>527</v>
      </c>
      <c r="G238" s="174" t="s">
        <v>528</v>
      </c>
      <c r="H238" s="174" t="s">
        <v>529</v>
      </c>
      <c r="I238" s="174" t="s">
        <v>29</v>
      </c>
      <c r="J238" s="175">
        <v>44270</v>
      </c>
      <c r="K238" s="174">
        <v>151</v>
      </c>
      <c r="L238" s="176">
        <v>25.923611111111111</v>
      </c>
      <c r="M238" s="174" t="s">
        <v>20</v>
      </c>
      <c r="N238" s="174">
        <v>199</v>
      </c>
    </row>
    <row r="239" spans="1:45" s="174" customFormat="1" ht="35" customHeight="1">
      <c r="A239" s="174">
        <f>ROW()-2</f>
        <v>237</v>
      </c>
      <c r="B239" s="174" t="s">
        <v>14</v>
      </c>
      <c r="C239" s="174" t="s">
        <v>83</v>
      </c>
      <c r="D239" s="174" t="s">
        <v>119</v>
      </c>
      <c r="E239" s="174" t="s">
        <v>120</v>
      </c>
      <c r="F239" s="174" t="s">
        <v>536</v>
      </c>
      <c r="G239" s="174" t="s">
        <v>537</v>
      </c>
      <c r="H239" s="174" t="s">
        <v>538</v>
      </c>
      <c r="I239" s="174" t="s">
        <v>29</v>
      </c>
      <c r="J239" s="175">
        <v>44273</v>
      </c>
      <c r="K239" s="174">
        <v>504</v>
      </c>
      <c r="L239" s="176">
        <v>113.39777777777778</v>
      </c>
      <c r="M239" s="174" t="s">
        <v>20</v>
      </c>
      <c r="N239" s="174">
        <v>199</v>
      </c>
    </row>
    <row r="240" spans="1:45" s="174" customFormat="1" ht="35" customHeight="1">
      <c r="A240" s="174">
        <f>ROW()-2</f>
        <v>238</v>
      </c>
      <c r="B240" s="174" t="s">
        <v>14</v>
      </c>
      <c r="C240" s="174" t="s">
        <v>83</v>
      </c>
      <c r="D240" s="174" t="s">
        <v>119</v>
      </c>
      <c r="E240" s="174" t="s">
        <v>127</v>
      </c>
      <c r="F240" s="174" t="s">
        <v>549</v>
      </c>
      <c r="G240" s="174" t="s">
        <v>550</v>
      </c>
      <c r="H240" s="174" t="s">
        <v>551</v>
      </c>
      <c r="I240" s="174" t="s">
        <v>29</v>
      </c>
      <c r="J240" s="175">
        <v>44307</v>
      </c>
      <c r="K240" s="174">
        <v>20</v>
      </c>
      <c r="L240" s="176">
        <v>3.2374999999999998</v>
      </c>
      <c r="M240" s="174" t="s">
        <v>20</v>
      </c>
      <c r="N240" s="174">
        <v>99</v>
      </c>
    </row>
    <row r="241" spans="1:45" s="174" customFormat="1" ht="35" customHeight="1">
      <c r="A241" s="174">
        <f>ROW()-2</f>
        <v>239</v>
      </c>
      <c r="B241" s="174" t="s">
        <v>14</v>
      </c>
      <c r="C241" s="174" t="s">
        <v>83</v>
      </c>
      <c r="D241" s="174" t="s">
        <v>119</v>
      </c>
      <c r="E241" s="174" t="s">
        <v>127</v>
      </c>
      <c r="F241" s="174" t="s">
        <v>552</v>
      </c>
      <c r="G241" s="174" t="s">
        <v>553</v>
      </c>
      <c r="H241" s="174" t="s">
        <v>554</v>
      </c>
      <c r="I241" s="174" t="s">
        <v>29</v>
      </c>
      <c r="J241" s="175">
        <v>44307</v>
      </c>
      <c r="K241" s="174">
        <v>17</v>
      </c>
      <c r="L241" s="176">
        <v>2.8811111111111112</v>
      </c>
      <c r="M241" s="174" t="s">
        <v>20</v>
      </c>
      <c r="N241" s="174">
        <v>69</v>
      </c>
    </row>
    <row r="242" spans="1:45" s="174" customFormat="1" ht="35" customHeight="1">
      <c r="A242" s="174">
        <f>ROW()-2</f>
        <v>240</v>
      </c>
      <c r="B242" s="174" t="s">
        <v>14</v>
      </c>
      <c r="C242" s="174" t="s">
        <v>83</v>
      </c>
      <c r="D242" s="174" t="s">
        <v>119</v>
      </c>
      <c r="E242" s="174" t="s">
        <v>161</v>
      </c>
      <c r="F242" s="174" t="s">
        <v>555</v>
      </c>
      <c r="G242" s="174" t="s">
        <v>556</v>
      </c>
      <c r="H242" s="174" t="s">
        <v>557</v>
      </c>
      <c r="I242" s="174" t="s">
        <v>29</v>
      </c>
      <c r="J242" s="175">
        <v>44322</v>
      </c>
      <c r="K242" s="174">
        <v>80</v>
      </c>
      <c r="L242" s="176">
        <v>15.204722222222221</v>
      </c>
      <c r="M242" s="174" t="s">
        <v>20</v>
      </c>
      <c r="N242" s="174">
        <v>199</v>
      </c>
    </row>
    <row r="243" spans="1:45" s="174" customFormat="1" ht="35" customHeight="1">
      <c r="A243" s="174">
        <f>ROW()-2</f>
        <v>241</v>
      </c>
      <c r="B243" s="174" t="s">
        <v>14</v>
      </c>
      <c r="C243" s="174" t="s">
        <v>83</v>
      </c>
      <c r="D243" s="174" t="s">
        <v>119</v>
      </c>
      <c r="E243" s="174" t="s">
        <v>161</v>
      </c>
      <c r="F243" s="174" t="s">
        <v>579</v>
      </c>
      <c r="G243" s="174" t="s">
        <v>579</v>
      </c>
      <c r="H243" s="174" t="s">
        <v>580</v>
      </c>
      <c r="I243" s="174" t="s">
        <v>29</v>
      </c>
      <c r="J243" s="175">
        <v>44349</v>
      </c>
      <c r="K243" s="174">
        <v>13</v>
      </c>
      <c r="L243" s="176">
        <v>1.9855555555555555</v>
      </c>
      <c r="M243" s="174" t="s">
        <v>20</v>
      </c>
      <c r="N243" s="174">
        <v>19.899999999999999</v>
      </c>
    </row>
    <row r="244" spans="1:45" s="174" customFormat="1" ht="35" customHeight="1">
      <c r="A244" s="174">
        <f>ROW()-2</f>
        <v>242</v>
      </c>
      <c r="B244" s="174" t="s">
        <v>14</v>
      </c>
      <c r="C244" s="174" t="s">
        <v>83</v>
      </c>
      <c r="D244" s="174" t="s">
        <v>119</v>
      </c>
      <c r="E244" s="174" t="s">
        <v>161</v>
      </c>
      <c r="F244" s="174" t="s">
        <v>581</v>
      </c>
      <c r="G244" s="174" t="s">
        <v>582</v>
      </c>
      <c r="H244" s="174" t="s">
        <v>354</v>
      </c>
      <c r="I244" s="174" t="s">
        <v>29</v>
      </c>
      <c r="J244" s="175">
        <v>44369</v>
      </c>
      <c r="K244" s="174">
        <v>9</v>
      </c>
      <c r="L244" s="176">
        <v>4.5005555555555556</v>
      </c>
      <c r="M244" s="174" t="s">
        <v>89</v>
      </c>
      <c r="N244" s="174">
        <v>0.9</v>
      </c>
    </row>
    <row r="245" spans="1:45" s="174" customFormat="1" ht="35" customHeight="1">
      <c r="A245" s="174">
        <f>ROW()-2</f>
        <v>243</v>
      </c>
      <c r="B245" s="174" t="s">
        <v>14</v>
      </c>
      <c r="C245" s="174" t="s">
        <v>83</v>
      </c>
      <c r="D245" s="174" t="s">
        <v>119</v>
      </c>
      <c r="E245" s="174" t="s">
        <v>120</v>
      </c>
      <c r="F245" s="174" t="s">
        <v>583</v>
      </c>
      <c r="G245" s="174" t="s">
        <v>584</v>
      </c>
      <c r="H245" s="174" t="s">
        <v>585</v>
      </c>
      <c r="I245" s="174" t="s">
        <v>29</v>
      </c>
      <c r="J245" s="175">
        <v>44369</v>
      </c>
      <c r="K245" s="174">
        <v>182</v>
      </c>
      <c r="L245" s="176">
        <v>42.84</v>
      </c>
      <c r="M245" s="174" t="s">
        <v>89</v>
      </c>
      <c r="N245" s="174">
        <v>199</v>
      </c>
    </row>
    <row r="246" spans="1:45" s="174" customFormat="1" ht="35" customHeight="1">
      <c r="A246" s="174">
        <f>ROW()-2</f>
        <v>244</v>
      </c>
      <c r="B246" s="174" t="s">
        <v>14</v>
      </c>
      <c r="C246" s="174" t="s">
        <v>83</v>
      </c>
      <c r="D246" s="174" t="s">
        <v>119</v>
      </c>
      <c r="E246" s="174" t="s">
        <v>127</v>
      </c>
      <c r="F246" s="174" t="s">
        <v>589</v>
      </c>
      <c r="G246" s="174" t="s">
        <v>590</v>
      </c>
      <c r="H246" s="174" t="s">
        <v>591</v>
      </c>
      <c r="I246" s="174" t="s">
        <v>29</v>
      </c>
      <c r="J246" s="175">
        <v>44377</v>
      </c>
      <c r="K246" s="174">
        <v>20</v>
      </c>
      <c r="L246" s="176">
        <v>3.6844444444444444</v>
      </c>
      <c r="M246" s="174" t="s">
        <v>20</v>
      </c>
      <c r="N246" s="174">
        <v>99</v>
      </c>
    </row>
    <row r="247" spans="1:45" s="174" customFormat="1" ht="35" customHeight="1">
      <c r="A247" s="174">
        <f>ROW()-2</f>
        <v>245</v>
      </c>
      <c r="B247" s="174" t="s">
        <v>14</v>
      </c>
      <c r="C247" s="174" t="s">
        <v>83</v>
      </c>
      <c r="D247" s="174" t="s">
        <v>119</v>
      </c>
      <c r="E247" s="174" t="s">
        <v>127</v>
      </c>
      <c r="F247" s="174" t="s">
        <v>594</v>
      </c>
      <c r="G247" s="174" t="s">
        <v>595</v>
      </c>
      <c r="H247" s="174" t="s">
        <v>482</v>
      </c>
      <c r="I247" s="174" t="s">
        <v>29</v>
      </c>
      <c r="J247" s="175">
        <v>44400</v>
      </c>
      <c r="K247" s="174">
        <v>54</v>
      </c>
      <c r="L247" s="176">
        <v>13.021111111111111</v>
      </c>
      <c r="M247" s="174" t="s">
        <v>20</v>
      </c>
      <c r="N247" s="174">
        <v>88</v>
      </c>
    </row>
    <row r="248" spans="1:45" s="174" customFormat="1" ht="35" customHeight="1">
      <c r="A248" s="174">
        <f>ROW()-2</f>
        <v>246</v>
      </c>
      <c r="B248" s="174" t="s">
        <v>14</v>
      </c>
      <c r="C248" s="174" t="s">
        <v>83</v>
      </c>
      <c r="D248" s="174" t="s">
        <v>119</v>
      </c>
      <c r="E248" s="174" t="s">
        <v>127</v>
      </c>
      <c r="F248" s="174" t="s">
        <v>604</v>
      </c>
      <c r="G248" s="174" t="s">
        <v>605</v>
      </c>
      <c r="H248" s="174" t="s">
        <v>606</v>
      </c>
      <c r="I248" s="174" t="s">
        <v>17</v>
      </c>
      <c r="J248" s="175">
        <v>44406</v>
      </c>
      <c r="K248" s="174">
        <v>18</v>
      </c>
      <c r="L248" s="176">
        <v>2.6752777777777776</v>
      </c>
      <c r="M248" s="174" t="s">
        <v>20</v>
      </c>
      <c r="N248" s="174">
        <v>198</v>
      </c>
    </row>
    <row r="249" spans="1:45" s="174" customFormat="1" ht="35" customHeight="1">
      <c r="A249" s="174">
        <f>ROW()-2</f>
        <v>247</v>
      </c>
      <c r="B249" s="174" t="s">
        <v>14</v>
      </c>
      <c r="C249" s="174" t="s">
        <v>83</v>
      </c>
      <c r="D249" s="174" t="s">
        <v>119</v>
      </c>
      <c r="E249" s="174" t="s">
        <v>342</v>
      </c>
      <c r="F249" s="174" t="s">
        <v>615</v>
      </c>
      <c r="G249" s="174" t="s">
        <v>616</v>
      </c>
      <c r="H249" s="174" t="s">
        <v>617</v>
      </c>
      <c r="I249" s="174" t="s">
        <v>29</v>
      </c>
      <c r="J249" s="175">
        <v>44423</v>
      </c>
      <c r="K249" s="174">
        <v>26</v>
      </c>
      <c r="L249" s="176">
        <v>5.2538888888888886</v>
      </c>
      <c r="M249" s="174" t="s">
        <v>89</v>
      </c>
      <c r="N249" s="174">
        <v>399</v>
      </c>
    </row>
    <row r="250" spans="1:45" s="174" customFormat="1" ht="35" customHeight="1">
      <c r="A250" s="174">
        <f>ROW()-2</f>
        <v>248</v>
      </c>
      <c r="B250" s="174" t="s">
        <v>14</v>
      </c>
      <c r="C250" s="174" t="s">
        <v>83</v>
      </c>
      <c r="D250" s="174" t="s">
        <v>119</v>
      </c>
      <c r="E250" s="174" t="s">
        <v>120</v>
      </c>
      <c r="F250" s="174" t="s">
        <v>2487</v>
      </c>
      <c r="G250" s="174" t="s">
        <v>618</v>
      </c>
      <c r="H250" s="174" t="s">
        <v>619</v>
      </c>
      <c r="I250" s="174" t="s">
        <v>29</v>
      </c>
      <c r="J250" s="175">
        <v>44426</v>
      </c>
      <c r="K250" s="174">
        <v>137</v>
      </c>
      <c r="L250" s="176">
        <v>27.256944444444443</v>
      </c>
      <c r="M250" s="174" t="s">
        <v>20</v>
      </c>
      <c r="N250" s="174">
        <v>128</v>
      </c>
    </row>
    <row r="251" spans="1:45" s="181" customFormat="1" ht="35" customHeight="1">
      <c r="A251" s="174">
        <f>ROW()-2</f>
        <v>249</v>
      </c>
      <c r="B251" s="174" t="s">
        <v>14</v>
      </c>
      <c r="C251" s="174" t="s">
        <v>83</v>
      </c>
      <c r="D251" s="174" t="s">
        <v>119</v>
      </c>
      <c r="E251" s="174" t="s">
        <v>127</v>
      </c>
      <c r="F251" s="174" t="s">
        <v>2550</v>
      </c>
      <c r="G251" s="174" t="s">
        <v>627</v>
      </c>
      <c r="H251" s="174" t="s">
        <v>628</v>
      </c>
      <c r="I251" s="174" t="s">
        <v>29</v>
      </c>
      <c r="J251" s="175">
        <v>44444</v>
      </c>
      <c r="K251" s="174">
        <v>28</v>
      </c>
      <c r="L251" s="176">
        <v>9.5430555555555561</v>
      </c>
      <c r="M251" s="174" t="s">
        <v>20</v>
      </c>
      <c r="N251" s="174">
        <v>399</v>
      </c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  <c r="AL251" s="174"/>
      <c r="AM251" s="174"/>
      <c r="AN251" s="174"/>
      <c r="AO251" s="174"/>
      <c r="AP251" s="174"/>
      <c r="AQ251" s="174"/>
      <c r="AR251" s="174"/>
      <c r="AS251" s="174"/>
    </row>
    <row r="252" spans="1:45" s="174" customFormat="1" ht="35" customHeight="1">
      <c r="A252" s="174">
        <f>ROW()-2</f>
        <v>250</v>
      </c>
      <c r="B252" s="174" t="s">
        <v>14</v>
      </c>
      <c r="C252" s="174" t="s">
        <v>83</v>
      </c>
      <c r="D252" s="174" t="s">
        <v>119</v>
      </c>
      <c r="E252" s="174" t="s">
        <v>120</v>
      </c>
      <c r="F252" s="174" t="s">
        <v>638</v>
      </c>
      <c r="G252" s="174" t="s">
        <v>639</v>
      </c>
      <c r="H252" s="174" t="s">
        <v>640</v>
      </c>
      <c r="I252" s="174" t="s">
        <v>29</v>
      </c>
      <c r="J252" s="175">
        <v>44467</v>
      </c>
      <c r="K252" s="174">
        <v>292</v>
      </c>
      <c r="L252" s="176">
        <v>90.08</v>
      </c>
      <c r="M252" s="174" t="s">
        <v>89</v>
      </c>
      <c r="N252" s="174">
        <v>259</v>
      </c>
    </row>
    <row r="253" spans="1:45" s="174" customFormat="1" ht="35" customHeight="1">
      <c r="A253" s="174">
        <f>ROW()-2</f>
        <v>251</v>
      </c>
      <c r="B253" s="174" t="s">
        <v>14</v>
      </c>
      <c r="C253" s="174" t="s">
        <v>83</v>
      </c>
      <c r="D253" s="174" t="s">
        <v>119</v>
      </c>
      <c r="E253" s="174" t="s">
        <v>127</v>
      </c>
      <c r="F253" s="174" t="s">
        <v>2551</v>
      </c>
      <c r="G253" s="174" t="s">
        <v>643</v>
      </c>
      <c r="H253" s="174" t="s">
        <v>61</v>
      </c>
      <c r="I253" s="174" t="s">
        <v>17</v>
      </c>
      <c r="J253" s="175">
        <v>44477</v>
      </c>
      <c r="K253" s="174">
        <v>7</v>
      </c>
      <c r="L253" s="176">
        <v>1.0572222222222223</v>
      </c>
      <c r="M253" s="174" t="s">
        <v>20</v>
      </c>
      <c r="N253" s="174">
        <v>99</v>
      </c>
    </row>
    <row r="254" spans="1:45" s="174" customFormat="1" ht="35" customHeight="1">
      <c r="A254" s="174">
        <f>ROW()-2</f>
        <v>252</v>
      </c>
      <c r="B254" s="174" t="s">
        <v>14</v>
      </c>
      <c r="C254" s="174" t="s">
        <v>83</v>
      </c>
      <c r="D254" s="174" t="s">
        <v>119</v>
      </c>
      <c r="E254" s="174" t="s">
        <v>127</v>
      </c>
      <c r="F254" s="174" t="s">
        <v>650</v>
      </c>
      <c r="G254" s="174" t="s">
        <v>651</v>
      </c>
      <c r="H254" s="174" t="s">
        <v>628</v>
      </c>
      <c r="I254" s="174" t="s">
        <v>29</v>
      </c>
      <c r="J254" s="175">
        <v>44487</v>
      </c>
      <c r="K254" s="174">
        <v>31</v>
      </c>
      <c r="L254" s="176">
        <v>10.265000000000001</v>
      </c>
      <c r="M254" s="174" t="s">
        <v>20</v>
      </c>
      <c r="N254" s="174">
        <v>498</v>
      </c>
    </row>
    <row r="255" spans="1:45" s="174" customFormat="1" ht="35" customHeight="1">
      <c r="A255" s="174">
        <f>ROW()-2</f>
        <v>253</v>
      </c>
      <c r="B255" s="174" t="s">
        <v>14</v>
      </c>
      <c r="C255" s="174" t="s">
        <v>83</v>
      </c>
      <c r="D255" s="174" t="s">
        <v>119</v>
      </c>
      <c r="E255" s="174" t="s">
        <v>120</v>
      </c>
      <c r="F255" s="174" t="s">
        <v>660</v>
      </c>
      <c r="G255" s="174" t="s">
        <v>660</v>
      </c>
      <c r="H255" s="174" t="s">
        <v>661</v>
      </c>
      <c r="I255" s="174" t="s">
        <v>29</v>
      </c>
      <c r="J255" s="175">
        <v>44501</v>
      </c>
      <c r="K255" s="174">
        <v>229</v>
      </c>
      <c r="L255" s="176">
        <v>51.268888888888888</v>
      </c>
      <c r="M255" s="174" t="s">
        <v>89</v>
      </c>
      <c r="N255" s="174">
        <v>199</v>
      </c>
    </row>
    <row r="256" spans="1:45" s="174" customFormat="1" ht="35" customHeight="1">
      <c r="A256" s="181">
        <f>ROW()-2</f>
        <v>254</v>
      </c>
      <c r="B256" s="181" t="s">
        <v>14</v>
      </c>
      <c r="C256" s="181" t="s">
        <v>2634</v>
      </c>
      <c r="D256" s="181" t="s">
        <v>5356</v>
      </c>
      <c r="E256" s="181" t="s">
        <v>5355</v>
      </c>
      <c r="F256" s="181" t="s">
        <v>1573</v>
      </c>
      <c r="G256" s="181" t="s">
        <v>1573</v>
      </c>
      <c r="H256" s="181" t="s">
        <v>1574</v>
      </c>
      <c r="I256" s="181" t="s">
        <v>29</v>
      </c>
      <c r="J256" s="177">
        <v>44504</v>
      </c>
      <c r="K256" s="181">
        <v>56</v>
      </c>
      <c r="L256" s="179">
        <v>9.3000000000000007</v>
      </c>
      <c r="M256" s="181" t="s">
        <v>30</v>
      </c>
      <c r="N256" s="181">
        <v>199</v>
      </c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  <c r="AD256" s="181"/>
      <c r="AE256" s="181"/>
      <c r="AF256" s="181"/>
      <c r="AG256" s="181"/>
      <c r="AH256" s="181"/>
      <c r="AI256" s="181"/>
      <c r="AJ256" s="181"/>
      <c r="AK256" s="181"/>
      <c r="AL256" s="181"/>
      <c r="AM256" s="181"/>
      <c r="AN256" s="181"/>
      <c r="AO256" s="181"/>
      <c r="AP256" s="181"/>
    </row>
    <row r="257" spans="1:45" s="174" customFormat="1" ht="35" customHeight="1">
      <c r="A257" s="174">
        <f>ROW()-2</f>
        <v>255</v>
      </c>
      <c r="B257" s="174" t="s">
        <v>14</v>
      </c>
      <c r="C257" s="174" t="s">
        <v>83</v>
      </c>
      <c r="D257" s="174" t="s">
        <v>119</v>
      </c>
      <c r="E257" s="174" t="s">
        <v>127</v>
      </c>
      <c r="F257" s="174" t="s">
        <v>2488</v>
      </c>
      <c r="G257" s="174" t="s">
        <v>672</v>
      </c>
      <c r="H257" s="174" t="s">
        <v>673</v>
      </c>
      <c r="I257" s="174" t="s">
        <v>29</v>
      </c>
      <c r="J257" s="175">
        <v>44532</v>
      </c>
      <c r="K257" s="174">
        <v>25</v>
      </c>
      <c r="L257" s="176">
        <v>7.8844444444444441</v>
      </c>
      <c r="M257" s="174" t="s">
        <v>20</v>
      </c>
      <c r="N257" s="174">
        <v>98</v>
      </c>
    </row>
    <row r="258" spans="1:45" s="174" customFormat="1" ht="35" customHeight="1">
      <c r="A258" s="174">
        <f>ROW()-2</f>
        <v>256</v>
      </c>
      <c r="B258" s="174" t="s">
        <v>14</v>
      </c>
      <c r="C258" s="174" t="s">
        <v>83</v>
      </c>
      <c r="D258" s="174" t="s">
        <v>119</v>
      </c>
      <c r="E258" s="174" t="s">
        <v>127</v>
      </c>
      <c r="F258" s="174" t="s">
        <v>2554</v>
      </c>
      <c r="G258" s="174" t="s">
        <v>687</v>
      </c>
      <c r="H258" s="174" t="s">
        <v>688</v>
      </c>
      <c r="I258" s="174" t="s">
        <v>29</v>
      </c>
      <c r="J258" s="175">
        <v>44538</v>
      </c>
      <c r="K258" s="174">
        <v>21</v>
      </c>
      <c r="L258" s="176">
        <v>3.2141666666666668</v>
      </c>
      <c r="M258" s="174" t="s">
        <v>20</v>
      </c>
      <c r="N258" s="174">
        <v>99</v>
      </c>
    </row>
    <row r="259" spans="1:45" s="174" customFormat="1" ht="35" customHeight="1">
      <c r="A259" s="174">
        <f>ROW()-2</f>
        <v>257</v>
      </c>
      <c r="B259" s="174" t="s">
        <v>14</v>
      </c>
      <c r="C259" s="174" t="s">
        <v>83</v>
      </c>
      <c r="D259" s="174" t="s">
        <v>119</v>
      </c>
      <c r="E259" s="174" t="s">
        <v>127</v>
      </c>
      <c r="F259" s="174" t="s">
        <v>2489</v>
      </c>
      <c r="G259" s="174" t="s">
        <v>2489</v>
      </c>
      <c r="H259" s="174" t="s">
        <v>2490</v>
      </c>
      <c r="I259" s="174" t="s">
        <v>29</v>
      </c>
      <c r="J259" s="175">
        <v>44538</v>
      </c>
      <c r="K259" s="174">
        <v>21</v>
      </c>
      <c r="L259" s="176">
        <v>2.7238888888888888</v>
      </c>
      <c r="M259" s="174" t="s">
        <v>20</v>
      </c>
    </row>
    <row r="260" spans="1:45" s="174" customFormat="1" ht="35" customHeight="1">
      <c r="A260" s="174">
        <f>ROW()-2</f>
        <v>258</v>
      </c>
      <c r="B260" s="174" t="s">
        <v>14</v>
      </c>
      <c r="C260" s="174" t="s">
        <v>83</v>
      </c>
      <c r="D260" s="174" t="s">
        <v>119</v>
      </c>
      <c r="E260" s="174" t="s">
        <v>161</v>
      </c>
      <c r="F260" s="174" t="s">
        <v>2687</v>
      </c>
      <c r="G260" s="174" t="s">
        <v>699</v>
      </c>
      <c r="H260" s="174" t="s">
        <v>700</v>
      </c>
      <c r="I260" s="174" t="s">
        <v>29</v>
      </c>
      <c r="J260" s="175">
        <v>44554</v>
      </c>
      <c r="K260" s="174">
        <v>27</v>
      </c>
      <c r="L260" s="176">
        <v>2.9252777777777776</v>
      </c>
      <c r="M260" s="174" t="s">
        <v>20</v>
      </c>
    </row>
    <row r="261" spans="1:45" s="174" customFormat="1" ht="35" customHeight="1">
      <c r="A261" s="174">
        <f>ROW()-2</f>
        <v>259</v>
      </c>
      <c r="B261" s="174" t="s">
        <v>14</v>
      </c>
      <c r="C261" s="174" t="s">
        <v>83</v>
      </c>
      <c r="D261" s="174" t="s">
        <v>119</v>
      </c>
      <c r="E261" s="174" t="s">
        <v>120</v>
      </c>
      <c r="F261" s="174" t="s">
        <v>2688</v>
      </c>
      <c r="G261" s="174" t="s">
        <v>710</v>
      </c>
      <c r="H261" s="174" t="s">
        <v>711</v>
      </c>
      <c r="I261" s="174" t="s">
        <v>29</v>
      </c>
      <c r="J261" s="175">
        <v>44555</v>
      </c>
      <c r="K261" s="174">
        <v>89</v>
      </c>
      <c r="L261" s="176">
        <v>7.9705555555555554</v>
      </c>
      <c r="M261" s="174" t="s">
        <v>20</v>
      </c>
      <c r="AQ261" s="181"/>
      <c r="AR261" s="181"/>
      <c r="AS261" s="181"/>
    </row>
    <row r="262" spans="1:45" s="174" customFormat="1" ht="35" customHeight="1">
      <c r="A262" s="174">
        <f>ROW()-2</f>
        <v>260</v>
      </c>
      <c r="B262" s="174" t="s">
        <v>14</v>
      </c>
      <c r="C262" s="174" t="s">
        <v>83</v>
      </c>
      <c r="D262" s="174" t="s">
        <v>119</v>
      </c>
      <c r="E262" s="174" t="s">
        <v>161</v>
      </c>
      <c r="F262" s="174" t="s">
        <v>712</v>
      </c>
      <c r="G262" s="174" t="s">
        <v>712</v>
      </c>
      <c r="H262" s="174" t="s">
        <v>713</v>
      </c>
      <c r="I262" s="174" t="s">
        <v>29</v>
      </c>
      <c r="J262" s="175">
        <v>44557</v>
      </c>
      <c r="K262" s="174">
        <v>12</v>
      </c>
      <c r="L262" s="176">
        <v>2.6641666666666666</v>
      </c>
      <c r="M262" s="174" t="s">
        <v>89</v>
      </c>
      <c r="N262" s="174">
        <v>89</v>
      </c>
    </row>
    <row r="263" spans="1:45" s="174" customFormat="1" ht="35" customHeight="1">
      <c r="A263" s="181">
        <f>ROW()-2</f>
        <v>261</v>
      </c>
      <c r="B263" s="181" t="s">
        <v>14</v>
      </c>
      <c r="C263" s="181" t="s">
        <v>83</v>
      </c>
      <c r="D263" s="181" t="s">
        <v>119</v>
      </c>
      <c r="E263" s="181" t="s">
        <v>5355</v>
      </c>
      <c r="F263" s="181" t="s">
        <v>2643</v>
      </c>
      <c r="G263" s="181" t="s">
        <v>2497</v>
      </c>
      <c r="H263" s="181" t="s">
        <v>2498</v>
      </c>
      <c r="I263" s="181" t="s">
        <v>29</v>
      </c>
      <c r="J263" s="177">
        <v>44559</v>
      </c>
      <c r="K263" s="181">
        <v>13</v>
      </c>
      <c r="L263" s="178">
        <v>1.3186111111111112</v>
      </c>
      <c r="M263" s="181" t="s">
        <v>2644</v>
      </c>
      <c r="N263" s="181">
        <v>199</v>
      </c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81"/>
      <c r="AJ263" s="181"/>
      <c r="AK263" s="181"/>
      <c r="AL263" s="181"/>
      <c r="AM263" s="181"/>
      <c r="AN263" s="181"/>
      <c r="AO263" s="181"/>
      <c r="AP263" s="181"/>
    </row>
    <row r="264" spans="1:45" s="174" customFormat="1" ht="35" customHeight="1">
      <c r="A264" s="174">
        <f>ROW()-2</f>
        <v>262</v>
      </c>
      <c r="B264" s="174" t="s">
        <v>14</v>
      </c>
      <c r="C264" s="174" t="s">
        <v>83</v>
      </c>
      <c r="D264" s="174" t="s">
        <v>119</v>
      </c>
      <c r="E264" s="174" t="s">
        <v>342</v>
      </c>
      <c r="F264" s="174" t="s">
        <v>725</v>
      </c>
      <c r="G264" s="174" t="s">
        <v>725</v>
      </c>
      <c r="H264" s="174" t="s">
        <v>42</v>
      </c>
      <c r="I264" s="174" t="s">
        <v>17</v>
      </c>
      <c r="J264" s="175">
        <v>44562</v>
      </c>
      <c r="K264" s="174">
        <v>14</v>
      </c>
      <c r="L264" s="176">
        <v>3.855</v>
      </c>
      <c r="M264" s="174" t="s">
        <v>20</v>
      </c>
      <c r="N264" s="174">
        <v>99</v>
      </c>
    </row>
    <row r="265" spans="1:45" s="174" customFormat="1" ht="35" customHeight="1">
      <c r="A265" s="174">
        <f>ROW()-2</f>
        <v>263</v>
      </c>
      <c r="B265" s="174" t="s">
        <v>14</v>
      </c>
      <c r="C265" s="174" t="s">
        <v>83</v>
      </c>
      <c r="D265" s="174" t="s">
        <v>119</v>
      </c>
      <c r="E265" s="174" t="s">
        <v>120</v>
      </c>
      <c r="F265" s="174" t="s">
        <v>728</v>
      </c>
      <c r="G265" s="174" t="s">
        <v>729</v>
      </c>
      <c r="H265" s="174" t="s">
        <v>619</v>
      </c>
      <c r="I265" s="174" t="s">
        <v>29</v>
      </c>
      <c r="J265" s="175">
        <v>44565</v>
      </c>
      <c r="K265" s="174">
        <v>134</v>
      </c>
      <c r="L265" s="176">
        <v>22.170555555555556</v>
      </c>
      <c r="M265" s="174" t="s">
        <v>20</v>
      </c>
      <c r="N265" s="174">
        <v>98</v>
      </c>
    </row>
    <row r="266" spans="1:45" s="174" customFormat="1" ht="35" customHeight="1">
      <c r="A266" s="174">
        <f>ROW()-2</f>
        <v>264</v>
      </c>
      <c r="B266" s="174" t="s">
        <v>14</v>
      </c>
      <c r="C266" s="174" t="s">
        <v>83</v>
      </c>
      <c r="D266" s="174" t="s">
        <v>119</v>
      </c>
      <c r="E266" s="174" t="s">
        <v>120</v>
      </c>
      <c r="F266" s="174" t="s">
        <v>2499</v>
      </c>
      <c r="G266" s="174" t="s">
        <v>731</v>
      </c>
      <c r="H266" s="174" t="s">
        <v>619</v>
      </c>
      <c r="I266" s="174" t="s">
        <v>29</v>
      </c>
      <c r="J266" s="175">
        <v>44571</v>
      </c>
      <c r="K266" s="174">
        <v>84</v>
      </c>
      <c r="L266" s="176">
        <v>16.908055555555556</v>
      </c>
      <c r="M266" s="174" t="s">
        <v>89</v>
      </c>
      <c r="N266" s="174">
        <v>98</v>
      </c>
    </row>
    <row r="267" spans="1:45" s="174" customFormat="1" ht="35" customHeight="1">
      <c r="A267" s="174">
        <f>ROW()-2</f>
        <v>265</v>
      </c>
      <c r="B267" s="174" t="s">
        <v>14</v>
      </c>
      <c r="C267" s="174" t="s">
        <v>83</v>
      </c>
      <c r="D267" s="174" t="s">
        <v>2547</v>
      </c>
      <c r="E267" s="174" t="s">
        <v>2548</v>
      </c>
      <c r="F267" s="174" t="s">
        <v>2549</v>
      </c>
      <c r="G267" s="174" t="s">
        <v>611</v>
      </c>
      <c r="H267" s="174" t="s">
        <v>485</v>
      </c>
      <c r="I267" s="174" t="s">
        <v>29</v>
      </c>
      <c r="J267" s="175">
        <v>44416</v>
      </c>
      <c r="K267" s="174">
        <v>18</v>
      </c>
      <c r="L267" s="176">
        <v>3.5663888888888891</v>
      </c>
      <c r="M267" s="174" t="s">
        <v>20</v>
      </c>
      <c r="N267" s="174">
        <v>99</v>
      </c>
    </row>
    <row r="268" spans="1:45" s="174" customFormat="1" ht="35" customHeight="1">
      <c r="A268" s="174">
        <f>ROW()-2</f>
        <v>266</v>
      </c>
      <c r="B268" s="174" t="s">
        <v>14</v>
      </c>
      <c r="C268" s="174" t="s">
        <v>83</v>
      </c>
      <c r="D268" s="174" t="s">
        <v>2552</v>
      </c>
      <c r="E268" s="174" t="s">
        <v>2553</v>
      </c>
      <c r="F268" s="174" t="s">
        <v>663</v>
      </c>
      <c r="G268" s="174" t="s">
        <v>663</v>
      </c>
      <c r="H268" s="174" t="s">
        <v>554</v>
      </c>
      <c r="I268" s="174" t="s">
        <v>29</v>
      </c>
      <c r="J268" s="175">
        <v>44504</v>
      </c>
      <c r="K268" s="174">
        <v>19</v>
      </c>
      <c r="L268" s="176">
        <v>3.5972222222222223</v>
      </c>
      <c r="M268" s="174" t="s">
        <v>20</v>
      </c>
      <c r="N268" s="174">
        <v>69</v>
      </c>
    </row>
    <row r="269" spans="1:45" s="174" customFormat="1" ht="35" customHeight="1">
      <c r="A269" s="174">
        <f>ROW()-2</f>
        <v>267</v>
      </c>
      <c r="B269" s="174" t="s">
        <v>1577</v>
      </c>
      <c r="C269" s="174" t="s">
        <v>83</v>
      </c>
      <c r="D269" s="174" t="s">
        <v>106</v>
      </c>
      <c r="E269" s="174" t="s">
        <v>107</v>
      </c>
      <c r="F269" s="174" t="s">
        <v>1579</v>
      </c>
      <c r="G269" s="174" t="s">
        <v>1580</v>
      </c>
      <c r="H269" s="174" t="s">
        <v>110</v>
      </c>
      <c r="I269" s="174" t="s">
        <v>29</v>
      </c>
      <c r="J269" s="175">
        <v>43227</v>
      </c>
      <c r="K269" s="174">
        <v>337</v>
      </c>
      <c r="L269" s="176">
        <v>59.488333333333337</v>
      </c>
      <c r="M269" s="174" t="s">
        <v>20</v>
      </c>
    </row>
    <row r="270" spans="1:45" s="174" customFormat="1" ht="35" customHeight="1">
      <c r="A270" s="174">
        <f>ROW()-2</f>
        <v>268</v>
      </c>
      <c r="B270" s="174" t="s">
        <v>1577</v>
      </c>
      <c r="C270" s="174" t="s">
        <v>83</v>
      </c>
      <c r="D270" s="174" t="s">
        <v>106</v>
      </c>
      <c r="E270" s="174" t="s">
        <v>175</v>
      </c>
      <c r="F270" s="174" t="s">
        <v>1613</v>
      </c>
      <c r="G270" s="174" t="s">
        <v>1614</v>
      </c>
      <c r="H270" s="174" t="s">
        <v>1615</v>
      </c>
      <c r="I270" s="174" t="s">
        <v>29</v>
      </c>
      <c r="J270" s="175">
        <v>43391</v>
      </c>
      <c r="K270" s="174">
        <v>83</v>
      </c>
      <c r="L270" s="176">
        <v>13.990833333333333</v>
      </c>
      <c r="M270" s="174" t="s">
        <v>89</v>
      </c>
    </row>
    <row r="271" spans="1:45" s="174" customFormat="1" ht="35" customHeight="1">
      <c r="A271" s="174">
        <f>ROW()-2</f>
        <v>269</v>
      </c>
      <c r="B271" s="174" t="s">
        <v>1577</v>
      </c>
      <c r="C271" s="174" t="s">
        <v>83</v>
      </c>
      <c r="D271" s="174" t="s">
        <v>106</v>
      </c>
      <c r="E271" s="174" t="s">
        <v>115</v>
      </c>
      <c r="F271" s="174" t="s">
        <v>1716</v>
      </c>
      <c r="G271" s="174" t="s">
        <v>1717</v>
      </c>
      <c r="H271" s="174" t="s">
        <v>1718</v>
      </c>
      <c r="I271" s="174" t="s">
        <v>17</v>
      </c>
      <c r="J271" s="175">
        <v>43873</v>
      </c>
      <c r="K271" s="174">
        <v>1</v>
      </c>
      <c r="L271" s="176">
        <v>0.87666666666666671</v>
      </c>
      <c r="M271" s="174" t="s">
        <v>20</v>
      </c>
    </row>
    <row r="272" spans="1:45" s="174" customFormat="1" ht="35" customHeight="1">
      <c r="A272" s="174">
        <f>ROW()-2</f>
        <v>270</v>
      </c>
      <c r="B272" s="174" t="s">
        <v>1577</v>
      </c>
      <c r="C272" s="174" t="s">
        <v>83</v>
      </c>
      <c r="D272" s="174" t="s">
        <v>84</v>
      </c>
      <c r="E272" s="174" t="s">
        <v>94</v>
      </c>
      <c r="F272" s="174" t="s">
        <v>1587</v>
      </c>
      <c r="G272" s="174" t="s">
        <v>1588</v>
      </c>
      <c r="H272" s="174" t="s">
        <v>1589</v>
      </c>
      <c r="I272" s="174" t="s">
        <v>29</v>
      </c>
      <c r="J272" s="175">
        <v>43257</v>
      </c>
      <c r="K272" s="174">
        <v>159</v>
      </c>
      <c r="L272" s="176">
        <v>22.659166666666668</v>
      </c>
      <c r="M272" s="174" t="s">
        <v>89</v>
      </c>
    </row>
    <row r="273" spans="1:45" s="181" customFormat="1" ht="35" customHeight="1">
      <c r="A273" s="174">
        <f>ROW()-2</f>
        <v>271</v>
      </c>
      <c r="B273" s="174" t="s">
        <v>1577</v>
      </c>
      <c r="C273" s="174" t="s">
        <v>83</v>
      </c>
      <c r="D273" s="174" t="s">
        <v>84</v>
      </c>
      <c r="E273" s="174" t="s">
        <v>111</v>
      </c>
      <c r="F273" s="174" t="s">
        <v>1691</v>
      </c>
      <c r="G273" s="174" t="s">
        <v>1692</v>
      </c>
      <c r="H273" s="174" t="s">
        <v>1691</v>
      </c>
      <c r="I273" s="174" t="s">
        <v>29</v>
      </c>
      <c r="J273" s="175">
        <v>43460</v>
      </c>
      <c r="K273" s="174">
        <v>37</v>
      </c>
      <c r="L273" s="176">
        <v>3.8975</v>
      </c>
      <c r="M273" s="174" t="s">
        <v>20</v>
      </c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  <c r="AB273" s="174"/>
      <c r="AC273" s="174"/>
      <c r="AD273" s="174"/>
      <c r="AE273" s="174"/>
      <c r="AF273" s="174"/>
      <c r="AG273" s="174"/>
      <c r="AH273" s="174"/>
      <c r="AI273" s="174"/>
      <c r="AJ273" s="174"/>
      <c r="AK273" s="174"/>
      <c r="AL273" s="174"/>
      <c r="AM273" s="174"/>
      <c r="AN273" s="174"/>
      <c r="AO273" s="174"/>
      <c r="AP273" s="174"/>
      <c r="AQ273" s="174"/>
      <c r="AR273" s="174"/>
      <c r="AS273" s="174"/>
    </row>
    <row r="274" spans="1:45" s="174" customFormat="1" ht="35" customHeight="1">
      <c r="A274" s="174">
        <f>ROW()-2</f>
        <v>272</v>
      </c>
      <c r="B274" s="174" t="s">
        <v>1577</v>
      </c>
      <c r="C274" s="174" t="s">
        <v>83</v>
      </c>
      <c r="D274" s="174" t="s">
        <v>187</v>
      </c>
      <c r="E274" s="174" t="s">
        <v>2674</v>
      </c>
      <c r="F274" s="174" t="s">
        <v>1639</v>
      </c>
      <c r="G274" s="174" t="s">
        <v>1640</v>
      </c>
      <c r="H274" s="174" t="s">
        <v>1641</v>
      </c>
      <c r="I274" s="174" t="s">
        <v>29</v>
      </c>
      <c r="J274" s="175">
        <v>43440</v>
      </c>
      <c r="K274" s="174">
        <v>14</v>
      </c>
      <c r="L274" s="176">
        <v>0.89</v>
      </c>
      <c r="M274" s="174" t="s">
        <v>20</v>
      </c>
    </row>
    <row r="275" spans="1:45" s="174" customFormat="1" ht="35" customHeight="1">
      <c r="A275" s="174">
        <f>ROW()-2</f>
        <v>273</v>
      </c>
      <c r="B275" s="174" t="s">
        <v>1577</v>
      </c>
      <c r="C275" s="174" t="s">
        <v>83</v>
      </c>
      <c r="D275" s="174" t="s">
        <v>187</v>
      </c>
      <c r="E275" s="174" t="s">
        <v>2674</v>
      </c>
      <c r="F275" s="174" t="s">
        <v>1693</v>
      </c>
      <c r="G275" s="174" t="s">
        <v>1694</v>
      </c>
      <c r="H275" s="174" t="s">
        <v>1695</v>
      </c>
      <c r="I275" s="174" t="s">
        <v>29</v>
      </c>
      <c r="J275" s="175">
        <v>43461</v>
      </c>
      <c r="K275" s="174">
        <v>27</v>
      </c>
      <c r="L275" s="176">
        <v>9.5833333333333339</v>
      </c>
      <c r="M275" s="174" t="s">
        <v>20</v>
      </c>
    </row>
    <row r="276" spans="1:45" s="174" customFormat="1" ht="35" customHeight="1">
      <c r="A276" s="174">
        <f>ROW()-2</f>
        <v>274</v>
      </c>
      <c r="B276" s="174" t="s">
        <v>1577</v>
      </c>
      <c r="C276" s="174" t="s">
        <v>83</v>
      </c>
      <c r="D276" s="174" t="s">
        <v>187</v>
      </c>
      <c r="E276" s="174" t="s">
        <v>188</v>
      </c>
      <c r="F276" s="174" t="s">
        <v>1696</v>
      </c>
      <c r="G276" s="174" t="s">
        <v>1697</v>
      </c>
      <c r="H276" s="174" t="s">
        <v>1698</v>
      </c>
      <c r="I276" s="174" t="s">
        <v>29</v>
      </c>
      <c r="J276" s="175">
        <v>43461</v>
      </c>
      <c r="K276" s="174">
        <v>34</v>
      </c>
      <c r="L276" s="176">
        <v>10.918888888888889</v>
      </c>
      <c r="M276" s="174" t="s">
        <v>20</v>
      </c>
    </row>
    <row r="277" spans="1:45" s="174" customFormat="1" ht="35" customHeight="1">
      <c r="A277" s="174">
        <f>ROW()-2</f>
        <v>275</v>
      </c>
      <c r="B277" s="174" t="s">
        <v>1577</v>
      </c>
      <c r="C277" s="174" t="s">
        <v>83</v>
      </c>
      <c r="D277" s="174" t="s">
        <v>220</v>
      </c>
      <c r="E277" s="174" t="s">
        <v>2672</v>
      </c>
      <c r="F277" s="174" t="s">
        <v>5669</v>
      </c>
      <c r="G277" s="174" t="s">
        <v>1605</v>
      </c>
      <c r="H277" s="174" t="s">
        <v>1606</v>
      </c>
      <c r="I277" s="174" t="s">
        <v>29</v>
      </c>
      <c r="J277" s="175">
        <v>43391</v>
      </c>
      <c r="K277" s="174">
        <v>554</v>
      </c>
      <c r="L277" s="176">
        <v>183.23222222222222</v>
      </c>
      <c r="M277" s="174" t="s">
        <v>89</v>
      </c>
    </row>
    <row r="278" spans="1:45" s="174" customFormat="1" ht="35" customHeight="1">
      <c r="A278" s="174">
        <f>ROW()-2</f>
        <v>276</v>
      </c>
      <c r="B278" s="174" t="s">
        <v>1577</v>
      </c>
      <c r="C278" s="174" t="s">
        <v>83</v>
      </c>
      <c r="D278" s="174" t="s">
        <v>220</v>
      </c>
      <c r="E278" s="174" t="s">
        <v>2481</v>
      </c>
      <c r="F278" s="174" t="s">
        <v>2579</v>
      </c>
      <c r="G278" s="174" t="s">
        <v>1626</v>
      </c>
      <c r="H278" s="174" t="s">
        <v>1627</v>
      </c>
      <c r="I278" s="174" t="s">
        <v>29</v>
      </c>
      <c r="J278" s="175">
        <v>43392</v>
      </c>
      <c r="K278" s="174">
        <v>30</v>
      </c>
      <c r="L278" s="176">
        <v>18.453333333333333</v>
      </c>
      <c r="M278" s="174" t="s">
        <v>20</v>
      </c>
    </row>
    <row r="279" spans="1:45" s="174" customFormat="1" ht="35" customHeight="1">
      <c r="A279" s="174">
        <f>ROW()-2</f>
        <v>277</v>
      </c>
      <c r="B279" s="174" t="s">
        <v>1577</v>
      </c>
      <c r="C279" s="174" t="s">
        <v>83</v>
      </c>
      <c r="D279" s="174" t="s">
        <v>220</v>
      </c>
      <c r="E279" s="174" t="s">
        <v>2672</v>
      </c>
      <c r="F279" s="174" t="s">
        <v>5670</v>
      </c>
      <c r="G279" s="174" t="s">
        <v>1643</v>
      </c>
      <c r="H279" s="174" t="s">
        <v>1644</v>
      </c>
      <c r="I279" s="174" t="s">
        <v>29</v>
      </c>
      <c r="J279" s="175">
        <v>43440</v>
      </c>
      <c r="K279" s="174">
        <v>932</v>
      </c>
      <c r="L279" s="176">
        <v>44.720277777777781</v>
      </c>
      <c r="M279" s="174" t="s">
        <v>89</v>
      </c>
    </row>
    <row r="280" spans="1:45" s="174" customFormat="1" ht="35" customHeight="1">
      <c r="A280" s="174">
        <f>ROW()-2</f>
        <v>278</v>
      </c>
      <c r="B280" s="174" t="s">
        <v>1577</v>
      </c>
      <c r="C280" s="174" t="s">
        <v>83</v>
      </c>
      <c r="D280" s="174" t="s">
        <v>220</v>
      </c>
      <c r="E280" s="174" t="s">
        <v>2672</v>
      </c>
      <c r="F280" s="174" t="s">
        <v>2580</v>
      </c>
      <c r="G280" s="174" t="s">
        <v>1645</v>
      </c>
      <c r="H280" s="174" t="s">
        <v>1646</v>
      </c>
      <c r="I280" s="174" t="s">
        <v>29</v>
      </c>
      <c r="J280" s="175">
        <v>43440</v>
      </c>
      <c r="K280" s="174">
        <v>130</v>
      </c>
      <c r="L280" s="176">
        <v>21.422777777777778</v>
      </c>
      <c r="M280" s="174" t="s">
        <v>20</v>
      </c>
    </row>
    <row r="281" spans="1:45" s="174" customFormat="1" ht="35" customHeight="1">
      <c r="A281" s="174">
        <f>ROW()-2</f>
        <v>279</v>
      </c>
      <c r="B281" s="174" t="s">
        <v>1577</v>
      </c>
      <c r="C281" s="174" t="s">
        <v>83</v>
      </c>
      <c r="D281" s="174" t="s">
        <v>220</v>
      </c>
      <c r="E281" s="174" t="s">
        <v>2672</v>
      </c>
      <c r="F281" s="174" t="s">
        <v>1647</v>
      </c>
      <c r="G281" s="174" t="s">
        <v>1648</v>
      </c>
      <c r="H281" s="174" t="s">
        <v>1649</v>
      </c>
      <c r="I281" s="174" t="s">
        <v>29</v>
      </c>
      <c r="J281" s="175">
        <v>43440</v>
      </c>
      <c r="K281" s="174">
        <v>91</v>
      </c>
      <c r="L281" s="176">
        <v>40.508055555555558</v>
      </c>
      <c r="M281" s="174" t="s">
        <v>20</v>
      </c>
    </row>
    <row r="282" spans="1:45" s="174" customFormat="1" ht="35" customHeight="1">
      <c r="A282" s="174">
        <f>ROW()-2</f>
        <v>280</v>
      </c>
      <c r="B282" s="174" t="s">
        <v>1577</v>
      </c>
      <c r="C282" s="174" t="s">
        <v>83</v>
      </c>
      <c r="D282" s="174" t="s">
        <v>220</v>
      </c>
      <c r="E282" s="174" t="s">
        <v>2672</v>
      </c>
      <c r="F282" s="174" t="s">
        <v>1650</v>
      </c>
      <c r="G282" s="174" t="s">
        <v>1651</v>
      </c>
      <c r="H282" s="174" t="s">
        <v>1652</v>
      </c>
      <c r="I282" s="174" t="s">
        <v>29</v>
      </c>
      <c r="J282" s="175">
        <v>43440</v>
      </c>
      <c r="K282" s="174">
        <v>43</v>
      </c>
      <c r="L282" s="176">
        <v>7.4036111111111111</v>
      </c>
      <c r="M282" s="174" t="s">
        <v>20</v>
      </c>
    </row>
    <row r="283" spans="1:45" s="174" customFormat="1" ht="35" customHeight="1">
      <c r="A283" s="174">
        <f>ROW()-2</f>
        <v>281</v>
      </c>
      <c r="B283" s="174" t="s">
        <v>1577</v>
      </c>
      <c r="C283" s="174" t="s">
        <v>83</v>
      </c>
      <c r="D283" s="174" t="s">
        <v>220</v>
      </c>
      <c r="E283" s="174" t="s">
        <v>263</v>
      </c>
      <c r="F283" s="174" t="s">
        <v>1653</v>
      </c>
      <c r="G283" s="174" t="s">
        <v>1654</v>
      </c>
      <c r="H283" s="174" t="s">
        <v>1655</v>
      </c>
      <c r="I283" s="174" t="s">
        <v>29</v>
      </c>
      <c r="J283" s="175">
        <v>43441</v>
      </c>
      <c r="K283" s="174">
        <v>32</v>
      </c>
      <c r="L283" s="176">
        <v>5.8744444444444444</v>
      </c>
      <c r="M283" s="174" t="s">
        <v>20</v>
      </c>
      <c r="AQ283" s="181"/>
      <c r="AR283" s="181"/>
      <c r="AS283" s="181"/>
    </row>
    <row r="284" spans="1:45" s="174" customFormat="1" ht="35" customHeight="1">
      <c r="A284" s="174">
        <f>ROW()-2</f>
        <v>282</v>
      </c>
      <c r="B284" s="174" t="s">
        <v>1577</v>
      </c>
      <c r="C284" s="174" t="s">
        <v>83</v>
      </c>
      <c r="D284" s="174" t="s">
        <v>220</v>
      </c>
      <c r="E284" s="174" t="s">
        <v>2671</v>
      </c>
      <c r="F284" s="174" t="s">
        <v>1659</v>
      </c>
      <c r="G284" s="174" t="s">
        <v>1660</v>
      </c>
      <c r="H284" s="174" t="s">
        <v>1661</v>
      </c>
      <c r="I284" s="174" t="s">
        <v>29</v>
      </c>
      <c r="J284" s="175">
        <v>43447</v>
      </c>
      <c r="K284" s="174">
        <v>506</v>
      </c>
      <c r="L284" s="176">
        <v>124.93055555555556</v>
      </c>
      <c r="M284" s="174" t="s">
        <v>89</v>
      </c>
    </row>
    <row r="285" spans="1:45" s="174" customFormat="1" ht="35" customHeight="1">
      <c r="A285" s="181">
        <f>ROW()-2</f>
        <v>283</v>
      </c>
      <c r="B285" s="181" t="s">
        <v>1577</v>
      </c>
      <c r="C285" s="181" t="s">
        <v>83</v>
      </c>
      <c r="D285" s="181" t="s">
        <v>220</v>
      </c>
      <c r="E285" s="181" t="s">
        <v>5354</v>
      </c>
      <c r="F285" s="181" t="s">
        <v>1670</v>
      </c>
      <c r="G285" s="181" t="s">
        <v>1671</v>
      </c>
      <c r="H285" s="181" t="s">
        <v>1672</v>
      </c>
      <c r="I285" s="181" t="s">
        <v>29</v>
      </c>
      <c r="J285" s="177">
        <v>43448</v>
      </c>
      <c r="K285" s="181">
        <v>88</v>
      </c>
      <c r="L285" s="178">
        <v>10.045</v>
      </c>
      <c r="M285" s="181" t="s">
        <v>20</v>
      </c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81"/>
      <c r="AJ285" s="181"/>
      <c r="AK285" s="181"/>
      <c r="AL285" s="181"/>
      <c r="AM285" s="181"/>
      <c r="AN285" s="181"/>
      <c r="AO285" s="181"/>
      <c r="AP285" s="181"/>
    </row>
    <row r="286" spans="1:45" s="174" customFormat="1" ht="35" customHeight="1">
      <c r="A286" s="174">
        <f>ROW()-2</f>
        <v>284</v>
      </c>
      <c r="B286" s="174" t="s">
        <v>1577</v>
      </c>
      <c r="C286" s="174" t="s">
        <v>83</v>
      </c>
      <c r="D286" s="174" t="s">
        <v>220</v>
      </c>
      <c r="E286" s="174" t="s">
        <v>2671</v>
      </c>
      <c r="F286" s="174" t="s">
        <v>1673</v>
      </c>
      <c r="G286" s="174" t="s">
        <v>1674</v>
      </c>
      <c r="H286" s="174" t="s">
        <v>609</v>
      </c>
      <c r="I286" s="174" t="s">
        <v>29</v>
      </c>
      <c r="J286" s="175">
        <v>43448</v>
      </c>
      <c r="K286" s="174">
        <v>363</v>
      </c>
      <c r="L286" s="176">
        <v>68.460555555555558</v>
      </c>
      <c r="M286" s="174" t="s">
        <v>89</v>
      </c>
    </row>
    <row r="287" spans="1:45" s="174" customFormat="1" ht="35" customHeight="1">
      <c r="A287" s="174">
        <f>ROW()-2</f>
        <v>285</v>
      </c>
      <c r="B287" s="174" t="s">
        <v>1577</v>
      </c>
      <c r="C287" s="174" t="s">
        <v>83</v>
      </c>
      <c r="D287" s="174" t="s">
        <v>220</v>
      </c>
      <c r="E287" s="174" t="s">
        <v>2672</v>
      </c>
      <c r="F287" s="174" t="s">
        <v>1675</v>
      </c>
      <c r="G287" s="174" t="s">
        <v>1676</v>
      </c>
      <c r="H287" s="174" t="s">
        <v>1675</v>
      </c>
      <c r="I287" s="174" t="s">
        <v>29</v>
      </c>
      <c r="J287" s="175">
        <v>43459</v>
      </c>
      <c r="K287" s="174">
        <v>250</v>
      </c>
      <c r="L287" s="176">
        <v>127.46694444444445</v>
      </c>
      <c r="M287" s="174" t="s">
        <v>89</v>
      </c>
    </row>
    <row r="288" spans="1:45" s="174" customFormat="1" ht="35" customHeight="1">
      <c r="A288" s="174">
        <f>ROW()-2</f>
        <v>286</v>
      </c>
      <c r="B288" s="174" t="s">
        <v>1577</v>
      </c>
      <c r="C288" s="174" t="s">
        <v>83</v>
      </c>
      <c r="D288" s="174" t="s">
        <v>220</v>
      </c>
      <c r="E288" s="174" t="s">
        <v>2672</v>
      </c>
      <c r="F288" s="174" t="s">
        <v>1683</v>
      </c>
      <c r="G288" s="174" t="s">
        <v>1684</v>
      </c>
      <c r="H288" s="174" t="s">
        <v>1683</v>
      </c>
      <c r="I288" s="174" t="s">
        <v>29</v>
      </c>
      <c r="J288" s="175">
        <v>43460</v>
      </c>
      <c r="K288" s="174">
        <v>2179</v>
      </c>
      <c r="L288" s="176">
        <v>88.668888888888887</v>
      </c>
      <c r="M288" s="174" t="s">
        <v>89</v>
      </c>
    </row>
    <row r="289" spans="1:13" s="174" customFormat="1" ht="35" customHeight="1">
      <c r="A289" s="174">
        <f>ROW()-2</f>
        <v>287</v>
      </c>
      <c r="B289" s="174" t="s">
        <v>1577</v>
      </c>
      <c r="C289" s="174" t="s">
        <v>83</v>
      </c>
      <c r="D289" s="174" t="s">
        <v>220</v>
      </c>
      <c r="E289" s="174" t="s">
        <v>2672</v>
      </c>
      <c r="F289" s="174" t="s">
        <v>1685</v>
      </c>
      <c r="G289" s="174" t="s">
        <v>1686</v>
      </c>
      <c r="H289" s="174" t="s">
        <v>1687</v>
      </c>
      <c r="I289" s="174" t="s">
        <v>29</v>
      </c>
      <c r="J289" s="175">
        <v>43460</v>
      </c>
      <c r="K289" s="174">
        <v>1057</v>
      </c>
      <c r="L289" s="176">
        <v>59.051111111111112</v>
      </c>
      <c r="M289" s="174" t="s">
        <v>89</v>
      </c>
    </row>
    <row r="290" spans="1:13" s="174" customFormat="1" ht="35" customHeight="1">
      <c r="A290" s="174">
        <f>ROW()-2</f>
        <v>288</v>
      </c>
      <c r="B290" s="174" t="s">
        <v>1577</v>
      </c>
      <c r="C290" s="174" t="s">
        <v>83</v>
      </c>
      <c r="D290" s="174" t="s">
        <v>220</v>
      </c>
      <c r="E290" s="174" t="s">
        <v>2672</v>
      </c>
      <c r="F290" s="174" t="s">
        <v>5667</v>
      </c>
      <c r="G290" s="174" t="s">
        <v>1689</v>
      </c>
      <c r="H290" s="174" t="s">
        <v>1690</v>
      </c>
      <c r="I290" s="174" t="s">
        <v>29</v>
      </c>
      <c r="J290" s="175">
        <v>43460</v>
      </c>
      <c r="K290" s="174">
        <v>29</v>
      </c>
      <c r="L290" s="176">
        <v>2.5152777777777779</v>
      </c>
      <c r="M290" s="174" t="s">
        <v>20</v>
      </c>
    </row>
    <row r="291" spans="1:13" s="174" customFormat="1" ht="35" customHeight="1">
      <c r="A291" s="174">
        <f>ROW()-2</f>
        <v>289</v>
      </c>
      <c r="B291" s="174" t="s">
        <v>1577</v>
      </c>
      <c r="C291" s="174" t="s">
        <v>83</v>
      </c>
      <c r="D291" s="174" t="s">
        <v>220</v>
      </c>
      <c r="E291" s="174" t="s">
        <v>2672</v>
      </c>
      <c r="F291" s="174" t="s">
        <v>5668</v>
      </c>
      <c r="G291" s="174" t="s">
        <v>1708</v>
      </c>
      <c r="H291" s="174" t="s">
        <v>1709</v>
      </c>
      <c r="I291" s="174" t="s">
        <v>29</v>
      </c>
      <c r="J291" s="175">
        <v>43763</v>
      </c>
      <c r="K291" s="174">
        <v>10</v>
      </c>
      <c r="L291" s="176">
        <v>0.27777777777777779</v>
      </c>
      <c r="M291" s="174" t="s">
        <v>20</v>
      </c>
    </row>
    <row r="292" spans="1:13" s="174" customFormat="1" ht="35" customHeight="1">
      <c r="A292" s="174">
        <f>ROW()-2</f>
        <v>290</v>
      </c>
      <c r="B292" s="174" t="s">
        <v>1577</v>
      </c>
      <c r="C292" s="174" t="s">
        <v>83</v>
      </c>
      <c r="D292" s="174" t="s">
        <v>220</v>
      </c>
      <c r="E292" s="174" t="s">
        <v>2672</v>
      </c>
      <c r="F292" s="174" t="s">
        <v>5671</v>
      </c>
      <c r="G292" s="174" t="s">
        <v>1724</v>
      </c>
      <c r="H292" s="174" t="s">
        <v>1723</v>
      </c>
      <c r="I292" s="174" t="s">
        <v>29</v>
      </c>
      <c r="J292" s="175">
        <v>43943</v>
      </c>
      <c r="K292" s="174">
        <v>491</v>
      </c>
      <c r="L292" s="176">
        <v>40.916111111111114</v>
      </c>
      <c r="M292" s="174" t="s">
        <v>89</v>
      </c>
    </row>
    <row r="293" spans="1:13" s="174" customFormat="1" ht="35" customHeight="1">
      <c r="A293" s="174">
        <f>ROW()-2</f>
        <v>291</v>
      </c>
      <c r="B293" s="174" t="s">
        <v>1577</v>
      </c>
      <c r="C293" s="174" t="s">
        <v>83</v>
      </c>
      <c r="D293" s="174" t="s">
        <v>220</v>
      </c>
      <c r="E293" s="174" t="s">
        <v>2672</v>
      </c>
      <c r="F293" s="174" t="s">
        <v>1725</v>
      </c>
      <c r="G293" s="174" t="s">
        <v>1726</v>
      </c>
      <c r="H293" s="174" t="s">
        <v>1727</v>
      </c>
      <c r="I293" s="174" t="s">
        <v>29</v>
      </c>
      <c r="J293" s="175">
        <v>43947</v>
      </c>
      <c r="K293" s="174">
        <v>388</v>
      </c>
      <c r="L293" s="176">
        <v>43.110833333333332</v>
      </c>
      <c r="M293" s="174" t="s">
        <v>89</v>
      </c>
    </row>
    <row r="294" spans="1:13" s="174" customFormat="1" ht="35" customHeight="1">
      <c r="A294" s="174">
        <f>ROW()-2</f>
        <v>292</v>
      </c>
      <c r="B294" s="174" t="s">
        <v>1577</v>
      </c>
      <c r="C294" s="174" t="s">
        <v>83</v>
      </c>
      <c r="D294" s="174" t="s">
        <v>220</v>
      </c>
      <c r="E294" s="174" t="s">
        <v>2672</v>
      </c>
      <c r="F294" s="174" t="s">
        <v>1728</v>
      </c>
      <c r="G294" s="174" t="s">
        <v>1729</v>
      </c>
      <c r="H294" s="174" t="s">
        <v>1728</v>
      </c>
      <c r="I294" s="174" t="s">
        <v>29</v>
      </c>
      <c r="J294" s="175">
        <v>43957</v>
      </c>
      <c r="K294" s="174">
        <v>93</v>
      </c>
      <c r="L294" s="176">
        <v>15.07</v>
      </c>
      <c r="M294" s="174" t="s">
        <v>89</v>
      </c>
    </row>
    <row r="295" spans="1:13" s="174" customFormat="1" ht="35" customHeight="1">
      <c r="A295" s="174">
        <f>ROW()-2</f>
        <v>293</v>
      </c>
      <c r="B295" s="174" t="s">
        <v>1577</v>
      </c>
      <c r="C295" s="174" t="s">
        <v>83</v>
      </c>
      <c r="D295" s="174" t="s">
        <v>220</v>
      </c>
      <c r="E295" s="174" t="s">
        <v>2672</v>
      </c>
      <c r="F295" s="174" t="s">
        <v>1730</v>
      </c>
      <c r="G295" s="174" t="s">
        <v>1731</v>
      </c>
      <c r="H295" s="174" t="s">
        <v>1732</v>
      </c>
      <c r="I295" s="174" t="s">
        <v>29</v>
      </c>
      <c r="J295" s="175">
        <v>43965</v>
      </c>
      <c r="K295" s="174">
        <v>552</v>
      </c>
      <c r="L295" s="176">
        <v>63.181944444444447</v>
      </c>
      <c r="M295" s="174" t="s">
        <v>89</v>
      </c>
    </row>
    <row r="296" spans="1:13" s="174" customFormat="1" ht="35" customHeight="1">
      <c r="A296" s="174">
        <f>ROW()-2</f>
        <v>294</v>
      </c>
      <c r="B296" s="174" t="s">
        <v>1577</v>
      </c>
      <c r="C296" s="174" t="s">
        <v>83</v>
      </c>
      <c r="D296" s="174" t="s">
        <v>220</v>
      </c>
      <c r="E296" s="174" t="s">
        <v>263</v>
      </c>
      <c r="F296" s="174" t="s">
        <v>1733</v>
      </c>
      <c r="G296" s="174" t="s">
        <v>1734</v>
      </c>
      <c r="H296" s="174" t="s">
        <v>1735</v>
      </c>
      <c r="I296" s="174" t="s">
        <v>29</v>
      </c>
      <c r="J296" s="175">
        <v>44035</v>
      </c>
      <c r="K296" s="174">
        <v>39</v>
      </c>
      <c r="L296" s="176">
        <v>0</v>
      </c>
      <c r="M296" s="174" t="s">
        <v>20</v>
      </c>
    </row>
    <row r="297" spans="1:13" s="174" customFormat="1" ht="35" customHeight="1">
      <c r="A297" s="174">
        <f>ROW()-2</f>
        <v>295</v>
      </c>
      <c r="B297" s="174" t="s">
        <v>1577</v>
      </c>
      <c r="C297" s="174" t="s">
        <v>83</v>
      </c>
      <c r="D297" s="174" t="s">
        <v>220</v>
      </c>
      <c r="E297" s="174" t="s">
        <v>2672</v>
      </c>
      <c r="F297" s="174" t="s">
        <v>1736</v>
      </c>
      <c r="G297" s="174" t="s">
        <v>1737</v>
      </c>
      <c r="H297" s="174" t="s">
        <v>1738</v>
      </c>
      <c r="I297" s="174" t="s">
        <v>29</v>
      </c>
      <c r="J297" s="175">
        <v>44099</v>
      </c>
      <c r="K297" s="174">
        <v>3090</v>
      </c>
      <c r="L297" s="176">
        <v>38.898888888888891</v>
      </c>
      <c r="M297" s="174" t="s">
        <v>89</v>
      </c>
    </row>
    <row r="298" spans="1:13" s="174" customFormat="1" ht="35" customHeight="1">
      <c r="A298" s="174">
        <f>ROW()-2</f>
        <v>296</v>
      </c>
      <c r="B298" s="174" t="s">
        <v>1577</v>
      </c>
      <c r="C298" s="174" t="s">
        <v>83</v>
      </c>
      <c r="D298" s="174" t="s">
        <v>155</v>
      </c>
      <c r="E298" s="174" t="s">
        <v>202</v>
      </c>
      <c r="F298" s="174" t="s">
        <v>1602</v>
      </c>
      <c r="G298" s="174" t="s">
        <v>1603</v>
      </c>
      <c r="H298" s="174" t="s">
        <v>571</v>
      </c>
      <c r="I298" s="174" t="s">
        <v>29</v>
      </c>
      <c r="J298" s="175">
        <v>43391</v>
      </c>
      <c r="K298" s="174">
        <v>297</v>
      </c>
      <c r="L298" s="176">
        <v>86.436111111111117</v>
      </c>
      <c r="M298" s="174" t="s">
        <v>89</v>
      </c>
    </row>
    <row r="299" spans="1:13" s="174" customFormat="1" ht="35" customHeight="1">
      <c r="A299" s="174">
        <f>ROW()-2</f>
        <v>297</v>
      </c>
      <c r="B299" s="174" t="s">
        <v>1577</v>
      </c>
      <c r="C299" s="174" t="s">
        <v>83</v>
      </c>
      <c r="D299" s="174" t="s">
        <v>155</v>
      </c>
      <c r="E299" s="174" t="s">
        <v>156</v>
      </c>
      <c r="F299" s="174" t="s">
        <v>2575</v>
      </c>
      <c r="G299" s="174" t="s">
        <v>1608</v>
      </c>
      <c r="H299" s="174" t="s">
        <v>1609</v>
      </c>
      <c r="I299" s="174" t="s">
        <v>29</v>
      </c>
      <c r="J299" s="175">
        <v>43391</v>
      </c>
      <c r="K299" s="174">
        <v>799</v>
      </c>
      <c r="L299" s="176">
        <v>57.278055555555554</v>
      </c>
      <c r="M299" s="174" t="s">
        <v>89</v>
      </c>
    </row>
    <row r="300" spans="1:13" s="174" customFormat="1" ht="35" customHeight="1">
      <c r="A300" s="174">
        <f>ROW()-2</f>
        <v>298</v>
      </c>
      <c r="B300" s="174" t="s">
        <v>1577</v>
      </c>
      <c r="C300" s="174" t="s">
        <v>83</v>
      </c>
      <c r="D300" s="174" t="s">
        <v>155</v>
      </c>
      <c r="E300" s="174" t="s">
        <v>202</v>
      </c>
      <c r="F300" s="174" t="s">
        <v>1610</v>
      </c>
      <c r="G300" s="174" t="s">
        <v>1611</v>
      </c>
      <c r="H300" s="174" t="s">
        <v>1612</v>
      </c>
      <c r="I300" s="174" t="s">
        <v>29</v>
      </c>
      <c r="J300" s="175">
        <v>43391</v>
      </c>
      <c r="K300" s="174">
        <v>16</v>
      </c>
      <c r="L300" s="176">
        <v>6.0730555555555554</v>
      </c>
      <c r="M300" s="174" t="s">
        <v>20</v>
      </c>
    </row>
    <row r="301" spans="1:13" s="174" customFormat="1" ht="35" customHeight="1">
      <c r="A301" s="174">
        <f>ROW()-2</f>
        <v>299</v>
      </c>
      <c r="B301" s="174" t="s">
        <v>1577</v>
      </c>
      <c r="C301" s="174" t="s">
        <v>83</v>
      </c>
      <c r="D301" s="174" t="s">
        <v>155</v>
      </c>
      <c r="E301" s="174" t="s">
        <v>202</v>
      </c>
      <c r="F301" s="174" t="s">
        <v>1630</v>
      </c>
      <c r="G301" s="174" t="s">
        <v>1631</v>
      </c>
      <c r="H301" s="174" t="s">
        <v>1632</v>
      </c>
      <c r="I301" s="174" t="s">
        <v>29</v>
      </c>
      <c r="J301" s="175">
        <v>43440</v>
      </c>
      <c r="K301" s="174">
        <v>1923</v>
      </c>
      <c r="L301" s="176">
        <v>241.47805555555556</v>
      </c>
      <c r="M301" s="174" t="s">
        <v>89</v>
      </c>
    </row>
    <row r="302" spans="1:13" s="174" customFormat="1" ht="35" customHeight="1">
      <c r="A302" s="174">
        <f>ROW()-2</f>
        <v>300</v>
      </c>
      <c r="B302" s="174" t="s">
        <v>1577</v>
      </c>
      <c r="C302" s="174" t="s">
        <v>83</v>
      </c>
      <c r="D302" s="174" t="s">
        <v>155</v>
      </c>
      <c r="E302" s="174" t="s">
        <v>202</v>
      </c>
      <c r="F302" s="174" t="s">
        <v>1633</v>
      </c>
      <c r="G302" s="174" t="s">
        <v>1634</v>
      </c>
      <c r="H302" s="174" t="s">
        <v>1635</v>
      </c>
      <c r="I302" s="174" t="s">
        <v>29</v>
      </c>
      <c r="J302" s="175">
        <v>43440</v>
      </c>
      <c r="K302" s="174">
        <v>443</v>
      </c>
      <c r="L302" s="176">
        <v>33.513333333333335</v>
      </c>
      <c r="M302" s="174" t="s">
        <v>89</v>
      </c>
    </row>
    <row r="303" spans="1:13" s="174" customFormat="1" ht="35" customHeight="1">
      <c r="A303" s="174">
        <f>ROW()-2</f>
        <v>301</v>
      </c>
      <c r="B303" s="174" t="s">
        <v>1577</v>
      </c>
      <c r="C303" s="174" t="s">
        <v>83</v>
      </c>
      <c r="D303" s="174" t="s">
        <v>155</v>
      </c>
      <c r="E303" s="174" t="s">
        <v>202</v>
      </c>
      <c r="F303" s="174" t="s">
        <v>1636</v>
      </c>
      <c r="G303" s="174" t="s">
        <v>1637</v>
      </c>
      <c r="H303" s="174" t="s">
        <v>1638</v>
      </c>
      <c r="I303" s="174" t="s">
        <v>29</v>
      </c>
      <c r="J303" s="175">
        <v>43440</v>
      </c>
      <c r="K303" s="174">
        <v>643</v>
      </c>
      <c r="L303" s="176">
        <v>90.402777777777771</v>
      </c>
      <c r="M303" s="174" t="s">
        <v>89</v>
      </c>
    </row>
    <row r="304" spans="1:13" s="174" customFormat="1" ht="35" customHeight="1">
      <c r="A304" s="174">
        <f>ROW()-2</f>
        <v>302</v>
      </c>
      <c r="B304" s="174" t="s">
        <v>1577</v>
      </c>
      <c r="C304" s="174" t="s">
        <v>83</v>
      </c>
      <c r="D304" s="174" t="s">
        <v>155</v>
      </c>
      <c r="E304" s="174" t="s">
        <v>202</v>
      </c>
      <c r="F304" s="174" t="s">
        <v>1656</v>
      </c>
      <c r="G304" s="174" t="s">
        <v>1657</v>
      </c>
      <c r="H304" s="174" t="s">
        <v>1658</v>
      </c>
      <c r="I304" s="174" t="s">
        <v>29</v>
      </c>
      <c r="J304" s="175">
        <v>43447</v>
      </c>
      <c r="K304" s="174">
        <v>101</v>
      </c>
      <c r="L304" s="176">
        <v>45.247777777777777</v>
      </c>
      <c r="M304" s="174" t="s">
        <v>20</v>
      </c>
    </row>
    <row r="305" spans="1:13" s="174" customFormat="1" ht="35" customHeight="1">
      <c r="A305" s="174">
        <f>ROW()-2</f>
        <v>303</v>
      </c>
      <c r="B305" s="174" t="s">
        <v>1577</v>
      </c>
      <c r="C305" s="174" t="s">
        <v>83</v>
      </c>
      <c r="D305" s="174" t="s">
        <v>155</v>
      </c>
      <c r="E305" s="174" t="s">
        <v>202</v>
      </c>
      <c r="F305" s="174" t="s">
        <v>1662</v>
      </c>
      <c r="G305" s="174" t="s">
        <v>1662</v>
      </c>
      <c r="H305" s="174" t="s">
        <v>1663</v>
      </c>
      <c r="I305" s="174" t="s">
        <v>29</v>
      </c>
      <c r="J305" s="175">
        <v>43447</v>
      </c>
      <c r="K305" s="174">
        <v>476</v>
      </c>
      <c r="L305" s="176">
        <v>13.426944444444445</v>
      </c>
      <c r="M305" s="174" t="s">
        <v>89</v>
      </c>
    </row>
    <row r="306" spans="1:13" s="174" customFormat="1" ht="35" customHeight="1">
      <c r="A306" s="174">
        <f>ROW()-2</f>
        <v>304</v>
      </c>
      <c r="B306" s="174" t="s">
        <v>1577</v>
      </c>
      <c r="C306" s="174" t="s">
        <v>83</v>
      </c>
      <c r="D306" s="174" t="s">
        <v>155</v>
      </c>
      <c r="E306" s="174" t="s">
        <v>202</v>
      </c>
      <c r="F306" s="174" t="s">
        <v>1667</v>
      </c>
      <c r="G306" s="174" t="s">
        <v>1668</v>
      </c>
      <c r="H306" s="174" t="s">
        <v>1669</v>
      </c>
      <c r="I306" s="174" t="s">
        <v>29</v>
      </c>
      <c r="J306" s="175">
        <v>43448</v>
      </c>
      <c r="K306" s="174">
        <v>58</v>
      </c>
      <c r="L306" s="176">
        <v>7.4330555555555557</v>
      </c>
      <c r="M306" s="174" t="s">
        <v>20</v>
      </c>
    </row>
    <row r="307" spans="1:13" s="174" customFormat="1" ht="35" customHeight="1">
      <c r="A307" s="174">
        <f>ROW()-2</f>
        <v>305</v>
      </c>
      <c r="B307" s="174" t="s">
        <v>1577</v>
      </c>
      <c r="C307" s="174" t="s">
        <v>83</v>
      </c>
      <c r="D307" s="174" t="s">
        <v>155</v>
      </c>
      <c r="E307" s="174" t="s">
        <v>202</v>
      </c>
      <c r="F307" s="174" t="s">
        <v>1677</v>
      </c>
      <c r="G307" s="174" t="s">
        <v>1678</v>
      </c>
      <c r="H307" s="174" t="s">
        <v>1679</v>
      </c>
      <c r="I307" s="174" t="s">
        <v>29</v>
      </c>
      <c r="J307" s="175">
        <v>43459</v>
      </c>
      <c r="K307" s="174">
        <v>19</v>
      </c>
      <c r="L307" s="176">
        <v>4.1936111111111112</v>
      </c>
      <c r="M307" s="174" t="s">
        <v>20</v>
      </c>
    </row>
    <row r="308" spans="1:13" s="174" customFormat="1" ht="35" customHeight="1">
      <c r="A308" s="174">
        <f>ROW()-2</f>
        <v>306</v>
      </c>
      <c r="B308" s="174" t="s">
        <v>1577</v>
      </c>
      <c r="C308" s="174" t="s">
        <v>83</v>
      </c>
      <c r="D308" s="174" t="s">
        <v>155</v>
      </c>
      <c r="E308" s="174" t="s">
        <v>156</v>
      </c>
      <c r="F308" s="174" t="s">
        <v>1702</v>
      </c>
      <c r="G308" s="174" t="s">
        <v>1703</v>
      </c>
      <c r="H308" s="174" t="s">
        <v>1179</v>
      </c>
      <c r="I308" s="174" t="s">
        <v>29</v>
      </c>
      <c r="J308" s="175">
        <v>43750</v>
      </c>
      <c r="K308" s="174">
        <v>1150</v>
      </c>
      <c r="L308" s="176">
        <v>164.32472222222222</v>
      </c>
      <c r="M308" s="174" t="s">
        <v>89</v>
      </c>
    </row>
    <row r="309" spans="1:13" s="174" customFormat="1" ht="35" customHeight="1">
      <c r="A309" s="174">
        <f>ROW()-2</f>
        <v>307</v>
      </c>
      <c r="B309" s="174" t="s">
        <v>1577</v>
      </c>
      <c r="C309" s="174" t="s">
        <v>83</v>
      </c>
      <c r="D309" s="174" t="s">
        <v>155</v>
      </c>
      <c r="E309" s="174" t="s">
        <v>156</v>
      </c>
      <c r="F309" s="174" t="s">
        <v>1710</v>
      </c>
      <c r="G309" s="174" t="s">
        <v>1711</v>
      </c>
      <c r="H309" s="174" t="s">
        <v>1712</v>
      </c>
      <c r="I309" s="174" t="s">
        <v>29</v>
      </c>
      <c r="J309" s="175">
        <v>43790</v>
      </c>
      <c r="K309" s="174">
        <v>392</v>
      </c>
      <c r="L309" s="176">
        <v>31.795833333333334</v>
      </c>
      <c r="M309" s="174" t="s">
        <v>89</v>
      </c>
    </row>
    <row r="310" spans="1:13" s="174" customFormat="1" ht="35" customHeight="1">
      <c r="A310" s="174">
        <f>ROW()-2</f>
        <v>308</v>
      </c>
      <c r="B310" s="174" t="s">
        <v>1577</v>
      </c>
      <c r="C310" s="174" t="s">
        <v>83</v>
      </c>
      <c r="D310" s="174" t="s">
        <v>155</v>
      </c>
      <c r="E310" s="174" t="s">
        <v>156</v>
      </c>
      <c r="F310" s="174" t="s">
        <v>1713</v>
      </c>
      <c r="G310" s="174" t="s">
        <v>1714</v>
      </c>
      <c r="H310" s="174" t="s">
        <v>1715</v>
      </c>
      <c r="I310" s="174" t="s">
        <v>29</v>
      </c>
      <c r="J310" s="175">
        <v>43830</v>
      </c>
      <c r="K310" s="174">
        <v>291</v>
      </c>
      <c r="L310" s="176">
        <v>13.581944444444444</v>
      </c>
      <c r="M310" s="174" t="s">
        <v>20</v>
      </c>
    </row>
    <row r="311" spans="1:13" s="174" customFormat="1" ht="35" customHeight="1">
      <c r="A311" s="174">
        <f>ROW()-2</f>
        <v>309</v>
      </c>
      <c r="B311" s="174" t="s">
        <v>1577</v>
      </c>
      <c r="C311" s="174" t="s">
        <v>83</v>
      </c>
      <c r="D311" s="174" t="s">
        <v>155</v>
      </c>
      <c r="E311" s="174" t="s">
        <v>202</v>
      </c>
      <c r="F311" s="174" t="s">
        <v>2542</v>
      </c>
      <c r="G311" s="174" t="s">
        <v>1719</v>
      </c>
      <c r="H311" s="174" t="s">
        <v>1720</v>
      </c>
      <c r="I311" s="174" t="s">
        <v>29</v>
      </c>
      <c r="J311" s="175">
        <v>43875</v>
      </c>
      <c r="K311" s="174">
        <v>13</v>
      </c>
      <c r="L311" s="176">
        <v>14.5725</v>
      </c>
      <c r="M311" s="174" t="s">
        <v>89</v>
      </c>
    </row>
    <row r="312" spans="1:13" s="174" customFormat="1" ht="35" customHeight="1">
      <c r="A312" s="174">
        <f>ROW()-2</f>
        <v>310</v>
      </c>
      <c r="B312" s="174" t="s">
        <v>1577</v>
      </c>
      <c r="C312" s="174" t="s">
        <v>83</v>
      </c>
      <c r="D312" s="174" t="s">
        <v>155</v>
      </c>
      <c r="E312" s="174" t="s">
        <v>202</v>
      </c>
      <c r="F312" s="174" t="s">
        <v>2576</v>
      </c>
      <c r="G312" s="174" t="s">
        <v>1722</v>
      </c>
      <c r="H312" s="174" t="s">
        <v>1679</v>
      </c>
      <c r="I312" s="174" t="s">
        <v>29</v>
      </c>
      <c r="J312" s="175">
        <v>43924</v>
      </c>
      <c r="K312" s="174">
        <v>7</v>
      </c>
      <c r="L312" s="176">
        <v>2.4741666666666666</v>
      </c>
      <c r="M312" s="174" t="s">
        <v>20</v>
      </c>
    </row>
    <row r="313" spans="1:13" s="174" customFormat="1" ht="35" customHeight="1">
      <c r="A313" s="174">
        <f>ROW()-2</f>
        <v>311</v>
      </c>
      <c r="B313" s="174" t="s">
        <v>1577</v>
      </c>
      <c r="C313" s="174" t="s">
        <v>83</v>
      </c>
      <c r="D313" s="174" t="s">
        <v>155</v>
      </c>
      <c r="E313" s="174" t="s">
        <v>156</v>
      </c>
      <c r="F313" s="174" t="s">
        <v>2577</v>
      </c>
      <c r="G313" s="174" t="s">
        <v>1739</v>
      </c>
      <c r="H313" s="174" t="s">
        <v>1740</v>
      </c>
      <c r="I313" s="174" t="s">
        <v>29</v>
      </c>
      <c r="J313" s="175">
        <v>44165</v>
      </c>
      <c r="K313" s="174">
        <v>5</v>
      </c>
      <c r="L313" s="176">
        <v>1.0747222222222221</v>
      </c>
      <c r="M313" s="174" t="s">
        <v>20</v>
      </c>
    </row>
    <row r="314" spans="1:13" s="174" customFormat="1" ht="35" customHeight="1">
      <c r="A314" s="174">
        <f>ROW()-2</f>
        <v>312</v>
      </c>
      <c r="B314" s="174" t="s">
        <v>1577</v>
      </c>
      <c r="C314" s="174" t="s">
        <v>83</v>
      </c>
      <c r="D314" s="174" t="s">
        <v>155</v>
      </c>
      <c r="E314" s="174" t="s">
        <v>202</v>
      </c>
      <c r="F314" s="174" t="s">
        <v>1744</v>
      </c>
      <c r="G314" s="174" t="s">
        <v>1745</v>
      </c>
      <c r="H314" s="174" t="s">
        <v>1744</v>
      </c>
      <c r="I314" s="174" t="s">
        <v>29</v>
      </c>
      <c r="J314" s="175">
        <v>44188</v>
      </c>
      <c r="K314" s="174">
        <v>36</v>
      </c>
      <c r="L314" s="176">
        <v>6.8330555555555552</v>
      </c>
      <c r="M314" s="174" t="s">
        <v>89</v>
      </c>
    </row>
    <row r="315" spans="1:13" s="174" customFormat="1" ht="35" customHeight="1">
      <c r="A315" s="174">
        <f>ROW()-2</f>
        <v>313</v>
      </c>
      <c r="B315" s="174" t="s">
        <v>1577</v>
      </c>
      <c r="C315" s="174" t="s">
        <v>83</v>
      </c>
      <c r="D315" s="174" t="s">
        <v>155</v>
      </c>
      <c r="E315" s="174" t="s">
        <v>202</v>
      </c>
      <c r="F315" s="174" t="s">
        <v>2578</v>
      </c>
      <c r="G315" s="174" t="s">
        <v>1746</v>
      </c>
      <c r="H315" s="174" t="s">
        <v>1658</v>
      </c>
      <c r="I315" s="174" t="s">
        <v>29</v>
      </c>
      <c r="J315" s="175">
        <v>44189</v>
      </c>
      <c r="K315" s="174">
        <v>12</v>
      </c>
      <c r="L315" s="176">
        <v>5.6769444444444446</v>
      </c>
      <c r="M315" s="174" t="s">
        <v>20</v>
      </c>
    </row>
    <row r="316" spans="1:13" s="174" customFormat="1" ht="35" customHeight="1">
      <c r="A316" s="174">
        <f>ROW()-2</f>
        <v>314</v>
      </c>
      <c r="B316" s="174" t="s">
        <v>1577</v>
      </c>
      <c r="C316" s="174" t="s">
        <v>83</v>
      </c>
      <c r="D316" s="174" t="s">
        <v>155</v>
      </c>
      <c r="E316" s="174" t="s">
        <v>202</v>
      </c>
      <c r="F316" s="174" t="s">
        <v>2456</v>
      </c>
      <c r="G316" s="174" t="s">
        <v>542</v>
      </c>
      <c r="H316" s="174" t="s">
        <v>543</v>
      </c>
      <c r="I316" s="174" t="s">
        <v>29</v>
      </c>
      <c r="J316" s="175">
        <v>44281</v>
      </c>
      <c r="K316" s="174">
        <v>473</v>
      </c>
      <c r="L316" s="176">
        <v>62.808888888888887</v>
      </c>
      <c r="M316" s="174" t="s">
        <v>89</v>
      </c>
    </row>
    <row r="317" spans="1:13" s="174" customFormat="1" ht="35" customHeight="1">
      <c r="A317" s="174">
        <f>ROW()-2</f>
        <v>315</v>
      </c>
      <c r="B317" s="174" t="s">
        <v>1577</v>
      </c>
      <c r="C317" s="174" t="s">
        <v>83</v>
      </c>
      <c r="D317" s="174" t="s">
        <v>155</v>
      </c>
      <c r="E317" s="174" t="s">
        <v>156</v>
      </c>
      <c r="F317" s="174" t="s">
        <v>1748</v>
      </c>
      <c r="G317" s="174" t="s">
        <v>1749</v>
      </c>
      <c r="H317" s="174" t="s">
        <v>1750</v>
      </c>
      <c r="I317" s="174" t="s">
        <v>29</v>
      </c>
      <c r="J317" s="175">
        <v>44440</v>
      </c>
      <c r="K317" s="174">
        <v>746</v>
      </c>
      <c r="L317" s="176">
        <v>152.66861111111112</v>
      </c>
      <c r="M317" s="174" t="s">
        <v>89</v>
      </c>
    </row>
    <row r="318" spans="1:13" s="174" customFormat="1" ht="35" customHeight="1">
      <c r="A318" s="174">
        <f>ROW()-2</f>
        <v>316</v>
      </c>
      <c r="B318" s="174" t="s">
        <v>1577</v>
      </c>
      <c r="C318" s="174" t="s">
        <v>83</v>
      </c>
      <c r="D318" s="174" t="s">
        <v>155</v>
      </c>
      <c r="E318" s="174" t="s">
        <v>202</v>
      </c>
      <c r="F318" s="174" t="s">
        <v>2494</v>
      </c>
      <c r="G318" s="174" t="s">
        <v>2494</v>
      </c>
      <c r="H318" s="174" t="s">
        <v>2495</v>
      </c>
      <c r="I318" s="174" t="s">
        <v>29</v>
      </c>
      <c r="J318" s="175">
        <v>44534</v>
      </c>
      <c r="K318" s="174">
        <v>8</v>
      </c>
      <c r="L318" s="176">
        <v>3.9116666666666666</v>
      </c>
      <c r="M318" s="174" t="s">
        <v>20</v>
      </c>
    </row>
    <row r="319" spans="1:13" s="174" customFormat="1" ht="35" customHeight="1">
      <c r="A319" s="174">
        <f>ROW()-2</f>
        <v>317</v>
      </c>
      <c r="B319" s="174" t="s">
        <v>1577</v>
      </c>
      <c r="C319" s="174" t="s">
        <v>83</v>
      </c>
      <c r="D319" s="174" t="s">
        <v>168</v>
      </c>
      <c r="E319" s="174" t="s">
        <v>1362</v>
      </c>
      <c r="F319" s="174" t="s">
        <v>1600</v>
      </c>
      <c r="G319" s="174" t="s">
        <v>1601</v>
      </c>
      <c r="H319" s="174" t="s">
        <v>1176</v>
      </c>
      <c r="I319" s="174" t="s">
        <v>29</v>
      </c>
      <c r="J319" s="175">
        <v>43390</v>
      </c>
      <c r="K319" s="174">
        <v>91</v>
      </c>
      <c r="L319" s="176">
        <v>16.902777777777779</v>
      </c>
      <c r="M319" s="174" t="s">
        <v>20</v>
      </c>
    </row>
    <row r="320" spans="1:13" s="174" customFormat="1" ht="35" customHeight="1">
      <c r="A320" s="174">
        <f>ROW()-2</f>
        <v>318</v>
      </c>
      <c r="B320" s="174" t="s">
        <v>1577</v>
      </c>
      <c r="C320" s="174" t="s">
        <v>83</v>
      </c>
      <c r="D320" s="174" t="s">
        <v>168</v>
      </c>
      <c r="E320" s="174" t="s">
        <v>169</v>
      </c>
      <c r="F320" s="174" t="s">
        <v>1624</v>
      </c>
      <c r="G320" s="174" t="s">
        <v>1760</v>
      </c>
      <c r="H320" s="174" t="s">
        <v>1176</v>
      </c>
      <c r="I320" s="174" t="s">
        <v>29</v>
      </c>
      <c r="J320" s="175">
        <v>43391</v>
      </c>
      <c r="K320" s="174">
        <v>53</v>
      </c>
      <c r="L320" s="176">
        <v>9.8213888888888885</v>
      </c>
      <c r="M320" s="174" t="s">
        <v>20</v>
      </c>
    </row>
    <row r="321" spans="1:45" s="174" customFormat="1" ht="35" customHeight="1">
      <c r="A321" s="174">
        <f>ROW()-2</f>
        <v>319</v>
      </c>
      <c r="B321" s="174" t="s">
        <v>1577</v>
      </c>
      <c r="C321" s="174" t="s">
        <v>83</v>
      </c>
      <c r="D321" s="174" t="s">
        <v>168</v>
      </c>
      <c r="E321" s="174" t="s">
        <v>169</v>
      </c>
      <c r="F321" s="174" t="s">
        <v>1761</v>
      </c>
      <c r="G321" s="174" t="s">
        <v>1622</v>
      </c>
      <c r="H321" s="174" t="s">
        <v>1623</v>
      </c>
      <c r="I321" s="174" t="s">
        <v>29</v>
      </c>
      <c r="J321" s="175">
        <v>43391</v>
      </c>
      <c r="K321" s="174">
        <v>120</v>
      </c>
      <c r="L321" s="176">
        <v>23.039722222222224</v>
      </c>
      <c r="M321" s="174" t="s">
        <v>20</v>
      </c>
    </row>
    <row r="322" spans="1:45" s="174" customFormat="1" ht="35" customHeight="1">
      <c r="A322" s="174">
        <f>ROW()-2</f>
        <v>320</v>
      </c>
      <c r="B322" s="174" t="s">
        <v>1577</v>
      </c>
      <c r="C322" s="174" t="s">
        <v>83</v>
      </c>
      <c r="D322" s="174" t="s">
        <v>119</v>
      </c>
      <c r="E322" s="174" t="s">
        <v>127</v>
      </c>
      <c r="F322" s="174" t="s">
        <v>1581</v>
      </c>
      <c r="G322" s="174" t="s">
        <v>1582</v>
      </c>
      <c r="H322" s="174" t="s">
        <v>1583</v>
      </c>
      <c r="I322" s="174" t="s">
        <v>29</v>
      </c>
      <c r="J322" s="175">
        <v>43256</v>
      </c>
      <c r="K322" s="174">
        <v>27</v>
      </c>
      <c r="L322" s="176">
        <v>3.9655555555555555</v>
      </c>
      <c r="M322" s="174" t="s">
        <v>20</v>
      </c>
    </row>
    <row r="323" spans="1:45" s="181" customFormat="1" ht="35" customHeight="1">
      <c r="A323" s="174">
        <f>ROW()-2</f>
        <v>321</v>
      </c>
      <c r="B323" s="174" t="s">
        <v>1577</v>
      </c>
      <c r="C323" s="174" t="s">
        <v>83</v>
      </c>
      <c r="D323" s="174" t="s">
        <v>119</v>
      </c>
      <c r="E323" s="174" t="s">
        <v>120</v>
      </c>
      <c r="F323" s="174" t="s">
        <v>1584</v>
      </c>
      <c r="G323" s="174" t="s">
        <v>1585</v>
      </c>
      <c r="H323" s="174" t="s">
        <v>1586</v>
      </c>
      <c r="I323" s="174" t="s">
        <v>29</v>
      </c>
      <c r="J323" s="175">
        <v>43256</v>
      </c>
      <c r="K323" s="174">
        <v>107</v>
      </c>
      <c r="L323" s="176">
        <v>21.153055555555557</v>
      </c>
      <c r="M323" s="174" t="s">
        <v>20</v>
      </c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  <c r="AB323" s="174"/>
      <c r="AC323" s="174"/>
      <c r="AD323" s="174"/>
      <c r="AE323" s="174"/>
      <c r="AF323" s="174"/>
      <c r="AG323" s="174"/>
      <c r="AH323" s="174"/>
      <c r="AI323" s="174"/>
      <c r="AJ323" s="174"/>
      <c r="AK323" s="174"/>
      <c r="AL323" s="174"/>
      <c r="AM323" s="174"/>
      <c r="AN323" s="174"/>
      <c r="AO323" s="174"/>
      <c r="AP323" s="174"/>
      <c r="AQ323" s="174"/>
      <c r="AR323" s="174"/>
      <c r="AS323" s="174"/>
    </row>
    <row r="324" spans="1:45" s="181" customFormat="1" ht="35" customHeight="1">
      <c r="A324" s="174">
        <f>ROW()-2</f>
        <v>322</v>
      </c>
      <c r="B324" s="174" t="s">
        <v>1577</v>
      </c>
      <c r="C324" s="174" t="s">
        <v>83</v>
      </c>
      <c r="D324" s="174" t="s">
        <v>119</v>
      </c>
      <c r="E324" s="174" t="s">
        <v>127</v>
      </c>
      <c r="F324" s="174" t="s">
        <v>1590</v>
      </c>
      <c r="G324" s="174" t="s">
        <v>1591</v>
      </c>
      <c r="H324" s="174" t="s">
        <v>1592</v>
      </c>
      <c r="I324" s="174" t="s">
        <v>29</v>
      </c>
      <c r="J324" s="175">
        <v>43257</v>
      </c>
      <c r="K324" s="174">
        <v>230</v>
      </c>
      <c r="L324" s="176">
        <v>32.506666666666668</v>
      </c>
      <c r="M324" s="174" t="s">
        <v>89</v>
      </c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  <c r="AC324" s="174"/>
      <c r="AD324" s="174"/>
      <c r="AE324" s="174"/>
      <c r="AF324" s="174"/>
      <c r="AG324" s="174"/>
      <c r="AH324" s="174"/>
      <c r="AI324" s="174"/>
      <c r="AJ324" s="174"/>
      <c r="AK324" s="174"/>
      <c r="AL324" s="174"/>
      <c r="AM324" s="174"/>
      <c r="AN324" s="174"/>
      <c r="AO324" s="174"/>
      <c r="AP324" s="174"/>
      <c r="AQ324" s="174"/>
      <c r="AR324" s="174"/>
      <c r="AS324" s="174"/>
    </row>
    <row r="325" spans="1:45" s="4" customFormat="1" ht="35" customHeight="1">
      <c r="A325" s="174">
        <f>ROW()-2</f>
        <v>323</v>
      </c>
      <c r="B325" s="174" t="s">
        <v>1577</v>
      </c>
      <c r="C325" s="174" t="s">
        <v>83</v>
      </c>
      <c r="D325" s="174" t="s">
        <v>119</v>
      </c>
      <c r="E325" s="246" t="s">
        <v>127</v>
      </c>
      <c r="F325" s="246" t="s">
        <v>1598</v>
      </c>
      <c r="G325" s="246" t="s">
        <v>1599</v>
      </c>
      <c r="H325" s="246" t="s">
        <v>1176</v>
      </c>
      <c r="I325" s="174" t="s">
        <v>29</v>
      </c>
      <c r="J325" s="257">
        <v>43390</v>
      </c>
      <c r="K325" s="246">
        <v>397</v>
      </c>
      <c r="L325" s="258">
        <v>49.49388888888889</v>
      </c>
      <c r="M325" s="246" t="s">
        <v>89</v>
      </c>
      <c r="N325" s="246"/>
      <c r="O325" s="246"/>
      <c r="P325" s="246"/>
      <c r="Q325" s="246"/>
      <c r="R325" s="246"/>
      <c r="S325" s="246"/>
      <c r="T325" s="246"/>
      <c r="U325" s="246"/>
      <c r="V325" s="246"/>
      <c r="W325" s="246"/>
      <c r="X325" s="246"/>
      <c r="Y325" s="246"/>
      <c r="Z325" s="246"/>
      <c r="AA325" s="246"/>
      <c r="AB325" s="246"/>
      <c r="AC325" s="246"/>
      <c r="AD325" s="246"/>
      <c r="AE325" s="246"/>
      <c r="AF325" s="246"/>
      <c r="AG325" s="246"/>
      <c r="AH325" s="246"/>
      <c r="AI325" s="246"/>
      <c r="AJ325" s="246"/>
      <c r="AK325" s="246"/>
      <c r="AL325" s="246"/>
      <c r="AM325" s="246"/>
      <c r="AN325" s="246"/>
      <c r="AO325" s="246"/>
      <c r="AP325" s="246"/>
      <c r="AQ325" s="246"/>
      <c r="AR325" s="246"/>
      <c r="AS325" s="246"/>
    </row>
    <row r="326" spans="1:45" s="252" customFormat="1" ht="35" customHeight="1">
      <c r="A326" s="174">
        <f>ROW()-2</f>
        <v>324</v>
      </c>
      <c r="B326" s="246" t="s">
        <v>1577</v>
      </c>
      <c r="C326" s="246" t="s">
        <v>83</v>
      </c>
      <c r="D326" s="246" t="s">
        <v>119</v>
      </c>
      <c r="E326" s="246" t="s">
        <v>127</v>
      </c>
      <c r="F326" s="246" t="s">
        <v>2574</v>
      </c>
      <c r="G326" s="246" t="s">
        <v>1617</v>
      </c>
      <c r="H326" s="246" t="s">
        <v>1618</v>
      </c>
      <c r="I326" s="174" t="s">
        <v>29</v>
      </c>
      <c r="J326" s="257">
        <v>43391</v>
      </c>
      <c r="K326" s="246">
        <v>18</v>
      </c>
      <c r="L326" s="258">
        <v>4.2450000000000001</v>
      </c>
      <c r="M326" s="246" t="s">
        <v>20</v>
      </c>
      <c r="N326" s="246"/>
      <c r="O326" s="246"/>
      <c r="P326" s="246"/>
      <c r="Q326" s="246"/>
      <c r="R326" s="246"/>
      <c r="S326" s="246"/>
      <c r="T326" s="246"/>
      <c r="U326" s="246"/>
      <c r="V326" s="246"/>
      <c r="W326" s="246"/>
      <c r="X326" s="246"/>
      <c r="Y326" s="246"/>
      <c r="Z326" s="246"/>
      <c r="AA326" s="246"/>
      <c r="AB326" s="246"/>
      <c r="AC326" s="246"/>
      <c r="AD326" s="246"/>
      <c r="AE326" s="246"/>
      <c r="AF326" s="246"/>
      <c r="AG326" s="246"/>
      <c r="AH326" s="246"/>
      <c r="AI326" s="246"/>
      <c r="AJ326" s="246"/>
      <c r="AK326" s="246"/>
      <c r="AL326" s="246"/>
      <c r="AM326" s="246"/>
      <c r="AN326" s="246"/>
      <c r="AO326" s="246"/>
      <c r="AP326" s="246"/>
      <c r="AQ326" s="246"/>
      <c r="AR326" s="246"/>
      <c r="AS326" s="246"/>
    </row>
    <row r="327" spans="1:45" s="252" customFormat="1" ht="35" customHeight="1">
      <c r="A327" s="174">
        <f>ROW()-2</f>
        <v>325</v>
      </c>
      <c r="B327" s="246" t="s">
        <v>1577</v>
      </c>
      <c r="C327" s="246" t="s">
        <v>83</v>
      </c>
      <c r="D327" s="246" t="s">
        <v>119</v>
      </c>
      <c r="E327" s="246" t="s">
        <v>127</v>
      </c>
      <c r="F327" s="246" t="s">
        <v>1619</v>
      </c>
      <c r="G327" s="246" t="s">
        <v>1620</v>
      </c>
      <c r="H327" s="246" t="s">
        <v>1621</v>
      </c>
      <c r="I327" s="174" t="s">
        <v>29</v>
      </c>
      <c r="J327" s="257">
        <v>43391</v>
      </c>
      <c r="K327" s="246">
        <v>15</v>
      </c>
      <c r="L327" s="258">
        <v>2.7197222222222224</v>
      </c>
      <c r="M327" s="246" t="s">
        <v>20</v>
      </c>
      <c r="N327" s="246"/>
      <c r="O327" s="246"/>
      <c r="P327" s="246"/>
      <c r="Q327" s="246"/>
      <c r="R327" s="246"/>
      <c r="S327" s="246"/>
      <c r="T327" s="246"/>
      <c r="U327" s="246"/>
      <c r="V327" s="246"/>
      <c r="W327" s="246"/>
      <c r="X327" s="246"/>
      <c r="Y327" s="246"/>
      <c r="Z327" s="246"/>
      <c r="AA327" s="246"/>
      <c r="AB327" s="246"/>
      <c r="AC327" s="246"/>
      <c r="AD327" s="246"/>
      <c r="AE327" s="246"/>
      <c r="AF327" s="246"/>
      <c r="AG327" s="246"/>
      <c r="AH327" s="246"/>
      <c r="AI327" s="246"/>
      <c r="AJ327" s="246"/>
      <c r="AK327" s="246"/>
      <c r="AL327" s="246"/>
      <c r="AM327" s="246"/>
      <c r="AN327" s="246"/>
      <c r="AO327" s="246"/>
      <c r="AP327" s="246"/>
      <c r="AQ327" s="246"/>
      <c r="AR327" s="246"/>
      <c r="AS327" s="246"/>
    </row>
    <row r="328" spans="1:45" s="4" customFormat="1" ht="35" customHeight="1">
      <c r="A328" s="174">
        <f>ROW()-2</f>
        <v>326</v>
      </c>
      <c r="B328" s="246" t="s">
        <v>1577</v>
      </c>
      <c r="C328" s="246" t="s">
        <v>83</v>
      </c>
      <c r="D328" s="246" t="s">
        <v>119</v>
      </c>
      <c r="E328" s="246" t="s">
        <v>127</v>
      </c>
      <c r="F328" s="246" t="s">
        <v>5448</v>
      </c>
      <c r="G328" s="246" t="s">
        <v>1628</v>
      </c>
      <c r="H328" s="246" t="s">
        <v>1629</v>
      </c>
      <c r="I328" s="246" t="s">
        <v>29</v>
      </c>
      <c r="J328" s="175">
        <v>43438</v>
      </c>
      <c r="K328" s="174">
        <v>53</v>
      </c>
      <c r="L328" s="258">
        <v>12.400833333333333</v>
      </c>
      <c r="M328" s="246" t="s">
        <v>20</v>
      </c>
      <c r="N328" s="246"/>
      <c r="O328" s="246"/>
      <c r="P328" s="246"/>
      <c r="Q328" s="246"/>
      <c r="R328" s="246"/>
      <c r="S328" s="246"/>
      <c r="T328" s="246"/>
      <c r="U328" s="246"/>
      <c r="V328" s="246"/>
      <c r="W328" s="246"/>
      <c r="X328" s="246"/>
      <c r="Y328" s="246"/>
      <c r="Z328" s="246"/>
      <c r="AA328" s="246"/>
      <c r="AB328" s="246"/>
      <c r="AC328" s="246"/>
      <c r="AD328" s="246"/>
      <c r="AE328" s="246"/>
      <c r="AF328" s="246"/>
      <c r="AG328" s="246"/>
      <c r="AH328" s="246"/>
      <c r="AI328" s="246"/>
      <c r="AJ328" s="246"/>
      <c r="AK328" s="246"/>
      <c r="AL328" s="246"/>
      <c r="AM328" s="246"/>
      <c r="AN328" s="246"/>
      <c r="AO328" s="246"/>
      <c r="AP328" s="246"/>
      <c r="AQ328" s="246"/>
      <c r="AR328" s="246"/>
      <c r="AS328" s="246"/>
    </row>
    <row r="329" spans="1:45" s="4" customFormat="1" ht="35" customHeight="1">
      <c r="A329" s="174">
        <f>ROW()-2</f>
        <v>327</v>
      </c>
      <c r="B329" s="246" t="s">
        <v>1577</v>
      </c>
      <c r="C329" s="246" t="s">
        <v>83</v>
      </c>
      <c r="D329" s="246" t="s">
        <v>119</v>
      </c>
      <c r="E329" s="246" t="s">
        <v>120</v>
      </c>
      <c r="F329" s="246" t="s">
        <v>1664</v>
      </c>
      <c r="G329" s="246" t="s">
        <v>1665</v>
      </c>
      <c r="H329" s="246" t="s">
        <v>1666</v>
      </c>
      <c r="I329" s="246" t="s">
        <v>29</v>
      </c>
      <c r="J329" s="175">
        <v>43448</v>
      </c>
      <c r="K329" s="174">
        <v>635</v>
      </c>
      <c r="L329" s="258">
        <v>183.86083333333335</v>
      </c>
      <c r="M329" s="246" t="s">
        <v>89</v>
      </c>
      <c r="N329" s="246"/>
      <c r="O329" s="246"/>
      <c r="P329" s="246"/>
      <c r="Q329" s="246"/>
      <c r="R329" s="246"/>
      <c r="S329" s="246"/>
      <c r="T329" s="246"/>
      <c r="U329" s="246"/>
      <c r="V329" s="246"/>
      <c r="W329" s="246"/>
      <c r="X329" s="246"/>
      <c r="Y329" s="246"/>
      <c r="Z329" s="246"/>
      <c r="AA329" s="246"/>
      <c r="AB329" s="246"/>
      <c r="AC329" s="246"/>
      <c r="AD329" s="246"/>
      <c r="AE329" s="246"/>
      <c r="AF329" s="246"/>
      <c r="AG329" s="246"/>
      <c r="AH329" s="246"/>
      <c r="AI329" s="246"/>
      <c r="AJ329" s="246"/>
      <c r="AK329" s="246"/>
      <c r="AL329" s="246"/>
      <c r="AM329" s="246"/>
      <c r="AN329" s="246"/>
      <c r="AO329" s="246"/>
      <c r="AP329" s="246"/>
      <c r="AQ329" s="246"/>
      <c r="AR329" s="246"/>
      <c r="AS329" s="246"/>
    </row>
    <row r="330" spans="1:45" s="4" customFormat="1" ht="35" customHeight="1">
      <c r="A330" s="174">
        <f>ROW()-2</f>
        <v>328</v>
      </c>
      <c r="B330" s="246" t="s">
        <v>1577</v>
      </c>
      <c r="C330" s="246" t="s">
        <v>83</v>
      </c>
      <c r="D330" s="246" t="s">
        <v>119</v>
      </c>
      <c r="E330" s="246" t="s">
        <v>127</v>
      </c>
      <c r="F330" s="246" t="s">
        <v>1680</v>
      </c>
      <c r="G330" s="246" t="s">
        <v>1681</v>
      </c>
      <c r="H330" s="246" t="s">
        <v>1682</v>
      </c>
      <c r="I330" s="246" t="s">
        <v>29</v>
      </c>
      <c r="J330" s="175">
        <v>43459</v>
      </c>
      <c r="K330" s="174">
        <v>208</v>
      </c>
      <c r="L330" s="258">
        <v>24.065833333333334</v>
      </c>
      <c r="M330" s="246" t="s">
        <v>20</v>
      </c>
      <c r="N330" s="246"/>
      <c r="O330" s="246"/>
      <c r="P330" s="246"/>
      <c r="Q330" s="246"/>
      <c r="R330" s="246"/>
      <c r="S330" s="246"/>
      <c r="T330" s="246"/>
      <c r="U330" s="246"/>
      <c r="V330" s="246"/>
      <c r="W330" s="246"/>
      <c r="X330" s="246"/>
      <c r="Y330" s="246"/>
      <c r="Z330" s="246"/>
      <c r="AA330" s="246"/>
      <c r="AB330" s="246"/>
      <c r="AC330" s="246"/>
      <c r="AD330" s="246"/>
      <c r="AE330" s="246"/>
      <c r="AF330" s="246"/>
      <c r="AG330" s="246"/>
      <c r="AH330" s="246"/>
      <c r="AI330" s="246"/>
      <c r="AJ330" s="246"/>
      <c r="AK330" s="246"/>
      <c r="AL330" s="246"/>
      <c r="AM330" s="246"/>
      <c r="AN330" s="246"/>
      <c r="AO330" s="246"/>
      <c r="AP330" s="246"/>
      <c r="AQ330" s="246"/>
      <c r="AR330" s="246"/>
      <c r="AS330" s="246"/>
    </row>
    <row r="331" spans="1:45" s="252" customFormat="1" ht="35" customHeight="1">
      <c r="A331" s="174">
        <f>ROW()-2</f>
        <v>329</v>
      </c>
      <c r="B331" s="246" t="s">
        <v>1577</v>
      </c>
      <c r="C331" s="246" t="s">
        <v>83</v>
      </c>
      <c r="D331" s="246" t="s">
        <v>119</v>
      </c>
      <c r="E331" s="246" t="s">
        <v>120</v>
      </c>
      <c r="F331" s="246" t="s">
        <v>1700</v>
      </c>
      <c r="G331" s="246" t="s">
        <v>1701</v>
      </c>
      <c r="H331" s="246" t="s">
        <v>1586</v>
      </c>
      <c r="I331" s="246" t="s">
        <v>29</v>
      </c>
      <c r="J331" s="257">
        <v>43673</v>
      </c>
      <c r="K331" s="246">
        <v>347</v>
      </c>
      <c r="L331" s="258">
        <v>74.87833333333333</v>
      </c>
      <c r="M331" s="246" t="s">
        <v>20</v>
      </c>
      <c r="N331" s="246"/>
      <c r="O331" s="246"/>
      <c r="P331" s="246"/>
      <c r="Q331" s="246"/>
      <c r="R331" s="246"/>
      <c r="S331" s="246"/>
      <c r="T331" s="246"/>
      <c r="U331" s="246"/>
      <c r="V331" s="246"/>
      <c r="W331" s="246"/>
      <c r="X331" s="246"/>
      <c r="Y331" s="246"/>
      <c r="Z331" s="246"/>
      <c r="AA331" s="246"/>
      <c r="AB331" s="246"/>
      <c r="AC331" s="246"/>
      <c r="AD331" s="246"/>
      <c r="AE331" s="246"/>
      <c r="AF331" s="246"/>
      <c r="AG331" s="246"/>
      <c r="AH331" s="246"/>
      <c r="AI331" s="246"/>
      <c r="AJ331" s="246"/>
      <c r="AK331" s="246"/>
      <c r="AL331" s="246"/>
      <c r="AM331" s="246"/>
      <c r="AN331" s="246"/>
      <c r="AO331" s="246"/>
      <c r="AP331" s="246"/>
      <c r="AQ331" s="246"/>
      <c r="AR331" s="246"/>
      <c r="AS331" s="246"/>
    </row>
    <row r="332" spans="1:45" s="252" customFormat="1" ht="35" customHeight="1">
      <c r="A332" s="174">
        <f>ROW()-2</f>
        <v>330</v>
      </c>
      <c r="B332" s="246" t="s">
        <v>1577</v>
      </c>
      <c r="C332" s="246" t="s">
        <v>83</v>
      </c>
      <c r="D332" s="246" t="s">
        <v>119</v>
      </c>
      <c r="E332" s="246" t="s">
        <v>161</v>
      </c>
      <c r="F332" s="246" t="s">
        <v>1704</v>
      </c>
      <c r="G332" s="246" t="s">
        <v>1705</v>
      </c>
      <c r="H332" s="246" t="s">
        <v>1706</v>
      </c>
      <c r="I332" s="246" t="s">
        <v>29</v>
      </c>
      <c r="J332" s="257">
        <v>43756</v>
      </c>
      <c r="K332" s="246">
        <v>111</v>
      </c>
      <c r="L332" s="258">
        <v>5.743611111111111</v>
      </c>
      <c r="M332" s="246" t="s">
        <v>20</v>
      </c>
      <c r="N332" s="246"/>
      <c r="O332" s="246"/>
      <c r="P332" s="246"/>
      <c r="Q332" s="246"/>
      <c r="R332" s="246"/>
      <c r="S332" s="246"/>
      <c r="T332" s="246"/>
      <c r="U332" s="246"/>
      <c r="V332" s="246"/>
      <c r="W332" s="246"/>
      <c r="X332" s="246"/>
      <c r="Y332" s="246"/>
      <c r="Z332" s="246"/>
      <c r="AA332" s="246"/>
      <c r="AB332" s="246"/>
      <c r="AC332" s="246"/>
      <c r="AD332" s="246"/>
      <c r="AE332" s="246"/>
      <c r="AF332" s="246"/>
      <c r="AG332" s="246"/>
      <c r="AH332" s="246"/>
      <c r="AI332" s="246"/>
      <c r="AJ332" s="246"/>
      <c r="AK332" s="246"/>
      <c r="AL332" s="246"/>
      <c r="AM332" s="246"/>
      <c r="AN332" s="246"/>
      <c r="AO332" s="246"/>
      <c r="AP332" s="246"/>
      <c r="AQ332" s="246"/>
      <c r="AR332" s="246"/>
      <c r="AS332" s="246"/>
    </row>
    <row r="333" spans="1:45" s="4" customFormat="1" ht="35" customHeight="1">
      <c r="A333" s="174">
        <f>ROW()-2</f>
        <v>331</v>
      </c>
      <c r="B333" s="246" t="s">
        <v>1577</v>
      </c>
      <c r="C333" s="246" t="s">
        <v>83</v>
      </c>
      <c r="D333" s="246" t="s">
        <v>119</v>
      </c>
      <c r="E333" s="309" t="s">
        <v>161</v>
      </c>
      <c r="F333" s="309" t="s">
        <v>1741</v>
      </c>
      <c r="G333" s="309" t="s">
        <v>1742</v>
      </c>
      <c r="H333" s="309" t="s">
        <v>1743</v>
      </c>
      <c r="I333" s="246" t="s">
        <v>29</v>
      </c>
      <c r="J333" s="257">
        <v>44188</v>
      </c>
      <c r="K333" s="246">
        <v>107</v>
      </c>
      <c r="L333" s="258">
        <v>193.68361111111111</v>
      </c>
      <c r="M333" s="246" t="s">
        <v>89</v>
      </c>
      <c r="N333" s="246"/>
      <c r="O333" s="246"/>
      <c r="P333" s="246"/>
      <c r="Q333" s="246"/>
      <c r="R333" s="246"/>
      <c r="S333" s="246"/>
      <c r="T333" s="246"/>
      <c r="U333" s="246"/>
      <c r="V333" s="246"/>
      <c r="W333" s="246"/>
      <c r="X333" s="246"/>
      <c r="Y333" s="246"/>
      <c r="Z333" s="246"/>
      <c r="AA333" s="246"/>
      <c r="AB333" s="246"/>
      <c r="AC333" s="246"/>
      <c r="AD333" s="246"/>
      <c r="AE333" s="246"/>
      <c r="AF333" s="246"/>
      <c r="AG333" s="246"/>
      <c r="AH333" s="246"/>
      <c r="AI333" s="246"/>
      <c r="AJ333" s="246"/>
      <c r="AK333" s="246"/>
      <c r="AL333" s="246"/>
      <c r="AM333" s="246"/>
      <c r="AN333" s="246"/>
      <c r="AO333" s="246"/>
      <c r="AP333" s="246"/>
      <c r="AQ333" s="253"/>
      <c r="AR333" s="253"/>
      <c r="AS333" s="253"/>
    </row>
    <row r="334" spans="1:45" s="4" customFormat="1" ht="35" customHeight="1">
      <c r="A334" s="174">
        <f>ROW()-2</f>
        <v>332</v>
      </c>
      <c r="B334" s="246" t="s">
        <v>1577</v>
      </c>
      <c r="C334" s="246" t="s">
        <v>83</v>
      </c>
      <c r="D334" s="246" t="s">
        <v>119</v>
      </c>
      <c r="E334" s="309" t="s">
        <v>127</v>
      </c>
      <c r="F334" s="309" t="s">
        <v>1747</v>
      </c>
      <c r="G334" s="309" t="s">
        <v>1747</v>
      </c>
      <c r="H334" s="309" t="s">
        <v>562</v>
      </c>
      <c r="I334" s="246" t="s">
        <v>29</v>
      </c>
      <c r="J334" s="257">
        <v>44406</v>
      </c>
      <c r="K334" s="246">
        <v>94</v>
      </c>
      <c r="L334" s="258">
        <v>12.677222222222222</v>
      </c>
      <c r="M334" s="246" t="s">
        <v>20</v>
      </c>
      <c r="N334" s="246"/>
      <c r="O334" s="246"/>
      <c r="P334" s="246"/>
      <c r="Q334" s="246"/>
      <c r="R334" s="246"/>
      <c r="S334" s="246"/>
      <c r="T334" s="246"/>
      <c r="U334" s="246"/>
      <c r="V334" s="246"/>
      <c r="W334" s="246"/>
      <c r="X334" s="246"/>
      <c r="Y334" s="246"/>
      <c r="Z334" s="246"/>
      <c r="AA334" s="246"/>
      <c r="AB334" s="246"/>
      <c r="AC334" s="246"/>
      <c r="AD334" s="246"/>
      <c r="AE334" s="246"/>
      <c r="AF334" s="246"/>
      <c r="AG334" s="246"/>
      <c r="AH334" s="246"/>
      <c r="AI334" s="246"/>
      <c r="AJ334" s="246"/>
      <c r="AK334" s="246"/>
      <c r="AL334" s="246"/>
      <c r="AM334" s="246"/>
      <c r="AN334" s="246"/>
      <c r="AO334" s="246"/>
      <c r="AP334" s="246"/>
      <c r="AQ334" s="253"/>
      <c r="AR334" s="253"/>
      <c r="AS334" s="253"/>
    </row>
  </sheetData>
  <sortState ref="A3:AS334">
    <sortCondition ref="B3:B334" customList="VIP 精品课，畅听课"/>
    <sortCondition ref="D3:D334" customList="前沿趋势，商业财经，用户思维，逻辑思维，沟通表达，高效办公，项目管理，数据分析，职场心理"/>
  </sortState>
  <mergeCells count="1">
    <mergeCell ref="A1:N1"/>
  </mergeCells>
  <phoneticPr fontId="1" type="noConversion"/>
  <conditionalFormatting sqref="F3:F330">
    <cfRule type="duplicateValues" dxfId="13" priority="4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DA52-CD7C-41F1-81E5-D9718A9A4FE1}">
  <dimension ref="A1:AS233"/>
  <sheetViews>
    <sheetView tabSelected="1" workbookViewId="0">
      <pane ySplit="2" topLeftCell="A3" activePane="bottomLeft" state="frozen"/>
      <selection pane="bottomLeft" activeCell="F4" sqref="F4"/>
    </sheetView>
  </sheetViews>
  <sheetFormatPr defaultRowHeight="14"/>
  <cols>
    <col min="1" max="1" width="5.5" style="4" customWidth="1"/>
    <col min="2" max="2" width="14.6640625" style="4" customWidth="1"/>
    <col min="3" max="4" width="8.6640625" style="4"/>
    <col min="5" max="5" width="13" style="4" customWidth="1"/>
    <col min="6" max="6" width="31.33203125" style="4" customWidth="1"/>
    <col min="7" max="7" width="41.33203125" style="4" customWidth="1"/>
    <col min="8" max="9" width="8.6640625" style="4"/>
    <col min="10" max="10" width="10.58203125" style="4" bestFit="1" customWidth="1"/>
    <col min="11" max="16384" width="8.6640625" style="4"/>
  </cols>
  <sheetData>
    <row r="1" spans="1:42" s="29" customFormat="1" ht="35" customHeight="1">
      <c r="A1" s="300" t="s">
        <v>2721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</row>
    <row r="2" spans="1:42" ht="35" customHeight="1">
      <c r="A2" s="17" t="s">
        <v>11</v>
      </c>
      <c r="B2" s="17" t="s">
        <v>0</v>
      </c>
      <c r="C2" s="17" t="s">
        <v>13</v>
      </c>
      <c r="D2" s="17" t="s">
        <v>1</v>
      </c>
      <c r="E2" s="18" t="s">
        <v>2</v>
      </c>
      <c r="F2" s="17" t="s">
        <v>12</v>
      </c>
      <c r="G2" s="17" t="s">
        <v>3</v>
      </c>
      <c r="H2" s="17" t="s">
        <v>4</v>
      </c>
      <c r="I2" s="17" t="s">
        <v>5</v>
      </c>
      <c r="J2" s="17" t="s">
        <v>6</v>
      </c>
      <c r="K2" s="19" t="s">
        <v>2642</v>
      </c>
      <c r="L2" s="20" t="s">
        <v>2641</v>
      </c>
      <c r="M2" s="17" t="s">
        <v>9</v>
      </c>
      <c r="N2" s="17" t="s">
        <v>10</v>
      </c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42" s="174" customFormat="1" ht="35" customHeight="1">
      <c r="A3" s="174">
        <f>ROW()-2</f>
        <v>1</v>
      </c>
      <c r="B3" s="174" t="s">
        <v>14</v>
      </c>
      <c r="C3" s="174" t="s">
        <v>966</v>
      </c>
      <c r="D3" s="174" t="s">
        <v>62</v>
      </c>
      <c r="E3" s="174" t="s">
        <v>1001</v>
      </c>
      <c r="F3" s="174" t="s">
        <v>1020</v>
      </c>
      <c r="G3" s="174" t="s">
        <v>1021</v>
      </c>
      <c r="H3" s="174" t="s">
        <v>1022</v>
      </c>
      <c r="I3" s="174" t="s">
        <v>17</v>
      </c>
      <c r="J3" s="177">
        <v>43570</v>
      </c>
      <c r="K3" s="174">
        <v>71</v>
      </c>
      <c r="L3" s="178">
        <v>26.369444444444444</v>
      </c>
      <c r="M3" s="174" t="s">
        <v>20</v>
      </c>
      <c r="N3" s="174">
        <v>188</v>
      </c>
    </row>
    <row r="4" spans="1:42" s="174" customFormat="1" ht="35" customHeight="1">
      <c r="A4" s="174">
        <f>ROW()-2</f>
        <v>2</v>
      </c>
      <c r="B4" s="174" t="s">
        <v>14</v>
      </c>
      <c r="C4" s="174" t="s">
        <v>966</v>
      </c>
      <c r="D4" s="174" t="s">
        <v>62</v>
      </c>
      <c r="E4" s="174" t="s">
        <v>1065</v>
      </c>
      <c r="F4" s="174" t="s">
        <v>1066</v>
      </c>
      <c r="G4" s="174" t="s">
        <v>1067</v>
      </c>
      <c r="H4" s="174" t="s">
        <v>1068</v>
      </c>
      <c r="I4" s="174" t="s">
        <v>29</v>
      </c>
      <c r="J4" s="177">
        <v>43912</v>
      </c>
      <c r="K4" s="174">
        <v>72</v>
      </c>
      <c r="L4" s="178">
        <v>20.74</v>
      </c>
      <c r="M4" s="174" t="s">
        <v>20</v>
      </c>
      <c r="N4" s="174">
        <v>199</v>
      </c>
    </row>
    <row r="5" spans="1:42" s="174" customFormat="1" ht="35" customHeight="1">
      <c r="A5" s="174">
        <f>ROW()-2</f>
        <v>3</v>
      </c>
      <c r="B5" s="174" t="s">
        <v>14</v>
      </c>
      <c r="C5" s="174" t="s">
        <v>966</v>
      </c>
      <c r="D5" s="174" t="s">
        <v>62</v>
      </c>
      <c r="E5" s="174" t="s">
        <v>1001</v>
      </c>
      <c r="F5" s="174" t="s">
        <v>1069</v>
      </c>
      <c r="G5" s="174" t="s">
        <v>1070</v>
      </c>
      <c r="H5" s="174" t="s">
        <v>289</v>
      </c>
      <c r="I5" s="174" t="s">
        <v>29</v>
      </c>
      <c r="J5" s="177">
        <v>43916</v>
      </c>
      <c r="K5" s="174">
        <v>33</v>
      </c>
      <c r="L5" s="178">
        <v>4.6574999999999998</v>
      </c>
      <c r="M5" s="174" t="s">
        <v>20</v>
      </c>
      <c r="N5" s="174">
        <v>199</v>
      </c>
    </row>
    <row r="6" spans="1:42" s="174" customFormat="1" ht="35" customHeight="1">
      <c r="A6" s="174">
        <f>ROW()-2</f>
        <v>4</v>
      </c>
      <c r="B6" s="174" t="s">
        <v>14</v>
      </c>
      <c r="C6" s="174" t="s">
        <v>966</v>
      </c>
      <c r="D6" s="174" t="s">
        <v>62</v>
      </c>
      <c r="E6" s="174" t="s">
        <v>1065</v>
      </c>
      <c r="F6" s="174" t="s">
        <v>1260</v>
      </c>
      <c r="G6" s="174" t="s">
        <v>1260</v>
      </c>
      <c r="H6" s="174" t="s">
        <v>1261</v>
      </c>
      <c r="I6" s="174" t="s">
        <v>29</v>
      </c>
      <c r="J6" s="177">
        <v>44517</v>
      </c>
      <c r="K6" s="174">
        <v>31</v>
      </c>
      <c r="L6" s="178">
        <v>7.9686111111111115</v>
      </c>
      <c r="M6" s="174" t="s">
        <v>20</v>
      </c>
      <c r="N6" s="174">
        <v>99</v>
      </c>
    </row>
    <row r="7" spans="1:42" s="174" customFormat="1" ht="35" customHeight="1">
      <c r="A7" s="174">
        <f>ROW()-2</f>
        <v>5</v>
      </c>
      <c r="B7" s="174" t="s">
        <v>14</v>
      </c>
      <c r="C7" s="174" t="s">
        <v>966</v>
      </c>
      <c r="D7" s="174" t="s">
        <v>62</v>
      </c>
      <c r="E7" s="174" t="s">
        <v>2584</v>
      </c>
      <c r="F7" s="174" t="s">
        <v>2585</v>
      </c>
      <c r="G7" s="174" t="s">
        <v>1271</v>
      </c>
      <c r="H7" s="174" t="s">
        <v>1272</v>
      </c>
      <c r="I7" s="174" t="s">
        <v>17</v>
      </c>
      <c r="J7" s="177">
        <v>44526</v>
      </c>
      <c r="K7" s="174">
        <v>38</v>
      </c>
      <c r="L7" s="178">
        <v>13.922222222222222</v>
      </c>
      <c r="M7" s="174" t="s">
        <v>20</v>
      </c>
      <c r="N7" s="174">
        <v>169</v>
      </c>
    </row>
    <row r="8" spans="1:42" s="174" customFormat="1" ht="35" customHeight="1">
      <c r="A8" s="174">
        <f>ROW()-2</f>
        <v>6</v>
      </c>
      <c r="B8" s="174" t="s">
        <v>14</v>
      </c>
      <c r="C8" s="174" t="s">
        <v>966</v>
      </c>
      <c r="D8" s="174" t="s">
        <v>62</v>
      </c>
      <c r="E8" s="174" t="s">
        <v>1001</v>
      </c>
      <c r="F8" s="174" t="s">
        <v>1275</v>
      </c>
      <c r="G8" s="174" t="s">
        <v>1275</v>
      </c>
      <c r="H8" s="174" t="s">
        <v>1276</v>
      </c>
      <c r="I8" s="174" t="s">
        <v>29</v>
      </c>
      <c r="J8" s="177">
        <v>44531</v>
      </c>
      <c r="K8" s="174">
        <v>11</v>
      </c>
      <c r="L8" s="178">
        <v>2.0099999999999998</v>
      </c>
      <c r="M8" s="174" t="s">
        <v>20</v>
      </c>
      <c r="N8" s="174">
        <v>49</v>
      </c>
    </row>
    <row r="9" spans="1:42" s="174" customFormat="1" ht="35" customHeight="1">
      <c r="A9" s="174">
        <f>ROW()-2</f>
        <v>7</v>
      </c>
      <c r="B9" s="174" t="s">
        <v>14</v>
      </c>
      <c r="C9" s="174" t="s">
        <v>966</v>
      </c>
      <c r="D9" s="174" t="s">
        <v>62</v>
      </c>
      <c r="E9" s="174" t="s">
        <v>2581</v>
      </c>
      <c r="F9" s="174" t="s">
        <v>1281</v>
      </c>
      <c r="G9" s="174" t="s">
        <v>1281</v>
      </c>
      <c r="H9" s="174" t="s">
        <v>1282</v>
      </c>
      <c r="I9" s="174" t="s">
        <v>17</v>
      </c>
      <c r="J9" s="177">
        <v>44534</v>
      </c>
      <c r="K9" s="174">
        <v>36</v>
      </c>
      <c r="L9" s="178">
        <v>7.7336111111111112</v>
      </c>
      <c r="M9" s="174" t="s">
        <v>20</v>
      </c>
      <c r="N9" s="174">
        <v>199</v>
      </c>
    </row>
    <row r="10" spans="1:42" s="174" customFormat="1" ht="35" customHeight="1">
      <c r="A10" s="174">
        <f>ROW()-2</f>
        <v>8</v>
      </c>
      <c r="B10" s="174" t="s">
        <v>14</v>
      </c>
      <c r="C10" s="174" t="s">
        <v>966</v>
      </c>
      <c r="D10" s="174" t="s">
        <v>62</v>
      </c>
      <c r="E10" s="174" t="s">
        <v>2582</v>
      </c>
      <c r="F10" s="174" t="s">
        <v>1283</v>
      </c>
      <c r="G10" s="174" t="s">
        <v>1283</v>
      </c>
      <c r="H10" s="174" t="s">
        <v>1284</v>
      </c>
      <c r="I10" s="174" t="s">
        <v>17</v>
      </c>
      <c r="J10" s="177">
        <v>44534</v>
      </c>
      <c r="K10" s="174">
        <v>20</v>
      </c>
      <c r="L10" s="178">
        <v>3.0633333333333335</v>
      </c>
      <c r="M10" s="174" t="s">
        <v>20</v>
      </c>
      <c r="N10" s="174">
        <v>199</v>
      </c>
    </row>
    <row r="11" spans="1:42" s="174" customFormat="1" ht="35" customHeight="1">
      <c r="A11" s="174">
        <f>ROW()-2</f>
        <v>9</v>
      </c>
      <c r="B11" s="174" t="s">
        <v>14</v>
      </c>
      <c r="C11" s="174" t="s">
        <v>966</v>
      </c>
      <c r="D11" s="174" t="s">
        <v>62</v>
      </c>
      <c r="E11" s="174" t="s">
        <v>2583</v>
      </c>
      <c r="F11" s="174" t="s">
        <v>1367</v>
      </c>
      <c r="G11" s="174" t="s">
        <v>1368</v>
      </c>
      <c r="H11" s="174" t="s">
        <v>1369</v>
      </c>
      <c r="I11" s="174" t="s">
        <v>17</v>
      </c>
      <c r="J11" s="177">
        <v>44546</v>
      </c>
      <c r="K11" s="174">
        <v>44</v>
      </c>
      <c r="L11" s="178">
        <v>8.0652777777777782</v>
      </c>
      <c r="M11" s="174" t="s">
        <v>20</v>
      </c>
      <c r="N11" s="174">
        <v>199</v>
      </c>
    </row>
    <row r="12" spans="1:42" s="174" customFormat="1" ht="35" customHeight="1">
      <c r="A12" s="174">
        <f>ROW()-2</f>
        <v>10</v>
      </c>
      <c r="B12" s="174" t="s">
        <v>14</v>
      </c>
      <c r="C12" s="174" t="s">
        <v>966</v>
      </c>
      <c r="D12" s="174" t="s">
        <v>62</v>
      </c>
      <c r="E12" s="174" t="s">
        <v>1380</v>
      </c>
      <c r="F12" s="174" t="s">
        <v>1381</v>
      </c>
      <c r="G12" s="174" t="s">
        <v>1381</v>
      </c>
      <c r="H12" s="174" t="s">
        <v>1382</v>
      </c>
      <c r="I12" s="174" t="s">
        <v>29</v>
      </c>
      <c r="J12" s="177">
        <v>44548</v>
      </c>
      <c r="K12" s="174">
        <v>15</v>
      </c>
      <c r="L12" s="178">
        <v>2.2969444444444442</v>
      </c>
      <c r="M12" s="174" t="s">
        <v>20</v>
      </c>
      <c r="N12" s="174">
        <v>138</v>
      </c>
    </row>
    <row r="13" spans="1:42" s="174" customFormat="1" ht="35" customHeight="1">
      <c r="A13" s="174">
        <f>ROW()-2</f>
        <v>11</v>
      </c>
      <c r="B13" s="174" t="s">
        <v>14</v>
      </c>
      <c r="C13" s="174" t="s">
        <v>966</v>
      </c>
      <c r="D13" s="174" t="s">
        <v>62</v>
      </c>
      <c r="E13" s="174" t="s">
        <v>1380</v>
      </c>
      <c r="F13" s="174" t="s">
        <v>1384</v>
      </c>
      <c r="G13" s="174" t="s">
        <v>1384</v>
      </c>
      <c r="H13" s="174" t="s">
        <v>1382</v>
      </c>
      <c r="I13" s="174" t="s">
        <v>29</v>
      </c>
      <c r="J13" s="177">
        <v>44548</v>
      </c>
      <c r="K13" s="174">
        <v>50</v>
      </c>
      <c r="L13" s="178">
        <v>9.4541666666666675</v>
      </c>
      <c r="M13" s="174" t="s">
        <v>20</v>
      </c>
      <c r="N13" s="174">
        <v>129</v>
      </c>
    </row>
    <row r="14" spans="1:42" s="174" customFormat="1" ht="35" customHeight="1">
      <c r="A14" s="174">
        <f>ROW()-2</f>
        <v>12</v>
      </c>
      <c r="B14" s="174" t="s">
        <v>14</v>
      </c>
      <c r="C14" s="174" t="s">
        <v>966</v>
      </c>
      <c r="D14" s="174" t="s">
        <v>62</v>
      </c>
      <c r="E14" s="174" t="s">
        <v>1380</v>
      </c>
      <c r="F14" s="174" t="s">
        <v>1385</v>
      </c>
      <c r="G14" s="174" t="s">
        <v>1385</v>
      </c>
      <c r="H14" s="174" t="s">
        <v>1382</v>
      </c>
      <c r="I14" s="174" t="s">
        <v>29</v>
      </c>
      <c r="J14" s="177">
        <v>44548</v>
      </c>
      <c r="K14" s="174">
        <v>19</v>
      </c>
      <c r="L14" s="178">
        <v>3.4538888888888888</v>
      </c>
      <c r="M14" s="174" t="s">
        <v>20</v>
      </c>
      <c r="N14" s="174">
        <v>129</v>
      </c>
    </row>
    <row r="15" spans="1:42" s="174" customFormat="1" ht="35" customHeight="1">
      <c r="A15" s="174">
        <f>ROW()-2</f>
        <v>13</v>
      </c>
      <c r="B15" s="174" t="s">
        <v>14</v>
      </c>
      <c r="C15" s="174" t="s">
        <v>966</v>
      </c>
      <c r="D15" s="174" t="s">
        <v>62</v>
      </c>
      <c r="E15" s="174" t="s">
        <v>1366</v>
      </c>
      <c r="F15" s="174" t="s">
        <v>1391</v>
      </c>
      <c r="G15" s="174" t="s">
        <v>1392</v>
      </c>
      <c r="H15" s="174" t="s">
        <v>1393</v>
      </c>
      <c r="I15" s="174" t="s">
        <v>17</v>
      </c>
      <c r="J15" s="177">
        <v>44554</v>
      </c>
      <c r="K15" s="174">
        <v>11</v>
      </c>
      <c r="L15" s="178">
        <v>1.2524999999999999</v>
      </c>
      <c r="M15" s="174" t="s">
        <v>20</v>
      </c>
      <c r="N15" s="174">
        <v>69</v>
      </c>
    </row>
    <row r="16" spans="1:42" s="174" customFormat="1" ht="35" customHeight="1">
      <c r="A16" s="174">
        <f>ROW()-2</f>
        <v>14</v>
      </c>
      <c r="B16" s="174" t="s">
        <v>14</v>
      </c>
      <c r="C16" s="174" t="s">
        <v>966</v>
      </c>
      <c r="D16" s="174" t="s">
        <v>62</v>
      </c>
      <c r="E16" s="174" t="s">
        <v>1380</v>
      </c>
      <c r="F16" s="174" t="s">
        <v>1413</v>
      </c>
      <c r="G16" s="174" t="s">
        <v>1413</v>
      </c>
      <c r="H16" s="174" t="s">
        <v>1414</v>
      </c>
      <c r="I16" s="174" t="s">
        <v>17</v>
      </c>
      <c r="J16" s="177">
        <v>44563</v>
      </c>
      <c r="K16" s="174">
        <v>15</v>
      </c>
      <c r="L16" s="178">
        <v>2.1155555555555554</v>
      </c>
      <c r="M16" s="174" t="s">
        <v>20</v>
      </c>
      <c r="N16" s="174">
        <v>199</v>
      </c>
    </row>
    <row r="17" spans="1:14" s="174" customFormat="1" ht="35" customHeight="1">
      <c r="A17" s="174">
        <f>ROW()-2</f>
        <v>15</v>
      </c>
      <c r="B17" s="174" t="s">
        <v>14</v>
      </c>
      <c r="C17" s="174" t="s">
        <v>966</v>
      </c>
      <c r="D17" s="174" t="s">
        <v>62</v>
      </c>
      <c r="E17" s="174" t="s">
        <v>1380</v>
      </c>
      <c r="F17" s="174" t="s">
        <v>1415</v>
      </c>
      <c r="G17" s="174" t="s">
        <v>1416</v>
      </c>
      <c r="H17" s="174" t="s">
        <v>1417</v>
      </c>
      <c r="I17" s="174" t="s">
        <v>17</v>
      </c>
      <c r="J17" s="177">
        <v>44563</v>
      </c>
      <c r="K17" s="174">
        <v>25</v>
      </c>
      <c r="L17" s="178">
        <v>2.2174999999999998</v>
      </c>
      <c r="M17" s="174" t="s">
        <v>20</v>
      </c>
      <c r="N17" s="174">
        <v>199</v>
      </c>
    </row>
    <row r="18" spans="1:14" s="174" customFormat="1" ht="35" customHeight="1">
      <c r="A18" s="174">
        <f>ROW()-2</f>
        <v>16</v>
      </c>
      <c r="B18" s="174" t="s">
        <v>14</v>
      </c>
      <c r="C18" s="174" t="s">
        <v>966</v>
      </c>
      <c r="D18" s="174" t="s">
        <v>62</v>
      </c>
      <c r="E18" s="174" t="s">
        <v>1001</v>
      </c>
      <c r="F18" s="174" t="s">
        <v>1411</v>
      </c>
      <c r="G18" s="174" t="s">
        <v>1411</v>
      </c>
      <c r="H18" s="174" t="s">
        <v>1412</v>
      </c>
      <c r="I18" s="174" t="s">
        <v>17</v>
      </c>
      <c r="J18" s="177">
        <v>44563</v>
      </c>
      <c r="K18" s="174">
        <v>14</v>
      </c>
      <c r="L18" s="178">
        <v>1.6863888888888889</v>
      </c>
      <c r="M18" s="174" t="s">
        <v>20</v>
      </c>
      <c r="N18" s="174">
        <v>69</v>
      </c>
    </row>
    <row r="19" spans="1:14" s="174" customFormat="1" ht="35" customHeight="1">
      <c r="A19" s="174">
        <f>ROW()-2</f>
        <v>17</v>
      </c>
      <c r="B19" s="174" t="s">
        <v>14</v>
      </c>
      <c r="C19" s="174" t="s">
        <v>966</v>
      </c>
      <c r="D19" s="174" t="s">
        <v>1084</v>
      </c>
      <c r="E19" s="174" t="s">
        <v>1085</v>
      </c>
      <c r="F19" s="174" t="s">
        <v>1086</v>
      </c>
      <c r="G19" s="174" t="s">
        <v>1087</v>
      </c>
      <c r="H19" s="174" t="s">
        <v>1088</v>
      </c>
      <c r="I19" s="174" t="s">
        <v>29</v>
      </c>
      <c r="J19" s="177">
        <v>43943</v>
      </c>
      <c r="K19" s="174">
        <v>50</v>
      </c>
      <c r="L19" s="178">
        <v>7.2791666666666668</v>
      </c>
      <c r="M19" s="174" t="s">
        <v>20</v>
      </c>
      <c r="N19" s="174">
        <v>99</v>
      </c>
    </row>
    <row r="20" spans="1:14" s="174" customFormat="1" ht="35" customHeight="1">
      <c r="A20" s="174">
        <f>ROW()-2</f>
        <v>18</v>
      </c>
      <c r="B20" s="174" t="s">
        <v>14</v>
      </c>
      <c r="C20" s="174" t="s">
        <v>966</v>
      </c>
      <c r="D20" s="174" t="s">
        <v>1084</v>
      </c>
      <c r="E20" s="174" t="s">
        <v>1085</v>
      </c>
      <c r="F20" s="174" t="s">
        <v>1098</v>
      </c>
      <c r="G20" s="174" t="s">
        <v>1099</v>
      </c>
      <c r="H20" s="174" t="s">
        <v>1100</v>
      </c>
      <c r="I20" s="174" t="s">
        <v>29</v>
      </c>
      <c r="J20" s="177">
        <v>43978</v>
      </c>
      <c r="K20" s="174">
        <v>92</v>
      </c>
      <c r="L20" s="178">
        <v>17.425833333333333</v>
      </c>
      <c r="M20" s="174" t="s">
        <v>20</v>
      </c>
      <c r="N20" s="174">
        <v>199</v>
      </c>
    </row>
    <row r="21" spans="1:14" s="174" customFormat="1" ht="35" customHeight="1">
      <c r="A21" s="174">
        <f>ROW()-2</f>
        <v>19</v>
      </c>
      <c r="B21" s="174" t="s">
        <v>14</v>
      </c>
      <c r="C21" s="174" t="s">
        <v>966</v>
      </c>
      <c r="D21" s="174" t="s">
        <v>1084</v>
      </c>
      <c r="E21" s="174" t="s">
        <v>1362</v>
      </c>
      <c r="F21" s="174" t="s">
        <v>50</v>
      </c>
      <c r="G21" s="174" t="s">
        <v>51</v>
      </c>
      <c r="H21" s="174" t="s">
        <v>52</v>
      </c>
      <c r="I21" s="174" t="s">
        <v>17</v>
      </c>
      <c r="J21" s="177">
        <v>44141</v>
      </c>
      <c r="K21" s="174">
        <v>43</v>
      </c>
      <c r="L21" s="178">
        <v>7.4458333333333337</v>
      </c>
      <c r="M21" s="174" t="s">
        <v>89</v>
      </c>
      <c r="N21" s="174">
        <v>199</v>
      </c>
    </row>
    <row r="22" spans="1:14" s="174" customFormat="1" ht="35" customHeight="1">
      <c r="A22" s="174">
        <f>ROW()-2</f>
        <v>20</v>
      </c>
      <c r="B22" s="174" t="s">
        <v>14</v>
      </c>
      <c r="C22" s="174" t="s">
        <v>966</v>
      </c>
      <c r="D22" s="174" t="s">
        <v>1084</v>
      </c>
      <c r="E22" s="174" t="s">
        <v>1085</v>
      </c>
      <c r="F22" s="174" t="s">
        <v>1242</v>
      </c>
      <c r="G22" s="174" t="s">
        <v>1243</v>
      </c>
      <c r="H22" s="174" t="s">
        <v>1244</v>
      </c>
      <c r="I22" s="174" t="s">
        <v>17</v>
      </c>
      <c r="J22" s="177">
        <v>44437</v>
      </c>
      <c r="K22" s="174">
        <v>16</v>
      </c>
      <c r="L22" s="178">
        <v>3.8652777777777776</v>
      </c>
      <c r="M22" s="174" t="s">
        <v>20</v>
      </c>
      <c r="N22" s="174">
        <v>198</v>
      </c>
    </row>
    <row r="23" spans="1:14" s="174" customFormat="1" ht="35" customHeight="1">
      <c r="A23" s="174">
        <f>ROW()-2</f>
        <v>21</v>
      </c>
      <c r="B23" s="174" t="s">
        <v>14</v>
      </c>
      <c r="C23" s="174" t="s">
        <v>966</v>
      </c>
      <c r="D23" s="174" t="s">
        <v>1084</v>
      </c>
      <c r="E23" s="174" t="s">
        <v>1362</v>
      </c>
      <c r="F23" s="174" t="s">
        <v>68</v>
      </c>
      <c r="G23" s="174" t="s">
        <v>69</v>
      </c>
      <c r="H23" s="174" t="s">
        <v>70</v>
      </c>
      <c r="I23" s="174" t="s">
        <v>29</v>
      </c>
      <c r="J23" s="177">
        <v>44532</v>
      </c>
      <c r="K23" s="174">
        <v>4</v>
      </c>
      <c r="L23" s="178">
        <v>0.60333333333333339</v>
      </c>
      <c r="M23" s="174" t="s">
        <v>89</v>
      </c>
    </row>
    <row r="24" spans="1:14" s="174" customFormat="1" ht="35" customHeight="1">
      <c r="A24" s="174">
        <f>ROW()-2</f>
        <v>22</v>
      </c>
      <c r="B24" s="174" t="s">
        <v>14</v>
      </c>
      <c r="C24" s="174" t="s">
        <v>966</v>
      </c>
      <c r="D24" s="174" t="s">
        <v>1084</v>
      </c>
      <c r="E24" s="174" t="s">
        <v>1362</v>
      </c>
      <c r="F24" s="174" t="s">
        <v>76</v>
      </c>
      <c r="G24" s="174" t="s">
        <v>76</v>
      </c>
      <c r="H24" s="174" t="s">
        <v>77</v>
      </c>
      <c r="I24" s="174" t="s">
        <v>17</v>
      </c>
      <c r="J24" s="177">
        <v>44535</v>
      </c>
      <c r="K24" s="174">
        <v>50</v>
      </c>
      <c r="L24" s="178">
        <v>5.5466666666666669</v>
      </c>
      <c r="M24" s="174" t="s">
        <v>20</v>
      </c>
      <c r="N24" s="174">
        <v>199</v>
      </c>
    </row>
    <row r="25" spans="1:14" s="174" customFormat="1" ht="35" customHeight="1">
      <c r="A25" s="174">
        <f>ROW()-2</f>
        <v>23</v>
      </c>
      <c r="B25" s="174" t="s">
        <v>14</v>
      </c>
      <c r="C25" s="174" t="s">
        <v>966</v>
      </c>
      <c r="D25" s="174" t="s">
        <v>1084</v>
      </c>
      <c r="E25" s="174" t="s">
        <v>1362</v>
      </c>
      <c r="F25" s="174" t="s">
        <v>72</v>
      </c>
      <c r="G25" s="174" t="s">
        <v>73</v>
      </c>
      <c r="H25" s="174" t="s">
        <v>74</v>
      </c>
      <c r="I25" s="174" t="s">
        <v>17</v>
      </c>
      <c r="J25" s="177">
        <v>44535</v>
      </c>
      <c r="K25" s="174">
        <v>10</v>
      </c>
      <c r="L25" s="178">
        <v>1.5977777777777777</v>
      </c>
      <c r="M25" s="174" t="s">
        <v>20</v>
      </c>
      <c r="N25" s="174">
        <v>59</v>
      </c>
    </row>
    <row r="26" spans="1:14" s="174" customFormat="1" ht="35" customHeight="1">
      <c r="A26" s="174">
        <f>ROW()-2</f>
        <v>24</v>
      </c>
      <c r="B26" s="174" t="s">
        <v>14</v>
      </c>
      <c r="C26" s="174" t="s">
        <v>966</v>
      </c>
      <c r="D26" s="174" t="s">
        <v>1084</v>
      </c>
      <c r="E26" s="174" t="s">
        <v>1362</v>
      </c>
      <c r="F26" s="174" t="s">
        <v>78</v>
      </c>
      <c r="G26" s="174" t="s">
        <v>78</v>
      </c>
      <c r="H26" s="174" t="s">
        <v>79</v>
      </c>
      <c r="I26" s="174" t="s">
        <v>17</v>
      </c>
      <c r="J26" s="177">
        <v>44537</v>
      </c>
      <c r="K26" s="174">
        <v>38</v>
      </c>
      <c r="L26" s="178">
        <v>21.093888888888888</v>
      </c>
      <c r="M26" s="174" t="s">
        <v>20</v>
      </c>
    </row>
    <row r="27" spans="1:14" s="174" customFormat="1" ht="35" customHeight="1">
      <c r="A27" s="174">
        <f>ROW()-2</f>
        <v>25</v>
      </c>
      <c r="B27" s="174" t="s">
        <v>14</v>
      </c>
      <c r="C27" s="174" t="s">
        <v>966</v>
      </c>
      <c r="D27" s="174" t="s">
        <v>1084</v>
      </c>
      <c r="E27" s="174" t="s">
        <v>1085</v>
      </c>
      <c r="F27" s="174" t="s">
        <v>1306</v>
      </c>
      <c r="G27" s="174" t="s">
        <v>1307</v>
      </c>
      <c r="H27" s="174" t="s">
        <v>79</v>
      </c>
      <c r="I27" s="174" t="s">
        <v>17</v>
      </c>
      <c r="J27" s="177">
        <v>44537</v>
      </c>
      <c r="K27" s="174">
        <v>15</v>
      </c>
      <c r="L27" s="178">
        <v>2.4097222222222223</v>
      </c>
      <c r="M27" s="174" t="s">
        <v>20</v>
      </c>
      <c r="N27" s="174">
        <v>99</v>
      </c>
    </row>
    <row r="28" spans="1:14" s="174" customFormat="1" ht="35" customHeight="1">
      <c r="A28" s="174">
        <f>ROW()-2</f>
        <v>26</v>
      </c>
      <c r="B28" s="174" t="s">
        <v>14</v>
      </c>
      <c r="C28" s="174" t="s">
        <v>966</v>
      </c>
      <c r="D28" s="174" t="s">
        <v>1084</v>
      </c>
      <c r="E28" s="174" t="s">
        <v>1085</v>
      </c>
      <c r="F28" s="174" t="s">
        <v>80</v>
      </c>
      <c r="G28" s="174" t="s">
        <v>81</v>
      </c>
      <c r="H28" s="174" t="s">
        <v>2586</v>
      </c>
      <c r="I28" s="174" t="s">
        <v>29</v>
      </c>
      <c r="J28" s="177">
        <v>44538</v>
      </c>
      <c r="K28" s="174">
        <v>21</v>
      </c>
      <c r="L28" s="178">
        <v>4.6052777777777774</v>
      </c>
      <c r="M28" s="174" t="s">
        <v>20</v>
      </c>
      <c r="N28" s="174">
        <v>49</v>
      </c>
    </row>
    <row r="29" spans="1:14" s="174" customFormat="1" ht="35" customHeight="1">
      <c r="A29" s="174">
        <f>ROW()-2</f>
        <v>27</v>
      </c>
      <c r="B29" s="174" t="s">
        <v>14</v>
      </c>
      <c r="C29" s="174" t="s">
        <v>966</v>
      </c>
      <c r="D29" s="174" t="s">
        <v>1084</v>
      </c>
      <c r="E29" s="174" t="s">
        <v>1362</v>
      </c>
      <c r="F29" s="174" t="s">
        <v>1363</v>
      </c>
      <c r="G29" s="174" t="s">
        <v>1364</v>
      </c>
      <c r="H29" s="174" t="s">
        <v>1365</v>
      </c>
      <c r="I29" s="174" t="s">
        <v>17</v>
      </c>
      <c r="J29" s="177">
        <v>44546</v>
      </c>
      <c r="K29" s="174">
        <v>12</v>
      </c>
      <c r="L29" s="178">
        <v>5.4483333333333333</v>
      </c>
      <c r="M29" s="174" t="s">
        <v>20</v>
      </c>
      <c r="N29" s="174">
        <v>89</v>
      </c>
    </row>
    <row r="30" spans="1:14" s="174" customFormat="1" ht="35" customHeight="1">
      <c r="A30" s="174">
        <f>ROW()-2</f>
        <v>28</v>
      </c>
      <c r="B30" s="174" t="s">
        <v>14</v>
      </c>
      <c r="C30" s="174" t="s">
        <v>966</v>
      </c>
      <c r="D30" s="174" t="s">
        <v>1084</v>
      </c>
      <c r="E30" s="174" t="s">
        <v>1362</v>
      </c>
      <c r="F30" s="174" t="s">
        <v>2716</v>
      </c>
      <c r="G30" s="174" t="s">
        <v>1377</v>
      </c>
      <c r="H30" s="174" t="s">
        <v>1378</v>
      </c>
      <c r="I30" s="174" t="s">
        <v>29</v>
      </c>
      <c r="J30" s="177">
        <v>44548</v>
      </c>
      <c r="K30" s="174">
        <v>53</v>
      </c>
      <c r="L30" s="178">
        <v>6.8336111111111109</v>
      </c>
      <c r="M30" s="174" t="s">
        <v>20</v>
      </c>
    </row>
    <row r="31" spans="1:14" s="174" customFormat="1" ht="35" customHeight="1">
      <c r="A31" s="174">
        <f>ROW()-2</f>
        <v>29</v>
      </c>
      <c r="B31" s="174" t="s">
        <v>14</v>
      </c>
      <c r="C31" s="174" t="s">
        <v>966</v>
      </c>
      <c r="D31" s="174" t="s">
        <v>978</v>
      </c>
      <c r="E31" s="174" t="s">
        <v>1008</v>
      </c>
      <c r="F31" s="174" t="s">
        <v>2587</v>
      </c>
      <c r="G31" s="174" t="s">
        <v>1138</v>
      </c>
      <c r="H31" s="174" t="s">
        <v>1139</v>
      </c>
      <c r="I31" s="174" t="s">
        <v>29</v>
      </c>
      <c r="J31" s="177">
        <v>43227</v>
      </c>
      <c r="K31" s="174">
        <v>57</v>
      </c>
      <c r="L31" s="178">
        <v>21.928055555555556</v>
      </c>
      <c r="M31" s="174" t="s">
        <v>20</v>
      </c>
      <c r="N31" s="174">
        <v>198</v>
      </c>
    </row>
    <row r="32" spans="1:14" s="174" customFormat="1" ht="35" customHeight="1">
      <c r="A32" s="174">
        <f>ROW()-2</f>
        <v>30</v>
      </c>
      <c r="B32" s="174" t="s">
        <v>14</v>
      </c>
      <c r="C32" s="174" t="s">
        <v>966</v>
      </c>
      <c r="D32" s="174" t="s">
        <v>978</v>
      </c>
      <c r="E32" s="174" t="s">
        <v>979</v>
      </c>
      <c r="F32" s="174" t="s">
        <v>980</v>
      </c>
      <c r="G32" s="174" t="s">
        <v>981</v>
      </c>
      <c r="H32" s="174" t="s">
        <v>982</v>
      </c>
      <c r="I32" s="174" t="s">
        <v>29</v>
      </c>
      <c r="J32" s="177">
        <v>43293</v>
      </c>
      <c r="K32" s="174">
        <v>114</v>
      </c>
      <c r="L32" s="178">
        <v>19.706666666666667</v>
      </c>
      <c r="M32" s="174" t="s">
        <v>20</v>
      </c>
      <c r="N32" s="174">
        <v>199</v>
      </c>
    </row>
    <row r="33" spans="1:14" s="174" customFormat="1" ht="35" customHeight="1">
      <c r="A33" s="174">
        <f>ROW()-2</f>
        <v>31</v>
      </c>
      <c r="B33" s="174" t="s">
        <v>14</v>
      </c>
      <c r="C33" s="174" t="s">
        <v>966</v>
      </c>
      <c r="D33" s="174" t="s">
        <v>978</v>
      </c>
      <c r="E33" s="174" t="s">
        <v>1008</v>
      </c>
      <c r="F33" s="174" t="s">
        <v>1009</v>
      </c>
      <c r="G33" s="174" t="s">
        <v>1010</v>
      </c>
      <c r="H33" s="174" t="s">
        <v>1011</v>
      </c>
      <c r="I33" s="174" t="s">
        <v>29</v>
      </c>
      <c r="J33" s="177">
        <v>43439</v>
      </c>
      <c r="K33" s="174">
        <v>34</v>
      </c>
      <c r="L33" s="178">
        <v>5.7619444444444445</v>
      </c>
      <c r="M33" s="174" t="s">
        <v>20</v>
      </c>
      <c r="N33" s="174">
        <v>99</v>
      </c>
    </row>
    <row r="34" spans="1:14" s="174" customFormat="1" ht="35" customHeight="1">
      <c r="A34" s="174">
        <f>ROW()-2</f>
        <v>32</v>
      </c>
      <c r="B34" s="174" t="s">
        <v>14</v>
      </c>
      <c r="C34" s="174" t="s">
        <v>966</v>
      </c>
      <c r="D34" s="174" t="s">
        <v>978</v>
      </c>
      <c r="E34" s="174" t="s">
        <v>979</v>
      </c>
      <c r="F34" s="174" t="s">
        <v>1036</v>
      </c>
      <c r="G34" s="174" t="s">
        <v>1037</v>
      </c>
      <c r="H34" s="174" t="s">
        <v>1038</v>
      </c>
      <c r="I34" s="174" t="s">
        <v>29</v>
      </c>
      <c r="J34" s="177">
        <v>43706</v>
      </c>
      <c r="K34" s="174">
        <v>43</v>
      </c>
      <c r="L34" s="178">
        <v>8.8069444444444436</v>
      </c>
      <c r="M34" s="174" t="s">
        <v>20</v>
      </c>
      <c r="N34" s="174">
        <v>698</v>
      </c>
    </row>
    <row r="35" spans="1:14" s="174" customFormat="1" ht="35" customHeight="1">
      <c r="A35" s="174">
        <f>ROW()-2</f>
        <v>33</v>
      </c>
      <c r="B35" s="174" t="s">
        <v>14</v>
      </c>
      <c r="C35" s="174" t="s">
        <v>966</v>
      </c>
      <c r="D35" s="174" t="s">
        <v>978</v>
      </c>
      <c r="E35" s="174" t="s">
        <v>1008</v>
      </c>
      <c r="F35" s="174" t="s">
        <v>1039</v>
      </c>
      <c r="G35" s="174" t="s">
        <v>1040</v>
      </c>
      <c r="H35" s="174" t="s">
        <v>1041</v>
      </c>
      <c r="I35" s="174" t="s">
        <v>29</v>
      </c>
      <c r="J35" s="177">
        <v>43712</v>
      </c>
      <c r="K35" s="174">
        <v>20</v>
      </c>
      <c r="L35" s="178">
        <v>1.9491666666666667</v>
      </c>
      <c r="M35" s="174" t="s">
        <v>20</v>
      </c>
      <c r="N35" s="174">
        <v>99</v>
      </c>
    </row>
    <row r="36" spans="1:14" s="174" customFormat="1" ht="35" customHeight="1">
      <c r="A36" s="174">
        <f>ROW()-2</f>
        <v>34</v>
      </c>
      <c r="B36" s="174" t="s">
        <v>14</v>
      </c>
      <c r="C36" s="174" t="s">
        <v>966</v>
      </c>
      <c r="D36" s="174" t="s">
        <v>978</v>
      </c>
      <c r="E36" s="174" t="s">
        <v>1109</v>
      </c>
      <c r="F36" s="174" t="s">
        <v>1110</v>
      </c>
      <c r="G36" s="174" t="s">
        <v>1111</v>
      </c>
      <c r="H36" s="174" t="s">
        <v>1112</v>
      </c>
      <c r="I36" s="174" t="s">
        <v>29</v>
      </c>
      <c r="J36" s="177">
        <v>44019</v>
      </c>
      <c r="K36" s="174">
        <v>36</v>
      </c>
      <c r="L36" s="178">
        <v>6.0461111111111112</v>
      </c>
      <c r="M36" s="174" t="s">
        <v>20</v>
      </c>
      <c r="N36" s="174">
        <v>99</v>
      </c>
    </row>
    <row r="37" spans="1:14" s="174" customFormat="1" ht="35" customHeight="1">
      <c r="A37" s="174">
        <f>ROW()-2</f>
        <v>35</v>
      </c>
      <c r="B37" s="174" t="s">
        <v>14</v>
      </c>
      <c r="C37" s="174" t="s">
        <v>966</v>
      </c>
      <c r="D37" s="174" t="s">
        <v>978</v>
      </c>
      <c r="E37" s="174" t="s">
        <v>1113</v>
      </c>
      <c r="F37" s="174" t="s">
        <v>1114</v>
      </c>
      <c r="G37" s="174" t="s">
        <v>1115</v>
      </c>
      <c r="H37" s="174" t="s">
        <v>1116</v>
      </c>
      <c r="I37" s="174" t="s">
        <v>29</v>
      </c>
      <c r="J37" s="177">
        <v>44056</v>
      </c>
      <c r="K37" s="174">
        <v>15</v>
      </c>
      <c r="L37" s="178">
        <v>2.7252777777777779</v>
      </c>
      <c r="M37" s="174" t="s">
        <v>89</v>
      </c>
      <c r="N37" s="174">
        <v>99</v>
      </c>
    </row>
    <row r="38" spans="1:14" s="174" customFormat="1" ht="35" customHeight="1">
      <c r="A38" s="174">
        <f>ROW()-2</f>
        <v>36</v>
      </c>
      <c r="B38" s="174" t="s">
        <v>14</v>
      </c>
      <c r="C38" s="174" t="s">
        <v>966</v>
      </c>
      <c r="D38" s="174" t="s">
        <v>978</v>
      </c>
      <c r="E38" s="174" t="s">
        <v>1008</v>
      </c>
      <c r="F38" s="174" t="s">
        <v>1117</v>
      </c>
      <c r="G38" s="174" t="s">
        <v>1118</v>
      </c>
      <c r="H38" s="174" t="s">
        <v>1119</v>
      </c>
      <c r="I38" s="174" t="s">
        <v>17</v>
      </c>
      <c r="J38" s="177">
        <v>44061</v>
      </c>
      <c r="K38" s="174">
        <v>43</v>
      </c>
      <c r="L38" s="178">
        <v>7.6794444444444441</v>
      </c>
      <c r="M38" s="174" t="s">
        <v>20</v>
      </c>
      <c r="N38" s="174">
        <v>199</v>
      </c>
    </row>
    <row r="39" spans="1:14" s="174" customFormat="1" ht="35" customHeight="1">
      <c r="A39" s="174">
        <f>ROW()-2</f>
        <v>37</v>
      </c>
      <c r="B39" s="174" t="s">
        <v>14</v>
      </c>
      <c r="C39" s="174" t="s">
        <v>966</v>
      </c>
      <c r="D39" s="174" t="s">
        <v>978</v>
      </c>
      <c r="E39" s="174" t="s">
        <v>1120</v>
      </c>
      <c r="F39" s="174" t="s">
        <v>1121</v>
      </c>
      <c r="G39" s="174" t="s">
        <v>1122</v>
      </c>
      <c r="H39" s="174" t="s">
        <v>2588</v>
      </c>
      <c r="I39" s="174" t="s">
        <v>29</v>
      </c>
      <c r="J39" s="177">
        <v>44067</v>
      </c>
      <c r="K39" s="174">
        <v>62</v>
      </c>
      <c r="L39" s="178">
        <v>17.071666666666665</v>
      </c>
      <c r="M39" s="174" t="s">
        <v>20</v>
      </c>
      <c r="N39" s="174">
        <v>198</v>
      </c>
    </row>
    <row r="40" spans="1:14" s="174" customFormat="1" ht="35" customHeight="1">
      <c r="A40" s="174">
        <f>ROW()-2</f>
        <v>38</v>
      </c>
      <c r="B40" s="174" t="s">
        <v>14</v>
      </c>
      <c r="C40" s="174" t="s">
        <v>966</v>
      </c>
      <c r="D40" s="174" t="s">
        <v>978</v>
      </c>
      <c r="E40" s="174" t="s">
        <v>1008</v>
      </c>
      <c r="F40" s="174" t="s">
        <v>1124</v>
      </c>
      <c r="G40" s="174" t="s">
        <v>1125</v>
      </c>
      <c r="H40" s="174" t="s">
        <v>1126</v>
      </c>
      <c r="I40" s="174" t="s">
        <v>29</v>
      </c>
      <c r="J40" s="177">
        <v>44084</v>
      </c>
      <c r="K40" s="174">
        <v>33</v>
      </c>
      <c r="L40" s="178">
        <v>6.5802777777777779</v>
      </c>
      <c r="M40" s="174" t="s">
        <v>20</v>
      </c>
      <c r="N40" s="174">
        <v>199</v>
      </c>
    </row>
    <row r="41" spans="1:14" s="174" customFormat="1" ht="35" customHeight="1">
      <c r="A41" s="174">
        <f>ROW()-2</f>
        <v>39</v>
      </c>
      <c r="B41" s="174" t="s">
        <v>14</v>
      </c>
      <c r="C41" s="174" t="s">
        <v>966</v>
      </c>
      <c r="D41" s="174" t="s">
        <v>978</v>
      </c>
      <c r="E41" s="174" t="s">
        <v>1008</v>
      </c>
      <c r="F41" s="174" t="s">
        <v>2526</v>
      </c>
      <c r="G41" s="174" t="s">
        <v>1138</v>
      </c>
      <c r="H41" s="174" t="s">
        <v>1139</v>
      </c>
      <c r="I41" s="174" t="s">
        <v>29</v>
      </c>
      <c r="J41" s="177">
        <v>44098</v>
      </c>
      <c r="K41" s="174">
        <v>33</v>
      </c>
      <c r="L41" s="178">
        <v>13.529444444444444</v>
      </c>
      <c r="M41" s="174" t="s">
        <v>20</v>
      </c>
      <c r="N41" s="174">
        <v>198</v>
      </c>
    </row>
    <row r="42" spans="1:14" s="174" customFormat="1" ht="35" customHeight="1">
      <c r="A42" s="174">
        <f>ROW()-2</f>
        <v>40</v>
      </c>
      <c r="B42" s="174" t="s">
        <v>14</v>
      </c>
      <c r="C42" s="174" t="s">
        <v>966</v>
      </c>
      <c r="D42" s="174" t="s">
        <v>978</v>
      </c>
      <c r="E42" s="174" t="s">
        <v>1113</v>
      </c>
      <c r="F42" s="174" t="s">
        <v>1149</v>
      </c>
      <c r="G42" s="174" t="s">
        <v>1150</v>
      </c>
      <c r="H42" s="174" t="s">
        <v>1151</v>
      </c>
      <c r="I42" s="174" t="s">
        <v>17</v>
      </c>
      <c r="J42" s="177">
        <v>44141</v>
      </c>
      <c r="K42" s="174">
        <v>5</v>
      </c>
      <c r="L42" s="178">
        <v>3.6383333333333332</v>
      </c>
      <c r="M42" s="174" t="s">
        <v>20</v>
      </c>
      <c r="N42" s="174">
        <v>99</v>
      </c>
    </row>
    <row r="43" spans="1:14" s="174" customFormat="1" ht="35" customHeight="1">
      <c r="A43" s="174">
        <f>ROW()-2</f>
        <v>41</v>
      </c>
      <c r="B43" s="174" t="s">
        <v>14</v>
      </c>
      <c r="C43" s="174" t="s">
        <v>966</v>
      </c>
      <c r="D43" s="174" t="s">
        <v>978</v>
      </c>
      <c r="E43" s="174" t="s">
        <v>1008</v>
      </c>
      <c r="F43" s="174" t="s">
        <v>1177</v>
      </c>
      <c r="G43" s="174" t="s">
        <v>1178</v>
      </c>
      <c r="H43" s="174" t="s">
        <v>1179</v>
      </c>
      <c r="I43" s="174" t="s">
        <v>29</v>
      </c>
      <c r="J43" s="177">
        <v>44203</v>
      </c>
      <c r="K43" s="174">
        <v>109</v>
      </c>
      <c r="L43" s="178">
        <v>27.682222222222222</v>
      </c>
      <c r="M43" s="174" t="s">
        <v>20</v>
      </c>
      <c r="N43" s="174">
        <v>199</v>
      </c>
    </row>
    <row r="44" spans="1:14" s="174" customFormat="1" ht="35" customHeight="1">
      <c r="A44" s="174">
        <f>ROW()-2</f>
        <v>42</v>
      </c>
      <c r="B44" s="174" t="s">
        <v>14</v>
      </c>
      <c r="C44" s="174" t="s">
        <v>966</v>
      </c>
      <c r="D44" s="174" t="s">
        <v>978</v>
      </c>
      <c r="E44" s="174" t="s">
        <v>1008</v>
      </c>
      <c r="F44" s="174" t="s">
        <v>1180</v>
      </c>
      <c r="G44" s="174" t="s">
        <v>1181</v>
      </c>
      <c r="H44" s="174" t="s">
        <v>1179</v>
      </c>
      <c r="I44" s="174" t="s">
        <v>29</v>
      </c>
      <c r="J44" s="177">
        <v>44208</v>
      </c>
      <c r="K44" s="174">
        <v>56</v>
      </c>
      <c r="L44" s="178">
        <v>10.998055555555556</v>
      </c>
      <c r="M44" s="174" t="s">
        <v>20</v>
      </c>
      <c r="N44" s="174">
        <v>199</v>
      </c>
    </row>
    <row r="45" spans="1:14" s="174" customFormat="1" ht="35" customHeight="1">
      <c r="A45" s="174">
        <f>ROW()-2</f>
        <v>43</v>
      </c>
      <c r="B45" s="174" t="s">
        <v>14</v>
      </c>
      <c r="C45" s="174" t="s">
        <v>966</v>
      </c>
      <c r="D45" s="174" t="s">
        <v>978</v>
      </c>
      <c r="E45" s="174" t="s">
        <v>1120</v>
      </c>
      <c r="F45" s="174" t="s">
        <v>2589</v>
      </c>
      <c r="G45" s="174" t="s">
        <v>1240</v>
      </c>
      <c r="H45" s="174" t="s">
        <v>1241</v>
      </c>
      <c r="I45" s="174" t="s">
        <v>29</v>
      </c>
      <c r="J45" s="177">
        <v>44426</v>
      </c>
      <c r="K45" s="174">
        <v>19</v>
      </c>
      <c r="L45" s="178">
        <v>3.9644444444444447</v>
      </c>
      <c r="M45" s="174" t="s">
        <v>20</v>
      </c>
      <c r="N45" s="174">
        <v>69</v>
      </c>
    </row>
    <row r="46" spans="1:14" s="174" customFormat="1" ht="35" customHeight="1">
      <c r="A46" s="174">
        <f>ROW()-2</f>
        <v>44</v>
      </c>
      <c r="B46" s="174" t="s">
        <v>14</v>
      </c>
      <c r="C46" s="174" t="s">
        <v>966</v>
      </c>
      <c r="D46" s="174" t="s">
        <v>978</v>
      </c>
      <c r="E46" s="174" t="s">
        <v>979</v>
      </c>
      <c r="F46" s="174" t="s">
        <v>60</v>
      </c>
      <c r="G46" s="174" t="s">
        <v>60</v>
      </c>
      <c r="H46" s="174" t="s">
        <v>61</v>
      </c>
      <c r="I46" s="174" t="s">
        <v>17</v>
      </c>
      <c r="J46" s="177">
        <v>44477</v>
      </c>
      <c r="K46" s="174">
        <v>9</v>
      </c>
      <c r="L46" s="178">
        <v>2.0591666666666666</v>
      </c>
      <c r="M46" s="174" t="s">
        <v>20</v>
      </c>
      <c r="N46" s="174">
        <v>199</v>
      </c>
    </row>
    <row r="47" spans="1:14" s="174" customFormat="1" ht="35" customHeight="1">
      <c r="A47" s="174">
        <f>ROW()-2</f>
        <v>45</v>
      </c>
      <c r="B47" s="174" t="s">
        <v>14</v>
      </c>
      <c r="C47" s="174" t="s">
        <v>966</v>
      </c>
      <c r="D47" s="174" t="s">
        <v>978</v>
      </c>
      <c r="E47" s="174" t="s">
        <v>979</v>
      </c>
      <c r="F47" s="174" t="s">
        <v>1250</v>
      </c>
      <c r="G47" s="174" t="s">
        <v>1250</v>
      </c>
      <c r="H47" s="174" t="s">
        <v>1251</v>
      </c>
      <c r="I47" s="174" t="s">
        <v>17</v>
      </c>
      <c r="J47" s="177">
        <v>44477</v>
      </c>
      <c r="K47" s="174">
        <v>20</v>
      </c>
      <c r="L47" s="178">
        <v>4.5436111111111108</v>
      </c>
      <c r="M47" s="174" t="s">
        <v>20</v>
      </c>
      <c r="N47" s="174">
        <v>399</v>
      </c>
    </row>
    <row r="48" spans="1:14" s="174" customFormat="1" ht="35" customHeight="1">
      <c r="A48" s="174">
        <f>ROW()-2</f>
        <v>46</v>
      </c>
      <c r="B48" s="174" t="s">
        <v>14</v>
      </c>
      <c r="C48" s="174" t="s">
        <v>966</v>
      </c>
      <c r="D48" s="174" t="s">
        <v>978</v>
      </c>
      <c r="E48" s="174" t="s">
        <v>1113</v>
      </c>
      <c r="F48" s="174" t="s">
        <v>64</v>
      </c>
      <c r="G48" s="174" t="s">
        <v>64</v>
      </c>
      <c r="H48" s="174" t="s">
        <v>65</v>
      </c>
      <c r="I48" s="174" t="s">
        <v>17</v>
      </c>
      <c r="J48" s="177">
        <v>44478</v>
      </c>
      <c r="K48" s="174">
        <v>12</v>
      </c>
      <c r="L48" s="178">
        <v>2.2097222222222221</v>
      </c>
      <c r="M48" s="174" t="s">
        <v>20</v>
      </c>
      <c r="N48" s="174">
        <v>399</v>
      </c>
    </row>
    <row r="49" spans="1:14" s="174" customFormat="1" ht="35" customHeight="1">
      <c r="A49" s="174">
        <f>ROW()-2</f>
        <v>47</v>
      </c>
      <c r="B49" s="174" t="s">
        <v>14</v>
      </c>
      <c r="C49" s="174" t="s">
        <v>966</v>
      </c>
      <c r="D49" s="174" t="s">
        <v>978</v>
      </c>
      <c r="E49" s="174" t="s">
        <v>979</v>
      </c>
      <c r="F49" s="174" t="s">
        <v>1254</v>
      </c>
      <c r="G49" s="174" t="s">
        <v>1254</v>
      </c>
      <c r="H49" s="174" t="s">
        <v>1255</v>
      </c>
      <c r="I49" s="174" t="s">
        <v>17</v>
      </c>
      <c r="J49" s="177">
        <v>44478</v>
      </c>
      <c r="K49" s="174">
        <v>14</v>
      </c>
      <c r="L49" s="178">
        <v>2.549722222222222</v>
      </c>
      <c r="M49" s="174" t="s">
        <v>20</v>
      </c>
      <c r="N49" s="174">
        <v>199</v>
      </c>
    </row>
    <row r="50" spans="1:14" s="174" customFormat="1" ht="35" customHeight="1">
      <c r="A50" s="174">
        <f>ROW()-2</f>
        <v>48</v>
      </c>
      <c r="B50" s="174" t="s">
        <v>14</v>
      </c>
      <c r="C50" s="174" t="s">
        <v>966</v>
      </c>
      <c r="D50" s="174" t="s">
        <v>978</v>
      </c>
      <c r="E50" s="174" t="s">
        <v>979</v>
      </c>
      <c r="F50" s="174" t="s">
        <v>1262</v>
      </c>
      <c r="G50" s="174" t="s">
        <v>1262</v>
      </c>
      <c r="H50" s="174" t="s">
        <v>61</v>
      </c>
      <c r="I50" s="174" t="s">
        <v>17</v>
      </c>
      <c r="J50" s="177">
        <v>44526</v>
      </c>
      <c r="K50" s="174">
        <v>10</v>
      </c>
      <c r="L50" s="178">
        <v>7.5972222222222223</v>
      </c>
      <c r="M50" s="174" t="s">
        <v>20</v>
      </c>
      <c r="N50" s="174">
        <v>399</v>
      </c>
    </row>
    <row r="51" spans="1:14" s="174" customFormat="1" ht="35" customHeight="1">
      <c r="A51" s="174">
        <f>ROW()-2</f>
        <v>49</v>
      </c>
      <c r="B51" s="174" t="s">
        <v>14</v>
      </c>
      <c r="C51" s="174" t="s">
        <v>966</v>
      </c>
      <c r="D51" s="174" t="s">
        <v>978</v>
      </c>
      <c r="E51" s="174" t="s">
        <v>1008</v>
      </c>
      <c r="F51" s="174" t="s">
        <v>1297</v>
      </c>
      <c r="G51" s="174" t="s">
        <v>1298</v>
      </c>
      <c r="H51" s="174" t="s">
        <v>1299</v>
      </c>
      <c r="I51" s="174" t="s">
        <v>17</v>
      </c>
      <c r="J51" s="177">
        <v>44537</v>
      </c>
      <c r="K51" s="174">
        <v>20</v>
      </c>
      <c r="L51" s="178">
        <v>5.7736111111111112</v>
      </c>
      <c r="M51" s="174" t="s">
        <v>20</v>
      </c>
      <c r="N51" s="174">
        <v>99</v>
      </c>
    </row>
    <row r="52" spans="1:14" s="174" customFormat="1" ht="35" customHeight="1">
      <c r="A52" s="174">
        <f>ROW()-2</f>
        <v>50</v>
      </c>
      <c r="B52" s="174" t="s">
        <v>14</v>
      </c>
      <c r="C52" s="174" t="s">
        <v>966</v>
      </c>
      <c r="D52" s="174" t="s">
        <v>978</v>
      </c>
      <c r="E52" s="174" t="s">
        <v>1008</v>
      </c>
      <c r="F52" s="174" t="s">
        <v>1311</v>
      </c>
      <c r="G52" s="174" t="s">
        <v>1312</v>
      </c>
      <c r="H52" s="174" t="s">
        <v>1097</v>
      </c>
      <c r="I52" s="174" t="s">
        <v>29</v>
      </c>
      <c r="J52" s="177">
        <v>44539</v>
      </c>
      <c r="K52" s="174">
        <v>157</v>
      </c>
      <c r="L52" s="178">
        <v>14.363888888888889</v>
      </c>
      <c r="M52" s="174" t="s">
        <v>20</v>
      </c>
      <c r="N52" s="174">
        <v>99</v>
      </c>
    </row>
    <row r="53" spans="1:14" s="174" customFormat="1" ht="35" customHeight="1">
      <c r="A53" s="174">
        <f>ROW()-2</f>
        <v>51</v>
      </c>
      <c r="B53" s="174" t="s">
        <v>14</v>
      </c>
      <c r="C53" s="174" t="s">
        <v>966</v>
      </c>
      <c r="D53" s="174" t="s">
        <v>978</v>
      </c>
      <c r="E53" s="174" t="s">
        <v>1109</v>
      </c>
      <c r="F53" s="174" t="s">
        <v>2717</v>
      </c>
      <c r="G53" s="174" t="s">
        <v>1309</v>
      </c>
      <c r="H53" s="174" t="s">
        <v>1310</v>
      </c>
      <c r="I53" s="174" t="s">
        <v>29</v>
      </c>
      <c r="J53" s="177">
        <v>44539</v>
      </c>
      <c r="K53" s="174">
        <v>7</v>
      </c>
      <c r="L53" s="178">
        <v>1.4</v>
      </c>
      <c r="M53" s="174" t="s">
        <v>20</v>
      </c>
    </row>
    <row r="54" spans="1:14" s="174" customFormat="1" ht="35" customHeight="1">
      <c r="A54" s="174">
        <f>ROW()-2</f>
        <v>52</v>
      </c>
      <c r="B54" s="174" t="s">
        <v>14</v>
      </c>
      <c r="C54" s="174" t="s">
        <v>966</v>
      </c>
      <c r="D54" s="174" t="s">
        <v>978</v>
      </c>
      <c r="E54" s="174" t="s">
        <v>979</v>
      </c>
      <c r="F54" s="174" t="s">
        <v>1341</v>
      </c>
      <c r="G54" s="174" t="s">
        <v>1341</v>
      </c>
      <c r="H54" s="174" t="s">
        <v>16</v>
      </c>
      <c r="I54" s="174" t="s">
        <v>17</v>
      </c>
      <c r="J54" s="177">
        <v>44545</v>
      </c>
      <c r="K54" s="174">
        <v>11</v>
      </c>
      <c r="L54" s="178">
        <v>2.6447222222222222</v>
      </c>
      <c r="M54" s="174" t="s">
        <v>20</v>
      </c>
      <c r="N54" s="174">
        <v>199</v>
      </c>
    </row>
    <row r="55" spans="1:14" s="174" customFormat="1" ht="35" customHeight="1">
      <c r="A55" s="174">
        <f>ROW()-2</f>
        <v>53</v>
      </c>
      <c r="B55" s="174" t="s">
        <v>14</v>
      </c>
      <c r="C55" s="174" t="s">
        <v>966</v>
      </c>
      <c r="D55" s="174" t="s">
        <v>978</v>
      </c>
      <c r="E55" s="174" t="s">
        <v>979</v>
      </c>
      <c r="F55" s="174" t="s">
        <v>1339</v>
      </c>
      <c r="G55" s="174" t="s">
        <v>1339</v>
      </c>
      <c r="H55" s="174" t="s">
        <v>1340</v>
      </c>
      <c r="I55" s="174" t="s">
        <v>17</v>
      </c>
      <c r="J55" s="177">
        <v>44545</v>
      </c>
      <c r="K55" s="174">
        <v>19</v>
      </c>
      <c r="L55" s="178">
        <v>2.62</v>
      </c>
      <c r="M55" s="174" t="s">
        <v>20</v>
      </c>
      <c r="N55" s="174">
        <v>199</v>
      </c>
    </row>
    <row r="56" spans="1:14" s="174" customFormat="1" ht="35" customHeight="1">
      <c r="A56" s="174">
        <f>ROW()-2</f>
        <v>54</v>
      </c>
      <c r="B56" s="174" t="s">
        <v>14</v>
      </c>
      <c r="C56" s="174" t="s">
        <v>966</v>
      </c>
      <c r="D56" s="174" t="s">
        <v>978</v>
      </c>
      <c r="E56" s="174" t="s">
        <v>1120</v>
      </c>
      <c r="F56" s="174" t="s">
        <v>1370</v>
      </c>
      <c r="G56" s="174" t="s">
        <v>1371</v>
      </c>
      <c r="H56" s="174" t="s">
        <v>1372</v>
      </c>
      <c r="I56" s="174" t="s">
        <v>17</v>
      </c>
      <c r="J56" s="177">
        <v>44548</v>
      </c>
      <c r="K56" s="174">
        <v>19</v>
      </c>
      <c r="L56" s="178">
        <v>12.612222222222222</v>
      </c>
      <c r="M56" s="174" t="s">
        <v>20</v>
      </c>
      <c r="N56" s="174">
        <v>299</v>
      </c>
    </row>
    <row r="57" spans="1:14" s="174" customFormat="1" ht="35" customHeight="1">
      <c r="A57" s="174">
        <f>ROW()-2</f>
        <v>55</v>
      </c>
      <c r="B57" s="174" t="s">
        <v>14</v>
      </c>
      <c r="C57" s="174" t="s">
        <v>966</v>
      </c>
      <c r="D57" s="174" t="s">
        <v>978</v>
      </c>
      <c r="E57" s="174" t="s">
        <v>1109</v>
      </c>
      <c r="F57" s="174" t="s">
        <v>1373</v>
      </c>
      <c r="G57" s="174" t="s">
        <v>1374</v>
      </c>
      <c r="H57" s="174" t="s">
        <v>1375</v>
      </c>
      <c r="I57" s="174" t="s">
        <v>17</v>
      </c>
      <c r="J57" s="177">
        <v>44548</v>
      </c>
      <c r="K57" s="174">
        <v>15</v>
      </c>
      <c r="L57" s="178">
        <v>6.4983333333333331</v>
      </c>
      <c r="M57" s="174" t="s">
        <v>20</v>
      </c>
      <c r="N57" s="174">
        <v>298</v>
      </c>
    </row>
    <row r="58" spans="1:14" s="174" customFormat="1" ht="35" customHeight="1">
      <c r="A58" s="174">
        <f>ROW()-2</f>
        <v>56</v>
      </c>
      <c r="B58" s="174" t="s">
        <v>14</v>
      </c>
      <c r="C58" s="174" t="s">
        <v>966</v>
      </c>
      <c r="D58" s="174" t="s">
        <v>978</v>
      </c>
      <c r="E58" s="174" t="s">
        <v>979</v>
      </c>
      <c r="F58" s="174" t="s">
        <v>1388</v>
      </c>
      <c r="G58" s="174" t="s">
        <v>1389</v>
      </c>
      <c r="H58" s="174" t="s">
        <v>1390</v>
      </c>
      <c r="I58" s="174" t="s">
        <v>17</v>
      </c>
      <c r="J58" s="177">
        <v>44554</v>
      </c>
      <c r="K58" s="174">
        <v>8</v>
      </c>
      <c r="L58" s="178">
        <v>2.0024999999999999</v>
      </c>
      <c r="M58" s="174" t="s">
        <v>20</v>
      </c>
      <c r="N58" s="174">
        <v>99</v>
      </c>
    </row>
    <row r="59" spans="1:14" s="174" customFormat="1" ht="35" customHeight="1">
      <c r="A59" s="174">
        <f>ROW()-2</f>
        <v>57</v>
      </c>
      <c r="B59" s="174" t="s">
        <v>14</v>
      </c>
      <c r="C59" s="174" t="s">
        <v>966</v>
      </c>
      <c r="D59" s="174" t="s">
        <v>978</v>
      </c>
      <c r="E59" s="174" t="s">
        <v>1113</v>
      </c>
      <c r="F59" s="174" t="s">
        <v>1404</v>
      </c>
      <c r="G59" s="174" t="s">
        <v>1404</v>
      </c>
      <c r="H59" s="174" t="s">
        <v>1405</v>
      </c>
      <c r="I59" s="174" t="s">
        <v>17</v>
      </c>
      <c r="J59" s="177">
        <v>44563</v>
      </c>
      <c r="K59" s="174">
        <v>11</v>
      </c>
      <c r="L59" s="178">
        <v>1.1744444444444444</v>
      </c>
      <c r="M59" s="174" t="s">
        <v>20</v>
      </c>
      <c r="N59" s="174">
        <v>99</v>
      </c>
    </row>
    <row r="60" spans="1:14" s="174" customFormat="1" ht="35" customHeight="1">
      <c r="A60" s="174">
        <f>ROW()-2</f>
        <v>58</v>
      </c>
      <c r="B60" s="174" t="s">
        <v>14</v>
      </c>
      <c r="C60" s="174" t="s">
        <v>966</v>
      </c>
      <c r="D60" s="174" t="s">
        <v>978</v>
      </c>
      <c r="E60" s="174" t="s">
        <v>1113</v>
      </c>
      <c r="F60" s="174" t="s">
        <v>1402</v>
      </c>
      <c r="G60" s="174" t="s">
        <v>1402</v>
      </c>
      <c r="H60" s="174" t="s">
        <v>1403</v>
      </c>
      <c r="I60" s="174" t="s">
        <v>17</v>
      </c>
      <c r="J60" s="177">
        <v>44563</v>
      </c>
      <c r="K60" s="174">
        <v>16</v>
      </c>
      <c r="L60" s="178">
        <v>1.6169444444444445</v>
      </c>
      <c r="M60" s="174" t="s">
        <v>20</v>
      </c>
      <c r="N60" s="174">
        <v>69</v>
      </c>
    </row>
    <row r="61" spans="1:14" s="174" customFormat="1" ht="35" customHeight="1">
      <c r="A61" s="174">
        <f>ROW()-2</f>
        <v>59</v>
      </c>
      <c r="B61" s="174" t="s">
        <v>14</v>
      </c>
      <c r="C61" s="174" t="s">
        <v>966</v>
      </c>
      <c r="D61" s="174" t="s">
        <v>978</v>
      </c>
      <c r="E61" s="174" t="s">
        <v>1113</v>
      </c>
      <c r="F61" s="174" t="s">
        <v>1397</v>
      </c>
      <c r="G61" s="174" t="s">
        <v>1397</v>
      </c>
      <c r="H61" s="174" t="s">
        <v>1398</v>
      </c>
      <c r="I61" s="174" t="s">
        <v>17</v>
      </c>
      <c r="J61" s="177">
        <v>44563</v>
      </c>
      <c r="K61" s="174">
        <v>12</v>
      </c>
      <c r="L61" s="178">
        <v>2.387777777777778</v>
      </c>
      <c r="M61" s="174" t="s">
        <v>20</v>
      </c>
      <c r="N61" s="174">
        <v>39</v>
      </c>
    </row>
    <row r="62" spans="1:14" s="174" customFormat="1" ht="35" customHeight="1">
      <c r="A62" s="174">
        <f>ROW()-2</f>
        <v>60</v>
      </c>
      <c r="B62" s="174" t="s">
        <v>14</v>
      </c>
      <c r="C62" s="174" t="s">
        <v>966</v>
      </c>
      <c r="D62" s="174" t="s">
        <v>978</v>
      </c>
      <c r="E62" s="174" t="s">
        <v>1109</v>
      </c>
      <c r="F62" s="174" t="s">
        <v>1394</v>
      </c>
      <c r="G62" s="174" t="s">
        <v>1395</v>
      </c>
      <c r="H62" s="174" t="s">
        <v>1396</v>
      </c>
      <c r="I62" s="174" t="s">
        <v>29</v>
      </c>
      <c r="J62" s="177">
        <v>44563</v>
      </c>
      <c r="K62" s="174">
        <v>17</v>
      </c>
      <c r="L62" s="178">
        <v>2.8563888888888891</v>
      </c>
      <c r="M62" s="174" t="s">
        <v>20</v>
      </c>
      <c r="N62" s="174">
        <v>69</v>
      </c>
    </row>
    <row r="63" spans="1:14" s="174" customFormat="1" ht="35" customHeight="1">
      <c r="A63" s="174">
        <f>ROW()-2</f>
        <v>61</v>
      </c>
      <c r="B63" s="174" t="s">
        <v>14</v>
      </c>
      <c r="C63" s="174" t="s">
        <v>966</v>
      </c>
      <c r="D63" s="174" t="s">
        <v>978</v>
      </c>
      <c r="E63" s="174" t="s">
        <v>1113</v>
      </c>
      <c r="F63" s="174" t="s">
        <v>1399</v>
      </c>
      <c r="G63" s="174" t="s">
        <v>1400</v>
      </c>
      <c r="H63" s="174" t="s">
        <v>1401</v>
      </c>
      <c r="I63" s="174" t="s">
        <v>17</v>
      </c>
      <c r="J63" s="177">
        <v>44563</v>
      </c>
      <c r="K63" s="174">
        <v>16</v>
      </c>
      <c r="L63" s="178">
        <v>1.9572222222222222</v>
      </c>
      <c r="M63" s="174" t="s">
        <v>20</v>
      </c>
      <c r="N63" s="174">
        <v>99</v>
      </c>
    </row>
    <row r="64" spans="1:14" s="174" customFormat="1" ht="35" customHeight="1">
      <c r="A64" s="174">
        <f>ROW()-2</f>
        <v>62</v>
      </c>
      <c r="B64" s="174" t="s">
        <v>14</v>
      </c>
      <c r="C64" s="174" t="s">
        <v>966</v>
      </c>
      <c r="D64" s="174" t="s">
        <v>978</v>
      </c>
      <c r="E64" s="174" t="s">
        <v>1113</v>
      </c>
      <c r="F64" s="174" t="s">
        <v>2529</v>
      </c>
      <c r="G64" s="174" t="s">
        <v>2529</v>
      </c>
      <c r="H64" s="174" t="s">
        <v>1398</v>
      </c>
      <c r="I64" s="174" t="s">
        <v>17</v>
      </c>
      <c r="J64" s="177">
        <v>44566</v>
      </c>
      <c r="K64" s="174">
        <v>17</v>
      </c>
      <c r="L64" s="178">
        <v>2.0255555555555556</v>
      </c>
      <c r="M64" s="174" t="s">
        <v>20</v>
      </c>
      <c r="N64" s="174">
        <v>39</v>
      </c>
    </row>
    <row r="65" spans="1:45" s="174" customFormat="1" ht="35" customHeight="1">
      <c r="A65" s="174">
        <f>ROW()-2</f>
        <v>63</v>
      </c>
      <c r="B65" s="174" t="s">
        <v>14</v>
      </c>
      <c r="C65" s="174" t="s">
        <v>966</v>
      </c>
      <c r="D65" s="174" t="s">
        <v>978</v>
      </c>
      <c r="E65" s="174" t="s">
        <v>1113</v>
      </c>
      <c r="F65" s="174" t="s">
        <v>2530</v>
      </c>
      <c r="G65" s="174" t="s">
        <v>2531</v>
      </c>
      <c r="H65" s="174" t="s">
        <v>1420</v>
      </c>
      <c r="I65" s="174" t="s">
        <v>17</v>
      </c>
      <c r="J65" s="177">
        <v>44566</v>
      </c>
      <c r="K65" s="174">
        <v>22</v>
      </c>
      <c r="L65" s="178">
        <v>2.8519444444444444</v>
      </c>
      <c r="M65" s="174" t="s">
        <v>20</v>
      </c>
      <c r="N65" s="174">
        <v>69</v>
      </c>
    </row>
    <row r="66" spans="1:45" s="174" customFormat="1" ht="35" customHeight="1">
      <c r="A66" s="174">
        <f>ROW()-2</f>
        <v>64</v>
      </c>
      <c r="B66" s="174" t="s">
        <v>14</v>
      </c>
      <c r="C66" s="174" t="s">
        <v>966</v>
      </c>
      <c r="D66" s="174" t="s">
        <v>978</v>
      </c>
      <c r="E66" s="174" t="s">
        <v>1113</v>
      </c>
      <c r="F66" s="174" t="s">
        <v>2592</v>
      </c>
      <c r="G66" s="174" t="s">
        <v>1419</v>
      </c>
      <c r="H66" s="174" t="s">
        <v>1398</v>
      </c>
      <c r="I66" s="174" t="s">
        <v>17</v>
      </c>
      <c r="J66" s="177">
        <v>44566</v>
      </c>
      <c r="K66" s="174">
        <v>16</v>
      </c>
      <c r="L66" s="178">
        <v>2.6308333333333334</v>
      </c>
      <c r="M66" s="174" t="s">
        <v>20</v>
      </c>
      <c r="N66" s="174">
        <v>39</v>
      </c>
    </row>
    <row r="67" spans="1:45" s="174" customFormat="1" ht="35" customHeight="1">
      <c r="A67" s="174">
        <f>ROW()-2</f>
        <v>65</v>
      </c>
      <c r="B67" s="174" t="s">
        <v>14</v>
      </c>
      <c r="C67" s="174" t="s">
        <v>966</v>
      </c>
      <c r="D67" s="174" t="s">
        <v>978</v>
      </c>
      <c r="E67" s="174" t="s">
        <v>979</v>
      </c>
      <c r="F67" s="174" t="s">
        <v>2532</v>
      </c>
      <c r="G67" s="174" t="s">
        <v>2532</v>
      </c>
      <c r="H67" s="174" t="s">
        <v>1421</v>
      </c>
      <c r="I67" s="174" t="s">
        <v>29</v>
      </c>
      <c r="J67" s="177">
        <v>44573</v>
      </c>
      <c r="K67" s="174">
        <v>7</v>
      </c>
      <c r="L67" s="178">
        <v>2.1044444444444443</v>
      </c>
      <c r="M67" s="174" t="s">
        <v>20</v>
      </c>
      <c r="N67" s="174">
        <v>89</v>
      </c>
    </row>
    <row r="68" spans="1:45" s="174" customFormat="1" ht="35" customHeight="1">
      <c r="A68" s="174">
        <f>ROW()-2</f>
        <v>66</v>
      </c>
      <c r="B68" s="174" t="s">
        <v>14</v>
      </c>
      <c r="C68" s="174" t="s">
        <v>966</v>
      </c>
      <c r="D68" s="174" t="s">
        <v>978</v>
      </c>
      <c r="E68" s="174" t="s">
        <v>979</v>
      </c>
      <c r="F68" s="174" t="s">
        <v>1425</v>
      </c>
      <c r="G68" s="174" t="s">
        <v>1425</v>
      </c>
      <c r="H68" s="174" t="s">
        <v>1426</v>
      </c>
      <c r="I68" s="174" t="s">
        <v>29</v>
      </c>
      <c r="J68" s="177">
        <v>44573</v>
      </c>
      <c r="K68" s="174">
        <v>29</v>
      </c>
      <c r="L68" s="178">
        <v>6.9616666666666669</v>
      </c>
      <c r="M68" s="174" t="s">
        <v>20</v>
      </c>
      <c r="N68" s="174">
        <v>2998</v>
      </c>
    </row>
    <row r="69" spans="1:45" s="174" customFormat="1" ht="35" customHeight="1">
      <c r="A69" s="174">
        <f>ROW()-2</f>
        <v>67</v>
      </c>
      <c r="B69" s="174" t="s">
        <v>14</v>
      </c>
      <c r="C69" s="174" t="s">
        <v>966</v>
      </c>
      <c r="D69" s="174" t="s">
        <v>978</v>
      </c>
      <c r="E69" s="174" t="s">
        <v>979</v>
      </c>
      <c r="F69" s="174" t="s">
        <v>1423</v>
      </c>
      <c r="G69" s="174" t="s">
        <v>1423</v>
      </c>
      <c r="H69" s="174" t="s">
        <v>1424</v>
      </c>
      <c r="I69" s="174" t="s">
        <v>29</v>
      </c>
      <c r="J69" s="177">
        <v>44573</v>
      </c>
      <c r="K69" s="174">
        <v>17</v>
      </c>
      <c r="L69" s="178">
        <v>2.6580555555555554</v>
      </c>
      <c r="M69" s="174" t="s">
        <v>89</v>
      </c>
      <c r="N69" s="174">
        <v>129</v>
      </c>
    </row>
    <row r="70" spans="1:45" s="174" customFormat="1" ht="35" customHeight="1">
      <c r="A70" s="174">
        <f>ROW()-2</f>
        <v>68</v>
      </c>
      <c r="B70" s="174" t="s">
        <v>14</v>
      </c>
      <c r="C70" s="174" t="s">
        <v>966</v>
      </c>
      <c r="D70" s="174" t="s">
        <v>978</v>
      </c>
      <c r="E70" s="174" t="s">
        <v>979</v>
      </c>
      <c r="F70" s="174" t="s">
        <v>1422</v>
      </c>
      <c r="G70" s="174" t="s">
        <v>1422</v>
      </c>
      <c r="H70" s="174" t="s">
        <v>1421</v>
      </c>
      <c r="I70" s="174" t="s">
        <v>29</v>
      </c>
      <c r="J70" s="177">
        <v>44573</v>
      </c>
      <c r="K70" s="174">
        <v>9</v>
      </c>
      <c r="L70" s="178">
        <v>2.1936111111111112</v>
      </c>
      <c r="M70" s="174" t="s">
        <v>20</v>
      </c>
      <c r="N70" s="174">
        <v>99</v>
      </c>
    </row>
    <row r="71" spans="1:45" s="174" customFormat="1" ht="35" customHeight="1">
      <c r="A71" s="174">
        <f>ROW()-2</f>
        <v>69</v>
      </c>
      <c r="B71" s="174" t="s">
        <v>14</v>
      </c>
      <c r="C71" s="174" t="s">
        <v>966</v>
      </c>
      <c r="D71" s="174" t="s">
        <v>978</v>
      </c>
      <c r="E71" s="174" t="s">
        <v>979</v>
      </c>
      <c r="F71" s="174" t="s">
        <v>1427</v>
      </c>
      <c r="G71" s="174" t="s">
        <v>1427</v>
      </c>
      <c r="H71" s="174" t="s">
        <v>1428</v>
      </c>
      <c r="I71" s="174" t="s">
        <v>29</v>
      </c>
      <c r="J71" s="177">
        <v>44573</v>
      </c>
      <c r="K71" s="174">
        <v>6</v>
      </c>
      <c r="L71" s="178">
        <v>1.2136111111111112</v>
      </c>
      <c r="M71" s="174" t="s">
        <v>20</v>
      </c>
      <c r="N71" s="174">
        <v>69</v>
      </c>
    </row>
    <row r="72" spans="1:45" s="174" customFormat="1" ht="35" customHeight="1">
      <c r="A72" s="174">
        <f>ROW()-2</f>
        <v>70</v>
      </c>
      <c r="B72" s="181" t="s">
        <v>5365</v>
      </c>
      <c r="C72" s="181" t="s">
        <v>5372</v>
      </c>
      <c r="D72" s="181" t="s">
        <v>5378</v>
      </c>
      <c r="E72" s="181" t="s">
        <v>5379</v>
      </c>
      <c r="F72" s="181" t="s">
        <v>5380</v>
      </c>
      <c r="G72" s="181" t="s">
        <v>5380</v>
      </c>
      <c r="H72" s="181" t="s">
        <v>5381</v>
      </c>
      <c r="I72" s="181" t="s">
        <v>17</v>
      </c>
      <c r="J72" s="177">
        <v>44606</v>
      </c>
      <c r="K72" s="181">
        <v>9</v>
      </c>
      <c r="L72" s="179">
        <v>1.7</v>
      </c>
      <c r="M72" s="181" t="s">
        <v>5377</v>
      </c>
      <c r="N72" s="181">
        <v>59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</row>
    <row r="73" spans="1:45" s="174" customFormat="1" ht="35" customHeight="1">
      <c r="A73" s="174">
        <f>ROW()-2</f>
        <v>71</v>
      </c>
      <c r="B73" s="174" t="s">
        <v>14</v>
      </c>
      <c r="C73" s="174" t="s">
        <v>966</v>
      </c>
      <c r="D73" s="174" t="s">
        <v>2590</v>
      </c>
      <c r="E73" s="174" t="s">
        <v>2591</v>
      </c>
      <c r="F73" s="174" t="s">
        <v>1253</v>
      </c>
      <c r="G73" s="174" t="s">
        <v>1253</v>
      </c>
      <c r="H73" s="174" t="s">
        <v>61</v>
      </c>
      <c r="I73" s="174" t="s">
        <v>17</v>
      </c>
      <c r="J73" s="177">
        <v>44477</v>
      </c>
      <c r="K73" s="174">
        <v>8</v>
      </c>
      <c r="L73" s="178">
        <v>1.0122222222222221</v>
      </c>
      <c r="M73" s="174" t="s">
        <v>20</v>
      </c>
      <c r="N73" s="174">
        <v>99</v>
      </c>
    </row>
    <row r="74" spans="1:45" s="174" customFormat="1" ht="35" customHeight="1">
      <c r="A74" s="174">
        <f>ROW()-2</f>
        <v>72</v>
      </c>
      <c r="B74" s="174" t="s">
        <v>14</v>
      </c>
      <c r="C74" s="174" t="s">
        <v>966</v>
      </c>
      <c r="D74" s="174" t="s">
        <v>1023</v>
      </c>
      <c r="E74" s="174" t="s">
        <v>1024</v>
      </c>
      <c r="F74" s="174" t="s">
        <v>2524</v>
      </c>
      <c r="G74" s="174" t="s">
        <v>1025</v>
      </c>
      <c r="H74" s="174" t="s">
        <v>1026</v>
      </c>
      <c r="I74" s="174" t="s">
        <v>29</v>
      </c>
      <c r="J74" s="177">
        <v>43573</v>
      </c>
      <c r="K74" s="174">
        <v>12</v>
      </c>
      <c r="L74" s="178">
        <v>2.5163888888888888</v>
      </c>
      <c r="M74" s="174" t="s">
        <v>20</v>
      </c>
      <c r="N74" s="174">
        <v>29</v>
      </c>
    </row>
    <row r="75" spans="1:45" s="174" customFormat="1" ht="35" customHeight="1">
      <c r="A75" s="174">
        <f>ROW()-2</f>
        <v>73</v>
      </c>
      <c r="B75" s="174" t="s">
        <v>14</v>
      </c>
      <c r="C75" s="174" t="s">
        <v>966</v>
      </c>
      <c r="D75" s="174" t="s">
        <v>1023</v>
      </c>
      <c r="E75" s="174" t="s">
        <v>1024</v>
      </c>
      <c r="F75" s="174" t="s">
        <v>1303</v>
      </c>
      <c r="G75" s="174" t="s">
        <v>1304</v>
      </c>
      <c r="H75" s="174" t="s">
        <v>1305</v>
      </c>
      <c r="I75" s="174" t="s">
        <v>29</v>
      </c>
      <c r="J75" s="177">
        <v>44537</v>
      </c>
      <c r="K75" s="174">
        <v>26</v>
      </c>
      <c r="L75" s="178">
        <v>4.5972222222222223</v>
      </c>
      <c r="M75" s="174" t="s">
        <v>20</v>
      </c>
      <c r="N75" s="174">
        <v>38</v>
      </c>
    </row>
    <row r="76" spans="1:45" s="174" customFormat="1" ht="35" customHeight="1">
      <c r="A76" s="174">
        <f>ROW()-2</f>
        <v>74</v>
      </c>
      <c r="B76" s="174" t="s">
        <v>14</v>
      </c>
      <c r="C76" s="174" t="s">
        <v>966</v>
      </c>
      <c r="D76" s="174" t="s">
        <v>1023</v>
      </c>
      <c r="E76" s="174" t="s">
        <v>1024</v>
      </c>
      <c r="F76" s="174" t="s">
        <v>1406</v>
      </c>
      <c r="G76" s="174" t="s">
        <v>1406</v>
      </c>
      <c r="H76" s="174" t="s">
        <v>1407</v>
      </c>
      <c r="I76" s="174" t="s">
        <v>17</v>
      </c>
      <c r="J76" s="177">
        <v>44563</v>
      </c>
      <c r="K76" s="174">
        <v>12</v>
      </c>
      <c r="L76" s="178">
        <v>2.4947222222222223</v>
      </c>
      <c r="M76" s="174" t="s">
        <v>20</v>
      </c>
      <c r="N76" s="174">
        <v>99</v>
      </c>
    </row>
    <row r="77" spans="1:45" s="174" customFormat="1" ht="35" customHeight="1">
      <c r="A77" s="174">
        <f>ROW()-2</f>
        <v>75</v>
      </c>
      <c r="B77" s="174" t="s">
        <v>14</v>
      </c>
      <c r="C77" s="174" t="s">
        <v>966</v>
      </c>
      <c r="D77" s="174" t="s">
        <v>2593</v>
      </c>
      <c r="E77" s="174" t="s">
        <v>2594</v>
      </c>
      <c r="F77" s="174" t="s">
        <v>1273</v>
      </c>
      <c r="G77" s="174" t="s">
        <v>1273</v>
      </c>
      <c r="H77" s="174" t="s">
        <v>1274</v>
      </c>
      <c r="I77" s="174" t="s">
        <v>17</v>
      </c>
      <c r="J77" s="177">
        <v>44531</v>
      </c>
      <c r="K77" s="174">
        <v>28</v>
      </c>
      <c r="L77" s="178">
        <v>6.543333333333333</v>
      </c>
      <c r="M77" s="174" t="s">
        <v>20</v>
      </c>
      <c r="N77" s="174">
        <v>89</v>
      </c>
    </row>
    <row r="78" spans="1:45" s="174" customFormat="1" ht="35" customHeight="1">
      <c r="A78" s="174">
        <f>ROW()-2</f>
        <v>76</v>
      </c>
      <c r="B78" s="174" t="s">
        <v>14</v>
      </c>
      <c r="C78" s="174" t="s">
        <v>966</v>
      </c>
      <c r="D78" s="174" t="s">
        <v>961</v>
      </c>
      <c r="E78" s="174" t="s">
        <v>962</v>
      </c>
      <c r="F78" s="174" t="s">
        <v>963</v>
      </c>
      <c r="G78" s="174" t="s">
        <v>964</v>
      </c>
      <c r="H78" s="174" t="s">
        <v>965</v>
      </c>
      <c r="I78" s="174" t="s">
        <v>29</v>
      </c>
      <c r="J78" s="177">
        <v>43238</v>
      </c>
      <c r="K78" s="174">
        <v>41</v>
      </c>
      <c r="L78" s="178">
        <v>9.3800000000000008</v>
      </c>
      <c r="M78" s="174" t="s">
        <v>20</v>
      </c>
      <c r="N78" s="174">
        <v>129</v>
      </c>
    </row>
    <row r="79" spans="1:45" s="174" customFormat="1" ht="35" customHeight="1">
      <c r="A79" s="174">
        <f>ROW()-2</f>
        <v>77</v>
      </c>
      <c r="B79" s="174" t="s">
        <v>14</v>
      </c>
      <c r="C79" s="174" t="s">
        <v>966</v>
      </c>
      <c r="D79" s="174" t="s">
        <v>961</v>
      </c>
      <c r="E79" s="174" t="s">
        <v>983</v>
      </c>
      <c r="F79" s="174" t="s">
        <v>984</v>
      </c>
      <c r="G79" s="174" t="s">
        <v>984</v>
      </c>
      <c r="H79" s="174" t="s">
        <v>985</v>
      </c>
      <c r="I79" s="174" t="s">
        <v>29</v>
      </c>
      <c r="J79" s="177">
        <v>43321</v>
      </c>
      <c r="K79" s="174">
        <v>14</v>
      </c>
      <c r="L79" s="178">
        <v>2.9772222222222222</v>
      </c>
      <c r="M79" s="174" t="s">
        <v>20</v>
      </c>
      <c r="N79" s="174">
        <v>99</v>
      </c>
    </row>
    <row r="80" spans="1:45" s="174" customFormat="1" ht="35" customHeight="1">
      <c r="A80" s="174">
        <f>ROW()-2</f>
        <v>78</v>
      </c>
      <c r="B80" s="174" t="s">
        <v>14</v>
      </c>
      <c r="C80" s="174" t="s">
        <v>966</v>
      </c>
      <c r="D80" s="174" t="s">
        <v>961</v>
      </c>
      <c r="E80" s="174" t="s">
        <v>1326</v>
      </c>
      <c r="F80" s="174" t="s">
        <v>921</v>
      </c>
      <c r="G80" s="174" t="s">
        <v>922</v>
      </c>
      <c r="H80" s="174" t="s">
        <v>923</v>
      </c>
      <c r="I80" s="174" t="s">
        <v>29</v>
      </c>
      <c r="J80" s="177">
        <v>43395</v>
      </c>
      <c r="K80" s="174">
        <v>37</v>
      </c>
      <c r="L80" s="178">
        <v>6.8274999999999997</v>
      </c>
      <c r="M80" s="174" t="s">
        <v>20</v>
      </c>
      <c r="N80" s="174">
        <v>99</v>
      </c>
    </row>
    <row r="81" spans="1:14" s="174" customFormat="1" ht="35" customHeight="1">
      <c r="A81" s="174">
        <f>ROW()-2</f>
        <v>79</v>
      </c>
      <c r="B81" s="174" t="s">
        <v>14</v>
      </c>
      <c r="C81" s="174" t="s">
        <v>966</v>
      </c>
      <c r="D81" s="174" t="s">
        <v>961</v>
      </c>
      <c r="E81" s="174" t="s">
        <v>962</v>
      </c>
      <c r="F81" s="174" t="s">
        <v>998</v>
      </c>
      <c r="G81" s="174" t="s">
        <v>999</v>
      </c>
      <c r="H81" s="174" t="s">
        <v>1000</v>
      </c>
      <c r="I81" s="174" t="s">
        <v>29</v>
      </c>
      <c r="J81" s="177">
        <v>43412</v>
      </c>
      <c r="K81" s="174">
        <v>37</v>
      </c>
      <c r="L81" s="178">
        <v>41.761944444444445</v>
      </c>
      <c r="M81" s="174" t="s">
        <v>20</v>
      </c>
      <c r="N81" s="174">
        <v>99</v>
      </c>
    </row>
    <row r="82" spans="1:14" s="174" customFormat="1" ht="35" customHeight="1">
      <c r="A82" s="174">
        <f>ROW()-2</f>
        <v>80</v>
      </c>
      <c r="B82" s="174" t="s">
        <v>14</v>
      </c>
      <c r="C82" s="174" t="s">
        <v>966</v>
      </c>
      <c r="D82" s="174" t="s">
        <v>961</v>
      </c>
      <c r="E82" s="174" t="s">
        <v>962</v>
      </c>
      <c r="F82" s="174" t="s">
        <v>1005</v>
      </c>
      <c r="G82" s="174" t="s">
        <v>1006</v>
      </c>
      <c r="H82" s="174" t="s">
        <v>1007</v>
      </c>
      <c r="I82" s="174" t="s">
        <v>29</v>
      </c>
      <c r="J82" s="177">
        <v>43413</v>
      </c>
      <c r="K82" s="174">
        <v>9</v>
      </c>
      <c r="L82" s="178">
        <v>3.6902777777777778</v>
      </c>
      <c r="M82" s="174" t="s">
        <v>20</v>
      </c>
      <c r="N82" s="174">
        <v>365</v>
      </c>
    </row>
    <row r="83" spans="1:14" s="174" customFormat="1" ht="35" customHeight="1">
      <c r="A83" s="174">
        <f>ROW()-2</f>
        <v>81</v>
      </c>
      <c r="B83" s="174" t="s">
        <v>14</v>
      </c>
      <c r="C83" s="174" t="s">
        <v>966</v>
      </c>
      <c r="D83" s="174" t="s">
        <v>961</v>
      </c>
      <c r="E83" s="174" t="s">
        <v>1012</v>
      </c>
      <c r="F83" s="174" t="s">
        <v>1013</v>
      </c>
      <c r="G83" s="174" t="s">
        <v>1014</v>
      </c>
      <c r="H83" s="174" t="s">
        <v>1015</v>
      </c>
      <c r="I83" s="174" t="s">
        <v>17</v>
      </c>
      <c r="J83" s="177">
        <v>43510</v>
      </c>
      <c r="K83" s="174">
        <v>45</v>
      </c>
      <c r="L83" s="178">
        <v>3.3908333333333331</v>
      </c>
      <c r="M83" s="174" t="s">
        <v>20</v>
      </c>
      <c r="N83" s="174">
        <v>99</v>
      </c>
    </row>
    <row r="84" spans="1:14" s="174" customFormat="1" ht="35" customHeight="1">
      <c r="A84" s="174">
        <f>ROW()-2</f>
        <v>82</v>
      </c>
      <c r="B84" s="174" t="s">
        <v>14</v>
      </c>
      <c r="C84" s="174" t="s">
        <v>966</v>
      </c>
      <c r="D84" s="174" t="s">
        <v>961</v>
      </c>
      <c r="E84" s="174" t="s">
        <v>983</v>
      </c>
      <c r="F84" s="174" t="s">
        <v>1027</v>
      </c>
      <c r="G84" s="174" t="s">
        <v>1028</v>
      </c>
      <c r="H84" s="174" t="s">
        <v>1029</v>
      </c>
      <c r="I84" s="174" t="s">
        <v>29</v>
      </c>
      <c r="J84" s="177">
        <v>43599</v>
      </c>
      <c r="K84" s="174">
        <v>19</v>
      </c>
      <c r="L84" s="178">
        <v>4.1016666666666666</v>
      </c>
      <c r="M84" s="174" t="s">
        <v>20</v>
      </c>
      <c r="N84" s="174">
        <v>79</v>
      </c>
    </row>
    <row r="85" spans="1:14" s="174" customFormat="1" ht="35" customHeight="1">
      <c r="A85" s="174">
        <f>ROW()-2</f>
        <v>83</v>
      </c>
      <c r="B85" s="174" t="s">
        <v>14</v>
      </c>
      <c r="C85" s="174" t="s">
        <v>966</v>
      </c>
      <c r="D85" s="174" t="s">
        <v>961</v>
      </c>
      <c r="E85" s="174" t="s">
        <v>962</v>
      </c>
      <c r="F85" s="174" t="s">
        <v>924</v>
      </c>
      <c r="G85" s="174" t="s">
        <v>925</v>
      </c>
      <c r="H85" s="174" t="s">
        <v>926</v>
      </c>
      <c r="I85" s="174" t="s">
        <v>29</v>
      </c>
      <c r="J85" s="177">
        <v>43717</v>
      </c>
      <c r="K85" s="174">
        <v>32</v>
      </c>
      <c r="L85" s="178">
        <v>4.9591666666666665</v>
      </c>
      <c r="M85" s="174" t="s">
        <v>20</v>
      </c>
      <c r="N85" s="174">
        <v>99</v>
      </c>
    </row>
    <row r="86" spans="1:14" s="174" customFormat="1" ht="35" customHeight="1">
      <c r="A86" s="174">
        <f>ROW()-2</f>
        <v>84</v>
      </c>
      <c r="B86" s="174" t="s">
        <v>14</v>
      </c>
      <c r="C86" s="174" t="s">
        <v>966</v>
      </c>
      <c r="D86" s="174" t="s">
        <v>961</v>
      </c>
      <c r="E86" s="174" t="s">
        <v>962</v>
      </c>
      <c r="F86" s="174" t="s">
        <v>1063</v>
      </c>
      <c r="G86" s="174" t="s">
        <v>1064</v>
      </c>
      <c r="H86" s="174" t="s">
        <v>842</v>
      </c>
      <c r="I86" s="174" t="s">
        <v>17</v>
      </c>
      <c r="J86" s="177">
        <v>43896</v>
      </c>
      <c r="K86" s="174">
        <v>18</v>
      </c>
      <c r="L86" s="178">
        <v>3.8883333333333332</v>
      </c>
      <c r="M86" s="174" t="s">
        <v>20</v>
      </c>
      <c r="N86" s="174">
        <v>128</v>
      </c>
    </row>
    <row r="87" spans="1:14" s="174" customFormat="1" ht="35" customHeight="1">
      <c r="A87" s="174">
        <f>ROW()-2</f>
        <v>85</v>
      </c>
      <c r="B87" s="174" t="s">
        <v>14</v>
      </c>
      <c r="C87" s="174" t="s">
        <v>966</v>
      </c>
      <c r="D87" s="174" t="s">
        <v>961</v>
      </c>
      <c r="E87" s="174" t="s">
        <v>962</v>
      </c>
      <c r="F87" s="174" t="s">
        <v>927</v>
      </c>
      <c r="G87" s="174" t="s">
        <v>928</v>
      </c>
      <c r="H87" s="174" t="s">
        <v>760</v>
      </c>
      <c r="I87" s="174" t="s">
        <v>29</v>
      </c>
      <c r="J87" s="177">
        <v>43998</v>
      </c>
      <c r="K87" s="174">
        <v>79</v>
      </c>
      <c r="L87" s="178">
        <v>22.036666666666665</v>
      </c>
      <c r="M87" s="174" t="s">
        <v>20</v>
      </c>
      <c r="N87" s="174">
        <v>99</v>
      </c>
    </row>
    <row r="88" spans="1:14" s="174" customFormat="1" ht="35" customHeight="1">
      <c r="A88" s="174">
        <f>ROW()-2</f>
        <v>86</v>
      </c>
      <c r="B88" s="174" t="s">
        <v>14</v>
      </c>
      <c r="C88" s="174" t="s">
        <v>966</v>
      </c>
      <c r="D88" s="174" t="s">
        <v>961</v>
      </c>
      <c r="E88" s="174" t="s">
        <v>1127</v>
      </c>
      <c r="F88" s="174" t="s">
        <v>1128</v>
      </c>
      <c r="G88" s="174" t="s">
        <v>1129</v>
      </c>
      <c r="H88" s="174" t="s">
        <v>1130</v>
      </c>
      <c r="I88" s="174" t="s">
        <v>29</v>
      </c>
      <c r="J88" s="177">
        <v>44084</v>
      </c>
      <c r="K88" s="174">
        <v>36</v>
      </c>
      <c r="L88" s="178">
        <v>7.1133333333333333</v>
      </c>
      <c r="M88" s="174" t="s">
        <v>20</v>
      </c>
      <c r="N88" s="174">
        <v>69</v>
      </c>
    </row>
    <row r="89" spans="1:14" s="174" customFormat="1" ht="35" customHeight="1">
      <c r="A89" s="174">
        <f>ROW()-2</f>
        <v>87</v>
      </c>
      <c r="B89" s="174" t="s">
        <v>14</v>
      </c>
      <c r="C89" s="174" t="s">
        <v>966</v>
      </c>
      <c r="D89" s="174" t="s">
        <v>961</v>
      </c>
      <c r="E89" s="174" t="s">
        <v>1127</v>
      </c>
      <c r="F89" s="174" t="s">
        <v>1131</v>
      </c>
      <c r="G89" s="174" t="s">
        <v>1132</v>
      </c>
      <c r="H89" s="174" t="s">
        <v>1133</v>
      </c>
      <c r="I89" s="174" t="s">
        <v>29</v>
      </c>
      <c r="J89" s="177">
        <v>44095</v>
      </c>
      <c r="K89" s="174">
        <v>9</v>
      </c>
      <c r="L89" s="178">
        <v>1.7538888888888888</v>
      </c>
      <c r="M89" s="174" t="s">
        <v>20</v>
      </c>
      <c r="N89" s="174">
        <v>499</v>
      </c>
    </row>
    <row r="90" spans="1:14" s="174" customFormat="1" ht="35" customHeight="1">
      <c r="A90" s="174">
        <f>ROW()-2</f>
        <v>88</v>
      </c>
      <c r="B90" s="174" t="s">
        <v>14</v>
      </c>
      <c r="C90" s="174" t="s">
        <v>966</v>
      </c>
      <c r="D90" s="174" t="s">
        <v>961</v>
      </c>
      <c r="E90" s="174" t="s">
        <v>1127</v>
      </c>
      <c r="F90" s="174" t="s">
        <v>1134</v>
      </c>
      <c r="G90" s="174" t="s">
        <v>1132</v>
      </c>
      <c r="H90" s="174" t="s">
        <v>1133</v>
      </c>
      <c r="I90" s="174" t="s">
        <v>29</v>
      </c>
      <c r="J90" s="177">
        <v>44095</v>
      </c>
      <c r="K90" s="174">
        <v>10</v>
      </c>
      <c r="L90" s="178">
        <v>1.856111111111111</v>
      </c>
      <c r="M90" s="174" t="s">
        <v>20</v>
      </c>
      <c r="N90" s="174">
        <v>499</v>
      </c>
    </row>
    <row r="91" spans="1:14" s="174" customFormat="1" ht="35" customHeight="1">
      <c r="A91" s="174">
        <f>ROW()-2</f>
        <v>89</v>
      </c>
      <c r="B91" s="174" t="s">
        <v>14</v>
      </c>
      <c r="C91" s="174" t="s">
        <v>966</v>
      </c>
      <c r="D91" s="174" t="s">
        <v>961</v>
      </c>
      <c r="E91" s="174" t="s">
        <v>1127</v>
      </c>
      <c r="F91" s="174" t="s">
        <v>1135</v>
      </c>
      <c r="G91" s="174" t="s">
        <v>1132</v>
      </c>
      <c r="H91" s="174" t="s">
        <v>1133</v>
      </c>
      <c r="I91" s="174" t="s">
        <v>29</v>
      </c>
      <c r="J91" s="177">
        <v>44095</v>
      </c>
      <c r="K91" s="174">
        <v>10</v>
      </c>
      <c r="L91" s="178">
        <v>1.7891666666666666</v>
      </c>
      <c r="M91" s="174" t="s">
        <v>20</v>
      </c>
      <c r="N91" s="174">
        <v>499</v>
      </c>
    </row>
    <row r="92" spans="1:14" s="174" customFormat="1" ht="35" customHeight="1">
      <c r="A92" s="174">
        <f>ROW()-2</f>
        <v>90</v>
      </c>
      <c r="B92" s="174" t="s">
        <v>14</v>
      </c>
      <c r="C92" s="174" t="s">
        <v>966</v>
      </c>
      <c r="D92" s="174" t="s">
        <v>961</v>
      </c>
      <c r="E92" s="174" t="s">
        <v>1127</v>
      </c>
      <c r="F92" s="174" t="s">
        <v>1136</v>
      </c>
      <c r="G92" s="174" t="s">
        <v>1132</v>
      </c>
      <c r="H92" s="174" t="s">
        <v>1133</v>
      </c>
      <c r="I92" s="174" t="s">
        <v>29</v>
      </c>
      <c r="J92" s="177">
        <v>44095</v>
      </c>
      <c r="K92" s="174">
        <v>9</v>
      </c>
      <c r="L92" s="178">
        <v>1.681111111111111</v>
      </c>
      <c r="M92" s="174" t="s">
        <v>20</v>
      </c>
      <c r="N92" s="174">
        <v>499</v>
      </c>
    </row>
    <row r="93" spans="1:14" s="174" customFormat="1" ht="35" customHeight="1">
      <c r="A93" s="174">
        <f>ROW()-2</f>
        <v>91</v>
      </c>
      <c r="B93" s="174" t="s">
        <v>14</v>
      </c>
      <c r="C93" s="174" t="s">
        <v>966</v>
      </c>
      <c r="D93" s="174" t="s">
        <v>961</v>
      </c>
      <c r="E93" s="174" t="s">
        <v>1127</v>
      </c>
      <c r="F93" s="174" t="s">
        <v>1137</v>
      </c>
      <c r="G93" s="174" t="s">
        <v>1132</v>
      </c>
      <c r="H93" s="174" t="s">
        <v>1133</v>
      </c>
      <c r="I93" s="174" t="s">
        <v>29</v>
      </c>
      <c r="J93" s="177">
        <v>44095</v>
      </c>
      <c r="K93" s="174">
        <v>100</v>
      </c>
      <c r="L93" s="178">
        <v>17.663333333333334</v>
      </c>
      <c r="M93" s="174" t="s">
        <v>20</v>
      </c>
      <c r="N93" s="174">
        <v>499</v>
      </c>
    </row>
    <row r="94" spans="1:14" s="174" customFormat="1" ht="35" customHeight="1">
      <c r="A94" s="174">
        <f>ROW()-2</f>
        <v>92</v>
      </c>
      <c r="B94" s="174" t="s">
        <v>14</v>
      </c>
      <c r="C94" s="174" t="s">
        <v>966</v>
      </c>
      <c r="D94" s="174" t="s">
        <v>961</v>
      </c>
      <c r="E94" s="174" t="s">
        <v>1012</v>
      </c>
      <c r="F94" s="174" t="s">
        <v>929</v>
      </c>
      <c r="G94" s="174" t="s">
        <v>930</v>
      </c>
      <c r="H94" s="174" t="s">
        <v>931</v>
      </c>
      <c r="I94" s="174" t="s">
        <v>17</v>
      </c>
      <c r="J94" s="177">
        <v>44097</v>
      </c>
      <c r="K94" s="174">
        <v>23</v>
      </c>
      <c r="L94" s="178">
        <v>4.6955555555555559</v>
      </c>
      <c r="M94" s="174" t="s">
        <v>20</v>
      </c>
      <c r="N94" s="174">
        <v>180</v>
      </c>
    </row>
    <row r="95" spans="1:14" s="174" customFormat="1" ht="35" customHeight="1">
      <c r="A95" s="174">
        <f>ROW()-2</f>
        <v>93</v>
      </c>
      <c r="B95" s="174" t="s">
        <v>14</v>
      </c>
      <c r="C95" s="174" t="s">
        <v>966</v>
      </c>
      <c r="D95" s="174" t="s">
        <v>961</v>
      </c>
      <c r="E95" s="174" t="s">
        <v>1127</v>
      </c>
      <c r="F95" s="174" t="s">
        <v>1209</v>
      </c>
      <c r="G95" s="174" t="s">
        <v>1210</v>
      </c>
      <c r="H95" s="174" t="s">
        <v>667</v>
      </c>
      <c r="I95" s="174" t="s">
        <v>29</v>
      </c>
      <c r="J95" s="177">
        <v>44305</v>
      </c>
      <c r="K95" s="174">
        <v>26</v>
      </c>
      <c r="L95" s="178">
        <v>4.3583333333333334</v>
      </c>
      <c r="M95" s="174" t="s">
        <v>20</v>
      </c>
      <c r="N95" s="174">
        <v>199</v>
      </c>
    </row>
    <row r="96" spans="1:14" s="174" customFormat="1" ht="35" customHeight="1">
      <c r="A96" s="174">
        <f>ROW()-2</f>
        <v>94</v>
      </c>
      <c r="B96" s="174" t="s">
        <v>14</v>
      </c>
      <c r="C96" s="174" t="s">
        <v>966</v>
      </c>
      <c r="D96" s="174" t="s">
        <v>961</v>
      </c>
      <c r="E96" s="174" t="s">
        <v>1326</v>
      </c>
      <c r="F96" s="174" t="s">
        <v>933</v>
      </c>
      <c r="G96" s="174" t="s">
        <v>934</v>
      </c>
      <c r="H96" s="174" t="s">
        <v>935</v>
      </c>
      <c r="I96" s="174" t="s">
        <v>29</v>
      </c>
      <c r="J96" s="177">
        <v>44326</v>
      </c>
      <c r="K96" s="174">
        <v>19</v>
      </c>
      <c r="L96" s="178">
        <v>3.4366666666666665</v>
      </c>
      <c r="M96" s="174" t="s">
        <v>20</v>
      </c>
      <c r="N96" s="174">
        <v>69</v>
      </c>
    </row>
    <row r="97" spans="1:14" s="174" customFormat="1" ht="35" customHeight="1">
      <c r="A97" s="174">
        <f>ROW()-2</f>
        <v>95</v>
      </c>
      <c r="B97" s="174" t="s">
        <v>14</v>
      </c>
      <c r="C97" s="174" t="s">
        <v>966</v>
      </c>
      <c r="D97" s="174" t="s">
        <v>961</v>
      </c>
      <c r="E97" s="174" t="s">
        <v>962</v>
      </c>
      <c r="F97" s="174" t="s">
        <v>1230</v>
      </c>
      <c r="G97" s="174" t="s">
        <v>1231</v>
      </c>
      <c r="H97" s="174" t="s">
        <v>1232</v>
      </c>
      <c r="I97" s="174" t="s">
        <v>939</v>
      </c>
      <c r="J97" s="177">
        <v>44391</v>
      </c>
      <c r="K97" s="174">
        <v>15</v>
      </c>
      <c r="L97" s="178">
        <v>3.2411111111111111</v>
      </c>
      <c r="M97" s="174" t="s">
        <v>20</v>
      </c>
      <c r="N97" s="174">
        <v>99</v>
      </c>
    </row>
    <row r="98" spans="1:14" s="174" customFormat="1" ht="35" customHeight="1">
      <c r="A98" s="174">
        <f>ROW()-2</f>
        <v>96</v>
      </c>
      <c r="B98" s="174" t="s">
        <v>14</v>
      </c>
      <c r="C98" s="174" t="s">
        <v>966</v>
      </c>
      <c r="D98" s="174" t="s">
        <v>961</v>
      </c>
      <c r="E98" s="174" t="s">
        <v>1012</v>
      </c>
      <c r="F98" s="174" t="s">
        <v>936</v>
      </c>
      <c r="G98" s="174" t="s">
        <v>937</v>
      </c>
      <c r="H98" s="174" t="s">
        <v>938</v>
      </c>
      <c r="I98" s="174" t="s">
        <v>939</v>
      </c>
      <c r="J98" s="177">
        <v>44423</v>
      </c>
      <c r="K98" s="174">
        <v>15</v>
      </c>
      <c r="L98" s="178">
        <v>1.2741666666666667</v>
      </c>
      <c r="M98" s="174" t="s">
        <v>20</v>
      </c>
      <c r="N98" s="174">
        <v>198</v>
      </c>
    </row>
    <row r="99" spans="1:14" s="174" customFormat="1" ht="35" customHeight="1">
      <c r="A99" s="174">
        <f>ROW()-2</f>
        <v>97</v>
      </c>
      <c r="B99" s="174" t="s">
        <v>14</v>
      </c>
      <c r="C99" s="174" t="s">
        <v>966</v>
      </c>
      <c r="D99" s="174" t="s">
        <v>961</v>
      </c>
      <c r="E99" s="174" t="s">
        <v>983</v>
      </c>
      <c r="F99" s="174" t="s">
        <v>1245</v>
      </c>
      <c r="G99" s="174" t="s">
        <v>1246</v>
      </c>
      <c r="H99" s="174" t="s">
        <v>1247</v>
      </c>
      <c r="I99" s="174" t="s">
        <v>29</v>
      </c>
      <c r="J99" s="177">
        <v>44437</v>
      </c>
      <c r="K99" s="174">
        <v>13</v>
      </c>
      <c r="L99" s="178">
        <v>2.3869444444444445</v>
      </c>
      <c r="M99" s="174" t="s">
        <v>20</v>
      </c>
      <c r="N99" s="174">
        <v>66</v>
      </c>
    </row>
    <row r="100" spans="1:14" s="174" customFormat="1" ht="35" customHeight="1">
      <c r="A100" s="174">
        <f>ROW()-2</f>
        <v>98</v>
      </c>
      <c r="B100" s="174" t="s">
        <v>14</v>
      </c>
      <c r="C100" s="174" t="s">
        <v>966</v>
      </c>
      <c r="D100" s="174" t="s">
        <v>961</v>
      </c>
      <c r="E100" s="174" t="s">
        <v>1127</v>
      </c>
      <c r="F100" s="174" t="s">
        <v>1248</v>
      </c>
      <c r="G100" s="174" t="s">
        <v>1248</v>
      </c>
      <c r="H100" s="174" t="s">
        <v>1249</v>
      </c>
      <c r="I100" s="174" t="s">
        <v>29</v>
      </c>
      <c r="J100" s="177">
        <v>44446</v>
      </c>
      <c r="K100" s="174">
        <v>11</v>
      </c>
      <c r="L100" s="178">
        <v>2.1324999999999998</v>
      </c>
      <c r="M100" s="174" t="s">
        <v>20</v>
      </c>
      <c r="N100" s="174">
        <v>99</v>
      </c>
    </row>
    <row r="101" spans="1:14" s="174" customFormat="1" ht="35" customHeight="1">
      <c r="A101" s="174">
        <f>ROW()-2</f>
        <v>99</v>
      </c>
      <c r="B101" s="174" t="s">
        <v>14</v>
      </c>
      <c r="C101" s="174" t="s">
        <v>966</v>
      </c>
      <c r="D101" s="174" t="s">
        <v>961</v>
      </c>
      <c r="E101" s="174" t="s">
        <v>1127</v>
      </c>
      <c r="F101" s="174" t="s">
        <v>1258</v>
      </c>
      <c r="G101" s="174" t="s">
        <v>1258</v>
      </c>
      <c r="H101" s="174" t="s">
        <v>1259</v>
      </c>
      <c r="I101" s="174" t="s">
        <v>29</v>
      </c>
      <c r="J101" s="177">
        <v>44510</v>
      </c>
      <c r="K101" s="174">
        <v>25</v>
      </c>
      <c r="L101" s="178">
        <v>5.3274999999999997</v>
      </c>
      <c r="M101" s="174" t="s">
        <v>20</v>
      </c>
      <c r="N101" s="174">
        <v>99</v>
      </c>
    </row>
    <row r="102" spans="1:14" s="174" customFormat="1" ht="35" customHeight="1">
      <c r="A102" s="174">
        <f>ROW()-2</f>
        <v>100</v>
      </c>
      <c r="B102" s="174" t="s">
        <v>14</v>
      </c>
      <c r="C102" s="174" t="s">
        <v>966</v>
      </c>
      <c r="D102" s="174" t="s">
        <v>961</v>
      </c>
      <c r="E102" s="174" t="s">
        <v>1127</v>
      </c>
      <c r="F102" s="174" t="s">
        <v>2597</v>
      </c>
      <c r="G102" s="174" t="s">
        <v>1267</v>
      </c>
      <c r="H102" s="174" t="s">
        <v>950</v>
      </c>
      <c r="I102" s="174" t="s">
        <v>17</v>
      </c>
      <c r="J102" s="177">
        <v>44526</v>
      </c>
      <c r="K102" s="174">
        <v>14</v>
      </c>
      <c r="L102" s="178">
        <v>2.9325000000000001</v>
      </c>
      <c r="M102" s="174" t="s">
        <v>20</v>
      </c>
      <c r="N102" s="174">
        <v>168</v>
      </c>
    </row>
    <row r="103" spans="1:14" s="174" customFormat="1" ht="35" customHeight="1">
      <c r="A103" s="174">
        <f>ROW()-2</f>
        <v>101</v>
      </c>
      <c r="B103" s="174" t="s">
        <v>14</v>
      </c>
      <c r="C103" s="174" t="s">
        <v>966</v>
      </c>
      <c r="D103" s="174" t="s">
        <v>961</v>
      </c>
      <c r="E103" s="174" t="s">
        <v>1127</v>
      </c>
      <c r="F103" s="174" t="s">
        <v>1265</v>
      </c>
      <c r="G103" s="174" t="s">
        <v>1265</v>
      </c>
      <c r="H103" s="174" t="s">
        <v>1266</v>
      </c>
      <c r="I103" s="174" t="s">
        <v>17</v>
      </c>
      <c r="J103" s="177">
        <v>44526</v>
      </c>
      <c r="K103" s="174">
        <v>10</v>
      </c>
      <c r="L103" s="178">
        <v>2.5636111111111113</v>
      </c>
      <c r="M103" s="174" t="s">
        <v>20</v>
      </c>
      <c r="N103" s="174">
        <v>169</v>
      </c>
    </row>
    <row r="104" spans="1:14" s="174" customFormat="1" ht="35" customHeight="1">
      <c r="A104" s="174">
        <f>ROW()-2</f>
        <v>102</v>
      </c>
      <c r="B104" s="174" t="s">
        <v>14</v>
      </c>
      <c r="C104" s="174" t="s">
        <v>966</v>
      </c>
      <c r="D104" s="174" t="s">
        <v>961</v>
      </c>
      <c r="E104" s="174" t="s">
        <v>1127</v>
      </c>
      <c r="F104" s="174" t="s">
        <v>1263</v>
      </c>
      <c r="G104" s="174" t="s">
        <v>1263</v>
      </c>
      <c r="H104" s="174" t="s">
        <v>1264</v>
      </c>
      <c r="I104" s="174" t="s">
        <v>17</v>
      </c>
      <c r="J104" s="177">
        <v>44526</v>
      </c>
      <c r="K104" s="174">
        <v>27</v>
      </c>
      <c r="L104" s="178">
        <v>1.3036111111111111</v>
      </c>
      <c r="M104" s="174" t="s">
        <v>20</v>
      </c>
      <c r="N104" s="174">
        <v>199</v>
      </c>
    </row>
    <row r="105" spans="1:14" s="174" customFormat="1" ht="35" customHeight="1">
      <c r="A105" s="174">
        <f>ROW()-2</f>
        <v>103</v>
      </c>
      <c r="B105" s="174" t="s">
        <v>14</v>
      </c>
      <c r="C105" s="174" t="s">
        <v>966</v>
      </c>
      <c r="D105" s="174" t="s">
        <v>961</v>
      </c>
      <c r="E105" s="174" t="s">
        <v>1127</v>
      </c>
      <c r="F105" s="174" t="s">
        <v>1270</v>
      </c>
      <c r="G105" s="174" t="s">
        <v>1270</v>
      </c>
      <c r="H105" s="174" t="s">
        <v>1269</v>
      </c>
      <c r="I105" s="174" t="s">
        <v>17</v>
      </c>
      <c r="J105" s="177">
        <v>44526</v>
      </c>
      <c r="K105" s="174">
        <v>9</v>
      </c>
      <c r="L105" s="178">
        <v>1.68</v>
      </c>
      <c r="M105" s="174" t="s">
        <v>20</v>
      </c>
      <c r="N105" s="174">
        <v>199</v>
      </c>
    </row>
    <row r="106" spans="1:14" s="174" customFormat="1" ht="35" customHeight="1">
      <c r="A106" s="174">
        <f>ROW()-2</f>
        <v>104</v>
      </c>
      <c r="B106" s="174" t="s">
        <v>14</v>
      </c>
      <c r="C106" s="174" t="s">
        <v>966</v>
      </c>
      <c r="D106" s="174" t="s">
        <v>961</v>
      </c>
      <c r="E106" s="174" t="s">
        <v>1326</v>
      </c>
      <c r="F106" s="174" t="s">
        <v>947</v>
      </c>
      <c r="G106" s="174" t="s">
        <v>947</v>
      </c>
      <c r="H106" s="174" t="s">
        <v>948</v>
      </c>
      <c r="I106" s="174" t="s">
        <v>17</v>
      </c>
      <c r="J106" s="177">
        <v>44534</v>
      </c>
      <c r="K106" s="174">
        <v>16</v>
      </c>
      <c r="L106" s="178">
        <v>4.3202777777777781</v>
      </c>
      <c r="M106" s="174" t="s">
        <v>20</v>
      </c>
      <c r="N106" s="174">
        <v>89</v>
      </c>
    </row>
    <row r="107" spans="1:14" s="174" customFormat="1" ht="35" customHeight="1">
      <c r="A107" s="174">
        <f>ROW()-2</f>
        <v>105</v>
      </c>
      <c r="B107" s="174" t="s">
        <v>14</v>
      </c>
      <c r="C107" s="174" t="s">
        <v>966</v>
      </c>
      <c r="D107" s="174" t="s">
        <v>961</v>
      </c>
      <c r="E107" s="174" t="s">
        <v>1326</v>
      </c>
      <c r="F107" s="174" t="s">
        <v>944</v>
      </c>
      <c r="G107" s="174" t="s">
        <v>944</v>
      </c>
      <c r="H107" s="174" t="s">
        <v>945</v>
      </c>
      <c r="I107" s="174" t="s">
        <v>2651</v>
      </c>
      <c r="J107" s="177">
        <v>44534</v>
      </c>
      <c r="K107" s="174">
        <v>30</v>
      </c>
      <c r="L107" s="178">
        <v>5.2</v>
      </c>
      <c r="M107" s="174" t="s">
        <v>20</v>
      </c>
      <c r="N107" s="174">
        <v>199</v>
      </c>
    </row>
    <row r="108" spans="1:14" s="174" customFormat="1" ht="35" customHeight="1">
      <c r="A108" s="174">
        <f>ROW()-2</f>
        <v>106</v>
      </c>
      <c r="B108" s="174" t="s">
        <v>14</v>
      </c>
      <c r="C108" s="174" t="s">
        <v>966</v>
      </c>
      <c r="D108" s="174" t="s">
        <v>961</v>
      </c>
      <c r="E108" s="174" t="s">
        <v>1277</v>
      </c>
      <c r="F108" s="174" t="s">
        <v>1279</v>
      </c>
      <c r="G108" s="174" t="s">
        <v>1279</v>
      </c>
      <c r="H108" s="174" t="s">
        <v>945</v>
      </c>
      <c r="I108" s="174" t="s">
        <v>17</v>
      </c>
      <c r="J108" s="177">
        <v>44534</v>
      </c>
      <c r="K108" s="174">
        <v>35</v>
      </c>
      <c r="L108" s="178">
        <v>6.6005555555555553</v>
      </c>
      <c r="M108" s="174" t="s">
        <v>20</v>
      </c>
      <c r="N108" s="174">
        <v>199</v>
      </c>
    </row>
    <row r="109" spans="1:14" s="174" customFormat="1" ht="35" customHeight="1">
      <c r="A109" s="174">
        <f>ROW()-2</f>
        <v>107</v>
      </c>
      <c r="B109" s="174" t="s">
        <v>14</v>
      </c>
      <c r="C109" s="174" t="s">
        <v>966</v>
      </c>
      <c r="D109" s="174" t="s">
        <v>961</v>
      </c>
      <c r="E109" s="174" t="s">
        <v>983</v>
      </c>
      <c r="F109" s="174" t="s">
        <v>1290</v>
      </c>
      <c r="G109" s="174" t="s">
        <v>1290</v>
      </c>
      <c r="H109" s="174" t="s">
        <v>1291</v>
      </c>
      <c r="I109" s="174" t="s">
        <v>29</v>
      </c>
      <c r="J109" s="177">
        <v>44535</v>
      </c>
      <c r="K109" s="174">
        <v>23</v>
      </c>
      <c r="L109" s="178">
        <v>5.3327777777777774</v>
      </c>
      <c r="M109" s="174" t="s">
        <v>20</v>
      </c>
      <c r="N109" s="174">
        <v>119</v>
      </c>
    </row>
    <row r="110" spans="1:14" s="174" customFormat="1" ht="35" customHeight="1">
      <c r="A110" s="174">
        <f>ROW()-2</f>
        <v>108</v>
      </c>
      <c r="B110" s="174" t="s">
        <v>14</v>
      </c>
      <c r="C110" s="174" t="s">
        <v>966</v>
      </c>
      <c r="D110" s="174" t="s">
        <v>961</v>
      </c>
      <c r="E110" s="174" t="s">
        <v>1012</v>
      </c>
      <c r="F110" s="174" t="s">
        <v>1289</v>
      </c>
      <c r="G110" s="174" t="s">
        <v>1289</v>
      </c>
      <c r="H110" s="174" t="s">
        <v>16</v>
      </c>
      <c r="I110" s="174" t="s">
        <v>29</v>
      </c>
      <c r="J110" s="177">
        <v>44535</v>
      </c>
      <c r="K110" s="174">
        <v>15</v>
      </c>
      <c r="L110" s="178">
        <v>3.0991666666666666</v>
      </c>
      <c r="M110" s="174" t="s">
        <v>20</v>
      </c>
      <c r="N110" s="174">
        <v>99</v>
      </c>
    </row>
    <row r="111" spans="1:14" s="174" customFormat="1" ht="35" customHeight="1">
      <c r="A111" s="174">
        <f>ROW()-2</f>
        <v>109</v>
      </c>
      <c r="B111" s="174" t="s">
        <v>14</v>
      </c>
      <c r="C111" s="174" t="s">
        <v>966</v>
      </c>
      <c r="D111" s="174" t="s">
        <v>961</v>
      </c>
      <c r="E111" s="174" t="s">
        <v>962</v>
      </c>
      <c r="F111" s="174" t="s">
        <v>2595</v>
      </c>
      <c r="G111" s="174" t="s">
        <v>1288</v>
      </c>
      <c r="H111" s="174" t="s">
        <v>16</v>
      </c>
      <c r="I111" s="174" t="s">
        <v>17</v>
      </c>
      <c r="J111" s="177">
        <v>44535</v>
      </c>
      <c r="K111" s="174">
        <v>13</v>
      </c>
      <c r="L111" s="178">
        <v>2.7319444444444398</v>
      </c>
      <c r="M111" s="174" t="s">
        <v>20</v>
      </c>
      <c r="N111" s="174">
        <v>99</v>
      </c>
    </row>
    <row r="112" spans="1:14" s="174" customFormat="1" ht="35" customHeight="1">
      <c r="A112" s="174">
        <f>ROW()-2</f>
        <v>110</v>
      </c>
      <c r="B112" s="174" t="s">
        <v>14</v>
      </c>
      <c r="C112" s="174" t="s">
        <v>966</v>
      </c>
      <c r="D112" s="174" t="s">
        <v>961</v>
      </c>
      <c r="E112" s="174" t="s">
        <v>1326</v>
      </c>
      <c r="F112" s="174" t="s">
        <v>1332</v>
      </c>
      <c r="G112" s="174" t="s">
        <v>1333</v>
      </c>
      <c r="H112" s="174" t="s">
        <v>33</v>
      </c>
      <c r="I112" s="174" t="s">
        <v>17</v>
      </c>
      <c r="J112" s="177">
        <v>44540</v>
      </c>
      <c r="K112" s="174">
        <v>25</v>
      </c>
      <c r="L112" s="178">
        <v>3.0702777777777777</v>
      </c>
      <c r="M112" s="174" t="s">
        <v>20</v>
      </c>
      <c r="N112" s="174">
        <v>79</v>
      </c>
    </row>
    <row r="113" spans="1:14" s="174" customFormat="1" ht="35" customHeight="1">
      <c r="A113" s="174">
        <f>ROW()-2</f>
        <v>111</v>
      </c>
      <c r="B113" s="174" t="s">
        <v>14</v>
      </c>
      <c r="C113" s="174" t="s">
        <v>966</v>
      </c>
      <c r="D113" s="174" t="s">
        <v>961</v>
      </c>
      <c r="E113" s="174" t="s">
        <v>1326</v>
      </c>
      <c r="F113" s="174" t="s">
        <v>1329</v>
      </c>
      <c r="G113" s="174" t="s">
        <v>1330</v>
      </c>
      <c r="H113" s="174" t="s">
        <v>1331</v>
      </c>
      <c r="I113" s="174" t="s">
        <v>29</v>
      </c>
      <c r="J113" s="177">
        <v>44540</v>
      </c>
      <c r="K113" s="174">
        <v>39</v>
      </c>
      <c r="L113" s="178">
        <v>7.2516666666666669</v>
      </c>
      <c r="M113" s="174" t="s">
        <v>20</v>
      </c>
      <c r="N113" s="174">
        <v>99</v>
      </c>
    </row>
    <row r="114" spans="1:14" s="174" customFormat="1" ht="35" customHeight="1">
      <c r="A114" s="174">
        <f>ROW()-2</f>
        <v>112</v>
      </c>
      <c r="B114" s="174" t="s">
        <v>14</v>
      </c>
      <c r="C114" s="174" t="s">
        <v>966</v>
      </c>
      <c r="D114" s="174" t="s">
        <v>961</v>
      </c>
      <c r="E114" s="174" t="s">
        <v>2596</v>
      </c>
      <c r="F114" s="174" t="s">
        <v>1327</v>
      </c>
      <c r="G114" s="174" t="s">
        <v>1327</v>
      </c>
      <c r="H114" s="174" t="s">
        <v>1328</v>
      </c>
      <c r="I114" s="174" t="s">
        <v>2651</v>
      </c>
      <c r="J114" s="177">
        <v>44540</v>
      </c>
      <c r="K114" s="174">
        <v>13</v>
      </c>
      <c r="L114" s="178">
        <v>2.4</v>
      </c>
      <c r="M114" s="174" t="s">
        <v>20</v>
      </c>
    </row>
    <row r="115" spans="1:14" s="174" customFormat="1" ht="35" customHeight="1">
      <c r="A115" s="174">
        <f>ROW()-2</f>
        <v>113</v>
      </c>
      <c r="B115" s="174" t="s">
        <v>14</v>
      </c>
      <c r="C115" s="174" t="s">
        <v>966</v>
      </c>
      <c r="D115" s="174" t="s">
        <v>961</v>
      </c>
      <c r="E115" s="174" t="s">
        <v>1277</v>
      </c>
      <c r="F115" s="174" t="s">
        <v>1322</v>
      </c>
      <c r="G115" s="174" t="s">
        <v>1323</v>
      </c>
      <c r="H115" s="174" t="s">
        <v>1324</v>
      </c>
      <c r="I115" s="174" t="s">
        <v>17</v>
      </c>
      <c r="J115" s="177">
        <v>44540</v>
      </c>
      <c r="K115" s="174">
        <v>40</v>
      </c>
      <c r="L115" s="178">
        <v>4.8927777777777779</v>
      </c>
      <c r="M115" s="174" t="s">
        <v>20</v>
      </c>
      <c r="N115" s="174">
        <v>199</v>
      </c>
    </row>
    <row r="116" spans="1:14" s="174" customFormat="1" ht="35" customHeight="1">
      <c r="A116" s="174">
        <f>ROW()-2</f>
        <v>114</v>
      </c>
      <c r="B116" s="174" t="s">
        <v>14</v>
      </c>
      <c r="C116" s="174" t="s">
        <v>966</v>
      </c>
      <c r="D116" s="174" t="s">
        <v>961</v>
      </c>
      <c r="E116" s="174" t="s">
        <v>983</v>
      </c>
      <c r="F116" s="174" t="s">
        <v>2599</v>
      </c>
      <c r="G116" s="174" t="s">
        <v>2530</v>
      </c>
      <c r="H116" s="174" t="s">
        <v>1247</v>
      </c>
      <c r="I116" s="174" t="s">
        <v>29</v>
      </c>
      <c r="J116" s="177">
        <v>44543</v>
      </c>
      <c r="K116" s="174">
        <v>16</v>
      </c>
      <c r="L116" s="178">
        <v>3.4694444444444446</v>
      </c>
      <c r="M116" s="174" t="s">
        <v>89</v>
      </c>
      <c r="N116" s="174">
        <v>88</v>
      </c>
    </row>
    <row r="117" spans="1:14" s="174" customFormat="1" ht="35" customHeight="1">
      <c r="A117" s="174">
        <f>ROW()-2</f>
        <v>115</v>
      </c>
      <c r="B117" s="174" t="s">
        <v>14</v>
      </c>
      <c r="C117" s="174" t="s">
        <v>966</v>
      </c>
      <c r="D117" s="174" t="s">
        <v>961</v>
      </c>
      <c r="E117" s="174" t="s">
        <v>983</v>
      </c>
      <c r="F117" s="174" t="s">
        <v>1379</v>
      </c>
      <c r="G117" s="174" t="s">
        <v>2528</v>
      </c>
      <c r="H117" s="174" t="s">
        <v>796</v>
      </c>
      <c r="I117" s="174" t="s">
        <v>17</v>
      </c>
      <c r="J117" s="177">
        <v>44548</v>
      </c>
      <c r="K117" s="174">
        <v>7</v>
      </c>
      <c r="L117" s="178">
        <v>3.5319444444444446</v>
      </c>
      <c r="M117" s="174" t="s">
        <v>20</v>
      </c>
      <c r="N117" s="174">
        <v>99</v>
      </c>
    </row>
    <row r="118" spans="1:14" s="174" customFormat="1" ht="35" customHeight="1">
      <c r="A118" s="174">
        <f>ROW()-2</f>
        <v>116</v>
      </c>
      <c r="B118" s="174" t="s">
        <v>14</v>
      </c>
      <c r="C118" s="174" t="s">
        <v>966</v>
      </c>
      <c r="D118" s="174" t="s">
        <v>961</v>
      </c>
      <c r="E118" s="174" t="s">
        <v>1127</v>
      </c>
      <c r="F118" s="174" t="s">
        <v>2598</v>
      </c>
      <c r="G118" s="174" t="s">
        <v>1387</v>
      </c>
      <c r="H118" s="174" t="s">
        <v>1269</v>
      </c>
      <c r="I118" s="174" t="s">
        <v>17</v>
      </c>
      <c r="J118" s="177">
        <v>44550</v>
      </c>
      <c r="K118" s="174">
        <v>25</v>
      </c>
      <c r="L118" s="178">
        <v>4.5383333333333331</v>
      </c>
      <c r="M118" s="174" t="s">
        <v>20</v>
      </c>
      <c r="N118" s="174">
        <v>1499</v>
      </c>
    </row>
    <row r="119" spans="1:14" s="174" customFormat="1" ht="35" customHeight="1">
      <c r="A119" s="174">
        <f>ROW()-2</f>
        <v>117</v>
      </c>
      <c r="B119" s="174" t="s">
        <v>14</v>
      </c>
      <c r="C119" s="174" t="s">
        <v>966</v>
      </c>
      <c r="D119" s="174" t="s">
        <v>961</v>
      </c>
      <c r="E119" s="174" t="s">
        <v>1127</v>
      </c>
      <c r="F119" s="174" t="s">
        <v>1410</v>
      </c>
      <c r="G119" s="174" t="s">
        <v>1410</v>
      </c>
      <c r="H119" s="174" t="s">
        <v>1409</v>
      </c>
      <c r="I119" s="174" t="s">
        <v>17</v>
      </c>
      <c r="J119" s="177">
        <v>44563</v>
      </c>
      <c r="K119" s="174">
        <v>17</v>
      </c>
      <c r="L119" s="178">
        <v>4.1327777777777781</v>
      </c>
      <c r="M119" s="174" t="s">
        <v>20</v>
      </c>
      <c r="N119" s="174">
        <v>189</v>
      </c>
    </row>
    <row r="120" spans="1:14" s="174" customFormat="1" ht="35" customHeight="1">
      <c r="A120" s="174">
        <f>ROW()-2</f>
        <v>118</v>
      </c>
      <c r="B120" s="174" t="s">
        <v>14</v>
      </c>
      <c r="C120" s="174" t="s">
        <v>966</v>
      </c>
      <c r="D120" s="174" t="s">
        <v>961</v>
      </c>
      <c r="E120" s="174" t="s">
        <v>1127</v>
      </c>
      <c r="F120" s="174" t="s">
        <v>1408</v>
      </c>
      <c r="G120" s="174" t="s">
        <v>1408</v>
      </c>
      <c r="H120" s="174" t="s">
        <v>1409</v>
      </c>
      <c r="I120" s="174" t="s">
        <v>17</v>
      </c>
      <c r="J120" s="177">
        <v>44563</v>
      </c>
      <c r="K120" s="174">
        <v>13</v>
      </c>
      <c r="L120" s="178">
        <v>3.1302777777777777</v>
      </c>
      <c r="M120" s="174" t="s">
        <v>20</v>
      </c>
      <c r="N120" s="174">
        <v>189</v>
      </c>
    </row>
    <row r="121" spans="1:14" s="174" customFormat="1" ht="35" customHeight="1">
      <c r="A121" s="174">
        <f>ROW()-2</f>
        <v>119</v>
      </c>
      <c r="B121" s="174" t="s">
        <v>14</v>
      </c>
      <c r="C121" s="174" t="s">
        <v>966</v>
      </c>
      <c r="D121" s="174" t="s">
        <v>961</v>
      </c>
      <c r="E121" s="174" t="s">
        <v>1127</v>
      </c>
      <c r="F121" s="174" t="s">
        <v>949</v>
      </c>
      <c r="G121" s="174" t="s">
        <v>949</v>
      </c>
      <c r="H121" s="174" t="s">
        <v>950</v>
      </c>
      <c r="I121" s="174" t="s">
        <v>29</v>
      </c>
      <c r="J121" s="177">
        <v>44563</v>
      </c>
      <c r="K121" s="174">
        <v>6</v>
      </c>
      <c r="L121" s="178">
        <v>1.2141666666666666</v>
      </c>
      <c r="M121" s="174" t="s">
        <v>20</v>
      </c>
      <c r="N121" s="174">
        <v>99</v>
      </c>
    </row>
    <row r="122" spans="1:14" s="174" customFormat="1" ht="35" customHeight="1">
      <c r="A122" s="174">
        <f>ROW()-2</f>
        <v>120</v>
      </c>
      <c r="B122" s="174" t="s">
        <v>14</v>
      </c>
      <c r="C122" s="174" t="s">
        <v>966</v>
      </c>
      <c r="D122" s="174" t="s">
        <v>961</v>
      </c>
      <c r="E122" s="174" t="s">
        <v>1127</v>
      </c>
      <c r="F122" s="174" t="s">
        <v>2535</v>
      </c>
      <c r="G122" s="174" t="s">
        <v>2535</v>
      </c>
      <c r="H122" s="174" t="s">
        <v>2536</v>
      </c>
      <c r="I122" s="174" t="s">
        <v>29</v>
      </c>
      <c r="J122" s="177">
        <v>44578</v>
      </c>
      <c r="K122" s="174">
        <v>6</v>
      </c>
      <c r="L122" s="178">
        <v>1.1452777777777778</v>
      </c>
      <c r="M122" s="174" t="s">
        <v>20</v>
      </c>
      <c r="N122" s="174">
        <v>199</v>
      </c>
    </row>
    <row r="123" spans="1:14" s="174" customFormat="1" ht="35" customHeight="1">
      <c r="A123" s="174">
        <f>ROW()-2</f>
        <v>121</v>
      </c>
      <c r="B123" s="174" t="s">
        <v>14</v>
      </c>
      <c r="C123" s="174" t="s">
        <v>966</v>
      </c>
      <c r="D123" s="174" t="s">
        <v>961</v>
      </c>
      <c r="E123" s="174" t="s">
        <v>1012</v>
      </c>
      <c r="F123" s="174" t="s">
        <v>2522</v>
      </c>
      <c r="G123" s="174" t="s">
        <v>2522</v>
      </c>
      <c r="H123" s="174" t="s">
        <v>2523</v>
      </c>
      <c r="I123" s="174" t="s">
        <v>29</v>
      </c>
      <c r="J123" s="177">
        <v>44585</v>
      </c>
      <c r="K123" s="174">
        <v>5</v>
      </c>
      <c r="L123" s="178">
        <v>0.72805555555555557</v>
      </c>
      <c r="M123" s="174" t="s">
        <v>89</v>
      </c>
      <c r="N123" s="174">
        <v>69</v>
      </c>
    </row>
    <row r="124" spans="1:14" s="174" customFormat="1" ht="35" customHeight="1">
      <c r="A124" s="174">
        <f>ROW()-2</f>
        <v>122</v>
      </c>
      <c r="B124" s="174" t="s">
        <v>14</v>
      </c>
      <c r="C124" s="174" t="s">
        <v>966</v>
      </c>
      <c r="D124" s="174" t="s">
        <v>961</v>
      </c>
      <c r="E124" s="174" t="s">
        <v>1277</v>
      </c>
      <c r="F124" s="174" t="s">
        <v>2653</v>
      </c>
      <c r="G124" s="174" t="s">
        <v>1280</v>
      </c>
      <c r="H124" s="174" t="s">
        <v>1291</v>
      </c>
      <c r="I124" s="174" t="s">
        <v>2652</v>
      </c>
      <c r="K124" s="174">
        <v>23</v>
      </c>
      <c r="L124" s="178">
        <v>6.2</v>
      </c>
      <c r="M124" s="174" t="s">
        <v>20</v>
      </c>
      <c r="N124" s="174">
        <v>119</v>
      </c>
    </row>
    <row r="125" spans="1:14" s="174" customFormat="1" ht="35" customHeight="1">
      <c r="A125" s="174">
        <f>ROW()-2</f>
        <v>123</v>
      </c>
      <c r="B125" s="174" t="s">
        <v>14</v>
      </c>
      <c r="C125" s="174" t="s">
        <v>2669</v>
      </c>
      <c r="D125" s="174" t="s">
        <v>961</v>
      </c>
      <c r="E125" s="174" t="s">
        <v>1012</v>
      </c>
      <c r="F125" s="174" t="s">
        <v>2654</v>
      </c>
      <c r="G125" s="174" t="s">
        <v>1325</v>
      </c>
      <c r="H125" s="174" t="s">
        <v>1291</v>
      </c>
      <c r="I125" s="174" t="s">
        <v>2652</v>
      </c>
      <c r="K125" s="174">
        <v>22</v>
      </c>
      <c r="L125" s="178">
        <v>4.3</v>
      </c>
      <c r="M125" s="174" t="s">
        <v>20</v>
      </c>
      <c r="N125" s="174">
        <v>119</v>
      </c>
    </row>
    <row r="126" spans="1:14" s="174" customFormat="1" ht="35" customHeight="1">
      <c r="A126" s="174">
        <f>ROW()-2</f>
        <v>124</v>
      </c>
      <c r="B126" s="174" t="s">
        <v>14</v>
      </c>
      <c r="C126" s="174" t="s">
        <v>966</v>
      </c>
      <c r="D126" s="174" t="s">
        <v>1043</v>
      </c>
      <c r="E126" s="174" t="s">
        <v>1044</v>
      </c>
      <c r="F126" s="174" t="s">
        <v>1045</v>
      </c>
      <c r="G126" s="174" t="s">
        <v>1046</v>
      </c>
      <c r="H126" s="174" t="s">
        <v>1047</v>
      </c>
      <c r="I126" s="174" t="s">
        <v>29</v>
      </c>
      <c r="J126" s="177">
        <v>43717</v>
      </c>
      <c r="K126" s="174">
        <v>36</v>
      </c>
      <c r="L126" s="178">
        <v>5.9450000000000003</v>
      </c>
      <c r="M126" s="174" t="s">
        <v>20</v>
      </c>
      <c r="N126" s="174">
        <v>99</v>
      </c>
    </row>
    <row r="127" spans="1:14" s="174" customFormat="1" ht="35" customHeight="1">
      <c r="A127" s="174">
        <f>ROW()-2</f>
        <v>125</v>
      </c>
      <c r="B127" s="174" t="s">
        <v>14</v>
      </c>
      <c r="C127" s="174" t="s">
        <v>966</v>
      </c>
      <c r="D127" s="174" t="s">
        <v>1043</v>
      </c>
      <c r="E127" s="174" t="s">
        <v>1044</v>
      </c>
      <c r="F127" s="174" t="s">
        <v>1189</v>
      </c>
      <c r="G127" s="174" t="s">
        <v>1190</v>
      </c>
      <c r="H127" s="174" t="s">
        <v>1191</v>
      </c>
      <c r="I127" s="174" t="s">
        <v>17</v>
      </c>
      <c r="J127" s="177">
        <v>44249</v>
      </c>
      <c r="K127" s="174">
        <v>13</v>
      </c>
      <c r="L127" s="178">
        <v>2.4833333333333334</v>
      </c>
      <c r="M127" s="174" t="s">
        <v>20</v>
      </c>
      <c r="N127" s="174">
        <v>199</v>
      </c>
    </row>
    <row r="128" spans="1:14" s="174" customFormat="1" ht="35" customHeight="1">
      <c r="A128" s="174">
        <f>ROW()-2</f>
        <v>126</v>
      </c>
      <c r="B128" s="174" t="s">
        <v>14</v>
      </c>
      <c r="C128" s="174" t="s">
        <v>966</v>
      </c>
      <c r="D128" s="174" t="s">
        <v>1043</v>
      </c>
      <c r="E128" s="174" t="s">
        <v>1195</v>
      </c>
      <c r="F128" s="174" t="s">
        <v>2600</v>
      </c>
      <c r="G128" s="174" t="s">
        <v>1197</v>
      </c>
      <c r="H128" s="174" t="s">
        <v>1198</v>
      </c>
      <c r="I128" s="174" t="s">
        <v>17</v>
      </c>
      <c r="J128" s="177">
        <v>44251</v>
      </c>
      <c r="K128" s="174">
        <v>14</v>
      </c>
      <c r="L128" s="178">
        <v>2.6441666666666666</v>
      </c>
      <c r="M128" s="174" t="s">
        <v>20</v>
      </c>
      <c r="N128" s="174">
        <v>199</v>
      </c>
    </row>
    <row r="129" spans="1:45" s="174" customFormat="1" ht="35" customHeight="1">
      <c r="A129" s="174">
        <f>ROW()-2</f>
        <v>127</v>
      </c>
      <c r="B129" s="174" t="s">
        <v>14</v>
      </c>
      <c r="C129" s="174" t="s">
        <v>966</v>
      </c>
      <c r="D129" s="174" t="s">
        <v>1043</v>
      </c>
      <c r="E129" s="174" t="s">
        <v>1195</v>
      </c>
      <c r="F129" s="174" t="s">
        <v>1200</v>
      </c>
      <c r="G129" s="174" t="s">
        <v>1201</v>
      </c>
      <c r="H129" s="174" t="s">
        <v>2601</v>
      </c>
      <c r="I129" s="174" t="s">
        <v>29</v>
      </c>
      <c r="J129" s="177">
        <v>44286</v>
      </c>
      <c r="K129" s="174">
        <v>28</v>
      </c>
      <c r="L129" s="178">
        <v>1.2227777777777777</v>
      </c>
      <c r="M129" s="174" t="s">
        <v>20</v>
      </c>
      <c r="N129" s="174">
        <v>199</v>
      </c>
    </row>
    <row r="130" spans="1:45" s="174" customFormat="1" ht="35" customHeight="1">
      <c r="A130" s="174">
        <f>ROW()-2</f>
        <v>128</v>
      </c>
      <c r="B130" s="174" t="s">
        <v>14</v>
      </c>
      <c r="C130" s="174" t="s">
        <v>966</v>
      </c>
      <c r="D130" s="174" t="s">
        <v>1043</v>
      </c>
      <c r="E130" s="174" t="s">
        <v>1195</v>
      </c>
      <c r="F130" s="174" t="s">
        <v>1207</v>
      </c>
      <c r="G130" s="174" t="s">
        <v>1208</v>
      </c>
      <c r="H130" s="174" t="s">
        <v>2602</v>
      </c>
      <c r="I130" s="174" t="s">
        <v>29</v>
      </c>
      <c r="J130" s="177">
        <v>44292</v>
      </c>
      <c r="K130" s="174">
        <v>15</v>
      </c>
      <c r="L130" s="178">
        <v>0.75305555555555559</v>
      </c>
      <c r="M130" s="174" t="s">
        <v>89</v>
      </c>
      <c r="N130" s="174">
        <v>199</v>
      </c>
    </row>
    <row r="131" spans="1:45" s="174" customFormat="1" ht="35" customHeight="1">
      <c r="A131" s="174">
        <f>ROW()-2</f>
        <v>129</v>
      </c>
      <c r="B131" s="174" t="s">
        <v>14</v>
      </c>
      <c r="C131" s="174" t="s">
        <v>966</v>
      </c>
      <c r="D131" s="174" t="s">
        <v>1043</v>
      </c>
      <c r="E131" s="174" t="s">
        <v>1044</v>
      </c>
      <c r="F131" s="174" t="s">
        <v>1219</v>
      </c>
      <c r="G131" s="174" t="s">
        <v>1219</v>
      </c>
      <c r="H131" s="174" t="s">
        <v>1220</v>
      </c>
      <c r="I131" s="174" t="s">
        <v>17</v>
      </c>
      <c r="J131" s="177">
        <v>44364</v>
      </c>
      <c r="K131" s="174">
        <v>15</v>
      </c>
      <c r="L131" s="178">
        <v>5.0261111111111108</v>
      </c>
      <c r="M131" s="174" t="s">
        <v>20</v>
      </c>
      <c r="N131" s="174">
        <v>99</v>
      </c>
    </row>
    <row r="132" spans="1:45" s="174" customFormat="1" ht="35" customHeight="1">
      <c r="A132" s="174">
        <f>ROW()-2</f>
        <v>130</v>
      </c>
      <c r="B132" s="174" t="s">
        <v>14</v>
      </c>
      <c r="C132" s="174" t="s">
        <v>966</v>
      </c>
      <c r="D132" s="174" t="s">
        <v>1043</v>
      </c>
      <c r="E132" s="174" t="s">
        <v>1044</v>
      </c>
      <c r="F132" s="174" t="s">
        <v>1227</v>
      </c>
      <c r="G132" s="174" t="s">
        <v>1228</v>
      </c>
      <c r="H132" s="174" t="s">
        <v>1229</v>
      </c>
      <c r="I132" s="174" t="s">
        <v>29</v>
      </c>
      <c r="J132" s="177">
        <v>44385</v>
      </c>
      <c r="K132" s="174">
        <v>21</v>
      </c>
      <c r="L132" s="178">
        <v>3.6994444444444445</v>
      </c>
      <c r="M132" s="174" t="s">
        <v>20</v>
      </c>
      <c r="N132" s="174">
        <v>99</v>
      </c>
    </row>
    <row r="133" spans="1:45" s="174" customFormat="1" ht="35" customHeight="1">
      <c r="A133" s="174">
        <f>ROW()-2</f>
        <v>131</v>
      </c>
      <c r="B133" s="174" t="s">
        <v>14</v>
      </c>
      <c r="C133" s="174" t="s">
        <v>966</v>
      </c>
      <c r="D133" s="174" t="s">
        <v>1043</v>
      </c>
      <c r="E133" s="174" t="s">
        <v>2603</v>
      </c>
      <c r="F133" s="174" t="s">
        <v>940</v>
      </c>
      <c r="G133" s="174" t="s">
        <v>941</v>
      </c>
      <c r="H133" s="174" t="s">
        <v>942</v>
      </c>
      <c r="I133" s="174" t="s">
        <v>17</v>
      </c>
      <c r="J133" s="177">
        <v>44463</v>
      </c>
      <c r="K133" s="174">
        <v>23</v>
      </c>
      <c r="L133" s="178">
        <v>3.2986111111111112</v>
      </c>
      <c r="M133" s="174" t="s">
        <v>20</v>
      </c>
      <c r="N133" s="174">
        <v>199</v>
      </c>
    </row>
    <row r="134" spans="1:45" s="174" customFormat="1" ht="35" customHeight="1">
      <c r="A134" s="174">
        <f>ROW()-2</f>
        <v>132</v>
      </c>
      <c r="B134" s="174" t="s">
        <v>14</v>
      </c>
      <c r="C134" s="174" t="s">
        <v>966</v>
      </c>
      <c r="D134" s="174" t="s">
        <v>1043</v>
      </c>
      <c r="E134" s="174" t="s">
        <v>1195</v>
      </c>
      <c r="F134" s="174" t="s">
        <v>1256</v>
      </c>
      <c r="G134" s="174" t="s">
        <v>1257</v>
      </c>
      <c r="H134" s="174" t="s">
        <v>942</v>
      </c>
      <c r="I134" s="174" t="s">
        <v>17</v>
      </c>
      <c r="J134" s="177">
        <v>44501</v>
      </c>
      <c r="K134" s="174">
        <v>22</v>
      </c>
      <c r="L134" s="178">
        <v>3.658611111111111</v>
      </c>
      <c r="M134" s="174" t="s">
        <v>89</v>
      </c>
      <c r="N134" s="174">
        <v>199</v>
      </c>
    </row>
    <row r="135" spans="1:45" s="174" customFormat="1" ht="35" customHeight="1">
      <c r="A135" s="174">
        <f>ROW()-2</f>
        <v>133</v>
      </c>
      <c r="B135" s="174" t="s">
        <v>14</v>
      </c>
      <c r="C135" s="174" t="s">
        <v>966</v>
      </c>
      <c r="D135" s="174" t="s">
        <v>1043</v>
      </c>
      <c r="E135" s="174" t="s">
        <v>1195</v>
      </c>
      <c r="F135" s="174" t="s">
        <v>1285</v>
      </c>
      <c r="G135" s="174" t="s">
        <v>1285</v>
      </c>
      <c r="H135" s="174" t="s">
        <v>1286</v>
      </c>
      <c r="I135" s="174" t="s">
        <v>17</v>
      </c>
      <c r="J135" s="177">
        <v>44534</v>
      </c>
      <c r="K135" s="174">
        <v>19</v>
      </c>
      <c r="L135" s="178">
        <v>3.0972222222222223</v>
      </c>
      <c r="M135" s="174" t="s">
        <v>20</v>
      </c>
      <c r="N135" s="174">
        <v>89</v>
      </c>
    </row>
    <row r="136" spans="1:45" s="174" customFormat="1" ht="35" customHeight="1">
      <c r="A136" s="174">
        <f>ROW()-2</f>
        <v>134</v>
      </c>
      <c r="B136" s="174" t="s">
        <v>14</v>
      </c>
      <c r="C136" s="174" t="s">
        <v>966</v>
      </c>
      <c r="D136" s="174" t="s">
        <v>1043</v>
      </c>
      <c r="E136" s="174" t="s">
        <v>1195</v>
      </c>
      <c r="F136" s="174" t="s">
        <v>2533</v>
      </c>
      <c r="G136" s="174" t="s">
        <v>2534</v>
      </c>
      <c r="H136" s="174" t="s">
        <v>942</v>
      </c>
      <c r="I136" s="174" t="s">
        <v>17</v>
      </c>
      <c r="J136" s="177">
        <v>44578</v>
      </c>
      <c r="K136" s="174">
        <v>14</v>
      </c>
      <c r="L136" s="178">
        <v>3.7813888888888889</v>
      </c>
      <c r="M136" s="174" t="s">
        <v>20</v>
      </c>
      <c r="N136" s="174">
        <v>199</v>
      </c>
    </row>
    <row r="137" spans="1:45" s="174" customFormat="1" ht="35" customHeight="1">
      <c r="A137" s="174">
        <f>ROW()-2</f>
        <v>135</v>
      </c>
      <c r="B137" s="181" t="s">
        <v>5611</v>
      </c>
      <c r="C137" s="181" t="s">
        <v>5636</v>
      </c>
      <c r="D137" s="181" t="s">
        <v>5637</v>
      </c>
      <c r="E137" s="181" t="s">
        <v>5638</v>
      </c>
      <c r="F137" s="181" t="s">
        <v>5613</v>
      </c>
      <c r="G137" s="181" t="s">
        <v>5613</v>
      </c>
      <c r="H137" s="181" t="s">
        <v>5616</v>
      </c>
      <c r="I137" s="181" t="s">
        <v>5617</v>
      </c>
      <c r="J137" s="177">
        <v>44620</v>
      </c>
      <c r="K137" s="181">
        <v>19</v>
      </c>
      <c r="L137" s="179">
        <v>5.81</v>
      </c>
      <c r="M137" s="181" t="s">
        <v>20</v>
      </c>
      <c r="N137" s="181">
        <v>498</v>
      </c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  <c r="AJ137" s="181"/>
      <c r="AK137" s="181"/>
      <c r="AL137" s="181"/>
      <c r="AM137" s="181"/>
      <c r="AN137" s="181"/>
      <c r="AO137" s="181"/>
      <c r="AP137" s="181"/>
      <c r="AQ137" s="181"/>
      <c r="AR137" s="181"/>
      <c r="AS137" s="181"/>
    </row>
    <row r="138" spans="1:45" s="174" customFormat="1" ht="35" customHeight="1">
      <c r="A138" s="174">
        <f>ROW()-2</f>
        <v>136</v>
      </c>
      <c r="B138" s="174" t="s">
        <v>14</v>
      </c>
      <c r="C138" s="174" t="s">
        <v>966</v>
      </c>
      <c r="D138" s="174" t="s">
        <v>951</v>
      </c>
      <c r="E138" s="174" t="s">
        <v>952</v>
      </c>
      <c r="F138" s="174" t="s">
        <v>953</v>
      </c>
      <c r="G138" s="174" t="s">
        <v>954</v>
      </c>
      <c r="H138" s="174" t="s">
        <v>955</v>
      </c>
      <c r="I138" s="174" t="s">
        <v>29</v>
      </c>
      <c r="J138" s="177">
        <v>43238</v>
      </c>
      <c r="K138" s="174">
        <v>31</v>
      </c>
      <c r="L138" s="178">
        <v>7.2783333333333333</v>
      </c>
      <c r="M138" s="174" t="s">
        <v>20</v>
      </c>
      <c r="N138" s="174">
        <v>49.9</v>
      </c>
    </row>
    <row r="139" spans="1:45" s="174" customFormat="1" ht="35" customHeight="1">
      <c r="A139" s="174">
        <f>ROW()-2</f>
        <v>137</v>
      </c>
      <c r="B139" s="174" t="s">
        <v>14</v>
      </c>
      <c r="C139" s="174" t="s">
        <v>966</v>
      </c>
      <c r="D139" s="174" t="s">
        <v>951</v>
      </c>
      <c r="E139" s="174" t="s">
        <v>956</v>
      </c>
      <c r="F139" s="174" t="s">
        <v>957</v>
      </c>
      <c r="G139" s="174" t="s">
        <v>958</v>
      </c>
      <c r="H139" s="174" t="s">
        <v>959</v>
      </c>
      <c r="I139" s="174" t="s">
        <v>29</v>
      </c>
      <c r="J139" s="177">
        <v>43238</v>
      </c>
      <c r="K139" s="174">
        <v>39</v>
      </c>
      <c r="L139" s="178">
        <v>7.1947222222222225</v>
      </c>
      <c r="M139" s="174" t="s">
        <v>20</v>
      </c>
      <c r="N139" s="174">
        <v>86</v>
      </c>
    </row>
    <row r="140" spans="1:45" s="174" customFormat="1" ht="35" customHeight="1">
      <c r="A140" s="174">
        <f>ROW()-2</f>
        <v>138</v>
      </c>
      <c r="B140" s="174" t="s">
        <v>14</v>
      </c>
      <c r="C140" s="174" t="s">
        <v>966</v>
      </c>
      <c r="D140" s="174" t="s">
        <v>951</v>
      </c>
      <c r="E140" s="174" t="s">
        <v>952</v>
      </c>
      <c r="F140" s="174" t="s">
        <v>1459</v>
      </c>
      <c r="G140" s="174" t="s">
        <v>1460</v>
      </c>
      <c r="H140" s="174" t="s">
        <v>967</v>
      </c>
      <c r="I140" s="174" t="s">
        <v>29</v>
      </c>
      <c r="J140" s="177">
        <v>43238</v>
      </c>
      <c r="K140" s="174">
        <v>72</v>
      </c>
      <c r="L140" s="178">
        <v>22.874166666666667</v>
      </c>
      <c r="M140" s="174" t="s">
        <v>20</v>
      </c>
      <c r="N140" s="174">
        <v>198</v>
      </c>
    </row>
    <row r="141" spans="1:45" s="174" customFormat="1" ht="35" customHeight="1">
      <c r="A141" s="174">
        <f>ROW()-2</f>
        <v>139</v>
      </c>
      <c r="B141" s="174" t="s">
        <v>14</v>
      </c>
      <c r="C141" s="174" t="s">
        <v>966</v>
      </c>
      <c r="D141" s="174" t="s">
        <v>951</v>
      </c>
      <c r="E141" s="174" t="s">
        <v>974</v>
      </c>
      <c r="F141" s="174" t="s">
        <v>975</v>
      </c>
      <c r="G141" s="174" t="s">
        <v>976</v>
      </c>
      <c r="H141" s="174" t="s">
        <v>977</v>
      </c>
      <c r="I141" s="174" t="s">
        <v>29</v>
      </c>
      <c r="J141" s="177">
        <v>43262</v>
      </c>
      <c r="K141" s="174">
        <v>129</v>
      </c>
      <c r="L141" s="178">
        <v>21.192777777777778</v>
      </c>
      <c r="M141" s="174" t="s">
        <v>89</v>
      </c>
      <c r="N141" s="174">
        <v>365</v>
      </c>
    </row>
    <row r="142" spans="1:45" s="174" customFormat="1" ht="35" customHeight="1">
      <c r="A142" s="174">
        <f>ROW()-2</f>
        <v>140</v>
      </c>
      <c r="B142" s="174" t="s">
        <v>14</v>
      </c>
      <c r="C142" s="174" t="s">
        <v>966</v>
      </c>
      <c r="D142" s="174" t="s">
        <v>951</v>
      </c>
      <c r="E142" s="174" t="s">
        <v>987</v>
      </c>
      <c r="F142" s="174" t="s">
        <v>988</v>
      </c>
      <c r="G142" s="174" t="s">
        <v>989</v>
      </c>
      <c r="H142" s="174" t="s">
        <v>990</v>
      </c>
      <c r="I142" s="174" t="s">
        <v>29</v>
      </c>
      <c r="J142" s="177">
        <v>43340</v>
      </c>
      <c r="K142" s="174">
        <v>50</v>
      </c>
      <c r="L142" s="178">
        <v>11.047499999999999</v>
      </c>
      <c r="M142" s="174" t="s">
        <v>20</v>
      </c>
      <c r="N142" s="174">
        <v>99</v>
      </c>
    </row>
    <row r="143" spans="1:45" s="174" customFormat="1" ht="35" customHeight="1">
      <c r="A143" s="174">
        <f>ROW()-2</f>
        <v>141</v>
      </c>
      <c r="B143" s="174" t="s">
        <v>14</v>
      </c>
      <c r="C143" s="174" t="s">
        <v>966</v>
      </c>
      <c r="D143" s="174" t="s">
        <v>951</v>
      </c>
      <c r="E143" s="174" t="s">
        <v>974</v>
      </c>
      <c r="F143" s="174" t="s">
        <v>995</v>
      </c>
      <c r="G143" s="174" t="s">
        <v>996</v>
      </c>
      <c r="H143" s="174" t="s">
        <v>997</v>
      </c>
      <c r="I143" s="174" t="s">
        <v>29</v>
      </c>
      <c r="J143" s="177">
        <v>43356</v>
      </c>
      <c r="K143" s="174">
        <v>100</v>
      </c>
      <c r="L143" s="178">
        <v>12.57</v>
      </c>
      <c r="M143" s="174" t="s">
        <v>20</v>
      </c>
      <c r="N143" s="174">
        <v>99</v>
      </c>
    </row>
    <row r="144" spans="1:45" s="174" customFormat="1" ht="35" customHeight="1">
      <c r="A144" s="174">
        <f>ROW()-2</f>
        <v>142</v>
      </c>
      <c r="B144" s="174" t="s">
        <v>14</v>
      </c>
      <c r="C144" s="174" t="s">
        <v>966</v>
      </c>
      <c r="D144" s="174" t="s">
        <v>951</v>
      </c>
      <c r="E144" s="174" t="s">
        <v>987</v>
      </c>
      <c r="F144" s="174" t="s">
        <v>1071</v>
      </c>
      <c r="G144" s="174" t="s">
        <v>1072</v>
      </c>
      <c r="H144" s="174" t="s">
        <v>1073</v>
      </c>
      <c r="I144" s="174" t="s">
        <v>17</v>
      </c>
      <c r="J144" s="177">
        <v>43924</v>
      </c>
      <c r="K144" s="174">
        <v>13</v>
      </c>
      <c r="L144" s="178">
        <v>2.7066666666666666</v>
      </c>
      <c r="M144" s="174" t="s">
        <v>20</v>
      </c>
      <c r="N144" s="174">
        <v>99</v>
      </c>
    </row>
    <row r="145" spans="1:14" s="174" customFormat="1" ht="35" customHeight="1">
      <c r="A145" s="174">
        <f>ROW()-2</f>
        <v>143</v>
      </c>
      <c r="B145" s="174" t="s">
        <v>14</v>
      </c>
      <c r="C145" s="174" t="s">
        <v>966</v>
      </c>
      <c r="D145" s="174" t="s">
        <v>951</v>
      </c>
      <c r="E145" s="174" t="s">
        <v>956</v>
      </c>
      <c r="F145" s="174" t="s">
        <v>1074</v>
      </c>
      <c r="G145" s="174" t="s">
        <v>1075</v>
      </c>
      <c r="H145" s="174" t="s">
        <v>1076</v>
      </c>
      <c r="I145" s="174" t="s">
        <v>29</v>
      </c>
      <c r="J145" s="177">
        <v>43924</v>
      </c>
      <c r="K145" s="174">
        <v>55</v>
      </c>
      <c r="L145" s="178">
        <v>10.304722222222223</v>
      </c>
      <c r="M145" s="174" t="s">
        <v>20</v>
      </c>
      <c r="N145" s="174">
        <v>99</v>
      </c>
    </row>
    <row r="146" spans="1:14" s="174" customFormat="1" ht="35" customHeight="1">
      <c r="A146" s="174">
        <f>ROW()-2</f>
        <v>144</v>
      </c>
      <c r="B146" s="174" t="s">
        <v>14</v>
      </c>
      <c r="C146" s="174" t="s">
        <v>966</v>
      </c>
      <c r="D146" s="174" t="s">
        <v>951</v>
      </c>
      <c r="E146" s="174" t="s">
        <v>956</v>
      </c>
      <c r="F146" s="174" t="s">
        <v>1081</v>
      </c>
      <c r="G146" s="174" t="s">
        <v>1082</v>
      </c>
      <c r="H146" s="174" t="s">
        <v>1083</v>
      </c>
      <c r="I146" s="174" t="s">
        <v>29</v>
      </c>
      <c r="J146" s="177">
        <v>43941</v>
      </c>
      <c r="K146" s="174">
        <v>57</v>
      </c>
      <c r="L146" s="178">
        <v>10.050277777777778</v>
      </c>
      <c r="M146" s="174" t="s">
        <v>20</v>
      </c>
      <c r="N146" s="174">
        <v>199</v>
      </c>
    </row>
    <row r="147" spans="1:14" s="174" customFormat="1" ht="35" customHeight="1">
      <c r="A147" s="174">
        <f>ROW()-2</f>
        <v>145</v>
      </c>
      <c r="B147" s="174" t="s">
        <v>14</v>
      </c>
      <c r="C147" s="174" t="s">
        <v>966</v>
      </c>
      <c r="D147" s="174" t="s">
        <v>951</v>
      </c>
      <c r="E147" s="174" t="s">
        <v>956</v>
      </c>
      <c r="F147" s="174" t="s">
        <v>1144</v>
      </c>
      <c r="G147" s="174" t="s">
        <v>835</v>
      </c>
      <c r="H147" s="174" t="s">
        <v>1145</v>
      </c>
      <c r="I147" s="174" t="s">
        <v>29</v>
      </c>
      <c r="J147" s="177">
        <v>44132</v>
      </c>
      <c r="K147" s="174">
        <v>18</v>
      </c>
      <c r="L147" s="178">
        <v>2.4697222222222224</v>
      </c>
      <c r="M147" s="174" t="s">
        <v>20</v>
      </c>
      <c r="N147" s="174">
        <v>129</v>
      </c>
    </row>
    <row r="148" spans="1:14" s="174" customFormat="1" ht="35" customHeight="1">
      <c r="A148" s="174">
        <f>ROW()-2</f>
        <v>146</v>
      </c>
      <c r="B148" s="174" t="s">
        <v>14</v>
      </c>
      <c r="C148" s="174" t="s">
        <v>966</v>
      </c>
      <c r="D148" s="174" t="s">
        <v>951</v>
      </c>
      <c r="E148" s="174" t="s">
        <v>956</v>
      </c>
      <c r="F148" s="174" t="s">
        <v>1146</v>
      </c>
      <c r="G148" s="174" t="s">
        <v>1147</v>
      </c>
      <c r="H148" s="174" t="s">
        <v>1148</v>
      </c>
      <c r="I148" s="174" t="s">
        <v>17</v>
      </c>
      <c r="J148" s="177">
        <v>44137</v>
      </c>
      <c r="K148" s="174">
        <v>12</v>
      </c>
      <c r="L148" s="178">
        <v>8.6044444444444448</v>
      </c>
      <c r="M148" s="174" t="s">
        <v>20</v>
      </c>
      <c r="N148" s="174">
        <v>299</v>
      </c>
    </row>
    <row r="149" spans="1:14" s="174" customFormat="1" ht="35" customHeight="1">
      <c r="A149" s="174">
        <f>ROW()-2</f>
        <v>147</v>
      </c>
      <c r="B149" s="174" t="s">
        <v>14</v>
      </c>
      <c r="C149" s="174" t="s">
        <v>966</v>
      </c>
      <c r="D149" s="174" t="s">
        <v>951</v>
      </c>
      <c r="E149" s="174" t="s">
        <v>956</v>
      </c>
      <c r="F149" s="174" t="s">
        <v>1165</v>
      </c>
      <c r="G149" s="174" t="s">
        <v>1166</v>
      </c>
      <c r="H149" s="174" t="s">
        <v>1167</v>
      </c>
      <c r="I149" s="174" t="s">
        <v>17</v>
      </c>
      <c r="J149" s="177">
        <v>44154</v>
      </c>
      <c r="K149" s="174">
        <v>33</v>
      </c>
      <c r="L149" s="178">
        <v>7.9580555555555552</v>
      </c>
      <c r="M149" s="174" t="s">
        <v>20</v>
      </c>
      <c r="N149" s="174">
        <v>599</v>
      </c>
    </row>
    <row r="150" spans="1:14" s="174" customFormat="1" ht="35" customHeight="1">
      <c r="A150" s="174">
        <f>ROW()-2</f>
        <v>148</v>
      </c>
      <c r="B150" s="174" t="s">
        <v>14</v>
      </c>
      <c r="C150" s="174" t="s">
        <v>966</v>
      </c>
      <c r="D150" s="174" t="s">
        <v>951</v>
      </c>
      <c r="E150" s="174" t="s">
        <v>956</v>
      </c>
      <c r="F150" s="174" t="s">
        <v>1171</v>
      </c>
      <c r="G150" s="174" t="s">
        <v>1172</v>
      </c>
      <c r="H150" s="174" t="s">
        <v>1173</v>
      </c>
      <c r="I150" s="174" t="s">
        <v>17</v>
      </c>
      <c r="J150" s="177">
        <v>44162</v>
      </c>
      <c r="K150" s="174">
        <v>30</v>
      </c>
      <c r="L150" s="178">
        <v>3.23</v>
      </c>
      <c r="M150" s="174" t="s">
        <v>89</v>
      </c>
      <c r="N150" s="174">
        <v>69</v>
      </c>
    </row>
    <row r="151" spans="1:14" s="174" customFormat="1" ht="35" customHeight="1">
      <c r="A151" s="174">
        <f>ROW()-2</f>
        <v>149</v>
      </c>
      <c r="B151" s="174" t="s">
        <v>14</v>
      </c>
      <c r="C151" s="174" t="s">
        <v>966</v>
      </c>
      <c r="D151" s="174" t="s">
        <v>951</v>
      </c>
      <c r="E151" s="174" t="s">
        <v>956</v>
      </c>
      <c r="F151" s="174" t="s">
        <v>1185</v>
      </c>
      <c r="G151" s="174" t="s">
        <v>1186</v>
      </c>
      <c r="H151" s="174" t="s">
        <v>172</v>
      </c>
      <c r="I151" s="174" t="s">
        <v>29</v>
      </c>
      <c r="J151" s="177">
        <v>44228</v>
      </c>
      <c r="K151" s="174">
        <v>36</v>
      </c>
      <c r="L151" s="178">
        <v>7.1372222222222224</v>
      </c>
      <c r="M151" s="174" t="s">
        <v>20</v>
      </c>
      <c r="N151" s="174">
        <v>198</v>
      </c>
    </row>
    <row r="152" spans="1:14" s="174" customFormat="1" ht="35" customHeight="1">
      <c r="A152" s="174">
        <f>ROW()-2</f>
        <v>150</v>
      </c>
      <c r="B152" s="174" t="s">
        <v>14</v>
      </c>
      <c r="C152" s="174" t="s">
        <v>966</v>
      </c>
      <c r="D152" s="174" t="s">
        <v>951</v>
      </c>
      <c r="E152" s="174" t="s">
        <v>956</v>
      </c>
      <c r="F152" s="174" t="s">
        <v>1204</v>
      </c>
      <c r="G152" s="174" t="s">
        <v>1205</v>
      </c>
      <c r="H152" s="174" t="s">
        <v>1206</v>
      </c>
      <c r="I152" s="174" t="s">
        <v>29</v>
      </c>
      <c r="J152" s="177">
        <v>44292</v>
      </c>
      <c r="K152" s="174">
        <v>29</v>
      </c>
      <c r="L152" s="178">
        <v>4.668333333333333</v>
      </c>
      <c r="M152" s="174" t="s">
        <v>89</v>
      </c>
      <c r="N152" s="174">
        <v>99</v>
      </c>
    </row>
    <row r="153" spans="1:14" s="174" customFormat="1" ht="35" customHeight="1">
      <c r="A153" s="174">
        <f>ROW()-2</f>
        <v>151</v>
      </c>
      <c r="B153" s="174" t="s">
        <v>14</v>
      </c>
      <c r="C153" s="174" t="s">
        <v>966</v>
      </c>
      <c r="D153" s="174" t="s">
        <v>951</v>
      </c>
      <c r="E153" s="174" t="s">
        <v>952</v>
      </c>
      <c r="F153" s="174" t="s">
        <v>1211</v>
      </c>
      <c r="G153" s="174" t="s">
        <v>1212</v>
      </c>
      <c r="H153" s="174" t="s">
        <v>1213</v>
      </c>
      <c r="I153" s="174" t="s">
        <v>29</v>
      </c>
      <c r="J153" s="177">
        <v>44322</v>
      </c>
      <c r="K153" s="174">
        <v>36</v>
      </c>
      <c r="L153" s="178">
        <v>6.8763888888888891</v>
      </c>
      <c r="M153" s="174" t="s">
        <v>89</v>
      </c>
      <c r="N153" s="174">
        <v>99</v>
      </c>
    </row>
    <row r="154" spans="1:14" s="174" customFormat="1" ht="35" customHeight="1">
      <c r="A154" s="174">
        <f>ROW()-2</f>
        <v>152</v>
      </c>
      <c r="B154" s="174" t="s">
        <v>14</v>
      </c>
      <c r="C154" s="174" t="s">
        <v>966</v>
      </c>
      <c r="D154" s="174" t="s">
        <v>951</v>
      </c>
      <c r="E154" s="174" t="s">
        <v>987</v>
      </c>
      <c r="F154" s="174" t="s">
        <v>1224</v>
      </c>
      <c r="G154" s="174" t="s">
        <v>1225</v>
      </c>
      <c r="H154" s="174" t="s">
        <v>1226</v>
      </c>
      <c r="I154" s="174" t="s">
        <v>29</v>
      </c>
      <c r="J154" s="177">
        <v>44385</v>
      </c>
      <c r="K154" s="174">
        <v>37</v>
      </c>
      <c r="L154" s="178">
        <v>6.1280555555555551</v>
      </c>
      <c r="M154" s="174" t="s">
        <v>20</v>
      </c>
      <c r="N154" s="174">
        <v>99</v>
      </c>
    </row>
    <row r="155" spans="1:14" s="174" customFormat="1" ht="35" customHeight="1">
      <c r="A155" s="174">
        <f>ROW()-2</f>
        <v>153</v>
      </c>
      <c r="B155" s="174" t="s">
        <v>14</v>
      </c>
      <c r="C155" s="174" t="s">
        <v>966</v>
      </c>
      <c r="D155" s="174" t="s">
        <v>951</v>
      </c>
      <c r="E155" s="174" t="s">
        <v>956</v>
      </c>
      <c r="F155" s="174" t="s">
        <v>1236</v>
      </c>
      <c r="G155" s="174" t="s">
        <v>1237</v>
      </c>
      <c r="H155" s="174" t="s">
        <v>1238</v>
      </c>
      <c r="I155" s="174" t="s">
        <v>29</v>
      </c>
      <c r="J155" s="177">
        <v>44416</v>
      </c>
      <c r="K155" s="174">
        <v>23</v>
      </c>
      <c r="L155" s="178">
        <v>3.6833333333333331</v>
      </c>
      <c r="M155" s="174" t="s">
        <v>20</v>
      </c>
      <c r="N155" s="174">
        <v>129</v>
      </c>
    </row>
    <row r="156" spans="1:14" s="174" customFormat="1" ht="35" customHeight="1">
      <c r="A156" s="174">
        <f>ROW()-2</f>
        <v>154</v>
      </c>
      <c r="B156" s="174" t="s">
        <v>14</v>
      </c>
      <c r="C156" s="174" t="s">
        <v>966</v>
      </c>
      <c r="D156" s="174" t="s">
        <v>951</v>
      </c>
      <c r="E156" s="174" t="s">
        <v>956</v>
      </c>
      <c r="F156" s="174" t="s">
        <v>1268</v>
      </c>
      <c r="G156" s="174" t="s">
        <v>1268</v>
      </c>
      <c r="H156" s="174" t="s">
        <v>1269</v>
      </c>
      <c r="I156" s="174" t="s">
        <v>17</v>
      </c>
      <c r="J156" s="177">
        <v>44526</v>
      </c>
      <c r="K156" s="174">
        <v>20</v>
      </c>
      <c r="L156" s="178">
        <v>2.9677777777777776</v>
      </c>
      <c r="M156" s="174" t="s">
        <v>20</v>
      </c>
      <c r="N156" s="174">
        <v>1499</v>
      </c>
    </row>
    <row r="157" spans="1:14" s="174" customFormat="1" ht="35" customHeight="1">
      <c r="A157" s="174">
        <f>ROW()-2</f>
        <v>155</v>
      </c>
      <c r="B157" s="174" t="s">
        <v>14</v>
      </c>
      <c r="C157" s="174" t="s">
        <v>966</v>
      </c>
      <c r="D157" s="174" t="s">
        <v>951</v>
      </c>
      <c r="E157" s="174" t="s">
        <v>974</v>
      </c>
      <c r="F157" s="174" t="s">
        <v>1319</v>
      </c>
      <c r="G157" s="174" t="s">
        <v>1320</v>
      </c>
      <c r="H157" s="174" t="s">
        <v>1321</v>
      </c>
      <c r="I157" s="174" t="s">
        <v>17</v>
      </c>
      <c r="J157" s="177">
        <v>44539</v>
      </c>
      <c r="K157" s="174">
        <v>18</v>
      </c>
      <c r="L157" s="178">
        <v>2.7308333333333334</v>
      </c>
      <c r="M157" s="174" t="s">
        <v>20</v>
      </c>
      <c r="N157" s="174">
        <v>99</v>
      </c>
    </row>
    <row r="158" spans="1:14" s="174" customFormat="1" ht="35" customHeight="1">
      <c r="A158" s="174">
        <f>ROW()-2</f>
        <v>156</v>
      </c>
      <c r="B158" s="174" t="s">
        <v>14</v>
      </c>
      <c r="C158" s="174" t="s">
        <v>966</v>
      </c>
      <c r="D158" s="174" t="s">
        <v>951</v>
      </c>
      <c r="E158" s="174" t="s">
        <v>974</v>
      </c>
      <c r="F158" s="174" t="s">
        <v>1346</v>
      </c>
      <c r="G158" s="174" t="s">
        <v>1346</v>
      </c>
      <c r="H158" s="174" t="s">
        <v>1315</v>
      </c>
      <c r="I158" s="174" t="s">
        <v>29</v>
      </c>
      <c r="J158" s="177">
        <v>44545</v>
      </c>
      <c r="K158" s="174">
        <v>32</v>
      </c>
      <c r="L158" s="178">
        <v>4.8174999999999999</v>
      </c>
      <c r="M158" s="174" t="s">
        <v>20</v>
      </c>
      <c r="N158" s="174">
        <v>99</v>
      </c>
    </row>
    <row r="159" spans="1:14" s="174" customFormat="1" ht="35" customHeight="1">
      <c r="A159" s="174">
        <f>ROW()-2</f>
        <v>157</v>
      </c>
      <c r="B159" s="174" t="s">
        <v>14</v>
      </c>
      <c r="C159" s="174" t="s">
        <v>966</v>
      </c>
      <c r="D159" s="174" t="s">
        <v>951</v>
      </c>
      <c r="E159" s="174" t="s">
        <v>987</v>
      </c>
      <c r="F159" s="174" t="s">
        <v>1347</v>
      </c>
      <c r="G159" s="174" t="s">
        <v>1348</v>
      </c>
      <c r="H159" s="174" t="s">
        <v>1349</v>
      </c>
      <c r="I159" s="174" t="s">
        <v>17</v>
      </c>
      <c r="J159" s="177">
        <v>44545</v>
      </c>
      <c r="K159" s="174">
        <v>20</v>
      </c>
      <c r="L159" s="178">
        <v>3.7777777777777777</v>
      </c>
      <c r="M159" s="174" t="s">
        <v>20</v>
      </c>
      <c r="N159" s="174">
        <v>199</v>
      </c>
    </row>
    <row r="160" spans="1:14" s="174" customFormat="1" ht="35" customHeight="1">
      <c r="A160" s="174">
        <f>ROW()-2</f>
        <v>158</v>
      </c>
      <c r="B160" s="174" t="s">
        <v>14</v>
      </c>
      <c r="C160" s="174" t="s">
        <v>966</v>
      </c>
      <c r="D160" s="174" t="s">
        <v>951</v>
      </c>
      <c r="E160" s="174" t="s">
        <v>956</v>
      </c>
      <c r="F160" s="174" t="s">
        <v>1352</v>
      </c>
      <c r="G160" s="174" t="s">
        <v>1352</v>
      </c>
      <c r="H160" s="174" t="s">
        <v>691</v>
      </c>
      <c r="I160" s="174" t="s">
        <v>29</v>
      </c>
      <c r="J160" s="177">
        <v>44545</v>
      </c>
      <c r="K160" s="174">
        <v>22</v>
      </c>
      <c r="L160" s="178">
        <v>3.263611111111111</v>
      </c>
      <c r="M160" s="174" t="s">
        <v>20</v>
      </c>
      <c r="N160" s="174">
        <v>69</v>
      </c>
    </row>
    <row r="161" spans="1:45" s="174" customFormat="1" ht="35" customHeight="1">
      <c r="A161" s="174">
        <f>ROW()-2</f>
        <v>159</v>
      </c>
      <c r="B161" s="174" t="s">
        <v>14</v>
      </c>
      <c r="C161" s="174" t="s">
        <v>966</v>
      </c>
      <c r="D161" s="174" t="s">
        <v>951</v>
      </c>
      <c r="E161" s="174" t="s">
        <v>987</v>
      </c>
      <c r="F161" s="174" t="s">
        <v>1342</v>
      </c>
      <c r="G161" s="174" t="s">
        <v>1343</v>
      </c>
      <c r="H161" s="174" t="s">
        <v>1344</v>
      </c>
      <c r="I161" s="174" t="s">
        <v>17</v>
      </c>
      <c r="J161" s="177">
        <v>44545</v>
      </c>
      <c r="K161" s="174">
        <v>10</v>
      </c>
      <c r="L161" s="178">
        <v>1.6344444444444444</v>
      </c>
      <c r="M161" s="174" t="s">
        <v>20</v>
      </c>
      <c r="N161" s="174">
        <v>99</v>
      </c>
    </row>
    <row r="162" spans="1:45" s="174" customFormat="1" ht="35" customHeight="1">
      <c r="A162" s="174">
        <f>ROW()-2</f>
        <v>160</v>
      </c>
      <c r="B162" s="174" t="s">
        <v>14</v>
      </c>
      <c r="C162" s="174" t="s">
        <v>966</v>
      </c>
      <c r="D162" s="174" t="s">
        <v>951</v>
      </c>
      <c r="E162" s="174" t="s">
        <v>952</v>
      </c>
      <c r="F162" s="174" t="s">
        <v>2537</v>
      </c>
      <c r="G162" s="174" t="s">
        <v>2537</v>
      </c>
      <c r="H162" s="174" t="s">
        <v>1173</v>
      </c>
      <c r="I162" s="174" t="s">
        <v>29</v>
      </c>
      <c r="J162" s="177">
        <v>44586</v>
      </c>
      <c r="K162" s="174">
        <v>31</v>
      </c>
      <c r="L162" s="178">
        <v>7.7927777777777774</v>
      </c>
      <c r="M162" s="174" t="s">
        <v>89</v>
      </c>
      <c r="N162" s="174">
        <v>98</v>
      </c>
    </row>
    <row r="163" spans="1:45" s="174" customFormat="1" ht="35" customHeight="1">
      <c r="A163" s="174">
        <f>ROW()-2</f>
        <v>161</v>
      </c>
      <c r="B163" s="181" t="s">
        <v>5365</v>
      </c>
      <c r="C163" s="181" t="s">
        <v>5372</v>
      </c>
      <c r="D163" s="181" t="s">
        <v>5374</v>
      </c>
      <c r="E163" s="181" t="s">
        <v>5375</v>
      </c>
      <c r="F163" s="181" t="s">
        <v>5373</v>
      </c>
      <c r="G163" s="181" t="s">
        <v>5373</v>
      </c>
      <c r="H163" s="181" t="s">
        <v>5376</v>
      </c>
      <c r="I163" s="181" t="s">
        <v>17</v>
      </c>
      <c r="J163" s="177">
        <v>44606</v>
      </c>
      <c r="K163" s="181">
        <v>21</v>
      </c>
      <c r="L163" s="179">
        <v>5.7</v>
      </c>
      <c r="M163" s="181" t="s">
        <v>5377</v>
      </c>
      <c r="N163" s="181">
        <v>199</v>
      </c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</row>
    <row r="164" spans="1:45" s="174" customFormat="1" ht="35" customHeight="1">
      <c r="A164" s="174">
        <f>ROW()-2</f>
        <v>162</v>
      </c>
      <c r="B164" s="181" t="s">
        <v>5640</v>
      </c>
      <c r="C164" s="181" t="s">
        <v>966</v>
      </c>
      <c r="D164" s="181" t="s">
        <v>951</v>
      </c>
      <c r="E164" s="181" t="s">
        <v>974</v>
      </c>
      <c r="F164" s="181" t="s">
        <v>5641</v>
      </c>
      <c r="G164" s="181" t="s">
        <v>5641</v>
      </c>
      <c r="H164" s="181" t="s">
        <v>5642</v>
      </c>
      <c r="I164" s="181" t="s">
        <v>5643</v>
      </c>
      <c r="J164" s="177">
        <v>44627</v>
      </c>
      <c r="K164" s="181">
        <v>12</v>
      </c>
      <c r="L164" s="179">
        <v>2.8</v>
      </c>
      <c r="M164" s="181" t="s">
        <v>5646</v>
      </c>
      <c r="N164" s="181">
        <v>199</v>
      </c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1"/>
      <c r="AH164" s="181"/>
      <c r="AI164" s="181"/>
      <c r="AJ164" s="181"/>
      <c r="AK164" s="181"/>
      <c r="AL164" s="181"/>
      <c r="AM164" s="181"/>
      <c r="AN164" s="181"/>
      <c r="AO164" s="181"/>
      <c r="AP164" s="181"/>
      <c r="AQ164" s="181"/>
      <c r="AR164" s="181"/>
      <c r="AS164" s="181"/>
    </row>
    <row r="165" spans="1:45" s="174" customFormat="1" ht="35" customHeight="1">
      <c r="A165" s="174">
        <f>ROW()-2</f>
        <v>163</v>
      </c>
      <c r="B165" s="174" t="s">
        <v>14</v>
      </c>
      <c r="C165" s="174" t="s">
        <v>966</v>
      </c>
      <c r="D165" s="174" t="s">
        <v>960</v>
      </c>
      <c r="E165" s="174" t="s">
        <v>968</v>
      </c>
      <c r="F165" s="174" t="s">
        <v>969</v>
      </c>
      <c r="G165" s="174" t="s">
        <v>970</v>
      </c>
      <c r="H165" s="174" t="s">
        <v>971</v>
      </c>
      <c r="I165" s="174" t="s">
        <v>29</v>
      </c>
      <c r="J165" s="177">
        <v>43256</v>
      </c>
      <c r="K165" s="174">
        <v>67</v>
      </c>
      <c r="L165" s="178">
        <v>15.4125</v>
      </c>
      <c r="M165" s="174" t="s">
        <v>20</v>
      </c>
      <c r="N165" s="174">
        <v>139</v>
      </c>
    </row>
    <row r="166" spans="1:45" s="174" customFormat="1" ht="35" customHeight="1">
      <c r="A166" s="174">
        <f>ROW()-2</f>
        <v>164</v>
      </c>
      <c r="B166" s="174" t="s">
        <v>14</v>
      </c>
      <c r="C166" s="174" t="s">
        <v>966</v>
      </c>
      <c r="D166" s="174" t="s">
        <v>960</v>
      </c>
      <c r="E166" s="174" t="s">
        <v>968</v>
      </c>
      <c r="F166" s="174" t="s">
        <v>972</v>
      </c>
      <c r="G166" s="174" t="s">
        <v>973</v>
      </c>
      <c r="H166" s="174" t="s">
        <v>971</v>
      </c>
      <c r="I166" s="174" t="s">
        <v>29</v>
      </c>
      <c r="J166" s="177">
        <v>43256</v>
      </c>
      <c r="K166" s="174">
        <v>54</v>
      </c>
      <c r="L166" s="178">
        <v>15.182777777777778</v>
      </c>
      <c r="M166" s="174" t="s">
        <v>20</v>
      </c>
      <c r="N166" s="174">
        <v>139</v>
      </c>
    </row>
    <row r="167" spans="1:45" s="174" customFormat="1" ht="35" customHeight="1">
      <c r="A167" s="174">
        <f>ROW()-2</f>
        <v>165</v>
      </c>
      <c r="B167" s="174" t="s">
        <v>14</v>
      </c>
      <c r="C167" s="174" t="s">
        <v>966</v>
      </c>
      <c r="D167" s="174" t="s">
        <v>960</v>
      </c>
      <c r="E167" s="174" t="s">
        <v>2604</v>
      </c>
      <c r="F167" s="174" t="s">
        <v>992</v>
      </c>
      <c r="G167" s="174" t="s">
        <v>993</v>
      </c>
      <c r="H167" s="174" t="s">
        <v>994</v>
      </c>
      <c r="I167" s="174" t="s">
        <v>29</v>
      </c>
      <c r="J167" s="177">
        <v>43346</v>
      </c>
      <c r="K167" s="174">
        <v>38</v>
      </c>
      <c r="L167" s="178">
        <v>7.8391666666666664</v>
      </c>
      <c r="M167" s="174" t="s">
        <v>20</v>
      </c>
      <c r="N167" s="174">
        <v>199</v>
      </c>
    </row>
    <row r="168" spans="1:45" s="174" customFormat="1" ht="35" customHeight="1">
      <c r="A168" s="174">
        <f>ROW()-2</f>
        <v>166</v>
      </c>
      <c r="B168" s="174" t="s">
        <v>14</v>
      </c>
      <c r="C168" s="174" t="s">
        <v>966</v>
      </c>
      <c r="D168" s="174" t="s">
        <v>960</v>
      </c>
      <c r="E168" s="174" t="s">
        <v>1016</v>
      </c>
      <c r="F168" s="174" t="s">
        <v>1017</v>
      </c>
      <c r="G168" s="174" t="s">
        <v>1018</v>
      </c>
      <c r="H168" s="174" t="s">
        <v>1019</v>
      </c>
      <c r="I168" s="174" t="s">
        <v>29</v>
      </c>
      <c r="J168" s="177">
        <v>43549</v>
      </c>
      <c r="K168" s="174">
        <v>11</v>
      </c>
      <c r="L168" s="178">
        <v>2.483888888888889</v>
      </c>
      <c r="M168" s="174" t="s">
        <v>20</v>
      </c>
      <c r="N168" s="174">
        <v>29</v>
      </c>
    </row>
    <row r="169" spans="1:45" s="174" customFormat="1" ht="35" customHeight="1">
      <c r="A169" s="174">
        <f>ROW()-2</f>
        <v>167</v>
      </c>
      <c r="B169" s="174" t="s">
        <v>14</v>
      </c>
      <c r="C169" s="174" t="s">
        <v>966</v>
      </c>
      <c r="D169" s="174" t="s">
        <v>960</v>
      </c>
      <c r="E169" s="174" t="s">
        <v>1016</v>
      </c>
      <c r="F169" s="174" t="s">
        <v>1030</v>
      </c>
      <c r="G169" s="174" t="s">
        <v>1031</v>
      </c>
      <c r="H169" s="174" t="s">
        <v>1032</v>
      </c>
      <c r="I169" s="174" t="s">
        <v>29</v>
      </c>
      <c r="J169" s="177">
        <v>43647</v>
      </c>
      <c r="K169" s="174">
        <v>38</v>
      </c>
      <c r="L169" s="178">
        <v>7.7255555555555553</v>
      </c>
      <c r="M169" s="174" t="s">
        <v>20</v>
      </c>
      <c r="N169" s="174">
        <v>99</v>
      </c>
    </row>
    <row r="170" spans="1:45" s="174" customFormat="1" ht="35" customHeight="1">
      <c r="A170" s="174">
        <f>ROW()-2</f>
        <v>168</v>
      </c>
      <c r="B170" s="174" t="s">
        <v>14</v>
      </c>
      <c r="C170" s="174" t="s">
        <v>966</v>
      </c>
      <c r="D170" s="174" t="s">
        <v>960</v>
      </c>
      <c r="E170" s="174" t="s">
        <v>968</v>
      </c>
      <c r="F170" s="174" t="s">
        <v>1033</v>
      </c>
      <c r="G170" s="174" t="s">
        <v>1034</v>
      </c>
      <c r="H170" s="174" t="s">
        <v>1035</v>
      </c>
      <c r="I170" s="174" t="s">
        <v>29</v>
      </c>
      <c r="J170" s="177">
        <v>43686</v>
      </c>
      <c r="K170" s="174">
        <v>18</v>
      </c>
      <c r="L170" s="178">
        <v>2.173888888888889</v>
      </c>
      <c r="M170" s="174" t="s">
        <v>20</v>
      </c>
      <c r="N170" s="174">
        <v>49</v>
      </c>
    </row>
    <row r="171" spans="1:45" s="174" customFormat="1" ht="35" customHeight="1">
      <c r="A171" s="174">
        <f>ROW()-2</f>
        <v>169</v>
      </c>
      <c r="B171" s="174" t="s">
        <v>14</v>
      </c>
      <c r="C171" s="174" t="s">
        <v>966</v>
      </c>
      <c r="D171" s="174" t="s">
        <v>960</v>
      </c>
      <c r="E171" s="174" t="s">
        <v>968</v>
      </c>
      <c r="F171" s="174" t="s">
        <v>1048</v>
      </c>
      <c r="G171" s="174" t="s">
        <v>1049</v>
      </c>
      <c r="H171" s="174" t="s">
        <v>1050</v>
      </c>
      <c r="I171" s="174" t="s">
        <v>29</v>
      </c>
      <c r="J171" s="177">
        <v>43770</v>
      </c>
      <c r="K171" s="174">
        <v>21</v>
      </c>
      <c r="L171" s="178">
        <v>4.4269444444444446</v>
      </c>
      <c r="M171" s="174" t="s">
        <v>20</v>
      </c>
      <c r="N171" s="174">
        <v>99</v>
      </c>
    </row>
    <row r="172" spans="1:45" s="174" customFormat="1" ht="35" customHeight="1">
      <c r="A172" s="174">
        <f>ROW()-2</f>
        <v>170</v>
      </c>
      <c r="B172" s="174" t="s">
        <v>14</v>
      </c>
      <c r="C172" s="174" t="s">
        <v>966</v>
      </c>
      <c r="D172" s="174" t="s">
        <v>960</v>
      </c>
      <c r="E172" s="174" t="s">
        <v>968</v>
      </c>
      <c r="F172" s="174" t="s">
        <v>1051</v>
      </c>
      <c r="G172" s="174" t="s">
        <v>1052</v>
      </c>
      <c r="H172" s="174" t="s">
        <v>1053</v>
      </c>
      <c r="I172" s="174" t="s">
        <v>29</v>
      </c>
      <c r="J172" s="177">
        <v>43784</v>
      </c>
      <c r="K172" s="174">
        <v>53</v>
      </c>
      <c r="L172" s="178">
        <v>8.8269444444444449</v>
      </c>
      <c r="M172" s="174" t="s">
        <v>20</v>
      </c>
      <c r="N172" s="174">
        <v>199</v>
      </c>
    </row>
    <row r="173" spans="1:45" s="174" customFormat="1" ht="35" customHeight="1">
      <c r="A173" s="174">
        <f>ROW()-2</f>
        <v>171</v>
      </c>
      <c r="B173" s="174" t="s">
        <v>14</v>
      </c>
      <c r="C173" s="174" t="s">
        <v>966</v>
      </c>
      <c r="D173" s="174" t="s">
        <v>960</v>
      </c>
      <c r="E173" s="174" t="s">
        <v>991</v>
      </c>
      <c r="F173" s="174" t="s">
        <v>1054</v>
      </c>
      <c r="G173" s="174" t="s">
        <v>1055</v>
      </c>
      <c r="H173" s="174" t="s">
        <v>1056</v>
      </c>
      <c r="I173" s="174" t="s">
        <v>29</v>
      </c>
      <c r="J173" s="177">
        <v>43805</v>
      </c>
      <c r="K173" s="174">
        <v>21</v>
      </c>
      <c r="L173" s="178">
        <v>5.1055555555555552</v>
      </c>
      <c r="M173" s="174" t="s">
        <v>20</v>
      </c>
      <c r="N173" s="174">
        <v>39</v>
      </c>
    </row>
    <row r="174" spans="1:45" s="174" customFormat="1" ht="35" customHeight="1">
      <c r="A174" s="174">
        <f>ROW()-2</f>
        <v>172</v>
      </c>
      <c r="B174" s="174" t="s">
        <v>14</v>
      </c>
      <c r="C174" s="174" t="s">
        <v>966</v>
      </c>
      <c r="D174" s="174" t="s">
        <v>960</v>
      </c>
      <c r="E174" s="174" t="s">
        <v>991</v>
      </c>
      <c r="F174" s="174" t="s">
        <v>1057</v>
      </c>
      <c r="G174" s="174" t="s">
        <v>1058</v>
      </c>
      <c r="H174" s="174" t="s">
        <v>1059</v>
      </c>
      <c r="I174" s="174" t="s">
        <v>29</v>
      </c>
      <c r="J174" s="177">
        <v>43849</v>
      </c>
      <c r="K174" s="174">
        <v>18</v>
      </c>
      <c r="L174" s="178">
        <v>4.0963888888888889</v>
      </c>
      <c r="M174" s="174" t="s">
        <v>20</v>
      </c>
      <c r="N174" s="174">
        <v>99</v>
      </c>
    </row>
    <row r="175" spans="1:45" s="174" customFormat="1" ht="35" customHeight="1">
      <c r="A175" s="174">
        <f>ROW()-2</f>
        <v>173</v>
      </c>
      <c r="B175" s="174" t="s">
        <v>14</v>
      </c>
      <c r="C175" s="174" t="s">
        <v>966</v>
      </c>
      <c r="D175" s="174" t="s">
        <v>960</v>
      </c>
      <c r="E175" s="174" t="s">
        <v>991</v>
      </c>
      <c r="F175" s="174" t="s">
        <v>1060</v>
      </c>
      <c r="G175" s="174" t="s">
        <v>1061</v>
      </c>
      <c r="H175" s="174" t="s">
        <v>1062</v>
      </c>
      <c r="I175" s="174" t="s">
        <v>29</v>
      </c>
      <c r="J175" s="177">
        <v>43881</v>
      </c>
      <c r="K175" s="174">
        <v>14</v>
      </c>
      <c r="L175" s="178">
        <v>1.9072222222222222</v>
      </c>
      <c r="M175" s="174" t="s">
        <v>20</v>
      </c>
      <c r="N175" s="174">
        <v>99</v>
      </c>
    </row>
    <row r="176" spans="1:45" s="174" customFormat="1" ht="35" customHeight="1">
      <c r="A176" s="174">
        <f>ROW()-2</f>
        <v>174</v>
      </c>
      <c r="B176" s="174" t="s">
        <v>14</v>
      </c>
      <c r="C176" s="174" t="s">
        <v>966</v>
      </c>
      <c r="D176" s="174" t="s">
        <v>960</v>
      </c>
      <c r="E176" s="174" t="s">
        <v>968</v>
      </c>
      <c r="F176" s="174" t="s">
        <v>1078</v>
      </c>
      <c r="G176" s="174" t="s">
        <v>1079</v>
      </c>
      <c r="H176" s="174" t="s">
        <v>1080</v>
      </c>
      <c r="I176" s="174" t="s">
        <v>29</v>
      </c>
      <c r="J176" s="177">
        <v>43930</v>
      </c>
      <c r="K176" s="174">
        <v>24</v>
      </c>
      <c r="L176" s="178">
        <v>4.3997222222222225</v>
      </c>
      <c r="M176" s="174" t="s">
        <v>20</v>
      </c>
      <c r="N176" s="174">
        <v>99</v>
      </c>
    </row>
    <row r="177" spans="1:14" s="174" customFormat="1" ht="35" customHeight="1">
      <c r="A177" s="174">
        <f>ROW()-2</f>
        <v>175</v>
      </c>
      <c r="B177" s="174" t="s">
        <v>14</v>
      </c>
      <c r="C177" s="174" t="s">
        <v>966</v>
      </c>
      <c r="D177" s="174" t="s">
        <v>960</v>
      </c>
      <c r="E177" s="174" t="s">
        <v>1089</v>
      </c>
      <c r="F177" s="174" t="s">
        <v>1090</v>
      </c>
      <c r="G177" s="174" t="s">
        <v>1091</v>
      </c>
      <c r="H177" s="174" t="s">
        <v>1092</v>
      </c>
      <c r="I177" s="174" t="s">
        <v>29</v>
      </c>
      <c r="J177" s="177">
        <v>43969</v>
      </c>
      <c r="K177" s="174">
        <v>50</v>
      </c>
      <c r="L177" s="178">
        <v>6.5711111111111107</v>
      </c>
      <c r="M177" s="174" t="s">
        <v>20</v>
      </c>
      <c r="N177" s="174">
        <v>69</v>
      </c>
    </row>
    <row r="178" spans="1:14" s="174" customFormat="1" ht="35" customHeight="1">
      <c r="A178" s="174">
        <f>ROW()-2</f>
        <v>176</v>
      </c>
      <c r="B178" s="174" t="s">
        <v>14</v>
      </c>
      <c r="C178" s="174" t="s">
        <v>966</v>
      </c>
      <c r="D178" s="174" t="s">
        <v>960</v>
      </c>
      <c r="E178" s="174" t="s">
        <v>1016</v>
      </c>
      <c r="F178" s="174" t="s">
        <v>1141</v>
      </c>
      <c r="G178" s="174" t="s">
        <v>1142</v>
      </c>
      <c r="H178" s="174" t="s">
        <v>1143</v>
      </c>
      <c r="I178" s="174" t="s">
        <v>29</v>
      </c>
      <c r="J178" s="177">
        <v>44132</v>
      </c>
      <c r="K178" s="174">
        <v>39</v>
      </c>
      <c r="L178" s="178">
        <v>8.6255555555555556</v>
      </c>
      <c r="M178" s="174" t="s">
        <v>20</v>
      </c>
      <c r="N178" s="174">
        <v>199</v>
      </c>
    </row>
    <row r="179" spans="1:14" s="174" customFormat="1" ht="35" customHeight="1">
      <c r="A179" s="174">
        <f>ROW()-2</f>
        <v>177</v>
      </c>
      <c r="B179" s="174" t="s">
        <v>14</v>
      </c>
      <c r="C179" s="174" t="s">
        <v>966</v>
      </c>
      <c r="D179" s="174" t="s">
        <v>960</v>
      </c>
      <c r="E179" s="174" t="s">
        <v>968</v>
      </c>
      <c r="F179" s="174" t="s">
        <v>2527</v>
      </c>
      <c r="G179" s="174" t="s">
        <v>1462</v>
      </c>
      <c r="H179" s="174" t="s">
        <v>1223</v>
      </c>
      <c r="I179" s="174" t="s">
        <v>29</v>
      </c>
      <c r="J179" s="177">
        <v>44355</v>
      </c>
      <c r="K179" s="174">
        <v>55</v>
      </c>
      <c r="L179" s="178">
        <v>11.498055555555556</v>
      </c>
      <c r="M179" s="174" t="s">
        <v>89</v>
      </c>
      <c r="N179" s="174">
        <v>99</v>
      </c>
    </row>
    <row r="180" spans="1:14" s="174" customFormat="1" ht="35" customHeight="1">
      <c r="A180" s="174">
        <f>ROW()-2</f>
        <v>178</v>
      </c>
      <c r="B180" s="174" t="s">
        <v>14</v>
      </c>
      <c r="C180" s="174" t="s">
        <v>966</v>
      </c>
      <c r="D180" s="174" t="s">
        <v>960</v>
      </c>
      <c r="E180" s="174" t="s">
        <v>968</v>
      </c>
      <c r="F180" s="174" t="s">
        <v>1221</v>
      </c>
      <c r="G180" s="174" t="s">
        <v>1222</v>
      </c>
      <c r="H180" s="174" t="s">
        <v>1223</v>
      </c>
      <c r="I180" s="174" t="s">
        <v>29</v>
      </c>
      <c r="J180" s="177">
        <v>44375</v>
      </c>
      <c r="K180" s="174">
        <v>102</v>
      </c>
      <c r="L180" s="178">
        <v>17.613888888888887</v>
      </c>
      <c r="M180" s="174" t="s">
        <v>20</v>
      </c>
      <c r="N180" s="174">
        <v>99</v>
      </c>
    </row>
    <row r="181" spans="1:14" s="174" customFormat="1" ht="35" customHeight="1">
      <c r="A181" s="174">
        <f>ROW()-2</f>
        <v>179</v>
      </c>
      <c r="B181" s="174" t="s">
        <v>14</v>
      </c>
      <c r="C181" s="174" t="s">
        <v>966</v>
      </c>
      <c r="D181" s="174" t="s">
        <v>960</v>
      </c>
      <c r="E181" s="174" t="s">
        <v>968</v>
      </c>
      <c r="F181" s="174" t="s">
        <v>1233</v>
      </c>
      <c r="G181" s="174" t="s">
        <v>1234</v>
      </c>
      <c r="H181" s="174" t="s">
        <v>1235</v>
      </c>
      <c r="I181" s="174" t="s">
        <v>29</v>
      </c>
      <c r="J181" s="177">
        <v>44410</v>
      </c>
      <c r="K181" s="174">
        <v>40</v>
      </c>
      <c r="L181" s="178">
        <v>5.1325000000000003</v>
      </c>
      <c r="M181" s="174" t="s">
        <v>20</v>
      </c>
      <c r="N181" s="174">
        <v>99</v>
      </c>
    </row>
    <row r="182" spans="1:14" s="174" customFormat="1" ht="35" customHeight="1">
      <c r="A182" s="174">
        <f>ROW()-2</f>
        <v>180</v>
      </c>
      <c r="B182" s="174" t="s">
        <v>14</v>
      </c>
      <c r="C182" s="174" t="s">
        <v>966</v>
      </c>
      <c r="D182" s="174" t="s">
        <v>960</v>
      </c>
      <c r="E182" s="174" t="s">
        <v>968</v>
      </c>
      <c r="F182" s="174" t="s">
        <v>1292</v>
      </c>
      <c r="G182" s="174" t="s">
        <v>1293</v>
      </c>
      <c r="H182" s="174" t="s">
        <v>599</v>
      </c>
      <c r="I182" s="174" t="s">
        <v>17</v>
      </c>
      <c r="J182" s="177">
        <v>44536</v>
      </c>
      <c r="K182" s="174">
        <v>9</v>
      </c>
      <c r="L182" s="178">
        <v>1.4530555555555555</v>
      </c>
      <c r="M182" s="174" t="s">
        <v>20</v>
      </c>
      <c r="N182" s="174">
        <v>128</v>
      </c>
    </row>
    <row r="183" spans="1:14" s="174" customFormat="1" ht="35" customHeight="1">
      <c r="A183" s="174">
        <f>ROW()-2</f>
        <v>181</v>
      </c>
      <c r="B183" s="174" t="s">
        <v>14</v>
      </c>
      <c r="C183" s="174" t="s">
        <v>966</v>
      </c>
      <c r="D183" s="174" t="s">
        <v>960</v>
      </c>
      <c r="E183" s="174" t="s">
        <v>1016</v>
      </c>
      <c r="F183" s="174" t="s">
        <v>1294</v>
      </c>
      <c r="G183" s="174" t="s">
        <v>1295</v>
      </c>
      <c r="H183" s="174" t="s">
        <v>1296</v>
      </c>
      <c r="I183" s="174" t="s">
        <v>17</v>
      </c>
      <c r="J183" s="177">
        <v>44537</v>
      </c>
      <c r="K183" s="174">
        <v>30</v>
      </c>
      <c r="L183" s="178">
        <v>4.3202777777777781</v>
      </c>
      <c r="M183" s="174" t="s">
        <v>20</v>
      </c>
      <c r="N183" s="174">
        <v>99</v>
      </c>
    </row>
    <row r="184" spans="1:14" s="174" customFormat="1" ht="35" customHeight="1">
      <c r="A184" s="174">
        <f>ROW()-2</f>
        <v>182</v>
      </c>
      <c r="B184" s="174" t="s">
        <v>14</v>
      </c>
      <c r="C184" s="174" t="s">
        <v>966</v>
      </c>
      <c r="D184" s="174" t="s">
        <v>960</v>
      </c>
      <c r="E184" s="174" t="s">
        <v>968</v>
      </c>
      <c r="F184" s="174" t="s">
        <v>1300</v>
      </c>
      <c r="G184" s="174" t="s">
        <v>1301</v>
      </c>
      <c r="H184" s="174" t="s">
        <v>1302</v>
      </c>
      <c r="I184" s="174" t="s">
        <v>17</v>
      </c>
      <c r="J184" s="177">
        <v>44537</v>
      </c>
      <c r="K184" s="174">
        <v>10</v>
      </c>
      <c r="L184" s="178">
        <v>2.0608333333333335</v>
      </c>
      <c r="M184" s="174" t="s">
        <v>20</v>
      </c>
      <c r="N184" s="174">
        <v>99</v>
      </c>
    </row>
    <row r="185" spans="1:14" s="174" customFormat="1" ht="35" customHeight="1">
      <c r="A185" s="174">
        <f>ROW()-2</f>
        <v>183</v>
      </c>
      <c r="B185" s="174" t="s">
        <v>14</v>
      </c>
      <c r="C185" s="174" t="s">
        <v>966</v>
      </c>
      <c r="D185" s="174" t="s">
        <v>960</v>
      </c>
      <c r="E185" s="174" t="s">
        <v>968</v>
      </c>
      <c r="F185" s="174" t="s">
        <v>2605</v>
      </c>
      <c r="G185" s="174" t="s">
        <v>1317</v>
      </c>
      <c r="H185" s="174" t="s">
        <v>1318</v>
      </c>
      <c r="I185" s="174" t="s">
        <v>17</v>
      </c>
      <c r="J185" s="177">
        <v>44539</v>
      </c>
      <c r="K185" s="174">
        <v>28</v>
      </c>
      <c r="L185" s="178">
        <v>4.5938888888888885</v>
      </c>
      <c r="M185" s="174" t="s">
        <v>20</v>
      </c>
      <c r="N185" s="174">
        <v>99</v>
      </c>
    </row>
    <row r="186" spans="1:14" s="174" customFormat="1" ht="35" customHeight="1">
      <c r="A186" s="174">
        <f>ROW()-2</f>
        <v>184</v>
      </c>
      <c r="B186" s="174" t="s">
        <v>14</v>
      </c>
      <c r="C186" s="174" t="s">
        <v>966</v>
      </c>
      <c r="D186" s="174" t="s">
        <v>960</v>
      </c>
      <c r="E186" s="174" t="s">
        <v>968</v>
      </c>
      <c r="F186" s="174" t="s">
        <v>2606</v>
      </c>
      <c r="G186" s="174" t="s">
        <v>1314</v>
      </c>
      <c r="H186" s="174" t="s">
        <v>1315</v>
      </c>
      <c r="I186" s="174" t="s">
        <v>29</v>
      </c>
      <c r="J186" s="177">
        <v>44539</v>
      </c>
      <c r="K186" s="174">
        <v>18</v>
      </c>
      <c r="L186" s="178">
        <v>2.4161111111111113</v>
      </c>
      <c r="M186" s="174" t="s">
        <v>20</v>
      </c>
      <c r="N186" s="174">
        <v>59</v>
      </c>
    </row>
    <row r="187" spans="1:14" s="174" customFormat="1" ht="35" customHeight="1">
      <c r="A187" s="174">
        <f>ROW()-2</f>
        <v>185</v>
      </c>
      <c r="B187" s="174" t="s">
        <v>14</v>
      </c>
      <c r="C187" s="174" t="s">
        <v>966</v>
      </c>
      <c r="D187" s="174" t="s">
        <v>960</v>
      </c>
      <c r="E187" s="174" t="s">
        <v>1016</v>
      </c>
      <c r="F187" s="174" t="s">
        <v>1334</v>
      </c>
      <c r="G187" s="174" t="s">
        <v>1335</v>
      </c>
      <c r="H187" s="174" t="s">
        <v>1336</v>
      </c>
      <c r="I187" s="174" t="s">
        <v>29</v>
      </c>
      <c r="J187" s="177">
        <v>44543</v>
      </c>
      <c r="K187" s="174">
        <v>10</v>
      </c>
      <c r="L187" s="178">
        <v>1.7763888888888888</v>
      </c>
      <c r="M187" s="174" t="s">
        <v>20</v>
      </c>
      <c r="N187" s="174">
        <v>128</v>
      </c>
    </row>
    <row r="188" spans="1:14" s="174" customFormat="1" ht="35" customHeight="1">
      <c r="A188" s="174">
        <f>ROW()-2</f>
        <v>186</v>
      </c>
      <c r="B188" s="174" t="s">
        <v>14</v>
      </c>
      <c r="C188" s="174" t="s">
        <v>966</v>
      </c>
      <c r="D188" s="174" t="s">
        <v>960</v>
      </c>
      <c r="E188" s="174" t="s">
        <v>991</v>
      </c>
      <c r="F188" s="174" t="s">
        <v>1359</v>
      </c>
      <c r="G188" s="174" t="s">
        <v>1360</v>
      </c>
      <c r="H188" s="174" t="s">
        <v>1361</v>
      </c>
      <c r="I188" s="174" t="s">
        <v>17</v>
      </c>
      <c r="J188" s="177">
        <v>44546</v>
      </c>
      <c r="K188" s="174">
        <v>13</v>
      </c>
      <c r="L188" s="178">
        <v>2.5708333333333333</v>
      </c>
      <c r="M188" s="174" t="s">
        <v>20</v>
      </c>
      <c r="N188" s="174">
        <v>108</v>
      </c>
    </row>
    <row r="189" spans="1:14" s="174" customFormat="1" ht="35" customHeight="1">
      <c r="A189" s="174">
        <f>ROW()-2</f>
        <v>187</v>
      </c>
      <c r="B189" s="174" t="s">
        <v>14</v>
      </c>
      <c r="C189" s="174" t="s">
        <v>966</v>
      </c>
      <c r="D189" s="174" t="s">
        <v>1093</v>
      </c>
      <c r="E189" s="174" t="s">
        <v>1094</v>
      </c>
      <c r="F189" s="174" t="s">
        <v>1095</v>
      </c>
      <c r="G189" s="174" t="s">
        <v>1096</v>
      </c>
      <c r="H189" s="174" t="s">
        <v>1097</v>
      </c>
      <c r="I189" s="174" t="s">
        <v>29</v>
      </c>
      <c r="J189" s="177">
        <v>43971</v>
      </c>
      <c r="K189" s="174">
        <v>100</v>
      </c>
      <c r="L189" s="178">
        <v>8.4811111111111117</v>
      </c>
      <c r="M189" s="174" t="s">
        <v>20</v>
      </c>
      <c r="N189" s="174">
        <v>99</v>
      </c>
    </row>
    <row r="190" spans="1:14" s="174" customFormat="1" ht="35" customHeight="1">
      <c r="A190" s="174">
        <f>ROW()-2</f>
        <v>188</v>
      </c>
      <c r="B190" s="174" t="s">
        <v>14</v>
      </c>
      <c r="C190" s="174" t="s">
        <v>966</v>
      </c>
      <c r="D190" s="174" t="s">
        <v>1093</v>
      </c>
      <c r="E190" s="174" t="s">
        <v>1101</v>
      </c>
      <c r="F190" s="174" t="s">
        <v>1102</v>
      </c>
      <c r="G190" s="174" t="s">
        <v>1103</v>
      </c>
      <c r="H190" s="174" t="s">
        <v>1104</v>
      </c>
      <c r="I190" s="174" t="s">
        <v>29</v>
      </c>
      <c r="J190" s="177">
        <v>43985</v>
      </c>
      <c r="K190" s="174">
        <v>31</v>
      </c>
      <c r="L190" s="178">
        <v>5.3927777777777779</v>
      </c>
      <c r="M190" s="174" t="s">
        <v>20</v>
      </c>
      <c r="N190" s="174">
        <v>69</v>
      </c>
    </row>
    <row r="191" spans="1:14" s="174" customFormat="1" ht="35" customHeight="1">
      <c r="A191" s="174">
        <f>ROW()-2</f>
        <v>189</v>
      </c>
      <c r="B191" s="174" t="s">
        <v>14</v>
      </c>
      <c r="C191" s="174" t="s">
        <v>966</v>
      </c>
      <c r="D191" s="174" t="s">
        <v>1093</v>
      </c>
      <c r="E191" s="174" t="s">
        <v>1105</v>
      </c>
      <c r="F191" s="174" t="s">
        <v>1106</v>
      </c>
      <c r="G191" s="174" t="s">
        <v>1107</v>
      </c>
      <c r="H191" s="174" t="s">
        <v>1108</v>
      </c>
      <c r="I191" s="174" t="s">
        <v>29</v>
      </c>
      <c r="J191" s="177">
        <v>43991</v>
      </c>
      <c r="K191" s="174">
        <v>37</v>
      </c>
      <c r="L191" s="178">
        <v>5.535277777777778</v>
      </c>
      <c r="M191" s="174" t="s">
        <v>20</v>
      </c>
      <c r="N191" s="174">
        <v>99</v>
      </c>
    </row>
    <row r="192" spans="1:14" s="174" customFormat="1" ht="35" customHeight="1">
      <c r="A192" s="174">
        <f>ROW()-2</f>
        <v>190</v>
      </c>
      <c r="B192" s="174" t="s">
        <v>14</v>
      </c>
      <c r="C192" s="174" t="s">
        <v>966</v>
      </c>
      <c r="D192" s="174" t="s">
        <v>1093</v>
      </c>
      <c r="E192" s="174" t="s">
        <v>1152</v>
      </c>
      <c r="F192" s="174" t="s">
        <v>1153</v>
      </c>
      <c r="G192" s="174" t="s">
        <v>1154</v>
      </c>
      <c r="H192" s="174" t="s">
        <v>1155</v>
      </c>
      <c r="I192" s="174" t="s">
        <v>17</v>
      </c>
      <c r="J192" s="177">
        <v>44146</v>
      </c>
      <c r="K192" s="174">
        <v>19</v>
      </c>
      <c r="L192" s="178">
        <v>3.8327777777777778</v>
      </c>
      <c r="M192" s="174" t="s">
        <v>20</v>
      </c>
      <c r="N192" s="174">
        <v>108</v>
      </c>
    </row>
    <row r="193" spans="1:45" s="174" customFormat="1" ht="35" customHeight="1">
      <c r="A193" s="174">
        <f>ROW()-2</f>
        <v>191</v>
      </c>
      <c r="B193" s="174" t="s">
        <v>14</v>
      </c>
      <c r="C193" s="174" t="s">
        <v>966</v>
      </c>
      <c r="D193" s="174" t="s">
        <v>1093</v>
      </c>
      <c r="E193" s="174" t="s">
        <v>1105</v>
      </c>
      <c r="F193" s="174" t="s">
        <v>1156</v>
      </c>
      <c r="G193" s="174" t="s">
        <v>1157</v>
      </c>
      <c r="H193" s="174" t="s">
        <v>1158</v>
      </c>
      <c r="I193" s="174" t="s">
        <v>17</v>
      </c>
      <c r="J193" s="177">
        <v>44146</v>
      </c>
      <c r="K193" s="174">
        <v>47</v>
      </c>
      <c r="L193" s="178">
        <v>8.0091666666666672</v>
      </c>
      <c r="M193" s="174" t="s">
        <v>20</v>
      </c>
      <c r="N193" s="174">
        <v>199</v>
      </c>
    </row>
    <row r="194" spans="1:45" s="174" customFormat="1" ht="35" customHeight="1">
      <c r="A194" s="174">
        <f>ROW()-2</f>
        <v>192</v>
      </c>
      <c r="B194" s="174" t="s">
        <v>14</v>
      </c>
      <c r="C194" s="174" t="s">
        <v>966</v>
      </c>
      <c r="D194" s="174" t="s">
        <v>1093</v>
      </c>
      <c r="E194" s="174" t="s">
        <v>1105</v>
      </c>
      <c r="F194" s="174" t="s">
        <v>1159</v>
      </c>
      <c r="G194" s="174" t="s">
        <v>1160</v>
      </c>
      <c r="H194" s="174" t="s">
        <v>1161</v>
      </c>
      <c r="I194" s="174" t="s">
        <v>17</v>
      </c>
      <c r="J194" s="177">
        <v>44146</v>
      </c>
      <c r="K194" s="174">
        <v>31</v>
      </c>
      <c r="L194" s="178">
        <v>6.2522222222222226</v>
      </c>
      <c r="M194" s="174" t="s">
        <v>20</v>
      </c>
      <c r="N194" s="174">
        <v>98</v>
      </c>
    </row>
    <row r="195" spans="1:45" s="174" customFormat="1" ht="35" customHeight="1">
      <c r="A195" s="174">
        <f>ROW()-2</f>
        <v>193</v>
      </c>
      <c r="B195" s="174" t="s">
        <v>14</v>
      </c>
      <c r="C195" s="174" t="s">
        <v>966</v>
      </c>
      <c r="D195" s="174" t="s">
        <v>1093</v>
      </c>
      <c r="E195" s="174" t="s">
        <v>1105</v>
      </c>
      <c r="F195" s="174" t="s">
        <v>1162</v>
      </c>
      <c r="G195" s="174" t="s">
        <v>1163</v>
      </c>
      <c r="H195" s="174" t="s">
        <v>1164</v>
      </c>
      <c r="I195" s="174" t="s">
        <v>17</v>
      </c>
      <c r="J195" s="177">
        <v>44148</v>
      </c>
      <c r="K195" s="174">
        <v>8</v>
      </c>
      <c r="L195" s="178">
        <v>5.9191666666666665</v>
      </c>
      <c r="M195" s="174" t="s">
        <v>20</v>
      </c>
      <c r="N195" s="174">
        <v>199</v>
      </c>
    </row>
    <row r="196" spans="1:45" s="174" customFormat="1" ht="35" customHeight="1">
      <c r="A196" s="174">
        <f>ROW()-2</f>
        <v>194</v>
      </c>
      <c r="B196" s="174" t="s">
        <v>14</v>
      </c>
      <c r="C196" s="174" t="s">
        <v>966</v>
      </c>
      <c r="D196" s="174" t="s">
        <v>1093</v>
      </c>
      <c r="E196" s="174" t="s">
        <v>1152</v>
      </c>
      <c r="F196" s="174" t="s">
        <v>1168</v>
      </c>
      <c r="G196" s="174" t="s">
        <v>1169</v>
      </c>
      <c r="H196" s="174" t="s">
        <v>1170</v>
      </c>
      <c r="I196" s="174" t="s">
        <v>29</v>
      </c>
      <c r="J196" s="177">
        <v>44160</v>
      </c>
      <c r="K196" s="174">
        <v>48</v>
      </c>
      <c r="L196" s="178">
        <v>13.702500000000001</v>
      </c>
      <c r="M196" s="174" t="s">
        <v>20</v>
      </c>
      <c r="N196" s="174">
        <v>499</v>
      </c>
    </row>
    <row r="197" spans="1:45" s="174" customFormat="1" ht="35" customHeight="1">
      <c r="A197" s="174">
        <f>ROW()-2</f>
        <v>195</v>
      </c>
      <c r="B197" s="174" t="s">
        <v>14</v>
      </c>
      <c r="C197" s="174" t="s">
        <v>966</v>
      </c>
      <c r="D197" s="174" t="s">
        <v>1093</v>
      </c>
      <c r="E197" s="174" t="s">
        <v>1152</v>
      </c>
      <c r="F197" s="174" t="s">
        <v>54</v>
      </c>
      <c r="G197" s="174" t="s">
        <v>55</v>
      </c>
      <c r="H197" s="174" t="s">
        <v>56</v>
      </c>
      <c r="I197" s="174" t="s">
        <v>29</v>
      </c>
      <c r="J197" s="177">
        <v>44160</v>
      </c>
      <c r="K197" s="174">
        <v>16</v>
      </c>
      <c r="L197" s="178">
        <v>4.3141666666666669</v>
      </c>
      <c r="M197" s="174" t="s">
        <v>20</v>
      </c>
      <c r="N197" s="174">
        <v>88</v>
      </c>
    </row>
    <row r="198" spans="1:45" s="174" customFormat="1" ht="35" customHeight="1">
      <c r="A198" s="174">
        <f>ROW()-2</f>
        <v>196</v>
      </c>
      <c r="B198" s="174" t="s">
        <v>14</v>
      </c>
      <c r="C198" s="174" t="s">
        <v>966</v>
      </c>
      <c r="D198" s="174" t="s">
        <v>1093</v>
      </c>
      <c r="E198" s="174" t="s">
        <v>1105</v>
      </c>
      <c r="F198" s="174" t="s">
        <v>1174</v>
      </c>
      <c r="G198" s="174" t="s">
        <v>1175</v>
      </c>
      <c r="H198" s="174" t="s">
        <v>1176</v>
      </c>
      <c r="I198" s="174" t="s">
        <v>17</v>
      </c>
      <c r="J198" s="177">
        <v>44172</v>
      </c>
      <c r="K198" s="174">
        <v>10</v>
      </c>
      <c r="L198" s="178">
        <v>4.4141666666666666</v>
      </c>
      <c r="M198" s="174" t="s">
        <v>20</v>
      </c>
      <c r="N198" s="174">
        <v>99</v>
      </c>
    </row>
    <row r="199" spans="1:45" s="174" customFormat="1" ht="35" customHeight="1">
      <c r="A199" s="174">
        <f>ROW()-2</f>
        <v>197</v>
      </c>
      <c r="B199" s="174" t="s">
        <v>14</v>
      </c>
      <c r="C199" s="174" t="s">
        <v>966</v>
      </c>
      <c r="D199" s="174" t="s">
        <v>1093</v>
      </c>
      <c r="E199" s="174" t="s">
        <v>1105</v>
      </c>
      <c r="F199" s="174" t="s">
        <v>2607</v>
      </c>
      <c r="G199" s="174" t="s">
        <v>1183</v>
      </c>
      <c r="H199" s="174" t="s">
        <v>1184</v>
      </c>
      <c r="I199" s="174" t="s">
        <v>29</v>
      </c>
      <c r="J199" s="177">
        <v>44228</v>
      </c>
      <c r="K199" s="174">
        <v>30</v>
      </c>
      <c r="L199" s="178">
        <v>8.2802777777777781</v>
      </c>
      <c r="M199" s="174" t="s">
        <v>20</v>
      </c>
      <c r="N199" s="174">
        <v>39.200000000000003</v>
      </c>
    </row>
    <row r="200" spans="1:45" s="174" customFormat="1" ht="35" customHeight="1">
      <c r="A200" s="174">
        <f>ROW()-2</f>
        <v>198</v>
      </c>
      <c r="B200" s="174" t="s">
        <v>14</v>
      </c>
      <c r="C200" s="174" t="s">
        <v>966</v>
      </c>
      <c r="D200" s="174" t="s">
        <v>1093</v>
      </c>
      <c r="E200" s="174" t="s">
        <v>1152</v>
      </c>
      <c r="F200" s="174" t="s">
        <v>2608</v>
      </c>
      <c r="G200" s="174" t="s">
        <v>1188</v>
      </c>
      <c r="H200" s="174" t="s">
        <v>1158</v>
      </c>
      <c r="I200" s="174" t="s">
        <v>17</v>
      </c>
      <c r="J200" s="177">
        <v>44235</v>
      </c>
      <c r="K200" s="174">
        <v>16</v>
      </c>
      <c r="L200" s="178">
        <v>7.4755555555555553</v>
      </c>
      <c r="M200" s="174" t="s">
        <v>20</v>
      </c>
      <c r="N200" s="174">
        <v>69</v>
      </c>
    </row>
    <row r="201" spans="1:45" s="174" customFormat="1" ht="35" customHeight="1">
      <c r="A201" s="174">
        <f>ROW()-2</f>
        <v>199</v>
      </c>
      <c r="B201" s="174" t="s">
        <v>14</v>
      </c>
      <c r="C201" s="174" t="s">
        <v>966</v>
      </c>
      <c r="D201" s="174" t="s">
        <v>1093</v>
      </c>
      <c r="E201" s="174" t="s">
        <v>1105</v>
      </c>
      <c r="F201" s="174" t="s">
        <v>1192</v>
      </c>
      <c r="G201" s="174" t="s">
        <v>1193</v>
      </c>
      <c r="H201" s="174" t="s">
        <v>1194</v>
      </c>
      <c r="I201" s="174" t="s">
        <v>29</v>
      </c>
      <c r="J201" s="177">
        <v>44251</v>
      </c>
      <c r="K201" s="174">
        <v>15</v>
      </c>
      <c r="L201" s="178">
        <v>3.233888888888889</v>
      </c>
      <c r="M201" s="174" t="s">
        <v>20</v>
      </c>
      <c r="N201" s="174">
        <v>99</v>
      </c>
    </row>
    <row r="202" spans="1:45" s="174" customFormat="1" ht="35" customHeight="1">
      <c r="A202" s="174">
        <f>ROW()-2</f>
        <v>200</v>
      </c>
      <c r="B202" s="174" t="s">
        <v>14</v>
      </c>
      <c r="C202" s="174" t="s">
        <v>966</v>
      </c>
      <c r="D202" s="174" t="s">
        <v>1093</v>
      </c>
      <c r="E202" s="174" t="s">
        <v>1094</v>
      </c>
      <c r="F202" s="174" t="s">
        <v>1214</v>
      </c>
      <c r="G202" s="174" t="s">
        <v>1215</v>
      </c>
      <c r="H202" s="174" t="s">
        <v>1216</v>
      </c>
      <c r="I202" s="174" t="s">
        <v>17</v>
      </c>
      <c r="J202" s="177">
        <v>44355</v>
      </c>
      <c r="K202" s="174">
        <v>13</v>
      </c>
      <c r="L202" s="178">
        <v>6.5674999999999999</v>
      </c>
      <c r="M202" s="174" t="s">
        <v>20</v>
      </c>
      <c r="N202" s="174">
        <v>99</v>
      </c>
    </row>
    <row r="203" spans="1:45" s="174" customFormat="1" ht="35" customHeight="1">
      <c r="A203" s="174">
        <f>ROW()-2</f>
        <v>201</v>
      </c>
      <c r="B203" s="174" t="s">
        <v>14</v>
      </c>
      <c r="C203" s="174" t="s">
        <v>966</v>
      </c>
      <c r="D203" s="174" t="s">
        <v>1093</v>
      </c>
      <c r="E203" s="174" t="s">
        <v>1094</v>
      </c>
      <c r="F203" s="174" t="s">
        <v>2609</v>
      </c>
      <c r="G203" s="174" t="s">
        <v>1218</v>
      </c>
      <c r="H203" s="174" t="s">
        <v>1216</v>
      </c>
      <c r="I203" s="174" t="s">
        <v>17</v>
      </c>
      <c r="J203" s="177">
        <v>44363</v>
      </c>
      <c r="K203" s="174">
        <v>21</v>
      </c>
      <c r="L203" s="178">
        <v>10.668888888888889</v>
      </c>
      <c r="M203" s="174" t="s">
        <v>89</v>
      </c>
      <c r="N203" s="174">
        <v>98</v>
      </c>
    </row>
    <row r="204" spans="1:45" s="174" customFormat="1" ht="35" customHeight="1">
      <c r="A204" s="174">
        <f>ROW()-2</f>
        <v>202</v>
      </c>
      <c r="B204" s="174" t="s">
        <v>14</v>
      </c>
      <c r="C204" s="174" t="s">
        <v>966</v>
      </c>
      <c r="D204" s="174" t="s">
        <v>1093</v>
      </c>
      <c r="E204" s="174" t="s">
        <v>1094</v>
      </c>
      <c r="F204" s="174" t="s">
        <v>1350</v>
      </c>
      <c r="G204" s="174" t="s">
        <v>1351</v>
      </c>
      <c r="H204" s="174" t="s">
        <v>691</v>
      </c>
      <c r="I204" s="174" t="s">
        <v>29</v>
      </c>
      <c r="J204" s="177">
        <v>44545</v>
      </c>
      <c r="K204" s="174">
        <v>22</v>
      </c>
      <c r="L204" s="178">
        <v>4.0644444444444447</v>
      </c>
      <c r="M204" s="174" t="s">
        <v>20</v>
      </c>
      <c r="N204" s="174">
        <v>39</v>
      </c>
    </row>
    <row r="205" spans="1:45" s="174" customFormat="1" ht="35" customHeight="1">
      <c r="A205" s="174">
        <f>ROW()-2</f>
        <v>203</v>
      </c>
      <c r="B205" s="174" t="s">
        <v>14</v>
      </c>
      <c r="C205" s="174" t="s">
        <v>966</v>
      </c>
      <c r="D205" s="174" t="s">
        <v>1093</v>
      </c>
      <c r="E205" s="174" t="s">
        <v>1101</v>
      </c>
      <c r="F205" s="174" t="s">
        <v>1353</v>
      </c>
      <c r="G205" s="174" t="s">
        <v>1354</v>
      </c>
      <c r="H205" s="174" t="s">
        <v>1355</v>
      </c>
      <c r="I205" s="174" t="s">
        <v>29</v>
      </c>
      <c r="J205" s="177">
        <v>44545</v>
      </c>
      <c r="K205" s="174">
        <v>21</v>
      </c>
      <c r="L205" s="178">
        <v>3.5005555555555556</v>
      </c>
      <c r="M205" s="174" t="s">
        <v>20</v>
      </c>
      <c r="N205" s="174">
        <v>99</v>
      </c>
    </row>
    <row r="206" spans="1:45" s="174" customFormat="1" ht="35" customHeight="1">
      <c r="A206" s="174">
        <f>ROW()-2</f>
        <v>204</v>
      </c>
      <c r="B206" s="174" t="s">
        <v>14</v>
      </c>
      <c r="C206" s="174" t="s">
        <v>966</v>
      </c>
      <c r="D206" s="174" t="s">
        <v>1093</v>
      </c>
      <c r="E206" s="174" t="s">
        <v>1101</v>
      </c>
      <c r="F206" s="174" t="s">
        <v>1356</v>
      </c>
      <c r="G206" s="174" t="s">
        <v>1357</v>
      </c>
      <c r="H206" s="174" t="s">
        <v>1358</v>
      </c>
      <c r="I206" s="174" t="s">
        <v>17</v>
      </c>
      <c r="J206" s="177">
        <v>44545</v>
      </c>
      <c r="K206" s="174">
        <v>18</v>
      </c>
      <c r="L206" s="178">
        <v>5.3083333333333336</v>
      </c>
      <c r="M206" s="174" t="s">
        <v>20</v>
      </c>
      <c r="N206" s="174">
        <v>89</v>
      </c>
    </row>
    <row r="207" spans="1:45" s="174" customFormat="1" ht="35" customHeight="1">
      <c r="A207" s="174">
        <f>ROW()-2</f>
        <v>205</v>
      </c>
      <c r="B207" s="174" t="s">
        <v>5353</v>
      </c>
      <c r="C207" s="174" t="s">
        <v>2635</v>
      </c>
      <c r="D207" s="174" t="s">
        <v>5351</v>
      </c>
      <c r="E207" s="174" t="s">
        <v>5350</v>
      </c>
      <c r="F207" s="174" t="s">
        <v>5349</v>
      </c>
      <c r="G207" s="174" t="s">
        <v>5349</v>
      </c>
      <c r="H207" s="174" t="s">
        <v>5352</v>
      </c>
      <c r="I207" s="174" t="s">
        <v>5341</v>
      </c>
      <c r="J207" s="175">
        <v>44599</v>
      </c>
      <c r="K207" s="174">
        <v>22</v>
      </c>
      <c r="L207" s="249">
        <v>3.47</v>
      </c>
      <c r="M207" s="174" t="s">
        <v>5300</v>
      </c>
      <c r="N207" s="181">
        <v>129</v>
      </c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</row>
    <row r="208" spans="1:45" s="174" customFormat="1" ht="35" customHeight="1">
      <c r="A208" s="174">
        <f>ROW()-2</f>
        <v>206</v>
      </c>
      <c r="B208" s="174" t="s">
        <v>1577</v>
      </c>
      <c r="C208" s="174" t="s">
        <v>966</v>
      </c>
      <c r="D208" s="174" t="s">
        <v>62</v>
      </c>
      <c r="E208" s="174" t="s">
        <v>1001</v>
      </c>
      <c r="F208" s="174" t="s">
        <v>1776</v>
      </c>
      <c r="G208" s="174" t="s">
        <v>1777</v>
      </c>
      <c r="H208" s="174" t="s">
        <v>1778</v>
      </c>
      <c r="I208" s="174" t="s">
        <v>29</v>
      </c>
      <c r="J208" s="177">
        <v>43391</v>
      </c>
      <c r="K208" s="174">
        <v>5</v>
      </c>
      <c r="L208" s="178">
        <v>0.43361111111111111</v>
      </c>
      <c r="M208" s="174" t="s">
        <v>20</v>
      </c>
    </row>
    <row r="209" spans="1:13" s="174" customFormat="1" ht="35" customHeight="1">
      <c r="A209" s="174">
        <f>ROW()-2</f>
        <v>207</v>
      </c>
      <c r="B209" s="174" t="s">
        <v>1577</v>
      </c>
      <c r="C209" s="174" t="s">
        <v>966</v>
      </c>
      <c r="D209" s="174" t="s">
        <v>62</v>
      </c>
      <c r="E209" s="174" t="s">
        <v>1366</v>
      </c>
      <c r="F209" s="174" t="s">
        <v>1779</v>
      </c>
      <c r="G209" s="174" t="s">
        <v>1780</v>
      </c>
      <c r="H209" s="174" t="s">
        <v>1778</v>
      </c>
      <c r="I209" s="174" t="s">
        <v>29</v>
      </c>
      <c r="J209" s="177">
        <v>43391</v>
      </c>
      <c r="K209" s="174">
        <v>30</v>
      </c>
      <c r="L209" s="178">
        <v>6.1527777777777777</v>
      </c>
      <c r="M209" s="174" t="s">
        <v>20</v>
      </c>
    </row>
    <row r="210" spans="1:13" s="174" customFormat="1" ht="35" customHeight="1">
      <c r="A210" s="174">
        <f>ROW()-2</f>
        <v>208</v>
      </c>
      <c r="B210" s="174" t="s">
        <v>1577</v>
      </c>
      <c r="C210" s="174" t="s">
        <v>966</v>
      </c>
      <c r="D210" s="174" t="s">
        <v>62</v>
      </c>
      <c r="E210" s="174" t="s">
        <v>1001</v>
      </c>
      <c r="F210" s="174" t="s">
        <v>1788</v>
      </c>
      <c r="G210" s="174" t="s">
        <v>1789</v>
      </c>
      <c r="H210" s="174" t="s">
        <v>1790</v>
      </c>
      <c r="I210" s="174" t="s">
        <v>29</v>
      </c>
      <c r="J210" s="177">
        <v>43556</v>
      </c>
      <c r="K210" s="174">
        <v>19</v>
      </c>
      <c r="L210" s="178">
        <v>3.2530555555555556</v>
      </c>
      <c r="M210" s="174" t="s">
        <v>20</v>
      </c>
    </row>
    <row r="211" spans="1:13" s="174" customFormat="1" ht="35" customHeight="1">
      <c r="A211" s="174">
        <f>ROW()-2</f>
        <v>209</v>
      </c>
      <c r="B211" s="174" t="s">
        <v>1577</v>
      </c>
      <c r="C211" s="174" t="s">
        <v>966</v>
      </c>
      <c r="D211" s="174" t="s">
        <v>62</v>
      </c>
      <c r="E211" s="174" t="s">
        <v>1380</v>
      </c>
      <c r="F211" s="174" t="s">
        <v>2610</v>
      </c>
      <c r="G211" s="174" t="s">
        <v>1807</v>
      </c>
      <c r="H211" s="174" t="s">
        <v>1808</v>
      </c>
      <c r="I211" s="174" t="s">
        <v>29</v>
      </c>
      <c r="J211" s="177">
        <v>43811</v>
      </c>
      <c r="K211" s="174">
        <v>281</v>
      </c>
      <c r="L211" s="178">
        <v>89.093333333333334</v>
      </c>
      <c r="M211" s="174" t="s">
        <v>89</v>
      </c>
    </row>
    <row r="212" spans="1:13" s="174" customFormat="1" ht="35" customHeight="1">
      <c r="A212" s="174">
        <f>ROW()-2</f>
        <v>210</v>
      </c>
      <c r="B212" s="174" t="s">
        <v>1577</v>
      </c>
      <c r="C212" s="174" t="s">
        <v>966</v>
      </c>
      <c r="D212" s="174" t="s">
        <v>1084</v>
      </c>
      <c r="E212" s="174" t="s">
        <v>1085</v>
      </c>
      <c r="F212" s="174" t="s">
        <v>1794</v>
      </c>
      <c r="G212" s="174" t="s">
        <v>1795</v>
      </c>
      <c r="H212" s="174" t="s">
        <v>79</v>
      </c>
      <c r="I212" s="174" t="s">
        <v>29</v>
      </c>
      <c r="J212" s="177">
        <v>43557</v>
      </c>
      <c r="K212" s="174">
        <v>53</v>
      </c>
      <c r="L212" s="178">
        <v>7.5380555555555553</v>
      </c>
      <c r="M212" s="174" t="s">
        <v>20</v>
      </c>
    </row>
    <row r="213" spans="1:13" s="174" customFormat="1" ht="35" customHeight="1">
      <c r="A213" s="174">
        <f>ROW()-2</f>
        <v>211</v>
      </c>
      <c r="B213" s="174" t="s">
        <v>1577</v>
      </c>
      <c r="C213" s="174" t="s">
        <v>966</v>
      </c>
      <c r="D213" s="174" t="s">
        <v>1084</v>
      </c>
      <c r="E213" s="174" t="s">
        <v>1362</v>
      </c>
      <c r="F213" s="174" t="s">
        <v>1796</v>
      </c>
      <c r="G213" s="174" t="s">
        <v>1699</v>
      </c>
      <c r="H213" s="174" t="s">
        <v>82</v>
      </c>
      <c r="I213" s="174" t="s">
        <v>17</v>
      </c>
      <c r="J213" s="177">
        <v>43570</v>
      </c>
      <c r="K213" s="174">
        <v>14</v>
      </c>
      <c r="L213" s="178">
        <v>12.767777777777777</v>
      </c>
      <c r="M213" s="174" t="s">
        <v>20</v>
      </c>
    </row>
    <row r="214" spans="1:13" s="174" customFormat="1" ht="35" customHeight="1">
      <c r="A214" s="174">
        <f>ROW()-2</f>
        <v>212</v>
      </c>
      <c r="B214" s="174" t="s">
        <v>1577</v>
      </c>
      <c r="C214" s="174" t="s">
        <v>966</v>
      </c>
      <c r="D214" s="174" t="s">
        <v>1084</v>
      </c>
      <c r="E214" s="174" t="s">
        <v>1362</v>
      </c>
      <c r="F214" s="174" t="s">
        <v>1818</v>
      </c>
      <c r="G214" s="174" t="s">
        <v>1819</v>
      </c>
      <c r="H214" s="174" t="s">
        <v>1820</v>
      </c>
      <c r="I214" s="174" t="s">
        <v>29</v>
      </c>
      <c r="J214" s="177">
        <v>43942</v>
      </c>
      <c r="K214" s="174">
        <v>829</v>
      </c>
      <c r="L214" s="178">
        <v>71.74944444444445</v>
      </c>
      <c r="M214" s="174" t="s">
        <v>89</v>
      </c>
    </row>
    <row r="215" spans="1:13" s="174" customFormat="1" ht="35" customHeight="1">
      <c r="A215" s="174">
        <f>ROW()-2</f>
        <v>213</v>
      </c>
      <c r="B215" s="174" t="s">
        <v>1577</v>
      </c>
      <c r="C215" s="174" t="s">
        <v>966</v>
      </c>
      <c r="D215" s="174" t="s">
        <v>961</v>
      </c>
      <c r="E215" s="174" t="s">
        <v>962</v>
      </c>
      <c r="F215" s="174" t="s">
        <v>1771</v>
      </c>
      <c r="G215" s="174" t="s">
        <v>1772</v>
      </c>
      <c r="H215" s="174" t="s">
        <v>1621</v>
      </c>
      <c r="I215" s="174" t="s">
        <v>29</v>
      </c>
      <c r="J215" s="177">
        <v>43391</v>
      </c>
      <c r="K215" s="174">
        <v>134</v>
      </c>
      <c r="L215" s="178">
        <v>28.861111111111111</v>
      </c>
      <c r="M215" s="174" t="s">
        <v>89</v>
      </c>
    </row>
    <row r="216" spans="1:13" s="174" customFormat="1" ht="35" customHeight="1">
      <c r="A216" s="174">
        <f>ROW()-2</f>
        <v>214</v>
      </c>
      <c r="B216" s="174" t="s">
        <v>1577</v>
      </c>
      <c r="C216" s="174" t="s">
        <v>966</v>
      </c>
      <c r="D216" s="174" t="s">
        <v>961</v>
      </c>
      <c r="E216" s="174" t="s">
        <v>962</v>
      </c>
      <c r="F216" s="174" t="s">
        <v>1791</v>
      </c>
      <c r="G216" s="174" t="s">
        <v>1792</v>
      </c>
      <c r="H216" s="174" t="s">
        <v>1793</v>
      </c>
      <c r="I216" s="174" t="s">
        <v>29</v>
      </c>
      <c r="J216" s="177">
        <v>43557</v>
      </c>
      <c r="K216" s="174">
        <v>9</v>
      </c>
      <c r="L216" s="178">
        <v>4.6252777777777778</v>
      </c>
      <c r="M216" s="174" t="s">
        <v>20</v>
      </c>
    </row>
    <row r="217" spans="1:13" s="174" customFormat="1" ht="35" customHeight="1">
      <c r="A217" s="174">
        <f>ROW()-2</f>
        <v>215</v>
      </c>
      <c r="B217" s="174" t="s">
        <v>1577</v>
      </c>
      <c r="C217" s="174" t="s">
        <v>966</v>
      </c>
      <c r="D217" s="174" t="s">
        <v>961</v>
      </c>
      <c r="E217" s="174" t="s">
        <v>962</v>
      </c>
      <c r="F217" s="174" t="s">
        <v>1799</v>
      </c>
      <c r="G217" s="174" t="s">
        <v>1800</v>
      </c>
      <c r="H217" s="174" t="s">
        <v>1801</v>
      </c>
      <c r="I217" s="174" t="s">
        <v>29</v>
      </c>
      <c r="J217" s="177">
        <v>43599</v>
      </c>
      <c r="K217" s="174">
        <v>29</v>
      </c>
      <c r="L217" s="178">
        <v>15.976944444444445</v>
      </c>
      <c r="M217" s="174" t="s">
        <v>89</v>
      </c>
    </row>
    <row r="218" spans="1:13" s="174" customFormat="1" ht="35" customHeight="1">
      <c r="A218" s="174">
        <f>ROW()-2</f>
        <v>216</v>
      </c>
      <c r="B218" s="174" t="s">
        <v>1577</v>
      </c>
      <c r="C218" s="174" t="s">
        <v>966</v>
      </c>
      <c r="D218" s="174" t="s">
        <v>961</v>
      </c>
      <c r="E218" s="174" t="s">
        <v>1127</v>
      </c>
      <c r="F218" s="174" t="s">
        <v>1809</v>
      </c>
      <c r="G218" s="174" t="s">
        <v>1810</v>
      </c>
      <c r="H218" s="174" t="s">
        <v>1811</v>
      </c>
      <c r="I218" s="174" t="s">
        <v>29</v>
      </c>
      <c r="J218" s="177">
        <v>43873</v>
      </c>
      <c r="K218" s="174">
        <v>4</v>
      </c>
      <c r="L218" s="178">
        <v>1.1641666666666666</v>
      </c>
      <c r="M218" s="174" t="s">
        <v>20</v>
      </c>
    </row>
    <row r="219" spans="1:13" s="174" customFormat="1" ht="35" customHeight="1">
      <c r="A219" s="174">
        <f>ROW()-2</f>
        <v>217</v>
      </c>
      <c r="B219" s="174" t="s">
        <v>1577</v>
      </c>
      <c r="C219" s="174" t="s">
        <v>966</v>
      </c>
      <c r="D219" s="174" t="s">
        <v>961</v>
      </c>
      <c r="E219" s="174" t="s">
        <v>983</v>
      </c>
      <c r="F219" s="174" t="s">
        <v>1812</v>
      </c>
      <c r="G219" s="174" t="s">
        <v>1813</v>
      </c>
      <c r="H219" s="174" t="s">
        <v>1814</v>
      </c>
      <c r="I219" s="174" t="s">
        <v>17</v>
      </c>
      <c r="J219" s="177">
        <v>43873</v>
      </c>
      <c r="K219" s="174">
        <v>1</v>
      </c>
      <c r="L219" s="178">
        <v>1.066111111111111</v>
      </c>
      <c r="M219" s="174" t="s">
        <v>20</v>
      </c>
    </row>
    <row r="220" spans="1:13" s="174" customFormat="1" ht="35" customHeight="1">
      <c r="A220" s="174">
        <f>ROW()-2</f>
        <v>218</v>
      </c>
      <c r="B220" s="174" t="s">
        <v>1577</v>
      </c>
      <c r="C220" s="174" t="s">
        <v>966</v>
      </c>
      <c r="D220" s="174" t="s">
        <v>961</v>
      </c>
      <c r="E220" s="174" t="s">
        <v>962</v>
      </c>
      <c r="F220" s="174" t="s">
        <v>1821</v>
      </c>
      <c r="G220" s="174" t="s">
        <v>1822</v>
      </c>
      <c r="H220" s="174" t="s">
        <v>1740</v>
      </c>
      <c r="I220" s="174" t="s">
        <v>29</v>
      </c>
      <c r="J220" s="177">
        <v>44032</v>
      </c>
      <c r="K220" s="174">
        <v>7</v>
      </c>
      <c r="L220" s="178">
        <v>1.0016666666666667</v>
      </c>
      <c r="M220" s="174" t="s">
        <v>20</v>
      </c>
    </row>
    <row r="221" spans="1:13" s="174" customFormat="1" ht="35" customHeight="1">
      <c r="A221" s="174">
        <f>ROW()-2</f>
        <v>219</v>
      </c>
      <c r="B221" s="174" t="s">
        <v>1577</v>
      </c>
      <c r="C221" s="174" t="s">
        <v>966</v>
      </c>
      <c r="D221" s="174" t="s">
        <v>951</v>
      </c>
      <c r="E221" s="174" t="s">
        <v>952</v>
      </c>
      <c r="F221" s="174" t="s">
        <v>1762</v>
      </c>
      <c r="G221" s="174" t="s">
        <v>1763</v>
      </c>
      <c r="H221" s="174" t="s">
        <v>1764</v>
      </c>
      <c r="I221" s="174" t="s">
        <v>29</v>
      </c>
      <c r="J221" s="177">
        <v>43391</v>
      </c>
      <c r="K221" s="174">
        <v>99</v>
      </c>
      <c r="L221" s="178">
        <v>44.923888888888889</v>
      </c>
      <c r="M221" s="174" t="s">
        <v>89</v>
      </c>
    </row>
    <row r="222" spans="1:13" s="174" customFormat="1" ht="35" customHeight="1">
      <c r="A222" s="174">
        <f>ROW()-2</f>
        <v>220</v>
      </c>
      <c r="B222" s="174" t="s">
        <v>1577</v>
      </c>
      <c r="C222" s="174" t="s">
        <v>966</v>
      </c>
      <c r="D222" s="174" t="s">
        <v>951</v>
      </c>
      <c r="E222" s="174" t="s">
        <v>952</v>
      </c>
      <c r="F222" s="174" t="s">
        <v>1767</v>
      </c>
      <c r="G222" s="174" t="s">
        <v>1768</v>
      </c>
      <c r="H222" s="174" t="s">
        <v>1623</v>
      </c>
      <c r="I222" s="174" t="s">
        <v>29</v>
      </c>
      <c r="J222" s="177">
        <v>43391</v>
      </c>
      <c r="K222" s="174">
        <v>123</v>
      </c>
      <c r="L222" s="178">
        <v>17.677777777777777</v>
      </c>
      <c r="M222" s="174" t="s">
        <v>20</v>
      </c>
    </row>
    <row r="223" spans="1:13" s="174" customFormat="1" ht="35" customHeight="1">
      <c r="A223" s="174">
        <f>ROW()-2</f>
        <v>221</v>
      </c>
      <c r="B223" s="174" t="s">
        <v>1577</v>
      </c>
      <c r="C223" s="174" t="s">
        <v>966</v>
      </c>
      <c r="D223" s="174" t="s">
        <v>951</v>
      </c>
      <c r="E223" s="174" t="s">
        <v>974</v>
      </c>
      <c r="F223" s="174" t="s">
        <v>1773</v>
      </c>
      <c r="G223" s="174" t="s">
        <v>1774</v>
      </c>
      <c r="H223" s="174" t="s">
        <v>1775</v>
      </c>
      <c r="I223" s="174" t="s">
        <v>29</v>
      </c>
      <c r="J223" s="177">
        <v>43391</v>
      </c>
      <c r="K223" s="174">
        <v>7</v>
      </c>
      <c r="L223" s="178">
        <v>2.0233333333333334</v>
      </c>
      <c r="M223" s="174" t="s">
        <v>20</v>
      </c>
    </row>
    <row r="224" spans="1:13" s="174" customFormat="1" ht="35" customHeight="1">
      <c r="A224" s="174">
        <f>ROW()-2</f>
        <v>222</v>
      </c>
      <c r="B224" s="174" t="s">
        <v>1577</v>
      </c>
      <c r="C224" s="174" t="s">
        <v>966</v>
      </c>
      <c r="D224" s="174" t="s">
        <v>951</v>
      </c>
      <c r="E224" s="174" t="s">
        <v>952</v>
      </c>
      <c r="F224" s="174" t="s">
        <v>1769</v>
      </c>
      <c r="G224" s="174" t="s">
        <v>1770</v>
      </c>
      <c r="H224" s="174" t="s">
        <v>1176</v>
      </c>
      <c r="I224" s="174" t="s">
        <v>29</v>
      </c>
      <c r="J224" s="177">
        <v>43391</v>
      </c>
      <c r="K224" s="174">
        <v>66</v>
      </c>
      <c r="L224" s="178">
        <v>11.616388888888888</v>
      </c>
      <c r="M224" s="174" t="s">
        <v>89</v>
      </c>
    </row>
    <row r="225" spans="1:45" s="174" customFormat="1" ht="35" customHeight="1">
      <c r="A225" s="174">
        <f>ROW()-2</f>
        <v>223</v>
      </c>
      <c r="B225" s="174" t="s">
        <v>1577</v>
      </c>
      <c r="C225" s="174" t="s">
        <v>966</v>
      </c>
      <c r="D225" s="174" t="s">
        <v>951</v>
      </c>
      <c r="E225" s="174" t="s">
        <v>952</v>
      </c>
      <c r="F225" s="174" t="s">
        <v>1781</v>
      </c>
      <c r="G225" s="174" t="s">
        <v>1782</v>
      </c>
      <c r="H225" s="174" t="s">
        <v>1783</v>
      </c>
      <c r="I225" s="174" t="s">
        <v>29</v>
      </c>
      <c r="J225" s="177">
        <v>43448</v>
      </c>
      <c r="K225" s="174">
        <v>76</v>
      </c>
      <c r="L225" s="178">
        <v>5.1063888888888886</v>
      </c>
      <c r="M225" s="174" t="s">
        <v>20</v>
      </c>
    </row>
    <row r="226" spans="1:45" s="174" customFormat="1" ht="35" customHeight="1">
      <c r="A226" s="174">
        <f>ROW()-2</f>
        <v>224</v>
      </c>
      <c r="B226" s="174" t="s">
        <v>1577</v>
      </c>
      <c r="C226" s="174" t="s">
        <v>966</v>
      </c>
      <c r="D226" s="174" t="s">
        <v>951</v>
      </c>
      <c r="E226" s="174" t="s">
        <v>987</v>
      </c>
      <c r="F226" s="174" t="s">
        <v>1815</v>
      </c>
      <c r="G226" s="174" t="s">
        <v>1816</v>
      </c>
      <c r="H226" s="174" t="s">
        <v>1817</v>
      </c>
      <c r="I226" s="174" t="s">
        <v>17</v>
      </c>
      <c r="J226" s="177">
        <v>43886</v>
      </c>
      <c r="K226" s="174">
        <v>7</v>
      </c>
      <c r="L226" s="178">
        <v>4.796388888888889</v>
      </c>
      <c r="M226" s="174" t="s">
        <v>20</v>
      </c>
    </row>
    <row r="227" spans="1:45" s="174" customFormat="1" ht="35" customHeight="1">
      <c r="A227" s="174">
        <f>ROW()-2</f>
        <v>225</v>
      </c>
      <c r="B227" s="174" t="s">
        <v>1577</v>
      </c>
      <c r="C227" s="174" t="s">
        <v>966</v>
      </c>
      <c r="D227" s="174" t="s">
        <v>960</v>
      </c>
      <c r="E227" s="174" t="s">
        <v>968</v>
      </c>
      <c r="F227" s="174" t="s">
        <v>1765</v>
      </c>
      <c r="G227" s="174" t="s">
        <v>1766</v>
      </c>
      <c r="H227" s="174" t="s">
        <v>1623</v>
      </c>
      <c r="I227" s="174" t="s">
        <v>29</v>
      </c>
      <c r="J227" s="177">
        <v>43391</v>
      </c>
      <c r="K227" s="174">
        <v>38</v>
      </c>
      <c r="L227" s="178">
        <v>4.4141666666666666</v>
      </c>
      <c r="M227" s="174" t="s">
        <v>20</v>
      </c>
    </row>
    <row r="228" spans="1:45" s="174" customFormat="1" ht="35" customHeight="1">
      <c r="A228" s="174">
        <f>ROW()-2</f>
        <v>226</v>
      </c>
      <c r="B228" s="174" t="s">
        <v>1577</v>
      </c>
      <c r="C228" s="174" t="s">
        <v>966</v>
      </c>
      <c r="D228" s="174" t="s">
        <v>960</v>
      </c>
      <c r="E228" s="174" t="s">
        <v>968</v>
      </c>
      <c r="F228" s="174" t="s">
        <v>1784</v>
      </c>
      <c r="G228" s="174" t="s">
        <v>1785</v>
      </c>
      <c r="H228" s="174" t="s">
        <v>1786</v>
      </c>
      <c r="I228" s="174" t="s">
        <v>29</v>
      </c>
      <c r="J228" s="177">
        <v>43459</v>
      </c>
      <c r="K228" s="174">
        <v>28</v>
      </c>
      <c r="L228" s="178">
        <v>4.4161111111111113</v>
      </c>
      <c r="M228" s="174" t="s">
        <v>20</v>
      </c>
    </row>
    <row r="229" spans="1:45" ht="35" customHeight="1">
      <c r="A229" s="174">
        <f>ROW()-2</f>
        <v>227</v>
      </c>
      <c r="B229" s="174" t="s">
        <v>1577</v>
      </c>
      <c r="C229" s="174" t="s">
        <v>966</v>
      </c>
      <c r="D229" s="174" t="s">
        <v>960</v>
      </c>
      <c r="E229" s="174" t="s">
        <v>1016</v>
      </c>
      <c r="F229" s="174" t="s">
        <v>1016</v>
      </c>
      <c r="G229" s="174" t="s">
        <v>1802</v>
      </c>
      <c r="H229" s="174" t="s">
        <v>1803</v>
      </c>
      <c r="I229" s="174" t="s">
        <v>29</v>
      </c>
      <c r="J229" s="247">
        <v>43640</v>
      </c>
      <c r="K229" s="246">
        <v>4</v>
      </c>
      <c r="L229" s="248">
        <v>0.49305555555555558</v>
      </c>
      <c r="M229" s="246" t="s">
        <v>20</v>
      </c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46"/>
      <c r="AN229" s="246"/>
      <c r="AO229" s="246"/>
      <c r="AP229" s="246"/>
      <c r="AQ229" s="246"/>
      <c r="AR229" s="246"/>
      <c r="AS229" s="246"/>
    </row>
    <row r="230" spans="1:45" s="22" customFormat="1" ht="35" customHeight="1">
      <c r="A230" s="174">
        <f>ROW()-2</f>
        <v>228</v>
      </c>
      <c r="B230" s="174" t="s">
        <v>1577</v>
      </c>
      <c r="C230" s="246" t="s">
        <v>966</v>
      </c>
      <c r="D230" s="246" t="s">
        <v>960</v>
      </c>
      <c r="E230" s="246" t="s">
        <v>991</v>
      </c>
      <c r="F230" s="246" t="s">
        <v>1804</v>
      </c>
      <c r="G230" s="246" t="s">
        <v>1805</v>
      </c>
      <c r="H230" s="246" t="s">
        <v>1803</v>
      </c>
      <c r="I230" s="174" t="s">
        <v>29</v>
      </c>
      <c r="J230" s="247">
        <v>43640</v>
      </c>
      <c r="K230" s="246">
        <v>4</v>
      </c>
      <c r="L230" s="248">
        <v>0.72416666666666663</v>
      </c>
      <c r="M230" s="246" t="s">
        <v>20</v>
      </c>
      <c r="N230" s="246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4"/>
    </row>
    <row r="231" spans="1:45" s="22" customFormat="1" ht="35" customHeight="1">
      <c r="A231" s="174">
        <f>ROW()-2</f>
        <v>229</v>
      </c>
      <c r="B231" s="174" t="s">
        <v>1577</v>
      </c>
      <c r="C231" s="246" t="s">
        <v>966</v>
      </c>
      <c r="D231" s="246" t="s">
        <v>1093</v>
      </c>
      <c r="E231" s="246" t="s">
        <v>1152</v>
      </c>
      <c r="F231" s="246" t="s">
        <v>1624</v>
      </c>
      <c r="G231" s="246" t="s">
        <v>1760</v>
      </c>
      <c r="H231" s="246" t="s">
        <v>1176</v>
      </c>
      <c r="I231" s="174" t="s">
        <v>29</v>
      </c>
      <c r="J231" s="247">
        <v>43391</v>
      </c>
      <c r="K231" s="246">
        <v>53</v>
      </c>
      <c r="L231" s="248">
        <v>9.8213888888888885</v>
      </c>
      <c r="M231" s="246" t="s">
        <v>20</v>
      </c>
      <c r="N231" s="246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  <c r="AL231" s="174"/>
      <c r="AM231" s="174"/>
      <c r="AN231" s="174"/>
      <c r="AO231" s="174"/>
      <c r="AP231" s="174"/>
      <c r="AQ231" s="174"/>
      <c r="AR231" s="174"/>
      <c r="AS231" s="174"/>
    </row>
    <row r="232" spans="1:45" s="252" customFormat="1" ht="35" customHeight="1">
      <c r="A232" s="174">
        <f>ROW()-2</f>
        <v>230</v>
      </c>
      <c r="B232" s="246" t="s">
        <v>1577</v>
      </c>
      <c r="C232" s="246" t="s">
        <v>966</v>
      </c>
      <c r="D232" s="246" t="s">
        <v>1093</v>
      </c>
      <c r="E232" s="246" t="s">
        <v>1152</v>
      </c>
      <c r="F232" s="246" t="s">
        <v>1761</v>
      </c>
      <c r="G232" s="246" t="s">
        <v>1622</v>
      </c>
      <c r="H232" s="246" t="s">
        <v>1623</v>
      </c>
      <c r="I232" s="246" t="s">
        <v>29</v>
      </c>
      <c r="J232" s="247">
        <v>43391</v>
      </c>
      <c r="K232" s="246">
        <v>117</v>
      </c>
      <c r="L232" s="248">
        <v>23.039722222222224</v>
      </c>
      <c r="M232" s="246" t="s">
        <v>20</v>
      </c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46"/>
      <c r="AN232" s="246"/>
      <c r="AO232" s="246"/>
      <c r="AP232" s="246"/>
      <c r="AQ232" s="246"/>
      <c r="AR232" s="246"/>
      <c r="AS232" s="246"/>
    </row>
    <row r="233" spans="1:45" s="252" customFormat="1" ht="35" customHeight="1">
      <c r="A233" s="174">
        <f>ROW()-2</f>
        <v>231</v>
      </c>
      <c r="B233" s="246" t="s">
        <v>1577</v>
      </c>
      <c r="C233" s="246" t="s">
        <v>966</v>
      </c>
      <c r="D233" s="246" t="s">
        <v>1093</v>
      </c>
      <c r="E233" s="246" t="s">
        <v>1101</v>
      </c>
      <c r="F233" s="246" t="s">
        <v>1797</v>
      </c>
      <c r="G233" s="246" t="s">
        <v>1798</v>
      </c>
      <c r="H233" s="246" t="s">
        <v>82</v>
      </c>
      <c r="I233" s="246" t="s">
        <v>17</v>
      </c>
      <c r="J233" s="247">
        <v>43577</v>
      </c>
      <c r="K233" s="246">
        <v>6</v>
      </c>
      <c r="L233" s="248">
        <v>3.3452777777777776</v>
      </c>
      <c r="M233" s="246" t="s">
        <v>89</v>
      </c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  <c r="AH233" s="246"/>
      <c r="AI233" s="246"/>
      <c r="AJ233" s="246"/>
      <c r="AK233" s="246"/>
      <c r="AL233" s="246"/>
      <c r="AM233" s="246"/>
      <c r="AN233" s="246"/>
      <c r="AO233" s="246"/>
      <c r="AP233" s="246"/>
      <c r="AQ233" s="246"/>
      <c r="AR233" s="246"/>
      <c r="AS233" s="246"/>
    </row>
  </sheetData>
  <sortState ref="A3:AS233">
    <sortCondition ref="B3:B233" customList="VIP 精品课，畅听课"/>
    <sortCondition ref="D3:D233" customList="产品，运营，销售，市场品牌，客户服务，金融理财，人力资源，财务，生产制造"/>
    <sortCondition ref="J3:J233"/>
  </sortState>
  <mergeCells count="1">
    <mergeCell ref="A1:N1"/>
  </mergeCells>
  <phoneticPr fontId="1" type="noConversion"/>
  <conditionalFormatting sqref="F3:F231">
    <cfRule type="duplicateValues" dxfId="12" priority="5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0BB9-F0A7-46BF-91CB-5D00564996F5}">
  <dimension ref="A1:AS103"/>
  <sheetViews>
    <sheetView workbookViewId="0">
      <pane ySplit="2" topLeftCell="A3" activePane="bottomLeft" state="frozen"/>
      <selection pane="bottomLeft" activeCell="D4" sqref="D4:D5"/>
    </sheetView>
  </sheetViews>
  <sheetFormatPr defaultRowHeight="14"/>
  <cols>
    <col min="1" max="1" width="6.4140625" style="4" customWidth="1"/>
    <col min="2" max="2" width="17.83203125" style="4" customWidth="1"/>
    <col min="3" max="3" width="11.9140625" style="4" customWidth="1"/>
    <col min="4" max="4" width="12.08203125" style="4" customWidth="1"/>
    <col min="5" max="5" width="9.58203125" style="4" customWidth="1"/>
    <col min="6" max="6" width="31.08203125" style="4" customWidth="1"/>
    <col min="7" max="7" width="40.83203125" style="4" customWidth="1"/>
    <col min="8" max="8" width="11.83203125" style="4" customWidth="1"/>
    <col min="9" max="9" width="8.6640625" style="4"/>
    <col min="10" max="10" width="10.58203125" style="4" bestFit="1" customWidth="1"/>
    <col min="11" max="11" width="8.6640625" style="4"/>
    <col min="12" max="12" width="10.58203125" style="4" bestFit="1" customWidth="1"/>
    <col min="13" max="16384" width="8.6640625" style="4"/>
  </cols>
  <sheetData>
    <row r="1" spans="1:42" s="29" customFormat="1" ht="35" customHeight="1">
      <c r="A1" s="293" t="s">
        <v>2722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</row>
    <row r="2" spans="1:42" ht="29">
      <c r="A2" s="17" t="s">
        <v>2683</v>
      </c>
      <c r="B2" s="17" t="s">
        <v>0</v>
      </c>
      <c r="C2" s="17" t="s">
        <v>13</v>
      </c>
      <c r="D2" s="17" t="s">
        <v>1</v>
      </c>
      <c r="E2" s="18" t="s">
        <v>2</v>
      </c>
      <c r="F2" s="17" t="s">
        <v>12</v>
      </c>
      <c r="G2" s="17" t="s">
        <v>3</v>
      </c>
      <c r="H2" s="17" t="s">
        <v>4</v>
      </c>
      <c r="I2" s="17" t="s">
        <v>5</v>
      </c>
      <c r="J2" s="17" t="s">
        <v>6</v>
      </c>
      <c r="K2" s="19" t="s">
        <v>2642</v>
      </c>
      <c r="L2" s="20" t="s">
        <v>2641</v>
      </c>
      <c r="M2" s="17" t="s">
        <v>9</v>
      </c>
      <c r="N2" s="17" t="s">
        <v>10</v>
      </c>
      <c r="O2" s="18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42" s="2" customFormat="1" ht="35" customHeight="1">
      <c r="A3" s="174">
        <f>ROW()-2</f>
        <v>1</v>
      </c>
      <c r="B3" s="174" t="s">
        <v>14</v>
      </c>
      <c r="C3" s="174" t="s">
        <v>381</v>
      </c>
      <c r="D3" s="174" t="s">
        <v>382</v>
      </c>
      <c r="E3" s="174" t="s">
        <v>732</v>
      </c>
      <c r="F3" s="174" t="s">
        <v>733</v>
      </c>
      <c r="G3" s="174" t="s">
        <v>734</v>
      </c>
      <c r="H3" s="174" t="s">
        <v>735</v>
      </c>
      <c r="I3" s="174" t="s">
        <v>29</v>
      </c>
      <c r="J3" s="175">
        <v>43227</v>
      </c>
      <c r="K3" s="174">
        <v>14</v>
      </c>
      <c r="L3" s="176">
        <v>2.693333333</v>
      </c>
      <c r="M3" s="174" t="s">
        <v>20</v>
      </c>
      <c r="N3" s="174">
        <v>19.899999999999999</v>
      </c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</row>
    <row r="4" spans="1:42" s="174" customFormat="1" ht="35" customHeight="1">
      <c r="A4" s="174">
        <f>ROW()-2</f>
        <v>2</v>
      </c>
      <c r="B4" s="174" t="s">
        <v>14</v>
      </c>
      <c r="C4" s="174" t="s">
        <v>381</v>
      </c>
      <c r="D4" s="174" t="s">
        <v>382</v>
      </c>
      <c r="E4" s="174" t="s">
        <v>739</v>
      </c>
      <c r="F4" s="174" t="s">
        <v>747</v>
      </c>
      <c r="G4" s="174" t="s">
        <v>748</v>
      </c>
      <c r="H4" s="174" t="s">
        <v>749</v>
      </c>
      <c r="I4" s="174" t="s">
        <v>29</v>
      </c>
      <c r="J4" s="175">
        <v>43399</v>
      </c>
      <c r="K4" s="174">
        <v>102</v>
      </c>
      <c r="L4" s="176">
        <v>11.32305556</v>
      </c>
      <c r="M4" s="174" t="s">
        <v>20</v>
      </c>
      <c r="N4" s="174">
        <v>99</v>
      </c>
    </row>
    <row r="5" spans="1:42" s="174" customFormat="1" ht="35" customHeight="1">
      <c r="A5" s="174">
        <f>ROW()-2</f>
        <v>3</v>
      </c>
      <c r="B5" s="174" t="s">
        <v>14</v>
      </c>
      <c r="C5" s="174" t="s">
        <v>381</v>
      </c>
      <c r="D5" s="174" t="s">
        <v>382</v>
      </c>
      <c r="E5" s="174" t="s">
        <v>739</v>
      </c>
      <c r="F5" s="174" t="s">
        <v>2504</v>
      </c>
      <c r="G5" s="174" t="s">
        <v>755</v>
      </c>
      <c r="H5" s="174" t="s">
        <v>756</v>
      </c>
      <c r="I5" s="174" t="s">
        <v>29</v>
      </c>
      <c r="J5" s="175">
        <v>43553</v>
      </c>
      <c r="K5" s="174">
        <v>64</v>
      </c>
      <c r="L5" s="176">
        <v>6.64</v>
      </c>
      <c r="M5" s="174" t="s">
        <v>20</v>
      </c>
      <c r="N5" s="174">
        <v>99</v>
      </c>
    </row>
    <row r="6" spans="1:42" s="174" customFormat="1" ht="35" customHeight="1">
      <c r="A6" s="174">
        <f>ROW()-2</f>
        <v>4</v>
      </c>
      <c r="B6" s="174" t="s">
        <v>14</v>
      </c>
      <c r="C6" s="174" t="s">
        <v>381</v>
      </c>
      <c r="D6" s="174" t="s">
        <v>382</v>
      </c>
      <c r="E6" s="174" t="s">
        <v>739</v>
      </c>
      <c r="F6" s="174" t="s">
        <v>767</v>
      </c>
      <c r="G6" s="174" t="s">
        <v>768</v>
      </c>
      <c r="H6" s="174" t="s">
        <v>769</v>
      </c>
      <c r="I6" s="174" t="s">
        <v>29</v>
      </c>
      <c r="J6" s="175">
        <v>43605</v>
      </c>
      <c r="K6" s="174">
        <v>12</v>
      </c>
      <c r="L6" s="176">
        <v>1.5527777780000001</v>
      </c>
      <c r="M6" s="174" t="s">
        <v>20</v>
      </c>
      <c r="N6" s="174">
        <v>49</v>
      </c>
    </row>
    <row r="7" spans="1:42" s="174" customFormat="1" ht="35" customHeight="1">
      <c r="A7" s="174">
        <f>ROW()-2</f>
        <v>5</v>
      </c>
      <c r="B7" s="174" t="s">
        <v>14</v>
      </c>
      <c r="C7" s="174" t="s">
        <v>381</v>
      </c>
      <c r="D7" s="174" t="s">
        <v>382</v>
      </c>
      <c r="E7" s="174" t="s">
        <v>757</v>
      </c>
      <c r="F7" s="174" t="s">
        <v>777</v>
      </c>
      <c r="G7" s="174" t="s">
        <v>778</v>
      </c>
      <c r="H7" s="174" t="s">
        <v>310</v>
      </c>
      <c r="I7" s="174" t="s">
        <v>29</v>
      </c>
      <c r="J7" s="175">
        <v>43862</v>
      </c>
      <c r="K7" s="174">
        <v>24</v>
      </c>
      <c r="L7" s="176">
        <v>5.2063888890000003</v>
      </c>
      <c r="M7" s="174" t="s">
        <v>20</v>
      </c>
      <c r="N7" s="174">
        <v>49.8</v>
      </c>
    </row>
    <row r="8" spans="1:42" s="174" customFormat="1" ht="35" customHeight="1">
      <c r="A8" s="174">
        <f>ROW()-2</f>
        <v>6</v>
      </c>
      <c r="B8" s="174" t="s">
        <v>14</v>
      </c>
      <c r="C8" s="174" t="s">
        <v>381</v>
      </c>
      <c r="D8" s="174" t="s">
        <v>382</v>
      </c>
      <c r="E8" s="174" t="s">
        <v>739</v>
      </c>
      <c r="F8" s="174" t="s">
        <v>805</v>
      </c>
      <c r="G8" s="174" t="s">
        <v>806</v>
      </c>
      <c r="H8" s="174" t="s">
        <v>807</v>
      </c>
      <c r="I8" s="174" t="s">
        <v>17</v>
      </c>
      <c r="J8" s="175">
        <v>44004</v>
      </c>
      <c r="K8" s="174">
        <v>37</v>
      </c>
      <c r="L8" s="176">
        <v>5.5425000000000004</v>
      </c>
      <c r="M8" s="174" t="s">
        <v>20</v>
      </c>
      <c r="N8" s="174">
        <v>199</v>
      </c>
    </row>
    <row r="9" spans="1:42" s="174" customFormat="1" ht="35" customHeight="1">
      <c r="A9" s="174">
        <f>ROW()-2</f>
        <v>7</v>
      </c>
      <c r="B9" s="174" t="s">
        <v>14</v>
      </c>
      <c r="C9" s="174" t="s">
        <v>381</v>
      </c>
      <c r="D9" s="174" t="s">
        <v>382</v>
      </c>
      <c r="E9" s="174" t="s">
        <v>757</v>
      </c>
      <c r="F9" s="174" t="s">
        <v>2611</v>
      </c>
      <c r="G9" s="174" t="s">
        <v>809</v>
      </c>
      <c r="H9" s="174" t="s">
        <v>810</v>
      </c>
      <c r="I9" s="174" t="s">
        <v>17</v>
      </c>
      <c r="J9" s="175">
        <v>44012</v>
      </c>
      <c r="K9" s="174">
        <v>27</v>
      </c>
      <c r="L9" s="176">
        <v>5.9786111110000002</v>
      </c>
      <c r="M9" s="174" t="s">
        <v>20</v>
      </c>
      <c r="N9" s="174">
        <v>199</v>
      </c>
    </row>
    <row r="10" spans="1:42" s="174" customFormat="1" ht="35" customHeight="1">
      <c r="A10" s="174">
        <f>ROW()-2</f>
        <v>8</v>
      </c>
      <c r="B10" s="174" t="s">
        <v>14</v>
      </c>
      <c r="C10" s="174" t="s">
        <v>381</v>
      </c>
      <c r="D10" s="174" t="s">
        <v>382</v>
      </c>
      <c r="E10" s="174" t="s">
        <v>757</v>
      </c>
      <c r="F10" s="174" t="s">
        <v>811</v>
      </c>
      <c r="G10" s="174" t="s">
        <v>812</v>
      </c>
      <c r="H10" s="174" t="s">
        <v>310</v>
      </c>
      <c r="I10" s="174" t="s">
        <v>17</v>
      </c>
      <c r="J10" s="175">
        <v>44025</v>
      </c>
      <c r="K10" s="174">
        <v>126</v>
      </c>
      <c r="L10" s="176">
        <v>23.754999999999999</v>
      </c>
      <c r="M10" s="174" t="s">
        <v>20</v>
      </c>
      <c r="N10" s="174">
        <v>99</v>
      </c>
    </row>
    <row r="11" spans="1:42" s="174" customFormat="1" ht="35" customHeight="1">
      <c r="A11" s="174">
        <f>ROW()-2</f>
        <v>9</v>
      </c>
      <c r="B11" s="174" t="s">
        <v>14</v>
      </c>
      <c r="C11" s="174" t="s">
        <v>381</v>
      </c>
      <c r="D11" s="174" t="s">
        <v>382</v>
      </c>
      <c r="E11" s="174" t="s">
        <v>739</v>
      </c>
      <c r="F11" s="174" t="s">
        <v>829</v>
      </c>
      <c r="G11" s="174" t="s">
        <v>829</v>
      </c>
      <c r="H11" s="174" t="s">
        <v>830</v>
      </c>
      <c r="I11" s="174" t="s">
        <v>29</v>
      </c>
      <c r="J11" s="175">
        <v>44089</v>
      </c>
      <c r="K11" s="174">
        <v>67</v>
      </c>
      <c r="L11" s="176">
        <v>24.372222220000001</v>
      </c>
      <c r="M11" s="174" t="s">
        <v>20</v>
      </c>
      <c r="N11" s="174">
        <v>99</v>
      </c>
    </row>
    <row r="12" spans="1:42" s="174" customFormat="1" ht="35" customHeight="1">
      <c r="A12" s="174">
        <f>ROW()-2</f>
        <v>10</v>
      </c>
      <c r="B12" s="174" t="s">
        <v>14</v>
      </c>
      <c r="C12" s="174" t="s">
        <v>381</v>
      </c>
      <c r="D12" s="174" t="s">
        <v>382</v>
      </c>
      <c r="E12" s="174" t="s">
        <v>757</v>
      </c>
      <c r="F12" s="174" t="s">
        <v>837</v>
      </c>
      <c r="G12" s="174" t="s">
        <v>838</v>
      </c>
      <c r="H12" s="174" t="s">
        <v>839</v>
      </c>
      <c r="I12" s="174" t="s">
        <v>17</v>
      </c>
      <c r="J12" s="175">
        <v>44139</v>
      </c>
      <c r="K12" s="174">
        <v>12</v>
      </c>
      <c r="L12" s="176">
        <v>3.0916666670000001</v>
      </c>
      <c r="M12" s="174" t="s">
        <v>20</v>
      </c>
      <c r="N12" s="174">
        <v>99</v>
      </c>
    </row>
    <row r="13" spans="1:42" s="174" customFormat="1" ht="35" customHeight="1">
      <c r="A13" s="174">
        <f>ROW()-2</f>
        <v>11</v>
      </c>
      <c r="B13" s="174" t="s">
        <v>14</v>
      </c>
      <c r="C13" s="174" t="s">
        <v>381</v>
      </c>
      <c r="D13" s="174" t="s">
        <v>382</v>
      </c>
      <c r="E13" s="174" t="s">
        <v>732</v>
      </c>
      <c r="F13" s="174" t="s">
        <v>843</v>
      </c>
      <c r="G13" s="174" t="s">
        <v>2682</v>
      </c>
      <c r="H13" s="174" t="s">
        <v>845</v>
      </c>
      <c r="I13" s="174" t="s">
        <v>17</v>
      </c>
      <c r="J13" s="175">
        <v>44154</v>
      </c>
      <c r="K13" s="174">
        <v>10</v>
      </c>
      <c r="L13" s="176">
        <v>3.8116666669999999</v>
      </c>
      <c r="M13" s="174" t="s">
        <v>20</v>
      </c>
      <c r="N13" s="174">
        <v>599</v>
      </c>
    </row>
    <row r="14" spans="1:42" s="174" customFormat="1" ht="35" customHeight="1">
      <c r="A14" s="174">
        <f>ROW()-2</f>
        <v>12</v>
      </c>
      <c r="B14" s="174" t="s">
        <v>14</v>
      </c>
      <c r="C14" s="174" t="s">
        <v>381</v>
      </c>
      <c r="D14" s="174" t="s">
        <v>382</v>
      </c>
      <c r="E14" s="174" t="s">
        <v>732</v>
      </c>
      <c r="F14" s="174" t="s">
        <v>849</v>
      </c>
      <c r="G14" s="174" t="s">
        <v>850</v>
      </c>
      <c r="H14" s="174" t="s">
        <v>449</v>
      </c>
      <c r="I14" s="174" t="s">
        <v>29</v>
      </c>
      <c r="J14" s="175">
        <v>44189</v>
      </c>
      <c r="K14" s="174">
        <v>31</v>
      </c>
      <c r="L14" s="176">
        <v>5.835277778</v>
      </c>
      <c r="M14" s="174" t="s">
        <v>20</v>
      </c>
      <c r="N14" s="174">
        <v>199</v>
      </c>
    </row>
    <row r="15" spans="1:42" s="174" customFormat="1" ht="35" customHeight="1">
      <c r="A15" s="174">
        <f>ROW()-2</f>
        <v>13</v>
      </c>
      <c r="B15" s="174" t="s">
        <v>14</v>
      </c>
      <c r="C15" s="174" t="s">
        <v>381</v>
      </c>
      <c r="D15" s="174" t="s">
        <v>382</v>
      </c>
      <c r="E15" s="174" t="s">
        <v>757</v>
      </c>
      <c r="F15" s="174" t="s">
        <v>853</v>
      </c>
      <c r="G15" s="174" t="s">
        <v>854</v>
      </c>
      <c r="H15" s="174" t="s">
        <v>855</v>
      </c>
      <c r="I15" s="174" t="s">
        <v>29</v>
      </c>
      <c r="J15" s="175">
        <v>44263</v>
      </c>
      <c r="K15" s="174">
        <v>68</v>
      </c>
      <c r="L15" s="176">
        <v>8.9186111110000006</v>
      </c>
      <c r="M15" s="174" t="s">
        <v>89</v>
      </c>
      <c r="N15" s="174">
        <v>99</v>
      </c>
    </row>
    <row r="16" spans="1:42" s="174" customFormat="1" ht="35" customHeight="1">
      <c r="A16" s="174">
        <f>ROW()-2</f>
        <v>14</v>
      </c>
      <c r="B16" s="174" t="s">
        <v>14</v>
      </c>
      <c r="C16" s="174" t="s">
        <v>381</v>
      </c>
      <c r="D16" s="174" t="s">
        <v>382</v>
      </c>
      <c r="E16" s="174" t="s">
        <v>739</v>
      </c>
      <c r="F16" s="174" t="s">
        <v>856</v>
      </c>
      <c r="G16" s="174" t="s">
        <v>857</v>
      </c>
      <c r="H16" s="174" t="s">
        <v>858</v>
      </c>
      <c r="I16" s="174" t="s">
        <v>29</v>
      </c>
      <c r="J16" s="175">
        <v>44292</v>
      </c>
      <c r="K16" s="174">
        <v>44</v>
      </c>
      <c r="L16" s="176">
        <v>4.2197222219999997</v>
      </c>
      <c r="M16" s="174" t="s">
        <v>89</v>
      </c>
      <c r="N16" s="174">
        <v>99</v>
      </c>
    </row>
    <row r="17" spans="1:14" s="174" customFormat="1" ht="35" customHeight="1">
      <c r="A17" s="174">
        <f>ROW()-2</f>
        <v>15</v>
      </c>
      <c r="B17" s="174" t="s">
        <v>14</v>
      </c>
      <c r="C17" s="174" t="s">
        <v>381</v>
      </c>
      <c r="D17" s="174" t="s">
        <v>382</v>
      </c>
      <c r="E17" s="174" t="s">
        <v>739</v>
      </c>
      <c r="F17" s="174" t="s">
        <v>2613</v>
      </c>
      <c r="G17" s="174" t="s">
        <v>860</v>
      </c>
      <c r="H17" s="174" t="s">
        <v>861</v>
      </c>
      <c r="I17" s="174" t="s">
        <v>29</v>
      </c>
      <c r="J17" s="175">
        <v>44292</v>
      </c>
      <c r="K17" s="174">
        <v>51</v>
      </c>
      <c r="L17" s="176">
        <v>25.848333329999999</v>
      </c>
      <c r="M17" s="174" t="s">
        <v>89</v>
      </c>
      <c r="N17" s="174">
        <v>199</v>
      </c>
    </row>
    <row r="18" spans="1:14" s="174" customFormat="1" ht="35" customHeight="1">
      <c r="A18" s="174">
        <f>ROW()-2</f>
        <v>16</v>
      </c>
      <c r="B18" s="174" t="s">
        <v>14</v>
      </c>
      <c r="C18" s="174" t="s">
        <v>381</v>
      </c>
      <c r="D18" s="174" t="s">
        <v>382</v>
      </c>
      <c r="E18" s="174" t="s">
        <v>732</v>
      </c>
      <c r="F18" s="174" t="s">
        <v>2467</v>
      </c>
      <c r="G18" s="174" t="s">
        <v>41</v>
      </c>
      <c r="H18" s="174" t="s">
        <v>42</v>
      </c>
      <c r="I18" s="174" t="s">
        <v>29</v>
      </c>
      <c r="J18" s="175">
        <v>44351</v>
      </c>
      <c r="K18" s="174">
        <v>20</v>
      </c>
      <c r="L18" s="176">
        <v>3.4197222219999999</v>
      </c>
      <c r="M18" s="174" t="s">
        <v>89</v>
      </c>
      <c r="N18" s="174">
        <v>98</v>
      </c>
    </row>
    <row r="19" spans="1:14" s="174" customFormat="1" ht="35" customHeight="1">
      <c r="A19" s="174">
        <f>ROW()-2</f>
        <v>17</v>
      </c>
      <c r="B19" s="174" t="s">
        <v>14</v>
      </c>
      <c r="C19" s="174" t="s">
        <v>381</v>
      </c>
      <c r="D19" s="174" t="s">
        <v>382</v>
      </c>
      <c r="E19" s="174" t="s">
        <v>732</v>
      </c>
      <c r="F19" s="174" t="s">
        <v>869</v>
      </c>
      <c r="G19" s="174" t="s">
        <v>870</v>
      </c>
      <c r="H19" s="174" t="s">
        <v>871</v>
      </c>
      <c r="I19" s="174" t="s">
        <v>29</v>
      </c>
      <c r="J19" s="175">
        <v>44356</v>
      </c>
      <c r="K19" s="174">
        <v>12</v>
      </c>
      <c r="L19" s="176">
        <v>2.5219444439999998</v>
      </c>
      <c r="M19" s="174" t="s">
        <v>20</v>
      </c>
      <c r="N19" s="174">
        <v>99</v>
      </c>
    </row>
    <row r="20" spans="1:14" s="174" customFormat="1" ht="35" customHeight="1">
      <c r="A20" s="174">
        <f>ROW()-2</f>
        <v>18</v>
      </c>
      <c r="B20" s="174" t="s">
        <v>14</v>
      </c>
      <c r="C20" s="174" t="s">
        <v>381</v>
      </c>
      <c r="D20" s="174" t="s">
        <v>382</v>
      </c>
      <c r="E20" s="174" t="s">
        <v>732</v>
      </c>
      <c r="F20" s="174" t="s">
        <v>2612</v>
      </c>
      <c r="G20" s="174" t="s">
        <v>885</v>
      </c>
      <c r="H20" s="174" t="s">
        <v>886</v>
      </c>
      <c r="I20" s="174" t="s">
        <v>29</v>
      </c>
      <c r="J20" s="175">
        <v>44467</v>
      </c>
      <c r="K20" s="174">
        <v>21</v>
      </c>
      <c r="L20" s="176">
        <v>3.5663888890000002</v>
      </c>
      <c r="M20" s="174" t="s">
        <v>89</v>
      </c>
      <c r="N20" s="174">
        <v>169</v>
      </c>
    </row>
    <row r="21" spans="1:14" s="174" customFormat="1" ht="35" customHeight="1">
      <c r="A21" s="174">
        <f>ROW()-2</f>
        <v>19</v>
      </c>
      <c r="B21" s="174" t="s">
        <v>14</v>
      </c>
      <c r="C21" s="174" t="s">
        <v>381</v>
      </c>
      <c r="D21" s="174" t="s">
        <v>382</v>
      </c>
      <c r="E21" s="174" t="s">
        <v>732</v>
      </c>
      <c r="F21" s="174" t="s">
        <v>918</v>
      </c>
      <c r="G21" s="174" t="s">
        <v>918</v>
      </c>
      <c r="H21" s="174" t="s">
        <v>2509</v>
      </c>
      <c r="I21" s="174" t="s">
        <v>17</v>
      </c>
      <c r="J21" s="175">
        <v>44563</v>
      </c>
      <c r="K21" s="174">
        <v>14</v>
      </c>
      <c r="L21" s="176">
        <v>3.181944444</v>
      </c>
      <c r="M21" s="174" t="s">
        <v>20</v>
      </c>
      <c r="N21" s="174">
        <v>129</v>
      </c>
    </row>
    <row r="22" spans="1:14" s="174" customFormat="1" ht="35" customHeight="1">
      <c r="A22" s="174">
        <f>ROW()-2</f>
        <v>20</v>
      </c>
      <c r="B22" s="174" t="s">
        <v>14</v>
      </c>
      <c r="C22" s="174" t="s">
        <v>381</v>
      </c>
      <c r="D22" s="174" t="s">
        <v>382</v>
      </c>
      <c r="E22" s="174" t="s">
        <v>739</v>
      </c>
      <c r="F22" s="174" t="s">
        <v>919</v>
      </c>
      <c r="G22" s="174" t="s">
        <v>919</v>
      </c>
      <c r="H22" s="174" t="s">
        <v>807</v>
      </c>
      <c r="I22" s="174" t="s">
        <v>17</v>
      </c>
      <c r="J22" s="175">
        <v>44575</v>
      </c>
      <c r="K22" s="174">
        <v>31</v>
      </c>
      <c r="L22" s="176">
        <v>7.0583333330000002</v>
      </c>
      <c r="M22" s="174" t="s">
        <v>20</v>
      </c>
      <c r="N22" s="174">
        <v>218</v>
      </c>
    </row>
    <row r="23" spans="1:14" s="174" customFormat="1" ht="35" customHeight="1">
      <c r="A23" s="174">
        <f>ROW()-2</f>
        <v>21</v>
      </c>
      <c r="B23" s="174" t="s">
        <v>14</v>
      </c>
      <c r="C23" s="174" t="s">
        <v>381</v>
      </c>
      <c r="D23" s="174" t="s">
        <v>894</v>
      </c>
      <c r="E23" s="174" t="s">
        <v>732</v>
      </c>
      <c r="F23" s="174" t="s">
        <v>31</v>
      </c>
      <c r="G23" s="174" t="s">
        <v>32</v>
      </c>
      <c r="H23" s="174" t="s">
        <v>33</v>
      </c>
      <c r="I23" s="174" t="s">
        <v>29</v>
      </c>
      <c r="J23" s="175">
        <v>43984</v>
      </c>
      <c r="K23" s="174">
        <v>27</v>
      </c>
      <c r="L23" s="176">
        <v>4.4544444439999999</v>
      </c>
      <c r="M23" s="174" t="s">
        <v>20</v>
      </c>
      <c r="N23" s="174">
        <v>99</v>
      </c>
    </row>
    <row r="24" spans="1:14" s="174" customFormat="1" ht="35" customHeight="1">
      <c r="A24" s="174">
        <f>ROW()-2</f>
        <v>22</v>
      </c>
      <c r="B24" s="174" t="s">
        <v>14</v>
      </c>
      <c r="C24" s="174" t="s">
        <v>381</v>
      </c>
      <c r="D24" s="174" t="s">
        <v>894</v>
      </c>
      <c r="E24" s="174" t="s">
        <v>732</v>
      </c>
      <c r="F24" s="174" t="s">
        <v>36</v>
      </c>
      <c r="G24" s="174" t="s">
        <v>37</v>
      </c>
      <c r="H24" s="174" t="s">
        <v>38</v>
      </c>
      <c r="I24" s="174" t="s">
        <v>29</v>
      </c>
      <c r="J24" s="175">
        <v>44204</v>
      </c>
      <c r="K24" s="174">
        <v>20</v>
      </c>
      <c r="L24" s="176">
        <v>3.3725000000000001</v>
      </c>
      <c r="M24" s="174" t="s">
        <v>20</v>
      </c>
      <c r="N24" s="174">
        <v>99</v>
      </c>
    </row>
    <row r="25" spans="1:14" s="174" customFormat="1" ht="35" customHeight="1">
      <c r="A25" s="174">
        <f>ROW()-2</f>
        <v>23</v>
      </c>
      <c r="B25" s="174" t="s">
        <v>14</v>
      </c>
      <c r="C25" s="174" t="s">
        <v>381</v>
      </c>
      <c r="D25" s="174" t="s">
        <v>894</v>
      </c>
      <c r="E25" s="174" t="s">
        <v>757</v>
      </c>
      <c r="F25" s="174" t="s">
        <v>895</v>
      </c>
      <c r="G25" s="174" t="s">
        <v>895</v>
      </c>
      <c r="H25" s="174" t="s">
        <v>896</v>
      </c>
      <c r="I25" s="174" t="s">
        <v>17</v>
      </c>
      <c r="J25" s="175">
        <v>44517</v>
      </c>
      <c r="K25" s="174">
        <v>25</v>
      </c>
      <c r="L25" s="176">
        <v>8.3508333330000006</v>
      </c>
      <c r="M25" s="174" t="s">
        <v>20</v>
      </c>
      <c r="N25" s="174">
        <v>99</v>
      </c>
    </row>
    <row r="26" spans="1:14" s="174" customFormat="1" ht="35" customHeight="1">
      <c r="A26" s="174">
        <f>ROW()-2</f>
        <v>24</v>
      </c>
      <c r="B26" s="174" t="s">
        <v>14</v>
      </c>
      <c r="C26" s="174" t="s">
        <v>381</v>
      </c>
      <c r="D26" s="174" t="s">
        <v>894</v>
      </c>
      <c r="E26" s="174" t="s">
        <v>732</v>
      </c>
      <c r="F26" s="174" t="s">
        <v>49</v>
      </c>
      <c r="G26" s="174" t="s">
        <v>49</v>
      </c>
      <c r="H26" s="174" t="s">
        <v>16</v>
      </c>
      <c r="I26" s="174" t="s">
        <v>17</v>
      </c>
      <c r="J26" s="175">
        <v>44531</v>
      </c>
      <c r="K26" s="174">
        <v>21</v>
      </c>
      <c r="L26" s="176">
        <v>2.599166667</v>
      </c>
      <c r="M26" s="174" t="s">
        <v>20</v>
      </c>
      <c r="N26" s="174">
        <v>99</v>
      </c>
    </row>
    <row r="27" spans="1:14" s="174" customFormat="1" ht="35" customHeight="1">
      <c r="A27" s="174">
        <f>ROW()-2</f>
        <v>25</v>
      </c>
      <c r="B27" s="174" t="s">
        <v>14</v>
      </c>
      <c r="C27" s="174" t="s">
        <v>381</v>
      </c>
      <c r="D27" s="174" t="s">
        <v>894</v>
      </c>
      <c r="E27" s="174" t="s">
        <v>739</v>
      </c>
      <c r="F27" s="174" t="s">
        <v>47</v>
      </c>
      <c r="G27" s="174" t="s">
        <v>47</v>
      </c>
      <c r="H27" s="174" t="s">
        <v>48</v>
      </c>
      <c r="I27" s="174" t="s">
        <v>17</v>
      </c>
      <c r="J27" s="175">
        <v>44531</v>
      </c>
      <c r="K27" s="174">
        <v>10</v>
      </c>
      <c r="L27" s="176">
        <v>1.5536111109999999</v>
      </c>
      <c r="M27" s="174" t="s">
        <v>20</v>
      </c>
      <c r="N27" s="174">
        <v>199</v>
      </c>
    </row>
    <row r="28" spans="1:14" s="174" customFormat="1" ht="35" customHeight="1">
      <c r="A28" s="174">
        <f>ROW()-2</f>
        <v>26</v>
      </c>
      <c r="B28" s="174" t="s">
        <v>14</v>
      </c>
      <c r="C28" s="174" t="s">
        <v>381</v>
      </c>
      <c r="D28" s="174" t="s">
        <v>894</v>
      </c>
      <c r="E28" s="174" t="s">
        <v>739</v>
      </c>
      <c r="F28" s="174" t="s">
        <v>949</v>
      </c>
      <c r="G28" s="174" t="s">
        <v>949</v>
      </c>
      <c r="H28" s="174" t="s">
        <v>950</v>
      </c>
      <c r="I28" s="174" t="s">
        <v>29</v>
      </c>
      <c r="J28" s="175">
        <v>44563</v>
      </c>
      <c r="K28" s="174">
        <v>7</v>
      </c>
      <c r="L28" s="176">
        <v>1.0530555559999999</v>
      </c>
      <c r="M28" s="174" t="s">
        <v>20</v>
      </c>
      <c r="N28" s="174">
        <v>99</v>
      </c>
    </row>
    <row r="29" spans="1:14" s="174" customFormat="1" ht="35" customHeight="1">
      <c r="A29" s="174">
        <f>ROW()-2</f>
        <v>27</v>
      </c>
      <c r="B29" s="174" t="s">
        <v>14</v>
      </c>
      <c r="C29" s="174" t="s">
        <v>381</v>
      </c>
      <c r="D29" s="174" t="s">
        <v>823</v>
      </c>
      <c r="E29" s="174" t="s">
        <v>732</v>
      </c>
      <c r="F29" s="174" t="s">
        <v>921</v>
      </c>
      <c r="G29" s="174" t="s">
        <v>922</v>
      </c>
      <c r="H29" s="174" t="s">
        <v>923</v>
      </c>
      <c r="I29" s="174" t="s">
        <v>29</v>
      </c>
      <c r="J29" s="175">
        <v>43395</v>
      </c>
      <c r="K29" s="174">
        <v>38</v>
      </c>
      <c r="L29" s="176">
        <v>6.8274999999999997</v>
      </c>
      <c r="M29" s="174" t="s">
        <v>20</v>
      </c>
      <c r="N29" s="174">
        <v>99</v>
      </c>
    </row>
    <row r="30" spans="1:14" s="174" customFormat="1" ht="35" customHeight="1">
      <c r="A30" s="174">
        <f>ROW()-2</f>
        <v>28</v>
      </c>
      <c r="B30" s="174" t="s">
        <v>14</v>
      </c>
      <c r="C30" s="174" t="s">
        <v>381</v>
      </c>
      <c r="D30" s="174" t="s">
        <v>823</v>
      </c>
      <c r="E30" s="174" t="s">
        <v>732</v>
      </c>
      <c r="F30" s="174" t="s">
        <v>824</v>
      </c>
      <c r="G30" s="174" t="s">
        <v>825</v>
      </c>
      <c r="H30" s="174" t="s">
        <v>752</v>
      </c>
      <c r="I30" s="174" t="s">
        <v>17</v>
      </c>
      <c r="J30" s="175">
        <v>44067</v>
      </c>
      <c r="K30" s="174">
        <v>31</v>
      </c>
      <c r="L30" s="176">
        <v>6.1527777779999999</v>
      </c>
      <c r="M30" s="174" t="s">
        <v>20</v>
      </c>
      <c r="N30" s="174">
        <v>199</v>
      </c>
    </row>
    <row r="31" spans="1:14" s="174" customFormat="1" ht="35" customHeight="1">
      <c r="A31" s="174">
        <f>ROW()-2</f>
        <v>29</v>
      </c>
      <c r="B31" s="174" t="s">
        <v>14</v>
      </c>
      <c r="C31" s="174" t="s">
        <v>381</v>
      </c>
      <c r="D31" s="174" t="s">
        <v>823</v>
      </c>
      <c r="E31" s="174" t="s">
        <v>739</v>
      </c>
      <c r="F31" s="174" t="s">
        <v>933</v>
      </c>
      <c r="G31" s="174" t="s">
        <v>934</v>
      </c>
      <c r="H31" s="174" t="s">
        <v>935</v>
      </c>
      <c r="I31" s="174" t="s">
        <v>29</v>
      </c>
      <c r="J31" s="175">
        <v>44326</v>
      </c>
      <c r="K31" s="174">
        <v>19</v>
      </c>
      <c r="L31" s="176">
        <v>3.4366666669999999</v>
      </c>
      <c r="M31" s="174" t="s">
        <v>20</v>
      </c>
      <c r="N31" s="174">
        <v>69</v>
      </c>
    </row>
    <row r="32" spans="1:14" s="174" customFormat="1" ht="35" customHeight="1">
      <c r="A32" s="174">
        <f>ROW()-2</f>
        <v>30</v>
      </c>
      <c r="B32" s="174" t="s">
        <v>14</v>
      </c>
      <c r="C32" s="174" t="s">
        <v>381</v>
      </c>
      <c r="D32" s="174" t="s">
        <v>823</v>
      </c>
      <c r="E32" s="174" t="s">
        <v>732</v>
      </c>
      <c r="F32" s="174" t="s">
        <v>944</v>
      </c>
      <c r="G32" s="174" t="s">
        <v>944</v>
      </c>
      <c r="H32" s="174" t="s">
        <v>945</v>
      </c>
      <c r="I32" s="174" t="s">
        <v>29</v>
      </c>
      <c r="J32" s="175">
        <v>44534</v>
      </c>
      <c r="K32" s="174">
        <v>30</v>
      </c>
      <c r="L32" s="176">
        <v>5.1744444439999997</v>
      </c>
      <c r="M32" s="174" t="s">
        <v>20</v>
      </c>
      <c r="N32" s="174">
        <v>199</v>
      </c>
    </row>
    <row r="33" spans="1:14" s="174" customFormat="1" ht="35" customHeight="1">
      <c r="A33" s="174">
        <f>ROW()-2</f>
        <v>31</v>
      </c>
      <c r="B33" s="174" t="s">
        <v>14</v>
      </c>
      <c r="C33" s="174" t="s">
        <v>381</v>
      </c>
      <c r="D33" s="174" t="s">
        <v>823</v>
      </c>
      <c r="E33" s="174" t="s">
        <v>739</v>
      </c>
      <c r="F33" s="174" t="s">
        <v>947</v>
      </c>
      <c r="G33" s="174" t="s">
        <v>947</v>
      </c>
      <c r="H33" s="174" t="s">
        <v>948</v>
      </c>
      <c r="I33" s="174" t="s">
        <v>17</v>
      </c>
      <c r="J33" s="175">
        <v>44534</v>
      </c>
      <c r="K33" s="174">
        <v>16</v>
      </c>
      <c r="L33" s="176">
        <v>4.3202777780000003</v>
      </c>
      <c r="M33" s="174" t="s">
        <v>20</v>
      </c>
      <c r="N33" s="174">
        <v>89</v>
      </c>
    </row>
    <row r="34" spans="1:14" s="174" customFormat="1" ht="35" customHeight="1">
      <c r="A34" s="174">
        <f>ROW()-2</f>
        <v>32</v>
      </c>
      <c r="B34" s="174" t="s">
        <v>14</v>
      </c>
      <c r="C34" s="174" t="s">
        <v>381</v>
      </c>
      <c r="D34" s="174" t="s">
        <v>743</v>
      </c>
      <c r="E34" s="174" t="s">
        <v>739</v>
      </c>
      <c r="F34" s="174" t="s">
        <v>744</v>
      </c>
      <c r="G34" s="174" t="s">
        <v>745</v>
      </c>
      <c r="H34" s="174" t="s">
        <v>746</v>
      </c>
      <c r="I34" s="174" t="s">
        <v>29</v>
      </c>
      <c r="J34" s="175">
        <v>43381</v>
      </c>
      <c r="K34" s="174">
        <v>50</v>
      </c>
      <c r="L34" s="176">
        <v>6.8730555559999997</v>
      </c>
      <c r="M34" s="174" t="s">
        <v>20</v>
      </c>
      <c r="N34" s="174">
        <v>99</v>
      </c>
    </row>
    <row r="35" spans="1:14" s="174" customFormat="1" ht="35" customHeight="1">
      <c r="A35" s="174">
        <f>ROW()-2</f>
        <v>33</v>
      </c>
      <c r="B35" s="174" t="s">
        <v>14</v>
      </c>
      <c r="C35" s="174" t="s">
        <v>381</v>
      </c>
      <c r="D35" s="174" t="s">
        <v>743</v>
      </c>
      <c r="E35" s="174" t="s">
        <v>757</v>
      </c>
      <c r="F35" s="174" t="s">
        <v>924</v>
      </c>
      <c r="G35" s="174" t="s">
        <v>925</v>
      </c>
      <c r="H35" s="174" t="s">
        <v>926</v>
      </c>
      <c r="I35" s="174" t="s">
        <v>29</v>
      </c>
      <c r="J35" s="175">
        <v>43717</v>
      </c>
      <c r="K35" s="174">
        <v>32</v>
      </c>
      <c r="L35" s="176">
        <v>4.9591666669999999</v>
      </c>
      <c r="M35" s="174" t="s">
        <v>20</v>
      </c>
      <c r="N35" s="174">
        <v>99</v>
      </c>
    </row>
    <row r="36" spans="1:14" s="174" customFormat="1" ht="35" customHeight="1">
      <c r="A36" s="174">
        <f>ROW()-2</f>
        <v>34</v>
      </c>
      <c r="B36" s="174" t="s">
        <v>14</v>
      </c>
      <c r="C36" s="174" t="s">
        <v>381</v>
      </c>
      <c r="D36" s="174" t="s">
        <v>743</v>
      </c>
      <c r="E36" s="174" t="s">
        <v>732</v>
      </c>
      <c r="F36" s="174" t="s">
        <v>2615</v>
      </c>
      <c r="G36" s="174" t="s">
        <v>789</v>
      </c>
      <c r="H36" s="174" t="s">
        <v>790</v>
      </c>
      <c r="I36" s="174" t="s">
        <v>29</v>
      </c>
      <c r="J36" s="175">
        <v>43928</v>
      </c>
      <c r="K36" s="174">
        <v>12</v>
      </c>
      <c r="L36" s="176">
        <v>2.3313888889999999</v>
      </c>
      <c r="M36" s="174" t="s">
        <v>20</v>
      </c>
      <c r="N36" s="174">
        <v>69</v>
      </c>
    </row>
    <row r="37" spans="1:14" s="174" customFormat="1" ht="35" customHeight="1">
      <c r="A37" s="174">
        <f>ROW()-2</f>
        <v>35</v>
      </c>
      <c r="B37" s="174" t="s">
        <v>14</v>
      </c>
      <c r="C37" s="174" t="s">
        <v>381</v>
      </c>
      <c r="D37" s="174" t="s">
        <v>743</v>
      </c>
      <c r="E37" s="174" t="s">
        <v>739</v>
      </c>
      <c r="F37" s="174" t="s">
        <v>817</v>
      </c>
      <c r="G37" s="174" t="s">
        <v>818</v>
      </c>
      <c r="H37" s="174" t="s">
        <v>819</v>
      </c>
      <c r="I37" s="174" t="s">
        <v>29</v>
      </c>
      <c r="J37" s="175">
        <v>44053</v>
      </c>
      <c r="K37" s="174">
        <v>31</v>
      </c>
      <c r="L37" s="176">
        <v>3.5411111110000002</v>
      </c>
      <c r="M37" s="174" t="s">
        <v>20</v>
      </c>
      <c r="N37" s="174">
        <v>99</v>
      </c>
    </row>
    <row r="38" spans="1:14" s="174" customFormat="1" ht="35" customHeight="1">
      <c r="A38" s="174">
        <f>ROW()-2</f>
        <v>36</v>
      </c>
      <c r="B38" s="174" t="s">
        <v>14</v>
      </c>
      <c r="C38" s="174" t="s">
        <v>381</v>
      </c>
      <c r="D38" s="174" t="s">
        <v>743</v>
      </c>
      <c r="E38" s="174" t="s">
        <v>739</v>
      </c>
      <c r="F38" s="174" t="s">
        <v>929</v>
      </c>
      <c r="G38" s="174" t="s">
        <v>930</v>
      </c>
      <c r="H38" s="174" t="s">
        <v>931</v>
      </c>
      <c r="I38" s="174" t="s">
        <v>17</v>
      </c>
      <c r="J38" s="175">
        <v>44097</v>
      </c>
      <c r="K38" s="174">
        <v>23</v>
      </c>
      <c r="L38" s="176">
        <v>4.6955555560000004</v>
      </c>
      <c r="M38" s="174" t="s">
        <v>20</v>
      </c>
      <c r="N38" s="174">
        <v>180</v>
      </c>
    </row>
    <row r="39" spans="1:14" s="174" customFormat="1" ht="35" customHeight="1">
      <c r="A39" s="174">
        <f>ROW()-2</f>
        <v>37</v>
      </c>
      <c r="B39" s="174" t="s">
        <v>14</v>
      </c>
      <c r="C39" s="174" t="s">
        <v>381</v>
      </c>
      <c r="D39" s="174" t="s">
        <v>743</v>
      </c>
      <c r="E39" s="174" t="s">
        <v>757</v>
      </c>
      <c r="F39" s="174" t="s">
        <v>834</v>
      </c>
      <c r="G39" s="174" t="s">
        <v>835</v>
      </c>
      <c r="H39" s="174" t="s">
        <v>836</v>
      </c>
      <c r="I39" s="174" t="s">
        <v>17</v>
      </c>
      <c r="J39" s="175">
        <v>44134</v>
      </c>
      <c r="K39" s="174">
        <v>13</v>
      </c>
      <c r="L39" s="176">
        <v>3.2522222219999999</v>
      </c>
      <c r="M39" s="174" t="s">
        <v>20</v>
      </c>
      <c r="N39" s="174">
        <v>199</v>
      </c>
    </row>
    <row r="40" spans="1:14" s="174" customFormat="1" ht="35" customHeight="1">
      <c r="A40" s="174">
        <f>ROW()-2</f>
        <v>38</v>
      </c>
      <c r="B40" s="174" t="s">
        <v>14</v>
      </c>
      <c r="C40" s="174" t="s">
        <v>381</v>
      </c>
      <c r="D40" s="174" t="s">
        <v>743</v>
      </c>
      <c r="E40" s="174" t="s">
        <v>757</v>
      </c>
      <c r="F40" s="174" t="s">
        <v>2614</v>
      </c>
      <c r="G40" s="174" t="s">
        <v>841</v>
      </c>
      <c r="H40" s="174" t="s">
        <v>842</v>
      </c>
      <c r="I40" s="174" t="s">
        <v>17</v>
      </c>
      <c r="J40" s="175">
        <v>44140</v>
      </c>
      <c r="K40" s="174">
        <v>24</v>
      </c>
      <c r="L40" s="176">
        <v>4.5561111109999999</v>
      </c>
      <c r="M40" s="174" t="s">
        <v>20</v>
      </c>
      <c r="N40" s="174">
        <v>99</v>
      </c>
    </row>
    <row r="41" spans="1:14" s="174" customFormat="1" ht="35" customHeight="1">
      <c r="A41" s="174">
        <f>ROW()-2</f>
        <v>39</v>
      </c>
      <c r="B41" s="174" t="s">
        <v>14</v>
      </c>
      <c r="C41" s="174" t="s">
        <v>381</v>
      </c>
      <c r="D41" s="174" t="s">
        <v>743</v>
      </c>
      <c r="E41" s="174" t="s">
        <v>732</v>
      </c>
      <c r="F41" s="174" t="s">
        <v>936</v>
      </c>
      <c r="G41" s="174" t="s">
        <v>937</v>
      </c>
      <c r="H41" s="174" t="s">
        <v>938</v>
      </c>
      <c r="I41" s="174" t="s">
        <v>939</v>
      </c>
      <c r="J41" s="175">
        <v>44423</v>
      </c>
      <c r="K41" s="174">
        <v>15</v>
      </c>
      <c r="L41" s="176">
        <v>1.274166667</v>
      </c>
      <c r="M41" s="174" t="s">
        <v>20</v>
      </c>
      <c r="N41" s="174">
        <v>198</v>
      </c>
    </row>
    <row r="42" spans="1:14" s="174" customFormat="1" ht="35" customHeight="1">
      <c r="A42" s="174">
        <f>ROW()-2</f>
        <v>40</v>
      </c>
      <c r="B42" s="174" t="s">
        <v>14</v>
      </c>
      <c r="C42" s="174" t="s">
        <v>381</v>
      </c>
      <c r="D42" s="174" t="s">
        <v>743</v>
      </c>
      <c r="E42" s="174" t="s">
        <v>732</v>
      </c>
      <c r="F42" s="174" t="s">
        <v>881</v>
      </c>
      <c r="G42" s="174" t="s">
        <v>882</v>
      </c>
      <c r="H42" s="174" t="s">
        <v>883</v>
      </c>
      <c r="I42" s="174" t="s">
        <v>29</v>
      </c>
      <c r="J42" s="175">
        <v>44457</v>
      </c>
      <c r="K42" s="174">
        <v>18</v>
      </c>
      <c r="L42" s="176">
        <v>4.5266666669999998</v>
      </c>
      <c r="M42" s="174" t="s">
        <v>20</v>
      </c>
      <c r="N42" s="174">
        <v>12.99</v>
      </c>
    </row>
    <row r="43" spans="1:14" s="174" customFormat="1" ht="35" customHeight="1">
      <c r="A43" s="174">
        <f>ROW()-2</f>
        <v>41</v>
      </c>
      <c r="B43" s="174" t="s">
        <v>14</v>
      </c>
      <c r="C43" s="174" t="s">
        <v>381</v>
      </c>
      <c r="D43" s="174" t="s">
        <v>743</v>
      </c>
      <c r="E43" s="174" t="s">
        <v>757</v>
      </c>
      <c r="F43" s="174" t="s">
        <v>887</v>
      </c>
      <c r="G43" s="174" t="s">
        <v>888</v>
      </c>
      <c r="H43" s="174" t="s">
        <v>822</v>
      </c>
      <c r="I43" s="174" t="s">
        <v>17</v>
      </c>
      <c r="J43" s="175">
        <v>44487</v>
      </c>
      <c r="K43" s="174">
        <v>12</v>
      </c>
      <c r="L43" s="176">
        <v>2.1005555560000002</v>
      </c>
      <c r="M43" s="174" t="s">
        <v>20</v>
      </c>
      <c r="N43" s="174">
        <v>69</v>
      </c>
    </row>
    <row r="44" spans="1:14" s="174" customFormat="1" ht="35" customHeight="1">
      <c r="A44" s="174">
        <f>ROW()-2</f>
        <v>42</v>
      </c>
      <c r="B44" s="174" t="s">
        <v>14</v>
      </c>
      <c r="C44" s="174" t="s">
        <v>381</v>
      </c>
      <c r="D44" s="174" t="s">
        <v>743</v>
      </c>
      <c r="E44" s="174" t="s">
        <v>739</v>
      </c>
      <c r="F44" s="174" t="s">
        <v>889</v>
      </c>
      <c r="G44" s="174" t="s">
        <v>890</v>
      </c>
      <c r="H44" s="174" t="s">
        <v>891</v>
      </c>
      <c r="I44" s="174" t="s">
        <v>29</v>
      </c>
      <c r="J44" s="175">
        <v>44502</v>
      </c>
      <c r="K44" s="174">
        <v>21</v>
      </c>
      <c r="L44" s="176">
        <v>4.3186111110000001</v>
      </c>
      <c r="M44" s="174" t="s">
        <v>20</v>
      </c>
      <c r="N44" s="174">
        <v>99</v>
      </c>
    </row>
    <row r="45" spans="1:14" s="174" customFormat="1" ht="35" customHeight="1">
      <c r="A45" s="174">
        <f>ROW()-2</f>
        <v>43</v>
      </c>
      <c r="B45" s="174" t="s">
        <v>14</v>
      </c>
      <c r="C45" s="174" t="s">
        <v>381</v>
      </c>
      <c r="D45" s="174" t="s">
        <v>743</v>
      </c>
      <c r="E45" s="174" t="s">
        <v>739</v>
      </c>
      <c r="F45" s="174" t="s">
        <v>2522</v>
      </c>
      <c r="G45" s="174" t="s">
        <v>2522</v>
      </c>
      <c r="H45" s="174" t="s">
        <v>2523</v>
      </c>
      <c r="I45" s="174" t="s">
        <v>29</v>
      </c>
      <c r="J45" s="175">
        <v>44585</v>
      </c>
      <c r="K45" s="174">
        <v>5</v>
      </c>
      <c r="L45" s="176">
        <v>0.72</v>
      </c>
      <c r="M45" s="174" t="s">
        <v>89</v>
      </c>
      <c r="N45" s="174">
        <v>69</v>
      </c>
    </row>
    <row r="46" spans="1:14" s="174" customFormat="1" ht="35" customHeight="1">
      <c r="A46" s="174">
        <f>ROW()-2</f>
        <v>44</v>
      </c>
      <c r="B46" s="174" t="s">
        <v>14</v>
      </c>
      <c r="C46" s="174" t="s">
        <v>381</v>
      </c>
      <c r="D46" s="174" t="s">
        <v>761</v>
      </c>
      <c r="E46" s="174" t="s">
        <v>732</v>
      </c>
      <c r="F46" s="174" t="s">
        <v>762</v>
      </c>
      <c r="G46" s="174" t="s">
        <v>763</v>
      </c>
      <c r="H46" s="174" t="s">
        <v>764</v>
      </c>
      <c r="I46" s="174" t="s">
        <v>29</v>
      </c>
      <c r="J46" s="175">
        <v>43570</v>
      </c>
      <c r="K46" s="174">
        <v>17</v>
      </c>
      <c r="L46" s="176">
        <v>2.2238888889999999</v>
      </c>
      <c r="M46" s="174" t="s">
        <v>20</v>
      </c>
      <c r="N46" s="174">
        <v>46</v>
      </c>
    </row>
    <row r="47" spans="1:14" s="174" customFormat="1" ht="35" customHeight="1">
      <c r="A47" s="174">
        <f>ROW()-2</f>
        <v>45</v>
      </c>
      <c r="B47" s="174" t="s">
        <v>14</v>
      </c>
      <c r="C47" s="174" t="s">
        <v>381</v>
      </c>
      <c r="D47" s="174" t="s">
        <v>761</v>
      </c>
      <c r="E47" s="174" t="s">
        <v>757</v>
      </c>
      <c r="F47" s="174" t="s">
        <v>802</v>
      </c>
      <c r="G47" s="174" t="s">
        <v>803</v>
      </c>
      <c r="H47" s="174" t="s">
        <v>804</v>
      </c>
      <c r="I47" s="174" t="s">
        <v>29</v>
      </c>
      <c r="J47" s="175">
        <v>43984</v>
      </c>
      <c r="K47" s="174">
        <v>31</v>
      </c>
      <c r="L47" s="176">
        <v>3.9019444440000002</v>
      </c>
      <c r="M47" s="174" t="s">
        <v>20</v>
      </c>
      <c r="N47" s="174">
        <v>99</v>
      </c>
    </row>
    <row r="48" spans="1:14" s="174" customFormat="1" ht="35" customHeight="1">
      <c r="A48" s="174">
        <f>ROW()-2</f>
        <v>46</v>
      </c>
      <c r="B48" s="174" t="s">
        <v>14</v>
      </c>
      <c r="C48" s="174" t="s">
        <v>381</v>
      </c>
      <c r="D48" s="174" t="s">
        <v>761</v>
      </c>
      <c r="E48" s="174" t="s">
        <v>757</v>
      </c>
      <c r="F48" s="174" t="s">
        <v>927</v>
      </c>
      <c r="G48" s="174" t="s">
        <v>928</v>
      </c>
      <c r="H48" s="174" t="s">
        <v>760</v>
      </c>
      <c r="I48" s="174" t="s">
        <v>29</v>
      </c>
      <c r="J48" s="175">
        <v>43998</v>
      </c>
      <c r="K48" s="174">
        <v>79</v>
      </c>
      <c r="L48" s="176">
        <v>22.036666669999999</v>
      </c>
      <c r="M48" s="174" t="s">
        <v>20</v>
      </c>
      <c r="N48" s="174">
        <v>99</v>
      </c>
    </row>
    <row r="49" spans="1:45" s="174" customFormat="1" ht="35" customHeight="1">
      <c r="A49" s="174">
        <f>ROW()-2</f>
        <v>47</v>
      </c>
      <c r="B49" s="174" t="s">
        <v>14</v>
      </c>
      <c r="C49" s="174" t="s">
        <v>381</v>
      </c>
      <c r="D49" s="174" t="s">
        <v>761</v>
      </c>
      <c r="E49" s="174" t="s">
        <v>739</v>
      </c>
      <c r="F49" s="174" t="s">
        <v>813</v>
      </c>
      <c r="G49" s="174" t="s">
        <v>814</v>
      </c>
      <c r="H49" s="174" t="s">
        <v>815</v>
      </c>
      <c r="I49" s="174" t="s">
        <v>17</v>
      </c>
      <c r="J49" s="175">
        <v>44029</v>
      </c>
      <c r="K49" s="174">
        <v>13</v>
      </c>
      <c r="L49" s="176">
        <v>2.400555556</v>
      </c>
      <c r="M49" s="174" t="s">
        <v>20</v>
      </c>
      <c r="N49" s="174">
        <v>199</v>
      </c>
    </row>
    <row r="50" spans="1:45" s="174" customFormat="1" ht="35" customHeight="1">
      <c r="A50" s="174">
        <f>ROW()-2</f>
        <v>48</v>
      </c>
      <c r="B50" s="174" t="s">
        <v>14</v>
      </c>
      <c r="C50" s="174" t="s">
        <v>381</v>
      </c>
      <c r="D50" s="174" t="s">
        <v>761</v>
      </c>
      <c r="E50" s="174" t="s">
        <v>739</v>
      </c>
      <c r="F50" s="174" t="s">
        <v>909</v>
      </c>
      <c r="G50" s="174" t="s">
        <v>910</v>
      </c>
      <c r="H50" s="174" t="s">
        <v>911</v>
      </c>
      <c r="I50" s="174" t="s">
        <v>17</v>
      </c>
      <c r="J50" s="175">
        <v>44531</v>
      </c>
      <c r="K50" s="174">
        <v>35</v>
      </c>
      <c r="L50" s="176">
        <v>7.6436111110000002</v>
      </c>
      <c r="M50" s="174" t="s">
        <v>89</v>
      </c>
      <c r="N50" s="174">
        <v>169</v>
      </c>
    </row>
    <row r="51" spans="1:45" s="174" customFormat="1" ht="35" customHeight="1">
      <c r="A51" s="174">
        <f>ROW()-2</f>
        <v>49</v>
      </c>
      <c r="B51" s="174" t="s">
        <v>14</v>
      </c>
      <c r="C51" s="174" t="s">
        <v>381</v>
      </c>
      <c r="D51" s="174" t="s">
        <v>773</v>
      </c>
      <c r="E51" s="174" t="s">
        <v>732</v>
      </c>
      <c r="F51" s="174" t="s">
        <v>2616</v>
      </c>
      <c r="G51" s="174" t="s">
        <v>775</v>
      </c>
      <c r="H51" s="174" t="s">
        <v>776</v>
      </c>
      <c r="I51" s="174" t="s">
        <v>29</v>
      </c>
      <c r="J51" s="175">
        <v>43811</v>
      </c>
      <c r="K51" s="174">
        <v>109</v>
      </c>
      <c r="L51" s="176">
        <v>21.23</v>
      </c>
      <c r="M51" s="174" t="s">
        <v>20</v>
      </c>
      <c r="N51" s="174">
        <v>199</v>
      </c>
    </row>
    <row r="52" spans="1:45" s="174" customFormat="1" ht="35" customHeight="1">
      <c r="A52" s="174">
        <f>ROW()-2</f>
        <v>50</v>
      </c>
      <c r="B52" s="174" t="s">
        <v>14</v>
      </c>
      <c r="C52" s="174" t="s">
        <v>381</v>
      </c>
      <c r="D52" s="174" t="s">
        <v>773</v>
      </c>
      <c r="E52" s="174" t="s">
        <v>739</v>
      </c>
      <c r="F52" s="174" t="s">
        <v>783</v>
      </c>
      <c r="G52" s="174" t="s">
        <v>784</v>
      </c>
      <c r="H52" s="174" t="s">
        <v>785</v>
      </c>
      <c r="I52" s="174" t="s">
        <v>29</v>
      </c>
      <c r="J52" s="175">
        <v>43914</v>
      </c>
      <c r="K52" s="174">
        <v>10</v>
      </c>
      <c r="L52" s="176">
        <v>0.98833333300000004</v>
      </c>
      <c r="M52" s="174" t="s">
        <v>20</v>
      </c>
      <c r="N52" s="174">
        <v>59</v>
      </c>
    </row>
    <row r="53" spans="1:45" s="174" customFormat="1" ht="35" customHeight="1">
      <c r="A53" s="174">
        <f>ROW()-2</f>
        <v>51</v>
      </c>
      <c r="B53" s="174" t="s">
        <v>14</v>
      </c>
      <c r="C53" s="174" t="s">
        <v>381</v>
      </c>
      <c r="D53" s="174" t="s">
        <v>773</v>
      </c>
      <c r="E53" s="174" t="s">
        <v>732</v>
      </c>
      <c r="F53" s="174" t="s">
        <v>2505</v>
      </c>
      <c r="G53" s="174" t="s">
        <v>786</v>
      </c>
      <c r="H53" s="174" t="s">
        <v>787</v>
      </c>
      <c r="I53" s="174" t="s">
        <v>29</v>
      </c>
      <c r="J53" s="175">
        <v>43928</v>
      </c>
      <c r="K53" s="174">
        <v>58</v>
      </c>
      <c r="L53" s="176">
        <v>16.37083333</v>
      </c>
      <c r="M53" s="174" t="s">
        <v>20</v>
      </c>
      <c r="N53" s="174">
        <v>299</v>
      </c>
    </row>
    <row r="54" spans="1:45" s="174" customFormat="1" ht="35" customHeight="1">
      <c r="A54" s="174">
        <f>ROW()-2</f>
        <v>52</v>
      </c>
      <c r="B54" s="174" t="s">
        <v>14</v>
      </c>
      <c r="C54" s="174" t="s">
        <v>381</v>
      </c>
      <c r="D54" s="174" t="s">
        <v>773</v>
      </c>
      <c r="E54" s="174" t="s">
        <v>739</v>
      </c>
      <c r="F54" s="174" t="s">
        <v>791</v>
      </c>
      <c r="G54" s="174" t="s">
        <v>792</v>
      </c>
      <c r="H54" s="174" t="s">
        <v>793</v>
      </c>
      <c r="I54" s="174" t="s">
        <v>29</v>
      </c>
      <c r="J54" s="175">
        <v>43935</v>
      </c>
      <c r="K54" s="174">
        <v>61</v>
      </c>
      <c r="L54" s="176">
        <v>12.569722219999999</v>
      </c>
      <c r="M54" s="174" t="s">
        <v>20</v>
      </c>
      <c r="N54" s="174">
        <v>99</v>
      </c>
    </row>
    <row r="55" spans="1:45" s="174" customFormat="1" ht="35" customHeight="1">
      <c r="A55" s="174">
        <f>ROW()-2</f>
        <v>53</v>
      </c>
      <c r="B55" s="174" t="s">
        <v>14</v>
      </c>
      <c r="C55" s="174" t="s">
        <v>381</v>
      </c>
      <c r="D55" s="174" t="s">
        <v>773</v>
      </c>
      <c r="E55" s="174" t="s">
        <v>757</v>
      </c>
      <c r="F55" s="174" t="s">
        <v>21</v>
      </c>
      <c r="G55" s="174" t="s">
        <v>22</v>
      </c>
      <c r="H55" s="174" t="s">
        <v>23</v>
      </c>
      <c r="I55" s="174" t="s">
        <v>17</v>
      </c>
      <c r="J55" s="175">
        <v>43958</v>
      </c>
      <c r="K55" s="174">
        <v>146</v>
      </c>
      <c r="L55" s="176">
        <v>14.24888889</v>
      </c>
      <c r="M55" s="174" t="s">
        <v>20</v>
      </c>
      <c r="N55" s="174">
        <v>199</v>
      </c>
    </row>
    <row r="56" spans="1:45" s="174" customFormat="1" ht="35" customHeight="1">
      <c r="A56" s="174">
        <f>ROW()-2</f>
        <v>54</v>
      </c>
      <c r="B56" s="174" t="s">
        <v>14</v>
      </c>
      <c r="C56" s="174" t="s">
        <v>381</v>
      </c>
      <c r="D56" s="174" t="s">
        <v>773</v>
      </c>
      <c r="E56" s="174" t="s">
        <v>757</v>
      </c>
      <c r="F56" s="174" t="s">
        <v>2506</v>
      </c>
      <c r="G56" s="174" t="s">
        <v>797</v>
      </c>
      <c r="H56" s="174" t="s">
        <v>798</v>
      </c>
      <c r="I56" s="174" t="s">
        <v>29</v>
      </c>
      <c r="J56" s="175">
        <v>43965</v>
      </c>
      <c r="K56" s="174">
        <v>31</v>
      </c>
      <c r="L56" s="176">
        <v>11.26972222</v>
      </c>
      <c r="M56" s="174" t="s">
        <v>20</v>
      </c>
      <c r="N56" s="174">
        <v>69</v>
      </c>
    </row>
    <row r="57" spans="1:45" s="174" customFormat="1" ht="35" customHeight="1">
      <c r="A57" s="174">
        <f>ROW()-2</f>
        <v>55</v>
      </c>
      <c r="B57" s="174" t="s">
        <v>14</v>
      </c>
      <c r="C57" s="174" t="s">
        <v>381</v>
      </c>
      <c r="D57" s="174" t="s">
        <v>773</v>
      </c>
      <c r="E57" s="174" t="s">
        <v>732</v>
      </c>
      <c r="F57" s="174" t="s">
        <v>26</v>
      </c>
      <c r="G57" s="174" t="s">
        <v>27</v>
      </c>
      <c r="H57" s="174" t="s">
        <v>28</v>
      </c>
      <c r="I57" s="174" t="s">
        <v>29</v>
      </c>
      <c r="J57" s="175">
        <v>43979</v>
      </c>
      <c r="K57" s="174">
        <v>432</v>
      </c>
      <c r="L57" s="176">
        <v>108.3125</v>
      </c>
      <c r="M57" s="174" t="s">
        <v>89</v>
      </c>
      <c r="N57" s="174">
        <v>99</v>
      </c>
    </row>
    <row r="58" spans="1:45" s="174" customFormat="1" ht="35" customHeight="1">
      <c r="A58" s="174">
        <f>ROW()-2</f>
        <v>56</v>
      </c>
      <c r="B58" s="174" t="s">
        <v>14</v>
      </c>
      <c r="C58" s="174" t="s">
        <v>381</v>
      </c>
      <c r="D58" s="174" t="s">
        <v>773</v>
      </c>
      <c r="E58" s="174" t="s">
        <v>732</v>
      </c>
      <c r="F58" s="174" t="s">
        <v>851</v>
      </c>
      <c r="G58" s="174" t="s">
        <v>852</v>
      </c>
      <c r="H58" s="174" t="s">
        <v>787</v>
      </c>
      <c r="I58" s="174" t="s">
        <v>29</v>
      </c>
      <c r="J58" s="175">
        <v>44195</v>
      </c>
      <c r="K58" s="174">
        <v>84</v>
      </c>
      <c r="L58" s="176">
        <v>15.74472222</v>
      </c>
      <c r="M58" s="174" t="s">
        <v>20</v>
      </c>
      <c r="N58" s="174">
        <v>199</v>
      </c>
    </row>
    <row r="59" spans="1:45" s="174" customFormat="1" ht="35" customHeight="1">
      <c r="A59" s="174">
        <f>ROW()-2</f>
        <v>57</v>
      </c>
      <c r="B59" s="174" t="s">
        <v>14</v>
      </c>
      <c r="C59" s="174" t="s">
        <v>381</v>
      </c>
      <c r="D59" s="174" t="s">
        <v>773</v>
      </c>
      <c r="E59" s="174" t="s">
        <v>757</v>
      </c>
      <c r="F59" s="174" t="s">
        <v>862</v>
      </c>
      <c r="G59" s="174" t="s">
        <v>863</v>
      </c>
      <c r="H59" s="174" t="s">
        <v>864</v>
      </c>
      <c r="I59" s="174" t="s">
        <v>29</v>
      </c>
      <c r="J59" s="175">
        <v>44298</v>
      </c>
      <c r="K59" s="174">
        <v>37</v>
      </c>
      <c r="L59" s="176">
        <v>6.0438888889999998</v>
      </c>
      <c r="M59" s="174" t="s">
        <v>89</v>
      </c>
      <c r="N59" s="174">
        <v>99</v>
      </c>
    </row>
    <row r="60" spans="1:45" s="174" customFormat="1" ht="35" customHeight="1">
      <c r="A60" s="174">
        <f>ROW()-2</f>
        <v>58</v>
      </c>
      <c r="B60" s="174" t="s">
        <v>14</v>
      </c>
      <c r="C60" s="174" t="s">
        <v>381</v>
      </c>
      <c r="D60" s="174" t="s">
        <v>773</v>
      </c>
      <c r="E60" s="174" t="s">
        <v>732</v>
      </c>
      <c r="F60" s="174" t="s">
        <v>2617</v>
      </c>
      <c r="G60" s="174" t="s">
        <v>875</v>
      </c>
      <c r="H60" s="174" t="s">
        <v>876</v>
      </c>
      <c r="I60" s="174" t="s">
        <v>29</v>
      </c>
      <c r="J60" s="175">
        <v>44358</v>
      </c>
      <c r="K60" s="174">
        <v>89</v>
      </c>
      <c r="L60" s="176">
        <v>9.9708333329999999</v>
      </c>
      <c r="M60" s="174" t="s">
        <v>20</v>
      </c>
      <c r="N60" s="174">
        <v>99</v>
      </c>
    </row>
    <row r="61" spans="1:45" s="174" customFormat="1" ht="35" customHeight="1">
      <c r="A61" s="174">
        <f>ROW()-2</f>
        <v>59</v>
      </c>
      <c r="B61" s="174" t="s">
        <v>14</v>
      </c>
      <c r="C61" s="174" t="s">
        <v>381</v>
      </c>
      <c r="D61" s="174" t="s">
        <v>773</v>
      </c>
      <c r="E61" s="174" t="s">
        <v>739</v>
      </c>
      <c r="F61" s="174" t="s">
        <v>2507</v>
      </c>
      <c r="G61" s="174" t="s">
        <v>880</v>
      </c>
      <c r="H61" s="174" t="s">
        <v>45</v>
      </c>
      <c r="I61" s="174" t="s">
        <v>29</v>
      </c>
      <c r="J61" s="175">
        <v>44449</v>
      </c>
      <c r="K61" s="174">
        <v>10</v>
      </c>
      <c r="L61" s="176">
        <v>2.1658333330000001</v>
      </c>
      <c r="M61" s="174" t="s">
        <v>20</v>
      </c>
      <c r="N61" s="174">
        <v>168</v>
      </c>
    </row>
    <row r="62" spans="1:45" s="174" customFormat="1" ht="35" customHeight="1">
      <c r="A62" s="174">
        <f>ROW()-2</f>
        <v>60</v>
      </c>
      <c r="B62" s="181" t="s">
        <v>5679</v>
      </c>
      <c r="C62" s="181" t="s">
        <v>5709</v>
      </c>
      <c r="D62" s="181" t="s">
        <v>5710</v>
      </c>
      <c r="E62" s="181" t="s">
        <v>5711</v>
      </c>
      <c r="F62" s="306" t="s">
        <v>5678</v>
      </c>
      <c r="G62" s="306" t="s">
        <v>5692</v>
      </c>
      <c r="H62" s="306" t="s">
        <v>5687</v>
      </c>
      <c r="I62" s="181" t="s">
        <v>5686</v>
      </c>
      <c r="J62" s="307" t="s">
        <v>5688</v>
      </c>
      <c r="K62" s="181" t="s">
        <v>5689</v>
      </c>
      <c r="L62" s="177">
        <v>44634</v>
      </c>
      <c r="M62" s="22">
        <v>11</v>
      </c>
      <c r="N62" s="308">
        <v>2.2999999999999998</v>
      </c>
      <c r="O62" s="22" t="s">
        <v>5690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</row>
    <row r="63" spans="1:45" s="174" customFormat="1" ht="35" customHeight="1">
      <c r="A63" s="174">
        <f>ROW()-2</f>
        <v>61</v>
      </c>
      <c r="B63" s="174" t="s">
        <v>14</v>
      </c>
      <c r="C63" s="174" t="s">
        <v>381</v>
      </c>
      <c r="D63" s="174" t="s">
        <v>2502</v>
      </c>
      <c r="E63" s="174" t="s">
        <v>757</v>
      </c>
      <c r="F63" s="174" t="s">
        <v>2503</v>
      </c>
      <c r="G63" s="174" t="s">
        <v>2619</v>
      </c>
      <c r="H63" s="174" t="s">
        <v>2620</v>
      </c>
      <c r="I63" s="174" t="s">
        <v>29</v>
      </c>
      <c r="J63" s="175">
        <v>43238</v>
      </c>
      <c r="K63" s="174">
        <v>62</v>
      </c>
      <c r="L63" s="176">
        <v>23.033333330000001</v>
      </c>
      <c r="M63" s="174" t="s">
        <v>20</v>
      </c>
      <c r="N63" s="174">
        <v>99</v>
      </c>
    </row>
    <row r="64" spans="1:45" s="174" customFormat="1" ht="35" customHeight="1">
      <c r="A64" s="174">
        <f>ROW()-2</f>
        <v>62</v>
      </c>
      <c r="B64" s="174" t="s">
        <v>14</v>
      </c>
      <c r="C64" s="174" t="s">
        <v>381</v>
      </c>
      <c r="D64" s="174" t="s">
        <v>2618</v>
      </c>
      <c r="E64" s="174" t="s">
        <v>739</v>
      </c>
      <c r="F64" s="174" t="s">
        <v>877</v>
      </c>
      <c r="G64" s="174" t="s">
        <v>878</v>
      </c>
      <c r="H64" s="174" t="s">
        <v>879</v>
      </c>
      <c r="I64" s="174" t="s">
        <v>29</v>
      </c>
      <c r="J64" s="175">
        <v>44410</v>
      </c>
      <c r="K64" s="174">
        <v>14</v>
      </c>
      <c r="L64" s="176">
        <v>1.225555556</v>
      </c>
      <c r="M64" s="174" t="s">
        <v>20</v>
      </c>
      <c r="N64" s="174">
        <v>199</v>
      </c>
    </row>
    <row r="65" spans="1:45" s="174" customFormat="1" ht="35" customHeight="1">
      <c r="A65" s="174">
        <f>ROW()-2</f>
        <v>63</v>
      </c>
      <c r="B65" s="174" t="s">
        <v>14</v>
      </c>
      <c r="C65" s="174" t="s">
        <v>381</v>
      </c>
      <c r="D65" s="174" t="s">
        <v>779</v>
      </c>
      <c r="E65" s="174" t="s">
        <v>739</v>
      </c>
      <c r="F65" s="174" t="s">
        <v>2461</v>
      </c>
      <c r="G65" s="174" t="s">
        <v>15</v>
      </c>
      <c r="H65" s="174" t="s">
        <v>16</v>
      </c>
      <c r="I65" s="174" t="s">
        <v>17</v>
      </c>
      <c r="J65" s="175">
        <v>43579</v>
      </c>
      <c r="K65" s="174">
        <v>41</v>
      </c>
      <c r="L65" s="176">
        <v>4.682222222</v>
      </c>
      <c r="M65" s="174" t="s">
        <v>20</v>
      </c>
      <c r="N65" s="174">
        <v>99</v>
      </c>
    </row>
    <row r="66" spans="1:45" s="174" customFormat="1" ht="35" customHeight="1">
      <c r="A66" s="174">
        <f>ROW()-2</f>
        <v>64</v>
      </c>
      <c r="B66" s="174" t="s">
        <v>14</v>
      </c>
      <c r="C66" s="174" t="s">
        <v>381</v>
      </c>
      <c r="D66" s="174" t="s">
        <v>779</v>
      </c>
      <c r="E66" s="174" t="s">
        <v>732</v>
      </c>
      <c r="F66" s="174" t="s">
        <v>780</v>
      </c>
      <c r="G66" s="174" t="s">
        <v>781</v>
      </c>
      <c r="H66" s="174" t="s">
        <v>782</v>
      </c>
      <c r="I66" s="174" t="s">
        <v>29</v>
      </c>
      <c r="J66" s="175">
        <v>43909</v>
      </c>
      <c r="K66" s="174">
        <v>56</v>
      </c>
      <c r="L66" s="176">
        <v>7.9288888890000004</v>
      </c>
      <c r="M66" s="174" t="s">
        <v>20</v>
      </c>
      <c r="N66" s="174">
        <v>199</v>
      </c>
    </row>
    <row r="67" spans="1:45" s="174" customFormat="1" ht="35" customHeight="1">
      <c r="A67" s="174">
        <f>ROW()-2</f>
        <v>65</v>
      </c>
      <c r="B67" s="174" t="s">
        <v>14</v>
      </c>
      <c r="C67" s="174" t="s">
        <v>381</v>
      </c>
      <c r="D67" s="174" t="s">
        <v>779</v>
      </c>
      <c r="E67" s="174" t="s">
        <v>739</v>
      </c>
      <c r="F67" s="174" t="s">
        <v>794</v>
      </c>
      <c r="G67" s="174" t="s">
        <v>795</v>
      </c>
      <c r="H67" s="174" t="s">
        <v>796</v>
      </c>
      <c r="I67" s="174" t="s">
        <v>29</v>
      </c>
      <c r="J67" s="175">
        <v>43941</v>
      </c>
      <c r="K67" s="174">
        <v>60</v>
      </c>
      <c r="L67" s="176">
        <v>14.685</v>
      </c>
      <c r="M67" s="174" t="s">
        <v>20</v>
      </c>
      <c r="N67" s="174">
        <v>199</v>
      </c>
    </row>
    <row r="68" spans="1:45" s="174" customFormat="1" ht="35" customHeight="1">
      <c r="A68" s="174">
        <f>ROW()-2</f>
        <v>66</v>
      </c>
      <c r="B68" s="174" t="s">
        <v>14</v>
      </c>
      <c r="C68" s="174" t="s">
        <v>381</v>
      </c>
      <c r="D68" s="174" t="s">
        <v>779</v>
      </c>
      <c r="E68" s="174" t="s">
        <v>757</v>
      </c>
      <c r="F68" s="174" t="s">
        <v>799</v>
      </c>
      <c r="G68" s="174" t="s">
        <v>800</v>
      </c>
      <c r="H68" s="174" t="s">
        <v>801</v>
      </c>
      <c r="I68" s="174" t="s">
        <v>29</v>
      </c>
      <c r="J68" s="175">
        <v>43969</v>
      </c>
      <c r="K68" s="174">
        <v>10</v>
      </c>
      <c r="L68" s="176">
        <v>1.718888889</v>
      </c>
      <c r="M68" s="174" t="s">
        <v>20</v>
      </c>
      <c r="N68" s="174">
        <v>46</v>
      </c>
    </row>
    <row r="69" spans="1:45" s="174" customFormat="1" ht="35" customHeight="1">
      <c r="A69" s="174">
        <f>ROW()-2</f>
        <v>67</v>
      </c>
      <c r="B69" s="174" t="s">
        <v>14</v>
      </c>
      <c r="C69" s="174" t="s">
        <v>381</v>
      </c>
      <c r="D69" s="174" t="s">
        <v>779</v>
      </c>
      <c r="E69" s="174" t="s">
        <v>732</v>
      </c>
      <c r="F69" s="174" t="s">
        <v>826</v>
      </c>
      <c r="G69" s="174" t="s">
        <v>827</v>
      </c>
      <c r="H69" s="174" t="s">
        <v>828</v>
      </c>
      <c r="I69" s="174" t="s">
        <v>17</v>
      </c>
      <c r="J69" s="175">
        <v>44078</v>
      </c>
      <c r="K69" s="174">
        <v>11</v>
      </c>
      <c r="L69" s="176">
        <v>2.5383333330000002</v>
      </c>
      <c r="M69" s="174" t="s">
        <v>20</v>
      </c>
      <c r="N69" s="174">
        <v>129</v>
      </c>
    </row>
    <row r="70" spans="1:45" s="174" customFormat="1" ht="35" customHeight="1">
      <c r="A70" s="174">
        <f>ROW()-2</f>
        <v>68</v>
      </c>
      <c r="B70" s="174" t="s">
        <v>14</v>
      </c>
      <c r="C70" s="174" t="s">
        <v>381</v>
      </c>
      <c r="D70" s="174" t="s">
        <v>779</v>
      </c>
      <c r="E70" s="174" t="s">
        <v>739</v>
      </c>
      <c r="F70" s="174" t="s">
        <v>831</v>
      </c>
      <c r="G70" s="174" t="s">
        <v>832</v>
      </c>
      <c r="H70" s="174" t="s">
        <v>833</v>
      </c>
      <c r="I70" s="174" t="s">
        <v>29</v>
      </c>
      <c r="J70" s="175">
        <v>44123</v>
      </c>
      <c r="K70" s="174">
        <v>8</v>
      </c>
      <c r="L70" s="176">
        <v>1.369166667</v>
      </c>
      <c r="M70" s="174" t="s">
        <v>20</v>
      </c>
      <c r="N70" s="174">
        <v>99</v>
      </c>
    </row>
    <row r="71" spans="1:45" s="174" customFormat="1" ht="35" customHeight="1">
      <c r="A71" s="174">
        <f>ROW()-2</f>
        <v>69</v>
      </c>
      <c r="B71" s="174" t="s">
        <v>14</v>
      </c>
      <c r="C71" s="174" t="s">
        <v>381</v>
      </c>
      <c r="D71" s="174" t="s">
        <v>779</v>
      </c>
      <c r="E71" s="174" t="s">
        <v>757</v>
      </c>
      <c r="F71" s="174" t="s">
        <v>892</v>
      </c>
      <c r="G71" s="174" t="s">
        <v>892</v>
      </c>
      <c r="H71" s="174" t="s">
        <v>893</v>
      </c>
      <c r="I71" s="174" t="s">
        <v>29</v>
      </c>
      <c r="J71" s="175">
        <v>44509</v>
      </c>
      <c r="K71" s="174">
        <v>13</v>
      </c>
      <c r="L71" s="176">
        <v>2.1974999999999998</v>
      </c>
      <c r="M71" s="174" t="s">
        <v>20</v>
      </c>
      <c r="N71" s="174">
        <v>99</v>
      </c>
    </row>
    <row r="72" spans="1:45" s="174" customFormat="1" ht="35" customHeight="1">
      <c r="A72" s="174">
        <f>ROW()-2</f>
        <v>70</v>
      </c>
      <c r="B72" s="174" t="s">
        <v>14</v>
      </c>
      <c r="C72" s="174" t="s">
        <v>381</v>
      </c>
      <c r="D72" s="174" t="s">
        <v>779</v>
      </c>
      <c r="E72" s="174" t="s">
        <v>757</v>
      </c>
      <c r="F72" s="174" t="s">
        <v>2621</v>
      </c>
      <c r="G72" s="174" t="s">
        <v>905</v>
      </c>
      <c r="H72" s="174" t="s">
        <v>900</v>
      </c>
      <c r="I72" s="174" t="s">
        <v>17</v>
      </c>
      <c r="J72" s="175">
        <v>44531</v>
      </c>
      <c r="K72" s="174">
        <v>24</v>
      </c>
      <c r="L72" s="176">
        <v>3.8574999999999999</v>
      </c>
      <c r="M72" s="174" t="s">
        <v>20</v>
      </c>
      <c r="N72" s="174">
        <v>199</v>
      </c>
    </row>
    <row r="73" spans="1:45" s="174" customFormat="1" ht="35" customHeight="1">
      <c r="A73" s="174">
        <f>ROW()-2</f>
        <v>71</v>
      </c>
      <c r="B73" s="174" t="s">
        <v>14</v>
      </c>
      <c r="C73" s="174" t="s">
        <v>381</v>
      </c>
      <c r="D73" s="174" t="s">
        <v>779</v>
      </c>
      <c r="E73" s="174" t="s">
        <v>757</v>
      </c>
      <c r="F73" s="174" t="s">
        <v>2622</v>
      </c>
      <c r="G73" s="174" t="s">
        <v>903</v>
      </c>
      <c r="H73" s="174" t="s">
        <v>904</v>
      </c>
      <c r="I73" s="174" t="s">
        <v>29</v>
      </c>
      <c r="J73" s="175">
        <v>44531</v>
      </c>
      <c r="K73" s="174">
        <v>32</v>
      </c>
      <c r="L73" s="176">
        <v>4.9922222219999997</v>
      </c>
      <c r="M73" s="174" t="s">
        <v>20</v>
      </c>
      <c r="N73" s="174">
        <v>99</v>
      </c>
    </row>
    <row r="74" spans="1:45" s="174" customFormat="1" ht="35" customHeight="1">
      <c r="A74" s="174">
        <f>ROW()-2</f>
        <v>72</v>
      </c>
      <c r="B74" s="174" t="s">
        <v>14</v>
      </c>
      <c r="C74" s="174" t="s">
        <v>381</v>
      </c>
      <c r="D74" s="174" t="s">
        <v>779</v>
      </c>
      <c r="E74" s="174" t="s">
        <v>732</v>
      </c>
      <c r="F74" s="174" t="s">
        <v>906</v>
      </c>
      <c r="G74" s="174" t="s">
        <v>907</v>
      </c>
      <c r="H74" s="174" t="s">
        <v>908</v>
      </c>
      <c r="I74" s="174" t="s">
        <v>29</v>
      </c>
      <c r="J74" s="175">
        <v>44531</v>
      </c>
      <c r="K74" s="174">
        <v>20</v>
      </c>
      <c r="L74" s="176">
        <v>3.0661111110000001</v>
      </c>
      <c r="M74" s="174" t="s">
        <v>20</v>
      </c>
      <c r="N74" s="174">
        <v>19.899999999999999</v>
      </c>
    </row>
    <row r="75" spans="1:45" s="174" customFormat="1" ht="35" customHeight="1">
      <c r="A75" s="174">
        <f>ROW()-2</f>
        <v>73</v>
      </c>
      <c r="B75" s="181" t="s">
        <v>5611</v>
      </c>
      <c r="C75" s="181" t="s">
        <v>5632</v>
      </c>
      <c r="D75" s="181" t="s">
        <v>779</v>
      </c>
      <c r="E75" s="181" t="s">
        <v>757</v>
      </c>
      <c r="F75" s="181" t="s">
        <v>5620</v>
      </c>
      <c r="G75" s="181" t="s">
        <v>5620</v>
      </c>
      <c r="H75" s="181" t="s">
        <v>5621</v>
      </c>
      <c r="I75" s="181" t="s">
        <v>17</v>
      </c>
      <c r="J75" s="177">
        <v>44620</v>
      </c>
      <c r="K75" s="181">
        <v>14</v>
      </c>
      <c r="L75" s="179">
        <v>4.4800000000000004</v>
      </c>
      <c r="M75" s="181" t="s">
        <v>20</v>
      </c>
      <c r="N75" s="181">
        <v>89</v>
      </c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  <c r="AK75" s="181"/>
      <c r="AL75" s="181"/>
      <c r="AM75" s="181"/>
      <c r="AN75" s="181"/>
      <c r="AO75" s="181"/>
      <c r="AP75" s="181"/>
      <c r="AQ75" s="181"/>
      <c r="AR75" s="181"/>
      <c r="AS75" s="181"/>
    </row>
    <row r="76" spans="1:45" s="174" customFormat="1" ht="35" customHeight="1">
      <c r="A76" s="174">
        <f>ROW()-2</f>
        <v>74</v>
      </c>
      <c r="B76" s="181" t="s">
        <v>5611</v>
      </c>
      <c r="C76" s="181" t="s">
        <v>5632</v>
      </c>
      <c r="D76" s="181" t="s">
        <v>779</v>
      </c>
      <c r="E76" s="181" t="s">
        <v>732</v>
      </c>
      <c r="F76" s="181" t="s">
        <v>5612</v>
      </c>
      <c r="G76" s="181" t="s">
        <v>5622</v>
      </c>
      <c r="H76" s="181" t="s">
        <v>5623</v>
      </c>
      <c r="I76" s="181" t="s">
        <v>17</v>
      </c>
      <c r="J76" s="177">
        <v>44620</v>
      </c>
      <c r="K76" s="181">
        <v>4</v>
      </c>
      <c r="L76" s="179">
        <v>0.5</v>
      </c>
      <c r="M76" s="181" t="s">
        <v>20</v>
      </c>
      <c r="N76" s="181">
        <v>64</v>
      </c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  <c r="AK76" s="181"/>
      <c r="AL76" s="181"/>
      <c r="AM76" s="181"/>
      <c r="AN76" s="181"/>
      <c r="AO76" s="181"/>
      <c r="AP76" s="181"/>
      <c r="AQ76" s="181"/>
      <c r="AR76" s="181"/>
      <c r="AS76" s="181"/>
    </row>
    <row r="77" spans="1:45" s="174" customFormat="1" ht="35" customHeight="1">
      <c r="A77" s="174">
        <f>ROW()-2</f>
        <v>75</v>
      </c>
      <c r="B77" s="181" t="s">
        <v>5679</v>
      </c>
      <c r="C77" s="181" t="s">
        <v>5709</v>
      </c>
      <c r="D77" s="181" t="s">
        <v>779</v>
      </c>
      <c r="E77" s="181" t="s">
        <v>757</v>
      </c>
      <c r="F77" s="262" t="s">
        <v>5675</v>
      </c>
      <c r="G77" s="262" t="s">
        <v>5675</v>
      </c>
      <c r="H77" s="262" t="s">
        <v>5685</v>
      </c>
      <c r="I77" s="262" t="s">
        <v>5682</v>
      </c>
      <c r="J77" s="307" t="s">
        <v>5683</v>
      </c>
      <c r="K77" s="181" t="s">
        <v>5684</v>
      </c>
      <c r="L77" s="177">
        <v>44634</v>
      </c>
      <c r="M77" s="22">
        <v>20</v>
      </c>
      <c r="N77" s="308">
        <v>4.5999999999999996</v>
      </c>
      <c r="O77" s="22" t="s">
        <v>5691</v>
      </c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5" s="174" customFormat="1" ht="35" customHeight="1">
      <c r="A78" s="174">
        <f>ROW()-2</f>
        <v>76</v>
      </c>
      <c r="B78" s="174" t="s">
        <v>14</v>
      </c>
      <c r="C78" s="174" t="s">
        <v>381</v>
      </c>
      <c r="D78" s="174" t="s">
        <v>736</v>
      </c>
      <c r="E78" s="174" t="s">
        <v>732</v>
      </c>
      <c r="F78" s="174" t="s">
        <v>737</v>
      </c>
      <c r="G78" s="174" t="s">
        <v>738</v>
      </c>
      <c r="H78" s="174" t="s">
        <v>16</v>
      </c>
      <c r="I78" s="174" t="s">
        <v>29</v>
      </c>
      <c r="J78" s="175">
        <v>43238</v>
      </c>
      <c r="K78" s="174">
        <v>61</v>
      </c>
      <c r="L78" s="176">
        <v>10.27638889</v>
      </c>
      <c r="M78" s="174" t="s">
        <v>20</v>
      </c>
      <c r="N78" s="174">
        <v>99</v>
      </c>
    </row>
    <row r="79" spans="1:45" s="174" customFormat="1" ht="35" customHeight="1">
      <c r="A79" s="174">
        <f>ROW()-2</f>
        <v>77</v>
      </c>
      <c r="B79" s="174" t="s">
        <v>14</v>
      </c>
      <c r="C79" s="174" t="s">
        <v>381</v>
      </c>
      <c r="D79" s="174" t="s">
        <v>736</v>
      </c>
      <c r="E79" s="174" t="s">
        <v>739</v>
      </c>
      <c r="F79" s="174" t="s">
        <v>740</v>
      </c>
      <c r="G79" s="174" t="s">
        <v>741</v>
      </c>
      <c r="H79" s="174" t="s">
        <v>742</v>
      </c>
      <c r="I79" s="174" t="s">
        <v>29</v>
      </c>
      <c r="J79" s="175">
        <v>43321</v>
      </c>
      <c r="K79" s="174">
        <v>30</v>
      </c>
      <c r="L79" s="176">
        <v>4.7850000000000001</v>
      </c>
      <c r="M79" s="174" t="s">
        <v>20</v>
      </c>
      <c r="N79" s="174">
        <v>99</v>
      </c>
    </row>
    <row r="80" spans="1:45" s="174" customFormat="1" ht="35" customHeight="1">
      <c r="A80" s="174">
        <f>ROW()-2</f>
        <v>78</v>
      </c>
      <c r="B80" s="174" t="s">
        <v>14</v>
      </c>
      <c r="C80" s="174" t="s">
        <v>381</v>
      </c>
      <c r="D80" s="174" t="s">
        <v>736</v>
      </c>
      <c r="E80" s="174" t="s">
        <v>739</v>
      </c>
      <c r="F80" s="174" t="s">
        <v>750</v>
      </c>
      <c r="G80" s="174" t="s">
        <v>751</v>
      </c>
      <c r="H80" s="174" t="s">
        <v>752</v>
      </c>
      <c r="I80" s="174" t="s">
        <v>29</v>
      </c>
      <c r="J80" s="175">
        <v>43488</v>
      </c>
      <c r="K80" s="174">
        <v>72</v>
      </c>
      <c r="L80" s="176">
        <v>13.57138889</v>
      </c>
      <c r="M80" s="174" t="s">
        <v>89</v>
      </c>
      <c r="N80" s="174">
        <v>129</v>
      </c>
    </row>
    <row r="81" spans="1:14" s="174" customFormat="1" ht="35" customHeight="1">
      <c r="A81" s="174">
        <f>ROW()-2</f>
        <v>79</v>
      </c>
      <c r="B81" s="174" t="s">
        <v>14</v>
      </c>
      <c r="C81" s="174" t="s">
        <v>381</v>
      </c>
      <c r="D81" s="174" t="s">
        <v>736</v>
      </c>
      <c r="E81" s="174" t="s">
        <v>757</v>
      </c>
      <c r="F81" s="174" t="s">
        <v>2623</v>
      </c>
      <c r="G81" s="174" t="s">
        <v>759</v>
      </c>
      <c r="H81" s="174" t="s">
        <v>760</v>
      </c>
      <c r="I81" s="174" t="s">
        <v>29</v>
      </c>
      <c r="J81" s="175">
        <v>43563</v>
      </c>
      <c r="K81" s="174">
        <v>76</v>
      </c>
      <c r="L81" s="176">
        <v>20.003611110000001</v>
      </c>
      <c r="M81" s="174" t="s">
        <v>20</v>
      </c>
      <c r="N81" s="174">
        <v>99</v>
      </c>
    </row>
    <row r="82" spans="1:14" s="174" customFormat="1" ht="35" customHeight="1">
      <c r="A82" s="174">
        <f>ROW()-2</f>
        <v>80</v>
      </c>
      <c r="B82" s="174" t="s">
        <v>14</v>
      </c>
      <c r="C82" s="174" t="s">
        <v>381</v>
      </c>
      <c r="D82" s="174" t="s">
        <v>736</v>
      </c>
      <c r="E82" s="174" t="s">
        <v>732</v>
      </c>
      <c r="F82" s="174" t="s">
        <v>765</v>
      </c>
      <c r="G82" s="174" t="s">
        <v>766</v>
      </c>
      <c r="H82" s="174" t="s">
        <v>16</v>
      </c>
      <c r="I82" s="174" t="s">
        <v>17</v>
      </c>
      <c r="J82" s="175">
        <v>43579</v>
      </c>
      <c r="K82" s="174">
        <v>40</v>
      </c>
      <c r="L82" s="176">
        <v>3.5747222220000001</v>
      </c>
      <c r="M82" s="174" t="s">
        <v>20</v>
      </c>
      <c r="N82" s="174">
        <v>99</v>
      </c>
    </row>
    <row r="83" spans="1:14" s="174" customFormat="1" ht="35" customHeight="1">
      <c r="A83" s="174">
        <f>ROW()-2</f>
        <v>81</v>
      </c>
      <c r="B83" s="174" t="s">
        <v>14</v>
      </c>
      <c r="C83" s="174" t="s">
        <v>381</v>
      </c>
      <c r="D83" s="174" t="s">
        <v>736</v>
      </c>
      <c r="E83" s="174" t="s">
        <v>757</v>
      </c>
      <c r="F83" s="174" t="s">
        <v>770</v>
      </c>
      <c r="G83" s="174" t="s">
        <v>771</v>
      </c>
      <c r="H83" s="174" t="s">
        <v>772</v>
      </c>
      <c r="I83" s="174" t="s">
        <v>29</v>
      </c>
      <c r="J83" s="175">
        <v>43659</v>
      </c>
      <c r="K83" s="174">
        <v>59</v>
      </c>
      <c r="L83" s="176">
        <v>9.2888888890000008</v>
      </c>
      <c r="M83" s="174" t="s">
        <v>89</v>
      </c>
      <c r="N83" s="174">
        <v>99</v>
      </c>
    </row>
    <row r="84" spans="1:14" s="174" customFormat="1" ht="35" customHeight="1">
      <c r="A84" s="174">
        <f>ROW()-2</f>
        <v>82</v>
      </c>
      <c r="B84" s="174" t="s">
        <v>14</v>
      </c>
      <c r="C84" s="174" t="s">
        <v>381</v>
      </c>
      <c r="D84" s="174" t="s">
        <v>736</v>
      </c>
      <c r="E84" s="174" t="s">
        <v>757</v>
      </c>
      <c r="F84" s="174" t="s">
        <v>820</v>
      </c>
      <c r="G84" s="174" t="s">
        <v>821</v>
      </c>
      <c r="H84" s="174" t="s">
        <v>822</v>
      </c>
      <c r="I84" s="174" t="s">
        <v>29</v>
      </c>
      <c r="J84" s="175">
        <v>44053</v>
      </c>
      <c r="K84" s="174">
        <v>27</v>
      </c>
      <c r="L84" s="176">
        <v>5.0436111109999997</v>
      </c>
      <c r="M84" s="174" t="s">
        <v>20</v>
      </c>
      <c r="N84" s="174">
        <v>199</v>
      </c>
    </row>
    <row r="85" spans="1:14" s="174" customFormat="1" ht="35" customHeight="1">
      <c r="A85" s="174">
        <f>ROW()-2</f>
        <v>83</v>
      </c>
      <c r="B85" s="174" t="s">
        <v>14</v>
      </c>
      <c r="C85" s="174" t="s">
        <v>381</v>
      </c>
      <c r="D85" s="174" t="s">
        <v>736</v>
      </c>
      <c r="E85" s="174" t="s">
        <v>732</v>
      </c>
      <c r="F85" s="174" t="s">
        <v>846</v>
      </c>
      <c r="G85" s="174" t="s">
        <v>847</v>
      </c>
      <c r="H85" s="174" t="s">
        <v>848</v>
      </c>
      <c r="I85" s="174" t="s">
        <v>29</v>
      </c>
      <c r="J85" s="175">
        <v>44175</v>
      </c>
      <c r="K85" s="174">
        <v>22</v>
      </c>
      <c r="L85" s="176">
        <v>3.6963888890000001</v>
      </c>
      <c r="M85" s="174" t="s">
        <v>20</v>
      </c>
      <c r="N85" s="174">
        <v>99</v>
      </c>
    </row>
    <row r="86" spans="1:14" s="174" customFormat="1" ht="35" customHeight="1">
      <c r="A86" s="174">
        <f>ROW()-2</f>
        <v>84</v>
      </c>
      <c r="B86" s="174" t="s">
        <v>14</v>
      </c>
      <c r="C86" s="174" t="s">
        <v>381</v>
      </c>
      <c r="D86" s="174" t="s">
        <v>736</v>
      </c>
      <c r="E86" s="174" t="s">
        <v>732</v>
      </c>
      <c r="F86" s="174" t="s">
        <v>865</v>
      </c>
      <c r="G86" s="174" t="s">
        <v>866</v>
      </c>
      <c r="H86" s="174" t="s">
        <v>867</v>
      </c>
      <c r="I86" s="174" t="s">
        <v>29</v>
      </c>
      <c r="J86" s="175">
        <v>44307</v>
      </c>
      <c r="K86" s="174">
        <v>29</v>
      </c>
      <c r="L86" s="176">
        <v>5.0083333330000004</v>
      </c>
      <c r="M86" s="174" t="s">
        <v>20</v>
      </c>
      <c r="N86" s="174">
        <v>129</v>
      </c>
    </row>
    <row r="87" spans="1:14" s="174" customFormat="1" ht="35" customHeight="1">
      <c r="A87" s="174">
        <f>ROW()-2</f>
        <v>85</v>
      </c>
      <c r="B87" s="174" t="s">
        <v>14</v>
      </c>
      <c r="C87" s="174" t="s">
        <v>381</v>
      </c>
      <c r="D87" s="174" t="s">
        <v>736</v>
      </c>
      <c r="E87" s="174" t="s">
        <v>739</v>
      </c>
      <c r="F87" s="174" t="s">
        <v>872</v>
      </c>
      <c r="G87" s="174" t="s">
        <v>873</v>
      </c>
      <c r="H87" s="174" t="s">
        <v>16</v>
      </c>
      <c r="I87" s="174" t="s">
        <v>17</v>
      </c>
      <c r="J87" s="175">
        <v>44357</v>
      </c>
      <c r="K87" s="174">
        <v>24</v>
      </c>
      <c r="L87" s="176">
        <v>5.8875000000000002</v>
      </c>
      <c r="M87" s="174" t="s">
        <v>20</v>
      </c>
      <c r="N87" s="174">
        <v>199</v>
      </c>
    </row>
    <row r="88" spans="1:14" s="174" customFormat="1" ht="35" customHeight="1">
      <c r="A88" s="174">
        <f>ROW()-2</f>
        <v>86</v>
      </c>
      <c r="B88" s="174" t="s">
        <v>14</v>
      </c>
      <c r="C88" s="174" t="s">
        <v>381</v>
      </c>
      <c r="D88" s="174" t="s">
        <v>736</v>
      </c>
      <c r="E88" s="174" t="s">
        <v>732</v>
      </c>
      <c r="F88" s="174" t="s">
        <v>940</v>
      </c>
      <c r="G88" s="174" t="s">
        <v>941</v>
      </c>
      <c r="H88" s="174" t="s">
        <v>942</v>
      </c>
      <c r="I88" s="174" t="s">
        <v>17</v>
      </c>
      <c r="J88" s="175">
        <v>44463</v>
      </c>
      <c r="K88" s="174">
        <v>23</v>
      </c>
      <c r="L88" s="176">
        <v>3.298611111</v>
      </c>
      <c r="M88" s="174" t="s">
        <v>20</v>
      </c>
      <c r="N88" s="174">
        <v>199</v>
      </c>
    </row>
    <row r="89" spans="1:14" s="174" customFormat="1" ht="35" customHeight="1">
      <c r="A89" s="174">
        <f>ROW()-2</f>
        <v>87</v>
      </c>
      <c r="B89" s="174" t="s">
        <v>14</v>
      </c>
      <c r="C89" s="174" t="s">
        <v>381</v>
      </c>
      <c r="D89" s="174" t="s">
        <v>736</v>
      </c>
      <c r="E89" s="174" t="s">
        <v>739</v>
      </c>
      <c r="F89" s="174" t="s">
        <v>43</v>
      </c>
      <c r="G89" s="174" t="s">
        <v>44</v>
      </c>
      <c r="H89" s="174" t="s">
        <v>45</v>
      </c>
      <c r="I89" s="174" t="s">
        <v>29</v>
      </c>
      <c r="J89" s="175">
        <v>44489</v>
      </c>
      <c r="K89" s="174">
        <v>10</v>
      </c>
      <c r="L89" s="176">
        <v>2.1652777780000001</v>
      </c>
      <c r="M89" s="174" t="s">
        <v>89</v>
      </c>
      <c r="N89" s="174">
        <v>168</v>
      </c>
    </row>
    <row r="90" spans="1:14" s="174" customFormat="1" ht="35" customHeight="1">
      <c r="A90" s="174">
        <f>ROW()-2</f>
        <v>88</v>
      </c>
      <c r="B90" s="174" t="s">
        <v>14</v>
      </c>
      <c r="C90" s="174" t="s">
        <v>381</v>
      </c>
      <c r="D90" s="174" t="s">
        <v>736</v>
      </c>
      <c r="E90" s="174" t="s">
        <v>757</v>
      </c>
      <c r="F90" s="174" t="s">
        <v>897</v>
      </c>
      <c r="G90" s="174" t="s">
        <v>897</v>
      </c>
      <c r="H90" s="174" t="s">
        <v>898</v>
      </c>
      <c r="I90" s="174" t="s">
        <v>17</v>
      </c>
      <c r="J90" s="175">
        <v>44519</v>
      </c>
      <c r="K90" s="174">
        <v>22</v>
      </c>
      <c r="L90" s="176">
        <v>4.5819444440000003</v>
      </c>
      <c r="M90" s="174" t="s">
        <v>20</v>
      </c>
      <c r="N90" s="174">
        <v>399</v>
      </c>
    </row>
    <row r="91" spans="1:14" s="174" customFormat="1" ht="35" customHeight="1">
      <c r="A91" s="174">
        <f>ROW()-2</f>
        <v>89</v>
      </c>
      <c r="B91" s="174" t="s">
        <v>14</v>
      </c>
      <c r="C91" s="174" t="s">
        <v>381</v>
      </c>
      <c r="D91" s="174" t="s">
        <v>736</v>
      </c>
      <c r="E91" s="174" t="s">
        <v>732</v>
      </c>
      <c r="F91" s="174" t="s">
        <v>899</v>
      </c>
      <c r="G91" s="174" t="s">
        <v>899</v>
      </c>
      <c r="H91" s="174" t="s">
        <v>900</v>
      </c>
      <c r="I91" s="174" t="s">
        <v>17</v>
      </c>
      <c r="J91" s="175">
        <v>44519</v>
      </c>
      <c r="K91" s="174">
        <v>32</v>
      </c>
      <c r="L91" s="176">
        <v>4.0077777780000003</v>
      </c>
      <c r="M91" s="174" t="s">
        <v>20</v>
      </c>
      <c r="N91" s="174">
        <v>99</v>
      </c>
    </row>
    <row r="92" spans="1:14" s="174" customFormat="1" ht="35" customHeight="1">
      <c r="A92" s="174">
        <f>ROW()-2</f>
        <v>90</v>
      </c>
      <c r="B92" s="174" t="s">
        <v>14</v>
      </c>
      <c r="C92" s="174" t="s">
        <v>381</v>
      </c>
      <c r="D92" s="174" t="s">
        <v>736</v>
      </c>
      <c r="E92" s="174" t="s">
        <v>739</v>
      </c>
      <c r="F92" s="174" t="s">
        <v>901</v>
      </c>
      <c r="G92" s="174" t="s">
        <v>901</v>
      </c>
      <c r="H92" s="174" t="s">
        <v>900</v>
      </c>
      <c r="I92" s="174" t="s">
        <v>17</v>
      </c>
      <c r="J92" s="175">
        <v>44519</v>
      </c>
      <c r="K92" s="174">
        <v>46</v>
      </c>
      <c r="L92" s="176">
        <v>6.9136111109999998</v>
      </c>
      <c r="M92" s="174" t="s">
        <v>20</v>
      </c>
      <c r="N92" s="174">
        <v>199</v>
      </c>
    </row>
    <row r="93" spans="1:14" s="174" customFormat="1" ht="35" customHeight="1">
      <c r="A93" s="174">
        <f>ROW()-2</f>
        <v>91</v>
      </c>
      <c r="B93" s="174" t="s">
        <v>14</v>
      </c>
      <c r="C93" s="174" t="s">
        <v>381</v>
      </c>
      <c r="D93" s="174" t="s">
        <v>736</v>
      </c>
      <c r="E93" s="174" t="s">
        <v>757</v>
      </c>
      <c r="F93" s="174" t="s">
        <v>912</v>
      </c>
      <c r="G93" s="174" t="s">
        <v>912</v>
      </c>
      <c r="H93" s="174" t="s">
        <v>913</v>
      </c>
      <c r="I93" s="174" t="s">
        <v>29</v>
      </c>
      <c r="J93" s="175">
        <v>44531</v>
      </c>
      <c r="K93" s="174">
        <v>33</v>
      </c>
      <c r="L93" s="176">
        <v>5.0019444440000003</v>
      </c>
      <c r="M93" s="174" t="s">
        <v>20</v>
      </c>
      <c r="N93" s="174">
        <v>199</v>
      </c>
    </row>
    <row r="94" spans="1:14" s="174" customFormat="1" ht="35" customHeight="1">
      <c r="A94" s="174">
        <f>ROW()-2</f>
        <v>92</v>
      </c>
      <c r="B94" s="174" t="s">
        <v>14</v>
      </c>
      <c r="C94" s="174" t="s">
        <v>381</v>
      </c>
      <c r="D94" s="174" t="s">
        <v>736</v>
      </c>
      <c r="E94" s="174" t="s">
        <v>739</v>
      </c>
      <c r="F94" s="174" t="s">
        <v>914</v>
      </c>
      <c r="G94" s="174" t="s">
        <v>914</v>
      </c>
      <c r="H94" s="174" t="s">
        <v>2508</v>
      </c>
      <c r="I94" s="174" t="s">
        <v>29</v>
      </c>
      <c r="J94" s="175">
        <v>44531</v>
      </c>
      <c r="K94" s="174">
        <v>24</v>
      </c>
      <c r="L94" s="176">
        <v>4.0308333330000004</v>
      </c>
      <c r="M94" s="174" t="s">
        <v>20</v>
      </c>
      <c r="N94" s="174">
        <v>69</v>
      </c>
    </row>
    <row r="95" spans="1:14" s="174" customFormat="1" ht="35" customHeight="1">
      <c r="A95" s="174">
        <f>ROW()-2</f>
        <v>93</v>
      </c>
      <c r="B95" s="174" t="s">
        <v>14</v>
      </c>
      <c r="C95" s="174" t="s">
        <v>381</v>
      </c>
      <c r="D95" s="174" t="s">
        <v>736</v>
      </c>
      <c r="E95" s="174" t="s">
        <v>732</v>
      </c>
      <c r="F95" s="174" t="s">
        <v>902</v>
      </c>
      <c r="G95" s="174" t="s">
        <v>902</v>
      </c>
      <c r="H95" s="174" t="s">
        <v>16</v>
      </c>
      <c r="I95" s="174" t="s">
        <v>29</v>
      </c>
      <c r="J95" s="175">
        <v>44531</v>
      </c>
      <c r="K95" s="174">
        <v>16</v>
      </c>
      <c r="L95" s="176">
        <v>3.2</v>
      </c>
      <c r="M95" s="174" t="s">
        <v>20</v>
      </c>
      <c r="N95" s="174">
        <v>99</v>
      </c>
    </row>
    <row r="96" spans="1:14" s="174" customFormat="1" ht="35" customHeight="1">
      <c r="A96" s="174">
        <f>ROW()-2</f>
        <v>94</v>
      </c>
      <c r="B96" s="174" t="s">
        <v>14</v>
      </c>
      <c r="C96" s="174" t="s">
        <v>381</v>
      </c>
      <c r="D96" s="174" t="s">
        <v>736</v>
      </c>
      <c r="E96" s="174" t="s">
        <v>757</v>
      </c>
      <c r="F96" s="174" t="s">
        <v>916</v>
      </c>
      <c r="G96" s="174" t="s">
        <v>916</v>
      </c>
      <c r="H96" s="174" t="s">
        <v>917</v>
      </c>
      <c r="I96" s="174" t="s">
        <v>29</v>
      </c>
      <c r="J96" s="175">
        <v>44550</v>
      </c>
      <c r="K96" s="174">
        <v>13</v>
      </c>
      <c r="L96" s="176">
        <v>2.8483333329999998</v>
      </c>
      <c r="M96" s="174" t="s">
        <v>89</v>
      </c>
      <c r="N96" s="174">
        <v>129</v>
      </c>
    </row>
    <row r="97" spans="1:45" ht="35" customHeight="1">
      <c r="A97" s="174">
        <f>ROW()-2</f>
        <v>95</v>
      </c>
      <c r="B97" s="174" t="s">
        <v>14</v>
      </c>
      <c r="C97" s="174" t="s">
        <v>381</v>
      </c>
      <c r="D97" s="174" t="s">
        <v>736</v>
      </c>
      <c r="E97" s="174" t="s">
        <v>732</v>
      </c>
      <c r="F97" s="174" t="s">
        <v>915</v>
      </c>
      <c r="G97" s="174" t="s">
        <v>915</v>
      </c>
      <c r="H97" s="174" t="s">
        <v>599</v>
      </c>
      <c r="I97" s="174" t="s">
        <v>17</v>
      </c>
      <c r="J97" s="175">
        <v>44550</v>
      </c>
      <c r="K97" s="174">
        <v>8</v>
      </c>
      <c r="L97" s="258">
        <v>1.3233333329999999</v>
      </c>
      <c r="M97" s="246" t="s">
        <v>20</v>
      </c>
      <c r="N97" s="246">
        <v>128</v>
      </c>
      <c r="O97" s="174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  <c r="AF97" s="246"/>
      <c r="AG97" s="246"/>
      <c r="AH97" s="246"/>
      <c r="AI97" s="246"/>
      <c r="AJ97" s="246"/>
      <c r="AK97" s="246"/>
      <c r="AL97" s="246"/>
      <c r="AM97" s="246"/>
      <c r="AN97" s="246"/>
      <c r="AO97" s="246"/>
      <c r="AP97" s="246"/>
      <c r="AQ97" s="246"/>
      <c r="AR97" s="246"/>
      <c r="AS97" s="246"/>
    </row>
    <row r="98" spans="1:45" ht="35" customHeight="1">
      <c r="A98" s="174">
        <f>ROW()-2</f>
        <v>96</v>
      </c>
      <c r="B98" s="174" t="s">
        <v>5353</v>
      </c>
      <c r="C98" s="246" t="s">
        <v>2636</v>
      </c>
      <c r="D98" s="246" t="s">
        <v>5342</v>
      </c>
      <c r="E98" s="246" t="s">
        <v>5343</v>
      </c>
      <c r="F98" s="246" t="s">
        <v>5344</v>
      </c>
      <c r="G98" s="246" t="s">
        <v>5344</v>
      </c>
      <c r="H98" s="246" t="s">
        <v>5345</v>
      </c>
      <c r="I98" s="174" t="s">
        <v>5341</v>
      </c>
      <c r="J98" s="247">
        <v>44599</v>
      </c>
      <c r="K98" s="253">
        <v>8</v>
      </c>
      <c r="L98" s="248">
        <v>0.9</v>
      </c>
      <c r="M98" s="253" t="s">
        <v>20</v>
      </c>
      <c r="N98" s="253">
        <v>128</v>
      </c>
      <c r="O98" s="246"/>
      <c r="P98" s="246"/>
      <c r="Q98" s="324"/>
      <c r="R98" s="324"/>
      <c r="S98" s="324"/>
      <c r="T98" s="324"/>
      <c r="U98" s="324"/>
      <c r="V98" s="324"/>
      <c r="W98" s="324"/>
      <c r="X98" s="324"/>
      <c r="Y98" s="324"/>
      <c r="Z98" s="324"/>
      <c r="AA98" s="324"/>
      <c r="AB98" s="324"/>
      <c r="AC98" s="324"/>
      <c r="AD98" s="324"/>
      <c r="AE98" s="324"/>
      <c r="AF98" s="324"/>
      <c r="AG98" s="324"/>
      <c r="AH98" s="324"/>
      <c r="AI98" s="324"/>
      <c r="AJ98" s="324"/>
      <c r="AK98" s="324"/>
      <c r="AL98" s="324"/>
      <c r="AM98" s="324"/>
      <c r="AN98" s="324"/>
      <c r="AO98" s="324"/>
      <c r="AP98" s="324"/>
      <c r="AQ98" s="324"/>
      <c r="AR98" s="324"/>
      <c r="AS98" s="324"/>
    </row>
    <row r="99" spans="1:45" s="252" customFormat="1" ht="35" customHeight="1">
      <c r="A99" s="174">
        <f>ROW()-2</f>
        <v>97</v>
      </c>
      <c r="B99" s="253" t="s">
        <v>5640</v>
      </c>
      <c r="C99" s="253" t="s">
        <v>2636</v>
      </c>
      <c r="D99" s="253" t="s">
        <v>1594</v>
      </c>
      <c r="E99" s="253" t="s">
        <v>5647</v>
      </c>
      <c r="F99" s="253" t="s">
        <v>5648</v>
      </c>
      <c r="G99" s="253" t="s">
        <v>5648</v>
      </c>
      <c r="H99" s="253" t="s">
        <v>5649</v>
      </c>
      <c r="I99" s="253" t="s">
        <v>5643</v>
      </c>
      <c r="J99" s="247">
        <v>44627</v>
      </c>
      <c r="K99" s="253">
        <v>10</v>
      </c>
      <c r="L99" s="273">
        <v>2.1</v>
      </c>
      <c r="M99" s="253" t="s">
        <v>20</v>
      </c>
      <c r="N99" s="252">
        <v>399</v>
      </c>
      <c r="O99" s="253"/>
    </row>
    <row r="100" spans="1:45" s="252" customFormat="1" ht="35" customHeight="1">
      <c r="A100" s="174">
        <f>ROW()-2</f>
        <v>98</v>
      </c>
      <c r="B100" s="246" t="s">
        <v>1577</v>
      </c>
      <c r="C100" s="246" t="s">
        <v>381</v>
      </c>
      <c r="D100" s="246" t="s">
        <v>382</v>
      </c>
      <c r="E100" s="246" t="s">
        <v>757</v>
      </c>
      <c r="F100" s="246" t="s">
        <v>1754</v>
      </c>
      <c r="G100" s="246" t="s">
        <v>1755</v>
      </c>
      <c r="H100" s="246" t="s">
        <v>1756</v>
      </c>
      <c r="I100" s="246" t="s">
        <v>29</v>
      </c>
      <c r="J100" s="257">
        <v>43640</v>
      </c>
      <c r="K100" s="246">
        <v>15</v>
      </c>
      <c r="L100" s="258">
        <v>2.0216666669999999</v>
      </c>
      <c r="M100" s="246" t="s">
        <v>20</v>
      </c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  <c r="AB100" s="246"/>
      <c r="AC100" s="246"/>
      <c r="AD100" s="246"/>
      <c r="AE100" s="246"/>
      <c r="AF100" s="246"/>
      <c r="AG100" s="246"/>
      <c r="AH100" s="246"/>
      <c r="AI100" s="246"/>
      <c r="AJ100" s="246"/>
      <c r="AK100" s="246"/>
      <c r="AL100" s="246"/>
      <c r="AM100" s="246"/>
      <c r="AN100" s="246"/>
      <c r="AO100" s="246"/>
      <c r="AP100" s="246"/>
      <c r="AQ100" s="246"/>
      <c r="AR100" s="246"/>
      <c r="AS100" s="246"/>
    </row>
    <row r="101" spans="1:45" s="252" customFormat="1" ht="35" customHeight="1">
      <c r="A101" s="174">
        <f>ROW()-2</f>
        <v>99</v>
      </c>
      <c r="B101" s="246" t="s">
        <v>1577</v>
      </c>
      <c r="C101" s="246" t="s">
        <v>381</v>
      </c>
      <c r="D101" s="246" t="s">
        <v>894</v>
      </c>
      <c r="E101" s="246" t="s">
        <v>739</v>
      </c>
      <c r="F101" s="246" t="s">
        <v>1758</v>
      </c>
      <c r="G101" s="246" t="s">
        <v>1759</v>
      </c>
      <c r="H101" s="246" t="s">
        <v>1007</v>
      </c>
      <c r="I101" s="246" t="s">
        <v>29</v>
      </c>
      <c r="J101" s="257">
        <v>43886</v>
      </c>
      <c r="K101" s="246">
        <v>1</v>
      </c>
      <c r="L101" s="258">
        <v>0.70277777799999996</v>
      </c>
      <c r="M101" s="246" t="s">
        <v>20</v>
      </c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  <c r="AF101" s="246"/>
      <c r="AG101" s="246"/>
      <c r="AH101" s="246"/>
      <c r="AI101" s="246"/>
      <c r="AJ101" s="246"/>
      <c r="AK101" s="246"/>
      <c r="AL101" s="246"/>
      <c r="AM101" s="246"/>
      <c r="AN101" s="246"/>
      <c r="AO101" s="246"/>
      <c r="AP101" s="246"/>
      <c r="AQ101" s="246"/>
      <c r="AR101" s="246"/>
      <c r="AS101" s="246"/>
    </row>
    <row r="102" spans="1:45" ht="35" customHeight="1">
      <c r="A102" s="174">
        <f>ROW()-2</f>
        <v>100</v>
      </c>
      <c r="B102" s="246" t="s">
        <v>1577</v>
      </c>
      <c r="C102" s="246" t="s">
        <v>381</v>
      </c>
      <c r="D102" s="246" t="s">
        <v>773</v>
      </c>
      <c r="E102" s="309" t="s">
        <v>739</v>
      </c>
      <c r="F102" s="309" t="s">
        <v>1751</v>
      </c>
      <c r="G102" s="309" t="s">
        <v>1752</v>
      </c>
      <c r="H102" s="309" t="s">
        <v>1753</v>
      </c>
      <c r="I102" s="246" t="s">
        <v>29</v>
      </c>
      <c r="J102" s="257">
        <v>43461</v>
      </c>
      <c r="K102" s="246">
        <v>33</v>
      </c>
      <c r="L102" s="258">
        <v>11.161944439999999</v>
      </c>
      <c r="M102" s="246" t="s">
        <v>20</v>
      </c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6"/>
      <c r="AC102" s="246"/>
      <c r="AD102" s="246"/>
      <c r="AE102" s="246"/>
      <c r="AF102" s="246"/>
      <c r="AG102" s="246"/>
      <c r="AH102" s="246"/>
      <c r="AI102" s="246"/>
      <c r="AJ102" s="246"/>
      <c r="AK102" s="246"/>
      <c r="AL102" s="246"/>
      <c r="AM102" s="246"/>
      <c r="AN102" s="246"/>
      <c r="AO102" s="246"/>
      <c r="AP102" s="246"/>
      <c r="AQ102" s="246"/>
      <c r="AR102" s="246"/>
      <c r="AS102" s="246"/>
    </row>
    <row r="103" spans="1:45" ht="35" customHeight="1">
      <c r="A103" s="174">
        <f>ROW()-2</f>
        <v>101</v>
      </c>
      <c r="B103" s="253" t="s">
        <v>5451</v>
      </c>
      <c r="C103" s="253" t="s">
        <v>2636</v>
      </c>
      <c r="D103" s="253" t="s">
        <v>5453</v>
      </c>
      <c r="E103" s="304" t="s">
        <v>2686</v>
      </c>
      <c r="F103" s="304" t="s">
        <v>5452</v>
      </c>
      <c r="G103" s="304" t="s">
        <v>5452</v>
      </c>
      <c r="H103" s="304" t="s">
        <v>5454</v>
      </c>
      <c r="I103" s="304" t="s">
        <v>5455</v>
      </c>
      <c r="J103" s="247">
        <v>44613</v>
      </c>
      <c r="K103" s="253">
        <v>26</v>
      </c>
      <c r="L103" s="258">
        <v>23.2</v>
      </c>
      <c r="M103" s="253" t="s">
        <v>5456</v>
      </c>
    </row>
  </sheetData>
  <sortState ref="A3:AS103">
    <sortCondition ref="B3:B103" customList="VIP 精品课，畅听课"/>
    <sortCondition ref="D3:D103" customList="管理认知，战略规划，目标策略，业务经营，组织发展，人才发展，文化建设，评价激励"/>
    <sortCondition ref="J3:J103"/>
  </sortState>
  <mergeCells count="1">
    <mergeCell ref="A1:N1"/>
  </mergeCells>
  <phoneticPr fontId="1" type="noConversion"/>
  <conditionalFormatting sqref="O4:O11">
    <cfRule type="duplicateValues" dxfId="11" priority="13"/>
    <cfRule type="duplicateValues" dxfId="10" priority="1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9DB1-BE10-4ACE-93E6-80A7E938A532}">
  <dimension ref="A1:KE1237"/>
  <sheetViews>
    <sheetView workbookViewId="0">
      <pane ySplit="3" topLeftCell="A4" activePane="bottomLeft" state="frozen"/>
      <selection pane="bottomLeft" activeCell="D5" sqref="D5"/>
    </sheetView>
  </sheetViews>
  <sheetFormatPr defaultColWidth="10.08203125" defaultRowHeight="35" customHeight="1"/>
  <cols>
    <col min="1" max="1" width="5.6640625" style="31" customWidth="1"/>
    <col min="2" max="2" width="8.58203125" style="31" customWidth="1"/>
    <col min="3" max="3" width="6.58203125" style="134" customWidth="1"/>
    <col min="4" max="4" width="27.1640625" style="135" customWidth="1"/>
    <col min="5" max="5" width="15.25" style="135" customWidth="1"/>
    <col min="6" max="6" width="13.9140625" style="135" customWidth="1"/>
    <col min="7" max="8" width="7.9140625" style="136" customWidth="1"/>
    <col min="9" max="9" width="10.6640625" style="137" customWidth="1"/>
    <col min="10" max="10" width="17.83203125" style="138" customWidth="1"/>
    <col min="11" max="11" width="8.25" style="137" customWidth="1"/>
    <col min="12" max="12" width="8.83203125" style="133" customWidth="1"/>
    <col min="13" max="13" width="8.4140625" style="30" customWidth="1"/>
    <col min="14" max="291" width="10.08203125" style="30"/>
    <col min="292" max="16384" width="10.08203125" style="31"/>
  </cols>
  <sheetData>
    <row r="1" spans="1:291" ht="35" customHeight="1">
      <c r="A1" s="294" t="s">
        <v>2724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302"/>
    </row>
    <row r="2" spans="1:291" ht="60" customHeight="1">
      <c r="A2" s="297" t="s">
        <v>2725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303"/>
      <c r="M2" s="32"/>
    </row>
    <row r="3" spans="1:291" s="34" customFormat="1" ht="35" customHeight="1">
      <c r="A3" s="139" t="s">
        <v>11</v>
      </c>
      <c r="B3" s="140" t="s">
        <v>2726</v>
      </c>
      <c r="C3" s="140" t="s">
        <v>2727</v>
      </c>
      <c r="D3" s="139" t="s">
        <v>2728</v>
      </c>
      <c r="E3" s="139" t="s">
        <v>2729</v>
      </c>
      <c r="F3" s="139" t="s">
        <v>4</v>
      </c>
      <c r="G3" s="141" t="s">
        <v>2730</v>
      </c>
      <c r="H3" s="142" t="s">
        <v>2731</v>
      </c>
      <c r="I3" s="143" t="s">
        <v>8</v>
      </c>
      <c r="J3" s="144" t="s">
        <v>6</v>
      </c>
      <c r="K3" s="143" t="s">
        <v>9</v>
      </c>
      <c r="L3" s="142" t="s">
        <v>10</v>
      </c>
      <c r="M3" s="33"/>
    </row>
    <row r="4" spans="1:291" s="35" customFormat="1" ht="35" customHeight="1">
      <c r="A4" s="23">
        <f>ROW()-3</f>
        <v>1</v>
      </c>
      <c r="B4" s="23" t="s">
        <v>2732</v>
      </c>
      <c r="C4" s="23" t="s">
        <v>2733</v>
      </c>
      <c r="D4" s="184" t="s">
        <v>2858</v>
      </c>
      <c r="E4" s="184" t="s">
        <v>571</v>
      </c>
      <c r="F4" s="184" t="s">
        <v>571</v>
      </c>
      <c r="G4" s="23" t="s">
        <v>34</v>
      </c>
      <c r="H4" s="23">
        <v>1</v>
      </c>
      <c r="I4" s="82">
        <v>0.63472222222222197</v>
      </c>
      <c r="J4" s="78">
        <v>43468</v>
      </c>
      <c r="K4" s="79" t="s">
        <v>20</v>
      </c>
      <c r="L4" s="23">
        <v>4.99</v>
      </c>
      <c r="M4" s="32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</row>
    <row r="5" spans="1:291" ht="35" customHeight="1">
      <c r="A5" s="23">
        <f>ROW()-3</f>
        <v>2</v>
      </c>
      <c r="B5" s="36" t="s">
        <v>2732</v>
      </c>
      <c r="C5" s="36" t="s">
        <v>2733</v>
      </c>
      <c r="D5" s="37" t="s">
        <v>2782</v>
      </c>
      <c r="E5" s="37" t="s">
        <v>2783</v>
      </c>
      <c r="F5" s="37" t="s">
        <v>2784</v>
      </c>
      <c r="G5" s="36" t="s">
        <v>34</v>
      </c>
      <c r="H5" s="36">
        <v>1</v>
      </c>
      <c r="I5" s="38">
        <v>0.54777777777777803</v>
      </c>
      <c r="J5" s="39">
        <v>43469</v>
      </c>
      <c r="K5" s="40" t="s">
        <v>20</v>
      </c>
      <c r="L5" s="41">
        <v>4.99</v>
      </c>
      <c r="M5" s="32"/>
    </row>
    <row r="6" spans="1:291" ht="35" customHeight="1">
      <c r="A6" s="23">
        <f>ROW()-3</f>
        <v>3</v>
      </c>
      <c r="B6" s="42" t="s">
        <v>2732</v>
      </c>
      <c r="C6" s="42" t="s">
        <v>2733</v>
      </c>
      <c r="D6" s="43" t="s">
        <v>2793</v>
      </c>
      <c r="E6" s="43" t="s">
        <v>2794</v>
      </c>
      <c r="F6" s="43" t="s">
        <v>2795</v>
      </c>
      <c r="G6" s="42" t="s">
        <v>34</v>
      </c>
      <c r="H6" s="42">
        <v>1</v>
      </c>
      <c r="I6" s="44">
        <v>0.71916666666666695</v>
      </c>
      <c r="J6" s="45">
        <v>43469</v>
      </c>
      <c r="K6" s="46" t="s">
        <v>20</v>
      </c>
      <c r="L6" s="47">
        <v>4.99</v>
      </c>
      <c r="M6" s="32"/>
    </row>
    <row r="7" spans="1:291" ht="35" customHeight="1">
      <c r="A7" s="23">
        <f>ROW()-3</f>
        <v>4</v>
      </c>
      <c r="B7" s="42" t="s">
        <v>2732</v>
      </c>
      <c r="C7" s="42" t="s">
        <v>2733</v>
      </c>
      <c r="D7" s="43" t="s">
        <v>2865</v>
      </c>
      <c r="E7" s="43" t="s">
        <v>2866</v>
      </c>
      <c r="F7" s="43" t="s">
        <v>2864</v>
      </c>
      <c r="G7" s="42" t="s">
        <v>34</v>
      </c>
      <c r="H7" s="42">
        <v>1</v>
      </c>
      <c r="I7" s="44">
        <v>0.75722222222222202</v>
      </c>
      <c r="J7" s="45">
        <v>43469</v>
      </c>
      <c r="K7" s="46" t="s">
        <v>20</v>
      </c>
      <c r="L7" s="47">
        <v>4.99</v>
      </c>
      <c r="M7" s="32"/>
    </row>
    <row r="8" spans="1:291" ht="35" customHeight="1">
      <c r="A8" s="23">
        <f>ROW()-3</f>
        <v>5</v>
      </c>
      <c r="B8" s="42" t="s">
        <v>2732</v>
      </c>
      <c r="C8" s="42" t="s">
        <v>2733</v>
      </c>
      <c r="D8" s="43" t="s">
        <v>2879</v>
      </c>
      <c r="E8" s="43" t="s">
        <v>2880</v>
      </c>
      <c r="F8" s="43" t="s">
        <v>2878</v>
      </c>
      <c r="G8" s="42" t="s">
        <v>34</v>
      </c>
      <c r="H8" s="42">
        <v>1</v>
      </c>
      <c r="I8" s="44">
        <v>0.49472222222222201</v>
      </c>
      <c r="J8" s="45">
        <v>43483</v>
      </c>
      <c r="K8" s="46" t="s">
        <v>20</v>
      </c>
      <c r="L8" s="47">
        <v>4.99</v>
      </c>
      <c r="M8" s="32"/>
    </row>
    <row r="9" spans="1:291" ht="35" customHeight="1">
      <c r="A9" s="23">
        <f>ROW()-3</f>
        <v>6</v>
      </c>
      <c r="B9" s="42" t="s">
        <v>2732</v>
      </c>
      <c r="C9" s="42" t="s">
        <v>2733</v>
      </c>
      <c r="D9" s="43" t="s">
        <v>2971</v>
      </c>
      <c r="E9" s="43" t="s">
        <v>2972</v>
      </c>
      <c r="F9" s="43" t="s">
        <v>2745</v>
      </c>
      <c r="G9" s="42" t="s">
        <v>34</v>
      </c>
      <c r="H9" s="42">
        <v>29</v>
      </c>
      <c r="I9" s="44">
        <v>8.8205555555555595</v>
      </c>
      <c r="J9" s="45">
        <v>43483</v>
      </c>
      <c r="K9" s="46" t="s">
        <v>20</v>
      </c>
      <c r="L9" s="48">
        <v>4.99</v>
      </c>
      <c r="M9" s="32"/>
    </row>
    <row r="10" spans="1:291" ht="35" customHeight="1">
      <c r="A10" s="23">
        <f>ROW()-3</f>
        <v>7</v>
      </c>
      <c r="B10" s="42" t="s">
        <v>2732</v>
      </c>
      <c r="C10" s="42" t="s">
        <v>2733</v>
      </c>
      <c r="D10" s="43" t="s">
        <v>2754</v>
      </c>
      <c r="E10" s="43" t="s">
        <v>2755</v>
      </c>
      <c r="F10" s="43" t="s">
        <v>2751</v>
      </c>
      <c r="G10" s="42" t="s">
        <v>34</v>
      </c>
      <c r="H10" s="42">
        <v>1</v>
      </c>
      <c r="I10" s="44">
        <v>0.40611111111111098</v>
      </c>
      <c r="J10" s="45">
        <v>43962</v>
      </c>
      <c r="K10" s="46" t="s">
        <v>20</v>
      </c>
      <c r="L10" s="47">
        <v>4.99</v>
      </c>
      <c r="M10" s="32"/>
    </row>
    <row r="11" spans="1:291" ht="35" customHeight="1">
      <c r="A11" s="23">
        <f>ROW()-3</f>
        <v>8</v>
      </c>
      <c r="B11" s="42" t="s">
        <v>2732</v>
      </c>
      <c r="C11" s="42" t="s">
        <v>2733</v>
      </c>
      <c r="D11" s="43" t="s">
        <v>2771</v>
      </c>
      <c r="E11" s="43" t="s">
        <v>2772</v>
      </c>
      <c r="F11" s="43" t="s">
        <v>2773</v>
      </c>
      <c r="G11" s="42" t="s">
        <v>34</v>
      </c>
      <c r="H11" s="42">
        <v>1</v>
      </c>
      <c r="I11" s="44">
        <v>0.35777777777777803</v>
      </c>
      <c r="J11" s="45">
        <v>43962</v>
      </c>
      <c r="K11" s="46" t="s">
        <v>20</v>
      </c>
      <c r="L11" s="47">
        <v>4.99</v>
      </c>
      <c r="M11" s="32"/>
    </row>
    <row r="12" spans="1:291" ht="35" customHeight="1">
      <c r="A12" s="23">
        <f>ROW()-3</f>
        <v>9</v>
      </c>
      <c r="B12" s="42" t="s">
        <v>2732</v>
      </c>
      <c r="C12" s="42" t="s">
        <v>2733</v>
      </c>
      <c r="D12" s="43" t="s">
        <v>2785</v>
      </c>
      <c r="E12" s="43" t="s">
        <v>2786</v>
      </c>
      <c r="F12" s="43" t="s">
        <v>2787</v>
      </c>
      <c r="G12" s="42" t="s">
        <v>34</v>
      </c>
      <c r="H12" s="42">
        <v>1</v>
      </c>
      <c r="I12" s="44">
        <v>0.45055555555555599</v>
      </c>
      <c r="J12" s="45">
        <v>43962</v>
      </c>
      <c r="K12" s="46" t="s">
        <v>20</v>
      </c>
      <c r="L12" s="47">
        <v>4.99</v>
      </c>
      <c r="M12" s="32"/>
    </row>
    <row r="13" spans="1:291" ht="35" customHeight="1">
      <c r="A13" s="23">
        <f>ROW()-3</f>
        <v>10</v>
      </c>
      <c r="B13" s="42" t="s">
        <v>2732</v>
      </c>
      <c r="C13" s="42" t="s">
        <v>2733</v>
      </c>
      <c r="D13" s="43" t="s">
        <v>2808</v>
      </c>
      <c r="E13" s="43" t="s">
        <v>2775</v>
      </c>
      <c r="F13" s="43" t="s">
        <v>2809</v>
      </c>
      <c r="G13" s="42" t="s">
        <v>34</v>
      </c>
      <c r="H13" s="42">
        <v>1</v>
      </c>
      <c r="I13" s="44">
        <v>0.42055555555555602</v>
      </c>
      <c r="J13" s="45">
        <v>43962</v>
      </c>
      <c r="K13" s="46" t="s">
        <v>20</v>
      </c>
      <c r="L13" s="47">
        <v>4.99</v>
      </c>
      <c r="M13" s="32"/>
    </row>
    <row r="14" spans="1:291" ht="35" customHeight="1">
      <c r="A14" s="23">
        <f>ROW()-3</f>
        <v>11</v>
      </c>
      <c r="B14" s="42" t="s">
        <v>2732</v>
      </c>
      <c r="C14" s="42" t="s">
        <v>2733</v>
      </c>
      <c r="D14" s="43" t="s">
        <v>2884</v>
      </c>
      <c r="E14" s="43" t="s">
        <v>2885</v>
      </c>
      <c r="F14" s="43" t="s">
        <v>2878</v>
      </c>
      <c r="G14" s="42" t="s">
        <v>34</v>
      </c>
      <c r="H14" s="42">
        <v>1</v>
      </c>
      <c r="I14" s="44">
        <v>0.465555555555556</v>
      </c>
      <c r="J14" s="45">
        <v>43962</v>
      </c>
      <c r="K14" s="46" t="s">
        <v>20</v>
      </c>
      <c r="L14" s="47">
        <v>4.99</v>
      </c>
      <c r="M14" s="32"/>
    </row>
    <row r="15" spans="1:291" ht="35" customHeight="1">
      <c r="A15" s="23">
        <f>ROW()-3</f>
        <v>12</v>
      </c>
      <c r="B15" s="42" t="s">
        <v>2732</v>
      </c>
      <c r="C15" s="42" t="s">
        <v>2733</v>
      </c>
      <c r="D15" s="43" t="s">
        <v>2895</v>
      </c>
      <c r="E15" s="43" t="s">
        <v>2896</v>
      </c>
      <c r="F15" s="43" t="s">
        <v>191</v>
      </c>
      <c r="G15" s="42" t="s">
        <v>34</v>
      </c>
      <c r="H15" s="42">
        <v>1</v>
      </c>
      <c r="I15" s="44">
        <v>0.30138888888888898</v>
      </c>
      <c r="J15" s="45">
        <v>43962</v>
      </c>
      <c r="K15" s="46" t="s">
        <v>20</v>
      </c>
      <c r="L15" s="47">
        <v>4.99</v>
      </c>
      <c r="M15" s="32"/>
    </row>
    <row r="16" spans="1:291" ht="35" customHeight="1">
      <c r="A16" s="23">
        <f>ROW()-3</f>
        <v>13</v>
      </c>
      <c r="B16" s="42" t="s">
        <v>2732</v>
      </c>
      <c r="C16" s="42" t="s">
        <v>2733</v>
      </c>
      <c r="D16" s="43" t="s">
        <v>2897</v>
      </c>
      <c r="E16" s="43" t="s">
        <v>2898</v>
      </c>
      <c r="F16" s="43" t="s">
        <v>2899</v>
      </c>
      <c r="G16" s="42" t="s">
        <v>34</v>
      </c>
      <c r="H16" s="42">
        <v>1</v>
      </c>
      <c r="I16" s="44">
        <v>0.37944444444444397</v>
      </c>
      <c r="J16" s="45">
        <v>43962</v>
      </c>
      <c r="K16" s="46" t="s">
        <v>20</v>
      </c>
      <c r="L16" s="47">
        <v>4.99</v>
      </c>
      <c r="M16" s="32"/>
    </row>
    <row r="17" spans="1:13" ht="35" customHeight="1">
      <c r="A17" s="23">
        <f>ROW()-3</f>
        <v>14</v>
      </c>
      <c r="B17" s="42" t="s">
        <v>2732</v>
      </c>
      <c r="C17" s="42" t="s">
        <v>2733</v>
      </c>
      <c r="D17" s="43" t="s">
        <v>2917</v>
      </c>
      <c r="E17" s="43" t="s">
        <v>2918</v>
      </c>
      <c r="F17" s="43" t="s">
        <v>2919</v>
      </c>
      <c r="G17" s="42" t="s">
        <v>34</v>
      </c>
      <c r="H17" s="42">
        <v>1</v>
      </c>
      <c r="I17" s="44">
        <v>0.40083333333333299</v>
      </c>
      <c r="J17" s="45">
        <v>43962</v>
      </c>
      <c r="K17" s="46" t="s">
        <v>20</v>
      </c>
      <c r="L17" s="47">
        <v>4.99</v>
      </c>
      <c r="M17" s="32"/>
    </row>
    <row r="18" spans="1:13" ht="35" customHeight="1">
      <c r="A18" s="23">
        <f>ROW()-3</f>
        <v>15</v>
      </c>
      <c r="B18" s="42" t="s">
        <v>2732</v>
      </c>
      <c r="C18" s="42" t="s">
        <v>2733</v>
      </c>
      <c r="D18" s="43" t="s">
        <v>2920</v>
      </c>
      <c r="E18" s="43" t="s">
        <v>2921</v>
      </c>
      <c r="F18" s="43" t="s">
        <v>2801</v>
      </c>
      <c r="G18" s="42" t="s">
        <v>34</v>
      </c>
      <c r="H18" s="42">
        <v>1</v>
      </c>
      <c r="I18" s="44">
        <v>0.392777777777778</v>
      </c>
      <c r="J18" s="45">
        <v>43962</v>
      </c>
      <c r="K18" s="46" t="s">
        <v>20</v>
      </c>
      <c r="L18" s="47">
        <v>4.99</v>
      </c>
      <c r="M18" s="32"/>
    </row>
    <row r="19" spans="1:13" ht="35" customHeight="1">
      <c r="A19" s="23">
        <f>ROW()-3</f>
        <v>16</v>
      </c>
      <c r="B19" s="42" t="s">
        <v>2732</v>
      </c>
      <c r="C19" s="42" t="s">
        <v>2733</v>
      </c>
      <c r="D19" s="43" t="s">
        <v>2922</v>
      </c>
      <c r="E19" s="43" t="s">
        <v>2921</v>
      </c>
      <c r="F19" s="43" t="s">
        <v>2801</v>
      </c>
      <c r="G19" s="42" t="s">
        <v>34</v>
      </c>
      <c r="H19" s="42">
        <v>1</v>
      </c>
      <c r="I19" s="44">
        <v>0.59166666666666701</v>
      </c>
      <c r="J19" s="45">
        <v>43962</v>
      </c>
      <c r="K19" s="46" t="s">
        <v>20</v>
      </c>
      <c r="L19" s="47">
        <v>4.99</v>
      </c>
      <c r="M19" s="32"/>
    </row>
    <row r="20" spans="1:13" ht="35" customHeight="1">
      <c r="A20" s="23">
        <f>ROW()-3</f>
        <v>17</v>
      </c>
      <c r="B20" s="42" t="s">
        <v>2732</v>
      </c>
      <c r="C20" s="42" t="s">
        <v>2733</v>
      </c>
      <c r="D20" s="43" t="s">
        <v>2923</v>
      </c>
      <c r="E20" s="43" t="s">
        <v>2924</v>
      </c>
      <c r="F20" s="43" t="s">
        <v>2919</v>
      </c>
      <c r="G20" s="42" t="s">
        <v>34</v>
      </c>
      <c r="H20" s="42">
        <v>1</v>
      </c>
      <c r="I20" s="44">
        <v>0.41638888888888897</v>
      </c>
      <c r="J20" s="45">
        <v>43962</v>
      </c>
      <c r="K20" s="46" t="s">
        <v>20</v>
      </c>
      <c r="L20" s="47">
        <v>5.99</v>
      </c>
      <c r="M20" s="32"/>
    </row>
    <row r="21" spans="1:13" ht="35" customHeight="1">
      <c r="A21" s="23">
        <f>ROW()-3</f>
        <v>18</v>
      </c>
      <c r="B21" s="42" t="s">
        <v>2732</v>
      </c>
      <c r="C21" s="42" t="s">
        <v>2733</v>
      </c>
      <c r="D21" s="43" t="s">
        <v>2749</v>
      </c>
      <c r="E21" s="43" t="s">
        <v>2750</v>
      </c>
      <c r="F21" s="43" t="s">
        <v>2751</v>
      </c>
      <c r="G21" s="42" t="s">
        <v>34</v>
      </c>
      <c r="H21" s="42">
        <v>1</v>
      </c>
      <c r="I21" s="44">
        <v>0.56861111111111096</v>
      </c>
      <c r="J21" s="45">
        <v>43978</v>
      </c>
      <c r="K21" s="46" t="s">
        <v>20</v>
      </c>
      <c r="L21" s="47">
        <v>4.99</v>
      </c>
      <c r="M21" s="32"/>
    </row>
    <row r="22" spans="1:13" ht="35" customHeight="1">
      <c r="A22" s="23">
        <f>ROW()-3</f>
        <v>19</v>
      </c>
      <c r="B22" s="42" t="s">
        <v>2732</v>
      </c>
      <c r="C22" s="42" t="s">
        <v>2733</v>
      </c>
      <c r="D22" s="43" t="s">
        <v>2752</v>
      </c>
      <c r="E22" s="43" t="s">
        <v>2753</v>
      </c>
      <c r="F22" s="43" t="s">
        <v>2751</v>
      </c>
      <c r="G22" s="42" t="s">
        <v>34</v>
      </c>
      <c r="H22" s="42">
        <v>1</v>
      </c>
      <c r="I22" s="44">
        <v>0.484722222222222</v>
      </c>
      <c r="J22" s="45">
        <v>43978</v>
      </c>
      <c r="K22" s="46" t="s">
        <v>20</v>
      </c>
      <c r="L22" s="47">
        <v>4.99</v>
      </c>
      <c r="M22" s="32"/>
    </row>
    <row r="23" spans="1:13" ht="35" customHeight="1">
      <c r="A23" s="23">
        <f>ROW()-3</f>
        <v>20</v>
      </c>
      <c r="B23" s="42" t="s">
        <v>2732</v>
      </c>
      <c r="C23" s="42" t="s">
        <v>2733</v>
      </c>
      <c r="D23" s="43" t="s">
        <v>2756</v>
      </c>
      <c r="E23" s="43" t="s">
        <v>2757</v>
      </c>
      <c r="F23" s="43" t="s">
        <v>2751</v>
      </c>
      <c r="G23" s="42" t="s">
        <v>34</v>
      </c>
      <c r="H23" s="42">
        <v>1</v>
      </c>
      <c r="I23" s="44">
        <v>0.39388888888888901</v>
      </c>
      <c r="J23" s="45">
        <v>43978</v>
      </c>
      <c r="K23" s="46" t="s">
        <v>20</v>
      </c>
      <c r="L23" s="47">
        <v>4.99</v>
      </c>
      <c r="M23" s="32"/>
    </row>
    <row r="24" spans="1:13" ht="35" customHeight="1">
      <c r="A24" s="23">
        <f>ROW()-3</f>
        <v>21</v>
      </c>
      <c r="B24" s="42" t="s">
        <v>2732</v>
      </c>
      <c r="C24" s="42" t="s">
        <v>2733</v>
      </c>
      <c r="D24" s="43" t="s">
        <v>2758</v>
      </c>
      <c r="E24" s="43" t="s">
        <v>2759</v>
      </c>
      <c r="F24" s="43" t="s">
        <v>2760</v>
      </c>
      <c r="G24" s="42" t="s">
        <v>34</v>
      </c>
      <c r="H24" s="42">
        <v>1</v>
      </c>
      <c r="I24" s="44">
        <v>0.470555555555556</v>
      </c>
      <c r="J24" s="45">
        <v>43978</v>
      </c>
      <c r="K24" s="46" t="s">
        <v>20</v>
      </c>
      <c r="L24" s="47">
        <v>4.99</v>
      </c>
      <c r="M24" s="32"/>
    </row>
    <row r="25" spans="1:13" ht="35" customHeight="1">
      <c r="A25" s="23">
        <f>ROW()-3</f>
        <v>22</v>
      </c>
      <c r="B25" s="42" t="s">
        <v>2732</v>
      </c>
      <c r="C25" s="42" t="s">
        <v>2733</v>
      </c>
      <c r="D25" s="43" t="s">
        <v>2761</v>
      </c>
      <c r="E25" s="43" t="s">
        <v>2762</v>
      </c>
      <c r="F25" s="43" t="s">
        <v>2763</v>
      </c>
      <c r="G25" s="42" t="s">
        <v>34</v>
      </c>
      <c r="H25" s="42">
        <v>1</v>
      </c>
      <c r="I25" s="44">
        <v>0.44277777777777799</v>
      </c>
      <c r="J25" s="45">
        <v>43978</v>
      </c>
      <c r="K25" s="46" t="s">
        <v>20</v>
      </c>
      <c r="L25" s="47">
        <v>4.99</v>
      </c>
      <c r="M25" s="32"/>
    </row>
    <row r="26" spans="1:13" ht="35" customHeight="1">
      <c r="A26" s="23">
        <f>ROW()-3</f>
        <v>23</v>
      </c>
      <c r="B26" s="42" t="s">
        <v>2732</v>
      </c>
      <c r="C26" s="42" t="s">
        <v>2733</v>
      </c>
      <c r="D26" s="43" t="s">
        <v>2764</v>
      </c>
      <c r="E26" s="43" t="s">
        <v>2765</v>
      </c>
      <c r="F26" s="43" t="s">
        <v>2766</v>
      </c>
      <c r="G26" s="42" t="s">
        <v>34</v>
      </c>
      <c r="H26" s="42">
        <v>1</v>
      </c>
      <c r="I26" s="44">
        <v>0.55527777777777798</v>
      </c>
      <c r="J26" s="45">
        <v>43978</v>
      </c>
      <c r="K26" s="46" t="s">
        <v>20</v>
      </c>
      <c r="L26" s="47">
        <v>4.99</v>
      </c>
      <c r="M26" s="32"/>
    </row>
    <row r="27" spans="1:13" ht="35" customHeight="1">
      <c r="A27" s="23">
        <f>ROW()-3</f>
        <v>24</v>
      </c>
      <c r="B27" s="42" t="s">
        <v>2732</v>
      </c>
      <c r="C27" s="42" t="s">
        <v>2733</v>
      </c>
      <c r="D27" s="43" t="s">
        <v>2767</v>
      </c>
      <c r="E27" s="43" t="s">
        <v>2768</v>
      </c>
      <c r="F27" s="43" t="s">
        <v>2766</v>
      </c>
      <c r="G27" s="42" t="s">
        <v>34</v>
      </c>
      <c r="H27" s="42">
        <v>1</v>
      </c>
      <c r="I27" s="44">
        <v>0.58916666666666695</v>
      </c>
      <c r="J27" s="45">
        <v>43978</v>
      </c>
      <c r="K27" s="46" t="s">
        <v>20</v>
      </c>
      <c r="L27" s="47">
        <v>4.99</v>
      </c>
      <c r="M27" s="32"/>
    </row>
    <row r="28" spans="1:13" ht="35" customHeight="1">
      <c r="A28" s="23">
        <f>ROW()-3</f>
        <v>25</v>
      </c>
      <c r="B28" s="42" t="s">
        <v>2732</v>
      </c>
      <c r="C28" s="42" t="s">
        <v>2733</v>
      </c>
      <c r="D28" s="43" t="s">
        <v>2769</v>
      </c>
      <c r="E28" s="43" t="s">
        <v>2770</v>
      </c>
      <c r="F28" s="43" t="s">
        <v>2766</v>
      </c>
      <c r="G28" s="42" t="s">
        <v>34</v>
      </c>
      <c r="H28" s="42">
        <v>1</v>
      </c>
      <c r="I28" s="44">
        <v>0.48666666666666702</v>
      </c>
      <c r="J28" s="45">
        <v>43978</v>
      </c>
      <c r="K28" s="46" t="s">
        <v>20</v>
      </c>
      <c r="L28" s="47">
        <v>4.99</v>
      </c>
      <c r="M28" s="32"/>
    </row>
    <row r="29" spans="1:13" ht="35" customHeight="1">
      <c r="A29" s="23">
        <f>ROW()-3</f>
        <v>26</v>
      </c>
      <c r="B29" s="42" t="s">
        <v>2732</v>
      </c>
      <c r="C29" s="42" t="s">
        <v>2733</v>
      </c>
      <c r="D29" s="43" t="s">
        <v>2774</v>
      </c>
      <c r="E29" s="43" t="s">
        <v>2775</v>
      </c>
      <c r="F29" s="43" t="s">
        <v>2776</v>
      </c>
      <c r="G29" s="42" t="s">
        <v>34</v>
      </c>
      <c r="H29" s="42">
        <v>1</v>
      </c>
      <c r="I29" s="44">
        <v>0.38972222222222203</v>
      </c>
      <c r="J29" s="45">
        <v>43978</v>
      </c>
      <c r="K29" s="46" t="s">
        <v>20</v>
      </c>
      <c r="L29" s="47">
        <v>4.99</v>
      </c>
      <c r="M29" s="32"/>
    </row>
    <row r="30" spans="1:13" ht="35" customHeight="1">
      <c r="A30" s="23">
        <f>ROW()-3</f>
        <v>27</v>
      </c>
      <c r="B30" s="42" t="s">
        <v>2732</v>
      </c>
      <c r="C30" s="42" t="s">
        <v>2733</v>
      </c>
      <c r="D30" s="43" t="s">
        <v>2777</v>
      </c>
      <c r="E30" s="43" t="s">
        <v>2778</v>
      </c>
      <c r="F30" s="43" t="s">
        <v>2779</v>
      </c>
      <c r="G30" s="42" t="s">
        <v>34</v>
      </c>
      <c r="H30" s="42">
        <v>1</v>
      </c>
      <c r="I30" s="44">
        <v>0.57888888888888901</v>
      </c>
      <c r="J30" s="45">
        <v>43978</v>
      </c>
      <c r="K30" s="46" t="s">
        <v>20</v>
      </c>
      <c r="L30" s="47">
        <v>4.99</v>
      </c>
      <c r="M30" s="32"/>
    </row>
    <row r="31" spans="1:13" ht="35" customHeight="1">
      <c r="A31" s="23">
        <f>ROW()-3</f>
        <v>28</v>
      </c>
      <c r="B31" s="42" t="s">
        <v>2732</v>
      </c>
      <c r="C31" s="42" t="s">
        <v>2733</v>
      </c>
      <c r="D31" s="43" t="s">
        <v>2780</v>
      </c>
      <c r="E31" s="43" t="s">
        <v>2781</v>
      </c>
      <c r="F31" s="43" t="s">
        <v>2779</v>
      </c>
      <c r="G31" s="42" t="s">
        <v>34</v>
      </c>
      <c r="H31" s="42">
        <v>1</v>
      </c>
      <c r="I31" s="44">
        <v>0.580277777777778</v>
      </c>
      <c r="J31" s="45">
        <v>43978</v>
      </c>
      <c r="K31" s="46" t="s">
        <v>20</v>
      </c>
      <c r="L31" s="47">
        <v>4.99</v>
      </c>
      <c r="M31" s="32"/>
    </row>
    <row r="32" spans="1:13" ht="35" customHeight="1">
      <c r="A32" s="23">
        <f>ROW()-3</f>
        <v>29</v>
      </c>
      <c r="B32" s="42" t="s">
        <v>2732</v>
      </c>
      <c r="C32" s="42" t="s">
        <v>2733</v>
      </c>
      <c r="D32" s="43" t="s">
        <v>2788</v>
      </c>
      <c r="E32" s="43" t="s">
        <v>2789</v>
      </c>
      <c r="F32" s="43" t="s">
        <v>2790</v>
      </c>
      <c r="G32" s="42" t="s">
        <v>34</v>
      </c>
      <c r="H32" s="42">
        <v>1</v>
      </c>
      <c r="I32" s="44">
        <v>0.49222222222222201</v>
      </c>
      <c r="J32" s="45">
        <v>43978</v>
      </c>
      <c r="K32" s="46" t="s">
        <v>20</v>
      </c>
      <c r="L32" s="47">
        <v>4.99</v>
      </c>
      <c r="M32" s="32"/>
    </row>
    <row r="33" spans="1:13" ht="35" customHeight="1">
      <c r="A33" s="23">
        <f>ROW()-3</f>
        <v>30</v>
      </c>
      <c r="B33" s="42" t="s">
        <v>2732</v>
      </c>
      <c r="C33" s="42" t="s">
        <v>2733</v>
      </c>
      <c r="D33" s="43" t="s">
        <v>2791</v>
      </c>
      <c r="E33" s="43" t="s">
        <v>2792</v>
      </c>
      <c r="F33" s="43" t="s">
        <v>2790</v>
      </c>
      <c r="G33" s="42" t="s">
        <v>34</v>
      </c>
      <c r="H33" s="42">
        <v>1</v>
      </c>
      <c r="I33" s="44">
        <v>0.49166666666666697</v>
      </c>
      <c r="J33" s="45">
        <v>43978</v>
      </c>
      <c r="K33" s="46" t="s">
        <v>20</v>
      </c>
      <c r="L33" s="47">
        <v>4.99</v>
      </c>
      <c r="M33" s="32"/>
    </row>
    <row r="34" spans="1:13" ht="35" customHeight="1">
      <c r="A34" s="23">
        <f>ROW()-3</f>
        <v>31</v>
      </c>
      <c r="B34" s="42" t="s">
        <v>2732</v>
      </c>
      <c r="C34" s="42" t="s">
        <v>2733</v>
      </c>
      <c r="D34" s="43" t="s">
        <v>2796</v>
      </c>
      <c r="E34" s="43" t="s">
        <v>2797</v>
      </c>
      <c r="F34" s="43" t="s">
        <v>2798</v>
      </c>
      <c r="G34" s="42" t="s">
        <v>34</v>
      </c>
      <c r="H34" s="42">
        <v>1</v>
      </c>
      <c r="I34" s="44">
        <v>0.54944444444444396</v>
      </c>
      <c r="J34" s="45">
        <v>43978</v>
      </c>
      <c r="K34" s="46" t="s">
        <v>20</v>
      </c>
      <c r="L34" s="47">
        <v>4.99</v>
      </c>
      <c r="M34" s="32"/>
    </row>
    <row r="35" spans="1:13" ht="35" customHeight="1">
      <c r="A35" s="23">
        <f>ROW()-3</f>
        <v>32</v>
      </c>
      <c r="B35" s="42" t="s">
        <v>2732</v>
      </c>
      <c r="C35" s="42" t="s">
        <v>2733</v>
      </c>
      <c r="D35" s="43" t="s">
        <v>2799</v>
      </c>
      <c r="E35" s="43" t="s">
        <v>2800</v>
      </c>
      <c r="F35" s="43" t="s">
        <v>2801</v>
      </c>
      <c r="G35" s="42" t="s">
        <v>34</v>
      </c>
      <c r="H35" s="42">
        <v>1</v>
      </c>
      <c r="I35" s="44">
        <v>0.60472222222222205</v>
      </c>
      <c r="J35" s="45">
        <v>43978</v>
      </c>
      <c r="K35" s="46" t="s">
        <v>20</v>
      </c>
      <c r="L35" s="47">
        <v>4.99</v>
      </c>
      <c r="M35" s="32"/>
    </row>
    <row r="36" spans="1:13" ht="35" customHeight="1">
      <c r="A36" s="23">
        <f>ROW()-3</f>
        <v>33</v>
      </c>
      <c r="B36" s="42" t="s">
        <v>2732</v>
      </c>
      <c r="C36" s="42" t="s">
        <v>2733</v>
      </c>
      <c r="D36" s="43" t="s">
        <v>2802</v>
      </c>
      <c r="E36" s="43" t="s">
        <v>2803</v>
      </c>
      <c r="F36" s="43" t="s">
        <v>2804</v>
      </c>
      <c r="G36" s="42" t="s">
        <v>34</v>
      </c>
      <c r="H36" s="42">
        <v>1</v>
      </c>
      <c r="I36" s="44">
        <v>0.87305555555555603</v>
      </c>
      <c r="J36" s="45">
        <v>43978</v>
      </c>
      <c r="K36" s="46" t="s">
        <v>20</v>
      </c>
      <c r="L36" s="47">
        <v>4.99</v>
      </c>
      <c r="M36" s="32"/>
    </row>
    <row r="37" spans="1:13" ht="35" customHeight="1">
      <c r="A37" s="23">
        <f>ROW()-3</f>
        <v>34</v>
      </c>
      <c r="B37" s="42" t="s">
        <v>2732</v>
      </c>
      <c r="C37" s="42" t="s">
        <v>2733</v>
      </c>
      <c r="D37" s="43" t="s">
        <v>2805</v>
      </c>
      <c r="E37" s="43" t="s">
        <v>2806</v>
      </c>
      <c r="F37" s="43" t="s">
        <v>2807</v>
      </c>
      <c r="G37" s="42" t="s">
        <v>34</v>
      </c>
      <c r="H37" s="42">
        <v>1</v>
      </c>
      <c r="I37" s="44">
        <v>0.54027777777777797</v>
      </c>
      <c r="J37" s="45">
        <v>43978</v>
      </c>
      <c r="K37" s="46" t="s">
        <v>20</v>
      </c>
      <c r="L37" s="47">
        <v>4.99</v>
      </c>
      <c r="M37" s="32"/>
    </row>
    <row r="38" spans="1:13" ht="35" customHeight="1">
      <c r="A38" s="23">
        <f>ROW()-3</f>
        <v>35</v>
      </c>
      <c r="B38" s="42" t="s">
        <v>2732</v>
      </c>
      <c r="C38" s="42" t="s">
        <v>2733</v>
      </c>
      <c r="D38" s="43" t="s">
        <v>2810</v>
      </c>
      <c r="E38" s="43" t="s">
        <v>2811</v>
      </c>
      <c r="F38" s="43" t="s">
        <v>2812</v>
      </c>
      <c r="G38" s="42" t="s">
        <v>34</v>
      </c>
      <c r="H38" s="42">
        <v>1</v>
      </c>
      <c r="I38" s="44">
        <v>0.74388888888888904</v>
      </c>
      <c r="J38" s="45">
        <v>43978</v>
      </c>
      <c r="K38" s="46" t="s">
        <v>20</v>
      </c>
      <c r="L38" s="47">
        <v>4.99</v>
      </c>
      <c r="M38" s="32"/>
    </row>
    <row r="39" spans="1:13" ht="35" customHeight="1">
      <c r="A39" s="23">
        <f>ROW()-3</f>
        <v>36</v>
      </c>
      <c r="B39" s="42" t="s">
        <v>2732</v>
      </c>
      <c r="C39" s="42" t="s">
        <v>2733</v>
      </c>
      <c r="D39" s="43" t="s">
        <v>2813</v>
      </c>
      <c r="E39" s="43" t="s">
        <v>2814</v>
      </c>
      <c r="F39" s="43" t="s">
        <v>2815</v>
      </c>
      <c r="G39" s="42" t="s">
        <v>34</v>
      </c>
      <c r="H39" s="42">
        <v>1</v>
      </c>
      <c r="I39" s="44">
        <v>0.60777777777777797</v>
      </c>
      <c r="J39" s="45">
        <v>43978</v>
      </c>
      <c r="K39" s="46" t="s">
        <v>20</v>
      </c>
      <c r="L39" s="47">
        <v>4.99</v>
      </c>
      <c r="M39" s="32"/>
    </row>
    <row r="40" spans="1:13" ht="35" customHeight="1">
      <c r="A40" s="23">
        <f>ROW()-3</f>
        <v>37</v>
      </c>
      <c r="B40" s="42" t="s">
        <v>2732</v>
      </c>
      <c r="C40" s="42" t="s">
        <v>2733</v>
      </c>
      <c r="D40" s="43" t="s">
        <v>2816</v>
      </c>
      <c r="E40" s="43" t="s">
        <v>2817</v>
      </c>
      <c r="F40" s="43" t="s">
        <v>2818</v>
      </c>
      <c r="G40" s="42" t="s">
        <v>34</v>
      </c>
      <c r="H40" s="42">
        <v>1</v>
      </c>
      <c r="I40" s="44">
        <v>0.59805555555555601</v>
      </c>
      <c r="J40" s="45">
        <v>43978</v>
      </c>
      <c r="K40" s="46" t="s">
        <v>20</v>
      </c>
      <c r="L40" s="47">
        <v>4.99</v>
      </c>
      <c r="M40" s="32"/>
    </row>
    <row r="41" spans="1:13" ht="35" customHeight="1">
      <c r="A41" s="23">
        <f>ROW()-3</f>
        <v>38</v>
      </c>
      <c r="B41" s="42" t="s">
        <v>2732</v>
      </c>
      <c r="C41" s="42" t="s">
        <v>2733</v>
      </c>
      <c r="D41" s="43" t="s">
        <v>2819</v>
      </c>
      <c r="E41" s="43" t="s">
        <v>2814</v>
      </c>
      <c r="F41" s="43" t="s">
        <v>2820</v>
      </c>
      <c r="G41" s="42" t="s">
        <v>34</v>
      </c>
      <c r="H41" s="42">
        <v>1</v>
      </c>
      <c r="I41" s="44">
        <v>0.77749999999999997</v>
      </c>
      <c r="J41" s="45">
        <v>43978</v>
      </c>
      <c r="K41" s="46" t="s">
        <v>20</v>
      </c>
      <c r="L41" s="47">
        <v>4.99</v>
      </c>
      <c r="M41" s="32"/>
    </row>
    <row r="42" spans="1:13" ht="35" customHeight="1">
      <c r="A42" s="23">
        <f>ROW()-3</f>
        <v>39</v>
      </c>
      <c r="B42" s="42" t="s">
        <v>2732</v>
      </c>
      <c r="C42" s="42" t="s">
        <v>2733</v>
      </c>
      <c r="D42" s="43" t="s">
        <v>2821</v>
      </c>
      <c r="E42" s="43" t="s">
        <v>2822</v>
      </c>
      <c r="F42" s="43" t="s">
        <v>2823</v>
      </c>
      <c r="G42" s="42" t="s">
        <v>34</v>
      </c>
      <c r="H42" s="42">
        <v>1</v>
      </c>
      <c r="I42" s="44">
        <v>0.92166666666666697</v>
      </c>
      <c r="J42" s="45">
        <v>43978</v>
      </c>
      <c r="K42" s="46" t="s">
        <v>20</v>
      </c>
      <c r="L42" s="47">
        <v>4.99</v>
      </c>
      <c r="M42" s="32"/>
    </row>
    <row r="43" spans="1:13" ht="35" customHeight="1">
      <c r="A43" s="23">
        <f>ROW()-3</f>
        <v>40</v>
      </c>
      <c r="B43" s="42" t="s">
        <v>2732</v>
      </c>
      <c r="C43" s="42" t="s">
        <v>2733</v>
      </c>
      <c r="D43" s="43" t="s">
        <v>2824</v>
      </c>
      <c r="E43" s="43" t="s">
        <v>2825</v>
      </c>
      <c r="F43" s="43" t="s">
        <v>2823</v>
      </c>
      <c r="G43" s="42" t="s">
        <v>34</v>
      </c>
      <c r="H43" s="42">
        <v>1</v>
      </c>
      <c r="I43" s="44">
        <v>0.51888888888888896</v>
      </c>
      <c r="J43" s="45">
        <v>43978</v>
      </c>
      <c r="K43" s="46" t="s">
        <v>20</v>
      </c>
      <c r="L43" s="47">
        <v>4.99</v>
      </c>
      <c r="M43" s="32"/>
    </row>
    <row r="44" spans="1:13" ht="35" customHeight="1">
      <c r="A44" s="23">
        <f>ROW()-3</f>
        <v>41</v>
      </c>
      <c r="B44" s="42" t="s">
        <v>2732</v>
      </c>
      <c r="C44" s="42" t="s">
        <v>2733</v>
      </c>
      <c r="D44" s="43" t="s">
        <v>2826</v>
      </c>
      <c r="E44" s="43" t="s">
        <v>2827</v>
      </c>
      <c r="F44" s="43" t="s">
        <v>2828</v>
      </c>
      <c r="G44" s="42" t="s">
        <v>34</v>
      </c>
      <c r="H44" s="42">
        <v>1</v>
      </c>
      <c r="I44" s="44">
        <v>0.49333333333333301</v>
      </c>
      <c r="J44" s="45">
        <v>43978</v>
      </c>
      <c r="K44" s="46" t="s">
        <v>20</v>
      </c>
      <c r="L44" s="47">
        <v>4.99</v>
      </c>
      <c r="M44" s="32"/>
    </row>
    <row r="45" spans="1:13" ht="35" customHeight="1">
      <c r="A45" s="23">
        <f>ROW()-3</f>
        <v>42</v>
      </c>
      <c r="B45" s="42" t="s">
        <v>2732</v>
      </c>
      <c r="C45" s="42" t="s">
        <v>2733</v>
      </c>
      <c r="D45" s="43" t="s">
        <v>2829</v>
      </c>
      <c r="E45" s="43" t="s">
        <v>457</v>
      </c>
      <c r="F45" s="43" t="s">
        <v>2830</v>
      </c>
      <c r="G45" s="42" t="s">
        <v>34</v>
      </c>
      <c r="H45" s="42">
        <v>1</v>
      </c>
      <c r="I45" s="44">
        <v>0.64472222222222197</v>
      </c>
      <c r="J45" s="45">
        <v>43978</v>
      </c>
      <c r="K45" s="46" t="s">
        <v>20</v>
      </c>
      <c r="L45" s="47">
        <v>4.99</v>
      </c>
      <c r="M45" s="32"/>
    </row>
    <row r="46" spans="1:13" ht="35" customHeight="1">
      <c r="A46" s="23">
        <f>ROW()-3</f>
        <v>43</v>
      </c>
      <c r="B46" s="42" t="s">
        <v>2732</v>
      </c>
      <c r="C46" s="42" t="s">
        <v>2733</v>
      </c>
      <c r="D46" s="43" t="s">
        <v>2831</v>
      </c>
      <c r="E46" s="43" t="s">
        <v>457</v>
      </c>
      <c r="F46" s="43" t="s">
        <v>2830</v>
      </c>
      <c r="G46" s="42" t="s">
        <v>34</v>
      </c>
      <c r="H46" s="42">
        <v>1</v>
      </c>
      <c r="I46" s="44">
        <v>0.43666666666666698</v>
      </c>
      <c r="J46" s="45">
        <v>43978</v>
      </c>
      <c r="K46" s="46" t="s">
        <v>20</v>
      </c>
      <c r="L46" s="47">
        <v>4.99</v>
      </c>
      <c r="M46" s="32"/>
    </row>
    <row r="47" spans="1:13" ht="35" customHeight="1">
      <c r="A47" s="23">
        <f>ROW()-3</f>
        <v>44</v>
      </c>
      <c r="B47" s="42" t="s">
        <v>2732</v>
      </c>
      <c r="C47" s="42" t="s">
        <v>2733</v>
      </c>
      <c r="D47" s="43" t="s">
        <v>2832</v>
      </c>
      <c r="E47" s="43" t="s">
        <v>2833</v>
      </c>
      <c r="F47" s="43" t="s">
        <v>2830</v>
      </c>
      <c r="G47" s="42" t="s">
        <v>34</v>
      </c>
      <c r="H47" s="42">
        <v>1</v>
      </c>
      <c r="I47" s="44">
        <v>0.45222222222222203</v>
      </c>
      <c r="J47" s="45">
        <v>43978</v>
      </c>
      <c r="K47" s="46" t="s">
        <v>20</v>
      </c>
      <c r="L47" s="47">
        <v>4.99</v>
      </c>
      <c r="M47" s="32"/>
    </row>
    <row r="48" spans="1:13" ht="35" customHeight="1">
      <c r="A48" s="23">
        <f>ROW()-3</f>
        <v>45</v>
      </c>
      <c r="B48" s="42" t="s">
        <v>2732</v>
      </c>
      <c r="C48" s="42" t="s">
        <v>2733</v>
      </c>
      <c r="D48" s="43" t="s">
        <v>2834</v>
      </c>
      <c r="E48" s="43" t="s">
        <v>457</v>
      </c>
      <c r="F48" s="43" t="s">
        <v>2830</v>
      </c>
      <c r="G48" s="42" t="s">
        <v>34</v>
      </c>
      <c r="H48" s="42">
        <v>1</v>
      </c>
      <c r="I48" s="44">
        <v>0.79444444444444395</v>
      </c>
      <c r="J48" s="45">
        <v>43978</v>
      </c>
      <c r="K48" s="46" t="s">
        <v>20</v>
      </c>
      <c r="L48" s="47">
        <v>4.99</v>
      </c>
      <c r="M48" s="32"/>
    </row>
    <row r="49" spans="1:13" ht="35" customHeight="1">
      <c r="A49" s="23">
        <f>ROW()-3</f>
        <v>46</v>
      </c>
      <c r="B49" s="42" t="s">
        <v>2732</v>
      </c>
      <c r="C49" s="42" t="s">
        <v>2733</v>
      </c>
      <c r="D49" s="43" t="s">
        <v>2855</v>
      </c>
      <c r="E49" s="43" t="s">
        <v>2856</v>
      </c>
      <c r="F49" s="43" t="s">
        <v>2830</v>
      </c>
      <c r="G49" s="42" t="s">
        <v>34</v>
      </c>
      <c r="H49" s="42">
        <v>1</v>
      </c>
      <c r="I49" s="44">
        <v>0.60194444444444395</v>
      </c>
      <c r="J49" s="45">
        <v>43978</v>
      </c>
      <c r="K49" s="46" t="s">
        <v>20</v>
      </c>
      <c r="L49" s="47">
        <v>4.99</v>
      </c>
      <c r="M49" s="32"/>
    </row>
    <row r="50" spans="1:13" ht="35" customHeight="1">
      <c r="A50" s="23">
        <f>ROW()-3</f>
        <v>47</v>
      </c>
      <c r="B50" s="42" t="s">
        <v>2732</v>
      </c>
      <c r="C50" s="42" t="s">
        <v>2733</v>
      </c>
      <c r="D50" s="43" t="s">
        <v>2857</v>
      </c>
      <c r="E50" s="43" t="s">
        <v>457</v>
      </c>
      <c r="F50" s="43" t="s">
        <v>2830</v>
      </c>
      <c r="G50" s="42" t="s">
        <v>34</v>
      </c>
      <c r="H50" s="42">
        <v>1</v>
      </c>
      <c r="I50" s="44">
        <v>0.94555555555555604</v>
      </c>
      <c r="J50" s="45">
        <v>43978</v>
      </c>
      <c r="K50" s="46" t="s">
        <v>20</v>
      </c>
      <c r="L50" s="47">
        <v>4.99</v>
      </c>
      <c r="M50" s="32"/>
    </row>
    <row r="51" spans="1:13" ht="35" customHeight="1">
      <c r="A51" s="23">
        <f>ROW()-3</f>
        <v>48</v>
      </c>
      <c r="B51" s="42" t="s">
        <v>2732</v>
      </c>
      <c r="C51" s="42" t="s">
        <v>2733</v>
      </c>
      <c r="D51" s="43" t="s">
        <v>2859</v>
      </c>
      <c r="E51" s="43" t="s">
        <v>2860</v>
      </c>
      <c r="F51" s="43" t="s">
        <v>2861</v>
      </c>
      <c r="G51" s="42" t="s">
        <v>34</v>
      </c>
      <c r="H51" s="42">
        <v>1</v>
      </c>
      <c r="I51" s="44">
        <v>0.75388888888888905</v>
      </c>
      <c r="J51" s="45">
        <v>43978</v>
      </c>
      <c r="K51" s="46" t="s">
        <v>20</v>
      </c>
      <c r="L51" s="47">
        <v>4.99</v>
      </c>
      <c r="M51" s="32"/>
    </row>
    <row r="52" spans="1:13" ht="35" customHeight="1">
      <c r="A52" s="23">
        <f>ROW()-3</f>
        <v>49</v>
      </c>
      <c r="B52" s="42" t="s">
        <v>2732</v>
      </c>
      <c r="C52" s="42" t="s">
        <v>2733</v>
      </c>
      <c r="D52" s="43" t="s">
        <v>2862</v>
      </c>
      <c r="E52" s="43" t="s">
        <v>2863</v>
      </c>
      <c r="F52" s="43" t="s">
        <v>2864</v>
      </c>
      <c r="G52" s="42" t="s">
        <v>34</v>
      </c>
      <c r="H52" s="42">
        <v>1</v>
      </c>
      <c r="I52" s="44">
        <v>0.65472222222222198</v>
      </c>
      <c r="J52" s="45">
        <v>43978</v>
      </c>
      <c r="K52" s="46" t="s">
        <v>20</v>
      </c>
      <c r="L52" s="47">
        <v>4.99</v>
      </c>
      <c r="M52" s="32"/>
    </row>
    <row r="53" spans="1:13" ht="35" customHeight="1">
      <c r="A53" s="23">
        <f>ROW()-3</f>
        <v>50</v>
      </c>
      <c r="B53" s="42" t="s">
        <v>2732</v>
      </c>
      <c r="C53" s="42" t="s">
        <v>2733</v>
      </c>
      <c r="D53" s="43" t="s">
        <v>2867</v>
      </c>
      <c r="E53" s="43" t="s">
        <v>2868</v>
      </c>
      <c r="F53" s="43" t="s">
        <v>2864</v>
      </c>
      <c r="G53" s="42" t="s">
        <v>34</v>
      </c>
      <c r="H53" s="42">
        <v>1</v>
      </c>
      <c r="I53" s="44">
        <v>0.75888888888888895</v>
      </c>
      <c r="J53" s="45">
        <v>43978</v>
      </c>
      <c r="K53" s="46" t="s">
        <v>20</v>
      </c>
      <c r="L53" s="47">
        <v>4.99</v>
      </c>
      <c r="M53" s="32"/>
    </row>
    <row r="54" spans="1:13" ht="35" customHeight="1">
      <c r="A54" s="23">
        <f>ROW()-3</f>
        <v>51</v>
      </c>
      <c r="B54" s="42" t="s">
        <v>2732</v>
      </c>
      <c r="C54" s="42" t="s">
        <v>2733</v>
      </c>
      <c r="D54" s="43" t="s">
        <v>2869</v>
      </c>
      <c r="E54" s="43" t="s">
        <v>2797</v>
      </c>
      <c r="F54" s="43" t="s">
        <v>2864</v>
      </c>
      <c r="G54" s="42" t="s">
        <v>34</v>
      </c>
      <c r="H54" s="42">
        <v>1</v>
      </c>
      <c r="I54" s="44">
        <v>0.67083333333333295</v>
      </c>
      <c r="J54" s="45">
        <v>43978</v>
      </c>
      <c r="K54" s="46" t="s">
        <v>20</v>
      </c>
      <c r="L54" s="47">
        <v>4.99</v>
      </c>
      <c r="M54" s="32"/>
    </row>
    <row r="55" spans="1:13" ht="35" customHeight="1">
      <c r="A55" s="23">
        <f>ROW()-3</f>
        <v>52</v>
      </c>
      <c r="B55" s="42" t="s">
        <v>2732</v>
      </c>
      <c r="C55" s="42" t="s">
        <v>2733</v>
      </c>
      <c r="D55" s="43" t="s">
        <v>2870</v>
      </c>
      <c r="E55" s="43" t="s">
        <v>2871</v>
      </c>
      <c r="F55" s="43" t="s">
        <v>2872</v>
      </c>
      <c r="G55" s="42" t="s">
        <v>34</v>
      </c>
      <c r="H55" s="42">
        <v>1</v>
      </c>
      <c r="I55" s="44">
        <v>0.711666666666667</v>
      </c>
      <c r="J55" s="45">
        <v>43978</v>
      </c>
      <c r="K55" s="46" t="s">
        <v>20</v>
      </c>
      <c r="L55" s="47">
        <v>4.99</v>
      </c>
      <c r="M55" s="32"/>
    </row>
    <row r="56" spans="1:13" ht="35" customHeight="1">
      <c r="A56" s="23">
        <f>ROW()-3</f>
        <v>53</v>
      </c>
      <c r="B56" s="42" t="s">
        <v>2732</v>
      </c>
      <c r="C56" s="42" t="s">
        <v>2733</v>
      </c>
      <c r="D56" s="43" t="s">
        <v>2873</v>
      </c>
      <c r="E56" s="43" t="s">
        <v>2874</v>
      </c>
      <c r="F56" s="43" t="s">
        <v>2875</v>
      </c>
      <c r="G56" s="42" t="s">
        <v>34</v>
      </c>
      <c r="H56" s="42">
        <v>1</v>
      </c>
      <c r="I56" s="44">
        <v>0.505</v>
      </c>
      <c r="J56" s="45">
        <v>43978</v>
      </c>
      <c r="K56" s="46" t="s">
        <v>20</v>
      </c>
      <c r="L56" s="47">
        <v>4.99</v>
      </c>
      <c r="M56" s="32"/>
    </row>
    <row r="57" spans="1:13" ht="35" customHeight="1">
      <c r="A57" s="23">
        <f>ROW()-3</f>
        <v>54</v>
      </c>
      <c r="B57" s="42" t="s">
        <v>2732</v>
      </c>
      <c r="C57" s="42" t="s">
        <v>2733</v>
      </c>
      <c r="D57" s="43" t="s">
        <v>2876</v>
      </c>
      <c r="E57" s="43" t="s">
        <v>2877</v>
      </c>
      <c r="F57" s="43" t="s">
        <v>2878</v>
      </c>
      <c r="G57" s="42" t="s">
        <v>34</v>
      </c>
      <c r="H57" s="42">
        <v>1</v>
      </c>
      <c r="I57" s="44">
        <v>0.50944444444444403</v>
      </c>
      <c r="J57" s="45">
        <v>43978</v>
      </c>
      <c r="K57" s="46" t="s">
        <v>20</v>
      </c>
      <c r="L57" s="47">
        <v>4.99</v>
      </c>
      <c r="M57" s="32"/>
    </row>
    <row r="58" spans="1:13" ht="35" customHeight="1">
      <c r="A58" s="23">
        <f>ROW()-3</f>
        <v>55</v>
      </c>
      <c r="B58" s="42" t="s">
        <v>2732</v>
      </c>
      <c r="C58" s="42" t="s">
        <v>2733</v>
      </c>
      <c r="D58" s="43" t="s">
        <v>2881</v>
      </c>
      <c r="E58" s="43" t="s">
        <v>2781</v>
      </c>
      <c r="F58" s="43" t="s">
        <v>2878</v>
      </c>
      <c r="G58" s="42" t="s">
        <v>34</v>
      </c>
      <c r="H58" s="42">
        <v>1</v>
      </c>
      <c r="I58" s="44">
        <v>0.471944444444444</v>
      </c>
      <c r="J58" s="45">
        <v>43978</v>
      </c>
      <c r="K58" s="46" t="s">
        <v>20</v>
      </c>
      <c r="L58" s="47">
        <v>4.99</v>
      </c>
      <c r="M58" s="32"/>
    </row>
    <row r="59" spans="1:13" ht="35" customHeight="1">
      <c r="A59" s="23">
        <f>ROW()-3</f>
        <v>56</v>
      </c>
      <c r="B59" s="42" t="s">
        <v>2732</v>
      </c>
      <c r="C59" s="42" t="s">
        <v>2733</v>
      </c>
      <c r="D59" s="43" t="s">
        <v>2882</v>
      </c>
      <c r="E59" s="43" t="s">
        <v>2883</v>
      </c>
      <c r="F59" s="43" t="s">
        <v>2878</v>
      </c>
      <c r="G59" s="42" t="s">
        <v>34</v>
      </c>
      <c r="H59" s="42">
        <v>1</v>
      </c>
      <c r="I59" s="44">
        <v>0.51416666666666699</v>
      </c>
      <c r="J59" s="45">
        <v>43978</v>
      </c>
      <c r="K59" s="46" t="s">
        <v>20</v>
      </c>
      <c r="L59" s="47">
        <v>4.99</v>
      </c>
      <c r="M59" s="32"/>
    </row>
    <row r="60" spans="1:13" ht="35" customHeight="1">
      <c r="A60" s="23">
        <f>ROW()-3</f>
        <v>57</v>
      </c>
      <c r="B60" s="42" t="s">
        <v>2732</v>
      </c>
      <c r="C60" s="42" t="s">
        <v>2733</v>
      </c>
      <c r="D60" s="43" t="s">
        <v>2886</v>
      </c>
      <c r="E60" s="43" t="s">
        <v>2887</v>
      </c>
      <c r="F60" s="43" t="s">
        <v>2878</v>
      </c>
      <c r="G60" s="42" t="s">
        <v>34</v>
      </c>
      <c r="H60" s="42">
        <v>1</v>
      </c>
      <c r="I60" s="44">
        <v>0.506388888888889</v>
      </c>
      <c r="J60" s="45">
        <v>43978</v>
      </c>
      <c r="K60" s="46" t="s">
        <v>20</v>
      </c>
      <c r="L60" s="47">
        <v>4.99</v>
      </c>
      <c r="M60" s="32"/>
    </row>
    <row r="61" spans="1:13" ht="35" customHeight="1">
      <c r="A61" s="23">
        <f>ROW()-3</f>
        <v>58</v>
      </c>
      <c r="B61" s="42" t="s">
        <v>2732</v>
      </c>
      <c r="C61" s="42" t="s">
        <v>2733</v>
      </c>
      <c r="D61" s="43" t="s">
        <v>2888</v>
      </c>
      <c r="E61" s="43" t="s">
        <v>2889</v>
      </c>
      <c r="F61" s="43" t="s">
        <v>2890</v>
      </c>
      <c r="G61" s="42" t="s">
        <v>34</v>
      </c>
      <c r="H61" s="42">
        <v>1</v>
      </c>
      <c r="I61" s="44">
        <v>0.25583333333333302</v>
      </c>
      <c r="J61" s="45">
        <v>43978</v>
      </c>
      <c r="K61" s="46" t="s">
        <v>20</v>
      </c>
      <c r="L61" s="47">
        <v>4.99</v>
      </c>
      <c r="M61" s="32"/>
    </row>
    <row r="62" spans="1:13" ht="35" customHeight="1">
      <c r="A62" s="23">
        <f>ROW()-3</f>
        <v>59</v>
      </c>
      <c r="B62" s="42" t="s">
        <v>2732</v>
      </c>
      <c r="C62" s="42" t="s">
        <v>2733</v>
      </c>
      <c r="D62" s="43" t="s">
        <v>2891</v>
      </c>
      <c r="E62" s="43" t="s">
        <v>2892</v>
      </c>
      <c r="F62" s="43" t="s">
        <v>2893</v>
      </c>
      <c r="G62" s="42" t="s">
        <v>34</v>
      </c>
      <c r="H62" s="42">
        <v>1</v>
      </c>
      <c r="I62" s="44">
        <v>0.25944444444444398</v>
      </c>
      <c r="J62" s="45">
        <v>43978</v>
      </c>
      <c r="K62" s="46" t="s">
        <v>20</v>
      </c>
      <c r="L62" s="47">
        <v>4.99</v>
      </c>
      <c r="M62" s="32"/>
    </row>
    <row r="63" spans="1:13" ht="35" customHeight="1">
      <c r="A63" s="23">
        <f>ROW()-3</f>
        <v>60</v>
      </c>
      <c r="B63" s="42" t="s">
        <v>2732</v>
      </c>
      <c r="C63" s="42" t="s">
        <v>2733</v>
      </c>
      <c r="D63" s="43" t="s">
        <v>2894</v>
      </c>
      <c r="E63" s="43" t="s">
        <v>2892</v>
      </c>
      <c r="F63" s="43" t="s">
        <v>2893</v>
      </c>
      <c r="G63" s="42" t="s">
        <v>34</v>
      </c>
      <c r="H63" s="42">
        <v>1</v>
      </c>
      <c r="I63" s="44">
        <v>0.56694444444444403</v>
      </c>
      <c r="J63" s="45">
        <v>43978</v>
      </c>
      <c r="K63" s="46" t="s">
        <v>20</v>
      </c>
      <c r="L63" s="47">
        <v>4.99</v>
      </c>
      <c r="M63" s="32"/>
    </row>
    <row r="64" spans="1:13" ht="35" customHeight="1">
      <c r="A64" s="23">
        <f>ROW()-3</f>
        <v>61</v>
      </c>
      <c r="B64" s="42" t="s">
        <v>2732</v>
      </c>
      <c r="C64" s="42" t="s">
        <v>2733</v>
      </c>
      <c r="D64" s="43" t="s">
        <v>2900</v>
      </c>
      <c r="E64" s="43" t="s">
        <v>2901</v>
      </c>
      <c r="F64" s="43" t="s">
        <v>2902</v>
      </c>
      <c r="G64" s="42" t="s">
        <v>34</v>
      </c>
      <c r="H64" s="42">
        <v>1</v>
      </c>
      <c r="I64" s="44">
        <v>0.39833333333333298</v>
      </c>
      <c r="J64" s="45">
        <v>43978</v>
      </c>
      <c r="K64" s="46" t="s">
        <v>20</v>
      </c>
      <c r="L64" s="47">
        <v>4.99</v>
      </c>
      <c r="M64" s="32"/>
    </row>
    <row r="65" spans="1:13" ht="35" customHeight="1">
      <c r="A65" s="23">
        <f>ROW()-3</f>
        <v>62</v>
      </c>
      <c r="B65" s="42" t="s">
        <v>2732</v>
      </c>
      <c r="C65" s="42" t="s">
        <v>2733</v>
      </c>
      <c r="D65" s="43" t="s">
        <v>2903</v>
      </c>
      <c r="E65" s="43" t="s">
        <v>2904</v>
      </c>
      <c r="F65" s="43" t="s">
        <v>2905</v>
      </c>
      <c r="G65" s="42" t="s">
        <v>34</v>
      </c>
      <c r="H65" s="42">
        <v>1</v>
      </c>
      <c r="I65" s="44">
        <v>0.55000000000000004</v>
      </c>
      <c r="J65" s="45">
        <v>43978</v>
      </c>
      <c r="K65" s="46" t="s">
        <v>20</v>
      </c>
      <c r="L65" s="47">
        <v>4.99</v>
      </c>
      <c r="M65" s="32"/>
    </row>
    <row r="66" spans="1:13" ht="35" customHeight="1">
      <c r="A66" s="23">
        <f>ROW()-3</f>
        <v>63</v>
      </c>
      <c r="B66" s="42" t="s">
        <v>2732</v>
      </c>
      <c r="C66" s="42" t="s">
        <v>2733</v>
      </c>
      <c r="D66" s="43" t="s">
        <v>2906</v>
      </c>
      <c r="E66" s="43" t="s">
        <v>2907</v>
      </c>
      <c r="F66" s="43" t="s">
        <v>2908</v>
      </c>
      <c r="G66" s="42" t="s">
        <v>34</v>
      </c>
      <c r="H66" s="42">
        <v>1</v>
      </c>
      <c r="I66" s="44">
        <v>0.74805555555555603</v>
      </c>
      <c r="J66" s="45">
        <v>43978</v>
      </c>
      <c r="K66" s="46" t="s">
        <v>20</v>
      </c>
      <c r="L66" s="47">
        <v>4.99</v>
      </c>
      <c r="M66" s="32"/>
    </row>
    <row r="67" spans="1:13" ht="35" customHeight="1">
      <c r="A67" s="23">
        <f>ROW()-3</f>
        <v>64</v>
      </c>
      <c r="B67" s="42" t="s">
        <v>2732</v>
      </c>
      <c r="C67" s="42" t="s">
        <v>2733</v>
      </c>
      <c r="D67" s="43" t="s">
        <v>2909</v>
      </c>
      <c r="E67" s="43" t="s">
        <v>2910</v>
      </c>
      <c r="F67" s="43" t="s">
        <v>2748</v>
      </c>
      <c r="G67" s="42" t="s">
        <v>34</v>
      </c>
      <c r="H67" s="42">
        <v>1</v>
      </c>
      <c r="I67" s="44">
        <v>0.75749999999999995</v>
      </c>
      <c r="J67" s="45">
        <v>43978</v>
      </c>
      <c r="K67" s="46" t="s">
        <v>20</v>
      </c>
      <c r="L67" s="47">
        <v>4.99</v>
      </c>
      <c r="M67" s="32"/>
    </row>
    <row r="68" spans="1:13" ht="35" customHeight="1">
      <c r="A68" s="23">
        <f>ROW()-3</f>
        <v>65</v>
      </c>
      <c r="B68" s="42" t="s">
        <v>2732</v>
      </c>
      <c r="C68" s="42" t="s">
        <v>2733</v>
      </c>
      <c r="D68" s="43" t="s">
        <v>2911</v>
      </c>
      <c r="E68" s="43" t="s">
        <v>2820</v>
      </c>
      <c r="F68" s="43" t="s">
        <v>2748</v>
      </c>
      <c r="G68" s="42" t="s">
        <v>34</v>
      </c>
      <c r="H68" s="42">
        <v>1</v>
      </c>
      <c r="I68" s="44">
        <v>0.54805555555555596</v>
      </c>
      <c r="J68" s="45">
        <v>43978</v>
      </c>
      <c r="K68" s="46" t="s">
        <v>20</v>
      </c>
      <c r="L68" s="47">
        <v>4.99</v>
      </c>
      <c r="M68" s="32"/>
    </row>
    <row r="69" spans="1:13" ht="35" customHeight="1">
      <c r="A69" s="23">
        <f>ROW()-3</f>
        <v>66</v>
      </c>
      <c r="B69" s="42" t="s">
        <v>2732</v>
      </c>
      <c r="C69" s="42" t="s">
        <v>2733</v>
      </c>
      <c r="D69" s="43" t="s">
        <v>2912</v>
      </c>
      <c r="E69" s="43" t="s">
        <v>2880</v>
      </c>
      <c r="F69" s="43" t="s">
        <v>2748</v>
      </c>
      <c r="G69" s="42" t="s">
        <v>34</v>
      </c>
      <c r="H69" s="42">
        <v>1</v>
      </c>
      <c r="I69" s="44">
        <v>0.83833333333333304</v>
      </c>
      <c r="J69" s="45">
        <v>43978</v>
      </c>
      <c r="K69" s="46" t="s">
        <v>20</v>
      </c>
      <c r="L69" s="47">
        <v>4.99</v>
      </c>
      <c r="M69" s="32"/>
    </row>
    <row r="70" spans="1:13" ht="35" customHeight="1">
      <c r="A70" s="23">
        <f>ROW()-3</f>
        <v>67</v>
      </c>
      <c r="B70" s="42" t="s">
        <v>2732</v>
      </c>
      <c r="C70" s="42" t="s">
        <v>2733</v>
      </c>
      <c r="D70" s="43" t="s">
        <v>2913</v>
      </c>
      <c r="E70" s="43" t="s">
        <v>2820</v>
      </c>
      <c r="F70" s="43" t="s">
        <v>2748</v>
      </c>
      <c r="G70" s="42" t="s">
        <v>34</v>
      </c>
      <c r="H70" s="42">
        <v>1</v>
      </c>
      <c r="I70" s="44">
        <v>0.43277777777777798</v>
      </c>
      <c r="J70" s="45">
        <v>43978</v>
      </c>
      <c r="K70" s="46" t="s">
        <v>20</v>
      </c>
      <c r="L70" s="47">
        <v>4.99</v>
      </c>
      <c r="M70" s="32"/>
    </row>
    <row r="71" spans="1:13" ht="35" customHeight="1">
      <c r="A71" s="23">
        <f>ROW()-3</f>
        <v>68</v>
      </c>
      <c r="B71" s="42" t="s">
        <v>2732</v>
      </c>
      <c r="C71" s="42" t="s">
        <v>2733</v>
      </c>
      <c r="D71" s="43" t="s">
        <v>2914</v>
      </c>
      <c r="E71" s="43" t="s">
        <v>2915</v>
      </c>
      <c r="F71" s="43" t="s">
        <v>2916</v>
      </c>
      <c r="G71" s="42" t="s">
        <v>34</v>
      </c>
      <c r="H71" s="42">
        <v>1</v>
      </c>
      <c r="I71" s="44">
        <v>0.49222222222222201</v>
      </c>
      <c r="J71" s="45">
        <v>43978</v>
      </c>
      <c r="K71" s="46" t="s">
        <v>20</v>
      </c>
      <c r="L71" s="47">
        <v>4.99</v>
      </c>
      <c r="M71" s="32"/>
    </row>
    <row r="72" spans="1:13" ht="35" customHeight="1">
      <c r="A72" s="23">
        <f>ROW()-3</f>
        <v>69</v>
      </c>
      <c r="B72" s="42" t="s">
        <v>2732</v>
      </c>
      <c r="C72" s="42" t="s">
        <v>2733</v>
      </c>
      <c r="D72" s="43" t="s">
        <v>2925</v>
      </c>
      <c r="E72" s="43" t="s">
        <v>2926</v>
      </c>
      <c r="F72" s="43" t="s">
        <v>2801</v>
      </c>
      <c r="G72" s="42" t="s">
        <v>34</v>
      </c>
      <c r="H72" s="42">
        <v>1</v>
      </c>
      <c r="I72" s="44">
        <v>0.5</v>
      </c>
      <c r="J72" s="45">
        <v>43997</v>
      </c>
      <c r="K72" s="46" t="s">
        <v>20</v>
      </c>
      <c r="L72" s="48">
        <v>4.99</v>
      </c>
      <c r="M72" s="32"/>
    </row>
    <row r="73" spans="1:13" ht="35" customHeight="1">
      <c r="A73" s="23">
        <f>ROW()-3</f>
        <v>70</v>
      </c>
      <c r="B73" s="42" t="s">
        <v>2732</v>
      </c>
      <c r="C73" s="42" t="s">
        <v>2733</v>
      </c>
      <c r="D73" s="43" t="s">
        <v>2927</v>
      </c>
      <c r="E73" s="43" t="s">
        <v>2928</v>
      </c>
      <c r="F73" s="43" t="s">
        <v>2929</v>
      </c>
      <c r="G73" s="42" t="s">
        <v>34</v>
      </c>
      <c r="H73" s="42">
        <v>1</v>
      </c>
      <c r="I73" s="49">
        <v>0.38</v>
      </c>
      <c r="J73" s="45">
        <v>44004</v>
      </c>
      <c r="K73" s="46" t="s">
        <v>20</v>
      </c>
      <c r="L73" s="48">
        <v>4.99</v>
      </c>
      <c r="M73" s="32"/>
    </row>
    <row r="74" spans="1:13" ht="35" customHeight="1">
      <c r="A74" s="23">
        <f>ROW()-3</f>
        <v>71</v>
      </c>
      <c r="B74" s="42" t="s">
        <v>2732</v>
      </c>
      <c r="C74" s="42" t="s">
        <v>2733</v>
      </c>
      <c r="D74" s="43" t="s">
        <v>2930</v>
      </c>
      <c r="E74" s="43" t="s">
        <v>2931</v>
      </c>
      <c r="F74" s="43" t="s">
        <v>2932</v>
      </c>
      <c r="G74" s="42" t="s">
        <v>34</v>
      </c>
      <c r="H74" s="42">
        <v>1</v>
      </c>
      <c r="I74" s="49">
        <v>0.46</v>
      </c>
      <c r="J74" s="45">
        <v>44004</v>
      </c>
      <c r="K74" s="46" t="s">
        <v>20</v>
      </c>
      <c r="L74" s="48">
        <v>4.99</v>
      </c>
      <c r="M74" s="32"/>
    </row>
    <row r="75" spans="1:13" ht="35" customHeight="1">
      <c r="A75" s="23">
        <f>ROW()-3</f>
        <v>72</v>
      </c>
      <c r="B75" s="42" t="s">
        <v>2732</v>
      </c>
      <c r="C75" s="42" t="s">
        <v>2733</v>
      </c>
      <c r="D75" s="43" t="s">
        <v>2933</v>
      </c>
      <c r="E75" s="43" t="s">
        <v>2934</v>
      </c>
      <c r="F75" s="43" t="s">
        <v>2801</v>
      </c>
      <c r="G75" s="42" t="s">
        <v>34</v>
      </c>
      <c r="H75" s="42">
        <v>1</v>
      </c>
      <c r="I75" s="49">
        <v>0.43</v>
      </c>
      <c r="J75" s="45">
        <v>44004</v>
      </c>
      <c r="K75" s="46" t="s">
        <v>20</v>
      </c>
      <c r="L75" s="48">
        <v>4.99</v>
      </c>
      <c r="M75" s="32"/>
    </row>
    <row r="76" spans="1:13" ht="35" customHeight="1">
      <c r="A76" s="23">
        <f>ROW()-3</f>
        <v>73</v>
      </c>
      <c r="B76" s="42" t="s">
        <v>2732</v>
      </c>
      <c r="C76" s="42" t="s">
        <v>2733</v>
      </c>
      <c r="D76" s="43" t="s">
        <v>2935</v>
      </c>
      <c r="E76" s="43" t="s">
        <v>2936</v>
      </c>
      <c r="F76" s="43" t="s">
        <v>2790</v>
      </c>
      <c r="G76" s="42" t="s">
        <v>34</v>
      </c>
      <c r="H76" s="42">
        <v>1</v>
      </c>
      <c r="I76" s="49">
        <v>0.36</v>
      </c>
      <c r="J76" s="45">
        <v>44004</v>
      </c>
      <c r="K76" s="46" t="s">
        <v>20</v>
      </c>
      <c r="L76" s="48">
        <v>4.99</v>
      </c>
      <c r="M76" s="32"/>
    </row>
    <row r="77" spans="1:13" ht="35" customHeight="1">
      <c r="A77" s="23">
        <f>ROW()-3</f>
        <v>74</v>
      </c>
      <c r="B77" s="42" t="s">
        <v>2732</v>
      </c>
      <c r="C77" s="42" t="s">
        <v>2733</v>
      </c>
      <c r="D77" s="43" t="s">
        <v>2740</v>
      </c>
      <c r="E77" s="43" t="s">
        <v>2741</v>
      </c>
      <c r="F77" s="43" t="s">
        <v>2742</v>
      </c>
      <c r="G77" s="42" t="s">
        <v>34</v>
      </c>
      <c r="H77" s="42">
        <v>1</v>
      </c>
      <c r="I77" s="44">
        <v>0.46</v>
      </c>
      <c r="J77" s="45">
        <v>44011</v>
      </c>
      <c r="K77" s="46" t="s">
        <v>20</v>
      </c>
      <c r="L77" s="47">
        <v>4.99</v>
      </c>
      <c r="M77" s="32"/>
    </row>
    <row r="78" spans="1:13" ht="35" customHeight="1">
      <c r="A78" s="23">
        <f>ROW()-3</f>
        <v>75</v>
      </c>
      <c r="B78" s="42" t="s">
        <v>2732</v>
      </c>
      <c r="C78" s="42" t="s">
        <v>2733</v>
      </c>
      <c r="D78" s="43" t="s">
        <v>2937</v>
      </c>
      <c r="E78" s="43" t="s">
        <v>2800</v>
      </c>
      <c r="F78" s="43" t="s">
        <v>2929</v>
      </c>
      <c r="G78" s="42" t="s">
        <v>34</v>
      </c>
      <c r="H78" s="42">
        <v>1</v>
      </c>
      <c r="I78" s="49">
        <v>0.38</v>
      </c>
      <c r="J78" s="45">
        <v>44011</v>
      </c>
      <c r="K78" s="46" t="s">
        <v>20</v>
      </c>
      <c r="L78" s="48">
        <v>4.99</v>
      </c>
      <c r="M78" s="32"/>
    </row>
    <row r="79" spans="1:13" ht="35" customHeight="1">
      <c r="A79" s="23">
        <f>ROW()-3</f>
        <v>76</v>
      </c>
      <c r="B79" s="42" t="s">
        <v>2732</v>
      </c>
      <c r="C79" s="42" t="s">
        <v>2733</v>
      </c>
      <c r="D79" s="43" t="s">
        <v>2938</v>
      </c>
      <c r="E79" s="43" t="s">
        <v>2939</v>
      </c>
      <c r="F79" s="43" t="s">
        <v>2828</v>
      </c>
      <c r="G79" s="42" t="s">
        <v>34</v>
      </c>
      <c r="H79" s="42">
        <v>1</v>
      </c>
      <c r="I79" s="49">
        <v>0.48</v>
      </c>
      <c r="J79" s="45">
        <v>44011</v>
      </c>
      <c r="K79" s="46" t="s">
        <v>20</v>
      </c>
      <c r="L79" s="48">
        <v>4.99</v>
      </c>
      <c r="M79" s="32"/>
    </row>
    <row r="80" spans="1:13" ht="35" customHeight="1">
      <c r="A80" s="23">
        <f>ROW()-3</f>
        <v>77</v>
      </c>
      <c r="B80" s="42" t="s">
        <v>2732</v>
      </c>
      <c r="C80" s="42" t="s">
        <v>2733</v>
      </c>
      <c r="D80" s="43" t="s">
        <v>2940</v>
      </c>
      <c r="E80" s="43" t="s">
        <v>2941</v>
      </c>
      <c r="F80" s="43" t="s">
        <v>2790</v>
      </c>
      <c r="G80" s="42" t="s">
        <v>34</v>
      </c>
      <c r="H80" s="42">
        <v>3</v>
      </c>
      <c r="I80" s="49">
        <v>1.5</v>
      </c>
      <c r="J80" s="45">
        <v>44032</v>
      </c>
      <c r="K80" s="46" t="s">
        <v>20</v>
      </c>
      <c r="L80" s="48">
        <v>4.99</v>
      </c>
      <c r="M80" s="32"/>
    </row>
    <row r="81" spans="1:13" ht="35" customHeight="1">
      <c r="A81" s="23">
        <f>ROW()-3</f>
        <v>78</v>
      </c>
      <c r="B81" s="42" t="s">
        <v>2732</v>
      </c>
      <c r="C81" s="42" t="s">
        <v>2733</v>
      </c>
      <c r="D81" s="43" t="s">
        <v>2859</v>
      </c>
      <c r="E81" s="43" t="s">
        <v>2860</v>
      </c>
      <c r="F81" s="43" t="s">
        <v>2942</v>
      </c>
      <c r="G81" s="42" t="s">
        <v>34</v>
      </c>
      <c r="H81" s="42">
        <v>3</v>
      </c>
      <c r="I81" s="49">
        <v>1.36</v>
      </c>
      <c r="J81" s="45">
        <v>44032</v>
      </c>
      <c r="K81" s="46" t="s">
        <v>20</v>
      </c>
      <c r="L81" s="48">
        <v>4.99</v>
      </c>
      <c r="M81" s="32"/>
    </row>
    <row r="82" spans="1:13" ht="35" customHeight="1">
      <c r="A82" s="23">
        <f>ROW()-3</f>
        <v>79</v>
      </c>
      <c r="B82" s="42" t="s">
        <v>2732</v>
      </c>
      <c r="C82" s="42" t="s">
        <v>2733</v>
      </c>
      <c r="D82" s="43" t="s">
        <v>2764</v>
      </c>
      <c r="E82" s="43" t="s">
        <v>2765</v>
      </c>
      <c r="F82" s="43" t="s">
        <v>2942</v>
      </c>
      <c r="G82" s="42" t="s">
        <v>34</v>
      </c>
      <c r="H82" s="42">
        <v>3</v>
      </c>
      <c r="I82" s="49">
        <v>1.5</v>
      </c>
      <c r="J82" s="45">
        <v>44032</v>
      </c>
      <c r="K82" s="46" t="s">
        <v>20</v>
      </c>
      <c r="L82" s="48">
        <v>4.99</v>
      </c>
      <c r="M82" s="32"/>
    </row>
    <row r="83" spans="1:13" ht="35" customHeight="1">
      <c r="A83" s="23">
        <f>ROW()-3</f>
        <v>80</v>
      </c>
      <c r="B83" s="42" t="s">
        <v>2732</v>
      </c>
      <c r="C83" s="42" t="s">
        <v>2733</v>
      </c>
      <c r="D83" s="43" t="s">
        <v>2943</v>
      </c>
      <c r="E83" s="43" t="s">
        <v>2944</v>
      </c>
      <c r="F83" s="43" t="s">
        <v>2942</v>
      </c>
      <c r="G83" s="42" t="s">
        <v>34</v>
      </c>
      <c r="H83" s="42">
        <v>4</v>
      </c>
      <c r="I83" s="49">
        <v>1.36</v>
      </c>
      <c r="J83" s="45">
        <v>44032</v>
      </c>
      <c r="K83" s="46" t="s">
        <v>20</v>
      </c>
      <c r="L83" s="48">
        <v>4.99</v>
      </c>
      <c r="M83" s="32"/>
    </row>
    <row r="84" spans="1:13" ht="35" customHeight="1">
      <c r="A84" s="23">
        <f>ROW()-3</f>
        <v>81</v>
      </c>
      <c r="B84" s="42" t="s">
        <v>2732</v>
      </c>
      <c r="C84" s="42" t="s">
        <v>2733</v>
      </c>
      <c r="D84" s="43" t="s">
        <v>2925</v>
      </c>
      <c r="E84" s="43" t="s">
        <v>2926</v>
      </c>
      <c r="F84" s="43" t="s">
        <v>2745</v>
      </c>
      <c r="G84" s="42" t="s">
        <v>34</v>
      </c>
      <c r="H84" s="42">
        <v>4</v>
      </c>
      <c r="I84" s="49">
        <v>1.6</v>
      </c>
      <c r="J84" s="45">
        <v>44039</v>
      </c>
      <c r="K84" s="46" t="s">
        <v>20</v>
      </c>
      <c r="L84" s="48">
        <v>4.99</v>
      </c>
      <c r="M84" s="32"/>
    </row>
    <row r="85" spans="1:13" ht="35" customHeight="1">
      <c r="A85" s="23">
        <f>ROW()-3</f>
        <v>82</v>
      </c>
      <c r="B85" s="42" t="s">
        <v>2732</v>
      </c>
      <c r="C85" s="42" t="s">
        <v>2733</v>
      </c>
      <c r="D85" s="43" t="s">
        <v>2945</v>
      </c>
      <c r="E85" s="43" t="s">
        <v>2885</v>
      </c>
      <c r="F85" s="43" t="s">
        <v>2745</v>
      </c>
      <c r="G85" s="42" t="s">
        <v>34</v>
      </c>
      <c r="H85" s="42">
        <v>3</v>
      </c>
      <c r="I85" s="49">
        <v>1.23</v>
      </c>
      <c r="J85" s="45">
        <v>44039</v>
      </c>
      <c r="K85" s="46" t="s">
        <v>20</v>
      </c>
      <c r="L85" s="48">
        <v>4.99</v>
      </c>
      <c r="M85" s="32"/>
    </row>
    <row r="86" spans="1:13" ht="35" customHeight="1">
      <c r="A86" s="23">
        <f>ROW()-3</f>
        <v>83</v>
      </c>
      <c r="B86" s="42" t="s">
        <v>2732</v>
      </c>
      <c r="C86" s="42" t="s">
        <v>2733</v>
      </c>
      <c r="D86" s="43" t="s">
        <v>2946</v>
      </c>
      <c r="E86" s="43" t="s">
        <v>2947</v>
      </c>
      <c r="F86" s="43" t="s">
        <v>2948</v>
      </c>
      <c r="G86" s="42" t="s">
        <v>34</v>
      </c>
      <c r="H86" s="42">
        <v>1</v>
      </c>
      <c r="I86" s="49">
        <v>0.56000000000000005</v>
      </c>
      <c r="J86" s="45">
        <v>44039</v>
      </c>
      <c r="K86" s="46" t="s">
        <v>20</v>
      </c>
      <c r="L86" s="48">
        <v>4.99</v>
      </c>
      <c r="M86" s="32"/>
    </row>
    <row r="87" spans="1:13" ht="35" customHeight="1">
      <c r="A87" s="23">
        <f>ROW()-3</f>
        <v>84</v>
      </c>
      <c r="B87" s="42" t="s">
        <v>2732</v>
      </c>
      <c r="C87" s="42" t="s">
        <v>2733</v>
      </c>
      <c r="D87" s="43" t="s">
        <v>2949</v>
      </c>
      <c r="E87" s="43" t="s">
        <v>2950</v>
      </c>
      <c r="F87" s="43" t="s">
        <v>2742</v>
      </c>
      <c r="G87" s="42" t="s">
        <v>34</v>
      </c>
      <c r="H87" s="42">
        <v>5</v>
      </c>
      <c r="I87" s="49">
        <v>2.16</v>
      </c>
      <c r="J87" s="45">
        <v>44039</v>
      </c>
      <c r="K87" s="46" t="s">
        <v>20</v>
      </c>
      <c r="L87" s="48">
        <v>4.99</v>
      </c>
      <c r="M87" s="32"/>
    </row>
    <row r="88" spans="1:13" ht="35" customHeight="1">
      <c r="A88" s="23">
        <f>ROW()-3</f>
        <v>85</v>
      </c>
      <c r="B88" s="42" t="s">
        <v>2732</v>
      </c>
      <c r="C88" s="42" t="s">
        <v>2733</v>
      </c>
      <c r="D88" s="43" t="s">
        <v>2951</v>
      </c>
      <c r="E88" s="43" t="s">
        <v>2952</v>
      </c>
      <c r="F88" s="43" t="s">
        <v>2745</v>
      </c>
      <c r="G88" s="42" t="s">
        <v>34</v>
      </c>
      <c r="H88" s="42">
        <v>4</v>
      </c>
      <c r="I88" s="49">
        <v>2.3199999999999998</v>
      </c>
      <c r="J88" s="45">
        <v>44046</v>
      </c>
      <c r="K88" s="46" t="s">
        <v>20</v>
      </c>
      <c r="L88" s="48">
        <v>4.99</v>
      </c>
      <c r="M88" s="32"/>
    </row>
    <row r="89" spans="1:13" ht="35" customHeight="1">
      <c r="A89" s="23">
        <f>ROW()-3</f>
        <v>86</v>
      </c>
      <c r="B89" s="42" t="s">
        <v>2732</v>
      </c>
      <c r="C89" s="42" t="s">
        <v>2733</v>
      </c>
      <c r="D89" s="43" t="s">
        <v>2903</v>
      </c>
      <c r="E89" s="43" t="s">
        <v>2904</v>
      </c>
      <c r="F89" s="43" t="s">
        <v>2745</v>
      </c>
      <c r="G89" s="42" t="s">
        <v>34</v>
      </c>
      <c r="H89" s="42">
        <v>4</v>
      </c>
      <c r="I89" s="49">
        <v>2.71</v>
      </c>
      <c r="J89" s="45">
        <v>44046</v>
      </c>
      <c r="K89" s="46" t="s">
        <v>20</v>
      </c>
      <c r="L89" s="48">
        <v>4.99</v>
      </c>
      <c r="M89" s="32"/>
    </row>
    <row r="90" spans="1:13" ht="35" customHeight="1">
      <c r="A90" s="23">
        <f>ROW()-3</f>
        <v>87</v>
      </c>
      <c r="B90" s="42" t="s">
        <v>2732</v>
      </c>
      <c r="C90" s="42" t="s">
        <v>2733</v>
      </c>
      <c r="D90" s="43" t="s">
        <v>2953</v>
      </c>
      <c r="E90" s="43" t="s">
        <v>2779</v>
      </c>
      <c r="F90" s="43" t="s">
        <v>2745</v>
      </c>
      <c r="G90" s="42" t="s">
        <v>34</v>
      </c>
      <c r="H90" s="42">
        <v>3</v>
      </c>
      <c r="I90" s="49">
        <v>1.1200000000000001</v>
      </c>
      <c r="J90" s="45">
        <v>44053</v>
      </c>
      <c r="K90" s="46" t="s">
        <v>30</v>
      </c>
      <c r="L90" s="48">
        <v>4.99</v>
      </c>
      <c r="M90" s="32"/>
    </row>
    <row r="91" spans="1:13" ht="35" customHeight="1">
      <c r="A91" s="23">
        <f>ROW()-3</f>
        <v>88</v>
      </c>
      <c r="B91" s="42" t="s">
        <v>2732</v>
      </c>
      <c r="C91" s="42" t="s">
        <v>2733</v>
      </c>
      <c r="D91" s="43" t="s">
        <v>2796</v>
      </c>
      <c r="E91" s="43" t="s">
        <v>2797</v>
      </c>
      <c r="F91" s="43" t="s">
        <v>2942</v>
      </c>
      <c r="G91" s="42" t="s">
        <v>34</v>
      </c>
      <c r="H91" s="42">
        <v>3</v>
      </c>
      <c r="I91" s="49">
        <v>1.1100000000000001</v>
      </c>
      <c r="J91" s="45">
        <v>44053</v>
      </c>
      <c r="K91" s="46" t="s">
        <v>20</v>
      </c>
      <c r="L91" s="48">
        <v>4.99</v>
      </c>
      <c r="M91" s="32"/>
    </row>
    <row r="92" spans="1:13" ht="35" customHeight="1">
      <c r="A92" s="23">
        <f>ROW()-3</f>
        <v>89</v>
      </c>
      <c r="B92" s="42" t="s">
        <v>2732</v>
      </c>
      <c r="C92" s="42" t="s">
        <v>2733</v>
      </c>
      <c r="D92" s="43" t="s">
        <v>2954</v>
      </c>
      <c r="E92" s="43" t="s">
        <v>2955</v>
      </c>
      <c r="F92" s="43" t="s">
        <v>2745</v>
      </c>
      <c r="G92" s="42" t="s">
        <v>34</v>
      </c>
      <c r="H92" s="42">
        <v>4</v>
      </c>
      <c r="I92" s="49">
        <v>2.36</v>
      </c>
      <c r="J92" s="45">
        <v>44053</v>
      </c>
      <c r="K92" s="46" t="s">
        <v>20</v>
      </c>
      <c r="L92" s="48">
        <v>4.99</v>
      </c>
      <c r="M92" s="32"/>
    </row>
    <row r="93" spans="1:13" ht="35" customHeight="1">
      <c r="A93" s="23">
        <f>ROW()-3</f>
        <v>90</v>
      </c>
      <c r="B93" s="42" t="s">
        <v>2732</v>
      </c>
      <c r="C93" s="42" t="s">
        <v>2733</v>
      </c>
      <c r="D93" s="43" t="s">
        <v>2956</v>
      </c>
      <c r="E93" s="43" t="s">
        <v>2957</v>
      </c>
      <c r="F93" s="43" t="s">
        <v>2745</v>
      </c>
      <c r="G93" s="42" t="s">
        <v>34</v>
      </c>
      <c r="H93" s="42">
        <v>4</v>
      </c>
      <c r="I93" s="49">
        <v>2.6</v>
      </c>
      <c r="J93" s="45">
        <v>44060</v>
      </c>
      <c r="K93" s="46" t="s">
        <v>20</v>
      </c>
      <c r="L93" s="48">
        <v>4.99</v>
      </c>
      <c r="M93" s="32"/>
    </row>
    <row r="94" spans="1:13" ht="35" customHeight="1">
      <c r="A94" s="23">
        <f>ROW()-3</f>
        <v>91</v>
      </c>
      <c r="B94" s="42" t="s">
        <v>2732</v>
      </c>
      <c r="C94" s="42" t="s">
        <v>2733</v>
      </c>
      <c r="D94" s="43" t="s">
        <v>2958</v>
      </c>
      <c r="E94" s="43" t="s">
        <v>2959</v>
      </c>
      <c r="F94" s="43" t="s">
        <v>2745</v>
      </c>
      <c r="G94" s="42" t="s">
        <v>34</v>
      </c>
      <c r="H94" s="42">
        <v>4</v>
      </c>
      <c r="I94" s="49">
        <v>2.56</v>
      </c>
      <c r="J94" s="45">
        <v>44060</v>
      </c>
      <c r="K94" s="46" t="s">
        <v>20</v>
      </c>
      <c r="L94" s="48">
        <v>4.99</v>
      </c>
      <c r="M94" s="32"/>
    </row>
    <row r="95" spans="1:13" ht="35" customHeight="1">
      <c r="A95" s="23">
        <f>ROW()-3</f>
        <v>92</v>
      </c>
      <c r="B95" s="42" t="s">
        <v>2732</v>
      </c>
      <c r="C95" s="42" t="s">
        <v>2733</v>
      </c>
      <c r="D95" s="43" t="s">
        <v>2960</v>
      </c>
      <c r="E95" s="43" t="s">
        <v>2961</v>
      </c>
      <c r="F95" s="43" t="s">
        <v>2745</v>
      </c>
      <c r="G95" s="42" t="s">
        <v>34</v>
      </c>
      <c r="H95" s="42">
        <v>4</v>
      </c>
      <c r="I95" s="49">
        <v>2.5</v>
      </c>
      <c r="J95" s="45">
        <v>44060</v>
      </c>
      <c r="K95" s="46" t="s">
        <v>20</v>
      </c>
      <c r="L95" s="48">
        <v>4.99</v>
      </c>
      <c r="M95" s="32"/>
    </row>
    <row r="96" spans="1:13" ht="35" customHeight="1">
      <c r="A96" s="23">
        <f>ROW()-3</f>
        <v>93</v>
      </c>
      <c r="B96" s="42" t="s">
        <v>2732</v>
      </c>
      <c r="C96" s="42" t="s">
        <v>2733</v>
      </c>
      <c r="D96" s="43" t="s">
        <v>2962</v>
      </c>
      <c r="E96" s="43" t="s">
        <v>2963</v>
      </c>
      <c r="F96" s="43" t="s">
        <v>2745</v>
      </c>
      <c r="G96" s="42" t="s">
        <v>34</v>
      </c>
      <c r="H96" s="42">
        <v>4</v>
      </c>
      <c r="I96" s="49">
        <v>2.61</v>
      </c>
      <c r="J96" s="45">
        <v>44067</v>
      </c>
      <c r="K96" s="46" t="s">
        <v>20</v>
      </c>
      <c r="L96" s="48">
        <v>4.99</v>
      </c>
      <c r="M96" s="32"/>
    </row>
    <row r="97" spans="1:13" ht="35" customHeight="1">
      <c r="A97" s="23">
        <f>ROW()-3</f>
        <v>94</v>
      </c>
      <c r="B97" s="42" t="s">
        <v>2732</v>
      </c>
      <c r="C97" s="42" t="s">
        <v>2733</v>
      </c>
      <c r="D97" s="43" t="s">
        <v>2964</v>
      </c>
      <c r="E97" s="43" t="s">
        <v>2965</v>
      </c>
      <c r="F97" s="43" t="s">
        <v>2745</v>
      </c>
      <c r="G97" s="42" t="s">
        <v>34</v>
      </c>
      <c r="H97" s="42">
        <v>6</v>
      </c>
      <c r="I97" s="49">
        <v>4.5</v>
      </c>
      <c r="J97" s="45">
        <v>44067</v>
      </c>
      <c r="K97" s="46" t="s">
        <v>20</v>
      </c>
      <c r="L97" s="48">
        <v>4.99</v>
      </c>
      <c r="M97" s="32"/>
    </row>
    <row r="98" spans="1:13" ht="35" customHeight="1">
      <c r="A98" s="23">
        <f>ROW()-3</f>
        <v>95</v>
      </c>
      <c r="B98" s="42" t="s">
        <v>2732</v>
      </c>
      <c r="C98" s="42" t="s">
        <v>2733</v>
      </c>
      <c r="D98" s="43" t="s">
        <v>2743</v>
      </c>
      <c r="E98" s="43" t="s">
        <v>2744</v>
      </c>
      <c r="F98" s="43" t="s">
        <v>2745</v>
      </c>
      <c r="G98" s="42" t="s">
        <v>34</v>
      </c>
      <c r="H98" s="42">
        <v>6</v>
      </c>
      <c r="I98" s="44">
        <v>6.2</v>
      </c>
      <c r="J98" s="45">
        <v>44074</v>
      </c>
      <c r="K98" s="46" t="s">
        <v>20</v>
      </c>
      <c r="L98" s="47">
        <v>4.99</v>
      </c>
      <c r="M98" s="32"/>
    </row>
    <row r="99" spans="1:13" ht="35" customHeight="1">
      <c r="A99" s="23">
        <f>ROW()-3</f>
        <v>96</v>
      </c>
      <c r="B99" s="42" t="s">
        <v>2732</v>
      </c>
      <c r="C99" s="42" t="s">
        <v>2733</v>
      </c>
      <c r="D99" s="43" t="s">
        <v>2966</v>
      </c>
      <c r="E99" s="43" t="s">
        <v>2967</v>
      </c>
      <c r="F99" s="43" t="s">
        <v>2745</v>
      </c>
      <c r="G99" s="42" t="s">
        <v>34</v>
      </c>
      <c r="H99" s="42">
        <v>5</v>
      </c>
      <c r="I99" s="49">
        <v>4.16</v>
      </c>
      <c r="J99" s="45">
        <v>44074</v>
      </c>
      <c r="K99" s="46" t="s">
        <v>20</v>
      </c>
      <c r="L99" s="48">
        <v>4.99</v>
      </c>
      <c r="M99" s="32"/>
    </row>
    <row r="100" spans="1:13" ht="35" customHeight="1">
      <c r="A100" s="23">
        <f>ROW()-3</f>
        <v>97</v>
      </c>
      <c r="B100" s="42" t="s">
        <v>2732</v>
      </c>
      <c r="C100" s="42" t="s">
        <v>2733</v>
      </c>
      <c r="D100" s="43" t="s">
        <v>2968</v>
      </c>
      <c r="E100" s="43" t="s">
        <v>2969</v>
      </c>
      <c r="F100" s="43" t="s">
        <v>2745</v>
      </c>
      <c r="G100" s="42" t="s">
        <v>34</v>
      </c>
      <c r="H100" s="42">
        <v>7</v>
      </c>
      <c r="I100" s="49">
        <v>3.5</v>
      </c>
      <c r="J100" s="45">
        <v>44074</v>
      </c>
      <c r="K100" s="46" t="s">
        <v>20</v>
      </c>
      <c r="L100" s="48">
        <v>5.99</v>
      </c>
      <c r="M100" s="32"/>
    </row>
    <row r="101" spans="1:13" ht="35" customHeight="1">
      <c r="A101" s="23">
        <f>ROW()-3</f>
        <v>98</v>
      </c>
      <c r="B101" s="42" t="s">
        <v>2732</v>
      </c>
      <c r="C101" s="42" t="s">
        <v>2733</v>
      </c>
      <c r="D101" s="43" t="s">
        <v>2799</v>
      </c>
      <c r="E101" s="43" t="s">
        <v>2800</v>
      </c>
      <c r="F101" s="43" t="s">
        <v>2745</v>
      </c>
      <c r="G101" s="42" t="s">
        <v>34</v>
      </c>
      <c r="H101" s="42">
        <v>2</v>
      </c>
      <c r="I101" s="49">
        <v>1.25</v>
      </c>
      <c r="J101" s="45">
        <v>44081</v>
      </c>
      <c r="K101" s="46" t="s">
        <v>20</v>
      </c>
      <c r="L101" s="48">
        <v>4.99</v>
      </c>
      <c r="M101" s="32"/>
    </row>
    <row r="102" spans="1:13" ht="35" customHeight="1">
      <c r="A102" s="23">
        <f>ROW()-3</f>
        <v>99</v>
      </c>
      <c r="B102" s="42" t="s">
        <v>2732</v>
      </c>
      <c r="C102" s="42" t="s">
        <v>2733</v>
      </c>
      <c r="D102" s="43" t="s">
        <v>2886</v>
      </c>
      <c r="E102" s="43" t="s">
        <v>2970</v>
      </c>
      <c r="F102" s="43" t="s">
        <v>2745</v>
      </c>
      <c r="G102" s="42" t="s">
        <v>34</v>
      </c>
      <c r="H102" s="42">
        <v>3</v>
      </c>
      <c r="I102" s="49">
        <v>2.1</v>
      </c>
      <c r="J102" s="45">
        <v>44088</v>
      </c>
      <c r="K102" s="46" t="s">
        <v>20</v>
      </c>
      <c r="L102" s="48">
        <v>8.6999999999999993</v>
      </c>
      <c r="M102" s="32"/>
    </row>
    <row r="103" spans="1:13" ht="35" customHeight="1">
      <c r="A103" s="23">
        <f>ROW()-3</f>
        <v>100</v>
      </c>
      <c r="B103" s="42" t="s">
        <v>2732</v>
      </c>
      <c r="C103" s="42" t="s">
        <v>2733</v>
      </c>
      <c r="D103" s="43" t="s">
        <v>2973</v>
      </c>
      <c r="E103" s="43" t="s">
        <v>2974</v>
      </c>
      <c r="F103" s="43" t="s">
        <v>2742</v>
      </c>
      <c r="G103" s="42" t="s">
        <v>34</v>
      </c>
      <c r="H103" s="42">
        <v>1</v>
      </c>
      <c r="I103" s="42">
        <v>0.41</v>
      </c>
      <c r="J103" s="45">
        <v>44095</v>
      </c>
      <c r="K103" s="46" t="s">
        <v>20</v>
      </c>
      <c r="L103" s="48">
        <v>4.99</v>
      </c>
      <c r="M103" s="32"/>
    </row>
    <row r="104" spans="1:13" ht="35" customHeight="1">
      <c r="A104" s="23">
        <f>ROW()-3</f>
        <v>101</v>
      </c>
      <c r="B104" s="42" t="s">
        <v>2732</v>
      </c>
      <c r="C104" s="42" t="s">
        <v>2733</v>
      </c>
      <c r="D104" s="43" t="s">
        <v>2975</v>
      </c>
      <c r="E104" s="43" t="s">
        <v>2976</v>
      </c>
      <c r="F104" s="43" t="s">
        <v>2929</v>
      </c>
      <c r="G104" s="42" t="s">
        <v>34</v>
      </c>
      <c r="H104" s="42">
        <v>1</v>
      </c>
      <c r="I104" s="42">
        <v>0.42</v>
      </c>
      <c r="J104" s="45">
        <v>44095</v>
      </c>
      <c r="K104" s="46" t="s">
        <v>20</v>
      </c>
      <c r="L104" s="48">
        <v>4.99</v>
      </c>
      <c r="M104" s="32"/>
    </row>
    <row r="105" spans="1:13" ht="35" customHeight="1">
      <c r="A105" s="23">
        <f>ROW()-3</f>
        <v>102</v>
      </c>
      <c r="B105" s="42" t="s">
        <v>2732</v>
      </c>
      <c r="C105" s="42" t="s">
        <v>2733</v>
      </c>
      <c r="D105" s="43" t="s">
        <v>2977</v>
      </c>
      <c r="E105" s="43" t="s">
        <v>2978</v>
      </c>
      <c r="F105" s="43" t="s">
        <v>2905</v>
      </c>
      <c r="G105" s="42" t="s">
        <v>34</v>
      </c>
      <c r="H105" s="42">
        <v>1</v>
      </c>
      <c r="I105" s="42">
        <v>0.42</v>
      </c>
      <c r="J105" s="45">
        <v>44095</v>
      </c>
      <c r="K105" s="46" t="s">
        <v>20</v>
      </c>
      <c r="L105" s="48">
        <v>4.99</v>
      </c>
      <c r="M105" s="32"/>
    </row>
    <row r="106" spans="1:13" ht="35" customHeight="1">
      <c r="A106" s="23">
        <f>ROW()-3</f>
        <v>103</v>
      </c>
      <c r="B106" s="42" t="s">
        <v>2732</v>
      </c>
      <c r="C106" s="42" t="s">
        <v>2733</v>
      </c>
      <c r="D106" s="43" t="s">
        <v>2979</v>
      </c>
      <c r="E106" s="43" t="s">
        <v>2980</v>
      </c>
      <c r="F106" s="43" t="s">
        <v>2828</v>
      </c>
      <c r="G106" s="42" t="s">
        <v>34</v>
      </c>
      <c r="H106" s="42">
        <v>1</v>
      </c>
      <c r="I106" s="42">
        <v>0.41</v>
      </c>
      <c r="J106" s="45">
        <v>44095</v>
      </c>
      <c r="K106" s="46" t="s">
        <v>20</v>
      </c>
      <c r="L106" s="48">
        <v>4.99</v>
      </c>
      <c r="M106" s="32"/>
    </row>
    <row r="107" spans="1:13" ht="35" customHeight="1">
      <c r="A107" s="23">
        <f>ROW()-3</f>
        <v>104</v>
      </c>
      <c r="B107" s="42" t="s">
        <v>2732</v>
      </c>
      <c r="C107" s="42" t="s">
        <v>2733</v>
      </c>
      <c r="D107" s="43" t="s">
        <v>2981</v>
      </c>
      <c r="E107" s="43" t="s">
        <v>2982</v>
      </c>
      <c r="F107" s="43" t="s">
        <v>2919</v>
      </c>
      <c r="G107" s="42" t="s">
        <v>34</v>
      </c>
      <c r="H107" s="42">
        <v>1</v>
      </c>
      <c r="I107" s="42">
        <v>0.75</v>
      </c>
      <c r="J107" s="45">
        <v>44095</v>
      </c>
      <c r="K107" s="46" t="s">
        <v>20</v>
      </c>
      <c r="L107" s="48">
        <v>4.99</v>
      </c>
      <c r="M107" s="32"/>
    </row>
    <row r="108" spans="1:13" ht="35" customHeight="1">
      <c r="A108" s="23">
        <f>ROW()-3</f>
        <v>105</v>
      </c>
      <c r="B108" s="42" t="s">
        <v>2732</v>
      </c>
      <c r="C108" s="42" t="s">
        <v>2733</v>
      </c>
      <c r="D108" s="43" t="s">
        <v>2983</v>
      </c>
      <c r="E108" s="43" t="s">
        <v>2984</v>
      </c>
      <c r="F108" s="43" t="s">
        <v>2905</v>
      </c>
      <c r="G108" s="42" t="s">
        <v>34</v>
      </c>
      <c r="H108" s="42">
        <v>1</v>
      </c>
      <c r="I108" s="49">
        <v>0.49</v>
      </c>
      <c r="J108" s="45">
        <v>44095</v>
      </c>
      <c r="K108" s="46" t="s">
        <v>20</v>
      </c>
      <c r="L108" s="48">
        <v>4.99</v>
      </c>
      <c r="M108" s="32"/>
    </row>
    <row r="109" spans="1:13" ht="35" customHeight="1">
      <c r="A109" s="23">
        <f>ROW()-3</f>
        <v>106</v>
      </c>
      <c r="B109" s="42" t="s">
        <v>2732</v>
      </c>
      <c r="C109" s="42" t="s">
        <v>2733</v>
      </c>
      <c r="D109" s="43" t="s">
        <v>2985</v>
      </c>
      <c r="E109" s="43" t="s">
        <v>2986</v>
      </c>
      <c r="F109" s="43" t="s">
        <v>2828</v>
      </c>
      <c r="G109" s="42" t="s">
        <v>34</v>
      </c>
      <c r="H109" s="42">
        <v>1</v>
      </c>
      <c r="I109" s="49">
        <v>0.38</v>
      </c>
      <c r="J109" s="45">
        <v>44095</v>
      </c>
      <c r="K109" s="46" t="s">
        <v>20</v>
      </c>
      <c r="L109" s="48">
        <v>4.99</v>
      </c>
      <c r="M109" s="32"/>
    </row>
    <row r="110" spans="1:13" ht="35" customHeight="1">
      <c r="A110" s="23">
        <f>ROW()-3</f>
        <v>107</v>
      </c>
      <c r="B110" s="42" t="s">
        <v>2732</v>
      </c>
      <c r="C110" s="42" t="s">
        <v>2733</v>
      </c>
      <c r="D110" s="43" t="s">
        <v>2987</v>
      </c>
      <c r="E110" s="43" t="s">
        <v>2988</v>
      </c>
      <c r="F110" s="43" t="s">
        <v>2828</v>
      </c>
      <c r="G110" s="42" t="s">
        <v>34</v>
      </c>
      <c r="H110" s="42">
        <v>1</v>
      </c>
      <c r="I110" s="42">
        <v>0.42</v>
      </c>
      <c r="J110" s="45">
        <v>44095</v>
      </c>
      <c r="K110" s="46" t="s">
        <v>20</v>
      </c>
      <c r="L110" s="48">
        <v>4.99</v>
      </c>
      <c r="M110" s="32"/>
    </row>
    <row r="111" spans="1:13" ht="35" customHeight="1">
      <c r="A111" s="23">
        <f>ROW()-3</f>
        <v>108</v>
      </c>
      <c r="B111" s="42" t="s">
        <v>2732</v>
      </c>
      <c r="C111" s="42" t="s">
        <v>2733</v>
      </c>
      <c r="D111" s="43" t="s">
        <v>2989</v>
      </c>
      <c r="E111" s="43" t="s">
        <v>2990</v>
      </c>
      <c r="F111" s="43" t="s">
        <v>2932</v>
      </c>
      <c r="G111" s="42" t="s">
        <v>34</v>
      </c>
      <c r="H111" s="42">
        <v>1</v>
      </c>
      <c r="I111" s="49">
        <v>0.4</v>
      </c>
      <c r="J111" s="45">
        <v>44102</v>
      </c>
      <c r="K111" s="46" t="s">
        <v>20</v>
      </c>
      <c r="L111" s="48">
        <v>4.99</v>
      </c>
      <c r="M111" s="32"/>
    </row>
    <row r="112" spans="1:13" ht="35" customHeight="1">
      <c r="A112" s="23">
        <f>ROW()-3</f>
        <v>109</v>
      </c>
      <c r="B112" s="42" t="s">
        <v>2732</v>
      </c>
      <c r="C112" s="42" t="s">
        <v>2733</v>
      </c>
      <c r="D112" s="43" t="s">
        <v>2991</v>
      </c>
      <c r="E112" s="43" t="s">
        <v>2992</v>
      </c>
      <c r="F112" s="43" t="s">
        <v>2751</v>
      </c>
      <c r="G112" s="42" t="s">
        <v>34</v>
      </c>
      <c r="H112" s="42">
        <v>1</v>
      </c>
      <c r="I112" s="49">
        <v>0.5</v>
      </c>
      <c r="J112" s="45">
        <v>44102</v>
      </c>
      <c r="K112" s="46" t="s">
        <v>20</v>
      </c>
      <c r="L112" s="48">
        <v>4.99</v>
      </c>
      <c r="M112" s="32"/>
    </row>
    <row r="113" spans="1:13" ht="35" customHeight="1">
      <c r="A113" s="23">
        <f>ROW()-3</f>
        <v>110</v>
      </c>
      <c r="B113" s="42" t="s">
        <v>2732</v>
      </c>
      <c r="C113" s="42" t="s">
        <v>2733</v>
      </c>
      <c r="D113" s="43" t="s">
        <v>2993</v>
      </c>
      <c r="E113" s="43" t="s">
        <v>2994</v>
      </c>
      <c r="F113" s="43" t="s">
        <v>2916</v>
      </c>
      <c r="G113" s="42" t="s">
        <v>34</v>
      </c>
      <c r="H113" s="42">
        <v>1</v>
      </c>
      <c r="I113" s="49">
        <v>0.53</v>
      </c>
      <c r="J113" s="45">
        <v>44102</v>
      </c>
      <c r="K113" s="46" t="s">
        <v>20</v>
      </c>
      <c r="L113" s="48">
        <v>4.99</v>
      </c>
      <c r="M113" s="32"/>
    </row>
    <row r="114" spans="1:13" ht="35" customHeight="1">
      <c r="A114" s="23">
        <f>ROW()-3</f>
        <v>111</v>
      </c>
      <c r="B114" s="42" t="s">
        <v>2732</v>
      </c>
      <c r="C114" s="42" t="s">
        <v>2733</v>
      </c>
      <c r="D114" s="43" t="s">
        <v>2995</v>
      </c>
      <c r="E114" s="43" t="s">
        <v>2757</v>
      </c>
      <c r="F114" s="43" t="s">
        <v>2751</v>
      </c>
      <c r="G114" s="42" t="s">
        <v>34</v>
      </c>
      <c r="H114" s="42">
        <v>1</v>
      </c>
      <c r="I114" s="49">
        <v>0.42</v>
      </c>
      <c r="J114" s="45">
        <v>44102</v>
      </c>
      <c r="K114" s="46" t="s">
        <v>20</v>
      </c>
      <c r="L114" s="48">
        <v>4.99</v>
      </c>
      <c r="M114" s="32"/>
    </row>
    <row r="115" spans="1:13" ht="35" customHeight="1">
      <c r="A115" s="23">
        <f>ROW()-3</f>
        <v>112</v>
      </c>
      <c r="B115" s="42" t="s">
        <v>2732</v>
      </c>
      <c r="C115" s="42" t="s">
        <v>2733</v>
      </c>
      <c r="D115" s="43" t="s">
        <v>2996</v>
      </c>
      <c r="E115" s="43" t="s">
        <v>2997</v>
      </c>
      <c r="F115" s="43" t="s">
        <v>2998</v>
      </c>
      <c r="G115" s="42" t="s">
        <v>34</v>
      </c>
      <c r="H115" s="42">
        <v>1</v>
      </c>
      <c r="I115" s="49">
        <v>0.4</v>
      </c>
      <c r="J115" s="45">
        <v>44102</v>
      </c>
      <c r="K115" s="46" t="s">
        <v>20</v>
      </c>
      <c r="L115" s="48">
        <v>4.99</v>
      </c>
      <c r="M115" s="32"/>
    </row>
    <row r="116" spans="1:13" ht="35" customHeight="1">
      <c r="A116" s="23">
        <f>ROW()-3</f>
        <v>113</v>
      </c>
      <c r="B116" s="42" t="s">
        <v>2732</v>
      </c>
      <c r="C116" s="42" t="s">
        <v>2733</v>
      </c>
      <c r="D116" s="43" t="s">
        <v>3002</v>
      </c>
      <c r="E116" s="43" t="s">
        <v>3003</v>
      </c>
      <c r="F116" s="43" t="s">
        <v>2905</v>
      </c>
      <c r="G116" s="42" t="s">
        <v>34</v>
      </c>
      <c r="H116" s="42">
        <v>1</v>
      </c>
      <c r="I116" s="49">
        <v>0.47</v>
      </c>
      <c r="J116" s="45">
        <v>44102</v>
      </c>
      <c r="K116" s="46" t="s">
        <v>20</v>
      </c>
      <c r="L116" s="48">
        <v>12</v>
      </c>
      <c r="M116" s="32"/>
    </row>
    <row r="117" spans="1:13" ht="35" customHeight="1">
      <c r="A117" s="23">
        <f>ROW()-3</f>
        <v>114</v>
      </c>
      <c r="B117" s="42" t="s">
        <v>2732</v>
      </c>
      <c r="C117" s="42" t="s">
        <v>2733</v>
      </c>
      <c r="D117" s="43" t="s">
        <v>2835</v>
      </c>
      <c r="E117" s="43" t="s">
        <v>2836</v>
      </c>
      <c r="F117" s="43" t="s">
        <v>2837</v>
      </c>
      <c r="G117" s="42" t="s">
        <v>34</v>
      </c>
      <c r="H117" s="42">
        <v>1</v>
      </c>
      <c r="I117" s="44">
        <v>0.45</v>
      </c>
      <c r="J117" s="45">
        <v>44116</v>
      </c>
      <c r="K117" s="46" t="s">
        <v>20</v>
      </c>
      <c r="L117" s="47">
        <v>4.99</v>
      </c>
      <c r="M117" s="32"/>
    </row>
    <row r="118" spans="1:13" ht="35" customHeight="1">
      <c r="A118" s="23">
        <f>ROW()-3</f>
        <v>115</v>
      </c>
      <c r="B118" s="42" t="s">
        <v>2732</v>
      </c>
      <c r="C118" s="42" t="s">
        <v>2733</v>
      </c>
      <c r="D118" s="43" t="s">
        <v>2838</v>
      </c>
      <c r="E118" s="43" t="s">
        <v>2765</v>
      </c>
      <c r="F118" s="43" t="s">
        <v>2828</v>
      </c>
      <c r="G118" s="42" t="s">
        <v>34</v>
      </c>
      <c r="H118" s="42">
        <v>1</v>
      </c>
      <c r="I118" s="44">
        <v>0.49</v>
      </c>
      <c r="J118" s="45">
        <v>44116</v>
      </c>
      <c r="K118" s="46" t="s">
        <v>20</v>
      </c>
      <c r="L118" s="47">
        <v>4.99</v>
      </c>
      <c r="M118" s="32"/>
    </row>
    <row r="119" spans="1:13" ht="35" customHeight="1">
      <c r="A119" s="23">
        <f>ROW()-3</f>
        <v>116</v>
      </c>
      <c r="B119" s="42" t="s">
        <v>2732</v>
      </c>
      <c r="C119" s="42" t="s">
        <v>2733</v>
      </c>
      <c r="D119" s="43" t="s">
        <v>2839</v>
      </c>
      <c r="E119" s="43" t="s">
        <v>2833</v>
      </c>
      <c r="F119" s="43" t="s">
        <v>2840</v>
      </c>
      <c r="G119" s="42" t="s">
        <v>34</v>
      </c>
      <c r="H119" s="42">
        <v>1</v>
      </c>
      <c r="I119" s="44">
        <v>0.41</v>
      </c>
      <c r="J119" s="45">
        <v>44116</v>
      </c>
      <c r="K119" s="46" t="s">
        <v>20</v>
      </c>
      <c r="L119" s="47">
        <v>4.99</v>
      </c>
      <c r="M119" s="32"/>
    </row>
    <row r="120" spans="1:13" ht="35" customHeight="1">
      <c r="A120" s="23">
        <f>ROW()-3</f>
        <v>117</v>
      </c>
      <c r="B120" s="42" t="s">
        <v>2732</v>
      </c>
      <c r="C120" s="42" t="s">
        <v>2733</v>
      </c>
      <c r="D120" s="43" t="s">
        <v>2841</v>
      </c>
      <c r="E120" s="43" t="s">
        <v>2842</v>
      </c>
      <c r="F120" s="43" t="s">
        <v>2843</v>
      </c>
      <c r="G120" s="42" t="s">
        <v>34</v>
      </c>
      <c r="H120" s="42">
        <v>1</v>
      </c>
      <c r="I120" s="44">
        <v>0.45</v>
      </c>
      <c r="J120" s="45">
        <v>44116</v>
      </c>
      <c r="K120" s="46" t="s">
        <v>20</v>
      </c>
      <c r="L120" s="47">
        <v>4.99</v>
      </c>
      <c r="M120" s="32"/>
    </row>
    <row r="121" spans="1:13" ht="35" customHeight="1">
      <c r="A121" s="23">
        <f>ROW()-3</f>
        <v>118</v>
      </c>
      <c r="B121" s="42" t="s">
        <v>2732</v>
      </c>
      <c r="C121" s="42" t="s">
        <v>2733</v>
      </c>
      <c r="D121" s="43" t="s">
        <v>2844</v>
      </c>
      <c r="E121" s="43" t="s">
        <v>2845</v>
      </c>
      <c r="F121" s="43" t="s">
        <v>2846</v>
      </c>
      <c r="G121" s="42" t="s">
        <v>34</v>
      </c>
      <c r="H121" s="42">
        <v>1</v>
      </c>
      <c r="I121" s="44">
        <v>0.26</v>
      </c>
      <c r="J121" s="45">
        <v>44116</v>
      </c>
      <c r="K121" s="46" t="s">
        <v>20</v>
      </c>
      <c r="L121" s="47">
        <v>4.99</v>
      </c>
      <c r="M121" s="32"/>
    </row>
    <row r="122" spans="1:13" ht="35" customHeight="1">
      <c r="A122" s="23">
        <f>ROW()-3</f>
        <v>119</v>
      </c>
      <c r="B122" s="42" t="s">
        <v>2732</v>
      </c>
      <c r="C122" s="42" t="s">
        <v>2733</v>
      </c>
      <c r="D122" s="43" t="s">
        <v>2847</v>
      </c>
      <c r="E122" s="43" t="s">
        <v>2845</v>
      </c>
      <c r="F122" s="43" t="s">
        <v>2846</v>
      </c>
      <c r="G122" s="42" t="s">
        <v>34</v>
      </c>
      <c r="H122" s="42">
        <v>1</v>
      </c>
      <c r="I122" s="44">
        <v>0.18</v>
      </c>
      <c r="J122" s="45">
        <v>44116</v>
      </c>
      <c r="K122" s="46" t="s">
        <v>20</v>
      </c>
      <c r="L122" s="47">
        <v>4.99</v>
      </c>
      <c r="M122" s="32"/>
    </row>
    <row r="123" spans="1:13" ht="35" customHeight="1">
      <c r="A123" s="23">
        <f>ROW()-3</f>
        <v>120</v>
      </c>
      <c r="B123" s="42" t="s">
        <v>2732</v>
      </c>
      <c r="C123" s="42" t="s">
        <v>2733</v>
      </c>
      <c r="D123" s="43" t="s">
        <v>2848</v>
      </c>
      <c r="E123" s="43" t="s">
        <v>2849</v>
      </c>
      <c r="F123" s="43" t="s">
        <v>2850</v>
      </c>
      <c r="G123" s="42" t="s">
        <v>34</v>
      </c>
      <c r="H123" s="42">
        <v>1</v>
      </c>
      <c r="I123" s="44">
        <v>0.17</v>
      </c>
      <c r="J123" s="45">
        <v>44116</v>
      </c>
      <c r="K123" s="46" t="s">
        <v>20</v>
      </c>
      <c r="L123" s="47">
        <v>4.99</v>
      </c>
      <c r="M123" s="32"/>
    </row>
    <row r="124" spans="1:13" ht="35" customHeight="1">
      <c r="A124" s="23">
        <f>ROW()-3</f>
        <v>121</v>
      </c>
      <c r="B124" s="42" t="s">
        <v>2732</v>
      </c>
      <c r="C124" s="42" t="s">
        <v>2733</v>
      </c>
      <c r="D124" s="43" t="s">
        <v>2851</v>
      </c>
      <c r="E124" s="43" t="s">
        <v>2849</v>
      </c>
      <c r="F124" s="43" t="s">
        <v>2850</v>
      </c>
      <c r="G124" s="42" t="s">
        <v>34</v>
      </c>
      <c r="H124" s="42">
        <v>1</v>
      </c>
      <c r="I124" s="44">
        <v>0.23</v>
      </c>
      <c r="J124" s="45">
        <v>44116</v>
      </c>
      <c r="K124" s="46" t="s">
        <v>20</v>
      </c>
      <c r="L124" s="47">
        <v>4.99</v>
      </c>
      <c r="M124" s="32"/>
    </row>
    <row r="125" spans="1:13" ht="35" customHeight="1">
      <c r="A125" s="23">
        <f>ROW()-3</f>
        <v>122</v>
      </c>
      <c r="B125" s="42" t="s">
        <v>2732</v>
      </c>
      <c r="C125" s="42" t="s">
        <v>2733</v>
      </c>
      <c r="D125" s="43" t="s">
        <v>2852</v>
      </c>
      <c r="E125" s="43" t="s">
        <v>2833</v>
      </c>
      <c r="F125" s="43" t="s">
        <v>2840</v>
      </c>
      <c r="G125" s="42" t="s">
        <v>34</v>
      </c>
      <c r="H125" s="42">
        <v>1</v>
      </c>
      <c r="I125" s="44">
        <v>0.38</v>
      </c>
      <c r="J125" s="45">
        <v>44116</v>
      </c>
      <c r="K125" s="46" t="s">
        <v>20</v>
      </c>
      <c r="L125" s="47">
        <v>4.99</v>
      </c>
      <c r="M125" s="32"/>
    </row>
    <row r="126" spans="1:13" ht="35" customHeight="1">
      <c r="A126" s="23">
        <f>ROW()-3</f>
        <v>123</v>
      </c>
      <c r="B126" s="42" t="s">
        <v>2732</v>
      </c>
      <c r="C126" s="42" t="s">
        <v>2733</v>
      </c>
      <c r="D126" s="43" t="s">
        <v>2853</v>
      </c>
      <c r="E126" s="43" t="s">
        <v>2854</v>
      </c>
      <c r="F126" s="43" t="s">
        <v>2840</v>
      </c>
      <c r="G126" s="42" t="s">
        <v>34</v>
      </c>
      <c r="H126" s="42">
        <v>1</v>
      </c>
      <c r="I126" s="44">
        <v>0.45</v>
      </c>
      <c r="J126" s="45">
        <v>44116</v>
      </c>
      <c r="K126" s="46" t="s">
        <v>20</v>
      </c>
      <c r="L126" s="47">
        <v>4.99</v>
      </c>
      <c r="M126" s="32"/>
    </row>
    <row r="127" spans="1:13" ht="35" customHeight="1">
      <c r="A127" s="23">
        <f>ROW()-3</f>
        <v>124</v>
      </c>
      <c r="B127" s="42" t="s">
        <v>5166</v>
      </c>
      <c r="C127" s="42" t="s">
        <v>2733</v>
      </c>
      <c r="D127" s="43" t="s">
        <v>2734</v>
      </c>
      <c r="E127" s="43" t="s">
        <v>2735</v>
      </c>
      <c r="F127" s="43" t="s">
        <v>2736</v>
      </c>
      <c r="G127" s="42" t="s">
        <v>34</v>
      </c>
      <c r="H127" s="42">
        <v>1</v>
      </c>
      <c r="I127" s="44">
        <v>0.89305555555555605</v>
      </c>
      <c r="J127" s="45">
        <v>44158</v>
      </c>
      <c r="K127" s="46" t="s">
        <v>20</v>
      </c>
      <c r="L127" s="47">
        <v>4.99</v>
      </c>
      <c r="M127" s="32"/>
    </row>
    <row r="128" spans="1:13" ht="35" customHeight="1">
      <c r="A128" s="23">
        <f>ROW()-3</f>
        <v>125</v>
      </c>
      <c r="B128" s="42" t="s">
        <v>2732</v>
      </c>
      <c r="C128" s="42" t="s">
        <v>2733</v>
      </c>
      <c r="D128" s="43" t="s">
        <v>2746</v>
      </c>
      <c r="E128" s="43" t="s">
        <v>2747</v>
      </c>
      <c r="F128" s="43" t="s">
        <v>2748</v>
      </c>
      <c r="G128" s="42" t="s">
        <v>34</v>
      </c>
      <c r="H128" s="42">
        <v>1</v>
      </c>
      <c r="I128" s="44">
        <v>0.49555555555555603</v>
      </c>
      <c r="J128" s="45">
        <v>44158</v>
      </c>
      <c r="K128" s="46" t="s">
        <v>20</v>
      </c>
      <c r="L128" s="47">
        <v>4.99</v>
      </c>
      <c r="M128" s="32"/>
    </row>
    <row r="129" spans="1:291" ht="35" customHeight="1">
      <c r="A129" s="23">
        <f>ROW()-3</f>
        <v>126</v>
      </c>
      <c r="B129" s="42" t="s">
        <v>2732</v>
      </c>
      <c r="C129" s="42" t="s">
        <v>2733</v>
      </c>
      <c r="D129" s="43" t="s">
        <v>2999</v>
      </c>
      <c r="E129" s="43" t="s">
        <v>3000</v>
      </c>
      <c r="F129" s="43" t="s">
        <v>3001</v>
      </c>
      <c r="G129" s="42" t="s">
        <v>34</v>
      </c>
      <c r="H129" s="42">
        <v>1</v>
      </c>
      <c r="I129" s="49">
        <v>0.4</v>
      </c>
      <c r="J129" s="45">
        <v>44169</v>
      </c>
      <c r="K129" s="46" t="s">
        <v>20</v>
      </c>
      <c r="L129" s="48">
        <v>4.99</v>
      </c>
      <c r="M129" s="32"/>
    </row>
    <row r="130" spans="1:291" ht="35" customHeight="1">
      <c r="A130" s="23">
        <f>ROW()-3</f>
        <v>127</v>
      </c>
      <c r="B130" s="42" t="s">
        <v>2732</v>
      </c>
      <c r="C130" s="42" t="s">
        <v>2733</v>
      </c>
      <c r="D130" s="43" t="s">
        <v>2737</v>
      </c>
      <c r="E130" s="43" t="s">
        <v>2738</v>
      </c>
      <c r="F130" s="43" t="s">
        <v>2739</v>
      </c>
      <c r="G130" s="42" t="s">
        <v>34</v>
      </c>
      <c r="H130" s="42">
        <v>1</v>
      </c>
      <c r="I130" s="44">
        <v>0.52</v>
      </c>
      <c r="J130" s="45">
        <v>44186</v>
      </c>
      <c r="K130" s="46" t="s">
        <v>20</v>
      </c>
      <c r="L130" s="47">
        <v>4.99</v>
      </c>
      <c r="M130" s="32"/>
    </row>
    <row r="131" spans="1:291" ht="35" customHeight="1">
      <c r="A131" s="23">
        <f>ROW()-3</f>
        <v>128</v>
      </c>
      <c r="B131" s="42" t="s">
        <v>2732</v>
      </c>
      <c r="C131" s="42" t="s">
        <v>2733</v>
      </c>
      <c r="D131" s="43" t="s">
        <v>3004</v>
      </c>
      <c r="E131" s="43" t="s">
        <v>3005</v>
      </c>
      <c r="F131" s="43" t="s">
        <v>2801</v>
      </c>
      <c r="G131" s="42" t="s">
        <v>34</v>
      </c>
      <c r="H131" s="42">
        <v>1</v>
      </c>
      <c r="I131" s="49">
        <v>0.5</v>
      </c>
      <c r="J131" s="45">
        <v>44263</v>
      </c>
      <c r="K131" s="46" t="s">
        <v>20</v>
      </c>
      <c r="L131" s="48" t="s">
        <v>3006</v>
      </c>
      <c r="M131" s="32"/>
    </row>
    <row r="132" spans="1:291" ht="35" customHeight="1">
      <c r="A132" s="23">
        <f>ROW()-3</f>
        <v>129</v>
      </c>
      <c r="B132" s="42" t="s">
        <v>2732</v>
      </c>
      <c r="C132" s="42" t="s">
        <v>2733</v>
      </c>
      <c r="D132" s="43" t="s">
        <v>3007</v>
      </c>
      <c r="E132" s="43" t="s">
        <v>3008</v>
      </c>
      <c r="F132" s="43" t="s">
        <v>3009</v>
      </c>
      <c r="G132" s="42" t="s">
        <v>34</v>
      </c>
      <c r="H132" s="42">
        <v>1</v>
      </c>
      <c r="I132" s="49">
        <v>0.5</v>
      </c>
      <c r="J132" s="45">
        <v>44522</v>
      </c>
      <c r="K132" s="46" t="s">
        <v>20</v>
      </c>
      <c r="L132" s="48" t="s">
        <v>3006</v>
      </c>
      <c r="M132" s="32"/>
    </row>
    <row r="133" spans="1:291" ht="35" customHeight="1">
      <c r="A133" s="23">
        <f>ROW()-3</f>
        <v>130</v>
      </c>
      <c r="B133" s="42" t="s">
        <v>2732</v>
      </c>
      <c r="C133" s="42" t="s">
        <v>2733</v>
      </c>
      <c r="D133" s="43" t="s">
        <v>3010</v>
      </c>
      <c r="E133" s="43" t="s">
        <v>3011</v>
      </c>
      <c r="F133" s="43" t="s">
        <v>3012</v>
      </c>
      <c r="G133" s="42" t="s">
        <v>34</v>
      </c>
      <c r="H133" s="42">
        <v>1</v>
      </c>
      <c r="I133" s="49">
        <v>0.5</v>
      </c>
      <c r="J133" s="45">
        <v>44543</v>
      </c>
      <c r="K133" s="46" t="s">
        <v>20</v>
      </c>
      <c r="L133" s="48" t="s">
        <v>3006</v>
      </c>
      <c r="M133" s="32"/>
    </row>
    <row r="134" spans="1:291" ht="35" customHeight="1">
      <c r="A134" s="23">
        <f>ROW()-3</f>
        <v>131</v>
      </c>
      <c r="B134" s="42" t="s">
        <v>2732</v>
      </c>
      <c r="C134" s="42" t="s">
        <v>2733</v>
      </c>
      <c r="D134" s="43" t="s">
        <v>3013</v>
      </c>
      <c r="E134" s="43" t="s">
        <v>3014</v>
      </c>
      <c r="F134" s="43" t="s">
        <v>3015</v>
      </c>
      <c r="G134" s="42" t="s">
        <v>34</v>
      </c>
      <c r="H134" s="42">
        <v>1</v>
      </c>
      <c r="I134" s="49">
        <v>0.49</v>
      </c>
      <c r="J134" s="45">
        <v>44551</v>
      </c>
      <c r="K134" s="46" t="s">
        <v>20</v>
      </c>
      <c r="L134" s="48">
        <v>4.99</v>
      </c>
      <c r="M134" s="32"/>
    </row>
    <row r="135" spans="1:291" ht="35" customHeight="1">
      <c r="A135" s="23">
        <f>ROW()-3</f>
        <v>132</v>
      </c>
      <c r="B135" s="42" t="s">
        <v>2732</v>
      </c>
      <c r="C135" s="42" t="s">
        <v>2733</v>
      </c>
      <c r="D135" s="43" t="s">
        <v>5147</v>
      </c>
      <c r="E135" s="43" t="s">
        <v>5149</v>
      </c>
      <c r="F135" s="43" t="s">
        <v>5148</v>
      </c>
      <c r="G135" s="42" t="s">
        <v>34</v>
      </c>
      <c r="H135" s="42">
        <v>1</v>
      </c>
      <c r="I135" s="49">
        <v>0.48</v>
      </c>
      <c r="J135" s="45">
        <v>44578</v>
      </c>
      <c r="K135" s="46" t="s">
        <v>20</v>
      </c>
      <c r="L135" s="48" t="s">
        <v>5150</v>
      </c>
      <c r="M135" s="32"/>
    </row>
    <row r="136" spans="1:291" ht="35" customHeight="1">
      <c r="A136" s="23">
        <f>ROW()-3</f>
        <v>133</v>
      </c>
      <c r="B136" s="42" t="s">
        <v>5629</v>
      </c>
      <c r="C136" s="42" t="s">
        <v>2733</v>
      </c>
      <c r="D136" s="43" t="s">
        <v>5624</v>
      </c>
      <c r="E136" s="270" t="s">
        <v>5626</v>
      </c>
      <c r="F136" s="270" t="s">
        <v>2828</v>
      </c>
      <c r="G136" s="42" t="s">
        <v>3253</v>
      </c>
      <c r="H136" s="42">
        <v>1</v>
      </c>
      <c r="I136" s="44">
        <v>0.5</v>
      </c>
      <c r="J136" s="45">
        <v>44620</v>
      </c>
      <c r="K136" s="46" t="s">
        <v>5157</v>
      </c>
      <c r="L136" s="47">
        <v>4.9000000000000004</v>
      </c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  <c r="EW136" s="32"/>
      <c r="EX136" s="32"/>
      <c r="EY136" s="32"/>
      <c r="EZ136" s="32"/>
      <c r="FA136" s="32"/>
      <c r="FB136" s="32"/>
      <c r="FC136" s="32"/>
      <c r="FD136" s="32"/>
      <c r="FE136" s="32"/>
      <c r="FF136" s="32"/>
      <c r="FG136" s="32"/>
      <c r="FH136" s="32"/>
      <c r="FI136" s="32"/>
      <c r="FJ136" s="32"/>
      <c r="FK136" s="32"/>
      <c r="FL136" s="32"/>
      <c r="FM136" s="32"/>
      <c r="FN136" s="32"/>
      <c r="FO136" s="32"/>
      <c r="FP136" s="32"/>
      <c r="FQ136" s="32"/>
      <c r="FR136" s="32"/>
      <c r="FS136" s="32"/>
      <c r="FT136" s="32"/>
      <c r="FU136" s="32"/>
      <c r="FV136" s="32"/>
      <c r="FW136" s="32"/>
      <c r="FX136" s="32"/>
      <c r="FY136" s="32"/>
      <c r="FZ136" s="32"/>
      <c r="GA136" s="32"/>
      <c r="GB136" s="32"/>
      <c r="GC136" s="32"/>
      <c r="GD136" s="32"/>
      <c r="GE136" s="32"/>
      <c r="GF136" s="32"/>
      <c r="GG136" s="32"/>
      <c r="GH136" s="32"/>
      <c r="GI136" s="32"/>
      <c r="GJ136" s="32"/>
      <c r="GK136" s="32"/>
      <c r="GL136" s="32"/>
      <c r="GM136" s="32"/>
      <c r="GN136" s="32"/>
      <c r="GO136" s="32"/>
      <c r="GP136" s="32"/>
      <c r="GQ136" s="32"/>
      <c r="GR136" s="32"/>
      <c r="GS136" s="32"/>
      <c r="GT136" s="32"/>
      <c r="GU136" s="32"/>
      <c r="GV136" s="32"/>
      <c r="GW136" s="32"/>
      <c r="GX136" s="32"/>
      <c r="GY136" s="32"/>
      <c r="GZ136" s="32"/>
      <c r="HA136" s="32"/>
      <c r="HB136" s="32"/>
      <c r="HC136" s="32"/>
      <c r="HD136" s="32"/>
      <c r="HE136" s="32"/>
      <c r="HF136" s="32"/>
      <c r="HG136" s="32"/>
      <c r="HH136" s="32"/>
      <c r="HI136" s="32"/>
      <c r="HJ136" s="32"/>
      <c r="HK136" s="32"/>
      <c r="HL136" s="32"/>
      <c r="HM136" s="32"/>
      <c r="HN136" s="32"/>
      <c r="HO136" s="32"/>
      <c r="HP136" s="32"/>
      <c r="HQ136" s="32"/>
      <c r="HR136" s="32"/>
      <c r="HS136" s="32"/>
      <c r="HT136" s="32"/>
      <c r="HU136" s="32"/>
      <c r="HV136" s="32"/>
      <c r="HW136" s="32"/>
      <c r="HX136" s="32"/>
      <c r="HY136" s="32"/>
      <c r="HZ136" s="32"/>
      <c r="IA136" s="32"/>
      <c r="IB136" s="32"/>
      <c r="IC136" s="32"/>
      <c r="ID136" s="32"/>
      <c r="IE136" s="32"/>
      <c r="IF136" s="32"/>
      <c r="IG136" s="32"/>
      <c r="IH136" s="32"/>
      <c r="II136" s="32"/>
      <c r="IJ136" s="32"/>
      <c r="IK136" s="32"/>
      <c r="IL136" s="32"/>
      <c r="IM136" s="32"/>
      <c r="IN136" s="32"/>
      <c r="IO136" s="32"/>
      <c r="IP136" s="32"/>
      <c r="IQ136" s="32"/>
      <c r="IR136" s="32"/>
      <c r="IS136" s="32"/>
      <c r="IT136" s="32"/>
      <c r="IU136" s="32"/>
      <c r="IV136" s="32"/>
      <c r="IW136" s="32"/>
      <c r="IX136" s="32"/>
      <c r="IY136" s="32"/>
      <c r="IZ136" s="32"/>
      <c r="JA136" s="32"/>
      <c r="JB136" s="32"/>
      <c r="JC136" s="32"/>
      <c r="JD136" s="32"/>
      <c r="JE136" s="32"/>
      <c r="JF136" s="32"/>
      <c r="JG136" s="32"/>
      <c r="JH136" s="32"/>
      <c r="JI136" s="32"/>
      <c r="JJ136" s="32"/>
      <c r="JK136" s="32"/>
      <c r="JL136" s="32"/>
      <c r="JM136" s="32"/>
      <c r="JN136" s="32"/>
      <c r="JO136" s="32"/>
      <c r="JP136" s="32"/>
      <c r="JQ136" s="32"/>
      <c r="JR136" s="32"/>
      <c r="JS136" s="32"/>
      <c r="JT136" s="32"/>
      <c r="JU136" s="32"/>
      <c r="JV136" s="32"/>
      <c r="JW136" s="32"/>
      <c r="JX136" s="32"/>
      <c r="JY136" s="32"/>
      <c r="JZ136" s="32"/>
      <c r="KA136" s="32"/>
      <c r="KB136" s="32"/>
      <c r="KC136" s="32"/>
      <c r="KD136" s="32"/>
      <c r="KE136" s="32"/>
    </row>
    <row r="137" spans="1:291" ht="35" customHeight="1">
      <c r="A137" s="23">
        <f>ROW()-3</f>
        <v>134</v>
      </c>
      <c r="B137" s="42" t="s">
        <v>2732</v>
      </c>
      <c r="C137" s="42" t="s">
        <v>3016</v>
      </c>
      <c r="D137" s="43" t="s">
        <v>3022</v>
      </c>
      <c r="E137" s="43" t="s">
        <v>3023</v>
      </c>
      <c r="F137" s="43" t="s">
        <v>2006</v>
      </c>
      <c r="G137" s="42" t="s">
        <v>34</v>
      </c>
      <c r="H137" s="42">
        <v>1</v>
      </c>
      <c r="I137" s="44">
        <v>0.52888888888888896</v>
      </c>
      <c r="J137" s="45">
        <v>43469</v>
      </c>
      <c r="K137" s="46" t="s">
        <v>20</v>
      </c>
      <c r="L137" s="47">
        <v>4.99</v>
      </c>
      <c r="M137" s="32"/>
    </row>
    <row r="138" spans="1:291" ht="35" customHeight="1">
      <c r="A138" s="23">
        <f>ROW()-3</f>
        <v>135</v>
      </c>
      <c r="B138" s="42" t="s">
        <v>2732</v>
      </c>
      <c r="C138" s="42" t="s">
        <v>3016</v>
      </c>
      <c r="D138" s="43" t="s">
        <v>3018</v>
      </c>
      <c r="E138" s="43" t="s">
        <v>3019</v>
      </c>
      <c r="F138" s="43" t="s">
        <v>2742</v>
      </c>
      <c r="G138" s="42" t="s">
        <v>34</v>
      </c>
      <c r="H138" s="42">
        <v>1</v>
      </c>
      <c r="I138" s="44">
        <v>0.46666666666666701</v>
      </c>
      <c r="J138" s="45">
        <v>43962</v>
      </c>
      <c r="K138" s="46" t="s">
        <v>20</v>
      </c>
      <c r="L138" s="47">
        <v>4.99</v>
      </c>
      <c r="M138" s="32"/>
    </row>
    <row r="139" spans="1:291" ht="35" customHeight="1">
      <c r="A139" s="23">
        <f>ROW()-3</f>
        <v>136</v>
      </c>
      <c r="B139" s="42" t="s">
        <v>2732</v>
      </c>
      <c r="C139" s="42" t="s">
        <v>3016</v>
      </c>
      <c r="D139" s="43" t="s">
        <v>3056</v>
      </c>
      <c r="E139" s="43" t="s">
        <v>3057</v>
      </c>
      <c r="F139" s="43" t="s">
        <v>3058</v>
      </c>
      <c r="G139" s="42" t="s">
        <v>34</v>
      </c>
      <c r="H139" s="42">
        <v>1</v>
      </c>
      <c r="I139" s="44">
        <v>0.73194444444444395</v>
      </c>
      <c r="J139" s="45">
        <v>43962</v>
      </c>
      <c r="K139" s="46" t="s">
        <v>20</v>
      </c>
      <c r="L139" s="47">
        <v>4.99</v>
      </c>
      <c r="M139" s="32"/>
    </row>
    <row r="140" spans="1:291" ht="35" customHeight="1">
      <c r="A140" s="23">
        <f>ROW()-3</f>
        <v>137</v>
      </c>
      <c r="B140" s="42" t="s">
        <v>2732</v>
      </c>
      <c r="C140" s="42" t="s">
        <v>3016</v>
      </c>
      <c r="D140" s="43" t="s">
        <v>3020</v>
      </c>
      <c r="E140" s="43" t="s">
        <v>3021</v>
      </c>
      <c r="F140" s="43" t="s">
        <v>3001</v>
      </c>
      <c r="G140" s="42" t="s">
        <v>34</v>
      </c>
      <c r="H140" s="42">
        <v>1</v>
      </c>
      <c r="I140" s="44">
        <v>0.42777777777777798</v>
      </c>
      <c r="J140" s="45">
        <v>43978</v>
      </c>
      <c r="K140" s="46" t="s">
        <v>20</v>
      </c>
      <c r="L140" s="47">
        <v>4.99</v>
      </c>
      <c r="M140" s="32"/>
    </row>
    <row r="141" spans="1:291" ht="35" customHeight="1">
      <c r="A141" s="23">
        <f>ROW()-3</f>
        <v>138</v>
      </c>
      <c r="B141" s="42" t="s">
        <v>2732</v>
      </c>
      <c r="C141" s="42" t="s">
        <v>3016</v>
      </c>
      <c r="D141" s="43" t="s">
        <v>3024</v>
      </c>
      <c r="E141" s="43" t="s">
        <v>3025</v>
      </c>
      <c r="F141" s="43" t="s">
        <v>3026</v>
      </c>
      <c r="G141" s="42" t="s">
        <v>34</v>
      </c>
      <c r="H141" s="42">
        <v>1</v>
      </c>
      <c r="I141" s="44">
        <v>0.56611111111111101</v>
      </c>
      <c r="J141" s="45">
        <v>43978</v>
      </c>
      <c r="K141" s="46" t="s">
        <v>20</v>
      </c>
      <c r="L141" s="47">
        <v>4.99</v>
      </c>
      <c r="M141" s="32"/>
    </row>
    <row r="142" spans="1:291" ht="35" customHeight="1">
      <c r="A142" s="23">
        <f>ROW()-3</f>
        <v>139</v>
      </c>
      <c r="B142" s="42" t="s">
        <v>2732</v>
      </c>
      <c r="C142" s="42" t="s">
        <v>3016</v>
      </c>
      <c r="D142" s="43" t="s">
        <v>3027</v>
      </c>
      <c r="E142" s="43" t="s">
        <v>3028</v>
      </c>
      <c r="F142" s="43" t="s">
        <v>3029</v>
      </c>
      <c r="G142" s="42" t="s">
        <v>34</v>
      </c>
      <c r="H142" s="42">
        <v>1</v>
      </c>
      <c r="I142" s="44">
        <v>1.9375</v>
      </c>
      <c r="J142" s="45">
        <v>43978</v>
      </c>
      <c r="K142" s="46" t="s">
        <v>20</v>
      </c>
      <c r="L142" s="47">
        <v>4.99</v>
      </c>
      <c r="M142" s="32"/>
    </row>
    <row r="143" spans="1:291" ht="35" customHeight="1">
      <c r="A143" s="23">
        <f>ROW()-3</f>
        <v>140</v>
      </c>
      <c r="B143" s="42" t="s">
        <v>2732</v>
      </c>
      <c r="C143" s="42" t="s">
        <v>3016</v>
      </c>
      <c r="D143" s="43" t="s">
        <v>3030</v>
      </c>
      <c r="E143" s="43" t="s">
        <v>3031</v>
      </c>
      <c r="F143" s="43" t="s">
        <v>2804</v>
      </c>
      <c r="G143" s="42" t="s">
        <v>34</v>
      </c>
      <c r="H143" s="42">
        <v>1</v>
      </c>
      <c r="I143" s="44">
        <v>0.79277777777777803</v>
      </c>
      <c r="J143" s="45">
        <v>43978</v>
      </c>
      <c r="K143" s="46" t="s">
        <v>20</v>
      </c>
      <c r="L143" s="47">
        <v>4.99</v>
      </c>
      <c r="M143" s="32"/>
    </row>
    <row r="144" spans="1:291" ht="35" customHeight="1">
      <c r="A144" s="23">
        <f>ROW()-3</f>
        <v>141</v>
      </c>
      <c r="B144" s="42" t="s">
        <v>2732</v>
      </c>
      <c r="C144" s="42" t="s">
        <v>3016</v>
      </c>
      <c r="D144" s="43" t="s">
        <v>3034</v>
      </c>
      <c r="E144" s="43" t="s">
        <v>3035</v>
      </c>
      <c r="F144" s="43" t="s">
        <v>2804</v>
      </c>
      <c r="G144" s="42" t="s">
        <v>34</v>
      </c>
      <c r="H144" s="42">
        <v>1</v>
      </c>
      <c r="I144" s="44">
        <v>0.41749999999999998</v>
      </c>
      <c r="J144" s="45">
        <v>43978</v>
      </c>
      <c r="K144" s="46" t="s">
        <v>20</v>
      </c>
      <c r="L144" s="47">
        <v>4.99</v>
      </c>
      <c r="M144" s="32"/>
    </row>
    <row r="145" spans="1:13" ht="35" customHeight="1">
      <c r="A145" s="23">
        <f>ROW()-3</f>
        <v>142</v>
      </c>
      <c r="B145" s="42" t="s">
        <v>2732</v>
      </c>
      <c r="C145" s="42" t="s">
        <v>3016</v>
      </c>
      <c r="D145" s="43" t="s">
        <v>3036</v>
      </c>
      <c r="E145" s="43" t="s">
        <v>3037</v>
      </c>
      <c r="F145" s="43" t="s">
        <v>3038</v>
      </c>
      <c r="G145" s="42" t="s">
        <v>34</v>
      </c>
      <c r="H145" s="42">
        <v>1</v>
      </c>
      <c r="I145" s="44">
        <v>0.55444444444444396</v>
      </c>
      <c r="J145" s="45">
        <v>43978</v>
      </c>
      <c r="K145" s="46" t="s">
        <v>20</v>
      </c>
      <c r="L145" s="47">
        <v>4.99</v>
      </c>
      <c r="M145" s="32"/>
    </row>
    <row r="146" spans="1:13" ht="35" customHeight="1">
      <c r="A146" s="23">
        <f>ROW()-3</f>
        <v>143</v>
      </c>
      <c r="B146" s="42" t="s">
        <v>2732</v>
      </c>
      <c r="C146" s="42" t="s">
        <v>3016</v>
      </c>
      <c r="D146" s="43" t="s">
        <v>3039</v>
      </c>
      <c r="E146" s="43" t="s">
        <v>3040</v>
      </c>
      <c r="F146" s="43" t="s">
        <v>3041</v>
      </c>
      <c r="G146" s="42" t="s">
        <v>34</v>
      </c>
      <c r="H146" s="42">
        <v>1</v>
      </c>
      <c r="I146" s="44">
        <v>0.3075</v>
      </c>
      <c r="J146" s="45">
        <v>43978</v>
      </c>
      <c r="K146" s="46" t="s">
        <v>20</v>
      </c>
      <c r="L146" s="47">
        <v>4.99</v>
      </c>
      <c r="M146" s="32"/>
    </row>
    <row r="147" spans="1:13" ht="35" customHeight="1">
      <c r="A147" s="23">
        <f>ROW()-3</f>
        <v>144</v>
      </c>
      <c r="B147" s="42" t="s">
        <v>2732</v>
      </c>
      <c r="C147" s="42" t="s">
        <v>3016</v>
      </c>
      <c r="D147" s="43" t="s">
        <v>3042</v>
      </c>
      <c r="E147" s="43" t="s">
        <v>3043</v>
      </c>
      <c r="F147" s="43" t="s">
        <v>3044</v>
      </c>
      <c r="G147" s="42" t="s">
        <v>34</v>
      </c>
      <c r="H147" s="42">
        <v>1</v>
      </c>
      <c r="I147" s="44">
        <v>0.43944444444444403</v>
      </c>
      <c r="J147" s="45">
        <v>43978</v>
      </c>
      <c r="K147" s="46" t="s">
        <v>20</v>
      </c>
      <c r="L147" s="47">
        <v>4.99</v>
      </c>
      <c r="M147" s="32"/>
    </row>
    <row r="148" spans="1:13" ht="35" customHeight="1">
      <c r="A148" s="23">
        <f>ROW()-3</f>
        <v>145</v>
      </c>
      <c r="B148" s="42" t="s">
        <v>2732</v>
      </c>
      <c r="C148" s="42" t="s">
        <v>3016</v>
      </c>
      <c r="D148" s="43" t="s">
        <v>3045</v>
      </c>
      <c r="E148" s="43" t="s">
        <v>3046</v>
      </c>
      <c r="F148" s="43" t="s">
        <v>3047</v>
      </c>
      <c r="G148" s="42" t="s">
        <v>34</v>
      </c>
      <c r="H148" s="42">
        <v>1</v>
      </c>
      <c r="I148" s="44">
        <v>0.62805555555555603</v>
      </c>
      <c r="J148" s="45">
        <v>43978</v>
      </c>
      <c r="K148" s="46" t="s">
        <v>20</v>
      </c>
      <c r="L148" s="47">
        <v>4.99</v>
      </c>
      <c r="M148" s="32"/>
    </row>
    <row r="149" spans="1:13" ht="35" customHeight="1">
      <c r="A149" s="23">
        <f>ROW()-3</f>
        <v>146</v>
      </c>
      <c r="B149" s="42" t="s">
        <v>2732</v>
      </c>
      <c r="C149" s="42" t="s">
        <v>3016</v>
      </c>
      <c r="D149" s="43" t="s">
        <v>3048</v>
      </c>
      <c r="E149" s="43" t="s">
        <v>457</v>
      </c>
      <c r="F149" s="43" t="s">
        <v>2830</v>
      </c>
      <c r="G149" s="42" t="s">
        <v>34</v>
      </c>
      <c r="H149" s="42">
        <v>1</v>
      </c>
      <c r="I149" s="44">
        <v>0.75666666666666704</v>
      </c>
      <c r="J149" s="45">
        <v>43978</v>
      </c>
      <c r="K149" s="46" t="s">
        <v>20</v>
      </c>
      <c r="L149" s="47">
        <v>4.99</v>
      </c>
      <c r="M149" s="32"/>
    </row>
    <row r="150" spans="1:13" ht="35" customHeight="1">
      <c r="A150" s="23">
        <f>ROW()-3</f>
        <v>147</v>
      </c>
      <c r="B150" s="42" t="s">
        <v>2732</v>
      </c>
      <c r="C150" s="42" t="s">
        <v>3016</v>
      </c>
      <c r="D150" s="43" t="s">
        <v>3049</v>
      </c>
      <c r="E150" s="43" t="s">
        <v>457</v>
      </c>
      <c r="F150" s="43" t="s">
        <v>2830</v>
      </c>
      <c r="G150" s="42" t="s">
        <v>34</v>
      </c>
      <c r="H150" s="42">
        <v>1</v>
      </c>
      <c r="I150" s="44">
        <v>0.85611111111111104</v>
      </c>
      <c r="J150" s="45">
        <v>43978</v>
      </c>
      <c r="K150" s="46" t="s">
        <v>20</v>
      </c>
      <c r="L150" s="47">
        <v>4.99</v>
      </c>
      <c r="M150" s="32"/>
    </row>
    <row r="151" spans="1:13" ht="35" customHeight="1">
      <c r="A151" s="23">
        <f>ROW()-3</f>
        <v>148</v>
      </c>
      <c r="B151" s="42" t="s">
        <v>2732</v>
      </c>
      <c r="C151" s="42" t="s">
        <v>3016</v>
      </c>
      <c r="D151" s="43" t="s">
        <v>3050</v>
      </c>
      <c r="E151" s="43" t="s">
        <v>3051</v>
      </c>
      <c r="F151" s="43" t="s">
        <v>3052</v>
      </c>
      <c r="G151" s="42" t="s">
        <v>34</v>
      </c>
      <c r="H151" s="42">
        <v>1</v>
      </c>
      <c r="I151" s="44">
        <v>0.410833333333333</v>
      </c>
      <c r="J151" s="45">
        <v>43978</v>
      </c>
      <c r="K151" s="46" t="s">
        <v>20</v>
      </c>
      <c r="L151" s="47">
        <v>4.99</v>
      </c>
      <c r="M151" s="32"/>
    </row>
    <row r="152" spans="1:13" ht="35" customHeight="1">
      <c r="A152" s="23">
        <f>ROW()-3</f>
        <v>149</v>
      </c>
      <c r="B152" s="42" t="s">
        <v>2732</v>
      </c>
      <c r="C152" s="42" t="s">
        <v>3016</v>
      </c>
      <c r="D152" s="43" t="s">
        <v>3053</v>
      </c>
      <c r="E152" s="43" t="s">
        <v>3054</v>
      </c>
      <c r="F152" s="43" t="s">
        <v>3055</v>
      </c>
      <c r="G152" s="42" t="s">
        <v>34</v>
      </c>
      <c r="H152" s="42">
        <v>1</v>
      </c>
      <c r="I152" s="44">
        <v>0.45555555555555599</v>
      </c>
      <c r="J152" s="45">
        <v>43978</v>
      </c>
      <c r="K152" s="46" t="s">
        <v>20</v>
      </c>
      <c r="L152" s="47">
        <v>4.99</v>
      </c>
      <c r="M152" s="32"/>
    </row>
    <row r="153" spans="1:13" ht="35" customHeight="1">
      <c r="A153" s="23">
        <f>ROW()-3</f>
        <v>150</v>
      </c>
      <c r="B153" s="42" t="s">
        <v>2732</v>
      </c>
      <c r="C153" s="42" t="s">
        <v>3016</v>
      </c>
      <c r="D153" s="43" t="s">
        <v>3064</v>
      </c>
      <c r="E153" s="43" t="s">
        <v>3065</v>
      </c>
      <c r="F153" s="43" t="s">
        <v>3066</v>
      </c>
      <c r="G153" s="42" t="s">
        <v>34</v>
      </c>
      <c r="H153" s="42">
        <v>1</v>
      </c>
      <c r="I153" s="44">
        <v>0.55388888888888899</v>
      </c>
      <c r="J153" s="45">
        <v>43978</v>
      </c>
      <c r="K153" s="46" t="s">
        <v>20</v>
      </c>
      <c r="L153" s="47">
        <v>4.99</v>
      </c>
      <c r="M153" s="32"/>
    </row>
    <row r="154" spans="1:13" ht="35" customHeight="1">
      <c r="A154" s="23">
        <f>ROW()-3</f>
        <v>151</v>
      </c>
      <c r="B154" s="42" t="s">
        <v>2732</v>
      </c>
      <c r="C154" s="42" t="s">
        <v>3016</v>
      </c>
      <c r="D154" s="43" t="s">
        <v>3059</v>
      </c>
      <c r="E154" s="43" t="s">
        <v>3060</v>
      </c>
      <c r="F154" s="43" t="s">
        <v>2736</v>
      </c>
      <c r="G154" s="42" t="s">
        <v>34</v>
      </c>
      <c r="H154" s="42">
        <v>1</v>
      </c>
      <c r="I154" s="44">
        <v>0.38</v>
      </c>
      <c r="J154" s="45">
        <v>44011</v>
      </c>
      <c r="K154" s="46" t="s">
        <v>20</v>
      </c>
      <c r="L154" s="47">
        <v>4.99</v>
      </c>
      <c r="M154" s="32"/>
    </row>
    <row r="155" spans="1:13" ht="35" customHeight="1">
      <c r="A155" s="23">
        <f>ROW()-3</f>
        <v>152</v>
      </c>
      <c r="B155" s="42" t="s">
        <v>2732</v>
      </c>
      <c r="C155" s="42" t="s">
        <v>3016</v>
      </c>
      <c r="D155" s="43" t="s">
        <v>3061</v>
      </c>
      <c r="E155" s="43" t="s">
        <v>3062</v>
      </c>
      <c r="F155" s="43" t="s">
        <v>3063</v>
      </c>
      <c r="G155" s="42" t="s">
        <v>34</v>
      </c>
      <c r="H155" s="42">
        <v>1</v>
      </c>
      <c r="I155" s="44">
        <v>0.38</v>
      </c>
      <c r="J155" s="45">
        <v>44011</v>
      </c>
      <c r="K155" s="46" t="s">
        <v>20</v>
      </c>
      <c r="L155" s="47">
        <v>4.99</v>
      </c>
      <c r="M155" s="32"/>
    </row>
    <row r="156" spans="1:13" ht="35" customHeight="1">
      <c r="A156" s="23">
        <f>ROW()-3</f>
        <v>153</v>
      </c>
      <c r="B156" s="42" t="s">
        <v>5170</v>
      </c>
      <c r="C156" s="42" t="s">
        <v>5196</v>
      </c>
      <c r="D156" s="43" t="s">
        <v>5193</v>
      </c>
      <c r="E156" s="43" t="s">
        <v>5194</v>
      </c>
      <c r="F156" s="43" t="s">
        <v>5195</v>
      </c>
      <c r="G156" s="42" t="s">
        <v>3253</v>
      </c>
      <c r="H156" s="42">
        <v>1</v>
      </c>
      <c r="I156" s="44">
        <v>0.5</v>
      </c>
      <c r="J156" s="45">
        <v>44032</v>
      </c>
      <c r="K156" s="46" t="s">
        <v>20</v>
      </c>
      <c r="L156" s="48">
        <v>4.99</v>
      </c>
    </row>
    <row r="157" spans="1:13" ht="35" customHeight="1">
      <c r="A157" s="23">
        <f>ROW()-3</f>
        <v>154</v>
      </c>
      <c r="B157" s="42" t="s">
        <v>2732</v>
      </c>
      <c r="C157" s="42" t="s">
        <v>3016</v>
      </c>
      <c r="D157" s="43" t="s">
        <v>3067</v>
      </c>
      <c r="E157" s="43" t="s">
        <v>3068</v>
      </c>
      <c r="F157" s="43" t="s">
        <v>2739</v>
      </c>
      <c r="G157" s="42" t="s">
        <v>34</v>
      </c>
      <c r="H157" s="42">
        <v>1</v>
      </c>
      <c r="I157" s="44">
        <v>0.5</v>
      </c>
      <c r="J157" s="45">
        <v>44095</v>
      </c>
      <c r="K157" s="46" t="s">
        <v>20</v>
      </c>
      <c r="L157" s="47">
        <v>4.99</v>
      </c>
      <c r="M157" s="32"/>
    </row>
    <row r="158" spans="1:13" ht="35" customHeight="1">
      <c r="A158" s="23">
        <f>ROW()-3</f>
        <v>155</v>
      </c>
      <c r="B158" s="42" t="s">
        <v>2732</v>
      </c>
      <c r="C158" s="42" t="s">
        <v>3016</v>
      </c>
      <c r="D158" s="43" t="s">
        <v>3069</v>
      </c>
      <c r="E158" s="43" t="s">
        <v>3070</v>
      </c>
      <c r="F158" s="43" t="s">
        <v>2919</v>
      </c>
      <c r="G158" s="42" t="s">
        <v>34</v>
      </c>
      <c r="H158" s="42">
        <v>1</v>
      </c>
      <c r="I158" s="44">
        <v>0.57999999999999996</v>
      </c>
      <c r="J158" s="45">
        <v>44095</v>
      </c>
      <c r="K158" s="46" t="s">
        <v>20</v>
      </c>
      <c r="L158" s="47">
        <v>4.99</v>
      </c>
      <c r="M158" s="32"/>
    </row>
    <row r="159" spans="1:13" ht="35" customHeight="1">
      <c r="A159" s="23">
        <f>ROW()-3</f>
        <v>156</v>
      </c>
      <c r="B159" s="42" t="s">
        <v>5170</v>
      </c>
      <c r="C159" s="42" t="s">
        <v>5196</v>
      </c>
      <c r="D159" s="43" t="s">
        <v>5200</v>
      </c>
      <c r="E159" s="43" t="s">
        <v>5201</v>
      </c>
      <c r="F159" s="43" t="s">
        <v>5202</v>
      </c>
      <c r="G159" s="42" t="s">
        <v>3253</v>
      </c>
      <c r="H159" s="42">
        <v>1</v>
      </c>
      <c r="I159" s="44">
        <v>0.75583333333333336</v>
      </c>
      <c r="J159" s="45">
        <v>44095</v>
      </c>
      <c r="K159" s="46" t="s">
        <v>20</v>
      </c>
      <c r="L159" s="48">
        <v>4.99</v>
      </c>
    </row>
    <row r="160" spans="1:13" ht="35" customHeight="1">
      <c r="A160" s="23">
        <f>ROW()-3</f>
        <v>157</v>
      </c>
      <c r="B160" s="42" t="s">
        <v>2732</v>
      </c>
      <c r="C160" s="42" t="s">
        <v>3016</v>
      </c>
      <c r="D160" s="43" t="s">
        <v>3071</v>
      </c>
      <c r="E160" s="43" t="s">
        <v>3072</v>
      </c>
      <c r="F160" s="43" t="s">
        <v>3038</v>
      </c>
      <c r="G160" s="42" t="s">
        <v>34</v>
      </c>
      <c r="H160" s="42">
        <v>1</v>
      </c>
      <c r="I160" s="49">
        <v>0.41</v>
      </c>
      <c r="J160" s="45">
        <v>44102</v>
      </c>
      <c r="K160" s="46" t="s">
        <v>20</v>
      </c>
      <c r="L160" s="48">
        <v>4.99</v>
      </c>
      <c r="M160" s="32"/>
    </row>
    <row r="161" spans="1:13" ht="35" customHeight="1">
      <c r="A161" s="23">
        <f>ROW()-3</f>
        <v>158</v>
      </c>
      <c r="B161" s="42" t="s">
        <v>2732</v>
      </c>
      <c r="C161" s="42" t="s">
        <v>3016</v>
      </c>
      <c r="D161" s="43" t="s">
        <v>3073</v>
      </c>
      <c r="E161" s="43" t="s">
        <v>3074</v>
      </c>
      <c r="F161" s="43" t="s">
        <v>3075</v>
      </c>
      <c r="G161" s="42" t="s">
        <v>34</v>
      </c>
      <c r="H161" s="42">
        <v>1</v>
      </c>
      <c r="I161" s="49">
        <v>0.4</v>
      </c>
      <c r="J161" s="45">
        <v>44102</v>
      </c>
      <c r="K161" s="46" t="s">
        <v>20</v>
      </c>
      <c r="L161" s="48">
        <v>4.99</v>
      </c>
      <c r="M161" s="32"/>
    </row>
    <row r="162" spans="1:13" ht="35" customHeight="1">
      <c r="A162" s="23">
        <f>ROW()-3</f>
        <v>159</v>
      </c>
      <c r="B162" s="42" t="s">
        <v>2732</v>
      </c>
      <c r="C162" s="42" t="s">
        <v>3016</v>
      </c>
      <c r="D162" s="43" t="s">
        <v>3032</v>
      </c>
      <c r="E162" s="43" t="s">
        <v>3033</v>
      </c>
      <c r="F162" s="43" t="s">
        <v>2840</v>
      </c>
      <c r="G162" s="42" t="s">
        <v>34</v>
      </c>
      <c r="H162" s="42">
        <v>1</v>
      </c>
      <c r="I162" s="44">
        <v>0.36</v>
      </c>
      <c r="J162" s="45">
        <v>44123</v>
      </c>
      <c r="K162" s="46" t="s">
        <v>20</v>
      </c>
      <c r="L162" s="47" t="s">
        <v>3006</v>
      </c>
      <c r="M162" s="32"/>
    </row>
    <row r="163" spans="1:13" ht="35" customHeight="1">
      <c r="A163" s="23">
        <f>ROW()-3</f>
        <v>160</v>
      </c>
      <c r="B163" s="42" t="s">
        <v>2732</v>
      </c>
      <c r="C163" s="42" t="s">
        <v>3016</v>
      </c>
      <c r="D163" s="43" t="s">
        <v>3017</v>
      </c>
      <c r="E163" s="43" t="s">
        <v>2747</v>
      </c>
      <c r="F163" s="43" t="s">
        <v>2748</v>
      </c>
      <c r="G163" s="42" t="s">
        <v>34</v>
      </c>
      <c r="H163" s="42">
        <v>1</v>
      </c>
      <c r="I163" s="44">
        <v>0.49555555555555603</v>
      </c>
      <c r="J163" s="45">
        <v>44158</v>
      </c>
      <c r="K163" s="46" t="s">
        <v>20</v>
      </c>
      <c r="L163" s="47">
        <v>4.99</v>
      </c>
      <c r="M163" s="32"/>
    </row>
    <row r="164" spans="1:13" ht="35" customHeight="1">
      <c r="A164" s="23">
        <f>ROW()-3</f>
        <v>161</v>
      </c>
      <c r="B164" s="42" t="s">
        <v>2732</v>
      </c>
      <c r="C164" s="42" t="s">
        <v>3016</v>
      </c>
      <c r="D164" s="43" t="s">
        <v>3076</v>
      </c>
      <c r="E164" s="43" t="s">
        <v>3077</v>
      </c>
      <c r="F164" s="43" t="s">
        <v>3078</v>
      </c>
      <c r="G164" s="42" t="s">
        <v>34</v>
      </c>
      <c r="H164" s="42">
        <v>1</v>
      </c>
      <c r="I164" s="49">
        <v>0.4</v>
      </c>
      <c r="J164" s="45">
        <v>44529</v>
      </c>
      <c r="K164" s="46" t="s">
        <v>20</v>
      </c>
      <c r="L164" s="48">
        <v>4.99</v>
      </c>
      <c r="M164" s="32"/>
    </row>
    <row r="165" spans="1:13" ht="35" customHeight="1">
      <c r="A165" s="23">
        <f>ROW()-3</f>
        <v>162</v>
      </c>
      <c r="B165" s="42" t="s">
        <v>2732</v>
      </c>
      <c r="C165" s="42" t="s">
        <v>3079</v>
      </c>
      <c r="D165" s="43" t="s">
        <v>3096</v>
      </c>
      <c r="E165" s="43" t="s">
        <v>3097</v>
      </c>
      <c r="F165" s="43" t="s">
        <v>2742</v>
      </c>
      <c r="G165" s="42" t="s">
        <v>34</v>
      </c>
      <c r="H165" s="42">
        <v>1</v>
      </c>
      <c r="I165" s="44">
        <v>0.36666666666666697</v>
      </c>
      <c r="J165" s="45">
        <v>43468</v>
      </c>
      <c r="K165" s="46" t="s">
        <v>20</v>
      </c>
      <c r="L165" s="47">
        <v>4.99</v>
      </c>
      <c r="M165" s="32"/>
    </row>
    <row r="166" spans="1:13" ht="35" customHeight="1">
      <c r="A166" s="23">
        <f>ROW()-3</f>
        <v>163</v>
      </c>
      <c r="B166" s="42" t="s">
        <v>2732</v>
      </c>
      <c r="C166" s="42" t="s">
        <v>3079</v>
      </c>
      <c r="D166" s="43" t="s">
        <v>3141</v>
      </c>
      <c r="E166" s="43" t="s">
        <v>3142</v>
      </c>
      <c r="F166" s="43" t="s">
        <v>2864</v>
      </c>
      <c r="G166" s="42" t="s">
        <v>34</v>
      </c>
      <c r="H166" s="42">
        <v>1</v>
      </c>
      <c r="I166" s="44">
        <v>0.40500000000000003</v>
      </c>
      <c r="J166" s="45">
        <v>43468</v>
      </c>
      <c r="K166" s="46" t="s">
        <v>20</v>
      </c>
      <c r="L166" s="47">
        <v>4.99</v>
      </c>
      <c r="M166" s="32"/>
    </row>
    <row r="167" spans="1:13" ht="35" customHeight="1">
      <c r="A167" s="23">
        <f>ROW()-3</f>
        <v>164</v>
      </c>
      <c r="B167" s="42" t="s">
        <v>2732</v>
      </c>
      <c r="C167" s="42" t="s">
        <v>3079</v>
      </c>
      <c r="D167" s="43" t="s">
        <v>3103</v>
      </c>
      <c r="E167" s="43" t="s">
        <v>3104</v>
      </c>
      <c r="F167" s="43" t="s">
        <v>3105</v>
      </c>
      <c r="G167" s="42" t="s">
        <v>34</v>
      </c>
      <c r="H167" s="42">
        <v>1</v>
      </c>
      <c r="I167" s="44">
        <v>0.50305555555555603</v>
      </c>
      <c r="J167" s="45">
        <v>43469</v>
      </c>
      <c r="K167" s="46" t="s">
        <v>20</v>
      </c>
      <c r="L167" s="47">
        <v>4.99</v>
      </c>
      <c r="M167" s="32"/>
    </row>
    <row r="168" spans="1:13" ht="35" customHeight="1">
      <c r="A168" s="23">
        <f>ROW()-3</f>
        <v>165</v>
      </c>
      <c r="B168" s="42" t="s">
        <v>2732</v>
      </c>
      <c r="C168" s="42" t="s">
        <v>3079</v>
      </c>
      <c r="D168" s="43" t="s">
        <v>3122</v>
      </c>
      <c r="E168" s="43" t="s">
        <v>3123</v>
      </c>
      <c r="F168" s="43" t="s">
        <v>1592</v>
      </c>
      <c r="G168" s="42" t="s">
        <v>34</v>
      </c>
      <c r="H168" s="42">
        <v>1</v>
      </c>
      <c r="I168" s="44">
        <v>0.70555555555555605</v>
      </c>
      <c r="J168" s="45">
        <v>43469</v>
      </c>
      <c r="K168" s="46" t="s">
        <v>20</v>
      </c>
      <c r="L168" s="47">
        <v>4.99</v>
      </c>
      <c r="M168" s="32"/>
    </row>
    <row r="169" spans="1:13" ht="35" customHeight="1">
      <c r="A169" s="23">
        <f>ROW()-3</f>
        <v>166</v>
      </c>
      <c r="B169" s="42" t="s">
        <v>2732</v>
      </c>
      <c r="C169" s="42" t="s">
        <v>3079</v>
      </c>
      <c r="D169" s="43" t="s">
        <v>3158</v>
      </c>
      <c r="E169" s="43" t="s">
        <v>3159</v>
      </c>
      <c r="F169" s="43" t="s">
        <v>191</v>
      </c>
      <c r="G169" s="42" t="s">
        <v>34</v>
      </c>
      <c r="H169" s="42">
        <v>1</v>
      </c>
      <c r="I169" s="44">
        <v>0.59555555555555595</v>
      </c>
      <c r="J169" s="45">
        <v>43483</v>
      </c>
      <c r="K169" s="46" t="s">
        <v>20</v>
      </c>
      <c r="L169" s="47">
        <v>4.99</v>
      </c>
      <c r="M169" s="32"/>
    </row>
    <row r="170" spans="1:13" ht="35" customHeight="1">
      <c r="A170" s="23">
        <f>ROW()-3</f>
        <v>167</v>
      </c>
      <c r="B170" s="42" t="s">
        <v>2732</v>
      </c>
      <c r="C170" s="42" t="s">
        <v>3079</v>
      </c>
      <c r="D170" s="43" t="s">
        <v>3100</v>
      </c>
      <c r="E170" s="43" t="s">
        <v>3101</v>
      </c>
      <c r="F170" s="43" t="s">
        <v>3102</v>
      </c>
      <c r="G170" s="42" t="s">
        <v>34</v>
      </c>
      <c r="H170" s="42">
        <v>1</v>
      </c>
      <c r="I170" s="44">
        <v>0.61388888888888904</v>
      </c>
      <c r="J170" s="45">
        <v>43893</v>
      </c>
      <c r="K170" s="46" t="s">
        <v>20</v>
      </c>
      <c r="L170" s="47">
        <v>4.99</v>
      </c>
      <c r="M170" s="32"/>
    </row>
    <row r="171" spans="1:13" ht="35" customHeight="1">
      <c r="A171" s="23">
        <f>ROW()-3</f>
        <v>168</v>
      </c>
      <c r="B171" s="42" t="s">
        <v>2732</v>
      </c>
      <c r="C171" s="42" t="s">
        <v>3079</v>
      </c>
      <c r="D171" s="43" t="s">
        <v>3145</v>
      </c>
      <c r="E171" s="43" t="s">
        <v>3146</v>
      </c>
      <c r="F171" s="43" t="s">
        <v>3147</v>
      </c>
      <c r="G171" s="42" t="s">
        <v>34</v>
      </c>
      <c r="H171" s="42">
        <v>1</v>
      </c>
      <c r="I171" s="44">
        <v>0.74722222222222201</v>
      </c>
      <c r="J171" s="45">
        <v>43893</v>
      </c>
      <c r="K171" s="46" t="s">
        <v>20</v>
      </c>
      <c r="L171" s="47">
        <v>4.99</v>
      </c>
      <c r="M171" s="32"/>
    </row>
    <row r="172" spans="1:13" ht="35" customHeight="1">
      <c r="A172" s="23">
        <f>ROW()-3</f>
        <v>169</v>
      </c>
      <c r="B172" s="42" t="s">
        <v>2732</v>
      </c>
      <c r="C172" s="42" t="s">
        <v>3079</v>
      </c>
      <c r="D172" s="43" t="s">
        <v>1593</v>
      </c>
      <c r="E172" s="43" t="s">
        <v>3162</v>
      </c>
      <c r="F172" s="43" t="s">
        <v>3163</v>
      </c>
      <c r="G172" s="42" t="s">
        <v>34</v>
      </c>
      <c r="H172" s="42">
        <v>1</v>
      </c>
      <c r="I172" s="44">
        <v>0.39833333333333298</v>
      </c>
      <c r="J172" s="45">
        <v>43913</v>
      </c>
      <c r="K172" s="46" t="s">
        <v>20</v>
      </c>
      <c r="L172" s="47">
        <v>4.99</v>
      </c>
      <c r="M172" s="32"/>
    </row>
    <row r="173" spans="1:13" ht="35" customHeight="1">
      <c r="A173" s="23">
        <f>ROW()-3</f>
        <v>170</v>
      </c>
      <c r="B173" s="42" t="s">
        <v>2732</v>
      </c>
      <c r="C173" s="42" t="s">
        <v>3079</v>
      </c>
      <c r="D173" s="43" t="s">
        <v>3168</v>
      </c>
      <c r="E173" s="43" t="s">
        <v>3169</v>
      </c>
      <c r="F173" s="43" t="s">
        <v>3170</v>
      </c>
      <c r="G173" s="42" t="s">
        <v>34</v>
      </c>
      <c r="H173" s="42">
        <v>1</v>
      </c>
      <c r="I173" s="44">
        <v>0.42583333333333301</v>
      </c>
      <c r="J173" s="45">
        <v>43962</v>
      </c>
      <c r="K173" s="46" t="s">
        <v>20</v>
      </c>
      <c r="L173" s="47">
        <v>4.99</v>
      </c>
      <c r="M173" s="32"/>
    </row>
    <row r="174" spans="1:13" ht="35" customHeight="1">
      <c r="A174" s="23">
        <f>ROW()-3</f>
        <v>171</v>
      </c>
      <c r="B174" s="42" t="s">
        <v>2732</v>
      </c>
      <c r="C174" s="42" t="s">
        <v>3079</v>
      </c>
      <c r="D174" s="43" t="s">
        <v>3171</v>
      </c>
      <c r="E174" s="43" t="s">
        <v>3172</v>
      </c>
      <c r="F174" s="43" t="s">
        <v>3173</v>
      </c>
      <c r="G174" s="42" t="s">
        <v>34</v>
      </c>
      <c r="H174" s="42">
        <v>1</v>
      </c>
      <c r="I174" s="44">
        <v>0.411944444444444</v>
      </c>
      <c r="J174" s="45">
        <v>43962</v>
      </c>
      <c r="K174" s="46" t="s">
        <v>20</v>
      </c>
      <c r="L174" s="47">
        <v>4.99</v>
      </c>
      <c r="M174" s="32"/>
    </row>
    <row r="175" spans="1:13" ht="35" customHeight="1">
      <c r="A175" s="23">
        <f>ROW()-3</f>
        <v>172</v>
      </c>
      <c r="B175" s="42" t="s">
        <v>2732</v>
      </c>
      <c r="C175" s="42" t="s">
        <v>3079</v>
      </c>
      <c r="D175" s="43" t="s">
        <v>3174</v>
      </c>
      <c r="E175" s="43" t="s">
        <v>3175</v>
      </c>
      <c r="F175" s="43" t="s">
        <v>3173</v>
      </c>
      <c r="G175" s="42" t="s">
        <v>34</v>
      </c>
      <c r="H175" s="42">
        <v>1</v>
      </c>
      <c r="I175" s="44">
        <v>0.39194444444444398</v>
      </c>
      <c r="J175" s="45">
        <v>43962</v>
      </c>
      <c r="K175" s="46" t="s">
        <v>20</v>
      </c>
      <c r="L175" s="47">
        <v>4.99</v>
      </c>
      <c r="M175" s="32"/>
    </row>
    <row r="176" spans="1:13" ht="35" customHeight="1">
      <c r="A176" s="23">
        <f>ROW()-3</f>
        <v>173</v>
      </c>
      <c r="B176" s="42" t="s">
        <v>2732</v>
      </c>
      <c r="C176" s="42" t="s">
        <v>3079</v>
      </c>
      <c r="D176" s="43" t="s">
        <v>3176</v>
      </c>
      <c r="E176" s="43" t="s">
        <v>913</v>
      </c>
      <c r="F176" s="43" t="s">
        <v>3173</v>
      </c>
      <c r="G176" s="42" t="s">
        <v>34</v>
      </c>
      <c r="H176" s="42">
        <v>1</v>
      </c>
      <c r="I176" s="44">
        <v>0.36388888888888898</v>
      </c>
      <c r="J176" s="45">
        <v>43962</v>
      </c>
      <c r="K176" s="46" t="s">
        <v>20</v>
      </c>
      <c r="L176" s="47">
        <v>4.99</v>
      </c>
      <c r="M176" s="32"/>
    </row>
    <row r="177" spans="1:13" ht="35" customHeight="1">
      <c r="A177" s="23">
        <f>ROW()-3</f>
        <v>174</v>
      </c>
      <c r="B177" s="42" t="s">
        <v>2732</v>
      </c>
      <c r="C177" s="42" t="s">
        <v>3079</v>
      </c>
      <c r="D177" s="43" t="s">
        <v>3179</v>
      </c>
      <c r="E177" s="43" t="s">
        <v>3179</v>
      </c>
      <c r="F177" s="43" t="s">
        <v>3180</v>
      </c>
      <c r="G177" s="42" t="s">
        <v>34</v>
      </c>
      <c r="H177" s="42">
        <v>1</v>
      </c>
      <c r="I177" s="44">
        <v>0.46472222222222198</v>
      </c>
      <c r="J177" s="45">
        <v>43962</v>
      </c>
      <c r="K177" s="46" t="s">
        <v>20</v>
      </c>
      <c r="L177" s="47">
        <v>4.99</v>
      </c>
      <c r="M177" s="32"/>
    </row>
    <row r="178" spans="1:13" ht="35" customHeight="1">
      <c r="A178" s="23">
        <f>ROW()-3</f>
        <v>175</v>
      </c>
      <c r="B178" s="42" t="s">
        <v>2732</v>
      </c>
      <c r="C178" s="42" t="s">
        <v>3079</v>
      </c>
      <c r="D178" s="43" t="s">
        <v>3181</v>
      </c>
      <c r="E178" s="43" t="s">
        <v>3182</v>
      </c>
      <c r="F178" s="43" t="s">
        <v>2916</v>
      </c>
      <c r="G178" s="42" t="s">
        <v>34</v>
      </c>
      <c r="H178" s="42">
        <v>1</v>
      </c>
      <c r="I178" s="44">
        <v>0.41916666666666702</v>
      </c>
      <c r="J178" s="45">
        <v>43962</v>
      </c>
      <c r="K178" s="46" t="s">
        <v>20</v>
      </c>
      <c r="L178" s="47">
        <v>4.99</v>
      </c>
      <c r="M178" s="32"/>
    </row>
    <row r="179" spans="1:13" ht="35" customHeight="1">
      <c r="A179" s="23">
        <f>ROW()-3</f>
        <v>176</v>
      </c>
      <c r="B179" s="42" t="s">
        <v>2732</v>
      </c>
      <c r="C179" s="42" t="s">
        <v>3079</v>
      </c>
      <c r="D179" s="43" t="s">
        <v>3229</v>
      </c>
      <c r="E179" s="43" t="s">
        <v>3083</v>
      </c>
      <c r="F179" s="43" t="s">
        <v>830</v>
      </c>
      <c r="G179" s="42" t="s">
        <v>34</v>
      </c>
      <c r="H179" s="42">
        <v>1</v>
      </c>
      <c r="I179" s="44">
        <v>0.49694444444444402</v>
      </c>
      <c r="J179" s="45">
        <v>43962</v>
      </c>
      <c r="K179" s="46" t="s">
        <v>20</v>
      </c>
      <c r="L179" s="47">
        <v>4.99</v>
      </c>
      <c r="M179" s="32"/>
    </row>
    <row r="180" spans="1:13" ht="35" customHeight="1">
      <c r="A180" s="23">
        <f>ROW()-3</f>
        <v>177</v>
      </c>
      <c r="B180" s="42" t="s">
        <v>2732</v>
      </c>
      <c r="C180" s="42" t="s">
        <v>3079</v>
      </c>
      <c r="D180" s="43" t="s">
        <v>3183</v>
      </c>
      <c r="E180" s="43" t="s">
        <v>3184</v>
      </c>
      <c r="F180" s="43" t="s">
        <v>2742</v>
      </c>
      <c r="G180" s="42" t="s">
        <v>34</v>
      </c>
      <c r="H180" s="42">
        <v>1</v>
      </c>
      <c r="I180" s="44">
        <v>0.46250000000000002</v>
      </c>
      <c r="J180" s="45">
        <v>43976</v>
      </c>
      <c r="K180" s="46" t="s">
        <v>20</v>
      </c>
      <c r="L180" s="47">
        <v>4.99</v>
      </c>
      <c r="M180" s="32"/>
    </row>
    <row r="181" spans="1:13" ht="35" customHeight="1">
      <c r="A181" s="23">
        <f>ROW()-3</f>
        <v>178</v>
      </c>
      <c r="B181" s="42" t="s">
        <v>2732</v>
      </c>
      <c r="C181" s="42" t="s">
        <v>3079</v>
      </c>
      <c r="D181" s="43" t="s">
        <v>3090</v>
      </c>
      <c r="E181" s="43" t="s">
        <v>3091</v>
      </c>
      <c r="F181" s="43" t="s">
        <v>2766</v>
      </c>
      <c r="G181" s="42" t="s">
        <v>34</v>
      </c>
      <c r="H181" s="42">
        <v>1</v>
      </c>
      <c r="I181" s="44">
        <v>0.543333333333333</v>
      </c>
      <c r="J181" s="45">
        <v>43978</v>
      </c>
      <c r="K181" s="46" t="s">
        <v>20</v>
      </c>
      <c r="L181" s="47">
        <v>4.99</v>
      </c>
      <c r="M181" s="32"/>
    </row>
    <row r="182" spans="1:13" ht="35" customHeight="1">
      <c r="A182" s="23">
        <f>ROW()-3</f>
        <v>179</v>
      </c>
      <c r="B182" s="42" t="s">
        <v>2732</v>
      </c>
      <c r="C182" s="42" t="s">
        <v>3079</v>
      </c>
      <c r="D182" s="43" t="s">
        <v>3092</v>
      </c>
      <c r="E182" s="43" t="s">
        <v>3093</v>
      </c>
      <c r="F182" s="43" t="s">
        <v>2742</v>
      </c>
      <c r="G182" s="42" t="s">
        <v>34</v>
      </c>
      <c r="H182" s="42">
        <v>1</v>
      </c>
      <c r="I182" s="44">
        <v>0.403055555555556</v>
      </c>
      <c r="J182" s="45">
        <v>43978</v>
      </c>
      <c r="K182" s="46" t="s">
        <v>20</v>
      </c>
      <c r="L182" s="47">
        <v>4.99</v>
      </c>
      <c r="M182" s="32"/>
    </row>
    <row r="183" spans="1:13" ht="35" customHeight="1">
      <c r="A183" s="23">
        <f>ROW()-3</f>
        <v>180</v>
      </c>
      <c r="B183" s="42" t="s">
        <v>2732</v>
      </c>
      <c r="C183" s="42" t="s">
        <v>3079</v>
      </c>
      <c r="D183" s="43" t="s">
        <v>3095</v>
      </c>
      <c r="E183" s="43" t="s">
        <v>3083</v>
      </c>
      <c r="F183" s="43" t="s">
        <v>2742</v>
      </c>
      <c r="G183" s="42" t="s">
        <v>34</v>
      </c>
      <c r="H183" s="42">
        <v>1</v>
      </c>
      <c r="I183" s="44">
        <v>0.52583333333333304</v>
      </c>
      <c r="J183" s="45">
        <v>43978</v>
      </c>
      <c r="K183" s="46" t="s">
        <v>20</v>
      </c>
      <c r="L183" s="47">
        <v>4.99</v>
      </c>
      <c r="M183" s="32"/>
    </row>
    <row r="184" spans="1:13" ht="35" customHeight="1">
      <c r="A184" s="23">
        <f>ROW()-3</f>
        <v>181</v>
      </c>
      <c r="B184" s="42" t="s">
        <v>2732</v>
      </c>
      <c r="C184" s="42" t="s">
        <v>3079</v>
      </c>
      <c r="D184" s="43" t="s">
        <v>3098</v>
      </c>
      <c r="E184" s="43" t="s">
        <v>3099</v>
      </c>
      <c r="F184" s="43" t="s">
        <v>150</v>
      </c>
      <c r="G184" s="42" t="s">
        <v>34</v>
      </c>
      <c r="H184" s="42">
        <v>1</v>
      </c>
      <c r="I184" s="44">
        <v>0.52833333333333299</v>
      </c>
      <c r="J184" s="45">
        <v>43978</v>
      </c>
      <c r="K184" s="46" t="s">
        <v>20</v>
      </c>
      <c r="L184" s="47">
        <v>4.99</v>
      </c>
      <c r="M184" s="32"/>
    </row>
    <row r="185" spans="1:13" ht="35" customHeight="1">
      <c r="A185" s="23">
        <f>ROW()-3</f>
        <v>182</v>
      </c>
      <c r="B185" s="42" t="s">
        <v>2732</v>
      </c>
      <c r="C185" s="42" t="s">
        <v>3079</v>
      </c>
      <c r="D185" s="43" t="s">
        <v>3106</v>
      </c>
      <c r="E185" s="43" t="s">
        <v>3107</v>
      </c>
      <c r="F185" s="43" t="s">
        <v>3108</v>
      </c>
      <c r="G185" s="42" t="s">
        <v>34</v>
      </c>
      <c r="H185" s="42">
        <v>1</v>
      </c>
      <c r="I185" s="44">
        <v>0.56055555555555603</v>
      </c>
      <c r="J185" s="45">
        <v>43978</v>
      </c>
      <c r="K185" s="46" t="s">
        <v>20</v>
      </c>
      <c r="L185" s="47">
        <v>4.99</v>
      </c>
      <c r="M185" s="32"/>
    </row>
    <row r="186" spans="1:13" ht="35" customHeight="1">
      <c r="A186" s="23">
        <f>ROW()-3</f>
        <v>183</v>
      </c>
      <c r="B186" s="42" t="s">
        <v>2732</v>
      </c>
      <c r="C186" s="42" t="s">
        <v>3079</v>
      </c>
      <c r="D186" s="43" t="s">
        <v>3109</v>
      </c>
      <c r="E186" s="43" t="s">
        <v>3110</v>
      </c>
      <c r="F186" s="43" t="s">
        <v>3026</v>
      </c>
      <c r="G186" s="42" t="s">
        <v>34</v>
      </c>
      <c r="H186" s="42">
        <v>1</v>
      </c>
      <c r="I186" s="44">
        <v>0.54416666666666702</v>
      </c>
      <c r="J186" s="45">
        <v>43978</v>
      </c>
      <c r="K186" s="46" t="s">
        <v>20</v>
      </c>
      <c r="L186" s="47">
        <v>4.99</v>
      </c>
      <c r="M186" s="32"/>
    </row>
    <row r="187" spans="1:13" ht="35" customHeight="1">
      <c r="A187" s="23">
        <f>ROW()-3</f>
        <v>184</v>
      </c>
      <c r="B187" s="42" t="s">
        <v>2732</v>
      </c>
      <c r="C187" s="42" t="s">
        <v>3079</v>
      </c>
      <c r="D187" s="43" t="s">
        <v>3111</v>
      </c>
      <c r="E187" s="43" t="s">
        <v>3112</v>
      </c>
      <c r="F187" s="43" t="s">
        <v>3026</v>
      </c>
      <c r="G187" s="42" t="s">
        <v>34</v>
      </c>
      <c r="H187" s="42">
        <v>1</v>
      </c>
      <c r="I187" s="44">
        <v>0.59222222222222198</v>
      </c>
      <c r="J187" s="45">
        <v>43978</v>
      </c>
      <c r="K187" s="46" t="s">
        <v>20</v>
      </c>
      <c r="L187" s="47">
        <v>4.99</v>
      </c>
      <c r="M187" s="32"/>
    </row>
    <row r="188" spans="1:13" ht="35" customHeight="1">
      <c r="A188" s="23">
        <f>ROW()-3</f>
        <v>185</v>
      </c>
      <c r="B188" s="42" t="s">
        <v>2732</v>
      </c>
      <c r="C188" s="42" t="s">
        <v>3079</v>
      </c>
      <c r="D188" s="43" t="s">
        <v>3113</v>
      </c>
      <c r="E188" s="43" t="s">
        <v>3083</v>
      </c>
      <c r="F188" s="43" t="s">
        <v>3026</v>
      </c>
      <c r="G188" s="42" t="s">
        <v>34</v>
      </c>
      <c r="H188" s="42">
        <v>1</v>
      </c>
      <c r="I188" s="44">
        <v>0.37805555555555598</v>
      </c>
      <c r="J188" s="45">
        <v>43978</v>
      </c>
      <c r="K188" s="46" t="s">
        <v>20</v>
      </c>
      <c r="L188" s="47">
        <v>4.99</v>
      </c>
      <c r="M188" s="32"/>
    </row>
    <row r="189" spans="1:13" ht="35" customHeight="1">
      <c r="A189" s="23">
        <f>ROW()-3</f>
        <v>186</v>
      </c>
      <c r="B189" s="42" t="s">
        <v>2732</v>
      </c>
      <c r="C189" s="42" t="s">
        <v>3079</v>
      </c>
      <c r="D189" s="43" t="s">
        <v>3114</v>
      </c>
      <c r="E189" s="43" t="s">
        <v>3115</v>
      </c>
      <c r="F189" s="43" t="s">
        <v>3116</v>
      </c>
      <c r="G189" s="42" t="s">
        <v>34</v>
      </c>
      <c r="H189" s="42">
        <v>1</v>
      </c>
      <c r="I189" s="44">
        <v>0.74777777777777799</v>
      </c>
      <c r="J189" s="45">
        <v>43978</v>
      </c>
      <c r="K189" s="46" t="s">
        <v>20</v>
      </c>
      <c r="L189" s="47">
        <v>4.99</v>
      </c>
      <c r="M189" s="32"/>
    </row>
    <row r="190" spans="1:13" ht="35" customHeight="1">
      <c r="A190" s="23">
        <f>ROW()-3</f>
        <v>187</v>
      </c>
      <c r="B190" s="42" t="s">
        <v>2732</v>
      </c>
      <c r="C190" s="42" t="s">
        <v>3079</v>
      </c>
      <c r="D190" s="43" t="s">
        <v>3117</v>
      </c>
      <c r="E190" s="43" t="s">
        <v>3118</v>
      </c>
      <c r="F190" s="43" t="s">
        <v>807</v>
      </c>
      <c r="G190" s="42" t="s">
        <v>34</v>
      </c>
      <c r="H190" s="42">
        <v>1</v>
      </c>
      <c r="I190" s="44">
        <v>0.424722222222222</v>
      </c>
      <c r="J190" s="45">
        <v>43978</v>
      </c>
      <c r="K190" s="46" t="s">
        <v>20</v>
      </c>
      <c r="L190" s="47">
        <v>4.99</v>
      </c>
      <c r="M190" s="32"/>
    </row>
    <row r="191" spans="1:13" ht="35" customHeight="1">
      <c r="A191" s="23">
        <f>ROW()-3</f>
        <v>188</v>
      </c>
      <c r="B191" s="42" t="s">
        <v>2732</v>
      </c>
      <c r="C191" s="42" t="s">
        <v>3079</v>
      </c>
      <c r="D191" s="43" t="s">
        <v>3119</v>
      </c>
      <c r="E191" s="43" t="s">
        <v>3120</v>
      </c>
      <c r="F191" s="43" t="s">
        <v>3121</v>
      </c>
      <c r="G191" s="42" t="s">
        <v>34</v>
      </c>
      <c r="H191" s="42">
        <v>1</v>
      </c>
      <c r="I191" s="44">
        <v>0.39583333333333298</v>
      </c>
      <c r="J191" s="45">
        <v>43978</v>
      </c>
      <c r="K191" s="46" t="s">
        <v>20</v>
      </c>
      <c r="L191" s="47">
        <v>4.99</v>
      </c>
      <c r="M191" s="32"/>
    </row>
    <row r="192" spans="1:13" ht="35" customHeight="1">
      <c r="A192" s="23">
        <f>ROW()-3</f>
        <v>189</v>
      </c>
      <c r="B192" s="42" t="s">
        <v>2732</v>
      </c>
      <c r="C192" s="42" t="s">
        <v>3079</v>
      </c>
      <c r="D192" s="43" t="s">
        <v>3124</v>
      </c>
      <c r="E192" s="43" t="s">
        <v>3125</v>
      </c>
      <c r="F192" s="43" t="s">
        <v>2804</v>
      </c>
      <c r="G192" s="42" t="s">
        <v>34</v>
      </c>
      <c r="H192" s="42">
        <v>1</v>
      </c>
      <c r="I192" s="44">
        <v>0.44555555555555598</v>
      </c>
      <c r="J192" s="45">
        <v>43978</v>
      </c>
      <c r="K192" s="46" t="s">
        <v>20</v>
      </c>
      <c r="L192" s="47">
        <v>4.99</v>
      </c>
      <c r="M192" s="32"/>
    </row>
    <row r="193" spans="1:13" ht="35" customHeight="1">
      <c r="A193" s="23">
        <f>ROW()-3</f>
        <v>190</v>
      </c>
      <c r="B193" s="42" t="s">
        <v>2732</v>
      </c>
      <c r="C193" s="42" t="s">
        <v>3079</v>
      </c>
      <c r="D193" s="43" t="s">
        <v>3126</v>
      </c>
      <c r="E193" s="43" t="s">
        <v>3127</v>
      </c>
      <c r="F193" s="43" t="s">
        <v>3038</v>
      </c>
      <c r="G193" s="42" t="s">
        <v>34</v>
      </c>
      <c r="H193" s="42">
        <v>1</v>
      </c>
      <c r="I193" s="44">
        <v>0.43</v>
      </c>
      <c r="J193" s="45">
        <v>43978</v>
      </c>
      <c r="K193" s="46" t="s">
        <v>20</v>
      </c>
      <c r="L193" s="47">
        <v>4.99</v>
      </c>
      <c r="M193" s="32"/>
    </row>
    <row r="194" spans="1:13" ht="35" customHeight="1">
      <c r="A194" s="23">
        <f>ROW()-3</f>
        <v>191</v>
      </c>
      <c r="B194" s="42" t="s">
        <v>2732</v>
      </c>
      <c r="C194" s="42" t="s">
        <v>3079</v>
      </c>
      <c r="D194" s="43" t="s">
        <v>3128</v>
      </c>
      <c r="E194" s="43" t="s">
        <v>3129</v>
      </c>
      <c r="F194" s="43" t="s">
        <v>3130</v>
      </c>
      <c r="G194" s="42" t="s">
        <v>34</v>
      </c>
      <c r="H194" s="42">
        <v>1</v>
      </c>
      <c r="I194" s="44">
        <v>0.52444444444444405</v>
      </c>
      <c r="J194" s="45">
        <v>43978</v>
      </c>
      <c r="K194" s="46" t="s">
        <v>20</v>
      </c>
      <c r="L194" s="47">
        <v>4.99</v>
      </c>
      <c r="M194" s="32"/>
    </row>
    <row r="195" spans="1:13" ht="35" customHeight="1">
      <c r="A195" s="23">
        <f>ROW()-3</f>
        <v>192</v>
      </c>
      <c r="B195" s="42" t="s">
        <v>2732</v>
      </c>
      <c r="C195" s="42" t="s">
        <v>3079</v>
      </c>
      <c r="D195" s="43" t="s">
        <v>3131</v>
      </c>
      <c r="E195" s="43" t="s">
        <v>3132</v>
      </c>
      <c r="F195" s="43" t="s">
        <v>3044</v>
      </c>
      <c r="G195" s="42" t="s">
        <v>34</v>
      </c>
      <c r="H195" s="42">
        <v>1</v>
      </c>
      <c r="I195" s="44">
        <v>0.41611111111111099</v>
      </c>
      <c r="J195" s="45">
        <v>43978</v>
      </c>
      <c r="K195" s="46" t="s">
        <v>20</v>
      </c>
      <c r="L195" s="47">
        <v>4.99</v>
      </c>
      <c r="M195" s="32"/>
    </row>
    <row r="196" spans="1:13" ht="35" customHeight="1">
      <c r="A196" s="23">
        <f>ROW()-3</f>
        <v>193</v>
      </c>
      <c r="B196" s="42" t="s">
        <v>2732</v>
      </c>
      <c r="C196" s="42" t="s">
        <v>3079</v>
      </c>
      <c r="D196" s="43" t="s">
        <v>3133</v>
      </c>
      <c r="E196" s="43" t="s">
        <v>3134</v>
      </c>
      <c r="F196" s="43" t="s">
        <v>3135</v>
      </c>
      <c r="G196" s="42" t="s">
        <v>34</v>
      </c>
      <c r="H196" s="42">
        <v>1</v>
      </c>
      <c r="I196" s="44">
        <v>0.371111111111111</v>
      </c>
      <c r="J196" s="45">
        <v>43978</v>
      </c>
      <c r="K196" s="46" t="s">
        <v>20</v>
      </c>
      <c r="L196" s="47">
        <v>4.99</v>
      </c>
      <c r="M196" s="32"/>
    </row>
    <row r="197" spans="1:13" ht="35" customHeight="1">
      <c r="A197" s="23">
        <f>ROW()-3</f>
        <v>194</v>
      </c>
      <c r="B197" s="42" t="s">
        <v>2732</v>
      </c>
      <c r="C197" s="42" t="s">
        <v>3079</v>
      </c>
      <c r="D197" s="43" t="s">
        <v>3136</v>
      </c>
      <c r="E197" s="43" t="s">
        <v>3091</v>
      </c>
      <c r="F197" s="43" t="s">
        <v>3137</v>
      </c>
      <c r="G197" s="42" t="s">
        <v>34</v>
      </c>
      <c r="H197" s="42">
        <v>1</v>
      </c>
      <c r="I197" s="44">
        <v>0.42583333333333301</v>
      </c>
      <c r="J197" s="45">
        <v>43978</v>
      </c>
      <c r="K197" s="46" t="s">
        <v>20</v>
      </c>
      <c r="L197" s="47">
        <v>4.99</v>
      </c>
      <c r="M197" s="32"/>
    </row>
    <row r="198" spans="1:13" ht="35" customHeight="1">
      <c r="A198" s="23">
        <f>ROW()-3</f>
        <v>195</v>
      </c>
      <c r="B198" s="42" t="s">
        <v>2732</v>
      </c>
      <c r="C198" s="42" t="s">
        <v>3079</v>
      </c>
      <c r="D198" s="43" t="s">
        <v>3138</v>
      </c>
      <c r="E198" s="43" t="s">
        <v>3139</v>
      </c>
      <c r="F198" s="43" t="s">
        <v>3140</v>
      </c>
      <c r="G198" s="42" t="s">
        <v>34</v>
      </c>
      <c r="H198" s="42">
        <v>1</v>
      </c>
      <c r="I198" s="44">
        <v>0.77916666666666701</v>
      </c>
      <c r="J198" s="45">
        <v>43978</v>
      </c>
      <c r="K198" s="46" t="s">
        <v>20</v>
      </c>
      <c r="L198" s="47">
        <v>4.99</v>
      </c>
      <c r="M198" s="32"/>
    </row>
    <row r="199" spans="1:13" ht="35" customHeight="1">
      <c r="A199" s="23">
        <f>ROW()-3</f>
        <v>196</v>
      </c>
      <c r="B199" s="42" t="s">
        <v>2732</v>
      </c>
      <c r="C199" s="42" t="s">
        <v>3079</v>
      </c>
      <c r="D199" s="43" t="s">
        <v>3143</v>
      </c>
      <c r="E199" s="43" t="s">
        <v>3144</v>
      </c>
      <c r="F199" s="43" t="s">
        <v>3066</v>
      </c>
      <c r="G199" s="42" t="s">
        <v>34</v>
      </c>
      <c r="H199" s="42">
        <v>1</v>
      </c>
      <c r="I199" s="44">
        <v>0.65500000000000003</v>
      </c>
      <c r="J199" s="45">
        <v>43978</v>
      </c>
      <c r="K199" s="46" t="s">
        <v>20</v>
      </c>
      <c r="L199" s="47">
        <v>4.99</v>
      </c>
      <c r="M199" s="32"/>
    </row>
    <row r="200" spans="1:13" ht="35" customHeight="1">
      <c r="A200" s="23">
        <f>ROW()-3</f>
        <v>197</v>
      </c>
      <c r="B200" s="42" t="s">
        <v>2732</v>
      </c>
      <c r="C200" s="42" t="s">
        <v>3079</v>
      </c>
      <c r="D200" s="43" t="s">
        <v>3148</v>
      </c>
      <c r="E200" s="43" t="s">
        <v>3149</v>
      </c>
      <c r="F200" s="43" t="s">
        <v>191</v>
      </c>
      <c r="G200" s="42" t="s">
        <v>34</v>
      </c>
      <c r="H200" s="42">
        <v>1</v>
      </c>
      <c r="I200" s="44">
        <v>0.478333333333333</v>
      </c>
      <c r="J200" s="45">
        <v>43978</v>
      </c>
      <c r="K200" s="46" t="s">
        <v>20</v>
      </c>
      <c r="L200" s="47">
        <v>4.99</v>
      </c>
      <c r="M200" s="32"/>
    </row>
    <row r="201" spans="1:13" ht="35" customHeight="1">
      <c r="A201" s="23">
        <f>ROW()-3</f>
        <v>198</v>
      </c>
      <c r="B201" s="42" t="s">
        <v>2732</v>
      </c>
      <c r="C201" s="42" t="s">
        <v>3079</v>
      </c>
      <c r="D201" s="43" t="s">
        <v>3150</v>
      </c>
      <c r="E201" s="43" t="s">
        <v>3151</v>
      </c>
      <c r="F201" s="43" t="s">
        <v>191</v>
      </c>
      <c r="G201" s="42" t="s">
        <v>34</v>
      </c>
      <c r="H201" s="42">
        <v>1</v>
      </c>
      <c r="I201" s="44">
        <v>0.54944444444444396</v>
      </c>
      <c r="J201" s="45">
        <v>43978</v>
      </c>
      <c r="K201" s="46" t="s">
        <v>20</v>
      </c>
      <c r="L201" s="47">
        <v>4.99</v>
      </c>
      <c r="M201" s="32"/>
    </row>
    <row r="202" spans="1:13" ht="35" customHeight="1">
      <c r="A202" s="23">
        <f>ROW()-3</f>
        <v>199</v>
      </c>
      <c r="B202" s="42" t="s">
        <v>2732</v>
      </c>
      <c r="C202" s="42" t="s">
        <v>3079</v>
      </c>
      <c r="D202" s="43" t="s">
        <v>3152</v>
      </c>
      <c r="E202" s="43" t="s">
        <v>3153</v>
      </c>
      <c r="F202" s="43" t="s">
        <v>191</v>
      </c>
      <c r="G202" s="42" t="s">
        <v>34</v>
      </c>
      <c r="H202" s="42">
        <v>1</v>
      </c>
      <c r="I202" s="44">
        <v>0.50833333333333297</v>
      </c>
      <c r="J202" s="45">
        <v>43978</v>
      </c>
      <c r="K202" s="46" t="s">
        <v>20</v>
      </c>
      <c r="L202" s="47">
        <v>4.99</v>
      </c>
      <c r="M202" s="32"/>
    </row>
    <row r="203" spans="1:13" ht="35" customHeight="1">
      <c r="A203" s="23">
        <f>ROW()-3</f>
        <v>200</v>
      </c>
      <c r="B203" s="42" t="s">
        <v>2732</v>
      </c>
      <c r="C203" s="42" t="s">
        <v>3079</v>
      </c>
      <c r="D203" s="43" t="s">
        <v>3154</v>
      </c>
      <c r="E203" s="43" t="s">
        <v>3155</v>
      </c>
      <c r="F203" s="43" t="s">
        <v>191</v>
      </c>
      <c r="G203" s="42" t="s">
        <v>34</v>
      </c>
      <c r="H203" s="42">
        <v>1</v>
      </c>
      <c r="I203" s="44">
        <v>0.52972222222222198</v>
      </c>
      <c r="J203" s="45">
        <v>43978</v>
      </c>
      <c r="K203" s="46" t="s">
        <v>20</v>
      </c>
      <c r="L203" s="47">
        <v>4.99</v>
      </c>
      <c r="M203" s="32"/>
    </row>
    <row r="204" spans="1:13" ht="35" customHeight="1">
      <c r="A204" s="23">
        <f>ROW()-3</f>
        <v>201</v>
      </c>
      <c r="B204" s="42" t="s">
        <v>2732</v>
      </c>
      <c r="C204" s="42" t="s">
        <v>3079</v>
      </c>
      <c r="D204" s="43" t="s">
        <v>3156</v>
      </c>
      <c r="E204" s="43" t="s">
        <v>3157</v>
      </c>
      <c r="F204" s="43" t="s">
        <v>191</v>
      </c>
      <c r="G204" s="42" t="s">
        <v>34</v>
      </c>
      <c r="H204" s="42">
        <v>1</v>
      </c>
      <c r="I204" s="44">
        <v>0.67416666666666702</v>
      </c>
      <c r="J204" s="45">
        <v>43978</v>
      </c>
      <c r="K204" s="46" t="s">
        <v>20</v>
      </c>
      <c r="L204" s="47">
        <v>4.99</v>
      </c>
      <c r="M204" s="32"/>
    </row>
    <row r="205" spans="1:13" ht="35" customHeight="1">
      <c r="A205" s="23">
        <f>ROW()-3</f>
        <v>202</v>
      </c>
      <c r="B205" s="42" t="s">
        <v>2732</v>
      </c>
      <c r="C205" s="42" t="s">
        <v>3079</v>
      </c>
      <c r="D205" s="43" t="s">
        <v>3160</v>
      </c>
      <c r="E205" s="43" t="s">
        <v>3161</v>
      </c>
      <c r="F205" s="43" t="s">
        <v>191</v>
      </c>
      <c r="G205" s="42" t="s">
        <v>34</v>
      </c>
      <c r="H205" s="42">
        <v>1</v>
      </c>
      <c r="I205" s="44">
        <v>0.76666666666666705</v>
      </c>
      <c r="J205" s="45">
        <v>43978</v>
      </c>
      <c r="K205" s="46" t="s">
        <v>20</v>
      </c>
      <c r="L205" s="47">
        <v>4.99</v>
      </c>
      <c r="M205" s="32"/>
    </row>
    <row r="206" spans="1:13" ht="35" customHeight="1">
      <c r="A206" s="23">
        <f>ROW()-3</f>
        <v>203</v>
      </c>
      <c r="B206" s="42" t="s">
        <v>2732</v>
      </c>
      <c r="C206" s="42" t="s">
        <v>3079</v>
      </c>
      <c r="D206" s="43" t="s">
        <v>3164</v>
      </c>
      <c r="E206" s="43" t="s">
        <v>3165</v>
      </c>
      <c r="F206" s="43" t="s">
        <v>2905</v>
      </c>
      <c r="G206" s="42" t="s">
        <v>34</v>
      </c>
      <c r="H206" s="42">
        <v>1</v>
      </c>
      <c r="I206" s="44">
        <v>0.53944444444444395</v>
      </c>
      <c r="J206" s="45">
        <v>43978</v>
      </c>
      <c r="K206" s="46" t="s">
        <v>20</v>
      </c>
      <c r="L206" s="47">
        <v>4.99</v>
      </c>
      <c r="M206" s="32"/>
    </row>
    <row r="207" spans="1:13" ht="35" customHeight="1">
      <c r="A207" s="23">
        <f>ROW()-3</f>
        <v>204</v>
      </c>
      <c r="B207" s="42" t="s">
        <v>2732</v>
      </c>
      <c r="C207" s="42" t="s">
        <v>3079</v>
      </c>
      <c r="D207" s="43" t="s">
        <v>3166</v>
      </c>
      <c r="E207" s="43" t="s">
        <v>3167</v>
      </c>
      <c r="F207" s="43" t="s">
        <v>2748</v>
      </c>
      <c r="G207" s="42" t="s">
        <v>34</v>
      </c>
      <c r="H207" s="42">
        <v>1</v>
      </c>
      <c r="I207" s="44">
        <v>0.81361111111111095</v>
      </c>
      <c r="J207" s="45">
        <v>43978</v>
      </c>
      <c r="K207" s="46" t="s">
        <v>20</v>
      </c>
      <c r="L207" s="47">
        <v>4.99</v>
      </c>
      <c r="M207" s="32"/>
    </row>
    <row r="208" spans="1:13" ht="35" customHeight="1">
      <c r="A208" s="23">
        <f>ROW()-3</f>
        <v>205</v>
      </c>
      <c r="B208" s="42" t="s">
        <v>2732</v>
      </c>
      <c r="C208" s="42" t="s">
        <v>3079</v>
      </c>
      <c r="D208" s="43" t="s">
        <v>3177</v>
      </c>
      <c r="E208" s="43" t="s">
        <v>3178</v>
      </c>
      <c r="F208" s="43" t="s">
        <v>3173</v>
      </c>
      <c r="G208" s="42" t="s">
        <v>34</v>
      </c>
      <c r="H208" s="42">
        <v>1</v>
      </c>
      <c r="I208" s="44">
        <v>0.57999999999999996</v>
      </c>
      <c r="J208" s="45">
        <v>43978</v>
      </c>
      <c r="K208" s="46" t="s">
        <v>20</v>
      </c>
      <c r="L208" s="47">
        <v>4.99</v>
      </c>
      <c r="M208" s="32"/>
    </row>
    <row r="209" spans="1:13" ht="35" customHeight="1">
      <c r="A209" s="23">
        <f>ROW()-3</f>
        <v>206</v>
      </c>
      <c r="B209" s="42" t="s">
        <v>2732</v>
      </c>
      <c r="C209" s="42" t="s">
        <v>3079</v>
      </c>
      <c r="D209" s="43" t="s">
        <v>3185</v>
      </c>
      <c r="E209" s="43" t="s">
        <v>3186</v>
      </c>
      <c r="F209" s="43" t="s">
        <v>2932</v>
      </c>
      <c r="G209" s="42" t="s">
        <v>34</v>
      </c>
      <c r="H209" s="42">
        <v>1</v>
      </c>
      <c r="I209" s="44">
        <v>0.4</v>
      </c>
      <c r="J209" s="45">
        <v>43983</v>
      </c>
      <c r="K209" s="46" t="s">
        <v>20</v>
      </c>
      <c r="L209" s="47">
        <v>4.99</v>
      </c>
      <c r="M209" s="32"/>
    </row>
    <row r="210" spans="1:13" ht="35" customHeight="1">
      <c r="A210" s="23">
        <f>ROW()-3</f>
        <v>207</v>
      </c>
      <c r="B210" s="42" t="s">
        <v>2732</v>
      </c>
      <c r="C210" s="42" t="s">
        <v>3079</v>
      </c>
      <c r="D210" s="43" t="s">
        <v>3187</v>
      </c>
      <c r="E210" s="43" t="s">
        <v>3188</v>
      </c>
      <c r="F210" s="43" t="s">
        <v>2919</v>
      </c>
      <c r="G210" s="42" t="s">
        <v>34</v>
      </c>
      <c r="H210" s="42">
        <v>1</v>
      </c>
      <c r="I210" s="44">
        <v>0.4</v>
      </c>
      <c r="J210" s="45">
        <v>43990</v>
      </c>
      <c r="K210" s="46" t="s">
        <v>20</v>
      </c>
      <c r="L210" s="47">
        <v>4.99</v>
      </c>
      <c r="M210" s="32"/>
    </row>
    <row r="211" spans="1:13" ht="35" customHeight="1">
      <c r="A211" s="23">
        <f>ROW()-3</f>
        <v>208</v>
      </c>
      <c r="B211" s="42" t="s">
        <v>2732</v>
      </c>
      <c r="C211" s="42" t="s">
        <v>3079</v>
      </c>
      <c r="D211" s="43" t="s">
        <v>3189</v>
      </c>
      <c r="E211" s="43" t="s">
        <v>3190</v>
      </c>
      <c r="F211" s="43" t="s">
        <v>2812</v>
      </c>
      <c r="G211" s="42" t="s">
        <v>34</v>
      </c>
      <c r="H211" s="42">
        <v>1</v>
      </c>
      <c r="I211" s="44">
        <v>0.4</v>
      </c>
      <c r="J211" s="45">
        <v>43990</v>
      </c>
      <c r="K211" s="46" t="s">
        <v>20</v>
      </c>
      <c r="L211" s="47">
        <v>4.99</v>
      </c>
      <c r="M211" s="32"/>
    </row>
    <row r="212" spans="1:13" ht="35" customHeight="1">
      <c r="A212" s="23">
        <f>ROW()-3</f>
        <v>209</v>
      </c>
      <c r="B212" s="42" t="s">
        <v>2732</v>
      </c>
      <c r="C212" s="42" t="s">
        <v>3079</v>
      </c>
      <c r="D212" s="43" t="s">
        <v>3191</v>
      </c>
      <c r="E212" s="43" t="s">
        <v>3192</v>
      </c>
      <c r="F212" s="43" t="s">
        <v>3173</v>
      </c>
      <c r="G212" s="42" t="s">
        <v>34</v>
      </c>
      <c r="H212" s="42">
        <v>1</v>
      </c>
      <c r="I212" s="49">
        <v>0.35</v>
      </c>
      <c r="J212" s="45">
        <v>44004</v>
      </c>
      <c r="K212" s="46" t="s">
        <v>20</v>
      </c>
      <c r="L212" s="47">
        <v>4.99</v>
      </c>
      <c r="M212" s="32"/>
    </row>
    <row r="213" spans="1:13" ht="35" customHeight="1">
      <c r="A213" s="23">
        <f>ROW()-3</f>
        <v>210</v>
      </c>
      <c r="B213" s="42" t="s">
        <v>2732</v>
      </c>
      <c r="C213" s="42" t="s">
        <v>3079</v>
      </c>
      <c r="D213" s="43" t="s">
        <v>3193</v>
      </c>
      <c r="E213" s="43" t="s">
        <v>3194</v>
      </c>
      <c r="F213" s="43" t="s">
        <v>2899</v>
      </c>
      <c r="G213" s="42" t="s">
        <v>34</v>
      </c>
      <c r="H213" s="42">
        <v>1</v>
      </c>
      <c r="I213" s="49">
        <v>0.35</v>
      </c>
      <c r="J213" s="45">
        <v>44004</v>
      </c>
      <c r="K213" s="46" t="s">
        <v>20</v>
      </c>
      <c r="L213" s="47">
        <v>4.99</v>
      </c>
      <c r="M213" s="32"/>
    </row>
    <row r="214" spans="1:13" ht="35" customHeight="1">
      <c r="A214" s="23">
        <f>ROW()-3</f>
        <v>211</v>
      </c>
      <c r="B214" s="42" t="s">
        <v>2732</v>
      </c>
      <c r="C214" s="42" t="s">
        <v>3079</v>
      </c>
      <c r="D214" s="43" t="s">
        <v>3195</v>
      </c>
      <c r="E214" s="43" t="s">
        <v>3196</v>
      </c>
      <c r="F214" s="43" t="s">
        <v>3066</v>
      </c>
      <c r="G214" s="42" t="s">
        <v>34</v>
      </c>
      <c r="H214" s="42">
        <v>1</v>
      </c>
      <c r="I214" s="49">
        <v>0.31</v>
      </c>
      <c r="J214" s="45">
        <v>44004</v>
      </c>
      <c r="K214" s="46" t="s">
        <v>20</v>
      </c>
      <c r="L214" s="47">
        <v>4.99</v>
      </c>
      <c r="M214" s="32"/>
    </row>
    <row r="215" spans="1:13" ht="35" customHeight="1">
      <c r="A215" s="23">
        <f>ROW()-3</f>
        <v>212</v>
      </c>
      <c r="B215" s="42" t="s">
        <v>2732</v>
      </c>
      <c r="C215" s="42" t="s">
        <v>3079</v>
      </c>
      <c r="D215" s="43" t="s">
        <v>3197</v>
      </c>
      <c r="E215" s="43" t="s">
        <v>3198</v>
      </c>
      <c r="F215" s="43" t="s">
        <v>3199</v>
      </c>
      <c r="G215" s="42" t="s">
        <v>34</v>
      </c>
      <c r="H215" s="42">
        <v>1</v>
      </c>
      <c r="I215" s="49">
        <v>0.38</v>
      </c>
      <c r="J215" s="45">
        <v>44004</v>
      </c>
      <c r="K215" s="46" t="s">
        <v>20</v>
      </c>
      <c r="L215" s="47">
        <v>4.99</v>
      </c>
      <c r="M215" s="32"/>
    </row>
    <row r="216" spans="1:13" ht="35" customHeight="1">
      <c r="A216" s="23">
        <f>ROW()-3</f>
        <v>213</v>
      </c>
      <c r="B216" s="42" t="s">
        <v>2732</v>
      </c>
      <c r="C216" s="42" t="s">
        <v>3079</v>
      </c>
      <c r="D216" s="43" t="s">
        <v>3200</v>
      </c>
      <c r="E216" s="43" t="s">
        <v>3201</v>
      </c>
      <c r="F216" s="43" t="s">
        <v>2919</v>
      </c>
      <c r="G216" s="42" t="s">
        <v>34</v>
      </c>
      <c r="H216" s="42">
        <v>1</v>
      </c>
      <c r="I216" s="49">
        <v>0.31</v>
      </c>
      <c r="J216" s="45">
        <v>44004</v>
      </c>
      <c r="K216" s="46" t="s">
        <v>20</v>
      </c>
      <c r="L216" s="47">
        <v>4.99</v>
      </c>
      <c r="M216" s="32"/>
    </row>
    <row r="217" spans="1:13" ht="35" customHeight="1">
      <c r="A217" s="23">
        <f>ROW()-3</f>
        <v>214</v>
      </c>
      <c r="B217" s="42" t="s">
        <v>2732</v>
      </c>
      <c r="C217" s="42" t="s">
        <v>3079</v>
      </c>
      <c r="D217" s="43" t="s">
        <v>3087</v>
      </c>
      <c r="E217" s="43" t="s">
        <v>3088</v>
      </c>
      <c r="F217" s="43" t="s">
        <v>3089</v>
      </c>
      <c r="G217" s="42" t="s">
        <v>34</v>
      </c>
      <c r="H217" s="42">
        <v>3</v>
      </c>
      <c r="I217" s="44">
        <v>0.52</v>
      </c>
      <c r="J217" s="45">
        <v>44011</v>
      </c>
      <c r="K217" s="46" t="s">
        <v>20</v>
      </c>
      <c r="L217" s="47">
        <v>4.99</v>
      </c>
      <c r="M217" s="32"/>
    </row>
    <row r="218" spans="1:13" ht="35" customHeight="1">
      <c r="A218" s="23">
        <f>ROW()-3</f>
        <v>215</v>
      </c>
      <c r="B218" s="42" t="s">
        <v>2732</v>
      </c>
      <c r="C218" s="42" t="s">
        <v>3079</v>
      </c>
      <c r="D218" s="43" t="s">
        <v>3202</v>
      </c>
      <c r="E218" s="43" t="s">
        <v>3091</v>
      </c>
      <c r="F218" s="43" t="s">
        <v>3203</v>
      </c>
      <c r="G218" s="42" t="s">
        <v>34</v>
      </c>
      <c r="H218" s="42">
        <v>1</v>
      </c>
      <c r="I218" s="49">
        <v>0.41</v>
      </c>
      <c r="J218" s="45">
        <v>44011</v>
      </c>
      <c r="K218" s="46" t="s">
        <v>20</v>
      </c>
      <c r="L218" s="47">
        <v>4.99</v>
      </c>
      <c r="M218" s="32"/>
    </row>
    <row r="219" spans="1:13" ht="35" customHeight="1">
      <c r="A219" s="23">
        <f>ROW()-3</f>
        <v>216</v>
      </c>
      <c r="B219" s="42" t="s">
        <v>2732</v>
      </c>
      <c r="C219" s="42" t="s">
        <v>3079</v>
      </c>
      <c r="D219" s="43" t="s">
        <v>3204</v>
      </c>
      <c r="E219" s="43" t="s">
        <v>3205</v>
      </c>
      <c r="F219" s="43" t="s">
        <v>3206</v>
      </c>
      <c r="G219" s="42" t="s">
        <v>34</v>
      </c>
      <c r="H219" s="42">
        <v>1</v>
      </c>
      <c r="I219" s="49">
        <v>0.51</v>
      </c>
      <c r="J219" s="45">
        <v>44011</v>
      </c>
      <c r="K219" s="46" t="s">
        <v>20</v>
      </c>
      <c r="L219" s="47">
        <v>4.99</v>
      </c>
      <c r="M219" s="32"/>
    </row>
    <row r="220" spans="1:13" ht="35" customHeight="1">
      <c r="A220" s="23">
        <f>ROW()-3</f>
        <v>217</v>
      </c>
      <c r="B220" s="42" t="s">
        <v>2732</v>
      </c>
      <c r="C220" s="42" t="s">
        <v>3079</v>
      </c>
      <c r="D220" s="43" t="s">
        <v>3207</v>
      </c>
      <c r="E220" s="43" t="s">
        <v>3208</v>
      </c>
      <c r="F220" s="43" t="s">
        <v>3209</v>
      </c>
      <c r="G220" s="42" t="s">
        <v>34</v>
      </c>
      <c r="H220" s="42">
        <v>3</v>
      </c>
      <c r="I220" s="49">
        <v>1.1000000000000001</v>
      </c>
      <c r="J220" s="45">
        <v>44032</v>
      </c>
      <c r="K220" s="46" t="s">
        <v>20</v>
      </c>
      <c r="L220" s="47">
        <v>4.99</v>
      </c>
      <c r="M220" s="32"/>
    </row>
    <row r="221" spans="1:13" ht="35" customHeight="1">
      <c r="A221" s="23">
        <f>ROW()-3</f>
        <v>218</v>
      </c>
      <c r="B221" s="42" t="s">
        <v>2732</v>
      </c>
      <c r="C221" s="42" t="s">
        <v>3079</v>
      </c>
      <c r="D221" s="43" t="s">
        <v>3210</v>
      </c>
      <c r="E221" s="43" t="s">
        <v>3083</v>
      </c>
      <c r="F221" s="43" t="s">
        <v>830</v>
      </c>
      <c r="G221" s="42" t="s">
        <v>34</v>
      </c>
      <c r="H221" s="42">
        <v>4</v>
      </c>
      <c r="I221" s="49">
        <v>2</v>
      </c>
      <c r="J221" s="45">
        <v>44032</v>
      </c>
      <c r="K221" s="46" t="s">
        <v>20</v>
      </c>
      <c r="L221" s="47">
        <v>4.99</v>
      </c>
      <c r="M221" s="32"/>
    </row>
    <row r="222" spans="1:13" ht="35" customHeight="1">
      <c r="A222" s="23">
        <f>ROW()-3</f>
        <v>219</v>
      </c>
      <c r="B222" s="42" t="s">
        <v>5170</v>
      </c>
      <c r="C222" s="42" t="s">
        <v>5187</v>
      </c>
      <c r="D222" s="43" t="s">
        <v>5186</v>
      </c>
      <c r="E222" s="43" t="s">
        <v>5189</v>
      </c>
      <c r="F222" s="43" t="s">
        <v>5190</v>
      </c>
      <c r="G222" s="42" t="s">
        <v>3253</v>
      </c>
      <c r="H222" s="42">
        <v>3</v>
      </c>
      <c r="I222" s="44">
        <v>1.1819444444444445</v>
      </c>
      <c r="J222" s="45">
        <v>44032</v>
      </c>
      <c r="K222" s="46" t="s">
        <v>20</v>
      </c>
      <c r="L222" s="48"/>
    </row>
    <row r="223" spans="1:13" ht="35" customHeight="1">
      <c r="A223" s="23">
        <f>ROW()-3</f>
        <v>220</v>
      </c>
      <c r="B223" s="42" t="s">
        <v>2732</v>
      </c>
      <c r="C223" s="42" t="s">
        <v>3079</v>
      </c>
      <c r="D223" s="43" t="s">
        <v>3211</v>
      </c>
      <c r="E223" s="43" t="s">
        <v>3083</v>
      </c>
      <c r="F223" s="43" t="s">
        <v>2745</v>
      </c>
      <c r="G223" s="42" t="s">
        <v>34</v>
      </c>
      <c r="H223" s="42">
        <v>3</v>
      </c>
      <c r="I223" s="49">
        <v>1.23</v>
      </c>
      <c r="J223" s="45">
        <v>44039</v>
      </c>
      <c r="K223" s="46" t="s">
        <v>20</v>
      </c>
      <c r="L223" s="47">
        <v>4.99</v>
      </c>
      <c r="M223" s="32"/>
    </row>
    <row r="224" spans="1:13" ht="35" customHeight="1">
      <c r="A224" s="23">
        <f>ROW()-3</f>
        <v>221</v>
      </c>
      <c r="B224" s="42" t="s">
        <v>2732</v>
      </c>
      <c r="C224" s="42" t="s">
        <v>3079</v>
      </c>
      <c r="D224" s="43" t="s">
        <v>3212</v>
      </c>
      <c r="E224" s="43" t="s">
        <v>3083</v>
      </c>
      <c r="F224" s="43" t="s">
        <v>830</v>
      </c>
      <c r="G224" s="42" t="s">
        <v>34</v>
      </c>
      <c r="H224" s="42">
        <v>6</v>
      </c>
      <c r="I224" s="49">
        <v>2.44</v>
      </c>
      <c r="J224" s="45">
        <v>44046</v>
      </c>
      <c r="K224" s="46" t="s">
        <v>20</v>
      </c>
      <c r="L224" s="47">
        <v>4.99</v>
      </c>
      <c r="M224" s="32"/>
    </row>
    <row r="225" spans="1:14" ht="35" customHeight="1">
      <c r="A225" s="23">
        <f>ROW()-3</f>
        <v>222</v>
      </c>
      <c r="B225" s="42" t="s">
        <v>2732</v>
      </c>
      <c r="C225" s="42" t="s">
        <v>3079</v>
      </c>
      <c r="D225" s="43" t="s">
        <v>3213</v>
      </c>
      <c r="E225" s="43" t="s">
        <v>3083</v>
      </c>
      <c r="F225" s="43" t="s">
        <v>830</v>
      </c>
      <c r="G225" s="42" t="s">
        <v>34</v>
      </c>
      <c r="H225" s="42">
        <v>2</v>
      </c>
      <c r="I225" s="49">
        <v>0.82</v>
      </c>
      <c r="J225" s="45">
        <v>44046</v>
      </c>
      <c r="K225" s="46" t="s">
        <v>20</v>
      </c>
      <c r="L225" s="47">
        <v>4.99</v>
      </c>
      <c r="M225" s="32"/>
    </row>
    <row r="226" spans="1:14" ht="35" customHeight="1">
      <c r="A226" s="23">
        <f>ROW()-3</f>
        <v>223</v>
      </c>
      <c r="B226" s="42" t="s">
        <v>2732</v>
      </c>
      <c r="C226" s="42" t="s">
        <v>3079</v>
      </c>
      <c r="D226" s="43" t="s">
        <v>3113</v>
      </c>
      <c r="E226" s="43" t="s">
        <v>3083</v>
      </c>
      <c r="F226" s="43" t="s">
        <v>830</v>
      </c>
      <c r="G226" s="42" t="s">
        <v>34</v>
      </c>
      <c r="H226" s="42">
        <v>3</v>
      </c>
      <c r="I226" s="49">
        <v>1.2</v>
      </c>
      <c r="J226" s="45">
        <v>44053</v>
      </c>
      <c r="K226" s="46" t="s">
        <v>20</v>
      </c>
      <c r="L226" s="47">
        <v>4.99</v>
      </c>
      <c r="M226" s="32"/>
    </row>
    <row r="227" spans="1:14" ht="35" customHeight="1">
      <c r="A227" s="23">
        <f>ROW()-3</f>
        <v>224</v>
      </c>
      <c r="B227" s="42" t="s">
        <v>2732</v>
      </c>
      <c r="C227" s="42" t="s">
        <v>3079</v>
      </c>
      <c r="D227" s="43" t="s">
        <v>3095</v>
      </c>
      <c r="E227" s="43" t="s">
        <v>3083</v>
      </c>
      <c r="F227" s="43" t="s">
        <v>830</v>
      </c>
      <c r="G227" s="42" t="s">
        <v>34</v>
      </c>
      <c r="H227" s="42">
        <v>3</v>
      </c>
      <c r="I227" s="49">
        <v>1.2</v>
      </c>
      <c r="J227" s="45">
        <v>44060</v>
      </c>
      <c r="K227" s="46" t="s">
        <v>20</v>
      </c>
      <c r="L227" s="47">
        <v>4.99</v>
      </c>
      <c r="M227" s="32"/>
    </row>
    <row r="228" spans="1:14" ht="35" customHeight="1">
      <c r="A228" s="23">
        <f>ROW()-3</f>
        <v>225</v>
      </c>
      <c r="B228" s="42" t="s">
        <v>2732</v>
      </c>
      <c r="C228" s="42" t="s">
        <v>3079</v>
      </c>
      <c r="D228" s="43" t="s">
        <v>3225</v>
      </c>
      <c r="E228" s="43" t="s">
        <v>3083</v>
      </c>
      <c r="F228" s="43" t="s">
        <v>830</v>
      </c>
      <c r="G228" s="42" t="s">
        <v>34</v>
      </c>
      <c r="H228" s="42">
        <v>3</v>
      </c>
      <c r="I228" s="49">
        <v>1.2</v>
      </c>
      <c r="J228" s="45">
        <v>44060</v>
      </c>
      <c r="K228" s="46" t="s">
        <v>20</v>
      </c>
      <c r="L228" s="47">
        <v>4.99</v>
      </c>
      <c r="M228" s="32"/>
    </row>
    <row r="229" spans="1:14" ht="35" customHeight="1">
      <c r="A229" s="23">
        <f>ROW()-3</f>
        <v>226</v>
      </c>
      <c r="B229" s="42" t="s">
        <v>2732</v>
      </c>
      <c r="C229" s="42" t="s">
        <v>3079</v>
      </c>
      <c r="D229" s="43" t="s">
        <v>3082</v>
      </c>
      <c r="E229" s="43" t="s">
        <v>3083</v>
      </c>
      <c r="F229" s="43" t="s">
        <v>830</v>
      </c>
      <c r="G229" s="42" t="s">
        <v>34</v>
      </c>
      <c r="H229" s="42">
        <v>3</v>
      </c>
      <c r="I229" s="44">
        <v>1.3</v>
      </c>
      <c r="J229" s="45">
        <v>44067</v>
      </c>
      <c r="K229" s="46" t="s">
        <v>20</v>
      </c>
      <c r="L229" s="47">
        <v>4.99</v>
      </c>
      <c r="M229" s="32"/>
    </row>
    <row r="230" spans="1:14" ht="35" customHeight="1">
      <c r="A230" s="23">
        <f>ROW()-3</f>
        <v>227</v>
      </c>
      <c r="B230" s="42" t="s">
        <v>2732</v>
      </c>
      <c r="C230" s="42" t="s">
        <v>3079</v>
      </c>
      <c r="D230" s="43" t="s">
        <v>3214</v>
      </c>
      <c r="E230" s="43" t="s">
        <v>3083</v>
      </c>
      <c r="F230" s="43" t="s">
        <v>830</v>
      </c>
      <c r="G230" s="42" t="s">
        <v>34</v>
      </c>
      <c r="H230" s="42">
        <v>4</v>
      </c>
      <c r="I230" s="49">
        <v>2.66</v>
      </c>
      <c r="J230" s="45">
        <v>44067</v>
      </c>
      <c r="K230" s="46" t="s">
        <v>20</v>
      </c>
      <c r="L230" s="47">
        <v>4.99</v>
      </c>
      <c r="M230" s="32"/>
    </row>
    <row r="231" spans="1:14" ht="35" customHeight="1">
      <c r="A231" s="23">
        <f>ROW()-3</f>
        <v>228</v>
      </c>
      <c r="B231" s="42" t="s">
        <v>2732</v>
      </c>
      <c r="C231" s="42" t="s">
        <v>3079</v>
      </c>
      <c r="D231" s="43" t="s">
        <v>3215</v>
      </c>
      <c r="E231" s="43" t="s">
        <v>3216</v>
      </c>
      <c r="F231" s="43" t="s">
        <v>2745</v>
      </c>
      <c r="G231" s="42" t="s">
        <v>34</v>
      </c>
      <c r="H231" s="42">
        <v>3</v>
      </c>
      <c r="I231" s="49">
        <v>1.2</v>
      </c>
      <c r="J231" s="45">
        <v>44067</v>
      </c>
      <c r="K231" s="46" t="s">
        <v>20</v>
      </c>
      <c r="L231" s="47">
        <v>4.99</v>
      </c>
      <c r="M231" s="32"/>
    </row>
    <row r="232" spans="1:14" ht="35" customHeight="1">
      <c r="A232" s="23">
        <f>ROW()-3</f>
        <v>229</v>
      </c>
      <c r="B232" s="42" t="s">
        <v>2732</v>
      </c>
      <c r="C232" s="42" t="s">
        <v>3079</v>
      </c>
      <c r="D232" s="43" t="s">
        <v>3223</v>
      </c>
      <c r="E232" s="43" t="s">
        <v>3083</v>
      </c>
      <c r="F232" s="43" t="s">
        <v>830</v>
      </c>
      <c r="G232" s="42" t="s">
        <v>34</v>
      </c>
      <c r="H232" s="42">
        <v>3</v>
      </c>
      <c r="I232" s="49">
        <v>1.22</v>
      </c>
      <c r="J232" s="45">
        <v>44067</v>
      </c>
      <c r="K232" s="46" t="s">
        <v>20</v>
      </c>
      <c r="L232" s="47">
        <v>4.99</v>
      </c>
      <c r="M232" s="32"/>
    </row>
    <row r="233" spans="1:14" ht="35" customHeight="1">
      <c r="A233" s="23">
        <f>ROW()-3</f>
        <v>230</v>
      </c>
      <c r="B233" s="42" t="s">
        <v>2732</v>
      </c>
      <c r="C233" s="42" t="s">
        <v>3079</v>
      </c>
      <c r="D233" s="43" t="s">
        <v>3224</v>
      </c>
      <c r="E233" s="43" t="s">
        <v>3083</v>
      </c>
      <c r="F233" s="43" t="s">
        <v>830</v>
      </c>
      <c r="G233" s="42" t="s">
        <v>34</v>
      </c>
      <c r="H233" s="42">
        <v>3</v>
      </c>
      <c r="I233" s="49">
        <v>1.23</v>
      </c>
      <c r="J233" s="45">
        <v>44067</v>
      </c>
      <c r="K233" s="46" t="s">
        <v>20</v>
      </c>
      <c r="L233" s="47">
        <v>4.99</v>
      </c>
      <c r="M233" s="32"/>
    </row>
    <row r="234" spans="1:14" ht="35" customHeight="1">
      <c r="A234" s="23">
        <f>ROW()-3</f>
        <v>231</v>
      </c>
      <c r="B234" s="42" t="s">
        <v>2732</v>
      </c>
      <c r="C234" s="42" t="s">
        <v>3079</v>
      </c>
      <c r="D234" s="43" t="s">
        <v>3226</v>
      </c>
      <c r="E234" s="43" t="s">
        <v>3227</v>
      </c>
      <c r="F234" s="43" t="s">
        <v>830</v>
      </c>
      <c r="G234" s="42" t="s">
        <v>34</v>
      </c>
      <c r="H234" s="42">
        <v>3</v>
      </c>
      <c r="I234" s="49">
        <v>1.3</v>
      </c>
      <c r="J234" s="45">
        <v>44074</v>
      </c>
      <c r="K234" s="46" t="s">
        <v>20</v>
      </c>
      <c r="L234" s="47">
        <v>5.99</v>
      </c>
      <c r="M234" s="32"/>
    </row>
    <row r="235" spans="1:14" ht="35" customHeight="1">
      <c r="A235" s="23">
        <f>ROW()-3</f>
        <v>232</v>
      </c>
      <c r="B235" s="42" t="s">
        <v>2732</v>
      </c>
      <c r="C235" s="42" t="s">
        <v>3079</v>
      </c>
      <c r="D235" s="43" t="s">
        <v>3228</v>
      </c>
      <c r="E235" s="43" t="s">
        <v>3083</v>
      </c>
      <c r="F235" s="43" t="s">
        <v>830</v>
      </c>
      <c r="G235" s="42" t="s">
        <v>34</v>
      </c>
      <c r="H235" s="42">
        <v>3</v>
      </c>
      <c r="I235" s="49">
        <v>1.2</v>
      </c>
      <c r="J235" s="45">
        <v>44081</v>
      </c>
      <c r="K235" s="46" t="s">
        <v>20</v>
      </c>
      <c r="L235" s="47">
        <v>4.99</v>
      </c>
      <c r="M235" s="32"/>
    </row>
    <row r="236" spans="1:14" ht="35" customHeight="1">
      <c r="A236" s="23">
        <f>ROW()-3</f>
        <v>233</v>
      </c>
      <c r="B236" s="42" t="s">
        <v>2732</v>
      </c>
      <c r="C236" s="42" t="s">
        <v>3079</v>
      </c>
      <c r="D236" s="43" t="s">
        <v>3230</v>
      </c>
      <c r="E236" s="43" t="s">
        <v>3231</v>
      </c>
      <c r="F236" s="43" t="s">
        <v>830</v>
      </c>
      <c r="G236" s="42" t="s">
        <v>34</v>
      </c>
      <c r="H236" s="42">
        <v>3</v>
      </c>
      <c r="I236" s="44">
        <v>1.5</v>
      </c>
      <c r="J236" s="45">
        <v>44088</v>
      </c>
      <c r="K236" s="46" t="s">
        <v>20</v>
      </c>
      <c r="L236" s="47">
        <v>4.99</v>
      </c>
      <c r="M236" s="32"/>
    </row>
    <row r="237" spans="1:14" ht="35" customHeight="1">
      <c r="A237" s="23">
        <f>ROW()-3</f>
        <v>234</v>
      </c>
      <c r="B237" s="42" t="s">
        <v>2732</v>
      </c>
      <c r="C237" s="42" t="s">
        <v>3079</v>
      </c>
      <c r="D237" s="43" t="s">
        <v>3232</v>
      </c>
      <c r="E237" s="43" t="s">
        <v>3083</v>
      </c>
      <c r="F237" s="43" t="s">
        <v>830</v>
      </c>
      <c r="G237" s="42" t="s">
        <v>34</v>
      </c>
      <c r="H237" s="42">
        <v>3</v>
      </c>
      <c r="I237" s="44">
        <v>1.5</v>
      </c>
      <c r="J237" s="45">
        <v>44088</v>
      </c>
      <c r="K237" s="46" t="s">
        <v>20</v>
      </c>
      <c r="L237" s="47">
        <v>4.99</v>
      </c>
      <c r="M237" s="32"/>
    </row>
    <row r="238" spans="1:14" ht="35" customHeight="1">
      <c r="A238" s="23">
        <f>ROW()-3</f>
        <v>235</v>
      </c>
      <c r="B238" s="42" t="s">
        <v>2732</v>
      </c>
      <c r="C238" s="42" t="s">
        <v>3079</v>
      </c>
      <c r="D238" s="43" t="s">
        <v>3233</v>
      </c>
      <c r="E238" s="43" t="s">
        <v>3234</v>
      </c>
      <c r="F238" s="43" t="s">
        <v>2739</v>
      </c>
      <c r="G238" s="42" t="s">
        <v>34</v>
      </c>
      <c r="H238" s="42">
        <v>1</v>
      </c>
      <c r="I238" s="44">
        <v>0.49</v>
      </c>
      <c r="J238" s="45">
        <v>44095</v>
      </c>
      <c r="K238" s="46" t="s">
        <v>20</v>
      </c>
      <c r="L238" s="47">
        <v>4.99</v>
      </c>
      <c r="M238" s="32"/>
    </row>
    <row r="239" spans="1:14" ht="35" customHeight="1">
      <c r="A239" s="23">
        <f>ROW()-3</f>
        <v>236</v>
      </c>
      <c r="B239" s="42" t="s">
        <v>2732</v>
      </c>
      <c r="C239" s="42" t="s">
        <v>3079</v>
      </c>
      <c r="D239" s="43" t="s">
        <v>3235</v>
      </c>
      <c r="E239" s="43" t="s">
        <v>3236</v>
      </c>
      <c r="F239" s="43" t="s">
        <v>2742</v>
      </c>
      <c r="G239" s="42" t="s">
        <v>34</v>
      </c>
      <c r="H239" s="42">
        <v>1</v>
      </c>
      <c r="I239" s="44">
        <v>0.47</v>
      </c>
      <c r="J239" s="45">
        <v>44095</v>
      </c>
      <c r="K239" s="46" t="s">
        <v>20</v>
      </c>
      <c r="L239" s="47">
        <v>4.99</v>
      </c>
      <c r="M239" s="32"/>
    </row>
    <row r="240" spans="1:14" ht="35" customHeight="1">
      <c r="A240" s="23">
        <f>ROW()-3</f>
        <v>237</v>
      </c>
      <c r="B240" s="42" t="s">
        <v>2732</v>
      </c>
      <c r="C240" s="42" t="s">
        <v>3079</v>
      </c>
      <c r="D240" s="43" t="s">
        <v>3237</v>
      </c>
      <c r="E240" s="43" t="s">
        <v>3238</v>
      </c>
      <c r="F240" s="43" t="s">
        <v>3239</v>
      </c>
      <c r="G240" s="42" t="s">
        <v>34</v>
      </c>
      <c r="H240" s="42">
        <v>1</v>
      </c>
      <c r="I240" s="49">
        <v>0.43</v>
      </c>
      <c r="J240" s="45">
        <v>44102</v>
      </c>
      <c r="K240" s="46" t="s">
        <v>20</v>
      </c>
      <c r="L240" s="48">
        <v>4.99</v>
      </c>
      <c r="M240" s="32"/>
      <c r="N240" s="32"/>
    </row>
    <row r="241" spans="1:291" ht="35" customHeight="1">
      <c r="A241" s="23">
        <f>ROW()-3</f>
        <v>238</v>
      </c>
      <c r="B241" s="42" t="s">
        <v>2732</v>
      </c>
      <c r="C241" s="42" t="s">
        <v>3079</v>
      </c>
      <c r="D241" s="43" t="s">
        <v>3217</v>
      </c>
      <c r="E241" s="43" t="s">
        <v>3218</v>
      </c>
      <c r="F241" s="43" t="s">
        <v>3219</v>
      </c>
      <c r="G241" s="42" t="s">
        <v>34</v>
      </c>
      <c r="H241" s="42">
        <v>1</v>
      </c>
      <c r="I241" s="49">
        <v>0.33</v>
      </c>
      <c r="J241" s="45">
        <v>44116</v>
      </c>
      <c r="K241" s="46" t="s">
        <v>20</v>
      </c>
      <c r="L241" s="47">
        <v>4.99</v>
      </c>
      <c r="M241" s="32"/>
    </row>
    <row r="242" spans="1:291" ht="35" customHeight="1">
      <c r="A242" s="23">
        <f>ROW()-3</f>
        <v>239</v>
      </c>
      <c r="B242" s="42" t="s">
        <v>2732</v>
      </c>
      <c r="C242" s="42" t="s">
        <v>3079</v>
      </c>
      <c r="D242" s="43" t="s">
        <v>3220</v>
      </c>
      <c r="E242" s="43" t="s">
        <v>3221</v>
      </c>
      <c r="F242" s="43" t="s">
        <v>3222</v>
      </c>
      <c r="G242" s="42" t="s">
        <v>34</v>
      </c>
      <c r="H242" s="42">
        <v>1</v>
      </c>
      <c r="I242" s="49">
        <v>0.47</v>
      </c>
      <c r="J242" s="45">
        <v>44116</v>
      </c>
      <c r="K242" s="46" t="s">
        <v>20</v>
      </c>
      <c r="L242" s="47">
        <v>4.99</v>
      </c>
      <c r="M242" s="32"/>
    </row>
    <row r="243" spans="1:291" customFormat="1" ht="35" customHeight="1">
      <c r="A243" s="23">
        <f>ROW()-3</f>
        <v>240</v>
      </c>
      <c r="B243" s="42" t="s">
        <v>2732</v>
      </c>
      <c r="C243" s="42" t="s">
        <v>3079</v>
      </c>
      <c r="D243" s="43" t="s">
        <v>3084</v>
      </c>
      <c r="E243" s="43" t="s">
        <v>3085</v>
      </c>
      <c r="F243" s="43" t="s">
        <v>3086</v>
      </c>
      <c r="G243" s="42" t="s">
        <v>34</v>
      </c>
      <c r="H243" s="42">
        <v>1</v>
      </c>
      <c r="I243" s="44">
        <v>0.33472222222222198</v>
      </c>
      <c r="J243" s="45">
        <v>44151</v>
      </c>
      <c r="K243" s="46" t="s">
        <v>20</v>
      </c>
      <c r="L243" s="47">
        <v>4.99</v>
      </c>
      <c r="M243" s="32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  <c r="FS243" s="30"/>
      <c r="FT243" s="30"/>
      <c r="FU243" s="30"/>
      <c r="FV243" s="30"/>
      <c r="FW243" s="30"/>
      <c r="FX243" s="30"/>
      <c r="FY243" s="30"/>
      <c r="FZ243" s="30"/>
      <c r="GA243" s="30"/>
      <c r="GB243" s="30"/>
      <c r="GC243" s="30"/>
      <c r="GD243" s="30"/>
      <c r="GE243" s="30"/>
      <c r="GF243" s="30"/>
      <c r="GG243" s="30"/>
      <c r="GH243" s="30"/>
      <c r="GI243" s="30"/>
      <c r="GJ243" s="30"/>
      <c r="GK243" s="30"/>
      <c r="GL243" s="30"/>
      <c r="GM243" s="30"/>
      <c r="GN243" s="30"/>
      <c r="GO243" s="30"/>
      <c r="GP243" s="30"/>
      <c r="GQ243" s="30"/>
      <c r="GR243" s="30"/>
      <c r="GS243" s="30"/>
      <c r="GT243" s="30"/>
      <c r="GU243" s="30"/>
      <c r="GV243" s="30"/>
      <c r="GW243" s="30"/>
      <c r="GX243" s="30"/>
      <c r="GY243" s="30"/>
      <c r="GZ243" s="30"/>
      <c r="HA243" s="30"/>
      <c r="HB243" s="30"/>
      <c r="HC243" s="30"/>
      <c r="HD243" s="30"/>
      <c r="HE243" s="30"/>
      <c r="HF243" s="30"/>
      <c r="HG243" s="30"/>
      <c r="HH243" s="30"/>
      <c r="HI243" s="30"/>
      <c r="HJ243" s="30"/>
      <c r="HK243" s="30"/>
      <c r="HL243" s="30"/>
      <c r="HM243" s="30"/>
      <c r="HN243" s="30"/>
      <c r="HO243" s="30"/>
      <c r="HP243" s="30"/>
      <c r="HQ243" s="30"/>
      <c r="HR243" s="30"/>
      <c r="HS243" s="30"/>
      <c r="HT243" s="30"/>
      <c r="HU243" s="30"/>
      <c r="HV243" s="30"/>
      <c r="HW243" s="30"/>
      <c r="HX243" s="30"/>
      <c r="HY243" s="30"/>
      <c r="HZ243" s="30"/>
      <c r="IA243" s="30"/>
      <c r="IB243" s="30"/>
      <c r="IC243" s="30"/>
      <c r="ID243" s="30"/>
      <c r="IE243" s="30"/>
      <c r="IF243" s="30"/>
      <c r="IG243" s="30"/>
      <c r="IH243" s="30"/>
      <c r="II243" s="30"/>
      <c r="IJ243" s="30"/>
      <c r="IK243" s="30"/>
      <c r="IL243" s="30"/>
      <c r="IM243" s="30"/>
      <c r="IN243" s="30"/>
      <c r="IO243" s="30"/>
      <c r="IP243" s="30"/>
      <c r="IQ243" s="30"/>
      <c r="IR243" s="30"/>
      <c r="IS243" s="30"/>
      <c r="IT243" s="30"/>
      <c r="IU243" s="30"/>
      <c r="IV243" s="30"/>
      <c r="IW243" s="30"/>
      <c r="IX243" s="30"/>
      <c r="IY243" s="30"/>
      <c r="IZ243" s="30"/>
      <c r="JA243" s="30"/>
      <c r="JB243" s="30"/>
      <c r="JC243" s="30"/>
      <c r="JD243" s="30"/>
      <c r="JE243" s="30"/>
      <c r="JF243" s="30"/>
      <c r="JG243" s="30"/>
      <c r="JH243" s="30"/>
      <c r="JI243" s="30"/>
      <c r="JJ243" s="30"/>
      <c r="JK243" s="30"/>
      <c r="JL243" s="30"/>
      <c r="JM243" s="30"/>
      <c r="JN243" s="30"/>
      <c r="JO243" s="30"/>
      <c r="JP243" s="30"/>
      <c r="JQ243" s="30"/>
      <c r="JR243" s="30"/>
      <c r="JS243" s="30"/>
      <c r="JT243" s="30"/>
      <c r="JU243" s="30"/>
      <c r="JV243" s="30"/>
      <c r="JW243" s="30"/>
      <c r="JX243" s="30"/>
      <c r="JY243" s="30"/>
      <c r="JZ243" s="30"/>
      <c r="KA243" s="30"/>
      <c r="KB243" s="30"/>
      <c r="KC243" s="30"/>
      <c r="KD243" s="30"/>
      <c r="KE243" s="30"/>
    </row>
    <row r="244" spans="1:291" customFormat="1" ht="35" customHeight="1">
      <c r="A244" s="23">
        <f>ROW()-3</f>
        <v>241</v>
      </c>
      <c r="B244" s="42" t="s">
        <v>2732</v>
      </c>
      <c r="C244" s="42" t="s">
        <v>3079</v>
      </c>
      <c r="D244" s="43" t="s">
        <v>3080</v>
      </c>
      <c r="E244" s="43" t="s">
        <v>3081</v>
      </c>
      <c r="F244" s="43" t="s">
        <v>2919</v>
      </c>
      <c r="G244" s="42" t="s">
        <v>34</v>
      </c>
      <c r="H244" s="42">
        <v>1</v>
      </c>
      <c r="I244" s="44">
        <v>0.74</v>
      </c>
      <c r="J244" s="45">
        <v>44158</v>
      </c>
      <c r="K244" s="46" t="s">
        <v>20</v>
      </c>
      <c r="L244" s="47">
        <v>4.99</v>
      </c>
      <c r="M244" s="32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  <c r="FS244" s="30"/>
      <c r="FT244" s="30"/>
      <c r="FU244" s="30"/>
      <c r="FV244" s="30"/>
      <c r="FW244" s="30"/>
      <c r="FX244" s="30"/>
      <c r="FY244" s="30"/>
      <c r="FZ244" s="30"/>
      <c r="GA244" s="30"/>
      <c r="GB244" s="30"/>
      <c r="GC244" s="30"/>
      <c r="GD244" s="30"/>
      <c r="GE244" s="30"/>
      <c r="GF244" s="30"/>
      <c r="GG244" s="30"/>
      <c r="GH244" s="30"/>
      <c r="GI244" s="30"/>
      <c r="GJ244" s="30"/>
      <c r="GK244" s="30"/>
      <c r="GL244" s="30"/>
      <c r="GM244" s="30"/>
      <c r="GN244" s="30"/>
      <c r="GO244" s="30"/>
      <c r="GP244" s="30"/>
      <c r="GQ244" s="30"/>
      <c r="GR244" s="30"/>
      <c r="GS244" s="30"/>
      <c r="GT244" s="30"/>
      <c r="GU244" s="30"/>
      <c r="GV244" s="30"/>
      <c r="GW244" s="30"/>
      <c r="GX244" s="30"/>
      <c r="GY244" s="30"/>
      <c r="GZ244" s="30"/>
      <c r="HA244" s="30"/>
      <c r="HB244" s="30"/>
      <c r="HC244" s="30"/>
      <c r="HD244" s="30"/>
      <c r="HE244" s="30"/>
      <c r="HF244" s="30"/>
      <c r="HG244" s="30"/>
      <c r="HH244" s="30"/>
      <c r="HI244" s="30"/>
      <c r="HJ244" s="30"/>
      <c r="HK244" s="30"/>
      <c r="HL244" s="30"/>
      <c r="HM244" s="30"/>
      <c r="HN244" s="30"/>
      <c r="HO244" s="30"/>
      <c r="HP244" s="30"/>
      <c r="HQ244" s="30"/>
      <c r="HR244" s="30"/>
      <c r="HS244" s="30"/>
      <c r="HT244" s="30"/>
      <c r="HU244" s="30"/>
      <c r="HV244" s="30"/>
      <c r="HW244" s="30"/>
      <c r="HX244" s="30"/>
      <c r="HY244" s="30"/>
      <c r="HZ244" s="30"/>
      <c r="IA244" s="30"/>
      <c r="IB244" s="30"/>
      <c r="IC244" s="30"/>
      <c r="ID244" s="30"/>
      <c r="IE244" s="30"/>
      <c r="IF244" s="30"/>
      <c r="IG244" s="30"/>
      <c r="IH244" s="30"/>
      <c r="II244" s="30"/>
      <c r="IJ244" s="30"/>
      <c r="IK244" s="30"/>
      <c r="IL244" s="30"/>
      <c r="IM244" s="30"/>
      <c r="IN244" s="30"/>
      <c r="IO244" s="30"/>
      <c r="IP244" s="30"/>
      <c r="IQ244" s="30"/>
      <c r="IR244" s="30"/>
      <c r="IS244" s="30"/>
      <c r="IT244" s="30"/>
      <c r="IU244" s="30"/>
      <c r="IV244" s="30"/>
      <c r="IW244" s="30"/>
      <c r="IX244" s="30"/>
      <c r="IY244" s="30"/>
      <c r="IZ244" s="30"/>
      <c r="JA244" s="30"/>
      <c r="JB244" s="30"/>
      <c r="JC244" s="30"/>
      <c r="JD244" s="30"/>
      <c r="JE244" s="30"/>
      <c r="JF244" s="30"/>
      <c r="JG244" s="30"/>
      <c r="JH244" s="30"/>
      <c r="JI244" s="30"/>
      <c r="JJ244" s="30"/>
      <c r="JK244" s="30"/>
      <c r="JL244" s="30"/>
      <c r="JM244" s="30"/>
      <c r="JN244" s="30"/>
      <c r="JO244" s="30"/>
      <c r="JP244" s="30"/>
      <c r="JQ244" s="30"/>
      <c r="JR244" s="30"/>
      <c r="JS244" s="30"/>
      <c r="JT244" s="30"/>
      <c r="JU244" s="30"/>
      <c r="JV244" s="30"/>
      <c r="JW244" s="30"/>
      <c r="JX244" s="30"/>
      <c r="JY244" s="30"/>
      <c r="JZ244" s="30"/>
      <c r="KA244" s="30"/>
      <c r="KB244" s="30"/>
      <c r="KC244" s="30"/>
      <c r="KD244" s="30"/>
      <c r="KE244" s="30"/>
    </row>
    <row r="245" spans="1:291" customFormat="1" ht="35" customHeight="1">
      <c r="A245" s="23">
        <f>ROW()-3</f>
        <v>242</v>
      </c>
      <c r="B245" s="42" t="s">
        <v>2732</v>
      </c>
      <c r="C245" s="42" t="s">
        <v>3079</v>
      </c>
      <c r="D245" s="43" t="s">
        <v>3094</v>
      </c>
      <c r="E245" s="43" t="s">
        <v>822</v>
      </c>
      <c r="F245" s="43" t="s">
        <v>2742</v>
      </c>
      <c r="G245" s="42" t="s">
        <v>34</v>
      </c>
      <c r="H245" s="42">
        <v>1</v>
      </c>
      <c r="I245" s="44">
        <v>0.5</v>
      </c>
      <c r="J245" s="45">
        <v>44162</v>
      </c>
      <c r="K245" s="46" t="s">
        <v>20</v>
      </c>
      <c r="L245" s="47">
        <v>4.99</v>
      </c>
      <c r="M245" s="32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  <c r="FS245" s="30"/>
      <c r="FT245" s="30"/>
      <c r="FU245" s="30"/>
      <c r="FV245" s="30"/>
      <c r="FW245" s="30"/>
      <c r="FX245" s="30"/>
      <c r="FY245" s="30"/>
      <c r="FZ245" s="30"/>
      <c r="GA245" s="30"/>
      <c r="GB245" s="30"/>
      <c r="GC245" s="30"/>
      <c r="GD245" s="30"/>
      <c r="GE245" s="30"/>
      <c r="GF245" s="30"/>
      <c r="GG245" s="30"/>
      <c r="GH245" s="30"/>
      <c r="GI245" s="30"/>
      <c r="GJ245" s="30"/>
      <c r="GK245" s="30"/>
      <c r="GL245" s="30"/>
      <c r="GM245" s="30"/>
      <c r="GN245" s="30"/>
      <c r="GO245" s="30"/>
      <c r="GP245" s="30"/>
      <c r="GQ245" s="30"/>
      <c r="GR245" s="30"/>
      <c r="GS245" s="30"/>
      <c r="GT245" s="30"/>
      <c r="GU245" s="30"/>
      <c r="GV245" s="30"/>
      <c r="GW245" s="30"/>
      <c r="GX245" s="30"/>
      <c r="GY245" s="30"/>
      <c r="GZ245" s="30"/>
      <c r="HA245" s="30"/>
      <c r="HB245" s="30"/>
      <c r="HC245" s="30"/>
      <c r="HD245" s="30"/>
      <c r="HE245" s="30"/>
      <c r="HF245" s="30"/>
      <c r="HG245" s="30"/>
      <c r="HH245" s="30"/>
      <c r="HI245" s="30"/>
      <c r="HJ245" s="30"/>
      <c r="HK245" s="30"/>
      <c r="HL245" s="30"/>
      <c r="HM245" s="30"/>
      <c r="HN245" s="30"/>
      <c r="HO245" s="30"/>
      <c r="HP245" s="30"/>
      <c r="HQ245" s="30"/>
      <c r="HR245" s="30"/>
      <c r="HS245" s="30"/>
      <c r="HT245" s="30"/>
      <c r="HU245" s="30"/>
      <c r="HV245" s="30"/>
      <c r="HW245" s="30"/>
      <c r="HX245" s="30"/>
      <c r="HY245" s="30"/>
      <c r="HZ245" s="30"/>
      <c r="IA245" s="30"/>
      <c r="IB245" s="30"/>
      <c r="IC245" s="30"/>
      <c r="ID245" s="30"/>
      <c r="IE245" s="30"/>
      <c r="IF245" s="30"/>
      <c r="IG245" s="30"/>
      <c r="IH245" s="30"/>
      <c r="II245" s="30"/>
      <c r="IJ245" s="30"/>
      <c r="IK245" s="30"/>
      <c r="IL245" s="30"/>
      <c r="IM245" s="30"/>
      <c r="IN245" s="30"/>
      <c r="IO245" s="30"/>
      <c r="IP245" s="30"/>
      <c r="IQ245" s="30"/>
      <c r="IR245" s="30"/>
      <c r="IS245" s="30"/>
      <c r="IT245" s="30"/>
      <c r="IU245" s="30"/>
      <c r="IV245" s="30"/>
      <c r="IW245" s="30"/>
      <c r="IX245" s="30"/>
      <c r="IY245" s="30"/>
      <c r="IZ245" s="30"/>
      <c r="JA245" s="30"/>
      <c r="JB245" s="30"/>
      <c r="JC245" s="30"/>
      <c r="JD245" s="30"/>
      <c r="JE245" s="30"/>
      <c r="JF245" s="30"/>
      <c r="JG245" s="30"/>
      <c r="JH245" s="30"/>
      <c r="JI245" s="30"/>
      <c r="JJ245" s="30"/>
      <c r="JK245" s="30"/>
      <c r="JL245" s="30"/>
      <c r="JM245" s="30"/>
      <c r="JN245" s="30"/>
      <c r="JO245" s="30"/>
      <c r="JP245" s="30"/>
      <c r="JQ245" s="30"/>
      <c r="JR245" s="30"/>
      <c r="JS245" s="30"/>
      <c r="JT245" s="30"/>
      <c r="JU245" s="30"/>
      <c r="JV245" s="30"/>
      <c r="JW245" s="30"/>
      <c r="JX245" s="30"/>
      <c r="JY245" s="30"/>
      <c r="JZ245" s="30"/>
      <c r="KA245" s="30"/>
      <c r="KB245" s="30"/>
      <c r="KC245" s="30"/>
      <c r="KD245" s="30"/>
      <c r="KE245" s="30"/>
    </row>
    <row r="246" spans="1:291" customFormat="1" ht="35" customHeight="1">
      <c r="A246" s="23">
        <f>ROW()-3</f>
        <v>243</v>
      </c>
      <c r="B246" s="42" t="s">
        <v>2732</v>
      </c>
      <c r="C246" s="43" t="s">
        <v>3079</v>
      </c>
      <c r="D246" s="43" t="s">
        <v>3240</v>
      </c>
      <c r="E246" s="43" t="s">
        <v>3241</v>
      </c>
      <c r="F246" s="43" t="s">
        <v>3242</v>
      </c>
      <c r="G246" s="43" t="s">
        <v>34</v>
      </c>
      <c r="H246" s="43">
        <v>1</v>
      </c>
      <c r="I246" s="43">
        <v>0.4</v>
      </c>
      <c r="J246" s="50">
        <v>44214</v>
      </c>
      <c r="K246" s="51" t="s">
        <v>20</v>
      </c>
      <c r="L246" s="47">
        <v>4.99</v>
      </c>
      <c r="M246" s="32"/>
      <c r="N246" s="3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2"/>
      <c r="AS246" s="52"/>
      <c r="AT246" s="52"/>
      <c r="AU246" s="52"/>
      <c r="AV246" s="52"/>
      <c r="AW246" s="52"/>
      <c r="AX246" s="52"/>
      <c r="AY246" s="52"/>
      <c r="AZ246" s="52"/>
      <c r="BA246" s="52"/>
      <c r="BB246" s="52"/>
      <c r="BC246" s="52"/>
      <c r="BD246" s="52"/>
      <c r="BE246" s="52"/>
      <c r="BF246" s="52"/>
      <c r="BG246" s="52"/>
      <c r="BH246" s="52"/>
      <c r="BI246" s="52"/>
      <c r="BJ246" s="52"/>
      <c r="BK246" s="52"/>
      <c r="BL246" s="52"/>
      <c r="BM246" s="52"/>
      <c r="BN246" s="52"/>
      <c r="BO246" s="52"/>
      <c r="BP246" s="52"/>
      <c r="BQ246" s="52"/>
      <c r="BR246" s="52"/>
      <c r="BS246" s="52"/>
      <c r="BT246" s="52"/>
      <c r="BU246" s="52"/>
      <c r="BV246" s="52"/>
      <c r="BW246" s="52"/>
      <c r="BX246" s="52"/>
      <c r="BY246" s="52"/>
      <c r="BZ246" s="52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/>
      <c r="CP246" s="52"/>
      <c r="CQ246" s="52"/>
      <c r="CR246" s="52"/>
      <c r="CS246" s="52"/>
      <c r="CT246" s="52"/>
      <c r="CU246" s="52"/>
      <c r="CV246" s="52"/>
      <c r="CW246" s="52"/>
      <c r="CX246" s="52"/>
      <c r="CY246" s="52"/>
      <c r="CZ246" s="52"/>
      <c r="DA246" s="52"/>
      <c r="DB246" s="52"/>
      <c r="DC246" s="52"/>
      <c r="DD246" s="52"/>
      <c r="DE246" s="52"/>
      <c r="DF246" s="52"/>
      <c r="DG246" s="52"/>
      <c r="DH246" s="52"/>
      <c r="DI246" s="52"/>
      <c r="DJ246" s="52"/>
      <c r="DK246" s="52"/>
      <c r="DL246" s="52"/>
      <c r="DM246" s="52"/>
      <c r="DN246" s="52"/>
      <c r="DO246" s="52"/>
      <c r="DP246" s="52"/>
      <c r="DQ246" s="52"/>
      <c r="DR246" s="52"/>
      <c r="DS246" s="52"/>
      <c r="DT246" s="52"/>
      <c r="DU246" s="52"/>
      <c r="DV246" s="52"/>
      <c r="DW246" s="52"/>
      <c r="DX246" s="52"/>
      <c r="DY246" s="52"/>
      <c r="DZ246" s="52"/>
      <c r="EA246" s="52"/>
      <c r="EB246" s="52"/>
      <c r="EC246" s="52"/>
      <c r="ED246" s="52"/>
      <c r="EE246" s="52"/>
      <c r="EF246" s="52"/>
      <c r="EG246" s="52"/>
      <c r="EH246" s="52"/>
      <c r="EI246" s="52"/>
      <c r="EJ246" s="52"/>
      <c r="EK246" s="52"/>
      <c r="EL246" s="52"/>
      <c r="EM246" s="52"/>
      <c r="EN246" s="52"/>
      <c r="EO246" s="52"/>
      <c r="EP246" s="52"/>
      <c r="EQ246" s="52"/>
      <c r="ER246" s="52"/>
      <c r="ES246" s="52"/>
      <c r="ET246" s="52"/>
      <c r="EU246" s="52"/>
      <c r="EV246" s="52"/>
      <c r="EW246" s="52"/>
      <c r="EX246" s="52"/>
      <c r="EY246" s="52"/>
      <c r="EZ246" s="52"/>
      <c r="FA246" s="52"/>
      <c r="FB246" s="52"/>
      <c r="FC246" s="52"/>
      <c r="FD246" s="52"/>
      <c r="FE246" s="52"/>
      <c r="FF246" s="52"/>
      <c r="FG246" s="52"/>
      <c r="FH246" s="52"/>
      <c r="FI246" s="52"/>
      <c r="FJ246" s="52"/>
      <c r="FK246" s="52"/>
      <c r="FL246" s="52"/>
      <c r="FM246" s="52"/>
      <c r="FN246" s="52"/>
      <c r="FO246" s="52"/>
      <c r="FP246" s="52"/>
      <c r="FQ246" s="52"/>
      <c r="FR246" s="52"/>
      <c r="FS246" s="52"/>
      <c r="FT246" s="52"/>
      <c r="FU246" s="52"/>
      <c r="FV246" s="52"/>
      <c r="FW246" s="52"/>
      <c r="FX246" s="52"/>
      <c r="FY246" s="52"/>
      <c r="FZ246" s="52"/>
      <c r="GA246" s="52"/>
      <c r="GB246" s="52"/>
      <c r="GC246" s="52"/>
      <c r="GD246" s="52"/>
      <c r="GE246" s="52"/>
      <c r="GF246" s="52"/>
      <c r="GG246" s="52"/>
      <c r="GH246" s="52"/>
      <c r="GI246" s="52"/>
      <c r="GJ246" s="52"/>
      <c r="GK246" s="52"/>
      <c r="GL246" s="52"/>
      <c r="GM246" s="52"/>
      <c r="GN246" s="52"/>
      <c r="GO246" s="52"/>
      <c r="GP246" s="52"/>
      <c r="GQ246" s="52"/>
      <c r="GR246" s="52"/>
      <c r="GS246" s="52"/>
      <c r="GT246" s="52"/>
      <c r="GU246" s="52"/>
      <c r="GV246" s="52"/>
      <c r="GW246" s="52"/>
      <c r="GX246" s="52"/>
      <c r="GY246" s="52"/>
      <c r="GZ246" s="52"/>
      <c r="HA246" s="52"/>
      <c r="HB246" s="52"/>
      <c r="HC246" s="52"/>
      <c r="HD246" s="52"/>
      <c r="HE246" s="52"/>
      <c r="HF246" s="52"/>
      <c r="HG246" s="52"/>
      <c r="HH246" s="52"/>
      <c r="HI246" s="52"/>
      <c r="HJ246" s="52"/>
      <c r="HK246" s="52"/>
      <c r="HL246" s="52"/>
      <c r="HM246" s="52"/>
      <c r="HN246" s="52"/>
      <c r="HO246" s="52"/>
      <c r="HP246" s="52"/>
      <c r="HQ246" s="52"/>
      <c r="HR246" s="52"/>
      <c r="HS246" s="52"/>
      <c r="HT246" s="52"/>
      <c r="HU246" s="52"/>
      <c r="HV246" s="52"/>
      <c r="HW246" s="52"/>
      <c r="HX246" s="52"/>
      <c r="HY246" s="52"/>
      <c r="HZ246" s="52"/>
      <c r="IA246" s="52"/>
      <c r="IB246" s="52"/>
      <c r="IC246" s="52"/>
      <c r="ID246" s="52"/>
      <c r="IE246" s="52"/>
      <c r="IF246" s="52"/>
      <c r="IG246" s="52"/>
      <c r="IH246" s="52"/>
      <c r="II246" s="52"/>
      <c r="IJ246" s="52"/>
      <c r="IK246" s="52"/>
      <c r="IL246" s="52"/>
      <c r="IM246" s="52"/>
      <c r="IN246" s="52"/>
      <c r="IO246" s="52"/>
      <c r="IP246" s="52"/>
      <c r="IQ246" s="52"/>
      <c r="IR246" s="52"/>
      <c r="IS246" s="52"/>
      <c r="IT246" s="52"/>
      <c r="IU246" s="52"/>
      <c r="IV246" s="52"/>
      <c r="IW246" s="52"/>
      <c r="IX246" s="52"/>
      <c r="IY246" s="52"/>
      <c r="IZ246" s="52"/>
      <c r="JA246" s="52"/>
      <c r="JB246" s="52"/>
      <c r="JC246" s="52"/>
      <c r="JD246" s="52"/>
      <c r="JE246" s="52"/>
      <c r="JF246" s="52"/>
      <c r="JG246" s="52"/>
      <c r="JH246" s="52"/>
      <c r="JI246" s="52"/>
      <c r="JJ246" s="52"/>
      <c r="JK246" s="52"/>
      <c r="JL246" s="52"/>
      <c r="JM246" s="52"/>
      <c r="JN246" s="52"/>
      <c r="JO246" s="52"/>
      <c r="JP246" s="52"/>
      <c r="JQ246" s="52"/>
      <c r="JR246" s="52"/>
      <c r="JS246" s="52"/>
      <c r="JT246" s="52"/>
      <c r="JU246" s="52"/>
      <c r="JV246" s="52"/>
      <c r="JW246" s="52"/>
      <c r="JX246" s="52"/>
      <c r="JY246" s="52"/>
      <c r="JZ246" s="52"/>
      <c r="KA246" s="52"/>
      <c r="KB246" s="52"/>
      <c r="KC246" s="52"/>
      <c r="KD246" s="52"/>
      <c r="KE246" s="52"/>
    </row>
    <row r="247" spans="1:291" customFormat="1" ht="35" customHeight="1">
      <c r="A247" s="23">
        <f>ROW()-3</f>
        <v>244</v>
      </c>
      <c r="B247" s="42" t="s">
        <v>2732</v>
      </c>
      <c r="C247" s="43" t="s">
        <v>3079</v>
      </c>
      <c r="D247" s="43" t="s">
        <v>3243</v>
      </c>
      <c r="E247" s="43" t="s">
        <v>3244</v>
      </c>
      <c r="F247" s="43" t="s">
        <v>3173</v>
      </c>
      <c r="G247" s="43" t="s">
        <v>34</v>
      </c>
      <c r="H247" s="43">
        <v>1</v>
      </c>
      <c r="I247" s="43">
        <v>0.5</v>
      </c>
      <c r="J247" s="50">
        <v>44354</v>
      </c>
      <c r="K247" s="51" t="s">
        <v>20</v>
      </c>
      <c r="L247" s="47">
        <v>4.99</v>
      </c>
      <c r="M247" s="32"/>
      <c r="N247" s="3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52"/>
      <c r="AQ247" s="52"/>
      <c r="AR247" s="52"/>
      <c r="AS247" s="52"/>
      <c r="AT247" s="52"/>
      <c r="AU247" s="52"/>
      <c r="AV247" s="52"/>
      <c r="AW247" s="52"/>
      <c r="AX247" s="52"/>
      <c r="AY247" s="52"/>
      <c r="AZ247" s="52"/>
      <c r="BA247" s="52"/>
      <c r="BB247" s="52"/>
      <c r="BC247" s="52"/>
      <c r="BD247" s="52"/>
      <c r="BE247" s="52"/>
      <c r="BF247" s="52"/>
      <c r="BG247" s="52"/>
      <c r="BH247" s="52"/>
      <c r="BI247" s="52"/>
      <c r="BJ247" s="52"/>
      <c r="BK247" s="52"/>
      <c r="BL247" s="52"/>
      <c r="BM247" s="52"/>
      <c r="BN247" s="52"/>
      <c r="BO247" s="52"/>
      <c r="BP247" s="52"/>
      <c r="BQ247" s="52"/>
      <c r="BR247" s="52"/>
      <c r="BS247" s="52"/>
      <c r="BT247" s="52"/>
      <c r="BU247" s="52"/>
      <c r="BV247" s="52"/>
      <c r="BW247" s="52"/>
      <c r="BX247" s="52"/>
      <c r="BY247" s="52"/>
      <c r="BZ247" s="52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52"/>
      <c r="CU247" s="52"/>
      <c r="CV247" s="52"/>
      <c r="CW247" s="52"/>
      <c r="CX247" s="52"/>
      <c r="CY247" s="52"/>
      <c r="CZ247" s="52"/>
      <c r="DA247" s="52"/>
      <c r="DB247" s="52"/>
      <c r="DC247" s="52"/>
      <c r="DD247" s="52"/>
      <c r="DE247" s="52"/>
      <c r="DF247" s="52"/>
      <c r="DG247" s="52"/>
      <c r="DH247" s="52"/>
      <c r="DI247" s="52"/>
      <c r="DJ247" s="52"/>
      <c r="DK247" s="52"/>
      <c r="DL247" s="52"/>
      <c r="DM247" s="52"/>
      <c r="DN247" s="52"/>
      <c r="DO247" s="52"/>
      <c r="DP247" s="52"/>
      <c r="DQ247" s="52"/>
      <c r="DR247" s="52"/>
      <c r="DS247" s="52"/>
      <c r="DT247" s="52"/>
      <c r="DU247" s="52"/>
      <c r="DV247" s="52"/>
      <c r="DW247" s="52"/>
      <c r="DX247" s="52"/>
      <c r="DY247" s="52"/>
      <c r="DZ247" s="52"/>
      <c r="EA247" s="52"/>
      <c r="EB247" s="52"/>
      <c r="EC247" s="52"/>
      <c r="ED247" s="52"/>
      <c r="EE247" s="52"/>
      <c r="EF247" s="52"/>
      <c r="EG247" s="52"/>
      <c r="EH247" s="52"/>
      <c r="EI247" s="52"/>
      <c r="EJ247" s="52"/>
      <c r="EK247" s="52"/>
      <c r="EL247" s="52"/>
      <c r="EM247" s="52"/>
      <c r="EN247" s="52"/>
      <c r="EO247" s="52"/>
      <c r="EP247" s="52"/>
      <c r="EQ247" s="52"/>
      <c r="ER247" s="52"/>
      <c r="ES247" s="52"/>
      <c r="ET247" s="52"/>
      <c r="EU247" s="52"/>
      <c r="EV247" s="52"/>
      <c r="EW247" s="52"/>
      <c r="EX247" s="52"/>
      <c r="EY247" s="52"/>
      <c r="EZ247" s="52"/>
      <c r="FA247" s="52"/>
      <c r="FB247" s="52"/>
      <c r="FC247" s="52"/>
      <c r="FD247" s="52"/>
      <c r="FE247" s="52"/>
      <c r="FF247" s="52"/>
      <c r="FG247" s="52"/>
      <c r="FH247" s="52"/>
      <c r="FI247" s="52"/>
      <c r="FJ247" s="52"/>
      <c r="FK247" s="52"/>
      <c r="FL247" s="52"/>
      <c r="FM247" s="52"/>
      <c r="FN247" s="52"/>
      <c r="FO247" s="52"/>
      <c r="FP247" s="52"/>
      <c r="FQ247" s="52"/>
      <c r="FR247" s="52"/>
      <c r="FS247" s="52"/>
      <c r="FT247" s="52"/>
      <c r="FU247" s="52"/>
      <c r="FV247" s="52"/>
      <c r="FW247" s="52"/>
      <c r="FX247" s="52"/>
      <c r="FY247" s="52"/>
      <c r="FZ247" s="52"/>
      <c r="GA247" s="52"/>
      <c r="GB247" s="52"/>
      <c r="GC247" s="52"/>
      <c r="GD247" s="52"/>
      <c r="GE247" s="52"/>
      <c r="GF247" s="52"/>
      <c r="GG247" s="52"/>
      <c r="GH247" s="52"/>
      <c r="GI247" s="52"/>
      <c r="GJ247" s="52"/>
      <c r="GK247" s="52"/>
      <c r="GL247" s="52"/>
      <c r="GM247" s="52"/>
      <c r="GN247" s="52"/>
      <c r="GO247" s="52"/>
      <c r="GP247" s="52"/>
      <c r="GQ247" s="52"/>
      <c r="GR247" s="52"/>
      <c r="GS247" s="52"/>
      <c r="GT247" s="52"/>
      <c r="GU247" s="52"/>
      <c r="GV247" s="52"/>
      <c r="GW247" s="52"/>
      <c r="GX247" s="52"/>
      <c r="GY247" s="52"/>
      <c r="GZ247" s="52"/>
      <c r="HA247" s="52"/>
      <c r="HB247" s="52"/>
      <c r="HC247" s="52"/>
      <c r="HD247" s="52"/>
      <c r="HE247" s="52"/>
      <c r="HF247" s="52"/>
      <c r="HG247" s="52"/>
      <c r="HH247" s="52"/>
      <c r="HI247" s="52"/>
      <c r="HJ247" s="52"/>
      <c r="HK247" s="52"/>
      <c r="HL247" s="52"/>
      <c r="HM247" s="52"/>
      <c r="HN247" s="52"/>
      <c r="HO247" s="52"/>
      <c r="HP247" s="52"/>
      <c r="HQ247" s="52"/>
      <c r="HR247" s="52"/>
      <c r="HS247" s="52"/>
      <c r="HT247" s="52"/>
      <c r="HU247" s="52"/>
      <c r="HV247" s="52"/>
      <c r="HW247" s="52"/>
      <c r="HX247" s="52"/>
      <c r="HY247" s="52"/>
      <c r="HZ247" s="52"/>
      <c r="IA247" s="52"/>
      <c r="IB247" s="52"/>
      <c r="IC247" s="52"/>
      <c r="ID247" s="52"/>
      <c r="IE247" s="52"/>
      <c r="IF247" s="52"/>
      <c r="IG247" s="52"/>
      <c r="IH247" s="52"/>
      <c r="II247" s="52"/>
      <c r="IJ247" s="52"/>
      <c r="IK247" s="52"/>
      <c r="IL247" s="52"/>
      <c r="IM247" s="52"/>
      <c r="IN247" s="52"/>
      <c r="IO247" s="52"/>
      <c r="IP247" s="52"/>
      <c r="IQ247" s="52"/>
      <c r="IR247" s="52"/>
      <c r="IS247" s="52"/>
      <c r="IT247" s="52"/>
      <c r="IU247" s="52"/>
      <c r="IV247" s="52"/>
      <c r="IW247" s="52"/>
      <c r="IX247" s="52"/>
      <c r="IY247" s="52"/>
      <c r="IZ247" s="52"/>
      <c r="JA247" s="52"/>
      <c r="JB247" s="52"/>
      <c r="JC247" s="52"/>
      <c r="JD247" s="52"/>
      <c r="JE247" s="52"/>
      <c r="JF247" s="52"/>
      <c r="JG247" s="52"/>
      <c r="JH247" s="52"/>
      <c r="JI247" s="52"/>
      <c r="JJ247" s="52"/>
      <c r="JK247" s="52"/>
      <c r="JL247" s="52"/>
      <c r="JM247" s="52"/>
      <c r="JN247" s="52"/>
      <c r="JO247" s="52"/>
      <c r="JP247" s="52"/>
      <c r="JQ247" s="52"/>
      <c r="JR247" s="52"/>
      <c r="JS247" s="52"/>
      <c r="JT247" s="52"/>
      <c r="JU247" s="52"/>
      <c r="JV247" s="52"/>
      <c r="JW247" s="52"/>
      <c r="JX247" s="52"/>
      <c r="JY247" s="52"/>
      <c r="JZ247" s="52"/>
      <c r="KA247" s="52"/>
      <c r="KB247" s="52"/>
      <c r="KC247" s="52"/>
      <c r="KD247" s="52"/>
      <c r="KE247" s="52"/>
    </row>
    <row r="248" spans="1:291" customFormat="1" ht="35" customHeight="1">
      <c r="A248" s="23">
        <f>ROW()-3</f>
        <v>245</v>
      </c>
      <c r="B248" s="42" t="s">
        <v>2732</v>
      </c>
      <c r="C248" s="43" t="s">
        <v>3079</v>
      </c>
      <c r="D248" s="43" t="s">
        <v>3245</v>
      </c>
      <c r="E248" s="43" t="s">
        <v>3246</v>
      </c>
      <c r="F248" s="43" t="s">
        <v>2840</v>
      </c>
      <c r="G248" s="43" t="s">
        <v>34</v>
      </c>
      <c r="H248" s="43">
        <v>1</v>
      </c>
      <c r="I248" s="43">
        <v>0.5</v>
      </c>
      <c r="J248" s="50">
        <v>44375</v>
      </c>
      <c r="K248" s="51" t="s">
        <v>20</v>
      </c>
      <c r="L248" s="47">
        <v>4.99</v>
      </c>
      <c r="M248" s="32"/>
      <c r="N248" s="3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52"/>
      <c r="AQ248" s="52"/>
      <c r="AR248" s="52"/>
      <c r="AS248" s="52"/>
      <c r="AT248" s="52"/>
      <c r="AU248" s="52"/>
      <c r="AV248" s="52"/>
      <c r="AW248" s="52"/>
      <c r="AX248" s="52"/>
      <c r="AY248" s="52"/>
      <c r="AZ248" s="52"/>
      <c r="BA248" s="52"/>
      <c r="BB248" s="52"/>
      <c r="BC248" s="52"/>
      <c r="BD248" s="52"/>
      <c r="BE248" s="52"/>
      <c r="BF248" s="52"/>
      <c r="BG248" s="52"/>
      <c r="BH248" s="52"/>
      <c r="BI248" s="52"/>
      <c r="BJ248" s="52"/>
      <c r="BK248" s="52"/>
      <c r="BL248" s="52"/>
      <c r="BM248" s="52"/>
      <c r="BN248" s="52"/>
      <c r="BO248" s="52"/>
      <c r="BP248" s="52"/>
      <c r="BQ248" s="52"/>
      <c r="BR248" s="52"/>
      <c r="BS248" s="52"/>
      <c r="BT248" s="52"/>
      <c r="BU248" s="52"/>
      <c r="BV248" s="52"/>
      <c r="BW248" s="52"/>
      <c r="BX248" s="52"/>
      <c r="BY248" s="52"/>
      <c r="BZ248" s="52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  <c r="CK248" s="52"/>
      <c r="CL248" s="52"/>
      <c r="CM248" s="52"/>
      <c r="CN248" s="52"/>
      <c r="CO248" s="52"/>
      <c r="CP248" s="52"/>
      <c r="CQ248" s="52"/>
      <c r="CR248" s="52"/>
      <c r="CS248" s="52"/>
      <c r="CT248" s="52"/>
      <c r="CU248" s="52"/>
      <c r="CV248" s="52"/>
      <c r="CW248" s="52"/>
      <c r="CX248" s="52"/>
      <c r="CY248" s="52"/>
      <c r="CZ248" s="52"/>
      <c r="DA248" s="52"/>
      <c r="DB248" s="52"/>
      <c r="DC248" s="52"/>
      <c r="DD248" s="52"/>
      <c r="DE248" s="52"/>
      <c r="DF248" s="52"/>
      <c r="DG248" s="52"/>
      <c r="DH248" s="52"/>
      <c r="DI248" s="52"/>
      <c r="DJ248" s="52"/>
      <c r="DK248" s="52"/>
      <c r="DL248" s="52"/>
      <c r="DM248" s="52"/>
      <c r="DN248" s="52"/>
      <c r="DO248" s="52"/>
      <c r="DP248" s="52"/>
      <c r="DQ248" s="52"/>
      <c r="DR248" s="52"/>
      <c r="DS248" s="52"/>
      <c r="DT248" s="52"/>
      <c r="DU248" s="52"/>
      <c r="DV248" s="52"/>
      <c r="DW248" s="52"/>
      <c r="DX248" s="52"/>
      <c r="DY248" s="52"/>
      <c r="DZ248" s="52"/>
      <c r="EA248" s="52"/>
      <c r="EB248" s="52"/>
      <c r="EC248" s="52"/>
      <c r="ED248" s="52"/>
      <c r="EE248" s="52"/>
      <c r="EF248" s="52"/>
      <c r="EG248" s="52"/>
      <c r="EH248" s="52"/>
      <c r="EI248" s="52"/>
      <c r="EJ248" s="52"/>
      <c r="EK248" s="52"/>
      <c r="EL248" s="52"/>
      <c r="EM248" s="52"/>
      <c r="EN248" s="52"/>
      <c r="EO248" s="52"/>
      <c r="EP248" s="52"/>
      <c r="EQ248" s="52"/>
      <c r="ER248" s="52"/>
      <c r="ES248" s="52"/>
      <c r="ET248" s="52"/>
      <c r="EU248" s="52"/>
      <c r="EV248" s="52"/>
      <c r="EW248" s="52"/>
      <c r="EX248" s="52"/>
      <c r="EY248" s="52"/>
      <c r="EZ248" s="52"/>
      <c r="FA248" s="52"/>
      <c r="FB248" s="52"/>
      <c r="FC248" s="52"/>
      <c r="FD248" s="52"/>
      <c r="FE248" s="52"/>
      <c r="FF248" s="52"/>
      <c r="FG248" s="52"/>
      <c r="FH248" s="52"/>
      <c r="FI248" s="52"/>
      <c r="FJ248" s="52"/>
      <c r="FK248" s="52"/>
      <c r="FL248" s="52"/>
      <c r="FM248" s="52"/>
      <c r="FN248" s="52"/>
      <c r="FO248" s="52"/>
      <c r="FP248" s="52"/>
      <c r="FQ248" s="52"/>
      <c r="FR248" s="52"/>
      <c r="FS248" s="52"/>
      <c r="FT248" s="52"/>
      <c r="FU248" s="52"/>
      <c r="FV248" s="52"/>
      <c r="FW248" s="52"/>
      <c r="FX248" s="52"/>
      <c r="FY248" s="52"/>
      <c r="FZ248" s="52"/>
      <c r="GA248" s="52"/>
      <c r="GB248" s="52"/>
      <c r="GC248" s="52"/>
      <c r="GD248" s="52"/>
      <c r="GE248" s="52"/>
      <c r="GF248" s="52"/>
      <c r="GG248" s="52"/>
      <c r="GH248" s="52"/>
      <c r="GI248" s="52"/>
      <c r="GJ248" s="52"/>
      <c r="GK248" s="52"/>
      <c r="GL248" s="52"/>
      <c r="GM248" s="52"/>
      <c r="GN248" s="52"/>
      <c r="GO248" s="52"/>
      <c r="GP248" s="52"/>
      <c r="GQ248" s="52"/>
      <c r="GR248" s="52"/>
      <c r="GS248" s="52"/>
      <c r="GT248" s="52"/>
      <c r="GU248" s="52"/>
      <c r="GV248" s="52"/>
      <c r="GW248" s="52"/>
      <c r="GX248" s="52"/>
      <c r="GY248" s="52"/>
      <c r="GZ248" s="52"/>
      <c r="HA248" s="52"/>
      <c r="HB248" s="52"/>
      <c r="HC248" s="52"/>
      <c r="HD248" s="52"/>
      <c r="HE248" s="52"/>
      <c r="HF248" s="52"/>
      <c r="HG248" s="52"/>
      <c r="HH248" s="52"/>
      <c r="HI248" s="52"/>
      <c r="HJ248" s="52"/>
      <c r="HK248" s="52"/>
      <c r="HL248" s="52"/>
      <c r="HM248" s="52"/>
      <c r="HN248" s="52"/>
      <c r="HO248" s="52"/>
      <c r="HP248" s="52"/>
      <c r="HQ248" s="52"/>
      <c r="HR248" s="52"/>
      <c r="HS248" s="52"/>
      <c r="HT248" s="52"/>
      <c r="HU248" s="52"/>
      <c r="HV248" s="52"/>
      <c r="HW248" s="52"/>
      <c r="HX248" s="52"/>
      <c r="HY248" s="52"/>
      <c r="HZ248" s="52"/>
      <c r="IA248" s="52"/>
      <c r="IB248" s="52"/>
      <c r="IC248" s="52"/>
      <c r="ID248" s="52"/>
      <c r="IE248" s="52"/>
      <c r="IF248" s="52"/>
      <c r="IG248" s="52"/>
      <c r="IH248" s="52"/>
      <c r="II248" s="52"/>
      <c r="IJ248" s="52"/>
      <c r="IK248" s="52"/>
      <c r="IL248" s="52"/>
      <c r="IM248" s="52"/>
      <c r="IN248" s="52"/>
      <c r="IO248" s="52"/>
      <c r="IP248" s="52"/>
      <c r="IQ248" s="52"/>
      <c r="IR248" s="52"/>
      <c r="IS248" s="52"/>
      <c r="IT248" s="52"/>
      <c r="IU248" s="52"/>
      <c r="IV248" s="52"/>
      <c r="IW248" s="52"/>
      <c r="IX248" s="52"/>
      <c r="IY248" s="52"/>
      <c r="IZ248" s="52"/>
      <c r="JA248" s="52"/>
      <c r="JB248" s="52"/>
      <c r="JC248" s="52"/>
      <c r="JD248" s="52"/>
      <c r="JE248" s="52"/>
      <c r="JF248" s="52"/>
      <c r="JG248" s="52"/>
      <c r="JH248" s="52"/>
      <c r="JI248" s="52"/>
      <c r="JJ248" s="52"/>
      <c r="JK248" s="52"/>
      <c r="JL248" s="52"/>
      <c r="JM248" s="52"/>
      <c r="JN248" s="52"/>
      <c r="JO248" s="52"/>
      <c r="JP248" s="52"/>
      <c r="JQ248" s="52"/>
      <c r="JR248" s="52"/>
      <c r="JS248" s="52"/>
      <c r="JT248" s="52"/>
      <c r="JU248" s="52"/>
      <c r="JV248" s="52"/>
      <c r="JW248" s="52"/>
      <c r="JX248" s="52"/>
      <c r="JY248" s="52"/>
      <c r="JZ248" s="52"/>
      <c r="KA248" s="52"/>
      <c r="KB248" s="52"/>
      <c r="KC248" s="52"/>
      <c r="KD248" s="52"/>
      <c r="KE248" s="52"/>
    </row>
    <row r="249" spans="1:291" customFormat="1" ht="35" customHeight="1">
      <c r="A249" s="23">
        <f>ROW()-3</f>
        <v>246</v>
      </c>
      <c r="B249" s="42" t="s">
        <v>2732</v>
      </c>
      <c r="C249" s="43" t="s">
        <v>3079</v>
      </c>
      <c r="D249" s="43" t="s">
        <v>3247</v>
      </c>
      <c r="E249" s="43" t="s">
        <v>3248</v>
      </c>
      <c r="F249" s="43" t="s">
        <v>3249</v>
      </c>
      <c r="G249" s="43" t="s">
        <v>34</v>
      </c>
      <c r="H249" s="43">
        <v>1</v>
      </c>
      <c r="I249" s="43">
        <v>0.5</v>
      </c>
      <c r="J249" s="50">
        <v>44396</v>
      </c>
      <c r="K249" s="51" t="s">
        <v>20</v>
      </c>
      <c r="L249" s="47">
        <v>4.99</v>
      </c>
      <c r="M249" s="25"/>
      <c r="N249" s="25"/>
    </row>
    <row r="250" spans="1:291" customFormat="1" ht="35" customHeight="1">
      <c r="A250" s="23">
        <f>ROW()-3</f>
        <v>247</v>
      </c>
      <c r="B250" s="42" t="s">
        <v>2732</v>
      </c>
      <c r="C250" s="43" t="s">
        <v>3079</v>
      </c>
      <c r="D250" s="43" t="s">
        <v>3259</v>
      </c>
      <c r="E250" s="43" t="s">
        <v>3260</v>
      </c>
      <c r="F250" s="43" t="s">
        <v>3012</v>
      </c>
      <c r="G250" s="43" t="s">
        <v>34</v>
      </c>
      <c r="H250" s="43">
        <v>1</v>
      </c>
      <c r="I250" s="43">
        <v>0.5</v>
      </c>
      <c r="J250" s="50">
        <v>44461</v>
      </c>
      <c r="K250" s="51" t="s">
        <v>20</v>
      </c>
      <c r="L250" s="47">
        <v>4.99</v>
      </c>
      <c r="M250" s="25"/>
      <c r="N250" s="25"/>
    </row>
    <row r="251" spans="1:291" customFormat="1" ht="35" customHeight="1">
      <c r="A251" s="23">
        <f>ROW()-3</f>
        <v>248</v>
      </c>
      <c r="B251" s="42" t="s">
        <v>2732</v>
      </c>
      <c r="C251" s="43" t="s">
        <v>3079</v>
      </c>
      <c r="D251" s="43" t="s">
        <v>3250</v>
      </c>
      <c r="E251" s="43" t="s">
        <v>3251</v>
      </c>
      <c r="F251" s="43" t="s">
        <v>3252</v>
      </c>
      <c r="G251" s="43" t="s">
        <v>3253</v>
      </c>
      <c r="H251" s="43">
        <v>1</v>
      </c>
      <c r="I251" s="43">
        <v>0.5</v>
      </c>
      <c r="J251" s="50">
        <v>44466</v>
      </c>
      <c r="K251" s="51" t="s">
        <v>20</v>
      </c>
      <c r="L251" s="47">
        <v>4.99</v>
      </c>
      <c r="M251" s="25"/>
      <c r="N251" s="25"/>
    </row>
    <row r="252" spans="1:291" ht="35" customHeight="1">
      <c r="A252" s="23">
        <f>ROW()-3</f>
        <v>249</v>
      </c>
      <c r="B252" s="42" t="s">
        <v>2732</v>
      </c>
      <c r="C252" s="43" t="s">
        <v>3079</v>
      </c>
      <c r="D252" s="43" t="s">
        <v>3254</v>
      </c>
      <c r="E252" s="43" t="s">
        <v>3255</v>
      </c>
      <c r="F252" s="43" t="s">
        <v>3252</v>
      </c>
      <c r="G252" s="43" t="s">
        <v>3253</v>
      </c>
      <c r="H252" s="43">
        <v>1</v>
      </c>
      <c r="I252" s="43">
        <v>0.5</v>
      </c>
      <c r="J252" s="50">
        <v>44494</v>
      </c>
      <c r="K252" s="51" t="s">
        <v>20</v>
      </c>
      <c r="L252" s="47">
        <v>4.99</v>
      </c>
      <c r="M252" s="25"/>
      <c r="N252" s="25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</row>
    <row r="253" spans="1:291" ht="35" customHeight="1">
      <c r="A253" s="23">
        <f>ROW()-3</f>
        <v>250</v>
      </c>
      <c r="B253" s="42" t="s">
        <v>2732</v>
      </c>
      <c r="C253" s="43" t="s">
        <v>3079</v>
      </c>
      <c r="D253" s="43" t="s">
        <v>3256</v>
      </c>
      <c r="E253" s="43" t="s">
        <v>3257</v>
      </c>
      <c r="F253" s="43" t="s">
        <v>3258</v>
      </c>
      <c r="G253" s="43" t="s">
        <v>3253</v>
      </c>
      <c r="H253" s="43">
        <v>1</v>
      </c>
      <c r="I253" s="43">
        <v>0.5</v>
      </c>
      <c r="J253" s="50">
        <v>44557</v>
      </c>
      <c r="K253" s="51" t="s">
        <v>20</v>
      </c>
      <c r="L253" s="47">
        <v>4.99</v>
      </c>
      <c r="M253" s="25"/>
      <c r="N253" s="25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</row>
    <row r="254" spans="1:291" ht="35" customHeight="1">
      <c r="A254" s="23">
        <f>ROW()-3</f>
        <v>251</v>
      </c>
      <c r="B254" s="42" t="s">
        <v>2732</v>
      </c>
      <c r="C254" s="43" t="s">
        <v>3079</v>
      </c>
      <c r="D254" s="43" t="s">
        <v>5151</v>
      </c>
      <c r="E254" s="43" t="s">
        <v>5152</v>
      </c>
      <c r="F254" s="43" t="s">
        <v>5153</v>
      </c>
      <c r="G254" s="43" t="s">
        <v>3253</v>
      </c>
      <c r="H254" s="43">
        <v>1</v>
      </c>
      <c r="I254" s="43">
        <v>0.5</v>
      </c>
      <c r="J254" s="50">
        <v>44585</v>
      </c>
      <c r="K254" s="51" t="s">
        <v>20</v>
      </c>
      <c r="L254" s="47">
        <v>4.99</v>
      </c>
      <c r="M254" s="25"/>
      <c r="N254" s="25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</row>
    <row r="255" spans="1:291" ht="35" customHeight="1">
      <c r="A255" s="23">
        <f>ROW()-3</f>
        <v>252</v>
      </c>
      <c r="B255" s="182" t="s">
        <v>5325</v>
      </c>
      <c r="C255" s="182" t="s">
        <v>5326</v>
      </c>
      <c r="D255" s="187" t="s">
        <v>5321</v>
      </c>
      <c r="E255" s="187" t="s">
        <v>5327</v>
      </c>
      <c r="F255" s="187" t="s">
        <v>5328</v>
      </c>
      <c r="G255" s="42" t="s">
        <v>3253</v>
      </c>
      <c r="H255" s="182">
        <v>1</v>
      </c>
      <c r="I255" s="206">
        <v>0.5</v>
      </c>
      <c r="J255" s="209">
        <v>44585</v>
      </c>
      <c r="K255" s="46" t="s">
        <v>20</v>
      </c>
      <c r="L255" s="202">
        <v>4.99</v>
      </c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  <c r="AO255" s="134"/>
      <c r="AP255" s="134"/>
      <c r="AQ255" s="134"/>
      <c r="AR255" s="134"/>
      <c r="AS255" s="134"/>
      <c r="AT255" s="134"/>
      <c r="AU255" s="134"/>
      <c r="AV255" s="134"/>
      <c r="AW255" s="134"/>
      <c r="AX255" s="134"/>
      <c r="AY255" s="134"/>
      <c r="AZ255" s="134"/>
      <c r="BA255" s="134"/>
      <c r="BB255" s="134"/>
      <c r="BC255" s="134"/>
      <c r="BD255" s="134"/>
      <c r="BE255" s="134"/>
      <c r="BF255" s="134"/>
      <c r="BG255" s="134"/>
      <c r="BH255" s="134"/>
      <c r="BI255" s="134"/>
      <c r="BJ255" s="134"/>
      <c r="BK255" s="134"/>
      <c r="BL255" s="134"/>
      <c r="BM255" s="134"/>
      <c r="BN255" s="134"/>
      <c r="BO255" s="134"/>
      <c r="BP255" s="134"/>
      <c r="BQ255" s="134"/>
      <c r="BR255" s="134"/>
      <c r="BS255" s="134"/>
      <c r="BT255" s="134"/>
      <c r="BU255" s="134"/>
      <c r="BV255" s="134"/>
      <c r="BW255" s="134"/>
      <c r="BX255" s="134"/>
      <c r="BY255" s="134"/>
      <c r="BZ255" s="134"/>
      <c r="CA255" s="134"/>
      <c r="CB255" s="134"/>
      <c r="CC255" s="134"/>
      <c r="CD255" s="134"/>
      <c r="CE255" s="134"/>
      <c r="CF255" s="134"/>
      <c r="CG255" s="134"/>
      <c r="CH255" s="134"/>
      <c r="CI255" s="134"/>
      <c r="CJ255" s="134"/>
      <c r="CK255" s="134"/>
      <c r="CL255" s="134"/>
      <c r="CM255" s="134"/>
      <c r="CN255" s="134"/>
      <c r="CO255" s="134"/>
      <c r="CP255" s="134"/>
      <c r="CQ255" s="134"/>
      <c r="CR255" s="134"/>
      <c r="CS255" s="134"/>
      <c r="CT255" s="134"/>
      <c r="CU255" s="134"/>
      <c r="CV255" s="134"/>
      <c r="CW255" s="134"/>
      <c r="CX255" s="134"/>
      <c r="CY255" s="134"/>
      <c r="CZ255" s="134"/>
      <c r="DA255" s="134"/>
      <c r="DB255" s="134"/>
      <c r="DC255" s="134"/>
      <c r="DD255" s="134"/>
      <c r="DE255" s="134"/>
      <c r="DF255" s="134"/>
      <c r="DG255" s="134"/>
      <c r="DH255" s="134"/>
      <c r="DI255" s="134"/>
      <c r="DJ255" s="134"/>
      <c r="DK255" s="134"/>
      <c r="DL255" s="134"/>
      <c r="DM255" s="134"/>
      <c r="DN255" s="134"/>
      <c r="DO255" s="134"/>
      <c r="DP255" s="134"/>
      <c r="DQ255" s="134"/>
      <c r="DR255" s="134"/>
      <c r="DS255" s="134"/>
      <c r="DT255" s="134"/>
      <c r="DU255" s="134"/>
      <c r="DV255" s="134"/>
      <c r="DW255" s="134"/>
      <c r="DX255" s="134"/>
      <c r="DY255" s="134"/>
      <c r="DZ255" s="134"/>
      <c r="EA255" s="134"/>
      <c r="EB255" s="134"/>
      <c r="EC255" s="134"/>
      <c r="ED255" s="134"/>
      <c r="EE255" s="134"/>
      <c r="EF255" s="134"/>
      <c r="EG255" s="134"/>
      <c r="EH255" s="134"/>
      <c r="EI255" s="134"/>
      <c r="EJ255" s="134"/>
      <c r="EK255" s="134"/>
      <c r="EL255" s="134"/>
      <c r="EM255" s="134"/>
      <c r="EN255" s="134"/>
      <c r="EO255" s="134"/>
      <c r="EP255" s="134"/>
      <c r="EQ255" s="134"/>
      <c r="ER255" s="134"/>
      <c r="ES255" s="134"/>
      <c r="ET255" s="134"/>
      <c r="EU255" s="134"/>
      <c r="EV255" s="134"/>
      <c r="EW255" s="134"/>
      <c r="EX255" s="134"/>
      <c r="EY255" s="134"/>
      <c r="EZ255" s="134"/>
      <c r="FA255" s="134"/>
      <c r="FB255" s="134"/>
      <c r="FC255" s="134"/>
      <c r="FD255" s="134"/>
      <c r="FE255" s="134"/>
      <c r="FF255" s="134"/>
      <c r="FG255" s="134"/>
      <c r="FH255" s="134"/>
      <c r="FI255" s="134"/>
      <c r="FJ255" s="134"/>
      <c r="FK255" s="134"/>
      <c r="FL255" s="134"/>
      <c r="FM255" s="134"/>
      <c r="FN255" s="134"/>
      <c r="FO255" s="134"/>
      <c r="FP255" s="134"/>
      <c r="FQ255" s="134"/>
      <c r="FR255" s="134"/>
      <c r="FS255" s="134"/>
      <c r="FT255" s="134"/>
      <c r="FU255" s="134"/>
      <c r="FV255" s="134"/>
      <c r="FW255" s="134"/>
      <c r="FX255" s="134"/>
      <c r="FY255" s="134"/>
      <c r="FZ255" s="134"/>
      <c r="GA255" s="134"/>
      <c r="GB255" s="134"/>
      <c r="GC255" s="134"/>
      <c r="GD255" s="134"/>
      <c r="GE255" s="134"/>
      <c r="GF255" s="134"/>
      <c r="GG255" s="134"/>
      <c r="GH255" s="134"/>
      <c r="GI255" s="134"/>
      <c r="GJ255" s="134"/>
      <c r="GK255" s="134"/>
      <c r="GL255" s="134"/>
      <c r="GM255" s="134"/>
      <c r="GN255" s="134"/>
      <c r="GO255" s="134"/>
      <c r="GP255" s="134"/>
      <c r="GQ255" s="134"/>
      <c r="GR255" s="134"/>
      <c r="GS255" s="134"/>
      <c r="GT255" s="134"/>
      <c r="GU255" s="134"/>
      <c r="GV255" s="134"/>
      <c r="GW255" s="134"/>
      <c r="GX255" s="134"/>
      <c r="GY255" s="134"/>
      <c r="GZ255" s="134"/>
      <c r="HA255" s="134"/>
      <c r="HB255" s="134"/>
      <c r="HC255" s="134"/>
      <c r="HD255" s="134"/>
      <c r="HE255" s="134"/>
      <c r="HF255" s="134"/>
      <c r="HG255" s="134"/>
      <c r="HH255" s="134"/>
      <c r="HI255" s="134"/>
      <c r="HJ255" s="134"/>
      <c r="HK255" s="134"/>
      <c r="HL255" s="134"/>
      <c r="HM255" s="134"/>
      <c r="HN255" s="134"/>
      <c r="HO255" s="134"/>
      <c r="HP255" s="134"/>
      <c r="HQ255" s="134"/>
      <c r="HR255" s="134"/>
      <c r="HS255" s="134"/>
      <c r="HT255" s="134"/>
      <c r="HU255" s="134"/>
      <c r="HV255" s="134"/>
      <c r="HW255" s="134"/>
      <c r="HX255" s="134"/>
      <c r="HY255" s="134"/>
      <c r="HZ255" s="134"/>
      <c r="IA255" s="134"/>
      <c r="IB255" s="134"/>
      <c r="IC255" s="134"/>
      <c r="ID255" s="134"/>
      <c r="IE255" s="134"/>
      <c r="IF255" s="134"/>
      <c r="IG255" s="134"/>
      <c r="IH255" s="134"/>
      <c r="II255" s="134"/>
      <c r="IJ255" s="134"/>
      <c r="IK255" s="134"/>
      <c r="IL255" s="134"/>
      <c r="IM255" s="134"/>
      <c r="IN255" s="134"/>
      <c r="IO255" s="134"/>
      <c r="IP255" s="134"/>
      <c r="IQ255" s="134"/>
      <c r="IR255" s="134"/>
      <c r="IS255" s="134"/>
      <c r="IT255" s="134"/>
      <c r="IU255" s="134"/>
      <c r="IV255" s="134"/>
      <c r="IW255" s="134"/>
      <c r="IX255" s="134"/>
      <c r="IY255" s="134"/>
      <c r="IZ255" s="134"/>
      <c r="JA255" s="134"/>
      <c r="JB255" s="134"/>
      <c r="JC255" s="134"/>
      <c r="JD255" s="134"/>
      <c r="JE255" s="134"/>
      <c r="JF255" s="134"/>
      <c r="JG255" s="134"/>
      <c r="JH255" s="134"/>
      <c r="JI255" s="134"/>
      <c r="JJ255" s="134"/>
      <c r="JK255" s="134"/>
      <c r="JL255" s="134"/>
      <c r="JM255" s="134"/>
      <c r="JN255" s="134"/>
      <c r="JO255" s="134"/>
      <c r="JP255" s="134"/>
      <c r="JQ255" s="134"/>
      <c r="JR255" s="134"/>
      <c r="JS255" s="134"/>
      <c r="JT255" s="134"/>
      <c r="JU255" s="134"/>
      <c r="JV255" s="134"/>
      <c r="JW255" s="134"/>
      <c r="JX255" s="134"/>
      <c r="JY255" s="134"/>
      <c r="JZ255" s="134"/>
      <c r="KA255" s="134"/>
      <c r="KB255" s="134"/>
      <c r="KC255" s="134"/>
      <c r="KD255" s="134"/>
      <c r="KE255" s="134"/>
    </row>
    <row r="256" spans="1:291" ht="35" customHeight="1">
      <c r="A256" s="23">
        <f>ROW()-3</f>
        <v>253</v>
      </c>
      <c r="B256" s="42" t="s">
        <v>2732</v>
      </c>
      <c r="C256" s="42" t="s">
        <v>3261</v>
      </c>
      <c r="D256" s="43" t="s">
        <v>3262</v>
      </c>
      <c r="E256" s="43" t="s">
        <v>3263</v>
      </c>
      <c r="F256" s="43" t="s">
        <v>3264</v>
      </c>
      <c r="G256" s="42" t="s">
        <v>34</v>
      </c>
      <c r="H256" s="42">
        <v>1</v>
      </c>
      <c r="I256" s="44">
        <v>0.35388888888888897</v>
      </c>
      <c r="J256" s="45">
        <v>44158</v>
      </c>
      <c r="K256" s="46" t="s">
        <v>20</v>
      </c>
      <c r="L256" s="47">
        <v>4.99</v>
      </c>
      <c r="M256" s="32"/>
      <c r="N256" s="32"/>
    </row>
    <row r="257" spans="1:13" ht="35" customHeight="1">
      <c r="A257" s="23">
        <f>ROW()-3</f>
        <v>254</v>
      </c>
      <c r="B257" s="42" t="s">
        <v>2732</v>
      </c>
      <c r="C257" s="42" t="s">
        <v>3265</v>
      </c>
      <c r="D257" s="43" t="s">
        <v>3269</v>
      </c>
      <c r="E257" s="43" t="s">
        <v>3270</v>
      </c>
      <c r="F257" s="43" t="s">
        <v>3268</v>
      </c>
      <c r="G257" s="42" t="s">
        <v>34</v>
      </c>
      <c r="H257" s="42">
        <v>1</v>
      </c>
      <c r="I257" s="44">
        <v>0.413333333333333</v>
      </c>
      <c r="J257" s="45">
        <v>43469</v>
      </c>
      <c r="K257" s="46" t="s">
        <v>20</v>
      </c>
      <c r="L257" s="47">
        <v>4.99</v>
      </c>
      <c r="M257" s="32"/>
    </row>
    <row r="258" spans="1:13" ht="35" customHeight="1">
      <c r="A258" s="23">
        <f>ROW()-3</f>
        <v>255</v>
      </c>
      <c r="B258" s="42" t="s">
        <v>2732</v>
      </c>
      <c r="C258" s="42" t="s">
        <v>3265</v>
      </c>
      <c r="D258" s="43" t="s">
        <v>3297</v>
      </c>
      <c r="E258" s="43" t="s">
        <v>512</v>
      </c>
      <c r="F258" s="43" t="s">
        <v>223</v>
      </c>
      <c r="G258" s="42" t="s">
        <v>34</v>
      </c>
      <c r="H258" s="42">
        <v>1</v>
      </c>
      <c r="I258" s="44">
        <v>0.40916666666666701</v>
      </c>
      <c r="J258" s="45">
        <v>43469</v>
      </c>
      <c r="K258" s="46" t="s">
        <v>20</v>
      </c>
      <c r="L258" s="47">
        <v>4.99</v>
      </c>
      <c r="M258" s="32"/>
    </row>
    <row r="259" spans="1:13" ht="35" customHeight="1">
      <c r="A259" s="23">
        <f>ROW()-3</f>
        <v>256</v>
      </c>
      <c r="B259" s="42" t="s">
        <v>2732</v>
      </c>
      <c r="C259" s="42" t="s">
        <v>3265</v>
      </c>
      <c r="D259" s="43" t="s">
        <v>3271</v>
      </c>
      <c r="E259" s="43" t="s">
        <v>3272</v>
      </c>
      <c r="F259" s="43" t="s">
        <v>3273</v>
      </c>
      <c r="G259" s="42" t="s">
        <v>34</v>
      </c>
      <c r="H259" s="42">
        <v>1</v>
      </c>
      <c r="I259" s="44">
        <v>0.38861111111111102</v>
      </c>
      <c r="J259" s="45">
        <v>43962</v>
      </c>
      <c r="K259" s="46" t="s">
        <v>20</v>
      </c>
      <c r="L259" s="47">
        <v>4.99</v>
      </c>
      <c r="M259" s="32"/>
    </row>
    <row r="260" spans="1:13" ht="35" customHeight="1">
      <c r="A260" s="23">
        <f>ROW()-3</f>
        <v>257</v>
      </c>
      <c r="B260" s="42" t="s">
        <v>2732</v>
      </c>
      <c r="C260" s="42" t="s">
        <v>3265</v>
      </c>
      <c r="D260" s="43" t="s">
        <v>3274</v>
      </c>
      <c r="E260" s="43" t="s">
        <v>3275</v>
      </c>
      <c r="F260" s="43" t="s">
        <v>3276</v>
      </c>
      <c r="G260" s="42" t="s">
        <v>34</v>
      </c>
      <c r="H260" s="42">
        <v>1</v>
      </c>
      <c r="I260" s="44">
        <v>0.41861111111111099</v>
      </c>
      <c r="J260" s="45">
        <v>43962</v>
      </c>
      <c r="K260" s="46" t="s">
        <v>20</v>
      </c>
      <c r="L260" s="47">
        <v>4.99</v>
      </c>
      <c r="M260" s="32"/>
    </row>
    <row r="261" spans="1:13" ht="35" customHeight="1">
      <c r="A261" s="23">
        <f>ROW()-3</f>
        <v>258</v>
      </c>
      <c r="B261" s="42" t="s">
        <v>2732</v>
      </c>
      <c r="C261" s="42" t="s">
        <v>3265</v>
      </c>
      <c r="D261" s="43" t="s">
        <v>3281</v>
      </c>
      <c r="E261" s="43" t="s">
        <v>3282</v>
      </c>
      <c r="F261" s="43" t="s">
        <v>3283</v>
      </c>
      <c r="G261" s="42" t="s">
        <v>34</v>
      </c>
      <c r="H261" s="42">
        <v>1</v>
      </c>
      <c r="I261" s="44">
        <v>0.49694444444444402</v>
      </c>
      <c r="J261" s="45">
        <v>43962</v>
      </c>
      <c r="K261" s="46" t="s">
        <v>20</v>
      </c>
      <c r="L261" s="47">
        <v>4.99</v>
      </c>
      <c r="M261" s="32"/>
    </row>
    <row r="262" spans="1:13" ht="35" customHeight="1">
      <c r="A262" s="23">
        <f>ROW()-3</f>
        <v>259</v>
      </c>
      <c r="B262" s="42" t="s">
        <v>2732</v>
      </c>
      <c r="C262" s="42" t="s">
        <v>3265</v>
      </c>
      <c r="D262" s="43" t="s">
        <v>3284</v>
      </c>
      <c r="E262" s="43" t="s">
        <v>3285</v>
      </c>
      <c r="F262" s="43" t="s">
        <v>3038</v>
      </c>
      <c r="G262" s="42" t="s">
        <v>34</v>
      </c>
      <c r="H262" s="42">
        <v>1</v>
      </c>
      <c r="I262" s="44">
        <v>0.43222222222222201</v>
      </c>
      <c r="J262" s="45">
        <v>43962</v>
      </c>
      <c r="K262" s="46" t="s">
        <v>20</v>
      </c>
      <c r="L262" s="47">
        <v>4.99</v>
      </c>
      <c r="M262" s="32"/>
    </row>
    <row r="263" spans="1:13" ht="35" customHeight="1">
      <c r="A263" s="23">
        <f>ROW()-3</f>
        <v>260</v>
      </c>
      <c r="B263" s="42" t="s">
        <v>2732</v>
      </c>
      <c r="C263" s="42" t="s">
        <v>3265</v>
      </c>
      <c r="D263" s="43" t="s">
        <v>3288</v>
      </c>
      <c r="E263" s="43" t="s">
        <v>3289</v>
      </c>
      <c r="F263" s="43" t="s">
        <v>3038</v>
      </c>
      <c r="G263" s="42" t="s">
        <v>34</v>
      </c>
      <c r="H263" s="42">
        <v>1</v>
      </c>
      <c r="I263" s="44">
        <v>0.391666666666667</v>
      </c>
      <c r="J263" s="45">
        <v>43962</v>
      </c>
      <c r="K263" s="46" t="s">
        <v>20</v>
      </c>
      <c r="L263" s="47">
        <v>4.99</v>
      </c>
      <c r="M263" s="32"/>
    </row>
    <row r="264" spans="1:13" ht="35" customHeight="1">
      <c r="A264" s="23">
        <f>ROW()-3</f>
        <v>261</v>
      </c>
      <c r="B264" s="42" t="s">
        <v>2732</v>
      </c>
      <c r="C264" s="42" t="s">
        <v>3265</v>
      </c>
      <c r="D264" s="43" t="s">
        <v>3298</v>
      </c>
      <c r="E264" s="43" t="s">
        <v>3299</v>
      </c>
      <c r="F264" s="43" t="s">
        <v>3300</v>
      </c>
      <c r="G264" s="42" t="s">
        <v>34</v>
      </c>
      <c r="H264" s="42">
        <v>1</v>
      </c>
      <c r="I264" s="44">
        <v>0.36055555555555602</v>
      </c>
      <c r="J264" s="45">
        <v>43962</v>
      </c>
      <c r="K264" s="46" t="s">
        <v>20</v>
      </c>
      <c r="L264" s="47">
        <v>4.99</v>
      </c>
      <c r="M264" s="32"/>
    </row>
    <row r="265" spans="1:13" ht="35" customHeight="1">
      <c r="A265" s="23">
        <f>ROW()-3</f>
        <v>262</v>
      </c>
      <c r="B265" s="42" t="s">
        <v>2732</v>
      </c>
      <c r="C265" s="42" t="s">
        <v>3265</v>
      </c>
      <c r="D265" s="43" t="s">
        <v>3309</v>
      </c>
      <c r="E265" s="43" t="s">
        <v>3310</v>
      </c>
      <c r="F265" s="43" t="s">
        <v>3311</v>
      </c>
      <c r="G265" s="42" t="s">
        <v>34</v>
      </c>
      <c r="H265" s="42">
        <v>1</v>
      </c>
      <c r="I265" s="44">
        <v>0.495</v>
      </c>
      <c r="J265" s="45">
        <v>43962</v>
      </c>
      <c r="K265" s="46" t="s">
        <v>20</v>
      </c>
      <c r="L265" s="47">
        <v>4.99</v>
      </c>
      <c r="M265" s="32"/>
    </row>
    <row r="266" spans="1:13" ht="35" customHeight="1">
      <c r="A266" s="23">
        <f>ROW()-3</f>
        <v>263</v>
      </c>
      <c r="B266" s="42" t="s">
        <v>2732</v>
      </c>
      <c r="C266" s="42" t="s">
        <v>3265</v>
      </c>
      <c r="D266" s="43" t="s">
        <v>3312</v>
      </c>
      <c r="E266" s="43" t="s">
        <v>3289</v>
      </c>
      <c r="F266" s="43" t="s">
        <v>3038</v>
      </c>
      <c r="G266" s="42" t="s">
        <v>34</v>
      </c>
      <c r="H266" s="42">
        <v>1</v>
      </c>
      <c r="I266" s="44">
        <v>0.43138888888888899</v>
      </c>
      <c r="J266" s="45">
        <v>43962</v>
      </c>
      <c r="K266" s="46" t="s">
        <v>20</v>
      </c>
      <c r="L266" s="47">
        <v>4.99</v>
      </c>
      <c r="M266" s="32"/>
    </row>
    <row r="267" spans="1:13" ht="35" customHeight="1">
      <c r="A267" s="23">
        <f>ROW()-3</f>
        <v>264</v>
      </c>
      <c r="B267" s="42" t="s">
        <v>2732</v>
      </c>
      <c r="C267" s="42" t="s">
        <v>3265</v>
      </c>
      <c r="D267" s="43" t="s">
        <v>3266</v>
      </c>
      <c r="E267" s="43" t="s">
        <v>3267</v>
      </c>
      <c r="F267" s="43" t="s">
        <v>3268</v>
      </c>
      <c r="G267" s="42" t="s">
        <v>34</v>
      </c>
      <c r="H267" s="42">
        <v>1</v>
      </c>
      <c r="I267" s="44">
        <v>0.476944444444444</v>
      </c>
      <c r="J267" s="45">
        <v>43978</v>
      </c>
      <c r="K267" s="46" t="s">
        <v>20</v>
      </c>
      <c r="L267" s="47">
        <v>4.99</v>
      </c>
      <c r="M267" s="32"/>
    </row>
    <row r="268" spans="1:13" ht="35" customHeight="1">
      <c r="A268" s="23">
        <f>ROW()-3</f>
        <v>265</v>
      </c>
      <c r="B268" s="42" t="s">
        <v>2732</v>
      </c>
      <c r="C268" s="42" t="s">
        <v>3265</v>
      </c>
      <c r="D268" s="43" t="s">
        <v>3277</v>
      </c>
      <c r="E268" s="43" t="s">
        <v>3278</v>
      </c>
      <c r="F268" s="43" t="s">
        <v>3279</v>
      </c>
      <c r="G268" s="42" t="s">
        <v>34</v>
      </c>
      <c r="H268" s="42">
        <v>1</v>
      </c>
      <c r="I268" s="44">
        <v>0.55972222222222201</v>
      </c>
      <c r="J268" s="45">
        <v>43978</v>
      </c>
      <c r="K268" s="46" t="s">
        <v>20</v>
      </c>
      <c r="L268" s="47">
        <v>4.99</v>
      </c>
      <c r="M268" s="32"/>
    </row>
    <row r="269" spans="1:13" ht="35" customHeight="1">
      <c r="A269" s="23">
        <f>ROW()-3</f>
        <v>266</v>
      </c>
      <c r="B269" s="42" t="s">
        <v>2732</v>
      </c>
      <c r="C269" s="42" t="s">
        <v>3265</v>
      </c>
      <c r="D269" s="43" t="s">
        <v>3280</v>
      </c>
      <c r="E269" s="43" t="s">
        <v>3267</v>
      </c>
      <c r="F269" s="43" t="s">
        <v>2843</v>
      </c>
      <c r="G269" s="42" t="s">
        <v>34</v>
      </c>
      <c r="H269" s="42">
        <v>1</v>
      </c>
      <c r="I269" s="44">
        <v>0.60499999999999998</v>
      </c>
      <c r="J269" s="45">
        <v>43978</v>
      </c>
      <c r="K269" s="46" t="s">
        <v>20</v>
      </c>
      <c r="L269" s="47">
        <v>4.99</v>
      </c>
      <c r="M269" s="32"/>
    </row>
    <row r="270" spans="1:13" ht="35" customHeight="1">
      <c r="A270" s="23">
        <f>ROW()-3</f>
        <v>267</v>
      </c>
      <c r="B270" s="42" t="s">
        <v>2732</v>
      </c>
      <c r="C270" s="42" t="s">
        <v>3265</v>
      </c>
      <c r="D270" s="43" t="s">
        <v>3286</v>
      </c>
      <c r="E270" s="43" t="s">
        <v>3287</v>
      </c>
      <c r="F270" s="43" t="s">
        <v>3038</v>
      </c>
      <c r="G270" s="42" t="s">
        <v>34</v>
      </c>
      <c r="H270" s="42">
        <v>1</v>
      </c>
      <c r="I270" s="44">
        <v>0.50805555555555604</v>
      </c>
      <c r="J270" s="45">
        <v>43978</v>
      </c>
      <c r="K270" s="46" t="s">
        <v>20</v>
      </c>
      <c r="L270" s="47">
        <v>4.99</v>
      </c>
      <c r="M270" s="32"/>
    </row>
    <row r="271" spans="1:13" ht="35" customHeight="1">
      <c r="A271" s="23">
        <f>ROW()-3</f>
        <v>268</v>
      </c>
      <c r="B271" s="42" t="s">
        <v>2732</v>
      </c>
      <c r="C271" s="42" t="s">
        <v>3265</v>
      </c>
      <c r="D271" s="43" t="s">
        <v>3290</v>
      </c>
      <c r="E271" s="43" t="s">
        <v>3291</v>
      </c>
      <c r="F271" s="43" t="s">
        <v>3038</v>
      </c>
      <c r="G271" s="42" t="s">
        <v>34</v>
      </c>
      <c r="H271" s="42">
        <v>1</v>
      </c>
      <c r="I271" s="44">
        <v>1.0358333333333301</v>
      </c>
      <c r="J271" s="45">
        <v>43978</v>
      </c>
      <c r="K271" s="46" t="s">
        <v>20</v>
      </c>
      <c r="L271" s="47">
        <v>4.99</v>
      </c>
      <c r="M271" s="32"/>
    </row>
    <row r="272" spans="1:13" ht="35" customHeight="1">
      <c r="A272" s="23">
        <f>ROW()-3</f>
        <v>269</v>
      </c>
      <c r="B272" s="42" t="s">
        <v>2732</v>
      </c>
      <c r="C272" s="42" t="s">
        <v>3265</v>
      </c>
      <c r="D272" s="43" t="s">
        <v>3292</v>
      </c>
      <c r="E272" s="43" t="s">
        <v>3293</v>
      </c>
      <c r="F272" s="43" t="s">
        <v>2872</v>
      </c>
      <c r="G272" s="42" t="s">
        <v>34</v>
      </c>
      <c r="H272" s="42">
        <v>1</v>
      </c>
      <c r="I272" s="44">
        <v>0.35638888888888898</v>
      </c>
      <c r="J272" s="45">
        <v>43978</v>
      </c>
      <c r="K272" s="46" t="s">
        <v>20</v>
      </c>
      <c r="L272" s="47">
        <v>4.99</v>
      </c>
      <c r="M272" s="32"/>
    </row>
    <row r="273" spans="1:13" ht="35" customHeight="1">
      <c r="A273" s="23">
        <f>ROW()-3</f>
        <v>270</v>
      </c>
      <c r="B273" s="42" t="s">
        <v>2732</v>
      </c>
      <c r="C273" s="42" t="s">
        <v>3265</v>
      </c>
      <c r="D273" s="43" t="s">
        <v>3294</v>
      </c>
      <c r="E273" s="43" t="s">
        <v>3295</v>
      </c>
      <c r="F273" s="43" t="s">
        <v>3296</v>
      </c>
      <c r="G273" s="42" t="s">
        <v>34</v>
      </c>
      <c r="H273" s="42">
        <v>1</v>
      </c>
      <c r="I273" s="44">
        <v>0.42027777777777803</v>
      </c>
      <c r="J273" s="45">
        <v>43978</v>
      </c>
      <c r="K273" s="46" t="s">
        <v>20</v>
      </c>
      <c r="L273" s="47">
        <v>4.99</v>
      </c>
      <c r="M273" s="32"/>
    </row>
    <row r="274" spans="1:13" ht="35" customHeight="1">
      <c r="A274" s="23">
        <f>ROW()-3</f>
        <v>271</v>
      </c>
      <c r="B274" s="42" t="s">
        <v>2732</v>
      </c>
      <c r="C274" s="42" t="s">
        <v>3265</v>
      </c>
      <c r="D274" s="43" t="s">
        <v>3301</v>
      </c>
      <c r="E274" s="43" t="s">
        <v>3302</v>
      </c>
      <c r="F274" s="43" t="s">
        <v>3303</v>
      </c>
      <c r="G274" s="42" t="s">
        <v>34</v>
      </c>
      <c r="H274" s="42">
        <v>1</v>
      </c>
      <c r="I274" s="44">
        <v>0.473333333333333</v>
      </c>
      <c r="J274" s="45">
        <v>43978</v>
      </c>
      <c r="K274" s="46" t="s">
        <v>20</v>
      </c>
      <c r="L274" s="47">
        <v>4.99</v>
      </c>
      <c r="M274" s="32"/>
    </row>
    <row r="275" spans="1:13" ht="35" customHeight="1">
      <c r="A275" s="23">
        <f>ROW()-3</f>
        <v>272</v>
      </c>
      <c r="B275" s="42" t="s">
        <v>2732</v>
      </c>
      <c r="C275" s="42" t="s">
        <v>3265</v>
      </c>
      <c r="D275" s="43" t="s">
        <v>3304</v>
      </c>
      <c r="E275" s="43" t="s">
        <v>3305</v>
      </c>
      <c r="F275" s="43" t="s">
        <v>3306</v>
      </c>
      <c r="G275" s="42" t="s">
        <v>34</v>
      </c>
      <c r="H275" s="42">
        <v>1</v>
      </c>
      <c r="I275" s="44">
        <v>0.53749999999999998</v>
      </c>
      <c r="J275" s="45">
        <v>43978</v>
      </c>
      <c r="K275" s="46" t="s">
        <v>20</v>
      </c>
      <c r="L275" s="47">
        <v>4.99</v>
      </c>
      <c r="M275" s="32"/>
    </row>
    <row r="276" spans="1:13" ht="35" customHeight="1">
      <c r="A276" s="23">
        <f>ROW()-3</f>
        <v>273</v>
      </c>
      <c r="B276" s="42" t="s">
        <v>2732</v>
      </c>
      <c r="C276" s="42" t="s">
        <v>3265</v>
      </c>
      <c r="D276" s="43" t="s">
        <v>3307</v>
      </c>
      <c r="E276" s="43" t="s">
        <v>3308</v>
      </c>
      <c r="F276" s="43" t="s">
        <v>2916</v>
      </c>
      <c r="G276" s="42" t="s">
        <v>34</v>
      </c>
      <c r="H276" s="42">
        <v>1</v>
      </c>
      <c r="I276" s="44">
        <v>0.37361111111111101</v>
      </c>
      <c r="J276" s="45">
        <v>43978</v>
      </c>
      <c r="K276" s="46" t="s">
        <v>20</v>
      </c>
      <c r="L276" s="47">
        <v>4.99</v>
      </c>
      <c r="M276" s="32"/>
    </row>
    <row r="277" spans="1:13" ht="35" customHeight="1">
      <c r="A277" s="23">
        <f>ROW()-3</f>
        <v>274</v>
      </c>
      <c r="B277" s="42" t="s">
        <v>2732</v>
      </c>
      <c r="C277" s="42" t="s">
        <v>3265</v>
      </c>
      <c r="D277" s="43" t="s">
        <v>3317</v>
      </c>
      <c r="E277" s="43" t="s">
        <v>3318</v>
      </c>
      <c r="F277" s="43" t="s">
        <v>3116</v>
      </c>
      <c r="G277" s="42" t="s">
        <v>34</v>
      </c>
      <c r="H277" s="42">
        <v>1</v>
      </c>
      <c r="I277" s="44">
        <v>0.41166666666666701</v>
      </c>
      <c r="J277" s="45">
        <v>43978</v>
      </c>
      <c r="K277" s="46" t="s">
        <v>20</v>
      </c>
      <c r="L277" s="47">
        <v>4.99</v>
      </c>
      <c r="M277" s="32"/>
    </row>
    <row r="278" spans="1:13" ht="35" customHeight="1">
      <c r="A278" s="23">
        <f>ROW()-3</f>
        <v>275</v>
      </c>
      <c r="B278" s="42" t="s">
        <v>2732</v>
      </c>
      <c r="C278" s="42" t="s">
        <v>3265</v>
      </c>
      <c r="D278" s="43" t="s">
        <v>3324</v>
      </c>
      <c r="E278" s="43" t="s">
        <v>3325</v>
      </c>
      <c r="F278" s="43" t="s">
        <v>3326</v>
      </c>
      <c r="G278" s="42" t="s">
        <v>34</v>
      </c>
      <c r="H278" s="42">
        <v>1</v>
      </c>
      <c r="I278" s="44">
        <v>0.46916666666666701</v>
      </c>
      <c r="J278" s="45">
        <v>43978</v>
      </c>
      <c r="K278" s="46" t="s">
        <v>20</v>
      </c>
      <c r="L278" s="47">
        <v>4.99</v>
      </c>
      <c r="M278" s="32"/>
    </row>
    <row r="279" spans="1:13" ht="35" customHeight="1">
      <c r="A279" s="23">
        <f>ROW()-3</f>
        <v>276</v>
      </c>
      <c r="B279" s="42" t="s">
        <v>2732</v>
      </c>
      <c r="C279" s="42" t="s">
        <v>3265</v>
      </c>
      <c r="D279" s="43" t="s">
        <v>3313</v>
      </c>
      <c r="E279" s="43" t="s">
        <v>3314</v>
      </c>
      <c r="F279" s="43" t="s">
        <v>1259</v>
      </c>
      <c r="G279" s="42" t="s">
        <v>34</v>
      </c>
      <c r="H279" s="42">
        <v>1</v>
      </c>
      <c r="I279" s="44">
        <v>0.35</v>
      </c>
      <c r="J279" s="45">
        <v>44004</v>
      </c>
      <c r="K279" s="46" t="s">
        <v>20</v>
      </c>
      <c r="L279" s="47">
        <v>4.99</v>
      </c>
      <c r="M279" s="32"/>
    </row>
    <row r="280" spans="1:13" ht="35" customHeight="1">
      <c r="A280" s="23">
        <f>ROW()-3</f>
        <v>277</v>
      </c>
      <c r="B280" s="42" t="s">
        <v>2732</v>
      </c>
      <c r="C280" s="42" t="s">
        <v>3265</v>
      </c>
      <c r="D280" s="43" t="s">
        <v>3315</v>
      </c>
      <c r="E280" s="43" t="s">
        <v>3316</v>
      </c>
      <c r="F280" s="43" t="s">
        <v>3038</v>
      </c>
      <c r="G280" s="42" t="s">
        <v>34</v>
      </c>
      <c r="H280" s="42">
        <v>1</v>
      </c>
      <c r="I280" s="44">
        <v>0.4</v>
      </c>
      <c r="J280" s="45">
        <v>44004</v>
      </c>
      <c r="K280" s="46" t="s">
        <v>20</v>
      </c>
      <c r="L280" s="47">
        <v>4.99</v>
      </c>
      <c r="M280" s="32"/>
    </row>
    <row r="281" spans="1:13" ht="35" customHeight="1">
      <c r="A281" s="23">
        <f>ROW()-3</f>
        <v>278</v>
      </c>
      <c r="B281" s="42" t="s">
        <v>2732</v>
      </c>
      <c r="C281" s="42" t="s">
        <v>3265</v>
      </c>
      <c r="D281" s="43" t="s">
        <v>3319</v>
      </c>
      <c r="E281" s="43" t="s">
        <v>3320</v>
      </c>
      <c r="F281" s="43" t="s">
        <v>3311</v>
      </c>
      <c r="G281" s="42" t="s">
        <v>34</v>
      </c>
      <c r="H281" s="42">
        <v>1</v>
      </c>
      <c r="I281" s="44">
        <v>0.61</v>
      </c>
      <c r="J281" s="45">
        <v>44011</v>
      </c>
      <c r="K281" s="46" t="s">
        <v>20</v>
      </c>
      <c r="L281" s="47">
        <v>4.99</v>
      </c>
      <c r="M281" s="32"/>
    </row>
    <row r="282" spans="1:13" ht="35" customHeight="1">
      <c r="A282" s="23">
        <f>ROW()-3</f>
        <v>279</v>
      </c>
      <c r="B282" s="42" t="s">
        <v>2732</v>
      </c>
      <c r="C282" s="42" t="s">
        <v>3265</v>
      </c>
      <c r="D282" s="43" t="s">
        <v>3321</v>
      </c>
      <c r="E282" s="43" t="s">
        <v>3322</v>
      </c>
      <c r="F282" s="43" t="s">
        <v>3323</v>
      </c>
      <c r="G282" s="42" t="s">
        <v>34</v>
      </c>
      <c r="H282" s="42">
        <v>1</v>
      </c>
      <c r="I282" s="44">
        <v>0.18</v>
      </c>
      <c r="J282" s="45">
        <v>44011</v>
      </c>
      <c r="K282" s="46" t="s">
        <v>20</v>
      </c>
      <c r="L282" s="47">
        <v>4.99</v>
      </c>
      <c r="M282" s="32"/>
    </row>
    <row r="283" spans="1:13" ht="35" customHeight="1">
      <c r="A283" s="23">
        <f>ROW()-3</f>
        <v>280</v>
      </c>
      <c r="B283" s="42" t="s">
        <v>2732</v>
      </c>
      <c r="C283" s="42" t="s">
        <v>3265</v>
      </c>
      <c r="D283" s="43" t="s">
        <v>3324</v>
      </c>
      <c r="E283" s="43" t="s">
        <v>3325</v>
      </c>
      <c r="F283" s="43" t="s">
        <v>3326</v>
      </c>
      <c r="G283" s="42" t="s">
        <v>34</v>
      </c>
      <c r="H283" s="42">
        <v>1</v>
      </c>
      <c r="I283" s="44">
        <v>0.18</v>
      </c>
      <c r="J283" s="45">
        <v>44011</v>
      </c>
      <c r="K283" s="46" t="s">
        <v>20</v>
      </c>
      <c r="L283" s="47">
        <v>4.99</v>
      </c>
      <c r="M283" s="32"/>
    </row>
    <row r="284" spans="1:13" ht="35" customHeight="1">
      <c r="A284" s="23">
        <f>ROW()-3</f>
        <v>281</v>
      </c>
      <c r="B284" s="42" t="s">
        <v>2732</v>
      </c>
      <c r="C284" s="42" t="s">
        <v>3265</v>
      </c>
      <c r="D284" s="43" t="s">
        <v>3327</v>
      </c>
      <c r="E284" s="43" t="s">
        <v>3328</v>
      </c>
      <c r="F284" s="43" t="s">
        <v>2748</v>
      </c>
      <c r="G284" s="42" t="s">
        <v>34</v>
      </c>
      <c r="H284" s="42">
        <v>1</v>
      </c>
      <c r="I284" s="49">
        <v>0.43</v>
      </c>
      <c r="J284" s="45">
        <v>44102</v>
      </c>
      <c r="K284" s="46" t="s">
        <v>20</v>
      </c>
      <c r="L284" s="48">
        <v>4.99</v>
      </c>
      <c r="M284" s="32"/>
    </row>
    <row r="285" spans="1:13" ht="35" customHeight="1">
      <c r="A285" s="23">
        <f>ROW()-3</f>
        <v>282</v>
      </c>
      <c r="B285" s="42" t="s">
        <v>2732</v>
      </c>
      <c r="C285" s="42" t="s">
        <v>3329</v>
      </c>
      <c r="D285" s="43" t="s">
        <v>3344</v>
      </c>
      <c r="E285" s="43" t="s">
        <v>3345</v>
      </c>
      <c r="F285" s="43" t="s">
        <v>3346</v>
      </c>
      <c r="G285" s="42" t="s">
        <v>34</v>
      </c>
      <c r="H285" s="42">
        <v>1</v>
      </c>
      <c r="I285" s="44">
        <v>0.531944444444444</v>
      </c>
      <c r="J285" s="45">
        <v>43962</v>
      </c>
      <c r="K285" s="46" t="s">
        <v>20</v>
      </c>
      <c r="L285" s="47">
        <v>4.99</v>
      </c>
      <c r="M285" s="32"/>
    </row>
    <row r="286" spans="1:13" ht="35" customHeight="1">
      <c r="A286" s="23">
        <f>ROW()-3</f>
        <v>283</v>
      </c>
      <c r="B286" s="42" t="s">
        <v>2732</v>
      </c>
      <c r="C286" s="42" t="s">
        <v>3329</v>
      </c>
      <c r="D286" s="43" t="s">
        <v>3422</v>
      </c>
      <c r="E286" s="43" t="s">
        <v>3423</v>
      </c>
      <c r="F286" s="43" t="s">
        <v>3362</v>
      </c>
      <c r="G286" s="42" t="s">
        <v>34</v>
      </c>
      <c r="H286" s="42">
        <v>1</v>
      </c>
      <c r="I286" s="44">
        <v>0.48166666666666702</v>
      </c>
      <c r="J286" s="45">
        <v>43962</v>
      </c>
      <c r="K286" s="46" t="s">
        <v>20</v>
      </c>
      <c r="L286" s="47">
        <v>4.99</v>
      </c>
      <c r="M286" s="32"/>
    </row>
    <row r="287" spans="1:13" ht="35" customHeight="1">
      <c r="A287" s="23">
        <f>ROW()-3</f>
        <v>284</v>
      </c>
      <c r="B287" s="42" t="s">
        <v>2732</v>
      </c>
      <c r="C287" s="42" t="s">
        <v>3329</v>
      </c>
      <c r="D287" s="43" t="s">
        <v>3426</v>
      </c>
      <c r="E287" s="43" t="s">
        <v>3427</v>
      </c>
      <c r="F287" s="43" t="s">
        <v>3428</v>
      </c>
      <c r="G287" s="42" t="s">
        <v>34</v>
      </c>
      <c r="H287" s="42">
        <v>1</v>
      </c>
      <c r="I287" s="44">
        <v>0.55222222222222195</v>
      </c>
      <c r="J287" s="45">
        <v>43962</v>
      </c>
      <c r="K287" s="46" t="s">
        <v>20</v>
      </c>
      <c r="L287" s="47">
        <v>4.99</v>
      </c>
      <c r="M287" s="32"/>
    </row>
    <row r="288" spans="1:13" ht="35" customHeight="1">
      <c r="A288" s="23">
        <f>ROW()-3</f>
        <v>285</v>
      </c>
      <c r="B288" s="42" t="s">
        <v>2732</v>
      </c>
      <c r="C288" s="42" t="s">
        <v>3329</v>
      </c>
      <c r="D288" s="43" t="s">
        <v>3441</v>
      </c>
      <c r="E288" s="43" t="s">
        <v>3442</v>
      </c>
      <c r="F288" s="43" t="s">
        <v>2748</v>
      </c>
      <c r="G288" s="42" t="s">
        <v>34</v>
      </c>
      <c r="H288" s="42">
        <v>1</v>
      </c>
      <c r="I288" s="44">
        <v>0.33444444444444399</v>
      </c>
      <c r="J288" s="45">
        <v>43962</v>
      </c>
      <c r="K288" s="46" t="s">
        <v>20</v>
      </c>
      <c r="L288" s="47">
        <v>4.99</v>
      </c>
      <c r="M288" s="32"/>
    </row>
    <row r="289" spans="1:13" ht="35" customHeight="1">
      <c r="A289" s="23">
        <f>ROW()-3</f>
        <v>286</v>
      </c>
      <c r="B289" s="42" t="s">
        <v>2732</v>
      </c>
      <c r="C289" s="42" t="s">
        <v>3329</v>
      </c>
      <c r="D289" s="43" t="s">
        <v>3443</v>
      </c>
      <c r="E289" s="43" t="s">
        <v>3444</v>
      </c>
      <c r="F289" s="43" t="s">
        <v>3445</v>
      </c>
      <c r="G289" s="42" t="s">
        <v>34</v>
      </c>
      <c r="H289" s="42">
        <v>1</v>
      </c>
      <c r="I289" s="44">
        <v>0.27750000000000002</v>
      </c>
      <c r="J289" s="45">
        <v>43962</v>
      </c>
      <c r="K289" s="46" t="s">
        <v>20</v>
      </c>
      <c r="L289" s="47">
        <v>4.99</v>
      </c>
      <c r="M289" s="32"/>
    </row>
    <row r="290" spans="1:13" ht="35" customHeight="1">
      <c r="A290" s="23">
        <f>ROW()-3</f>
        <v>287</v>
      </c>
      <c r="B290" s="42" t="s">
        <v>2732</v>
      </c>
      <c r="C290" s="42" t="s">
        <v>3329</v>
      </c>
      <c r="D290" s="43" t="s">
        <v>3446</v>
      </c>
      <c r="E290" s="43" t="s">
        <v>3444</v>
      </c>
      <c r="F290" s="43" t="s">
        <v>3445</v>
      </c>
      <c r="G290" s="42" t="s">
        <v>34</v>
      </c>
      <c r="H290" s="42">
        <v>1</v>
      </c>
      <c r="I290" s="44">
        <v>0.517777777777778</v>
      </c>
      <c r="J290" s="45">
        <v>43962</v>
      </c>
      <c r="K290" s="46" t="s">
        <v>20</v>
      </c>
      <c r="L290" s="47">
        <v>4.99</v>
      </c>
      <c r="M290" s="32"/>
    </row>
    <row r="291" spans="1:13" ht="35" customHeight="1">
      <c r="A291" s="23">
        <f>ROW()-3</f>
        <v>288</v>
      </c>
      <c r="B291" s="42" t="s">
        <v>2732</v>
      </c>
      <c r="C291" s="42" t="s">
        <v>3329</v>
      </c>
      <c r="D291" s="43" t="s">
        <v>3447</v>
      </c>
      <c r="E291" s="43" t="s">
        <v>3430</v>
      </c>
      <c r="F291" s="43" t="s">
        <v>3431</v>
      </c>
      <c r="G291" s="42" t="s">
        <v>34</v>
      </c>
      <c r="H291" s="42">
        <v>1</v>
      </c>
      <c r="I291" s="44">
        <v>0.50111111111111095</v>
      </c>
      <c r="J291" s="45">
        <v>43962</v>
      </c>
      <c r="K291" s="46" t="s">
        <v>20</v>
      </c>
      <c r="L291" s="47">
        <v>4.99</v>
      </c>
      <c r="M291" s="32"/>
    </row>
    <row r="292" spans="1:13" ht="35" customHeight="1">
      <c r="A292" s="23">
        <f>ROW()-3</f>
        <v>289</v>
      </c>
      <c r="B292" s="42" t="s">
        <v>2732</v>
      </c>
      <c r="C292" s="42" t="s">
        <v>3329</v>
      </c>
      <c r="D292" s="43" t="s">
        <v>3448</v>
      </c>
      <c r="E292" s="43" t="s">
        <v>3449</v>
      </c>
      <c r="F292" s="43" t="s">
        <v>3431</v>
      </c>
      <c r="G292" s="42" t="s">
        <v>34</v>
      </c>
      <c r="H292" s="42">
        <v>1</v>
      </c>
      <c r="I292" s="44">
        <v>0.59638888888888897</v>
      </c>
      <c r="J292" s="45">
        <v>43962</v>
      </c>
      <c r="K292" s="46" t="s">
        <v>20</v>
      </c>
      <c r="L292" s="47">
        <v>4.99</v>
      </c>
      <c r="M292" s="32"/>
    </row>
    <row r="293" spans="1:13" ht="35" customHeight="1">
      <c r="A293" s="23">
        <f>ROW()-3</f>
        <v>290</v>
      </c>
      <c r="B293" s="42" t="s">
        <v>2732</v>
      </c>
      <c r="C293" s="42" t="s">
        <v>3329</v>
      </c>
      <c r="D293" s="43" t="s">
        <v>3347</v>
      </c>
      <c r="E293" s="43" t="s">
        <v>3348</v>
      </c>
      <c r="F293" s="43" t="s">
        <v>3349</v>
      </c>
      <c r="G293" s="42" t="s">
        <v>34</v>
      </c>
      <c r="H293" s="42">
        <v>1</v>
      </c>
      <c r="I293" s="44">
        <v>0.66083333333333305</v>
      </c>
      <c r="J293" s="45">
        <v>43978</v>
      </c>
      <c r="K293" s="46" t="s">
        <v>20</v>
      </c>
      <c r="L293" s="47">
        <v>4.99</v>
      </c>
      <c r="M293" s="32"/>
    </row>
    <row r="294" spans="1:13" ht="35" customHeight="1">
      <c r="A294" s="23">
        <f>ROW()-3</f>
        <v>291</v>
      </c>
      <c r="B294" s="42" t="s">
        <v>2732</v>
      </c>
      <c r="C294" s="42" t="s">
        <v>3329</v>
      </c>
      <c r="D294" s="43" t="s">
        <v>3350</v>
      </c>
      <c r="E294" s="43" t="s">
        <v>3351</v>
      </c>
      <c r="F294" s="43" t="s">
        <v>3352</v>
      </c>
      <c r="G294" s="42" t="s">
        <v>34</v>
      </c>
      <c r="H294" s="42">
        <v>1</v>
      </c>
      <c r="I294" s="44">
        <v>0.60805555555555602</v>
      </c>
      <c r="J294" s="45">
        <v>43978</v>
      </c>
      <c r="K294" s="46" t="s">
        <v>20</v>
      </c>
      <c r="L294" s="47">
        <v>4.99</v>
      </c>
      <c r="M294" s="32"/>
    </row>
    <row r="295" spans="1:13" ht="35" customHeight="1">
      <c r="A295" s="23">
        <f>ROW()-3</f>
        <v>292</v>
      </c>
      <c r="B295" s="42" t="s">
        <v>2732</v>
      </c>
      <c r="C295" s="42" t="s">
        <v>3329</v>
      </c>
      <c r="D295" s="43" t="s">
        <v>3420</v>
      </c>
      <c r="E295" s="43" t="s">
        <v>3421</v>
      </c>
      <c r="F295" s="43" t="s">
        <v>2745</v>
      </c>
      <c r="G295" s="42" t="s">
        <v>34</v>
      </c>
      <c r="H295" s="42">
        <v>1</v>
      </c>
      <c r="I295" s="44">
        <v>0.34083333333333299</v>
      </c>
      <c r="J295" s="45">
        <v>43978</v>
      </c>
      <c r="K295" s="46" t="s">
        <v>20</v>
      </c>
      <c r="L295" s="47">
        <v>4.99</v>
      </c>
      <c r="M295" s="32"/>
    </row>
    <row r="296" spans="1:13" ht="35" customHeight="1">
      <c r="A296" s="23">
        <f>ROW()-3</f>
        <v>293</v>
      </c>
      <c r="B296" s="42" t="s">
        <v>2732</v>
      </c>
      <c r="C296" s="42" t="s">
        <v>3329</v>
      </c>
      <c r="D296" s="43" t="s">
        <v>3424</v>
      </c>
      <c r="E296" s="43" t="s">
        <v>3425</v>
      </c>
      <c r="F296" s="43" t="s">
        <v>3038</v>
      </c>
      <c r="G296" s="42" t="s">
        <v>34</v>
      </c>
      <c r="H296" s="42">
        <v>1</v>
      </c>
      <c r="I296" s="44">
        <v>0.51361111111111102</v>
      </c>
      <c r="J296" s="45">
        <v>43978</v>
      </c>
      <c r="K296" s="46" t="s">
        <v>20</v>
      </c>
      <c r="L296" s="47">
        <v>4.99</v>
      </c>
      <c r="M296" s="32"/>
    </row>
    <row r="297" spans="1:13" ht="35" customHeight="1">
      <c r="A297" s="23">
        <f>ROW()-3</f>
        <v>294</v>
      </c>
      <c r="B297" s="42" t="s">
        <v>2732</v>
      </c>
      <c r="C297" s="42" t="s">
        <v>3329</v>
      </c>
      <c r="D297" s="43" t="s">
        <v>3429</v>
      </c>
      <c r="E297" s="43" t="s">
        <v>3430</v>
      </c>
      <c r="F297" s="43" t="s">
        <v>3431</v>
      </c>
      <c r="G297" s="42" t="s">
        <v>34</v>
      </c>
      <c r="H297" s="42">
        <v>1</v>
      </c>
      <c r="I297" s="44">
        <v>0.46833333333333299</v>
      </c>
      <c r="J297" s="45">
        <v>43978</v>
      </c>
      <c r="K297" s="46" t="s">
        <v>20</v>
      </c>
      <c r="L297" s="47">
        <v>4.99</v>
      </c>
      <c r="M297" s="32"/>
    </row>
    <row r="298" spans="1:13" ht="35" customHeight="1">
      <c r="A298" s="23">
        <f>ROW()-3</f>
        <v>295</v>
      </c>
      <c r="B298" s="42" t="s">
        <v>2732</v>
      </c>
      <c r="C298" s="42" t="s">
        <v>3329</v>
      </c>
      <c r="D298" s="43" t="s">
        <v>3438</v>
      </c>
      <c r="E298" s="43" t="s">
        <v>3439</v>
      </c>
      <c r="F298" s="43" t="s">
        <v>3440</v>
      </c>
      <c r="G298" s="42" t="s">
        <v>34</v>
      </c>
      <c r="H298" s="42">
        <v>1</v>
      </c>
      <c r="I298" s="44">
        <v>0.780555555555556</v>
      </c>
      <c r="J298" s="45">
        <v>43978</v>
      </c>
      <c r="K298" s="46" t="s">
        <v>20</v>
      </c>
      <c r="L298" s="47">
        <v>4.99</v>
      </c>
      <c r="M298" s="32"/>
    </row>
    <row r="299" spans="1:13" ht="35" customHeight="1">
      <c r="A299" s="23">
        <f>ROW()-3</f>
        <v>296</v>
      </c>
      <c r="B299" s="42" t="s">
        <v>2732</v>
      </c>
      <c r="C299" s="42" t="s">
        <v>3329</v>
      </c>
      <c r="D299" s="43" t="s">
        <v>3492</v>
      </c>
      <c r="E299" s="43" t="s">
        <v>3493</v>
      </c>
      <c r="F299" s="43" t="s">
        <v>2948</v>
      </c>
      <c r="G299" s="42" t="s">
        <v>34</v>
      </c>
      <c r="H299" s="42">
        <v>1</v>
      </c>
      <c r="I299" s="44">
        <v>0.50083333333333302</v>
      </c>
      <c r="J299" s="45">
        <v>43978</v>
      </c>
      <c r="K299" s="46" t="s">
        <v>20</v>
      </c>
      <c r="L299" s="47">
        <v>4.99</v>
      </c>
      <c r="M299" s="32"/>
    </row>
    <row r="300" spans="1:13" ht="35" customHeight="1">
      <c r="A300" s="23">
        <f>ROW()-3</f>
        <v>297</v>
      </c>
      <c r="B300" s="42" t="s">
        <v>5170</v>
      </c>
      <c r="C300" s="42" t="s">
        <v>5185</v>
      </c>
      <c r="D300" s="43" t="s">
        <v>5182</v>
      </c>
      <c r="E300" s="43" t="s">
        <v>5183</v>
      </c>
      <c r="F300" s="43" t="s">
        <v>5184</v>
      </c>
      <c r="G300" s="42" t="s">
        <v>3253</v>
      </c>
      <c r="H300" s="42">
        <v>1</v>
      </c>
      <c r="I300" s="44">
        <v>0.5</v>
      </c>
      <c r="J300" s="45">
        <v>43978</v>
      </c>
      <c r="K300" s="46" t="s">
        <v>5188</v>
      </c>
      <c r="L300" s="48">
        <v>4.99</v>
      </c>
    </row>
    <row r="301" spans="1:13" ht="35" customHeight="1">
      <c r="A301" s="23">
        <f>ROW()-3</f>
        <v>298</v>
      </c>
      <c r="B301" s="42" t="s">
        <v>2732</v>
      </c>
      <c r="C301" s="42" t="s">
        <v>3329</v>
      </c>
      <c r="D301" s="43" t="s">
        <v>3450</v>
      </c>
      <c r="E301" s="43" t="s">
        <v>3451</v>
      </c>
      <c r="F301" s="43" t="s">
        <v>3452</v>
      </c>
      <c r="G301" s="42" t="s">
        <v>34</v>
      </c>
      <c r="H301" s="42">
        <v>1</v>
      </c>
      <c r="I301" s="44">
        <v>0.9</v>
      </c>
      <c r="J301" s="45">
        <v>44011</v>
      </c>
      <c r="K301" s="46" t="s">
        <v>20</v>
      </c>
      <c r="L301" s="47">
        <v>4.99</v>
      </c>
      <c r="M301" s="32"/>
    </row>
    <row r="302" spans="1:13" ht="35" customHeight="1">
      <c r="A302" s="23">
        <f>ROW()-3</f>
        <v>299</v>
      </c>
      <c r="B302" s="42" t="s">
        <v>2732</v>
      </c>
      <c r="C302" s="42" t="s">
        <v>3329</v>
      </c>
      <c r="D302" s="43" t="s">
        <v>3453</v>
      </c>
      <c r="E302" s="43" t="s">
        <v>3454</v>
      </c>
      <c r="F302" s="43" t="s">
        <v>3455</v>
      </c>
      <c r="G302" s="42" t="s">
        <v>34</v>
      </c>
      <c r="H302" s="42">
        <v>1</v>
      </c>
      <c r="I302" s="44">
        <v>0.36</v>
      </c>
      <c r="J302" s="45">
        <v>44011</v>
      </c>
      <c r="K302" s="46" t="s">
        <v>20</v>
      </c>
      <c r="L302" s="47">
        <v>4.99</v>
      </c>
      <c r="M302" s="32"/>
    </row>
    <row r="303" spans="1:13" ht="35" customHeight="1">
      <c r="A303" s="23">
        <f>ROW()-3</f>
        <v>300</v>
      </c>
      <c r="B303" s="42" t="s">
        <v>2732</v>
      </c>
      <c r="C303" s="42" t="s">
        <v>3329</v>
      </c>
      <c r="D303" s="43" t="s">
        <v>5598</v>
      </c>
      <c r="E303" s="43" t="s">
        <v>3456</v>
      </c>
      <c r="F303" s="43" t="s">
        <v>3335</v>
      </c>
      <c r="G303" s="42" t="s">
        <v>34</v>
      </c>
      <c r="H303" s="42">
        <v>1</v>
      </c>
      <c r="I303" s="44">
        <v>0.56000000000000005</v>
      </c>
      <c r="J303" s="45">
        <v>44011</v>
      </c>
      <c r="K303" s="46" t="s">
        <v>20</v>
      </c>
      <c r="L303" s="47">
        <v>4.99</v>
      </c>
      <c r="M303" s="32"/>
    </row>
    <row r="304" spans="1:13" ht="35" customHeight="1">
      <c r="A304" s="23">
        <f>ROW()-3</f>
        <v>301</v>
      </c>
      <c r="B304" s="42" t="s">
        <v>2732</v>
      </c>
      <c r="C304" s="42" t="s">
        <v>3329</v>
      </c>
      <c r="D304" s="43" t="s">
        <v>5599</v>
      </c>
      <c r="E304" s="43" t="s">
        <v>3456</v>
      </c>
      <c r="F304" s="43" t="s">
        <v>3335</v>
      </c>
      <c r="G304" s="42" t="s">
        <v>34</v>
      </c>
      <c r="H304" s="42">
        <v>1</v>
      </c>
      <c r="I304" s="44">
        <v>0.57999999999999996</v>
      </c>
      <c r="J304" s="45">
        <v>44011</v>
      </c>
      <c r="K304" s="46" t="s">
        <v>20</v>
      </c>
      <c r="L304" s="47">
        <v>4.99</v>
      </c>
      <c r="M304" s="32"/>
    </row>
    <row r="305" spans="1:13" ht="35" customHeight="1">
      <c r="A305" s="23">
        <f>ROW()-3</f>
        <v>302</v>
      </c>
      <c r="B305" s="42" t="s">
        <v>2732</v>
      </c>
      <c r="C305" s="42" t="s">
        <v>3329</v>
      </c>
      <c r="D305" s="43" t="s">
        <v>3457</v>
      </c>
      <c r="E305" s="43" t="s">
        <v>3458</v>
      </c>
      <c r="F305" s="43" t="s">
        <v>3459</v>
      </c>
      <c r="G305" s="42" t="s">
        <v>34</v>
      </c>
      <c r="H305" s="42">
        <v>1</v>
      </c>
      <c r="I305" s="44">
        <v>0.5</v>
      </c>
      <c r="J305" s="45">
        <v>44011</v>
      </c>
      <c r="K305" s="46" t="s">
        <v>20</v>
      </c>
      <c r="L305" s="47">
        <v>4.99</v>
      </c>
      <c r="M305" s="32"/>
    </row>
    <row r="306" spans="1:13" ht="35" customHeight="1">
      <c r="A306" s="23">
        <f>ROW()-3</f>
        <v>303</v>
      </c>
      <c r="B306" s="42" t="s">
        <v>2732</v>
      </c>
      <c r="C306" s="42" t="s">
        <v>3329</v>
      </c>
      <c r="D306" s="43" t="s">
        <v>5600</v>
      </c>
      <c r="E306" s="43" t="s">
        <v>3460</v>
      </c>
      <c r="F306" s="43" t="s">
        <v>3431</v>
      </c>
      <c r="G306" s="42" t="s">
        <v>34</v>
      </c>
      <c r="H306" s="42">
        <v>1</v>
      </c>
      <c r="I306" s="44">
        <v>0.52</v>
      </c>
      <c r="J306" s="45">
        <v>44011</v>
      </c>
      <c r="K306" s="46" t="s">
        <v>20</v>
      </c>
      <c r="L306" s="47">
        <v>4.99</v>
      </c>
      <c r="M306" s="32"/>
    </row>
    <row r="307" spans="1:13" ht="35" customHeight="1">
      <c r="A307" s="23">
        <f>ROW()-3</f>
        <v>304</v>
      </c>
      <c r="B307" s="42" t="s">
        <v>2732</v>
      </c>
      <c r="C307" s="42" t="s">
        <v>3329</v>
      </c>
      <c r="D307" s="43" t="s">
        <v>5601</v>
      </c>
      <c r="E307" s="43" t="s">
        <v>3460</v>
      </c>
      <c r="F307" s="43" t="s">
        <v>3431</v>
      </c>
      <c r="G307" s="42" t="s">
        <v>34</v>
      </c>
      <c r="H307" s="42">
        <v>1</v>
      </c>
      <c r="I307" s="44">
        <v>0.6</v>
      </c>
      <c r="J307" s="45">
        <v>44011</v>
      </c>
      <c r="K307" s="46" t="s">
        <v>20</v>
      </c>
      <c r="L307" s="47">
        <v>4.99</v>
      </c>
      <c r="M307" s="32"/>
    </row>
    <row r="308" spans="1:13" ht="35" customHeight="1">
      <c r="A308" s="23">
        <f>ROW()-3</f>
        <v>305</v>
      </c>
      <c r="B308" s="42" t="s">
        <v>2732</v>
      </c>
      <c r="C308" s="42" t="s">
        <v>3329</v>
      </c>
      <c r="D308" s="43" t="s">
        <v>3461</v>
      </c>
      <c r="E308" s="43" t="s">
        <v>3462</v>
      </c>
      <c r="F308" s="43" t="s">
        <v>3335</v>
      </c>
      <c r="G308" s="42" t="s">
        <v>34</v>
      </c>
      <c r="H308" s="42">
        <v>1</v>
      </c>
      <c r="I308" s="44">
        <v>0.5</v>
      </c>
      <c r="J308" s="45">
        <v>44011</v>
      </c>
      <c r="K308" s="46" t="s">
        <v>20</v>
      </c>
      <c r="L308" s="47">
        <v>4.99</v>
      </c>
      <c r="M308" s="32"/>
    </row>
    <row r="309" spans="1:13" ht="35" customHeight="1">
      <c r="A309" s="23">
        <f>ROW()-3</f>
        <v>306</v>
      </c>
      <c r="B309" s="42" t="s">
        <v>2732</v>
      </c>
      <c r="C309" s="42" t="s">
        <v>3329</v>
      </c>
      <c r="D309" s="43" t="s">
        <v>5602</v>
      </c>
      <c r="E309" s="43" t="s">
        <v>3463</v>
      </c>
      <c r="F309" s="43" t="s">
        <v>3335</v>
      </c>
      <c r="G309" s="42" t="s">
        <v>34</v>
      </c>
      <c r="H309" s="42">
        <v>1</v>
      </c>
      <c r="I309" s="44">
        <v>0.5</v>
      </c>
      <c r="J309" s="45">
        <v>44011</v>
      </c>
      <c r="K309" s="46" t="s">
        <v>20</v>
      </c>
      <c r="L309" s="47">
        <v>5.99</v>
      </c>
      <c r="M309" s="32"/>
    </row>
    <row r="310" spans="1:13" ht="35" customHeight="1">
      <c r="A310" s="23">
        <f>ROW()-3</f>
        <v>307</v>
      </c>
      <c r="B310" s="42" t="s">
        <v>2732</v>
      </c>
      <c r="C310" s="42" t="s">
        <v>3329</v>
      </c>
      <c r="D310" s="43" t="s">
        <v>5603</v>
      </c>
      <c r="E310" s="43" t="s">
        <v>3463</v>
      </c>
      <c r="F310" s="43" t="s">
        <v>3335</v>
      </c>
      <c r="G310" s="42" t="s">
        <v>34</v>
      </c>
      <c r="H310" s="42">
        <v>11</v>
      </c>
      <c r="I310" s="44">
        <v>6.05</v>
      </c>
      <c r="J310" s="45">
        <v>44032</v>
      </c>
      <c r="K310" s="46" t="s">
        <v>20</v>
      </c>
      <c r="L310" s="47">
        <v>4.99</v>
      </c>
      <c r="M310" s="32"/>
    </row>
    <row r="311" spans="1:13" ht="35" customHeight="1">
      <c r="A311" s="23">
        <f>ROW()-3</f>
        <v>308</v>
      </c>
      <c r="B311" s="42" t="s">
        <v>2732</v>
      </c>
      <c r="C311" s="42" t="s">
        <v>3329</v>
      </c>
      <c r="D311" s="43" t="s">
        <v>3464</v>
      </c>
      <c r="E311" s="43" t="s">
        <v>130</v>
      </c>
      <c r="F311" s="43" t="s">
        <v>2948</v>
      </c>
      <c r="G311" s="42" t="s">
        <v>34</v>
      </c>
      <c r="H311" s="42">
        <v>4</v>
      </c>
      <c r="I311" s="44">
        <v>2.63</v>
      </c>
      <c r="J311" s="45">
        <v>44046</v>
      </c>
      <c r="K311" s="46" t="s">
        <v>20</v>
      </c>
      <c r="L311" s="47">
        <v>4.99</v>
      </c>
      <c r="M311" s="32"/>
    </row>
    <row r="312" spans="1:13" ht="35" customHeight="1">
      <c r="A312" s="23">
        <f>ROW()-3</f>
        <v>309</v>
      </c>
      <c r="B312" s="42" t="s">
        <v>2732</v>
      </c>
      <c r="C312" s="42" t="s">
        <v>3329</v>
      </c>
      <c r="D312" s="43" t="s">
        <v>3465</v>
      </c>
      <c r="E312" s="43" t="s">
        <v>457</v>
      </c>
      <c r="F312" s="43" t="s">
        <v>2745</v>
      </c>
      <c r="G312" s="42" t="s">
        <v>34</v>
      </c>
      <c r="H312" s="42">
        <v>2</v>
      </c>
      <c r="I312" s="44">
        <v>74.3</v>
      </c>
      <c r="J312" s="45">
        <v>44046</v>
      </c>
      <c r="K312" s="46" t="s">
        <v>20</v>
      </c>
      <c r="L312" s="47">
        <v>4.99</v>
      </c>
      <c r="M312" s="32"/>
    </row>
    <row r="313" spans="1:13" ht="35" customHeight="1">
      <c r="A313" s="23">
        <f>ROW()-3</f>
        <v>310</v>
      </c>
      <c r="B313" s="42" t="s">
        <v>2732</v>
      </c>
      <c r="C313" s="42" t="s">
        <v>3329</v>
      </c>
      <c r="D313" s="43" t="s">
        <v>3466</v>
      </c>
      <c r="E313" s="43" t="s">
        <v>3467</v>
      </c>
      <c r="F313" s="43" t="s">
        <v>2948</v>
      </c>
      <c r="G313" s="42" t="s">
        <v>34</v>
      </c>
      <c r="H313" s="42">
        <v>10</v>
      </c>
      <c r="I313" s="44">
        <v>6.4</v>
      </c>
      <c r="J313" s="45">
        <v>44046</v>
      </c>
      <c r="K313" s="46" t="s">
        <v>20</v>
      </c>
      <c r="L313" s="47">
        <v>4.99</v>
      </c>
      <c r="M313" s="32"/>
    </row>
    <row r="314" spans="1:13" ht="35" customHeight="1">
      <c r="A314" s="23">
        <f>ROW()-3</f>
        <v>311</v>
      </c>
      <c r="B314" s="42" t="s">
        <v>2732</v>
      </c>
      <c r="C314" s="42" t="s">
        <v>3329</v>
      </c>
      <c r="D314" s="43" t="s">
        <v>3468</v>
      </c>
      <c r="E314" s="43" t="s">
        <v>3469</v>
      </c>
      <c r="F314" s="43" t="s">
        <v>2948</v>
      </c>
      <c r="G314" s="42" t="s">
        <v>34</v>
      </c>
      <c r="H314" s="42">
        <v>2</v>
      </c>
      <c r="I314" s="44">
        <v>1.08</v>
      </c>
      <c r="J314" s="45">
        <v>44046</v>
      </c>
      <c r="K314" s="46" t="s">
        <v>20</v>
      </c>
      <c r="L314" s="47">
        <v>4.99</v>
      </c>
      <c r="M314" s="32"/>
    </row>
    <row r="315" spans="1:13" ht="35" customHeight="1">
      <c r="A315" s="23">
        <f>ROW()-3</f>
        <v>312</v>
      </c>
      <c r="B315" s="42" t="s">
        <v>2732</v>
      </c>
      <c r="C315" s="42" t="s">
        <v>3329</v>
      </c>
      <c r="D315" s="43" t="s">
        <v>3441</v>
      </c>
      <c r="E315" s="43" t="s">
        <v>3442</v>
      </c>
      <c r="F315" s="43" t="s">
        <v>2948</v>
      </c>
      <c r="G315" s="42" t="s">
        <v>34</v>
      </c>
      <c r="H315" s="42">
        <v>3</v>
      </c>
      <c r="I315" s="44">
        <v>0.9</v>
      </c>
      <c r="J315" s="45">
        <v>44053</v>
      </c>
      <c r="K315" s="46" t="s">
        <v>20</v>
      </c>
      <c r="L315" s="47">
        <v>4.99</v>
      </c>
      <c r="M315" s="32"/>
    </row>
    <row r="316" spans="1:13" ht="35" customHeight="1">
      <c r="A316" s="23">
        <f>ROW()-3</f>
        <v>313</v>
      </c>
      <c r="B316" s="42" t="s">
        <v>2732</v>
      </c>
      <c r="C316" s="42" t="s">
        <v>3329</v>
      </c>
      <c r="D316" s="43" t="s">
        <v>3420</v>
      </c>
      <c r="E316" s="43" t="s">
        <v>3442</v>
      </c>
      <c r="F316" s="43" t="s">
        <v>2745</v>
      </c>
      <c r="G316" s="42" t="s">
        <v>34</v>
      </c>
      <c r="H316" s="42">
        <v>4</v>
      </c>
      <c r="I316" s="44">
        <v>2.46</v>
      </c>
      <c r="J316" s="45">
        <v>44060</v>
      </c>
      <c r="K316" s="46" t="s">
        <v>20</v>
      </c>
      <c r="L316" s="47">
        <v>4.99</v>
      </c>
      <c r="M316" s="32"/>
    </row>
    <row r="317" spans="1:13" ht="35" customHeight="1">
      <c r="A317" s="23">
        <f>ROW()-3</f>
        <v>314</v>
      </c>
      <c r="B317" s="42" t="s">
        <v>2732</v>
      </c>
      <c r="C317" s="42" t="s">
        <v>3329</v>
      </c>
      <c r="D317" s="43" t="s">
        <v>3470</v>
      </c>
      <c r="E317" s="43" t="s">
        <v>3471</v>
      </c>
      <c r="F317" s="43" t="s">
        <v>2745</v>
      </c>
      <c r="G317" s="42" t="s">
        <v>34</v>
      </c>
      <c r="H317" s="42">
        <v>11</v>
      </c>
      <c r="I317" s="44">
        <v>4.21</v>
      </c>
      <c r="J317" s="45">
        <v>44060</v>
      </c>
      <c r="K317" s="46" t="s">
        <v>20</v>
      </c>
      <c r="L317" s="47">
        <v>4.99</v>
      </c>
      <c r="M317" s="32"/>
    </row>
    <row r="318" spans="1:13" ht="35" customHeight="1">
      <c r="A318" s="23">
        <f>ROW()-3</f>
        <v>315</v>
      </c>
      <c r="B318" s="42" t="s">
        <v>2732</v>
      </c>
      <c r="C318" s="42" t="s">
        <v>3329</v>
      </c>
      <c r="D318" s="43" t="s">
        <v>3472</v>
      </c>
      <c r="E318" s="43" t="s">
        <v>3473</v>
      </c>
      <c r="F318" s="43" t="s">
        <v>2948</v>
      </c>
      <c r="G318" s="42" t="s">
        <v>34</v>
      </c>
      <c r="H318" s="42">
        <v>2</v>
      </c>
      <c r="I318" s="44">
        <v>1.21</v>
      </c>
      <c r="J318" s="45">
        <v>44060</v>
      </c>
      <c r="K318" s="46" t="s">
        <v>20</v>
      </c>
      <c r="L318" s="47">
        <v>4.99</v>
      </c>
      <c r="M318" s="32"/>
    </row>
    <row r="319" spans="1:13" ht="35" customHeight="1">
      <c r="A319" s="23">
        <f>ROW()-3</f>
        <v>316</v>
      </c>
      <c r="B319" s="42" t="s">
        <v>2732</v>
      </c>
      <c r="C319" s="42" t="s">
        <v>3329</v>
      </c>
      <c r="D319" s="43" t="s">
        <v>3474</v>
      </c>
      <c r="E319" s="43" t="s">
        <v>3475</v>
      </c>
      <c r="F319" s="43" t="s">
        <v>2948</v>
      </c>
      <c r="G319" s="42" t="s">
        <v>34</v>
      </c>
      <c r="H319" s="42">
        <v>5</v>
      </c>
      <c r="I319" s="44">
        <v>2.08</v>
      </c>
      <c r="J319" s="45">
        <v>44060</v>
      </c>
      <c r="K319" s="46" t="s">
        <v>20</v>
      </c>
      <c r="L319" s="47">
        <v>4.99</v>
      </c>
      <c r="M319" s="32"/>
    </row>
    <row r="320" spans="1:13" ht="35" customHeight="1">
      <c r="A320" s="23">
        <f>ROW()-3</f>
        <v>317</v>
      </c>
      <c r="B320" s="42" t="s">
        <v>2732</v>
      </c>
      <c r="C320" s="42" t="s">
        <v>3329</v>
      </c>
      <c r="D320" s="43" t="s">
        <v>3476</v>
      </c>
      <c r="E320" s="43" t="s">
        <v>3477</v>
      </c>
      <c r="F320" s="43" t="s">
        <v>2948</v>
      </c>
      <c r="G320" s="42" t="s">
        <v>34</v>
      </c>
      <c r="H320" s="42">
        <v>2</v>
      </c>
      <c r="I320" s="44">
        <v>0.91</v>
      </c>
      <c r="J320" s="45">
        <v>44060</v>
      </c>
      <c r="K320" s="46" t="s">
        <v>20</v>
      </c>
      <c r="L320" s="47">
        <v>4.99</v>
      </c>
      <c r="M320" s="32"/>
    </row>
    <row r="321" spans="1:13" ht="35" customHeight="1">
      <c r="A321" s="23">
        <f>ROW()-3</f>
        <v>318</v>
      </c>
      <c r="B321" s="42" t="s">
        <v>2732</v>
      </c>
      <c r="C321" s="42" t="s">
        <v>3329</v>
      </c>
      <c r="D321" s="43" t="s">
        <v>3478</v>
      </c>
      <c r="E321" s="43" t="s">
        <v>3479</v>
      </c>
      <c r="F321" s="43" t="s">
        <v>2948</v>
      </c>
      <c r="G321" s="42" t="s">
        <v>34</v>
      </c>
      <c r="H321" s="42">
        <v>7</v>
      </c>
      <c r="I321" s="44">
        <v>3.5</v>
      </c>
      <c r="J321" s="45">
        <v>44067</v>
      </c>
      <c r="K321" s="46" t="s">
        <v>20</v>
      </c>
      <c r="L321" s="47">
        <v>4.99</v>
      </c>
      <c r="M321" s="32"/>
    </row>
    <row r="322" spans="1:13" ht="35" customHeight="1">
      <c r="A322" s="23">
        <f>ROW()-3</f>
        <v>319</v>
      </c>
      <c r="B322" s="42" t="s">
        <v>2732</v>
      </c>
      <c r="C322" s="42" t="s">
        <v>3329</v>
      </c>
      <c r="D322" s="43" t="s">
        <v>3480</v>
      </c>
      <c r="E322" s="43" t="s">
        <v>3481</v>
      </c>
      <c r="F322" s="43" t="s">
        <v>2948</v>
      </c>
      <c r="G322" s="42" t="s">
        <v>34</v>
      </c>
      <c r="H322" s="42">
        <v>4</v>
      </c>
      <c r="I322" s="44">
        <v>2.67</v>
      </c>
      <c r="J322" s="45">
        <v>44067</v>
      </c>
      <c r="K322" s="46" t="s">
        <v>20</v>
      </c>
      <c r="L322" s="47">
        <v>4.99</v>
      </c>
      <c r="M322" s="32"/>
    </row>
    <row r="323" spans="1:13" ht="35" customHeight="1">
      <c r="A323" s="23">
        <f>ROW()-3</f>
        <v>320</v>
      </c>
      <c r="B323" s="42" t="s">
        <v>2732</v>
      </c>
      <c r="C323" s="42" t="s">
        <v>3329</v>
      </c>
      <c r="D323" s="43" t="s">
        <v>3482</v>
      </c>
      <c r="E323" s="43" t="s">
        <v>130</v>
      </c>
      <c r="F323" s="43" t="s">
        <v>2948</v>
      </c>
      <c r="G323" s="42" t="s">
        <v>34</v>
      </c>
      <c r="H323" s="42">
        <v>2</v>
      </c>
      <c r="I323" s="44">
        <v>0.95</v>
      </c>
      <c r="J323" s="45">
        <v>44074</v>
      </c>
      <c r="K323" s="46" t="s">
        <v>20</v>
      </c>
      <c r="L323" s="47">
        <v>4.99</v>
      </c>
      <c r="M323" s="32"/>
    </row>
    <row r="324" spans="1:13" ht="35" customHeight="1">
      <c r="A324" s="23">
        <f>ROW()-3</f>
        <v>321</v>
      </c>
      <c r="B324" s="42" t="s">
        <v>2732</v>
      </c>
      <c r="C324" s="42" t="s">
        <v>3329</v>
      </c>
      <c r="D324" s="43" t="s">
        <v>3453</v>
      </c>
      <c r="E324" s="43" t="s">
        <v>3483</v>
      </c>
      <c r="F324" s="43" t="s">
        <v>2948</v>
      </c>
      <c r="G324" s="42" t="s">
        <v>34</v>
      </c>
      <c r="H324" s="42">
        <v>3</v>
      </c>
      <c r="I324" s="44">
        <v>1.26</v>
      </c>
      <c r="J324" s="45">
        <v>44074</v>
      </c>
      <c r="K324" s="46" t="s">
        <v>20</v>
      </c>
      <c r="L324" s="47">
        <v>4.99</v>
      </c>
      <c r="M324" s="32"/>
    </row>
    <row r="325" spans="1:13" ht="35" customHeight="1">
      <c r="A325" s="23">
        <f>ROW()-3</f>
        <v>322</v>
      </c>
      <c r="B325" s="42" t="s">
        <v>2732</v>
      </c>
      <c r="C325" s="42" t="s">
        <v>3329</v>
      </c>
      <c r="D325" s="43" t="s">
        <v>3484</v>
      </c>
      <c r="E325" s="43" t="s">
        <v>3485</v>
      </c>
      <c r="F325" s="43" t="s">
        <v>2948</v>
      </c>
      <c r="G325" s="42" t="s">
        <v>34</v>
      </c>
      <c r="H325" s="42">
        <v>3</v>
      </c>
      <c r="I325" s="44">
        <v>1.4</v>
      </c>
      <c r="J325" s="45">
        <v>44074</v>
      </c>
      <c r="K325" s="46" t="s">
        <v>20</v>
      </c>
      <c r="L325" s="47">
        <v>4.99</v>
      </c>
      <c r="M325" s="32"/>
    </row>
    <row r="326" spans="1:13" ht="35" customHeight="1">
      <c r="A326" s="23">
        <f>ROW()-3</f>
        <v>323</v>
      </c>
      <c r="B326" s="42" t="s">
        <v>2732</v>
      </c>
      <c r="C326" s="42" t="s">
        <v>3329</v>
      </c>
      <c r="D326" s="43" t="s">
        <v>3486</v>
      </c>
      <c r="E326" s="43" t="s">
        <v>3487</v>
      </c>
      <c r="F326" s="43" t="s">
        <v>2948</v>
      </c>
      <c r="G326" s="42" t="s">
        <v>34</v>
      </c>
      <c r="H326" s="42">
        <v>3</v>
      </c>
      <c r="I326" s="44">
        <v>1.1000000000000001</v>
      </c>
      <c r="J326" s="45">
        <v>44081</v>
      </c>
      <c r="K326" s="46" t="s">
        <v>20</v>
      </c>
      <c r="L326" s="47">
        <v>4.99</v>
      </c>
      <c r="M326" s="32"/>
    </row>
    <row r="327" spans="1:13" ht="35" customHeight="1">
      <c r="A327" s="23">
        <f>ROW()-3</f>
        <v>324</v>
      </c>
      <c r="B327" s="42" t="s">
        <v>2732</v>
      </c>
      <c r="C327" s="42" t="s">
        <v>3329</v>
      </c>
      <c r="D327" s="43" t="s">
        <v>3488</v>
      </c>
      <c r="E327" s="43" t="s">
        <v>3489</v>
      </c>
      <c r="F327" s="43" t="s">
        <v>2948</v>
      </c>
      <c r="G327" s="42" t="s">
        <v>34</v>
      </c>
      <c r="H327" s="42">
        <v>8</v>
      </c>
      <c r="I327" s="44">
        <v>4.0199999999999996</v>
      </c>
      <c r="J327" s="45">
        <v>44081</v>
      </c>
      <c r="K327" s="46" t="s">
        <v>20</v>
      </c>
      <c r="L327" s="47">
        <v>4.99</v>
      </c>
      <c r="M327" s="32"/>
    </row>
    <row r="328" spans="1:13" ht="35" customHeight="1">
      <c r="A328" s="23">
        <f>ROW()-3</f>
        <v>325</v>
      </c>
      <c r="B328" s="42" t="s">
        <v>2732</v>
      </c>
      <c r="C328" s="42" t="s">
        <v>3329</v>
      </c>
      <c r="D328" s="43" t="s">
        <v>3490</v>
      </c>
      <c r="E328" s="43" t="s">
        <v>3491</v>
      </c>
      <c r="F328" s="43" t="s">
        <v>2948</v>
      </c>
      <c r="G328" s="42" t="s">
        <v>34</v>
      </c>
      <c r="H328" s="42">
        <v>2</v>
      </c>
      <c r="I328" s="44">
        <v>1.2</v>
      </c>
      <c r="J328" s="45">
        <v>44081</v>
      </c>
      <c r="K328" s="46" t="s">
        <v>20</v>
      </c>
      <c r="L328" s="47">
        <v>4.99</v>
      </c>
      <c r="M328" s="32"/>
    </row>
    <row r="329" spans="1:13" ht="35" customHeight="1">
      <c r="A329" s="23">
        <f>ROW()-3</f>
        <v>326</v>
      </c>
      <c r="B329" s="42" t="s">
        <v>2732</v>
      </c>
      <c r="C329" s="42" t="s">
        <v>3329</v>
      </c>
      <c r="D329" s="43" t="s">
        <v>3353</v>
      </c>
      <c r="E329" s="43" t="s">
        <v>3354</v>
      </c>
      <c r="F329" s="43" t="s">
        <v>2828</v>
      </c>
      <c r="G329" s="42" t="s">
        <v>34</v>
      </c>
      <c r="H329" s="42">
        <v>1</v>
      </c>
      <c r="I329" s="44">
        <v>0.55000000000000004</v>
      </c>
      <c r="J329" s="45">
        <v>44137</v>
      </c>
      <c r="K329" s="46" t="s">
        <v>20</v>
      </c>
      <c r="L329" s="47">
        <v>4.99</v>
      </c>
      <c r="M329" s="32"/>
    </row>
    <row r="330" spans="1:13" ht="35" customHeight="1">
      <c r="A330" s="23">
        <f>ROW()-3</f>
        <v>327</v>
      </c>
      <c r="B330" s="42" t="s">
        <v>2732</v>
      </c>
      <c r="C330" s="42" t="s">
        <v>3329</v>
      </c>
      <c r="D330" s="43" t="s">
        <v>3355</v>
      </c>
      <c r="E330" s="43" t="s">
        <v>3356</v>
      </c>
      <c r="F330" s="43" t="s">
        <v>1259</v>
      </c>
      <c r="G330" s="42" t="s">
        <v>34</v>
      </c>
      <c r="H330" s="42">
        <v>1</v>
      </c>
      <c r="I330" s="44">
        <v>0.53</v>
      </c>
      <c r="J330" s="45">
        <v>44137</v>
      </c>
      <c r="K330" s="46" t="s">
        <v>20</v>
      </c>
      <c r="L330" s="47">
        <v>4.99</v>
      </c>
      <c r="M330" s="32"/>
    </row>
    <row r="331" spans="1:13" ht="35" customHeight="1">
      <c r="A331" s="23">
        <f>ROW()-3</f>
        <v>328</v>
      </c>
      <c r="B331" s="42" t="s">
        <v>2732</v>
      </c>
      <c r="C331" s="42" t="s">
        <v>3329</v>
      </c>
      <c r="D331" s="43" t="s">
        <v>3357</v>
      </c>
      <c r="E331" s="43" t="s">
        <v>3358</v>
      </c>
      <c r="F331" s="43" t="s">
        <v>2905</v>
      </c>
      <c r="G331" s="42" t="s">
        <v>34</v>
      </c>
      <c r="H331" s="42">
        <v>1</v>
      </c>
      <c r="I331" s="44">
        <v>0.47</v>
      </c>
      <c r="J331" s="45">
        <v>44137</v>
      </c>
      <c r="K331" s="46" t="s">
        <v>20</v>
      </c>
      <c r="L331" s="47">
        <v>4.99</v>
      </c>
      <c r="M331" s="32"/>
    </row>
    <row r="332" spans="1:13" ht="35" customHeight="1">
      <c r="A332" s="23">
        <f>ROW()-3</f>
        <v>329</v>
      </c>
      <c r="B332" s="42" t="s">
        <v>2732</v>
      </c>
      <c r="C332" s="42" t="s">
        <v>3329</v>
      </c>
      <c r="D332" s="43" t="s">
        <v>3359</v>
      </c>
      <c r="E332" s="43" t="s">
        <v>3358</v>
      </c>
      <c r="F332" s="43" t="s">
        <v>2905</v>
      </c>
      <c r="G332" s="42" t="s">
        <v>34</v>
      </c>
      <c r="H332" s="42">
        <v>1</v>
      </c>
      <c r="I332" s="44">
        <v>0.49</v>
      </c>
      <c r="J332" s="45">
        <v>44137</v>
      </c>
      <c r="K332" s="46" t="s">
        <v>20</v>
      </c>
      <c r="L332" s="47">
        <v>4.99</v>
      </c>
      <c r="M332" s="32"/>
    </row>
    <row r="333" spans="1:13" ht="35" customHeight="1">
      <c r="A333" s="23">
        <f>ROW()-3</f>
        <v>330</v>
      </c>
      <c r="B333" s="42" t="s">
        <v>2732</v>
      </c>
      <c r="C333" s="42" t="s">
        <v>3329</v>
      </c>
      <c r="D333" s="43" t="s">
        <v>3360</v>
      </c>
      <c r="E333" s="43" t="s">
        <v>3361</v>
      </c>
      <c r="F333" s="43" t="s">
        <v>3362</v>
      </c>
      <c r="G333" s="42" t="s">
        <v>34</v>
      </c>
      <c r="H333" s="42">
        <v>1</v>
      </c>
      <c r="I333" s="44">
        <v>0.45</v>
      </c>
      <c r="J333" s="45">
        <v>44137</v>
      </c>
      <c r="K333" s="46" t="s">
        <v>20</v>
      </c>
      <c r="L333" s="47">
        <v>4.99</v>
      </c>
      <c r="M333" s="32"/>
    </row>
    <row r="334" spans="1:13" ht="35" customHeight="1">
      <c r="A334" s="23">
        <f>ROW()-3</f>
        <v>331</v>
      </c>
      <c r="B334" s="42" t="s">
        <v>2732</v>
      </c>
      <c r="C334" s="42" t="s">
        <v>3329</v>
      </c>
      <c r="D334" s="43" t="s">
        <v>3363</v>
      </c>
      <c r="E334" s="43" t="s">
        <v>3364</v>
      </c>
      <c r="F334" s="43" t="s">
        <v>3362</v>
      </c>
      <c r="G334" s="42" t="s">
        <v>34</v>
      </c>
      <c r="H334" s="42">
        <v>1</v>
      </c>
      <c r="I334" s="44">
        <v>0.46</v>
      </c>
      <c r="J334" s="45">
        <v>44137</v>
      </c>
      <c r="K334" s="46" t="s">
        <v>20</v>
      </c>
      <c r="L334" s="47">
        <v>4.99</v>
      </c>
      <c r="M334" s="32"/>
    </row>
    <row r="335" spans="1:13" ht="35" customHeight="1">
      <c r="A335" s="23">
        <f>ROW()-3</f>
        <v>332</v>
      </c>
      <c r="B335" s="42" t="s">
        <v>2732</v>
      </c>
      <c r="C335" s="42" t="s">
        <v>3329</v>
      </c>
      <c r="D335" s="43" t="s">
        <v>3365</v>
      </c>
      <c r="E335" s="43" t="s">
        <v>3364</v>
      </c>
      <c r="F335" s="43" t="s">
        <v>3362</v>
      </c>
      <c r="G335" s="42" t="s">
        <v>34</v>
      </c>
      <c r="H335" s="42">
        <v>1</v>
      </c>
      <c r="I335" s="44">
        <v>0.55000000000000004</v>
      </c>
      <c r="J335" s="45">
        <v>44137</v>
      </c>
      <c r="K335" s="46" t="s">
        <v>20</v>
      </c>
      <c r="L335" s="47">
        <v>4.99</v>
      </c>
      <c r="M335" s="32"/>
    </row>
    <row r="336" spans="1:13" ht="35" customHeight="1">
      <c r="A336" s="23">
        <f>ROW()-3</f>
        <v>333</v>
      </c>
      <c r="B336" s="42" t="s">
        <v>2732</v>
      </c>
      <c r="C336" s="42" t="s">
        <v>3329</v>
      </c>
      <c r="D336" s="43" t="s">
        <v>3412</v>
      </c>
      <c r="E336" s="43" t="s">
        <v>3413</v>
      </c>
      <c r="F336" s="43" t="s">
        <v>3414</v>
      </c>
      <c r="G336" s="42" t="s">
        <v>34</v>
      </c>
      <c r="H336" s="42">
        <v>1</v>
      </c>
      <c r="I336" s="44">
        <v>0.27</v>
      </c>
      <c r="J336" s="45">
        <v>44137</v>
      </c>
      <c r="K336" s="46" t="s">
        <v>20</v>
      </c>
      <c r="L336" s="47">
        <v>4.99</v>
      </c>
      <c r="M336" s="32"/>
    </row>
    <row r="337" spans="1:13" ht="35" customHeight="1">
      <c r="A337" s="23">
        <f>ROW()-3</f>
        <v>334</v>
      </c>
      <c r="B337" s="42" t="s">
        <v>2732</v>
      </c>
      <c r="C337" s="42" t="s">
        <v>3329</v>
      </c>
      <c r="D337" s="43" t="s">
        <v>3415</v>
      </c>
      <c r="E337" s="43" t="s">
        <v>3416</v>
      </c>
      <c r="F337" s="43" t="s">
        <v>3417</v>
      </c>
      <c r="G337" s="42" t="s">
        <v>34</v>
      </c>
      <c r="H337" s="42">
        <v>1</v>
      </c>
      <c r="I337" s="44">
        <v>0.56000000000000005</v>
      </c>
      <c r="J337" s="45">
        <v>44137</v>
      </c>
      <c r="K337" s="46" t="s">
        <v>20</v>
      </c>
      <c r="L337" s="47">
        <v>4.99</v>
      </c>
      <c r="M337" s="32"/>
    </row>
    <row r="338" spans="1:13" ht="35" customHeight="1">
      <c r="A338" s="23">
        <f>ROW()-3</f>
        <v>335</v>
      </c>
      <c r="B338" s="42" t="s">
        <v>2732</v>
      </c>
      <c r="C338" s="42" t="s">
        <v>3329</v>
      </c>
      <c r="D338" s="43" t="s">
        <v>3418</v>
      </c>
      <c r="E338" s="43" t="s">
        <v>3419</v>
      </c>
      <c r="F338" s="43" t="s">
        <v>3380</v>
      </c>
      <c r="G338" s="42" t="s">
        <v>34</v>
      </c>
      <c r="H338" s="42">
        <v>1</v>
      </c>
      <c r="I338" s="44">
        <v>0.5</v>
      </c>
      <c r="J338" s="45">
        <v>44137</v>
      </c>
      <c r="K338" s="46" t="s">
        <v>20</v>
      </c>
      <c r="L338" s="47">
        <v>4.99</v>
      </c>
      <c r="M338" s="32"/>
    </row>
    <row r="339" spans="1:13" ht="35" customHeight="1">
      <c r="A339" s="23">
        <f>ROW()-3</f>
        <v>336</v>
      </c>
      <c r="B339" s="42" t="s">
        <v>2732</v>
      </c>
      <c r="C339" s="42" t="s">
        <v>3329</v>
      </c>
      <c r="D339" s="43" t="s">
        <v>3366</v>
      </c>
      <c r="E339" s="43" t="s">
        <v>3367</v>
      </c>
      <c r="F339" s="43" t="s">
        <v>3368</v>
      </c>
      <c r="G339" s="42" t="s">
        <v>34</v>
      </c>
      <c r="H339" s="42">
        <v>1</v>
      </c>
      <c r="I339" s="44">
        <v>0.517777777777778</v>
      </c>
      <c r="J339" s="45">
        <v>44144</v>
      </c>
      <c r="K339" s="46" t="s">
        <v>20</v>
      </c>
      <c r="L339" s="47">
        <v>4.99</v>
      </c>
      <c r="M339" s="32"/>
    </row>
    <row r="340" spans="1:13" ht="35" customHeight="1">
      <c r="A340" s="23">
        <f>ROW()-3</f>
        <v>337</v>
      </c>
      <c r="B340" s="42" t="s">
        <v>2732</v>
      </c>
      <c r="C340" s="42" t="s">
        <v>3329</v>
      </c>
      <c r="D340" s="43" t="s">
        <v>3369</v>
      </c>
      <c r="E340" s="43" t="s">
        <v>3370</v>
      </c>
      <c r="F340" s="43" t="s">
        <v>3371</v>
      </c>
      <c r="G340" s="42" t="s">
        <v>34</v>
      </c>
      <c r="H340" s="42">
        <v>1</v>
      </c>
      <c r="I340" s="44">
        <v>0.50111111111111095</v>
      </c>
      <c r="J340" s="45">
        <v>44144</v>
      </c>
      <c r="K340" s="46" t="s">
        <v>20</v>
      </c>
      <c r="L340" s="47">
        <v>4.99</v>
      </c>
      <c r="M340" s="32"/>
    </row>
    <row r="341" spans="1:13" ht="35" customHeight="1">
      <c r="A341" s="23">
        <f>ROW()-3</f>
        <v>338</v>
      </c>
      <c r="B341" s="42" t="s">
        <v>2732</v>
      </c>
      <c r="C341" s="42" t="s">
        <v>3329</v>
      </c>
      <c r="D341" s="43" t="s">
        <v>3372</v>
      </c>
      <c r="E341" s="43" t="s">
        <v>3373</v>
      </c>
      <c r="F341" s="43" t="s">
        <v>3374</v>
      </c>
      <c r="G341" s="42" t="s">
        <v>34</v>
      </c>
      <c r="H341" s="42">
        <v>1</v>
      </c>
      <c r="I341" s="44">
        <v>0.59638888888888897</v>
      </c>
      <c r="J341" s="45">
        <v>44144</v>
      </c>
      <c r="K341" s="46" t="s">
        <v>20</v>
      </c>
      <c r="L341" s="47">
        <v>4.99</v>
      </c>
      <c r="M341" s="32"/>
    </row>
    <row r="342" spans="1:13" ht="35" customHeight="1">
      <c r="A342" s="23">
        <f>ROW()-3</f>
        <v>339</v>
      </c>
      <c r="B342" s="42" t="s">
        <v>2732</v>
      </c>
      <c r="C342" s="42" t="s">
        <v>3329</v>
      </c>
      <c r="D342" s="43" t="s">
        <v>3375</v>
      </c>
      <c r="E342" s="43" t="s">
        <v>3376</v>
      </c>
      <c r="F342" s="43" t="s">
        <v>3377</v>
      </c>
      <c r="G342" s="42" t="s">
        <v>34</v>
      </c>
      <c r="H342" s="42">
        <v>1</v>
      </c>
      <c r="I342" s="44">
        <v>0.9</v>
      </c>
      <c r="J342" s="45">
        <v>44144</v>
      </c>
      <c r="K342" s="46" t="s">
        <v>20</v>
      </c>
      <c r="L342" s="47">
        <v>4.99</v>
      </c>
      <c r="M342" s="32"/>
    </row>
    <row r="343" spans="1:13" ht="35" customHeight="1">
      <c r="A343" s="23">
        <f>ROW()-3</f>
        <v>340</v>
      </c>
      <c r="B343" s="42" t="s">
        <v>2732</v>
      </c>
      <c r="C343" s="42" t="s">
        <v>3329</v>
      </c>
      <c r="D343" s="43" t="s">
        <v>3378</v>
      </c>
      <c r="E343" s="43" t="s">
        <v>3379</v>
      </c>
      <c r="F343" s="43" t="s">
        <v>3380</v>
      </c>
      <c r="G343" s="42" t="s">
        <v>34</v>
      </c>
      <c r="H343" s="42">
        <v>1</v>
      </c>
      <c r="I343" s="44">
        <v>0.36</v>
      </c>
      <c r="J343" s="45">
        <v>44144</v>
      </c>
      <c r="K343" s="46" t="s">
        <v>20</v>
      </c>
      <c r="L343" s="47">
        <v>4.99</v>
      </c>
      <c r="M343" s="32"/>
    </row>
    <row r="344" spans="1:13" ht="35" customHeight="1">
      <c r="A344" s="23">
        <f>ROW()-3</f>
        <v>341</v>
      </c>
      <c r="B344" s="42" t="s">
        <v>2732</v>
      </c>
      <c r="C344" s="42" t="s">
        <v>3329</v>
      </c>
      <c r="D344" s="43" t="s">
        <v>3390</v>
      </c>
      <c r="E344" s="43" t="s">
        <v>3364</v>
      </c>
      <c r="F344" s="43" t="s">
        <v>3380</v>
      </c>
      <c r="G344" s="42" t="s">
        <v>34</v>
      </c>
      <c r="H344" s="42">
        <v>1</v>
      </c>
      <c r="I344" s="44">
        <v>0.56000000000000005</v>
      </c>
      <c r="J344" s="45">
        <v>44144</v>
      </c>
      <c r="K344" s="46" t="s">
        <v>20</v>
      </c>
      <c r="L344" s="47">
        <v>4.99</v>
      </c>
      <c r="M344" s="32"/>
    </row>
    <row r="345" spans="1:13" ht="35" customHeight="1">
      <c r="A345" s="23">
        <f>ROW()-3</f>
        <v>342</v>
      </c>
      <c r="B345" s="42" t="s">
        <v>2732</v>
      </c>
      <c r="C345" s="42" t="s">
        <v>3329</v>
      </c>
      <c r="D345" s="43" t="s">
        <v>3391</v>
      </c>
      <c r="E345" s="43" t="s">
        <v>3392</v>
      </c>
      <c r="F345" s="43" t="s">
        <v>3203</v>
      </c>
      <c r="G345" s="42" t="s">
        <v>34</v>
      </c>
      <c r="H345" s="42">
        <v>1</v>
      </c>
      <c r="I345" s="44">
        <v>0.57999999999999996</v>
      </c>
      <c r="J345" s="45">
        <v>44144</v>
      </c>
      <c r="K345" s="46" t="s">
        <v>20</v>
      </c>
      <c r="L345" s="47">
        <v>4.99</v>
      </c>
      <c r="M345" s="32"/>
    </row>
    <row r="346" spans="1:13" ht="35" customHeight="1">
      <c r="A346" s="23">
        <f>ROW()-3</f>
        <v>343</v>
      </c>
      <c r="B346" s="42" t="s">
        <v>2732</v>
      </c>
      <c r="C346" s="42" t="s">
        <v>3329</v>
      </c>
      <c r="D346" s="43" t="s">
        <v>3393</v>
      </c>
      <c r="E346" s="43" t="s">
        <v>3394</v>
      </c>
      <c r="F346" s="43" t="s">
        <v>3395</v>
      </c>
      <c r="G346" s="42" t="s">
        <v>34</v>
      </c>
      <c r="H346" s="42">
        <v>1</v>
      </c>
      <c r="I346" s="44">
        <v>0.5</v>
      </c>
      <c r="J346" s="45">
        <v>44144</v>
      </c>
      <c r="K346" s="46" t="s">
        <v>20</v>
      </c>
      <c r="L346" s="47">
        <v>4.99</v>
      </c>
      <c r="M346" s="32"/>
    </row>
    <row r="347" spans="1:13" ht="35" customHeight="1">
      <c r="A347" s="23">
        <f>ROW()-3</f>
        <v>344</v>
      </c>
      <c r="B347" s="42" t="s">
        <v>2732</v>
      </c>
      <c r="C347" s="42" t="s">
        <v>3329</v>
      </c>
      <c r="D347" s="43" t="s">
        <v>3396</v>
      </c>
      <c r="E347" s="43" t="s">
        <v>3397</v>
      </c>
      <c r="F347" s="43" t="s">
        <v>3371</v>
      </c>
      <c r="G347" s="42" t="s">
        <v>34</v>
      </c>
      <c r="H347" s="42">
        <v>1</v>
      </c>
      <c r="I347" s="44">
        <v>0.49</v>
      </c>
      <c r="J347" s="45">
        <v>44144</v>
      </c>
      <c r="K347" s="46" t="s">
        <v>20</v>
      </c>
      <c r="L347" s="47">
        <v>4.99</v>
      </c>
      <c r="M347" s="32"/>
    </row>
    <row r="348" spans="1:13" ht="35" customHeight="1">
      <c r="A348" s="23">
        <f>ROW()-3</f>
        <v>345</v>
      </c>
      <c r="B348" s="42" t="s">
        <v>2732</v>
      </c>
      <c r="C348" s="42" t="s">
        <v>3329</v>
      </c>
      <c r="D348" s="43" t="s">
        <v>3398</v>
      </c>
      <c r="E348" s="43" t="s">
        <v>3399</v>
      </c>
      <c r="F348" s="43" t="s">
        <v>3380</v>
      </c>
      <c r="G348" s="42" t="s">
        <v>34</v>
      </c>
      <c r="H348" s="42">
        <v>1</v>
      </c>
      <c r="I348" s="44">
        <v>0.45</v>
      </c>
      <c r="J348" s="45">
        <v>44144</v>
      </c>
      <c r="K348" s="46" t="s">
        <v>20</v>
      </c>
      <c r="L348" s="47">
        <v>4.99</v>
      </c>
      <c r="M348" s="32"/>
    </row>
    <row r="349" spans="1:13" ht="35" customHeight="1">
      <c r="A349" s="23">
        <f>ROW()-3</f>
        <v>346</v>
      </c>
      <c r="B349" s="42" t="s">
        <v>2732</v>
      </c>
      <c r="C349" s="42" t="s">
        <v>3329</v>
      </c>
      <c r="D349" s="43" t="s">
        <v>3400</v>
      </c>
      <c r="E349" s="43" t="s">
        <v>3401</v>
      </c>
      <c r="F349" s="43" t="s">
        <v>3402</v>
      </c>
      <c r="G349" s="42" t="s">
        <v>34</v>
      </c>
      <c r="H349" s="42">
        <v>1</v>
      </c>
      <c r="I349" s="44">
        <v>0.46</v>
      </c>
      <c r="J349" s="45">
        <v>44144</v>
      </c>
      <c r="K349" s="46" t="s">
        <v>20</v>
      </c>
      <c r="L349" s="47">
        <v>4.99</v>
      </c>
      <c r="M349" s="32"/>
    </row>
    <row r="350" spans="1:13" ht="35" customHeight="1">
      <c r="A350" s="23">
        <f>ROW()-3</f>
        <v>347</v>
      </c>
      <c r="B350" s="42" t="s">
        <v>2732</v>
      </c>
      <c r="C350" s="42" t="s">
        <v>3329</v>
      </c>
      <c r="D350" s="43" t="s">
        <v>3403</v>
      </c>
      <c r="E350" s="43" t="s">
        <v>3404</v>
      </c>
      <c r="F350" s="43" t="s">
        <v>3380</v>
      </c>
      <c r="G350" s="42" t="s">
        <v>34</v>
      </c>
      <c r="H350" s="42">
        <v>1</v>
      </c>
      <c r="I350" s="44">
        <v>0.55000000000000004</v>
      </c>
      <c r="J350" s="45">
        <v>44144</v>
      </c>
      <c r="K350" s="46" t="s">
        <v>20</v>
      </c>
      <c r="L350" s="47">
        <v>4.99</v>
      </c>
      <c r="M350" s="32"/>
    </row>
    <row r="351" spans="1:13" ht="35" customHeight="1">
      <c r="A351" s="23">
        <f>ROW()-3</f>
        <v>348</v>
      </c>
      <c r="B351" s="42" t="s">
        <v>2732</v>
      </c>
      <c r="C351" s="42" t="s">
        <v>3329</v>
      </c>
      <c r="D351" s="43" t="s">
        <v>3405</v>
      </c>
      <c r="E351" s="43" t="s">
        <v>3406</v>
      </c>
      <c r="F351" s="43" t="s">
        <v>3407</v>
      </c>
      <c r="G351" s="42" t="s">
        <v>34</v>
      </c>
      <c r="H351" s="42">
        <v>1</v>
      </c>
      <c r="I351" s="44">
        <v>0.46</v>
      </c>
      <c r="J351" s="45">
        <v>44144</v>
      </c>
      <c r="K351" s="46" t="s">
        <v>20</v>
      </c>
      <c r="L351" s="47">
        <v>4.99</v>
      </c>
      <c r="M351" s="32"/>
    </row>
    <row r="352" spans="1:13" ht="35" customHeight="1">
      <c r="A352" s="23">
        <f>ROW()-3</f>
        <v>349</v>
      </c>
      <c r="B352" s="42" t="s">
        <v>2732</v>
      </c>
      <c r="C352" s="42" t="s">
        <v>3329</v>
      </c>
      <c r="D352" s="43" t="s">
        <v>3408</v>
      </c>
      <c r="E352" s="43" t="s">
        <v>3409</v>
      </c>
      <c r="F352" s="43" t="s">
        <v>1259</v>
      </c>
      <c r="G352" s="42" t="s">
        <v>34</v>
      </c>
      <c r="H352" s="42">
        <v>1</v>
      </c>
      <c r="I352" s="44">
        <v>0.44</v>
      </c>
      <c r="J352" s="45">
        <v>44144</v>
      </c>
      <c r="K352" s="46" t="s">
        <v>20</v>
      </c>
      <c r="L352" s="47">
        <v>4.99</v>
      </c>
      <c r="M352" s="32"/>
    </row>
    <row r="353" spans="1:13" ht="35" customHeight="1">
      <c r="A353" s="23">
        <f>ROW()-3</f>
        <v>350</v>
      </c>
      <c r="B353" s="42" t="s">
        <v>2732</v>
      </c>
      <c r="C353" s="42" t="s">
        <v>3329</v>
      </c>
      <c r="D353" s="43" t="s">
        <v>3410</v>
      </c>
      <c r="E353" s="43" t="s">
        <v>3411</v>
      </c>
      <c r="F353" s="43" t="s">
        <v>3380</v>
      </c>
      <c r="G353" s="42" t="s">
        <v>34</v>
      </c>
      <c r="H353" s="42">
        <v>1</v>
      </c>
      <c r="I353" s="44">
        <v>0.67</v>
      </c>
      <c r="J353" s="45">
        <v>44144</v>
      </c>
      <c r="K353" s="46" t="s">
        <v>20</v>
      </c>
      <c r="L353" s="47">
        <v>4.99</v>
      </c>
      <c r="M353" s="32"/>
    </row>
    <row r="354" spans="1:13" ht="35" customHeight="1">
      <c r="A354" s="23">
        <f>ROW()-3</f>
        <v>351</v>
      </c>
      <c r="B354" s="42" t="s">
        <v>2732</v>
      </c>
      <c r="C354" s="42" t="s">
        <v>3329</v>
      </c>
      <c r="D354" s="43" t="s">
        <v>3432</v>
      </c>
      <c r="E354" s="43" t="s">
        <v>3433</v>
      </c>
      <c r="F354" s="43" t="s">
        <v>3434</v>
      </c>
      <c r="G354" s="42" t="s">
        <v>34</v>
      </c>
      <c r="H354" s="42">
        <v>1</v>
      </c>
      <c r="I354" s="44">
        <v>0.34083333333333299</v>
      </c>
      <c r="J354" s="45">
        <v>44148</v>
      </c>
      <c r="K354" s="46" t="s">
        <v>20</v>
      </c>
      <c r="L354" s="47">
        <v>4.99</v>
      </c>
      <c r="M354" s="32"/>
    </row>
    <row r="355" spans="1:13" ht="35" customHeight="1">
      <c r="A355" s="23">
        <f>ROW()-3</f>
        <v>352</v>
      </c>
      <c r="B355" s="42" t="s">
        <v>2732</v>
      </c>
      <c r="C355" s="42" t="s">
        <v>3329</v>
      </c>
      <c r="D355" s="43" t="s">
        <v>3435</v>
      </c>
      <c r="E355" s="43" t="s">
        <v>3331</v>
      </c>
      <c r="F355" s="43" t="s">
        <v>3332</v>
      </c>
      <c r="G355" s="42" t="s">
        <v>34</v>
      </c>
      <c r="H355" s="42">
        <v>1</v>
      </c>
      <c r="I355" s="44">
        <v>0.48166666666666702</v>
      </c>
      <c r="J355" s="45">
        <v>44148</v>
      </c>
      <c r="K355" s="46" t="s">
        <v>20</v>
      </c>
      <c r="L355" s="47">
        <v>4.99</v>
      </c>
      <c r="M355" s="32"/>
    </row>
    <row r="356" spans="1:13" ht="35" customHeight="1">
      <c r="A356" s="23">
        <f>ROW()-3</f>
        <v>353</v>
      </c>
      <c r="B356" s="42" t="s">
        <v>2732</v>
      </c>
      <c r="C356" s="42" t="s">
        <v>3329</v>
      </c>
      <c r="D356" s="43" t="s">
        <v>3436</v>
      </c>
      <c r="E356" s="43" t="s">
        <v>3437</v>
      </c>
      <c r="F356" s="43" t="s">
        <v>2837</v>
      </c>
      <c r="G356" s="42" t="s">
        <v>34</v>
      </c>
      <c r="H356" s="42">
        <v>1</v>
      </c>
      <c r="I356" s="44">
        <v>0.51361111111111102</v>
      </c>
      <c r="J356" s="45">
        <v>44148</v>
      </c>
      <c r="K356" s="46" t="s">
        <v>20</v>
      </c>
      <c r="L356" s="47">
        <v>4.99</v>
      </c>
      <c r="M356" s="32"/>
    </row>
    <row r="357" spans="1:13" ht="35" customHeight="1">
      <c r="A357" s="23">
        <f>ROW()-3</f>
        <v>354</v>
      </c>
      <c r="B357" s="42" t="s">
        <v>2732</v>
      </c>
      <c r="C357" s="42" t="s">
        <v>3329</v>
      </c>
      <c r="D357" s="43" t="s">
        <v>3341</v>
      </c>
      <c r="E357" s="43" t="s">
        <v>3342</v>
      </c>
      <c r="F357" s="43" t="s">
        <v>3343</v>
      </c>
      <c r="G357" s="42" t="s">
        <v>34</v>
      </c>
      <c r="H357" s="42">
        <v>1</v>
      </c>
      <c r="I357" s="49">
        <v>0.49</v>
      </c>
      <c r="J357" s="45">
        <v>44151</v>
      </c>
      <c r="K357" s="46" t="s">
        <v>20</v>
      </c>
      <c r="L357" s="47">
        <v>4.99</v>
      </c>
      <c r="M357" s="32"/>
    </row>
    <row r="358" spans="1:13" ht="35" customHeight="1">
      <c r="A358" s="23">
        <f>ROW()-3</f>
        <v>355</v>
      </c>
      <c r="B358" s="42" t="s">
        <v>2732</v>
      </c>
      <c r="C358" s="42" t="s">
        <v>3329</v>
      </c>
      <c r="D358" s="43" t="s">
        <v>3330</v>
      </c>
      <c r="E358" s="43" t="s">
        <v>3331</v>
      </c>
      <c r="F358" s="43" t="s">
        <v>3332</v>
      </c>
      <c r="G358" s="42" t="s">
        <v>34</v>
      </c>
      <c r="H358" s="42">
        <v>1</v>
      </c>
      <c r="I358" s="44">
        <v>0.64472222222222197</v>
      </c>
      <c r="J358" s="45">
        <v>44158</v>
      </c>
      <c r="K358" s="46" t="s">
        <v>20</v>
      </c>
      <c r="L358" s="47">
        <v>4.99</v>
      </c>
      <c r="M358" s="32"/>
    </row>
    <row r="359" spans="1:13" ht="35" customHeight="1">
      <c r="A359" s="23">
        <f>ROW()-3</f>
        <v>356</v>
      </c>
      <c r="B359" s="42" t="s">
        <v>2732</v>
      </c>
      <c r="C359" s="42" t="s">
        <v>3329</v>
      </c>
      <c r="D359" s="43" t="s">
        <v>3338</v>
      </c>
      <c r="E359" s="43" t="s">
        <v>3339</v>
      </c>
      <c r="F359" s="43" t="s">
        <v>3279</v>
      </c>
      <c r="G359" s="42" t="s">
        <v>34</v>
      </c>
      <c r="H359" s="42">
        <v>1</v>
      </c>
      <c r="I359" s="44">
        <v>0.40972222222222199</v>
      </c>
      <c r="J359" s="45">
        <v>44158</v>
      </c>
      <c r="K359" s="46" t="s">
        <v>20</v>
      </c>
      <c r="L359" s="47">
        <v>4.99</v>
      </c>
      <c r="M359" s="32"/>
    </row>
    <row r="360" spans="1:13" ht="35" customHeight="1">
      <c r="A360" s="23">
        <f>ROW()-3</f>
        <v>357</v>
      </c>
      <c r="B360" s="42" t="s">
        <v>2732</v>
      </c>
      <c r="C360" s="42" t="s">
        <v>3329</v>
      </c>
      <c r="D360" s="43" t="s">
        <v>3340</v>
      </c>
      <c r="E360" s="43" t="s">
        <v>3331</v>
      </c>
      <c r="F360" s="43" t="s">
        <v>3332</v>
      </c>
      <c r="G360" s="42" t="s">
        <v>34</v>
      </c>
      <c r="H360" s="42">
        <v>1</v>
      </c>
      <c r="I360" s="44">
        <v>0.51</v>
      </c>
      <c r="J360" s="45">
        <v>44158</v>
      </c>
      <c r="K360" s="46" t="s">
        <v>20</v>
      </c>
      <c r="L360" s="47">
        <v>4.99</v>
      </c>
      <c r="M360" s="32"/>
    </row>
    <row r="361" spans="1:13" ht="35" customHeight="1">
      <c r="A361" s="23">
        <f>ROW()-3</f>
        <v>358</v>
      </c>
      <c r="B361" s="42" t="s">
        <v>2732</v>
      </c>
      <c r="C361" s="42" t="s">
        <v>3329</v>
      </c>
      <c r="D361" s="43" t="s">
        <v>3381</v>
      </c>
      <c r="E361" s="43" t="s">
        <v>3382</v>
      </c>
      <c r="F361" s="43" t="s">
        <v>3383</v>
      </c>
      <c r="G361" s="42" t="s">
        <v>34</v>
      </c>
      <c r="H361" s="42">
        <v>1</v>
      </c>
      <c r="I361" s="44">
        <v>0.517777777777778</v>
      </c>
      <c r="J361" s="45">
        <v>44158</v>
      </c>
      <c r="K361" s="46" t="s">
        <v>20</v>
      </c>
      <c r="L361" s="47">
        <v>4.99</v>
      </c>
      <c r="M361" s="32"/>
    </row>
    <row r="362" spans="1:13" ht="35" customHeight="1">
      <c r="A362" s="23">
        <f>ROW()-3</f>
        <v>359</v>
      </c>
      <c r="B362" s="42" t="s">
        <v>2732</v>
      </c>
      <c r="C362" s="42" t="s">
        <v>3329</v>
      </c>
      <c r="D362" s="43" t="s">
        <v>3384</v>
      </c>
      <c r="E362" s="43" t="s">
        <v>3385</v>
      </c>
      <c r="F362" s="43" t="s">
        <v>3386</v>
      </c>
      <c r="G362" s="42" t="s">
        <v>34</v>
      </c>
      <c r="H362" s="42">
        <v>1</v>
      </c>
      <c r="I362" s="44">
        <v>0.50111111111111095</v>
      </c>
      <c r="J362" s="45">
        <v>44158</v>
      </c>
      <c r="K362" s="46" t="s">
        <v>20</v>
      </c>
      <c r="L362" s="47">
        <v>4.99</v>
      </c>
      <c r="M362" s="32"/>
    </row>
    <row r="363" spans="1:13" ht="35" customHeight="1">
      <c r="A363" s="23">
        <f>ROW()-3</f>
        <v>360</v>
      </c>
      <c r="B363" s="42" t="s">
        <v>2732</v>
      </c>
      <c r="C363" s="42" t="s">
        <v>3329</v>
      </c>
      <c r="D363" s="43" t="s">
        <v>3387</v>
      </c>
      <c r="E363" s="43" t="s">
        <v>3388</v>
      </c>
      <c r="F363" s="43" t="s">
        <v>3389</v>
      </c>
      <c r="G363" s="42" t="s">
        <v>34</v>
      </c>
      <c r="H363" s="42">
        <v>1</v>
      </c>
      <c r="I363" s="44">
        <v>0.59638888888888897</v>
      </c>
      <c r="J363" s="45">
        <v>44158</v>
      </c>
      <c r="K363" s="46" t="s">
        <v>20</v>
      </c>
      <c r="L363" s="47">
        <v>4.99</v>
      </c>
      <c r="M363" s="32"/>
    </row>
    <row r="364" spans="1:13" ht="35" customHeight="1">
      <c r="A364" s="23">
        <f>ROW()-3</f>
        <v>361</v>
      </c>
      <c r="B364" s="42" t="s">
        <v>2732</v>
      </c>
      <c r="C364" s="42" t="s">
        <v>3329</v>
      </c>
      <c r="D364" s="43" t="s">
        <v>3336</v>
      </c>
      <c r="E364" s="43" t="s">
        <v>3337</v>
      </c>
      <c r="F364" s="43" t="s">
        <v>3335</v>
      </c>
      <c r="G364" s="42" t="s">
        <v>34</v>
      </c>
      <c r="H364" s="42">
        <v>1</v>
      </c>
      <c r="I364" s="44">
        <v>0.51</v>
      </c>
      <c r="J364" s="45">
        <v>44193</v>
      </c>
      <c r="K364" s="46" t="s">
        <v>20</v>
      </c>
      <c r="L364" s="47">
        <v>4.99</v>
      </c>
      <c r="M364" s="32"/>
    </row>
    <row r="365" spans="1:13" ht="35" customHeight="1">
      <c r="A365" s="23">
        <f>ROW()-3</f>
        <v>362</v>
      </c>
      <c r="B365" s="42" t="s">
        <v>2732</v>
      </c>
      <c r="C365" s="42" t="s">
        <v>3329</v>
      </c>
      <c r="D365" s="43" t="s">
        <v>3333</v>
      </c>
      <c r="E365" s="43" t="s">
        <v>3334</v>
      </c>
      <c r="F365" s="43" t="s">
        <v>3335</v>
      </c>
      <c r="G365" s="42" t="s">
        <v>34</v>
      </c>
      <c r="H365" s="42">
        <v>1</v>
      </c>
      <c r="I365" s="44">
        <v>0.51</v>
      </c>
      <c r="J365" s="45">
        <v>44207</v>
      </c>
      <c r="K365" s="46" t="s">
        <v>20</v>
      </c>
      <c r="L365" s="47">
        <v>4.99</v>
      </c>
      <c r="M365" s="32"/>
    </row>
    <row r="366" spans="1:13" ht="35" customHeight="1">
      <c r="A366" s="23">
        <f>ROW()-3</f>
        <v>363</v>
      </c>
      <c r="B366" s="42" t="s">
        <v>2732</v>
      </c>
      <c r="C366" s="43" t="s">
        <v>3329</v>
      </c>
      <c r="D366" s="43" t="s">
        <v>3494</v>
      </c>
      <c r="E366" s="43" t="s">
        <v>3495</v>
      </c>
      <c r="F366" s="43" t="s">
        <v>3452</v>
      </c>
      <c r="G366" s="43" t="s">
        <v>34</v>
      </c>
      <c r="H366" s="42">
        <v>1</v>
      </c>
      <c r="I366" s="42">
        <v>0.4</v>
      </c>
      <c r="J366" s="53">
        <v>44221</v>
      </c>
      <c r="K366" s="51" t="s">
        <v>20</v>
      </c>
      <c r="L366" s="47">
        <v>4.99</v>
      </c>
      <c r="M366" s="32"/>
    </row>
    <row r="367" spans="1:13" ht="35" customHeight="1">
      <c r="A367" s="23">
        <f>ROW()-3</f>
        <v>364</v>
      </c>
      <c r="B367" s="42" t="s">
        <v>2732</v>
      </c>
      <c r="C367" s="43" t="s">
        <v>3329</v>
      </c>
      <c r="D367" s="43" t="s">
        <v>3496</v>
      </c>
      <c r="E367" s="43" t="s">
        <v>3497</v>
      </c>
      <c r="F367" s="43" t="s">
        <v>3452</v>
      </c>
      <c r="G367" s="43" t="s">
        <v>34</v>
      </c>
      <c r="H367" s="42">
        <v>1</v>
      </c>
      <c r="I367" s="42">
        <v>0.4</v>
      </c>
      <c r="J367" s="53">
        <v>44235</v>
      </c>
      <c r="K367" s="51" t="s">
        <v>20</v>
      </c>
      <c r="L367" s="47">
        <v>4.99</v>
      </c>
      <c r="M367" s="32"/>
    </row>
    <row r="368" spans="1:13" ht="35" customHeight="1">
      <c r="A368" s="23">
        <f>ROW()-3</f>
        <v>365</v>
      </c>
      <c r="B368" s="42" t="s">
        <v>2732</v>
      </c>
      <c r="C368" s="42" t="s">
        <v>3329</v>
      </c>
      <c r="D368" s="43" t="s">
        <v>3498</v>
      </c>
      <c r="E368" s="43" t="s">
        <v>3499</v>
      </c>
      <c r="F368" s="43" t="s">
        <v>3371</v>
      </c>
      <c r="G368" s="42" t="s">
        <v>34</v>
      </c>
      <c r="H368" s="42">
        <v>1</v>
      </c>
      <c r="I368" s="44">
        <v>0.5</v>
      </c>
      <c r="J368" s="45">
        <v>44249</v>
      </c>
      <c r="K368" s="46" t="s">
        <v>20</v>
      </c>
      <c r="L368" s="47">
        <v>4.99</v>
      </c>
      <c r="M368" s="32"/>
    </row>
    <row r="369" spans="1:13" ht="35" customHeight="1">
      <c r="A369" s="23">
        <f>ROW()-3</f>
        <v>366</v>
      </c>
      <c r="B369" s="42" t="s">
        <v>2732</v>
      </c>
      <c r="C369" s="42" t="s">
        <v>3329</v>
      </c>
      <c r="D369" s="43" t="s">
        <v>3500</v>
      </c>
      <c r="E369" s="43" t="s">
        <v>3501</v>
      </c>
      <c r="F369" s="43" t="s">
        <v>3335</v>
      </c>
      <c r="G369" s="42" t="s">
        <v>34</v>
      </c>
      <c r="H369" s="42">
        <v>1</v>
      </c>
      <c r="I369" s="44">
        <v>0.5</v>
      </c>
      <c r="J369" s="45">
        <v>44256</v>
      </c>
      <c r="K369" s="46" t="s">
        <v>20</v>
      </c>
      <c r="L369" s="47">
        <v>4.99</v>
      </c>
      <c r="M369" s="32"/>
    </row>
    <row r="370" spans="1:13" ht="35" customHeight="1">
      <c r="A370" s="23">
        <f>ROW()-3</f>
        <v>367</v>
      </c>
      <c r="B370" s="42" t="s">
        <v>2732</v>
      </c>
      <c r="C370" s="42" t="s">
        <v>3329</v>
      </c>
      <c r="D370" s="43" t="s">
        <v>3502</v>
      </c>
      <c r="E370" s="188" t="s">
        <v>3503</v>
      </c>
      <c r="F370" s="191" t="s">
        <v>3504</v>
      </c>
      <c r="G370" s="42" t="s">
        <v>34</v>
      </c>
      <c r="H370" s="42">
        <v>1</v>
      </c>
      <c r="I370" s="44">
        <v>0.5</v>
      </c>
      <c r="J370" s="45">
        <v>44263</v>
      </c>
      <c r="K370" s="46" t="s">
        <v>20</v>
      </c>
      <c r="L370" s="47">
        <v>4.99</v>
      </c>
    </row>
    <row r="371" spans="1:13" ht="35" customHeight="1">
      <c r="A371" s="23">
        <f>ROW()-3</f>
        <v>368</v>
      </c>
      <c r="B371" s="42" t="s">
        <v>2732</v>
      </c>
      <c r="C371" s="42" t="s">
        <v>3329</v>
      </c>
      <c r="D371" s="43" t="s">
        <v>3505</v>
      </c>
      <c r="E371" s="186" t="s">
        <v>3506</v>
      </c>
      <c r="F371" s="190" t="s">
        <v>3335</v>
      </c>
      <c r="G371" s="42" t="s">
        <v>34</v>
      </c>
      <c r="H371" s="42">
        <v>1</v>
      </c>
      <c r="I371" s="44">
        <v>0.5</v>
      </c>
      <c r="J371" s="45">
        <v>44277</v>
      </c>
      <c r="K371" s="46" t="s">
        <v>20</v>
      </c>
      <c r="L371" s="47">
        <v>4.99</v>
      </c>
      <c r="M371" s="32"/>
    </row>
    <row r="372" spans="1:13" ht="35" customHeight="1">
      <c r="A372" s="23">
        <f>ROW()-3</f>
        <v>369</v>
      </c>
      <c r="B372" s="42" t="s">
        <v>2732</v>
      </c>
      <c r="C372" s="42" t="s">
        <v>3329</v>
      </c>
      <c r="D372" s="43" t="s">
        <v>3507</v>
      </c>
      <c r="E372" s="189" t="s">
        <v>3508</v>
      </c>
      <c r="F372" s="192" t="s">
        <v>3509</v>
      </c>
      <c r="G372" s="42" t="s">
        <v>34</v>
      </c>
      <c r="H372" s="42">
        <v>1</v>
      </c>
      <c r="I372" s="44">
        <v>0.56000000000000005</v>
      </c>
      <c r="J372" s="45">
        <v>44284</v>
      </c>
      <c r="K372" s="46" t="s">
        <v>20</v>
      </c>
      <c r="L372" s="47">
        <v>4.99</v>
      </c>
      <c r="M372" s="32"/>
    </row>
    <row r="373" spans="1:13" ht="35" customHeight="1">
      <c r="A373" s="23">
        <f>ROW()-3</f>
        <v>370</v>
      </c>
      <c r="B373" s="42" t="s">
        <v>2732</v>
      </c>
      <c r="C373" s="42" t="s">
        <v>3329</v>
      </c>
      <c r="D373" s="43" t="s">
        <v>3512</v>
      </c>
      <c r="E373" s="37" t="s">
        <v>3513</v>
      </c>
      <c r="F373" s="37" t="s">
        <v>3335</v>
      </c>
      <c r="G373" s="42" t="s">
        <v>34</v>
      </c>
      <c r="H373" s="42">
        <v>1</v>
      </c>
      <c r="I373" s="44">
        <v>0.7</v>
      </c>
      <c r="J373" s="45">
        <v>44292</v>
      </c>
      <c r="K373" s="46" t="s">
        <v>20</v>
      </c>
      <c r="L373" s="47">
        <v>4.99</v>
      </c>
      <c r="M373" s="32"/>
    </row>
    <row r="374" spans="1:13" ht="35" customHeight="1">
      <c r="A374" s="23">
        <f>ROW()-3</f>
        <v>371</v>
      </c>
      <c r="B374" s="42" t="s">
        <v>2732</v>
      </c>
      <c r="C374" s="42" t="s">
        <v>3329</v>
      </c>
      <c r="D374" s="43" t="s">
        <v>3510</v>
      </c>
      <c r="E374" s="37" t="s">
        <v>3511</v>
      </c>
      <c r="F374" s="190" t="s">
        <v>3511</v>
      </c>
      <c r="G374" s="42" t="s">
        <v>34</v>
      </c>
      <c r="H374" s="42">
        <v>1</v>
      </c>
      <c r="I374" s="44">
        <v>0.5</v>
      </c>
      <c r="J374" s="45">
        <v>44305</v>
      </c>
      <c r="K374" s="46" t="s">
        <v>20</v>
      </c>
      <c r="L374" s="47">
        <v>4.99</v>
      </c>
      <c r="M374" s="32"/>
    </row>
    <row r="375" spans="1:13" ht="35" customHeight="1">
      <c r="A375" s="23">
        <f>ROW()-3</f>
        <v>372</v>
      </c>
      <c r="B375" s="42" t="s">
        <v>2732</v>
      </c>
      <c r="C375" s="42" t="s">
        <v>3329</v>
      </c>
      <c r="D375" s="43" t="s">
        <v>3514</v>
      </c>
      <c r="E375" s="185" t="s">
        <v>3515</v>
      </c>
      <c r="F375" s="54" t="s">
        <v>3516</v>
      </c>
      <c r="G375" s="42" t="s">
        <v>34</v>
      </c>
      <c r="H375" s="42">
        <v>1</v>
      </c>
      <c r="I375" s="44">
        <v>0.56000000000000005</v>
      </c>
      <c r="J375" s="45">
        <v>44305</v>
      </c>
      <c r="K375" s="46" t="s">
        <v>20</v>
      </c>
      <c r="L375" s="47">
        <v>4.99</v>
      </c>
      <c r="M375" s="32"/>
    </row>
    <row r="376" spans="1:13" ht="35" customHeight="1">
      <c r="A376" s="23">
        <f>ROW()-3</f>
        <v>373</v>
      </c>
      <c r="B376" s="42" t="s">
        <v>2732</v>
      </c>
      <c r="C376" s="42" t="s">
        <v>3329</v>
      </c>
      <c r="D376" s="43" t="s">
        <v>3517</v>
      </c>
      <c r="E376" s="185" t="s">
        <v>3518</v>
      </c>
      <c r="F376" s="55" t="s">
        <v>3335</v>
      </c>
      <c r="G376" s="42" t="s">
        <v>34</v>
      </c>
      <c r="H376" s="42">
        <v>1</v>
      </c>
      <c r="I376" s="44">
        <v>0.56000000000000005</v>
      </c>
      <c r="J376" s="45">
        <v>44347</v>
      </c>
      <c r="K376" s="46" t="s">
        <v>20</v>
      </c>
      <c r="L376" s="47">
        <v>4.99</v>
      </c>
      <c r="M376" s="32"/>
    </row>
    <row r="377" spans="1:13" ht="35" customHeight="1">
      <c r="A377" s="23">
        <f>ROW()-3</f>
        <v>374</v>
      </c>
      <c r="B377" s="42" t="s">
        <v>2732</v>
      </c>
      <c r="C377" s="42" t="s">
        <v>3329</v>
      </c>
      <c r="D377" s="43" t="s">
        <v>3519</v>
      </c>
      <c r="E377" s="185" t="s">
        <v>3520</v>
      </c>
      <c r="F377" s="54" t="s">
        <v>3335</v>
      </c>
      <c r="G377" s="42" t="s">
        <v>34</v>
      </c>
      <c r="H377" s="42">
        <v>1</v>
      </c>
      <c r="I377" s="44">
        <v>0.56000000000000005</v>
      </c>
      <c r="J377" s="45">
        <v>44364</v>
      </c>
      <c r="K377" s="46" t="s">
        <v>20</v>
      </c>
      <c r="L377" s="47">
        <v>4.99</v>
      </c>
      <c r="M377" s="32"/>
    </row>
    <row r="378" spans="1:13" ht="35" customHeight="1">
      <c r="A378" s="23">
        <f>ROW()-3</f>
        <v>375</v>
      </c>
      <c r="B378" s="42" t="s">
        <v>2732</v>
      </c>
      <c r="C378" s="42" t="s">
        <v>3329</v>
      </c>
      <c r="D378" s="43" t="s">
        <v>3521</v>
      </c>
      <c r="E378" s="37" t="s">
        <v>3522</v>
      </c>
      <c r="F378" s="272" t="s">
        <v>3371</v>
      </c>
      <c r="G378" s="42" t="s">
        <v>34</v>
      </c>
      <c r="H378" s="42">
        <v>1</v>
      </c>
      <c r="I378" s="44">
        <v>0.5</v>
      </c>
      <c r="J378" s="45">
        <v>44375</v>
      </c>
      <c r="K378" s="46" t="s">
        <v>20</v>
      </c>
      <c r="L378" s="47">
        <v>4.99</v>
      </c>
      <c r="M378" s="32"/>
    </row>
    <row r="379" spans="1:13" ht="35" customHeight="1">
      <c r="A379" s="23">
        <f>ROW()-3</f>
        <v>376</v>
      </c>
      <c r="B379" s="42" t="s">
        <v>2732</v>
      </c>
      <c r="C379" s="42" t="s">
        <v>3329</v>
      </c>
      <c r="D379" s="43" t="s">
        <v>3523</v>
      </c>
      <c r="E379" s="37" t="s">
        <v>3524</v>
      </c>
      <c r="F379" s="57" t="s">
        <v>3335</v>
      </c>
      <c r="G379" s="42" t="s">
        <v>34</v>
      </c>
      <c r="H379" s="42">
        <v>1</v>
      </c>
      <c r="I379" s="44">
        <v>0.5</v>
      </c>
      <c r="J379" s="45">
        <v>44389</v>
      </c>
      <c r="K379" s="46" t="s">
        <v>20</v>
      </c>
      <c r="L379" s="47">
        <v>4.99</v>
      </c>
      <c r="M379" s="32"/>
    </row>
    <row r="380" spans="1:13" ht="35" customHeight="1">
      <c r="A380" s="23">
        <f>ROW()-3</f>
        <v>377</v>
      </c>
      <c r="B380" s="42" t="s">
        <v>2732</v>
      </c>
      <c r="C380" s="42" t="s">
        <v>3329</v>
      </c>
      <c r="D380" s="43" t="s">
        <v>3525</v>
      </c>
      <c r="E380" s="37" t="s">
        <v>3526</v>
      </c>
      <c r="F380" s="57" t="s">
        <v>3527</v>
      </c>
      <c r="G380" s="42" t="s">
        <v>34</v>
      </c>
      <c r="H380" s="42">
        <v>1</v>
      </c>
      <c r="I380" s="44">
        <v>0.5</v>
      </c>
      <c r="J380" s="45">
        <v>44431</v>
      </c>
      <c r="K380" s="46" t="s">
        <v>20</v>
      </c>
      <c r="L380" s="47">
        <v>4.99</v>
      </c>
      <c r="M380" s="32"/>
    </row>
    <row r="381" spans="1:13" ht="35" customHeight="1">
      <c r="A381" s="23">
        <f>ROW()-3</f>
        <v>378</v>
      </c>
      <c r="B381" s="42" t="s">
        <v>2732</v>
      </c>
      <c r="C381" s="42" t="s">
        <v>3329</v>
      </c>
      <c r="D381" s="43" t="s">
        <v>3528</v>
      </c>
      <c r="E381" s="37" t="s">
        <v>3529</v>
      </c>
      <c r="F381" s="57" t="s">
        <v>3527</v>
      </c>
      <c r="G381" s="42" t="s">
        <v>3253</v>
      </c>
      <c r="H381" s="42">
        <v>1</v>
      </c>
      <c r="I381" s="44">
        <v>0.47</v>
      </c>
      <c r="J381" s="45">
        <v>44461</v>
      </c>
      <c r="K381" s="46" t="s">
        <v>20</v>
      </c>
      <c r="L381" s="47">
        <v>4.99</v>
      </c>
      <c r="M381" s="32"/>
    </row>
    <row r="382" spans="1:13" ht="35" customHeight="1">
      <c r="A382" s="23">
        <f>ROW()-3</f>
        <v>379</v>
      </c>
      <c r="B382" s="42" t="s">
        <v>2732</v>
      </c>
      <c r="C382" s="42" t="s">
        <v>3329</v>
      </c>
      <c r="D382" s="43" t="s">
        <v>3530</v>
      </c>
      <c r="E382" s="37" t="s">
        <v>3531</v>
      </c>
      <c r="F382" s="57" t="s">
        <v>3532</v>
      </c>
      <c r="G382" s="42" t="s">
        <v>3253</v>
      </c>
      <c r="H382" s="42">
        <v>1</v>
      </c>
      <c r="I382" s="44">
        <v>0.5</v>
      </c>
      <c r="J382" s="45">
        <v>44488</v>
      </c>
      <c r="K382" s="46" t="s">
        <v>20</v>
      </c>
      <c r="L382" s="47">
        <v>4.99</v>
      </c>
      <c r="M382" s="32"/>
    </row>
    <row r="383" spans="1:13" ht="35" customHeight="1">
      <c r="A383" s="23">
        <f>ROW()-3</f>
        <v>380</v>
      </c>
      <c r="B383" s="42" t="s">
        <v>2732</v>
      </c>
      <c r="C383" s="42" t="s">
        <v>3329</v>
      </c>
      <c r="D383" s="43" t="s">
        <v>3533</v>
      </c>
      <c r="E383" s="43" t="s">
        <v>3534</v>
      </c>
      <c r="F383" s="57" t="s">
        <v>3535</v>
      </c>
      <c r="G383" s="42" t="s">
        <v>3253</v>
      </c>
      <c r="H383" s="42">
        <v>1</v>
      </c>
      <c r="I383" s="44">
        <v>0.5</v>
      </c>
      <c r="J383" s="45">
        <v>44501</v>
      </c>
      <c r="K383" s="46" t="s">
        <v>20</v>
      </c>
      <c r="L383" s="47">
        <v>4.99</v>
      </c>
      <c r="M383" s="32"/>
    </row>
    <row r="384" spans="1:13" ht="35" customHeight="1">
      <c r="A384" s="23">
        <f>ROW()-3</f>
        <v>381</v>
      </c>
      <c r="B384" s="42" t="s">
        <v>2732</v>
      </c>
      <c r="C384" s="42" t="s">
        <v>3329</v>
      </c>
      <c r="D384" s="43" t="s">
        <v>3536</v>
      </c>
      <c r="E384" s="43" t="s">
        <v>3537</v>
      </c>
      <c r="F384" s="57" t="s">
        <v>3527</v>
      </c>
      <c r="G384" s="42" t="s">
        <v>3253</v>
      </c>
      <c r="H384" s="42">
        <v>1</v>
      </c>
      <c r="I384" s="44">
        <v>0.49</v>
      </c>
      <c r="J384" s="45">
        <v>44508</v>
      </c>
      <c r="K384" s="46" t="s">
        <v>20</v>
      </c>
      <c r="L384" s="47">
        <v>4.99</v>
      </c>
      <c r="M384" s="32"/>
    </row>
    <row r="385" spans="1:13" ht="35" customHeight="1">
      <c r="A385" s="23">
        <f>ROW()-3</f>
        <v>382</v>
      </c>
      <c r="B385" s="42" t="s">
        <v>2732</v>
      </c>
      <c r="C385" s="42" t="s">
        <v>3329</v>
      </c>
      <c r="D385" s="43" t="s">
        <v>3538</v>
      </c>
      <c r="E385" s="43" t="s">
        <v>3539</v>
      </c>
      <c r="F385" s="57" t="s">
        <v>3527</v>
      </c>
      <c r="G385" s="42" t="s">
        <v>3253</v>
      </c>
      <c r="H385" s="42">
        <v>1</v>
      </c>
      <c r="I385" s="44">
        <v>0.49</v>
      </c>
      <c r="J385" s="45">
        <v>44543</v>
      </c>
      <c r="K385" s="46" t="s">
        <v>20</v>
      </c>
      <c r="L385" s="47">
        <v>4.99</v>
      </c>
      <c r="M385" s="32"/>
    </row>
    <row r="386" spans="1:13" ht="35" customHeight="1">
      <c r="A386" s="23">
        <f>ROW()-3</f>
        <v>383</v>
      </c>
      <c r="B386" s="42" t="s">
        <v>2732</v>
      </c>
      <c r="C386" s="42" t="s">
        <v>3329</v>
      </c>
      <c r="D386" s="43" t="s">
        <v>3540</v>
      </c>
      <c r="E386" s="43" t="s">
        <v>3541</v>
      </c>
      <c r="F386" s="57" t="s">
        <v>3542</v>
      </c>
      <c r="G386" s="42" t="s">
        <v>3253</v>
      </c>
      <c r="H386" s="42">
        <v>1</v>
      </c>
      <c r="I386" s="44">
        <v>0.49</v>
      </c>
      <c r="J386" s="45">
        <v>44565</v>
      </c>
      <c r="K386" s="46" t="s">
        <v>20</v>
      </c>
      <c r="L386" s="47">
        <v>4.99</v>
      </c>
      <c r="M386" s="32"/>
    </row>
    <row r="387" spans="1:13" ht="35" customHeight="1">
      <c r="A387" s="23">
        <f>ROW()-3</f>
        <v>384</v>
      </c>
      <c r="B387" s="42" t="s">
        <v>2732</v>
      </c>
      <c r="C387" s="42" t="s">
        <v>3329</v>
      </c>
      <c r="D387" s="43" t="s">
        <v>5143</v>
      </c>
      <c r="E387" s="43" t="s">
        <v>5145</v>
      </c>
      <c r="F387" s="57" t="s">
        <v>5146</v>
      </c>
      <c r="G387" s="42" t="s">
        <v>3253</v>
      </c>
      <c r="H387" s="42">
        <v>1</v>
      </c>
      <c r="I387" s="44">
        <v>0.48</v>
      </c>
      <c r="J387" s="45">
        <v>44578</v>
      </c>
      <c r="K387" s="46" t="s">
        <v>20</v>
      </c>
      <c r="L387" s="47">
        <v>4.99</v>
      </c>
      <c r="M387" s="32"/>
    </row>
    <row r="388" spans="1:13" ht="35" customHeight="1">
      <c r="A388" s="23">
        <f>ROW()-3</f>
        <v>385</v>
      </c>
      <c r="B388" s="182" t="s">
        <v>5383</v>
      </c>
      <c r="C388" s="182" t="s">
        <v>5386</v>
      </c>
      <c r="D388" s="187" t="s">
        <v>5388</v>
      </c>
      <c r="E388" s="187" t="s">
        <v>5392</v>
      </c>
      <c r="F388" s="187" t="s">
        <v>5393</v>
      </c>
      <c r="G388" s="42" t="s">
        <v>3253</v>
      </c>
      <c r="H388" s="182">
        <v>1</v>
      </c>
      <c r="I388" s="206">
        <v>0.5</v>
      </c>
      <c r="J388" s="209">
        <v>44606</v>
      </c>
      <c r="K388" s="46" t="s">
        <v>5394</v>
      </c>
      <c r="L388" s="202"/>
    </row>
    <row r="389" spans="1:13" ht="35" customHeight="1">
      <c r="A389" s="23">
        <f>ROW()-3</f>
        <v>386</v>
      </c>
      <c r="B389" s="42" t="s">
        <v>2732</v>
      </c>
      <c r="C389" s="42" t="s">
        <v>3543</v>
      </c>
      <c r="D389" s="43" t="s">
        <v>3546</v>
      </c>
      <c r="E389" s="43" t="s">
        <v>3547</v>
      </c>
      <c r="F389" s="43" t="s">
        <v>3548</v>
      </c>
      <c r="G389" s="42" t="s">
        <v>34</v>
      </c>
      <c r="H389" s="42">
        <v>1</v>
      </c>
      <c r="I389" s="44">
        <v>0.44083333333333302</v>
      </c>
      <c r="J389" s="45">
        <v>43962</v>
      </c>
      <c r="K389" s="46" t="s">
        <v>20</v>
      </c>
      <c r="L389" s="47">
        <v>4.99</v>
      </c>
    </row>
    <row r="390" spans="1:13" ht="35" customHeight="1">
      <c r="A390" s="23">
        <f>ROW()-3</f>
        <v>387</v>
      </c>
      <c r="B390" s="42" t="s">
        <v>2732</v>
      </c>
      <c r="C390" s="42" t="s">
        <v>3543</v>
      </c>
      <c r="D390" s="43" t="s">
        <v>3559</v>
      </c>
      <c r="E390" s="43" t="s">
        <v>3560</v>
      </c>
      <c r="F390" s="43" t="s">
        <v>3561</v>
      </c>
      <c r="G390" s="42" t="s">
        <v>34</v>
      </c>
      <c r="H390" s="42">
        <v>1</v>
      </c>
      <c r="I390" s="44">
        <v>0.45722222222222197</v>
      </c>
      <c r="J390" s="45">
        <v>43962</v>
      </c>
      <c r="K390" s="46" t="s">
        <v>20</v>
      </c>
      <c r="L390" s="47">
        <v>4.99</v>
      </c>
    </row>
    <row r="391" spans="1:13" ht="35" customHeight="1">
      <c r="A391" s="23">
        <f>ROW()-3</f>
        <v>388</v>
      </c>
      <c r="B391" s="42" t="s">
        <v>2732</v>
      </c>
      <c r="C391" s="42" t="s">
        <v>3543</v>
      </c>
      <c r="D391" s="43" t="s">
        <v>3544</v>
      </c>
      <c r="E391" s="43" t="s">
        <v>1468</v>
      </c>
      <c r="F391" s="43" t="s">
        <v>3545</v>
      </c>
      <c r="G391" s="42" t="s">
        <v>34</v>
      </c>
      <c r="H391" s="42">
        <v>1</v>
      </c>
      <c r="I391" s="44">
        <v>0.49333333333333301</v>
      </c>
      <c r="J391" s="45">
        <v>43978</v>
      </c>
      <c r="K391" s="46" t="s">
        <v>20</v>
      </c>
      <c r="L391" s="47">
        <v>4.99</v>
      </c>
    </row>
    <row r="392" spans="1:13" ht="35" customHeight="1">
      <c r="A392" s="23">
        <f>ROW()-3</f>
        <v>389</v>
      </c>
      <c r="B392" s="42" t="s">
        <v>2732</v>
      </c>
      <c r="C392" s="42" t="s">
        <v>3543</v>
      </c>
      <c r="D392" s="43" t="s">
        <v>3549</v>
      </c>
      <c r="E392" s="43" t="s">
        <v>3550</v>
      </c>
      <c r="F392" s="43" t="s">
        <v>2840</v>
      </c>
      <c r="G392" s="42" t="s">
        <v>34</v>
      </c>
      <c r="H392" s="42">
        <v>1</v>
      </c>
      <c r="I392" s="44">
        <v>0.54944444444444396</v>
      </c>
      <c r="J392" s="45">
        <v>43978</v>
      </c>
      <c r="K392" s="46" t="s">
        <v>20</v>
      </c>
      <c r="L392" s="47">
        <v>4.99</v>
      </c>
    </row>
    <row r="393" spans="1:13" ht="35" customHeight="1">
      <c r="A393" s="23">
        <f>ROW()-3</f>
        <v>390</v>
      </c>
      <c r="B393" s="42" t="s">
        <v>2732</v>
      </c>
      <c r="C393" s="42" t="s">
        <v>3543</v>
      </c>
      <c r="D393" s="43" t="s">
        <v>3554</v>
      </c>
      <c r="E393" s="43" t="s">
        <v>3555</v>
      </c>
      <c r="F393" s="43" t="s">
        <v>3556</v>
      </c>
      <c r="G393" s="42" t="s">
        <v>34</v>
      </c>
      <c r="H393" s="42">
        <v>1</v>
      </c>
      <c r="I393" s="44">
        <v>0.28333333333333299</v>
      </c>
      <c r="J393" s="45">
        <v>43978</v>
      </c>
      <c r="K393" s="46" t="s">
        <v>20</v>
      </c>
      <c r="L393" s="47">
        <v>4.99</v>
      </c>
    </row>
    <row r="394" spans="1:13" ht="35" customHeight="1">
      <c r="A394" s="23">
        <f>ROW()-3</f>
        <v>391</v>
      </c>
      <c r="B394" s="42" t="s">
        <v>2732</v>
      </c>
      <c r="C394" s="42" t="s">
        <v>3543</v>
      </c>
      <c r="D394" s="43" t="s">
        <v>3557</v>
      </c>
      <c r="E394" s="43" t="s">
        <v>3558</v>
      </c>
      <c r="F394" s="43" t="s">
        <v>275</v>
      </c>
      <c r="G394" s="42" t="s">
        <v>34</v>
      </c>
      <c r="H394" s="42">
        <v>1</v>
      </c>
      <c r="I394" s="44">
        <v>0.46250000000000002</v>
      </c>
      <c r="J394" s="45">
        <v>43978</v>
      </c>
      <c r="K394" s="46" t="s">
        <v>20</v>
      </c>
      <c r="L394" s="47">
        <v>4.99</v>
      </c>
    </row>
    <row r="395" spans="1:13" ht="35" customHeight="1">
      <c r="A395" s="23">
        <f>ROW()-3</f>
        <v>392</v>
      </c>
      <c r="B395" s="42" t="s">
        <v>2732</v>
      </c>
      <c r="C395" s="42" t="s">
        <v>3543</v>
      </c>
      <c r="D395" s="43" t="s">
        <v>3551</v>
      </c>
      <c r="E395" s="43" t="s">
        <v>3552</v>
      </c>
      <c r="F395" s="43" t="s">
        <v>3553</v>
      </c>
      <c r="G395" s="42" t="s">
        <v>34</v>
      </c>
      <c r="H395" s="42">
        <v>1</v>
      </c>
      <c r="I395" s="44">
        <v>0.47</v>
      </c>
      <c r="J395" s="45">
        <v>44151</v>
      </c>
      <c r="K395" s="46" t="s">
        <v>20</v>
      </c>
      <c r="L395" s="47">
        <v>4.99</v>
      </c>
    </row>
    <row r="396" spans="1:13" ht="35" customHeight="1">
      <c r="A396" s="23">
        <f>ROW()-3</f>
        <v>393</v>
      </c>
      <c r="B396" s="42" t="s">
        <v>5170</v>
      </c>
      <c r="C396" s="42" t="s">
        <v>5211</v>
      </c>
      <c r="D396" s="43" t="s">
        <v>5208</v>
      </c>
      <c r="E396" s="43" t="s">
        <v>5209</v>
      </c>
      <c r="F396" s="43" t="s">
        <v>5210</v>
      </c>
      <c r="G396" s="42" t="s">
        <v>3253</v>
      </c>
      <c r="H396" s="42">
        <v>1</v>
      </c>
      <c r="I396" s="44">
        <v>19.139444444444443</v>
      </c>
      <c r="J396" s="45">
        <v>44162</v>
      </c>
      <c r="K396" s="46" t="s">
        <v>20</v>
      </c>
      <c r="L396" s="48">
        <v>4.99</v>
      </c>
    </row>
    <row r="397" spans="1:13" ht="35" customHeight="1">
      <c r="A397" s="23">
        <f>ROW()-3</f>
        <v>394</v>
      </c>
      <c r="B397" s="42" t="s">
        <v>2732</v>
      </c>
      <c r="C397" s="42" t="s">
        <v>3543</v>
      </c>
      <c r="D397" s="43" t="s">
        <v>3562</v>
      </c>
      <c r="E397" s="43" t="s">
        <v>3563</v>
      </c>
      <c r="F397" s="43" t="s">
        <v>2840</v>
      </c>
      <c r="G397" s="42" t="s">
        <v>34</v>
      </c>
      <c r="H397" s="42">
        <v>1</v>
      </c>
      <c r="I397" s="44">
        <v>0.5</v>
      </c>
      <c r="J397" s="45">
        <v>44292</v>
      </c>
      <c r="K397" s="46" t="s">
        <v>20</v>
      </c>
      <c r="L397" s="47">
        <v>4.99</v>
      </c>
    </row>
    <row r="398" spans="1:13" ht="35" customHeight="1">
      <c r="A398" s="23">
        <f>ROW()-3</f>
        <v>395</v>
      </c>
      <c r="B398" s="42" t="s">
        <v>2732</v>
      </c>
      <c r="C398" s="42" t="s">
        <v>3543</v>
      </c>
      <c r="D398" s="43" t="s">
        <v>3564</v>
      </c>
      <c r="E398" s="43" t="s">
        <v>3565</v>
      </c>
      <c r="F398" s="43" t="s">
        <v>3566</v>
      </c>
      <c r="G398" s="42" t="s">
        <v>34</v>
      </c>
      <c r="H398" s="42">
        <v>1</v>
      </c>
      <c r="I398" s="44">
        <v>0.5</v>
      </c>
      <c r="J398" s="45">
        <v>44312</v>
      </c>
      <c r="K398" s="46" t="s">
        <v>20</v>
      </c>
      <c r="L398" s="47">
        <v>4.99</v>
      </c>
    </row>
    <row r="399" spans="1:13" ht="35" customHeight="1">
      <c r="A399" s="23">
        <f>ROW()-3</f>
        <v>396</v>
      </c>
      <c r="B399" s="42" t="s">
        <v>2732</v>
      </c>
      <c r="C399" s="42" t="s">
        <v>3543</v>
      </c>
      <c r="D399" s="43" t="s">
        <v>3567</v>
      </c>
      <c r="E399" s="43" t="s">
        <v>3568</v>
      </c>
      <c r="F399" s="43" t="s">
        <v>2840</v>
      </c>
      <c r="G399" s="42" t="s">
        <v>34</v>
      </c>
      <c r="H399" s="42">
        <v>1</v>
      </c>
      <c r="I399" s="44">
        <v>0.5</v>
      </c>
      <c r="J399" s="45">
        <v>44340</v>
      </c>
      <c r="K399" s="46" t="s">
        <v>20</v>
      </c>
      <c r="L399" s="47">
        <v>4.99</v>
      </c>
    </row>
    <row r="400" spans="1:13" ht="35" customHeight="1">
      <c r="A400" s="23">
        <f>ROW()-3</f>
        <v>397</v>
      </c>
      <c r="B400" s="42" t="s">
        <v>2732</v>
      </c>
      <c r="C400" s="42" t="s">
        <v>3543</v>
      </c>
      <c r="D400" s="43" t="s">
        <v>3569</v>
      </c>
      <c r="E400" s="43" t="s">
        <v>3570</v>
      </c>
      <c r="F400" s="43" t="s">
        <v>2840</v>
      </c>
      <c r="G400" s="42" t="s">
        <v>34</v>
      </c>
      <c r="H400" s="42">
        <v>1</v>
      </c>
      <c r="I400" s="44">
        <v>0.5</v>
      </c>
      <c r="J400" s="45">
        <v>44431</v>
      </c>
      <c r="K400" s="46" t="s">
        <v>20</v>
      </c>
      <c r="L400" s="47">
        <v>4.99</v>
      </c>
    </row>
    <row r="401" spans="1:13" ht="35" customHeight="1">
      <c r="A401" s="23">
        <f>ROW()-3</f>
        <v>398</v>
      </c>
      <c r="B401" s="42" t="s">
        <v>2732</v>
      </c>
      <c r="C401" s="42" t="s">
        <v>3543</v>
      </c>
      <c r="D401" s="43" t="s">
        <v>3571</v>
      </c>
      <c r="E401" s="43" t="s">
        <v>3572</v>
      </c>
      <c r="F401" s="43" t="s">
        <v>3012</v>
      </c>
      <c r="G401" s="42" t="s">
        <v>34</v>
      </c>
      <c r="H401" s="42">
        <v>1</v>
      </c>
      <c r="I401" s="44">
        <v>0.5</v>
      </c>
      <c r="J401" s="45">
        <v>44536</v>
      </c>
      <c r="K401" s="46" t="s">
        <v>20</v>
      </c>
      <c r="L401" s="47">
        <v>4.99</v>
      </c>
    </row>
    <row r="402" spans="1:13" ht="35" customHeight="1">
      <c r="A402" s="23">
        <f>ROW()-3</f>
        <v>399</v>
      </c>
      <c r="B402" s="42" t="s">
        <v>2732</v>
      </c>
      <c r="C402" s="42" t="s">
        <v>3543</v>
      </c>
      <c r="D402" s="43" t="s">
        <v>3573</v>
      </c>
      <c r="E402" s="43" t="s">
        <v>3574</v>
      </c>
      <c r="F402" s="43" t="s">
        <v>3575</v>
      </c>
      <c r="G402" s="42" t="s">
        <v>34</v>
      </c>
      <c r="H402" s="42">
        <v>1</v>
      </c>
      <c r="I402" s="44">
        <v>0.49</v>
      </c>
      <c r="J402" s="45">
        <v>44551</v>
      </c>
      <c r="K402" s="46" t="s">
        <v>20</v>
      </c>
      <c r="L402" s="47">
        <v>4.99</v>
      </c>
    </row>
    <row r="403" spans="1:13" ht="35" customHeight="1">
      <c r="A403" s="23">
        <f>ROW()-3</f>
        <v>400</v>
      </c>
      <c r="B403" s="42" t="s">
        <v>2732</v>
      </c>
      <c r="C403" s="42" t="s">
        <v>3576</v>
      </c>
      <c r="D403" s="43" t="s">
        <v>3613</v>
      </c>
      <c r="E403" s="43" t="s">
        <v>3614</v>
      </c>
      <c r="F403" s="43" t="s">
        <v>3615</v>
      </c>
      <c r="G403" s="42" t="s">
        <v>34</v>
      </c>
      <c r="H403" s="42">
        <v>1</v>
      </c>
      <c r="I403" s="44">
        <v>0.33777777777777801</v>
      </c>
      <c r="J403" s="45">
        <v>43962</v>
      </c>
      <c r="K403" s="46" t="s">
        <v>20</v>
      </c>
      <c r="L403" s="47">
        <v>4.99</v>
      </c>
      <c r="M403" s="32"/>
    </row>
    <row r="404" spans="1:13" ht="35" customHeight="1">
      <c r="A404" s="23">
        <f>ROW()-3</f>
        <v>401</v>
      </c>
      <c r="B404" s="42" t="s">
        <v>2732</v>
      </c>
      <c r="C404" s="42" t="s">
        <v>3576</v>
      </c>
      <c r="D404" s="43" t="s">
        <v>3616</v>
      </c>
      <c r="E404" s="43" t="s">
        <v>3617</v>
      </c>
      <c r="F404" s="43" t="s">
        <v>3140</v>
      </c>
      <c r="G404" s="42" t="s">
        <v>34</v>
      </c>
      <c r="H404" s="42">
        <v>1</v>
      </c>
      <c r="I404" s="44">
        <v>0.48361111111111099</v>
      </c>
      <c r="J404" s="45">
        <v>43978</v>
      </c>
      <c r="K404" s="46" t="s">
        <v>20</v>
      </c>
      <c r="L404" s="47">
        <v>4.99</v>
      </c>
      <c r="M404" s="32"/>
    </row>
    <row r="405" spans="1:13" ht="35" customHeight="1">
      <c r="A405" s="23">
        <f>ROW()-3</f>
        <v>402</v>
      </c>
      <c r="B405" s="42" t="s">
        <v>2732</v>
      </c>
      <c r="C405" s="42" t="s">
        <v>3576</v>
      </c>
      <c r="D405" s="43" t="s">
        <v>3628</v>
      </c>
      <c r="E405" s="43" t="s">
        <v>3629</v>
      </c>
      <c r="F405" s="43" t="s">
        <v>3203</v>
      </c>
      <c r="G405" s="42" t="s">
        <v>34</v>
      </c>
      <c r="H405" s="42">
        <v>1</v>
      </c>
      <c r="I405" s="44">
        <v>0.36305555555555602</v>
      </c>
      <c r="J405" s="45">
        <v>43978</v>
      </c>
      <c r="K405" s="46" t="s">
        <v>20</v>
      </c>
      <c r="L405" s="47">
        <v>4.99</v>
      </c>
      <c r="M405" s="32"/>
    </row>
    <row r="406" spans="1:13" ht="35" customHeight="1">
      <c r="A406" s="23">
        <f>ROW()-3</f>
        <v>403</v>
      </c>
      <c r="B406" s="42" t="s">
        <v>2732</v>
      </c>
      <c r="C406" s="42" t="s">
        <v>3576</v>
      </c>
      <c r="D406" s="43" t="s">
        <v>3630</v>
      </c>
      <c r="E406" s="43" t="s">
        <v>3112</v>
      </c>
      <c r="F406" s="43" t="s">
        <v>3089</v>
      </c>
      <c r="G406" s="42" t="s">
        <v>34</v>
      </c>
      <c r="H406" s="42">
        <v>1</v>
      </c>
      <c r="I406" s="44">
        <v>0.45444444444444398</v>
      </c>
      <c r="J406" s="45">
        <v>43978</v>
      </c>
      <c r="K406" s="46" t="s">
        <v>20</v>
      </c>
      <c r="L406" s="47">
        <v>4.99</v>
      </c>
      <c r="M406" s="32"/>
    </row>
    <row r="407" spans="1:13" ht="35" customHeight="1">
      <c r="A407" s="23">
        <f>ROW()-3</f>
        <v>404</v>
      </c>
      <c r="B407" s="42" t="s">
        <v>2732</v>
      </c>
      <c r="C407" s="42" t="s">
        <v>3576</v>
      </c>
      <c r="D407" s="43" t="s">
        <v>3631</v>
      </c>
      <c r="E407" s="43" t="s">
        <v>3632</v>
      </c>
      <c r="F407" s="43" t="s">
        <v>3633</v>
      </c>
      <c r="G407" s="42" t="s">
        <v>34</v>
      </c>
      <c r="H407" s="42">
        <v>1</v>
      </c>
      <c r="I407" s="44">
        <v>0.45500000000000002</v>
      </c>
      <c r="J407" s="45">
        <v>43978</v>
      </c>
      <c r="K407" s="46" t="s">
        <v>20</v>
      </c>
      <c r="L407" s="47">
        <v>4.99</v>
      </c>
      <c r="M407" s="32"/>
    </row>
    <row r="408" spans="1:13" ht="35" customHeight="1">
      <c r="A408" s="23">
        <f>ROW()-3</f>
        <v>405</v>
      </c>
      <c r="B408" s="42" t="s">
        <v>2732</v>
      </c>
      <c r="C408" s="42" t="s">
        <v>3576</v>
      </c>
      <c r="D408" s="43" t="s">
        <v>3634</v>
      </c>
      <c r="E408" s="43" t="s">
        <v>3635</v>
      </c>
      <c r="F408" s="43" t="s">
        <v>3636</v>
      </c>
      <c r="G408" s="42" t="s">
        <v>34</v>
      </c>
      <c r="H408" s="42">
        <v>1</v>
      </c>
      <c r="I408" s="44">
        <v>0.38833333333333298</v>
      </c>
      <c r="J408" s="45">
        <v>43978</v>
      </c>
      <c r="K408" s="46" t="s">
        <v>20</v>
      </c>
      <c r="L408" s="47">
        <v>4.99</v>
      </c>
      <c r="M408" s="32"/>
    </row>
    <row r="409" spans="1:13" ht="35" customHeight="1">
      <c r="A409" s="23">
        <f>ROW()-3</f>
        <v>406</v>
      </c>
      <c r="B409" s="42" t="s">
        <v>2732</v>
      </c>
      <c r="C409" s="42" t="s">
        <v>3576</v>
      </c>
      <c r="D409" s="43" t="s">
        <v>3651</v>
      </c>
      <c r="E409" s="43" t="s">
        <v>3652</v>
      </c>
      <c r="F409" s="43" t="s">
        <v>3653</v>
      </c>
      <c r="G409" s="42" t="s">
        <v>34</v>
      </c>
      <c r="H409" s="42">
        <v>1</v>
      </c>
      <c r="I409" s="44">
        <v>0.37166666666666698</v>
      </c>
      <c r="J409" s="45">
        <v>43978</v>
      </c>
      <c r="K409" s="46" t="s">
        <v>20</v>
      </c>
      <c r="L409" s="47">
        <v>4.99</v>
      </c>
      <c r="M409" s="32"/>
    </row>
    <row r="410" spans="1:13" ht="35" customHeight="1">
      <c r="A410" s="23">
        <f>ROW()-3</f>
        <v>407</v>
      </c>
      <c r="B410" s="42" t="s">
        <v>2732</v>
      </c>
      <c r="C410" s="42" t="s">
        <v>3576</v>
      </c>
      <c r="D410" s="43" t="s">
        <v>3654</v>
      </c>
      <c r="E410" s="43" t="s">
        <v>3655</v>
      </c>
      <c r="F410" s="43" t="s">
        <v>3656</v>
      </c>
      <c r="G410" s="42" t="s">
        <v>34</v>
      </c>
      <c r="H410" s="42">
        <v>1</v>
      </c>
      <c r="I410" s="44">
        <v>0.75583333333333302</v>
      </c>
      <c r="J410" s="45">
        <v>43978</v>
      </c>
      <c r="K410" s="46" t="s">
        <v>20</v>
      </c>
      <c r="L410" s="47">
        <v>4.99</v>
      </c>
      <c r="M410" s="32"/>
    </row>
    <row r="411" spans="1:13" ht="35" customHeight="1">
      <c r="A411" s="23">
        <f>ROW()-3</f>
        <v>408</v>
      </c>
      <c r="B411" s="42" t="s">
        <v>2732</v>
      </c>
      <c r="C411" s="42" t="s">
        <v>3576</v>
      </c>
      <c r="D411" s="43" t="s">
        <v>3657</v>
      </c>
      <c r="E411" s="43" t="s">
        <v>3658</v>
      </c>
      <c r="F411" s="43" t="s">
        <v>2861</v>
      </c>
      <c r="G411" s="42" t="s">
        <v>34</v>
      </c>
      <c r="H411" s="42">
        <v>1</v>
      </c>
      <c r="I411" s="44">
        <v>0.54555555555555602</v>
      </c>
      <c r="J411" s="45">
        <v>43978</v>
      </c>
      <c r="K411" s="46" t="s">
        <v>20</v>
      </c>
      <c r="L411" s="47">
        <v>4.99</v>
      </c>
      <c r="M411" s="32"/>
    </row>
    <row r="412" spans="1:13" ht="35" customHeight="1">
      <c r="A412" s="23">
        <f>ROW()-3</f>
        <v>409</v>
      </c>
      <c r="B412" s="42" t="s">
        <v>2732</v>
      </c>
      <c r="C412" s="42" t="s">
        <v>3576</v>
      </c>
      <c r="D412" s="43" t="s">
        <v>3659</v>
      </c>
      <c r="E412" s="43" t="s">
        <v>3660</v>
      </c>
      <c r="F412" s="43" t="s">
        <v>3661</v>
      </c>
      <c r="G412" s="42" t="s">
        <v>34</v>
      </c>
      <c r="H412" s="42">
        <v>1</v>
      </c>
      <c r="I412" s="44">
        <v>0.378888888888889</v>
      </c>
      <c r="J412" s="45">
        <v>43978</v>
      </c>
      <c r="K412" s="46" t="s">
        <v>20</v>
      </c>
      <c r="L412" s="47">
        <v>4.99</v>
      </c>
      <c r="M412" s="32"/>
    </row>
    <row r="413" spans="1:13" ht="35" customHeight="1">
      <c r="A413" s="23">
        <f>ROW()-3</f>
        <v>410</v>
      </c>
      <c r="B413" s="42" t="s">
        <v>2732</v>
      </c>
      <c r="C413" s="42" t="s">
        <v>3576</v>
      </c>
      <c r="D413" s="43" t="s">
        <v>3662</v>
      </c>
      <c r="E413" s="43" t="s">
        <v>3660</v>
      </c>
      <c r="F413" s="43" t="s">
        <v>3661</v>
      </c>
      <c r="G413" s="42" t="s">
        <v>34</v>
      </c>
      <c r="H413" s="42">
        <v>1</v>
      </c>
      <c r="I413" s="44">
        <v>0.32444444444444398</v>
      </c>
      <c r="J413" s="45">
        <v>43978</v>
      </c>
      <c r="K413" s="46" t="s">
        <v>20</v>
      </c>
      <c r="L413" s="47">
        <v>4.99</v>
      </c>
    </row>
    <row r="414" spans="1:13" ht="35" customHeight="1">
      <c r="A414" s="23">
        <f>ROW()-3</f>
        <v>411</v>
      </c>
      <c r="B414" s="42" t="s">
        <v>2732</v>
      </c>
      <c r="C414" s="42" t="s">
        <v>3576</v>
      </c>
      <c r="D414" s="43" t="s">
        <v>3663</v>
      </c>
      <c r="E414" s="43" t="s">
        <v>3664</v>
      </c>
      <c r="F414" s="43" t="s">
        <v>3661</v>
      </c>
      <c r="G414" s="42" t="s">
        <v>34</v>
      </c>
      <c r="H414" s="42">
        <v>1</v>
      </c>
      <c r="I414" s="44">
        <v>0.65861111111111104</v>
      </c>
      <c r="J414" s="45">
        <v>43978</v>
      </c>
      <c r="K414" s="46" t="s">
        <v>20</v>
      </c>
      <c r="L414" s="47">
        <v>4.99</v>
      </c>
    </row>
    <row r="415" spans="1:13" ht="35" customHeight="1">
      <c r="A415" s="23">
        <f>ROW()-3</f>
        <v>412</v>
      </c>
      <c r="B415" s="42" t="s">
        <v>2732</v>
      </c>
      <c r="C415" s="42" t="s">
        <v>3576</v>
      </c>
      <c r="D415" s="43" t="s">
        <v>3665</v>
      </c>
      <c r="E415" s="43" t="s">
        <v>3666</v>
      </c>
      <c r="F415" s="43" t="s">
        <v>1908</v>
      </c>
      <c r="G415" s="42" t="s">
        <v>34</v>
      </c>
      <c r="H415" s="42">
        <v>1</v>
      </c>
      <c r="I415" s="44">
        <v>0.35138888888888897</v>
      </c>
      <c r="J415" s="45">
        <v>43978</v>
      </c>
      <c r="K415" s="46" t="s">
        <v>20</v>
      </c>
      <c r="L415" s="47">
        <v>4.99</v>
      </c>
    </row>
    <row r="416" spans="1:13" ht="35" customHeight="1">
      <c r="A416" s="23">
        <f>ROW()-3</f>
        <v>413</v>
      </c>
      <c r="B416" s="42" t="s">
        <v>2732</v>
      </c>
      <c r="C416" s="42" t="s">
        <v>3576</v>
      </c>
      <c r="D416" s="43" t="s">
        <v>3667</v>
      </c>
      <c r="E416" s="43" t="s">
        <v>3668</v>
      </c>
      <c r="F416" s="43" t="s">
        <v>3669</v>
      </c>
      <c r="G416" s="42" t="s">
        <v>34</v>
      </c>
      <c r="H416" s="42">
        <v>1</v>
      </c>
      <c r="I416" s="44">
        <v>0.404444444444444</v>
      </c>
      <c r="J416" s="45">
        <v>43978</v>
      </c>
      <c r="K416" s="46" t="s">
        <v>20</v>
      </c>
      <c r="L416" s="47">
        <v>4.99</v>
      </c>
    </row>
    <row r="417" spans="1:13" ht="35" customHeight="1">
      <c r="A417" s="23">
        <f>ROW()-3</f>
        <v>414</v>
      </c>
      <c r="B417" s="42" t="s">
        <v>2732</v>
      </c>
      <c r="C417" s="42" t="s">
        <v>3576</v>
      </c>
      <c r="D417" s="43" t="s">
        <v>3670</v>
      </c>
      <c r="E417" s="43" t="s">
        <v>3671</v>
      </c>
      <c r="F417" s="43" t="s">
        <v>3669</v>
      </c>
      <c r="G417" s="42" t="s">
        <v>34</v>
      </c>
      <c r="H417" s="42">
        <v>1</v>
      </c>
      <c r="I417" s="44">
        <v>0.40638888888888902</v>
      </c>
      <c r="J417" s="45">
        <v>43978</v>
      </c>
      <c r="K417" s="46" t="s">
        <v>20</v>
      </c>
      <c r="L417" s="47">
        <v>4.99</v>
      </c>
    </row>
    <row r="418" spans="1:13" ht="35" customHeight="1">
      <c r="A418" s="23">
        <f>ROW()-3</f>
        <v>415</v>
      </c>
      <c r="B418" s="42" t="s">
        <v>2732</v>
      </c>
      <c r="C418" s="42" t="s">
        <v>3576</v>
      </c>
      <c r="D418" s="43" t="s">
        <v>3672</v>
      </c>
      <c r="E418" s="43" t="s">
        <v>3673</v>
      </c>
      <c r="F418" s="43" t="s">
        <v>3669</v>
      </c>
      <c r="G418" s="42" t="s">
        <v>34</v>
      </c>
      <c r="H418" s="42">
        <v>1</v>
      </c>
      <c r="I418" s="44">
        <v>0.68166666666666698</v>
      </c>
      <c r="J418" s="45">
        <v>43978</v>
      </c>
      <c r="K418" s="46" t="s">
        <v>20</v>
      </c>
      <c r="L418" s="47">
        <v>4.99</v>
      </c>
    </row>
    <row r="419" spans="1:13" ht="35" customHeight="1">
      <c r="A419" s="23">
        <f>ROW()-3</f>
        <v>416</v>
      </c>
      <c r="B419" s="42" t="s">
        <v>2732</v>
      </c>
      <c r="C419" s="42" t="s">
        <v>3576</v>
      </c>
      <c r="D419" s="43" t="s">
        <v>3674</v>
      </c>
      <c r="E419" s="43" t="s">
        <v>3675</v>
      </c>
      <c r="F419" s="43" t="s">
        <v>619</v>
      </c>
      <c r="G419" s="42" t="s">
        <v>34</v>
      </c>
      <c r="H419" s="42">
        <v>1</v>
      </c>
      <c r="I419" s="44">
        <v>0.57611111111111102</v>
      </c>
      <c r="J419" s="45">
        <v>43978</v>
      </c>
      <c r="K419" s="46" t="s">
        <v>20</v>
      </c>
      <c r="L419" s="47">
        <v>4.99</v>
      </c>
    </row>
    <row r="420" spans="1:13" ht="35" customHeight="1">
      <c r="A420" s="23">
        <f>ROW()-3</f>
        <v>417</v>
      </c>
      <c r="B420" s="42" t="s">
        <v>2732</v>
      </c>
      <c r="C420" s="42" t="s">
        <v>3576</v>
      </c>
      <c r="D420" s="43" t="s">
        <v>3676</v>
      </c>
      <c r="E420" s="43" t="s">
        <v>3677</v>
      </c>
      <c r="F420" s="43" t="s">
        <v>619</v>
      </c>
      <c r="G420" s="42" t="s">
        <v>34</v>
      </c>
      <c r="H420" s="42">
        <v>1</v>
      </c>
      <c r="I420" s="44">
        <v>0.27444444444444399</v>
      </c>
      <c r="J420" s="45">
        <v>43978</v>
      </c>
      <c r="K420" s="46" t="s">
        <v>20</v>
      </c>
      <c r="L420" s="47">
        <v>4.99</v>
      </c>
    </row>
    <row r="421" spans="1:13" ht="35" customHeight="1">
      <c r="A421" s="23">
        <f>ROW()-3</f>
        <v>418</v>
      </c>
      <c r="B421" s="42" t="s">
        <v>2732</v>
      </c>
      <c r="C421" s="42" t="s">
        <v>3576</v>
      </c>
      <c r="D421" s="43" t="s">
        <v>3678</v>
      </c>
      <c r="E421" s="43" t="s">
        <v>3679</v>
      </c>
      <c r="F421" s="43" t="s">
        <v>3680</v>
      </c>
      <c r="G421" s="42" t="s">
        <v>34</v>
      </c>
      <c r="H421" s="42">
        <v>1</v>
      </c>
      <c r="I421" s="44">
        <v>0.46750000000000003</v>
      </c>
      <c r="J421" s="45">
        <v>43978</v>
      </c>
      <c r="K421" s="46" t="s">
        <v>20</v>
      </c>
      <c r="L421" s="47">
        <v>4.99</v>
      </c>
      <c r="M421" s="32"/>
    </row>
    <row r="422" spans="1:13" ht="35" customHeight="1">
      <c r="A422" s="23">
        <f>ROW()-3</f>
        <v>419</v>
      </c>
      <c r="B422" s="42" t="s">
        <v>2732</v>
      </c>
      <c r="C422" s="42" t="s">
        <v>3576</v>
      </c>
      <c r="D422" s="43" t="s">
        <v>3681</v>
      </c>
      <c r="E422" s="43" t="s">
        <v>3682</v>
      </c>
      <c r="F422" s="43" t="s">
        <v>3683</v>
      </c>
      <c r="G422" s="42" t="s">
        <v>34</v>
      </c>
      <c r="H422" s="42">
        <v>1</v>
      </c>
      <c r="I422" s="44">
        <v>0.446388888888889</v>
      </c>
      <c r="J422" s="45">
        <v>43978</v>
      </c>
      <c r="K422" s="46" t="s">
        <v>20</v>
      </c>
      <c r="L422" s="47">
        <v>4.99</v>
      </c>
      <c r="M422" s="32"/>
    </row>
    <row r="423" spans="1:13" ht="35" customHeight="1">
      <c r="A423" s="23">
        <f>ROW()-3</f>
        <v>420</v>
      </c>
      <c r="B423" s="42" t="s">
        <v>2732</v>
      </c>
      <c r="C423" s="42" t="s">
        <v>3576</v>
      </c>
      <c r="D423" s="43" t="s">
        <v>3684</v>
      </c>
      <c r="E423" s="43" t="s">
        <v>3685</v>
      </c>
      <c r="F423" s="43" t="s">
        <v>3686</v>
      </c>
      <c r="G423" s="42" t="s">
        <v>34</v>
      </c>
      <c r="H423" s="42">
        <v>1</v>
      </c>
      <c r="I423" s="44">
        <v>0.58416666666666694</v>
      </c>
      <c r="J423" s="45">
        <v>43978</v>
      </c>
      <c r="K423" s="46" t="s">
        <v>20</v>
      </c>
      <c r="L423" s="47">
        <v>4.99</v>
      </c>
      <c r="M423" s="32"/>
    </row>
    <row r="424" spans="1:13" ht="35" customHeight="1">
      <c r="A424" s="23">
        <f>ROW()-3</f>
        <v>421</v>
      </c>
      <c r="B424" s="42" t="s">
        <v>2732</v>
      </c>
      <c r="C424" s="42" t="s">
        <v>3576</v>
      </c>
      <c r="D424" s="43" t="s">
        <v>3687</v>
      </c>
      <c r="E424" s="43" t="s">
        <v>3688</v>
      </c>
      <c r="F424" s="43" t="s">
        <v>3689</v>
      </c>
      <c r="G424" s="42" t="s">
        <v>34</v>
      </c>
      <c r="H424" s="42">
        <v>1</v>
      </c>
      <c r="I424" s="44">
        <v>0.41694444444444401</v>
      </c>
      <c r="J424" s="45">
        <v>43978</v>
      </c>
      <c r="K424" s="46" t="s">
        <v>20</v>
      </c>
      <c r="L424" s="47">
        <v>4.99</v>
      </c>
      <c r="M424" s="32"/>
    </row>
    <row r="425" spans="1:13" ht="35" customHeight="1">
      <c r="A425" s="23">
        <f>ROW()-3</f>
        <v>422</v>
      </c>
      <c r="B425" s="42" t="s">
        <v>2732</v>
      </c>
      <c r="C425" s="42" t="s">
        <v>3576</v>
      </c>
      <c r="D425" s="43" t="s">
        <v>3690</v>
      </c>
      <c r="E425" s="43" t="s">
        <v>3688</v>
      </c>
      <c r="F425" s="43" t="s">
        <v>3689</v>
      </c>
      <c r="G425" s="42" t="s">
        <v>34</v>
      </c>
      <c r="H425" s="42">
        <v>1</v>
      </c>
      <c r="I425" s="44">
        <v>0.37166666666666698</v>
      </c>
      <c r="J425" s="45">
        <v>43978</v>
      </c>
      <c r="K425" s="46" t="s">
        <v>20</v>
      </c>
      <c r="L425" s="47">
        <v>4.99</v>
      </c>
      <c r="M425" s="32"/>
    </row>
    <row r="426" spans="1:13" ht="35" customHeight="1">
      <c r="A426" s="23">
        <f>ROW()-3</f>
        <v>423</v>
      </c>
      <c r="B426" s="42" t="s">
        <v>2732</v>
      </c>
      <c r="C426" s="42" t="s">
        <v>3576</v>
      </c>
      <c r="D426" s="43" t="s">
        <v>3711</v>
      </c>
      <c r="E426" s="43" t="s">
        <v>3712</v>
      </c>
      <c r="F426" s="43" t="s">
        <v>2948</v>
      </c>
      <c r="G426" s="42" t="s">
        <v>34</v>
      </c>
      <c r="H426" s="42">
        <v>1</v>
      </c>
      <c r="I426" s="44">
        <v>0.46472222222222198</v>
      </c>
      <c r="J426" s="45">
        <v>43978</v>
      </c>
      <c r="K426" s="46" t="s">
        <v>20</v>
      </c>
      <c r="L426" s="47">
        <v>4.99</v>
      </c>
      <c r="M426" s="32"/>
    </row>
    <row r="427" spans="1:13" ht="35" customHeight="1">
      <c r="A427" s="23">
        <f>ROW()-3</f>
        <v>424</v>
      </c>
      <c r="B427" s="42" t="s">
        <v>5170</v>
      </c>
      <c r="C427" s="42" t="s">
        <v>5181</v>
      </c>
      <c r="D427" s="43" t="s">
        <v>5179</v>
      </c>
      <c r="E427" s="43" t="s">
        <v>5180</v>
      </c>
      <c r="F427" s="43" t="s">
        <v>2804</v>
      </c>
      <c r="G427" s="42" t="s">
        <v>3253</v>
      </c>
      <c r="H427" s="42">
        <v>1</v>
      </c>
      <c r="I427" s="44">
        <v>0.5</v>
      </c>
      <c r="J427" s="45">
        <v>43979</v>
      </c>
      <c r="K427" s="46" t="s">
        <v>20</v>
      </c>
      <c r="L427" s="48">
        <v>4.99</v>
      </c>
    </row>
    <row r="428" spans="1:13" ht="35" customHeight="1">
      <c r="A428" s="23">
        <f>ROW()-3</f>
        <v>425</v>
      </c>
      <c r="B428" s="42" t="s">
        <v>2732</v>
      </c>
      <c r="C428" s="42" t="s">
        <v>3576</v>
      </c>
      <c r="D428" s="43" t="s">
        <v>3691</v>
      </c>
      <c r="E428" s="43" t="s">
        <v>3679</v>
      </c>
      <c r="F428" s="43" t="s">
        <v>3692</v>
      </c>
      <c r="G428" s="42" t="s">
        <v>34</v>
      </c>
      <c r="H428" s="42">
        <v>3</v>
      </c>
      <c r="I428" s="44">
        <v>0.85</v>
      </c>
      <c r="J428" s="45">
        <v>44011</v>
      </c>
      <c r="K428" s="46" t="s">
        <v>20</v>
      </c>
      <c r="L428" s="47">
        <v>4.99</v>
      </c>
      <c r="M428" s="32"/>
    </row>
    <row r="429" spans="1:13" ht="35" customHeight="1">
      <c r="A429" s="23">
        <f>ROW()-3</f>
        <v>426</v>
      </c>
      <c r="B429" s="42" t="s">
        <v>2732</v>
      </c>
      <c r="C429" s="42" t="s">
        <v>3576</v>
      </c>
      <c r="D429" s="43" t="s">
        <v>3693</v>
      </c>
      <c r="E429" s="43" t="s">
        <v>3282</v>
      </c>
      <c r="F429" s="43" t="s">
        <v>3058</v>
      </c>
      <c r="G429" s="42" t="s">
        <v>34</v>
      </c>
      <c r="H429" s="42">
        <v>1</v>
      </c>
      <c r="I429" s="44">
        <v>0.3</v>
      </c>
      <c r="J429" s="45">
        <v>44011</v>
      </c>
      <c r="K429" s="46" t="s">
        <v>20</v>
      </c>
      <c r="L429" s="47">
        <v>4.99</v>
      </c>
      <c r="M429" s="32"/>
    </row>
    <row r="430" spans="1:13" ht="35" customHeight="1">
      <c r="A430" s="23">
        <f>ROW()-3</f>
        <v>427</v>
      </c>
      <c r="B430" s="42" t="s">
        <v>2732</v>
      </c>
      <c r="C430" s="42" t="s">
        <v>3576</v>
      </c>
      <c r="D430" s="43" t="s">
        <v>3663</v>
      </c>
      <c r="E430" s="43" t="s">
        <v>3664</v>
      </c>
      <c r="F430" s="43" t="s">
        <v>3661</v>
      </c>
      <c r="G430" s="42" t="s">
        <v>34</v>
      </c>
      <c r="H430" s="42">
        <v>1</v>
      </c>
      <c r="I430" s="44">
        <v>0.41</v>
      </c>
      <c r="J430" s="45">
        <v>44011</v>
      </c>
      <c r="K430" s="46" t="s">
        <v>20</v>
      </c>
      <c r="L430" s="47">
        <v>4.99</v>
      </c>
      <c r="M430" s="32"/>
    </row>
    <row r="431" spans="1:13" ht="35" customHeight="1">
      <c r="A431" s="23">
        <f>ROW()-3</f>
        <v>428</v>
      </c>
      <c r="B431" s="42" t="s">
        <v>2732</v>
      </c>
      <c r="C431" s="42" t="s">
        <v>3576</v>
      </c>
      <c r="D431" s="43" t="s">
        <v>3694</v>
      </c>
      <c r="E431" s="43" t="s">
        <v>3679</v>
      </c>
      <c r="F431" s="43" t="s">
        <v>3695</v>
      </c>
      <c r="G431" s="42" t="s">
        <v>34</v>
      </c>
      <c r="H431" s="42">
        <v>1</v>
      </c>
      <c r="I431" s="44">
        <v>0.41</v>
      </c>
      <c r="J431" s="45">
        <v>44018</v>
      </c>
      <c r="K431" s="46" t="s">
        <v>20</v>
      </c>
      <c r="L431" s="47">
        <v>4.99</v>
      </c>
      <c r="M431" s="32"/>
    </row>
    <row r="432" spans="1:13" ht="35" customHeight="1">
      <c r="A432" s="23">
        <f>ROW()-3</f>
        <v>429</v>
      </c>
      <c r="B432" s="42" t="s">
        <v>2732</v>
      </c>
      <c r="C432" s="42" t="s">
        <v>3576</v>
      </c>
      <c r="D432" s="43" t="s">
        <v>3696</v>
      </c>
      <c r="E432" s="43" t="s">
        <v>3697</v>
      </c>
      <c r="F432" s="43" t="s">
        <v>3698</v>
      </c>
      <c r="G432" s="42" t="s">
        <v>34</v>
      </c>
      <c r="H432" s="43">
        <v>1</v>
      </c>
      <c r="I432" s="49">
        <v>0.45</v>
      </c>
      <c r="J432" s="45">
        <v>44025</v>
      </c>
      <c r="K432" s="46" t="s">
        <v>20</v>
      </c>
      <c r="L432" s="47">
        <v>4.99</v>
      </c>
      <c r="M432" s="32"/>
    </row>
    <row r="433" spans="1:13" ht="35" customHeight="1">
      <c r="A433" s="23">
        <f>ROW()-3</f>
        <v>430</v>
      </c>
      <c r="B433" s="42" t="s">
        <v>2732</v>
      </c>
      <c r="C433" s="42" t="s">
        <v>3576</v>
      </c>
      <c r="D433" s="43" t="s">
        <v>3699</v>
      </c>
      <c r="E433" s="43" t="s">
        <v>3699</v>
      </c>
      <c r="F433" s="43" t="s">
        <v>3264</v>
      </c>
      <c r="G433" s="42" t="s">
        <v>34</v>
      </c>
      <c r="H433" s="43">
        <v>3</v>
      </c>
      <c r="I433" s="49">
        <v>1.28</v>
      </c>
      <c r="J433" s="45">
        <v>44039</v>
      </c>
      <c r="K433" s="46" t="s">
        <v>20</v>
      </c>
      <c r="L433" s="47">
        <v>4.99</v>
      </c>
      <c r="M433" s="32"/>
    </row>
    <row r="434" spans="1:13" ht="35" customHeight="1">
      <c r="A434" s="23">
        <f>ROW()-3</f>
        <v>431</v>
      </c>
      <c r="B434" s="42" t="s">
        <v>2732</v>
      </c>
      <c r="C434" s="42" t="s">
        <v>3576</v>
      </c>
      <c r="D434" s="43" t="s">
        <v>3700</v>
      </c>
      <c r="E434" s="43" t="s">
        <v>3701</v>
      </c>
      <c r="F434" s="43" t="s">
        <v>2948</v>
      </c>
      <c r="G434" s="42" t="s">
        <v>34</v>
      </c>
      <c r="H434" s="43">
        <v>3</v>
      </c>
      <c r="I434" s="49">
        <v>1.67</v>
      </c>
      <c r="J434" s="45">
        <v>44039</v>
      </c>
      <c r="K434" s="46" t="s">
        <v>20</v>
      </c>
      <c r="L434" s="47">
        <v>4.99</v>
      </c>
      <c r="M434" s="32"/>
    </row>
    <row r="435" spans="1:13" ht="35" customHeight="1">
      <c r="A435" s="23">
        <f>ROW()-3</f>
        <v>432</v>
      </c>
      <c r="B435" s="42" t="s">
        <v>2732</v>
      </c>
      <c r="C435" s="42" t="s">
        <v>3576</v>
      </c>
      <c r="D435" s="43" t="s">
        <v>3702</v>
      </c>
      <c r="E435" s="43" t="s">
        <v>3703</v>
      </c>
      <c r="F435" s="43" t="s">
        <v>2948</v>
      </c>
      <c r="G435" s="42" t="s">
        <v>34</v>
      </c>
      <c r="H435" s="42">
        <v>5</v>
      </c>
      <c r="I435" s="49">
        <v>2.34</v>
      </c>
      <c r="J435" s="45">
        <v>44046</v>
      </c>
      <c r="K435" s="46" t="s">
        <v>20</v>
      </c>
      <c r="L435" s="47">
        <v>4.99</v>
      </c>
      <c r="M435" s="32"/>
    </row>
    <row r="436" spans="1:13" ht="35" customHeight="1">
      <c r="A436" s="23">
        <f>ROW()-3</f>
        <v>433</v>
      </c>
      <c r="B436" s="42" t="s">
        <v>2732</v>
      </c>
      <c r="C436" s="42" t="s">
        <v>3576</v>
      </c>
      <c r="D436" s="43" t="s">
        <v>3704</v>
      </c>
      <c r="E436" s="43" t="s">
        <v>3705</v>
      </c>
      <c r="F436" s="43" t="s">
        <v>2948</v>
      </c>
      <c r="G436" s="42" t="s">
        <v>34</v>
      </c>
      <c r="H436" s="42">
        <v>4</v>
      </c>
      <c r="I436" s="49">
        <v>1.97</v>
      </c>
      <c r="J436" s="45">
        <v>44046</v>
      </c>
      <c r="K436" s="46" t="s">
        <v>20</v>
      </c>
      <c r="L436" s="47">
        <v>4.99</v>
      </c>
      <c r="M436" s="32"/>
    </row>
    <row r="437" spans="1:13" ht="35" customHeight="1">
      <c r="A437" s="23">
        <f>ROW()-3</f>
        <v>434</v>
      </c>
      <c r="B437" s="42" t="s">
        <v>2732</v>
      </c>
      <c r="C437" s="42" t="s">
        <v>3576</v>
      </c>
      <c r="D437" s="43" t="s">
        <v>3706</v>
      </c>
      <c r="E437" s="43" t="s">
        <v>3508</v>
      </c>
      <c r="F437" s="43" t="s">
        <v>2948</v>
      </c>
      <c r="G437" s="42" t="s">
        <v>34</v>
      </c>
      <c r="H437" s="42">
        <v>2</v>
      </c>
      <c r="I437" s="49">
        <v>0.8</v>
      </c>
      <c r="J437" s="45">
        <v>44053</v>
      </c>
      <c r="K437" s="46" t="s">
        <v>20</v>
      </c>
      <c r="L437" s="47">
        <v>4.99</v>
      </c>
      <c r="M437" s="32"/>
    </row>
    <row r="438" spans="1:13" ht="35" customHeight="1">
      <c r="A438" s="23">
        <f>ROW()-3</f>
        <v>435</v>
      </c>
      <c r="B438" s="42" t="s">
        <v>2732</v>
      </c>
      <c r="C438" s="42" t="s">
        <v>3576</v>
      </c>
      <c r="D438" s="43" t="s">
        <v>3707</v>
      </c>
      <c r="E438" s="43" t="s">
        <v>3708</v>
      </c>
      <c r="F438" s="43" t="s">
        <v>2948</v>
      </c>
      <c r="G438" s="42" t="s">
        <v>34</v>
      </c>
      <c r="H438" s="42">
        <v>3</v>
      </c>
      <c r="I438" s="49">
        <v>0.9</v>
      </c>
      <c r="J438" s="45">
        <v>44081</v>
      </c>
      <c r="K438" s="46" t="s">
        <v>20</v>
      </c>
      <c r="L438" s="47">
        <v>4.99</v>
      </c>
      <c r="M438" s="32"/>
    </row>
    <row r="439" spans="1:13" ht="35" customHeight="1">
      <c r="A439" s="23">
        <f>ROW()-3</f>
        <v>436</v>
      </c>
      <c r="B439" s="42" t="s">
        <v>2732</v>
      </c>
      <c r="C439" s="42" t="s">
        <v>3576</v>
      </c>
      <c r="D439" s="43" t="s">
        <v>3709</v>
      </c>
      <c r="E439" s="43" t="s">
        <v>3710</v>
      </c>
      <c r="F439" s="43" t="s">
        <v>2948</v>
      </c>
      <c r="G439" s="42" t="s">
        <v>34</v>
      </c>
      <c r="H439" s="42">
        <v>3</v>
      </c>
      <c r="I439" s="49">
        <v>1.75</v>
      </c>
      <c r="J439" s="45">
        <v>44081</v>
      </c>
      <c r="K439" s="46" t="s">
        <v>20</v>
      </c>
      <c r="L439" s="47">
        <v>4.99</v>
      </c>
      <c r="M439" s="32"/>
    </row>
    <row r="440" spans="1:13" ht="35" customHeight="1">
      <c r="A440" s="23">
        <f>ROW()-3</f>
        <v>437</v>
      </c>
      <c r="B440" s="42" t="s">
        <v>2732</v>
      </c>
      <c r="C440" s="42" t="s">
        <v>3576</v>
      </c>
      <c r="D440" s="43" t="s">
        <v>3713</v>
      </c>
      <c r="E440" s="43" t="s">
        <v>3714</v>
      </c>
      <c r="F440" s="43" t="s">
        <v>3715</v>
      </c>
      <c r="G440" s="42" t="s">
        <v>34</v>
      </c>
      <c r="H440" s="42">
        <v>66</v>
      </c>
      <c r="I440" s="44">
        <v>11</v>
      </c>
      <c r="J440" s="45">
        <v>44102</v>
      </c>
      <c r="K440" s="46" t="s">
        <v>20</v>
      </c>
      <c r="L440" s="47">
        <v>59.9</v>
      </c>
      <c r="M440" s="32"/>
    </row>
    <row r="441" spans="1:13" ht="35" customHeight="1">
      <c r="A441" s="23">
        <f>ROW()-3</f>
        <v>438</v>
      </c>
      <c r="B441" s="42" t="s">
        <v>2732</v>
      </c>
      <c r="C441" s="42" t="s">
        <v>3576</v>
      </c>
      <c r="D441" s="43" t="s">
        <v>3640</v>
      </c>
      <c r="E441" s="43" t="s">
        <v>3641</v>
      </c>
      <c r="F441" s="43" t="s">
        <v>3203</v>
      </c>
      <c r="G441" s="42" t="s">
        <v>34</v>
      </c>
      <c r="H441" s="42">
        <v>1</v>
      </c>
      <c r="I441" s="44">
        <v>0.42</v>
      </c>
      <c r="J441" s="45">
        <v>44130</v>
      </c>
      <c r="K441" s="46" t="s">
        <v>20</v>
      </c>
      <c r="L441" s="47">
        <v>4.99</v>
      </c>
      <c r="M441" s="32"/>
    </row>
    <row r="442" spans="1:13" ht="35" customHeight="1">
      <c r="A442" s="23">
        <f>ROW()-3</f>
        <v>439</v>
      </c>
      <c r="B442" s="42" t="s">
        <v>2732</v>
      </c>
      <c r="C442" s="42" t="s">
        <v>3576</v>
      </c>
      <c r="D442" s="43" t="s">
        <v>3716</v>
      </c>
      <c r="E442" s="43" t="s">
        <v>3717</v>
      </c>
      <c r="F442" s="43" t="s">
        <v>3647</v>
      </c>
      <c r="G442" s="42" t="s">
        <v>34</v>
      </c>
      <c r="H442" s="42">
        <v>1</v>
      </c>
      <c r="I442" s="44">
        <v>0.49</v>
      </c>
      <c r="J442" s="45">
        <v>44137</v>
      </c>
      <c r="K442" s="46" t="s">
        <v>20</v>
      </c>
      <c r="L442" s="47">
        <v>4.99</v>
      </c>
      <c r="M442" s="32"/>
    </row>
    <row r="443" spans="1:13" ht="35" customHeight="1">
      <c r="A443" s="23">
        <f>ROW()-3</f>
        <v>440</v>
      </c>
      <c r="B443" s="42" t="s">
        <v>2732</v>
      </c>
      <c r="C443" s="42" t="s">
        <v>3576</v>
      </c>
      <c r="D443" s="43" t="s">
        <v>3718</v>
      </c>
      <c r="E443" s="43" t="s">
        <v>3719</v>
      </c>
      <c r="F443" s="43" t="s">
        <v>3038</v>
      </c>
      <c r="G443" s="42" t="s">
        <v>34</v>
      </c>
      <c r="H443" s="42">
        <v>1</v>
      </c>
      <c r="I443" s="44">
        <v>0.43</v>
      </c>
      <c r="J443" s="45">
        <v>44137</v>
      </c>
      <c r="K443" s="46" t="s">
        <v>20</v>
      </c>
      <c r="L443" s="47">
        <v>4.99</v>
      </c>
      <c r="M443" s="32"/>
    </row>
    <row r="444" spans="1:13" ht="35" customHeight="1">
      <c r="A444" s="23">
        <f>ROW()-3</f>
        <v>441</v>
      </c>
      <c r="B444" s="42" t="s">
        <v>2732</v>
      </c>
      <c r="C444" s="42" t="s">
        <v>3576</v>
      </c>
      <c r="D444" s="43" t="s">
        <v>3577</v>
      </c>
      <c r="E444" s="43" t="s">
        <v>3578</v>
      </c>
      <c r="F444" s="43" t="s">
        <v>3579</v>
      </c>
      <c r="G444" s="42" t="s">
        <v>34</v>
      </c>
      <c r="H444" s="42">
        <v>1</v>
      </c>
      <c r="I444" s="44">
        <v>0.38583333333333297</v>
      </c>
      <c r="J444" s="45">
        <v>44144</v>
      </c>
      <c r="K444" s="46" t="s">
        <v>20</v>
      </c>
      <c r="L444" s="47">
        <v>4.99</v>
      </c>
    </row>
    <row r="445" spans="1:13" ht="35" customHeight="1">
      <c r="A445" s="23">
        <f>ROW()-3</f>
        <v>442</v>
      </c>
      <c r="B445" s="42" t="s">
        <v>2732</v>
      </c>
      <c r="C445" s="42" t="s">
        <v>3576</v>
      </c>
      <c r="D445" s="43" t="s">
        <v>3587</v>
      </c>
      <c r="E445" s="43" t="s">
        <v>3588</v>
      </c>
      <c r="F445" s="43" t="s">
        <v>3589</v>
      </c>
      <c r="G445" s="42" t="s">
        <v>34</v>
      </c>
      <c r="H445" s="42">
        <v>1</v>
      </c>
      <c r="I445" s="44">
        <v>0.38</v>
      </c>
      <c r="J445" s="45">
        <v>44144</v>
      </c>
      <c r="K445" s="46" t="s">
        <v>20</v>
      </c>
      <c r="L445" s="47">
        <v>4.99</v>
      </c>
      <c r="M445" s="32"/>
    </row>
    <row r="446" spans="1:13" ht="35" customHeight="1">
      <c r="A446" s="23">
        <f>ROW()-3</f>
        <v>443</v>
      </c>
      <c r="B446" s="42" t="s">
        <v>2732</v>
      </c>
      <c r="C446" s="42" t="s">
        <v>3576</v>
      </c>
      <c r="D446" s="43" t="s">
        <v>3590</v>
      </c>
      <c r="E446" s="43" t="s">
        <v>3591</v>
      </c>
      <c r="F446" s="43" t="s">
        <v>2739</v>
      </c>
      <c r="G446" s="42" t="s">
        <v>34</v>
      </c>
      <c r="H446" s="42">
        <v>1</v>
      </c>
      <c r="I446" s="44">
        <v>0.46</v>
      </c>
      <c r="J446" s="45">
        <v>44144</v>
      </c>
      <c r="K446" s="46" t="s">
        <v>20</v>
      </c>
      <c r="L446" s="47">
        <v>4.99</v>
      </c>
      <c r="M446" s="32"/>
    </row>
    <row r="447" spans="1:13" ht="35" customHeight="1">
      <c r="A447" s="23">
        <f>ROW()-3</f>
        <v>444</v>
      </c>
      <c r="B447" s="42" t="s">
        <v>2732</v>
      </c>
      <c r="C447" s="42" t="s">
        <v>3576</v>
      </c>
      <c r="D447" s="43" t="s">
        <v>3592</v>
      </c>
      <c r="E447" s="43" t="s">
        <v>3593</v>
      </c>
      <c r="F447" s="43" t="s">
        <v>2739</v>
      </c>
      <c r="G447" s="42" t="s">
        <v>34</v>
      </c>
      <c r="H447" s="42">
        <v>1</v>
      </c>
      <c r="I447" s="44">
        <v>0.38</v>
      </c>
      <c r="J447" s="45">
        <v>44144</v>
      </c>
      <c r="K447" s="46" t="s">
        <v>20</v>
      </c>
      <c r="L447" s="47">
        <v>4.99</v>
      </c>
      <c r="M447" s="32"/>
    </row>
    <row r="448" spans="1:13" ht="35" customHeight="1">
      <c r="A448" s="23">
        <f>ROW()-3</f>
        <v>445</v>
      </c>
      <c r="B448" s="42" t="s">
        <v>2732</v>
      </c>
      <c r="C448" s="42" t="s">
        <v>3576</v>
      </c>
      <c r="D448" s="43" t="s">
        <v>3594</v>
      </c>
      <c r="E448" s="43" t="s">
        <v>3595</v>
      </c>
      <c r="F448" s="43" t="s">
        <v>3589</v>
      </c>
      <c r="G448" s="42" t="s">
        <v>34</v>
      </c>
      <c r="H448" s="42">
        <v>1</v>
      </c>
      <c r="I448" s="44">
        <v>0.53</v>
      </c>
      <c r="J448" s="45">
        <v>44144</v>
      </c>
      <c r="K448" s="46" t="s">
        <v>20</v>
      </c>
      <c r="L448" s="47">
        <v>4.99</v>
      </c>
      <c r="M448" s="32"/>
    </row>
    <row r="449" spans="1:13" ht="35" customHeight="1">
      <c r="A449" s="23">
        <f>ROW()-3</f>
        <v>446</v>
      </c>
      <c r="B449" s="42" t="s">
        <v>2732</v>
      </c>
      <c r="C449" s="42" t="s">
        <v>3576</v>
      </c>
      <c r="D449" s="43" t="s">
        <v>3596</v>
      </c>
      <c r="E449" s="43" t="s">
        <v>3597</v>
      </c>
      <c r="F449" s="43" t="s">
        <v>3579</v>
      </c>
      <c r="G449" s="42" t="s">
        <v>34</v>
      </c>
      <c r="H449" s="42">
        <v>1</v>
      </c>
      <c r="I449" s="44">
        <v>0.42</v>
      </c>
      <c r="J449" s="45">
        <v>44144</v>
      </c>
      <c r="K449" s="46" t="s">
        <v>20</v>
      </c>
      <c r="L449" s="47">
        <v>4.99</v>
      </c>
      <c r="M449" s="32"/>
    </row>
    <row r="450" spans="1:13" ht="35" customHeight="1">
      <c r="A450" s="23">
        <f>ROW()-3</f>
        <v>447</v>
      </c>
      <c r="B450" s="42" t="s">
        <v>2732</v>
      </c>
      <c r="C450" s="42" t="s">
        <v>3576</v>
      </c>
      <c r="D450" s="43" t="s">
        <v>3598</v>
      </c>
      <c r="E450" s="43" t="s">
        <v>3599</v>
      </c>
      <c r="F450" s="43" t="s">
        <v>2739</v>
      </c>
      <c r="G450" s="42" t="s">
        <v>34</v>
      </c>
      <c r="H450" s="42">
        <v>1</v>
      </c>
      <c r="I450" s="44">
        <v>0.4</v>
      </c>
      <c r="J450" s="45">
        <v>44144</v>
      </c>
      <c r="K450" s="46" t="s">
        <v>20</v>
      </c>
      <c r="L450" s="47">
        <v>4.99</v>
      </c>
      <c r="M450" s="32"/>
    </row>
    <row r="451" spans="1:13" ht="35" customHeight="1">
      <c r="A451" s="23">
        <f>ROW()-3</f>
        <v>448</v>
      </c>
      <c r="B451" s="42" t="s">
        <v>2732</v>
      </c>
      <c r="C451" s="42" t="s">
        <v>3576</v>
      </c>
      <c r="D451" s="43" t="s">
        <v>3600</v>
      </c>
      <c r="E451" s="43" t="s">
        <v>3601</v>
      </c>
      <c r="F451" s="43" t="s">
        <v>3589</v>
      </c>
      <c r="G451" s="42" t="s">
        <v>34</v>
      </c>
      <c r="H451" s="42">
        <v>1</v>
      </c>
      <c r="I451" s="44">
        <v>0.45</v>
      </c>
      <c r="J451" s="45">
        <v>44144</v>
      </c>
      <c r="K451" s="46" t="s">
        <v>20</v>
      </c>
      <c r="L451" s="47">
        <v>4.99</v>
      </c>
      <c r="M451" s="32"/>
    </row>
    <row r="452" spans="1:13" ht="35" customHeight="1">
      <c r="A452" s="23">
        <f>ROW()-3</f>
        <v>449</v>
      </c>
      <c r="B452" s="42" t="s">
        <v>2732</v>
      </c>
      <c r="C452" s="42" t="s">
        <v>3576</v>
      </c>
      <c r="D452" s="43" t="s">
        <v>3602</v>
      </c>
      <c r="E452" s="43" t="s">
        <v>3603</v>
      </c>
      <c r="F452" s="43" t="s">
        <v>2739</v>
      </c>
      <c r="G452" s="42" t="s">
        <v>34</v>
      </c>
      <c r="H452" s="42">
        <v>1</v>
      </c>
      <c r="I452" s="44">
        <v>0.47</v>
      </c>
      <c r="J452" s="45">
        <v>44144</v>
      </c>
      <c r="K452" s="46" t="s">
        <v>20</v>
      </c>
      <c r="L452" s="47">
        <v>4.99</v>
      </c>
      <c r="M452" s="32"/>
    </row>
    <row r="453" spans="1:13" ht="35" customHeight="1">
      <c r="A453" s="23">
        <f>ROW()-3</f>
        <v>450</v>
      </c>
      <c r="B453" s="42" t="s">
        <v>2732</v>
      </c>
      <c r="C453" s="42" t="s">
        <v>3576</v>
      </c>
      <c r="D453" s="43" t="s">
        <v>3618</v>
      </c>
      <c r="E453" s="43" t="s">
        <v>3619</v>
      </c>
      <c r="F453" s="43" t="s">
        <v>3589</v>
      </c>
      <c r="G453" s="42" t="s">
        <v>34</v>
      </c>
      <c r="H453" s="42">
        <v>1</v>
      </c>
      <c r="I453" s="44">
        <v>0.49</v>
      </c>
      <c r="J453" s="45">
        <v>44144</v>
      </c>
      <c r="K453" s="46" t="s">
        <v>20</v>
      </c>
      <c r="L453" s="47">
        <v>4.99</v>
      </c>
      <c r="M453" s="32"/>
    </row>
    <row r="454" spans="1:13" ht="35" customHeight="1">
      <c r="A454" s="23">
        <f>ROW()-3</f>
        <v>451</v>
      </c>
      <c r="B454" s="42" t="s">
        <v>2732</v>
      </c>
      <c r="C454" s="42" t="s">
        <v>3576</v>
      </c>
      <c r="D454" s="43" t="s">
        <v>3637</v>
      </c>
      <c r="E454" s="43" t="s">
        <v>3638</v>
      </c>
      <c r="F454" s="43" t="s">
        <v>3639</v>
      </c>
      <c r="G454" s="42" t="s">
        <v>34</v>
      </c>
      <c r="H454" s="42">
        <v>1</v>
      </c>
      <c r="I454" s="44">
        <v>0.45500000000000002</v>
      </c>
      <c r="J454" s="45">
        <v>44148</v>
      </c>
      <c r="K454" s="46" t="s">
        <v>20</v>
      </c>
      <c r="L454" s="47">
        <v>4.99</v>
      </c>
      <c r="M454" s="32"/>
    </row>
    <row r="455" spans="1:13" ht="35" customHeight="1">
      <c r="A455" s="23">
        <f>ROW()-3</f>
        <v>452</v>
      </c>
      <c r="B455" s="42" t="s">
        <v>2732</v>
      </c>
      <c r="C455" s="42" t="s">
        <v>3576</v>
      </c>
      <c r="D455" s="43" t="s">
        <v>3604</v>
      </c>
      <c r="E455" s="43" t="s">
        <v>3605</v>
      </c>
      <c r="F455" s="43" t="s">
        <v>3380</v>
      </c>
      <c r="G455" s="42" t="s">
        <v>34</v>
      </c>
      <c r="H455" s="42">
        <v>1</v>
      </c>
      <c r="I455" s="44">
        <v>0.40972222222222199</v>
      </c>
      <c r="J455" s="45">
        <v>44151</v>
      </c>
      <c r="K455" s="46" t="s">
        <v>20</v>
      </c>
      <c r="L455" s="47">
        <v>4.99</v>
      </c>
      <c r="M455" s="32"/>
    </row>
    <row r="456" spans="1:13" ht="35" customHeight="1">
      <c r="A456" s="23">
        <f>ROW()-3</f>
        <v>453</v>
      </c>
      <c r="B456" s="42" t="s">
        <v>2732</v>
      </c>
      <c r="C456" s="42" t="s">
        <v>3576</v>
      </c>
      <c r="D456" s="43" t="s">
        <v>3606</v>
      </c>
      <c r="E456" s="43" t="s">
        <v>3607</v>
      </c>
      <c r="F456" s="43" t="s">
        <v>3343</v>
      </c>
      <c r="G456" s="42" t="s">
        <v>34</v>
      </c>
      <c r="H456" s="42">
        <v>1</v>
      </c>
      <c r="I456" s="44">
        <v>0.89305555555555605</v>
      </c>
      <c r="J456" s="45">
        <v>44151</v>
      </c>
      <c r="K456" s="46" t="s">
        <v>20</v>
      </c>
      <c r="L456" s="47">
        <v>4.99</v>
      </c>
      <c r="M456" s="32"/>
    </row>
    <row r="457" spans="1:13" ht="35" customHeight="1">
      <c r="A457" s="23">
        <f>ROW()-3</f>
        <v>454</v>
      </c>
      <c r="B457" s="42" t="s">
        <v>2732</v>
      </c>
      <c r="C457" s="42" t="s">
        <v>3576</v>
      </c>
      <c r="D457" s="43" t="s">
        <v>3608</v>
      </c>
      <c r="E457" s="43" t="s">
        <v>3609</v>
      </c>
      <c r="F457" s="43" t="s">
        <v>3610</v>
      </c>
      <c r="G457" s="42" t="s">
        <v>34</v>
      </c>
      <c r="H457" s="42">
        <v>1</v>
      </c>
      <c r="I457" s="44">
        <v>0.39972222222222198</v>
      </c>
      <c r="J457" s="45">
        <v>44151</v>
      </c>
      <c r="K457" s="46" t="s">
        <v>20</v>
      </c>
      <c r="L457" s="47">
        <v>4.99</v>
      </c>
      <c r="M457" s="32"/>
    </row>
    <row r="458" spans="1:13" ht="35" customHeight="1">
      <c r="A458" s="23">
        <f>ROW()-3</f>
        <v>455</v>
      </c>
      <c r="B458" s="42" t="s">
        <v>2732</v>
      </c>
      <c r="C458" s="42" t="s">
        <v>3576</v>
      </c>
      <c r="D458" s="43" t="s">
        <v>3611</v>
      </c>
      <c r="E458" s="43" t="s">
        <v>3612</v>
      </c>
      <c r="F458" s="43" t="s">
        <v>3343</v>
      </c>
      <c r="G458" s="42" t="s">
        <v>34</v>
      </c>
      <c r="H458" s="42">
        <v>1</v>
      </c>
      <c r="I458" s="44">
        <v>0.4975</v>
      </c>
      <c r="J458" s="45">
        <v>44151</v>
      </c>
      <c r="K458" s="46" t="s">
        <v>20</v>
      </c>
      <c r="L458" s="47">
        <v>4.99</v>
      </c>
      <c r="M458" s="32"/>
    </row>
    <row r="459" spans="1:13" ht="35" customHeight="1">
      <c r="A459" s="23">
        <f>ROW()-3</f>
        <v>456</v>
      </c>
      <c r="B459" s="42" t="s">
        <v>2732</v>
      </c>
      <c r="C459" s="42" t="s">
        <v>3576</v>
      </c>
      <c r="D459" s="43" t="s">
        <v>3620</v>
      </c>
      <c r="E459" s="43" t="s">
        <v>3621</v>
      </c>
      <c r="F459" s="43" t="s">
        <v>3579</v>
      </c>
      <c r="G459" s="42" t="s">
        <v>34</v>
      </c>
      <c r="H459" s="42">
        <v>1</v>
      </c>
      <c r="I459" s="44">
        <v>0.40972222222222199</v>
      </c>
      <c r="J459" s="45">
        <v>44151</v>
      </c>
      <c r="K459" s="46" t="s">
        <v>20</v>
      </c>
      <c r="L459" s="47">
        <v>4.99</v>
      </c>
      <c r="M459" s="32"/>
    </row>
    <row r="460" spans="1:13" ht="35" customHeight="1">
      <c r="A460" s="23">
        <f>ROW()-3</f>
        <v>457</v>
      </c>
      <c r="B460" s="42" t="s">
        <v>2732</v>
      </c>
      <c r="C460" s="42" t="s">
        <v>3576</v>
      </c>
      <c r="D460" s="43" t="s">
        <v>3622</v>
      </c>
      <c r="E460" s="43" t="s">
        <v>3623</v>
      </c>
      <c r="F460" s="43" t="s">
        <v>3343</v>
      </c>
      <c r="G460" s="42" t="s">
        <v>34</v>
      </c>
      <c r="H460" s="42">
        <v>1</v>
      </c>
      <c r="I460" s="44">
        <v>0.75916666666666699</v>
      </c>
      <c r="J460" s="45">
        <v>44151</v>
      </c>
      <c r="K460" s="46" t="s">
        <v>20</v>
      </c>
      <c r="L460" s="47">
        <v>4.99</v>
      </c>
      <c r="M460" s="32"/>
    </row>
    <row r="461" spans="1:13" ht="35" customHeight="1">
      <c r="A461" s="23">
        <f>ROW()-3</f>
        <v>458</v>
      </c>
      <c r="B461" s="42" t="s">
        <v>2732</v>
      </c>
      <c r="C461" s="42" t="s">
        <v>3576</v>
      </c>
      <c r="D461" s="43" t="s">
        <v>3624</v>
      </c>
      <c r="E461" s="43" t="s">
        <v>3623</v>
      </c>
      <c r="F461" s="43" t="s">
        <v>3343</v>
      </c>
      <c r="G461" s="42" t="s">
        <v>34</v>
      </c>
      <c r="H461" s="42">
        <v>1</v>
      </c>
      <c r="I461" s="44">
        <v>0.81777777777777805</v>
      </c>
      <c r="J461" s="45">
        <v>44151</v>
      </c>
      <c r="K461" s="46" t="s">
        <v>20</v>
      </c>
      <c r="L461" s="47">
        <v>4.99</v>
      </c>
      <c r="M461" s="32"/>
    </row>
    <row r="462" spans="1:13" ht="35" customHeight="1">
      <c r="A462" s="23">
        <f>ROW()-3</f>
        <v>459</v>
      </c>
      <c r="B462" s="42" t="s">
        <v>2732</v>
      </c>
      <c r="C462" s="42" t="s">
        <v>3576</v>
      </c>
      <c r="D462" s="43" t="s">
        <v>3625</v>
      </c>
      <c r="E462" s="43" t="s">
        <v>3626</v>
      </c>
      <c r="F462" s="43" t="s">
        <v>3627</v>
      </c>
      <c r="G462" s="42" t="s">
        <v>34</v>
      </c>
      <c r="H462" s="42">
        <v>1</v>
      </c>
      <c r="I462" s="44">
        <v>0.49555555555555603</v>
      </c>
      <c r="J462" s="45">
        <v>44151</v>
      </c>
      <c r="K462" s="46" t="s">
        <v>20</v>
      </c>
      <c r="L462" s="47">
        <v>4.99</v>
      </c>
      <c r="M462" s="32"/>
    </row>
    <row r="463" spans="1:13" ht="35" customHeight="1">
      <c r="A463" s="23">
        <f>ROW()-3</f>
        <v>460</v>
      </c>
      <c r="B463" s="42" t="s">
        <v>2732</v>
      </c>
      <c r="C463" s="42" t="s">
        <v>3576</v>
      </c>
      <c r="D463" s="43" t="s">
        <v>3642</v>
      </c>
      <c r="E463" s="43" t="s">
        <v>3643</v>
      </c>
      <c r="F463" s="43" t="s">
        <v>3644</v>
      </c>
      <c r="G463" s="42" t="s">
        <v>34</v>
      </c>
      <c r="H463" s="42">
        <v>1</v>
      </c>
      <c r="I463" s="44">
        <v>0.36305555555555602</v>
      </c>
      <c r="J463" s="45">
        <v>44151</v>
      </c>
      <c r="K463" s="46" t="s">
        <v>20</v>
      </c>
      <c r="L463" s="47">
        <v>4.99</v>
      </c>
      <c r="M463" s="32"/>
    </row>
    <row r="464" spans="1:13" ht="35" customHeight="1">
      <c r="A464" s="23">
        <f>ROW()-3</f>
        <v>461</v>
      </c>
      <c r="B464" s="42" t="s">
        <v>2732</v>
      </c>
      <c r="C464" s="42" t="s">
        <v>3576</v>
      </c>
      <c r="D464" s="43" t="s">
        <v>3645</v>
      </c>
      <c r="E464" s="43" t="s">
        <v>3646</v>
      </c>
      <c r="F464" s="43" t="s">
        <v>3647</v>
      </c>
      <c r="G464" s="42" t="s">
        <v>34</v>
      </c>
      <c r="H464" s="42">
        <v>1</v>
      </c>
      <c r="I464" s="44">
        <v>0.45444444444444398</v>
      </c>
      <c r="J464" s="45">
        <v>44151</v>
      </c>
      <c r="K464" s="46" t="s">
        <v>20</v>
      </c>
      <c r="L464" s="47">
        <v>4.99</v>
      </c>
      <c r="M464" s="32"/>
    </row>
    <row r="465" spans="1:13" ht="35" customHeight="1">
      <c r="A465" s="23">
        <f>ROW()-3</f>
        <v>462</v>
      </c>
      <c r="B465" s="42" t="s">
        <v>2732</v>
      </c>
      <c r="C465" s="42" t="s">
        <v>3576</v>
      </c>
      <c r="D465" s="43" t="s">
        <v>3648</v>
      </c>
      <c r="E465" s="43" t="s">
        <v>3649</v>
      </c>
      <c r="F465" s="43" t="s">
        <v>3650</v>
      </c>
      <c r="G465" s="42" t="s">
        <v>34</v>
      </c>
      <c r="H465" s="42">
        <v>1</v>
      </c>
      <c r="I465" s="44">
        <v>0.45500000000000002</v>
      </c>
      <c r="J465" s="45">
        <v>44151</v>
      </c>
      <c r="K465" s="46" t="s">
        <v>20</v>
      </c>
      <c r="L465" s="47">
        <v>4.99</v>
      </c>
      <c r="M465" s="32"/>
    </row>
    <row r="466" spans="1:13" ht="35" customHeight="1">
      <c r="A466" s="23">
        <f>ROW()-3</f>
        <v>463</v>
      </c>
      <c r="B466" s="42" t="s">
        <v>2732</v>
      </c>
      <c r="C466" s="42" t="s">
        <v>3576</v>
      </c>
      <c r="D466" s="43" t="s">
        <v>3582</v>
      </c>
      <c r="E466" s="43" t="s">
        <v>3583</v>
      </c>
      <c r="F466" s="43" t="s">
        <v>3452</v>
      </c>
      <c r="G466" s="42" t="s">
        <v>34</v>
      </c>
      <c r="H466" s="42">
        <v>1</v>
      </c>
      <c r="I466" s="44">
        <v>0.36</v>
      </c>
      <c r="J466" s="45">
        <v>44172</v>
      </c>
      <c r="K466" s="46" t="s">
        <v>20</v>
      </c>
      <c r="L466" s="47">
        <v>4.99</v>
      </c>
    </row>
    <row r="467" spans="1:13" ht="35" customHeight="1">
      <c r="A467" s="23">
        <f>ROW()-3</f>
        <v>464</v>
      </c>
      <c r="B467" s="42" t="s">
        <v>2732</v>
      </c>
      <c r="C467" s="42" t="s">
        <v>3576</v>
      </c>
      <c r="D467" s="43" t="s">
        <v>3584</v>
      </c>
      <c r="E467" s="43" t="s">
        <v>3583</v>
      </c>
      <c r="F467" s="43" t="s">
        <v>3452</v>
      </c>
      <c r="G467" s="42" t="s">
        <v>34</v>
      </c>
      <c r="H467" s="42">
        <v>1</v>
      </c>
      <c r="I467" s="44">
        <v>0.36</v>
      </c>
      <c r="J467" s="45">
        <v>44172</v>
      </c>
      <c r="K467" s="46" t="s">
        <v>20</v>
      </c>
      <c r="L467" s="47">
        <v>4.99</v>
      </c>
    </row>
    <row r="468" spans="1:13" ht="35" customHeight="1">
      <c r="A468" s="23">
        <f>ROW()-3</f>
        <v>465</v>
      </c>
      <c r="B468" s="42" t="s">
        <v>2732</v>
      </c>
      <c r="C468" s="42" t="s">
        <v>3576</v>
      </c>
      <c r="D468" s="43" t="s">
        <v>3585</v>
      </c>
      <c r="E468" s="43" t="s">
        <v>3586</v>
      </c>
      <c r="F468" s="43" t="s">
        <v>3349</v>
      </c>
      <c r="G468" s="42" t="s">
        <v>34</v>
      </c>
      <c r="H468" s="42">
        <v>1</v>
      </c>
      <c r="I468" s="44">
        <v>0.57999999999999996</v>
      </c>
      <c r="J468" s="45">
        <v>44172</v>
      </c>
      <c r="K468" s="46" t="s">
        <v>20</v>
      </c>
      <c r="L468" s="47">
        <v>4.99</v>
      </c>
    </row>
    <row r="469" spans="1:13" ht="35" customHeight="1">
      <c r="A469" s="23">
        <f>ROW()-3</f>
        <v>466</v>
      </c>
      <c r="B469" s="42" t="s">
        <v>2732</v>
      </c>
      <c r="C469" s="42" t="s">
        <v>3576</v>
      </c>
      <c r="D469" s="43" t="s">
        <v>3580</v>
      </c>
      <c r="E469" s="43" t="s">
        <v>3581</v>
      </c>
      <c r="F469" s="43" t="s">
        <v>3311</v>
      </c>
      <c r="G469" s="42" t="s">
        <v>34</v>
      </c>
      <c r="H469" s="42">
        <v>1</v>
      </c>
      <c r="I469" s="44">
        <v>0.51</v>
      </c>
      <c r="J469" s="45">
        <v>44186</v>
      </c>
      <c r="K469" s="46" t="s">
        <v>20</v>
      </c>
      <c r="L469" s="47">
        <v>4.99</v>
      </c>
    </row>
    <row r="470" spans="1:13" ht="35" customHeight="1">
      <c r="A470" s="23">
        <f>ROW()-3</f>
        <v>467</v>
      </c>
      <c r="B470" s="42" t="s">
        <v>2732</v>
      </c>
      <c r="C470" s="42" t="s">
        <v>3576</v>
      </c>
      <c r="D470" s="43" t="s">
        <v>3720</v>
      </c>
      <c r="E470" s="43" t="s">
        <v>3721</v>
      </c>
      <c r="F470" s="43" t="s">
        <v>3639</v>
      </c>
      <c r="G470" s="42" t="s">
        <v>34</v>
      </c>
      <c r="H470" s="42">
        <v>1</v>
      </c>
      <c r="I470" s="44">
        <v>0.45</v>
      </c>
      <c r="J470" s="45">
        <v>44333</v>
      </c>
      <c r="K470" s="46" t="s">
        <v>20</v>
      </c>
      <c r="L470" s="47">
        <v>4.99</v>
      </c>
      <c r="M470" s="32"/>
    </row>
    <row r="471" spans="1:13" ht="35" customHeight="1">
      <c r="A471" s="23">
        <f>ROW()-3</f>
        <v>468</v>
      </c>
      <c r="B471" s="42" t="s">
        <v>2732</v>
      </c>
      <c r="C471" s="42" t="s">
        <v>3576</v>
      </c>
      <c r="D471" s="43" t="s">
        <v>3722</v>
      </c>
      <c r="E471" s="43" t="s">
        <v>3723</v>
      </c>
      <c r="F471" s="43" t="s">
        <v>3343</v>
      </c>
      <c r="G471" s="42" t="s">
        <v>34</v>
      </c>
      <c r="H471" s="42">
        <v>1</v>
      </c>
      <c r="I471" s="44">
        <v>0.5</v>
      </c>
      <c r="J471" s="45">
        <v>44368</v>
      </c>
      <c r="K471" s="46" t="s">
        <v>20</v>
      </c>
      <c r="L471" s="47">
        <v>4.99</v>
      </c>
      <c r="M471" s="32"/>
    </row>
    <row r="472" spans="1:13" ht="35" customHeight="1">
      <c r="A472" s="23">
        <f>ROW()-3</f>
        <v>469</v>
      </c>
      <c r="B472" s="42" t="s">
        <v>2732</v>
      </c>
      <c r="C472" s="42" t="s">
        <v>3576</v>
      </c>
      <c r="D472" s="43" t="s">
        <v>3724</v>
      </c>
      <c r="E472" s="43" t="s">
        <v>3725</v>
      </c>
      <c r="F472" s="43" t="s">
        <v>2739</v>
      </c>
      <c r="G472" s="42" t="s">
        <v>34</v>
      </c>
      <c r="H472" s="42">
        <v>1</v>
      </c>
      <c r="I472" s="44">
        <v>0.5</v>
      </c>
      <c r="J472" s="45">
        <v>44368</v>
      </c>
      <c r="K472" s="46" t="s">
        <v>20</v>
      </c>
      <c r="L472" s="47">
        <v>4.99</v>
      </c>
      <c r="M472" s="32"/>
    </row>
    <row r="473" spans="1:13" ht="35" customHeight="1">
      <c r="A473" s="23">
        <f>ROW()-3</f>
        <v>470</v>
      </c>
      <c r="B473" s="42" t="s">
        <v>2732</v>
      </c>
      <c r="C473" s="42" t="s">
        <v>3576</v>
      </c>
      <c r="D473" s="43" t="s">
        <v>3726</v>
      </c>
      <c r="E473" s="43" t="s">
        <v>3727</v>
      </c>
      <c r="F473" s="43" t="s">
        <v>3728</v>
      </c>
      <c r="G473" s="42" t="s">
        <v>34</v>
      </c>
      <c r="H473" s="42">
        <v>1</v>
      </c>
      <c r="I473" s="44">
        <v>0.45</v>
      </c>
      <c r="J473" s="45">
        <v>44445</v>
      </c>
      <c r="K473" s="46" t="s">
        <v>20</v>
      </c>
      <c r="L473" s="47">
        <v>4.99</v>
      </c>
      <c r="M473" s="32"/>
    </row>
    <row r="474" spans="1:13" ht="35" customHeight="1">
      <c r="A474" s="23">
        <f>ROW()-3</f>
        <v>471</v>
      </c>
      <c r="B474" s="42" t="s">
        <v>2732</v>
      </c>
      <c r="C474" s="42" t="s">
        <v>3576</v>
      </c>
      <c r="D474" s="43" t="s">
        <v>3729</v>
      </c>
      <c r="E474" s="43" t="s">
        <v>3730</v>
      </c>
      <c r="F474" s="43" t="s">
        <v>3731</v>
      </c>
      <c r="G474" s="42" t="s">
        <v>3253</v>
      </c>
      <c r="H474" s="42">
        <v>1</v>
      </c>
      <c r="I474" s="44">
        <v>0.5</v>
      </c>
      <c r="J474" s="45">
        <v>44466</v>
      </c>
      <c r="K474" s="46" t="s">
        <v>20</v>
      </c>
      <c r="L474" s="47">
        <v>4.99</v>
      </c>
      <c r="M474" s="32"/>
    </row>
    <row r="475" spans="1:13" ht="35" customHeight="1">
      <c r="A475" s="23">
        <f>ROW()-3</f>
        <v>472</v>
      </c>
      <c r="B475" s="42" t="s">
        <v>2732</v>
      </c>
      <c r="C475" s="42" t="s">
        <v>3576</v>
      </c>
      <c r="D475" s="43" t="s">
        <v>3732</v>
      </c>
      <c r="E475" s="43" t="s">
        <v>3733</v>
      </c>
      <c r="F475" s="43" t="s">
        <v>3734</v>
      </c>
      <c r="G475" s="42" t="s">
        <v>3253</v>
      </c>
      <c r="H475" s="42">
        <v>1</v>
      </c>
      <c r="I475" s="44">
        <v>0.5</v>
      </c>
      <c r="J475" s="45">
        <v>44509</v>
      </c>
      <c r="K475" s="46" t="s">
        <v>20</v>
      </c>
      <c r="L475" s="47">
        <v>4.99</v>
      </c>
      <c r="M475" s="32"/>
    </row>
    <row r="476" spans="1:13" ht="35" customHeight="1">
      <c r="A476" s="23">
        <f>ROW()-3</f>
        <v>473</v>
      </c>
      <c r="B476" s="42" t="s">
        <v>2732</v>
      </c>
      <c r="C476" s="42" t="s">
        <v>3576</v>
      </c>
      <c r="D476" s="43" t="s">
        <v>5159</v>
      </c>
      <c r="E476" s="43" t="s">
        <v>5161</v>
      </c>
      <c r="F476" s="43" t="s">
        <v>5163</v>
      </c>
      <c r="G476" s="42" t="s">
        <v>3253</v>
      </c>
      <c r="H476" s="42">
        <v>1</v>
      </c>
      <c r="I476" s="44">
        <v>0.48</v>
      </c>
      <c r="J476" s="45">
        <v>44585</v>
      </c>
      <c r="K476" s="46" t="s">
        <v>20</v>
      </c>
      <c r="L476" s="47">
        <v>4.99</v>
      </c>
      <c r="M476" s="32"/>
    </row>
    <row r="477" spans="1:13" ht="35" customHeight="1">
      <c r="A477" s="23">
        <f>ROW()-3</f>
        <v>474</v>
      </c>
      <c r="B477" s="42" t="s">
        <v>2732</v>
      </c>
      <c r="C477" s="42" t="s">
        <v>3735</v>
      </c>
      <c r="D477" s="43" t="s">
        <v>3805</v>
      </c>
      <c r="E477" s="43" t="s">
        <v>3806</v>
      </c>
      <c r="F477" s="43" t="s">
        <v>3273</v>
      </c>
      <c r="G477" s="42" t="s">
        <v>34</v>
      </c>
      <c r="H477" s="42">
        <v>1</v>
      </c>
      <c r="I477" s="44">
        <v>0.3725</v>
      </c>
      <c r="J477" s="45">
        <v>43483</v>
      </c>
      <c r="K477" s="46" t="s">
        <v>20</v>
      </c>
      <c r="L477" s="47">
        <v>4.99</v>
      </c>
      <c r="M477" s="32"/>
    </row>
    <row r="478" spans="1:13" ht="35" customHeight="1">
      <c r="A478" s="23">
        <f>ROW()-3</f>
        <v>475</v>
      </c>
      <c r="B478" s="42" t="s">
        <v>2732</v>
      </c>
      <c r="C478" s="42" t="s">
        <v>3735</v>
      </c>
      <c r="D478" s="43" t="s">
        <v>3760</v>
      </c>
      <c r="E478" s="43" t="s">
        <v>3761</v>
      </c>
      <c r="F478" s="43" t="s">
        <v>3001</v>
      </c>
      <c r="G478" s="42" t="s">
        <v>34</v>
      </c>
      <c r="H478" s="42">
        <v>1</v>
      </c>
      <c r="I478" s="44">
        <v>0.45083333333333298</v>
      </c>
      <c r="J478" s="45">
        <v>43962</v>
      </c>
      <c r="K478" s="46" t="s">
        <v>20</v>
      </c>
      <c r="L478" s="47">
        <v>4.99</v>
      </c>
      <c r="M478" s="32"/>
    </row>
    <row r="479" spans="1:13" ht="35" customHeight="1">
      <c r="A479" s="23">
        <f>ROW()-3</f>
        <v>476</v>
      </c>
      <c r="B479" s="42" t="s">
        <v>2732</v>
      </c>
      <c r="C479" s="42" t="s">
        <v>3735</v>
      </c>
      <c r="D479" s="43" t="s">
        <v>3829</v>
      </c>
      <c r="E479" s="43" t="s">
        <v>3830</v>
      </c>
      <c r="F479" s="43" t="s">
        <v>3242</v>
      </c>
      <c r="G479" s="42" t="s">
        <v>34</v>
      </c>
      <c r="H479" s="42">
        <v>1</v>
      </c>
      <c r="I479" s="44">
        <v>0.53</v>
      </c>
      <c r="J479" s="45">
        <v>43962</v>
      </c>
      <c r="K479" s="46" t="s">
        <v>20</v>
      </c>
      <c r="L479" s="47">
        <v>4.99</v>
      </c>
      <c r="M479" s="32"/>
    </row>
    <row r="480" spans="1:13" ht="35" customHeight="1">
      <c r="A480" s="23">
        <f>ROW()-3</f>
        <v>477</v>
      </c>
      <c r="B480" s="42" t="s">
        <v>2732</v>
      </c>
      <c r="C480" s="42" t="s">
        <v>3735</v>
      </c>
      <c r="D480" s="43" t="s">
        <v>3816</v>
      </c>
      <c r="E480" s="43" t="s">
        <v>3814</v>
      </c>
      <c r="F480" s="43" t="s">
        <v>3815</v>
      </c>
      <c r="G480" s="42" t="s">
        <v>34</v>
      </c>
      <c r="H480" s="42">
        <v>1</v>
      </c>
      <c r="I480" s="44">
        <v>0.22</v>
      </c>
      <c r="J480" s="45">
        <v>43976</v>
      </c>
      <c r="K480" s="46" t="s">
        <v>20</v>
      </c>
      <c r="L480" s="47">
        <v>4.99</v>
      </c>
      <c r="M480" s="32"/>
    </row>
    <row r="481" spans="1:13" ht="35" customHeight="1">
      <c r="A481" s="23">
        <f>ROW()-3</f>
        <v>478</v>
      </c>
      <c r="B481" s="42" t="s">
        <v>2732</v>
      </c>
      <c r="C481" s="42" t="s">
        <v>3735</v>
      </c>
      <c r="D481" s="43" t="s">
        <v>3736</v>
      </c>
      <c r="E481" s="43" t="s">
        <v>3737</v>
      </c>
      <c r="F481" s="43" t="s">
        <v>2751</v>
      </c>
      <c r="G481" s="42" t="s">
        <v>34</v>
      </c>
      <c r="H481" s="42">
        <v>1</v>
      </c>
      <c r="I481" s="44">
        <v>0.71861111111111098</v>
      </c>
      <c r="J481" s="45">
        <v>43978</v>
      </c>
      <c r="K481" s="46" t="s">
        <v>20</v>
      </c>
      <c r="L481" s="47">
        <v>4.99</v>
      </c>
      <c r="M481" s="32"/>
    </row>
    <row r="482" spans="1:13" ht="35" customHeight="1">
      <c r="A482" s="23">
        <f>ROW()-3</f>
        <v>479</v>
      </c>
      <c r="B482" s="42" t="s">
        <v>2732</v>
      </c>
      <c r="C482" s="42" t="s">
        <v>3735</v>
      </c>
      <c r="D482" s="43" t="s">
        <v>3754</v>
      </c>
      <c r="E482" s="43" t="s">
        <v>3755</v>
      </c>
      <c r="F482" s="43" t="s">
        <v>3756</v>
      </c>
      <c r="G482" s="42" t="s">
        <v>34</v>
      </c>
      <c r="H482" s="42">
        <v>1</v>
      </c>
      <c r="I482" s="44">
        <v>0.76527777777777795</v>
      </c>
      <c r="J482" s="45">
        <v>43978</v>
      </c>
      <c r="K482" s="46" t="s">
        <v>20</v>
      </c>
      <c r="L482" s="47">
        <v>4.99</v>
      </c>
      <c r="M482" s="32"/>
    </row>
    <row r="483" spans="1:13" ht="35" customHeight="1">
      <c r="A483" s="23">
        <f>ROW()-3</f>
        <v>480</v>
      </c>
      <c r="B483" s="42" t="s">
        <v>2732</v>
      </c>
      <c r="C483" s="42" t="s">
        <v>3735</v>
      </c>
      <c r="D483" s="43" t="s">
        <v>3762</v>
      </c>
      <c r="E483" s="43" t="s">
        <v>3763</v>
      </c>
      <c r="F483" s="43" t="s">
        <v>3764</v>
      </c>
      <c r="G483" s="42" t="s">
        <v>34</v>
      </c>
      <c r="H483" s="42">
        <v>1</v>
      </c>
      <c r="I483" s="44">
        <v>0.64472222222222197</v>
      </c>
      <c r="J483" s="45">
        <v>43978</v>
      </c>
      <c r="K483" s="46" t="s">
        <v>20</v>
      </c>
      <c r="L483" s="47">
        <v>4.99</v>
      </c>
      <c r="M483" s="32"/>
    </row>
    <row r="484" spans="1:13" ht="35" customHeight="1">
      <c r="A484" s="23">
        <f>ROW()-3</f>
        <v>481</v>
      </c>
      <c r="B484" s="42" t="s">
        <v>2732</v>
      </c>
      <c r="C484" s="42" t="s">
        <v>3735</v>
      </c>
      <c r="D484" s="43" t="s">
        <v>3807</v>
      </c>
      <c r="E484" s="43" t="s">
        <v>3808</v>
      </c>
      <c r="F484" s="43" t="s">
        <v>3809</v>
      </c>
      <c r="G484" s="42" t="s">
        <v>34</v>
      </c>
      <c r="H484" s="42">
        <v>1</v>
      </c>
      <c r="I484" s="44">
        <v>0.31611111111111101</v>
      </c>
      <c r="J484" s="45">
        <v>43978</v>
      </c>
      <c r="K484" s="46" t="s">
        <v>20</v>
      </c>
      <c r="L484" s="47">
        <v>4.99</v>
      </c>
      <c r="M484" s="32"/>
    </row>
    <row r="485" spans="1:13" ht="35" customHeight="1">
      <c r="A485" s="23">
        <f>ROW()-3</f>
        <v>482</v>
      </c>
      <c r="B485" s="42" t="s">
        <v>2732</v>
      </c>
      <c r="C485" s="42" t="s">
        <v>3735</v>
      </c>
      <c r="D485" s="43" t="s">
        <v>3810</v>
      </c>
      <c r="E485" s="43" t="s">
        <v>3811</v>
      </c>
      <c r="F485" s="43" t="s">
        <v>3812</v>
      </c>
      <c r="G485" s="42" t="s">
        <v>34</v>
      </c>
      <c r="H485" s="42">
        <v>1</v>
      </c>
      <c r="I485" s="44">
        <v>0.31583333333333302</v>
      </c>
      <c r="J485" s="45">
        <v>43978</v>
      </c>
      <c r="K485" s="46" t="s">
        <v>20</v>
      </c>
      <c r="L485" s="47">
        <v>4.99</v>
      </c>
      <c r="M485" s="32"/>
    </row>
    <row r="486" spans="1:13" ht="35" customHeight="1">
      <c r="A486" s="23">
        <f>ROW()-3</f>
        <v>483</v>
      </c>
      <c r="B486" s="42" t="s">
        <v>2732</v>
      </c>
      <c r="C486" s="42" t="s">
        <v>3735</v>
      </c>
      <c r="D486" s="43" t="s">
        <v>3813</v>
      </c>
      <c r="E486" s="43" t="s">
        <v>3814</v>
      </c>
      <c r="F486" s="43" t="s">
        <v>3815</v>
      </c>
      <c r="G486" s="42" t="s">
        <v>34</v>
      </c>
      <c r="H486" s="42">
        <v>1</v>
      </c>
      <c r="I486" s="44">
        <v>0.2</v>
      </c>
      <c r="J486" s="45">
        <v>43978</v>
      </c>
      <c r="K486" s="46" t="s">
        <v>20</v>
      </c>
      <c r="L486" s="47">
        <v>4.99</v>
      </c>
      <c r="M486" s="32"/>
    </row>
    <row r="487" spans="1:13" ht="35" customHeight="1">
      <c r="A487" s="23">
        <f>ROW()-3</f>
        <v>484</v>
      </c>
      <c r="B487" s="42" t="s">
        <v>2732</v>
      </c>
      <c r="C487" s="42" t="s">
        <v>3735</v>
      </c>
      <c r="D487" s="43" t="s">
        <v>3817</v>
      </c>
      <c r="E487" s="43" t="s">
        <v>3818</v>
      </c>
      <c r="F487" s="43" t="s">
        <v>139</v>
      </c>
      <c r="G487" s="42" t="s">
        <v>34</v>
      </c>
      <c r="H487" s="42">
        <v>1</v>
      </c>
      <c r="I487" s="44">
        <v>0.52500000000000002</v>
      </c>
      <c r="J487" s="45">
        <v>43978</v>
      </c>
      <c r="K487" s="46" t="s">
        <v>20</v>
      </c>
      <c r="L487" s="47">
        <v>4.99</v>
      </c>
      <c r="M487" s="32"/>
    </row>
    <row r="488" spans="1:13" ht="35" customHeight="1">
      <c r="A488" s="23">
        <f>ROW()-3</f>
        <v>485</v>
      </c>
      <c r="B488" s="42" t="s">
        <v>2732</v>
      </c>
      <c r="C488" s="42" t="s">
        <v>3735</v>
      </c>
      <c r="D488" s="43" t="s">
        <v>3819</v>
      </c>
      <c r="E488" s="43" t="s">
        <v>3820</v>
      </c>
      <c r="F488" s="43" t="s">
        <v>3821</v>
      </c>
      <c r="G488" s="42" t="s">
        <v>34</v>
      </c>
      <c r="H488" s="42">
        <v>1</v>
      </c>
      <c r="I488" s="44">
        <v>0.40972222222222199</v>
      </c>
      <c r="J488" s="45">
        <v>43978</v>
      </c>
      <c r="K488" s="46" t="s">
        <v>20</v>
      </c>
      <c r="L488" s="47">
        <v>4.99</v>
      </c>
      <c r="M488" s="32"/>
    </row>
    <row r="489" spans="1:13" ht="35" customHeight="1">
      <c r="A489" s="23">
        <f>ROW()-3</f>
        <v>486</v>
      </c>
      <c r="B489" s="42" t="s">
        <v>2732</v>
      </c>
      <c r="C489" s="42" t="s">
        <v>3735</v>
      </c>
      <c r="D489" s="43" t="s">
        <v>3822</v>
      </c>
      <c r="E489" s="43" t="s">
        <v>3823</v>
      </c>
      <c r="F489" s="43" t="s">
        <v>2872</v>
      </c>
      <c r="G489" s="42" t="s">
        <v>34</v>
      </c>
      <c r="H489" s="42">
        <v>1</v>
      </c>
      <c r="I489" s="44">
        <v>0.74</v>
      </c>
      <c r="J489" s="45">
        <v>43978</v>
      </c>
      <c r="K489" s="46" t="s">
        <v>20</v>
      </c>
      <c r="L489" s="47">
        <v>4.99</v>
      </c>
      <c r="M489" s="32"/>
    </row>
    <row r="490" spans="1:13" ht="35" customHeight="1">
      <c r="A490" s="23">
        <f>ROW()-3</f>
        <v>487</v>
      </c>
      <c r="B490" s="42" t="s">
        <v>2732</v>
      </c>
      <c r="C490" s="42" t="s">
        <v>3735</v>
      </c>
      <c r="D490" s="43" t="s">
        <v>3824</v>
      </c>
      <c r="E490" s="43" t="s">
        <v>3825</v>
      </c>
      <c r="F490" s="43" t="s">
        <v>2872</v>
      </c>
      <c r="G490" s="42" t="s">
        <v>34</v>
      </c>
      <c r="H490" s="42">
        <v>1</v>
      </c>
      <c r="I490" s="44">
        <v>0.89305555555555605</v>
      </c>
      <c r="J490" s="45">
        <v>43978</v>
      </c>
      <c r="K490" s="46" t="s">
        <v>20</v>
      </c>
      <c r="L490" s="47">
        <v>4.99</v>
      </c>
      <c r="M490" s="32"/>
    </row>
    <row r="491" spans="1:13" ht="35" customHeight="1">
      <c r="A491" s="23">
        <f>ROW()-3</f>
        <v>488</v>
      </c>
      <c r="B491" s="42" t="s">
        <v>2732</v>
      </c>
      <c r="C491" s="42" t="s">
        <v>3735</v>
      </c>
      <c r="D491" s="43" t="s">
        <v>3826</v>
      </c>
      <c r="E491" s="43" t="s">
        <v>3827</v>
      </c>
      <c r="F491" s="43" t="s">
        <v>3828</v>
      </c>
      <c r="G491" s="42" t="s">
        <v>34</v>
      </c>
      <c r="H491" s="42">
        <v>1</v>
      </c>
      <c r="I491" s="44">
        <v>0.39972222222222198</v>
      </c>
      <c r="J491" s="45">
        <v>43978</v>
      </c>
      <c r="K491" s="46" t="s">
        <v>20</v>
      </c>
      <c r="L491" s="47">
        <v>4.99</v>
      </c>
      <c r="M491" s="32"/>
    </row>
    <row r="492" spans="1:13" ht="35" customHeight="1">
      <c r="A492" s="23">
        <f>ROW()-3</f>
        <v>489</v>
      </c>
      <c r="B492" s="42" t="s">
        <v>2732</v>
      </c>
      <c r="C492" s="42" t="s">
        <v>3735</v>
      </c>
      <c r="D492" s="43" t="s">
        <v>3831</v>
      </c>
      <c r="E492" s="43" t="s">
        <v>3832</v>
      </c>
      <c r="F492" s="43" t="s">
        <v>3833</v>
      </c>
      <c r="G492" s="42" t="s">
        <v>34</v>
      </c>
      <c r="H492" s="42">
        <v>1</v>
      </c>
      <c r="I492" s="44">
        <v>0.4975</v>
      </c>
      <c r="J492" s="45">
        <v>43978</v>
      </c>
      <c r="K492" s="46" t="s">
        <v>20</v>
      </c>
      <c r="L492" s="47">
        <v>4.99</v>
      </c>
      <c r="M492" s="32"/>
    </row>
    <row r="493" spans="1:13" ht="35" customHeight="1">
      <c r="A493" s="23">
        <f>ROW()-3</f>
        <v>490</v>
      </c>
      <c r="B493" s="42" t="s">
        <v>2732</v>
      </c>
      <c r="C493" s="42" t="s">
        <v>3735</v>
      </c>
      <c r="D493" s="43" t="s">
        <v>3834</v>
      </c>
      <c r="E493" s="43" t="s">
        <v>3289</v>
      </c>
      <c r="F493" s="43" t="s">
        <v>3835</v>
      </c>
      <c r="G493" s="42" t="s">
        <v>34</v>
      </c>
      <c r="H493" s="42">
        <v>1</v>
      </c>
      <c r="I493" s="44">
        <v>0.51472222222222197</v>
      </c>
      <c r="J493" s="45">
        <v>43978</v>
      </c>
      <c r="K493" s="46" t="s">
        <v>20</v>
      </c>
      <c r="L493" s="47">
        <v>4.99</v>
      </c>
      <c r="M493" s="32"/>
    </row>
    <row r="494" spans="1:13" ht="35" customHeight="1">
      <c r="A494" s="23">
        <f>ROW()-3</f>
        <v>491</v>
      </c>
      <c r="B494" s="42" t="s">
        <v>2732</v>
      </c>
      <c r="C494" s="42" t="s">
        <v>3735</v>
      </c>
      <c r="D494" s="43" t="s">
        <v>3836</v>
      </c>
      <c r="E494" s="43" t="s">
        <v>3837</v>
      </c>
      <c r="F494" s="43" t="s">
        <v>3838</v>
      </c>
      <c r="G494" s="42" t="s">
        <v>34</v>
      </c>
      <c r="H494" s="42">
        <v>1</v>
      </c>
      <c r="I494" s="44">
        <v>0.4325</v>
      </c>
      <c r="J494" s="45">
        <v>43978</v>
      </c>
      <c r="K494" s="46" t="s">
        <v>20</v>
      </c>
      <c r="L494" s="47">
        <v>4.99</v>
      </c>
      <c r="M494" s="32"/>
    </row>
    <row r="495" spans="1:13" ht="35" customHeight="1">
      <c r="A495" s="23">
        <f>ROW()-3</f>
        <v>492</v>
      </c>
      <c r="B495" s="42" t="s">
        <v>2732</v>
      </c>
      <c r="C495" s="42" t="s">
        <v>3735</v>
      </c>
      <c r="D495" s="43" t="s">
        <v>3852</v>
      </c>
      <c r="E495" s="43" t="s">
        <v>3871</v>
      </c>
      <c r="F495" s="43" t="s">
        <v>3833</v>
      </c>
      <c r="G495" s="42" t="s">
        <v>34</v>
      </c>
      <c r="H495" s="42">
        <v>1</v>
      </c>
      <c r="I495" s="44">
        <v>0.42</v>
      </c>
      <c r="J495" s="45">
        <v>43978</v>
      </c>
      <c r="K495" s="46" t="s">
        <v>20</v>
      </c>
      <c r="L495" s="47">
        <v>4.99</v>
      </c>
      <c r="M495" s="32"/>
    </row>
    <row r="496" spans="1:13" ht="35" customHeight="1">
      <c r="A496" s="23">
        <f>ROW()-3</f>
        <v>493</v>
      </c>
      <c r="B496" s="42" t="s">
        <v>2732</v>
      </c>
      <c r="C496" s="42" t="s">
        <v>3735</v>
      </c>
      <c r="D496" s="43" t="s">
        <v>3854</v>
      </c>
      <c r="E496" s="43" t="s">
        <v>3855</v>
      </c>
      <c r="F496" s="43" t="s">
        <v>1179</v>
      </c>
      <c r="G496" s="42" t="s">
        <v>34</v>
      </c>
      <c r="H496" s="42">
        <v>1</v>
      </c>
      <c r="I496" s="44">
        <v>0.37722222222222201</v>
      </c>
      <c r="J496" s="45">
        <v>43978</v>
      </c>
      <c r="K496" s="46" t="s">
        <v>20</v>
      </c>
      <c r="L496" s="47">
        <v>4.99</v>
      </c>
      <c r="M496" s="32"/>
    </row>
    <row r="497" spans="1:13" ht="35" customHeight="1">
      <c r="A497" s="23">
        <f>ROW()-3</f>
        <v>494</v>
      </c>
      <c r="B497" s="42" t="s">
        <v>2732</v>
      </c>
      <c r="C497" s="42" t="s">
        <v>3735</v>
      </c>
      <c r="D497" s="43" t="s">
        <v>3844</v>
      </c>
      <c r="E497" s="43" t="s">
        <v>3845</v>
      </c>
      <c r="F497" s="43" t="s">
        <v>3779</v>
      </c>
      <c r="G497" s="42" t="s">
        <v>34</v>
      </c>
      <c r="H497" s="42">
        <v>1</v>
      </c>
      <c r="I497" s="44">
        <v>0.51</v>
      </c>
      <c r="J497" s="45">
        <v>44011</v>
      </c>
      <c r="K497" s="46" t="s">
        <v>20</v>
      </c>
      <c r="L497" s="47">
        <v>4.99</v>
      </c>
      <c r="M497" s="32"/>
    </row>
    <row r="498" spans="1:13" ht="35" customHeight="1">
      <c r="A498" s="23">
        <f>ROW()-3</f>
        <v>495</v>
      </c>
      <c r="B498" s="42" t="s">
        <v>2732</v>
      </c>
      <c r="C498" s="42" t="s">
        <v>3735</v>
      </c>
      <c r="D498" s="43" t="s">
        <v>3846</v>
      </c>
      <c r="E498" s="43" t="s">
        <v>3847</v>
      </c>
      <c r="F498" s="43" t="s">
        <v>3848</v>
      </c>
      <c r="G498" s="42" t="s">
        <v>34</v>
      </c>
      <c r="H498" s="42">
        <v>1</v>
      </c>
      <c r="I498" s="44">
        <v>0.32</v>
      </c>
      <c r="J498" s="45">
        <v>44011</v>
      </c>
      <c r="K498" s="46" t="s">
        <v>20</v>
      </c>
      <c r="L498" s="47">
        <v>4.99</v>
      </c>
      <c r="M498" s="32"/>
    </row>
    <row r="499" spans="1:13" ht="35" customHeight="1">
      <c r="A499" s="23">
        <f>ROW()-3</f>
        <v>496</v>
      </c>
      <c r="B499" s="42" t="s">
        <v>2732</v>
      </c>
      <c r="C499" s="42" t="s">
        <v>3735</v>
      </c>
      <c r="D499" s="43" t="s">
        <v>3849</v>
      </c>
      <c r="E499" s="43" t="s">
        <v>3850</v>
      </c>
      <c r="F499" s="43" t="s">
        <v>3851</v>
      </c>
      <c r="G499" s="42" t="s">
        <v>34</v>
      </c>
      <c r="H499" s="42">
        <v>1</v>
      </c>
      <c r="I499" s="44">
        <v>0.35</v>
      </c>
      <c r="J499" s="45">
        <v>44011</v>
      </c>
      <c r="K499" s="46" t="s">
        <v>20</v>
      </c>
      <c r="L499" s="47">
        <v>4.99</v>
      </c>
      <c r="M499" s="32"/>
    </row>
    <row r="500" spans="1:13" ht="35" customHeight="1">
      <c r="A500" s="23">
        <f>ROW()-3</f>
        <v>497</v>
      </c>
      <c r="B500" s="42" t="s">
        <v>2732</v>
      </c>
      <c r="C500" s="42" t="s">
        <v>3735</v>
      </c>
      <c r="D500" s="43" t="s">
        <v>3852</v>
      </c>
      <c r="E500" s="43" t="s">
        <v>3853</v>
      </c>
      <c r="F500" s="43" t="s">
        <v>2942</v>
      </c>
      <c r="G500" s="42" t="s">
        <v>34</v>
      </c>
      <c r="H500" s="42">
        <v>3</v>
      </c>
      <c r="I500" s="44">
        <v>1.1000000000000001</v>
      </c>
      <c r="J500" s="45">
        <v>44053</v>
      </c>
      <c r="K500" s="46" t="s">
        <v>20</v>
      </c>
      <c r="L500" s="47">
        <v>4.99</v>
      </c>
      <c r="M500" s="32"/>
    </row>
    <row r="501" spans="1:13" ht="35" customHeight="1">
      <c r="A501" s="23">
        <f>ROW()-3</f>
        <v>498</v>
      </c>
      <c r="B501" s="42" t="s">
        <v>2732</v>
      </c>
      <c r="C501" s="42" t="s">
        <v>3735</v>
      </c>
      <c r="D501" s="43" t="s">
        <v>3854</v>
      </c>
      <c r="E501" s="43" t="s">
        <v>3855</v>
      </c>
      <c r="F501" s="43" t="s">
        <v>2745</v>
      </c>
      <c r="G501" s="42" t="s">
        <v>34</v>
      </c>
      <c r="H501" s="42">
        <v>4</v>
      </c>
      <c r="I501" s="44">
        <v>2.66</v>
      </c>
      <c r="J501" s="45">
        <v>44053</v>
      </c>
      <c r="K501" s="46" t="s">
        <v>20</v>
      </c>
      <c r="L501" s="47">
        <v>4.99</v>
      </c>
      <c r="M501" s="32"/>
    </row>
    <row r="502" spans="1:13" ht="35" customHeight="1">
      <c r="A502" s="23">
        <f>ROW()-3</f>
        <v>499</v>
      </c>
      <c r="B502" s="42" t="s">
        <v>2732</v>
      </c>
      <c r="C502" s="42" t="s">
        <v>3735</v>
      </c>
      <c r="D502" s="43" t="s">
        <v>3858</v>
      </c>
      <c r="E502" s="43" t="s">
        <v>3859</v>
      </c>
      <c r="F502" s="43" t="s">
        <v>2948</v>
      </c>
      <c r="G502" s="42" t="s">
        <v>34</v>
      </c>
      <c r="H502" s="42">
        <v>2</v>
      </c>
      <c r="I502" s="44">
        <v>0.87</v>
      </c>
      <c r="J502" s="45">
        <v>44074</v>
      </c>
      <c r="K502" s="46" t="s">
        <v>20</v>
      </c>
      <c r="L502" s="47">
        <v>4.99</v>
      </c>
      <c r="M502" s="32"/>
    </row>
    <row r="503" spans="1:13" ht="35" customHeight="1">
      <c r="A503" s="23">
        <f>ROW()-3</f>
        <v>500</v>
      </c>
      <c r="B503" s="42" t="s">
        <v>2732</v>
      </c>
      <c r="C503" s="42" t="s">
        <v>3735</v>
      </c>
      <c r="D503" s="43" t="s">
        <v>3860</v>
      </c>
      <c r="E503" s="43" t="s">
        <v>3861</v>
      </c>
      <c r="F503" s="43" t="s">
        <v>2745</v>
      </c>
      <c r="G503" s="42" t="s">
        <v>34</v>
      </c>
      <c r="H503" s="42">
        <v>2</v>
      </c>
      <c r="I503" s="44">
        <v>0.97</v>
      </c>
      <c r="J503" s="45">
        <v>44088</v>
      </c>
      <c r="K503" s="46" t="s">
        <v>20</v>
      </c>
      <c r="L503" s="47">
        <v>4.99</v>
      </c>
      <c r="M503" s="32"/>
    </row>
    <row r="504" spans="1:13" ht="35" customHeight="1">
      <c r="A504" s="23">
        <f>ROW()-3</f>
        <v>501</v>
      </c>
      <c r="B504" s="42" t="s">
        <v>2732</v>
      </c>
      <c r="C504" s="42" t="s">
        <v>3735</v>
      </c>
      <c r="D504" s="43" t="s">
        <v>3872</v>
      </c>
      <c r="E504" s="43" t="s">
        <v>3873</v>
      </c>
      <c r="F504" s="43" t="s">
        <v>3332</v>
      </c>
      <c r="G504" s="42" t="s">
        <v>34</v>
      </c>
      <c r="H504" s="42">
        <v>1</v>
      </c>
      <c r="I504" s="49">
        <v>0.49</v>
      </c>
      <c r="J504" s="45">
        <v>44102</v>
      </c>
      <c r="K504" s="46" t="s">
        <v>20</v>
      </c>
      <c r="L504" s="48">
        <v>4.99</v>
      </c>
      <c r="M504" s="32"/>
    </row>
    <row r="505" spans="1:13" ht="35" customHeight="1">
      <c r="A505" s="23">
        <f>ROW()-3</f>
        <v>502</v>
      </c>
      <c r="B505" s="42" t="s">
        <v>2732</v>
      </c>
      <c r="C505" s="42" t="s">
        <v>3735</v>
      </c>
      <c r="D505" s="43" t="s">
        <v>3867</v>
      </c>
      <c r="E505" s="43" t="s">
        <v>3868</v>
      </c>
      <c r="F505" s="43" t="s">
        <v>2751</v>
      </c>
      <c r="G505" s="42" t="s">
        <v>34</v>
      </c>
      <c r="H505" s="42">
        <v>1</v>
      </c>
      <c r="I505" s="44">
        <v>0.61</v>
      </c>
      <c r="J505" s="45">
        <v>44130</v>
      </c>
      <c r="K505" s="46" t="s">
        <v>20</v>
      </c>
      <c r="L505" s="47">
        <v>4.99</v>
      </c>
      <c r="M505" s="32"/>
    </row>
    <row r="506" spans="1:13" ht="35" customHeight="1">
      <c r="A506" s="23">
        <f>ROW()-3</f>
        <v>503</v>
      </c>
      <c r="B506" s="42" t="s">
        <v>2732</v>
      </c>
      <c r="C506" s="42" t="s">
        <v>3735</v>
      </c>
      <c r="D506" s="43" t="s">
        <v>3869</v>
      </c>
      <c r="E506" s="43" t="s">
        <v>3870</v>
      </c>
      <c r="F506" s="43" t="s">
        <v>3647</v>
      </c>
      <c r="G506" s="42" t="s">
        <v>34</v>
      </c>
      <c r="H506" s="42">
        <v>1</v>
      </c>
      <c r="I506" s="44">
        <v>0.58299999999999996</v>
      </c>
      <c r="J506" s="45">
        <v>44137</v>
      </c>
      <c r="K506" s="46" t="s">
        <v>20</v>
      </c>
      <c r="L506" s="47">
        <v>4.99</v>
      </c>
      <c r="M506" s="32"/>
    </row>
    <row r="507" spans="1:13" ht="35" customHeight="1">
      <c r="A507" s="23">
        <f>ROW()-3</f>
        <v>504</v>
      </c>
      <c r="B507" s="42" t="s">
        <v>2732</v>
      </c>
      <c r="C507" s="42" t="s">
        <v>3735</v>
      </c>
      <c r="D507" s="43" t="s">
        <v>3765</v>
      </c>
      <c r="E507" s="43" t="s">
        <v>3766</v>
      </c>
      <c r="F507" s="43" t="s">
        <v>2905</v>
      </c>
      <c r="G507" s="42" t="s">
        <v>34</v>
      </c>
      <c r="H507" s="42">
        <v>1</v>
      </c>
      <c r="I507" s="44">
        <v>0.53</v>
      </c>
      <c r="J507" s="45">
        <v>44151</v>
      </c>
      <c r="K507" s="46" t="s">
        <v>20</v>
      </c>
      <c r="L507" s="47">
        <v>4.99</v>
      </c>
      <c r="M507" s="32"/>
    </row>
    <row r="508" spans="1:13" ht="35" customHeight="1">
      <c r="A508" s="23">
        <f>ROW()-3</f>
        <v>505</v>
      </c>
      <c r="B508" s="42" t="s">
        <v>2732</v>
      </c>
      <c r="C508" s="42" t="s">
        <v>3735</v>
      </c>
      <c r="D508" s="43" t="s">
        <v>3800</v>
      </c>
      <c r="E508" s="43" t="s">
        <v>3801</v>
      </c>
      <c r="F508" s="43" t="s">
        <v>2739</v>
      </c>
      <c r="G508" s="42" t="s">
        <v>34</v>
      </c>
      <c r="H508" s="42">
        <v>1</v>
      </c>
      <c r="I508" s="44">
        <v>0.47</v>
      </c>
      <c r="J508" s="45">
        <v>44151</v>
      </c>
      <c r="K508" s="46" t="s">
        <v>20</v>
      </c>
      <c r="L508" s="47">
        <v>4.99</v>
      </c>
      <c r="M508" s="32"/>
    </row>
    <row r="509" spans="1:13" ht="35" customHeight="1">
      <c r="A509" s="23">
        <f>ROW()-3</f>
        <v>506</v>
      </c>
      <c r="B509" s="42" t="s">
        <v>2732</v>
      </c>
      <c r="C509" s="42" t="s">
        <v>3735</v>
      </c>
      <c r="D509" s="43" t="s">
        <v>3802</v>
      </c>
      <c r="E509" s="43" t="s">
        <v>3803</v>
      </c>
      <c r="F509" s="43" t="s">
        <v>3332</v>
      </c>
      <c r="G509" s="42" t="s">
        <v>34</v>
      </c>
      <c r="H509" s="42">
        <v>1</v>
      </c>
      <c r="I509" s="44">
        <v>0.53</v>
      </c>
      <c r="J509" s="45">
        <v>44151</v>
      </c>
      <c r="K509" s="46" t="s">
        <v>20</v>
      </c>
      <c r="L509" s="47">
        <v>4.99</v>
      </c>
      <c r="M509" s="32"/>
    </row>
    <row r="510" spans="1:13" ht="35" customHeight="1">
      <c r="A510" s="23">
        <f>ROW()-3</f>
        <v>507</v>
      </c>
      <c r="B510" s="42" t="s">
        <v>2732</v>
      </c>
      <c r="C510" s="42" t="s">
        <v>3735</v>
      </c>
      <c r="D510" s="43" t="s">
        <v>3804</v>
      </c>
      <c r="E510" s="43" t="s">
        <v>452</v>
      </c>
      <c r="F510" s="43" t="s">
        <v>2736</v>
      </c>
      <c r="G510" s="42" t="s">
        <v>34</v>
      </c>
      <c r="H510" s="42">
        <v>1</v>
      </c>
      <c r="I510" s="44">
        <v>0.49</v>
      </c>
      <c r="J510" s="45">
        <v>44151</v>
      </c>
      <c r="K510" s="46" t="s">
        <v>20</v>
      </c>
      <c r="L510" s="47">
        <v>4.99</v>
      </c>
      <c r="M510" s="32"/>
    </row>
    <row r="511" spans="1:13" ht="35" customHeight="1">
      <c r="A511" s="23">
        <f>ROW()-3</f>
        <v>508</v>
      </c>
      <c r="B511" s="42" t="s">
        <v>2732</v>
      </c>
      <c r="C511" s="42" t="s">
        <v>3735</v>
      </c>
      <c r="D511" s="43" t="s">
        <v>3767</v>
      </c>
      <c r="E511" s="43" t="s">
        <v>3768</v>
      </c>
      <c r="F511" s="43" t="s">
        <v>3414</v>
      </c>
      <c r="G511" s="42" t="s">
        <v>34</v>
      </c>
      <c r="H511" s="42">
        <v>1</v>
      </c>
      <c r="I511" s="44">
        <v>0.71861111111111098</v>
      </c>
      <c r="J511" s="45">
        <v>44158</v>
      </c>
      <c r="K511" s="46" t="s">
        <v>20</v>
      </c>
      <c r="L511" s="47">
        <v>4.99</v>
      </c>
      <c r="M511" s="32"/>
    </row>
    <row r="512" spans="1:13" ht="35" customHeight="1">
      <c r="A512" s="23">
        <f>ROW()-3</f>
        <v>509</v>
      </c>
      <c r="B512" s="42" t="s">
        <v>2732</v>
      </c>
      <c r="C512" s="42" t="s">
        <v>3735</v>
      </c>
      <c r="D512" s="43" t="s">
        <v>3769</v>
      </c>
      <c r="E512" s="43" t="s">
        <v>3770</v>
      </c>
      <c r="F512" s="43" t="s">
        <v>3771</v>
      </c>
      <c r="G512" s="42" t="s">
        <v>34</v>
      </c>
      <c r="H512" s="42">
        <v>1</v>
      </c>
      <c r="I512" s="44">
        <v>0.37222222222222201</v>
      </c>
      <c r="J512" s="45">
        <v>44158</v>
      </c>
      <c r="K512" s="46" t="s">
        <v>20</v>
      </c>
      <c r="L512" s="47">
        <v>4.99</v>
      </c>
      <c r="M512" s="32"/>
    </row>
    <row r="513" spans="1:13" ht="35" customHeight="1">
      <c r="A513" s="23">
        <f>ROW()-3</f>
        <v>510</v>
      </c>
      <c r="B513" s="42" t="s">
        <v>2732</v>
      </c>
      <c r="C513" s="42" t="s">
        <v>3735</v>
      </c>
      <c r="D513" s="43" t="s">
        <v>3772</v>
      </c>
      <c r="E513" s="43" t="s">
        <v>3773</v>
      </c>
      <c r="F513" s="43" t="s">
        <v>3774</v>
      </c>
      <c r="G513" s="42" t="s">
        <v>34</v>
      </c>
      <c r="H513" s="42">
        <v>1</v>
      </c>
      <c r="I513" s="44">
        <v>0.76527777777777795</v>
      </c>
      <c r="J513" s="45">
        <v>44158</v>
      </c>
      <c r="K513" s="46" t="s">
        <v>20</v>
      </c>
      <c r="L513" s="47">
        <v>4.99</v>
      </c>
      <c r="M513" s="32"/>
    </row>
    <row r="514" spans="1:13" ht="35" customHeight="1">
      <c r="A514" s="23">
        <f>ROW()-3</f>
        <v>511</v>
      </c>
      <c r="B514" s="42" t="s">
        <v>2732</v>
      </c>
      <c r="C514" s="42" t="s">
        <v>3735</v>
      </c>
      <c r="D514" s="43" t="s">
        <v>3775</v>
      </c>
      <c r="E514" s="43" t="s">
        <v>3776</v>
      </c>
      <c r="F514" s="43" t="s">
        <v>3343</v>
      </c>
      <c r="G514" s="42" t="s">
        <v>34</v>
      </c>
      <c r="H514" s="42">
        <v>1</v>
      </c>
      <c r="I514" s="44">
        <v>0.45083333333333298</v>
      </c>
      <c r="J514" s="45">
        <v>44158</v>
      </c>
      <c r="K514" s="46" t="s">
        <v>20</v>
      </c>
      <c r="L514" s="47">
        <v>4.99</v>
      </c>
      <c r="M514" s="32"/>
    </row>
    <row r="515" spans="1:13" ht="35" customHeight="1">
      <c r="A515" s="23">
        <f>ROW()-3</f>
        <v>512</v>
      </c>
      <c r="B515" s="42" t="s">
        <v>2732</v>
      </c>
      <c r="C515" s="42" t="s">
        <v>3735</v>
      </c>
      <c r="D515" s="43" t="s">
        <v>3777</v>
      </c>
      <c r="E515" s="43" t="s">
        <v>3778</v>
      </c>
      <c r="F515" s="43" t="s">
        <v>3779</v>
      </c>
      <c r="G515" s="42" t="s">
        <v>34</v>
      </c>
      <c r="H515" s="42">
        <v>1</v>
      </c>
      <c r="I515" s="44">
        <v>0.40972222222222199</v>
      </c>
      <c r="J515" s="45">
        <v>44158</v>
      </c>
      <c r="K515" s="46" t="s">
        <v>20</v>
      </c>
      <c r="L515" s="47">
        <v>4.99</v>
      </c>
      <c r="M515" s="32"/>
    </row>
    <row r="516" spans="1:13" ht="35" customHeight="1">
      <c r="A516" s="23">
        <f>ROW()-3</f>
        <v>513</v>
      </c>
      <c r="B516" s="42" t="s">
        <v>2732</v>
      </c>
      <c r="C516" s="42" t="s">
        <v>3735</v>
      </c>
      <c r="D516" s="43" t="s">
        <v>3780</v>
      </c>
      <c r="E516" s="43" t="s">
        <v>3781</v>
      </c>
      <c r="F516" s="43" t="s">
        <v>3615</v>
      </c>
      <c r="G516" s="42" t="s">
        <v>34</v>
      </c>
      <c r="H516" s="42">
        <v>1</v>
      </c>
      <c r="I516" s="44">
        <v>0.74</v>
      </c>
      <c r="J516" s="45">
        <v>44158</v>
      </c>
      <c r="K516" s="46" t="s">
        <v>20</v>
      </c>
      <c r="L516" s="47">
        <v>4.99</v>
      </c>
      <c r="M516" s="32"/>
    </row>
    <row r="517" spans="1:13" ht="35" customHeight="1">
      <c r="A517" s="23">
        <f>ROW()-3</f>
        <v>514</v>
      </c>
      <c r="B517" s="42" t="s">
        <v>2732</v>
      </c>
      <c r="C517" s="42" t="s">
        <v>3735</v>
      </c>
      <c r="D517" s="43" t="s">
        <v>3782</v>
      </c>
      <c r="E517" s="43" t="s">
        <v>3783</v>
      </c>
      <c r="F517" s="43" t="s">
        <v>3639</v>
      </c>
      <c r="G517" s="42" t="s">
        <v>34</v>
      </c>
      <c r="H517" s="42">
        <v>1</v>
      </c>
      <c r="I517" s="44">
        <v>0.71861111111111098</v>
      </c>
      <c r="J517" s="45">
        <v>44158</v>
      </c>
      <c r="K517" s="46" t="s">
        <v>20</v>
      </c>
      <c r="L517" s="47">
        <v>4.99</v>
      </c>
      <c r="M517" s="32"/>
    </row>
    <row r="518" spans="1:13" ht="35" customHeight="1">
      <c r="A518" s="23">
        <f>ROW()-3</f>
        <v>515</v>
      </c>
      <c r="B518" s="42" t="s">
        <v>2732</v>
      </c>
      <c r="C518" s="42" t="s">
        <v>3735</v>
      </c>
      <c r="D518" s="43" t="s">
        <v>3784</v>
      </c>
      <c r="E518" s="43" t="s">
        <v>3785</v>
      </c>
      <c r="F518" s="43" t="s">
        <v>3698</v>
      </c>
      <c r="G518" s="42" t="s">
        <v>34</v>
      </c>
      <c r="H518" s="42">
        <v>1</v>
      </c>
      <c r="I518" s="44">
        <v>0.37222222222222201</v>
      </c>
      <c r="J518" s="45">
        <v>44158</v>
      </c>
      <c r="K518" s="46" t="s">
        <v>20</v>
      </c>
      <c r="L518" s="47">
        <v>4.99</v>
      </c>
      <c r="M518" s="32"/>
    </row>
    <row r="519" spans="1:13" ht="35" customHeight="1">
      <c r="A519" s="23">
        <f>ROW()-3</f>
        <v>516</v>
      </c>
      <c r="B519" s="42" t="s">
        <v>2732</v>
      </c>
      <c r="C519" s="42" t="s">
        <v>3735</v>
      </c>
      <c r="D519" s="43" t="s">
        <v>3786</v>
      </c>
      <c r="E519" s="43" t="s">
        <v>3787</v>
      </c>
      <c r="F519" s="43" t="s">
        <v>3779</v>
      </c>
      <c r="G519" s="42" t="s">
        <v>34</v>
      </c>
      <c r="H519" s="42">
        <v>1</v>
      </c>
      <c r="I519" s="44">
        <v>0.76527777777777795</v>
      </c>
      <c r="J519" s="45">
        <v>44158</v>
      </c>
      <c r="K519" s="46" t="s">
        <v>20</v>
      </c>
      <c r="L519" s="47">
        <v>4.99</v>
      </c>
      <c r="M519" s="32"/>
    </row>
    <row r="520" spans="1:13" ht="35" customHeight="1">
      <c r="A520" s="23">
        <f>ROW()-3</f>
        <v>517</v>
      </c>
      <c r="B520" s="42" t="s">
        <v>2732</v>
      </c>
      <c r="C520" s="42" t="s">
        <v>3735</v>
      </c>
      <c r="D520" s="43" t="s">
        <v>3788</v>
      </c>
      <c r="E520" s="43" t="s">
        <v>3789</v>
      </c>
      <c r="F520" s="43" t="s">
        <v>3790</v>
      </c>
      <c r="G520" s="42" t="s">
        <v>34</v>
      </c>
      <c r="H520" s="42">
        <v>1</v>
      </c>
      <c r="I520" s="44">
        <v>0.45083333333333298</v>
      </c>
      <c r="J520" s="45">
        <v>44158</v>
      </c>
      <c r="K520" s="46" t="s">
        <v>20</v>
      </c>
      <c r="L520" s="47">
        <v>4.99</v>
      </c>
      <c r="M520" s="32"/>
    </row>
    <row r="521" spans="1:13" ht="35" customHeight="1">
      <c r="A521" s="23">
        <f>ROW()-3</f>
        <v>518</v>
      </c>
      <c r="B521" s="42" t="s">
        <v>2732</v>
      </c>
      <c r="C521" s="42" t="s">
        <v>3735</v>
      </c>
      <c r="D521" s="43" t="s">
        <v>3791</v>
      </c>
      <c r="E521" s="43" t="s">
        <v>3792</v>
      </c>
      <c r="F521" s="43" t="s">
        <v>3242</v>
      </c>
      <c r="G521" s="42" t="s">
        <v>34</v>
      </c>
      <c r="H521" s="42">
        <v>1</v>
      </c>
      <c r="I521" s="44">
        <v>0.35388888888888897</v>
      </c>
      <c r="J521" s="45">
        <v>44158</v>
      </c>
      <c r="K521" s="46" t="s">
        <v>20</v>
      </c>
      <c r="L521" s="47">
        <v>4.99</v>
      </c>
      <c r="M521" s="32"/>
    </row>
    <row r="522" spans="1:13" ht="35" customHeight="1">
      <c r="A522" s="23">
        <f>ROW()-3</f>
        <v>519</v>
      </c>
      <c r="B522" s="42" t="s">
        <v>2732</v>
      </c>
      <c r="C522" s="42" t="s">
        <v>3735</v>
      </c>
      <c r="D522" s="43" t="s">
        <v>3793</v>
      </c>
      <c r="E522" s="43" t="s">
        <v>3794</v>
      </c>
      <c r="F522" s="43" t="s">
        <v>3335</v>
      </c>
      <c r="G522" s="42" t="s">
        <v>34</v>
      </c>
      <c r="H522" s="42">
        <v>1</v>
      </c>
      <c r="I522" s="44">
        <v>0.89305555555555605</v>
      </c>
      <c r="J522" s="45">
        <v>44158</v>
      </c>
      <c r="K522" s="46" t="s">
        <v>20</v>
      </c>
      <c r="L522" s="47">
        <v>4.99</v>
      </c>
      <c r="M522" s="32"/>
    </row>
    <row r="523" spans="1:13" ht="35" customHeight="1">
      <c r="A523" s="23">
        <f>ROW()-3</f>
        <v>520</v>
      </c>
      <c r="B523" s="42" t="s">
        <v>2732</v>
      </c>
      <c r="C523" s="42" t="s">
        <v>3735</v>
      </c>
      <c r="D523" s="43" t="s">
        <v>3795</v>
      </c>
      <c r="E523" s="43" t="s">
        <v>3796</v>
      </c>
      <c r="F523" s="43" t="s">
        <v>3797</v>
      </c>
      <c r="G523" s="42" t="s">
        <v>34</v>
      </c>
      <c r="H523" s="42">
        <v>1</v>
      </c>
      <c r="I523" s="44">
        <v>0.53</v>
      </c>
      <c r="J523" s="45">
        <v>44158</v>
      </c>
      <c r="K523" s="46" t="s">
        <v>20</v>
      </c>
      <c r="L523" s="47">
        <v>4.99</v>
      </c>
      <c r="M523" s="32"/>
    </row>
    <row r="524" spans="1:13" ht="35" customHeight="1">
      <c r="A524" s="23">
        <f>ROW()-3</f>
        <v>521</v>
      </c>
      <c r="B524" s="42" t="s">
        <v>2732</v>
      </c>
      <c r="C524" s="42" t="s">
        <v>3735</v>
      </c>
      <c r="D524" s="43" t="s">
        <v>3798</v>
      </c>
      <c r="E524" s="43" t="s">
        <v>3799</v>
      </c>
      <c r="F524" s="43" t="s">
        <v>3797</v>
      </c>
      <c r="G524" s="42" t="s">
        <v>34</v>
      </c>
      <c r="H524" s="42">
        <v>1</v>
      </c>
      <c r="I524" s="44">
        <v>0.49</v>
      </c>
      <c r="J524" s="45">
        <v>44158</v>
      </c>
      <c r="K524" s="46" t="s">
        <v>20</v>
      </c>
      <c r="L524" s="47">
        <v>4.99</v>
      </c>
      <c r="M524" s="32"/>
    </row>
    <row r="525" spans="1:13" ht="35" customHeight="1">
      <c r="A525" s="23">
        <f>ROW()-3</f>
        <v>522</v>
      </c>
      <c r="B525" s="42" t="s">
        <v>2732</v>
      </c>
      <c r="C525" s="42" t="s">
        <v>3735</v>
      </c>
      <c r="D525" s="43" t="s">
        <v>3862</v>
      </c>
      <c r="E525" s="43" t="s">
        <v>3863</v>
      </c>
      <c r="F525" s="43" t="s">
        <v>3610</v>
      </c>
      <c r="G525" s="42" t="s">
        <v>34</v>
      </c>
      <c r="H525" s="42">
        <v>1</v>
      </c>
      <c r="I525" s="44">
        <v>0.46</v>
      </c>
      <c r="J525" s="45">
        <v>44162</v>
      </c>
      <c r="K525" s="46" t="s">
        <v>20</v>
      </c>
      <c r="L525" s="47">
        <v>4.99</v>
      </c>
      <c r="M525" s="32"/>
    </row>
    <row r="526" spans="1:13" ht="35" customHeight="1">
      <c r="A526" s="23">
        <f>ROW()-3</f>
        <v>523</v>
      </c>
      <c r="B526" s="42" t="s">
        <v>2732</v>
      </c>
      <c r="C526" s="42" t="s">
        <v>3735</v>
      </c>
      <c r="D526" s="43" t="s">
        <v>3864</v>
      </c>
      <c r="E526" s="43" t="s">
        <v>3865</v>
      </c>
      <c r="F526" s="43" t="s">
        <v>3866</v>
      </c>
      <c r="G526" s="42" t="s">
        <v>34</v>
      </c>
      <c r="H526" s="42">
        <v>1</v>
      </c>
      <c r="I526" s="44">
        <v>0.52</v>
      </c>
      <c r="J526" s="45">
        <v>44162</v>
      </c>
      <c r="K526" s="46" t="s">
        <v>20</v>
      </c>
      <c r="L526" s="47">
        <v>4.99</v>
      </c>
      <c r="M526" s="32"/>
    </row>
    <row r="527" spans="1:13" ht="35" customHeight="1">
      <c r="A527" s="23">
        <f>ROW()-3</f>
        <v>524</v>
      </c>
      <c r="B527" s="42" t="s">
        <v>2732</v>
      </c>
      <c r="C527" s="42" t="s">
        <v>3735</v>
      </c>
      <c r="D527" s="43" t="s">
        <v>3757</v>
      </c>
      <c r="E527" s="43" t="s">
        <v>3758</v>
      </c>
      <c r="F527" s="43" t="s">
        <v>3759</v>
      </c>
      <c r="G527" s="42" t="s">
        <v>34</v>
      </c>
      <c r="H527" s="42">
        <v>1</v>
      </c>
      <c r="I527" s="44">
        <v>0.52</v>
      </c>
      <c r="J527" s="45">
        <v>44165</v>
      </c>
      <c r="K527" s="46" t="s">
        <v>20</v>
      </c>
      <c r="L527" s="47">
        <v>4.99</v>
      </c>
      <c r="M527" s="32"/>
    </row>
    <row r="528" spans="1:13" ht="35" customHeight="1">
      <c r="A528" s="23">
        <f>ROW()-3</f>
        <v>525</v>
      </c>
      <c r="B528" s="42" t="s">
        <v>2732</v>
      </c>
      <c r="C528" s="42" t="s">
        <v>3735</v>
      </c>
      <c r="D528" s="43" t="s">
        <v>3752</v>
      </c>
      <c r="E528" s="43" t="s">
        <v>3753</v>
      </c>
      <c r="F528" s="43" t="s">
        <v>2739</v>
      </c>
      <c r="G528" s="42" t="s">
        <v>34</v>
      </c>
      <c r="H528" s="42">
        <v>1</v>
      </c>
      <c r="I528" s="44">
        <v>0.45</v>
      </c>
      <c r="J528" s="45">
        <v>44172</v>
      </c>
      <c r="K528" s="46" t="s">
        <v>20</v>
      </c>
      <c r="L528" s="47">
        <v>4.99</v>
      </c>
      <c r="M528" s="32"/>
    </row>
    <row r="529" spans="1:291" ht="35" customHeight="1">
      <c r="A529" s="23">
        <f>ROW()-3</f>
        <v>526</v>
      </c>
      <c r="B529" s="42" t="s">
        <v>2732</v>
      </c>
      <c r="C529" s="42" t="s">
        <v>3735</v>
      </c>
      <c r="D529" s="43" t="s">
        <v>3747</v>
      </c>
      <c r="E529" s="43" t="s">
        <v>3748</v>
      </c>
      <c r="F529" s="43" t="s">
        <v>2739</v>
      </c>
      <c r="G529" s="42" t="s">
        <v>34</v>
      </c>
      <c r="H529" s="42">
        <v>1</v>
      </c>
      <c r="I529" s="44">
        <v>0.51</v>
      </c>
      <c r="J529" s="45">
        <v>44179</v>
      </c>
      <c r="K529" s="46" t="s">
        <v>20</v>
      </c>
      <c r="L529" s="47">
        <v>4.99</v>
      </c>
      <c r="M529" s="32"/>
    </row>
    <row r="530" spans="1:291" customFormat="1" ht="35" customHeight="1">
      <c r="A530" s="23">
        <f>ROW()-3</f>
        <v>527</v>
      </c>
      <c r="B530" s="42" t="s">
        <v>2732</v>
      </c>
      <c r="C530" s="42" t="s">
        <v>3735</v>
      </c>
      <c r="D530" s="43" t="s">
        <v>3749</v>
      </c>
      <c r="E530" s="43" t="s">
        <v>3750</v>
      </c>
      <c r="F530" s="43" t="s">
        <v>3751</v>
      </c>
      <c r="G530" s="42" t="s">
        <v>34</v>
      </c>
      <c r="H530" s="42">
        <v>1</v>
      </c>
      <c r="I530" s="44">
        <v>0.43</v>
      </c>
      <c r="J530" s="45">
        <v>44179</v>
      </c>
      <c r="K530" s="46" t="s">
        <v>20</v>
      </c>
      <c r="L530" s="47">
        <v>4.99</v>
      </c>
      <c r="M530" s="32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  <c r="FS530" s="30"/>
      <c r="FT530" s="30"/>
      <c r="FU530" s="30"/>
      <c r="FV530" s="30"/>
      <c r="FW530" s="30"/>
      <c r="FX530" s="30"/>
      <c r="FY530" s="30"/>
      <c r="FZ530" s="30"/>
      <c r="GA530" s="30"/>
      <c r="GB530" s="30"/>
      <c r="GC530" s="30"/>
      <c r="GD530" s="30"/>
      <c r="GE530" s="30"/>
      <c r="GF530" s="30"/>
      <c r="GG530" s="30"/>
      <c r="GH530" s="30"/>
      <c r="GI530" s="30"/>
      <c r="GJ530" s="30"/>
      <c r="GK530" s="30"/>
      <c r="GL530" s="30"/>
      <c r="GM530" s="30"/>
      <c r="GN530" s="30"/>
      <c r="GO530" s="30"/>
      <c r="GP530" s="30"/>
      <c r="GQ530" s="30"/>
      <c r="GR530" s="30"/>
      <c r="GS530" s="30"/>
      <c r="GT530" s="30"/>
      <c r="GU530" s="30"/>
      <c r="GV530" s="30"/>
      <c r="GW530" s="30"/>
      <c r="GX530" s="30"/>
      <c r="GY530" s="30"/>
      <c r="GZ530" s="30"/>
      <c r="HA530" s="30"/>
      <c r="HB530" s="30"/>
      <c r="HC530" s="30"/>
      <c r="HD530" s="30"/>
      <c r="HE530" s="30"/>
      <c r="HF530" s="30"/>
      <c r="HG530" s="30"/>
      <c r="HH530" s="30"/>
      <c r="HI530" s="30"/>
      <c r="HJ530" s="30"/>
      <c r="HK530" s="30"/>
      <c r="HL530" s="30"/>
      <c r="HM530" s="30"/>
      <c r="HN530" s="30"/>
      <c r="HO530" s="30"/>
      <c r="HP530" s="30"/>
      <c r="HQ530" s="30"/>
      <c r="HR530" s="30"/>
      <c r="HS530" s="30"/>
      <c r="HT530" s="30"/>
      <c r="HU530" s="30"/>
      <c r="HV530" s="30"/>
      <c r="HW530" s="30"/>
      <c r="HX530" s="30"/>
      <c r="HY530" s="30"/>
      <c r="HZ530" s="30"/>
      <c r="IA530" s="30"/>
      <c r="IB530" s="30"/>
      <c r="IC530" s="30"/>
      <c r="ID530" s="30"/>
      <c r="IE530" s="30"/>
      <c r="IF530" s="30"/>
      <c r="IG530" s="30"/>
      <c r="IH530" s="30"/>
      <c r="II530" s="30"/>
      <c r="IJ530" s="30"/>
      <c r="IK530" s="30"/>
      <c r="IL530" s="30"/>
      <c r="IM530" s="30"/>
      <c r="IN530" s="30"/>
      <c r="IO530" s="30"/>
      <c r="IP530" s="30"/>
      <c r="IQ530" s="30"/>
      <c r="IR530" s="30"/>
      <c r="IS530" s="30"/>
      <c r="IT530" s="30"/>
      <c r="IU530" s="30"/>
      <c r="IV530" s="30"/>
      <c r="IW530" s="30"/>
      <c r="IX530" s="30"/>
      <c r="IY530" s="30"/>
      <c r="IZ530" s="30"/>
      <c r="JA530" s="30"/>
      <c r="JB530" s="30"/>
      <c r="JC530" s="30"/>
      <c r="JD530" s="30"/>
      <c r="JE530" s="30"/>
      <c r="JF530" s="30"/>
      <c r="JG530" s="30"/>
      <c r="JH530" s="30"/>
      <c r="JI530" s="30"/>
      <c r="JJ530" s="30"/>
      <c r="JK530" s="30"/>
      <c r="JL530" s="30"/>
      <c r="JM530" s="30"/>
      <c r="JN530" s="30"/>
      <c r="JO530" s="30"/>
      <c r="JP530" s="30"/>
      <c r="JQ530" s="30"/>
      <c r="JR530" s="30"/>
      <c r="JS530" s="30"/>
      <c r="JT530" s="30"/>
      <c r="JU530" s="30"/>
      <c r="JV530" s="30"/>
      <c r="JW530" s="30"/>
      <c r="JX530" s="30"/>
      <c r="JY530" s="30"/>
      <c r="JZ530" s="30"/>
      <c r="KA530" s="30"/>
      <c r="KB530" s="30"/>
      <c r="KC530" s="30"/>
      <c r="KD530" s="30"/>
      <c r="KE530" s="30"/>
    </row>
    <row r="531" spans="1:291" customFormat="1" ht="35" customHeight="1">
      <c r="A531" s="23">
        <f>ROW()-3</f>
        <v>528</v>
      </c>
      <c r="B531" s="42" t="s">
        <v>2732</v>
      </c>
      <c r="C531" s="42" t="s">
        <v>3735</v>
      </c>
      <c r="D531" s="43" t="s">
        <v>3742</v>
      </c>
      <c r="E531" s="43" t="s">
        <v>3743</v>
      </c>
      <c r="F531" s="43" t="s">
        <v>2742</v>
      </c>
      <c r="G531" s="42" t="s">
        <v>34</v>
      </c>
      <c r="H531" s="42">
        <v>1</v>
      </c>
      <c r="I531" s="44">
        <v>0.46</v>
      </c>
      <c r="J531" s="45">
        <v>44186</v>
      </c>
      <c r="K531" s="46" t="s">
        <v>20</v>
      </c>
      <c r="L531" s="47">
        <v>4.99</v>
      </c>
      <c r="M531" s="32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  <c r="FS531" s="30"/>
      <c r="FT531" s="30"/>
      <c r="FU531" s="30"/>
      <c r="FV531" s="30"/>
      <c r="FW531" s="30"/>
      <c r="FX531" s="30"/>
      <c r="FY531" s="30"/>
      <c r="FZ531" s="30"/>
      <c r="GA531" s="30"/>
      <c r="GB531" s="30"/>
      <c r="GC531" s="30"/>
      <c r="GD531" s="30"/>
      <c r="GE531" s="30"/>
      <c r="GF531" s="30"/>
      <c r="GG531" s="30"/>
      <c r="GH531" s="30"/>
      <c r="GI531" s="30"/>
      <c r="GJ531" s="30"/>
      <c r="GK531" s="30"/>
      <c r="GL531" s="30"/>
      <c r="GM531" s="30"/>
      <c r="GN531" s="30"/>
      <c r="GO531" s="30"/>
      <c r="GP531" s="30"/>
      <c r="GQ531" s="30"/>
      <c r="GR531" s="30"/>
      <c r="GS531" s="30"/>
      <c r="GT531" s="30"/>
      <c r="GU531" s="30"/>
      <c r="GV531" s="30"/>
      <c r="GW531" s="30"/>
      <c r="GX531" s="30"/>
      <c r="GY531" s="30"/>
      <c r="GZ531" s="30"/>
      <c r="HA531" s="30"/>
      <c r="HB531" s="30"/>
      <c r="HC531" s="30"/>
      <c r="HD531" s="30"/>
      <c r="HE531" s="30"/>
      <c r="HF531" s="30"/>
      <c r="HG531" s="30"/>
      <c r="HH531" s="30"/>
      <c r="HI531" s="30"/>
      <c r="HJ531" s="30"/>
      <c r="HK531" s="30"/>
      <c r="HL531" s="30"/>
      <c r="HM531" s="30"/>
      <c r="HN531" s="30"/>
      <c r="HO531" s="30"/>
      <c r="HP531" s="30"/>
      <c r="HQ531" s="30"/>
      <c r="HR531" s="30"/>
      <c r="HS531" s="30"/>
      <c r="HT531" s="30"/>
      <c r="HU531" s="30"/>
      <c r="HV531" s="30"/>
      <c r="HW531" s="30"/>
      <c r="HX531" s="30"/>
      <c r="HY531" s="30"/>
      <c r="HZ531" s="30"/>
      <c r="IA531" s="30"/>
      <c r="IB531" s="30"/>
      <c r="IC531" s="30"/>
      <c r="ID531" s="30"/>
      <c r="IE531" s="30"/>
      <c r="IF531" s="30"/>
      <c r="IG531" s="30"/>
      <c r="IH531" s="30"/>
      <c r="II531" s="30"/>
      <c r="IJ531" s="30"/>
      <c r="IK531" s="30"/>
      <c r="IL531" s="30"/>
      <c r="IM531" s="30"/>
      <c r="IN531" s="30"/>
      <c r="IO531" s="30"/>
      <c r="IP531" s="30"/>
      <c r="IQ531" s="30"/>
      <c r="IR531" s="30"/>
      <c r="IS531" s="30"/>
      <c r="IT531" s="30"/>
      <c r="IU531" s="30"/>
      <c r="IV531" s="30"/>
      <c r="IW531" s="30"/>
      <c r="IX531" s="30"/>
      <c r="IY531" s="30"/>
      <c r="IZ531" s="30"/>
      <c r="JA531" s="30"/>
      <c r="JB531" s="30"/>
      <c r="JC531" s="30"/>
      <c r="JD531" s="30"/>
      <c r="JE531" s="30"/>
      <c r="JF531" s="30"/>
      <c r="JG531" s="30"/>
      <c r="JH531" s="30"/>
      <c r="JI531" s="30"/>
      <c r="JJ531" s="30"/>
      <c r="JK531" s="30"/>
      <c r="JL531" s="30"/>
      <c r="JM531" s="30"/>
      <c r="JN531" s="30"/>
      <c r="JO531" s="30"/>
      <c r="JP531" s="30"/>
      <c r="JQ531" s="30"/>
      <c r="JR531" s="30"/>
      <c r="JS531" s="30"/>
      <c r="JT531" s="30"/>
      <c r="JU531" s="30"/>
      <c r="JV531" s="30"/>
      <c r="JW531" s="30"/>
      <c r="JX531" s="30"/>
      <c r="JY531" s="30"/>
      <c r="JZ531" s="30"/>
      <c r="KA531" s="30"/>
      <c r="KB531" s="30"/>
      <c r="KC531" s="30"/>
      <c r="KD531" s="30"/>
      <c r="KE531" s="30"/>
    </row>
    <row r="532" spans="1:291" customFormat="1" ht="35" customHeight="1">
      <c r="A532" s="23">
        <f>ROW()-3</f>
        <v>529</v>
      </c>
      <c r="B532" s="42" t="s">
        <v>2732</v>
      </c>
      <c r="C532" s="42" t="s">
        <v>3735</v>
      </c>
      <c r="D532" s="43" t="s">
        <v>3744</v>
      </c>
      <c r="E532" s="43" t="s">
        <v>3745</v>
      </c>
      <c r="F532" s="43" t="s">
        <v>3746</v>
      </c>
      <c r="G532" s="42" t="s">
        <v>34</v>
      </c>
      <c r="H532" s="42">
        <v>1</v>
      </c>
      <c r="I532" s="44">
        <v>0.5</v>
      </c>
      <c r="J532" s="45">
        <v>44186</v>
      </c>
      <c r="K532" s="46" t="s">
        <v>20</v>
      </c>
      <c r="L532" s="47">
        <v>4.99</v>
      </c>
      <c r="M532" s="32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  <c r="FS532" s="30"/>
      <c r="FT532" s="30"/>
      <c r="FU532" s="30"/>
      <c r="FV532" s="30"/>
      <c r="FW532" s="30"/>
      <c r="FX532" s="30"/>
      <c r="FY532" s="30"/>
      <c r="FZ532" s="30"/>
      <c r="GA532" s="30"/>
      <c r="GB532" s="30"/>
      <c r="GC532" s="30"/>
      <c r="GD532" s="30"/>
      <c r="GE532" s="30"/>
      <c r="GF532" s="30"/>
      <c r="GG532" s="30"/>
      <c r="GH532" s="30"/>
      <c r="GI532" s="30"/>
      <c r="GJ532" s="30"/>
      <c r="GK532" s="30"/>
      <c r="GL532" s="30"/>
      <c r="GM532" s="30"/>
      <c r="GN532" s="30"/>
      <c r="GO532" s="30"/>
      <c r="GP532" s="30"/>
      <c r="GQ532" s="30"/>
      <c r="GR532" s="30"/>
      <c r="GS532" s="30"/>
      <c r="GT532" s="30"/>
      <c r="GU532" s="30"/>
      <c r="GV532" s="30"/>
      <c r="GW532" s="30"/>
      <c r="GX532" s="30"/>
      <c r="GY532" s="30"/>
      <c r="GZ532" s="30"/>
      <c r="HA532" s="30"/>
      <c r="HB532" s="30"/>
      <c r="HC532" s="30"/>
      <c r="HD532" s="30"/>
      <c r="HE532" s="30"/>
      <c r="HF532" s="30"/>
      <c r="HG532" s="30"/>
      <c r="HH532" s="30"/>
      <c r="HI532" s="30"/>
      <c r="HJ532" s="30"/>
      <c r="HK532" s="30"/>
      <c r="HL532" s="30"/>
      <c r="HM532" s="30"/>
      <c r="HN532" s="30"/>
      <c r="HO532" s="30"/>
      <c r="HP532" s="30"/>
      <c r="HQ532" s="30"/>
      <c r="HR532" s="30"/>
      <c r="HS532" s="30"/>
      <c r="HT532" s="30"/>
      <c r="HU532" s="30"/>
      <c r="HV532" s="30"/>
      <c r="HW532" s="30"/>
      <c r="HX532" s="30"/>
      <c r="HY532" s="30"/>
      <c r="HZ532" s="30"/>
      <c r="IA532" s="30"/>
      <c r="IB532" s="30"/>
      <c r="IC532" s="30"/>
      <c r="ID532" s="30"/>
      <c r="IE532" s="30"/>
      <c r="IF532" s="30"/>
      <c r="IG532" s="30"/>
      <c r="IH532" s="30"/>
      <c r="II532" s="30"/>
      <c r="IJ532" s="30"/>
      <c r="IK532" s="30"/>
      <c r="IL532" s="30"/>
      <c r="IM532" s="30"/>
      <c r="IN532" s="30"/>
      <c r="IO532" s="30"/>
      <c r="IP532" s="30"/>
      <c r="IQ532" s="30"/>
      <c r="IR532" s="30"/>
      <c r="IS532" s="30"/>
      <c r="IT532" s="30"/>
      <c r="IU532" s="30"/>
      <c r="IV532" s="30"/>
      <c r="IW532" s="30"/>
      <c r="IX532" s="30"/>
      <c r="IY532" s="30"/>
      <c r="IZ532" s="30"/>
      <c r="JA532" s="30"/>
      <c r="JB532" s="30"/>
      <c r="JC532" s="30"/>
      <c r="JD532" s="30"/>
      <c r="JE532" s="30"/>
      <c r="JF532" s="30"/>
      <c r="JG532" s="30"/>
      <c r="JH532" s="30"/>
      <c r="JI532" s="30"/>
      <c r="JJ532" s="30"/>
      <c r="JK532" s="30"/>
      <c r="JL532" s="30"/>
      <c r="JM532" s="30"/>
      <c r="JN532" s="30"/>
      <c r="JO532" s="30"/>
      <c r="JP532" s="30"/>
      <c r="JQ532" s="30"/>
      <c r="JR532" s="30"/>
      <c r="JS532" s="30"/>
      <c r="JT532" s="30"/>
      <c r="JU532" s="30"/>
      <c r="JV532" s="30"/>
      <c r="JW532" s="30"/>
      <c r="JX532" s="30"/>
      <c r="JY532" s="30"/>
      <c r="JZ532" s="30"/>
      <c r="KA532" s="30"/>
      <c r="KB532" s="30"/>
      <c r="KC532" s="30"/>
      <c r="KD532" s="30"/>
      <c r="KE532" s="30"/>
    </row>
    <row r="533" spans="1:291" customFormat="1" ht="35" customHeight="1">
      <c r="A533" s="23">
        <f>ROW()-3</f>
        <v>530</v>
      </c>
      <c r="B533" s="42" t="s">
        <v>2732</v>
      </c>
      <c r="C533" s="42" t="s">
        <v>3735</v>
      </c>
      <c r="D533" s="43" t="s">
        <v>3738</v>
      </c>
      <c r="E533" s="43" t="s">
        <v>3739</v>
      </c>
      <c r="F533" s="43" t="s">
        <v>3740</v>
      </c>
      <c r="G533" s="42" t="s">
        <v>34</v>
      </c>
      <c r="H533" s="42">
        <v>1</v>
      </c>
      <c r="I533" s="44">
        <v>0.56000000000000005</v>
      </c>
      <c r="J533" s="45">
        <v>44193</v>
      </c>
      <c r="K533" s="46" t="s">
        <v>20</v>
      </c>
      <c r="L533" s="47">
        <v>4.99</v>
      </c>
      <c r="M533" s="32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  <c r="FS533" s="30"/>
      <c r="FT533" s="30"/>
      <c r="FU533" s="30"/>
      <c r="FV533" s="30"/>
      <c r="FW533" s="30"/>
      <c r="FX533" s="30"/>
      <c r="FY533" s="30"/>
      <c r="FZ533" s="30"/>
      <c r="GA533" s="30"/>
      <c r="GB533" s="30"/>
      <c r="GC533" s="30"/>
      <c r="GD533" s="30"/>
      <c r="GE533" s="30"/>
      <c r="GF533" s="30"/>
      <c r="GG533" s="30"/>
      <c r="GH533" s="30"/>
      <c r="GI533" s="30"/>
      <c r="GJ533" s="30"/>
      <c r="GK533" s="30"/>
      <c r="GL533" s="30"/>
      <c r="GM533" s="30"/>
      <c r="GN533" s="30"/>
      <c r="GO533" s="30"/>
      <c r="GP533" s="30"/>
      <c r="GQ533" s="30"/>
      <c r="GR533" s="30"/>
      <c r="GS533" s="30"/>
      <c r="GT533" s="30"/>
      <c r="GU533" s="30"/>
      <c r="GV533" s="30"/>
      <c r="GW533" s="30"/>
      <c r="GX533" s="30"/>
      <c r="GY533" s="30"/>
      <c r="GZ533" s="30"/>
      <c r="HA533" s="30"/>
      <c r="HB533" s="30"/>
      <c r="HC533" s="30"/>
      <c r="HD533" s="30"/>
      <c r="HE533" s="30"/>
      <c r="HF533" s="30"/>
      <c r="HG533" s="30"/>
      <c r="HH533" s="30"/>
      <c r="HI533" s="30"/>
      <c r="HJ533" s="30"/>
      <c r="HK533" s="30"/>
      <c r="HL533" s="30"/>
      <c r="HM533" s="30"/>
      <c r="HN533" s="30"/>
      <c r="HO533" s="30"/>
      <c r="HP533" s="30"/>
      <c r="HQ533" s="30"/>
      <c r="HR533" s="30"/>
      <c r="HS533" s="30"/>
      <c r="HT533" s="30"/>
      <c r="HU533" s="30"/>
      <c r="HV533" s="30"/>
      <c r="HW533" s="30"/>
      <c r="HX533" s="30"/>
      <c r="HY533" s="30"/>
      <c r="HZ533" s="30"/>
      <c r="IA533" s="30"/>
      <c r="IB533" s="30"/>
      <c r="IC533" s="30"/>
      <c r="ID533" s="30"/>
      <c r="IE533" s="30"/>
      <c r="IF533" s="30"/>
      <c r="IG533" s="30"/>
      <c r="IH533" s="30"/>
      <c r="II533" s="30"/>
      <c r="IJ533" s="30"/>
      <c r="IK533" s="30"/>
      <c r="IL533" s="30"/>
      <c r="IM533" s="30"/>
      <c r="IN533" s="30"/>
      <c r="IO533" s="30"/>
      <c r="IP533" s="30"/>
      <c r="IQ533" s="30"/>
      <c r="IR533" s="30"/>
      <c r="IS533" s="30"/>
      <c r="IT533" s="30"/>
      <c r="IU533" s="30"/>
      <c r="IV533" s="30"/>
      <c r="IW533" s="30"/>
      <c r="IX533" s="30"/>
      <c r="IY533" s="30"/>
      <c r="IZ533" s="30"/>
      <c r="JA533" s="30"/>
      <c r="JB533" s="30"/>
      <c r="JC533" s="30"/>
      <c r="JD533" s="30"/>
      <c r="JE533" s="30"/>
      <c r="JF533" s="30"/>
      <c r="JG533" s="30"/>
      <c r="JH533" s="30"/>
      <c r="JI533" s="30"/>
      <c r="JJ533" s="30"/>
      <c r="JK533" s="30"/>
      <c r="JL533" s="30"/>
      <c r="JM533" s="30"/>
      <c r="JN533" s="30"/>
      <c r="JO533" s="30"/>
      <c r="JP533" s="30"/>
      <c r="JQ533" s="30"/>
      <c r="JR533" s="30"/>
      <c r="JS533" s="30"/>
      <c r="JT533" s="30"/>
      <c r="JU533" s="30"/>
      <c r="JV533" s="30"/>
      <c r="JW533" s="30"/>
      <c r="JX533" s="30"/>
      <c r="JY533" s="30"/>
      <c r="JZ533" s="30"/>
      <c r="KA533" s="30"/>
      <c r="KB533" s="30"/>
      <c r="KC533" s="30"/>
      <c r="KD533" s="30"/>
      <c r="KE533" s="30"/>
    </row>
    <row r="534" spans="1:291" customFormat="1" ht="35" customHeight="1">
      <c r="A534" s="23">
        <f>ROW()-3</f>
        <v>531</v>
      </c>
      <c r="B534" s="42" t="s">
        <v>2732</v>
      </c>
      <c r="C534" s="42" t="s">
        <v>3735</v>
      </c>
      <c r="D534" s="43" t="s">
        <v>3112</v>
      </c>
      <c r="E534" s="43" t="s">
        <v>3741</v>
      </c>
      <c r="F534" s="43" t="s">
        <v>3452</v>
      </c>
      <c r="G534" s="42" t="s">
        <v>34</v>
      </c>
      <c r="H534" s="42">
        <v>1</v>
      </c>
      <c r="I534" s="44">
        <v>0.56000000000000005</v>
      </c>
      <c r="J534" s="45">
        <v>44193</v>
      </c>
      <c r="K534" s="46" t="s">
        <v>20</v>
      </c>
      <c r="L534" s="47">
        <v>4.99</v>
      </c>
      <c r="M534" s="32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  <c r="FS534" s="30"/>
      <c r="FT534" s="30"/>
      <c r="FU534" s="30"/>
      <c r="FV534" s="30"/>
      <c r="FW534" s="30"/>
      <c r="FX534" s="30"/>
      <c r="FY534" s="30"/>
      <c r="FZ534" s="30"/>
      <c r="GA534" s="30"/>
      <c r="GB534" s="30"/>
      <c r="GC534" s="30"/>
      <c r="GD534" s="30"/>
      <c r="GE534" s="30"/>
      <c r="GF534" s="30"/>
      <c r="GG534" s="30"/>
      <c r="GH534" s="30"/>
      <c r="GI534" s="30"/>
      <c r="GJ534" s="30"/>
      <c r="GK534" s="30"/>
      <c r="GL534" s="30"/>
      <c r="GM534" s="30"/>
      <c r="GN534" s="30"/>
      <c r="GO534" s="30"/>
      <c r="GP534" s="30"/>
      <c r="GQ534" s="30"/>
      <c r="GR534" s="30"/>
      <c r="GS534" s="30"/>
      <c r="GT534" s="30"/>
      <c r="GU534" s="30"/>
      <c r="GV534" s="30"/>
      <c r="GW534" s="30"/>
      <c r="GX534" s="30"/>
      <c r="GY534" s="30"/>
      <c r="GZ534" s="30"/>
      <c r="HA534" s="30"/>
      <c r="HB534" s="30"/>
      <c r="HC534" s="30"/>
      <c r="HD534" s="30"/>
      <c r="HE534" s="30"/>
      <c r="HF534" s="30"/>
      <c r="HG534" s="30"/>
      <c r="HH534" s="30"/>
      <c r="HI534" s="30"/>
      <c r="HJ534" s="30"/>
      <c r="HK534" s="30"/>
      <c r="HL534" s="30"/>
      <c r="HM534" s="30"/>
      <c r="HN534" s="30"/>
      <c r="HO534" s="30"/>
      <c r="HP534" s="30"/>
      <c r="HQ534" s="30"/>
      <c r="HR534" s="30"/>
      <c r="HS534" s="30"/>
      <c r="HT534" s="30"/>
      <c r="HU534" s="30"/>
      <c r="HV534" s="30"/>
      <c r="HW534" s="30"/>
      <c r="HX534" s="30"/>
      <c r="HY534" s="30"/>
      <c r="HZ534" s="30"/>
      <c r="IA534" s="30"/>
      <c r="IB534" s="30"/>
      <c r="IC534" s="30"/>
      <c r="ID534" s="30"/>
      <c r="IE534" s="30"/>
      <c r="IF534" s="30"/>
      <c r="IG534" s="30"/>
      <c r="IH534" s="30"/>
      <c r="II534" s="30"/>
      <c r="IJ534" s="30"/>
      <c r="IK534" s="30"/>
      <c r="IL534" s="30"/>
      <c r="IM534" s="30"/>
      <c r="IN534" s="30"/>
      <c r="IO534" s="30"/>
      <c r="IP534" s="30"/>
      <c r="IQ534" s="30"/>
      <c r="IR534" s="30"/>
      <c r="IS534" s="30"/>
      <c r="IT534" s="30"/>
      <c r="IU534" s="30"/>
      <c r="IV534" s="30"/>
      <c r="IW534" s="30"/>
      <c r="IX534" s="30"/>
      <c r="IY534" s="30"/>
      <c r="IZ534" s="30"/>
      <c r="JA534" s="30"/>
      <c r="JB534" s="30"/>
      <c r="JC534" s="30"/>
      <c r="JD534" s="30"/>
      <c r="JE534" s="30"/>
      <c r="JF534" s="30"/>
      <c r="JG534" s="30"/>
      <c r="JH534" s="30"/>
      <c r="JI534" s="30"/>
      <c r="JJ534" s="30"/>
      <c r="JK534" s="30"/>
      <c r="JL534" s="30"/>
      <c r="JM534" s="30"/>
      <c r="JN534" s="30"/>
      <c r="JO534" s="30"/>
      <c r="JP534" s="30"/>
      <c r="JQ534" s="30"/>
      <c r="JR534" s="30"/>
      <c r="JS534" s="30"/>
      <c r="JT534" s="30"/>
      <c r="JU534" s="30"/>
      <c r="JV534" s="30"/>
      <c r="JW534" s="30"/>
      <c r="JX534" s="30"/>
      <c r="JY534" s="30"/>
      <c r="JZ534" s="30"/>
      <c r="KA534" s="30"/>
      <c r="KB534" s="30"/>
      <c r="KC534" s="30"/>
      <c r="KD534" s="30"/>
      <c r="KE534" s="30"/>
    </row>
    <row r="535" spans="1:291" ht="35" customHeight="1">
      <c r="A535" s="23">
        <f>ROW()-3</f>
        <v>532</v>
      </c>
      <c r="B535" s="42" t="s">
        <v>2732</v>
      </c>
      <c r="C535" s="42" t="s">
        <v>3735</v>
      </c>
      <c r="D535" s="43" t="s">
        <v>3856</v>
      </c>
      <c r="E535" s="43" t="s">
        <v>3857</v>
      </c>
      <c r="F535" s="43" t="s">
        <v>3452</v>
      </c>
      <c r="G535" s="42" t="s">
        <v>34</v>
      </c>
      <c r="H535" s="42">
        <v>1</v>
      </c>
      <c r="I535" s="44">
        <v>0.46</v>
      </c>
      <c r="J535" s="45">
        <v>44200</v>
      </c>
      <c r="K535" s="46" t="s">
        <v>20</v>
      </c>
      <c r="L535" s="47">
        <v>4.99</v>
      </c>
      <c r="M535" s="32"/>
    </row>
    <row r="536" spans="1:291" ht="35" customHeight="1">
      <c r="A536" s="23">
        <f>ROW()-3</f>
        <v>533</v>
      </c>
      <c r="B536" s="42" t="s">
        <v>2732</v>
      </c>
      <c r="C536" s="42" t="s">
        <v>3735</v>
      </c>
      <c r="D536" s="43" t="s">
        <v>3839</v>
      </c>
      <c r="E536" s="43" t="s">
        <v>3840</v>
      </c>
      <c r="F536" s="43" t="s">
        <v>3841</v>
      </c>
      <c r="G536" s="42" t="s">
        <v>34</v>
      </c>
      <c r="H536" s="42">
        <v>1</v>
      </c>
      <c r="I536" s="44">
        <v>0.32</v>
      </c>
      <c r="J536" s="45">
        <v>44207</v>
      </c>
      <c r="K536" s="46" t="s">
        <v>20</v>
      </c>
      <c r="L536" s="47">
        <v>4.99</v>
      </c>
      <c r="M536" s="32"/>
    </row>
    <row r="537" spans="1:291" ht="35" customHeight="1">
      <c r="A537" s="23">
        <f>ROW()-3</f>
        <v>534</v>
      </c>
      <c r="B537" s="42" t="s">
        <v>2732</v>
      </c>
      <c r="C537" s="42" t="s">
        <v>3735</v>
      </c>
      <c r="D537" s="43" t="s">
        <v>3842</v>
      </c>
      <c r="E537" s="43" t="s">
        <v>3843</v>
      </c>
      <c r="F537" s="43" t="s">
        <v>3343</v>
      </c>
      <c r="G537" s="42" t="s">
        <v>34</v>
      </c>
      <c r="H537" s="42">
        <v>1</v>
      </c>
      <c r="I537" s="44">
        <v>0.35</v>
      </c>
      <c r="J537" s="45">
        <v>44207</v>
      </c>
      <c r="K537" s="46" t="s">
        <v>20</v>
      </c>
      <c r="L537" s="47">
        <v>4.99</v>
      </c>
      <c r="M537" s="32"/>
    </row>
    <row r="538" spans="1:291" ht="35" customHeight="1">
      <c r="A538" s="23">
        <f>ROW()-3</f>
        <v>535</v>
      </c>
      <c r="B538" s="42" t="s">
        <v>2732</v>
      </c>
      <c r="C538" s="43" t="s">
        <v>3735</v>
      </c>
      <c r="D538" s="43" t="s">
        <v>3874</v>
      </c>
      <c r="E538" s="43" t="s">
        <v>3875</v>
      </c>
      <c r="F538" s="43" t="s">
        <v>2739</v>
      </c>
      <c r="G538" s="43" t="s">
        <v>34</v>
      </c>
      <c r="H538" s="43">
        <v>1</v>
      </c>
      <c r="I538" s="43">
        <v>0.5</v>
      </c>
      <c r="J538" s="50">
        <v>44214</v>
      </c>
      <c r="K538" s="51" t="s">
        <v>20</v>
      </c>
      <c r="L538" s="47">
        <v>4.99</v>
      </c>
      <c r="M538" s="3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2"/>
      <c r="AL538" s="52"/>
      <c r="AM538" s="52"/>
      <c r="AN538" s="52"/>
      <c r="AO538" s="52"/>
      <c r="AP538" s="52"/>
      <c r="AQ538" s="52"/>
      <c r="AR538" s="52"/>
      <c r="AS538" s="52"/>
      <c r="AT538" s="52"/>
      <c r="AU538" s="52"/>
      <c r="AV538" s="52"/>
      <c r="AW538" s="52"/>
      <c r="AX538" s="52"/>
      <c r="AY538" s="52"/>
      <c r="AZ538" s="52"/>
      <c r="BA538" s="52"/>
      <c r="BB538" s="52"/>
      <c r="BC538" s="52"/>
      <c r="BD538" s="52"/>
      <c r="BE538" s="52"/>
      <c r="BF538" s="52"/>
      <c r="BG538" s="52"/>
      <c r="BH538" s="52"/>
      <c r="BI538" s="52"/>
      <c r="BJ538" s="52"/>
      <c r="BK538" s="52"/>
      <c r="BL538" s="52"/>
      <c r="BM538" s="52"/>
      <c r="BN538" s="52"/>
      <c r="BO538" s="52"/>
      <c r="BP538" s="52"/>
      <c r="BQ538" s="52"/>
      <c r="BR538" s="52"/>
      <c r="BS538" s="52"/>
      <c r="BT538" s="52"/>
      <c r="BU538" s="52"/>
      <c r="BV538" s="52"/>
      <c r="BW538" s="52"/>
      <c r="BX538" s="52"/>
      <c r="BY538" s="52"/>
      <c r="BZ538" s="52"/>
      <c r="CA538" s="52"/>
      <c r="CB538" s="52"/>
      <c r="CC538" s="52"/>
      <c r="CD538" s="52"/>
      <c r="CE538" s="52"/>
      <c r="CF538" s="52"/>
      <c r="CG538" s="52"/>
      <c r="CH538" s="52"/>
      <c r="CI538" s="52"/>
      <c r="CJ538" s="52"/>
      <c r="CK538" s="52"/>
      <c r="CL538" s="52"/>
      <c r="CM538" s="52"/>
      <c r="CN538" s="52"/>
      <c r="CO538" s="52"/>
      <c r="CP538" s="52"/>
      <c r="CQ538" s="52"/>
      <c r="CR538" s="52"/>
      <c r="CS538" s="52"/>
      <c r="CT538" s="52"/>
      <c r="CU538" s="52"/>
      <c r="CV538" s="52"/>
      <c r="CW538" s="52"/>
      <c r="CX538" s="52"/>
      <c r="CY538" s="52"/>
      <c r="CZ538" s="52"/>
      <c r="DA538" s="52"/>
      <c r="DB538" s="52"/>
      <c r="DC538" s="52"/>
      <c r="DD538" s="52"/>
      <c r="DE538" s="52"/>
      <c r="DF538" s="52"/>
      <c r="DG538" s="52"/>
      <c r="DH538" s="52"/>
      <c r="DI538" s="52"/>
      <c r="DJ538" s="52"/>
      <c r="DK538" s="52"/>
      <c r="DL538" s="52"/>
      <c r="DM538" s="52"/>
      <c r="DN538" s="52"/>
      <c r="DO538" s="52"/>
      <c r="DP538" s="52"/>
      <c r="DQ538" s="52"/>
      <c r="DR538" s="52"/>
      <c r="DS538" s="52"/>
      <c r="DT538" s="52"/>
      <c r="DU538" s="52"/>
      <c r="DV538" s="52"/>
      <c r="DW538" s="52"/>
      <c r="DX538" s="52"/>
      <c r="DY538" s="52"/>
      <c r="DZ538" s="52"/>
      <c r="EA538" s="52"/>
      <c r="EB538" s="52"/>
      <c r="EC538" s="52"/>
      <c r="ED538" s="52"/>
      <c r="EE538" s="52"/>
      <c r="EF538" s="52"/>
      <c r="EG538" s="52"/>
      <c r="EH538" s="52"/>
      <c r="EI538" s="52"/>
      <c r="EJ538" s="52"/>
      <c r="EK538" s="52"/>
      <c r="EL538" s="52"/>
      <c r="EM538" s="52"/>
      <c r="EN538" s="52"/>
      <c r="EO538" s="52"/>
      <c r="EP538" s="52"/>
      <c r="EQ538" s="52"/>
      <c r="ER538" s="52"/>
      <c r="ES538" s="52"/>
      <c r="ET538" s="52"/>
      <c r="EU538" s="52"/>
      <c r="EV538" s="52"/>
      <c r="EW538" s="52"/>
      <c r="EX538" s="52"/>
      <c r="EY538" s="52"/>
      <c r="EZ538" s="52"/>
      <c r="FA538" s="52"/>
      <c r="FB538" s="52"/>
      <c r="FC538" s="52"/>
      <c r="FD538" s="52"/>
      <c r="FE538" s="52"/>
      <c r="FF538" s="52"/>
      <c r="FG538" s="52"/>
      <c r="FH538" s="52"/>
      <c r="FI538" s="52"/>
      <c r="FJ538" s="52"/>
      <c r="FK538" s="52"/>
      <c r="FL538" s="52"/>
      <c r="FM538" s="52"/>
      <c r="FN538" s="52"/>
      <c r="FO538" s="52"/>
      <c r="FP538" s="52"/>
      <c r="FQ538" s="52"/>
      <c r="FR538" s="52"/>
      <c r="FS538" s="52"/>
      <c r="FT538" s="52"/>
      <c r="FU538" s="52"/>
      <c r="FV538" s="52"/>
      <c r="FW538" s="52"/>
      <c r="FX538" s="52"/>
      <c r="FY538" s="52"/>
      <c r="FZ538" s="52"/>
      <c r="GA538" s="52"/>
      <c r="GB538" s="52"/>
      <c r="GC538" s="52"/>
      <c r="GD538" s="52"/>
      <c r="GE538" s="52"/>
      <c r="GF538" s="52"/>
      <c r="GG538" s="52"/>
      <c r="GH538" s="52"/>
      <c r="GI538" s="52"/>
      <c r="GJ538" s="52"/>
      <c r="GK538" s="52"/>
      <c r="GL538" s="52"/>
      <c r="GM538" s="52"/>
      <c r="GN538" s="52"/>
      <c r="GO538" s="52"/>
      <c r="GP538" s="52"/>
      <c r="GQ538" s="52"/>
      <c r="GR538" s="52"/>
      <c r="GS538" s="52"/>
      <c r="GT538" s="52"/>
      <c r="GU538" s="52"/>
      <c r="GV538" s="52"/>
      <c r="GW538" s="52"/>
      <c r="GX538" s="52"/>
      <c r="GY538" s="52"/>
      <c r="GZ538" s="52"/>
      <c r="HA538" s="52"/>
      <c r="HB538" s="52"/>
      <c r="HC538" s="52"/>
      <c r="HD538" s="52"/>
      <c r="HE538" s="52"/>
      <c r="HF538" s="52"/>
      <c r="HG538" s="52"/>
      <c r="HH538" s="52"/>
      <c r="HI538" s="52"/>
      <c r="HJ538" s="52"/>
      <c r="HK538" s="52"/>
      <c r="HL538" s="52"/>
      <c r="HM538" s="52"/>
      <c r="HN538" s="52"/>
      <c r="HO538" s="52"/>
      <c r="HP538" s="52"/>
      <c r="HQ538" s="52"/>
      <c r="HR538" s="52"/>
      <c r="HS538" s="52"/>
      <c r="HT538" s="52"/>
      <c r="HU538" s="52"/>
      <c r="HV538" s="52"/>
      <c r="HW538" s="52"/>
      <c r="HX538" s="52"/>
      <c r="HY538" s="52"/>
      <c r="HZ538" s="52"/>
      <c r="IA538" s="52"/>
      <c r="IB538" s="52"/>
      <c r="IC538" s="52"/>
      <c r="ID538" s="52"/>
      <c r="IE538" s="52"/>
      <c r="IF538" s="52"/>
      <c r="IG538" s="52"/>
      <c r="IH538" s="52"/>
      <c r="II538" s="52"/>
      <c r="IJ538" s="52"/>
      <c r="IK538" s="52"/>
      <c r="IL538" s="52"/>
      <c r="IM538" s="52"/>
      <c r="IN538" s="52"/>
      <c r="IO538" s="52"/>
      <c r="IP538" s="52"/>
      <c r="IQ538" s="52"/>
      <c r="IR538" s="52"/>
      <c r="IS538" s="52"/>
      <c r="IT538" s="52"/>
      <c r="IU538" s="52"/>
      <c r="IV538" s="52"/>
      <c r="IW538" s="52"/>
      <c r="IX538" s="52"/>
      <c r="IY538" s="52"/>
      <c r="IZ538" s="52"/>
      <c r="JA538" s="52"/>
      <c r="JB538" s="52"/>
      <c r="JC538" s="52"/>
      <c r="JD538" s="52"/>
      <c r="JE538" s="52"/>
      <c r="JF538" s="52"/>
      <c r="JG538" s="52"/>
      <c r="JH538" s="52"/>
      <c r="JI538" s="52"/>
      <c r="JJ538" s="52"/>
      <c r="JK538" s="52"/>
      <c r="JL538" s="52"/>
      <c r="JM538" s="52"/>
      <c r="JN538" s="52"/>
      <c r="JO538" s="52"/>
      <c r="JP538" s="52"/>
      <c r="JQ538" s="52"/>
      <c r="JR538" s="52"/>
      <c r="JS538" s="52"/>
      <c r="JT538" s="52"/>
      <c r="JU538" s="52"/>
      <c r="JV538" s="52"/>
      <c r="JW538" s="52"/>
      <c r="JX538" s="52"/>
      <c r="JY538" s="52"/>
      <c r="JZ538" s="52"/>
      <c r="KA538" s="52"/>
      <c r="KB538" s="52"/>
      <c r="KC538" s="52"/>
      <c r="KD538" s="52"/>
      <c r="KE538" s="52"/>
    </row>
    <row r="539" spans="1:291" ht="35" customHeight="1">
      <c r="A539" s="23">
        <f>ROW()-3</f>
        <v>536</v>
      </c>
      <c r="B539" s="42" t="s">
        <v>2732</v>
      </c>
      <c r="C539" s="43" t="s">
        <v>3735</v>
      </c>
      <c r="D539" s="43" t="s">
        <v>3876</v>
      </c>
      <c r="E539" s="43" t="s">
        <v>3877</v>
      </c>
      <c r="F539" s="43" t="s">
        <v>3615</v>
      </c>
      <c r="G539" s="43" t="s">
        <v>34</v>
      </c>
      <c r="H539" s="43">
        <v>1</v>
      </c>
      <c r="I539" s="43">
        <v>0.5</v>
      </c>
      <c r="J539" s="50">
        <v>44214</v>
      </c>
      <c r="K539" s="51" t="s">
        <v>20</v>
      </c>
      <c r="L539" s="47">
        <v>4.99</v>
      </c>
      <c r="M539" s="3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2"/>
      <c r="AL539" s="52"/>
      <c r="AM539" s="52"/>
      <c r="AN539" s="52"/>
      <c r="AO539" s="52"/>
      <c r="AP539" s="52"/>
      <c r="AQ539" s="52"/>
      <c r="AR539" s="52"/>
      <c r="AS539" s="52"/>
      <c r="AT539" s="52"/>
      <c r="AU539" s="52"/>
      <c r="AV539" s="52"/>
      <c r="AW539" s="52"/>
      <c r="AX539" s="52"/>
      <c r="AY539" s="52"/>
      <c r="AZ539" s="52"/>
      <c r="BA539" s="52"/>
      <c r="BB539" s="52"/>
      <c r="BC539" s="52"/>
      <c r="BD539" s="52"/>
      <c r="BE539" s="52"/>
      <c r="BF539" s="52"/>
      <c r="BG539" s="52"/>
      <c r="BH539" s="52"/>
      <c r="BI539" s="52"/>
      <c r="BJ539" s="52"/>
      <c r="BK539" s="52"/>
      <c r="BL539" s="52"/>
      <c r="BM539" s="52"/>
      <c r="BN539" s="52"/>
      <c r="BO539" s="52"/>
      <c r="BP539" s="52"/>
      <c r="BQ539" s="52"/>
      <c r="BR539" s="52"/>
      <c r="BS539" s="52"/>
      <c r="BT539" s="52"/>
      <c r="BU539" s="52"/>
      <c r="BV539" s="52"/>
      <c r="BW539" s="52"/>
      <c r="BX539" s="52"/>
      <c r="BY539" s="52"/>
      <c r="BZ539" s="52"/>
      <c r="CA539" s="52"/>
      <c r="CB539" s="52"/>
      <c r="CC539" s="52"/>
      <c r="CD539" s="52"/>
      <c r="CE539" s="52"/>
      <c r="CF539" s="52"/>
      <c r="CG539" s="52"/>
      <c r="CH539" s="52"/>
      <c r="CI539" s="52"/>
      <c r="CJ539" s="52"/>
      <c r="CK539" s="52"/>
      <c r="CL539" s="52"/>
      <c r="CM539" s="52"/>
      <c r="CN539" s="52"/>
      <c r="CO539" s="52"/>
      <c r="CP539" s="52"/>
      <c r="CQ539" s="52"/>
      <c r="CR539" s="52"/>
      <c r="CS539" s="52"/>
      <c r="CT539" s="52"/>
      <c r="CU539" s="52"/>
      <c r="CV539" s="52"/>
      <c r="CW539" s="52"/>
      <c r="CX539" s="52"/>
      <c r="CY539" s="52"/>
      <c r="CZ539" s="52"/>
      <c r="DA539" s="52"/>
      <c r="DB539" s="52"/>
      <c r="DC539" s="52"/>
      <c r="DD539" s="52"/>
      <c r="DE539" s="52"/>
      <c r="DF539" s="52"/>
      <c r="DG539" s="52"/>
      <c r="DH539" s="52"/>
      <c r="DI539" s="52"/>
      <c r="DJ539" s="52"/>
      <c r="DK539" s="52"/>
      <c r="DL539" s="52"/>
      <c r="DM539" s="52"/>
      <c r="DN539" s="52"/>
      <c r="DO539" s="52"/>
      <c r="DP539" s="52"/>
      <c r="DQ539" s="52"/>
      <c r="DR539" s="52"/>
      <c r="DS539" s="52"/>
      <c r="DT539" s="52"/>
      <c r="DU539" s="52"/>
      <c r="DV539" s="52"/>
      <c r="DW539" s="52"/>
      <c r="DX539" s="52"/>
      <c r="DY539" s="52"/>
      <c r="DZ539" s="52"/>
      <c r="EA539" s="52"/>
      <c r="EB539" s="52"/>
      <c r="EC539" s="52"/>
      <c r="ED539" s="52"/>
      <c r="EE539" s="52"/>
      <c r="EF539" s="52"/>
      <c r="EG539" s="52"/>
      <c r="EH539" s="52"/>
      <c r="EI539" s="52"/>
      <c r="EJ539" s="52"/>
      <c r="EK539" s="52"/>
      <c r="EL539" s="52"/>
      <c r="EM539" s="52"/>
      <c r="EN539" s="52"/>
      <c r="EO539" s="52"/>
      <c r="EP539" s="52"/>
      <c r="EQ539" s="52"/>
      <c r="ER539" s="52"/>
      <c r="ES539" s="52"/>
      <c r="ET539" s="52"/>
      <c r="EU539" s="52"/>
      <c r="EV539" s="52"/>
      <c r="EW539" s="52"/>
      <c r="EX539" s="52"/>
      <c r="EY539" s="52"/>
      <c r="EZ539" s="52"/>
      <c r="FA539" s="52"/>
      <c r="FB539" s="52"/>
      <c r="FC539" s="52"/>
      <c r="FD539" s="52"/>
      <c r="FE539" s="52"/>
      <c r="FF539" s="52"/>
      <c r="FG539" s="52"/>
      <c r="FH539" s="52"/>
      <c r="FI539" s="52"/>
      <c r="FJ539" s="52"/>
      <c r="FK539" s="52"/>
      <c r="FL539" s="52"/>
      <c r="FM539" s="52"/>
      <c r="FN539" s="52"/>
      <c r="FO539" s="52"/>
      <c r="FP539" s="52"/>
      <c r="FQ539" s="52"/>
      <c r="FR539" s="52"/>
      <c r="FS539" s="52"/>
      <c r="FT539" s="52"/>
      <c r="FU539" s="52"/>
      <c r="FV539" s="52"/>
      <c r="FW539" s="52"/>
      <c r="FX539" s="52"/>
      <c r="FY539" s="52"/>
      <c r="FZ539" s="52"/>
      <c r="GA539" s="52"/>
      <c r="GB539" s="52"/>
      <c r="GC539" s="52"/>
      <c r="GD539" s="52"/>
      <c r="GE539" s="52"/>
      <c r="GF539" s="52"/>
      <c r="GG539" s="52"/>
      <c r="GH539" s="52"/>
      <c r="GI539" s="52"/>
      <c r="GJ539" s="52"/>
      <c r="GK539" s="52"/>
      <c r="GL539" s="52"/>
      <c r="GM539" s="52"/>
      <c r="GN539" s="52"/>
      <c r="GO539" s="52"/>
      <c r="GP539" s="52"/>
      <c r="GQ539" s="52"/>
      <c r="GR539" s="52"/>
      <c r="GS539" s="52"/>
      <c r="GT539" s="52"/>
      <c r="GU539" s="52"/>
      <c r="GV539" s="52"/>
      <c r="GW539" s="52"/>
      <c r="GX539" s="52"/>
      <c r="GY539" s="52"/>
      <c r="GZ539" s="52"/>
      <c r="HA539" s="52"/>
      <c r="HB539" s="52"/>
      <c r="HC539" s="52"/>
      <c r="HD539" s="52"/>
      <c r="HE539" s="52"/>
      <c r="HF539" s="52"/>
      <c r="HG539" s="52"/>
      <c r="HH539" s="52"/>
      <c r="HI539" s="52"/>
      <c r="HJ539" s="52"/>
      <c r="HK539" s="52"/>
      <c r="HL539" s="52"/>
      <c r="HM539" s="52"/>
      <c r="HN539" s="52"/>
      <c r="HO539" s="52"/>
      <c r="HP539" s="52"/>
      <c r="HQ539" s="52"/>
      <c r="HR539" s="52"/>
      <c r="HS539" s="52"/>
      <c r="HT539" s="52"/>
      <c r="HU539" s="52"/>
      <c r="HV539" s="52"/>
      <c r="HW539" s="52"/>
      <c r="HX539" s="52"/>
      <c r="HY539" s="52"/>
      <c r="HZ539" s="52"/>
      <c r="IA539" s="52"/>
      <c r="IB539" s="52"/>
      <c r="IC539" s="52"/>
      <c r="ID539" s="52"/>
      <c r="IE539" s="52"/>
      <c r="IF539" s="52"/>
      <c r="IG539" s="52"/>
      <c r="IH539" s="52"/>
      <c r="II539" s="52"/>
      <c r="IJ539" s="52"/>
      <c r="IK539" s="52"/>
      <c r="IL539" s="52"/>
      <c r="IM539" s="52"/>
      <c r="IN539" s="52"/>
      <c r="IO539" s="52"/>
      <c r="IP539" s="52"/>
      <c r="IQ539" s="52"/>
      <c r="IR539" s="52"/>
      <c r="IS539" s="52"/>
      <c r="IT539" s="52"/>
      <c r="IU539" s="52"/>
      <c r="IV539" s="52"/>
      <c r="IW539" s="52"/>
      <c r="IX539" s="52"/>
      <c r="IY539" s="52"/>
      <c r="IZ539" s="52"/>
      <c r="JA539" s="52"/>
      <c r="JB539" s="52"/>
      <c r="JC539" s="52"/>
      <c r="JD539" s="52"/>
      <c r="JE539" s="52"/>
      <c r="JF539" s="52"/>
      <c r="JG539" s="52"/>
      <c r="JH539" s="52"/>
      <c r="JI539" s="52"/>
      <c r="JJ539" s="52"/>
      <c r="JK539" s="52"/>
      <c r="JL539" s="52"/>
      <c r="JM539" s="52"/>
      <c r="JN539" s="52"/>
      <c r="JO539" s="52"/>
      <c r="JP539" s="52"/>
      <c r="JQ539" s="52"/>
      <c r="JR539" s="52"/>
      <c r="JS539" s="52"/>
      <c r="JT539" s="52"/>
      <c r="JU539" s="52"/>
      <c r="JV539" s="52"/>
      <c r="JW539" s="52"/>
      <c r="JX539" s="52"/>
      <c r="JY539" s="52"/>
      <c r="JZ539" s="52"/>
      <c r="KA539" s="52"/>
      <c r="KB539" s="52"/>
      <c r="KC539" s="52"/>
      <c r="KD539" s="52"/>
      <c r="KE539" s="52"/>
    </row>
    <row r="540" spans="1:291" ht="35" customHeight="1">
      <c r="A540" s="23">
        <f>ROW()-3</f>
        <v>537</v>
      </c>
      <c r="B540" s="58" t="s">
        <v>2732</v>
      </c>
      <c r="C540" s="58" t="s">
        <v>3735</v>
      </c>
      <c r="D540" s="58" t="s">
        <v>3878</v>
      </c>
      <c r="E540" s="58" t="s">
        <v>3879</v>
      </c>
      <c r="F540" s="58" t="s">
        <v>3880</v>
      </c>
      <c r="G540" s="58" t="s">
        <v>34</v>
      </c>
      <c r="H540" s="58">
        <v>1</v>
      </c>
      <c r="I540" s="58">
        <v>0.5</v>
      </c>
      <c r="J540" s="59">
        <v>44228</v>
      </c>
      <c r="K540" s="60" t="s">
        <v>20</v>
      </c>
      <c r="L540" s="61">
        <v>4.99</v>
      </c>
      <c r="M540" s="3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2"/>
      <c r="AL540" s="52"/>
      <c r="AM540" s="52"/>
      <c r="AN540" s="52"/>
      <c r="AO540" s="52"/>
      <c r="AP540" s="52"/>
      <c r="AQ540" s="52"/>
      <c r="AR540" s="52"/>
      <c r="AS540" s="52"/>
      <c r="AT540" s="52"/>
      <c r="AU540" s="52"/>
      <c r="AV540" s="52"/>
      <c r="AW540" s="52"/>
      <c r="AX540" s="52"/>
      <c r="AY540" s="52"/>
      <c r="AZ540" s="52"/>
      <c r="BA540" s="52"/>
      <c r="BB540" s="52"/>
      <c r="BC540" s="52"/>
      <c r="BD540" s="52"/>
      <c r="BE540" s="52"/>
      <c r="BF540" s="52"/>
      <c r="BG540" s="52"/>
      <c r="BH540" s="52"/>
      <c r="BI540" s="52"/>
      <c r="BJ540" s="52"/>
      <c r="BK540" s="52"/>
      <c r="BL540" s="52"/>
      <c r="BM540" s="52"/>
      <c r="BN540" s="52"/>
      <c r="BO540" s="52"/>
      <c r="BP540" s="52"/>
      <c r="BQ540" s="52"/>
      <c r="BR540" s="52"/>
      <c r="BS540" s="52"/>
      <c r="BT540" s="52"/>
      <c r="BU540" s="52"/>
      <c r="BV540" s="52"/>
      <c r="BW540" s="52"/>
      <c r="BX540" s="52"/>
      <c r="BY540" s="52"/>
      <c r="BZ540" s="52"/>
      <c r="CA540" s="52"/>
      <c r="CB540" s="52"/>
      <c r="CC540" s="52"/>
      <c r="CD540" s="52"/>
      <c r="CE540" s="52"/>
      <c r="CF540" s="52"/>
      <c r="CG540" s="52"/>
      <c r="CH540" s="52"/>
      <c r="CI540" s="52"/>
      <c r="CJ540" s="52"/>
      <c r="CK540" s="52"/>
      <c r="CL540" s="52"/>
      <c r="CM540" s="52"/>
      <c r="CN540" s="52"/>
      <c r="CO540" s="52"/>
      <c r="CP540" s="52"/>
      <c r="CQ540" s="52"/>
      <c r="CR540" s="52"/>
      <c r="CS540" s="52"/>
      <c r="CT540" s="52"/>
      <c r="CU540" s="52"/>
      <c r="CV540" s="52"/>
      <c r="CW540" s="52"/>
      <c r="CX540" s="52"/>
      <c r="CY540" s="52"/>
      <c r="CZ540" s="52"/>
      <c r="DA540" s="52"/>
      <c r="DB540" s="52"/>
      <c r="DC540" s="52"/>
      <c r="DD540" s="52"/>
      <c r="DE540" s="52"/>
      <c r="DF540" s="52"/>
      <c r="DG540" s="52"/>
      <c r="DH540" s="52"/>
      <c r="DI540" s="52"/>
      <c r="DJ540" s="52"/>
      <c r="DK540" s="52"/>
      <c r="DL540" s="52"/>
      <c r="DM540" s="52"/>
      <c r="DN540" s="52"/>
      <c r="DO540" s="52"/>
      <c r="DP540" s="52"/>
      <c r="DQ540" s="52"/>
      <c r="DR540" s="52"/>
      <c r="DS540" s="52"/>
      <c r="DT540" s="52"/>
      <c r="DU540" s="52"/>
      <c r="DV540" s="52"/>
      <c r="DW540" s="52"/>
      <c r="DX540" s="52"/>
      <c r="DY540" s="52"/>
      <c r="DZ540" s="52"/>
      <c r="EA540" s="52"/>
      <c r="EB540" s="52"/>
      <c r="EC540" s="52"/>
      <c r="ED540" s="52"/>
      <c r="EE540" s="52"/>
      <c r="EF540" s="52"/>
      <c r="EG540" s="52"/>
      <c r="EH540" s="52"/>
      <c r="EI540" s="52"/>
      <c r="EJ540" s="52"/>
      <c r="EK540" s="52"/>
      <c r="EL540" s="52"/>
      <c r="EM540" s="52"/>
      <c r="EN540" s="52"/>
      <c r="EO540" s="52"/>
      <c r="EP540" s="52"/>
      <c r="EQ540" s="52"/>
      <c r="ER540" s="52"/>
      <c r="ES540" s="52"/>
      <c r="ET540" s="52"/>
      <c r="EU540" s="52"/>
      <c r="EV540" s="52"/>
      <c r="EW540" s="52"/>
      <c r="EX540" s="52"/>
      <c r="EY540" s="52"/>
      <c r="EZ540" s="52"/>
      <c r="FA540" s="52"/>
      <c r="FB540" s="52"/>
      <c r="FC540" s="52"/>
      <c r="FD540" s="52"/>
      <c r="FE540" s="52"/>
      <c r="FF540" s="52"/>
      <c r="FG540" s="52"/>
      <c r="FH540" s="52"/>
      <c r="FI540" s="52"/>
      <c r="FJ540" s="52"/>
      <c r="FK540" s="52"/>
      <c r="FL540" s="52"/>
      <c r="FM540" s="52"/>
      <c r="FN540" s="52"/>
      <c r="FO540" s="52"/>
      <c r="FP540" s="52"/>
      <c r="FQ540" s="52"/>
      <c r="FR540" s="52"/>
      <c r="FS540" s="52"/>
      <c r="FT540" s="52"/>
      <c r="FU540" s="52"/>
      <c r="FV540" s="52"/>
      <c r="FW540" s="52"/>
      <c r="FX540" s="52"/>
      <c r="FY540" s="52"/>
      <c r="FZ540" s="52"/>
      <c r="GA540" s="52"/>
      <c r="GB540" s="52"/>
      <c r="GC540" s="52"/>
      <c r="GD540" s="52"/>
      <c r="GE540" s="52"/>
      <c r="GF540" s="52"/>
      <c r="GG540" s="52"/>
      <c r="GH540" s="52"/>
      <c r="GI540" s="52"/>
      <c r="GJ540" s="52"/>
      <c r="GK540" s="52"/>
      <c r="GL540" s="52"/>
      <c r="GM540" s="52"/>
      <c r="GN540" s="52"/>
      <c r="GO540" s="52"/>
      <c r="GP540" s="52"/>
      <c r="GQ540" s="52"/>
      <c r="GR540" s="52"/>
      <c r="GS540" s="52"/>
      <c r="GT540" s="52"/>
      <c r="GU540" s="52"/>
      <c r="GV540" s="52"/>
      <c r="GW540" s="52"/>
      <c r="GX540" s="52"/>
      <c r="GY540" s="52"/>
      <c r="GZ540" s="52"/>
      <c r="HA540" s="52"/>
      <c r="HB540" s="52"/>
      <c r="HC540" s="52"/>
      <c r="HD540" s="52"/>
      <c r="HE540" s="52"/>
      <c r="HF540" s="52"/>
      <c r="HG540" s="52"/>
      <c r="HH540" s="52"/>
      <c r="HI540" s="52"/>
      <c r="HJ540" s="52"/>
      <c r="HK540" s="52"/>
      <c r="HL540" s="52"/>
      <c r="HM540" s="52"/>
      <c r="HN540" s="52"/>
      <c r="HO540" s="52"/>
      <c r="HP540" s="52"/>
      <c r="HQ540" s="52"/>
      <c r="HR540" s="52"/>
      <c r="HS540" s="52"/>
      <c r="HT540" s="52"/>
      <c r="HU540" s="52"/>
      <c r="HV540" s="52"/>
      <c r="HW540" s="52"/>
      <c r="HX540" s="52"/>
      <c r="HY540" s="52"/>
      <c r="HZ540" s="52"/>
      <c r="IA540" s="52"/>
      <c r="IB540" s="52"/>
      <c r="IC540" s="52"/>
      <c r="ID540" s="52"/>
      <c r="IE540" s="52"/>
      <c r="IF540" s="52"/>
      <c r="IG540" s="52"/>
      <c r="IH540" s="52"/>
      <c r="II540" s="52"/>
      <c r="IJ540" s="52"/>
      <c r="IK540" s="52"/>
      <c r="IL540" s="52"/>
      <c r="IM540" s="52"/>
      <c r="IN540" s="52"/>
      <c r="IO540" s="52"/>
      <c r="IP540" s="52"/>
      <c r="IQ540" s="52"/>
      <c r="IR540" s="52"/>
      <c r="IS540" s="52"/>
      <c r="IT540" s="52"/>
      <c r="IU540" s="52"/>
      <c r="IV540" s="52"/>
      <c r="IW540" s="52"/>
      <c r="IX540" s="52"/>
      <c r="IY540" s="52"/>
      <c r="IZ540" s="52"/>
      <c r="JA540" s="52"/>
      <c r="JB540" s="52"/>
      <c r="JC540" s="52"/>
      <c r="JD540" s="52"/>
      <c r="JE540" s="52"/>
      <c r="JF540" s="52"/>
      <c r="JG540" s="52"/>
      <c r="JH540" s="52"/>
      <c r="JI540" s="52"/>
      <c r="JJ540" s="52"/>
      <c r="JK540" s="52"/>
      <c r="JL540" s="52"/>
      <c r="JM540" s="52"/>
      <c r="JN540" s="52"/>
      <c r="JO540" s="52"/>
      <c r="JP540" s="52"/>
      <c r="JQ540" s="52"/>
      <c r="JR540" s="52"/>
      <c r="JS540" s="52"/>
      <c r="JT540" s="52"/>
      <c r="JU540" s="52"/>
      <c r="JV540" s="52"/>
      <c r="JW540" s="52"/>
      <c r="JX540" s="52"/>
      <c r="JY540" s="52"/>
      <c r="JZ540" s="52"/>
      <c r="KA540" s="52"/>
      <c r="KB540" s="52"/>
      <c r="KC540" s="52"/>
      <c r="KD540" s="52"/>
      <c r="KE540" s="52"/>
    </row>
    <row r="541" spans="1:291" ht="35" customHeight="1">
      <c r="A541" s="23">
        <f>ROW()-3</f>
        <v>538</v>
      </c>
      <c r="B541" s="58" t="s">
        <v>2732</v>
      </c>
      <c r="C541" s="58" t="s">
        <v>3735</v>
      </c>
      <c r="D541" s="58" t="s">
        <v>3881</v>
      </c>
      <c r="E541" s="58" t="s">
        <v>3882</v>
      </c>
      <c r="F541" s="58" t="s">
        <v>3311</v>
      </c>
      <c r="G541" s="58" t="s">
        <v>34</v>
      </c>
      <c r="H541" s="58">
        <v>1</v>
      </c>
      <c r="I541" s="58">
        <v>0.4</v>
      </c>
      <c r="J541" s="59">
        <v>44228</v>
      </c>
      <c r="K541" s="60" t="s">
        <v>20</v>
      </c>
      <c r="L541" s="61">
        <v>4.99</v>
      </c>
      <c r="M541" s="3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2"/>
      <c r="AL541" s="52"/>
      <c r="AM541" s="52"/>
      <c r="AN541" s="52"/>
      <c r="AO541" s="52"/>
      <c r="AP541" s="52"/>
      <c r="AQ541" s="52"/>
      <c r="AR541" s="52"/>
      <c r="AS541" s="52"/>
      <c r="AT541" s="52"/>
      <c r="AU541" s="52"/>
      <c r="AV541" s="52"/>
      <c r="AW541" s="52"/>
      <c r="AX541" s="52"/>
      <c r="AY541" s="52"/>
      <c r="AZ541" s="52"/>
      <c r="BA541" s="52"/>
      <c r="BB541" s="52"/>
      <c r="BC541" s="52"/>
      <c r="BD541" s="52"/>
      <c r="BE541" s="52"/>
      <c r="BF541" s="52"/>
      <c r="BG541" s="52"/>
      <c r="BH541" s="52"/>
      <c r="BI541" s="52"/>
      <c r="BJ541" s="52"/>
      <c r="BK541" s="52"/>
      <c r="BL541" s="52"/>
      <c r="BM541" s="52"/>
      <c r="BN541" s="52"/>
      <c r="BO541" s="52"/>
      <c r="BP541" s="52"/>
      <c r="BQ541" s="52"/>
      <c r="BR541" s="52"/>
      <c r="BS541" s="52"/>
      <c r="BT541" s="52"/>
      <c r="BU541" s="52"/>
      <c r="BV541" s="52"/>
      <c r="BW541" s="52"/>
      <c r="BX541" s="52"/>
      <c r="BY541" s="52"/>
      <c r="BZ541" s="52"/>
      <c r="CA541" s="52"/>
      <c r="CB541" s="52"/>
      <c r="CC541" s="52"/>
      <c r="CD541" s="52"/>
      <c r="CE541" s="52"/>
      <c r="CF541" s="52"/>
      <c r="CG541" s="52"/>
      <c r="CH541" s="52"/>
      <c r="CI541" s="52"/>
      <c r="CJ541" s="52"/>
      <c r="CK541" s="52"/>
      <c r="CL541" s="52"/>
      <c r="CM541" s="52"/>
      <c r="CN541" s="52"/>
      <c r="CO541" s="52"/>
      <c r="CP541" s="52"/>
      <c r="CQ541" s="52"/>
      <c r="CR541" s="52"/>
      <c r="CS541" s="52"/>
      <c r="CT541" s="52"/>
      <c r="CU541" s="52"/>
      <c r="CV541" s="52"/>
      <c r="CW541" s="52"/>
      <c r="CX541" s="52"/>
      <c r="CY541" s="52"/>
      <c r="CZ541" s="52"/>
      <c r="DA541" s="52"/>
      <c r="DB541" s="52"/>
      <c r="DC541" s="52"/>
      <c r="DD541" s="52"/>
      <c r="DE541" s="52"/>
      <c r="DF541" s="52"/>
      <c r="DG541" s="52"/>
      <c r="DH541" s="52"/>
      <c r="DI541" s="52"/>
      <c r="DJ541" s="52"/>
      <c r="DK541" s="52"/>
      <c r="DL541" s="52"/>
      <c r="DM541" s="52"/>
      <c r="DN541" s="52"/>
      <c r="DO541" s="52"/>
      <c r="DP541" s="52"/>
      <c r="DQ541" s="52"/>
      <c r="DR541" s="52"/>
      <c r="DS541" s="52"/>
      <c r="DT541" s="52"/>
      <c r="DU541" s="52"/>
      <c r="DV541" s="52"/>
      <c r="DW541" s="52"/>
      <c r="DX541" s="52"/>
      <c r="DY541" s="52"/>
      <c r="DZ541" s="52"/>
      <c r="EA541" s="52"/>
      <c r="EB541" s="52"/>
      <c r="EC541" s="52"/>
      <c r="ED541" s="52"/>
      <c r="EE541" s="52"/>
      <c r="EF541" s="52"/>
      <c r="EG541" s="52"/>
      <c r="EH541" s="52"/>
      <c r="EI541" s="52"/>
      <c r="EJ541" s="52"/>
      <c r="EK541" s="52"/>
      <c r="EL541" s="52"/>
      <c r="EM541" s="52"/>
      <c r="EN541" s="52"/>
      <c r="EO541" s="52"/>
      <c r="EP541" s="52"/>
      <c r="EQ541" s="52"/>
      <c r="ER541" s="52"/>
      <c r="ES541" s="52"/>
      <c r="ET541" s="52"/>
      <c r="EU541" s="52"/>
      <c r="EV541" s="52"/>
      <c r="EW541" s="52"/>
      <c r="EX541" s="52"/>
      <c r="EY541" s="52"/>
      <c r="EZ541" s="52"/>
      <c r="FA541" s="52"/>
      <c r="FB541" s="52"/>
      <c r="FC541" s="52"/>
      <c r="FD541" s="52"/>
      <c r="FE541" s="52"/>
      <c r="FF541" s="52"/>
      <c r="FG541" s="52"/>
      <c r="FH541" s="52"/>
      <c r="FI541" s="52"/>
      <c r="FJ541" s="52"/>
      <c r="FK541" s="52"/>
      <c r="FL541" s="52"/>
      <c r="FM541" s="52"/>
      <c r="FN541" s="52"/>
      <c r="FO541" s="52"/>
      <c r="FP541" s="52"/>
      <c r="FQ541" s="52"/>
      <c r="FR541" s="52"/>
      <c r="FS541" s="52"/>
      <c r="FT541" s="52"/>
      <c r="FU541" s="52"/>
      <c r="FV541" s="52"/>
      <c r="FW541" s="52"/>
      <c r="FX541" s="52"/>
      <c r="FY541" s="52"/>
      <c r="FZ541" s="52"/>
      <c r="GA541" s="52"/>
      <c r="GB541" s="52"/>
      <c r="GC541" s="52"/>
      <c r="GD541" s="52"/>
      <c r="GE541" s="52"/>
      <c r="GF541" s="52"/>
      <c r="GG541" s="52"/>
      <c r="GH541" s="52"/>
      <c r="GI541" s="52"/>
      <c r="GJ541" s="52"/>
      <c r="GK541" s="52"/>
      <c r="GL541" s="52"/>
      <c r="GM541" s="52"/>
      <c r="GN541" s="52"/>
      <c r="GO541" s="52"/>
      <c r="GP541" s="52"/>
      <c r="GQ541" s="52"/>
      <c r="GR541" s="52"/>
      <c r="GS541" s="52"/>
      <c r="GT541" s="52"/>
      <c r="GU541" s="52"/>
      <c r="GV541" s="52"/>
      <c r="GW541" s="52"/>
      <c r="GX541" s="52"/>
      <c r="GY541" s="52"/>
      <c r="GZ541" s="52"/>
      <c r="HA541" s="52"/>
      <c r="HB541" s="52"/>
      <c r="HC541" s="52"/>
      <c r="HD541" s="52"/>
      <c r="HE541" s="52"/>
      <c r="HF541" s="52"/>
      <c r="HG541" s="52"/>
      <c r="HH541" s="52"/>
      <c r="HI541" s="52"/>
      <c r="HJ541" s="52"/>
      <c r="HK541" s="52"/>
      <c r="HL541" s="52"/>
      <c r="HM541" s="52"/>
      <c r="HN541" s="52"/>
      <c r="HO541" s="52"/>
      <c r="HP541" s="52"/>
      <c r="HQ541" s="52"/>
      <c r="HR541" s="52"/>
      <c r="HS541" s="52"/>
      <c r="HT541" s="52"/>
      <c r="HU541" s="52"/>
      <c r="HV541" s="52"/>
      <c r="HW541" s="52"/>
      <c r="HX541" s="52"/>
      <c r="HY541" s="52"/>
      <c r="HZ541" s="52"/>
      <c r="IA541" s="52"/>
      <c r="IB541" s="52"/>
      <c r="IC541" s="52"/>
      <c r="ID541" s="52"/>
      <c r="IE541" s="52"/>
      <c r="IF541" s="52"/>
      <c r="IG541" s="52"/>
      <c r="IH541" s="52"/>
      <c r="II541" s="52"/>
      <c r="IJ541" s="52"/>
      <c r="IK541" s="52"/>
      <c r="IL541" s="52"/>
      <c r="IM541" s="52"/>
      <c r="IN541" s="52"/>
      <c r="IO541" s="52"/>
      <c r="IP541" s="52"/>
      <c r="IQ541" s="52"/>
      <c r="IR541" s="52"/>
      <c r="IS541" s="52"/>
      <c r="IT541" s="52"/>
      <c r="IU541" s="52"/>
      <c r="IV541" s="52"/>
      <c r="IW541" s="52"/>
      <c r="IX541" s="52"/>
      <c r="IY541" s="52"/>
      <c r="IZ541" s="52"/>
      <c r="JA541" s="52"/>
      <c r="JB541" s="52"/>
      <c r="JC541" s="52"/>
      <c r="JD541" s="52"/>
      <c r="JE541" s="52"/>
      <c r="JF541" s="52"/>
      <c r="JG541" s="52"/>
      <c r="JH541" s="52"/>
      <c r="JI541" s="52"/>
      <c r="JJ541" s="52"/>
      <c r="JK541" s="52"/>
      <c r="JL541" s="52"/>
      <c r="JM541" s="52"/>
      <c r="JN541" s="52"/>
      <c r="JO541" s="52"/>
      <c r="JP541" s="52"/>
      <c r="JQ541" s="52"/>
      <c r="JR541" s="52"/>
      <c r="JS541" s="52"/>
      <c r="JT541" s="52"/>
      <c r="JU541" s="52"/>
      <c r="JV541" s="52"/>
      <c r="JW541" s="52"/>
      <c r="JX541" s="52"/>
      <c r="JY541" s="52"/>
      <c r="JZ541" s="52"/>
      <c r="KA541" s="52"/>
      <c r="KB541" s="52"/>
      <c r="KC541" s="52"/>
      <c r="KD541" s="52"/>
      <c r="KE541" s="52"/>
    </row>
    <row r="542" spans="1:291" ht="35" customHeight="1">
      <c r="A542" s="23">
        <f>ROW()-3</f>
        <v>539</v>
      </c>
      <c r="B542" s="43" t="s">
        <v>2732</v>
      </c>
      <c r="C542" s="43" t="s">
        <v>3735</v>
      </c>
      <c r="D542" s="43" t="s">
        <v>3883</v>
      </c>
      <c r="E542" s="43" t="s">
        <v>3884</v>
      </c>
      <c r="F542" s="43" t="s">
        <v>3368</v>
      </c>
      <c r="G542" s="43" t="s">
        <v>34</v>
      </c>
      <c r="H542" s="43">
        <v>1</v>
      </c>
      <c r="I542" s="43">
        <v>0.4</v>
      </c>
      <c r="J542" s="53">
        <v>44235</v>
      </c>
      <c r="K542" s="51" t="s">
        <v>20</v>
      </c>
      <c r="L542" s="62">
        <v>4.99</v>
      </c>
      <c r="M542" s="3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2"/>
      <c r="AL542" s="52"/>
      <c r="AM542" s="52"/>
      <c r="AN542" s="52"/>
      <c r="AO542" s="52"/>
      <c r="AP542" s="52"/>
      <c r="AQ542" s="52"/>
      <c r="AR542" s="52"/>
      <c r="AS542" s="52"/>
      <c r="AT542" s="52"/>
      <c r="AU542" s="52"/>
      <c r="AV542" s="52"/>
      <c r="AW542" s="52"/>
      <c r="AX542" s="52"/>
      <c r="AY542" s="52"/>
      <c r="AZ542" s="52"/>
      <c r="BA542" s="52"/>
      <c r="BB542" s="52"/>
      <c r="BC542" s="52"/>
      <c r="BD542" s="52"/>
      <c r="BE542" s="52"/>
      <c r="BF542" s="52"/>
      <c r="BG542" s="52"/>
      <c r="BH542" s="52"/>
      <c r="BI542" s="52"/>
      <c r="BJ542" s="52"/>
      <c r="BK542" s="52"/>
      <c r="BL542" s="52"/>
      <c r="BM542" s="52"/>
      <c r="BN542" s="52"/>
      <c r="BO542" s="52"/>
      <c r="BP542" s="52"/>
      <c r="BQ542" s="52"/>
      <c r="BR542" s="52"/>
      <c r="BS542" s="52"/>
      <c r="BT542" s="52"/>
      <c r="BU542" s="52"/>
      <c r="BV542" s="52"/>
      <c r="BW542" s="52"/>
      <c r="BX542" s="52"/>
      <c r="BY542" s="52"/>
      <c r="BZ542" s="52"/>
      <c r="CA542" s="52"/>
      <c r="CB542" s="52"/>
      <c r="CC542" s="52"/>
      <c r="CD542" s="52"/>
      <c r="CE542" s="52"/>
      <c r="CF542" s="52"/>
      <c r="CG542" s="52"/>
      <c r="CH542" s="52"/>
      <c r="CI542" s="52"/>
      <c r="CJ542" s="52"/>
      <c r="CK542" s="52"/>
      <c r="CL542" s="52"/>
      <c r="CM542" s="52"/>
      <c r="CN542" s="52"/>
      <c r="CO542" s="52"/>
      <c r="CP542" s="52"/>
      <c r="CQ542" s="52"/>
      <c r="CR542" s="52"/>
      <c r="CS542" s="52"/>
      <c r="CT542" s="52"/>
      <c r="CU542" s="52"/>
      <c r="CV542" s="52"/>
      <c r="CW542" s="52"/>
      <c r="CX542" s="52"/>
      <c r="CY542" s="52"/>
      <c r="CZ542" s="52"/>
      <c r="DA542" s="52"/>
      <c r="DB542" s="52"/>
      <c r="DC542" s="52"/>
      <c r="DD542" s="52"/>
      <c r="DE542" s="52"/>
      <c r="DF542" s="52"/>
      <c r="DG542" s="52"/>
      <c r="DH542" s="52"/>
      <c r="DI542" s="52"/>
      <c r="DJ542" s="52"/>
      <c r="DK542" s="52"/>
      <c r="DL542" s="52"/>
      <c r="DM542" s="52"/>
      <c r="DN542" s="52"/>
      <c r="DO542" s="52"/>
      <c r="DP542" s="52"/>
      <c r="DQ542" s="52"/>
      <c r="DR542" s="52"/>
      <c r="DS542" s="52"/>
      <c r="DT542" s="52"/>
      <c r="DU542" s="52"/>
      <c r="DV542" s="52"/>
      <c r="DW542" s="52"/>
      <c r="DX542" s="52"/>
      <c r="DY542" s="52"/>
      <c r="DZ542" s="52"/>
      <c r="EA542" s="52"/>
      <c r="EB542" s="52"/>
      <c r="EC542" s="52"/>
      <c r="ED542" s="52"/>
      <c r="EE542" s="52"/>
      <c r="EF542" s="52"/>
      <c r="EG542" s="52"/>
      <c r="EH542" s="52"/>
      <c r="EI542" s="52"/>
      <c r="EJ542" s="52"/>
      <c r="EK542" s="52"/>
      <c r="EL542" s="52"/>
      <c r="EM542" s="52"/>
      <c r="EN542" s="52"/>
      <c r="EO542" s="52"/>
      <c r="EP542" s="52"/>
      <c r="EQ542" s="52"/>
      <c r="ER542" s="52"/>
      <c r="ES542" s="52"/>
      <c r="ET542" s="52"/>
      <c r="EU542" s="52"/>
      <c r="EV542" s="52"/>
      <c r="EW542" s="52"/>
      <c r="EX542" s="52"/>
      <c r="EY542" s="52"/>
      <c r="EZ542" s="52"/>
      <c r="FA542" s="52"/>
      <c r="FB542" s="52"/>
      <c r="FC542" s="52"/>
      <c r="FD542" s="52"/>
      <c r="FE542" s="52"/>
      <c r="FF542" s="52"/>
      <c r="FG542" s="52"/>
      <c r="FH542" s="52"/>
      <c r="FI542" s="52"/>
      <c r="FJ542" s="52"/>
      <c r="FK542" s="52"/>
      <c r="FL542" s="52"/>
      <c r="FM542" s="52"/>
      <c r="FN542" s="52"/>
      <c r="FO542" s="52"/>
      <c r="FP542" s="52"/>
      <c r="FQ542" s="52"/>
      <c r="FR542" s="52"/>
      <c r="FS542" s="52"/>
      <c r="FT542" s="52"/>
      <c r="FU542" s="52"/>
      <c r="FV542" s="52"/>
      <c r="FW542" s="52"/>
      <c r="FX542" s="52"/>
      <c r="FY542" s="52"/>
      <c r="FZ542" s="52"/>
      <c r="GA542" s="52"/>
      <c r="GB542" s="52"/>
      <c r="GC542" s="52"/>
      <c r="GD542" s="52"/>
      <c r="GE542" s="52"/>
      <c r="GF542" s="52"/>
      <c r="GG542" s="52"/>
      <c r="GH542" s="52"/>
      <c r="GI542" s="52"/>
      <c r="GJ542" s="52"/>
      <c r="GK542" s="52"/>
      <c r="GL542" s="52"/>
      <c r="GM542" s="52"/>
      <c r="GN542" s="52"/>
      <c r="GO542" s="52"/>
      <c r="GP542" s="52"/>
      <c r="GQ542" s="52"/>
      <c r="GR542" s="52"/>
      <c r="GS542" s="52"/>
      <c r="GT542" s="52"/>
      <c r="GU542" s="52"/>
      <c r="GV542" s="52"/>
      <c r="GW542" s="52"/>
      <c r="GX542" s="52"/>
      <c r="GY542" s="52"/>
      <c r="GZ542" s="52"/>
      <c r="HA542" s="52"/>
      <c r="HB542" s="52"/>
      <c r="HC542" s="52"/>
      <c r="HD542" s="52"/>
      <c r="HE542" s="52"/>
      <c r="HF542" s="52"/>
      <c r="HG542" s="52"/>
      <c r="HH542" s="52"/>
      <c r="HI542" s="52"/>
      <c r="HJ542" s="52"/>
      <c r="HK542" s="52"/>
      <c r="HL542" s="52"/>
      <c r="HM542" s="52"/>
      <c r="HN542" s="52"/>
      <c r="HO542" s="52"/>
      <c r="HP542" s="52"/>
      <c r="HQ542" s="52"/>
      <c r="HR542" s="52"/>
      <c r="HS542" s="52"/>
      <c r="HT542" s="52"/>
      <c r="HU542" s="52"/>
      <c r="HV542" s="52"/>
      <c r="HW542" s="52"/>
      <c r="HX542" s="52"/>
      <c r="HY542" s="52"/>
      <c r="HZ542" s="52"/>
      <c r="IA542" s="52"/>
      <c r="IB542" s="52"/>
      <c r="IC542" s="52"/>
      <c r="ID542" s="52"/>
      <c r="IE542" s="52"/>
      <c r="IF542" s="52"/>
      <c r="IG542" s="52"/>
      <c r="IH542" s="52"/>
      <c r="II542" s="52"/>
      <c r="IJ542" s="52"/>
      <c r="IK542" s="52"/>
      <c r="IL542" s="52"/>
      <c r="IM542" s="52"/>
      <c r="IN542" s="52"/>
      <c r="IO542" s="52"/>
      <c r="IP542" s="52"/>
      <c r="IQ542" s="52"/>
      <c r="IR542" s="52"/>
      <c r="IS542" s="52"/>
      <c r="IT542" s="52"/>
      <c r="IU542" s="52"/>
      <c r="IV542" s="52"/>
      <c r="IW542" s="52"/>
      <c r="IX542" s="52"/>
      <c r="IY542" s="52"/>
      <c r="IZ542" s="52"/>
      <c r="JA542" s="52"/>
      <c r="JB542" s="52"/>
      <c r="JC542" s="52"/>
      <c r="JD542" s="52"/>
      <c r="JE542" s="52"/>
      <c r="JF542" s="52"/>
      <c r="JG542" s="52"/>
      <c r="JH542" s="52"/>
      <c r="JI542" s="52"/>
      <c r="JJ542" s="52"/>
      <c r="JK542" s="52"/>
      <c r="JL542" s="52"/>
      <c r="JM542" s="52"/>
      <c r="JN542" s="52"/>
      <c r="JO542" s="52"/>
      <c r="JP542" s="52"/>
      <c r="JQ542" s="52"/>
      <c r="JR542" s="52"/>
      <c r="JS542" s="52"/>
      <c r="JT542" s="52"/>
      <c r="JU542" s="52"/>
      <c r="JV542" s="52"/>
      <c r="JW542" s="52"/>
      <c r="JX542" s="52"/>
      <c r="JY542" s="52"/>
      <c r="JZ542" s="52"/>
      <c r="KA542" s="52"/>
      <c r="KB542" s="52"/>
      <c r="KC542" s="52"/>
      <c r="KD542" s="52"/>
      <c r="KE542" s="52"/>
    </row>
    <row r="543" spans="1:291" ht="35" customHeight="1">
      <c r="A543" s="23">
        <f>ROW()-3</f>
        <v>540</v>
      </c>
      <c r="B543" s="43" t="s">
        <v>2732</v>
      </c>
      <c r="C543" s="43" t="s">
        <v>3735</v>
      </c>
      <c r="D543" s="43" t="s">
        <v>3885</v>
      </c>
      <c r="E543" s="43" t="s">
        <v>3886</v>
      </c>
      <c r="F543" s="43" t="s">
        <v>2739</v>
      </c>
      <c r="G543" s="43" t="s">
        <v>34</v>
      </c>
      <c r="H543" s="43">
        <v>1</v>
      </c>
      <c r="I543" s="43">
        <v>0.5</v>
      </c>
      <c r="J543" s="53">
        <v>44249</v>
      </c>
      <c r="K543" s="51" t="s">
        <v>20</v>
      </c>
      <c r="L543" s="62">
        <v>4.99</v>
      </c>
    </row>
    <row r="544" spans="1:291" ht="35" customHeight="1">
      <c r="A544" s="23">
        <f>ROW()-3</f>
        <v>541</v>
      </c>
      <c r="B544" s="43" t="s">
        <v>2732</v>
      </c>
      <c r="C544" s="43" t="s">
        <v>3735</v>
      </c>
      <c r="D544" s="43" t="s">
        <v>3887</v>
      </c>
      <c r="E544" s="43" t="s">
        <v>3888</v>
      </c>
      <c r="F544" s="43" t="s">
        <v>3889</v>
      </c>
      <c r="G544" s="43" t="s">
        <v>34</v>
      </c>
      <c r="H544" s="43">
        <v>1</v>
      </c>
      <c r="I544" s="43">
        <v>0.5</v>
      </c>
      <c r="J544" s="53">
        <v>44256</v>
      </c>
      <c r="K544" s="51" t="s">
        <v>20</v>
      </c>
      <c r="L544" s="62">
        <v>4.99</v>
      </c>
    </row>
    <row r="545" spans="1:12" ht="35" customHeight="1">
      <c r="A545" s="23">
        <f>ROW()-3</f>
        <v>542</v>
      </c>
      <c r="B545" s="43" t="s">
        <v>2732</v>
      </c>
      <c r="C545" s="43" t="s">
        <v>3735</v>
      </c>
      <c r="D545" s="43" t="s">
        <v>3890</v>
      </c>
      <c r="E545" s="43" t="s">
        <v>3891</v>
      </c>
      <c r="F545" s="43" t="s">
        <v>3892</v>
      </c>
      <c r="G545" s="43" t="s">
        <v>34</v>
      </c>
      <c r="H545" s="43">
        <v>1</v>
      </c>
      <c r="I545" s="43">
        <v>0.4</v>
      </c>
      <c r="J545" s="53">
        <v>44263</v>
      </c>
      <c r="K545" s="51" t="s">
        <v>20</v>
      </c>
      <c r="L545" s="62">
        <v>4.99</v>
      </c>
    </row>
    <row r="546" spans="1:12" ht="35" customHeight="1">
      <c r="A546" s="23">
        <f>ROW()-3</f>
        <v>543</v>
      </c>
      <c r="B546" s="43" t="s">
        <v>2732</v>
      </c>
      <c r="C546" s="43" t="s">
        <v>3735</v>
      </c>
      <c r="D546" s="43" t="s">
        <v>3893</v>
      </c>
      <c r="E546" s="43" t="s">
        <v>3894</v>
      </c>
      <c r="F546" s="43" t="s">
        <v>3892</v>
      </c>
      <c r="G546" s="43" t="s">
        <v>34</v>
      </c>
      <c r="H546" s="43">
        <v>1</v>
      </c>
      <c r="I546" s="43">
        <v>0.45</v>
      </c>
      <c r="J546" s="53">
        <v>44270</v>
      </c>
      <c r="K546" s="51" t="s">
        <v>20</v>
      </c>
      <c r="L546" s="62">
        <v>4.99</v>
      </c>
    </row>
    <row r="547" spans="1:12" ht="35" customHeight="1">
      <c r="A547" s="23">
        <f>ROW()-3</f>
        <v>544</v>
      </c>
      <c r="B547" s="43" t="s">
        <v>2732</v>
      </c>
      <c r="C547" s="43" t="s">
        <v>3735</v>
      </c>
      <c r="D547" s="43" t="s">
        <v>3895</v>
      </c>
      <c r="E547" s="43" t="s">
        <v>3896</v>
      </c>
      <c r="F547" s="43" t="s">
        <v>3615</v>
      </c>
      <c r="G547" s="43" t="s">
        <v>34</v>
      </c>
      <c r="H547" s="43">
        <v>1</v>
      </c>
      <c r="I547" s="43">
        <v>0.35</v>
      </c>
      <c r="J547" s="53">
        <v>44270</v>
      </c>
      <c r="K547" s="51" t="s">
        <v>20</v>
      </c>
      <c r="L547" s="62">
        <v>4.99</v>
      </c>
    </row>
    <row r="548" spans="1:12" ht="35" customHeight="1">
      <c r="A548" s="23">
        <f>ROW()-3</f>
        <v>545</v>
      </c>
      <c r="B548" s="43" t="s">
        <v>2732</v>
      </c>
      <c r="C548" s="43" t="s">
        <v>3735</v>
      </c>
      <c r="D548" s="43" t="s">
        <v>3897</v>
      </c>
      <c r="E548" s="43" t="s">
        <v>3898</v>
      </c>
      <c r="F548" s="43" t="s">
        <v>3610</v>
      </c>
      <c r="G548" s="43" t="s">
        <v>34</v>
      </c>
      <c r="H548" s="43">
        <v>1</v>
      </c>
      <c r="I548" s="43">
        <v>0.5</v>
      </c>
      <c r="J548" s="53">
        <v>44277</v>
      </c>
      <c r="K548" s="51" t="s">
        <v>20</v>
      </c>
      <c r="L548" s="62">
        <v>4.99</v>
      </c>
    </row>
    <row r="549" spans="1:12" ht="35" customHeight="1">
      <c r="A549" s="23">
        <f>ROW()-3</f>
        <v>546</v>
      </c>
      <c r="B549" s="43" t="s">
        <v>2732</v>
      </c>
      <c r="C549" s="43" t="s">
        <v>3735</v>
      </c>
      <c r="D549" s="43" t="s">
        <v>3899</v>
      </c>
      <c r="E549" s="43" t="s">
        <v>3900</v>
      </c>
      <c r="F549" s="43" t="s">
        <v>3343</v>
      </c>
      <c r="G549" s="43" t="s">
        <v>34</v>
      </c>
      <c r="H549" s="43">
        <v>1</v>
      </c>
      <c r="I549" s="43">
        <v>0.5</v>
      </c>
      <c r="J549" s="53">
        <v>44284</v>
      </c>
      <c r="K549" s="51" t="s">
        <v>20</v>
      </c>
      <c r="L549" s="62">
        <v>4.99</v>
      </c>
    </row>
    <row r="550" spans="1:12" ht="35" customHeight="1">
      <c r="A550" s="23">
        <f>ROW()-3</f>
        <v>547</v>
      </c>
      <c r="B550" s="43" t="s">
        <v>2732</v>
      </c>
      <c r="C550" s="43" t="s">
        <v>3735</v>
      </c>
      <c r="D550" s="43" t="s">
        <v>3901</v>
      </c>
      <c r="E550" s="43" t="s">
        <v>3902</v>
      </c>
      <c r="F550" s="43" t="s">
        <v>3038</v>
      </c>
      <c r="G550" s="43" t="s">
        <v>34</v>
      </c>
      <c r="H550" s="43">
        <v>1</v>
      </c>
      <c r="I550" s="43">
        <v>0.5</v>
      </c>
      <c r="J550" s="53">
        <v>44298</v>
      </c>
      <c r="K550" s="51" t="s">
        <v>20</v>
      </c>
      <c r="L550" s="62">
        <v>4.99</v>
      </c>
    </row>
    <row r="551" spans="1:12" ht="35" customHeight="1">
      <c r="A551" s="23">
        <f>ROW()-3</f>
        <v>548</v>
      </c>
      <c r="B551" s="43" t="s">
        <v>2732</v>
      </c>
      <c r="C551" s="43" t="s">
        <v>3735</v>
      </c>
      <c r="D551" s="43" t="s">
        <v>3903</v>
      </c>
      <c r="E551" s="43" t="s">
        <v>3904</v>
      </c>
      <c r="F551" s="43" t="s">
        <v>3905</v>
      </c>
      <c r="G551" s="43" t="s">
        <v>34</v>
      </c>
      <c r="H551" s="43">
        <v>1</v>
      </c>
      <c r="I551" s="43">
        <v>0.5</v>
      </c>
      <c r="J551" s="53">
        <v>44298</v>
      </c>
      <c r="K551" s="51" t="s">
        <v>20</v>
      </c>
      <c r="L551" s="62">
        <v>4.99</v>
      </c>
    </row>
    <row r="552" spans="1:12" ht="35" customHeight="1">
      <c r="A552" s="23">
        <f>ROW()-3</f>
        <v>549</v>
      </c>
      <c r="B552" s="43" t="s">
        <v>2732</v>
      </c>
      <c r="C552" s="43" t="s">
        <v>3735</v>
      </c>
      <c r="D552" s="43" t="s">
        <v>3906</v>
      </c>
      <c r="E552" s="43" t="s">
        <v>3907</v>
      </c>
      <c r="F552" s="43" t="s">
        <v>3610</v>
      </c>
      <c r="G552" s="43" t="s">
        <v>34</v>
      </c>
      <c r="H552" s="43">
        <v>1</v>
      </c>
      <c r="I552" s="43">
        <v>0.5</v>
      </c>
      <c r="J552" s="53">
        <v>44312</v>
      </c>
      <c r="K552" s="51" t="s">
        <v>20</v>
      </c>
      <c r="L552" s="62">
        <v>4.99</v>
      </c>
    </row>
    <row r="553" spans="1:12" ht="35" customHeight="1">
      <c r="A553" s="23">
        <f>ROW()-3</f>
        <v>550</v>
      </c>
      <c r="B553" s="43" t="s">
        <v>2732</v>
      </c>
      <c r="C553" s="43" t="s">
        <v>3735</v>
      </c>
      <c r="D553" s="43" t="s">
        <v>3908</v>
      </c>
      <c r="E553" s="43" t="s">
        <v>3909</v>
      </c>
      <c r="F553" s="43" t="s">
        <v>3910</v>
      </c>
      <c r="G553" s="43" t="s">
        <v>34</v>
      </c>
      <c r="H553" s="43">
        <v>1</v>
      </c>
      <c r="I553" s="43">
        <v>0.5</v>
      </c>
      <c r="J553" s="53">
        <v>44326</v>
      </c>
      <c r="K553" s="51" t="s">
        <v>20</v>
      </c>
      <c r="L553" s="62">
        <v>4.99</v>
      </c>
    </row>
    <row r="554" spans="1:12" ht="35" customHeight="1">
      <c r="A554" s="23">
        <f>ROW()-3</f>
        <v>551</v>
      </c>
      <c r="B554" s="43" t="s">
        <v>2732</v>
      </c>
      <c r="C554" s="43" t="s">
        <v>3735</v>
      </c>
      <c r="D554" s="43" t="s">
        <v>3911</v>
      </c>
      <c r="E554" s="43" t="s">
        <v>3912</v>
      </c>
      <c r="F554" s="43" t="s">
        <v>3880</v>
      </c>
      <c r="G554" s="43" t="s">
        <v>34</v>
      </c>
      <c r="H554" s="43">
        <v>1</v>
      </c>
      <c r="I554" s="43">
        <v>0.5</v>
      </c>
      <c r="J554" s="53">
        <v>44340</v>
      </c>
      <c r="K554" s="51" t="s">
        <v>20</v>
      </c>
      <c r="L554" s="62">
        <v>4.99</v>
      </c>
    </row>
    <row r="555" spans="1:12" ht="35" customHeight="1">
      <c r="A555" s="23">
        <f>ROW()-3</f>
        <v>552</v>
      </c>
      <c r="B555" s="43" t="s">
        <v>2732</v>
      </c>
      <c r="C555" s="43" t="s">
        <v>3735</v>
      </c>
      <c r="D555" s="43" t="s">
        <v>3913</v>
      </c>
      <c r="E555" s="43" t="s">
        <v>3914</v>
      </c>
      <c r="F555" s="43" t="s">
        <v>3915</v>
      </c>
      <c r="G555" s="43" t="s">
        <v>34</v>
      </c>
      <c r="H555" s="43">
        <v>1</v>
      </c>
      <c r="I555" s="43">
        <v>0.5</v>
      </c>
      <c r="J555" s="53">
        <v>44354</v>
      </c>
      <c r="K555" s="51" t="s">
        <v>20</v>
      </c>
      <c r="L555" s="62">
        <v>4.99</v>
      </c>
    </row>
    <row r="556" spans="1:12" ht="35" customHeight="1">
      <c r="A556" s="23">
        <f>ROW()-3</f>
        <v>553</v>
      </c>
      <c r="B556" s="43" t="s">
        <v>2732</v>
      </c>
      <c r="C556" s="43" t="s">
        <v>3735</v>
      </c>
      <c r="D556" s="43" t="s">
        <v>3916</v>
      </c>
      <c r="E556" s="43" t="s">
        <v>3917</v>
      </c>
      <c r="F556" s="43" t="s">
        <v>3332</v>
      </c>
      <c r="G556" s="43" t="s">
        <v>34</v>
      </c>
      <c r="H556" s="43">
        <v>1</v>
      </c>
      <c r="I556" s="43">
        <v>0.5</v>
      </c>
      <c r="J556" s="53">
        <v>44368</v>
      </c>
      <c r="K556" s="51" t="s">
        <v>20</v>
      </c>
      <c r="L556" s="62">
        <v>4.99</v>
      </c>
    </row>
    <row r="557" spans="1:12" ht="35" customHeight="1">
      <c r="A557" s="23">
        <f>ROW()-3</f>
        <v>554</v>
      </c>
      <c r="B557" s="43" t="s">
        <v>2732</v>
      </c>
      <c r="C557" s="43" t="s">
        <v>3735</v>
      </c>
      <c r="D557" s="43" t="s">
        <v>3918</v>
      </c>
      <c r="E557" s="43" t="s">
        <v>3919</v>
      </c>
      <c r="F557" s="43" t="s">
        <v>3920</v>
      </c>
      <c r="G557" s="43" t="s">
        <v>34</v>
      </c>
      <c r="H557" s="43">
        <v>1</v>
      </c>
      <c r="I557" s="43">
        <v>0.5</v>
      </c>
      <c r="J557" s="53">
        <v>44375</v>
      </c>
      <c r="K557" s="51" t="s">
        <v>20</v>
      </c>
      <c r="L557" s="62">
        <v>4.99</v>
      </c>
    </row>
    <row r="558" spans="1:12" ht="35" customHeight="1">
      <c r="A558" s="23">
        <f>ROW()-3</f>
        <v>555</v>
      </c>
      <c r="B558" s="43" t="s">
        <v>2732</v>
      </c>
      <c r="C558" s="43" t="s">
        <v>3735</v>
      </c>
      <c r="D558" s="43" t="s">
        <v>3921</v>
      </c>
      <c r="E558" s="43" t="s">
        <v>3922</v>
      </c>
      <c r="F558" s="43" t="s">
        <v>3038</v>
      </c>
      <c r="G558" s="43" t="s">
        <v>34</v>
      </c>
      <c r="H558" s="43">
        <v>1</v>
      </c>
      <c r="I558" s="43">
        <v>0.5</v>
      </c>
      <c r="J558" s="53">
        <v>44382</v>
      </c>
      <c r="K558" s="51" t="s">
        <v>20</v>
      </c>
      <c r="L558" s="62">
        <v>4.99</v>
      </c>
    </row>
    <row r="559" spans="1:12" ht="35" customHeight="1">
      <c r="A559" s="23">
        <f>ROW()-3</f>
        <v>556</v>
      </c>
      <c r="B559" s="43" t="s">
        <v>2640</v>
      </c>
      <c r="C559" s="43" t="s">
        <v>3923</v>
      </c>
      <c r="D559" s="43" t="s">
        <v>3924</v>
      </c>
      <c r="E559" s="43" t="s">
        <v>3925</v>
      </c>
      <c r="F559" s="43" t="s">
        <v>3926</v>
      </c>
      <c r="G559" s="43" t="s">
        <v>34</v>
      </c>
      <c r="H559" s="43">
        <v>1</v>
      </c>
      <c r="I559" s="43">
        <v>0.5</v>
      </c>
      <c r="J559" s="53">
        <v>44417</v>
      </c>
      <c r="K559" s="51" t="s">
        <v>20</v>
      </c>
      <c r="L559" s="62">
        <v>4.99</v>
      </c>
    </row>
    <row r="560" spans="1:12" ht="35" customHeight="1">
      <c r="A560" s="23">
        <f>ROW()-3</f>
        <v>557</v>
      </c>
      <c r="B560" s="43" t="s">
        <v>2640</v>
      </c>
      <c r="C560" s="43" t="s">
        <v>3923</v>
      </c>
      <c r="D560" s="43" t="s">
        <v>3927</v>
      </c>
      <c r="E560" s="43" t="s">
        <v>3928</v>
      </c>
      <c r="F560" s="43" t="s">
        <v>3929</v>
      </c>
      <c r="G560" s="43" t="s">
        <v>34</v>
      </c>
      <c r="H560" s="43">
        <v>1</v>
      </c>
      <c r="I560" s="43">
        <v>0.5</v>
      </c>
      <c r="J560" s="53">
        <v>44417</v>
      </c>
      <c r="K560" s="51" t="s">
        <v>20</v>
      </c>
      <c r="L560" s="62">
        <v>4.99</v>
      </c>
    </row>
    <row r="561" spans="1:291" ht="35" customHeight="1">
      <c r="A561" s="23">
        <f>ROW()-3</f>
        <v>558</v>
      </c>
      <c r="B561" s="43" t="s">
        <v>2640</v>
      </c>
      <c r="C561" s="43" t="s">
        <v>3923</v>
      </c>
      <c r="D561" s="43" t="s">
        <v>3930</v>
      </c>
      <c r="E561" s="43" t="s">
        <v>3931</v>
      </c>
      <c r="F561" s="43" t="s">
        <v>3932</v>
      </c>
      <c r="G561" s="43" t="s">
        <v>34</v>
      </c>
      <c r="H561" s="43">
        <v>1</v>
      </c>
      <c r="I561" s="43">
        <v>0.45</v>
      </c>
      <c r="J561" s="53">
        <v>44424</v>
      </c>
      <c r="K561" s="51" t="s">
        <v>20</v>
      </c>
      <c r="L561" s="62">
        <v>4.99</v>
      </c>
    </row>
    <row r="562" spans="1:291" ht="35" customHeight="1">
      <c r="A562" s="23">
        <f>ROW()-3</f>
        <v>559</v>
      </c>
      <c r="B562" s="43" t="s">
        <v>2640</v>
      </c>
      <c r="C562" s="43" t="s">
        <v>3923</v>
      </c>
      <c r="D562" s="43" t="s">
        <v>3933</v>
      </c>
      <c r="E562" s="43" t="s">
        <v>3934</v>
      </c>
      <c r="F562" s="43" t="s">
        <v>3734</v>
      </c>
      <c r="G562" s="43" t="s">
        <v>34</v>
      </c>
      <c r="H562" s="43">
        <v>1</v>
      </c>
      <c r="I562" s="43">
        <v>0.5</v>
      </c>
      <c r="J562" s="53">
        <v>44438</v>
      </c>
      <c r="K562" s="51" t="s">
        <v>20</v>
      </c>
      <c r="L562" s="62">
        <v>4.99</v>
      </c>
    </row>
    <row r="563" spans="1:291" ht="35" customHeight="1">
      <c r="A563" s="23">
        <f>ROW()-3</f>
        <v>560</v>
      </c>
      <c r="B563" s="43" t="s">
        <v>2640</v>
      </c>
      <c r="C563" s="43" t="s">
        <v>3923</v>
      </c>
      <c r="D563" s="43" t="s">
        <v>3935</v>
      </c>
      <c r="E563" s="43" t="s">
        <v>3936</v>
      </c>
      <c r="F563" s="43" t="s">
        <v>3937</v>
      </c>
      <c r="G563" s="43" t="s">
        <v>34</v>
      </c>
      <c r="H563" s="43">
        <v>1</v>
      </c>
      <c r="I563" s="43">
        <v>0.5</v>
      </c>
      <c r="J563" s="53">
        <v>44445</v>
      </c>
      <c r="K563" s="51" t="s">
        <v>20</v>
      </c>
      <c r="L563" s="62">
        <v>4.99</v>
      </c>
    </row>
    <row r="564" spans="1:291" ht="35" customHeight="1">
      <c r="A564" s="23">
        <f>ROW()-3</f>
        <v>561</v>
      </c>
      <c r="B564" s="43" t="s">
        <v>2640</v>
      </c>
      <c r="C564" s="43" t="s">
        <v>3923</v>
      </c>
      <c r="D564" s="43" t="s">
        <v>3938</v>
      </c>
      <c r="E564" s="43" t="s">
        <v>3939</v>
      </c>
      <c r="F564" s="43" t="s">
        <v>3940</v>
      </c>
      <c r="G564" s="43" t="s">
        <v>34</v>
      </c>
      <c r="H564" s="43">
        <v>1</v>
      </c>
      <c r="I564" s="43">
        <v>0.5</v>
      </c>
      <c r="J564" s="53">
        <v>44452</v>
      </c>
      <c r="K564" s="51" t="s">
        <v>20</v>
      </c>
      <c r="L564" s="62">
        <v>4.99</v>
      </c>
    </row>
    <row r="565" spans="1:291" ht="35" customHeight="1">
      <c r="A565" s="23">
        <f>ROW()-3</f>
        <v>562</v>
      </c>
      <c r="B565" s="43" t="s">
        <v>2640</v>
      </c>
      <c r="C565" s="43" t="s">
        <v>3923</v>
      </c>
      <c r="D565" s="43" t="s">
        <v>3941</v>
      </c>
      <c r="E565" s="43" t="s">
        <v>3942</v>
      </c>
      <c r="F565" s="43" t="s">
        <v>3575</v>
      </c>
      <c r="G565" s="43" t="s">
        <v>3253</v>
      </c>
      <c r="H565" s="43">
        <v>1</v>
      </c>
      <c r="I565" s="43">
        <v>0.5</v>
      </c>
      <c r="J565" s="53">
        <v>44480</v>
      </c>
      <c r="K565" s="51" t="s">
        <v>20</v>
      </c>
      <c r="L565" s="62">
        <v>4.99</v>
      </c>
    </row>
    <row r="566" spans="1:291" ht="35" customHeight="1">
      <c r="A566" s="23">
        <f>ROW()-3</f>
        <v>563</v>
      </c>
      <c r="B566" s="43" t="s">
        <v>2640</v>
      </c>
      <c r="C566" s="43" t="s">
        <v>3923</v>
      </c>
      <c r="D566" s="43" t="s">
        <v>3943</v>
      </c>
      <c r="E566" s="43" t="s">
        <v>3944</v>
      </c>
      <c r="F566" s="43" t="s">
        <v>3945</v>
      </c>
      <c r="G566" s="43" t="s">
        <v>3253</v>
      </c>
      <c r="H566" s="43">
        <v>1</v>
      </c>
      <c r="I566" s="43">
        <v>0.5</v>
      </c>
      <c r="J566" s="53">
        <v>44501</v>
      </c>
      <c r="K566" s="51" t="s">
        <v>20</v>
      </c>
      <c r="L566" s="62">
        <v>4.99</v>
      </c>
    </row>
    <row r="567" spans="1:291" ht="35" customHeight="1">
      <c r="A567" s="23">
        <f>ROW()-3</f>
        <v>564</v>
      </c>
      <c r="B567" s="43" t="s">
        <v>2640</v>
      </c>
      <c r="C567" s="43" t="s">
        <v>3923</v>
      </c>
      <c r="D567" s="43" t="s">
        <v>3946</v>
      </c>
      <c r="E567" s="43" t="s">
        <v>3947</v>
      </c>
      <c r="F567" s="43" t="s">
        <v>3078</v>
      </c>
      <c r="G567" s="43" t="s">
        <v>3253</v>
      </c>
      <c r="H567" s="43">
        <v>1</v>
      </c>
      <c r="I567" s="43">
        <v>0.5</v>
      </c>
      <c r="J567" s="53">
        <v>44522</v>
      </c>
      <c r="K567" s="51" t="s">
        <v>20</v>
      </c>
      <c r="L567" s="62">
        <v>4.99</v>
      </c>
    </row>
    <row r="568" spans="1:291" ht="35" customHeight="1">
      <c r="A568" s="23">
        <f>ROW()-3</f>
        <v>565</v>
      </c>
      <c r="B568" s="43" t="s">
        <v>2640</v>
      </c>
      <c r="C568" s="43" t="s">
        <v>3923</v>
      </c>
      <c r="D568" s="43" t="s">
        <v>3948</v>
      </c>
      <c r="E568" s="43" t="s">
        <v>3949</v>
      </c>
      <c r="F568" s="43" t="s">
        <v>3940</v>
      </c>
      <c r="G568" s="43" t="s">
        <v>3253</v>
      </c>
      <c r="H568" s="43">
        <v>1</v>
      </c>
      <c r="I568" s="43">
        <v>0.5</v>
      </c>
      <c r="J568" s="53">
        <v>44529</v>
      </c>
      <c r="K568" s="51" t="s">
        <v>20</v>
      </c>
      <c r="L568" s="62">
        <v>4.99</v>
      </c>
    </row>
    <row r="569" spans="1:291" ht="35" customHeight="1">
      <c r="A569" s="23">
        <f>ROW()-3</f>
        <v>566</v>
      </c>
      <c r="B569" s="182" t="s">
        <v>5325</v>
      </c>
      <c r="C569" s="182" t="s">
        <v>5329</v>
      </c>
      <c r="D569" s="187" t="s">
        <v>5322</v>
      </c>
      <c r="E569" s="187" t="s">
        <v>5330</v>
      </c>
      <c r="F569" s="187" t="s">
        <v>5328</v>
      </c>
      <c r="G569" s="42" t="s">
        <v>3253</v>
      </c>
      <c r="H569" s="182">
        <v>1</v>
      </c>
      <c r="I569" s="206">
        <v>0.5</v>
      </c>
      <c r="J569" s="209">
        <v>44599</v>
      </c>
      <c r="K569" s="46" t="s">
        <v>20</v>
      </c>
      <c r="L569" s="202">
        <v>4.99</v>
      </c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  <c r="AF569" s="134"/>
      <c r="AG569" s="134"/>
      <c r="AH569" s="134"/>
      <c r="AI569" s="134"/>
      <c r="AJ569" s="134"/>
      <c r="AK569" s="134"/>
      <c r="AL569" s="134"/>
      <c r="AM569" s="134"/>
      <c r="AN569" s="134"/>
      <c r="AO569" s="134"/>
      <c r="AP569" s="134"/>
      <c r="AQ569" s="134"/>
      <c r="AR569" s="134"/>
      <c r="AS569" s="134"/>
      <c r="AT569" s="134"/>
      <c r="AU569" s="134"/>
      <c r="AV569" s="134"/>
      <c r="AW569" s="134"/>
      <c r="AX569" s="134"/>
      <c r="AY569" s="134"/>
      <c r="AZ569" s="134"/>
      <c r="BA569" s="134"/>
      <c r="BB569" s="134"/>
      <c r="BC569" s="134"/>
      <c r="BD569" s="134"/>
      <c r="BE569" s="134"/>
      <c r="BF569" s="134"/>
      <c r="BG569" s="134"/>
      <c r="BH569" s="134"/>
      <c r="BI569" s="134"/>
      <c r="BJ569" s="134"/>
      <c r="BK569" s="134"/>
      <c r="BL569" s="134"/>
      <c r="BM569" s="134"/>
      <c r="BN569" s="134"/>
      <c r="BO569" s="134"/>
      <c r="BP569" s="134"/>
      <c r="BQ569" s="134"/>
      <c r="BR569" s="134"/>
      <c r="BS569" s="134"/>
      <c r="BT569" s="134"/>
      <c r="BU569" s="134"/>
      <c r="BV569" s="134"/>
      <c r="BW569" s="134"/>
      <c r="BX569" s="134"/>
      <c r="BY569" s="134"/>
      <c r="BZ569" s="134"/>
      <c r="CA569" s="134"/>
      <c r="CB569" s="134"/>
      <c r="CC569" s="134"/>
      <c r="CD569" s="134"/>
      <c r="CE569" s="134"/>
      <c r="CF569" s="134"/>
      <c r="CG569" s="134"/>
      <c r="CH569" s="134"/>
      <c r="CI569" s="134"/>
      <c r="CJ569" s="134"/>
      <c r="CK569" s="134"/>
      <c r="CL569" s="134"/>
      <c r="CM569" s="134"/>
      <c r="CN569" s="134"/>
      <c r="CO569" s="134"/>
      <c r="CP569" s="134"/>
      <c r="CQ569" s="134"/>
      <c r="CR569" s="134"/>
      <c r="CS569" s="134"/>
      <c r="CT569" s="134"/>
      <c r="CU569" s="134"/>
      <c r="CV569" s="134"/>
      <c r="CW569" s="134"/>
      <c r="CX569" s="134"/>
      <c r="CY569" s="134"/>
      <c r="CZ569" s="134"/>
      <c r="DA569" s="134"/>
      <c r="DB569" s="134"/>
      <c r="DC569" s="134"/>
      <c r="DD569" s="134"/>
      <c r="DE569" s="134"/>
      <c r="DF569" s="134"/>
      <c r="DG569" s="134"/>
      <c r="DH569" s="134"/>
      <c r="DI569" s="134"/>
      <c r="DJ569" s="134"/>
      <c r="DK569" s="134"/>
      <c r="DL569" s="134"/>
      <c r="DM569" s="134"/>
      <c r="DN569" s="134"/>
      <c r="DO569" s="134"/>
      <c r="DP569" s="134"/>
      <c r="DQ569" s="134"/>
      <c r="DR569" s="134"/>
      <c r="DS569" s="134"/>
      <c r="DT569" s="134"/>
      <c r="DU569" s="134"/>
      <c r="DV569" s="134"/>
      <c r="DW569" s="134"/>
      <c r="DX569" s="134"/>
      <c r="DY569" s="134"/>
      <c r="DZ569" s="134"/>
      <c r="EA569" s="134"/>
      <c r="EB569" s="134"/>
      <c r="EC569" s="134"/>
      <c r="ED569" s="134"/>
      <c r="EE569" s="134"/>
      <c r="EF569" s="134"/>
      <c r="EG569" s="134"/>
      <c r="EH569" s="134"/>
      <c r="EI569" s="134"/>
      <c r="EJ569" s="134"/>
      <c r="EK569" s="134"/>
      <c r="EL569" s="134"/>
      <c r="EM569" s="134"/>
      <c r="EN569" s="134"/>
      <c r="EO569" s="134"/>
      <c r="EP569" s="134"/>
      <c r="EQ569" s="134"/>
      <c r="ER569" s="134"/>
      <c r="ES569" s="134"/>
      <c r="ET569" s="134"/>
      <c r="EU569" s="134"/>
      <c r="EV569" s="134"/>
      <c r="EW569" s="134"/>
      <c r="EX569" s="134"/>
      <c r="EY569" s="134"/>
      <c r="EZ569" s="134"/>
      <c r="FA569" s="134"/>
      <c r="FB569" s="134"/>
      <c r="FC569" s="134"/>
      <c r="FD569" s="134"/>
      <c r="FE569" s="134"/>
      <c r="FF569" s="134"/>
      <c r="FG569" s="134"/>
      <c r="FH569" s="134"/>
      <c r="FI569" s="134"/>
      <c r="FJ569" s="134"/>
      <c r="FK569" s="134"/>
      <c r="FL569" s="134"/>
      <c r="FM569" s="134"/>
      <c r="FN569" s="134"/>
      <c r="FO569" s="134"/>
      <c r="FP569" s="134"/>
      <c r="FQ569" s="134"/>
      <c r="FR569" s="134"/>
      <c r="FS569" s="134"/>
      <c r="FT569" s="134"/>
      <c r="FU569" s="134"/>
      <c r="FV569" s="134"/>
      <c r="FW569" s="134"/>
      <c r="FX569" s="134"/>
      <c r="FY569" s="134"/>
      <c r="FZ569" s="134"/>
      <c r="GA569" s="134"/>
      <c r="GB569" s="134"/>
      <c r="GC569" s="134"/>
      <c r="GD569" s="134"/>
      <c r="GE569" s="134"/>
      <c r="GF569" s="134"/>
      <c r="GG569" s="134"/>
      <c r="GH569" s="134"/>
      <c r="GI569" s="134"/>
      <c r="GJ569" s="134"/>
      <c r="GK569" s="134"/>
      <c r="GL569" s="134"/>
      <c r="GM569" s="134"/>
      <c r="GN569" s="134"/>
      <c r="GO569" s="134"/>
      <c r="GP569" s="134"/>
      <c r="GQ569" s="134"/>
      <c r="GR569" s="134"/>
      <c r="GS569" s="134"/>
      <c r="GT569" s="134"/>
      <c r="GU569" s="134"/>
      <c r="GV569" s="134"/>
      <c r="GW569" s="134"/>
      <c r="GX569" s="134"/>
      <c r="GY569" s="134"/>
      <c r="GZ569" s="134"/>
      <c r="HA569" s="134"/>
      <c r="HB569" s="134"/>
      <c r="HC569" s="134"/>
      <c r="HD569" s="134"/>
      <c r="HE569" s="134"/>
      <c r="HF569" s="134"/>
      <c r="HG569" s="134"/>
      <c r="HH569" s="134"/>
      <c r="HI569" s="134"/>
      <c r="HJ569" s="134"/>
      <c r="HK569" s="134"/>
      <c r="HL569" s="134"/>
      <c r="HM569" s="134"/>
      <c r="HN569" s="134"/>
      <c r="HO569" s="134"/>
      <c r="HP569" s="134"/>
      <c r="HQ569" s="134"/>
      <c r="HR569" s="134"/>
      <c r="HS569" s="134"/>
      <c r="HT569" s="134"/>
      <c r="HU569" s="134"/>
      <c r="HV569" s="134"/>
      <c r="HW569" s="134"/>
      <c r="HX569" s="134"/>
      <c r="HY569" s="134"/>
      <c r="HZ569" s="134"/>
      <c r="IA569" s="134"/>
      <c r="IB569" s="134"/>
      <c r="IC569" s="134"/>
      <c r="ID569" s="134"/>
      <c r="IE569" s="134"/>
      <c r="IF569" s="134"/>
      <c r="IG569" s="134"/>
      <c r="IH569" s="134"/>
      <c r="II569" s="134"/>
      <c r="IJ569" s="134"/>
      <c r="IK569" s="134"/>
      <c r="IL569" s="134"/>
      <c r="IM569" s="134"/>
      <c r="IN569" s="134"/>
      <c r="IO569" s="134"/>
      <c r="IP569" s="134"/>
      <c r="IQ569" s="134"/>
      <c r="IR569" s="134"/>
      <c r="IS569" s="134"/>
      <c r="IT569" s="134"/>
      <c r="IU569" s="134"/>
      <c r="IV569" s="134"/>
      <c r="IW569" s="134"/>
      <c r="IX569" s="134"/>
      <c r="IY569" s="134"/>
      <c r="IZ569" s="134"/>
      <c r="JA569" s="134"/>
      <c r="JB569" s="134"/>
      <c r="JC569" s="134"/>
      <c r="JD569" s="134"/>
      <c r="JE569" s="134"/>
      <c r="JF569" s="134"/>
      <c r="JG569" s="134"/>
      <c r="JH569" s="134"/>
      <c r="JI569" s="134"/>
      <c r="JJ569" s="134"/>
      <c r="JK569" s="134"/>
      <c r="JL569" s="134"/>
      <c r="JM569" s="134"/>
      <c r="JN569" s="134"/>
      <c r="JO569" s="134"/>
      <c r="JP569" s="134"/>
      <c r="JQ569" s="134"/>
      <c r="JR569" s="134"/>
      <c r="JS569" s="134"/>
      <c r="JT569" s="134"/>
      <c r="JU569" s="134"/>
      <c r="JV569" s="134"/>
      <c r="JW569" s="134"/>
      <c r="JX569" s="134"/>
      <c r="JY569" s="134"/>
      <c r="JZ569" s="134"/>
      <c r="KA569" s="134"/>
      <c r="KB569" s="134"/>
      <c r="KC569" s="134"/>
      <c r="KD569" s="134"/>
      <c r="KE569" s="134"/>
    </row>
    <row r="570" spans="1:291" ht="35" customHeight="1">
      <c r="A570" s="23">
        <f>ROW()-3</f>
        <v>567</v>
      </c>
      <c r="B570" s="182" t="s">
        <v>5471</v>
      </c>
      <c r="C570" s="182" t="s">
        <v>5472</v>
      </c>
      <c r="D570" s="187" t="s">
        <v>5473</v>
      </c>
      <c r="E570" s="187" t="s">
        <v>5474</v>
      </c>
      <c r="F570" s="187" t="s">
        <v>5475</v>
      </c>
      <c r="G570" s="42" t="s">
        <v>3253</v>
      </c>
      <c r="H570" s="182">
        <v>1</v>
      </c>
      <c r="I570" s="206">
        <v>4.8</v>
      </c>
      <c r="J570" s="45">
        <v>44613</v>
      </c>
      <c r="K570" s="46" t="s">
        <v>20</v>
      </c>
      <c r="L570" s="202">
        <v>4.99</v>
      </c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  <c r="AF570" s="134"/>
      <c r="AG570" s="134"/>
      <c r="AH570" s="134"/>
      <c r="AI570" s="134"/>
      <c r="AJ570" s="134"/>
      <c r="AK570" s="134"/>
      <c r="AL570" s="134"/>
      <c r="AM570" s="134"/>
      <c r="AN570" s="134"/>
      <c r="AO570" s="134"/>
      <c r="AP570" s="134"/>
      <c r="AQ570" s="134"/>
      <c r="AR570" s="134"/>
      <c r="AS570" s="134"/>
      <c r="AT570" s="134"/>
      <c r="AU570" s="134"/>
      <c r="AV570" s="134"/>
      <c r="AW570" s="134"/>
      <c r="AX570" s="134"/>
      <c r="AY570" s="134"/>
      <c r="AZ570" s="134"/>
      <c r="BA570" s="134"/>
      <c r="BB570" s="134"/>
      <c r="BC570" s="134"/>
      <c r="BD570" s="134"/>
      <c r="BE570" s="134"/>
      <c r="BF570" s="134"/>
      <c r="BG570" s="134"/>
      <c r="BH570" s="134"/>
      <c r="BI570" s="134"/>
      <c r="BJ570" s="134"/>
      <c r="BK570" s="134"/>
      <c r="BL570" s="134"/>
      <c r="BM570" s="134"/>
      <c r="BN570" s="134"/>
      <c r="BO570" s="134"/>
      <c r="BP570" s="134"/>
      <c r="BQ570" s="134"/>
      <c r="BR570" s="134"/>
      <c r="BS570" s="134"/>
      <c r="BT570" s="134"/>
      <c r="BU570" s="134"/>
      <c r="BV570" s="134"/>
      <c r="BW570" s="134"/>
      <c r="BX570" s="134"/>
      <c r="BY570" s="134"/>
      <c r="BZ570" s="134"/>
      <c r="CA570" s="134"/>
      <c r="CB570" s="134"/>
      <c r="CC570" s="134"/>
      <c r="CD570" s="134"/>
      <c r="CE570" s="134"/>
      <c r="CF570" s="134"/>
      <c r="CG570" s="134"/>
      <c r="CH570" s="134"/>
      <c r="CI570" s="134"/>
      <c r="CJ570" s="134"/>
      <c r="CK570" s="134"/>
      <c r="CL570" s="134"/>
      <c r="CM570" s="134"/>
      <c r="CN570" s="134"/>
      <c r="CO570" s="134"/>
      <c r="CP570" s="134"/>
      <c r="CQ570" s="134"/>
      <c r="CR570" s="134"/>
      <c r="CS570" s="134"/>
      <c r="CT570" s="134"/>
      <c r="CU570" s="134"/>
      <c r="CV570" s="134"/>
      <c r="CW570" s="134"/>
      <c r="CX570" s="134"/>
      <c r="CY570" s="134"/>
      <c r="CZ570" s="134"/>
      <c r="DA570" s="134"/>
      <c r="DB570" s="134"/>
      <c r="DC570" s="134"/>
      <c r="DD570" s="134"/>
      <c r="DE570" s="134"/>
      <c r="DF570" s="134"/>
      <c r="DG570" s="134"/>
      <c r="DH570" s="134"/>
      <c r="DI570" s="134"/>
      <c r="DJ570" s="134"/>
      <c r="DK570" s="134"/>
      <c r="DL570" s="134"/>
      <c r="DM570" s="134"/>
      <c r="DN570" s="134"/>
      <c r="DO570" s="134"/>
      <c r="DP570" s="134"/>
      <c r="DQ570" s="134"/>
      <c r="DR570" s="134"/>
      <c r="DS570" s="134"/>
      <c r="DT570" s="134"/>
      <c r="DU570" s="134"/>
      <c r="DV570" s="134"/>
      <c r="DW570" s="134"/>
      <c r="DX570" s="134"/>
      <c r="DY570" s="134"/>
      <c r="DZ570" s="134"/>
      <c r="EA570" s="134"/>
      <c r="EB570" s="134"/>
      <c r="EC570" s="134"/>
      <c r="ED570" s="134"/>
      <c r="EE570" s="134"/>
      <c r="EF570" s="134"/>
      <c r="EG570" s="134"/>
      <c r="EH570" s="134"/>
      <c r="EI570" s="134"/>
      <c r="EJ570" s="134"/>
      <c r="EK570" s="134"/>
      <c r="EL570" s="134"/>
      <c r="EM570" s="134"/>
      <c r="EN570" s="134"/>
      <c r="EO570" s="134"/>
      <c r="EP570" s="134"/>
      <c r="EQ570" s="134"/>
      <c r="ER570" s="134"/>
      <c r="ES570" s="134"/>
      <c r="ET570" s="134"/>
      <c r="EU570" s="134"/>
      <c r="EV570" s="134"/>
      <c r="EW570" s="134"/>
      <c r="EX570" s="134"/>
      <c r="EY570" s="134"/>
      <c r="EZ570" s="134"/>
      <c r="FA570" s="134"/>
      <c r="FB570" s="134"/>
      <c r="FC570" s="134"/>
      <c r="FD570" s="134"/>
      <c r="FE570" s="134"/>
      <c r="FF570" s="134"/>
      <c r="FG570" s="134"/>
      <c r="FH570" s="134"/>
      <c r="FI570" s="134"/>
      <c r="FJ570" s="134"/>
      <c r="FK570" s="134"/>
      <c r="FL570" s="134"/>
      <c r="FM570" s="134"/>
      <c r="FN570" s="134"/>
      <c r="FO570" s="134"/>
      <c r="FP570" s="134"/>
      <c r="FQ570" s="134"/>
      <c r="FR570" s="134"/>
      <c r="FS570" s="134"/>
      <c r="FT570" s="134"/>
      <c r="FU570" s="134"/>
      <c r="FV570" s="134"/>
      <c r="FW570" s="134"/>
      <c r="FX570" s="134"/>
      <c r="FY570" s="134"/>
      <c r="FZ570" s="134"/>
      <c r="GA570" s="134"/>
      <c r="GB570" s="134"/>
      <c r="GC570" s="134"/>
      <c r="GD570" s="134"/>
      <c r="GE570" s="134"/>
      <c r="GF570" s="134"/>
      <c r="GG570" s="134"/>
      <c r="GH570" s="134"/>
      <c r="GI570" s="134"/>
      <c r="GJ570" s="134"/>
      <c r="GK570" s="134"/>
      <c r="GL570" s="134"/>
      <c r="GM570" s="134"/>
      <c r="GN570" s="134"/>
      <c r="GO570" s="134"/>
      <c r="GP570" s="134"/>
      <c r="GQ570" s="134"/>
      <c r="GR570" s="134"/>
      <c r="GS570" s="134"/>
      <c r="GT570" s="134"/>
      <c r="GU570" s="134"/>
      <c r="GV570" s="134"/>
      <c r="GW570" s="134"/>
      <c r="GX570" s="134"/>
      <c r="GY570" s="134"/>
      <c r="GZ570" s="134"/>
      <c r="HA570" s="134"/>
      <c r="HB570" s="134"/>
      <c r="HC570" s="134"/>
      <c r="HD570" s="134"/>
      <c r="HE570" s="134"/>
      <c r="HF570" s="134"/>
      <c r="HG570" s="134"/>
      <c r="HH570" s="134"/>
      <c r="HI570" s="134"/>
      <c r="HJ570" s="134"/>
      <c r="HK570" s="134"/>
      <c r="HL570" s="134"/>
      <c r="HM570" s="134"/>
      <c r="HN570" s="134"/>
      <c r="HO570" s="134"/>
      <c r="HP570" s="134"/>
      <c r="HQ570" s="134"/>
      <c r="HR570" s="134"/>
      <c r="HS570" s="134"/>
      <c r="HT570" s="134"/>
      <c r="HU570" s="134"/>
      <c r="HV570" s="134"/>
      <c r="HW570" s="134"/>
      <c r="HX570" s="134"/>
      <c r="HY570" s="134"/>
      <c r="HZ570" s="134"/>
      <c r="IA570" s="134"/>
      <c r="IB570" s="134"/>
      <c r="IC570" s="134"/>
      <c r="ID570" s="134"/>
      <c r="IE570" s="134"/>
      <c r="IF570" s="134"/>
      <c r="IG570" s="134"/>
      <c r="IH570" s="134"/>
      <c r="II570" s="134"/>
      <c r="IJ570" s="134"/>
      <c r="IK570" s="134"/>
      <c r="IL570" s="134"/>
      <c r="IM570" s="134"/>
      <c r="IN570" s="134"/>
      <c r="IO570" s="134"/>
      <c r="IP570" s="134"/>
      <c r="IQ570" s="134"/>
      <c r="IR570" s="134"/>
      <c r="IS570" s="134"/>
      <c r="IT570" s="134"/>
      <c r="IU570" s="134"/>
      <c r="IV570" s="134"/>
      <c r="IW570" s="134"/>
      <c r="IX570" s="134"/>
      <c r="IY570" s="134"/>
      <c r="IZ570" s="134"/>
      <c r="JA570" s="134"/>
      <c r="JB570" s="134"/>
      <c r="JC570" s="134"/>
      <c r="JD570" s="134"/>
      <c r="JE570" s="134"/>
      <c r="JF570" s="134"/>
      <c r="JG570" s="134"/>
      <c r="JH570" s="134"/>
      <c r="JI570" s="134"/>
      <c r="JJ570" s="134"/>
      <c r="JK570" s="134"/>
      <c r="JL570" s="134"/>
      <c r="JM570" s="134"/>
      <c r="JN570" s="134"/>
      <c r="JO570" s="134"/>
      <c r="JP570" s="134"/>
      <c r="JQ570" s="134"/>
      <c r="JR570" s="134"/>
      <c r="JS570" s="134"/>
      <c r="JT570" s="134"/>
      <c r="JU570" s="134"/>
      <c r="JV570" s="134"/>
      <c r="JW570" s="134"/>
      <c r="JX570" s="134"/>
      <c r="JY570" s="134"/>
      <c r="JZ570" s="134"/>
      <c r="KA570" s="134"/>
      <c r="KB570" s="134"/>
      <c r="KC570" s="134"/>
      <c r="KD570" s="134"/>
      <c r="KE570" s="134"/>
    </row>
    <row r="571" spans="1:291" ht="35" customHeight="1">
      <c r="A571" s="23">
        <f>ROW()-3</f>
        <v>568</v>
      </c>
      <c r="B571" s="42" t="s">
        <v>5659</v>
      </c>
      <c r="C571" s="42" t="s">
        <v>5656</v>
      </c>
      <c r="D571" s="43" t="s">
        <v>5660</v>
      </c>
      <c r="E571" s="43" t="s">
        <v>5665</v>
      </c>
      <c r="F571" s="43" t="s">
        <v>5664</v>
      </c>
      <c r="G571" s="42" t="s">
        <v>5653</v>
      </c>
      <c r="H571" s="42">
        <v>1</v>
      </c>
      <c r="I571" s="44">
        <v>0.49</v>
      </c>
      <c r="J571" s="45">
        <v>44627</v>
      </c>
      <c r="K571" s="46" t="s">
        <v>5157</v>
      </c>
      <c r="L571" s="47">
        <v>4.99</v>
      </c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  <c r="CA571" s="32"/>
      <c r="CB571" s="32"/>
      <c r="CC571" s="32"/>
      <c r="CD571" s="32"/>
      <c r="CE571" s="32"/>
      <c r="CF571" s="32"/>
      <c r="CG571" s="32"/>
      <c r="CH571" s="32"/>
      <c r="CI571" s="32"/>
      <c r="CJ571" s="32"/>
      <c r="CK571" s="32"/>
      <c r="CL571" s="32"/>
      <c r="CM571" s="32"/>
      <c r="CN571" s="32"/>
      <c r="CO571" s="32"/>
      <c r="CP571" s="32"/>
      <c r="CQ571" s="32"/>
      <c r="CR571" s="32"/>
      <c r="CS571" s="32"/>
      <c r="CT571" s="32"/>
      <c r="CU571" s="32"/>
      <c r="CV571" s="32"/>
      <c r="CW571" s="32"/>
      <c r="CX571" s="32"/>
      <c r="CY571" s="32"/>
      <c r="CZ571" s="32"/>
      <c r="DA571" s="32"/>
      <c r="DB571" s="32"/>
      <c r="DC571" s="32"/>
      <c r="DD571" s="32"/>
      <c r="DE571" s="32"/>
      <c r="DF571" s="32"/>
      <c r="DG571" s="32"/>
      <c r="DH571" s="32"/>
      <c r="DI571" s="32"/>
      <c r="DJ571" s="32"/>
      <c r="DK571" s="32"/>
      <c r="DL571" s="32"/>
      <c r="DM571" s="32"/>
      <c r="DN571" s="32"/>
      <c r="DO571" s="32"/>
      <c r="DP571" s="32"/>
      <c r="DQ571" s="32"/>
      <c r="DR571" s="32"/>
      <c r="DS571" s="32"/>
      <c r="DT571" s="32"/>
      <c r="DU571" s="32"/>
      <c r="DV571" s="32"/>
      <c r="DW571" s="32"/>
      <c r="DX571" s="32"/>
      <c r="DY571" s="32"/>
      <c r="DZ571" s="32"/>
      <c r="EA571" s="32"/>
      <c r="EB571" s="32"/>
      <c r="EC571" s="32"/>
      <c r="ED571" s="32"/>
      <c r="EE571" s="32"/>
      <c r="EF571" s="32"/>
      <c r="EG571" s="32"/>
      <c r="EH571" s="32"/>
      <c r="EI571" s="32"/>
      <c r="EJ571" s="32"/>
      <c r="EK571" s="32"/>
      <c r="EL571" s="32"/>
      <c r="EM571" s="32"/>
      <c r="EN571" s="32"/>
      <c r="EO571" s="32"/>
      <c r="EP571" s="32"/>
      <c r="EQ571" s="32"/>
      <c r="ER571" s="32"/>
      <c r="ES571" s="32"/>
      <c r="ET571" s="32"/>
      <c r="EU571" s="32"/>
      <c r="EV571" s="32"/>
      <c r="EW571" s="32"/>
      <c r="EX571" s="32"/>
      <c r="EY571" s="32"/>
      <c r="EZ571" s="32"/>
      <c r="FA571" s="32"/>
      <c r="FB571" s="32"/>
      <c r="FC571" s="32"/>
      <c r="FD571" s="32"/>
      <c r="FE571" s="32"/>
      <c r="FF571" s="32"/>
      <c r="FG571" s="32"/>
      <c r="FH571" s="32"/>
      <c r="FI571" s="32"/>
      <c r="FJ571" s="32"/>
      <c r="FK571" s="32"/>
      <c r="FL571" s="32"/>
      <c r="FM571" s="32"/>
      <c r="FN571" s="32"/>
      <c r="FO571" s="32"/>
      <c r="FP571" s="32"/>
      <c r="FQ571" s="32"/>
      <c r="FR571" s="32"/>
      <c r="FS571" s="32"/>
      <c r="FT571" s="32"/>
      <c r="FU571" s="32"/>
      <c r="FV571" s="32"/>
      <c r="FW571" s="32"/>
      <c r="FX571" s="32"/>
      <c r="FY571" s="32"/>
      <c r="FZ571" s="32"/>
      <c r="GA571" s="32"/>
      <c r="GB571" s="32"/>
      <c r="GC571" s="32"/>
      <c r="GD571" s="32"/>
      <c r="GE571" s="32"/>
      <c r="GF571" s="32"/>
      <c r="GG571" s="32"/>
      <c r="GH571" s="32"/>
      <c r="GI571" s="32"/>
      <c r="GJ571" s="32"/>
      <c r="GK571" s="32"/>
      <c r="GL571" s="32"/>
      <c r="GM571" s="32"/>
      <c r="GN571" s="32"/>
      <c r="GO571" s="32"/>
      <c r="GP571" s="32"/>
      <c r="GQ571" s="32"/>
      <c r="GR571" s="32"/>
      <c r="GS571" s="32"/>
      <c r="GT571" s="32"/>
      <c r="GU571" s="32"/>
      <c r="GV571" s="32"/>
      <c r="GW571" s="32"/>
      <c r="GX571" s="32"/>
      <c r="GY571" s="32"/>
      <c r="GZ571" s="32"/>
      <c r="HA571" s="32"/>
      <c r="HB571" s="32"/>
      <c r="HC571" s="32"/>
      <c r="HD571" s="32"/>
      <c r="HE571" s="32"/>
      <c r="HF571" s="32"/>
      <c r="HG571" s="32"/>
      <c r="HH571" s="32"/>
      <c r="HI571" s="32"/>
      <c r="HJ571" s="32"/>
      <c r="HK571" s="32"/>
      <c r="HL571" s="32"/>
      <c r="HM571" s="32"/>
      <c r="HN571" s="32"/>
      <c r="HO571" s="32"/>
      <c r="HP571" s="32"/>
      <c r="HQ571" s="32"/>
      <c r="HR571" s="32"/>
      <c r="HS571" s="32"/>
      <c r="HT571" s="32"/>
      <c r="HU571" s="32"/>
      <c r="HV571" s="32"/>
      <c r="HW571" s="32"/>
      <c r="HX571" s="32"/>
      <c r="HY571" s="32"/>
      <c r="HZ571" s="32"/>
      <c r="IA571" s="32"/>
      <c r="IB571" s="32"/>
      <c r="IC571" s="32"/>
      <c r="ID571" s="32"/>
      <c r="IE571" s="32"/>
      <c r="IF571" s="32"/>
      <c r="IG571" s="32"/>
      <c r="IH571" s="32"/>
      <c r="II571" s="32"/>
      <c r="IJ571" s="32"/>
      <c r="IK571" s="32"/>
      <c r="IL571" s="32"/>
      <c r="IM571" s="32"/>
      <c r="IN571" s="32"/>
      <c r="IO571" s="32"/>
      <c r="IP571" s="32"/>
      <c r="IQ571" s="32"/>
      <c r="IR571" s="32"/>
      <c r="IS571" s="32"/>
      <c r="IT571" s="32"/>
      <c r="IU571" s="32"/>
      <c r="IV571" s="32"/>
      <c r="IW571" s="32"/>
      <c r="IX571" s="32"/>
      <c r="IY571" s="32"/>
      <c r="IZ571" s="32"/>
      <c r="JA571" s="32"/>
      <c r="JB571" s="32"/>
      <c r="JC571" s="32"/>
      <c r="JD571" s="32"/>
      <c r="JE571" s="32"/>
      <c r="JF571" s="32"/>
      <c r="JG571" s="32"/>
      <c r="JH571" s="32"/>
      <c r="JI571" s="32"/>
      <c r="JJ571" s="32"/>
      <c r="JK571" s="32"/>
      <c r="JL571" s="32"/>
      <c r="JM571" s="32"/>
      <c r="JN571" s="32"/>
      <c r="JO571" s="32"/>
      <c r="JP571" s="32"/>
      <c r="JQ571" s="32"/>
      <c r="JR571" s="32"/>
      <c r="JS571" s="32"/>
      <c r="JT571" s="32"/>
      <c r="JU571" s="32"/>
      <c r="JV571" s="32"/>
      <c r="JW571" s="32"/>
      <c r="JX571" s="32"/>
      <c r="JY571" s="32"/>
      <c r="JZ571" s="32"/>
      <c r="KA571" s="32"/>
      <c r="KB571" s="32"/>
      <c r="KC571" s="32"/>
      <c r="KD571" s="32"/>
      <c r="KE571" s="32"/>
    </row>
    <row r="572" spans="1:291" ht="35" customHeight="1">
      <c r="A572" s="305">
        <f>ROW()-3</f>
        <v>569</v>
      </c>
      <c r="B572" s="310" t="s">
        <v>5694</v>
      </c>
      <c r="C572" s="310" t="s">
        <v>5696</v>
      </c>
      <c r="D572" s="311" t="s">
        <v>5699</v>
      </c>
      <c r="E572" s="311" t="s">
        <v>5700</v>
      </c>
      <c r="F572" s="311" t="s">
        <v>5704</v>
      </c>
      <c r="G572" s="312" t="s">
        <v>3253</v>
      </c>
      <c r="H572" s="310">
        <v>1</v>
      </c>
      <c r="I572" s="313">
        <v>0.49</v>
      </c>
      <c r="J572" s="317">
        <v>44634</v>
      </c>
      <c r="K572" s="319" t="s">
        <v>5691</v>
      </c>
      <c r="L572" s="320">
        <v>4.99</v>
      </c>
    </row>
    <row r="573" spans="1:291" ht="35" customHeight="1">
      <c r="A573" s="23">
        <f>ROW()-3</f>
        <v>570</v>
      </c>
      <c r="B573" s="42" t="s">
        <v>2732</v>
      </c>
      <c r="C573" s="42" t="s">
        <v>3950</v>
      </c>
      <c r="D573" s="43" t="s">
        <v>3976</v>
      </c>
      <c r="E573" s="43" t="s">
        <v>3977</v>
      </c>
      <c r="F573" s="43" t="s">
        <v>3978</v>
      </c>
      <c r="G573" s="42" t="s">
        <v>34</v>
      </c>
      <c r="H573" s="42">
        <v>1</v>
      </c>
      <c r="I573" s="44">
        <v>0.40527777777777801</v>
      </c>
      <c r="J573" s="45">
        <v>43962</v>
      </c>
      <c r="K573" s="46" t="s">
        <v>20</v>
      </c>
      <c r="L573" s="47">
        <v>4.99</v>
      </c>
      <c r="M573" s="32"/>
    </row>
    <row r="574" spans="1:291" ht="35" customHeight="1">
      <c r="A574" s="23">
        <f>ROW()-3</f>
        <v>571</v>
      </c>
      <c r="B574" s="42" t="s">
        <v>2732</v>
      </c>
      <c r="C574" s="42" t="s">
        <v>3950</v>
      </c>
      <c r="D574" s="43" t="s">
        <v>4035</v>
      </c>
      <c r="E574" s="43" t="s">
        <v>3267</v>
      </c>
      <c r="F574" s="43" t="s">
        <v>2840</v>
      </c>
      <c r="G574" s="42" t="s">
        <v>34</v>
      </c>
      <c r="H574" s="42">
        <v>1</v>
      </c>
      <c r="I574" s="44">
        <v>0.460555555555556</v>
      </c>
      <c r="J574" s="45">
        <v>43962</v>
      </c>
      <c r="K574" s="46" t="s">
        <v>20</v>
      </c>
      <c r="L574" s="47">
        <v>4.99</v>
      </c>
      <c r="M574" s="32"/>
    </row>
    <row r="575" spans="1:291" ht="35" customHeight="1">
      <c r="A575" s="23">
        <f>ROW()-3</f>
        <v>572</v>
      </c>
      <c r="B575" s="42" t="s">
        <v>2732</v>
      </c>
      <c r="C575" s="42" t="s">
        <v>3950</v>
      </c>
      <c r="D575" s="43" t="s">
        <v>3979</v>
      </c>
      <c r="E575" s="43" t="s">
        <v>3980</v>
      </c>
      <c r="F575" s="43" t="s">
        <v>3140</v>
      </c>
      <c r="G575" s="42" t="s">
        <v>34</v>
      </c>
      <c r="H575" s="42">
        <v>1</v>
      </c>
      <c r="I575" s="44">
        <v>0.38583333333333297</v>
      </c>
      <c r="J575" s="45">
        <v>43978</v>
      </c>
      <c r="K575" s="46" t="s">
        <v>20</v>
      </c>
      <c r="L575" s="47">
        <v>4.99</v>
      </c>
      <c r="M575" s="32"/>
    </row>
    <row r="576" spans="1:291" ht="35" customHeight="1">
      <c r="A576" s="23">
        <f>ROW()-3</f>
        <v>573</v>
      </c>
      <c r="B576" s="42" t="s">
        <v>2732</v>
      </c>
      <c r="C576" s="42" t="s">
        <v>3950</v>
      </c>
      <c r="D576" s="43" t="s">
        <v>4030</v>
      </c>
      <c r="E576" s="43" t="s">
        <v>4031</v>
      </c>
      <c r="F576" s="43" t="s">
        <v>4032</v>
      </c>
      <c r="G576" s="42" t="s">
        <v>34</v>
      </c>
      <c r="H576" s="42">
        <v>1</v>
      </c>
      <c r="I576" s="44">
        <v>0.41944444444444401</v>
      </c>
      <c r="J576" s="45">
        <v>43978</v>
      </c>
      <c r="K576" s="46" t="s">
        <v>20</v>
      </c>
      <c r="L576" s="47">
        <v>4.99</v>
      </c>
      <c r="M576" s="32"/>
    </row>
    <row r="577" spans="1:13" ht="35" customHeight="1">
      <c r="A577" s="23">
        <f>ROW()-3</f>
        <v>574</v>
      </c>
      <c r="B577" s="42" t="s">
        <v>2732</v>
      </c>
      <c r="C577" s="42" t="s">
        <v>3950</v>
      </c>
      <c r="D577" s="43" t="s">
        <v>4033</v>
      </c>
      <c r="E577" s="43" t="s">
        <v>3272</v>
      </c>
      <c r="F577" s="43" t="s">
        <v>4034</v>
      </c>
      <c r="G577" s="42" t="s">
        <v>34</v>
      </c>
      <c r="H577" s="42">
        <v>1</v>
      </c>
      <c r="I577" s="44">
        <v>0.37222222222222201</v>
      </c>
      <c r="J577" s="45">
        <v>43978</v>
      </c>
      <c r="K577" s="46" t="s">
        <v>20</v>
      </c>
      <c r="L577" s="47">
        <v>4.99</v>
      </c>
      <c r="M577" s="32"/>
    </row>
    <row r="578" spans="1:13" ht="35" customHeight="1">
      <c r="A578" s="23">
        <f>ROW()-3</f>
        <v>575</v>
      </c>
      <c r="B578" s="42" t="s">
        <v>2732</v>
      </c>
      <c r="C578" s="42" t="s">
        <v>3950</v>
      </c>
      <c r="D578" s="43" t="s">
        <v>3981</v>
      </c>
      <c r="E578" s="43" t="s">
        <v>3982</v>
      </c>
      <c r="F578" s="43" t="s">
        <v>3975</v>
      </c>
      <c r="G578" s="42" t="s">
        <v>34</v>
      </c>
      <c r="H578" s="42">
        <v>1</v>
      </c>
      <c r="I578" s="44">
        <v>0.38</v>
      </c>
      <c r="J578" s="45">
        <v>44004</v>
      </c>
      <c r="K578" s="46" t="s">
        <v>20</v>
      </c>
      <c r="L578" s="47">
        <v>4.99</v>
      </c>
      <c r="M578" s="32"/>
    </row>
    <row r="579" spans="1:13" ht="35" customHeight="1">
      <c r="A579" s="23">
        <f>ROW()-3</f>
        <v>576</v>
      </c>
      <c r="B579" s="42" t="s">
        <v>2732</v>
      </c>
      <c r="C579" s="42" t="s">
        <v>3950</v>
      </c>
      <c r="D579" s="43" t="s">
        <v>4024</v>
      </c>
      <c r="E579" s="43" t="s">
        <v>4025</v>
      </c>
      <c r="F579" s="43" t="s">
        <v>2742</v>
      </c>
      <c r="G579" s="42" t="s">
        <v>34</v>
      </c>
      <c r="H579" s="42">
        <v>1</v>
      </c>
      <c r="I579" s="44">
        <v>0.47</v>
      </c>
      <c r="J579" s="45">
        <v>44004</v>
      </c>
      <c r="K579" s="46" t="s">
        <v>20</v>
      </c>
      <c r="L579" s="47">
        <v>4.99</v>
      </c>
    </row>
    <row r="580" spans="1:13" ht="35" customHeight="1">
      <c r="A580" s="23">
        <f>ROW()-3</f>
        <v>577</v>
      </c>
      <c r="B580" s="42" t="s">
        <v>2732</v>
      </c>
      <c r="C580" s="42" t="s">
        <v>3950</v>
      </c>
      <c r="D580" s="43" t="s">
        <v>4026</v>
      </c>
      <c r="E580" s="43" t="s">
        <v>4027</v>
      </c>
      <c r="F580" s="43" t="s">
        <v>3140</v>
      </c>
      <c r="G580" s="42" t="s">
        <v>34</v>
      </c>
      <c r="H580" s="42">
        <v>1</v>
      </c>
      <c r="I580" s="44">
        <v>0.5</v>
      </c>
      <c r="J580" s="45">
        <v>44004</v>
      </c>
      <c r="K580" s="46" t="s">
        <v>20</v>
      </c>
      <c r="L580" s="47">
        <v>4.99</v>
      </c>
      <c r="M580" s="32"/>
    </row>
    <row r="581" spans="1:13" ht="35" customHeight="1">
      <c r="A581" s="23">
        <f>ROW()-3</f>
        <v>578</v>
      </c>
      <c r="B581" s="42" t="s">
        <v>2732</v>
      </c>
      <c r="C581" s="42" t="s">
        <v>3950</v>
      </c>
      <c r="D581" s="43" t="s">
        <v>4028</v>
      </c>
      <c r="E581" s="43" t="s">
        <v>4029</v>
      </c>
      <c r="F581" s="43" t="s">
        <v>2932</v>
      </c>
      <c r="G581" s="42" t="s">
        <v>34</v>
      </c>
      <c r="H581" s="42">
        <v>1</v>
      </c>
      <c r="I581" s="44">
        <v>0.35</v>
      </c>
      <c r="J581" s="45">
        <v>44004</v>
      </c>
      <c r="K581" s="46" t="s">
        <v>20</v>
      </c>
      <c r="L581" s="47">
        <v>4.99</v>
      </c>
      <c r="M581" s="32"/>
    </row>
    <row r="582" spans="1:13" ht="35" customHeight="1">
      <c r="A582" s="23">
        <f>ROW()-3</f>
        <v>579</v>
      </c>
      <c r="B582" s="42" t="s">
        <v>2732</v>
      </c>
      <c r="C582" s="42" t="s">
        <v>3950</v>
      </c>
      <c r="D582" s="43" t="s">
        <v>4053</v>
      </c>
      <c r="E582" s="43" t="s">
        <v>4054</v>
      </c>
      <c r="F582" s="43" t="s">
        <v>1259</v>
      </c>
      <c r="G582" s="42" t="s">
        <v>34</v>
      </c>
      <c r="H582" s="42">
        <v>1</v>
      </c>
      <c r="I582" s="44">
        <v>0.3</v>
      </c>
      <c r="J582" s="45">
        <v>44004</v>
      </c>
      <c r="K582" s="46" t="s">
        <v>20</v>
      </c>
      <c r="L582" s="47">
        <v>4.99</v>
      </c>
      <c r="M582" s="32"/>
    </row>
    <row r="583" spans="1:13" ht="35" customHeight="1">
      <c r="A583" s="23">
        <f>ROW()-3</f>
        <v>580</v>
      </c>
      <c r="B583" s="42" t="s">
        <v>2732</v>
      </c>
      <c r="C583" s="42" t="s">
        <v>3950</v>
      </c>
      <c r="D583" s="43" t="s">
        <v>4036</v>
      </c>
      <c r="E583" s="43" t="s">
        <v>4037</v>
      </c>
      <c r="F583" s="43" t="s">
        <v>4014</v>
      </c>
      <c r="G583" s="42" t="s">
        <v>34</v>
      </c>
      <c r="H583" s="42">
        <v>1</v>
      </c>
      <c r="I583" s="44">
        <v>0.4</v>
      </c>
      <c r="J583" s="45">
        <v>44011</v>
      </c>
      <c r="K583" s="46" t="s">
        <v>20</v>
      </c>
      <c r="L583" s="47">
        <v>4.99</v>
      </c>
      <c r="M583" s="32"/>
    </row>
    <row r="584" spans="1:13" ht="35" customHeight="1">
      <c r="A584" s="23">
        <f>ROW()-3</f>
        <v>581</v>
      </c>
      <c r="B584" s="42" t="s">
        <v>2732</v>
      </c>
      <c r="C584" s="42" t="s">
        <v>3950</v>
      </c>
      <c r="D584" s="43" t="s">
        <v>4038</v>
      </c>
      <c r="E584" s="43" t="s">
        <v>4039</v>
      </c>
      <c r="F584" s="43" t="s">
        <v>2739</v>
      </c>
      <c r="G584" s="42" t="s">
        <v>34</v>
      </c>
      <c r="H584" s="42">
        <v>1</v>
      </c>
      <c r="I584" s="44">
        <v>0.51</v>
      </c>
      <c r="J584" s="45">
        <v>44011</v>
      </c>
      <c r="K584" s="46" t="s">
        <v>20</v>
      </c>
      <c r="L584" s="47">
        <v>4.99</v>
      </c>
      <c r="M584" s="32"/>
    </row>
    <row r="585" spans="1:13" ht="35" customHeight="1">
      <c r="A585" s="23">
        <f>ROW()-3</f>
        <v>582</v>
      </c>
      <c r="B585" s="42" t="s">
        <v>2732</v>
      </c>
      <c r="C585" s="42" t="s">
        <v>3950</v>
      </c>
      <c r="D585" s="43" t="s">
        <v>4040</v>
      </c>
      <c r="E585" s="43" t="s">
        <v>4041</v>
      </c>
      <c r="F585" s="43" t="s">
        <v>2899</v>
      </c>
      <c r="G585" s="42" t="s">
        <v>34</v>
      </c>
      <c r="H585" s="42">
        <v>1</v>
      </c>
      <c r="I585" s="44">
        <v>0.32</v>
      </c>
      <c r="J585" s="45">
        <v>44011</v>
      </c>
      <c r="K585" s="46" t="s">
        <v>20</v>
      </c>
      <c r="L585" s="47">
        <v>4.99</v>
      </c>
      <c r="M585" s="32"/>
    </row>
    <row r="586" spans="1:13" ht="35" customHeight="1">
      <c r="A586" s="23">
        <f>ROW()-3</f>
        <v>583</v>
      </c>
      <c r="B586" s="42" t="s">
        <v>2732</v>
      </c>
      <c r="C586" s="42" t="s">
        <v>3950</v>
      </c>
      <c r="D586" s="43" t="s">
        <v>3983</v>
      </c>
      <c r="E586" s="43" t="s">
        <v>3984</v>
      </c>
      <c r="F586" s="43" t="s">
        <v>3566</v>
      </c>
      <c r="G586" s="42" t="s">
        <v>34</v>
      </c>
      <c r="H586" s="42">
        <v>1</v>
      </c>
      <c r="I586" s="44">
        <v>0.46</v>
      </c>
      <c r="J586" s="45">
        <v>44123</v>
      </c>
      <c r="K586" s="46" t="s">
        <v>20</v>
      </c>
      <c r="L586" s="47">
        <v>4.99</v>
      </c>
      <c r="M586" s="32"/>
    </row>
    <row r="587" spans="1:13" ht="35" customHeight="1">
      <c r="A587" s="23">
        <f>ROW()-3</f>
        <v>584</v>
      </c>
      <c r="B587" s="42" t="s">
        <v>2732</v>
      </c>
      <c r="C587" s="42" t="s">
        <v>3950</v>
      </c>
      <c r="D587" s="43" t="s">
        <v>3985</v>
      </c>
      <c r="E587" s="43" t="s">
        <v>3986</v>
      </c>
      <c r="F587" s="43" t="s">
        <v>3066</v>
      </c>
      <c r="G587" s="42" t="s">
        <v>34</v>
      </c>
      <c r="H587" s="42">
        <v>1</v>
      </c>
      <c r="I587" s="44">
        <v>0.38</v>
      </c>
      <c r="J587" s="45">
        <v>44123</v>
      </c>
      <c r="K587" s="46" t="s">
        <v>20</v>
      </c>
      <c r="L587" s="47">
        <v>4.99</v>
      </c>
      <c r="M587" s="32"/>
    </row>
    <row r="588" spans="1:13" ht="35" customHeight="1">
      <c r="A588" s="23">
        <f>ROW()-3</f>
        <v>585</v>
      </c>
      <c r="B588" s="42" t="s">
        <v>2732</v>
      </c>
      <c r="C588" s="42" t="s">
        <v>3950</v>
      </c>
      <c r="D588" s="43" t="s">
        <v>3987</v>
      </c>
      <c r="E588" s="43" t="s">
        <v>3988</v>
      </c>
      <c r="F588" s="43" t="s">
        <v>3407</v>
      </c>
      <c r="G588" s="42" t="s">
        <v>34</v>
      </c>
      <c r="H588" s="42">
        <v>1</v>
      </c>
      <c r="I588" s="44">
        <v>0.38</v>
      </c>
      <c r="J588" s="45">
        <v>44123</v>
      </c>
      <c r="K588" s="46" t="s">
        <v>20</v>
      </c>
      <c r="L588" s="47">
        <v>4.99</v>
      </c>
      <c r="M588" s="32"/>
    </row>
    <row r="589" spans="1:13" ht="35" customHeight="1">
      <c r="A589" s="23">
        <f>ROW()-3</f>
        <v>586</v>
      </c>
      <c r="B589" s="42" t="s">
        <v>2732</v>
      </c>
      <c r="C589" s="42" t="s">
        <v>3950</v>
      </c>
      <c r="D589" s="43" t="s">
        <v>3989</v>
      </c>
      <c r="E589" s="43" t="s">
        <v>3990</v>
      </c>
      <c r="F589" s="43" t="s">
        <v>2739</v>
      </c>
      <c r="G589" s="42" t="s">
        <v>34</v>
      </c>
      <c r="H589" s="42">
        <v>1</v>
      </c>
      <c r="I589" s="44">
        <v>0.38</v>
      </c>
      <c r="J589" s="45">
        <v>44123</v>
      </c>
      <c r="K589" s="46" t="s">
        <v>20</v>
      </c>
      <c r="L589" s="47">
        <v>4.99</v>
      </c>
      <c r="M589" s="32"/>
    </row>
    <row r="590" spans="1:13" ht="35" customHeight="1">
      <c r="A590" s="23">
        <f>ROW()-3</f>
        <v>587</v>
      </c>
      <c r="B590" s="42" t="s">
        <v>2732</v>
      </c>
      <c r="C590" s="42" t="s">
        <v>3950</v>
      </c>
      <c r="D590" s="43" t="s">
        <v>3991</v>
      </c>
      <c r="E590" s="43" t="s">
        <v>3992</v>
      </c>
      <c r="F590" s="43" t="s">
        <v>3589</v>
      </c>
      <c r="G590" s="42" t="s">
        <v>34</v>
      </c>
      <c r="H590" s="42">
        <v>1</v>
      </c>
      <c r="I590" s="44">
        <v>0.43</v>
      </c>
      <c r="J590" s="45">
        <v>44123</v>
      </c>
      <c r="K590" s="46" t="s">
        <v>20</v>
      </c>
      <c r="L590" s="47">
        <v>4.99</v>
      </c>
      <c r="M590" s="32"/>
    </row>
    <row r="591" spans="1:13" ht="35" customHeight="1">
      <c r="A591" s="23">
        <f>ROW()-3</f>
        <v>588</v>
      </c>
      <c r="B591" s="42" t="s">
        <v>2732</v>
      </c>
      <c r="C591" s="42" t="s">
        <v>3950</v>
      </c>
      <c r="D591" s="43" t="s">
        <v>4020</v>
      </c>
      <c r="E591" s="43" t="s">
        <v>4021</v>
      </c>
      <c r="F591" s="43" t="s">
        <v>3589</v>
      </c>
      <c r="G591" s="42" t="s">
        <v>34</v>
      </c>
      <c r="H591" s="42">
        <v>1</v>
      </c>
      <c r="I591" s="44">
        <v>0.43</v>
      </c>
      <c r="J591" s="45">
        <v>44123</v>
      </c>
      <c r="K591" s="46" t="s">
        <v>20</v>
      </c>
      <c r="L591" s="47">
        <v>4.99</v>
      </c>
      <c r="M591" s="32"/>
    </row>
    <row r="592" spans="1:13" ht="35" customHeight="1">
      <c r="A592" s="23">
        <f>ROW()-3</f>
        <v>589</v>
      </c>
      <c r="B592" s="42" t="s">
        <v>2732</v>
      </c>
      <c r="C592" s="42" t="s">
        <v>3950</v>
      </c>
      <c r="D592" s="43" t="s">
        <v>4022</v>
      </c>
      <c r="E592" s="43" t="s">
        <v>4023</v>
      </c>
      <c r="F592" s="43" t="s">
        <v>2840</v>
      </c>
      <c r="G592" s="42" t="s">
        <v>34</v>
      </c>
      <c r="H592" s="42">
        <v>1</v>
      </c>
      <c r="I592" s="44">
        <v>0.35</v>
      </c>
      <c r="J592" s="45">
        <v>44123</v>
      </c>
      <c r="K592" s="46" t="s">
        <v>20</v>
      </c>
      <c r="L592" s="47">
        <v>4.99</v>
      </c>
    </row>
    <row r="593" spans="1:13" ht="35" customHeight="1">
      <c r="A593" s="23">
        <f>ROW()-3</f>
        <v>590</v>
      </c>
      <c r="B593" s="42" t="s">
        <v>2732</v>
      </c>
      <c r="C593" s="42" t="s">
        <v>3950</v>
      </c>
      <c r="D593" s="43" t="s">
        <v>3993</v>
      </c>
      <c r="E593" s="43" t="s">
        <v>3994</v>
      </c>
      <c r="F593" s="43" t="s">
        <v>3589</v>
      </c>
      <c r="G593" s="42" t="s">
        <v>34</v>
      </c>
      <c r="H593" s="42">
        <v>1</v>
      </c>
      <c r="I593" s="44">
        <v>0.33</v>
      </c>
      <c r="J593" s="45">
        <v>44130</v>
      </c>
      <c r="K593" s="46" t="s">
        <v>20</v>
      </c>
      <c r="L593" s="47">
        <v>4.99</v>
      </c>
      <c r="M593" s="32"/>
    </row>
    <row r="594" spans="1:13" ht="35" customHeight="1">
      <c r="A594" s="23">
        <f>ROW()-3</f>
        <v>591</v>
      </c>
      <c r="B594" s="42" t="s">
        <v>2732</v>
      </c>
      <c r="C594" s="42" t="s">
        <v>3950</v>
      </c>
      <c r="D594" s="43" t="s">
        <v>3995</v>
      </c>
      <c r="E594" s="43" t="s">
        <v>3996</v>
      </c>
      <c r="F594" s="43" t="s">
        <v>2739</v>
      </c>
      <c r="G594" s="42" t="s">
        <v>34</v>
      </c>
      <c r="H594" s="42">
        <v>1</v>
      </c>
      <c r="I594" s="44">
        <v>0.43</v>
      </c>
      <c r="J594" s="45">
        <v>44130</v>
      </c>
      <c r="K594" s="46" t="s">
        <v>20</v>
      </c>
      <c r="L594" s="47">
        <v>4.99</v>
      </c>
      <c r="M594" s="32"/>
    </row>
    <row r="595" spans="1:13" ht="35" customHeight="1">
      <c r="A595" s="23">
        <f>ROW()-3</f>
        <v>592</v>
      </c>
      <c r="B595" s="42" t="s">
        <v>2732</v>
      </c>
      <c r="C595" s="42" t="s">
        <v>3950</v>
      </c>
      <c r="D595" s="43" t="s">
        <v>3997</v>
      </c>
      <c r="E595" s="43" t="s">
        <v>3998</v>
      </c>
      <c r="F595" s="43" t="s">
        <v>3999</v>
      </c>
      <c r="G595" s="42" t="s">
        <v>34</v>
      </c>
      <c r="H595" s="42">
        <v>1</v>
      </c>
      <c r="I595" s="44">
        <v>0.41</v>
      </c>
      <c r="J595" s="45">
        <v>44130</v>
      </c>
      <c r="K595" s="46" t="s">
        <v>20</v>
      </c>
      <c r="L595" s="47">
        <v>4.99</v>
      </c>
      <c r="M595" s="32"/>
    </row>
    <row r="596" spans="1:13" ht="35" customHeight="1">
      <c r="A596" s="23">
        <f>ROW()-3</f>
        <v>593</v>
      </c>
      <c r="B596" s="42" t="s">
        <v>2732</v>
      </c>
      <c r="C596" s="42" t="s">
        <v>3950</v>
      </c>
      <c r="D596" s="43" t="s">
        <v>4000</v>
      </c>
      <c r="E596" s="43" t="s">
        <v>4001</v>
      </c>
      <c r="F596" s="43" t="s">
        <v>2739</v>
      </c>
      <c r="G596" s="42" t="s">
        <v>34</v>
      </c>
      <c r="H596" s="42">
        <v>1</v>
      </c>
      <c r="I596" s="44">
        <v>0.21</v>
      </c>
      <c r="J596" s="45">
        <v>44130</v>
      </c>
      <c r="K596" s="46" t="s">
        <v>20</v>
      </c>
      <c r="L596" s="47">
        <v>4.99</v>
      </c>
      <c r="M596" s="32"/>
    </row>
    <row r="597" spans="1:13" ht="35" customHeight="1">
      <c r="A597" s="23">
        <f>ROW()-3</f>
        <v>594</v>
      </c>
      <c r="B597" s="42" t="s">
        <v>2732</v>
      </c>
      <c r="C597" s="42" t="s">
        <v>3950</v>
      </c>
      <c r="D597" s="43" t="s">
        <v>4002</v>
      </c>
      <c r="E597" s="43" t="s">
        <v>4001</v>
      </c>
      <c r="F597" s="43" t="s">
        <v>2739</v>
      </c>
      <c r="G597" s="42" t="s">
        <v>34</v>
      </c>
      <c r="H597" s="42">
        <v>1</v>
      </c>
      <c r="I597" s="44">
        <v>0.21</v>
      </c>
      <c r="J597" s="45">
        <v>44130</v>
      </c>
      <c r="K597" s="46" t="s">
        <v>20</v>
      </c>
      <c r="L597" s="47">
        <v>4.99</v>
      </c>
      <c r="M597" s="32"/>
    </row>
    <row r="598" spans="1:13" ht="35" customHeight="1">
      <c r="A598" s="23">
        <f>ROW()-3</f>
        <v>595</v>
      </c>
      <c r="B598" s="42" t="s">
        <v>2732</v>
      </c>
      <c r="C598" s="42" t="s">
        <v>3950</v>
      </c>
      <c r="D598" s="43" t="s">
        <v>4003</v>
      </c>
      <c r="E598" s="43" t="s">
        <v>4004</v>
      </c>
      <c r="F598" s="43" t="s">
        <v>3589</v>
      </c>
      <c r="G598" s="42" t="s">
        <v>34</v>
      </c>
      <c r="H598" s="42">
        <v>1</v>
      </c>
      <c r="I598" s="44">
        <v>0.42</v>
      </c>
      <c r="J598" s="45">
        <v>44130</v>
      </c>
      <c r="K598" s="46" t="s">
        <v>20</v>
      </c>
      <c r="L598" s="47">
        <v>4.99</v>
      </c>
      <c r="M598" s="32"/>
    </row>
    <row r="599" spans="1:13" ht="35" customHeight="1">
      <c r="A599" s="23">
        <f>ROW()-3</f>
        <v>596</v>
      </c>
      <c r="B599" s="42" t="s">
        <v>2732</v>
      </c>
      <c r="C599" s="42" t="s">
        <v>3950</v>
      </c>
      <c r="D599" s="43" t="s">
        <v>4005</v>
      </c>
      <c r="E599" s="43" t="s">
        <v>4006</v>
      </c>
      <c r="F599" s="43" t="s">
        <v>4007</v>
      </c>
      <c r="G599" s="42" t="s">
        <v>34</v>
      </c>
      <c r="H599" s="42">
        <v>1</v>
      </c>
      <c r="I599" s="44">
        <v>0.45</v>
      </c>
      <c r="J599" s="45">
        <v>44130</v>
      </c>
      <c r="K599" s="46" t="s">
        <v>20</v>
      </c>
      <c r="L599" s="47">
        <v>4.99</v>
      </c>
      <c r="M599" s="32"/>
    </row>
    <row r="600" spans="1:13" ht="35" customHeight="1">
      <c r="A600" s="23">
        <f>ROW()-3</f>
        <v>597</v>
      </c>
      <c r="B600" s="42" t="s">
        <v>2732</v>
      </c>
      <c r="C600" s="42" t="s">
        <v>3950</v>
      </c>
      <c r="D600" s="43" t="s">
        <v>4008</v>
      </c>
      <c r="E600" s="43" t="s">
        <v>4009</v>
      </c>
      <c r="F600" s="43" t="s">
        <v>2840</v>
      </c>
      <c r="G600" s="42" t="s">
        <v>34</v>
      </c>
      <c r="H600" s="42">
        <v>1</v>
      </c>
      <c r="I600" s="44">
        <v>0.52</v>
      </c>
      <c r="J600" s="45">
        <v>44130</v>
      </c>
      <c r="K600" s="46" t="s">
        <v>20</v>
      </c>
      <c r="L600" s="47">
        <v>4.99</v>
      </c>
      <c r="M600" s="32"/>
    </row>
    <row r="601" spans="1:13" ht="35" customHeight="1">
      <c r="A601" s="23">
        <f>ROW()-3</f>
        <v>598</v>
      </c>
      <c r="B601" s="42" t="s">
        <v>2732</v>
      </c>
      <c r="C601" s="42" t="s">
        <v>3950</v>
      </c>
      <c r="D601" s="43" t="s">
        <v>4010</v>
      </c>
      <c r="E601" s="43" t="s">
        <v>4011</v>
      </c>
      <c r="F601" s="43" t="s">
        <v>3566</v>
      </c>
      <c r="G601" s="42" t="s">
        <v>34</v>
      </c>
      <c r="H601" s="42">
        <v>1</v>
      </c>
      <c r="I601" s="44">
        <v>0.42</v>
      </c>
      <c r="J601" s="45">
        <v>44130</v>
      </c>
      <c r="K601" s="46" t="s">
        <v>20</v>
      </c>
      <c r="L601" s="47">
        <v>4.99</v>
      </c>
      <c r="M601" s="32"/>
    </row>
    <row r="602" spans="1:13" ht="35" customHeight="1">
      <c r="A602" s="23">
        <f>ROW()-3</f>
        <v>599</v>
      </c>
      <c r="B602" s="42" t="s">
        <v>2732</v>
      </c>
      <c r="C602" s="42" t="s">
        <v>3950</v>
      </c>
      <c r="D602" s="43" t="s">
        <v>4012</v>
      </c>
      <c r="E602" s="43" t="s">
        <v>4013</v>
      </c>
      <c r="F602" s="43" t="s">
        <v>4014</v>
      </c>
      <c r="G602" s="42" t="s">
        <v>34</v>
      </c>
      <c r="H602" s="42">
        <v>1</v>
      </c>
      <c r="I602" s="44">
        <v>0.49</v>
      </c>
      <c r="J602" s="45">
        <v>44130</v>
      </c>
      <c r="K602" s="46" t="s">
        <v>20</v>
      </c>
      <c r="L602" s="47">
        <v>4.99</v>
      </c>
      <c r="M602" s="32"/>
    </row>
    <row r="603" spans="1:13" ht="35" customHeight="1">
      <c r="A603" s="23">
        <f>ROW()-3</f>
        <v>600</v>
      </c>
      <c r="B603" s="42" t="s">
        <v>2732</v>
      </c>
      <c r="C603" s="42" t="s">
        <v>3950</v>
      </c>
      <c r="D603" s="43" t="s">
        <v>4015</v>
      </c>
      <c r="E603" s="43" t="s">
        <v>4016</v>
      </c>
      <c r="F603" s="43" t="s">
        <v>3452</v>
      </c>
      <c r="G603" s="42" t="s">
        <v>34</v>
      </c>
      <c r="H603" s="42">
        <v>1</v>
      </c>
      <c r="I603" s="44">
        <v>0.52</v>
      </c>
      <c r="J603" s="45">
        <v>44130</v>
      </c>
      <c r="K603" s="46" t="s">
        <v>20</v>
      </c>
      <c r="L603" s="47">
        <v>4.99</v>
      </c>
      <c r="M603" s="32"/>
    </row>
    <row r="604" spans="1:13" ht="35" customHeight="1">
      <c r="A604" s="23">
        <f>ROW()-3</f>
        <v>601</v>
      </c>
      <c r="B604" s="42" t="s">
        <v>2732</v>
      </c>
      <c r="C604" s="42" t="s">
        <v>3950</v>
      </c>
      <c r="D604" s="43" t="s">
        <v>4017</v>
      </c>
      <c r="E604" s="43" t="s">
        <v>4018</v>
      </c>
      <c r="F604" s="43" t="s">
        <v>2739</v>
      </c>
      <c r="G604" s="42" t="s">
        <v>34</v>
      </c>
      <c r="H604" s="42">
        <v>1</v>
      </c>
      <c r="I604" s="44">
        <v>0.55000000000000004</v>
      </c>
      <c r="J604" s="45">
        <v>44130</v>
      </c>
      <c r="K604" s="46" t="s">
        <v>20</v>
      </c>
      <c r="L604" s="47">
        <v>4.99</v>
      </c>
      <c r="M604" s="32"/>
    </row>
    <row r="605" spans="1:13" ht="35" customHeight="1">
      <c r="A605" s="23">
        <f>ROW()-3</f>
        <v>602</v>
      </c>
      <c r="B605" s="42" t="s">
        <v>2732</v>
      </c>
      <c r="C605" s="42" t="s">
        <v>3950</v>
      </c>
      <c r="D605" s="43" t="s">
        <v>4019</v>
      </c>
      <c r="E605" s="43" t="s">
        <v>3952</v>
      </c>
      <c r="F605" s="43" t="s">
        <v>2739</v>
      </c>
      <c r="G605" s="42" t="s">
        <v>34</v>
      </c>
      <c r="H605" s="42">
        <v>1</v>
      </c>
      <c r="I605" s="44">
        <v>0.51</v>
      </c>
      <c r="J605" s="45">
        <v>44130</v>
      </c>
      <c r="K605" s="46" t="s">
        <v>20</v>
      </c>
      <c r="L605" s="47">
        <v>4.99</v>
      </c>
      <c r="M605" s="32"/>
    </row>
    <row r="606" spans="1:13" ht="35" customHeight="1">
      <c r="A606" s="23">
        <f>ROW()-3</f>
        <v>603</v>
      </c>
      <c r="B606" s="42" t="s">
        <v>2732</v>
      </c>
      <c r="C606" s="42" t="s">
        <v>3950</v>
      </c>
      <c r="D606" s="43" t="s">
        <v>3951</v>
      </c>
      <c r="E606" s="43" t="s">
        <v>3952</v>
      </c>
      <c r="F606" s="43" t="s">
        <v>3589</v>
      </c>
      <c r="G606" s="42" t="s">
        <v>34</v>
      </c>
      <c r="H606" s="42">
        <v>1</v>
      </c>
      <c r="I606" s="44">
        <v>0.52</v>
      </c>
      <c r="J606" s="45">
        <v>44137</v>
      </c>
      <c r="K606" s="46" t="s">
        <v>20</v>
      </c>
      <c r="L606" s="47">
        <v>4.99</v>
      </c>
      <c r="M606" s="32"/>
    </row>
    <row r="607" spans="1:13" ht="35" customHeight="1">
      <c r="A607" s="23">
        <f>ROW()-3</f>
        <v>604</v>
      </c>
      <c r="B607" s="42" t="s">
        <v>2732</v>
      </c>
      <c r="C607" s="42" t="s">
        <v>3950</v>
      </c>
      <c r="D607" s="43" t="s">
        <v>3953</v>
      </c>
      <c r="E607" s="43" t="s">
        <v>3954</v>
      </c>
      <c r="F607" s="43" t="s">
        <v>3955</v>
      </c>
      <c r="G607" s="42" t="s">
        <v>34</v>
      </c>
      <c r="H607" s="42">
        <v>1</v>
      </c>
      <c r="I607" s="44">
        <v>0.53</v>
      </c>
      <c r="J607" s="45">
        <v>44137</v>
      </c>
      <c r="K607" s="46" t="s">
        <v>20</v>
      </c>
      <c r="L607" s="47">
        <v>4.99</v>
      </c>
      <c r="M607" s="32"/>
    </row>
    <row r="608" spans="1:13" ht="35" customHeight="1">
      <c r="A608" s="23">
        <f>ROW()-3</f>
        <v>605</v>
      </c>
      <c r="B608" s="42" t="s">
        <v>2732</v>
      </c>
      <c r="C608" s="42" t="s">
        <v>3950</v>
      </c>
      <c r="D608" s="43" t="s">
        <v>3956</v>
      </c>
      <c r="E608" s="43" t="s">
        <v>3952</v>
      </c>
      <c r="F608" s="43" t="s">
        <v>3889</v>
      </c>
      <c r="G608" s="42" t="s">
        <v>34</v>
      </c>
      <c r="H608" s="42">
        <v>1</v>
      </c>
      <c r="I608" s="44">
        <v>0.42</v>
      </c>
      <c r="J608" s="45">
        <v>44137</v>
      </c>
      <c r="K608" s="46" t="s">
        <v>20</v>
      </c>
      <c r="L608" s="47">
        <v>4.99</v>
      </c>
      <c r="M608" s="32"/>
    </row>
    <row r="609" spans="1:13" ht="35" customHeight="1">
      <c r="A609" s="23">
        <f>ROW()-3</f>
        <v>606</v>
      </c>
      <c r="B609" s="42" t="s">
        <v>2732</v>
      </c>
      <c r="C609" s="42" t="s">
        <v>3950</v>
      </c>
      <c r="D609" s="43" t="s">
        <v>3957</v>
      </c>
      <c r="E609" s="43" t="s">
        <v>3958</v>
      </c>
      <c r="F609" s="43" t="s">
        <v>3589</v>
      </c>
      <c r="G609" s="42" t="s">
        <v>34</v>
      </c>
      <c r="H609" s="42">
        <v>1</v>
      </c>
      <c r="I609" s="44">
        <v>0.4</v>
      </c>
      <c r="J609" s="45">
        <v>44137</v>
      </c>
      <c r="K609" s="46" t="s">
        <v>20</v>
      </c>
      <c r="L609" s="47">
        <v>4.99</v>
      </c>
      <c r="M609" s="32"/>
    </row>
    <row r="610" spans="1:13" ht="35" customHeight="1">
      <c r="A610" s="23">
        <f>ROW()-3</f>
        <v>607</v>
      </c>
      <c r="B610" s="42" t="s">
        <v>2732</v>
      </c>
      <c r="C610" s="42" t="s">
        <v>3950</v>
      </c>
      <c r="D610" s="43" t="s">
        <v>3968</v>
      </c>
      <c r="E610" s="43" t="s">
        <v>3969</v>
      </c>
      <c r="F610" s="43" t="s">
        <v>3880</v>
      </c>
      <c r="G610" s="42" t="s">
        <v>34</v>
      </c>
      <c r="H610" s="42">
        <v>1</v>
      </c>
      <c r="I610" s="44">
        <v>0.3</v>
      </c>
      <c r="J610" s="45">
        <v>44137</v>
      </c>
      <c r="K610" s="46" t="s">
        <v>20</v>
      </c>
      <c r="L610" s="47">
        <v>4.99</v>
      </c>
      <c r="M610" s="32"/>
    </row>
    <row r="611" spans="1:13" ht="35" customHeight="1">
      <c r="A611" s="23">
        <f>ROW()-3</f>
        <v>608</v>
      </c>
      <c r="B611" s="42" t="s">
        <v>2732</v>
      </c>
      <c r="C611" s="42" t="s">
        <v>3950</v>
      </c>
      <c r="D611" s="43" t="s">
        <v>3970</v>
      </c>
      <c r="E611" s="43" t="s">
        <v>3971</v>
      </c>
      <c r="F611" s="43" t="s">
        <v>2932</v>
      </c>
      <c r="G611" s="42" t="s">
        <v>34</v>
      </c>
      <c r="H611" s="42">
        <v>1</v>
      </c>
      <c r="I611" s="44">
        <v>0.47</v>
      </c>
      <c r="J611" s="45">
        <v>44137</v>
      </c>
      <c r="K611" s="46" t="s">
        <v>20</v>
      </c>
      <c r="L611" s="47">
        <v>4.99</v>
      </c>
      <c r="M611" s="32"/>
    </row>
    <row r="612" spans="1:13" ht="35" customHeight="1">
      <c r="A612" s="23">
        <f>ROW()-3</f>
        <v>609</v>
      </c>
      <c r="B612" s="42" t="s">
        <v>2732</v>
      </c>
      <c r="C612" s="42" t="s">
        <v>3950</v>
      </c>
      <c r="D612" s="43" t="s">
        <v>3972</v>
      </c>
      <c r="E612" s="43" t="s">
        <v>3952</v>
      </c>
      <c r="F612" s="43" t="s">
        <v>3589</v>
      </c>
      <c r="G612" s="42" t="s">
        <v>34</v>
      </c>
      <c r="H612" s="42">
        <v>1</v>
      </c>
      <c r="I612" s="44">
        <v>0.42</v>
      </c>
      <c r="J612" s="45">
        <v>44137</v>
      </c>
      <c r="K612" s="46" t="s">
        <v>20</v>
      </c>
      <c r="L612" s="47">
        <v>4.99</v>
      </c>
      <c r="M612" s="32"/>
    </row>
    <row r="613" spans="1:13" ht="35" customHeight="1">
      <c r="A613" s="23">
        <f>ROW()-3</f>
        <v>610</v>
      </c>
      <c r="B613" s="42" t="s">
        <v>2732</v>
      </c>
      <c r="C613" s="42" t="s">
        <v>3950</v>
      </c>
      <c r="D613" s="43" t="s">
        <v>3973</v>
      </c>
      <c r="E613" s="43" t="s">
        <v>3974</v>
      </c>
      <c r="F613" s="43" t="s">
        <v>3975</v>
      </c>
      <c r="G613" s="42" t="s">
        <v>34</v>
      </c>
      <c r="H613" s="42">
        <v>1</v>
      </c>
      <c r="I613" s="44">
        <v>0.33</v>
      </c>
      <c r="J613" s="45">
        <v>44137</v>
      </c>
      <c r="K613" s="46" t="s">
        <v>20</v>
      </c>
      <c r="L613" s="47">
        <v>4.99</v>
      </c>
      <c r="M613" s="32"/>
    </row>
    <row r="614" spans="1:13" ht="35" customHeight="1">
      <c r="A614" s="23">
        <f>ROW()-3</f>
        <v>611</v>
      </c>
      <c r="B614" s="42" t="s">
        <v>2732</v>
      </c>
      <c r="C614" s="42" t="s">
        <v>3950</v>
      </c>
      <c r="D614" s="43" t="s">
        <v>4047</v>
      </c>
      <c r="E614" s="43" t="s">
        <v>4048</v>
      </c>
      <c r="F614" s="43" t="s">
        <v>4014</v>
      </c>
      <c r="G614" s="42" t="s">
        <v>34</v>
      </c>
      <c r="H614" s="42">
        <v>1</v>
      </c>
      <c r="I614" s="44">
        <v>0.47</v>
      </c>
      <c r="J614" s="45">
        <v>44137</v>
      </c>
      <c r="K614" s="46" t="s">
        <v>20</v>
      </c>
      <c r="L614" s="47">
        <v>4.99</v>
      </c>
      <c r="M614" s="32"/>
    </row>
    <row r="615" spans="1:13" ht="35" customHeight="1">
      <c r="A615" s="23">
        <f>ROW()-3</f>
        <v>612</v>
      </c>
      <c r="B615" s="42" t="s">
        <v>2732</v>
      </c>
      <c r="C615" s="42" t="s">
        <v>3950</v>
      </c>
      <c r="D615" s="43" t="s">
        <v>4049</v>
      </c>
      <c r="E615" s="43" t="s">
        <v>4050</v>
      </c>
      <c r="F615" s="43" t="s">
        <v>3589</v>
      </c>
      <c r="G615" s="42" t="s">
        <v>34</v>
      </c>
      <c r="H615" s="42">
        <v>1</v>
      </c>
      <c r="I615" s="44">
        <v>0.47</v>
      </c>
      <c r="J615" s="45">
        <v>44137</v>
      </c>
      <c r="K615" s="46" t="s">
        <v>20</v>
      </c>
      <c r="L615" s="47">
        <v>4.99</v>
      </c>
      <c r="M615" s="32"/>
    </row>
    <row r="616" spans="1:13" ht="35" customHeight="1">
      <c r="A616" s="23">
        <f>ROW()-3</f>
        <v>613</v>
      </c>
      <c r="B616" s="42" t="s">
        <v>2732</v>
      </c>
      <c r="C616" s="42" t="s">
        <v>3950</v>
      </c>
      <c r="D616" s="43" t="s">
        <v>4051</v>
      </c>
      <c r="E616" s="43" t="s">
        <v>4052</v>
      </c>
      <c r="F616" s="43" t="s">
        <v>2739</v>
      </c>
      <c r="G616" s="42" t="s">
        <v>34</v>
      </c>
      <c r="H616" s="42">
        <v>1</v>
      </c>
      <c r="I616" s="44">
        <v>0.49</v>
      </c>
      <c r="J616" s="45">
        <v>44137</v>
      </c>
      <c r="K616" s="46" t="s">
        <v>20</v>
      </c>
      <c r="L616" s="47">
        <v>4.99</v>
      </c>
      <c r="M616" s="32"/>
    </row>
    <row r="617" spans="1:13" ht="35" customHeight="1">
      <c r="A617" s="23">
        <f>ROW()-3</f>
        <v>614</v>
      </c>
      <c r="B617" s="42" t="s">
        <v>2732</v>
      </c>
      <c r="C617" s="42" t="s">
        <v>3950</v>
      </c>
      <c r="D617" s="43" t="s">
        <v>3959</v>
      </c>
      <c r="E617" s="43" t="s">
        <v>3960</v>
      </c>
      <c r="F617" s="43" t="s">
        <v>3961</v>
      </c>
      <c r="G617" s="42" t="s">
        <v>34</v>
      </c>
      <c r="H617" s="42">
        <v>1</v>
      </c>
      <c r="I617" s="44">
        <v>0.47</v>
      </c>
      <c r="J617" s="45">
        <v>44144</v>
      </c>
      <c r="K617" s="46" t="s">
        <v>20</v>
      </c>
      <c r="L617" s="47">
        <v>4.99</v>
      </c>
      <c r="M617" s="32"/>
    </row>
    <row r="618" spans="1:13" ht="35" customHeight="1">
      <c r="A618" s="23">
        <f>ROW()-3</f>
        <v>615</v>
      </c>
      <c r="B618" s="42" t="s">
        <v>2732</v>
      </c>
      <c r="C618" s="42" t="s">
        <v>3950</v>
      </c>
      <c r="D618" s="43" t="s">
        <v>3962</v>
      </c>
      <c r="E618" s="43" t="s">
        <v>3963</v>
      </c>
      <c r="F618" s="43" t="s">
        <v>3889</v>
      </c>
      <c r="G618" s="42" t="s">
        <v>34</v>
      </c>
      <c r="H618" s="42">
        <v>1</v>
      </c>
      <c r="I618" s="44">
        <v>0.42</v>
      </c>
      <c r="J618" s="45">
        <v>44144</v>
      </c>
      <c r="K618" s="46" t="s">
        <v>20</v>
      </c>
      <c r="L618" s="47">
        <v>4.99</v>
      </c>
      <c r="M618" s="32"/>
    </row>
    <row r="619" spans="1:13" ht="35" customHeight="1">
      <c r="A619" s="23">
        <f>ROW()-3</f>
        <v>616</v>
      </c>
      <c r="B619" s="42" t="s">
        <v>2732</v>
      </c>
      <c r="C619" s="42" t="s">
        <v>3950</v>
      </c>
      <c r="D619" s="43" t="s">
        <v>3964</v>
      </c>
      <c r="E619" s="43" t="s">
        <v>3965</v>
      </c>
      <c r="F619" s="43" t="s">
        <v>3589</v>
      </c>
      <c r="G619" s="42" t="s">
        <v>34</v>
      </c>
      <c r="H619" s="42">
        <v>1</v>
      </c>
      <c r="I619" s="44">
        <v>0.33</v>
      </c>
      <c r="J619" s="45">
        <v>44144</v>
      </c>
      <c r="K619" s="46" t="s">
        <v>20</v>
      </c>
      <c r="L619" s="47">
        <v>4.99</v>
      </c>
      <c r="M619" s="32"/>
    </row>
    <row r="620" spans="1:13" ht="35" customHeight="1">
      <c r="A620" s="23">
        <f>ROW()-3</f>
        <v>617</v>
      </c>
      <c r="B620" s="42" t="s">
        <v>2732</v>
      </c>
      <c r="C620" s="42" t="s">
        <v>3950</v>
      </c>
      <c r="D620" s="43" t="s">
        <v>3966</v>
      </c>
      <c r="E620" s="43" t="s">
        <v>3967</v>
      </c>
      <c r="F620" s="43" t="s">
        <v>3955</v>
      </c>
      <c r="G620" s="42" t="s">
        <v>34</v>
      </c>
      <c r="H620" s="42">
        <v>1</v>
      </c>
      <c r="I620" s="44">
        <v>0.40527777777777801</v>
      </c>
      <c r="J620" s="45">
        <v>44144</v>
      </c>
      <c r="K620" s="46" t="s">
        <v>20</v>
      </c>
      <c r="L620" s="47">
        <v>4.99</v>
      </c>
      <c r="M620" s="32"/>
    </row>
    <row r="621" spans="1:13" ht="35" customHeight="1">
      <c r="A621" s="23">
        <f>ROW()-3</f>
        <v>618</v>
      </c>
      <c r="B621" s="42" t="s">
        <v>2732</v>
      </c>
      <c r="C621" s="42" t="s">
        <v>3950</v>
      </c>
      <c r="D621" s="43" t="s">
        <v>4044</v>
      </c>
      <c r="E621" s="43" t="s">
        <v>4045</v>
      </c>
      <c r="F621" s="43" t="s">
        <v>4046</v>
      </c>
      <c r="G621" s="42" t="s">
        <v>34</v>
      </c>
      <c r="H621" s="42">
        <v>1</v>
      </c>
      <c r="I621" s="44">
        <v>0.47</v>
      </c>
      <c r="J621" s="45">
        <v>44144</v>
      </c>
      <c r="K621" s="46" t="s">
        <v>20</v>
      </c>
      <c r="L621" s="47">
        <v>4.99</v>
      </c>
      <c r="M621" s="32"/>
    </row>
    <row r="622" spans="1:13" ht="35" customHeight="1">
      <c r="A622" s="23">
        <f>ROW()-3</f>
        <v>619</v>
      </c>
      <c r="B622" s="42" t="s">
        <v>2732</v>
      </c>
      <c r="C622" s="42" t="s">
        <v>3950</v>
      </c>
      <c r="D622" s="43" t="s">
        <v>4042</v>
      </c>
      <c r="E622" s="43" t="s">
        <v>4043</v>
      </c>
      <c r="F622" s="43" t="s">
        <v>3343</v>
      </c>
      <c r="G622" s="42" t="s">
        <v>34</v>
      </c>
      <c r="H622" s="42">
        <v>1</v>
      </c>
      <c r="I622" s="44">
        <v>0.51</v>
      </c>
      <c r="J622" s="45">
        <v>44151</v>
      </c>
      <c r="K622" s="46" t="s">
        <v>20</v>
      </c>
      <c r="L622" s="47">
        <v>4.99</v>
      </c>
      <c r="M622" s="32"/>
    </row>
    <row r="623" spans="1:13" ht="35" customHeight="1">
      <c r="A623" s="23">
        <f>ROW()-3</f>
        <v>620</v>
      </c>
      <c r="B623" s="42" t="s">
        <v>5170</v>
      </c>
      <c r="C623" s="42" t="s">
        <v>5206</v>
      </c>
      <c r="D623" s="43" t="s">
        <v>5203</v>
      </c>
      <c r="E623" s="43" t="s">
        <v>5204</v>
      </c>
      <c r="F623" s="43" t="s">
        <v>5205</v>
      </c>
      <c r="G623" s="42" t="s">
        <v>3253</v>
      </c>
      <c r="H623" s="42">
        <v>1</v>
      </c>
      <c r="I623" s="44">
        <v>0</v>
      </c>
      <c r="J623" s="45">
        <v>44250</v>
      </c>
      <c r="K623" s="46" t="s">
        <v>20</v>
      </c>
      <c r="L623" s="48">
        <v>4.99</v>
      </c>
    </row>
    <row r="624" spans="1:13" ht="35" customHeight="1">
      <c r="A624" s="23">
        <f>ROW()-3</f>
        <v>621</v>
      </c>
      <c r="B624" s="42" t="s">
        <v>2732</v>
      </c>
      <c r="C624" s="42" t="s">
        <v>3950</v>
      </c>
      <c r="D624" s="43" t="s">
        <v>4055</v>
      </c>
      <c r="E624" s="43" t="s">
        <v>4056</v>
      </c>
      <c r="F624" s="43" t="s">
        <v>3910</v>
      </c>
      <c r="G624" s="42" t="s">
        <v>34</v>
      </c>
      <c r="H624" s="42">
        <v>1</v>
      </c>
      <c r="I624" s="44">
        <v>0.5</v>
      </c>
      <c r="J624" s="45">
        <v>44333</v>
      </c>
      <c r="K624" s="46" t="s">
        <v>20</v>
      </c>
      <c r="L624" s="47">
        <v>4.99</v>
      </c>
      <c r="M624" s="32"/>
    </row>
    <row r="625" spans="1:13" ht="35" customHeight="1">
      <c r="A625" s="23">
        <f>ROW()-3</f>
        <v>622</v>
      </c>
      <c r="B625" s="42" t="s">
        <v>2732</v>
      </c>
      <c r="C625" s="42" t="s">
        <v>3950</v>
      </c>
      <c r="D625" s="43" t="s">
        <v>4057</v>
      </c>
      <c r="E625" s="43" t="s">
        <v>4058</v>
      </c>
      <c r="F625" s="43" t="s">
        <v>3910</v>
      </c>
      <c r="G625" s="42" t="s">
        <v>34</v>
      </c>
      <c r="H625" s="42">
        <v>1</v>
      </c>
      <c r="I625" s="44">
        <v>0.5</v>
      </c>
      <c r="J625" s="45">
        <v>44382</v>
      </c>
      <c r="K625" s="46" t="s">
        <v>20</v>
      </c>
      <c r="L625" s="47">
        <v>4.99</v>
      </c>
      <c r="M625" s="32"/>
    </row>
    <row r="626" spans="1:13" ht="35" customHeight="1">
      <c r="A626" s="23">
        <f>ROW()-3</f>
        <v>623</v>
      </c>
      <c r="B626" s="42" t="s">
        <v>2732</v>
      </c>
      <c r="C626" s="42" t="s">
        <v>3950</v>
      </c>
      <c r="D626" s="43" t="s">
        <v>4059</v>
      </c>
      <c r="E626" s="43" t="s">
        <v>4060</v>
      </c>
      <c r="F626" s="43" t="s">
        <v>4061</v>
      </c>
      <c r="G626" s="42" t="s">
        <v>3253</v>
      </c>
      <c r="H626" s="42">
        <v>1</v>
      </c>
      <c r="I626" s="44">
        <v>0.5</v>
      </c>
      <c r="J626" s="45">
        <v>44488</v>
      </c>
      <c r="K626" s="46" t="s">
        <v>20</v>
      </c>
      <c r="L626" s="47">
        <v>4.99</v>
      </c>
      <c r="M626" s="32"/>
    </row>
    <row r="627" spans="1:13" ht="35" customHeight="1">
      <c r="A627" s="23">
        <f>ROW()-3</f>
        <v>624</v>
      </c>
      <c r="B627" s="42" t="s">
        <v>2732</v>
      </c>
      <c r="C627" s="42" t="s">
        <v>3950</v>
      </c>
      <c r="D627" s="43" t="s">
        <v>4062</v>
      </c>
      <c r="E627" s="43" t="s">
        <v>4063</v>
      </c>
      <c r="F627" s="43" t="s">
        <v>3542</v>
      </c>
      <c r="G627" s="42" t="s">
        <v>3253</v>
      </c>
      <c r="H627" s="42">
        <v>1</v>
      </c>
      <c r="I627" s="44">
        <v>0.48</v>
      </c>
      <c r="J627" s="45">
        <v>44565</v>
      </c>
      <c r="K627" s="46" t="s">
        <v>20</v>
      </c>
      <c r="L627" s="47">
        <v>4.99</v>
      </c>
      <c r="M627" s="32"/>
    </row>
    <row r="628" spans="1:13" ht="35" customHeight="1">
      <c r="A628" s="23">
        <f>ROW()-3</f>
        <v>625</v>
      </c>
      <c r="B628" s="182" t="s">
        <v>5383</v>
      </c>
      <c r="C628" s="182" t="s">
        <v>5387</v>
      </c>
      <c r="D628" s="187" t="s">
        <v>5389</v>
      </c>
      <c r="E628" s="187" t="s">
        <v>5395</v>
      </c>
      <c r="F628" s="187" t="s">
        <v>5396</v>
      </c>
      <c r="G628" s="42" t="s">
        <v>3253</v>
      </c>
      <c r="H628" s="182">
        <v>1</v>
      </c>
      <c r="I628" s="206">
        <v>0.5</v>
      </c>
      <c r="J628" s="209">
        <v>44606</v>
      </c>
      <c r="K628" s="46" t="s">
        <v>5394</v>
      </c>
      <c r="L628" s="202"/>
    </row>
    <row r="629" spans="1:13" ht="35" customHeight="1">
      <c r="A629" s="23">
        <f>ROW()-3</f>
        <v>626</v>
      </c>
      <c r="B629" s="42" t="s">
        <v>2732</v>
      </c>
      <c r="C629" s="42" t="s">
        <v>4064</v>
      </c>
      <c r="D629" s="43" t="s">
        <v>4077</v>
      </c>
      <c r="E629" s="43" t="s">
        <v>4078</v>
      </c>
      <c r="F629" s="43" t="s">
        <v>4079</v>
      </c>
      <c r="G629" s="42" t="s">
        <v>34</v>
      </c>
      <c r="H629" s="42">
        <v>1</v>
      </c>
      <c r="I629" s="44">
        <v>0.49388888888888899</v>
      </c>
      <c r="J629" s="45">
        <v>43962</v>
      </c>
      <c r="K629" s="46" t="s">
        <v>20</v>
      </c>
      <c r="L629" s="47">
        <v>4.99</v>
      </c>
      <c r="M629" s="32"/>
    </row>
    <row r="630" spans="1:13" ht="35" customHeight="1">
      <c r="A630" s="23">
        <f>ROW()-3</f>
        <v>627</v>
      </c>
      <c r="B630" s="42" t="s">
        <v>2732</v>
      </c>
      <c r="C630" s="42" t="s">
        <v>4064</v>
      </c>
      <c r="D630" s="43" t="s">
        <v>4080</v>
      </c>
      <c r="E630" s="43" t="s">
        <v>4081</v>
      </c>
      <c r="F630" s="43" t="s">
        <v>4082</v>
      </c>
      <c r="G630" s="42" t="s">
        <v>34</v>
      </c>
      <c r="H630" s="42">
        <v>1</v>
      </c>
      <c r="I630" s="44">
        <v>0.33111111111111102</v>
      </c>
      <c r="J630" s="45">
        <v>43962</v>
      </c>
      <c r="K630" s="46" t="s">
        <v>20</v>
      </c>
      <c r="L630" s="47">
        <v>4.99</v>
      </c>
      <c r="M630" s="32"/>
    </row>
    <row r="631" spans="1:13" ht="35" customHeight="1">
      <c r="A631" s="23">
        <f>ROW()-3</f>
        <v>628</v>
      </c>
      <c r="B631" s="42" t="s">
        <v>2732</v>
      </c>
      <c r="C631" s="42" t="s">
        <v>4064</v>
      </c>
      <c r="D631" s="43" t="s">
        <v>4089</v>
      </c>
      <c r="E631" s="43" t="s">
        <v>4090</v>
      </c>
      <c r="F631" s="43" t="s">
        <v>4091</v>
      </c>
      <c r="G631" s="42" t="s">
        <v>34</v>
      </c>
      <c r="H631" s="42">
        <v>1</v>
      </c>
      <c r="I631" s="44">
        <v>0.42055555555555602</v>
      </c>
      <c r="J631" s="45">
        <v>43962</v>
      </c>
      <c r="K631" s="46" t="s">
        <v>20</v>
      </c>
      <c r="L631" s="47">
        <v>4.99</v>
      </c>
      <c r="M631" s="32"/>
    </row>
    <row r="632" spans="1:13" ht="35" customHeight="1">
      <c r="A632" s="23">
        <f>ROW()-3</f>
        <v>629</v>
      </c>
      <c r="B632" s="42" t="s">
        <v>2732</v>
      </c>
      <c r="C632" s="42" t="s">
        <v>4064</v>
      </c>
      <c r="D632" s="43" t="s">
        <v>4109</v>
      </c>
      <c r="E632" s="43" t="s">
        <v>277</v>
      </c>
      <c r="F632" s="43" t="s">
        <v>4110</v>
      </c>
      <c r="G632" s="42" t="s">
        <v>34</v>
      </c>
      <c r="H632" s="42">
        <v>1</v>
      </c>
      <c r="I632" s="44">
        <v>0.38222222222222202</v>
      </c>
      <c r="J632" s="45">
        <v>43962</v>
      </c>
      <c r="K632" s="46" t="s">
        <v>20</v>
      </c>
      <c r="L632" s="47">
        <v>4.99</v>
      </c>
      <c r="M632" s="32"/>
    </row>
    <row r="633" spans="1:13" ht="35" customHeight="1">
      <c r="A633" s="23">
        <f>ROW()-3</f>
        <v>630</v>
      </c>
      <c r="B633" s="42" t="s">
        <v>2732</v>
      </c>
      <c r="C633" s="42" t="s">
        <v>4064</v>
      </c>
      <c r="D633" s="43" t="s">
        <v>4111</v>
      </c>
      <c r="E633" s="43" t="s">
        <v>277</v>
      </c>
      <c r="F633" s="43" t="s">
        <v>4110</v>
      </c>
      <c r="G633" s="42" t="s">
        <v>34</v>
      </c>
      <c r="H633" s="42">
        <v>1</v>
      </c>
      <c r="I633" s="44">
        <v>0.48138888888888898</v>
      </c>
      <c r="J633" s="45">
        <v>43962</v>
      </c>
      <c r="K633" s="46" t="s">
        <v>20</v>
      </c>
      <c r="L633" s="47">
        <v>4.99</v>
      </c>
      <c r="M633" s="32"/>
    </row>
    <row r="634" spans="1:13" ht="35" customHeight="1">
      <c r="A634" s="23">
        <f>ROW()-3</f>
        <v>631</v>
      </c>
      <c r="B634" s="42" t="s">
        <v>2732</v>
      </c>
      <c r="C634" s="42" t="s">
        <v>4064</v>
      </c>
      <c r="D634" s="43" t="s">
        <v>4112</v>
      </c>
      <c r="E634" s="43" t="s">
        <v>277</v>
      </c>
      <c r="F634" s="43" t="s">
        <v>4110</v>
      </c>
      <c r="G634" s="42" t="s">
        <v>34</v>
      </c>
      <c r="H634" s="42">
        <v>1</v>
      </c>
      <c r="I634" s="44">
        <v>0.74888888888888905</v>
      </c>
      <c r="J634" s="45">
        <v>43962</v>
      </c>
      <c r="K634" s="46" t="s">
        <v>20</v>
      </c>
      <c r="L634" s="47">
        <v>4.99</v>
      </c>
      <c r="M634" s="32"/>
    </row>
    <row r="635" spans="1:13" ht="35" customHeight="1">
      <c r="A635" s="23">
        <f>ROW()-3</f>
        <v>632</v>
      </c>
      <c r="B635" s="42" t="s">
        <v>2732</v>
      </c>
      <c r="C635" s="42" t="s">
        <v>4064</v>
      </c>
      <c r="D635" s="43" t="s">
        <v>4113</v>
      </c>
      <c r="E635" s="43" t="s">
        <v>4114</v>
      </c>
      <c r="F635" s="43" t="s">
        <v>3434</v>
      </c>
      <c r="G635" s="42" t="s">
        <v>34</v>
      </c>
      <c r="H635" s="42">
        <v>1</v>
      </c>
      <c r="I635" s="44">
        <v>0.51</v>
      </c>
      <c r="J635" s="45">
        <v>43962</v>
      </c>
      <c r="K635" s="46" t="s">
        <v>20</v>
      </c>
      <c r="L635" s="47">
        <v>4.99</v>
      </c>
      <c r="M635" s="32"/>
    </row>
    <row r="636" spans="1:13" ht="35" customHeight="1">
      <c r="A636" s="23">
        <f>ROW()-3</f>
        <v>633</v>
      </c>
      <c r="B636" s="42" t="s">
        <v>2732</v>
      </c>
      <c r="C636" s="42" t="s">
        <v>4064</v>
      </c>
      <c r="D636" s="43" t="s">
        <v>4065</v>
      </c>
      <c r="E636" s="43" t="s">
        <v>4066</v>
      </c>
      <c r="F636" s="43" t="s">
        <v>4067</v>
      </c>
      <c r="G636" s="42" t="s">
        <v>34</v>
      </c>
      <c r="H636" s="42">
        <v>1</v>
      </c>
      <c r="I636" s="44">
        <v>0.78666666666666696</v>
      </c>
      <c r="J636" s="45">
        <v>43978</v>
      </c>
      <c r="K636" s="46" t="s">
        <v>20</v>
      </c>
      <c r="L636" s="47">
        <v>4.99</v>
      </c>
      <c r="M636" s="32"/>
    </row>
    <row r="637" spans="1:13" ht="35" customHeight="1">
      <c r="A637" s="23">
        <f>ROW()-3</f>
        <v>634</v>
      </c>
      <c r="B637" s="42" t="s">
        <v>2732</v>
      </c>
      <c r="C637" s="42" t="s">
        <v>4064</v>
      </c>
      <c r="D637" s="43" t="s">
        <v>4071</v>
      </c>
      <c r="E637" s="43" t="s">
        <v>4072</v>
      </c>
      <c r="F637" s="43" t="s">
        <v>4073</v>
      </c>
      <c r="G637" s="42" t="s">
        <v>34</v>
      </c>
      <c r="H637" s="42">
        <v>1</v>
      </c>
      <c r="I637" s="44">
        <v>0.68</v>
      </c>
      <c r="J637" s="45">
        <v>43978</v>
      </c>
      <c r="K637" s="46" t="s">
        <v>20</v>
      </c>
      <c r="L637" s="47">
        <v>4.99</v>
      </c>
      <c r="M637" s="32"/>
    </row>
    <row r="638" spans="1:13" ht="35" customHeight="1">
      <c r="A638" s="23">
        <f>ROW()-3</f>
        <v>635</v>
      </c>
      <c r="B638" s="42" t="s">
        <v>2732</v>
      </c>
      <c r="C638" s="42" t="s">
        <v>4064</v>
      </c>
      <c r="D638" s="43" t="s">
        <v>4074</v>
      </c>
      <c r="E638" s="43" t="s">
        <v>4075</v>
      </c>
      <c r="F638" s="43" t="s">
        <v>4076</v>
      </c>
      <c r="G638" s="42" t="s">
        <v>34</v>
      </c>
      <c r="H638" s="42">
        <v>1</v>
      </c>
      <c r="I638" s="44">
        <v>0.36777777777777798</v>
      </c>
      <c r="J638" s="45">
        <v>43978</v>
      </c>
      <c r="K638" s="46" t="s">
        <v>20</v>
      </c>
      <c r="L638" s="47">
        <v>4.99</v>
      </c>
      <c r="M638" s="32"/>
    </row>
    <row r="639" spans="1:13" ht="35" customHeight="1">
      <c r="A639" s="23">
        <f>ROW()-3</f>
        <v>636</v>
      </c>
      <c r="B639" s="42" t="s">
        <v>2732</v>
      </c>
      <c r="C639" s="42" t="s">
        <v>4064</v>
      </c>
      <c r="D639" s="43" t="s">
        <v>4083</v>
      </c>
      <c r="E639" s="43" t="s">
        <v>4084</v>
      </c>
      <c r="F639" s="43" t="s">
        <v>4085</v>
      </c>
      <c r="G639" s="42" t="s">
        <v>34</v>
      </c>
      <c r="H639" s="42">
        <v>1</v>
      </c>
      <c r="I639" s="44">
        <v>0.52138888888888901</v>
      </c>
      <c r="J639" s="45">
        <v>43978</v>
      </c>
      <c r="K639" s="46" t="s">
        <v>20</v>
      </c>
      <c r="L639" s="47">
        <v>4.99</v>
      </c>
      <c r="M639" s="32"/>
    </row>
    <row r="640" spans="1:13" ht="35" customHeight="1">
      <c r="A640" s="23">
        <f>ROW()-3</f>
        <v>637</v>
      </c>
      <c r="B640" s="42" t="s">
        <v>2732</v>
      </c>
      <c r="C640" s="42" t="s">
        <v>4064</v>
      </c>
      <c r="D640" s="43" t="s">
        <v>4086</v>
      </c>
      <c r="E640" s="43" t="s">
        <v>4087</v>
      </c>
      <c r="F640" s="43" t="s">
        <v>4088</v>
      </c>
      <c r="G640" s="42" t="s">
        <v>34</v>
      </c>
      <c r="H640" s="42">
        <v>1</v>
      </c>
      <c r="I640" s="44">
        <v>0.38555555555555598</v>
      </c>
      <c r="J640" s="45">
        <v>43978</v>
      </c>
      <c r="K640" s="46" t="s">
        <v>20</v>
      </c>
      <c r="L640" s="47">
        <v>4.99</v>
      </c>
      <c r="M640" s="32"/>
    </row>
    <row r="641" spans="1:13" ht="35" customHeight="1">
      <c r="A641" s="23">
        <f>ROW()-3</f>
        <v>638</v>
      </c>
      <c r="B641" s="42" t="s">
        <v>2732</v>
      </c>
      <c r="C641" s="42" t="s">
        <v>4064</v>
      </c>
      <c r="D641" s="43" t="s">
        <v>4092</v>
      </c>
      <c r="E641" s="43" t="s">
        <v>4093</v>
      </c>
      <c r="F641" s="43" t="s">
        <v>4094</v>
      </c>
      <c r="G641" s="42" t="s">
        <v>34</v>
      </c>
      <c r="H641" s="42">
        <v>1</v>
      </c>
      <c r="I641" s="44">
        <v>0.37083333333333302</v>
      </c>
      <c r="J641" s="45">
        <v>43978</v>
      </c>
      <c r="K641" s="46" t="s">
        <v>20</v>
      </c>
      <c r="L641" s="47">
        <v>4.99</v>
      </c>
      <c r="M641" s="32"/>
    </row>
    <row r="642" spans="1:13" ht="35" customHeight="1">
      <c r="A642" s="23">
        <f>ROW()-3</f>
        <v>639</v>
      </c>
      <c r="B642" s="42" t="s">
        <v>2732</v>
      </c>
      <c r="C642" s="42" t="s">
        <v>4064</v>
      </c>
      <c r="D642" s="43" t="s">
        <v>4098</v>
      </c>
      <c r="E642" s="43" t="s">
        <v>4093</v>
      </c>
      <c r="F642" s="43" t="s">
        <v>4094</v>
      </c>
      <c r="G642" s="42" t="s">
        <v>34</v>
      </c>
      <c r="H642" s="42">
        <v>1</v>
      </c>
      <c r="I642" s="44">
        <v>0.465555555555556</v>
      </c>
      <c r="J642" s="45">
        <v>43978</v>
      </c>
      <c r="K642" s="46" t="s">
        <v>20</v>
      </c>
      <c r="L642" s="47">
        <v>4.99</v>
      </c>
      <c r="M642" s="32"/>
    </row>
    <row r="643" spans="1:13" ht="35" customHeight="1">
      <c r="A643" s="23">
        <f>ROW()-3</f>
        <v>640</v>
      </c>
      <c r="B643" s="42" t="s">
        <v>2732</v>
      </c>
      <c r="C643" s="42" t="s">
        <v>4064</v>
      </c>
      <c r="D643" s="43" t="s">
        <v>4099</v>
      </c>
      <c r="E643" s="43" t="s">
        <v>4100</v>
      </c>
      <c r="F643" s="43" t="s">
        <v>4101</v>
      </c>
      <c r="G643" s="42" t="s">
        <v>34</v>
      </c>
      <c r="H643" s="42">
        <v>1</v>
      </c>
      <c r="I643" s="44">
        <v>0.70055555555555604</v>
      </c>
      <c r="J643" s="45">
        <v>43978</v>
      </c>
      <c r="K643" s="46" t="s">
        <v>20</v>
      </c>
      <c r="L643" s="47">
        <v>4.99</v>
      </c>
      <c r="M643" s="32"/>
    </row>
    <row r="644" spans="1:13" ht="35" customHeight="1">
      <c r="A644" s="23">
        <f>ROW()-3</f>
        <v>641</v>
      </c>
      <c r="B644" s="42" t="s">
        <v>2732</v>
      </c>
      <c r="C644" s="42" t="s">
        <v>4064</v>
      </c>
      <c r="D644" s="43" t="s">
        <v>4102</v>
      </c>
      <c r="E644" s="43" t="s">
        <v>4103</v>
      </c>
      <c r="F644" s="43" t="s">
        <v>2878</v>
      </c>
      <c r="G644" s="42" t="s">
        <v>34</v>
      </c>
      <c r="H644" s="42">
        <v>1</v>
      </c>
      <c r="I644" s="44">
        <v>0.52361111111111103</v>
      </c>
      <c r="J644" s="45">
        <v>43978</v>
      </c>
      <c r="K644" s="46" t="s">
        <v>20</v>
      </c>
      <c r="L644" s="47">
        <v>4.99</v>
      </c>
      <c r="M644" s="32"/>
    </row>
    <row r="645" spans="1:13" ht="35" customHeight="1">
      <c r="A645" s="23">
        <f>ROW()-3</f>
        <v>642</v>
      </c>
      <c r="B645" s="42" t="s">
        <v>2732</v>
      </c>
      <c r="C645" s="42" t="s">
        <v>4064</v>
      </c>
      <c r="D645" s="43" t="s">
        <v>4107</v>
      </c>
      <c r="E645" s="43" t="s">
        <v>4108</v>
      </c>
      <c r="F645" s="43" t="s">
        <v>619</v>
      </c>
      <c r="G645" s="42" t="s">
        <v>34</v>
      </c>
      <c r="H645" s="42">
        <v>1</v>
      </c>
      <c r="I645" s="44">
        <v>0.49583333333333302</v>
      </c>
      <c r="J645" s="45">
        <v>43978</v>
      </c>
      <c r="K645" s="46" t="s">
        <v>20</v>
      </c>
      <c r="L645" s="47">
        <v>4.99</v>
      </c>
      <c r="M645" s="32"/>
    </row>
    <row r="646" spans="1:13" ht="35" customHeight="1">
      <c r="A646" s="23">
        <f>ROW()-3</f>
        <v>643</v>
      </c>
      <c r="B646" s="42" t="s">
        <v>2732</v>
      </c>
      <c r="C646" s="42" t="s">
        <v>4064</v>
      </c>
      <c r="D646" s="43" t="s">
        <v>4115</v>
      </c>
      <c r="E646" s="43" t="s">
        <v>4116</v>
      </c>
      <c r="F646" s="43" t="s">
        <v>2948</v>
      </c>
      <c r="G646" s="42" t="s">
        <v>34</v>
      </c>
      <c r="H646" s="42">
        <v>2</v>
      </c>
      <c r="I646" s="44">
        <v>1.1000000000000001</v>
      </c>
      <c r="J646" s="45">
        <v>44025</v>
      </c>
      <c r="K646" s="46" t="s">
        <v>20</v>
      </c>
      <c r="L646" s="47">
        <v>4.99</v>
      </c>
      <c r="M646" s="32"/>
    </row>
    <row r="647" spans="1:13" ht="35" customHeight="1">
      <c r="A647" s="23">
        <f>ROW()-3</f>
        <v>644</v>
      </c>
      <c r="B647" s="42" t="s">
        <v>2732</v>
      </c>
      <c r="C647" s="42" t="s">
        <v>4064</v>
      </c>
      <c r="D647" s="42" t="s">
        <v>4117</v>
      </c>
      <c r="E647" s="43" t="s">
        <v>4118</v>
      </c>
      <c r="F647" s="43" t="s">
        <v>2948</v>
      </c>
      <c r="G647" s="42" t="s">
        <v>34</v>
      </c>
      <c r="H647" s="42">
        <v>3</v>
      </c>
      <c r="I647" s="44">
        <v>1.72</v>
      </c>
      <c r="J647" s="45">
        <v>44039</v>
      </c>
      <c r="K647" s="46" t="s">
        <v>20</v>
      </c>
      <c r="L647" s="47">
        <v>4.99</v>
      </c>
      <c r="M647" s="32"/>
    </row>
    <row r="648" spans="1:13" ht="35" customHeight="1">
      <c r="A648" s="23">
        <f>ROW()-3</f>
        <v>645</v>
      </c>
      <c r="B648" s="42" t="s">
        <v>2732</v>
      </c>
      <c r="C648" s="42" t="s">
        <v>4064</v>
      </c>
      <c r="D648" s="42" t="s">
        <v>4119</v>
      </c>
      <c r="E648" s="42" t="s">
        <v>4120</v>
      </c>
      <c r="F648" s="43" t="s">
        <v>2948</v>
      </c>
      <c r="G648" s="42" t="s">
        <v>34</v>
      </c>
      <c r="H648" s="42">
        <v>2</v>
      </c>
      <c r="I648" s="44">
        <v>1.32</v>
      </c>
      <c r="J648" s="45">
        <v>44053</v>
      </c>
      <c r="K648" s="46" t="s">
        <v>20</v>
      </c>
      <c r="L648" s="47">
        <v>4.99</v>
      </c>
      <c r="M648" s="32"/>
    </row>
    <row r="649" spans="1:13" ht="35" customHeight="1">
      <c r="A649" s="23">
        <f>ROW()-3</f>
        <v>646</v>
      </c>
      <c r="B649" s="42" t="s">
        <v>2732</v>
      </c>
      <c r="C649" s="42" t="s">
        <v>4064</v>
      </c>
      <c r="D649" s="42" t="s">
        <v>4121</v>
      </c>
      <c r="E649" s="42" t="s">
        <v>4122</v>
      </c>
      <c r="F649" s="43" t="s">
        <v>2948</v>
      </c>
      <c r="G649" s="42" t="s">
        <v>34</v>
      </c>
      <c r="H649" s="42">
        <v>2</v>
      </c>
      <c r="I649" s="44">
        <v>1.1200000000000001</v>
      </c>
      <c r="J649" s="45">
        <v>44067</v>
      </c>
      <c r="K649" s="46" t="s">
        <v>20</v>
      </c>
      <c r="L649" s="47">
        <v>4.99</v>
      </c>
      <c r="M649" s="32"/>
    </row>
    <row r="650" spans="1:13" ht="35" customHeight="1">
      <c r="A650" s="23">
        <f>ROW()-3</f>
        <v>647</v>
      </c>
      <c r="B650" s="42" t="s">
        <v>2732</v>
      </c>
      <c r="C650" s="42" t="s">
        <v>4064</v>
      </c>
      <c r="D650" s="42" t="s">
        <v>4077</v>
      </c>
      <c r="E650" s="42" t="s">
        <v>4078</v>
      </c>
      <c r="F650" s="43" t="s">
        <v>2948</v>
      </c>
      <c r="G650" s="42" t="s">
        <v>34</v>
      </c>
      <c r="H650" s="42">
        <v>2</v>
      </c>
      <c r="I650" s="44">
        <v>0.98</v>
      </c>
      <c r="J650" s="45">
        <v>44074</v>
      </c>
      <c r="K650" s="46" t="s">
        <v>20</v>
      </c>
      <c r="L650" s="47">
        <v>4.99</v>
      </c>
      <c r="M650" s="32"/>
    </row>
    <row r="651" spans="1:13" ht="35" customHeight="1">
      <c r="A651" s="23">
        <f>ROW()-3</f>
        <v>648</v>
      </c>
      <c r="B651" s="42" t="s">
        <v>5170</v>
      </c>
      <c r="C651" s="42" t="s">
        <v>5192</v>
      </c>
      <c r="D651" s="43" t="s">
        <v>5191</v>
      </c>
      <c r="E651" s="43" t="s">
        <v>5280</v>
      </c>
      <c r="F651" s="43" t="s">
        <v>5281</v>
      </c>
      <c r="G651" s="42" t="s">
        <v>3253</v>
      </c>
      <c r="H651" s="42">
        <v>3</v>
      </c>
      <c r="I651" s="44">
        <v>1.5358333333333334</v>
      </c>
      <c r="J651" s="45">
        <v>44074</v>
      </c>
      <c r="K651" s="46" t="s">
        <v>20</v>
      </c>
      <c r="L651" s="48"/>
    </row>
    <row r="652" spans="1:13" ht="35" customHeight="1">
      <c r="A652" s="23">
        <f>ROW()-3</f>
        <v>649</v>
      </c>
      <c r="B652" s="42" t="s">
        <v>2732</v>
      </c>
      <c r="C652" s="42" t="s">
        <v>4064</v>
      </c>
      <c r="D652" s="42" t="s">
        <v>4123</v>
      </c>
      <c r="E652" s="42" t="s">
        <v>4124</v>
      </c>
      <c r="F652" s="42" t="s">
        <v>2948</v>
      </c>
      <c r="G652" s="42" t="s">
        <v>34</v>
      </c>
      <c r="H652" s="43">
        <v>2</v>
      </c>
      <c r="I652" s="44">
        <v>0.95</v>
      </c>
      <c r="J652" s="45">
        <v>44081</v>
      </c>
      <c r="K652" s="46" t="s">
        <v>20</v>
      </c>
      <c r="L652" s="47">
        <v>4.99</v>
      </c>
      <c r="M652" s="32"/>
    </row>
    <row r="653" spans="1:13" ht="35" customHeight="1">
      <c r="A653" s="23">
        <f>ROW()-3</f>
        <v>650</v>
      </c>
      <c r="B653" s="42" t="s">
        <v>2732</v>
      </c>
      <c r="C653" s="42" t="s">
        <v>4064</v>
      </c>
      <c r="D653" s="42" t="s">
        <v>4130</v>
      </c>
      <c r="E653" s="42" t="s">
        <v>4072</v>
      </c>
      <c r="F653" s="42" t="s">
        <v>2948</v>
      </c>
      <c r="G653" s="42" t="s">
        <v>34</v>
      </c>
      <c r="H653" s="43">
        <v>2</v>
      </c>
      <c r="I653" s="44">
        <v>0.95</v>
      </c>
      <c r="J653" s="45">
        <v>44088</v>
      </c>
      <c r="K653" s="46" t="s">
        <v>20</v>
      </c>
      <c r="L653" s="47">
        <v>4.99</v>
      </c>
      <c r="M653" s="32"/>
    </row>
    <row r="654" spans="1:13" ht="35" customHeight="1">
      <c r="A654" s="23">
        <f>ROW()-3</f>
        <v>651</v>
      </c>
      <c r="B654" s="42" t="s">
        <v>2732</v>
      </c>
      <c r="C654" s="42" t="s">
        <v>4064</v>
      </c>
      <c r="D654" s="42" t="s">
        <v>4131</v>
      </c>
      <c r="E654" s="42" t="s">
        <v>4132</v>
      </c>
      <c r="F654" s="42" t="s">
        <v>2948</v>
      </c>
      <c r="G654" s="42" t="s">
        <v>34</v>
      </c>
      <c r="H654" s="43">
        <v>2</v>
      </c>
      <c r="I654" s="44">
        <v>1.1399999999999999</v>
      </c>
      <c r="J654" s="45">
        <v>44088</v>
      </c>
      <c r="K654" s="46" t="s">
        <v>20</v>
      </c>
      <c r="L654" s="47">
        <v>4.99</v>
      </c>
      <c r="M654" s="32"/>
    </row>
    <row r="655" spans="1:13" ht="35" customHeight="1">
      <c r="A655" s="23">
        <f>ROW()-3</f>
        <v>652</v>
      </c>
      <c r="B655" s="42" t="s">
        <v>2732</v>
      </c>
      <c r="C655" s="42" t="s">
        <v>4064</v>
      </c>
      <c r="D655" s="42" t="s">
        <v>4133</v>
      </c>
      <c r="E655" s="42" t="s">
        <v>4134</v>
      </c>
      <c r="F655" s="42" t="s">
        <v>2948</v>
      </c>
      <c r="G655" s="42" t="s">
        <v>34</v>
      </c>
      <c r="H655" s="43">
        <v>1</v>
      </c>
      <c r="I655" s="44">
        <v>0.5</v>
      </c>
      <c r="J655" s="45">
        <v>44088</v>
      </c>
      <c r="K655" s="46" t="s">
        <v>30</v>
      </c>
      <c r="L655" s="47">
        <v>4.99</v>
      </c>
      <c r="M655" s="32"/>
    </row>
    <row r="656" spans="1:13" ht="35" customHeight="1">
      <c r="A656" s="23">
        <f>ROW()-3</f>
        <v>653</v>
      </c>
      <c r="B656" s="42" t="s">
        <v>2732</v>
      </c>
      <c r="C656" s="42" t="s">
        <v>4064</v>
      </c>
      <c r="D656" s="42" t="s">
        <v>4135</v>
      </c>
      <c r="E656" s="42" t="s">
        <v>3406</v>
      </c>
      <c r="F656" s="42" t="s">
        <v>2948</v>
      </c>
      <c r="G656" s="42" t="s">
        <v>34</v>
      </c>
      <c r="H656" s="43">
        <v>2</v>
      </c>
      <c r="I656" s="44">
        <v>1.1200000000000001</v>
      </c>
      <c r="J656" s="45">
        <v>44088</v>
      </c>
      <c r="K656" s="46" t="s">
        <v>20</v>
      </c>
      <c r="L656" s="47">
        <v>4.99</v>
      </c>
      <c r="M656" s="32"/>
    </row>
    <row r="657" spans="1:13" ht="35" customHeight="1">
      <c r="A657" s="23">
        <f>ROW()-3</f>
        <v>654</v>
      </c>
      <c r="B657" s="42" t="s">
        <v>2732</v>
      </c>
      <c r="C657" s="42" t="s">
        <v>4064</v>
      </c>
      <c r="D657" s="42" t="s">
        <v>4136</v>
      </c>
      <c r="E657" s="42" t="s">
        <v>3406</v>
      </c>
      <c r="F657" s="42" t="s">
        <v>2948</v>
      </c>
      <c r="G657" s="42" t="s">
        <v>34</v>
      </c>
      <c r="H657" s="43">
        <v>1</v>
      </c>
      <c r="I657" s="44">
        <v>0.62</v>
      </c>
      <c r="J657" s="45">
        <v>44088</v>
      </c>
      <c r="K657" s="46" t="s">
        <v>30</v>
      </c>
      <c r="L657" s="47">
        <v>4.99</v>
      </c>
      <c r="M657" s="32"/>
    </row>
    <row r="658" spans="1:13" ht="35" customHeight="1">
      <c r="A658" s="23">
        <f>ROW()-3</f>
        <v>655</v>
      </c>
      <c r="B658" s="42" t="s">
        <v>2732</v>
      </c>
      <c r="C658" s="42" t="s">
        <v>4064</v>
      </c>
      <c r="D658" s="42" t="s">
        <v>4137</v>
      </c>
      <c r="E658" s="42" t="s">
        <v>3083</v>
      </c>
      <c r="F658" s="42" t="s">
        <v>830</v>
      </c>
      <c r="G658" s="42" t="s">
        <v>34</v>
      </c>
      <c r="H658" s="43">
        <v>2</v>
      </c>
      <c r="I658" s="44">
        <v>0.66</v>
      </c>
      <c r="J658" s="45">
        <v>44088</v>
      </c>
      <c r="K658" s="46" t="s">
        <v>20</v>
      </c>
      <c r="L658" s="47">
        <v>4.99</v>
      </c>
      <c r="M658" s="32"/>
    </row>
    <row r="659" spans="1:13" ht="35" customHeight="1">
      <c r="A659" s="23">
        <f>ROW()-3</f>
        <v>656</v>
      </c>
      <c r="B659" s="42" t="s">
        <v>2732</v>
      </c>
      <c r="C659" s="42" t="s">
        <v>4064</v>
      </c>
      <c r="D659" s="43" t="s">
        <v>4138</v>
      </c>
      <c r="E659" s="43" t="s">
        <v>3282</v>
      </c>
      <c r="F659" s="43" t="s">
        <v>4139</v>
      </c>
      <c r="G659" s="42" t="s">
        <v>34</v>
      </c>
      <c r="H659" s="42">
        <v>1</v>
      </c>
      <c r="I659" s="49">
        <v>0.6</v>
      </c>
      <c r="J659" s="45">
        <v>44102</v>
      </c>
      <c r="K659" s="46" t="s">
        <v>20</v>
      </c>
      <c r="L659" s="48">
        <v>4.99</v>
      </c>
      <c r="M659" s="32"/>
    </row>
    <row r="660" spans="1:13" ht="35" customHeight="1">
      <c r="A660" s="23">
        <f>ROW()-3</f>
        <v>657</v>
      </c>
      <c r="B660" s="42" t="s">
        <v>2732</v>
      </c>
      <c r="C660" s="42" t="s">
        <v>4064</v>
      </c>
      <c r="D660" s="43" t="s">
        <v>4140</v>
      </c>
      <c r="E660" s="43" t="s">
        <v>4141</v>
      </c>
      <c r="F660" s="43" t="s">
        <v>4139</v>
      </c>
      <c r="G660" s="42" t="s">
        <v>34</v>
      </c>
      <c r="H660" s="42">
        <v>1</v>
      </c>
      <c r="I660" s="49">
        <v>0.61</v>
      </c>
      <c r="J660" s="45">
        <v>44102</v>
      </c>
      <c r="K660" s="46" t="s">
        <v>20</v>
      </c>
      <c r="L660" s="48">
        <v>4.99</v>
      </c>
      <c r="M660" s="32"/>
    </row>
    <row r="661" spans="1:13" ht="35" customHeight="1">
      <c r="A661" s="23">
        <f>ROW()-3</f>
        <v>658</v>
      </c>
      <c r="B661" s="42" t="s">
        <v>2732</v>
      </c>
      <c r="C661" s="42" t="s">
        <v>4064</v>
      </c>
      <c r="D661" s="43" t="s">
        <v>4104</v>
      </c>
      <c r="E661" s="43" t="s">
        <v>4105</v>
      </c>
      <c r="F661" s="43" t="s">
        <v>4106</v>
      </c>
      <c r="G661" s="42" t="s">
        <v>34</v>
      </c>
      <c r="H661" s="42">
        <v>1</v>
      </c>
      <c r="I661" s="44">
        <v>0.49</v>
      </c>
      <c r="J661" s="45">
        <v>44123</v>
      </c>
      <c r="K661" s="46" t="s">
        <v>20</v>
      </c>
      <c r="L661" s="47">
        <v>4.99</v>
      </c>
      <c r="M661" s="32"/>
    </row>
    <row r="662" spans="1:13" ht="35" customHeight="1">
      <c r="A662" s="23">
        <f>ROW()-3</f>
        <v>659</v>
      </c>
      <c r="B662" s="42" t="s">
        <v>2732</v>
      </c>
      <c r="C662" s="42" t="s">
        <v>4064</v>
      </c>
      <c r="D662" s="43" t="s">
        <v>4095</v>
      </c>
      <c r="E662" s="43" t="s">
        <v>4096</v>
      </c>
      <c r="F662" s="43" t="s">
        <v>3647</v>
      </c>
      <c r="G662" s="42" t="s">
        <v>34</v>
      </c>
      <c r="H662" s="42">
        <v>1</v>
      </c>
      <c r="I662" s="44">
        <v>0.21</v>
      </c>
      <c r="J662" s="45">
        <v>44130</v>
      </c>
      <c r="K662" s="46" t="s">
        <v>20</v>
      </c>
      <c r="L662" s="47">
        <v>4.99</v>
      </c>
      <c r="M662" s="32"/>
    </row>
    <row r="663" spans="1:13" ht="35" customHeight="1">
      <c r="A663" s="23">
        <f>ROW()-3</f>
        <v>660</v>
      </c>
      <c r="B663" s="42" t="s">
        <v>2732</v>
      </c>
      <c r="C663" s="42" t="s">
        <v>4064</v>
      </c>
      <c r="D663" s="43" t="s">
        <v>4097</v>
      </c>
      <c r="E663" s="43" t="s">
        <v>4096</v>
      </c>
      <c r="F663" s="43" t="s">
        <v>3647</v>
      </c>
      <c r="G663" s="42" t="s">
        <v>34</v>
      </c>
      <c r="H663" s="42">
        <v>1</v>
      </c>
      <c r="I663" s="44">
        <v>0.21</v>
      </c>
      <c r="J663" s="45">
        <v>44130</v>
      </c>
      <c r="K663" s="46" t="s">
        <v>20</v>
      </c>
      <c r="L663" s="47">
        <v>4.99</v>
      </c>
      <c r="M663" s="32"/>
    </row>
    <row r="664" spans="1:13" ht="35" customHeight="1">
      <c r="A664" s="23">
        <f>ROW()-3</f>
        <v>661</v>
      </c>
      <c r="B664" s="42" t="s">
        <v>2732</v>
      </c>
      <c r="C664" s="42" t="s">
        <v>4064</v>
      </c>
      <c r="D664" s="42" t="s">
        <v>4125</v>
      </c>
      <c r="E664" s="42" t="s">
        <v>4126</v>
      </c>
      <c r="F664" s="42" t="s">
        <v>3335</v>
      </c>
      <c r="G664" s="42" t="s">
        <v>34</v>
      </c>
      <c r="H664" s="43">
        <v>2</v>
      </c>
      <c r="I664" s="44">
        <v>0.67</v>
      </c>
      <c r="J664" s="45">
        <v>44151</v>
      </c>
      <c r="K664" s="46" t="s">
        <v>20</v>
      </c>
      <c r="L664" s="47">
        <v>4.99</v>
      </c>
      <c r="M664" s="32"/>
    </row>
    <row r="665" spans="1:13" ht="35" customHeight="1">
      <c r="A665" s="23">
        <f>ROW()-3</f>
        <v>662</v>
      </c>
      <c r="B665" s="42" t="s">
        <v>2732</v>
      </c>
      <c r="C665" s="42" t="s">
        <v>4064</v>
      </c>
      <c r="D665" s="42" t="s">
        <v>4127</v>
      </c>
      <c r="E665" s="42" t="s">
        <v>4128</v>
      </c>
      <c r="F665" s="42" t="s">
        <v>4129</v>
      </c>
      <c r="G665" s="42" t="s">
        <v>34</v>
      </c>
      <c r="H665" s="43">
        <v>2</v>
      </c>
      <c r="I665" s="44">
        <v>0.42</v>
      </c>
      <c r="J665" s="45">
        <v>44151</v>
      </c>
      <c r="K665" s="46" t="s">
        <v>20</v>
      </c>
      <c r="L665" s="47">
        <v>4.99</v>
      </c>
      <c r="M665" s="32"/>
    </row>
    <row r="666" spans="1:13" ht="35" customHeight="1">
      <c r="A666" s="23">
        <f>ROW()-3</f>
        <v>663</v>
      </c>
      <c r="B666" s="42" t="s">
        <v>2732</v>
      </c>
      <c r="C666" s="42" t="s">
        <v>4064</v>
      </c>
      <c r="D666" s="43" t="s">
        <v>4068</v>
      </c>
      <c r="E666" s="43" t="s">
        <v>4069</v>
      </c>
      <c r="F666" s="43" t="s">
        <v>4070</v>
      </c>
      <c r="G666" s="42" t="s">
        <v>34</v>
      </c>
      <c r="H666" s="42">
        <v>1</v>
      </c>
      <c r="I666" s="44">
        <v>0.78666666666666696</v>
      </c>
      <c r="J666" s="45">
        <v>44200</v>
      </c>
      <c r="K666" s="46" t="s">
        <v>20</v>
      </c>
      <c r="L666" s="47">
        <v>4.99</v>
      </c>
      <c r="M666" s="32"/>
    </row>
    <row r="667" spans="1:13" ht="35" customHeight="1">
      <c r="A667" s="23">
        <f>ROW()-3</f>
        <v>664</v>
      </c>
      <c r="B667" s="42" t="s">
        <v>2732</v>
      </c>
      <c r="C667" s="43" t="s">
        <v>4064</v>
      </c>
      <c r="D667" s="43" t="s">
        <v>4142</v>
      </c>
      <c r="E667" s="43" t="s">
        <v>4143</v>
      </c>
      <c r="F667" s="43" t="s">
        <v>4082</v>
      </c>
      <c r="G667" s="43" t="s">
        <v>34</v>
      </c>
      <c r="H667" s="42">
        <v>1</v>
      </c>
      <c r="I667" s="42">
        <v>0.5</v>
      </c>
      <c r="J667" s="53">
        <v>44221</v>
      </c>
      <c r="K667" s="51" t="s">
        <v>20</v>
      </c>
      <c r="L667" s="47">
        <v>4.99</v>
      </c>
      <c r="M667" s="32"/>
    </row>
    <row r="668" spans="1:13" ht="35" customHeight="1">
      <c r="A668" s="23">
        <f>ROW()-3</f>
        <v>665</v>
      </c>
      <c r="B668" s="42" t="s">
        <v>2732</v>
      </c>
      <c r="C668" s="43" t="s">
        <v>4064</v>
      </c>
      <c r="D668" s="43" t="s">
        <v>4144</v>
      </c>
      <c r="E668" s="43" t="s">
        <v>4145</v>
      </c>
      <c r="F668" s="43" t="s">
        <v>4146</v>
      </c>
      <c r="G668" s="43" t="s">
        <v>34</v>
      </c>
      <c r="H668" s="42">
        <v>1</v>
      </c>
      <c r="I668" s="42">
        <v>0.5</v>
      </c>
      <c r="J668" s="53">
        <v>44221</v>
      </c>
      <c r="K668" s="51" t="s">
        <v>20</v>
      </c>
      <c r="L668" s="47">
        <v>4.99</v>
      </c>
      <c r="M668" s="32"/>
    </row>
    <row r="669" spans="1:13" ht="35" customHeight="1">
      <c r="A669" s="23">
        <f>ROW()-3</f>
        <v>666</v>
      </c>
      <c r="B669" s="42" t="s">
        <v>2732</v>
      </c>
      <c r="C669" s="42" t="s">
        <v>4064</v>
      </c>
      <c r="D669" s="43" t="s">
        <v>4147</v>
      </c>
      <c r="E669" s="42" t="s">
        <v>4148</v>
      </c>
      <c r="F669" s="42" t="s">
        <v>4079</v>
      </c>
      <c r="G669" s="42" t="s">
        <v>34</v>
      </c>
      <c r="H669" s="42">
        <v>1</v>
      </c>
      <c r="I669" s="42">
        <v>0.6</v>
      </c>
      <c r="J669" s="45">
        <v>44235</v>
      </c>
      <c r="K669" s="63" t="s">
        <v>20</v>
      </c>
      <c r="L669" s="47">
        <v>4.99</v>
      </c>
    </row>
    <row r="670" spans="1:13" ht="35" customHeight="1">
      <c r="A670" s="23">
        <f>ROW()-3</f>
        <v>667</v>
      </c>
      <c r="B670" s="42" t="s">
        <v>2732</v>
      </c>
      <c r="C670" s="43" t="s">
        <v>4064</v>
      </c>
      <c r="D670" s="43" t="s">
        <v>4149</v>
      </c>
      <c r="E670" s="43" t="s">
        <v>4150</v>
      </c>
      <c r="F670" s="43" t="s">
        <v>4151</v>
      </c>
      <c r="G670" s="43" t="s">
        <v>34</v>
      </c>
      <c r="H670" s="42">
        <v>1</v>
      </c>
      <c r="I670" s="42">
        <v>0.5</v>
      </c>
      <c r="J670" s="53">
        <v>44249</v>
      </c>
      <c r="K670" s="51" t="s">
        <v>20</v>
      </c>
      <c r="L670" s="47">
        <v>4.99</v>
      </c>
    </row>
    <row r="671" spans="1:13" ht="35" customHeight="1">
      <c r="A671" s="23">
        <f>ROW()-3</f>
        <v>668</v>
      </c>
      <c r="B671" s="42" t="s">
        <v>2732</v>
      </c>
      <c r="C671" s="43" t="s">
        <v>4064</v>
      </c>
      <c r="D671" s="43" t="s">
        <v>4152</v>
      </c>
      <c r="E671" s="43" t="s">
        <v>4153</v>
      </c>
      <c r="F671" s="43" t="s">
        <v>4154</v>
      </c>
      <c r="G671" s="43" t="s">
        <v>34</v>
      </c>
      <c r="H671" s="42">
        <v>1</v>
      </c>
      <c r="I671" s="42">
        <v>0.5</v>
      </c>
      <c r="J671" s="53">
        <v>44362</v>
      </c>
      <c r="K671" s="51" t="s">
        <v>20</v>
      </c>
      <c r="L671" s="47">
        <v>4.99</v>
      </c>
    </row>
    <row r="672" spans="1:13" ht="35" customHeight="1">
      <c r="A672" s="23">
        <f>ROW()-3</f>
        <v>669</v>
      </c>
      <c r="B672" s="42" t="s">
        <v>2732</v>
      </c>
      <c r="C672" s="43" t="s">
        <v>4064</v>
      </c>
      <c r="D672" s="43" t="s">
        <v>4155</v>
      </c>
      <c r="E672" s="43" t="s">
        <v>4069</v>
      </c>
      <c r="F672" s="43" t="s">
        <v>4156</v>
      </c>
      <c r="G672" s="43" t="s">
        <v>34</v>
      </c>
      <c r="H672" s="42">
        <v>1</v>
      </c>
      <c r="I672" s="42">
        <v>0.5</v>
      </c>
      <c r="J672" s="53">
        <v>44396</v>
      </c>
      <c r="K672" s="51" t="s">
        <v>20</v>
      </c>
      <c r="L672" s="47">
        <v>4.99</v>
      </c>
    </row>
    <row r="673" spans="1:13" ht="35" customHeight="1">
      <c r="A673" s="23">
        <f>ROW()-3</f>
        <v>670</v>
      </c>
      <c r="B673" s="42" t="s">
        <v>2732</v>
      </c>
      <c r="C673" s="43" t="s">
        <v>4064</v>
      </c>
      <c r="D673" s="43" t="s">
        <v>4157</v>
      </c>
      <c r="E673" s="43" t="s">
        <v>4158</v>
      </c>
      <c r="F673" s="43" t="s">
        <v>4159</v>
      </c>
      <c r="G673" s="43" t="s">
        <v>34</v>
      </c>
      <c r="H673" s="42">
        <v>1</v>
      </c>
      <c r="I673" s="42">
        <v>0.42</v>
      </c>
      <c r="J673" s="53">
        <v>44438</v>
      </c>
      <c r="K673" s="51" t="s">
        <v>20</v>
      </c>
      <c r="L673" s="47">
        <v>4.99</v>
      </c>
    </row>
    <row r="674" spans="1:13" ht="35" customHeight="1">
      <c r="A674" s="23">
        <f>ROW()-3</f>
        <v>671</v>
      </c>
      <c r="B674" s="42" t="s">
        <v>2732</v>
      </c>
      <c r="C674" s="43" t="s">
        <v>4064</v>
      </c>
      <c r="D674" s="43" t="s">
        <v>4160</v>
      </c>
      <c r="E674" s="43" t="s">
        <v>4161</v>
      </c>
      <c r="F674" s="43" t="s">
        <v>4162</v>
      </c>
      <c r="G674" s="43" t="s">
        <v>34</v>
      </c>
      <c r="H674" s="42">
        <v>1</v>
      </c>
      <c r="I674" s="42">
        <v>0.42</v>
      </c>
      <c r="J674" s="53">
        <v>44571</v>
      </c>
      <c r="K674" s="51" t="s">
        <v>20</v>
      </c>
      <c r="L674" s="47">
        <v>4.99</v>
      </c>
    </row>
    <row r="675" spans="1:13" ht="35" customHeight="1">
      <c r="A675" s="23">
        <f>ROW()-3</f>
        <v>672</v>
      </c>
      <c r="B675" s="42" t="s">
        <v>2732</v>
      </c>
      <c r="C675" s="42" t="s">
        <v>4163</v>
      </c>
      <c r="D675" s="43" t="s">
        <v>4164</v>
      </c>
      <c r="E675" s="43" t="s">
        <v>4165</v>
      </c>
      <c r="F675" s="43" t="s">
        <v>3140</v>
      </c>
      <c r="G675" s="42" t="s">
        <v>34</v>
      </c>
      <c r="H675" s="42">
        <v>1</v>
      </c>
      <c r="I675" s="44">
        <v>0.42333333333333301</v>
      </c>
      <c r="J675" s="45">
        <v>43483</v>
      </c>
      <c r="K675" s="46" t="s">
        <v>20</v>
      </c>
      <c r="L675" s="47">
        <v>4.99</v>
      </c>
      <c r="M675" s="32"/>
    </row>
    <row r="676" spans="1:13" ht="35" customHeight="1">
      <c r="A676" s="23">
        <f>ROW()-3</f>
        <v>673</v>
      </c>
      <c r="B676" s="42" t="s">
        <v>2732</v>
      </c>
      <c r="C676" s="42" t="s">
        <v>4163</v>
      </c>
      <c r="D676" s="43" t="s">
        <v>4244</v>
      </c>
      <c r="E676" s="43" t="s">
        <v>4245</v>
      </c>
      <c r="F676" s="43" t="s">
        <v>4246</v>
      </c>
      <c r="G676" s="42" t="s">
        <v>34</v>
      </c>
      <c r="H676" s="42">
        <v>1</v>
      </c>
      <c r="I676" s="44">
        <v>0.34722222222222199</v>
      </c>
      <c r="J676" s="45">
        <v>43775</v>
      </c>
      <c r="K676" s="46" t="s">
        <v>20</v>
      </c>
      <c r="L676" s="47">
        <v>4.99</v>
      </c>
      <c r="M676" s="32"/>
    </row>
    <row r="677" spans="1:13" ht="35" customHeight="1">
      <c r="A677" s="23">
        <f>ROW()-3</f>
        <v>674</v>
      </c>
      <c r="B677" s="42" t="s">
        <v>2732</v>
      </c>
      <c r="C677" s="42" t="s">
        <v>4163</v>
      </c>
      <c r="D677" s="43" t="s">
        <v>4238</v>
      </c>
      <c r="E677" s="43" t="s">
        <v>4239</v>
      </c>
      <c r="F677" s="43" t="s">
        <v>3455</v>
      </c>
      <c r="G677" s="42" t="s">
        <v>34</v>
      </c>
      <c r="H677" s="42">
        <v>1</v>
      </c>
      <c r="I677" s="44">
        <v>0.862222222222222</v>
      </c>
      <c r="J677" s="45">
        <v>43920</v>
      </c>
      <c r="K677" s="46" t="s">
        <v>20</v>
      </c>
      <c r="L677" s="47">
        <v>4.99</v>
      </c>
      <c r="M677" s="32"/>
    </row>
    <row r="678" spans="1:13" ht="35" customHeight="1">
      <c r="A678" s="23">
        <f>ROW()-3</f>
        <v>675</v>
      </c>
      <c r="B678" s="42" t="s">
        <v>2732</v>
      </c>
      <c r="C678" s="42" t="s">
        <v>4163</v>
      </c>
      <c r="D678" s="43" t="s">
        <v>4225</v>
      </c>
      <c r="E678" s="43" t="s">
        <v>4226</v>
      </c>
      <c r="F678" s="43" t="s">
        <v>3589</v>
      </c>
      <c r="G678" s="42" t="s">
        <v>34</v>
      </c>
      <c r="H678" s="42">
        <v>1</v>
      </c>
      <c r="I678" s="44">
        <v>0.41138888888888903</v>
      </c>
      <c r="J678" s="45">
        <v>43962</v>
      </c>
      <c r="K678" s="46" t="s">
        <v>20</v>
      </c>
      <c r="L678" s="47">
        <v>4.99</v>
      </c>
    </row>
    <row r="679" spans="1:13" ht="35" customHeight="1">
      <c r="A679" s="23">
        <f>ROW()-3</f>
        <v>676</v>
      </c>
      <c r="B679" s="42" t="s">
        <v>2732</v>
      </c>
      <c r="C679" s="42" t="s">
        <v>4163</v>
      </c>
      <c r="D679" s="43" t="s">
        <v>4234</v>
      </c>
      <c r="E679" s="43" t="s">
        <v>4235</v>
      </c>
      <c r="F679" s="43" t="s">
        <v>3639</v>
      </c>
      <c r="G679" s="42" t="s">
        <v>34</v>
      </c>
      <c r="H679" s="42">
        <v>1</v>
      </c>
      <c r="I679" s="44">
        <v>0.32166666666666699</v>
      </c>
      <c r="J679" s="45">
        <v>43962</v>
      </c>
      <c r="K679" s="46" t="s">
        <v>20</v>
      </c>
      <c r="L679" s="47">
        <v>4.99</v>
      </c>
      <c r="M679" s="32"/>
    </row>
    <row r="680" spans="1:13" ht="35" customHeight="1">
      <c r="A680" s="23">
        <f>ROW()-3</f>
        <v>677</v>
      </c>
      <c r="B680" s="42" t="s">
        <v>2732</v>
      </c>
      <c r="C680" s="42" t="s">
        <v>4163</v>
      </c>
      <c r="D680" s="43" t="s">
        <v>4236</v>
      </c>
      <c r="E680" s="43" t="s">
        <v>4237</v>
      </c>
      <c r="F680" s="43" t="s">
        <v>2932</v>
      </c>
      <c r="G680" s="42" t="s">
        <v>34</v>
      </c>
      <c r="H680" s="42">
        <v>1</v>
      </c>
      <c r="I680" s="44">
        <v>0.39777777777777801</v>
      </c>
      <c r="J680" s="45">
        <v>43962</v>
      </c>
      <c r="K680" s="46" t="s">
        <v>20</v>
      </c>
      <c r="L680" s="47">
        <v>4.99</v>
      </c>
      <c r="M680" s="32"/>
    </row>
    <row r="681" spans="1:13" ht="35" customHeight="1">
      <c r="A681" s="23">
        <f>ROW()-3</f>
        <v>678</v>
      </c>
      <c r="B681" s="42" t="s">
        <v>2732</v>
      </c>
      <c r="C681" s="42" t="s">
        <v>4163</v>
      </c>
      <c r="D681" s="43" t="s">
        <v>4248</v>
      </c>
      <c r="E681" s="43" t="s">
        <v>4249</v>
      </c>
      <c r="F681" s="43" t="s">
        <v>191</v>
      </c>
      <c r="G681" s="42" t="s">
        <v>34</v>
      </c>
      <c r="H681" s="42">
        <v>1</v>
      </c>
      <c r="I681" s="44">
        <v>0.27138888888888901</v>
      </c>
      <c r="J681" s="45">
        <v>43962</v>
      </c>
      <c r="K681" s="46" t="s">
        <v>20</v>
      </c>
      <c r="L681" s="47">
        <v>4.99</v>
      </c>
      <c r="M681" s="32"/>
    </row>
    <row r="682" spans="1:13" ht="35" customHeight="1">
      <c r="A682" s="23">
        <f>ROW()-3</f>
        <v>679</v>
      </c>
      <c r="B682" s="42" t="s">
        <v>2732</v>
      </c>
      <c r="C682" s="42" t="s">
        <v>4163</v>
      </c>
      <c r="D682" s="43" t="s">
        <v>4282</v>
      </c>
      <c r="E682" s="43" t="s">
        <v>4283</v>
      </c>
      <c r="F682" s="43" t="s">
        <v>3759</v>
      </c>
      <c r="G682" s="42" t="s">
        <v>34</v>
      </c>
      <c r="H682" s="42">
        <v>1</v>
      </c>
      <c r="I682" s="44">
        <v>0.392777777777778</v>
      </c>
      <c r="J682" s="45">
        <v>43962</v>
      </c>
      <c r="K682" s="46" t="s">
        <v>20</v>
      </c>
      <c r="L682" s="47">
        <v>4.99</v>
      </c>
    </row>
    <row r="683" spans="1:13" ht="35" customHeight="1">
      <c r="A683" s="23">
        <f>ROW()-3</f>
        <v>680</v>
      </c>
      <c r="B683" s="42" t="s">
        <v>2732</v>
      </c>
      <c r="C683" s="42" t="s">
        <v>4163</v>
      </c>
      <c r="D683" s="43" t="s">
        <v>4284</v>
      </c>
      <c r="E683" s="43" t="s">
        <v>4285</v>
      </c>
      <c r="F683" s="43" t="s">
        <v>2739</v>
      </c>
      <c r="G683" s="42" t="s">
        <v>34</v>
      </c>
      <c r="H683" s="42">
        <v>1</v>
      </c>
      <c r="I683" s="44">
        <v>0.50722222222222202</v>
      </c>
      <c r="J683" s="45">
        <v>43962</v>
      </c>
      <c r="K683" s="46" t="s">
        <v>20</v>
      </c>
      <c r="L683" s="47">
        <v>4.99</v>
      </c>
    </row>
    <row r="684" spans="1:13" ht="35" customHeight="1">
      <c r="A684" s="23">
        <f>ROW()-3</f>
        <v>681</v>
      </c>
      <c r="B684" s="42" t="s">
        <v>2732</v>
      </c>
      <c r="C684" s="42" t="s">
        <v>4163</v>
      </c>
      <c r="D684" s="43" t="s">
        <v>4286</v>
      </c>
      <c r="E684" s="43" t="s">
        <v>4287</v>
      </c>
      <c r="F684" s="43" t="s">
        <v>2739</v>
      </c>
      <c r="G684" s="42" t="s">
        <v>34</v>
      </c>
      <c r="H684" s="42">
        <v>1</v>
      </c>
      <c r="I684" s="44">
        <v>0.50916666666666699</v>
      </c>
      <c r="J684" s="45">
        <v>43962</v>
      </c>
      <c r="K684" s="46" t="s">
        <v>20</v>
      </c>
      <c r="L684" s="47">
        <v>4.99</v>
      </c>
    </row>
    <row r="685" spans="1:13" ht="35" customHeight="1">
      <c r="A685" s="23">
        <f>ROW()-3</f>
        <v>682</v>
      </c>
      <c r="B685" s="42" t="s">
        <v>2732</v>
      </c>
      <c r="C685" s="42" t="s">
        <v>4163</v>
      </c>
      <c r="D685" s="43" t="s">
        <v>4228</v>
      </c>
      <c r="E685" s="43" t="s">
        <v>3990</v>
      </c>
      <c r="F685" s="43" t="s">
        <v>3589</v>
      </c>
      <c r="G685" s="42" t="s">
        <v>34</v>
      </c>
      <c r="H685" s="42">
        <v>1</v>
      </c>
      <c r="I685" s="44">
        <v>0.22</v>
      </c>
      <c r="J685" s="45">
        <v>43976</v>
      </c>
      <c r="K685" s="46" t="s">
        <v>20</v>
      </c>
      <c r="L685" s="47">
        <v>4.99</v>
      </c>
      <c r="M685" s="32"/>
    </row>
    <row r="686" spans="1:13" ht="35" customHeight="1">
      <c r="A686" s="23">
        <f>ROW()-3</f>
        <v>683</v>
      </c>
      <c r="B686" s="42" t="s">
        <v>2732</v>
      </c>
      <c r="C686" s="42" t="s">
        <v>4163</v>
      </c>
      <c r="D686" s="43" t="s">
        <v>4181</v>
      </c>
      <c r="E686" s="43" t="s">
        <v>4182</v>
      </c>
      <c r="F686" s="43" t="s">
        <v>2773</v>
      </c>
      <c r="G686" s="42" t="s">
        <v>34</v>
      </c>
      <c r="H686" s="42">
        <v>1</v>
      </c>
      <c r="I686" s="44">
        <v>0.37222222222222201</v>
      </c>
      <c r="J686" s="45">
        <v>43978</v>
      </c>
      <c r="K686" s="46" t="s">
        <v>20</v>
      </c>
      <c r="L686" s="47">
        <v>4.99</v>
      </c>
    </row>
    <row r="687" spans="1:13" ht="35" customHeight="1">
      <c r="A687" s="23">
        <f>ROW()-3</f>
        <v>684</v>
      </c>
      <c r="B687" s="42" t="s">
        <v>2732</v>
      </c>
      <c r="C687" s="42" t="s">
        <v>4163</v>
      </c>
      <c r="D687" s="43" t="s">
        <v>4206</v>
      </c>
      <c r="E687" s="43" t="s">
        <v>4207</v>
      </c>
      <c r="F687" s="43" t="s">
        <v>4208</v>
      </c>
      <c r="G687" s="42" t="s">
        <v>34</v>
      </c>
      <c r="H687" s="42">
        <v>1</v>
      </c>
      <c r="I687" s="44">
        <v>0.48277777777777803</v>
      </c>
      <c r="J687" s="45">
        <v>43978</v>
      </c>
      <c r="K687" s="46" t="s">
        <v>20</v>
      </c>
      <c r="L687" s="47">
        <v>4.99</v>
      </c>
    </row>
    <row r="688" spans="1:13" ht="35" customHeight="1">
      <c r="A688" s="23">
        <f>ROW()-3</f>
        <v>685</v>
      </c>
      <c r="B688" s="42" t="s">
        <v>2732</v>
      </c>
      <c r="C688" s="42" t="s">
        <v>4163</v>
      </c>
      <c r="D688" s="43" t="s">
        <v>4209</v>
      </c>
      <c r="E688" s="43" t="s">
        <v>4210</v>
      </c>
      <c r="F688" s="43" t="s">
        <v>4211</v>
      </c>
      <c r="G688" s="42" t="s">
        <v>34</v>
      </c>
      <c r="H688" s="42">
        <v>1</v>
      </c>
      <c r="I688" s="44">
        <v>0.359722222222222</v>
      </c>
      <c r="J688" s="45">
        <v>43978</v>
      </c>
      <c r="K688" s="46" t="s">
        <v>20</v>
      </c>
      <c r="L688" s="47">
        <v>4.99</v>
      </c>
    </row>
    <row r="689" spans="1:13" ht="35" customHeight="1">
      <c r="A689" s="23">
        <f>ROW()-3</f>
        <v>686</v>
      </c>
      <c r="B689" s="42" t="s">
        <v>2732</v>
      </c>
      <c r="C689" s="42" t="s">
        <v>4163</v>
      </c>
      <c r="D689" s="43" t="s">
        <v>4212</v>
      </c>
      <c r="E689" s="43" t="s">
        <v>4213</v>
      </c>
      <c r="F689" s="43" t="s">
        <v>4214</v>
      </c>
      <c r="G689" s="42" t="s">
        <v>34</v>
      </c>
      <c r="H689" s="42">
        <v>1</v>
      </c>
      <c r="I689" s="44">
        <v>0.51500000000000001</v>
      </c>
      <c r="J689" s="45">
        <v>43978</v>
      </c>
      <c r="K689" s="46" t="s">
        <v>20</v>
      </c>
      <c r="L689" s="47">
        <v>4.99</v>
      </c>
    </row>
    <row r="690" spans="1:13" ht="35" customHeight="1">
      <c r="A690" s="23">
        <f>ROW()-3</f>
        <v>687</v>
      </c>
      <c r="B690" s="42" t="s">
        <v>2732</v>
      </c>
      <c r="C690" s="42" t="s">
        <v>4163</v>
      </c>
      <c r="D690" s="43" t="s">
        <v>4215</v>
      </c>
      <c r="E690" s="43" t="s">
        <v>4216</v>
      </c>
      <c r="F690" s="43" t="s">
        <v>4214</v>
      </c>
      <c r="G690" s="42" t="s">
        <v>34</v>
      </c>
      <c r="H690" s="42">
        <v>1</v>
      </c>
      <c r="I690" s="44">
        <v>0.50527777777777805</v>
      </c>
      <c r="J690" s="45">
        <v>43978</v>
      </c>
      <c r="K690" s="46" t="s">
        <v>20</v>
      </c>
      <c r="L690" s="47">
        <v>4.99</v>
      </c>
    </row>
    <row r="691" spans="1:13" ht="35" customHeight="1">
      <c r="A691" s="23">
        <f>ROW()-3</f>
        <v>688</v>
      </c>
      <c r="B691" s="42" t="s">
        <v>2732</v>
      </c>
      <c r="C691" s="42" t="s">
        <v>4163</v>
      </c>
      <c r="D691" s="43" t="s">
        <v>4217</v>
      </c>
      <c r="E691" s="43" t="s">
        <v>4218</v>
      </c>
      <c r="F691" s="43" t="s">
        <v>4219</v>
      </c>
      <c r="G691" s="42" t="s">
        <v>34</v>
      </c>
      <c r="H691" s="42">
        <v>1</v>
      </c>
      <c r="I691" s="44">
        <v>1.0019444444444401</v>
      </c>
      <c r="J691" s="45">
        <v>43978</v>
      </c>
      <c r="K691" s="46" t="s">
        <v>20</v>
      </c>
      <c r="L691" s="47">
        <v>4.99</v>
      </c>
    </row>
    <row r="692" spans="1:13" ht="35" customHeight="1">
      <c r="A692" s="23">
        <f>ROW()-3</f>
        <v>689</v>
      </c>
      <c r="B692" s="42" t="s">
        <v>2732</v>
      </c>
      <c r="C692" s="42" t="s">
        <v>4163</v>
      </c>
      <c r="D692" s="43" t="s">
        <v>4220</v>
      </c>
      <c r="E692" s="43" t="s">
        <v>4221</v>
      </c>
      <c r="F692" s="43" t="s">
        <v>3905</v>
      </c>
      <c r="G692" s="42" t="s">
        <v>34</v>
      </c>
      <c r="H692" s="42">
        <v>1</v>
      </c>
      <c r="I692" s="44">
        <v>0.43305555555555603</v>
      </c>
      <c r="J692" s="45">
        <v>43978</v>
      </c>
      <c r="K692" s="46" t="s">
        <v>20</v>
      </c>
      <c r="L692" s="47">
        <v>4.99</v>
      </c>
    </row>
    <row r="693" spans="1:13" ht="35" customHeight="1">
      <c r="A693" s="23">
        <f>ROW()-3</f>
        <v>690</v>
      </c>
      <c r="B693" s="42" t="s">
        <v>2732</v>
      </c>
      <c r="C693" s="42" t="s">
        <v>4163</v>
      </c>
      <c r="D693" s="43" t="s">
        <v>4222</v>
      </c>
      <c r="E693" s="43" t="s">
        <v>4223</v>
      </c>
      <c r="F693" s="43" t="s">
        <v>4224</v>
      </c>
      <c r="G693" s="42" t="s">
        <v>34</v>
      </c>
      <c r="H693" s="42">
        <v>1</v>
      </c>
      <c r="I693" s="44">
        <v>0.70833333333333304</v>
      </c>
      <c r="J693" s="45">
        <v>43978</v>
      </c>
      <c r="K693" s="46" t="s">
        <v>20</v>
      </c>
      <c r="L693" s="47">
        <v>4.99</v>
      </c>
    </row>
    <row r="694" spans="1:13" ht="35" customHeight="1">
      <c r="A694" s="23">
        <f>ROW()-3</f>
        <v>691</v>
      </c>
      <c r="B694" s="42" t="s">
        <v>2732</v>
      </c>
      <c r="C694" s="42" t="s">
        <v>4163</v>
      </c>
      <c r="D694" s="43" t="s">
        <v>4227</v>
      </c>
      <c r="E694" s="43" t="s">
        <v>3990</v>
      </c>
      <c r="F694" s="43" t="s">
        <v>3589</v>
      </c>
      <c r="G694" s="42" t="s">
        <v>34</v>
      </c>
      <c r="H694" s="42">
        <v>1</v>
      </c>
      <c r="I694" s="44">
        <v>0.22</v>
      </c>
      <c r="J694" s="45">
        <v>43978</v>
      </c>
      <c r="K694" s="46" t="s">
        <v>20</v>
      </c>
      <c r="L694" s="47">
        <v>4.99</v>
      </c>
    </row>
    <row r="695" spans="1:13" ht="35" customHeight="1">
      <c r="A695" s="23">
        <f>ROW()-3</f>
        <v>692</v>
      </c>
      <c r="B695" s="42" t="s">
        <v>2732</v>
      </c>
      <c r="C695" s="42" t="s">
        <v>4163</v>
      </c>
      <c r="D695" s="43" t="s">
        <v>4229</v>
      </c>
      <c r="E695" s="43" t="s">
        <v>4230</v>
      </c>
      <c r="F695" s="43" t="s">
        <v>1179</v>
      </c>
      <c r="G695" s="42" t="s">
        <v>34</v>
      </c>
      <c r="H695" s="42">
        <v>1</v>
      </c>
      <c r="I695" s="44">
        <v>0.55000000000000004</v>
      </c>
      <c r="J695" s="45">
        <v>43978</v>
      </c>
      <c r="K695" s="46" t="s">
        <v>20</v>
      </c>
      <c r="L695" s="47">
        <v>4.99</v>
      </c>
      <c r="M695" s="32"/>
    </row>
    <row r="696" spans="1:13" ht="35" customHeight="1">
      <c r="A696" s="23">
        <f>ROW()-3</f>
        <v>693</v>
      </c>
      <c r="B696" s="42" t="s">
        <v>2732</v>
      </c>
      <c r="C696" s="42" t="s">
        <v>4163</v>
      </c>
      <c r="D696" s="43" t="s">
        <v>4231</v>
      </c>
      <c r="E696" s="43" t="s">
        <v>3588</v>
      </c>
      <c r="F696" s="43" t="s">
        <v>3389</v>
      </c>
      <c r="G696" s="42" t="s">
        <v>34</v>
      </c>
      <c r="H696" s="42">
        <v>1</v>
      </c>
      <c r="I696" s="44">
        <v>0.32583333333333298</v>
      </c>
      <c r="J696" s="45">
        <v>43978</v>
      </c>
      <c r="K696" s="46" t="s">
        <v>20</v>
      </c>
      <c r="L696" s="47">
        <v>4.99</v>
      </c>
      <c r="M696" s="32"/>
    </row>
    <row r="697" spans="1:13" ht="35" customHeight="1">
      <c r="A697" s="23">
        <f>ROW()-3</f>
        <v>694</v>
      </c>
      <c r="B697" s="42" t="s">
        <v>2732</v>
      </c>
      <c r="C697" s="42" t="s">
        <v>4163</v>
      </c>
      <c r="D697" s="43" t="s">
        <v>4232</v>
      </c>
      <c r="E697" s="43" t="s">
        <v>4233</v>
      </c>
      <c r="F697" s="43" t="s">
        <v>3332</v>
      </c>
      <c r="G697" s="42" t="s">
        <v>34</v>
      </c>
      <c r="H697" s="42">
        <v>1</v>
      </c>
      <c r="I697" s="44">
        <v>0.44861111111111102</v>
      </c>
      <c r="J697" s="45">
        <v>43978</v>
      </c>
      <c r="K697" s="46" t="s">
        <v>20</v>
      </c>
      <c r="L697" s="47">
        <v>4.99</v>
      </c>
      <c r="M697" s="32"/>
    </row>
    <row r="698" spans="1:13" ht="35" customHeight="1">
      <c r="A698" s="23">
        <f>ROW()-3</f>
        <v>695</v>
      </c>
      <c r="B698" s="42" t="s">
        <v>2732</v>
      </c>
      <c r="C698" s="42" t="s">
        <v>4163</v>
      </c>
      <c r="D698" s="43" t="s">
        <v>4240</v>
      </c>
      <c r="E698" s="43" t="s">
        <v>4241</v>
      </c>
      <c r="F698" s="43" t="s">
        <v>2861</v>
      </c>
      <c r="G698" s="42" t="s">
        <v>34</v>
      </c>
      <c r="H698" s="42">
        <v>1</v>
      </c>
      <c r="I698" s="44">
        <v>0.57055555555555604</v>
      </c>
      <c r="J698" s="45">
        <v>43978</v>
      </c>
      <c r="K698" s="46" t="s">
        <v>20</v>
      </c>
      <c r="L698" s="47">
        <v>4.99</v>
      </c>
      <c r="M698" s="32"/>
    </row>
    <row r="699" spans="1:13" ht="35" customHeight="1">
      <c r="A699" s="23">
        <f>ROW()-3</f>
        <v>696</v>
      </c>
      <c r="B699" s="42" t="s">
        <v>2732</v>
      </c>
      <c r="C699" s="42" t="s">
        <v>4163</v>
      </c>
      <c r="D699" s="43" t="s">
        <v>4242</v>
      </c>
      <c r="E699" s="43" t="s">
        <v>2896</v>
      </c>
      <c r="F699" s="43" t="s">
        <v>4243</v>
      </c>
      <c r="G699" s="42" t="s">
        <v>34</v>
      </c>
      <c r="H699" s="42">
        <v>1</v>
      </c>
      <c r="I699" s="44">
        <v>0.40972222222222199</v>
      </c>
      <c r="J699" s="45">
        <v>43978</v>
      </c>
      <c r="K699" s="46" t="s">
        <v>20</v>
      </c>
      <c r="L699" s="47">
        <v>4.99</v>
      </c>
      <c r="M699" s="32"/>
    </row>
    <row r="700" spans="1:13" ht="35" customHeight="1">
      <c r="A700" s="23">
        <f>ROW()-3</f>
        <v>697</v>
      </c>
      <c r="B700" s="42" t="s">
        <v>2732</v>
      </c>
      <c r="C700" s="42" t="s">
        <v>4163</v>
      </c>
      <c r="D700" s="43" t="s">
        <v>4192</v>
      </c>
      <c r="E700" s="43" t="s">
        <v>3342</v>
      </c>
      <c r="F700" s="43" t="s">
        <v>4247</v>
      </c>
      <c r="G700" s="42" t="s">
        <v>34</v>
      </c>
      <c r="H700" s="42">
        <v>1</v>
      </c>
      <c r="I700" s="44">
        <v>0.43055555555555602</v>
      </c>
      <c r="J700" s="45">
        <v>43978</v>
      </c>
      <c r="K700" s="46" t="s">
        <v>20</v>
      </c>
      <c r="L700" s="47">
        <v>4.99</v>
      </c>
      <c r="M700" s="32"/>
    </row>
    <row r="701" spans="1:13" ht="35" customHeight="1">
      <c r="A701" s="23">
        <f>ROW()-3</f>
        <v>698</v>
      </c>
      <c r="B701" s="42" t="s">
        <v>2732</v>
      </c>
      <c r="C701" s="42" t="s">
        <v>4163</v>
      </c>
      <c r="D701" s="43" t="s">
        <v>4276</v>
      </c>
      <c r="E701" s="43" t="s">
        <v>4277</v>
      </c>
      <c r="F701" s="43" t="s">
        <v>3242</v>
      </c>
      <c r="G701" s="42" t="s">
        <v>34</v>
      </c>
      <c r="H701" s="42">
        <v>1</v>
      </c>
      <c r="I701" s="44">
        <v>0.44166666666666698</v>
      </c>
      <c r="J701" s="45">
        <v>43978</v>
      </c>
      <c r="K701" s="46" t="s">
        <v>20</v>
      </c>
      <c r="L701" s="47">
        <v>4.99</v>
      </c>
    </row>
    <row r="702" spans="1:13" ht="35" customHeight="1">
      <c r="A702" s="23">
        <f>ROW()-3</f>
        <v>699</v>
      </c>
      <c r="B702" s="42" t="s">
        <v>2732</v>
      </c>
      <c r="C702" s="42" t="s">
        <v>4163</v>
      </c>
      <c r="D702" s="43" t="s">
        <v>4278</v>
      </c>
      <c r="E702" s="43" t="s">
        <v>4279</v>
      </c>
      <c r="F702" s="43" t="s">
        <v>3086</v>
      </c>
      <c r="G702" s="42" t="s">
        <v>34</v>
      </c>
      <c r="H702" s="42">
        <v>1</v>
      </c>
      <c r="I702" s="44">
        <v>0.57694444444444404</v>
      </c>
      <c r="J702" s="45">
        <v>43978</v>
      </c>
      <c r="K702" s="46" t="s">
        <v>20</v>
      </c>
      <c r="L702" s="47">
        <v>4.99</v>
      </c>
    </row>
    <row r="703" spans="1:13" ht="35" customHeight="1">
      <c r="A703" s="23">
        <f>ROW()-3</f>
        <v>700</v>
      </c>
      <c r="B703" s="42" t="s">
        <v>2732</v>
      </c>
      <c r="C703" s="42" t="s">
        <v>4163</v>
      </c>
      <c r="D703" s="43" t="s">
        <v>4280</v>
      </c>
      <c r="E703" s="43" t="s">
        <v>4281</v>
      </c>
      <c r="F703" s="43" t="s">
        <v>2916</v>
      </c>
      <c r="G703" s="42" t="s">
        <v>34</v>
      </c>
      <c r="H703" s="42">
        <v>1</v>
      </c>
      <c r="I703" s="44">
        <v>0.35277777777777802</v>
      </c>
      <c r="J703" s="45">
        <v>43978</v>
      </c>
      <c r="K703" s="46" t="s">
        <v>20</v>
      </c>
      <c r="L703" s="47">
        <v>4.99</v>
      </c>
    </row>
    <row r="704" spans="1:13" ht="35" customHeight="1">
      <c r="A704" s="23">
        <f>ROW()-3</f>
        <v>701</v>
      </c>
      <c r="B704" s="42" t="s">
        <v>2732</v>
      </c>
      <c r="C704" s="42" t="s">
        <v>4163</v>
      </c>
      <c r="D704" s="43" t="s">
        <v>4310</v>
      </c>
      <c r="E704" s="43" t="s">
        <v>512</v>
      </c>
      <c r="F704" s="43" t="s">
        <v>4311</v>
      </c>
      <c r="G704" s="42" t="s">
        <v>34</v>
      </c>
      <c r="H704" s="42">
        <v>1</v>
      </c>
      <c r="I704" s="44">
        <v>0.45833333333333298</v>
      </c>
      <c r="J704" s="45">
        <v>43978</v>
      </c>
      <c r="K704" s="46" t="s">
        <v>20</v>
      </c>
      <c r="L704" s="47">
        <v>4.99</v>
      </c>
    </row>
    <row r="705" spans="1:13" ht="35" customHeight="1">
      <c r="A705" s="23">
        <f>ROW()-3</f>
        <v>702</v>
      </c>
      <c r="B705" s="42" t="s">
        <v>2732</v>
      </c>
      <c r="C705" s="42" t="s">
        <v>4163</v>
      </c>
      <c r="D705" s="43" t="s">
        <v>4288</v>
      </c>
      <c r="E705" s="43" t="s">
        <v>4289</v>
      </c>
      <c r="F705" s="43" t="s">
        <v>4290</v>
      </c>
      <c r="G705" s="42" t="s">
        <v>34</v>
      </c>
      <c r="H705" s="42">
        <v>1</v>
      </c>
      <c r="I705" s="44">
        <v>0.38</v>
      </c>
      <c r="J705" s="45">
        <v>44004</v>
      </c>
      <c r="K705" s="46" t="s">
        <v>20</v>
      </c>
      <c r="L705" s="47">
        <v>4.99</v>
      </c>
    </row>
    <row r="706" spans="1:13" ht="35" customHeight="1">
      <c r="A706" s="23">
        <f>ROW()-3</f>
        <v>703</v>
      </c>
      <c r="B706" s="42" t="s">
        <v>2732</v>
      </c>
      <c r="C706" s="42" t="s">
        <v>4163</v>
      </c>
      <c r="D706" s="43" t="s">
        <v>4291</v>
      </c>
      <c r="E706" s="43" t="s">
        <v>4292</v>
      </c>
      <c r="F706" s="43" t="s">
        <v>2739</v>
      </c>
      <c r="G706" s="42" t="s">
        <v>34</v>
      </c>
      <c r="H706" s="42">
        <v>1</v>
      </c>
      <c r="I706" s="44">
        <v>0.53</v>
      </c>
      <c r="J706" s="45">
        <v>44004</v>
      </c>
      <c r="K706" s="46" t="s">
        <v>20</v>
      </c>
      <c r="L706" s="47">
        <v>4.99</v>
      </c>
    </row>
    <row r="707" spans="1:13" ht="35" customHeight="1">
      <c r="A707" s="23">
        <f>ROW()-3</f>
        <v>704</v>
      </c>
      <c r="B707" s="42" t="s">
        <v>2732</v>
      </c>
      <c r="C707" s="42" t="s">
        <v>4163</v>
      </c>
      <c r="D707" s="43" t="s">
        <v>4293</v>
      </c>
      <c r="E707" s="43" t="s">
        <v>4294</v>
      </c>
      <c r="F707" s="43" t="s">
        <v>4295</v>
      </c>
      <c r="G707" s="42" t="s">
        <v>34</v>
      </c>
      <c r="H707" s="42">
        <v>1</v>
      </c>
      <c r="I707" s="44">
        <v>0.35</v>
      </c>
      <c r="J707" s="45">
        <v>44004</v>
      </c>
      <c r="K707" s="46" t="s">
        <v>20</v>
      </c>
      <c r="L707" s="47">
        <v>4.99</v>
      </c>
    </row>
    <row r="708" spans="1:13" ht="35" customHeight="1">
      <c r="A708" s="23">
        <f>ROW()-3</f>
        <v>705</v>
      </c>
      <c r="B708" s="42" t="s">
        <v>2732</v>
      </c>
      <c r="C708" s="42" t="s">
        <v>4163</v>
      </c>
      <c r="D708" s="43" t="s">
        <v>4296</v>
      </c>
      <c r="E708" s="43" t="s">
        <v>4297</v>
      </c>
      <c r="F708" s="43" t="s">
        <v>4298</v>
      </c>
      <c r="G708" s="42" t="s">
        <v>34</v>
      </c>
      <c r="H708" s="42">
        <v>1</v>
      </c>
      <c r="I708" s="44">
        <v>0.35</v>
      </c>
      <c r="J708" s="45">
        <v>44004</v>
      </c>
      <c r="K708" s="46" t="s">
        <v>20</v>
      </c>
      <c r="L708" s="47">
        <v>4.99</v>
      </c>
    </row>
    <row r="709" spans="1:13" ht="35" customHeight="1">
      <c r="A709" s="23">
        <f>ROW()-3</f>
        <v>706</v>
      </c>
      <c r="B709" s="42" t="s">
        <v>2732</v>
      </c>
      <c r="C709" s="42" t="s">
        <v>4163</v>
      </c>
      <c r="D709" s="43" t="s">
        <v>4299</v>
      </c>
      <c r="E709" s="43" t="s">
        <v>4300</v>
      </c>
      <c r="F709" s="43" t="s">
        <v>4014</v>
      </c>
      <c r="G709" s="42" t="s">
        <v>34</v>
      </c>
      <c r="H709" s="42">
        <v>1</v>
      </c>
      <c r="I709" s="44">
        <v>0.4</v>
      </c>
      <c r="J709" s="45">
        <v>44004</v>
      </c>
      <c r="K709" s="46" t="s">
        <v>20</v>
      </c>
      <c r="L709" s="47">
        <v>4.99</v>
      </c>
    </row>
    <row r="710" spans="1:13" ht="35" customHeight="1">
      <c r="A710" s="23">
        <f>ROW()-3</f>
        <v>707</v>
      </c>
      <c r="B710" s="42" t="s">
        <v>2732</v>
      </c>
      <c r="C710" s="42" t="s">
        <v>4163</v>
      </c>
      <c r="D710" s="43" t="s">
        <v>4301</v>
      </c>
      <c r="E710" s="43" t="s">
        <v>4302</v>
      </c>
      <c r="F710" s="43" t="s">
        <v>3889</v>
      </c>
      <c r="G710" s="42" t="s">
        <v>34</v>
      </c>
      <c r="H710" s="42">
        <v>1</v>
      </c>
      <c r="I710" s="44">
        <v>0.48</v>
      </c>
      <c r="J710" s="45">
        <v>44004</v>
      </c>
      <c r="K710" s="46" t="s">
        <v>20</v>
      </c>
      <c r="L710" s="47">
        <v>4.99</v>
      </c>
    </row>
    <row r="711" spans="1:13" ht="35" customHeight="1">
      <c r="A711" s="23">
        <f>ROW()-3</f>
        <v>708</v>
      </c>
      <c r="B711" s="42" t="s">
        <v>2732</v>
      </c>
      <c r="C711" s="42" t="s">
        <v>4163</v>
      </c>
      <c r="D711" s="43" t="s">
        <v>4303</v>
      </c>
      <c r="E711" s="43" t="s">
        <v>4304</v>
      </c>
      <c r="F711" s="43" t="s">
        <v>4214</v>
      </c>
      <c r="G711" s="42" t="s">
        <v>34</v>
      </c>
      <c r="H711" s="42">
        <v>1</v>
      </c>
      <c r="I711" s="44">
        <v>0.42</v>
      </c>
      <c r="J711" s="45">
        <v>44004</v>
      </c>
      <c r="K711" s="46" t="s">
        <v>20</v>
      </c>
      <c r="L711" s="47">
        <v>4.99</v>
      </c>
    </row>
    <row r="712" spans="1:13" ht="35" customHeight="1">
      <c r="A712" s="23">
        <f>ROW()-3</f>
        <v>709</v>
      </c>
      <c r="B712" s="42" t="s">
        <v>2732</v>
      </c>
      <c r="C712" s="42" t="s">
        <v>4163</v>
      </c>
      <c r="D712" s="43" t="s">
        <v>4305</v>
      </c>
      <c r="E712" s="43" t="s">
        <v>4306</v>
      </c>
      <c r="F712" s="43" t="s">
        <v>2899</v>
      </c>
      <c r="G712" s="42" t="s">
        <v>34</v>
      </c>
      <c r="H712" s="42">
        <v>1</v>
      </c>
      <c r="I712" s="44">
        <v>0.28000000000000003</v>
      </c>
      <c r="J712" s="45">
        <v>44004</v>
      </c>
      <c r="K712" s="46" t="s">
        <v>20</v>
      </c>
      <c r="L712" s="47">
        <v>4.99</v>
      </c>
    </row>
    <row r="713" spans="1:13" ht="35" customHeight="1">
      <c r="A713" s="23">
        <f>ROW()-3</f>
        <v>710</v>
      </c>
      <c r="B713" s="42" t="s">
        <v>2732</v>
      </c>
      <c r="C713" s="42" t="s">
        <v>4163</v>
      </c>
      <c r="D713" s="43" t="s">
        <v>4192</v>
      </c>
      <c r="E713" s="43" t="s">
        <v>3342</v>
      </c>
      <c r="F713" s="43" t="s">
        <v>2942</v>
      </c>
      <c r="G713" s="42" t="s">
        <v>34</v>
      </c>
      <c r="H713" s="42">
        <v>3</v>
      </c>
      <c r="I713" s="44">
        <v>1.2</v>
      </c>
      <c r="J713" s="45">
        <v>44053</v>
      </c>
      <c r="K713" s="46" t="s">
        <v>20</v>
      </c>
      <c r="L713" s="47">
        <v>4.99</v>
      </c>
    </row>
    <row r="714" spans="1:13" ht="35" customHeight="1">
      <c r="A714" s="23">
        <f>ROW()-3</f>
        <v>711</v>
      </c>
      <c r="B714" s="42" t="s">
        <v>2732</v>
      </c>
      <c r="C714" s="42" t="s">
        <v>4163</v>
      </c>
      <c r="D714" s="43" t="s">
        <v>4307</v>
      </c>
      <c r="E714" s="43" t="s">
        <v>2889</v>
      </c>
      <c r="F714" s="43" t="s">
        <v>2745</v>
      </c>
      <c r="G714" s="42" t="s">
        <v>34</v>
      </c>
      <c r="H714" s="42">
        <v>3</v>
      </c>
      <c r="I714" s="44">
        <v>1.21</v>
      </c>
      <c r="J714" s="45">
        <v>44081</v>
      </c>
      <c r="K714" s="46" t="s">
        <v>20</v>
      </c>
      <c r="L714" s="47">
        <v>4.99</v>
      </c>
    </row>
    <row r="715" spans="1:13" ht="35" customHeight="1">
      <c r="A715" s="23">
        <f>ROW()-3</f>
        <v>712</v>
      </c>
      <c r="B715" s="42" t="s">
        <v>2732</v>
      </c>
      <c r="C715" s="42" t="s">
        <v>4163</v>
      </c>
      <c r="D715" s="43" t="s">
        <v>4197</v>
      </c>
      <c r="E715" s="43" t="s">
        <v>4198</v>
      </c>
      <c r="F715" s="43" t="s">
        <v>4199</v>
      </c>
      <c r="G715" s="42" t="s">
        <v>34</v>
      </c>
      <c r="H715" s="42">
        <v>1</v>
      </c>
      <c r="I715" s="44">
        <v>0.37</v>
      </c>
      <c r="J715" s="45">
        <v>44116</v>
      </c>
      <c r="K715" s="46" t="s">
        <v>20</v>
      </c>
      <c r="L715" s="47">
        <v>4.99</v>
      </c>
    </row>
    <row r="716" spans="1:13" ht="35" customHeight="1">
      <c r="A716" s="23">
        <f>ROW()-3</f>
        <v>713</v>
      </c>
      <c r="B716" s="42" t="s">
        <v>2732</v>
      </c>
      <c r="C716" s="42" t="s">
        <v>4163</v>
      </c>
      <c r="D716" s="43" t="s">
        <v>4193</v>
      </c>
      <c r="E716" s="43" t="s">
        <v>4194</v>
      </c>
      <c r="F716" s="43" t="s">
        <v>3955</v>
      </c>
      <c r="G716" s="42" t="s">
        <v>34</v>
      </c>
      <c r="H716" s="42">
        <v>1</v>
      </c>
      <c r="I716" s="44">
        <v>0.43</v>
      </c>
      <c r="J716" s="45">
        <v>44123</v>
      </c>
      <c r="K716" s="46" t="s">
        <v>20</v>
      </c>
      <c r="L716" s="47">
        <v>4.99</v>
      </c>
    </row>
    <row r="717" spans="1:13" ht="35" customHeight="1">
      <c r="A717" s="23">
        <f>ROW()-3</f>
        <v>714</v>
      </c>
      <c r="B717" s="42" t="s">
        <v>2732</v>
      </c>
      <c r="C717" s="42" t="s">
        <v>4163</v>
      </c>
      <c r="D717" s="43" t="s">
        <v>4250</v>
      </c>
      <c r="E717" s="43" t="s">
        <v>4251</v>
      </c>
      <c r="F717" s="43" t="s">
        <v>4014</v>
      </c>
      <c r="G717" s="42" t="s">
        <v>34</v>
      </c>
      <c r="H717" s="42">
        <v>1</v>
      </c>
      <c r="I717" s="44">
        <v>0.48</v>
      </c>
      <c r="J717" s="45">
        <v>44123</v>
      </c>
      <c r="K717" s="46" t="s">
        <v>20</v>
      </c>
      <c r="L717" s="47">
        <v>4.99</v>
      </c>
      <c r="M717" s="32"/>
    </row>
    <row r="718" spans="1:13" ht="35" customHeight="1">
      <c r="A718" s="23">
        <f>ROW()-3</f>
        <v>715</v>
      </c>
      <c r="B718" s="42" t="s">
        <v>2732</v>
      </c>
      <c r="C718" s="42" t="s">
        <v>4163</v>
      </c>
      <c r="D718" s="43" t="s">
        <v>4252</v>
      </c>
      <c r="E718" s="43" t="s">
        <v>4253</v>
      </c>
      <c r="F718" s="43" t="s">
        <v>3889</v>
      </c>
      <c r="G718" s="42" t="s">
        <v>34</v>
      </c>
      <c r="H718" s="42">
        <v>1</v>
      </c>
      <c r="I718" s="44">
        <v>0.46</v>
      </c>
      <c r="J718" s="45">
        <v>44123</v>
      </c>
      <c r="K718" s="46" t="s">
        <v>20</v>
      </c>
      <c r="L718" s="47">
        <v>4.99</v>
      </c>
      <c r="M718" s="32"/>
    </row>
    <row r="719" spans="1:13" ht="35" customHeight="1">
      <c r="A719" s="23">
        <f>ROW()-3</f>
        <v>716</v>
      </c>
      <c r="B719" s="42" t="s">
        <v>2732</v>
      </c>
      <c r="C719" s="42" t="s">
        <v>4163</v>
      </c>
      <c r="D719" s="43" t="s">
        <v>4254</v>
      </c>
      <c r="E719" s="43" t="s">
        <v>4255</v>
      </c>
      <c r="F719" s="43" t="s">
        <v>2739</v>
      </c>
      <c r="G719" s="42" t="s">
        <v>34</v>
      </c>
      <c r="H719" s="42">
        <v>1</v>
      </c>
      <c r="I719" s="44">
        <v>0.46</v>
      </c>
      <c r="J719" s="45">
        <v>44123</v>
      </c>
      <c r="K719" s="46" t="s">
        <v>20</v>
      </c>
      <c r="L719" s="47">
        <v>4.99</v>
      </c>
      <c r="M719" s="32"/>
    </row>
    <row r="720" spans="1:13" ht="35" customHeight="1">
      <c r="A720" s="23">
        <f>ROW()-3</f>
        <v>717</v>
      </c>
      <c r="B720" s="42" t="s">
        <v>2732</v>
      </c>
      <c r="C720" s="42" t="s">
        <v>4163</v>
      </c>
      <c r="D720" s="43" t="s">
        <v>4256</v>
      </c>
      <c r="E720" s="43" t="s">
        <v>4257</v>
      </c>
      <c r="F720" s="43" t="s">
        <v>2739</v>
      </c>
      <c r="G720" s="42" t="s">
        <v>34</v>
      </c>
      <c r="H720" s="42">
        <v>1</v>
      </c>
      <c r="I720" s="44">
        <v>0.41</v>
      </c>
      <c r="J720" s="45">
        <v>44123</v>
      </c>
      <c r="K720" s="46" t="s">
        <v>20</v>
      </c>
      <c r="L720" s="47">
        <v>4.99</v>
      </c>
      <c r="M720" s="32"/>
    </row>
    <row r="721" spans="1:13" ht="35" customHeight="1">
      <c r="A721" s="23">
        <f>ROW()-3</f>
        <v>718</v>
      </c>
      <c r="B721" s="42" t="s">
        <v>2732</v>
      </c>
      <c r="C721" s="42" t="s">
        <v>4163</v>
      </c>
      <c r="D721" s="43" t="s">
        <v>4258</v>
      </c>
      <c r="E721" s="43" t="s">
        <v>4259</v>
      </c>
      <c r="F721" s="43" t="s">
        <v>4260</v>
      </c>
      <c r="G721" s="42" t="s">
        <v>34</v>
      </c>
      <c r="H721" s="42">
        <v>1</v>
      </c>
      <c r="I721" s="44">
        <v>0.38</v>
      </c>
      <c r="J721" s="45">
        <v>44123</v>
      </c>
      <c r="K721" s="46" t="s">
        <v>20</v>
      </c>
      <c r="L721" s="47">
        <v>4.99</v>
      </c>
      <c r="M721" s="32"/>
    </row>
    <row r="722" spans="1:13" ht="35" customHeight="1">
      <c r="A722" s="23">
        <f>ROW()-3</f>
        <v>719</v>
      </c>
      <c r="B722" s="42" t="s">
        <v>2732</v>
      </c>
      <c r="C722" s="42" t="s">
        <v>4163</v>
      </c>
      <c r="D722" s="43" t="s">
        <v>4261</v>
      </c>
      <c r="E722" s="43" t="s">
        <v>4262</v>
      </c>
      <c r="F722" s="43" t="s">
        <v>2840</v>
      </c>
      <c r="G722" s="42" t="s">
        <v>34</v>
      </c>
      <c r="H722" s="42">
        <v>1</v>
      </c>
      <c r="I722" s="44">
        <v>0.38</v>
      </c>
      <c r="J722" s="45">
        <v>44123</v>
      </c>
      <c r="K722" s="46" t="s">
        <v>20</v>
      </c>
      <c r="L722" s="47">
        <v>4.99</v>
      </c>
      <c r="M722" s="32"/>
    </row>
    <row r="723" spans="1:13" ht="35" customHeight="1">
      <c r="A723" s="23">
        <f>ROW()-3</f>
        <v>720</v>
      </c>
      <c r="B723" s="42" t="s">
        <v>2732</v>
      </c>
      <c r="C723" s="42" t="s">
        <v>4163</v>
      </c>
      <c r="D723" s="43" t="s">
        <v>4267</v>
      </c>
      <c r="E723" s="43" t="s">
        <v>4268</v>
      </c>
      <c r="F723" s="43" t="s">
        <v>2919</v>
      </c>
      <c r="G723" s="42" t="s">
        <v>34</v>
      </c>
      <c r="H723" s="42">
        <v>1</v>
      </c>
      <c r="I723" s="44">
        <v>0.41</v>
      </c>
      <c r="J723" s="45">
        <v>44123</v>
      </c>
      <c r="K723" s="46" t="s">
        <v>20</v>
      </c>
      <c r="L723" s="47">
        <v>4.99</v>
      </c>
    </row>
    <row r="724" spans="1:13" ht="35" customHeight="1">
      <c r="A724" s="23">
        <f>ROW()-3</f>
        <v>721</v>
      </c>
      <c r="B724" s="42" t="s">
        <v>2732</v>
      </c>
      <c r="C724" s="42" t="s">
        <v>4163</v>
      </c>
      <c r="D724" s="43" t="s">
        <v>4274</v>
      </c>
      <c r="E724" s="43" t="s">
        <v>4275</v>
      </c>
      <c r="F724" s="43" t="s">
        <v>2739</v>
      </c>
      <c r="G724" s="42" t="s">
        <v>34</v>
      </c>
      <c r="H724" s="42">
        <v>1</v>
      </c>
      <c r="I724" s="44">
        <v>0.42</v>
      </c>
      <c r="J724" s="45">
        <v>44123</v>
      </c>
      <c r="K724" s="46" t="s">
        <v>20</v>
      </c>
      <c r="L724" s="47">
        <v>4.99</v>
      </c>
    </row>
    <row r="725" spans="1:13" ht="35" customHeight="1">
      <c r="A725" s="23">
        <f>ROW()-3</f>
        <v>722</v>
      </c>
      <c r="B725" s="42" t="s">
        <v>2732</v>
      </c>
      <c r="C725" s="42" t="s">
        <v>4163</v>
      </c>
      <c r="D725" s="43" t="s">
        <v>4176</v>
      </c>
      <c r="E725" s="43" t="s">
        <v>4177</v>
      </c>
      <c r="F725" s="43" t="s">
        <v>4032</v>
      </c>
      <c r="G725" s="42" t="s">
        <v>34</v>
      </c>
      <c r="H725" s="42">
        <v>1</v>
      </c>
      <c r="I725" s="44">
        <v>0.21</v>
      </c>
      <c r="J725" s="45">
        <v>44130</v>
      </c>
      <c r="K725" s="46" t="s">
        <v>20</v>
      </c>
      <c r="L725" s="47">
        <v>4.99</v>
      </c>
      <c r="M725" s="32"/>
    </row>
    <row r="726" spans="1:13" ht="35" customHeight="1">
      <c r="A726" s="23">
        <f>ROW()-3</f>
        <v>723</v>
      </c>
      <c r="B726" s="42" t="s">
        <v>2732</v>
      </c>
      <c r="C726" s="42" t="s">
        <v>4163</v>
      </c>
      <c r="D726" s="43" t="s">
        <v>4178</v>
      </c>
      <c r="E726" s="43" t="s">
        <v>4177</v>
      </c>
      <c r="F726" s="43" t="s">
        <v>4032</v>
      </c>
      <c r="G726" s="42" t="s">
        <v>34</v>
      </c>
      <c r="H726" s="42">
        <v>1</v>
      </c>
      <c r="I726" s="44">
        <v>0.21</v>
      </c>
      <c r="J726" s="45">
        <v>44130</v>
      </c>
      <c r="K726" s="46" t="s">
        <v>20</v>
      </c>
      <c r="L726" s="47">
        <v>4.99</v>
      </c>
      <c r="M726" s="32"/>
    </row>
    <row r="727" spans="1:13" ht="35" customHeight="1">
      <c r="A727" s="23">
        <f>ROW()-3</f>
        <v>724</v>
      </c>
      <c r="B727" s="42" t="s">
        <v>2732</v>
      </c>
      <c r="C727" s="42" t="s">
        <v>4163</v>
      </c>
      <c r="D727" s="43" t="s">
        <v>4179</v>
      </c>
      <c r="E727" s="43" t="s">
        <v>4180</v>
      </c>
      <c r="F727" s="43" t="s">
        <v>3759</v>
      </c>
      <c r="G727" s="42" t="s">
        <v>34</v>
      </c>
      <c r="H727" s="42">
        <v>1</v>
      </c>
      <c r="I727" s="44">
        <v>0.54</v>
      </c>
      <c r="J727" s="45">
        <v>44130</v>
      </c>
      <c r="K727" s="46" t="s">
        <v>20</v>
      </c>
      <c r="L727" s="47">
        <v>4.99</v>
      </c>
    </row>
    <row r="728" spans="1:13" ht="35" customHeight="1">
      <c r="A728" s="23">
        <f>ROW()-3</f>
        <v>725</v>
      </c>
      <c r="B728" s="42" t="s">
        <v>2732</v>
      </c>
      <c r="C728" s="42" t="s">
        <v>4163</v>
      </c>
      <c r="D728" s="43" t="s">
        <v>4263</v>
      </c>
      <c r="E728" s="43" t="s">
        <v>4264</v>
      </c>
      <c r="F728" s="43" t="s">
        <v>3889</v>
      </c>
      <c r="G728" s="42" t="s">
        <v>34</v>
      </c>
      <c r="H728" s="42">
        <v>1</v>
      </c>
      <c r="I728" s="44">
        <v>0.51</v>
      </c>
      <c r="J728" s="45">
        <v>44130</v>
      </c>
      <c r="K728" s="46" t="s">
        <v>20</v>
      </c>
      <c r="L728" s="47">
        <v>4.99</v>
      </c>
      <c r="M728" s="32"/>
    </row>
    <row r="729" spans="1:13" ht="35" customHeight="1">
      <c r="A729" s="23">
        <f>ROW()-3</f>
        <v>726</v>
      </c>
      <c r="B729" s="42" t="s">
        <v>2732</v>
      </c>
      <c r="C729" s="42" t="s">
        <v>4163</v>
      </c>
      <c r="D729" s="43" t="s">
        <v>4265</v>
      </c>
      <c r="E729" s="43" t="s">
        <v>4266</v>
      </c>
      <c r="F729" s="43" t="s">
        <v>3889</v>
      </c>
      <c r="G729" s="42" t="s">
        <v>34</v>
      </c>
      <c r="H729" s="42">
        <v>1</v>
      </c>
      <c r="I729" s="44">
        <v>0.28999999999999998</v>
      </c>
      <c r="J729" s="45">
        <v>44130</v>
      </c>
      <c r="K729" s="46" t="s">
        <v>20</v>
      </c>
      <c r="L729" s="47">
        <v>4.99</v>
      </c>
      <c r="M729" s="32"/>
    </row>
    <row r="730" spans="1:13" ht="35" customHeight="1">
      <c r="A730" s="23">
        <f>ROW()-3</f>
        <v>727</v>
      </c>
      <c r="B730" s="42" t="s">
        <v>2732</v>
      </c>
      <c r="C730" s="42" t="s">
        <v>4163</v>
      </c>
      <c r="D730" s="43" t="s">
        <v>4308</v>
      </c>
      <c r="E730" s="43" t="s">
        <v>4309</v>
      </c>
      <c r="F730" s="43" t="s">
        <v>3434</v>
      </c>
      <c r="G730" s="42" t="s">
        <v>34</v>
      </c>
      <c r="H730" s="42">
        <v>1</v>
      </c>
      <c r="I730" s="44">
        <v>0.38</v>
      </c>
      <c r="J730" s="45">
        <v>44130</v>
      </c>
      <c r="K730" s="46" t="s">
        <v>20</v>
      </c>
      <c r="L730" s="47">
        <v>4.99</v>
      </c>
    </row>
    <row r="731" spans="1:13" ht="35" customHeight="1">
      <c r="A731" s="23">
        <f>ROW()-3</f>
        <v>728</v>
      </c>
      <c r="B731" s="42" t="s">
        <v>2732</v>
      </c>
      <c r="C731" s="42" t="s">
        <v>4163</v>
      </c>
      <c r="D731" s="43" t="s">
        <v>4314</v>
      </c>
      <c r="E731" s="43" t="s">
        <v>4315</v>
      </c>
      <c r="F731" s="43" t="s">
        <v>2739</v>
      </c>
      <c r="G731" s="42" t="s">
        <v>34</v>
      </c>
      <c r="H731" s="42">
        <v>1</v>
      </c>
      <c r="I731" s="44">
        <v>0.47</v>
      </c>
      <c r="J731" s="45">
        <v>44130</v>
      </c>
      <c r="K731" s="46" t="s">
        <v>20</v>
      </c>
      <c r="L731" s="47">
        <v>4.99</v>
      </c>
    </row>
    <row r="732" spans="1:13" ht="35" customHeight="1">
      <c r="A732" s="23">
        <f>ROW()-3</f>
        <v>729</v>
      </c>
      <c r="B732" s="42" t="s">
        <v>2732</v>
      </c>
      <c r="C732" s="42" t="s">
        <v>4163</v>
      </c>
      <c r="D732" s="43" t="s">
        <v>4200</v>
      </c>
      <c r="E732" s="43" t="s">
        <v>4201</v>
      </c>
      <c r="F732" s="43" t="s">
        <v>3889</v>
      </c>
      <c r="G732" s="42" t="s">
        <v>34</v>
      </c>
      <c r="H732" s="42">
        <v>1</v>
      </c>
      <c r="I732" s="44">
        <v>0.4</v>
      </c>
      <c r="J732" s="45">
        <v>44137</v>
      </c>
      <c r="K732" s="46" t="s">
        <v>20</v>
      </c>
      <c r="L732" s="47">
        <v>4.99</v>
      </c>
    </row>
    <row r="733" spans="1:13" ht="35" customHeight="1">
      <c r="A733" s="23">
        <f>ROW()-3</f>
        <v>730</v>
      </c>
      <c r="B733" s="42" t="s">
        <v>2732</v>
      </c>
      <c r="C733" s="42" t="s">
        <v>4163</v>
      </c>
      <c r="D733" s="43" t="s">
        <v>4202</v>
      </c>
      <c r="E733" s="43" t="s">
        <v>4203</v>
      </c>
      <c r="F733" s="43" t="s">
        <v>4014</v>
      </c>
      <c r="G733" s="42" t="s">
        <v>34</v>
      </c>
      <c r="H733" s="42">
        <v>1</v>
      </c>
      <c r="I733" s="44">
        <v>0.49</v>
      </c>
      <c r="J733" s="45">
        <v>44137</v>
      </c>
      <c r="K733" s="46" t="s">
        <v>20</v>
      </c>
      <c r="L733" s="47">
        <v>4.99</v>
      </c>
    </row>
    <row r="734" spans="1:13" ht="35" customHeight="1">
      <c r="A734" s="23">
        <f>ROW()-3</f>
        <v>731</v>
      </c>
      <c r="B734" s="42" t="s">
        <v>2732</v>
      </c>
      <c r="C734" s="42" t="s">
        <v>4163</v>
      </c>
      <c r="D734" s="43" t="s">
        <v>4204</v>
      </c>
      <c r="E734" s="43" t="s">
        <v>4205</v>
      </c>
      <c r="F734" s="64" t="s">
        <v>3889</v>
      </c>
      <c r="G734" s="65" t="s">
        <v>34</v>
      </c>
      <c r="H734" s="42">
        <v>1</v>
      </c>
      <c r="I734" s="44">
        <v>0.45</v>
      </c>
      <c r="J734" s="45">
        <v>44137</v>
      </c>
      <c r="K734" s="46" t="s">
        <v>20</v>
      </c>
      <c r="L734" s="47">
        <v>4.99</v>
      </c>
    </row>
    <row r="735" spans="1:13" ht="35" customHeight="1">
      <c r="A735" s="23">
        <f>ROW()-3</f>
        <v>732</v>
      </c>
      <c r="B735" s="42" t="s">
        <v>2732</v>
      </c>
      <c r="C735" s="42" t="s">
        <v>4163</v>
      </c>
      <c r="D735" s="43" t="s">
        <v>4183</v>
      </c>
      <c r="E735" s="51" t="s">
        <v>4184</v>
      </c>
      <c r="F735" s="67" t="s">
        <v>4185</v>
      </c>
      <c r="G735" s="193" t="s">
        <v>34</v>
      </c>
      <c r="H735" s="195">
        <v>1</v>
      </c>
      <c r="I735" s="44">
        <v>0.74</v>
      </c>
      <c r="J735" s="72">
        <v>44151</v>
      </c>
      <c r="K735" s="73" t="s">
        <v>20</v>
      </c>
      <c r="L735" s="47">
        <v>4.99</v>
      </c>
    </row>
    <row r="736" spans="1:13" ht="35" customHeight="1">
      <c r="A736" s="23">
        <f>ROW()-3</f>
        <v>733</v>
      </c>
      <c r="B736" s="65" t="s">
        <v>2732</v>
      </c>
      <c r="C736" s="42" t="s">
        <v>4163</v>
      </c>
      <c r="D736" s="43" t="s">
        <v>4190</v>
      </c>
      <c r="E736" s="51" t="s">
        <v>4191</v>
      </c>
      <c r="F736" s="67" t="s">
        <v>3343</v>
      </c>
      <c r="G736" s="193" t="s">
        <v>34</v>
      </c>
      <c r="H736" s="76">
        <v>1</v>
      </c>
      <c r="I736" s="49">
        <v>0.4</v>
      </c>
      <c r="J736" s="199">
        <v>44151</v>
      </c>
      <c r="K736" s="200" t="s">
        <v>20</v>
      </c>
      <c r="L736" s="70">
        <v>4.99</v>
      </c>
    </row>
    <row r="737" spans="1:13" ht="35" customHeight="1">
      <c r="A737" s="23">
        <f>ROW()-3</f>
        <v>734</v>
      </c>
      <c r="B737" s="65" t="s">
        <v>2732</v>
      </c>
      <c r="C737" s="42" t="s">
        <v>4163</v>
      </c>
      <c r="D737" s="43" t="s">
        <v>4269</v>
      </c>
      <c r="E737" s="51" t="s">
        <v>4270</v>
      </c>
      <c r="F737" s="67" t="s">
        <v>3108</v>
      </c>
      <c r="G737" s="193" t="s">
        <v>34</v>
      </c>
      <c r="H737" s="76">
        <v>1</v>
      </c>
      <c r="I737" s="71">
        <v>0.44166666666666698</v>
      </c>
      <c r="J737" s="198">
        <v>44151</v>
      </c>
      <c r="K737" s="200" t="s">
        <v>20</v>
      </c>
      <c r="L737" s="70">
        <v>4.99</v>
      </c>
    </row>
    <row r="738" spans="1:13" ht="35" customHeight="1">
      <c r="A738" s="23">
        <f>ROW()-3</f>
        <v>735</v>
      </c>
      <c r="B738" s="65" t="s">
        <v>2732</v>
      </c>
      <c r="C738" s="42" t="s">
        <v>4163</v>
      </c>
      <c r="D738" s="43" t="s">
        <v>4271</v>
      </c>
      <c r="E738" s="51" t="s">
        <v>4272</v>
      </c>
      <c r="F738" s="69" t="s">
        <v>1259</v>
      </c>
      <c r="G738" s="194" t="s">
        <v>34</v>
      </c>
      <c r="H738" s="76">
        <v>1</v>
      </c>
      <c r="I738" s="44">
        <v>0.43388888888888899</v>
      </c>
      <c r="J738" s="45">
        <v>44151</v>
      </c>
      <c r="K738" s="200" t="s">
        <v>20</v>
      </c>
      <c r="L738" s="70">
        <v>4.99</v>
      </c>
    </row>
    <row r="739" spans="1:13" ht="35" customHeight="1">
      <c r="A739" s="23">
        <f>ROW()-3</f>
        <v>736</v>
      </c>
      <c r="B739" s="65" t="s">
        <v>2732</v>
      </c>
      <c r="C739" s="42" t="s">
        <v>4163</v>
      </c>
      <c r="D739" s="43" t="s">
        <v>4273</v>
      </c>
      <c r="E739" s="51" t="s">
        <v>4272</v>
      </c>
      <c r="F739" s="43" t="s">
        <v>1259</v>
      </c>
      <c r="G739" s="42" t="s">
        <v>34</v>
      </c>
      <c r="H739" s="42">
        <v>1</v>
      </c>
      <c r="I739" s="44">
        <v>0.441388888888889</v>
      </c>
      <c r="J739" s="45">
        <v>44151</v>
      </c>
      <c r="K739" s="200" t="s">
        <v>20</v>
      </c>
      <c r="L739" s="70">
        <v>4.99</v>
      </c>
    </row>
    <row r="740" spans="1:13" ht="35" customHeight="1">
      <c r="A740" s="23">
        <f>ROW()-3</f>
        <v>737</v>
      </c>
      <c r="B740" s="65" t="s">
        <v>2732</v>
      </c>
      <c r="C740" s="42" t="s">
        <v>4163</v>
      </c>
      <c r="D740" s="43" t="s">
        <v>4186</v>
      </c>
      <c r="E740" s="51" t="s">
        <v>4187</v>
      </c>
      <c r="F740" s="43" t="s">
        <v>3889</v>
      </c>
      <c r="G740" s="42" t="s">
        <v>34</v>
      </c>
      <c r="H740" s="42">
        <v>1</v>
      </c>
      <c r="I740" s="38">
        <v>0.74</v>
      </c>
      <c r="J740" s="45">
        <v>44158</v>
      </c>
      <c r="K740" s="200" t="s">
        <v>20</v>
      </c>
      <c r="L740" s="70">
        <v>4.99</v>
      </c>
    </row>
    <row r="741" spans="1:13" ht="35" customHeight="1">
      <c r="A741" s="23">
        <f>ROW()-3</f>
        <v>738</v>
      </c>
      <c r="B741" s="65" t="s">
        <v>2732</v>
      </c>
      <c r="C741" s="42" t="s">
        <v>4163</v>
      </c>
      <c r="D741" s="43" t="s">
        <v>4188</v>
      </c>
      <c r="E741" s="51" t="s">
        <v>3588</v>
      </c>
      <c r="F741" s="43" t="s">
        <v>3905</v>
      </c>
      <c r="G741" s="42" t="s">
        <v>34</v>
      </c>
      <c r="H741" s="42">
        <v>1</v>
      </c>
      <c r="I741" s="38">
        <v>0.3725</v>
      </c>
      <c r="J741" s="39">
        <v>44158</v>
      </c>
      <c r="K741" s="200" t="s">
        <v>20</v>
      </c>
      <c r="L741" s="70">
        <v>4.99</v>
      </c>
    </row>
    <row r="742" spans="1:13" ht="35" customHeight="1">
      <c r="A742" s="23">
        <f>ROW()-3</f>
        <v>739</v>
      </c>
      <c r="B742" s="65" t="s">
        <v>2732</v>
      </c>
      <c r="C742" s="42" t="s">
        <v>4163</v>
      </c>
      <c r="D742" s="43" t="s">
        <v>4189</v>
      </c>
      <c r="E742" s="51" t="s">
        <v>3588</v>
      </c>
      <c r="F742" s="43" t="s">
        <v>3905</v>
      </c>
      <c r="G742" s="42" t="s">
        <v>34</v>
      </c>
      <c r="H742" s="42">
        <v>1</v>
      </c>
      <c r="I742" s="38">
        <v>0.74</v>
      </c>
      <c r="J742" s="39">
        <v>44158</v>
      </c>
      <c r="K742" s="200" t="s">
        <v>20</v>
      </c>
      <c r="L742" s="70">
        <v>4.99</v>
      </c>
    </row>
    <row r="743" spans="1:13" ht="35" customHeight="1">
      <c r="A743" s="23">
        <f>ROW()-3</f>
        <v>740</v>
      </c>
      <c r="B743" s="42" t="s">
        <v>2732</v>
      </c>
      <c r="C743" s="42" t="s">
        <v>4163</v>
      </c>
      <c r="D743" s="43" t="s">
        <v>4195</v>
      </c>
      <c r="E743" s="43" t="s">
        <v>4196</v>
      </c>
      <c r="F743" s="43" t="s">
        <v>3880</v>
      </c>
      <c r="G743" s="42" t="s">
        <v>34</v>
      </c>
      <c r="H743" s="42">
        <v>1</v>
      </c>
      <c r="I743" s="44">
        <v>0.52</v>
      </c>
      <c r="J743" s="45">
        <v>44162</v>
      </c>
      <c r="K743" s="46" t="s">
        <v>20</v>
      </c>
      <c r="L743" s="47">
        <v>4.99</v>
      </c>
    </row>
    <row r="744" spans="1:13" ht="35" customHeight="1">
      <c r="A744" s="23">
        <f>ROW()-3</f>
        <v>741</v>
      </c>
      <c r="B744" s="42" t="s">
        <v>2732</v>
      </c>
      <c r="C744" s="42" t="s">
        <v>4163</v>
      </c>
      <c r="D744" s="43" t="s">
        <v>4312</v>
      </c>
      <c r="E744" s="51" t="s">
        <v>4313</v>
      </c>
      <c r="F744" s="43" t="s">
        <v>4014</v>
      </c>
      <c r="G744" s="42" t="s">
        <v>34</v>
      </c>
      <c r="H744" s="42">
        <v>1</v>
      </c>
      <c r="I744" s="38">
        <v>0.51</v>
      </c>
      <c r="J744" s="39">
        <v>44169</v>
      </c>
      <c r="K744" s="46" t="s">
        <v>20</v>
      </c>
      <c r="L744" s="47">
        <v>4.99</v>
      </c>
    </row>
    <row r="745" spans="1:13" ht="35" customHeight="1">
      <c r="A745" s="23">
        <f>ROW()-3</f>
        <v>742</v>
      </c>
      <c r="B745" s="42" t="s">
        <v>2732</v>
      </c>
      <c r="C745" s="42" t="s">
        <v>4163</v>
      </c>
      <c r="D745" s="43" t="s">
        <v>4172</v>
      </c>
      <c r="E745" s="51" t="s">
        <v>4173</v>
      </c>
      <c r="F745" s="43" t="s">
        <v>2739</v>
      </c>
      <c r="G745" s="42" t="s">
        <v>34</v>
      </c>
      <c r="H745" s="42">
        <v>1</v>
      </c>
      <c r="I745" s="38">
        <v>0.47</v>
      </c>
      <c r="J745" s="39">
        <v>44179</v>
      </c>
      <c r="K745" s="46" t="s">
        <v>20</v>
      </c>
      <c r="L745" s="47">
        <v>4.99</v>
      </c>
      <c r="M745" s="32"/>
    </row>
    <row r="746" spans="1:13" ht="35" customHeight="1">
      <c r="A746" s="23">
        <f>ROW()-3</f>
        <v>743</v>
      </c>
      <c r="B746" s="42" t="s">
        <v>2732</v>
      </c>
      <c r="C746" s="42" t="s">
        <v>4163</v>
      </c>
      <c r="D746" s="43" t="s">
        <v>4174</v>
      </c>
      <c r="E746" s="51" t="s">
        <v>4175</v>
      </c>
      <c r="F746" s="43" t="s">
        <v>4014</v>
      </c>
      <c r="G746" s="42" t="s">
        <v>34</v>
      </c>
      <c r="H746" s="42">
        <v>1</v>
      </c>
      <c r="I746" s="38">
        <v>0.47</v>
      </c>
      <c r="J746" s="39">
        <v>44179</v>
      </c>
      <c r="K746" s="46" t="s">
        <v>20</v>
      </c>
      <c r="L746" s="47">
        <v>4.99</v>
      </c>
      <c r="M746" s="32"/>
    </row>
    <row r="747" spans="1:13" ht="35" customHeight="1">
      <c r="A747" s="23">
        <f>ROW()-3</f>
        <v>744</v>
      </c>
      <c r="B747" s="42" t="s">
        <v>2732</v>
      </c>
      <c r="C747" s="42" t="s">
        <v>4163</v>
      </c>
      <c r="D747" s="43" t="s">
        <v>4170</v>
      </c>
      <c r="E747" s="51" t="s">
        <v>4171</v>
      </c>
      <c r="F747" s="43" t="s">
        <v>3889</v>
      </c>
      <c r="G747" s="42" t="s">
        <v>34</v>
      </c>
      <c r="H747" s="42">
        <v>1</v>
      </c>
      <c r="I747" s="38">
        <v>0.45</v>
      </c>
      <c r="J747" s="39">
        <v>44186</v>
      </c>
      <c r="K747" s="46" t="s">
        <v>20</v>
      </c>
      <c r="L747" s="47">
        <v>4.99</v>
      </c>
      <c r="M747" s="32"/>
    </row>
    <row r="748" spans="1:13" ht="35" customHeight="1">
      <c r="A748" s="23">
        <f>ROW()-3</f>
        <v>745</v>
      </c>
      <c r="B748" s="42" t="s">
        <v>2732</v>
      </c>
      <c r="C748" s="42" t="s">
        <v>4163</v>
      </c>
      <c r="D748" s="43" t="s">
        <v>4168</v>
      </c>
      <c r="E748" s="51" t="s">
        <v>4169</v>
      </c>
      <c r="F748" s="43" t="s">
        <v>3889</v>
      </c>
      <c r="G748" s="42" t="s">
        <v>34</v>
      </c>
      <c r="H748" s="42">
        <v>1</v>
      </c>
      <c r="I748" s="277">
        <v>0.42333333333333301</v>
      </c>
      <c r="J748" s="39">
        <v>44193</v>
      </c>
      <c r="K748" s="200" t="s">
        <v>20</v>
      </c>
      <c r="L748" s="47">
        <v>4.99</v>
      </c>
      <c r="M748" s="32"/>
    </row>
    <row r="749" spans="1:13" ht="35" customHeight="1">
      <c r="A749" s="23">
        <f>ROW()-3</f>
        <v>746</v>
      </c>
      <c r="B749" s="42" t="s">
        <v>2732</v>
      </c>
      <c r="C749" s="42" t="s">
        <v>4163</v>
      </c>
      <c r="D749" s="43" t="s">
        <v>4166</v>
      </c>
      <c r="E749" s="43" t="s">
        <v>4167</v>
      </c>
      <c r="F749" s="43" t="s">
        <v>3889</v>
      </c>
      <c r="G749" s="42" t="s">
        <v>34</v>
      </c>
      <c r="H749" s="42">
        <v>2</v>
      </c>
      <c r="I749" s="44">
        <v>0.44</v>
      </c>
      <c r="J749" s="45">
        <v>44200</v>
      </c>
      <c r="K749" s="46" t="s">
        <v>20</v>
      </c>
      <c r="L749" s="47">
        <v>4.99</v>
      </c>
      <c r="M749" s="32"/>
    </row>
    <row r="750" spans="1:13" ht="35" customHeight="1">
      <c r="A750" s="23">
        <f>ROW()-3</f>
        <v>747</v>
      </c>
      <c r="B750" s="58" t="s">
        <v>2732</v>
      </c>
      <c r="C750" s="58" t="s">
        <v>4163</v>
      </c>
      <c r="D750" s="58" t="s">
        <v>4316</v>
      </c>
      <c r="E750" s="58" t="s">
        <v>4317</v>
      </c>
      <c r="F750" s="58" t="s">
        <v>2739</v>
      </c>
      <c r="G750" s="58" t="s">
        <v>34</v>
      </c>
      <c r="H750" s="58">
        <v>1</v>
      </c>
      <c r="I750" s="58">
        <v>0.5</v>
      </c>
      <c r="J750" s="59">
        <v>44228</v>
      </c>
      <c r="K750" s="60" t="s">
        <v>20</v>
      </c>
      <c r="L750" s="61">
        <v>4.99</v>
      </c>
    </row>
    <row r="751" spans="1:13" ht="35" customHeight="1">
      <c r="A751" s="23">
        <f>ROW()-3</f>
        <v>748</v>
      </c>
      <c r="B751" s="43" t="s">
        <v>2732</v>
      </c>
      <c r="C751" s="43" t="s">
        <v>4163</v>
      </c>
      <c r="D751" s="43" t="s">
        <v>4318</v>
      </c>
      <c r="E751" s="43" t="s">
        <v>4319</v>
      </c>
      <c r="F751" s="43" t="s">
        <v>3880</v>
      </c>
      <c r="G751" s="43" t="s">
        <v>34</v>
      </c>
      <c r="H751" s="43">
        <v>1</v>
      </c>
      <c r="I751" s="43">
        <v>0.5</v>
      </c>
      <c r="J751" s="53">
        <v>44256</v>
      </c>
      <c r="K751" s="51" t="s">
        <v>20</v>
      </c>
      <c r="L751" s="62">
        <v>4.99</v>
      </c>
    </row>
    <row r="752" spans="1:13" ht="35" customHeight="1">
      <c r="A752" s="23">
        <f>ROW()-3</f>
        <v>749</v>
      </c>
      <c r="B752" s="43" t="s">
        <v>2732</v>
      </c>
      <c r="C752" s="43" t="s">
        <v>4163</v>
      </c>
      <c r="D752" s="43" t="s">
        <v>4320</v>
      </c>
      <c r="E752" s="43" t="s">
        <v>4321</v>
      </c>
      <c r="F752" s="43" t="s">
        <v>2739</v>
      </c>
      <c r="G752" s="43" t="s">
        <v>34</v>
      </c>
      <c r="H752" s="43">
        <v>1</v>
      </c>
      <c r="I752" s="43">
        <v>0.56000000000000005</v>
      </c>
      <c r="J752" s="53">
        <v>44270</v>
      </c>
      <c r="K752" s="51" t="s">
        <v>20</v>
      </c>
      <c r="L752" s="62">
        <v>4.99</v>
      </c>
    </row>
    <row r="753" spans="1:291" ht="35" customHeight="1">
      <c r="A753" s="23">
        <f>ROW()-3</f>
        <v>750</v>
      </c>
      <c r="B753" s="43" t="s">
        <v>2732</v>
      </c>
      <c r="C753" s="43" t="s">
        <v>4163</v>
      </c>
      <c r="D753" s="43" t="s">
        <v>4322</v>
      </c>
      <c r="E753" s="43" t="s">
        <v>4323</v>
      </c>
      <c r="F753" s="43" t="s">
        <v>4324</v>
      </c>
      <c r="G753" s="43" t="s">
        <v>34</v>
      </c>
      <c r="H753" s="43">
        <v>1</v>
      </c>
      <c r="I753" s="43">
        <v>0.5</v>
      </c>
      <c r="J753" s="53">
        <v>44277</v>
      </c>
      <c r="K753" s="51" t="s">
        <v>20</v>
      </c>
      <c r="L753" s="62">
        <v>4.99</v>
      </c>
    </row>
    <row r="754" spans="1:291" ht="35" customHeight="1">
      <c r="A754" s="23">
        <f>ROW()-3</f>
        <v>751</v>
      </c>
      <c r="B754" s="43" t="s">
        <v>2732</v>
      </c>
      <c r="C754" s="43" t="s">
        <v>4163</v>
      </c>
      <c r="D754" s="43" t="s">
        <v>4325</v>
      </c>
      <c r="E754" s="43" t="s">
        <v>4326</v>
      </c>
      <c r="F754" s="43" t="s">
        <v>2739</v>
      </c>
      <c r="G754" s="43" t="s">
        <v>34</v>
      </c>
      <c r="H754" s="43">
        <v>1</v>
      </c>
      <c r="I754" s="43">
        <v>0.5</v>
      </c>
      <c r="J754" s="53">
        <v>44347</v>
      </c>
      <c r="K754" s="51" t="s">
        <v>20</v>
      </c>
      <c r="L754" s="62">
        <v>4.99</v>
      </c>
    </row>
    <row r="755" spans="1:291" ht="35" customHeight="1">
      <c r="A755" s="23">
        <f>ROW()-3</f>
        <v>752</v>
      </c>
      <c r="B755" s="43" t="s">
        <v>2732</v>
      </c>
      <c r="C755" s="43" t="s">
        <v>4163</v>
      </c>
      <c r="D755" s="43" t="s">
        <v>4327</v>
      </c>
      <c r="E755" s="43" t="s">
        <v>4328</v>
      </c>
      <c r="F755" s="43" t="s">
        <v>3258</v>
      </c>
      <c r="G755" s="43" t="s">
        <v>3253</v>
      </c>
      <c r="H755" s="43">
        <v>1</v>
      </c>
      <c r="I755" s="43">
        <v>0.5</v>
      </c>
      <c r="J755" s="53">
        <v>44424</v>
      </c>
      <c r="K755" s="51" t="s">
        <v>20</v>
      </c>
      <c r="L755" s="62">
        <v>4.99</v>
      </c>
    </row>
    <row r="756" spans="1:291" ht="35" customHeight="1">
      <c r="A756" s="23">
        <f>ROW()-3</f>
        <v>753</v>
      </c>
      <c r="B756" s="43" t="s">
        <v>2732</v>
      </c>
      <c r="C756" s="43" t="s">
        <v>4163</v>
      </c>
      <c r="D756" s="43" t="s">
        <v>4329</v>
      </c>
      <c r="E756" s="43" t="s">
        <v>4330</v>
      </c>
      <c r="F756" s="43" t="s">
        <v>3258</v>
      </c>
      <c r="G756" s="43" t="s">
        <v>3253</v>
      </c>
      <c r="H756" s="43">
        <v>1</v>
      </c>
      <c r="I756" s="43">
        <v>0.5</v>
      </c>
      <c r="J756" s="53">
        <v>44431</v>
      </c>
      <c r="K756" s="51" t="s">
        <v>20</v>
      </c>
      <c r="L756" s="62">
        <v>4.99</v>
      </c>
    </row>
    <row r="757" spans="1:291" ht="35" customHeight="1">
      <c r="A757" s="23">
        <f>ROW()-3</f>
        <v>754</v>
      </c>
      <c r="B757" s="43" t="s">
        <v>2732</v>
      </c>
      <c r="C757" s="43" t="s">
        <v>4163</v>
      </c>
      <c r="D757" s="43" t="s">
        <v>4331</v>
      </c>
      <c r="E757" s="43" t="s">
        <v>4332</v>
      </c>
      <c r="F757" s="43" t="s">
        <v>4333</v>
      </c>
      <c r="G757" s="43" t="s">
        <v>3253</v>
      </c>
      <c r="H757" s="43">
        <v>1</v>
      </c>
      <c r="I757" s="43">
        <v>0.48</v>
      </c>
      <c r="J757" s="53">
        <v>44452</v>
      </c>
      <c r="K757" s="51" t="s">
        <v>20</v>
      </c>
      <c r="L757" s="62">
        <v>4.99</v>
      </c>
    </row>
    <row r="758" spans="1:291" ht="35" customHeight="1">
      <c r="A758" s="23">
        <f>ROW()-3</f>
        <v>755</v>
      </c>
      <c r="B758" s="42" t="s">
        <v>2732</v>
      </c>
      <c r="C758" s="43" t="s">
        <v>4334</v>
      </c>
      <c r="D758" s="43" t="s">
        <v>4335</v>
      </c>
      <c r="E758" s="43" t="s">
        <v>4336</v>
      </c>
      <c r="F758" s="43" t="s">
        <v>3940</v>
      </c>
      <c r="G758" s="43" t="s">
        <v>34</v>
      </c>
      <c r="H758" s="42">
        <v>1</v>
      </c>
      <c r="I758" s="42">
        <v>0.5</v>
      </c>
      <c r="J758" s="53">
        <v>44480</v>
      </c>
      <c r="K758" s="51" t="s">
        <v>20</v>
      </c>
      <c r="L758" s="47">
        <v>4.99</v>
      </c>
    </row>
    <row r="759" spans="1:291" ht="35" customHeight="1">
      <c r="A759" s="23">
        <f>ROW()-3</f>
        <v>756</v>
      </c>
      <c r="B759" s="42" t="s">
        <v>2732</v>
      </c>
      <c r="C759" s="43" t="s">
        <v>4334</v>
      </c>
      <c r="D759" s="43" t="s">
        <v>4337</v>
      </c>
      <c r="E759" s="43" t="s">
        <v>4338</v>
      </c>
      <c r="F759" s="43" t="s">
        <v>3258</v>
      </c>
      <c r="G759" s="43" t="s">
        <v>34</v>
      </c>
      <c r="H759" s="42">
        <v>1</v>
      </c>
      <c r="I759" s="42">
        <v>0.5</v>
      </c>
      <c r="J759" s="53">
        <v>44494</v>
      </c>
      <c r="K759" s="51" t="s">
        <v>20</v>
      </c>
      <c r="L759" s="47">
        <v>4.99</v>
      </c>
    </row>
    <row r="760" spans="1:291" ht="35" customHeight="1">
      <c r="A760" s="23">
        <f>ROW()-3</f>
        <v>757</v>
      </c>
      <c r="B760" s="42" t="s">
        <v>2732</v>
      </c>
      <c r="C760" s="43" t="s">
        <v>4334</v>
      </c>
      <c r="D760" s="43" t="s">
        <v>4339</v>
      </c>
      <c r="E760" s="43" t="s">
        <v>4340</v>
      </c>
      <c r="F760" s="43" t="s">
        <v>3258</v>
      </c>
      <c r="G760" s="43" t="s">
        <v>34</v>
      </c>
      <c r="H760" s="42">
        <v>1</v>
      </c>
      <c r="I760" s="42">
        <v>0.5</v>
      </c>
      <c r="J760" s="53">
        <v>44515</v>
      </c>
      <c r="K760" s="51" t="s">
        <v>20</v>
      </c>
      <c r="L760" s="47">
        <v>4.99</v>
      </c>
    </row>
    <row r="761" spans="1:291" ht="35" customHeight="1">
      <c r="A761" s="23">
        <f>ROW()-3</f>
        <v>758</v>
      </c>
      <c r="B761" s="42" t="s">
        <v>2732</v>
      </c>
      <c r="C761" s="43" t="s">
        <v>4334</v>
      </c>
      <c r="D761" s="43" t="s">
        <v>4343</v>
      </c>
      <c r="E761" s="43" t="s">
        <v>4344</v>
      </c>
      <c r="F761" s="43" t="s">
        <v>3258</v>
      </c>
      <c r="G761" s="43" t="s">
        <v>34</v>
      </c>
      <c r="H761" s="42">
        <v>1</v>
      </c>
      <c r="I761" s="42">
        <v>0.5</v>
      </c>
      <c r="J761" s="53">
        <v>44558</v>
      </c>
      <c r="K761" s="51" t="s">
        <v>20</v>
      </c>
      <c r="L761" s="47">
        <v>4.99</v>
      </c>
    </row>
    <row r="762" spans="1:291" ht="35" customHeight="1">
      <c r="A762" s="23">
        <f>ROW()-3</f>
        <v>759</v>
      </c>
      <c r="B762" s="182" t="s">
        <v>5471</v>
      </c>
      <c r="C762" s="182" t="s">
        <v>5476</v>
      </c>
      <c r="D762" s="187" t="s">
        <v>5477</v>
      </c>
      <c r="E762" s="187" t="s">
        <v>5479</v>
      </c>
      <c r="F762" s="187" t="s">
        <v>5478</v>
      </c>
      <c r="G762" s="42" t="s">
        <v>3253</v>
      </c>
      <c r="H762" s="182">
        <v>1</v>
      </c>
      <c r="I762" s="206">
        <v>4.8</v>
      </c>
      <c r="J762" s="45">
        <v>44613</v>
      </c>
      <c r="K762" s="46" t="s">
        <v>20</v>
      </c>
      <c r="L762" s="202">
        <v>4.99</v>
      </c>
    </row>
    <row r="763" spans="1:291" ht="35" customHeight="1">
      <c r="A763" s="23">
        <f>ROW()-3</f>
        <v>760</v>
      </c>
      <c r="B763" s="42" t="s">
        <v>5629</v>
      </c>
      <c r="C763" s="42" t="s">
        <v>4163</v>
      </c>
      <c r="D763" s="43" t="s">
        <v>5625</v>
      </c>
      <c r="E763" s="270" t="s">
        <v>5627</v>
      </c>
      <c r="F763" s="270" t="s">
        <v>5628</v>
      </c>
      <c r="G763" s="42" t="s">
        <v>3253</v>
      </c>
      <c r="H763" s="42">
        <v>1</v>
      </c>
      <c r="I763" s="44">
        <v>0.5</v>
      </c>
      <c r="J763" s="45">
        <v>44620</v>
      </c>
      <c r="K763" s="46" t="s">
        <v>5157</v>
      </c>
      <c r="L763" s="47">
        <v>4.9000000000000004</v>
      </c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  <c r="BF763" s="32"/>
      <c r="BG763" s="32"/>
      <c r="BH763" s="32"/>
      <c r="BI763" s="32"/>
      <c r="BJ763" s="32"/>
      <c r="BK763" s="32"/>
      <c r="BL763" s="32"/>
      <c r="BM763" s="32"/>
      <c r="BN763" s="32"/>
      <c r="BO763" s="32"/>
      <c r="BP763" s="32"/>
      <c r="BQ763" s="32"/>
      <c r="BR763" s="32"/>
      <c r="BS763" s="32"/>
      <c r="BT763" s="32"/>
      <c r="BU763" s="32"/>
      <c r="BV763" s="32"/>
      <c r="BW763" s="32"/>
      <c r="BX763" s="32"/>
      <c r="BY763" s="32"/>
      <c r="BZ763" s="32"/>
      <c r="CA763" s="32"/>
      <c r="CB763" s="32"/>
      <c r="CC763" s="32"/>
      <c r="CD763" s="32"/>
      <c r="CE763" s="32"/>
      <c r="CF763" s="32"/>
      <c r="CG763" s="32"/>
      <c r="CH763" s="32"/>
      <c r="CI763" s="32"/>
      <c r="CJ763" s="32"/>
      <c r="CK763" s="32"/>
      <c r="CL763" s="32"/>
      <c r="CM763" s="32"/>
      <c r="CN763" s="32"/>
      <c r="CO763" s="32"/>
      <c r="CP763" s="32"/>
      <c r="CQ763" s="32"/>
      <c r="CR763" s="32"/>
      <c r="CS763" s="32"/>
      <c r="CT763" s="32"/>
      <c r="CU763" s="32"/>
      <c r="CV763" s="32"/>
      <c r="CW763" s="32"/>
      <c r="CX763" s="32"/>
      <c r="CY763" s="32"/>
      <c r="CZ763" s="32"/>
      <c r="DA763" s="32"/>
      <c r="DB763" s="32"/>
      <c r="DC763" s="32"/>
      <c r="DD763" s="32"/>
      <c r="DE763" s="32"/>
      <c r="DF763" s="32"/>
      <c r="DG763" s="32"/>
      <c r="DH763" s="32"/>
      <c r="DI763" s="32"/>
      <c r="DJ763" s="32"/>
      <c r="DK763" s="32"/>
      <c r="DL763" s="32"/>
      <c r="DM763" s="32"/>
      <c r="DN763" s="32"/>
      <c r="DO763" s="32"/>
      <c r="DP763" s="32"/>
      <c r="DQ763" s="32"/>
      <c r="DR763" s="32"/>
      <c r="DS763" s="32"/>
      <c r="DT763" s="32"/>
      <c r="DU763" s="32"/>
      <c r="DV763" s="32"/>
      <c r="DW763" s="32"/>
      <c r="DX763" s="32"/>
      <c r="DY763" s="32"/>
      <c r="DZ763" s="32"/>
      <c r="EA763" s="32"/>
      <c r="EB763" s="32"/>
      <c r="EC763" s="32"/>
      <c r="ED763" s="32"/>
      <c r="EE763" s="32"/>
      <c r="EF763" s="32"/>
      <c r="EG763" s="32"/>
      <c r="EH763" s="32"/>
      <c r="EI763" s="32"/>
      <c r="EJ763" s="32"/>
      <c r="EK763" s="32"/>
      <c r="EL763" s="32"/>
      <c r="EM763" s="32"/>
      <c r="EN763" s="32"/>
      <c r="EO763" s="32"/>
      <c r="EP763" s="32"/>
      <c r="EQ763" s="32"/>
      <c r="ER763" s="32"/>
      <c r="ES763" s="32"/>
      <c r="ET763" s="32"/>
      <c r="EU763" s="32"/>
      <c r="EV763" s="32"/>
      <c r="EW763" s="32"/>
      <c r="EX763" s="32"/>
      <c r="EY763" s="32"/>
      <c r="EZ763" s="32"/>
      <c r="FA763" s="32"/>
      <c r="FB763" s="32"/>
      <c r="FC763" s="32"/>
      <c r="FD763" s="32"/>
      <c r="FE763" s="32"/>
      <c r="FF763" s="32"/>
      <c r="FG763" s="32"/>
      <c r="FH763" s="32"/>
      <c r="FI763" s="32"/>
      <c r="FJ763" s="32"/>
      <c r="FK763" s="32"/>
      <c r="FL763" s="32"/>
      <c r="FM763" s="32"/>
      <c r="FN763" s="32"/>
      <c r="FO763" s="32"/>
      <c r="FP763" s="32"/>
      <c r="FQ763" s="32"/>
      <c r="FR763" s="32"/>
      <c r="FS763" s="32"/>
      <c r="FT763" s="32"/>
      <c r="FU763" s="32"/>
      <c r="FV763" s="32"/>
      <c r="FW763" s="32"/>
      <c r="FX763" s="32"/>
      <c r="FY763" s="32"/>
      <c r="FZ763" s="32"/>
      <c r="GA763" s="32"/>
      <c r="GB763" s="32"/>
      <c r="GC763" s="32"/>
      <c r="GD763" s="32"/>
      <c r="GE763" s="32"/>
      <c r="GF763" s="32"/>
      <c r="GG763" s="32"/>
      <c r="GH763" s="32"/>
      <c r="GI763" s="32"/>
      <c r="GJ763" s="32"/>
      <c r="GK763" s="32"/>
      <c r="GL763" s="32"/>
      <c r="GM763" s="32"/>
      <c r="GN763" s="32"/>
      <c r="GO763" s="32"/>
      <c r="GP763" s="32"/>
      <c r="GQ763" s="32"/>
      <c r="GR763" s="32"/>
      <c r="GS763" s="32"/>
      <c r="GT763" s="32"/>
      <c r="GU763" s="32"/>
      <c r="GV763" s="32"/>
      <c r="GW763" s="32"/>
      <c r="GX763" s="32"/>
      <c r="GY763" s="32"/>
      <c r="GZ763" s="32"/>
      <c r="HA763" s="32"/>
      <c r="HB763" s="32"/>
      <c r="HC763" s="32"/>
      <c r="HD763" s="32"/>
      <c r="HE763" s="32"/>
      <c r="HF763" s="32"/>
      <c r="HG763" s="32"/>
      <c r="HH763" s="32"/>
      <c r="HI763" s="32"/>
      <c r="HJ763" s="32"/>
      <c r="HK763" s="32"/>
      <c r="HL763" s="32"/>
      <c r="HM763" s="32"/>
      <c r="HN763" s="32"/>
      <c r="HO763" s="32"/>
      <c r="HP763" s="32"/>
      <c r="HQ763" s="32"/>
      <c r="HR763" s="32"/>
      <c r="HS763" s="32"/>
      <c r="HT763" s="32"/>
      <c r="HU763" s="32"/>
      <c r="HV763" s="32"/>
      <c r="HW763" s="32"/>
      <c r="HX763" s="32"/>
      <c r="HY763" s="32"/>
      <c r="HZ763" s="32"/>
      <c r="IA763" s="32"/>
      <c r="IB763" s="32"/>
      <c r="IC763" s="32"/>
      <c r="ID763" s="32"/>
      <c r="IE763" s="32"/>
      <c r="IF763" s="32"/>
      <c r="IG763" s="32"/>
      <c r="IH763" s="32"/>
      <c r="II763" s="32"/>
      <c r="IJ763" s="32"/>
      <c r="IK763" s="32"/>
      <c r="IL763" s="32"/>
      <c r="IM763" s="32"/>
      <c r="IN763" s="32"/>
      <c r="IO763" s="32"/>
      <c r="IP763" s="32"/>
      <c r="IQ763" s="32"/>
      <c r="IR763" s="32"/>
      <c r="IS763" s="32"/>
      <c r="IT763" s="32"/>
      <c r="IU763" s="32"/>
      <c r="IV763" s="32"/>
      <c r="IW763" s="32"/>
      <c r="IX763" s="32"/>
      <c r="IY763" s="32"/>
      <c r="IZ763" s="32"/>
      <c r="JA763" s="32"/>
      <c r="JB763" s="32"/>
      <c r="JC763" s="32"/>
      <c r="JD763" s="32"/>
      <c r="JE763" s="32"/>
      <c r="JF763" s="32"/>
      <c r="JG763" s="32"/>
      <c r="JH763" s="32"/>
      <c r="JI763" s="32"/>
      <c r="JJ763" s="32"/>
      <c r="JK763" s="32"/>
      <c r="JL763" s="32"/>
      <c r="JM763" s="32"/>
      <c r="JN763" s="32"/>
      <c r="JO763" s="32"/>
      <c r="JP763" s="32"/>
      <c r="JQ763" s="32"/>
      <c r="JR763" s="32"/>
      <c r="JS763" s="32"/>
      <c r="JT763" s="32"/>
      <c r="JU763" s="32"/>
      <c r="JV763" s="32"/>
      <c r="JW763" s="32"/>
      <c r="JX763" s="32"/>
      <c r="JY763" s="32"/>
      <c r="JZ763" s="32"/>
      <c r="KA763" s="32"/>
      <c r="KB763" s="32"/>
      <c r="KC763" s="32"/>
      <c r="KD763" s="32"/>
      <c r="KE763" s="32"/>
    </row>
    <row r="764" spans="1:291" ht="35" customHeight="1">
      <c r="A764" s="23">
        <f>ROW()-3</f>
        <v>761</v>
      </c>
      <c r="B764" s="42" t="s">
        <v>2732</v>
      </c>
      <c r="C764" s="43" t="s">
        <v>4334</v>
      </c>
      <c r="D764" s="43" t="s">
        <v>4341</v>
      </c>
      <c r="E764" s="43" t="s">
        <v>4332</v>
      </c>
      <c r="F764" s="43" t="s">
        <v>3926</v>
      </c>
      <c r="G764" s="43" t="s">
        <v>34</v>
      </c>
      <c r="H764" s="42">
        <v>1</v>
      </c>
      <c r="I764" s="42">
        <v>0.5</v>
      </c>
      <c r="J764" s="53" t="s">
        <v>4342</v>
      </c>
      <c r="K764" s="51" t="s">
        <v>20</v>
      </c>
      <c r="L764" s="47">
        <v>4.99</v>
      </c>
    </row>
    <row r="765" spans="1:291" ht="35" customHeight="1">
      <c r="A765" s="23">
        <f>ROW()-3</f>
        <v>762</v>
      </c>
      <c r="B765" s="42" t="s">
        <v>2732</v>
      </c>
      <c r="C765" s="42" t="s">
        <v>4345</v>
      </c>
      <c r="D765" s="43" t="s">
        <v>4372</v>
      </c>
      <c r="E765" s="43" t="s">
        <v>4373</v>
      </c>
      <c r="F765" s="43" t="s">
        <v>4374</v>
      </c>
      <c r="G765" s="42" t="s">
        <v>34</v>
      </c>
      <c r="H765" s="42">
        <v>1</v>
      </c>
      <c r="I765" s="44">
        <v>0.302222222222222</v>
      </c>
      <c r="J765" s="45">
        <v>43962</v>
      </c>
      <c r="K765" s="46" t="s">
        <v>20</v>
      </c>
      <c r="L765" s="47">
        <v>4.99</v>
      </c>
    </row>
    <row r="766" spans="1:291" ht="35" customHeight="1">
      <c r="A766" s="23">
        <f>ROW()-3</f>
        <v>763</v>
      </c>
      <c r="B766" s="42" t="s">
        <v>2732</v>
      </c>
      <c r="C766" s="42" t="s">
        <v>4345</v>
      </c>
      <c r="D766" s="43" t="s">
        <v>4397</v>
      </c>
      <c r="E766" s="43" t="s">
        <v>4398</v>
      </c>
      <c r="F766" s="43" t="s">
        <v>4399</v>
      </c>
      <c r="G766" s="42" t="s">
        <v>34</v>
      </c>
      <c r="H766" s="42">
        <v>1</v>
      </c>
      <c r="I766" s="44">
        <v>0.43777777777777799</v>
      </c>
      <c r="J766" s="45">
        <v>43962</v>
      </c>
      <c r="K766" s="46" t="s">
        <v>20</v>
      </c>
      <c r="L766" s="47">
        <v>4.99</v>
      </c>
    </row>
    <row r="767" spans="1:291" ht="35" customHeight="1">
      <c r="A767" s="23">
        <f>ROW()-3</f>
        <v>764</v>
      </c>
      <c r="B767" s="42" t="s">
        <v>2732</v>
      </c>
      <c r="C767" s="42" t="s">
        <v>4345</v>
      </c>
      <c r="D767" s="43" t="s">
        <v>4432</v>
      </c>
      <c r="E767" s="43" t="s">
        <v>4433</v>
      </c>
      <c r="F767" s="43" t="s">
        <v>4434</v>
      </c>
      <c r="G767" s="42" t="s">
        <v>34</v>
      </c>
      <c r="H767" s="42">
        <v>1</v>
      </c>
      <c r="I767" s="44">
        <v>0.39861111111111103</v>
      </c>
      <c r="J767" s="45">
        <v>43962</v>
      </c>
      <c r="K767" s="46" t="s">
        <v>20</v>
      </c>
      <c r="L767" s="47">
        <v>4.99</v>
      </c>
    </row>
    <row r="768" spans="1:291" ht="35" customHeight="1">
      <c r="A768" s="23">
        <f>ROW()-3</f>
        <v>765</v>
      </c>
      <c r="B768" s="42" t="s">
        <v>2732</v>
      </c>
      <c r="C768" s="42" t="s">
        <v>4345</v>
      </c>
      <c r="D768" s="43" t="s">
        <v>4435</v>
      </c>
      <c r="E768" s="43" t="s">
        <v>4436</v>
      </c>
      <c r="F768" s="43" t="s">
        <v>2739</v>
      </c>
      <c r="G768" s="42" t="s">
        <v>34</v>
      </c>
      <c r="H768" s="42">
        <v>1</v>
      </c>
      <c r="I768" s="44">
        <v>0.46722222222222198</v>
      </c>
      <c r="J768" s="45">
        <v>43962</v>
      </c>
      <c r="K768" s="46" t="s">
        <v>20</v>
      </c>
      <c r="L768" s="47">
        <v>4.99</v>
      </c>
    </row>
    <row r="769" spans="1:12" ht="35" customHeight="1">
      <c r="A769" s="23">
        <f>ROW()-3</f>
        <v>766</v>
      </c>
      <c r="B769" s="42" t="s">
        <v>2732</v>
      </c>
      <c r="C769" s="42" t="s">
        <v>4345</v>
      </c>
      <c r="D769" s="43" t="s">
        <v>4501</v>
      </c>
      <c r="E769" s="43" t="s">
        <v>4502</v>
      </c>
      <c r="F769" s="43" t="s">
        <v>3961</v>
      </c>
      <c r="G769" s="42" t="s">
        <v>34</v>
      </c>
      <c r="H769" s="42">
        <v>1</v>
      </c>
      <c r="I769" s="44">
        <v>0.48055555555555601</v>
      </c>
      <c r="J769" s="45">
        <v>43962</v>
      </c>
      <c r="K769" s="46" t="s">
        <v>20</v>
      </c>
      <c r="L769" s="47">
        <v>4.99</v>
      </c>
    </row>
    <row r="770" spans="1:12" ht="35" customHeight="1">
      <c r="A770" s="23">
        <f>ROW()-3</f>
        <v>767</v>
      </c>
      <c r="B770" s="42" t="s">
        <v>2732</v>
      </c>
      <c r="C770" s="42" t="s">
        <v>4345</v>
      </c>
      <c r="D770" s="43" t="s">
        <v>4524</v>
      </c>
      <c r="E770" s="43" t="s">
        <v>4525</v>
      </c>
      <c r="F770" s="43" t="s">
        <v>2840</v>
      </c>
      <c r="G770" s="42" t="s">
        <v>34</v>
      </c>
      <c r="H770" s="42">
        <v>1</v>
      </c>
      <c r="I770" s="44">
        <v>0.43277777777777798</v>
      </c>
      <c r="J770" s="45">
        <v>43962</v>
      </c>
      <c r="K770" s="46" t="s">
        <v>20</v>
      </c>
      <c r="L770" s="47">
        <v>4.99</v>
      </c>
    </row>
    <row r="771" spans="1:12" ht="35" customHeight="1">
      <c r="A771" s="23">
        <f>ROW()-3</f>
        <v>768</v>
      </c>
      <c r="B771" s="42" t="s">
        <v>2732</v>
      </c>
      <c r="C771" s="42" t="s">
        <v>4345</v>
      </c>
      <c r="D771" s="43" t="s">
        <v>4541</v>
      </c>
      <c r="E771" s="43" t="s">
        <v>4302</v>
      </c>
      <c r="F771" s="43" t="s">
        <v>2739</v>
      </c>
      <c r="G771" s="42" t="s">
        <v>34</v>
      </c>
      <c r="H771" s="42">
        <v>1</v>
      </c>
      <c r="I771" s="44">
        <v>0.44083333333333302</v>
      </c>
      <c r="J771" s="45">
        <v>43962</v>
      </c>
      <c r="K771" s="46" t="s">
        <v>20</v>
      </c>
      <c r="L771" s="47">
        <v>4.99</v>
      </c>
    </row>
    <row r="772" spans="1:12" ht="35" customHeight="1">
      <c r="A772" s="23">
        <f>ROW()-3</f>
        <v>769</v>
      </c>
      <c r="B772" s="42" t="s">
        <v>2732</v>
      </c>
      <c r="C772" s="42" t="s">
        <v>4345</v>
      </c>
      <c r="D772" s="43" t="s">
        <v>4557</v>
      </c>
      <c r="E772" s="43" t="s">
        <v>4249</v>
      </c>
      <c r="F772" s="43" t="s">
        <v>191</v>
      </c>
      <c r="G772" s="42" t="s">
        <v>34</v>
      </c>
      <c r="H772" s="42">
        <v>1</v>
      </c>
      <c r="I772" s="44">
        <v>0.42333333333333301</v>
      </c>
      <c r="J772" s="45">
        <v>43962</v>
      </c>
      <c r="K772" s="46" t="s">
        <v>20</v>
      </c>
      <c r="L772" s="47">
        <v>4.99</v>
      </c>
    </row>
    <row r="773" spans="1:12" ht="35" customHeight="1">
      <c r="A773" s="23">
        <f>ROW()-3</f>
        <v>770</v>
      </c>
      <c r="B773" s="42" t="s">
        <v>2732</v>
      </c>
      <c r="C773" s="42" t="s">
        <v>4345</v>
      </c>
      <c r="D773" s="43" t="s">
        <v>4346</v>
      </c>
      <c r="E773" s="43" t="s">
        <v>4347</v>
      </c>
      <c r="F773" s="43" t="s">
        <v>3203</v>
      </c>
      <c r="G773" s="42" t="s">
        <v>34</v>
      </c>
      <c r="H773" s="42">
        <v>1</v>
      </c>
      <c r="I773" s="44">
        <v>0.37333333333333302</v>
      </c>
      <c r="J773" s="45">
        <v>43978</v>
      </c>
      <c r="K773" s="51" t="s">
        <v>20</v>
      </c>
      <c r="L773" s="47">
        <v>4.99</v>
      </c>
    </row>
    <row r="774" spans="1:12" ht="35" customHeight="1">
      <c r="A774" s="23">
        <f>ROW()-3</f>
        <v>771</v>
      </c>
      <c r="B774" s="42" t="s">
        <v>2732</v>
      </c>
      <c r="C774" s="42" t="s">
        <v>4345</v>
      </c>
      <c r="D774" s="43" t="s">
        <v>4348</v>
      </c>
      <c r="E774" s="43" t="s">
        <v>4349</v>
      </c>
      <c r="F774" s="43" t="s">
        <v>2742</v>
      </c>
      <c r="G774" s="42" t="s">
        <v>34</v>
      </c>
      <c r="H774" s="42">
        <v>1</v>
      </c>
      <c r="I774" s="44">
        <v>0.55472222222222201</v>
      </c>
      <c r="J774" s="45">
        <v>43978</v>
      </c>
      <c r="K774" s="46" t="s">
        <v>20</v>
      </c>
      <c r="L774" s="47">
        <v>4.99</v>
      </c>
    </row>
    <row r="775" spans="1:12" ht="35" customHeight="1">
      <c r="A775" s="23">
        <f>ROW()-3</f>
        <v>772</v>
      </c>
      <c r="B775" s="42" t="s">
        <v>2732</v>
      </c>
      <c r="C775" s="42" t="s">
        <v>4345</v>
      </c>
      <c r="D775" s="43" t="s">
        <v>4350</v>
      </c>
      <c r="E775" s="43" t="s">
        <v>56</v>
      </c>
      <c r="F775" s="43" t="s">
        <v>56</v>
      </c>
      <c r="G775" s="42" t="s">
        <v>34</v>
      </c>
      <c r="H775" s="42">
        <v>1</v>
      </c>
      <c r="I775" s="44">
        <v>0.45500000000000002</v>
      </c>
      <c r="J775" s="45">
        <v>43978</v>
      </c>
      <c r="K775" s="46" t="s">
        <v>20</v>
      </c>
      <c r="L775" s="47">
        <v>4.99</v>
      </c>
    </row>
    <row r="776" spans="1:12" ht="35" customHeight="1">
      <c r="A776" s="23">
        <f>ROW()-3</f>
        <v>773</v>
      </c>
      <c r="B776" s="42" t="s">
        <v>2732</v>
      </c>
      <c r="C776" s="42" t="s">
        <v>4345</v>
      </c>
      <c r="D776" s="43" t="s">
        <v>4364</v>
      </c>
      <c r="E776" s="43" t="s">
        <v>4365</v>
      </c>
      <c r="F776" s="43" t="s">
        <v>3026</v>
      </c>
      <c r="G776" s="42" t="s">
        <v>34</v>
      </c>
      <c r="H776" s="42">
        <v>1</v>
      </c>
      <c r="I776" s="44">
        <v>0.52333333333333298</v>
      </c>
      <c r="J776" s="45">
        <v>43978</v>
      </c>
      <c r="K776" s="46" t="s">
        <v>20</v>
      </c>
      <c r="L776" s="47">
        <v>4.99</v>
      </c>
    </row>
    <row r="777" spans="1:12" ht="35" customHeight="1">
      <c r="A777" s="23">
        <f>ROW()-3</f>
        <v>774</v>
      </c>
      <c r="B777" s="42" t="s">
        <v>2732</v>
      </c>
      <c r="C777" s="42" t="s">
        <v>4345</v>
      </c>
      <c r="D777" s="43" t="s">
        <v>4367</v>
      </c>
      <c r="E777" s="43" t="s">
        <v>4368</v>
      </c>
      <c r="F777" s="43" t="s">
        <v>2804</v>
      </c>
      <c r="G777" s="42" t="s">
        <v>34</v>
      </c>
      <c r="H777" s="42">
        <v>1</v>
      </c>
      <c r="I777" s="44">
        <v>0.52500000000000002</v>
      </c>
      <c r="J777" s="45">
        <v>43978</v>
      </c>
      <c r="K777" s="46" t="s">
        <v>20</v>
      </c>
      <c r="L777" s="47">
        <v>4.99</v>
      </c>
    </row>
    <row r="778" spans="1:12" ht="35" customHeight="1">
      <c r="A778" s="23">
        <f>ROW()-3</f>
        <v>775</v>
      </c>
      <c r="B778" s="42" t="s">
        <v>2732</v>
      </c>
      <c r="C778" s="42" t="s">
        <v>4345</v>
      </c>
      <c r="D778" s="43" t="s">
        <v>4369</v>
      </c>
      <c r="E778" s="43" t="s">
        <v>4370</v>
      </c>
      <c r="F778" s="43" t="s">
        <v>4371</v>
      </c>
      <c r="G778" s="42" t="s">
        <v>34</v>
      </c>
      <c r="H778" s="42">
        <v>1</v>
      </c>
      <c r="I778" s="44">
        <v>0.41388888888888897</v>
      </c>
      <c r="J778" s="45">
        <v>43978</v>
      </c>
      <c r="K778" s="46" t="s">
        <v>20</v>
      </c>
      <c r="L778" s="47">
        <v>4.99</v>
      </c>
    </row>
    <row r="779" spans="1:12" ht="35" customHeight="1">
      <c r="A779" s="23">
        <f>ROW()-3</f>
        <v>776</v>
      </c>
      <c r="B779" s="42" t="s">
        <v>2732</v>
      </c>
      <c r="C779" s="42" t="s">
        <v>4345</v>
      </c>
      <c r="D779" s="43" t="s">
        <v>4375</v>
      </c>
      <c r="E779" s="43" t="s">
        <v>4376</v>
      </c>
      <c r="F779" s="43" t="s">
        <v>2932</v>
      </c>
      <c r="G779" s="42" t="s">
        <v>34</v>
      </c>
      <c r="H779" s="42">
        <v>1</v>
      </c>
      <c r="I779" s="44">
        <v>0.44472222222222202</v>
      </c>
      <c r="J779" s="45">
        <v>43978</v>
      </c>
      <c r="K779" s="46" t="s">
        <v>20</v>
      </c>
      <c r="L779" s="47">
        <v>4.99</v>
      </c>
    </row>
    <row r="780" spans="1:12" ht="35" customHeight="1">
      <c r="A780" s="23">
        <f>ROW()-3</f>
        <v>777</v>
      </c>
      <c r="B780" s="42" t="s">
        <v>2732</v>
      </c>
      <c r="C780" s="42" t="s">
        <v>4345</v>
      </c>
      <c r="D780" s="43" t="s">
        <v>4377</v>
      </c>
      <c r="E780" s="43" t="s">
        <v>4378</v>
      </c>
      <c r="F780" s="43" t="s">
        <v>3135</v>
      </c>
      <c r="G780" s="42" t="s">
        <v>34</v>
      </c>
      <c r="H780" s="42">
        <v>1</v>
      </c>
      <c r="I780" s="44">
        <v>0.58472222222222203</v>
      </c>
      <c r="J780" s="45">
        <v>43978</v>
      </c>
      <c r="K780" s="46" t="s">
        <v>20</v>
      </c>
      <c r="L780" s="47">
        <v>4.99</v>
      </c>
    </row>
    <row r="781" spans="1:12" ht="35" customHeight="1">
      <c r="A781" s="23">
        <f>ROW()-3</f>
        <v>778</v>
      </c>
      <c r="B781" s="42" t="s">
        <v>2732</v>
      </c>
      <c r="C781" s="42" t="s">
        <v>4345</v>
      </c>
      <c r="D781" s="43" t="s">
        <v>4379</v>
      </c>
      <c r="E781" s="43" t="s">
        <v>4380</v>
      </c>
      <c r="F781" s="43" t="s">
        <v>3135</v>
      </c>
      <c r="G781" s="42" t="s">
        <v>34</v>
      </c>
      <c r="H781" s="42">
        <v>1</v>
      </c>
      <c r="I781" s="44">
        <v>0.65416666666666701</v>
      </c>
      <c r="J781" s="45">
        <v>43978</v>
      </c>
      <c r="K781" s="46" t="s">
        <v>20</v>
      </c>
      <c r="L781" s="47">
        <v>4.99</v>
      </c>
    </row>
    <row r="782" spans="1:12" ht="35" customHeight="1">
      <c r="A782" s="23">
        <f>ROW()-3</f>
        <v>779</v>
      </c>
      <c r="B782" s="42" t="s">
        <v>2732</v>
      </c>
      <c r="C782" s="42" t="s">
        <v>4345</v>
      </c>
      <c r="D782" s="43" t="s">
        <v>2549</v>
      </c>
      <c r="E782" s="43" t="s">
        <v>4385</v>
      </c>
      <c r="F782" s="43" t="s">
        <v>3140</v>
      </c>
      <c r="G782" s="42" t="s">
        <v>34</v>
      </c>
      <c r="H782" s="42">
        <v>1</v>
      </c>
      <c r="I782" s="44">
        <v>0.44916666666666699</v>
      </c>
      <c r="J782" s="45">
        <v>43978</v>
      </c>
      <c r="K782" s="46" t="s">
        <v>20</v>
      </c>
      <c r="L782" s="47">
        <v>4.99</v>
      </c>
    </row>
    <row r="783" spans="1:12" ht="35" customHeight="1">
      <c r="A783" s="23">
        <f>ROW()-3</f>
        <v>780</v>
      </c>
      <c r="B783" s="42" t="s">
        <v>2732</v>
      </c>
      <c r="C783" s="42" t="s">
        <v>4345</v>
      </c>
      <c r="D783" s="43" t="s">
        <v>4386</v>
      </c>
      <c r="E783" s="43" t="s">
        <v>4387</v>
      </c>
      <c r="F783" s="43" t="s">
        <v>4388</v>
      </c>
      <c r="G783" s="42" t="s">
        <v>34</v>
      </c>
      <c r="H783" s="42">
        <v>1</v>
      </c>
      <c r="I783" s="44">
        <v>0.50722222222222202</v>
      </c>
      <c r="J783" s="45">
        <v>43978</v>
      </c>
      <c r="K783" s="46" t="s">
        <v>20</v>
      </c>
      <c r="L783" s="47">
        <v>4.99</v>
      </c>
    </row>
    <row r="784" spans="1:12" ht="35" customHeight="1">
      <c r="A784" s="23">
        <f>ROW()-3</f>
        <v>781</v>
      </c>
      <c r="B784" s="42" t="s">
        <v>2732</v>
      </c>
      <c r="C784" s="42" t="s">
        <v>4345</v>
      </c>
      <c r="D784" s="43" t="s">
        <v>4389</v>
      </c>
      <c r="E784" s="43" t="s">
        <v>4390</v>
      </c>
      <c r="F784" s="43" t="s">
        <v>4391</v>
      </c>
      <c r="G784" s="42" t="s">
        <v>34</v>
      </c>
      <c r="H784" s="42">
        <v>1</v>
      </c>
      <c r="I784" s="44">
        <v>0.50166666666666704</v>
      </c>
      <c r="J784" s="45">
        <v>43978</v>
      </c>
      <c r="K784" s="46" t="s">
        <v>20</v>
      </c>
      <c r="L784" s="47">
        <v>4.99</v>
      </c>
    </row>
    <row r="785" spans="1:12" ht="35" customHeight="1">
      <c r="A785" s="23">
        <f>ROW()-3</f>
        <v>782</v>
      </c>
      <c r="B785" s="42" t="s">
        <v>2732</v>
      </c>
      <c r="C785" s="42" t="s">
        <v>4345</v>
      </c>
      <c r="D785" s="43" t="s">
        <v>4392</v>
      </c>
      <c r="E785" s="43" t="s">
        <v>4393</v>
      </c>
      <c r="F785" s="43" t="s">
        <v>4394</v>
      </c>
      <c r="G785" s="42" t="s">
        <v>34</v>
      </c>
      <c r="H785" s="42">
        <v>1</v>
      </c>
      <c r="I785" s="44">
        <v>0.54222222222222205</v>
      </c>
      <c r="J785" s="45">
        <v>43978</v>
      </c>
      <c r="K785" s="46" t="s">
        <v>20</v>
      </c>
      <c r="L785" s="47">
        <v>4.99</v>
      </c>
    </row>
    <row r="786" spans="1:12" ht="35" customHeight="1">
      <c r="A786" s="23">
        <f>ROW()-3</f>
        <v>783</v>
      </c>
      <c r="B786" s="42" t="s">
        <v>2732</v>
      </c>
      <c r="C786" s="42" t="s">
        <v>4345</v>
      </c>
      <c r="D786" s="43" t="s">
        <v>4395</v>
      </c>
      <c r="E786" s="43" t="s">
        <v>4396</v>
      </c>
      <c r="F786" s="43" t="s">
        <v>2864</v>
      </c>
      <c r="G786" s="42" t="s">
        <v>34</v>
      </c>
      <c r="H786" s="42">
        <v>1</v>
      </c>
      <c r="I786" s="44">
        <v>0.69</v>
      </c>
      <c r="J786" s="45">
        <v>43978</v>
      </c>
      <c r="K786" s="46" t="s">
        <v>20</v>
      </c>
      <c r="L786" s="47">
        <v>4.99</v>
      </c>
    </row>
    <row r="787" spans="1:12" ht="35" customHeight="1">
      <c r="A787" s="23">
        <f>ROW()-3</f>
        <v>784</v>
      </c>
      <c r="B787" s="42" t="s">
        <v>2732</v>
      </c>
      <c r="C787" s="42" t="s">
        <v>4345</v>
      </c>
      <c r="D787" s="43" t="s">
        <v>4400</v>
      </c>
      <c r="E787" s="43" t="s">
        <v>4401</v>
      </c>
      <c r="F787" s="43" t="s">
        <v>2872</v>
      </c>
      <c r="G787" s="42" t="s">
        <v>34</v>
      </c>
      <c r="H787" s="42">
        <v>1</v>
      </c>
      <c r="I787" s="44">
        <v>0.84055555555555495</v>
      </c>
      <c r="J787" s="45">
        <v>43978</v>
      </c>
      <c r="K787" s="46" t="s">
        <v>20</v>
      </c>
      <c r="L787" s="47">
        <v>4.99</v>
      </c>
    </row>
    <row r="788" spans="1:12" ht="35" customHeight="1">
      <c r="A788" s="23">
        <f>ROW()-3</f>
        <v>785</v>
      </c>
      <c r="B788" s="42" t="s">
        <v>2732</v>
      </c>
      <c r="C788" s="42" t="s">
        <v>4345</v>
      </c>
      <c r="D788" s="43" t="s">
        <v>4402</v>
      </c>
      <c r="E788" s="43" t="s">
        <v>4403</v>
      </c>
      <c r="F788" s="43" t="s">
        <v>4404</v>
      </c>
      <c r="G788" s="42" t="s">
        <v>34</v>
      </c>
      <c r="H788" s="42">
        <v>1</v>
      </c>
      <c r="I788" s="44">
        <v>0.49472222222222201</v>
      </c>
      <c r="J788" s="45">
        <v>43978</v>
      </c>
      <c r="K788" s="46" t="s">
        <v>20</v>
      </c>
      <c r="L788" s="47">
        <v>4.99</v>
      </c>
    </row>
    <row r="789" spans="1:12" ht="35" customHeight="1">
      <c r="A789" s="23">
        <f>ROW()-3</f>
        <v>786</v>
      </c>
      <c r="B789" s="42" t="s">
        <v>2732</v>
      </c>
      <c r="C789" s="42" t="s">
        <v>4345</v>
      </c>
      <c r="D789" s="43" t="s">
        <v>4405</v>
      </c>
      <c r="E789" s="43" t="s">
        <v>4406</v>
      </c>
      <c r="F789" s="43" t="s">
        <v>2878</v>
      </c>
      <c r="G789" s="42" t="s">
        <v>34</v>
      </c>
      <c r="H789" s="42">
        <v>1</v>
      </c>
      <c r="I789" s="44">
        <v>0.50027777777777804</v>
      </c>
      <c r="J789" s="45">
        <v>43978</v>
      </c>
      <c r="K789" s="46" t="s">
        <v>20</v>
      </c>
      <c r="L789" s="47">
        <v>4.99</v>
      </c>
    </row>
    <row r="790" spans="1:12" ht="35" customHeight="1">
      <c r="A790" s="23">
        <f>ROW()-3</f>
        <v>787</v>
      </c>
      <c r="B790" s="42" t="s">
        <v>2732</v>
      </c>
      <c r="C790" s="42" t="s">
        <v>4345</v>
      </c>
      <c r="D790" s="43" t="s">
        <v>4409</v>
      </c>
      <c r="E790" s="43" t="s">
        <v>4410</v>
      </c>
      <c r="F790" s="43" t="s">
        <v>4411</v>
      </c>
      <c r="G790" s="42" t="s">
        <v>34</v>
      </c>
      <c r="H790" s="42">
        <v>1</v>
      </c>
      <c r="I790" s="44">
        <v>0.483333333333333</v>
      </c>
      <c r="J790" s="45">
        <v>43978</v>
      </c>
      <c r="K790" s="46" t="s">
        <v>20</v>
      </c>
      <c r="L790" s="47">
        <v>4.99</v>
      </c>
    </row>
    <row r="791" spans="1:12" ht="35" customHeight="1">
      <c r="A791" s="23">
        <f>ROW()-3</f>
        <v>788</v>
      </c>
      <c r="B791" s="42" t="s">
        <v>2732</v>
      </c>
      <c r="C791" s="42" t="s">
        <v>4345</v>
      </c>
      <c r="D791" s="43" t="s">
        <v>4412</v>
      </c>
      <c r="E791" s="43" t="s">
        <v>4413</v>
      </c>
      <c r="F791" s="43" t="s">
        <v>191</v>
      </c>
      <c r="G791" s="42" t="s">
        <v>34</v>
      </c>
      <c r="H791" s="42">
        <v>1</v>
      </c>
      <c r="I791" s="44">
        <v>0.76444444444444404</v>
      </c>
      <c r="J791" s="45">
        <v>43978</v>
      </c>
      <c r="K791" s="46" t="s">
        <v>20</v>
      </c>
      <c r="L791" s="47">
        <v>4.99</v>
      </c>
    </row>
    <row r="792" spans="1:12" ht="35" customHeight="1">
      <c r="A792" s="23">
        <f>ROW()-3</f>
        <v>789</v>
      </c>
      <c r="B792" s="42" t="s">
        <v>2732</v>
      </c>
      <c r="C792" s="42" t="s">
        <v>4345</v>
      </c>
      <c r="D792" s="43" t="s">
        <v>4414</v>
      </c>
      <c r="E792" s="43" t="s">
        <v>4415</v>
      </c>
      <c r="F792" s="43" t="s">
        <v>191</v>
      </c>
      <c r="G792" s="42" t="s">
        <v>34</v>
      </c>
      <c r="H792" s="42">
        <v>1</v>
      </c>
      <c r="I792" s="44">
        <v>0.44444444444444398</v>
      </c>
      <c r="J792" s="45">
        <v>43978</v>
      </c>
      <c r="K792" s="46" t="s">
        <v>20</v>
      </c>
      <c r="L792" s="47">
        <v>4.99</v>
      </c>
    </row>
    <row r="793" spans="1:12" ht="35" customHeight="1">
      <c r="A793" s="23">
        <f>ROW()-3</f>
        <v>790</v>
      </c>
      <c r="B793" s="42" t="s">
        <v>2732</v>
      </c>
      <c r="C793" s="42" t="s">
        <v>4345</v>
      </c>
      <c r="D793" s="43" t="s">
        <v>4416</v>
      </c>
      <c r="E793" s="43" t="s">
        <v>4417</v>
      </c>
      <c r="F793" s="43" t="s">
        <v>191</v>
      </c>
      <c r="G793" s="42" t="s">
        <v>34</v>
      </c>
      <c r="H793" s="42">
        <v>1</v>
      </c>
      <c r="I793" s="44">
        <v>0.77138888888888901</v>
      </c>
      <c r="J793" s="45">
        <v>43978</v>
      </c>
      <c r="K793" s="46" t="s">
        <v>20</v>
      </c>
      <c r="L793" s="47">
        <v>4.99</v>
      </c>
    </row>
    <row r="794" spans="1:12" ht="35" customHeight="1">
      <c r="A794" s="23">
        <f>ROW()-3</f>
        <v>791</v>
      </c>
      <c r="B794" s="42" t="s">
        <v>2732</v>
      </c>
      <c r="C794" s="42" t="s">
        <v>4345</v>
      </c>
      <c r="D794" s="43" t="s">
        <v>4418</v>
      </c>
      <c r="E794" s="43" t="s">
        <v>4419</v>
      </c>
      <c r="F794" s="43" t="s">
        <v>2899</v>
      </c>
      <c r="G794" s="42" t="s">
        <v>34</v>
      </c>
      <c r="H794" s="42">
        <v>1</v>
      </c>
      <c r="I794" s="44">
        <v>0.19611111111111099</v>
      </c>
      <c r="J794" s="45">
        <v>43978</v>
      </c>
      <c r="K794" s="46" t="s">
        <v>20</v>
      </c>
      <c r="L794" s="47">
        <v>4.99</v>
      </c>
    </row>
    <row r="795" spans="1:12" ht="35" customHeight="1">
      <c r="A795" s="23">
        <f>ROW()-3</f>
        <v>792</v>
      </c>
      <c r="B795" s="42" t="s">
        <v>2732</v>
      </c>
      <c r="C795" s="42" t="s">
        <v>4345</v>
      </c>
      <c r="D795" s="43" t="s">
        <v>4420</v>
      </c>
      <c r="E795" s="43" t="s">
        <v>4419</v>
      </c>
      <c r="F795" s="43" t="s">
        <v>2899</v>
      </c>
      <c r="G795" s="42" t="s">
        <v>34</v>
      </c>
      <c r="H795" s="42">
        <v>1</v>
      </c>
      <c r="I795" s="44">
        <v>0.179166666666667</v>
      </c>
      <c r="J795" s="45">
        <v>43978</v>
      </c>
      <c r="K795" s="46" t="s">
        <v>20</v>
      </c>
      <c r="L795" s="47">
        <v>4.99</v>
      </c>
    </row>
    <row r="796" spans="1:12" ht="35" customHeight="1">
      <c r="A796" s="23">
        <f>ROW()-3</f>
        <v>793</v>
      </c>
      <c r="B796" s="42" t="s">
        <v>2732</v>
      </c>
      <c r="C796" s="42" t="s">
        <v>4345</v>
      </c>
      <c r="D796" s="43" t="s">
        <v>4421</v>
      </c>
      <c r="E796" s="43" t="s">
        <v>4422</v>
      </c>
      <c r="F796" s="43" t="s">
        <v>2899</v>
      </c>
      <c r="G796" s="42" t="s">
        <v>34</v>
      </c>
      <c r="H796" s="42">
        <v>1</v>
      </c>
      <c r="I796" s="44">
        <v>0.21027777777777801</v>
      </c>
      <c r="J796" s="45">
        <v>43978</v>
      </c>
      <c r="K796" s="46" t="s">
        <v>20</v>
      </c>
      <c r="L796" s="47">
        <v>4.99</v>
      </c>
    </row>
    <row r="797" spans="1:12" ht="35" customHeight="1">
      <c r="A797" s="23">
        <f>ROW()-3</f>
        <v>794</v>
      </c>
      <c r="B797" s="42" t="s">
        <v>2732</v>
      </c>
      <c r="C797" s="42" t="s">
        <v>4345</v>
      </c>
      <c r="D797" s="43" t="s">
        <v>4423</v>
      </c>
      <c r="E797" s="43" t="s">
        <v>4422</v>
      </c>
      <c r="F797" s="43" t="s">
        <v>2899</v>
      </c>
      <c r="G797" s="42" t="s">
        <v>34</v>
      </c>
      <c r="H797" s="42">
        <v>1</v>
      </c>
      <c r="I797" s="44">
        <v>0.1925</v>
      </c>
      <c r="J797" s="45">
        <v>43978</v>
      </c>
      <c r="K797" s="46" t="s">
        <v>20</v>
      </c>
      <c r="L797" s="47">
        <v>4.99</v>
      </c>
    </row>
    <row r="798" spans="1:12" ht="35" customHeight="1">
      <c r="A798" s="23">
        <f>ROW()-3</f>
        <v>795</v>
      </c>
      <c r="B798" s="42" t="s">
        <v>2732</v>
      </c>
      <c r="C798" s="42" t="s">
        <v>4345</v>
      </c>
      <c r="D798" s="43" t="s">
        <v>4424</v>
      </c>
      <c r="E798" s="43" t="s">
        <v>4425</v>
      </c>
      <c r="F798" s="43" t="s">
        <v>4426</v>
      </c>
      <c r="G798" s="42" t="s">
        <v>34</v>
      </c>
      <c r="H798" s="42">
        <v>1</v>
      </c>
      <c r="I798" s="44">
        <v>0.31861111111111101</v>
      </c>
      <c r="J798" s="45">
        <v>43978</v>
      </c>
      <c r="K798" s="46" t="s">
        <v>20</v>
      </c>
      <c r="L798" s="47">
        <v>4.99</v>
      </c>
    </row>
    <row r="799" spans="1:12" ht="35" customHeight="1">
      <c r="A799" s="23">
        <f>ROW()-3</f>
        <v>796</v>
      </c>
      <c r="B799" s="42" t="s">
        <v>2732</v>
      </c>
      <c r="C799" s="42" t="s">
        <v>4345</v>
      </c>
      <c r="D799" s="43" t="s">
        <v>4427</v>
      </c>
      <c r="E799" s="43" t="s">
        <v>4428</v>
      </c>
      <c r="F799" s="43" t="s">
        <v>2919</v>
      </c>
      <c r="G799" s="42" t="s">
        <v>34</v>
      </c>
      <c r="H799" s="42">
        <v>1</v>
      </c>
      <c r="I799" s="44">
        <v>0.50611111111111096</v>
      </c>
      <c r="J799" s="45">
        <v>43978</v>
      </c>
      <c r="K799" s="46" t="s">
        <v>20</v>
      </c>
      <c r="L799" s="47">
        <v>4.99</v>
      </c>
    </row>
    <row r="800" spans="1:12" ht="35" customHeight="1">
      <c r="A800" s="23">
        <f>ROW()-3</f>
        <v>797</v>
      </c>
      <c r="B800" s="42" t="s">
        <v>2732</v>
      </c>
      <c r="C800" s="42" t="s">
        <v>4345</v>
      </c>
      <c r="D800" s="43" t="s">
        <v>4429</v>
      </c>
      <c r="E800" s="43" t="s">
        <v>4430</v>
      </c>
      <c r="F800" s="43" t="s">
        <v>4431</v>
      </c>
      <c r="G800" s="42" t="s">
        <v>34</v>
      </c>
      <c r="H800" s="42">
        <v>1</v>
      </c>
      <c r="I800" s="44">
        <v>0.25083333333333302</v>
      </c>
      <c r="J800" s="45">
        <v>43978</v>
      </c>
      <c r="K800" s="46" t="s">
        <v>20</v>
      </c>
      <c r="L800" s="47">
        <v>4.99</v>
      </c>
    </row>
    <row r="801" spans="1:12" ht="35" customHeight="1">
      <c r="A801" s="23">
        <f>ROW()-3</f>
        <v>798</v>
      </c>
      <c r="B801" s="42" t="s">
        <v>2732</v>
      </c>
      <c r="C801" s="42" t="s">
        <v>4345</v>
      </c>
      <c r="D801" s="43" t="s">
        <v>4498</v>
      </c>
      <c r="E801" s="43" t="s">
        <v>4499</v>
      </c>
      <c r="F801" s="43" t="s">
        <v>4500</v>
      </c>
      <c r="G801" s="42" t="s">
        <v>34</v>
      </c>
      <c r="H801" s="42">
        <v>1</v>
      </c>
      <c r="I801" s="44">
        <v>0.35388888888888897</v>
      </c>
      <c r="J801" s="45">
        <v>43978</v>
      </c>
      <c r="K801" s="46" t="s">
        <v>20</v>
      </c>
      <c r="L801" s="47">
        <v>4.99</v>
      </c>
    </row>
    <row r="802" spans="1:12" ht="35" customHeight="1">
      <c r="A802" s="23">
        <f>ROW()-3</f>
        <v>799</v>
      </c>
      <c r="B802" s="42" t="s">
        <v>2732</v>
      </c>
      <c r="C802" s="42" t="s">
        <v>4345</v>
      </c>
      <c r="D802" s="43" t="s">
        <v>4503</v>
      </c>
      <c r="E802" s="43" t="s">
        <v>4349</v>
      </c>
      <c r="F802" s="43" t="s">
        <v>4504</v>
      </c>
      <c r="G802" s="42" t="s">
        <v>34</v>
      </c>
      <c r="H802" s="42">
        <v>1</v>
      </c>
      <c r="I802" s="44">
        <v>0.55694444444444402</v>
      </c>
      <c r="J802" s="45">
        <v>43978</v>
      </c>
      <c r="K802" s="46" t="s">
        <v>20</v>
      </c>
      <c r="L802" s="47">
        <v>4.99</v>
      </c>
    </row>
    <row r="803" spans="1:12" ht="35" customHeight="1">
      <c r="A803" s="23">
        <f>ROW()-3</f>
        <v>800</v>
      </c>
      <c r="B803" s="42" t="s">
        <v>2732</v>
      </c>
      <c r="C803" s="42" t="s">
        <v>4345</v>
      </c>
      <c r="D803" s="43" t="s">
        <v>4505</v>
      </c>
      <c r="E803" s="43" t="s">
        <v>4349</v>
      </c>
      <c r="F803" s="43" t="s">
        <v>4504</v>
      </c>
      <c r="G803" s="42" t="s">
        <v>34</v>
      </c>
      <c r="H803" s="42">
        <v>1</v>
      </c>
      <c r="I803" s="44">
        <v>0.28388888888888902</v>
      </c>
      <c r="J803" s="45">
        <v>43978</v>
      </c>
      <c r="K803" s="46" t="s">
        <v>20</v>
      </c>
      <c r="L803" s="47">
        <v>4.99</v>
      </c>
    </row>
    <row r="804" spans="1:12" ht="35" customHeight="1">
      <c r="A804" s="23">
        <f>ROW()-3</f>
        <v>801</v>
      </c>
      <c r="B804" s="42" t="s">
        <v>2732</v>
      </c>
      <c r="C804" s="42" t="s">
        <v>4345</v>
      </c>
      <c r="D804" s="43" t="s">
        <v>4506</v>
      </c>
      <c r="E804" s="43" t="s">
        <v>4507</v>
      </c>
      <c r="F804" s="43" t="s">
        <v>4508</v>
      </c>
      <c r="G804" s="42" t="s">
        <v>34</v>
      </c>
      <c r="H804" s="42">
        <v>1</v>
      </c>
      <c r="I804" s="44">
        <v>0.65777777777777802</v>
      </c>
      <c r="J804" s="45">
        <v>43978</v>
      </c>
      <c r="K804" s="46" t="s">
        <v>20</v>
      </c>
      <c r="L804" s="47">
        <v>4.99</v>
      </c>
    </row>
    <row r="805" spans="1:12" ht="35" customHeight="1">
      <c r="A805" s="23">
        <f>ROW()-3</f>
        <v>802</v>
      </c>
      <c r="B805" s="42" t="s">
        <v>2732</v>
      </c>
      <c r="C805" s="42" t="s">
        <v>4345</v>
      </c>
      <c r="D805" s="43" t="s">
        <v>4509</v>
      </c>
      <c r="E805" s="43" t="s">
        <v>3632</v>
      </c>
      <c r="F805" s="43" t="s">
        <v>3203</v>
      </c>
      <c r="G805" s="42" t="s">
        <v>34</v>
      </c>
      <c r="H805" s="42">
        <v>1</v>
      </c>
      <c r="I805" s="44">
        <v>0.35611111111111099</v>
      </c>
      <c r="J805" s="45">
        <v>43978</v>
      </c>
      <c r="K805" s="46" t="s">
        <v>20</v>
      </c>
      <c r="L805" s="47">
        <v>4.99</v>
      </c>
    </row>
    <row r="806" spans="1:12" ht="35" customHeight="1">
      <c r="A806" s="23">
        <f>ROW()-3</f>
        <v>803</v>
      </c>
      <c r="B806" s="42" t="s">
        <v>2732</v>
      </c>
      <c r="C806" s="42" t="s">
        <v>4345</v>
      </c>
      <c r="D806" s="43" t="s">
        <v>4510</v>
      </c>
      <c r="E806" s="43" t="s">
        <v>4511</v>
      </c>
      <c r="F806" s="43" t="s">
        <v>2773</v>
      </c>
      <c r="G806" s="42" t="s">
        <v>34</v>
      </c>
      <c r="H806" s="42">
        <v>1</v>
      </c>
      <c r="I806" s="44">
        <v>0.42749999999999999</v>
      </c>
      <c r="J806" s="45">
        <v>43978</v>
      </c>
      <c r="K806" s="46" t="s">
        <v>20</v>
      </c>
      <c r="L806" s="47">
        <v>4.99</v>
      </c>
    </row>
    <row r="807" spans="1:12" ht="35" customHeight="1">
      <c r="A807" s="23">
        <f>ROW()-3</f>
        <v>804</v>
      </c>
      <c r="B807" s="42" t="s">
        <v>2732</v>
      </c>
      <c r="C807" s="42" t="s">
        <v>4345</v>
      </c>
      <c r="D807" s="43" t="s">
        <v>4512</v>
      </c>
      <c r="E807" s="43" t="s">
        <v>4513</v>
      </c>
      <c r="F807" s="43" t="s">
        <v>2773</v>
      </c>
      <c r="G807" s="42" t="s">
        <v>34</v>
      </c>
      <c r="H807" s="42">
        <v>1</v>
      </c>
      <c r="I807" s="44">
        <v>0.39194444444444398</v>
      </c>
      <c r="J807" s="45">
        <v>43978</v>
      </c>
      <c r="K807" s="46" t="s">
        <v>20</v>
      </c>
      <c r="L807" s="47">
        <v>4.99</v>
      </c>
    </row>
    <row r="808" spans="1:12" ht="35" customHeight="1">
      <c r="A808" s="23">
        <f>ROW()-3</f>
        <v>805</v>
      </c>
      <c r="B808" s="42" t="s">
        <v>2732</v>
      </c>
      <c r="C808" s="42" t="s">
        <v>4345</v>
      </c>
      <c r="D808" s="43" t="s">
        <v>4514</v>
      </c>
      <c r="E808" s="43" t="s">
        <v>4515</v>
      </c>
      <c r="F808" s="43" t="s">
        <v>4516</v>
      </c>
      <c r="G808" s="42" t="s">
        <v>34</v>
      </c>
      <c r="H808" s="42">
        <v>1</v>
      </c>
      <c r="I808" s="44">
        <v>0.42277777777777797</v>
      </c>
      <c r="J808" s="45">
        <v>43978</v>
      </c>
      <c r="K808" s="46" t="s">
        <v>20</v>
      </c>
      <c r="L808" s="47">
        <v>4.99</v>
      </c>
    </row>
    <row r="809" spans="1:12" ht="35" customHeight="1">
      <c r="A809" s="23">
        <f>ROW()-3</f>
        <v>806</v>
      </c>
      <c r="B809" s="42" t="s">
        <v>2732</v>
      </c>
      <c r="C809" s="42" t="s">
        <v>4345</v>
      </c>
      <c r="D809" s="43" t="s">
        <v>4517</v>
      </c>
      <c r="E809" s="43" t="s">
        <v>4518</v>
      </c>
      <c r="F809" s="43" t="s">
        <v>417</v>
      </c>
      <c r="G809" s="42" t="s">
        <v>34</v>
      </c>
      <c r="H809" s="42">
        <v>1</v>
      </c>
      <c r="I809" s="44">
        <v>0.77055555555555599</v>
      </c>
      <c r="J809" s="45">
        <v>43978</v>
      </c>
      <c r="K809" s="46" t="s">
        <v>20</v>
      </c>
      <c r="L809" s="47">
        <v>4.99</v>
      </c>
    </row>
    <row r="810" spans="1:12" ht="35" customHeight="1">
      <c r="A810" s="23">
        <f>ROW()-3</f>
        <v>807</v>
      </c>
      <c r="B810" s="42" t="s">
        <v>2732</v>
      </c>
      <c r="C810" s="42" t="s">
        <v>4345</v>
      </c>
      <c r="D810" s="43" t="s">
        <v>4519</v>
      </c>
      <c r="E810" s="43" t="s">
        <v>4520</v>
      </c>
      <c r="F810" s="43" t="s">
        <v>3579</v>
      </c>
      <c r="G810" s="42" t="s">
        <v>34</v>
      </c>
      <c r="H810" s="42">
        <v>1</v>
      </c>
      <c r="I810" s="44">
        <v>0.55222222222222195</v>
      </c>
      <c r="J810" s="45">
        <v>43978</v>
      </c>
      <c r="K810" s="46" t="s">
        <v>20</v>
      </c>
      <c r="L810" s="47">
        <v>4.99</v>
      </c>
    </row>
    <row r="811" spans="1:12" ht="35" customHeight="1">
      <c r="A811" s="23">
        <f>ROW()-3</f>
        <v>808</v>
      </c>
      <c r="B811" s="42" t="s">
        <v>2732</v>
      </c>
      <c r="C811" s="42" t="s">
        <v>4345</v>
      </c>
      <c r="D811" s="43" t="s">
        <v>4521</v>
      </c>
      <c r="E811" s="43" t="s">
        <v>4520</v>
      </c>
      <c r="F811" s="43" t="s">
        <v>3579</v>
      </c>
      <c r="G811" s="42" t="s">
        <v>34</v>
      </c>
      <c r="H811" s="42">
        <v>1</v>
      </c>
      <c r="I811" s="44">
        <v>0.36638888888888899</v>
      </c>
      <c r="J811" s="45">
        <v>43978</v>
      </c>
      <c r="K811" s="46" t="s">
        <v>20</v>
      </c>
      <c r="L811" s="47">
        <v>4.99</v>
      </c>
    </row>
    <row r="812" spans="1:12" ht="35" customHeight="1">
      <c r="A812" s="23">
        <f>ROW()-3</f>
        <v>809</v>
      </c>
      <c r="B812" s="42" t="s">
        <v>2732</v>
      </c>
      <c r="C812" s="42" t="s">
        <v>4345</v>
      </c>
      <c r="D812" s="43" t="s">
        <v>4522</v>
      </c>
      <c r="E812" s="43" t="s">
        <v>4523</v>
      </c>
      <c r="F812" s="43" t="s">
        <v>3809</v>
      </c>
      <c r="G812" s="42" t="s">
        <v>34</v>
      </c>
      <c r="H812" s="42">
        <v>1</v>
      </c>
      <c r="I812" s="44">
        <v>0.46972222222222199</v>
      </c>
      <c r="J812" s="45">
        <v>43978</v>
      </c>
      <c r="K812" s="46" t="s">
        <v>20</v>
      </c>
      <c r="L812" s="47">
        <v>4.99</v>
      </c>
    </row>
    <row r="813" spans="1:12" ht="35" customHeight="1">
      <c r="A813" s="23">
        <f>ROW()-3</f>
        <v>810</v>
      </c>
      <c r="B813" s="42" t="s">
        <v>2732</v>
      </c>
      <c r="C813" s="42" t="s">
        <v>4345</v>
      </c>
      <c r="D813" s="43" t="s">
        <v>4526</v>
      </c>
      <c r="E813" s="43" t="s">
        <v>4527</v>
      </c>
      <c r="F813" s="43" t="s">
        <v>2840</v>
      </c>
      <c r="G813" s="42" t="s">
        <v>34</v>
      </c>
      <c r="H813" s="42">
        <v>1</v>
      </c>
      <c r="I813" s="44">
        <v>0.43194444444444402</v>
      </c>
      <c r="J813" s="45">
        <v>43978</v>
      </c>
      <c r="K813" s="46" t="s">
        <v>20</v>
      </c>
      <c r="L813" s="47">
        <v>4.99</v>
      </c>
    </row>
    <row r="814" spans="1:12" ht="35" customHeight="1">
      <c r="A814" s="23">
        <f>ROW()-3</f>
        <v>811</v>
      </c>
      <c r="B814" s="42" t="s">
        <v>2732</v>
      </c>
      <c r="C814" s="42" t="s">
        <v>4345</v>
      </c>
      <c r="D814" s="43" t="s">
        <v>4528</v>
      </c>
      <c r="E814" s="43" t="s">
        <v>4529</v>
      </c>
      <c r="F814" s="43" t="s">
        <v>2804</v>
      </c>
      <c r="G814" s="42" t="s">
        <v>34</v>
      </c>
      <c r="H814" s="42">
        <v>1</v>
      </c>
      <c r="I814" s="44">
        <v>0.56944444444444398</v>
      </c>
      <c r="J814" s="45">
        <v>43978</v>
      </c>
      <c r="K814" s="46" t="s">
        <v>20</v>
      </c>
      <c r="L814" s="47">
        <v>4.99</v>
      </c>
    </row>
    <row r="815" spans="1:12" ht="35" customHeight="1">
      <c r="A815" s="23">
        <f>ROW()-3</f>
        <v>812</v>
      </c>
      <c r="B815" s="42" t="s">
        <v>2732</v>
      </c>
      <c r="C815" s="42" t="s">
        <v>4345</v>
      </c>
      <c r="D815" s="43" t="s">
        <v>4530</v>
      </c>
      <c r="E815" s="43" t="s">
        <v>4531</v>
      </c>
      <c r="F815" s="43" t="s">
        <v>2804</v>
      </c>
      <c r="G815" s="42" t="s">
        <v>34</v>
      </c>
      <c r="H815" s="42">
        <v>1</v>
      </c>
      <c r="I815" s="44">
        <v>0.51555555555555599</v>
      </c>
      <c r="J815" s="45">
        <v>43978</v>
      </c>
      <c r="K815" s="46" t="s">
        <v>20</v>
      </c>
      <c r="L815" s="47">
        <v>4.99</v>
      </c>
    </row>
    <row r="816" spans="1:12" ht="35" customHeight="1">
      <c r="A816" s="23">
        <f>ROW()-3</f>
        <v>813</v>
      </c>
      <c r="B816" s="42" t="s">
        <v>2732</v>
      </c>
      <c r="C816" s="42" t="s">
        <v>4345</v>
      </c>
      <c r="D816" s="43" t="s">
        <v>4532</v>
      </c>
      <c r="E816" s="43" t="s">
        <v>4533</v>
      </c>
      <c r="F816" s="43" t="s">
        <v>3615</v>
      </c>
      <c r="G816" s="42" t="s">
        <v>34</v>
      </c>
      <c r="H816" s="42">
        <v>1</v>
      </c>
      <c r="I816" s="44">
        <v>0.396666666666667</v>
      </c>
      <c r="J816" s="45">
        <v>43978</v>
      </c>
      <c r="K816" s="46" t="s">
        <v>20</v>
      </c>
      <c r="L816" s="47">
        <v>4.99</v>
      </c>
    </row>
    <row r="817" spans="1:12" ht="35" customHeight="1">
      <c r="A817" s="23">
        <f>ROW()-3</f>
        <v>814</v>
      </c>
      <c r="B817" s="42" t="s">
        <v>2732</v>
      </c>
      <c r="C817" s="42" t="s">
        <v>4345</v>
      </c>
      <c r="D817" s="43" t="s">
        <v>4534</v>
      </c>
      <c r="E817" s="43" t="s">
        <v>4535</v>
      </c>
      <c r="F817" s="43" t="s">
        <v>4536</v>
      </c>
      <c r="G817" s="42" t="s">
        <v>34</v>
      </c>
      <c r="H817" s="42">
        <v>1</v>
      </c>
      <c r="I817" s="44">
        <v>0.31805555555555598</v>
      </c>
      <c r="J817" s="45">
        <v>43978</v>
      </c>
      <c r="K817" s="46" t="s">
        <v>20</v>
      </c>
      <c r="L817" s="47">
        <v>4.99</v>
      </c>
    </row>
    <row r="818" spans="1:12" ht="35" customHeight="1">
      <c r="A818" s="23">
        <f>ROW()-3</f>
        <v>815</v>
      </c>
      <c r="B818" s="42" t="s">
        <v>2732</v>
      </c>
      <c r="C818" s="42" t="s">
        <v>4345</v>
      </c>
      <c r="D818" s="43" t="s">
        <v>4537</v>
      </c>
      <c r="E818" s="43" t="s">
        <v>4538</v>
      </c>
      <c r="F818" s="43" t="s">
        <v>4224</v>
      </c>
      <c r="G818" s="42" t="s">
        <v>34</v>
      </c>
      <c r="H818" s="42">
        <v>1</v>
      </c>
      <c r="I818" s="44">
        <v>0.75083333333333302</v>
      </c>
      <c r="J818" s="45">
        <v>43978</v>
      </c>
      <c r="K818" s="46" t="s">
        <v>20</v>
      </c>
      <c r="L818" s="47">
        <v>4.99</v>
      </c>
    </row>
    <row r="819" spans="1:12" ht="35" customHeight="1">
      <c r="A819" s="23">
        <f>ROW()-3</f>
        <v>816</v>
      </c>
      <c r="B819" s="42" t="s">
        <v>2732</v>
      </c>
      <c r="C819" s="42" t="s">
        <v>4345</v>
      </c>
      <c r="D819" s="43" t="s">
        <v>4539</v>
      </c>
      <c r="E819" s="43" t="s">
        <v>4540</v>
      </c>
      <c r="F819" s="43" t="s">
        <v>3978</v>
      </c>
      <c r="G819" s="42" t="s">
        <v>34</v>
      </c>
      <c r="H819" s="42">
        <v>1</v>
      </c>
      <c r="I819" s="44">
        <v>0.496111111111111</v>
      </c>
      <c r="J819" s="45">
        <v>43978</v>
      </c>
      <c r="K819" s="46" t="s">
        <v>20</v>
      </c>
      <c r="L819" s="47">
        <v>4.99</v>
      </c>
    </row>
    <row r="820" spans="1:12" ht="35" customHeight="1">
      <c r="A820" s="23">
        <f>ROW()-3</f>
        <v>817</v>
      </c>
      <c r="B820" s="42" t="s">
        <v>2732</v>
      </c>
      <c r="C820" s="42" t="s">
        <v>4345</v>
      </c>
      <c r="D820" s="43" t="s">
        <v>4542</v>
      </c>
      <c r="E820" s="43" t="s">
        <v>4543</v>
      </c>
      <c r="F820" s="43" t="s">
        <v>4544</v>
      </c>
      <c r="G820" s="42" t="s">
        <v>34</v>
      </c>
      <c r="H820" s="42">
        <v>1</v>
      </c>
      <c r="I820" s="44">
        <v>0.87388888888888905</v>
      </c>
      <c r="J820" s="45">
        <v>43978</v>
      </c>
      <c r="K820" s="46" t="s">
        <v>20</v>
      </c>
      <c r="L820" s="47">
        <v>4.99</v>
      </c>
    </row>
    <row r="821" spans="1:12" ht="35" customHeight="1">
      <c r="A821" s="23">
        <f>ROW()-3</f>
        <v>818</v>
      </c>
      <c r="B821" s="42" t="s">
        <v>2732</v>
      </c>
      <c r="C821" s="42" t="s">
        <v>4345</v>
      </c>
      <c r="D821" s="43" t="s">
        <v>4545</v>
      </c>
      <c r="E821" s="43" t="s">
        <v>4546</v>
      </c>
      <c r="F821" s="43" t="s">
        <v>3955</v>
      </c>
      <c r="G821" s="42" t="s">
        <v>34</v>
      </c>
      <c r="H821" s="42">
        <v>1</v>
      </c>
      <c r="I821" s="44">
        <v>0.48277777777777803</v>
      </c>
      <c r="J821" s="45">
        <v>43978</v>
      </c>
      <c r="K821" s="46" t="s">
        <v>20</v>
      </c>
      <c r="L821" s="47">
        <v>4.99</v>
      </c>
    </row>
    <row r="822" spans="1:12" ht="35" customHeight="1">
      <c r="A822" s="23">
        <f>ROW()-3</f>
        <v>819</v>
      </c>
      <c r="B822" s="42" t="s">
        <v>2732</v>
      </c>
      <c r="C822" s="42" t="s">
        <v>4345</v>
      </c>
      <c r="D822" s="43" t="s">
        <v>1693</v>
      </c>
      <c r="E822" s="43" t="s">
        <v>4547</v>
      </c>
      <c r="F822" s="43" t="s">
        <v>959</v>
      </c>
      <c r="G822" s="42" t="s">
        <v>34</v>
      </c>
      <c r="H822" s="42">
        <v>1</v>
      </c>
      <c r="I822" s="44">
        <v>0.44833333333333297</v>
      </c>
      <c r="J822" s="45">
        <v>43978</v>
      </c>
      <c r="K822" s="46" t="s">
        <v>20</v>
      </c>
      <c r="L822" s="47">
        <v>4.99</v>
      </c>
    </row>
    <row r="823" spans="1:12" ht="35" customHeight="1">
      <c r="A823" s="23">
        <f>ROW()-3</f>
        <v>820</v>
      </c>
      <c r="B823" s="42" t="s">
        <v>2732</v>
      </c>
      <c r="C823" s="42" t="s">
        <v>4345</v>
      </c>
      <c r="D823" s="43" t="s">
        <v>4548</v>
      </c>
      <c r="E823" s="43" t="s">
        <v>4549</v>
      </c>
      <c r="F823" s="43" t="s">
        <v>2864</v>
      </c>
      <c r="G823" s="42" t="s">
        <v>34</v>
      </c>
      <c r="H823" s="42">
        <v>1</v>
      </c>
      <c r="I823" s="44">
        <v>0.75916666666666699</v>
      </c>
      <c r="J823" s="45">
        <v>43978</v>
      </c>
      <c r="K823" s="46" t="s">
        <v>20</v>
      </c>
      <c r="L823" s="47">
        <v>4.99</v>
      </c>
    </row>
    <row r="824" spans="1:12" ht="35" customHeight="1">
      <c r="A824" s="23">
        <f>ROW()-3</f>
        <v>821</v>
      </c>
      <c r="B824" s="42" t="s">
        <v>2732</v>
      </c>
      <c r="C824" s="42" t="s">
        <v>4345</v>
      </c>
      <c r="D824" s="43" t="s">
        <v>4550</v>
      </c>
      <c r="E824" s="43" t="s">
        <v>4551</v>
      </c>
      <c r="F824" s="43" t="s">
        <v>2872</v>
      </c>
      <c r="G824" s="42" t="s">
        <v>34</v>
      </c>
      <c r="H824" s="42">
        <v>1</v>
      </c>
      <c r="I824" s="44">
        <v>0.81777777777777805</v>
      </c>
      <c r="J824" s="45">
        <v>43978</v>
      </c>
      <c r="K824" s="46" t="s">
        <v>20</v>
      </c>
      <c r="L824" s="47">
        <v>4.99</v>
      </c>
    </row>
    <row r="825" spans="1:12" ht="35" customHeight="1">
      <c r="A825" s="23">
        <f>ROW()-3</f>
        <v>822</v>
      </c>
      <c r="B825" s="42" t="s">
        <v>2732</v>
      </c>
      <c r="C825" s="42" t="s">
        <v>4345</v>
      </c>
      <c r="D825" s="43" t="s">
        <v>4552</v>
      </c>
      <c r="E825" s="43" t="s">
        <v>3404</v>
      </c>
      <c r="F825" s="43" t="s">
        <v>2878</v>
      </c>
      <c r="G825" s="42" t="s">
        <v>34</v>
      </c>
      <c r="H825" s="42">
        <v>1</v>
      </c>
      <c r="I825" s="44">
        <v>0.49555555555555603</v>
      </c>
      <c r="J825" s="45">
        <v>43978</v>
      </c>
      <c r="K825" s="46" t="s">
        <v>20</v>
      </c>
      <c r="L825" s="47">
        <v>4.99</v>
      </c>
    </row>
    <row r="826" spans="1:12" ht="35" customHeight="1">
      <c r="A826" s="23">
        <f>ROW()-3</f>
        <v>823</v>
      </c>
      <c r="B826" s="42" t="s">
        <v>2732</v>
      </c>
      <c r="C826" s="42" t="s">
        <v>4345</v>
      </c>
      <c r="D826" s="43" t="s">
        <v>4553</v>
      </c>
      <c r="E826" s="43" t="s">
        <v>4359</v>
      </c>
      <c r="F826" s="43" t="s">
        <v>292</v>
      </c>
      <c r="G826" s="42" t="s">
        <v>34</v>
      </c>
      <c r="H826" s="42">
        <v>1</v>
      </c>
      <c r="I826" s="44">
        <v>0.46611111111111098</v>
      </c>
      <c r="J826" s="45">
        <v>43978</v>
      </c>
      <c r="K826" s="46" t="s">
        <v>20</v>
      </c>
      <c r="L826" s="47">
        <v>4.99</v>
      </c>
    </row>
    <row r="827" spans="1:12" ht="35" customHeight="1">
      <c r="A827" s="23">
        <f>ROW()-3</f>
        <v>824</v>
      </c>
      <c r="B827" s="42" t="s">
        <v>2732</v>
      </c>
      <c r="C827" s="42" t="s">
        <v>4345</v>
      </c>
      <c r="D827" s="43" t="s">
        <v>4554</v>
      </c>
      <c r="E827" s="43" t="s">
        <v>4555</v>
      </c>
      <c r="F827" s="43" t="s">
        <v>4556</v>
      </c>
      <c r="G827" s="42" t="s">
        <v>34</v>
      </c>
      <c r="H827" s="42">
        <v>1</v>
      </c>
      <c r="I827" s="44">
        <v>0.33527777777777801</v>
      </c>
      <c r="J827" s="45">
        <v>43978</v>
      </c>
      <c r="K827" s="46" t="s">
        <v>20</v>
      </c>
      <c r="L827" s="70">
        <v>4.99</v>
      </c>
    </row>
    <row r="828" spans="1:12" ht="35" customHeight="1">
      <c r="A828" s="23">
        <f>ROW()-3</f>
        <v>825</v>
      </c>
      <c r="B828" s="42" t="s">
        <v>2732</v>
      </c>
      <c r="C828" s="42" t="s">
        <v>4345</v>
      </c>
      <c r="D828" s="43" t="s">
        <v>4558</v>
      </c>
      <c r="E828" s="43" t="s">
        <v>4559</v>
      </c>
      <c r="F828" s="43" t="s">
        <v>619</v>
      </c>
      <c r="G828" s="65" t="s">
        <v>34</v>
      </c>
      <c r="H828" s="65">
        <v>1</v>
      </c>
      <c r="I828" s="71">
        <v>0.59694444444444394</v>
      </c>
      <c r="J828" s="72">
        <v>43978</v>
      </c>
      <c r="K828" s="73" t="s">
        <v>20</v>
      </c>
      <c r="L828" s="70">
        <v>4.99</v>
      </c>
    </row>
    <row r="829" spans="1:12" ht="35" customHeight="1">
      <c r="A829" s="23">
        <f>ROW()-3</f>
        <v>826</v>
      </c>
      <c r="B829" s="65" t="s">
        <v>2732</v>
      </c>
      <c r="C829" s="65" t="s">
        <v>4345</v>
      </c>
      <c r="D829" s="64" t="s">
        <v>4560</v>
      </c>
      <c r="E829" s="64" t="s">
        <v>4561</v>
      </c>
      <c r="F829" s="64" t="s">
        <v>4562</v>
      </c>
      <c r="G829" s="65" t="s">
        <v>34</v>
      </c>
      <c r="H829" s="42">
        <v>1</v>
      </c>
      <c r="I829" s="44">
        <v>0.463055555555556</v>
      </c>
      <c r="J829" s="72">
        <v>43978</v>
      </c>
      <c r="K829" s="73" t="s">
        <v>20</v>
      </c>
      <c r="L829" s="70">
        <v>4.99</v>
      </c>
    </row>
    <row r="830" spans="1:12" ht="35" customHeight="1">
      <c r="A830" s="23">
        <f>ROW()-3</f>
        <v>827</v>
      </c>
      <c r="B830" s="65" t="s">
        <v>2732</v>
      </c>
      <c r="C830" s="42" t="s">
        <v>4345</v>
      </c>
      <c r="D830" s="43" t="s">
        <v>4563</v>
      </c>
      <c r="E830" s="43" t="s">
        <v>4564</v>
      </c>
      <c r="F830" s="43" t="s">
        <v>3163</v>
      </c>
      <c r="G830" s="65" t="s">
        <v>34</v>
      </c>
      <c r="H830" s="42">
        <v>1</v>
      </c>
      <c r="I830" s="44">
        <v>0.618611111111111</v>
      </c>
      <c r="J830" s="72">
        <v>43978</v>
      </c>
      <c r="K830" s="73" t="s">
        <v>20</v>
      </c>
      <c r="L830" s="70">
        <v>4.99</v>
      </c>
    </row>
    <row r="831" spans="1:12" ht="35" customHeight="1">
      <c r="A831" s="23">
        <f>ROW()-3</f>
        <v>828</v>
      </c>
      <c r="B831" s="65" t="s">
        <v>2732</v>
      </c>
      <c r="C831" s="42" t="s">
        <v>4345</v>
      </c>
      <c r="D831" s="43" t="s">
        <v>4565</v>
      </c>
      <c r="E831" s="43" t="s">
        <v>4566</v>
      </c>
      <c r="F831" s="43" t="s">
        <v>3163</v>
      </c>
      <c r="G831" s="65" t="s">
        <v>34</v>
      </c>
      <c r="H831" s="42">
        <v>1</v>
      </c>
      <c r="I831" s="44">
        <v>0.60472222222222205</v>
      </c>
      <c r="J831" s="72">
        <v>43978</v>
      </c>
      <c r="K831" s="73" t="s">
        <v>20</v>
      </c>
      <c r="L831" s="70">
        <v>4.99</v>
      </c>
    </row>
    <row r="832" spans="1:12" ht="35" customHeight="1">
      <c r="A832" s="23">
        <f>ROW()-3</f>
        <v>829</v>
      </c>
      <c r="B832" s="65" t="s">
        <v>2732</v>
      </c>
      <c r="C832" s="42" t="s">
        <v>4345</v>
      </c>
      <c r="D832" s="43" t="s">
        <v>4567</v>
      </c>
      <c r="E832" s="43" t="s">
        <v>4568</v>
      </c>
      <c r="F832" s="43" t="s">
        <v>3242</v>
      </c>
      <c r="G832" s="65" t="s">
        <v>34</v>
      </c>
      <c r="H832" s="36">
        <v>1</v>
      </c>
      <c r="I832" s="38">
        <v>0.33472222222222198</v>
      </c>
      <c r="J832" s="72">
        <v>43978</v>
      </c>
      <c r="K832" s="73" t="s">
        <v>20</v>
      </c>
      <c r="L832" s="70">
        <v>4.99</v>
      </c>
    </row>
    <row r="833" spans="1:291" ht="35" customHeight="1">
      <c r="A833" s="23">
        <f>ROW()-3</f>
        <v>830</v>
      </c>
      <c r="B833" s="65" t="s">
        <v>2732</v>
      </c>
      <c r="C833" s="36" t="s">
        <v>4345</v>
      </c>
      <c r="D833" s="37" t="s">
        <v>4569</v>
      </c>
      <c r="E833" s="37" t="s">
        <v>4570</v>
      </c>
      <c r="F833" s="37" t="s">
        <v>532</v>
      </c>
      <c r="G833" s="65" t="s">
        <v>34</v>
      </c>
      <c r="H833" s="36">
        <v>1</v>
      </c>
      <c r="I833" s="38">
        <v>0.43388888888888899</v>
      </c>
      <c r="J833" s="72">
        <v>43978</v>
      </c>
      <c r="K833" s="73" t="s">
        <v>20</v>
      </c>
      <c r="L833" s="70">
        <v>4.99</v>
      </c>
    </row>
    <row r="834" spans="1:291" ht="35" customHeight="1">
      <c r="A834" s="23">
        <f>ROW()-3</f>
        <v>831</v>
      </c>
      <c r="B834" s="65" t="s">
        <v>2732</v>
      </c>
      <c r="C834" s="36" t="s">
        <v>4345</v>
      </c>
      <c r="D834" s="37" t="s">
        <v>4571</v>
      </c>
      <c r="E834" s="37" t="s">
        <v>4572</v>
      </c>
      <c r="F834" s="37" t="s">
        <v>3889</v>
      </c>
      <c r="G834" s="65" t="s">
        <v>34</v>
      </c>
      <c r="H834" s="36">
        <v>1</v>
      </c>
      <c r="I834" s="38">
        <v>0.441388888888889</v>
      </c>
      <c r="J834" s="72">
        <v>43978</v>
      </c>
      <c r="K834" s="73" t="s">
        <v>20</v>
      </c>
      <c r="L834" s="70">
        <v>4.99</v>
      </c>
    </row>
    <row r="835" spans="1:291" ht="35" customHeight="1">
      <c r="A835" s="23">
        <f>ROW()-3</f>
        <v>832</v>
      </c>
      <c r="B835" s="65" t="s">
        <v>2732</v>
      </c>
      <c r="C835" s="36" t="s">
        <v>4345</v>
      </c>
      <c r="D835" s="37" t="s">
        <v>4573</v>
      </c>
      <c r="E835" s="37" t="s">
        <v>4574</v>
      </c>
      <c r="F835" s="37" t="s">
        <v>4575</v>
      </c>
      <c r="G835" s="65" t="s">
        <v>34</v>
      </c>
      <c r="H835" s="36">
        <v>1</v>
      </c>
      <c r="I835" s="38">
        <v>0.52222222222222203</v>
      </c>
      <c r="J835" s="72">
        <v>43978</v>
      </c>
      <c r="K835" s="73" t="s">
        <v>20</v>
      </c>
      <c r="L835" s="70">
        <v>4.99</v>
      </c>
    </row>
    <row r="836" spans="1:291" ht="35" customHeight="1">
      <c r="A836" s="23">
        <f>ROW()-3</f>
        <v>833</v>
      </c>
      <c r="B836" s="65" t="s">
        <v>2732</v>
      </c>
      <c r="C836" s="36" t="s">
        <v>4345</v>
      </c>
      <c r="D836" s="37" t="s">
        <v>4576</v>
      </c>
      <c r="E836" s="37" t="s">
        <v>4577</v>
      </c>
      <c r="F836" s="37" t="s">
        <v>4578</v>
      </c>
      <c r="G836" s="65" t="s">
        <v>34</v>
      </c>
      <c r="H836" s="36">
        <v>1</v>
      </c>
      <c r="I836" s="38">
        <v>0.54555555555555602</v>
      </c>
      <c r="J836" s="72">
        <v>43978</v>
      </c>
      <c r="K836" s="73" t="s">
        <v>20</v>
      </c>
      <c r="L836" s="323">
        <v>4.99</v>
      </c>
    </row>
    <row r="837" spans="1:291" ht="35" customHeight="1">
      <c r="A837" s="23">
        <f>ROW()-3</f>
        <v>834</v>
      </c>
      <c r="B837" s="65" t="s">
        <v>5170</v>
      </c>
      <c r="C837" s="36" t="s">
        <v>5171</v>
      </c>
      <c r="D837" s="37" t="s">
        <v>5172</v>
      </c>
      <c r="E837" s="37" t="s">
        <v>5177</v>
      </c>
      <c r="F837" s="37" t="s">
        <v>5178</v>
      </c>
      <c r="G837" s="65" t="s">
        <v>3253</v>
      </c>
      <c r="H837" s="36">
        <v>1</v>
      </c>
      <c r="I837" s="276">
        <v>0.48</v>
      </c>
      <c r="J837" s="72">
        <v>43978</v>
      </c>
      <c r="K837" s="73" t="s">
        <v>20</v>
      </c>
      <c r="L837" s="279">
        <v>4.99</v>
      </c>
    </row>
    <row r="838" spans="1:291" ht="35" customHeight="1">
      <c r="A838" s="23">
        <f>ROW()-3</f>
        <v>835</v>
      </c>
      <c r="B838" s="65" t="s">
        <v>5170</v>
      </c>
      <c r="C838" s="36" t="s">
        <v>5171</v>
      </c>
      <c r="D838" s="37" t="s">
        <v>5174</v>
      </c>
      <c r="E838" s="37" t="s">
        <v>5175</v>
      </c>
      <c r="F838" s="37" t="s">
        <v>5176</v>
      </c>
      <c r="G838" s="65" t="s">
        <v>3253</v>
      </c>
      <c r="H838" s="74">
        <v>1</v>
      </c>
      <c r="I838" s="316">
        <v>0.5</v>
      </c>
      <c r="J838" s="318">
        <v>43978</v>
      </c>
      <c r="K838" s="73" t="s">
        <v>20</v>
      </c>
      <c r="L838" s="203">
        <v>4.99</v>
      </c>
    </row>
    <row r="839" spans="1:291" ht="35" customHeight="1">
      <c r="A839" s="23">
        <f>ROW()-3</f>
        <v>836</v>
      </c>
      <c r="B839" s="213" t="s">
        <v>2732</v>
      </c>
      <c r="C839" s="264" t="s">
        <v>4345</v>
      </c>
      <c r="D839" s="265" t="s">
        <v>4366</v>
      </c>
      <c r="E839" s="265" t="s">
        <v>3091</v>
      </c>
      <c r="F839" s="265" t="s">
        <v>807</v>
      </c>
      <c r="G839" s="213" t="s">
        <v>34</v>
      </c>
      <c r="H839" s="264">
        <v>1</v>
      </c>
      <c r="I839" s="315">
        <v>0.81833333333333302</v>
      </c>
      <c r="J839" s="234">
        <v>43978</v>
      </c>
      <c r="K839" s="266" t="s">
        <v>20</v>
      </c>
      <c r="L839" s="322">
        <v>4.99</v>
      </c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  <c r="AF839" s="134"/>
      <c r="AG839" s="134"/>
      <c r="AH839" s="134"/>
      <c r="AI839" s="134"/>
      <c r="AJ839" s="134"/>
      <c r="AK839" s="134"/>
      <c r="AL839" s="134"/>
      <c r="AM839" s="134"/>
      <c r="AN839" s="134"/>
      <c r="AO839" s="134"/>
      <c r="AP839" s="134"/>
      <c r="AQ839" s="134"/>
      <c r="AR839" s="134"/>
      <c r="AS839" s="134"/>
      <c r="AT839" s="134"/>
      <c r="AU839" s="134"/>
      <c r="AV839" s="134"/>
      <c r="AW839" s="134"/>
      <c r="AX839" s="134"/>
      <c r="AY839" s="134"/>
      <c r="AZ839" s="134"/>
      <c r="BA839" s="134"/>
      <c r="BB839" s="134"/>
      <c r="BC839" s="134"/>
      <c r="BD839" s="134"/>
      <c r="BE839" s="134"/>
      <c r="BF839" s="134"/>
      <c r="BG839" s="134"/>
      <c r="BH839" s="134"/>
      <c r="BI839" s="134"/>
      <c r="BJ839" s="134"/>
      <c r="BK839" s="134"/>
      <c r="BL839" s="134"/>
      <c r="BM839" s="134"/>
      <c r="BN839" s="134"/>
      <c r="BO839" s="134"/>
      <c r="BP839" s="134"/>
      <c r="BQ839" s="134"/>
      <c r="BR839" s="134"/>
      <c r="BS839" s="134"/>
      <c r="BT839" s="134"/>
      <c r="BU839" s="134"/>
      <c r="BV839" s="134"/>
      <c r="BW839" s="134"/>
      <c r="BX839" s="134"/>
      <c r="BY839" s="134"/>
      <c r="BZ839" s="134"/>
      <c r="CA839" s="134"/>
      <c r="CB839" s="134"/>
      <c r="CC839" s="134"/>
      <c r="CD839" s="134"/>
      <c r="CE839" s="134"/>
      <c r="CF839" s="134"/>
      <c r="CG839" s="134"/>
      <c r="CH839" s="134"/>
      <c r="CI839" s="134"/>
      <c r="CJ839" s="134"/>
      <c r="CK839" s="134"/>
      <c r="CL839" s="134"/>
      <c r="CM839" s="134"/>
      <c r="CN839" s="134"/>
      <c r="CO839" s="134"/>
      <c r="CP839" s="134"/>
      <c r="CQ839" s="134"/>
      <c r="CR839" s="134"/>
      <c r="CS839" s="134"/>
      <c r="CT839" s="134"/>
      <c r="CU839" s="134"/>
      <c r="CV839" s="134"/>
      <c r="CW839" s="134"/>
      <c r="CX839" s="134"/>
      <c r="CY839" s="134"/>
      <c r="CZ839" s="134"/>
      <c r="DA839" s="134"/>
      <c r="DB839" s="134"/>
      <c r="DC839" s="134"/>
      <c r="DD839" s="134"/>
      <c r="DE839" s="134"/>
      <c r="DF839" s="134"/>
      <c r="DG839" s="134"/>
      <c r="DH839" s="134"/>
      <c r="DI839" s="134"/>
      <c r="DJ839" s="134"/>
      <c r="DK839" s="134"/>
      <c r="DL839" s="134"/>
      <c r="DM839" s="134"/>
      <c r="DN839" s="134"/>
      <c r="DO839" s="134"/>
      <c r="DP839" s="134"/>
      <c r="DQ839" s="134"/>
      <c r="DR839" s="134"/>
      <c r="DS839" s="134"/>
      <c r="DT839" s="134"/>
      <c r="DU839" s="134"/>
      <c r="DV839" s="134"/>
      <c r="DW839" s="134"/>
      <c r="DX839" s="134"/>
      <c r="DY839" s="134"/>
      <c r="DZ839" s="134"/>
      <c r="EA839" s="134"/>
      <c r="EB839" s="134"/>
      <c r="EC839" s="134"/>
      <c r="ED839" s="134"/>
      <c r="EE839" s="134"/>
      <c r="EF839" s="134"/>
      <c r="EG839" s="134"/>
      <c r="EH839" s="134"/>
      <c r="EI839" s="134"/>
      <c r="EJ839" s="134"/>
      <c r="EK839" s="134"/>
      <c r="EL839" s="134"/>
      <c r="EM839" s="134"/>
      <c r="EN839" s="134"/>
      <c r="EO839" s="134"/>
      <c r="EP839" s="134"/>
      <c r="EQ839" s="134"/>
      <c r="ER839" s="134"/>
      <c r="ES839" s="134"/>
      <c r="ET839" s="134"/>
      <c r="EU839" s="134"/>
      <c r="EV839" s="134"/>
      <c r="EW839" s="134"/>
      <c r="EX839" s="134"/>
      <c r="EY839" s="134"/>
      <c r="EZ839" s="134"/>
      <c r="FA839" s="134"/>
      <c r="FB839" s="134"/>
      <c r="FC839" s="134"/>
      <c r="FD839" s="134"/>
      <c r="FE839" s="134"/>
      <c r="FF839" s="134"/>
      <c r="FG839" s="134"/>
      <c r="FH839" s="134"/>
      <c r="FI839" s="134"/>
      <c r="FJ839" s="134"/>
      <c r="FK839" s="134"/>
      <c r="FL839" s="134"/>
      <c r="FM839" s="134"/>
      <c r="FN839" s="134"/>
      <c r="FO839" s="134"/>
      <c r="FP839" s="134"/>
      <c r="FQ839" s="134"/>
      <c r="FR839" s="134"/>
      <c r="FS839" s="134"/>
      <c r="FT839" s="134"/>
      <c r="FU839" s="134"/>
      <c r="FV839" s="134"/>
      <c r="FW839" s="134"/>
      <c r="FX839" s="134"/>
      <c r="FY839" s="134"/>
      <c r="FZ839" s="134"/>
      <c r="GA839" s="134"/>
      <c r="GB839" s="134"/>
      <c r="GC839" s="134"/>
      <c r="GD839" s="134"/>
      <c r="GE839" s="134"/>
      <c r="GF839" s="134"/>
      <c r="GG839" s="134"/>
      <c r="GH839" s="134"/>
      <c r="GI839" s="134"/>
      <c r="GJ839" s="134"/>
      <c r="GK839" s="134"/>
      <c r="GL839" s="134"/>
      <c r="GM839" s="134"/>
      <c r="GN839" s="134"/>
      <c r="GO839" s="134"/>
      <c r="GP839" s="134"/>
      <c r="GQ839" s="134"/>
      <c r="GR839" s="134"/>
      <c r="GS839" s="134"/>
      <c r="GT839" s="134"/>
      <c r="GU839" s="134"/>
      <c r="GV839" s="134"/>
      <c r="GW839" s="134"/>
      <c r="GX839" s="134"/>
      <c r="GY839" s="134"/>
      <c r="GZ839" s="134"/>
      <c r="HA839" s="134"/>
      <c r="HB839" s="134"/>
      <c r="HC839" s="134"/>
      <c r="HD839" s="134"/>
      <c r="HE839" s="134"/>
      <c r="HF839" s="134"/>
      <c r="HG839" s="134"/>
      <c r="HH839" s="134"/>
      <c r="HI839" s="134"/>
      <c r="HJ839" s="134"/>
      <c r="HK839" s="134"/>
      <c r="HL839" s="134"/>
      <c r="HM839" s="134"/>
      <c r="HN839" s="134"/>
      <c r="HO839" s="134"/>
      <c r="HP839" s="134"/>
      <c r="HQ839" s="134"/>
      <c r="HR839" s="134"/>
      <c r="HS839" s="134"/>
      <c r="HT839" s="134"/>
      <c r="HU839" s="134"/>
      <c r="HV839" s="134"/>
      <c r="HW839" s="134"/>
      <c r="HX839" s="134"/>
      <c r="HY839" s="134"/>
      <c r="HZ839" s="134"/>
      <c r="IA839" s="134"/>
      <c r="IB839" s="134"/>
      <c r="IC839" s="134"/>
      <c r="ID839" s="134"/>
      <c r="IE839" s="134"/>
      <c r="IF839" s="134"/>
      <c r="IG839" s="134"/>
      <c r="IH839" s="134"/>
      <c r="II839" s="134"/>
      <c r="IJ839" s="134"/>
      <c r="IK839" s="134"/>
      <c r="IL839" s="134"/>
      <c r="IM839" s="134"/>
      <c r="IN839" s="134"/>
      <c r="IO839" s="134"/>
      <c r="IP839" s="134"/>
      <c r="IQ839" s="134"/>
      <c r="IR839" s="134"/>
      <c r="IS839" s="134"/>
      <c r="IT839" s="134"/>
      <c r="IU839" s="134"/>
      <c r="IV839" s="134"/>
      <c r="IW839" s="134"/>
      <c r="IX839" s="134"/>
      <c r="IY839" s="134"/>
      <c r="IZ839" s="134"/>
      <c r="JA839" s="134"/>
      <c r="JB839" s="134"/>
      <c r="JC839" s="134"/>
      <c r="JD839" s="134"/>
      <c r="JE839" s="134"/>
      <c r="JF839" s="134"/>
      <c r="JG839" s="134"/>
      <c r="JH839" s="134"/>
      <c r="JI839" s="134"/>
      <c r="JJ839" s="134"/>
      <c r="JK839" s="134"/>
      <c r="JL839" s="134"/>
      <c r="JM839" s="134"/>
      <c r="JN839" s="134"/>
      <c r="JO839" s="134"/>
      <c r="JP839" s="134"/>
      <c r="JQ839" s="134"/>
      <c r="JR839" s="134"/>
      <c r="JS839" s="134"/>
      <c r="JT839" s="134"/>
      <c r="JU839" s="134"/>
      <c r="JV839" s="134"/>
      <c r="JW839" s="134"/>
      <c r="JX839" s="134"/>
      <c r="JY839" s="134"/>
      <c r="JZ839" s="134"/>
      <c r="KA839" s="134"/>
      <c r="KB839" s="134"/>
      <c r="KC839" s="134"/>
      <c r="KD839" s="134"/>
      <c r="KE839" s="134"/>
    </row>
    <row r="840" spans="1:291" ht="35" customHeight="1">
      <c r="A840" s="23">
        <f>ROW()-3</f>
        <v>837</v>
      </c>
      <c r="B840" s="65" t="s">
        <v>2732</v>
      </c>
      <c r="C840" s="36" t="s">
        <v>4345</v>
      </c>
      <c r="D840" s="37" t="s">
        <v>4465</v>
      </c>
      <c r="E840" s="37" t="s">
        <v>4466</v>
      </c>
      <c r="F840" s="37" t="s">
        <v>3116</v>
      </c>
      <c r="G840" s="65" t="s">
        <v>34</v>
      </c>
      <c r="H840" s="36">
        <v>1</v>
      </c>
      <c r="I840" s="38">
        <v>0.4</v>
      </c>
      <c r="J840" s="72">
        <v>43983</v>
      </c>
      <c r="K840" s="73" t="s">
        <v>20</v>
      </c>
      <c r="L840" s="70">
        <v>4.99</v>
      </c>
    </row>
    <row r="841" spans="1:291" ht="35" customHeight="1">
      <c r="A841" s="23">
        <f>ROW()-3</f>
        <v>838</v>
      </c>
      <c r="B841" s="65" t="s">
        <v>2732</v>
      </c>
      <c r="C841" s="36" t="s">
        <v>4345</v>
      </c>
      <c r="D841" s="37" t="s">
        <v>4467</v>
      </c>
      <c r="E841" s="37" t="s">
        <v>4468</v>
      </c>
      <c r="F841" s="37" t="s">
        <v>2840</v>
      </c>
      <c r="G841" s="65" t="s">
        <v>34</v>
      </c>
      <c r="H841" s="36">
        <v>1</v>
      </c>
      <c r="I841" s="38">
        <v>0.46</v>
      </c>
      <c r="J841" s="72">
        <v>43997</v>
      </c>
      <c r="K841" s="73" t="s">
        <v>20</v>
      </c>
      <c r="L841" s="70">
        <v>4.99</v>
      </c>
    </row>
    <row r="842" spans="1:291" ht="35" customHeight="1">
      <c r="A842" s="23">
        <f>ROW()-3</f>
        <v>839</v>
      </c>
      <c r="B842" s="65" t="s">
        <v>2732</v>
      </c>
      <c r="C842" s="36" t="s">
        <v>4345</v>
      </c>
      <c r="D842" s="37" t="s">
        <v>4469</v>
      </c>
      <c r="E842" s="37" t="s">
        <v>4470</v>
      </c>
      <c r="F842" s="37" t="s">
        <v>4471</v>
      </c>
      <c r="G842" s="65" t="s">
        <v>34</v>
      </c>
      <c r="H842" s="65">
        <v>1</v>
      </c>
      <c r="I842" s="38">
        <v>0.38</v>
      </c>
      <c r="J842" s="72">
        <v>44004</v>
      </c>
      <c r="K842" s="73" t="s">
        <v>20</v>
      </c>
      <c r="L842" s="70">
        <v>4.99</v>
      </c>
    </row>
    <row r="843" spans="1:291" ht="35" customHeight="1">
      <c r="A843" s="23">
        <f>ROW()-3</f>
        <v>840</v>
      </c>
      <c r="B843" s="65" t="s">
        <v>2732</v>
      </c>
      <c r="C843" s="36" t="s">
        <v>4345</v>
      </c>
      <c r="D843" s="37" t="s">
        <v>4472</v>
      </c>
      <c r="E843" s="37" t="s">
        <v>4473</v>
      </c>
      <c r="F843" s="37" t="s">
        <v>4399</v>
      </c>
      <c r="G843" s="65" t="s">
        <v>34</v>
      </c>
      <c r="H843" s="65">
        <v>1</v>
      </c>
      <c r="I843" s="38">
        <v>0.32</v>
      </c>
      <c r="J843" s="72">
        <v>44004</v>
      </c>
      <c r="K843" s="73" t="s">
        <v>20</v>
      </c>
      <c r="L843" s="70">
        <v>4.99</v>
      </c>
    </row>
    <row r="844" spans="1:291" ht="35" customHeight="1">
      <c r="A844" s="23">
        <f>ROW()-3</f>
        <v>841</v>
      </c>
      <c r="B844" s="65" t="s">
        <v>2732</v>
      </c>
      <c r="C844" s="36" t="s">
        <v>4345</v>
      </c>
      <c r="D844" s="37" t="s">
        <v>4474</v>
      </c>
      <c r="E844" s="37" t="s">
        <v>3293</v>
      </c>
      <c r="F844" s="37" t="s">
        <v>4444</v>
      </c>
      <c r="G844" s="65" t="s">
        <v>34</v>
      </c>
      <c r="H844" s="65">
        <v>1</v>
      </c>
      <c r="I844" s="38">
        <v>0.3</v>
      </c>
      <c r="J844" s="72">
        <v>44004</v>
      </c>
      <c r="K844" s="73" t="s">
        <v>20</v>
      </c>
      <c r="L844" s="70">
        <v>4.99</v>
      </c>
    </row>
    <row r="845" spans="1:291" ht="35" customHeight="1">
      <c r="A845" s="23">
        <f>ROW()-3</f>
        <v>842</v>
      </c>
      <c r="B845" s="65" t="s">
        <v>2732</v>
      </c>
      <c r="C845" s="36" t="s">
        <v>4345</v>
      </c>
      <c r="D845" s="37" t="s">
        <v>4475</v>
      </c>
      <c r="E845" s="37" t="s">
        <v>4473</v>
      </c>
      <c r="F845" s="51" t="s">
        <v>4476</v>
      </c>
      <c r="G845" s="23" t="s">
        <v>34</v>
      </c>
      <c r="H845" s="76">
        <v>1</v>
      </c>
      <c r="I845" s="77">
        <v>0.31</v>
      </c>
      <c r="J845" s="78">
        <v>44004</v>
      </c>
      <c r="K845" s="79" t="s">
        <v>20</v>
      </c>
      <c r="L845" s="23">
        <v>4.99</v>
      </c>
    </row>
    <row r="846" spans="1:291" ht="35" customHeight="1">
      <c r="A846" s="23">
        <f>ROW()-3</f>
        <v>843</v>
      </c>
      <c r="B846" s="65" t="s">
        <v>2732</v>
      </c>
      <c r="C846" s="36" t="s">
        <v>4345</v>
      </c>
      <c r="D846" s="37" t="s">
        <v>4477</v>
      </c>
      <c r="E846" s="37" t="s">
        <v>4478</v>
      </c>
      <c r="F846" s="80" t="s">
        <v>3548</v>
      </c>
      <c r="G846" s="81" t="s">
        <v>34</v>
      </c>
      <c r="H846" s="23">
        <v>1</v>
      </c>
      <c r="I846" s="82">
        <v>0.53</v>
      </c>
      <c r="J846" s="78">
        <v>44004</v>
      </c>
      <c r="K846" s="79" t="s">
        <v>20</v>
      </c>
      <c r="L846" s="75">
        <v>4.99</v>
      </c>
    </row>
    <row r="847" spans="1:291" ht="35" customHeight="1">
      <c r="A847" s="23">
        <f>ROW()-3</f>
        <v>844</v>
      </c>
      <c r="B847" s="65" t="s">
        <v>2732</v>
      </c>
      <c r="C847" s="42" t="s">
        <v>4345</v>
      </c>
      <c r="D847" s="43" t="s">
        <v>4479</v>
      </c>
      <c r="E847" s="43" t="s">
        <v>4480</v>
      </c>
      <c r="F847" s="51" t="s">
        <v>3206</v>
      </c>
      <c r="G847" s="23" t="s">
        <v>34</v>
      </c>
      <c r="H847" s="83">
        <v>1</v>
      </c>
      <c r="I847" s="40">
        <v>0.3</v>
      </c>
      <c r="J847" s="78">
        <v>44004</v>
      </c>
      <c r="K847" s="84" t="s">
        <v>20</v>
      </c>
      <c r="L847" s="23">
        <v>4.99</v>
      </c>
    </row>
    <row r="848" spans="1:291" ht="35" customHeight="1">
      <c r="A848" s="23">
        <f>ROW()-3</f>
        <v>845</v>
      </c>
      <c r="B848" s="65" t="s">
        <v>2732</v>
      </c>
      <c r="C848" s="42" t="s">
        <v>4345</v>
      </c>
      <c r="D848" s="43" t="s">
        <v>4481</v>
      </c>
      <c r="E848" s="43" t="s">
        <v>4482</v>
      </c>
      <c r="F848" s="51" t="s">
        <v>2739</v>
      </c>
      <c r="G848" s="23" t="s">
        <v>34</v>
      </c>
      <c r="H848" s="23">
        <v>1</v>
      </c>
      <c r="I848" s="85">
        <v>0.46</v>
      </c>
      <c r="J848" s="86">
        <v>44004</v>
      </c>
      <c r="K848" s="79" t="s">
        <v>20</v>
      </c>
      <c r="L848" s="75">
        <v>4.99</v>
      </c>
    </row>
    <row r="849" spans="1:12" ht="35" customHeight="1">
      <c r="A849" s="23">
        <f>ROW()-3</f>
        <v>846</v>
      </c>
      <c r="B849" s="65" t="s">
        <v>2732</v>
      </c>
      <c r="C849" s="42" t="s">
        <v>4345</v>
      </c>
      <c r="D849" s="43" t="s">
        <v>4483</v>
      </c>
      <c r="E849" s="43" t="s">
        <v>4484</v>
      </c>
      <c r="F849" s="51" t="s">
        <v>2840</v>
      </c>
      <c r="G849" s="23" t="s">
        <v>34</v>
      </c>
      <c r="H849" s="83">
        <v>1</v>
      </c>
      <c r="I849" s="46">
        <v>0.41</v>
      </c>
      <c r="J849" s="78">
        <v>44004</v>
      </c>
      <c r="K849" s="79" t="s">
        <v>20</v>
      </c>
      <c r="L849" s="23">
        <v>4.99</v>
      </c>
    </row>
    <row r="850" spans="1:12" ht="35" customHeight="1">
      <c r="A850" s="23">
        <f>ROW()-3</f>
        <v>847</v>
      </c>
      <c r="B850" s="87" t="s">
        <v>2732</v>
      </c>
      <c r="C850" s="87" t="s">
        <v>4345</v>
      </c>
      <c r="D850" s="64" t="s">
        <v>4485</v>
      </c>
      <c r="E850" s="88" t="s">
        <v>4486</v>
      </c>
      <c r="F850" s="89" t="s">
        <v>2899</v>
      </c>
      <c r="G850" s="90" t="s">
        <v>34</v>
      </c>
      <c r="H850" s="91">
        <v>1</v>
      </c>
      <c r="I850" s="92">
        <v>0.31</v>
      </c>
      <c r="J850" s="93">
        <v>44004</v>
      </c>
      <c r="K850" s="94" t="s">
        <v>20</v>
      </c>
      <c r="L850" s="90">
        <v>4.99</v>
      </c>
    </row>
    <row r="851" spans="1:12" ht="35" customHeight="1">
      <c r="A851" s="23">
        <f>ROW()-3</f>
        <v>848</v>
      </c>
      <c r="B851" s="95" t="s">
        <v>2732</v>
      </c>
      <c r="C851" s="36" t="s">
        <v>4345</v>
      </c>
      <c r="D851" s="96" t="s">
        <v>4487</v>
      </c>
      <c r="E851" s="37" t="s">
        <v>4425</v>
      </c>
      <c r="F851" s="96" t="s">
        <v>2739</v>
      </c>
      <c r="G851" s="97" t="s">
        <v>34</v>
      </c>
      <c r="H851" s="98">
        <v>1</v>
      </c>
      <c r="I851" s="256">
        <v>0.41</v>
      </c>
      <c r="J851" s="99">
        <v>44004</v>
      </c>
      <c r="K851" s="100" t="s">
        <v>20</v>
      </c>
      <c r="L851" s="98">
        <v>4.99</v>
      </c>
    </row>
    <row r="852" spans="1:12" ht="35" customHeight="1">
      <c r="A852" s="23">
        <f>ROW()-3</f>
        <v>849</v>
      </c>
      <c r="B852" s="65" t="s">
        <v>2732</v>
      </c>
      <c r="C852" s="42" t="s">
        <v>4345</v>
      </c>
      <c r="D852" s="43" t="s">
        <v>4488</v>
      </c>
      <c r="E852" s="43" t="s">
        <v>4489</v>
      </c>
      <c r="F852" s="51" t="s">
        <v>4434</v>
      </c>
      <c r="G852" s="23" t="s">
        <v>34</v>
      </c>
      <c r="H852" s="23">
        <v>1</v>
      </c>
      <c r="I852" s="85">
        <v>0.52</v>
      </c>
      <c r="J852" s="78">
        <v>44004</v>
      </c>
      <c r="K852" s="79" t="s">
        <v>20</v>
      </c>
      <c r="L852" s="75">
        <v>4.99</v>
      </c>
    </row>
    <row r="853" spans="1:12" ht="35" customHeight="1">
      <c r="A853" s="23">
        <f>ROW()-3</f>
        <v>850</v>
      </c>
      <c r="B853" s="65" t="s">
        <v>2732</v>
      </c>
      <c r="C853" s="42" t="s">
        <v>4345</v>
      </c>
      <c r="D853" s="43" t="s">
        <v>3109</v>
      </c>
      <c r="E853" s="43" t="s">
        <v>4490</v>
      </c>
      <c r="F853" s="43" t="s">
        <v>4491</v>
      </c>
      <c r="G853" s="95" t="s">
        <v>34</v>
      </c>
      <c r="H853" s="101">
        <v>11</v>
      </c>
      <c r="I853" s="263">
        <v>1.83</v>
      </c>
      <c r="J853" s="102">
        <v>44032</v>
      </c>
      <c r="K853" s="77" t="s">
        <v>20</v>
      </c>
      <c r="L853" s="70">
        <v>4.99</v>
      </c>
    </row>
    <row r="854" spans="1:12" ht="35" customHeight="1">
      <c r="A854" s="23">
        <f>ROW()-3</f>
        <v>851</v>
      </c>
      <c r="B854" s="65" t="s">
        <v>2732</v>
      </c>
      <c r="C854" s="42" t="s">
        <v>4345</v>
      </c>
      <c r="D854" s="43" t="s">
        <v>3197</v>
      </c>
      <c r="E854" s="43" t="s">
        <v>4490</v>
      </c>
      <c r="F854" s="43" t="s">
        <v>4491</v>
      </c>
      <c r="G854" s="103" t="s">
        <v>34</v>
      </c>
      <c r="H854" s="104">
        <v>6</v>
      </c>
      <c r="I854" s="44">
        <v>1.1100000000000001</v>
      </c>
      <c r="J854" s="99">
        <v>44032</v>
      </c>
      <c r="K854" s="105" t="s">
        <v>20</v>
      </c>
      <c r="L854" s="106">
        <v>4.99</v>
      </c>
    </row>
    <row r="855" spans="1:12" ht="35" customHeight="1">
      <c r="A855" s="23">
        <f>ROW()-3</f>
        <v>852</v>
      </c>
      <c r="B855" s="65" t="s">
        <v>2732</v>
      </c>
      <c r="C855" s="42" t="s">
        <v>4345</v>
      </c>
      <c r="D855" s="43" t="s">
        <v>4492</v>
      </c>
      <c r="E855" s="43" t="s">
        <v>4490</v>
      </c>
      <c r="F855" s="51" t="s">
        <v>4491</v>
      </c>
      <c r="G855" s="107" t="s">
        <v>34</v>
      </c>
      <c r="H855" s="95">
        <v>8</v>
      </c>
      <c r="I855" s="44">
        <v>1.62</v>
      </c>
      <c r="J855" s="108">
        <v>44032</v>
      </c>
      <c r="K855" s="109" t="s">
        <v>20</v>
      </c>
      <c r="L855" s="110">
        <v>4.99</v>
      </c>
    </row>
    <row r="856" spans="1:12" ht="35" customHeight="1">
      <c r="A856" s="23">
        <f>ROW()-3</f>
        <v>853</v>
      </c>
      <c r="B856" s="65" t="s">
        <v>2732</v>
      </c>
      <c r="C856" s="42" t="s">
        <v>4345</v>
      </c>
      <c r="D856" s="43" t="s">
        <v>4493</v>
      </c>
      <c r="E856" s="43" t="s">
        <v>4490</v>
      </c>
      <c r="F856" s="43" t="s">
        <v>4491</v>
      </c>
      <c r="G856" s="103" t="s">
        <v>34</v>
      </c>
      <c r="H856" s="104">
        <v>10</v>
      </c>
      <c r="I856" s="71">
        <v>1.67</v>
      </c>
      <c r="J856" s="99">
        <v>44032</v>
      </c>
      <c r="K856" s="73" t="s">
        <v>20</v>
      </c>
      <c r="L856" s="75">
        <v>4.99</v>
      </c>
    </row>
    <row r="857" spans="1:12" ht="35" customHeight="1">
      <c r="A857" s="23">
        <f>ROW()-3</f>
        <v>854</v>
      </c>
      <c r="B857" s="65" t="s">
        <v>5170</v>
      </c>
      <c r="C857" s="65" t="s">
        <v>5171</v>
      </c>
      <c r="D857" s="64" t="s">
        <v>5197</v>
      </c>
      <c r="E857" s="64" t="s">
        <v>5198</v>
      </c>
      <c r="F857" s="64" t="s">
        <v>5199</v>
      </c>
      <c r="G857" s="103" t="s">
        <v>3253</v>
      </c>
      <c r="H857" s="95">
        <v>1</v>
      </c>
      <c r="I857" s="44">
        <v>0.11194444444444444</v>
      </c>
      <c r="J857" s="108">
        <v>44035</v>
      </c>
      <c r="K857" s="111" t="s">
        <v>20</v>
      </c>
      <c r="L857" s="321">
        <v>4.99</v>
      </c>
    </row>
    <row r="858" spans="1:12" ht="35" customHeight="1">
      <c r="A858" s="23">
        <f>ROW()-3</f>
        <v>855</v>
      </c>
      <c r="B858" s="65" t="s">
        <v>2732</v>
      </c>
      <c r="C858" s="42" t="s">
        <v>4345</v>
      </c>
      <c r="D858" s="43" t="s">
        <v>4494</v>
      </c>
      <c r="E858" s="43" t="s">
        <v>4495</v>
      </c>
      <c r="F858" s="43" t="s">
        <v>2742</v>
      </c>
      <c r="G858" s="103" t="s">
        <v>34</v>
      </c>
      <c r="H858" s="65">
        <v>1</v>
      </c>
      <c r="I858" s="44">
        <v>0.41</v>
      </c>
      <c r="J858" s="108">
        <v>44095</v>
      </c>
      <c r="K858" s="111" t="s">
        <v>20</v>
      </c>
      <c r="L858" s="75">
        <v>4.99</v>
      </c>
    </row>
    <row r="859" spans="1:12" ht="35" customHeight="1">
      <c r="A859" s="23">
        <f>ROW()-3</f>
        <v>856</v>
      </c>
      <c r="B859" s="65" t="s">
        <v>2732</v>
      </c>
      <c r="C859" s="65" t="s">
        <v>4345</v>
      </c>
      <c r="D859" s="43" t="s">
        <v>4496</v>
      </c>
      <c r="E859" s="43" t="s">
        <v>4497</v>
      </c>
      <c r="F859" s="43" t="s">
        <v>3239</v>
      </c>
      <c r="G859" s="95" t="s">
        <v>34</v>
      </c>
      <c r="H859" s="112">
        <v>1</v>
      </c>
      <c r="I859" s="44">
        <v>0.49</v>
      </c>
      <c r="J859" s="108">
        <v>44095</v>
      </c>
      <c r="K859" s="113" t="s">
        <v>20</v>
      </c>
      <c r="L859" s="70">
        <v>4.99</v>
      </c>
    </row>
    <row r="860" spans="1:12" ht="35" customHeight="1">
      <c r="A860" s="23">
        <f>ROW()-3</f>
        <v>857</v>
      </c>
      <c r="B860" s="114" t="s">
        <v>2732</v>
      </c>
      <c r="C860" s="115" t="s">
        <v>4345</v>
      </c>
      <c r="D860" s="68" t="s">
        <v>4579</v>
      </c>
      <c r="E860" s="116" t="s">
        <v>4580</v>
      </c>
      <c r="F860" s="116" t="s">
        <v>3889</v>
      </c>
      <c r="G860" s="103" t="s">
        <v>34</v>
      </c>
      <c r="H860" s="65">
        <v>1</v>
      </c>
      <c r="I860" s="314">
        <v>0.4</v>
      </c>
      <c r="J860" s="108">
        <v>44102</v>
      </c>
      <c r="K860" s="77" t="s">
        <v>20</v>
      </c>
      <c r="L860" s="82">
        <v>4.99</v>
      </c>
    </row>
    <row r="861" spans="1:12" ht="35" customHeight="1">
      <c r="A861" s="23">
        <f>ROW()-3</f>
        <v>858</v>
      </c>
      <c r="B861" s="117" t="s">
        <v>2732</v>
      </c>
      <c r="C861" s="118" t="s">
        <v>4345</v>
      </c>
      <c r="D861" s="119" t="s">
        <v>4381</v>
      </c>
      <c r="E861" s="120" t="s">
        <v>4382</v>
      </c>
      <c r="F861" s="121" t="s">
        <v>3219</v>
      </c>
      <c r="G861" s="112" t="s">
        <v>34</v>
      </c>
      <c r="H861" s="112">
        <v>1</v>
      </c>
      <c r="I861" s="197">
        <v>0.41</v>
      </c>
      <c r="J861" s="122">
        <v>44116</v>
      </c>
      <c r="K861" s="105" t="s">
        <v>20</v>
      </c>
      <c r="L861" s="106">
        <v>4.99</v>
      </c>
    </row>
    <row r="862" spans="1:12" ht="35" customHeight="1">
      <c r="A862" s="23">
        <f>ROW()-3</f>
        <v>859</v>
      </c>
      <c r="B862" s="114" t="s">
        <v>2732</v>
      </c>
      <c r="C862" s="123" t="s">
        <v>4345</v>
      </c>
      <c r="D862" s="124" t="s">
        <v>4383</v>
      </c>
      <c r="E862" s="43" t="s">
        <v>4384</v>
      </c>
      <c r="F862" s="43" t="s">
        <v>3866</v>
      </c>
      <c r="G862" s="36" t="s">
        <v>34</v>
      </c>
      <c r="H862" s="36">
        <v>1</v>
      </c>
      <c r="I862" s="44">
        <v>0.41</v>
      </c>
      <c r="J862" s="45">
        <v>44116</v>
      </c>
      <c r="K862" s="46" t="s">
        <v>20</v>
      </c>
      <c r="L862" s="47">
        <v>4.99</v>
      </c>
    </row>
    <row r="863" spans="1:12" ht="35" customHeight="1">
      <c r="A863" s="23">
        <f>ROW()-3</f>
        <v>860</v>
      </c>
      <c r="B863" s="81" t="s">
        <v>2732</v>
      </c>
      <c r="C863" s="81" t="s">
        <v>4345</v>
      </c>
      <c r="D863" s="125" t="s">
        <v>4437</v>
      </c>
      <c r="E863" s="37" t="s">
        <v>4438</v>
      </c>
      <c r="F863" s="37" t="s">
        <v>3889</v>
      </c>
      <c r="G863" s="36" t="s">
        <v>34</v>
      </c>
      <c r="H863" s="42">
        <v>1</v>
      </c>
      <c r="I863" s="44">
        <v>0.38</v>
      </c>
      <c r="J863" s="39">
        <v>44123</v>
      </c>
      <c r="K863" s="40" t="s">
        <v>20</v>
      </c>
      <c r="L863" s="41">
        <v>4.99</v>
      </c>
    </row>
    <row r="864" spans="1:12" ht="35" customHeight="1">
      <c r="A864" s="23">
        <f>ROW()-3</f>
        <v>861</v>
      </c>
      <c r="B864" s="23" t="s">
        <v>2732</v>
      </c>
      <c r="C864" s="23" t="s">
        <v>4345</v>
      </c>
      <c r="D864" s="125" t="s">
        <v>4439</v>
      </c>
      <c r="E864" s="37" t="s">
        <v>4440</v>
      </c>
      <c r="F864" s="37" t="s">
        <v>4441</v>
      </c>
      <c r="G864" s="36" t="s">
        <v>34</v>
      </c>
      <c r="H864" s="36">
        <v>1</v>
      </c>
      <c r="I864" s="38">
        <v>0.35</v>
      </c>
      <c r="J864" s="39">
        <v>44123</v>
      </c>
      <c r="K864" s="40" t="s">
        <v>20</v>
      </c>
      <c r="L864" s="47">
        <v>4.99</v>
      </c>
    </row>
    <row r="865" spans="1:12" ht="35" customHeight="1">
      <c r="A865" s="23">
        <f>ROW()-3</f>
        <v>862</v>
      </c>
      <c r="B865" s="36" t="s">
        <v>2732</v>
      </c>
      <c r="C865" s="36" t="s">
        <v>4345</v>
      </c>
      <c r="D865" s="43" t="s">
        <v>4442</v>
      </c>
      <c r="E865" s="37" t="s">
        <v>4443</v>
      </c>
      <c r="F865" s="43" t="s">
        <v>4444</v>
      </c>
      <c r="G865" s="36" t="s">
        <v>34</v>
      </c>
      <c r="H865" s="42">
        <v>1</v>
      </c>
      <c r="I865" s="44">
        <v>0.31</v>
      </c>
      <c r="J865" s="45">
        <v>44123</v>
      </c>
      <c r="K865" s="40" t="s">
        <v>20</v>
      </c>
      <c r="L865" s="47">
        <v>4.99</v>
      </c>
    </row>
    <row r="866" spans="1:12" ht="35" customHeight="1">
      <c r="A866" s="23">
        <f>ROW()-3</f>
        <v>863</v>
      </c>
      <c r="B866" s="42" t="s">
        <v>2732</v>
      </c>
      <c r="C866" s="42" t="s">
        <v>4345</v>
      </c>
      <c r="D866" s="43" t="s">
        <v>4445</v>
      </c>
      <c r="E866" s="43" t="s">
        <v>4446</v>
      </c>
      <c r="F866" s="43" t="s">
        <v>1259</v>
      </c>
      <c r="G866" s="42" t="s">
        <v>34</v>
      </c>
      <c r="H866" s="42">
        <v>1</v>
      </c>
      <c r="I866" s="44">
        <v>0.44</v>
      </c>
      <c r="J866" s="45">
        <v>44123</v>
      </c>
      <c r="K866" s="46" t="s">
        <v>20</v>
      </c>
      <c r="L866" s="47">
        <v>4.99</v>
      </c>
    </row>
    <row r="867" spans="1:12" ht="35" customHeight="1">
      <c r="A867" s="23">
        <f>ROW()-3</f>
        <v>864</v>
      </c>
      <c r="B867" s="42" t="s">
        <v>2732</v>
      </c>
      <c r="C867" s="42" t="s">
        <v>4345</v>
      </c>
      <c r="D867" s="43" t="s">
        <v>4447</v>
      </c>
      <c r="E867" s="43" t="s">
        <v>4448</v>
      </c>
      <c r="F867" s="43" t="s">
        <v>2899</v>
      </c>
      <c r="G867" s="42" t="s">
        <v>34</v>
      </c>
      <c r="H867" s="42">
        <v>1</v>
      </c>
      <c r="I867" s="44">
        <v>0.33</v>
      </c>
      <c r="J867" s="45">
        <v>44123</v>
      </c>
      <c r="K867" s="46" t="s">
        <v>20</v>
      </c>
      <c r="L867" s="47">
        <v>4.99</v>
      </c>
    </row>
    <row r="868" spans="1:12" ht="35" customHeight="1">
      <c r="A868" s="23">
        <f>ROW()-3</f>
        <v>865</v>
      </c>
      <c r="B868" s="42" t="s">
        <v>2732</v>
      </c>
      <c r="C868" s="42" t="s">
        <v>4345</v>
      </c>
      <c r="D868" s="43" t="s">
        <v>4449</v>
      </c>
      <c r="E868" s="43" t="s">
        <v>4450</v>
      </c>
      <c r="F868" s="43" t="s">
        <v>4451</v>
      </c>
      <c r="G868" s="42" t="s">
        <v>34</v>
      </c>
      <c r="H868" s="42">
        <v>1</v>
      </c>
      <c r="I868" s="44">
        <v>0.45</v>
      </c>
      <c r="J868" s="45">
        <v>44123</v>
      </c>
      <c r="K868" s="46" t="s">
        <v>20</v>
      </c>
      <c r="L868" s="47">
        <v>4.99</v>
      </c>
    </row>
    <row r="869" spans="1:12" ht="35" customHeight="1">
      <c r="A869" s="23">
        <f>ROW()-3</f>
        <v>866</v>
      </c>
      <c r="B869" s="42" t="s">
        <v>2732</v>
      </c>
      <c r="C869" s="42" t="s">
        <v>4345</v>
      </c>
      <c r="D869" s="43" t="s">
        <v>4452</v>
      </c>
      <c r="E869" s="43" t="s">
        <v>4453</v>
      </c>
      <c r="F869" s="43" t="s">
        <v>2742</v>
      </c>
      <c r="G869" s="42" t="s">
        <v>34</v>
      </c>
      <c r="H869" s="42">
        <v>1</v>
      </c>
      <c r="I869" s="44">
        <v>0.46</v>
      </c>
      <c r="J869" s="45">
        <v>44123</v>
      </c>
      <c r="K869" s="46" t="s">
        <v>20</v>
      </c>
      <c r="L869" s="47">
        <v>4.99</v>
      </c>
    </row>
    <row r="870" spans="1:12" ht="35" customHeight="1">
      <c r="A870" s="23">
        <f>ROW()-3</f>
        <v>867</v>
      </c>
      <c r="B870" s="42" t="s">
        <v>2732</v>
      </c>
      <c r="C870" s="42" t="s">
        <v>4345</v>
      </c>
      <c r="D870" s="43" t="s">
        <v>4454</v>
      </c>
      <c r="E870" s="43" t="s">
        <v>4455</v>
      </c>
      <c r="F870" s="43" t="s">
        <v>4360</v>
      </c>
      <c r="G870" s="42" t="s">
        <v>34</v>
      </c>
      <c r="H870" s="42">
        <v>1</v>
      </c>
      <c r="I870" s="44">
        <v>0.39</v>
      </c>
      <c r="J870" s="45">
        <v>44123</v>
      </c>
      <c r="K870" s="46" t="s">
        <v>20</v>
      </c>
      <c r="L870" s="47">
        <v>4.99</v>
      </c>
    </row>
    <row r="871" spans="1:12" ht="35" customHeight="1">
      <c r="A871" s="23">
        <f>ROW()-3</f>
        <v>868</v>
      </c>
      <c r="B871" s="42" t="s">
        <v>2732</v>
      </c>
      <c r="C871" s="42" t="s">
        <v>4345</v>
      </c>
      <c r="D871" s="43" t="s">
        <v>4456</v>
      </c>
      <c r="E871" s="43" t="s">
        <v>4457</v>
      </c>
      <c r="F871" s="43" t="s">
        <v>3975</v>
      </c>
      <c r="G871" s="42" t="s">
        <v>34</v>
      </c>
      <c r="H871" s="42">
        <v>1</v>
      </c>
      <c r="I871" s="44">
        <v>0.28999999999999998</v>
      </c>
      <c r="J871" s="45">
        <v>44123</v>
      </c>
      <c r="K871" s="46" t="s">
        <v>20</v>
      </c>
      <c r="L871" s="47">
        <v>4.99</v>
      </c>
    </row>
    <row r="872" spans="1:12" ht="35" customHeight="1">
      <c r="A872" s="23">
        <f>ROW()-3</f>
        <v>869</v>
      </c>
      <c r="B872" s="42" t="s">
        <v>2732</v>
      </c>
      <c r="C872" s="42" t="s">
        <v>4345</v>
      </c>
      <c r="D872" s="43" t="s">
        <v>4458</v>
      </c>
      <c r="E872" s="43" t="s">
        <v>4459</v>
      </c>
      <c r="F872" s="43" t="s">
        <v>4460</v>
      </c>
      <c r="G872" s="42" t="s">
        <v>34</v>
      </c>
      <c r="H872" s="42">
        <v>1</v>
      </c>
      <c r="I872" s="44">
        <v>0.41</v>
      </c>
      <c r="J872" s="45">
        <v>44123</v>
      </c>
      <c r="K872" s="46" t="s">
        <v>20</v>
      </c>
      <c r="L872" s="47">
        <v>4.99</v>
      </c>
    </row>
    <row r="873" spans="1:12" ht="35" customHeight="1">
      <c r="A873" s="23">
        <f>ROW()-3</f>
        <v>870</v>
      </c>
      <c r="B873" s="42" t="s">
        <v>2732</v>
      </c>
      <c r="C873" s="42" t="s">
        <v>4345</v>
      </c>
      <c r="D873" s="43" t="s">
        <v>4461</v>
      </c>
      <c r="E873" s="43" t="s">
        <v>4462</v>
      </c>
      <c r="F873" s="43" t="s">
        <v>4360</v>
      </c>
      <c r="G873" s="42" t="s">
        <v>34</v>
      </c>
      <c r="H873" s="42">
        <v>1</v>
      </c>
      <c r="I873" s="44">
        <v>0.46</v>
      </c>
      <c r="J873" s="45">
        <v>44123</v>
      </c>
      <c r="K873" s="46" t="s">
        <v>20</v>
      </c>
      <c r="L873" s="47">
        <v>4.99</v>
      </c>
    </row>
    <row r="874" spans="1:12" ht="35" customHeight="1">
      <c r="A874" s="23">
        <f>ROW()-3</f>
        <v>871</v>
      </c>
      <c r="B874" s="42" t="s">
        <v>2732</v>
      </c>
      <c r="C874" s="42" t="s">
        <v>4345</v>
      </c>
      <c r="D874" s="43" t="s">
        <v>4463</v>
      </c>
      <c r="E874" s="43" t="s">
        <v>4464</v>
      </c>
      <c r="F874" s="43" t="s">
        <v>4360</v>
      </c>
      <c r="G874" s="42" t="s">
        <v>34</v>
      </c>
      <c r="H874" s="42">
        <v>1</v>
      </c>
      <c r="I874" s="44">
        <v>0.42</v>
      </c>
      <c r="J874" s="45">
        <v>44123</v>
      </c>
      <c r="K874" s="46" t="s">
        <v>20</v>
      </c>
      <c r="L874" s="47">
        <v>4.99</v>
      </c>
    </row>
    <row r="875" spans="1:12" ht="35" customHeight="1">
      <c r="A875" s="23">
        <f>ROW()-3</f>
        <v>872</v>
      </c>
      <c r="B875" s="42" t="s">
        <v>2732</v>
      </c>
      <c r="C875" s="42" t="s">
        <v>4345</v>
      </c>
      <c r="D875" s="43" t="s">
        <v>4351</v>
      </c>
      <c r="E875" s="43" t="s">
        <v>4352</v>
      </c>
      <c r="F875" s="43" t="s">
        <v>4353</v>
      </c>
      <c r="G875" s="42" t="s">
        <v>34</v>
      </c>
      <c r="H875" s="42">
        <v>1</v>
      </c>
      <c r="I875" s="44">
        <v>0.43</v>
      </c>
      <c r="J875" s="45">
        <v>44130</v>
      </c>
      <c r="K875" s="46" t="s">
        <v>20</v>
      </c>
      <c r="L875" s="47">
        <v>4.99</v>
      </c>
    </row>
    <row r="876" spans="1:12" ht="35" customHeight="1">
      <c r="A876" s="23">
        <f>ROW()-3</f>
        <v>873</v>
      </c>
      <c r="B876" s="42" t="s">
        <v>2732</v>
      </c>
      <c r="C876" s="42" t="s">
        <v>4345</v>
      </c>
      <c r="D876" s="43" t="s">
        <v>4354</v>
      </c>
      <c r="E876" s="43" t="s">
        <v>4355</v>
      </c>
      <c r="F876" s="43" t="s">
        <v>2840</v>
      </c>
      <c r="G876" s="42" t="s">
        <v>34</v>
      </c>
      <c r="H876" s="42">
        <v>1</v>
      </c>
      <c r="I876" s="44">
        <v>0.35</v>
      </c>
      <c r="J876" s="45">
        <v>44130</v>
      </c>
      <c r="K876" s="46" t="s">
        <v>20</v>
      </c>
      <c r="L876" s="47">
        <v>4.99</v>
      </c>
    </row>
    <row r="877" spans="1:12" ht="35" customHeight="1">
      <c r="A877" s="23">
        <f>ROW()-3</f>
        <v>874</v>
      </c>
      <c r="B877" s="42" t="s">
        <v>2732</v>
      </c>
      <c r="C877" s="42" t="s">
        <v>4345</v>
      </c>
      <c r="D877" s="43" t="s">
        <v>4356</v>
      </c>
      <c r="E877" s="43" t="s">
        <v>4357</v>
      </c>
      <c r="F877" s="43" t="s">
        <v>4014</v>
      </c>
      <c r="G877" s="42" t="s">
        <v>34</v>
      </c>
      <c r="H877" s="42">
        <v>1</v>
      </c>
      <c r="I877" s="44">
        <v>0.36</v>
      </c>
      <c r="J877" s="45">
        <v>44130</v>
      </c>
      <c r="K877" s="46" t="s">
        <v>20</v>
      </c>
      <c r="L877" s="47">
        <v>4.99</v>
      </c>
    </row>
    <row r="878" spans="1:12" ht="35" customHeight="1">
      <c r="A878" s="23">
        <f>ROW()-3</f>
        <v>875</v>
      </c>
      <c r="B878" s="42" t="s">
        <v>2732</v>
      </c>
      <c r="C878" s="42" t="s">
        <v>4345</v>
      </c>
      <c r="D878" s="43" t="s">
        <v>4358</v>
      </c>
      <c r="E878" s="43" t="s">
        <v>4359</v>
      </c>
      <c r="F878" s="43" t="s">
        <v>4360</v>
      </c>
      <c r="G878" s="42" t="s">
        <v>34</v>
      </c>
      <c r="H878" s="42">
        <v>1</v>
      </c>
      <c r="I878" s="44">
        <v>0.23</v>
      </c>
      <c r="J878" s="45">
        <v>44130</v>
      </c>
      <c r="K878" s="46" t="s">
        <v>20</v>
      </c>
      <c r="L878" s="47">
        <v>4.99</v>
      </c>
    </row>
    <row r="879" spans="1:12" ht="35" customHeight="1">
      <c r="A879" s="23">
        <f>ROW()-3</f>
        <v>876</v>
      </c>
      <c r="B879" s="42" t="s">
        <v>2732</v>
      </c>
      <c r="C879" s="42" t="s">
        <v>4345</v>
      </c>
      <c r="D879" s="43" t="s">
        <v>4361</v>
      </c>
      <c r="E879" s="43" t="s">
        <v>4359</v>
      </c>
      <c r="F879" s="43" t="s">
        <v>4360</v>
      </c>
      <c r="G879" s="42" t="s">
        <v>34</v>
      </c>
      <c r="H879" s="42">
        <v>1</v>
      </c>
      <c r="I879" s="44">
        <v>0.23</v>
      </c>
      <c r="J879" s="45">
        <v>44130</v>
      </c>
      <c r="K879" s="46" t="s">
        <v>20</v>
      </c>
      <c r="L879" s="47">
        <v>4.99</v>
      </c>
    </row>
    <row r="880" spans="1:12" ht="35" customHeight="1">
      <c r="A880" s="23">
        <f>ROW()-3</f>
        <v>877</v>
      </c>
      <c r="B880" s="42" t="s">
        <v>2732</v>
      </c>
      <c r="C880" s="42" t="s">
        <v>4345</v>
      </c>
      <c r="D880" s="43" t="s">
        <v>4362</v>
      </c>
      <c r="E880" s="43" t="s">
        <v>4363</v>
      </c>
      <c r="F880" s="43" t="s">
        <v>3140</v>
      </c>
      <c r="G880" s="42" t="s">
        <v>34</v>
      </c>
      <c r="H880" s="42">
        <v>1</v>
      </c>
      <c r="I880" s="44">
        <v>0.47</v>
      </c>
      <c r="J880" s="45">
        <v>44130</v>
      </c>
      <c r="K880" s="46" t="s">
        <v>20</v>
      </c>
      <c r="L880" s="47">
        <v>4.99</v>
      </c>
    </row>
    <row r="881" spans="1:291" ht="35" customHeight="1">
      <c r="A881" s="23">
        <f>ROW()-3</f>
        <v>878</v>
      </c>
      <c r="B881" s="42" t="s">
        <v>2732</v>
      </c>
      <c r="C881" s="42" t="s">
        <v>4345</v>
      </c>
      <c r="D881" s="43" t="s">
        <v>4407</v>
      </c>
      <c r="E881" s="43" t="s">
        <v>4408</v>
      </c>
      <c r="F881" s="43" t="s">
        <v>3889</v>
      </c>
      <c r="G881" s="42" t="s">
        <v>34</v>
      </c>
      <c r="H881" s="42">
        <v>1</v>
      </c>
      <c r="I881" s="44">
        <v>0.4</v>
      </c>
      <c r="J881" s="45">
        <v>44137</v>
      </c>
      <c r="K881" s="46" t="s">
        <v>20</v>
      </c>
      <c r="L881" s="47">
        <v>4.99</v>
      </c>
    </row>
    <row r="882" spans="1:291" ht="35" customHeight="1">
      <c r="A882" s="23">
        <f>ROW()-3</f>
        <v>879</v>
      </c>
      <c r="B882" s="42" t="s">
        <v>2732</v>
      </c>
      <c r="C882" s="42" t="s">
        <v>4345</v>
      </c>
      <c r="D882" s="43" t="s">
        <v>4581</v>
      </c>
      <c r="E882" s="43" t="s">
        <v>4582</v>
      </c>
      <c r="F882" s="43" t="s">
        <v>3866</v>
      </c>
      <c r="G882" s="42" t="s">
        <v>34</v>
      </c>
      <c r="H882" s="42">
        <v>1</v>
      </c>
      <c r="I882" s="49">
        <v>0.5</v>
      </c>
      <c r="J882" s="45">
        <v>44326</v>
      </c>
      <c r="K882" s="46" t="s">
        <v>20</v>
      </c>
      <c r="L882" s="48">
        <v>4.99</v>
      </c>
    </row>
    <row r="883" spans="1:291" ht="35" customHeight="1">
      <c r="A883" s="23">
        <f>ROW()-3</f>
        <v>880</v>
      </c>
      <c r="B883" s="42" t="s">
        <v>2732</v>
      </c>
      <c r="C883" s="42" t="s">
        <v>4345</v>
      </c>
      <c r="D883" s="43" t="s">
        <v>4583</v>
      </c>
      <c r="E883" s="43" t="s">
        <v>4584</v>
      </c>
      <c r="F883" s="43" t="s">
        <v>4585</v>
      </c>
      <c r="G883" s="42" t="s">
        <v>34</v>
      </c>
      <c r="H883" s="42">
        <v>1</v>
      </c>
      <c r="I883" s="49">
        <v>0.5</v>
      </c>
      <c r="J883" s="45">
        <v>44515</v>
      </c>
      <c r="K883" s="46" t="s">
        <v>20</v>
      </c>
      <c r="L883" s="48">
        <v>4.99</v>
      </c>
    </row>
    <row r="884" spans="1:291" ht="35" customHeight="1">
      <c r="A884" s="23">
        <f>ROW()-3</f>
        <v>881</v>
      </c>
      <c r="B884" s="182" t="s">
        <v>5325</v>
      </c>
      <c r="C884" s="182" t="s">
        <v>5335</v>
      </c>
      <c r="D884" s="187" t="s">
        <v>5324</v>
      </c>
      <c r="E884" s="187" t="s">
        <v>5336</v>
      </c>
      <c r="F884" s="187" t="s">
        <v>5328</v>
      </c>
      <c r="G884" s="42" t="s">
        <v>3253</v>
      </c>
      <c r="H884" s="182">
        <v>1</v>
      </c>
      <c r="I884" s="206">
        <v>0.5</v>
      </c>
      <c r="J884" s="209">
        <v>44599</v>
      </c>
      <c r="K884" s="46" t="s">
        <v>20</v>
      </c>
      <c r="L884" s="202">
        <v>4.99</v>
      </c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  <c r="AE884" s="134"/>
      <c r="AF884" s="134"/>
      <c r="AG884" s="134"/>
      <c r="AH884" s="134"/>
      <c r="AI884" s="134"/>
      <c r="AJ884" s="134"/>
      <c r="AK884" s="134"/>
      <c r="AL884" s="134"/>
      <c r="AM884" s="134"/>
      <c r="AN884" s="134"/>
      <c r="AO884" s="134"/>
      <c r="AP884" s="134"/>
      <c r="AQ884" s="134"/>
      <c r="AR884" s="134"/>
      <c r="AS884" s="134"/>
      <c r="AT884" s="134"/>
      <c r="AU884" s="134"/>
      <c r="AV884" s="134"/>
      <c r="AW884" s="134"/>
      <c r="AX884" s="134"/>
      <c r="AY884" s="134"/>
      <c r="AZ884" s="134"/>
      <c r="BA884" s="134"/>
      <c r="BB884" s="134"/>
      <c r="BC884" s="134"/>
      <c r="BD884" s="134"/>
      <c r="BE884" s="134"/>
      <c r="BF884" s="134"/>
      <c r="BG884" s="134"/>
      <c r="BH884" s="134"/>
      <c r="BI884" s="134"/>
      <c r="BJ884" s="134"/>
      <c r="BK884" s="134"/>
      <c r="BL884" s="134"/>
      <c r="BM884" s="134"/>
      <c r="BN884" s="134"/>
      <c r="BO884" s="134"/>
      <c r="BP884" s="134"/>
      <c r="BQ884" s="134"/>
      <c r="BR884" s="134"/>
      <c r="BS884" s="134"/>
      <c r="BT884" s="134"/>
      <c r="BU884" s="134"/>
      <c r="BV884" s="134"/>
      <c r="BW884" s="134"/>
      <c r="BX884" s="134"/>
      <c r="BY884" s="134"/>
      <c r="BZ884" s="134"/>
      <c r="CA884" s="134"/>
      <c r="CB884" s="134"/>
      <c r="CC884" s="134"/>
      <c r="CD884" s="134"/>
      <c r="CE884" s="134"/>
      <c r="CF884" s="134"/>
      <c r="CG884" s="134"/>
      <c r="CH884" s="134"/>
      <c r="CI884" s="134"/>
      <c r="CJ884" s="134"/>
      <c r="CK884" s="134"/>
      <c r="CL884" s="134"/>
      <c r="CM884" s="134"/>
      <c r="CN884" s="134"/>
      <c r="CO884" s="134"/>
      <c r="CP884" s="134"/>
      <c r="CQ884" s="134"/>
      <c r="CR884" s="134"/>
      <c r="CS884" s="134"/>
      <c r="CT884" s="134"/>
      <c r="CU884" s="134"/>
      <c r="CV884" s="134"/>
      <c r="CW884" s="134"/>
      <c r="CX884" s="134"/>
      <c r="CY884" s="134"/>
      <c r="CZ884" s="134"/>
      <c r="DA884" s="134"/>
      <c r="DB884" s="134"/>
      <c r="DC884" s="134"/>
      <c r="DD884" s="134"/>
      <c r="DE884" s="134"/>
      <c r="DF884" s="134"/>
      <c r="DG884" s="134"/>
      <c r="DH884" s="134"/>
      <c r="DI884" s="134"/>
      <c r="DJ884" s="134"/>
      <c r="DK884" s="134"/>
      <c r="DL884" s="134"/>
      <c r="DM884" s="134"/>
      <c r="DN884" s="134"/>
      <c r="DO884" s="134"/>
      <c r="DP884" s="134"/>
      <c r="DQ884" s="134"/>
      <c r="DR884" s="134"/>
      <c r="DS884" s="134"/>
      <c r="DT884" s="134"/>
      <c r="DU884" s="134"/>
      <c r="DV884" s="134"/>
      <c r="DW884" s="134"/>
      <c r="DX884" s="134"/>
      <c r="DY884" s="134"/>
      <c r="DZ884" s="134"/>
      <c r="EA884" s="134"/>
      <c r="EB884" s="134"/>
      <c r="EC884" s="134"/>
      <c r="ED884" s="134"/>
      <c r="EE884" s="134"/>
      <c r="EF884" s="134"/>
      <c r="EG884" s="134"/>
      <c r="EH884" s="134"/>
      <c r="EI884" s="134"/>
      <c r="EJ884" s="134"/>
      <c r="EK884" s="134"/>
      <c r="EL884" s="134"/>
      <c r="EM884" s="134"/>
      <c r="EN884" s="134"/>
      <c r="EO884" s="134"/>
      <c r="EP884" s="134"/>
      <c r="EQ884" s="134"/>
      <c r="ER884" s="134"/>
      <c r="ES884" s="134"/>
      <c r="ET884" s="134"/>
      <c r="EU884" s="134"/>
      <c r="EV884" s="134"/>
      <c r="EW884" s="134"/>
      <c r="EX884" s="134"/>
      <c r="EY884" s="134"/>
      <c r="EZ884" s="134"/>
      <c r="FA884" s="134"/>
      <c r="FB884" s="134"/>
      <c r="FC884" s="134"/>
      <c r="FD884" s="134"/>
      <c r="FE884" s="134"/>
      <c r="FF884" s="134"/>
      <c r="FG884" s="134"/>
      <c r="FH884" s="134"/>
      <c r="FI884" s="134"/>
      <c r="FJ884" s="134"/>
      <c r="FK884" s="134"/>
      <c r="FL884" s="134"/>
      <c r="FM884" s="134"/>
      <c r="FN884" s="134"/>
      <c r="FO884" s="134"/>
      <c r="FP884" s="134"/>
      <c r="FQ884" s="134"/>
      <c r="FR884" s="134"/>
      <c r="FS884" s="134"/>
      <c r="FT884" s="134"/>
      <c r="FU884" s="134"/>
      <c r="FV884" s="134"/>
      <c r="FW884" s="134"/>
      <c r="FX884" s="134"/>
      <c r="FY884" s="134"/>
      <c r="FZ884" s="134"/>
      <c r="GA884" s="134"/>
      <c r="GB884" s="134"/>
      <c r="GC884" s="134"/>
      <c r="GD884" s="134"/>
      <c r="GE884" s="134"/>
      <c r="GF884" s="134"/>
      <c r="GG884" s="134"/>
      <c r="GH884" s="134"/>
      <c r="GI884" s="134"/>
      <c r="GJ884" s="134"/>
      <c r="GK884" s="134"/>
      <c r="GL884" s="134"/>
      <c r="GM884" s="134"/>
      <c r="GN884" s="134"/>
      <c r="GO884" s="134"/>
      <c r="GP884" s="134"/>
      <c r="GQ884" s="134"/>
      <c r="GR884" s="134"/>
      <c r="GS884" s="134"/>
      <c r="GT884" s="134"/>
      <c r="GU884" s="134"/>
      <c r="GV884" s="134"/>
      <c r="GW884" s="134"/>
      <c r="GX884" s="134"/>
      <c r="GY884" s="134"/>
      <c r="GZ884" s="134"/>
      <c r="HA884" s="134"/>
      <c r="HB884" s="134"/>
      <c r="HC884" s="134"/>
      <c r="HD884" s="134"/>
      <c r="HE884" s="134"/>
      <c r="HF884" s="134"/>
      <c r="HG884" s="134"/>
      <c r="HH884" s="134"/>
      <c r="HI884" s="134"/>
      <c r="HJ884" s="134"/>
      <c r="HK884" s="134"/>
      <c r="HL884" s="134"/>
      <c r="HM884" s="134"/>
      <c r="HN884" s="134"/>
      <c r="HO884" s="134"/>
      <c r="HP884" s="134"/>
      <c r="HQ884" s="134"/>
      <c r="HR884" s="134"/>
      <c r="HS884" s="134"/>
      <c r="HT884" s="134"/>
      <c r="HU884" s="134"/>
      <c r="HV884" s="134"/>
      <c r="HW884" s="134"/>
      <c r="HX884" s="134"/>
      <c r="HY884" s="134"/>
      <c r="HZ884" s="134"/>
      <c r="IA884" s="134"/>
      <c r="IB884" s="134"/>
      <c r="IC884" s="134"/>
      <c r="ID884" s="134"/>
      <c r="IE884" s="134"/>
      <c r="IF884" s="134"/>
      <c r="IG884" s="134"/>
      <c r="IH884" s="134"/>
      <c r="II884" s="134"/>
      <c r="IJ884" s="134"/>
      <c r="IK884" s="134"/>
      <c r="IL884" s="134"/>
      <c r="IM884" s="134"/>
      <c r="IN884" s="134"/>
      <c r="IO884" s="134"/>
      <c r="IP884" s="134"/>
      <c r="IQ884" s="134"/>
      <c r="IR884" s="134"/>
      <c r="IS884" s="134"/>
      <c r="IT884" s="134"/>
      <c r="IU884" s="134"/>
      <c r="IV884" s="134"/>
      <c r="IW884" s="134"/>
      <c r="IX884" s="134"/>
      <c r="IY884" s="134"/>
      <c r="IZ884" s="134"/>
      <c r="JA884" s="134"/>
      <c r="JB884" s="134"/>
      <c r="JC884" s="134"/>
      <c r="JD884" s="134"/>
      <c r="JE884" s="134"/>
      <c r="JF884" s="134"/>
      <c r="JG884" s="134"/>
      <c r="JH884" s="134"/>
      <c r="JI884" s="134"/>
      <c r="JJ884" s="134"/>
      <c r="JK884" s="134"/>
      <c r="JL884" s="134"/>
      <c r="JM884" s="134"/>
      <c r="JN884" s="134"/>
      <c r="JO884" s="134"/>
      <c r="JP884" s="134"/>
      <c r="JQ884" s="134"/>
      <c r="JR884" s="134"/>
      <c r="JS884" s="134"/>
      <c r="JT884" s="134"/>
      <c r="JU884" s="134"/>
      <c r="JV884" s="134"/>
      <c r="JW884" s="134"/>
      <c r="JX884" s="134"/>
      <c r="JY884" s="134"/>
      <c r="JZ884" s="134"/>
      <c r="KA884" s="134"/>
      <c r="KB884" s="134"/>
      <c r="KC884" s="134"/>
      <c r="KD884" s="134"/>
      <c r="KE884" s="134"/>
    </row>
    <row r="885" spans="1:291" ht="35" customHeight="1">
      <c r="A885" s="23">
        <f>ROW()-3</f>
        <v>882</v>
      </c>
      <c r="B885" s="42" t="s">
        <v>5659</v>
      </c>
      <c r="C885" s="42" t="s">
        <v>5666</v>
      </c>
      <c r="D885" s="43" t="s">
        <v>5661</v>
      </c>
      <c r="E885" s="270" t="s">
        <v>5662</v>
      </c>
      <c r="F885" s="270" t="s">
        <v>5663</v>
      </c>
      <c r="G885" s="42" t="s">
        <v>5653</v>
      </c>
      <c r="H885" s="42">
        <v>1</v>
      </c>
      <c r="I885" s="44">
        <v>0.48</v>
      </c>
      <c r="J885" s="45">
        <v>44627</v>
      </c>
      <c r="K885" s="46" t="s">
        <v>5157</v>
      </c>
      <c r="L885" s="47">
        <v>4.99</v>
      </c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2"/>
      <c r="BO885" s="32"/>
      <c r="BP885" s="32"/>
      <c r="BQ885" s="32"/>
      <c r="BR885" s="32"/>
      <c r="BS885" s="32"/>
      <c r="BT885" s="32"/>
      <c r="BU885" s="32"/>
      <c r="BV885" s="32"/>
      <c r="BW885" s="32"/>
      <c r="BX885" s="32"/>
      <c r="BY885" s="32"/>
      <c r="BZ885" s="32"/>
      <c r="CA885" s="32"/>
      <c r="CB885" s="32"/>
      <c r="CC885" s="32"/>
      <c r="CD885" s="32"/>
      <c r="CE885" s="32"/>
      <c r="CF885" s="32"/>
      <c r="CG885" s="32"/>
      <c r="CH885" s="32"/>
      <c r="CI885" s="32"/>
      <c r="CJ885" s="32"/>
      <c r="CK885" s="32"/>
      <c r="CL885" s="32"/>
      <c r="CM885" s="32"/>
      <c r="CN885" s="32"/>
      <c r="CO885" s="32"/>
      <c r="CP885" s="32"/>
      <c r="CQ885" s="32"/>
      <c r="CR885" s="32"/>
      <c r="CS885" s="32"/>
      <c r="CT885" s="32"/>
      <c r="CU885" s="32"/>
      <c r="CV885" s="32"/>
      <c r="CW885" s="32"/>
      <c r="CX885" s="32"/>
      <c r="CY885" s="32"/>
      <c r="CZ885" s="32"/>
      <c r="DA885" s="32"/>
      <c r="DB885" s="32"/>
      <c r="DC885" s="32"/>
      <c r="DD885" s="32"/>
      <c r="DE885" s="32"/>
      <c r="DF885" s="32"/>
      <c r="DG885" s="32"/>
      <c r="DH885" s="32"/>
      <c r="DI885" s="32"/>
      <c r="DJ885" s="32"/>
      <c r="DK885" s="32"/>
      <c r="DL885" s="32"/>
      <c r="DM885" s="32"/>
      <c r="DN885" s="32"/>
      <c r="DO885" s="32"/>
      <c r="DP885" s="32"/>
      <c r="DQ885" s="32"/>
      <c r="DR885" s="32"/>
      <c r="DS885" s="32"/>
      <c r="DT885" s="32"/>
      <c r="DU885" s="32"/>
      <c r="DV885" s="32"/>
      <c r="DW885" s="32"/>
      <c r="DX885" s="32"/>
      <c r="DY885" s="32"/>
      <c r="DZ885" s="32"/>
      <c r="EA885" s="32"/>
      <c r="EB885" s="32"/>
      <c r="EC885" s="32"/>
      <c r="ED885" s="32"/>
      <c r="EE885" s="32"/>
      <c r="EF885" s="32"/>
      <c r="EG885" s="32"/>
      <c r="EH885" s="32"/>
      <c r="EI885" s="32"/>
      <c r="EJ885" s="32"/>
      <c r="EK885" s="32"/>
      <c r="EL885" s="32"/>
      <c r="EM885" s="32"/>
      <c r="EN885" s="32"/>
      <c r="EO885" s="32"/>
      <c r="EP885" s="32"/>
      <c r="EQ885" s="32"/>
      <c r="ER885" s="32"/>
      <c r="ES885" s="32"/>
      <c r="ET885" s="32"/>
      <c r="EU885" s="32"/>
      <c r="EV885" s="32"/>
      <c r="EW885" s="32"/>
      <c r="EX885" s="32"/>
      <c r="EY885" s="32"/>
      <c r="EZ885" s="32"/>
      <c r="FA885" s="32"/>
      <c r="FB885" s="32"/>
      <c r="FC885" s="32"/>
      <c r="FD885" s="32"/>
      <c r="FE885" s="32"/>
      <c r="FF885" s="32"/>
      <c r="FG885" s="32"/>
      <c r="FH885" s="32"/>
      <c r="FI885" s="32"/>
      <c r="FJ885" s="32"/>
      <c r="FK885" s="32"/>
      <c r="FL885" s="32"/>
      <c r="FM885" s="32"/>
      <c r="FN885" s="32"/>
      <c r="FO885" s="32"/>
      <c r="FP885" s="32"/>
      <c r="FQ885" s="32"/>
      <c r="FR885" s="32"/>
      <c r="FS885" s="32"/>
      <c r="FT885" s="32"/>
      <c r="FU885" s="32"/>
      <c r="FV885" s="32"/>
      <c r="FW885" s="32"/>
      <c r="FX885" s="32"/>
      <c r="FY885" s="32"/>
      <c r="FZ885" s="32"/>
      <c r="GA885" s="32"/>
      <c r="GB885" s="32"/>
      <c r="GC885" s="32"/>
      <c r="GD885" s="32"/>
      <c r="GE885" s="32"/>
      <c r="GF885" s="32"/>
      <c r="GG885" s="32"/>
      <c r="GH885" s="32"/>
      <c r="GI885" s="32"/>
      <c r="GJ885" s="32"/>
      <c r="GK885" s="32"/>
      <c r="GL885" s="32"/>
      <c r="GM885" s="32"/>
      <c r="GN885" s="32"/>
      <c r="GO885" s="32"/>
      <c r="GP885" s="32"/>
      <c r="GQ885" s="32"/>
      <c r="GR885" s="32"/>
      <c r="GS885" s="32"/>
      <c r="GT885" s="32"/>
      <c r="GU885" s="32"/>
      <c r="GV885" s="32"/>
      <c r="GW885" s="32"/>
      <c r="GX885" s="32"/>
      <c r="GY885" s="32"/>
      <c r="GZ885" s="32"/>
      <c r="HA885" s="32"/>
      <c r="HB885" s="32"/>
      <c r="HC885" s="32"/>
      <c r="HD885" s="32"/>
      <c r="HE885" s="32"/>
      <c r="HF885" s="32"/>
      <c r="HG885" s="32"/>
      <c r="HH885" s="32"/>
      <c r="HI885" s="32"/>
      <c r="HJ885" s="32"/>
      <c r="HK885" s="32"/>
      <c r="HL885" s="32"/>
      <c r="HM885" s="32"/>
      <c r="HN885" s="32"/>
      <c r="HO885" s="32"/>
      <c r="HP885" s="32"/>
      <c r="HQ885" s="32"/>
      <c r="HR885" s="32"/>
      <c r="HS885" s="32"/>
      <c r="HT885" s="32"/>
      <c r="HU885" s="32"/>
      <c r="HV885" s="32"/>
      <c r="HW885" s="32"/>
      <c r="HX885" s="32"/>
      <c r="HY885" s="32"/>
      <c r="HZ885" s="32"/>
      <c r="IA885" s="32"/>
      <c r="IB885" s="32"/>
      <c r="IC885" s="32"/>
      <c r="ID885" s="32"/>
      <c r="IE885" s="32"/>
      <c r="IF885" s="32"/>
      <c r="IG885" s="32"/>
      <c r="IH885" s="32"/>
      <c r="II885" s="32"/>
      <c r="IJ885" s="32"/>
      <c r="IK885" s="32"/>
      <c r="IL885" s="32"/>
      <c r="IM885" s="32"/>
      <c r="IN885" s="32"/>
      <c r="IO885" s="32"/>
      <c r="IP885" s="32"/>
      <c r="IQ885" s="32"/>
      <c r="IR885" s="32"/>
      <c r="IS885" s="32"/>
      <c r="IT885" s="32"/>
      <c r="IU885" s="32"/>
      <c r="IV885" s="32"/>
      <c r="IW885" s="32"/>
      <c r="IX885" s="32"/>
      <c r="IY885" s="32"/>
      <c r="IZ885" s="32"/>
      <c r="JA885" s="32"/>
      <c r="JB885" s="32"/>
      <c r="JC885" s="32"/>
      <c r="JD885" s="32"/>
      <c r="JE885" s="32"/>
      <c r="JF885" s="32"/>
      <c r="JG885" s="32"/>
      <c r="JH885" s="32"/>
      <c r="JI885" s="32"/>
      <c r="JJ885" s="32"/>
      <c r="JK885" s="32"/>
      <c r="JL885" s="32"/>
      <c r="JM885" s="32"/>
      <c r="JN885" s="32"/>
      <c r="JO885" s="32"/>
      <c r="JP885" s="32"/>
      <c r="JQ885" s="32"/>
      <c r="JR885" s="32"/>
      <c r="JS885" s="32"/>
      <c r="JT885" s="32"/>
      <c r="JU885" s="32"/>
      <c r="JV885" s="32"/>
      <c r="JW885" s="32"/>
      <c r="JX885" s="32"/>
      <c r="JY885" s="32"/>
      <c r="JZ885" s="32"/>
      <c r="KA885" s="32"/>
      <c r="KB885" s="32"/>
      <c r="KC885" s="32"/>
      <c r="KD885" s="32"/>
      <c r="KE885" s="32"/>
    </row>
    <row r="886" spans="1:291" ht="35" customHeight="1">
      <c r="A886" s="23">
        <f>ROW()-3</f>
        <v>883</v>
      </c>
      <c r="B886" s="42" t="s">
        <v>4586</v>
      </c>
      <c r="C886" s="42" t="s">
        <v>2733</v>
      </c>
      <c r="D886" s="43" t="s">
        <v>4633</v>
      </c>
      <c r="E886" s="43" t="s">
        <v>4634</v>
      </c>
      <c r="F886" s="43" t="s">
        <v>4635</v>
      </c>
      <c r="G886" s="42" t="s">
        <v>34</v>
      </c>
      <c r="H886" s="43">
        <v>115</v>
      </c>
      <c r="I886" s="49">
        <v>65.919166666666698</v>
      </c>
      <c r="J886" s="45">
        <v>43273</v>
      </c>
      <c r="K886" s="46" t="s">
        <v>20</v>
      </c>
      <c r="L886" s="48">
        <v>99</v>
      </c>
    </row>
    <row r="887" spans="1:291" ht="35" customHeight="1">
      <c r="A887" s="23">
        <f>ROW()-3</f>
        <v>884</v>
      </c>
      <c r="B887" s="42" t="s">
        <v>4586</v>
      </c>
      <c r="C887" s="42" t="s">
        <v>2733</v>
      </c>
      <c r="D887" s="43" t="s">
        <v>4636</v>
      </c>
      <c r="E887" s="43" t="s">
        <v>4637</v>
      </c>
      <c r="F887" s="43" t="s">
        <v>2745</v>
      </c>
      <c r="G887" s="42" t="s">
        <v>34</v>
      </c>
      <c r="H887" s="43">
        <v>27</v>
      </c>
      <c r="I887" s="49">
        <v>11.9233333333333</v>
      </c>
      <c r="J887" s="45">
        <v>43325</v>
      </c>
      <c r="K887" s="46" t="s">
        <v>20</v>
      </c>
      <c r="L887" s="48">
        <v>99</v>
      </c>
    </row>
    <row r="888" spans="1:291" ht="35" customHeight="1">
      <c r="A888" s="23">
        <f>ROW()-3</f>
        <v>885</v>
      </c>
      <c r="B888" s="42" t="s">
        <v>4586</v>
      </c>
      <c r="C888" s="42" t="s">
        <v>2733</v>
      </c>
      <c r="D888" s="43" t="s">
        <v>4638</v>
      </c>
      <c r="E888" s="43" t="s">
        <v>4639</v>
      </c>
      <c r="F888" s="43" t="s">
        <v>2942</v>
      </c>
      <c r="G888" s="42" t="s">
        <v>34</v>
      </c>
      <c r="H888" s="43">
        <v>27</v>
      </c>
      <c r="I888" s="49">
        <v>11.9233333333333</v>
      </c>
      <c r="J888" s="45">
        <v>43325</v>
      </c>
      <c r="K888" s="46" t="s">
        <v>20</v>
      </c>
      <c r="L888" s="48"/>
    </row>
    <row r="889" spans="1:291" ht="35" customHeight="1">
      <c r="A889" s="23">
        <f>ROW()-3</f>
        <v>886</v>
      </c>
      <c r="B889" s="42" t="s">
        <v>4586</v>
      </c>
      <c r="C889" s="42" t="s">
        <v>2733</v>
      </c>
      <c r="D889" s="43" t="s">
        <v>4609</v>
      </c>
      <c r="E889" s="43" t="s">
        <v>2814</v>
      </c>
      <c r="F889" s="43" t="s">
        <v>4610</v>
      </c>
      <c r="G889" s="42" t="s">
        <v>34</v>
      </c>
      <c r="H889" s="42">
        <v>66</v>
      </c>
      <c r="I889" s="44">
        <v>23.936666666666699</v>
      </c>
      <c r="J889" s="45">
        <v>43468</v>
      </c>
      <c r="K889" s="46" t="s">
        <v>20</v>
      </c>
      <c r="L889" s="48">
        <v>29.5</v>
      </c>
    </row>
    <row r="890" spans="1:291" ht="35" customHeight="1">
      <c r="A890" s="23">
        <f>ROW()-3</f>
        <v>887</v>
      </c>
      <c r="B890" s="42" t="s">
        <v>4586</v>
      </c>
      <c r="C890" s="42" t="s">
        <v>2733</v>
      </c>
      <c r="D890" s="43" t="s">
        <v>4611</v>
      </c>
      <c r="E890" s="43" t="s">
        <v>4612</v>
      </c>
      <c r="F890" s="43" t="s">
        <v>4610</v>
      </c>
      <c r="G890" s="42" t="s">
        <v>34</v>
      </c>
      <c r="H890" s="42">
        <v>40</v>
      </c>
      <c r="I890" s="44">
        <v>15.3572222222222</v>
      </c>
      <c r="J890" s="45">
        <v>43468</v>
      </c>
      <c r="K890" s="46" t="s">
        <v>20</v>
      </c>
      <c r="L890" s="48">
        <v>90</v>
      </c>
    </row>
    <row r="891" spans="1:291" ht="35" customHeight="1">
      <c r="A891" s="23">
        <f>ROW()-3</f>
        <v>888</v>
      </c>
      <c r="B891" s="42" t="s">
        <v>4586</v>
      </c>
      <c r="C891" s="42" t="s">
        <v>2733</v>
      </c>
      <c r="D891" s="43" t="s">
        <v>4614</v>
      </c>
      <c r="E891" s="43" t="s">
        <v>4615</v>
      </c>
      <c r="F891" s="43" t="s">
        <v>4610</v>
      </c>
      <c r="G891" s="42" t="s">
        <v>34</v>
      </c>
      <c r="H891" s="42">
        <v>52</v>
      </c>
      <c r="I891" s="44">
        <v>19.7</v>
      </c>
      <c r="J891" s="45">
        <v>43468</v>
      </c>
      <c r="K891" s="46" t="s">
        <v>20</v>
      </c>
      <c r="L891" s="48">
        <v>29.5</v>
      </c>
    </row>
    <row r="892" spans="1:291" ht="35" customHeight="1">
      <c r="A892" s="23">
        <f>ROW()-3</f>
        <v>889</v>
      </c>
      <c r="B892" s="42" t="s">
        <v>4586</v>
      </c>
      <c r="C892" s="42" t="s">
        <v>2733</v>
      </c>
      <c r="D892" s="43" t="s">
        <v>4618</v>
      </c>
      <c r="E892" s="43" t="s">
        <v>457</v>
      </c>
      <c r="F892" s="43" t="s">
        <v>4600</v>
      </c>
      <c r="G892" s="42" t="s">
        <v>34</v>
      </c>
      <c r="H892" s="42">
        <v>45</v>
      </c>
      <c r="I892" s="44">
        <v>15.6169444444444</v>
      </c>
      <c r="J892" s="45">
        <v>43468</v>
      </c>
      <c r="K892" s="46" t="s">
        <v>20</v>
      </c>
      <c r="L892" s="48">
        <v>24.5</v>
      </c>
    </row>
    <row r="893" spans="1:291" ht="35" customHeight="1">
      <c r="A893" s="23">
        <f>ROW()-3</f>
        <v>890</v>
      </c>
      <c r="B893" s="42" t="s">
        <v>4586</v>
      </c>
      <c r="C893" s="42" t="s">
        <v>2733</v>
      </c>
      <c r="D893" s="43" t="s">
        <v>4595</v>
      </c>
      <c r="E893" s="43" t="s">
        <v>4596</v>
      </c>
      <c r="F893" s="43" t="s">
        <v>4589</v>
      </c>
      <c r="G893" s="42" t="s">
        <v>34</v>
      </c>
      <c r="H893" s="42">
        <v>28</v>
      </c>
      <c r="I893" s="44">
        <v>7.73166666666667</v>
      </c>
      <c r="J893" s="45">
        <v>43469</v>
      </c>
      <c r="K893" s="46" t="s">
        <v>20</v>
      </c>
      <c r="L893" s="48">
        <v>33.6</v>
      </c>
    </row>
    <row r="894" spans="1:291" ht="35" customHeight="1">
      <c r="A894" s="23">
        <f>ROW()-3</f>
        <v>891</v>
      </c>
      <c r="B894" s="42" t="s">
        <v>4586</v>
      </c>
      <c r="C894" s="42" t="s">
        <v>2733</v>
      </c>
      <c r="D894" s="43" t="s">
        <v>2881</v>
      </c>
      <c r="E894" s="43" t="s">
        <v>2781</v>
      </c>
      <c r="F894" s="43" t="s">
        <v>4610</v>
      </c>
      <c r="G894" s="42" t="s">
        <v>34</v>
      </c>
      <c r="H894" s="42">
        <v>22</v>
      </c>
      <c r="I894" s="44">
        <v>7.7125000000000004</v>
      </c>
      <c r="J894" s="45">
        <v>43469</v>
      </c>
      <c r="K894" s="73" t="s">
        <v>20</v>
      </c>
      <c r="L894" s="48">
        <v>29.5</v>
      </c>
    </row>
    <row r="895" spans="1:291" ht="35" customHeight="1">
      <c r="A895" s="23">
        <f>ROW()-3</f>
        <v>892</v>
      </c>
      <c r="B895" s="42" t="s">
        <v>4586</v>
      </c>
      <c r="C895" s="42" t="s">
        <v>2733</v>
      </c>
      <c r="D895" s="43" t="s">
        <v>2859</v>
      </c>
      <c r="E895" s="43" t="s">
        <v>2860</v>
      </c>
      <c r="F895" s="43" t="s">
        <v>4610</v>
      </c>
      <c r="G895" s="42" t="s">
        <v>34</v>
      </c>
      <c r="H895" s="42">
        <v>45</v>
      </c>
      <c r="I895" s="44">
        <v>17.126388888888901</v>
      </c>
      <c r="J895" s="129">
        <v>43469</v>
      </c>
      <c r="K895" s="82" t="s">
        <v>20</v>
      </c>
      <c r="L895" s="48">
        <v>19.899999999999999</v>
      </c>
    </row>
    <row r="896" spans="1:291" ht="35" customHeight="1">
      <c r="A896" s="23">
        <f>ROW()-3</f>
        <v>893</v>
      </c>
      <c r="B896" s="42" t="s">
        <v>4586</v>
      </c>
      <c r="C896" s="42" t="s">
        <v>2733</v>
      </c>
      <c r="D896" s="43" t="s">
        <v>4587</v>
      </c>
      <c r="E896" s="43" t="s">
        <v>4588</v>
      </c>
      <c r="F896" s="43" t="s">
        <v>4589</v>
      </c>
      <c r="G896" s="42" t="s">
        <v>34</v>
      </c>
      <c r="H896" s="42">
        <v>33</v>
      </c>
      <c r="I896" s="44">
        <v>11.0038888888889</v>
      </c>
      <c r="J896" s="129">
        <v>43481</v>
      </c>
      <c r="K896" s="82" t="s">
        <v>20</v>
      </c>
      <c r="L896" s="48">
        <v>39.9</v>
      </c>
    </row>
    <row r="897" spans="1:12" ht="35" customHeight="1">
      <c r="A897" s="23">
        <f>ROW()-3</f>
        <v>894</v>
      </c>
      <c r="B897" s="42" t="s">
        <v>4586</v>
      </c>
      <c r="C897" s="42" t="s">
        <v>2733</v>
      </c>
      <c r="D897" s="43" t="s">
        <v>4601</v>
      </c>
      <c r="E897" s="43" t="s">
        <v>4602</v>
      </c>
      <c r="F897" s="43" t="s">
        <v>4603</v>
      </c>
      <c r="G897" s="42" t="s">
        <v>34</v>
      </c>
      <c r="H897" s="42">
        <v>23</v>
      </c>
      <c r="I897" s="44">
        <v>9.0175000000000001</v>
      </c>
      <c r="J897" s="129">
        <v>43483</v>
      </c>
      <c r="K897" s="82" t="s">
        <v>20</v>
      </c>
      <c r="L897" s="48">
        <v>6.99</v>
      </c>
    </row>
    <row r="898" spans="1:12" ht="35" customHeight="1">
      <c r="A898" s="23">
        <f>ROW()-3</f>
        <v>895</v>
      </c>
      <c r="B898" s="42" t="s">
        <v>4586</v>
      </c>
      <c r="C898" s="42" t="s">
        <v>2733</v>
      </c>
      <c r="D898" s="43" t="s">
        <v>4606</v>
      </c>
      <c r="E898" s="43" t="s">
        <v>4607</v>
      </c>
      <c r="F898" s="43" t="s">
        <v>4608</v>
      </c>
      <c r="G898" s="42" t="s">
        <v>34</v>
      </c>
      <c r="H898" s="42">
        <v>13</v>
      </c>
      <c r="I898" s="44">
        <v>4.5516666666666703</v>
      </c>
      <c r="J898" s="45">
        <v>43483</v>
      </c>
      <c r="K898" s="40" t="s">
        <v>20</v>
      </c>
      <c r="L898" s="48">
        <v>24.5</v>
      </c>
    </row>
    <row r="899" spans="1:12" ht="35" customHeight="1">
      <c r="A899" s="23">
        <f>ROW()-3</f>
        <v>896</v>
      </c>
      <c r="B899" s="42" t="s">
        <v>4586</v>
      </c>
      <c r="C899" s="42" t="s">
        <v>2733</v>
      </c>
      <c r="D899" s="43" t="s">
        <v>4613</v>
      </c>
      <c r="E899" s="43" t="s">
        <v>2803</v>
      </c>
      <c r="F899" s="43" t="s">
        <v>4610</v>
      </c>
      <c r="G899" s="42" t="s">
        <v>34</v>
      </c>
      <c r="H899" s="42">
        <v>63</v>
      </c>
      <c r="I899" s="44">
        <v>32.301666666666698</v>
      </c>
      <c r="J899" s="45">
        <v>43483</v>
      </c>
      <c r="K899" s="46" t="s">
        <v>20</v>
      </c>
      <c r="L899" s="48">
        <v>24.5</v>
      </c>
    </row>
    <row r="900" spans="1:12" ht="35" customHeight="1">
      <c r="A900" s="23">
        <f>ROW()-3</f>
        <v>897</v>
      </c>
      <c r="B900" s="42" t="s">
        <v>4586</v>
      </c>
      <c r="C900" s="42" t="s">
        <v>2733</v>
      </c>
      <c r="D900" s="43" t="s">
        <v>4616</v>
      </c>
      <c r="E900" s="43" t="s">
        <v>4612</v>
      </c>
      <c r="F900" s="43" t="s">
        <v>4610</v>
      </c>
      <c r="G900" s="42" t="s">
        <v>34</v>
      </c>
      <c r="H900" s="42">
        <v>22</v>
      </c>
      <c r="I900" s="44">
        <v>7.5147222222222201</v>
      </c>
      <c r="J900" s="45">
        <v>43483</v>
      </c>
      <c r="K900" s="46" t="s">
        <v>20</v>
      </c>
      <c r="L900" s="48">
        <v>29.99</v>
      </c>
    </row>
    <row r="901" spans="1:12" ht="35" customHeight="1">
      <c r="A901" s="23">
        <f>ROW()-3</f>
        <v>898</v>
      </c>
      <c r="B901" s="42" t="s">
        <v>4586</v>
      </c>
      <c r="C901" s="42" t="s">
        <v>2733</v>
      </c>
      <c r="D901" s="43" t="s">
        <v>2867</v>
      </c>
      <c r="E901" s="43" t="s">
        <v>2868</v>
      </c>
      <c r="F901" s="43" t="s">
        <v>4617</v>
      </c>
      <c r="G901" s="42" t="s">
        <v>34</v>
      </c>
      <c r="H901" s="42">
        <v>31</v>
      </c>
      <c r="I901" s="44">
        <v>11.7677777777778</v>
      </c>
      <c r="J901" s="45">
        <v>43483</v>
      </c>
      <c r="K901" s="46" t="s">
        <v>20</v>
      </c>
      <c r="L901" s="48">
        <v>38</v>
      </c>
    </row>
    <row r="902" spans="1:12" ht="35" customHeight="1">
      <c r="A902" s="23">
        <f>ROW()-3</f>
        <v>899</v>
      </c>
      <c r="B902" s="42" t="s">
        <v>4586</v>
      </c>
      <c r="C902" s="42" t="s">
        <v>2733</v>
      </c>
      <c r="D902" s="43" t="s">
        <v>4599</v>
      </c>
      <c r="E902" s="43" t="s">
        <v>457</v>
      </c>
      <c r="F902" s="43" t="s">
        <v>4600</v>
      </c>
      <c r="G902" s="42" t="s">
        <v>34</v>
      </c>
      <c r="H902" s="42">
        <v>77</v>
      </c>
      <c r="I902" s="44">
        <v>10.2952777777778</v>
      </c>
      <c r="J902" s="45">
        <v>43495</v>
      </c>
      <c r="K902" s="46" t="s">
        <v>20</v>
      </c>
      <c r="L902" s="48">
        <v>6.9</v>
      </c>
    </row>
    <row r="903" spans="1:12" ht="35" customHeight="1">
      <c r="A903" s="23">
        <f>ROW()-3</f>
        <v>900</v>
      </c>
      <c r="B903" s="42" t="s">
        <v>4586</v>
      </c>
      <c r="C903" s="42" t="s">
        <v>2733</v>
      </c>
      <c r="D903" s="43" t="s">
        <v>4597</v>
      </c>
      <c r="E903" s="43" t="s">
        <v>512</v>
      </c>
      <c r="F903" s="43" t="s">
        <v>4598</v>
      </c>
      <c r="G903" s="42" t="s">
        <v>34</v>
      </c>
      <c r="H903" s="42">
        <v>107</v>
      </c>
      <c r="I903" s="44">
        <v>35.794444444444402</v>
      </c>
      <c r="J903" s="45">
        <v>43516</v>
      </c>
      <c r="K903" s="46" t="s">
        <v>20</v>
      </c>
      <c r="L903" s="48">
        <v>19.8</v>
      </c>
    </row>
    <row r="904" spans="1:12" ht="35" customHeight="1">
      <c r="A904" s="23">
        <f>ROW()-3</f>
        <v>901</v>
      </c>
      <c r="B904" s="42" t="s">
        <v>4586</v>
      </c>
      <c r="C904" s="42" t="s">
        <v>2733</v>
      </c>
      <c r="D904" s="43" t="s">
        <v>4604</v>
      </c>
      <c r="E904" s="43" t="s">
        <v>2883</v>
      </c>
      <c r="F904" s="43" t="s">
        <v>4605</v>
      </c>
      <c r="G904" s="42" t="s">
        <v>34</v>
      </c>
      <c r="H904" s="42">
        <v>24</v>
      </c>
      <c r="I904" s="44">
        <v>7.49722222222222</v>
      </c>
      <c r="J904" s="45">
        <v>43516</v>
      </c>
      <c r="K904" s="46" t="s">
        <v>20</v>
      </c>
      <c r="L904" s="48">
        <v>32.5</v>
      </c>
    </row>
    <row r="905" spans="1:12" ht="35" customHeight="1">
      <c r="A905" s="23">
        <f>ROW()-3</f>
        <v>902</v>
      </c>
      <c r="B905" s="42" t="s">
        <v>4586</v>
      </c>
      <c r="C905" s="42" t="s">
        <v>2733</v>
      </c>
      <c r="D905" s="43" t="s">
        <v>2796</v>
      </c>
      <c r="E905" s="43" t="s">
        <v>2797</v>
      </c>
      <c r="F905" s="43" t="s">
        <v>4610</v>
      </c>
      <c r="G905" s="42" t="s">
        <v>34</v>
      </c>
      <c r="H905" s="42">
        <v>55</v>
      </c>
      <c r="I905" s="44">
        <v>11.74</v>
      </c>
      <c r="J905" s="45">
        <v>43615</v>
      </c>
      <c r="K905" s="46" t="s">
        <v>20</v>
      </c>
      <c r="L905" s="48">
        <v>36.799999999999997</v>
      </c>
    </row>
    <row r="906" spans="1:12" ht="35" customHeight="1">
      <c r="A906" s="23">
        <f>ROW()-3</f>
        <v>903</v>
      </c>
      <c r="B906" s="42" t="s">
        <v>4586</v>
      </c>
      <c r="C906" s="42" t="s">
        <v>2733</v>
      </c>
      <c r="D906" s="43" t="s">
        <v>4619</v>
      </c>
      <c r="E906" s="43" t="s">
        <v>4620</v>
      </c>
      <c r="F906" s="43" t="s">
        <v>4610</v>
      </c>
      <c r="G906" s="42" t="s">
        <v>34</v>
      </c>
      <c r="H906" s="42">
        <v>40</v>
      </c>
      <c r="I906" s="44">
        <v>12.1736111111111</v>
      </c>
      <c r="J906" s="45">
        <v>43691</v>
      </c>
      <c r="K906" s="46" t="s">
        <v>20</v>
      </c>
      <c r="L906" s="48">
        <v>19.899999999999999</v>
      </c>
    </row>
    <row r="907" spans="1:12" ht="35" customHeight="1">
      <c r="A907" s="23">
        <f>ROW()-3</f>
        <v>904</v>
      </c>
      <c r="B907" s="42" t="s">
        <v>4586</v>
      </c>
      <c r="C907" s="42" t="s">
        <v>2733</v>
      </c>
      <c r="D907" s="43" t="s">
        <v>4621</v>
      </c>
      <c r="E907" s="43" t="s">
        <v>4622</v>
      </c>
      <c r="F907" s="43" t="s">
        <v>4623</v>
      </c>
      <c r="G907" s="42" t="s">
        <v>34</v>
      </c>
      <c r="H907" s="42">
        <v>35</v>
      </c>
      <c r="I907" s="44">
        <v>8.0250000000000004</v>
      </c>
      <c r="J907" s="45">
        <v>43691</v>
      </c>
      <c r="K907" s="46" t="s">
        <v>20</v>
      </c>
      <c r="L907" s="48">
        <v>8</v>
      </c>
    </row>
    <row r="908" spans="1:12" ht="35" customHeight="1">
      <c r="A908" s="23">
        <f>ROW()-3</f>
        <v>905</v>
      </c>
      <c r="B908" s="42" t="s">
        <v>4586</v>
      </c>
      <c r="C908" s="42" t="s">
        <v>2733</v>
      </c>
      <c r="D908" s="43" t="s">
        <v>4624</v>
      </c>
      <c r="E908" s="43" t="s">
        <v>4625</v>
      </c>
      <c r="F908" s="43" t="s">
        <v>4626</v>
      </c>
      <c r="G908" s="42" t="s">
        <v>34</v>
      </c>
      <c r="H908" s="42">
        <v>41</v>
      </c>
      <c r="I908" s="44">
        <v>13.113055555555601</v>
      </c>
      <c r="J908" s="45">
        <v>43691</v>
      </c>
      <c r="K908" s="46" t="s">
        <v>20</v>
      </c>
      <c r="L908" s="48">
        <v>49.99</v>
      </c>
    </row>
    <row r="909" spans="1:12" ht="35" customHeight="1">
      <c r="A909" s="23">
        <f>ROW()-3</f>
        <v>906</v>
      </c>
      <c r="B909" s="42" t="s">
        <v>4586</v>
      </c>
      <c r="C909" s="42" t="s">
        <v>2733</v>
      </c>
      <c r="D909" s="43" t="s">
        <v>4627</v>
      </c>
      <c r="E909" s="43" t="s">
        <v>4625</v>
      </c>
      <c r="F909" s="43" t="s">
        <v>4626</v>
      </c>
      <c r="G909" s="42" t="s">
        <v>34</v>
      </c>
      <c r="H909" s="42">
        <v>27</v>
      </c>
      <c r="I909" s="44">
        <v>11.265833333333299</v>
      </c>
      <c r="J909" s="45">
        <v>43691</v>
      </c>
      <c r="K909" s="46" t="s">
        <v>20</v>
      </c>
      <c r="L909" s="48">
        <v>14.99</v>
      </c>
    </row>
    <row r="910" spans="1:12" ht="35" customHeight="1">
      <c r="A910" s="23">
        <f>ROW()-3</f>
        <v>907</v>
      </c>
      <c r="B910" s="42" t="s">
        <v>4586</v>
      </c>
      <c r="C910" s="42" t="s">
        <v>2733</v>
      </c>
      <c r="D910" s="43" t="s">
        <v>4628</v>
      </c>
      <c r="E910" s="43" t="s">
        <v>4629</v>
      </c>
      <c r="F910" s="43" t="s">
        <v>4617</v>
      </c>
      <c r="G910" s="42" t="s">
        <v>34</v>
      </c>
      <c r="H910" s="42">
        <v>35</v>
      </c>
      <c r="I910" s="44">
        <v>8.1422222222222196</v>
      </c>
      <c r="J910" s="45">
        <v>43691</v>
      </c>
      <c r="K910" s="46" t="s">
        <v>20</v>
      </c>
      <c r="L910" s="48">
        <v>24.5</v>
      </c>
    </row>
    <row r="911" spans="1:12" ht="35" customHeight="1">
      <c r="A911" s="23">
        <f>ROW()-3</f>
        <v>908</v>
      </c>
      <c r="B911" s="42" t="s">
        <v>4586</v>
      </c>
      <c r="C911" s="42" t="s">
        <v>2733</v>
      </c>
      <c r="D911" s="43" t="s">
        <v>4630</v>
      </c>
      <c r="E911" s="43" t="s">
        <v>4631</v>
      </c>
      <c r="F911" s="43" t="s">
        <v>4632</v>
      </c>
      <c r="G911" s="42" t="s">
        <v>34</v>
      </c>
      <c r="H911" s="42">
        <v>25</v>
      </c>
      <c r="I911" s="44">
        <v>7.3633333333333297</v>
      </c>
      <c r="J911" s="45">
        <v>43893</v>
      </c>
      <c r="K911" s="46" t="s">
        <v>20</v>
      </c>
      <c r="L911" s="48">
        <v>22.99</v>
      </c>
    </row>
    <row r="912" spans="1:12" ht="35" customHeight="1">
      <c r="A912" s="23">
        <f>ROW()-3</f>
        <v>909</v>
      </c>
      <c r="B912" s="42" t="s">
        <v>4586</v>
      </c>
      <c r="C912" s="42" t="s">
        <v>2733</v>
      </c>
      <c r="D912" s="43" t="s">
        <v>3103</v>
      </c>
      <c r="E912" s="43" t="s">
        <v>3104</v>
      </c>
      <c r="F912" s="43" t="s">
        <v>4610</v>
      </c>
      <c r="G912" s="42" t="s">
        <v>34</v>
      </c>
      <c r="H912" s="42">
        <v>152</v>
      </c>
      <c r="I912" s="44">
        <v>46.397222222222197</v>
      </c>
      <c r="J912" s="45">
        <v>43928</v>
      </c>
      <c r="K912" s="46" t="s">
        <v>20</v>
      </c>
      <c r="L912" s="48">
        <v>99</v>
      </c>
    </row>
    <row r="913" spans="1:291" ht="35" customHeight="1">
      <c r="A913" s="23">
        <f>ROW()-3</f>
        <v>910</v>
      </c>
      <c r="B913" s="42" t="s">
        <v>4586</v>
      </c>
      <c r="C913" s="42" t="s">
        <v>2733</v>
      </c>
      <c r="D913" s="58" t="s">
        <v>4592</v>
      </c>
      <c r="E913" s="43" t="s">
        <v>4593</v>
      </c>
      <c r="F913" s="43" t="s">
        <v>4594</v>
      </c>
      <c r="G913" s="42" t="s">
        <v>34</v>
      </c>
      <c r="H913" s="43">
        <v>69</v>
      </c>
      <c r="I913" s="53">
        <v>10.9</v>
      </c>
      <c r="J913" s="50">
        <v>44179</v>
      </c>
      <c r="K913" s="46" t="s">
        <v>20</v>
      </c>
      <c r="L913" s="127">
        <v>49</v>
      </c>
      <c r="M913" s="128"/>
    </row>
    <row r="914" spans="1:291" ht="35" customHeight="1">
      <c r="A914" s="23">
        <f>ROW()-3</f>
        <v>911</v>
      </c>
      <c r="B914" s="42" t="s">
        <v>4586</v>
      </c>
      <c r="C914" s="42" t="s">
        <v>2733</v>
      </c>
      <c r="D914" s="43" t="s">
        <v>4590</v>
      </c>
      <c r="E914" s="43" t="s">
        <v>535</v>
      </c>
      <c r="F914" s="43" t="s">
        <v>4591</v>
      </c>
      <c r="G914" s="42" t="s">
        <v>34</v>
      </c>
      <c r="H914" s="42">
        <v>86</v>
      </c>
      <c r="I914" s="44">
        <v>25.8</v>
      </c>
      <c r="J914" s="45">
        <v>44186</v>
      </c>
      <c r="K914" s="46" t="s">
        <v>20</v>
      </c>
      <c r="L914" s="48">
        <v>49</v>
      </c>
    </row>
    <row r="915" spans="1:291" ht="35" customHeight="1">
      <c r="A915" s="23">
        <f>ROW()-3</f>
        <v>912</v>
      </c>
      <c r="B915" s="42" t="s">
        <v>4586</v>
      </c>
      <c r="C915" s="42" t="s">
        <v>2733</v>
      </c>
      <c r="D915" s="43" t="s">
        <v>4640</v>
      </c>
      <c r="E915" s="43" t="s">
        <v>457</v>
      </c>
      <c r="F915" s="43" t="s">
        <v>4641</v>
      </c>
      <c r="G915" s="42" t="s">
        <v>34</v>
      </c>
      <c r="H915" s="43">
        <v>71</v>
      </c>
      <c r="I915" s="49">
        <v>12</v>
      </c>
      <c r="J915" s="45">
        <v>44284</v>
      </c>
      <c r="K915" s="46" t="s">
        <v>20</v>
      </c>
      <c r="L915" s="48">
        <v>38</v>
      </c>
    </row>
    <row r="916" spans="1:291" ht="35" customHeight="1">
      <c r="A916" s="23">
        <f>ROW()-3</f>
        <v>913</v>
      </c>
      <c r="B916" s="42" t="s">
        <v>4586</v>
      </c>
      <c r="C916" s="42" t="s">
        <v>2733</v>
      </c>
      <c r="D916" s="43" t="s">
        <v>2831</v>
      </c>
      <c r="E916" s="43" t="s">
        <v>457</v>
      </c>
      <c r="F916" s="43" t="s">
        <v>4642</v>
      </c>
      <c r="G916" s="42" t="s">
        <v>34</v>
      </c>
      <c r="H916" s="43">
        <v>85</v>
      </c>
      <c r="I916" s="49">
        <v>28</v>
      </c>
      <c r="J916" s="45">
        <v>44292</v>
      </c>
      <c r="K916" s="46" t="s">
        <v>20</v>
      </c>
      <c r="L916" s="48">
        <v>68</v>
      </c>
    </row>
    <row r="917" spans="1:291" ht="35" customHeight="1">
      <c r="A917" s="23">
        <f>ROW()-3</f>
        <v>914</v>
      </c>
      <c r="B917" s="42" t="s">
        <v>4586</v>
      </c>
      <c r="C917" s="42" t="s">
        <v>2733</v>
      </c>
      <c r="D917" s="43" t="s">
        <v>4643</v>
      </c>
      <c r="E917" s="43" t="s">
        <v>4644</v>
      </c>
      <c r="F917" s="43" t="s">
        <v>4641</v>
      </c>
      <c r="G917" s="42" t="s">
        <v>34</v>
      </c>
      <c r="H917" s="43">
        <v>36</v>
      </c>
      <c r="I917" s="49">
        <v>12</v>
      </c>
      <c r="J917" s="45">
        <v>44305</v>
      </c>
      <c r="K917" s="129" t="s">
        <v>20</v>
      </c>
      <c r="L917" s="48">
        <v>32</v>
      </c>
    </row>
    <row r="918" spans="1:291" ht="35" customHeight="1">
      <c r="A918" s="23">
        <f>ROW()-3</f>
        <v>915</v>
      </c>
      <c r="B918" s="42" t="s">
        <v>4586</v>
      </c>
      <c r="C918" s="42" t="s">
        <v>2733</v>
      </c>
      <c r="D918" s="43" t="s">
        <v>4645</v>
      </c>
      <c r="E918" s="43" t="s">
        <v>4646</v>
      </c>
      <c r="F918" s="43" t="s">
        <v>4646</v>
      </c>
      <c r="G918" s="42" t="s">
        <v>34</v>
      </c>
      <c r="H918" s="43">
        <v>41</v>
      </c>
      <c r="I918" s="49">
        <v>17.079999999999998</v>
      </c>
      <c r="J918" s="45">
        <v>44403</v>
      </c>
      <c r="K918" s="201" t="s">
        <v>5157</v>
      </c>
      <c r="L918" s="48">
        <v>64.5</v>
      </c>
    </row>
    <row r="919" spans="1:291" ht="35" customHeight="1">
      <c r="A919" s="23">
        <f>ROW()-3</f>
        <v>916</v>
      </c>
      <c r="B919" s="42" t="s">
        <v>5207</v>
      </c>
      <c r="C919" s="42" t="s">
        <v>5213</v>
      </c>
      <c r="D919" s="43" t="s">
        <v>5212</v>
      </c>
      <c r="E919" s="43" t="s">
        <v>5214</v>
      </c>
      <c r="F919" s="43" t="s">
        <v>5215</v>
      </c>
      <c r="G919" s="42" t="s">
        <v>3253</v>
      </c>
      <c r="H919" s="42">
        <v>6</v>
      </c>
      <c r="I919" s="44">
        <v>1.1836111111111112</v>
      </c>
      <c r="J919" s="45">
        <v>44484</v>
      </c>
      <c r="K919" s="46" t="s">
        <v>20</v>
      </c>
      <c r="L919" s="48">
        <v>49</v>
      </c>
    </row>
    <row r="920" spans="1:291" ht="35" customHeight="1">
      <c r="A920" s="23">
        <f>ROW()-3</f>
        <v>917</v>
      </c>
      <c r="B920" s="42" t="s">
        <v>5207</v>
      </c>
      <c r="C920" s="42" t="s">
        <v>5213</v>
      </c>
      <c r="D920" s="43" t="s">
        <v>5216</v>
      </c>
      <c r="E920" s="43" t="s">
        <v>5217</v>
      </c>
      <c r="F920" s="43" t="s">
        <v>5215</v>
      </c>
      <c r="G920" s="42" t="s">
        <v>3253</v>
      </c>
      <c r="H920" s="42">
        <v>6</v>
      </c>
      <c r="I920" s="44">
        <v>1.5119444444444445</v>
      </c>
      <c r="J920" s="45">
        <v>44485</v>
      </c>
      <c r="K920" s="46" t="s">
        <v>20</v>
      </c>
      <c r="L920" s="48">
        <v>49</v>
      </c>
    </row>
    <row r="921" spans="1:291" ht="35" customHeight="1">
      <c r="A921" s="23">
        <f>ROW()-3</f>
        <v>918</v>
      </c>
      <c r="B921" s="42" t="s">
        <v>4586</v>
      </c>
      <c r="C921" s="42" t="s">
        <v>2733</v>
      </c>
      <c r="D921" s="43" t="s">
        <v>4647</v>
      </c>
      <c r="E921" s="43" t="s">
        <v>4648</v>
      </c>
      <c r="F921" s="43" t="s">
        <v>4649</v>
      </c>
      <c r="G921" s="42" t="s">
        <v>34</v>
      </c>
      <c r="H921" s="43">
        <v>139</v>
      </c>
      <c r="I921" s="49">
        <v>13.9</v>
      </c>
      <c r="J921" s="45">
        <v>44536</v>
      </c>
      <c r="K921" s="201" t="s">
        <v>4650</v>
      </c>
      <c r="L921" s="48">
        <v>79</v>
      </c>
    </row>
    <row r="922" spans="1:291" ht="35" customHeight="1">
      <c r="A922" s="23">
        <f>ROW()-3</f>
        <v>919</v>
      </c>
      <c r="B922" s="42" t="s">
        <v>5207</v>
      </c>
      <c r="C922" s="42" t="s">
        <v>5213</v>
      </c>
      <c r="D922" s="43" t="s">
        <v>5232</v>
      </c>
      <c r="E922" s="43" t="s">
        <v>5233</v>
      </c>
      <c r="F922" s="43" t="s">
        <v>5234</v>
      </c>
      <c r="G922" s="42" t="s">
        <v>3253</v>
      </c>
      <c r="H922" s="42">
        <v>68</v>
      </c>
      <c r="I922" s="44">
        <v>16.822222222222223</v>
      </c>
      <c r="J922" s="45">
        <v>44554</v>
      </c>
      <c r="K922" s="46" t="s">
        <v>20</v>
      </c>
      <c r="L922" s="48">
        <v>44</v>
      </c>
    </row>
    <row r="923" spans="1:291" ht="35" customHeight="1">
      <c r="A923" s="23">
        <f>ROW()-3</f>
        <v>920</v>
      </c>
      <c r="B923" s="42" t="s">
        <v>5207</v>
      </c>
      <c r="C923" s="42" t="s">
        <v>5213</v>
      </c>
      <c r="D923" s="43" t="s">
        <v>5244</v>
      </c>
      <c r="E923" s="43" t="s">
        <v>5245</v>
      </c>
      <c r="F923" s="43" t="s">
        <v>5246</v>
      </c>
      <c r="G923" s="42" t="s">
        <v>3253</v>
      </c>
      <c r="H923" s="42">
        <v>143</v>
      </c>
      <c r="I923" s="44">
        <v>15.295</v>
      </c>
      <c r="J923" s="45">
        <v>44566</v>
      </c>
      <c r="K923" s="46" t="s">
        <v>20</v>
      </c>
      <c r="L923" s="48">
        <v>49.99</v>
      </c>
    </row>
    <row r="924" spans="1:291" ht="35" customHeight="1">
      <c r="A924" s="23">
        <f>ROW()-3</f>
        <v>921</v>
      </c>
      <c r="B924" s="42" t="s">
        <v>5207</v>
      </c>
      <c r="C924" s="42" t="s">
        <v>5213</v>
      </c>
      <c r="D924" s="43" t="s">
        <v>5250</v>
      </c>
      <c r="E924" s="43" t="s">
        <v>5251</v>
      </c>
      <c r="F924" s="43" t="s">
        <v>5252</v>
      </c>
      <c r="G924" s="42" t="s">
        <v>3253</v>
      </c>
      <c r="H924" s="43">
        <v>95</v>
      </c>
      <c r="I924" s="49">
        <v>15.151666666666667</v>
      </c>
      <c r="J924" s="45">
        <v>44566</v>
      </c>
      <c r="K924" s="46" t="s">
        <v>20</v>
      </c>
      <c r="L924" s="48"/>
    </row>
    <row r="925" spans="1:291" ht="35" customHeight="1">
      <c r="A925" s="23">
        <f>ROW()-3</f>
        <v>922</v>
      </c>
      <c r="B925" s="42" t="s">
        <v>4586</v>
      </c>
      <c r="C925" s="42" t="s">
        <v>2733</v>
      </c>
      <c r="D925" s="43" t="s">
        <v>5154</v>
      </c>
      <c r="E925" s="43" t="s">
        <v>5155</v>
      </c>
      <c r="F925" s="43" t="s">
        <v>5156</v>
      </c>
      <c r="G925" s="42" t="s">
        <v>34</v>
      </c>
      <c r="H925" s="43">
        <v>29</v>
      </c>
      <c r="I925" s="49">
        <v>4.8</v>
      </c>
      <c r="J925" s="45">
        <v>44585</v>
      </c>
      <c r="K925" s="201" t="s">
        <v>5157</v>
      </c>
      <c r="L925" s="48">
        <v>34</v>
      </c>
    </row>
    <row r="926" spans="1:291" ht="35" customHeight="1">
      <c r="A926" s="23">
        <f>ROW()-3</f>
        <v>923</v>
      </c>
      <c r="B926" s="182" t="s">
        <v>5334</v>
      </c>
      <c r="C926" s="182" t="s">
        <v>5331</v>
      </c>
      <c r="D926" s="187" t="s">
        <v>5323</v>
      </c>
      <c r="E926" s="187" t="s">
        <v>5332</v>
      </c>
      <c r="F926" s="187" t="s">
        <v>5333</v>
      </c>
      <c r="G926" s="42" t="s">
        <v>3253</v>
      </c>
      <c r="H926" s="182">
        <v>176</v>
      </c>
      <c r="I926" s="206">
        <v>35.200000000000003</v>
      </c>
      <c r="J926" s="209">
        <v>44599</v>
      </c>
      <c r="K926" s="46" t="s">
        <v>20</v>
      </c>
      <c r="L926" s="202">
        <v>59.99</v>
      </c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  <c r="AE926" s="134"/>
      <c r="AF926" s="134"/>
      <c r="AG926" s="134"/>
      <c r="AH926" s="134"/>
      <c r="AI926" s="134"/>
      <c r="AJ926" s="134"/>
      <c r="AK926" s="134"/>
      <c r="AL926" s="134"/>
      <c r="AM926" s="134"/>
      <c r="AN926" s="134"/>
      <c r="AO926" s="134"/>
      <c r="AP926" s="134"/>
      <c r="AQ926" s="134"/>
      <c r="AR926" s="134"/>
      <c r="AS926" s="134"/>
      <c r="AT926" s="134"/>
      <c r="AU926" s="134"/>
      <c r="AV926" s="134"/>
      <c r="AW926" s="134"/>
      <c r="AX926" s="134"/>
      <c r="AY926" s="134"/>
      <c r="AZ926" s="134"/>
      <c r="BA926" s="134"/>
      <c r="BB926" s="134"/>
      <c r="BC926" s="134"/>
      <c r="BD926" s="134"/>
      <c r="BE926" s="134"/>
      <c r="BF926" s="134"/>
      <c r="BG926" s="134"/>
      <c r="BH926" s="134"/>
      <c r="BI926" s="134"/>
      <c r="BJ926" s="134"/>
      <c r="BK926" s="134"/>
      <c r="BL926" s="134"/>
      <c r="BM926" s="134"/>
      <c r="BN926" s="134"/>
      <c r="BO926" s="134"/>
      <c r="BP926" s="134"/>
      <c r="BQ926" s="134"/>
      <c r="BR926" s="134"/>
      <c r="BS926" s="134"/>
      <c r="BT926" s="134"/>
      <c r="BU926" s="134"/>
      <c r="BV926" s="134"/>
      <c r="BW926" s="134"/>
      <c r="BX926" s="134"/>
      <c r="BY926" s="134"/>
      <c r="BZ926" s="134"/>
      <c r="CA926" s="134"/>
      <c r="CB926" s="134"/>
      <c r="CC926" s="134"/>
      <c r="CD926" s="134"/>
      <c r="CE926" s="134"/>
      <c r="CF926" s="134"/>
      <c r="CG926" s="134"/>
      <c r="CH926" s="134"/>
      <c r="CI926" s="134"/>
      <c r="CJ926" s="134"/>
      <c r="CK926" s="134"/>
      <c r="CL926" s="134"/>
      <c r="CM926" s="134"/>
      <c r="CN926" s="134"/>
      <c r="CO926" s="134"/>
      <c r="CP926" s="134"/>
      <c r="CQ926" s="134"/>
      <c r="CR926" s="134"/>
      <c r="CS926" s="134"/>
      <c r="CT926" s="134"/>
      <c r="CU926" s="134"/>
      <c r="CV926" s="134"/>
      <c r="CW926" s="134"/>
      <c r="CX926" s="134"/>
      <c r="CY926" s="134"/>
      <c r="CZ926" s="134"/>
      <c r="DA926" s="134"/>
      <c r="DB926" s="134"/>
      <c r="DC926" s="134"/>
      <c r="DD926" s="134"/>
      <c r="DE926" s="134"/>
      <c r="DF926" s="134"/>
      <c r="DG926" s="134"/>
      <c r="DH926" s="134"/>
      <c r="DI926" s="134"/>
      <c r="DJ926" s="134"/>
      <c r="DK926" s="134"/>
      <c r="DL926" s="134"/>
      <c r="DM926" s="134"/>
      <c r="DN926" s="134"/>
      <c r="DO926" s="134"/>
      <c r="DP926" s="134"/>
      <c r="DQ926" s="134"/>
      <c r="DR926" s="134"/>
      <c r="DS926" s="134"/>
      <c r="DT926" s="134"/>
      <c r="DU926" s="134"/>
      <c r="DV926" s="134"/>
      <c r="DW926" s="134"/>
      <c r="DX926" s="134"/>
      <c r="DY926" s="134"/>
      <c r="DZ926" s="134"/>
      <c r="EA926" s="134"/>
      <c r="EB926" s="134"/>
      <c r="EC926" s="134"/>
      <c r="ED926" s="134"/>
      <c r="EE926" s="134"/>
      <c r="EF926" s="134"/>
      <c r="EG926" s="134"/>
      <c r="EH926" s="134"/>
      <c r="EI926" s="134"/>
      <c r="EJ926" s="134"/>
      <c r="EK926" s="134"/>
      <c r="EL926" s="134"/>
      <c r="EM926" s="134"/>
      <c r="EN926" s="134"/>
      <c r="EO926" s="134"/>
      <c r="EP926" s="134"/>
      <c r="EQ926" s="134"/>
      <c r="ER926" s="134"/>
      <c r="ES926" s="134"/>
      <c r="ET926" s="134"/>
      <c r="EU926" s="134"/>
      <c r="EV926" s="134"/>
      <c r="EW926" s="134"/>
      <c r="EX926" s="134"/>
      <c r="EY926" s="134"/>
      <c r="EZ926" s="134"/>
      <c r="FA926" s="134"/>
      <c r="FB926" s="134"/>
      <c r="FC926" s="134"/>
      <c r="FD926" s="134"/>
      <c r="FE926" s="134"/>
      <c r="FF926" s="134"/>
      <c r="FG926" s="134"/>
      <c r="FH926" s="134"/>
      <c r="FI926" s="134"/>
      <c r="FJ926" s="134"/>
      <c r="FK926" s="134"/>
      <c r="FL926" s="134"/>
      <c r="FM926" s="134"/>
      <c r="FN926" s="134"/>
      <c r="FO926" s="134"/>
      <c r="FP926" s="134"/>
      <c r="FQ926" s="134"/>
      <c r="FR926" s="134"/>
      <c r="FS926" s="134"/>
      <c r="FT926" s="134"/>
      <c r="FU926" s="134"/>
      <c r="FV926" s="134"/>
      <c r="FW926" s="134"/>
      <c r="FX926" s="134"/>
      <c r="FY926" s="134"/>
      <c r="FZ926" s="134"/>
      <c r="GA926" s="134"/>
      <c r="GB926" s="134"/>
      <c r="GC926" s="134"/>
      <c r="GD926" s="134"/>
      <c r="GE926" s="134"/>
      <c r="GF926" s="134"/>
      <c r="GG926" s="134"/>
      <c r="GH926" s="134"/>
      <c r="GI926" s="134"/>
      <c r="GJ926" s="134"/>
      <c r="GK926" s="134"/>
      <c r="GL926" s="134"/>
      <c r="GM926" s="134"/>
      <c r="GN926" s="134"/>
      <c r="GO926" s="134"/>
      <c r="GP926" s="134"/>
      <c r="GQ926" s="134"/>
      <c r="GR926" s="134"/>
      <c r="GS926" s="134"/>
      <c r="GT926" s="134"/>
      <c r="GU926" s="134"/>
      <c r="GV926" s="134"/>
      <c r="GW926" s="134"/>
      <c r="GX926" s="134"/>
      <c r="GY926" s="134"/>
      <c r="GZ926" s="134"/>
      <c r="HA926" s="134"/>
      <c r="HB926" s="134"/>
      <c r="HC926" s="134"/>
      <c r="HD926" s="134"/>
      <c r="HE926" s="134"/>
      <c r="HF926" s="134"/>
      <c r="HG926" s="134"/>
      <c r="HH926" s="134"/>
      <c r="HI926" s="134"/>
      <c r="HJ926" s="134"/>
      <c r="HK926" s="134"/>
      <c r="HL926" s="134"/>
      <c r="HM926" s="134"/>
      <c r="HN926" s="134"/>
      <c r="HO926" s="134"/>
      <c r="HP926" s="134"/>
      <c r="HQ926" s="134"/>
      <c r="HR926" s="134"/>
      <c r="HS926" s="134"/>
      <c r="HT926" s="134"/>
      <c r="HU926" s="134"/>
      <c r="HV926" s="134"/>
      <c r="HW926" s="134"/>
      <c r="HX926" s="134"/>
      <c r="HY926" s="134"/>
      <c r="HZ926" s="134"/>
      <c r="IA926" s="134"/>
      <c r="IB926" s="134"/>
      <c r="IC926" s="134"/>
      <c r="ID926" s="134"/>
      <c r="IE926" s="134"/>
      <c r="IF926" s="134"/>
      <c r="IG926" s="134"/>
      <c r="IH926" s="134"/>
      <c r="II926" s="134"/>
      <c r="IJ926" s="134"/>
      <c r="IK926" s="134"/>
      <c r="IL926" s="134"/>
      <c r="IM926" s="134"/>
      <c r="IN926" s="134"/>
      <c r="IO926" s="134"/>
      <c r="IP926" s="134"/>
      <c r="IQ926" s="134"/>
      <c r="IR926" s="134"/>
      <c r="IS926" s="134"/>
      <c r="IT926" s="134"/>
      <c r="IU926" s="134"/>
      <c r="IV926" s="134"/>
      <c r="IW926" s="134"/>
      <c r="IX926" s="134"/>
      <c r="IY926" s="134"/>
      <c r="IZ926" s="134"/>
      <c r="JA926" s="134"/>
      <c r="JB926" s="134"/>
      <c r="JC926" s="134"/>
      <c r="JD926" s="134"/>
      <c r="JE926" s="134"/>
      <c r="JF926" s="134"/>
      <c r="JG926" s="134"/>
      <c r="JH926" s="134"/>
      <c r="JI926" s="134"/>
      <c r="JJ926" s="134"/>
      <c r="JK926" s="134"/>
      <c r="JL926" s="134"/>
      <c r="JM926" s="134"/>
      <c r="JN926" s="134"/>
      <c r="JO926" s="134"/>
      <c r="JP926" s="134"/>
      <c r="JQ926" s="134"/>
      <c r="JR926" s="134"/>
      <c r="JS926" s="134"/>
      <c r="JT926" s="134"/>
      <c r="JU926" s="134"/>
      <c r="JV926" s="134"/>
      <c r="JW926" s="134"/>
      <c r="JX926" s="134"/>
      <c r="JY926" s="134"/>
      <c r="JZ926" s="134"/>
      <c r="KA926" s="134"/>
      <c r="KB926" s="134"/>
      <c r="KC926" s="134"/>
      <c r="KD926" s="134"/>
      <c r="KE926" s="134"/>
    </row>
    <row r="927" spans="1:291" ht="35" customHeight="1">
      <c r="A927" s="23">
        <f>ROW()-3</f>
        <v>924</v>
      </c>
      <c r="B927" s="182" t="s">
        <v>5597</v>
      </c>
      <c r="C927" s="182" t="s">
        <v>2733</v>
      </c>
      <c r="D927" s="187" t="s">
        <v>5504</v>
      </c>
      <c r="E927" s="187" t="s">
        <v>5550</v>
      </c>
      <c r="F927" s="187" t="s">
        <v>5523</v>
      </c>
      <c r="G927" s="42" t="s">
        <v>3253</v>
      </c>
      <c r="H927" s="182">
        <v>54</v>
      </c>
      <c r="I927" s="206">
        <v>10.395277777777778</v>
      </c>
      <c r="J927" s="209">
        <v>44614</v>
      </c>
      <c r="K927" s="46" t="s">
        <v>20</v>
      </c>
      <c r="L927" s="202">
        <v>34.5</v>
      </c>
    </row>
    <row r="928" spans="1:291" ht="35" customHeight="1">
      <c r="A928" s="23">
        <f>ROW()-3</f>
        <v>925</v>
      </c>
      <c r="B928" s="182" t="s">
        <v>5597</v>
      </c>
      <c r="C928" s="182" t="s">
        <v>2733</v>
      </c>
      <c r="D928" s="187" t="s">
        <v>5507</v>
      </c>
      <c r="E928" s="187" t="s">
        <v>5553</v>
      </c>
      <c r="F928" s="187" t="s">
        <v>5554</v>
      </c>
      <c r="G928" s="42" t="s">
        <v>3253</v>
      </c>
      <c r="H928" s="182">
        <v>32</v>
      </c>
      <c r="I928" s="206">
        <v>5.4488888888888889</v>
      </c>
      <c r="J928" s="209">
        <v>44614</v>
      </c>
      <c r="K928" s="46" t="s">
        <v>20</v>
      </c>
      <c r="L928" s="202">
        <v>19.989999999999998</v>
      </c>
    </row>
    <row r="929" spans="1:291" ht="35" customHeight="1">
      <c r="A929" s="23">
        <f>ROW()-3</f>
        <v>926</v>
      </c>
      <c r="B929" s="42" t="s">
        <v>4586</v>
      </c>
      <c r="C929" s="42" t="s">
        <v>3016</v>
      </c>
      <c r="D929" s="43" t="s">
        <v>4660</v>
      </c>
      <c r="E929" s="43" t="s">
        <v>4661</v>
      </c>
      <c r="F929" s="43" t="s">
        <v>4610</v>
      </c>
      <c r="G929" s="42" t="s">
        <v>34</v>
      </c>
      <c r="H929" s="42">
        <v>17</v>
      </c>
      <c r="I929" s="44">
        <v>4.6116666666666699</v>
      </c>
      <c r="J929" s="45">
        <v>43468</v>
      </c>
      <c r="K929" s="46" t="s">
        <v>20</v>
      </c>
      <c r="L929" s="48">
        <v>59.99</v>
      </c>
    </row>
    <row r="930" spans="1:291" ht="35" customHeight="1">
      <c r="A930" s="23">
        <f>ROW()-3</f>
        <v>927</v>
      </c>
      <c r="B930" s="42" t="s">
        <v>4586</v>
      </c>
      <c r="C930" s="42" t="s">
        <v>3016</v>
      </c>
      <c r="D930" s="43" t="s">
        <v>4651</v>
      </c>
      <c r="E930" s="43" t="s">
        <v>4652</v>
      </c>
      <c r="F930" s="43" t="s">
        <v>4653</v>
      </c>
      <c r="G930" s="42" t="s">
        <v>34</v>
      </c>
      <c r="H930" s="42">
        <v>32</v>
      </c>
      <c r="I930" s="44">
        <v>10.8480555555556</v>
      </c>
      <c r="J930" s="45">
        <v>43469</v>
      </c>
      <c r="K930" s="46" t="s">
        <v>20</v>
      </c>
      <c r="L930" s="48">
        <v>39.99</v>
      </c>
    </row>
    <row r="931" spans="1:291" ht="35" customHeight="1">
      <c r="A931" s="23">
        <f>ROW()-3</f>
        <v>928</v>
      </c>
      <c r="B931" s="42" t="s">
        <v>4586</v>
      </c>
      <c r="C931" s="42" t="s">
        <v>3016</v>
      </c>
      <c r="D931" s="43" t="s">
        <v>4654</v>
      </c>
      <c r="E931" s="43" t="s">
        <v>4655</v>
      </c>
      <c r="F931" s="43" t="s">
        <v>4617</v>
      </c>
      <c r="G931" s="42" t="s">
        <v>34</v>
      </c>
      <c r="H931" s="42">
        <v>30</v>
      </c>
      <c r="I931" s="44">
        <v>8.9858333333333302</v>
      </c>
      <c r="J931" s="45">
        <v>43469</v>
      </c>
      <c r="K931" s="46" t="s">
        <v>20</v>
      </c>
      <c r="L931" s="48">
        <v>49</v>
      </c>
    </row>
    <row r="932" spans="1:291" ht="35" customHeight="1">
      <c r="A932" s="23">
        <f>ROW()-3</f>
        <v>929</v>
      </c>
      <c r="B932" s="42" t="s">
        <v>4586</v>
      </c>
      <c r="C932" s="42" t="s">
        <v>3016</v>
      </c>
      <c r="D932" s="43" t="s">
        <v>4656</v>
      </c>
      <c r="E932" s="43" t="s">
        <v>4657</v>
      </c>
      <c r="F932" s="43" t="s">
        <v>4617</v>
      </c>
      <c r="G932" s="42" t="s">
        <v>34</v>
      </c>
      <c r="H932" s="42">
        <v>78</v>
      </c>
      <c r="I932" s="44">
        <v>13.182222222222199</v>
      </c>
      <c r="J932" s="45">
        <v>43469</v>
      </c>
      <c r="K932" s="46" t="s">
        <v>20</v>
      </c>
      <c r="L932" s="48">
        <v>24.5</v>
      </c>
    </row>
    <row r="933" spans="1:291" ht="35" customHeight="1">
      <c r="A933" s="23">
        <f>ROW()-3</f>
        <v>930</v>
      </c>
      <c r="B933" s="42" t="s">
        <v>4586</v>
      </c>
      <c r="C933" s="42" t="s">
        <v>3016</v>
      </c>
      <c r="D933" s="43" t="s">
        <v>4662</v>
      </c>
      <c r="E933" s="43" t="s">
        <v>4663</v>
      </c>
      <c r="F933" s="43" t="s">
        <v>4610</v>
      </c>
      <c r="G933" s="42" t="s">
        <v>34</v>
      </c>
      <c r="H933" s="42">
        <v>37</v>
      </c>
      <c r="I933" s="44">
        <v>15.908611111111099</v>
      </c>
      <c r="J933" s="45">
        <v>43469</v>
      </c>
      <c r="K933" s="46" t="s">
        <v>20</v>
      </c>
      <c r="L933" s="48">
        <v>8.99</v>
      </c>
    </row>
    <row r="934" spans="1:291" ht="35" customHeight="1">
      <c r="A934" s="23">
        <f>ROW()-3</f>
        <v>931</v>
      </c>
      <c r="B934" s="42" t="s">
        <v>4586</v>
      </c>
      <c r="C934" s="42" t="s">
        <v>3016</v>
      </c>
      <c r="D934" s="43" t="s">
        <v>4658</v>
      </c>
      <c r="E934" s="43" t="s">
        <v>4659</v>
      </c>
      <c r="F934" s="43" t="s">
        <v>4610</v>
      </c>
      <c r="G934" s="42" t="s">
        <v>34</v>
      </c>
      <c r="H934" s="42">
        <v>20</v>
      </c>
      <c r="I934" s="44">
        <v>2.5325000000000002</v>
      </c>
      <c r="J934" s="45">
        <v>43483</v>
      </c>
      <c r="K934" s="46" t="s">
        <v>20</v>
      </c>
      <c r="L934" s="48">
        <v>22.5</v>
      </c>
    </row>
    <row r="935" spans="1:291" ht="35" customHeight="1">
      <c r="A935" s="23">
        <f>ROW()-3</f>
        <v>932</v>
      </c>
      <c r="B935" s="42" t="s">
        <v>4586</v>
      </c>
      <c r="C935" s="42" t="s">
        <v>3016</v>
      </c>
      <c r="D935" s="43" t="s">
        <v>4669</v>
      </c>
      <c r="E935" s="43" t="s">
        <v>4670</v>
      </c>
      <c r="F935" s="43" t="s">
        <v>4610</v>
      </c>
      <c r="G935" s="42" t="s">
        <v>34</v>
      </c>
      <c r="H935" s="42">
        <v>24</v>
      </c>
      <c r="I935" s="44">
        <v>8.37638888888889</v>
      </c>
      <c r="J935" s="45">
        <v>43483</v>
      </c>
      <c r="K935" s="46" t="s">
        <v>20</v>
      </c>
      <c r="L935" s="48">
        <v>9.9</v>
      </c>
    </row>
    <row r="936" spans="1:291" ht="35" customHeight="1">
      <c r="A936" s="23">
        <f>ROW()-3</f>
        <v>933</v>
      </c>
      <c r="B936" s="42" t="s">
        <v>4586</v>
      </c>
      <c r="C936" s="42" t="s">
        <v>3016</v>
      </c>
      <c r="D936" s="43" t="s">
        <v>3024</v>
      </c>
      <c r="E936" s="43" t="s">
        <v>3025</v>
      </c>
      <c r="F936" s="43" t="s">
        <v>4617</v>
      </c>
      <c r="G936" s="42" t="s">
        <v>34</v>
      </c>
      <c r="H936" s="42">
        <v>15</v>
      </c>
      <c r="I936" s="44">
        <v>5.7608333333333297</v>
      </c>
      <c r="J936" s="45">
        <v>43691</v>
      </c>
      <c r="K936" s="46" t="s">
        <v>20</v>
      </c>
      <c r="L936" s="48">
        <v>34.5</v>
      </c>
    </row>
    <row r="937" spans="1:291" customFormat="1" ht="35" customHeight="1">
      <c r="A937" s="23">
        <f>ROW()-3</f>
        <v>934</v>
      </c>
      <c r="B937" s="42" t="s">
        <v>4586</v>
      </c>
      <c r="C937" s="42" t="s">
        <v>3016</v>
      </c>
      <c r="D937" s="43" t="s">
        <v>4664</v>
      </c>
      <c r="E937" s="43" t="s">
        <v>4665</v>
      </c>
      <c r="F937" s="43" t="s">
        <v>4666</v>
      </c>
      <c r="G937" s="42" t="s">
        <v>34</v>
      </c>
      <c r="H937" s="42">
        <v>37</v>
      </c>
      <c r="I937" s="44">
        <v>14.2838888888889</v>
      </c>
      <c r="J937" s="45">
        <v>43691</v>
      </c>
      <c r="K937" s="46" t="s">
        <v>20</v>
      </c>
      <c r="L937" s="48">
        <v>69</v>
      </c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  <c r="FS937" s="30"/>
      <c r="FT937" s="30"/>
      <c r="FU937" s="30"/>
      <c r="FV937" s="30"/>
      <c r="FW937" s="30"/>
      <c r="FX937" s="30"/>
      <c r="FY937" s="30"/>
      <c r="FZ937" s="30"/>
      <c r="GA937" s="30"/>
      <c r="GB937" s="30"/>
      <c r="GC937" s="30"/>
      <c r="GD937" s="30"/>
      <c r="GE937" s="30"/>
      <c r="GF937" s="30"/>
      <c r="GG937" s="30"/>
      <c r="GH937" s="30"/>
      <c r="GI937" s="30"/>
      <c r="GJ937" s="30"/>
      <c r="GK937" s="30"/>
      <c r="GL937" s="30"/>
      <c r="GM937" s="30"/>
      <c r="GN937" s="30"/>
      <c r="GO937" s="30"/>
      <c r="GP937" s="30"/>
      <c r="GQ937" s="30"/>
      <c r="GR937" s="30"/>
      <c r="GS937" s="30"/>
      <c r="GT937" s="30"/>
      <c r="GU937" s="30"/>
      <c r="GV937" s="30"/>
      <c r="GW937" s="30"/>
      <c r="GX937" s="30"/>
      <c r="GY937" s="30"/>
      <c r="GZ937" s="30"/>
      <c r="HA937" s="30"/>
      <c r="HB937" s="30"/>
      <c r="HC937" s="30"/>
      <c r="HD937" s="30"/>
      <c r="HE937" s="30"/>
      <c r="HF937" s="30"/>
      <c r="HG937" s="30"/>
      <c r="HH937" s="30"/>
      <c r="HI937" s="30"/>
      <c r="HJ937" s="30"/>
      <c r="HK937" s="30"/>
      <c r="HL937" s="30"/>
      <c r="HM937" s="30"/>
      <c r="HN937" s="30"/>
      <c r="HO937" s="30"/>
      <c r="HP937" s="30"/>
      <c r="HQ937" s="30"/>
      <c r="HR937" s="30"/>
      <c r="HS937" s="30"/>
      <c r="HT937" s="30"/>
      <c r="HU937" s="30"/>
      <c r="HV937" s="30"/>
      <c r="HW937" s="30"/>
      <c r="HX937" s="30"/>
      <c r="HY937" s="30"/>
      <c r="HZ937" s="30"/>
      <c r="IA937" s="30"/>
      <c r="IB937" s="30"/>
      <c r="IC937" s="30"/>
      <c r="ID937" s="30"/>
      <c r="IE937" s="30"/>
      <c r="IF937" s="30"/>
      <c r="IG937" s="30"/>
      <c r="IH937" s="30"/>
      <c r="II937" s="30"/>
      <c r="IJ937" s="30"/>
      <c r="IK937" s="30"/>
      <c r="IL937" s="30"/>
      <c r="IM937" s="30"/>
      <c r="IN937" s="30"/>
      <c r="IO937" s="30"/>
      <c r="IP937" s="30"/>
      <c r="IQ937" s="30"/>
      <c r="IR937" s="30"/>
      <c r="IS937" s="30"/>
      <c r="IT937" s="30"/>
      <c r="IU937" s="30"/>
      <c r="IV937" s="30"/>
      <c r="IW937" s="30"/>
      <c r="IX937" s="30"/>
      <c r="IY937" s="30"/>
      <c r="IZ937" s="30"/>
      <c r="JA937" s="30"/>
      <c r="JB937" s="30"/>
      <c r="JC937" s="30"/>
      <c r="JD937" s="30"/>
      <c r="JE937" s="30"/>
      <c r="JF937" s="30"/>
      <c r="JG937" s="30"/>
      <c r="JH937" s="30"/>
      <c r="JI937" s="30"/>
      <c r="JJ937" s="30"/>
      <c r="JK937" s="30"/>
      <c r="JL937" s="30"/>
      <c r="JM937" s="30"/>
      <c r="JN937" s="30"/>
      <c r="JO937" s="30"/>
      <c r="JP937" s="30"/>
      <c r="JQ937" s="30"/>
      <c r="JR937" s="30"/>
      <c r="JS937" s="30"/>
      <c r="JT937" s="30"/>
      <c r="JU937" s="30"/>
      <c r="JV937" s="30"/>
      <c r="JW937" s="30"/>
      <c r="JX937" s="30"/>
      <c r="JY937" s="30"/>
      <c r="JZ937" s="30"/>
      <c r="KA937" s="30"/>
      <c r="KB937" s="30"/>
      <c r="KC937" s="30"/>
      <c r="KD937" s="30"/>
      <c r="KE937" s="30"/>
    </row>
    <row r="938" spans="1:291" customFormat="1" ht="35" customHeight="1">
      <c r="A938" s="23">
        <f>ROW()-3</f>
        <v>935</v>
      </c>
      <c r="B938" s="42" t="s">
        <v>4586</v>
      </c>
      <c r="C938" s="42" t="s">
        <v>3016</v>
      </c>
      <c r="D938" s="43" t="s">
        <v>4667</v>
      </c>
      <c r="E938" s="43" t="s">
        <v>4668</v>
      </c>
      <c r="F938" s="43" t="s">
        <v>4610</v>
      </c>
      <c r="G938" s="42" t="s">
        <v>34</v>
      </c>
      <c r="H938" s="42">
        <v>7</v>
      </c>
      <c r="I938" s="44">
        <v>2.2216666666666698</v>
      </c>
      <c r="J938" s="45">
        <v>43691</v>
      </c>
      <c r="K938" s="46" t="s">
        <v>20</v>
      </c>
      <c r="L938" s="48">
        <v>7.2</v>
      </c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  <c r="FS938" s="30"/>
      <c r="FT938" s="30"/>
      <c r="FU938" s="30"/>
      <c r="FV938" s="30"/>
      <c r="FW938" s="30"/>
      <c r="FX938" s="30"/>
      <c r="FY938" s="30"/>
      <c r="FZ938" s="30"/>
      <c r="GA938" s="30"/>
      <c r="GB938" s="30"/>
      <c r="GC938" s="30"/>
      <c r="GD938" s="30"/>
      <c r="GE938" s="30"/>
      <c r="GF938" s="30"/>
      <c r="GG938" s="30"/>
      <c r="GH938" s="30"/>
      <c r="GI938" s="30"/>
      <c r="GJ938" s="30"/>
      <c r="GK938" s="30"/>
      <c r="GL938" s="30"/>
      <c r="GM938" s="30"/>
      <c r="GN938" s="30"/>
      <c r="GO938" s="30"/>
      <c r="GP938" s="30"/>
      <c r="GQ938" s="30"/>
      <c r="GR938" s="30"/>
      <c r="GS938" s="30"/>
      <c r="GT938" s="30"/>
      <c r="GU938" s="30"/>
      <c r="GV938" s="30"/>
      <c r="GW938" s="30"/>
      <c r="GX938" s="30"/>
      <c r="GY938" s="30"/>
      <c r="GZ938" s="30"/>
      <c r="HA938" s="30"/>
      <c r="HB938" s="30"/>
      <c r="HC938" s="30"/>
      <c r="HD938" s="30"/>
      <c r="HE938" s="30"/>
      <c r="HF938" s="30"/>
      <c r="HG938" s="30"/>
      <c r="HH938" s="30"/>
      <c r="HI938" s="30"/>
      <c r="HJ938" s="30"/>
      <c r="HK938" s="30"/>
      <c r="HL938" s="30"/>
      <c r="HM938" s="30"/>
      <c r="HN938" s="30"/>
      <c r="HO938" s="30"/>
      <c r="HP938" s="30"/>
      <c r="HQ938" s="30"/>
      <c r="HR938" s="30"/>
      <c r="HS938" s="30"/>
      <c r="HT938" s="30"/>
      <c r="HU938" s="30"/>
      <c r="HV938" s="30"/>
      <c r="HW938" s="30"/>
      <c r="HX938" s="30"/>
      <c r="HY938" s="30"/>
      <c r="HZ938" s="30"/>
      <c r="IA938" s="30"/>
      <c r="IB938" s="30"/>
      <c r="IC938" s="30"/>
      <c r="ID938" s="30"/>
      <c r="IE938" s="30"/>
      <c r="IF938" s="30"/>
      <c r="IG938" s="30"/>
      <c r="IH938" s="30"/>
      <c r="II938" s="30"/>
      <c r="IJ938" s="30"/>
      <c r="IK938" s="30"/>
      <c r="IL938" s="30"/>
      <c r="IM938" s="30"/>
      <c r="IN938" s="30"/>
      <c r="IO938" s="30"/>
      <c r="IP938" s="30"/>
      <c r="IQ938" s="30"/>
      <c r="IR938" s="30"/>
      <c r="IS938" s="30"/>
      <c r="IT938" s="30"/>
      <c r="IU938" s="30"/>
      <c r="IV938" s="30"/>
      <c r="IW938" s="30"/>
      <c r="IX938" s="30"/>
      <c r="IY938" s="30"/>
      <c r="IZ938" s="30"/>
      <c r="JA938" s="30"/>
      <c r="JB938" s="30"/>
      <c r="JC938" s="30"/>
      <c r="JD938" s="30"/>
      <c r="JE938" s="30"/>
      <c r="JF938" s="30"/>
      <c r="JG938" s="30"/>
      <c r="JH938" s="30"/>
      <c r="JI938" s="30"/>
      <c r="JJ938" s="30"/>
      <c r="JK938" s="30"/>
      <c r="JL938" s="30"/>
      <c r="JM938" s="30"/>
      <c r="JN938" s="30"/>
      <c r="JO938" s="30"/>
      <c r="JP938" s="30"/>
      <c r="JQ938" s="30"/>
      <c r="JR938" s="30"/>
      <c r="JS938" s="30"/>
      <c r="JT938" s="30"/>
      <c r="JU938" s="30"/>
      <c r="JV938" s="30"/>
      <c r="JW938" s="30"/>
      <c r="JX938" s="30"/>
      <c r="JY938" s="30"/>
      <c r="JZ938" s="30"/>
      <c r="KA938" s="30"/>
      <c r="KB938" s="30"/>
      <c r="KC938" s="30"/>
      <c r="KD938" s="30"/>
      <c r="KE938" s="30"/>
    </row>
    <row r="939" spans="1:291" customFormat="1" ht="35" customHeight="1">
      <c r="A939" s="23">
        <f>ROW()-3</f>
        <v>936</v>
      </c>
      <c r="B939" s="42" t="s">
        <v>4586</v>
      </c>
      <c r="C939" s="42" t="s">
        <v>3016</v>
      </c>
      <c r="D939" s="43" t="s">
        <v>4671</v>
      </c>
      <c r="E939" s="43" t="s">
        <v>4672</v>
      </c>
      <c r="F939" s="43" t="s">
        <v>4673</v>
      </c>
      <c r="G939" s="42" t="s">
        <v>34</v>
      </c>
      <c r="H939" s="42">
        <v>24</v>
      </c>
      <c r="I939" s="44">
        <v>8</v>
      </c>
      <c r="J939" s="45">
        <v>44445</v>
      </c>
      <c r="K939" s="46" t="s">
        <v>20</v>
      </c>
      <c r="L939" s="48">
        <v>24</v>
      </c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  <c r="FS939" s="30"/>
      <c r="FT939" s="30"/>
      <c r="FU939" s="30"/>
      <c r="FV939" s="30"/>
      <c r="FW939" s="30"/>
      <c r="FX939" s="30"/>
      <c r="FY939" s="30"/>
      <c r="FZ939" s="30"/>
      <c r="GA939" s="30"/>
      <c r="GB939" s="30"/>
      <c r="GC939" s="30"/>
      <c r="GD939" s="30"/>
      <c r="GE939" s="30"/>
      <c r="GF939" s="30"/>
      <c r="GG939" s="30"/>
      <c r="GH939" s="30"/>
      <c r="GI939" s="30"/>
      <c r="GJ939" s="30"/>
      <c r="GK939" s="30"/>
      <c r="GL939" s="30"/>
      <c r="GM939" s="30"/>
      <c r="GN939" s="30"/>
      <c r="GO939" s="30"/>
      <c r="GP939" s="30"/>
      <c r="GQ939" s="30"/>
      <c r="GR939" s="30"/>
      <c r="GS939" s="30"/>
      <c r="GT939" s="30"/>
      <c r="GU939" s="30"/>
      <c r="GV939" s="30"/>
      <c r="GW939" s="30"/>
      <c r="GX939" s="30"/>
      <c r="GY939" s="30"/>
      <c r="GZ939" s="30"/>
      <c r="HA939" s="30"/>
      <c r="HB939" s="30"/>
      <c r="HC939" s="30"/>
      <c r="HD939" s="30"/>
      <c r="HE939" s="30"/>
      <c r="HF939" s="30"/>
      <c r="HG939" s="30"/>
      <c r="HH939" s="30"/>
      <c r="HI939" s="30"/>
      <c r="HJ939" s="30"/>
      <c r="HK939" s="30"/>
      <c r="HL939" s="30"/>
      <c r="HM939" s="30"/>
      <c r="HN939" s="30"/>
      <c r="HO939" s="30"/>
      <c r="HP939" s="30"/>
      <c r="HQ939" s="30"/>
      <c r="HR939" s="30"/>
      <c r="HS939" s="30"/>
      <c r="HT939" s="30"/>
      <c r="HU939" s="30"/>
      <c r="HV939" s="30"/>
      <c r="HW939" s="30"/>
      <c r="HX939" s="30"/>
      <c r="HY939" s="30"/>
      <c r="HZ939" s="30"/>
      <c r="IA939" s="30"/>
      <c r="IB939" s="30"/>
      <c r="IC939" s="30"/>
      <c r="ID939" s="30"/>
      <c r="IE939" s="30"/>
      <c r="IF939" s="30"/>
      <c r="IG939" s="30"/>
      <c r="IH939" s="30"/>
      <c r="II939" s="30"/>
      <c r="IJ939" s="30"/>
      <c r="IK939" s="30"/>
      <c r="IL939" s="30"/>
      <c r="IM939" s="30"/>
      <c r="IN939" s="30"/>
      <c r="IO939" s="30"/>
      <c r="IP939" s="30"/>
      <c r="IQ939" s="30"/>
      <c r="IR939" s="30"/>
      <c r="IS939" s="30"/>
      <c r="IT939" s="30"/>
      <c r="IU939" s="30"/>
      <c r="IV939" s="30"/>
      <c r="IW939" s="30"/>
      <c r="IX939" s="30"/>
      <c r="IY939" s="30"/>
      <c r="IZ939" s="30"/>
      <c r="JA939" s="30"/>
      <c r="JB939" s="30"/>
      <c r="JC939" s="30"/>
      <c r="JD939" s="30"/>
      <c r="JE939" s="30"/>
      <c r="JF939" s="30"/>
      <c r="JG939" s="30"/>
      <c r="JH939" s="30"/>
      <c r="JI939" s="30"/>
      <c r="JJ939" s="30"/>
      <c r="JK939" s="30"/>
      <c r="JL939" s="30"/>
      <c r="JM939" s="30"/>
      <c r="JN939" s="30"/>
      <c r="JO939" s="30"/>
      <c r="JP939" s="30"/>
      <c r="JQ939" s="30"/>
      <c r="JR939" s="30"/>
      <c r="JS939" s="30"/>
      <c r="JT939" s="30"/>
      <c r="JU939" s="30"/>
      <c r="JV939" s="30"/>
      <c r="JW939" s="30"/>
      <c r="JX939" s="30"/>
      <c r="JY939" s="30"/>
      <c r="JZ939" s="30"/>
      <c r="KA939" s="30"/>
      <c r="KB939" s="30"/>
      <c r="KC939" s="30"/>
      <c r="KD939" s="30"/>
      <c r="KE939" s="30"/>
    </row>
    <row r="940" spans="1:291" customFormat="1" ht="35" customHeight="1">
      <c r="A940" s="23">
        <f>ROW()-3</f>
        <v>937</v>
      </c>
      <c r="B940" s="42" t="s">
        <v>4586</v>
      </c>
      <c r="C940" s="42" t="s">
        <v>3079</v>
      </c>
      <c r="D940" s="43" t="s">
        <v>4708</v>
      </c>
      <c r="E940" s="43" t="s">
        <v>4709</v>
      </c>
      <c r="F940" s="43" t="s">
        <v>4710</v>
      </c>
      <c r="G940" s="42" t="s">
        <v>34</v>
      </c>
      <c r="H940" s="43">
        <v>59</v>
      </c>
      <c r="I940" s="49">
        <v>22.835000000000001</v>
      </c>
      <c r="J940" s="45">
        <v>43273</v>
      </c>
      <c r="K940" s="46" t="s">
        <v>20</v>
      </c>
      <c r="L940" s="48">
        <v>189</v>
      </c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  <c r="FS940" s="30"/>
      <c r="FT940" s="30"/>
      <c r="FU940" s="30"/>
      <c r="FV940" s="30"/>
      <c r="FW940" s="30"/>
      <c r="FX940" s="30"/>
      <c r="FY940" s="30"/>
      <c r="FZ940" s="30"/>
      <c r="GA940" s="30"/>
      <c r="GB940" s="30"/>
      <c r="GC940" s="30"/>
      <c r="GD940" s="30"/>
      <c r="GE940" s="30"/>
      <c r="GF940" s="30"/>
      <c r="GG940" s="30"/>
      <c r="GH940" s="30"/>
      <c r="GI940" s="30"/>
      <c r="GJ940" s="30"/>
      <c r="GK940" s="30"/>
      <c r="GL940" s="30"/>
      <c r="GM940" s="30"/>
      <c r="GN940" s="30"/>
      <c r="GO940" s="30"/>
      <c r="GP940" s="30"/>
      <c r="GQ940" s="30"/>
      <c r="GR940" s="30"/>
      <c r="GS940" s="30"/>
      <c r="GT940" s="30"/>
      <c r="GU940" s="30"/>
      <c r="GV940" s="30"/>
      <c r="GW940" s="30"/>
      <c r="GX940" s="30"/>
      <c r="GY940" s="30"/>
      <c r="GZ940" s="30"/>
      <c r="HA940" s="30"/>
      <c r="HB940" s="30"/>
      <c r="HC940" s="30"/>
      <c r="HD940" s="30"/>
      <c r="HE940" s="30"/>
      <c r="HF940" s="30"/>
      <c r="HG940" s="30"/>
      <c r="HH940" s="30"/>
      <c r="HI940" s="30"/>
      <c r="HJ940" s="30"/>
      <c r="HK940" s="30"/>
      <c r="HL940" s="30"/>
      <c r="HM940" s="30"/>
      <c r="HN940" s="30"/>
      <c r="HO940" s="30"/>
      <c r="HP940" s="30"/>
      <c r="HQ940" s="30"/>
      <c r="HR940" s="30"/>
      <c r="HS940" s="30"/>
      <c r="HT940" s="30"/>
      <c r="HU940" s="30"/>
      <c r="HV940" s="30"/>
      <c r="HW940" s="30"/>
      <c r="HX940" s="30"/>
      <c r="HY940" s="30"/>
      <c r="HZ940" s="30"/>
      <c r="IA940" s="30"/>
      <c r="IB940" s="30"/>
      <c r="IC940" s="30"/>
      <c r="ID940" s="30"/>
      <c r="IE940" s="30"/>
      <c r="IF940" s="30"/>
      <c r="IG940" s="30"/>
      <c r="IH940" s="30"/>
      <c r="II940" s="30"/>
      <c r="IJ940" s="30"/>
      <c r="IK940" s="30"/>
      <c r="IL940" s="30"/>
      <c r="IM940" s="30"/>
      <c r="IN940" s="30"/>
      <c r="IO940" s="30"/>
      <c r="IP940" s="30"/>
      <c r="IQ940" s="30"/>
      <c r="IR940" s="30"/>
      <c r="IS940" s="30"/>
      <c r="IT940" s="30"/>
      <c r="IU940" s="30"/>
      <c r="IV940" s="30"/>
      <c r="IW940" s="30"/>
      <c r="IX940" s="30"/>
      <c r="IY940" s="30"/>
      <c r="IZ940" s="30"/>
      <c r="JA940" s="30"/>
      <c r="JB940" s="30"/>
      <c r="JC940" s="30"/>
      <c r="JD940" s="30"/>
      <c r="JE940" s="30"/>
      <c r="JF940" s="30"/>
      <c r="JG940" s="30"/>
      <c r="JH940" s="30"/>
      <c r="JI940" s="30"/>
      <c r="JJ940" s="30"/>
      <c r="JK940" s="30"/>
      <c r="JL940" s="30"/>
      <c r="JM940" s="30"/>
      <c r="JN940" s="30"/>
      <c r="JO940" s="30"/>
      <c r="JP940" s="30"/>
      <c r="JQ940" s="30"/>
      <c r="JR940" s="30"/>
      <c r="JS940" s="30"/>
      <c r="JT940" s="30"/>
      <c r="JU940" s="30"/>
      <c r="JV940" s="30"/>
      <c r="JW940" s="30"/>
      <c r="JX940" s="30"/>
      <c r="JY940" s="30"/>
      <c r="JZ940" s="30"/>
      <c r="KA940" s="30"/>
      <c r="KB940" s="30"/>
      <c r="KC940" s="30"/>
      <c r="KD940" s="30"/>
      <c r="KE940" s="30"/>
    </row>
    <row r="941" spans="1:291" customFormat="1" ht="35" customHeight="1">
      <c r="A941" s="23">
        <f>ROW()-3</f>
        <v>938</v>
      </c>
      <c r="B941" s="42" t="s">
        <v>4586</v>
      </c>
      <c r="C941" s="42" t="s">
        <v>3079</v>
      </c>
      <c r="D941" s="43" t="s">
        <v>829</v>
      </c>
      <c r="E941" s="43" t="s">
        <v>3083</v>
      </c>
      <c r="F941" s="43" t="s">
        <v>830</v>
      </c>
      <c r="G941" s="42" t="s">
        <v>34</v>
      </c>
      <c r="H941" s="43">
        <v>63</v>
      </c>
      <c r="I941" s="49">
        <v>25.6</v>
      </c>
      <c r="J941" s="45">
        <v>43325</v>
      </c>
      <c r="K941" s="46" t="s">
        <v>20</v>
      </c>
      <c r="L941" s="48">
        <v>7</v>
      </c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  <c r="FS941" s="30"/>
      <c r="FT941" s="30"/>
      <c r="FU941" s="30"/>
      <c r="FV941" s="30"/>
      <c r="FW941" s="30"/>
      <c r="FX941" s="30"/>
      <c r="FY941" s="30"/>
      <c r="FZ941" s="30"/>
      <c r="GA941" s="30"/>
      <c r="GB941" s="30"/>
      <c r="GC941" s="30"/>
      <c r="GD941" s="30"/>
      <c r="GE941" s="30"/>
      <c r="GF941" s="30"/>
      <c r="GG941" s="30"/>
      <c r="GH941" s="30"/>
      <c r="GI941" s="30"/>
      <c r="GJ941" s="30"/>
      <c r="GK941" s="30"/>
      <c r="GL941" s="30"/>
      <c r="GM941" s="30"/>
      <c r="GN941" s="30"/>
      <c r="GO941" s="30"/>
      <c r="GP941" s="30"/>
      <c r="GQ941" s="30"/>
      <c r="GR941" s="30"/>
      <c r="GS941" s="30"/>
      <c r="GT941" s="30"/>
      <c r="GU941" s="30"/>
      <c r="GV941" s="30"/>
      <c r="GW941" s="30"/>
      <c r="GX941" s="30"/>
      <c r="GY941" s="30"/>
      <c r="GZ941" s="30"/>
      <c r="HA941" s="30"/>
      <c r="HB941" s="30"/>
      <c r="HC941" s="30"/>
      <c r="HD941" s="30"/>
      <c r="HE941" s="30"/>
      <c r="HF941" s="30"/>
      <c r="HG941" s="30"/>
      <c r="HH941" s="30"/>
      <c r="HI941" s="30"/>
      <c r="HJ941" s="30"/>
      <c r="HK941" s="30"/>
      <c r="HL941" s="30"/>
      <c r="HM941" s="30"/>
      <c r="HN941" s="30"/>
      <c r="HO941" s="30"/>
      <c r="HP941" s="30"/>
      <c r="HQ941" s="30"/>
      <c r="HR941" s="30"/>
      <c r="HS941" s="30"/>
      <c r="HT941" s="30"/>
      <c r="HU941" s="30"/>
      <c r="HV941" s="30"/>
      <c r="HW941" s="30"/>
      <c r="HX941" s="30"/>
      <c r="HY941" s="30"/>
      <c r="HZ941" s="30"/>
      <c r="IA941" s="30"/>
      <c r="IB941" s="30"/>
      <c r="IC941" s="30"/>
      <c r="ID941" s="30"/>
      <c r="IE941" s="30"/>
      <c r="IF941" s="30"/>
      <c r="IG941" s="30"/>
      <c r="IH941" s="30"/>
      <c r="II941" s="30"/>
      <c r="IJ941" s="30"/>
      <c r="IK941" s="30"/>
      <c r="IL941" s="30"/>
      <c r="IM941" s="30"/>
      <c r="IN941" s="30"/>
      <c r="IO941" s="30"/>
      <c r="IP941" s="30"/>
      <c r="IQ941" s="30"/>
      <c r="IR941" s="30"/>
      <c r="IS941" s="30"/>
      <c r="IT941" s="30"/>
      <c r="IU941" s="30"/>
      <c r="IV941" s="30"/>
      <c r="IW941" s="30"/>
      <c r="IX941" s="30"/>
      <c r="IY941" s="30"/>
      <c r="IZ941" s="30"/>
      <c r="JA941" s="30"/>
      <c r="JB941" s="30"/>
      <c r="JC941" s="30"/>
      <c r="JD941" s="30"/>
      <c r="JE941" s="30"/>
      <c r="JF941" s="30"/>
      <c r="JG941" s="30"/>
      <c r="JH941" s="30"/>
      <c r="JI941" s="30"/>
      <c r="JJ941" s="30"/>
      <c r="JK941" s="30"/>
      <c r="JL941" s="30"/>
      <c r="JM941" s="30"/>
      <c r="JN941" s="30"/>
      <c r="JO941" s="30"/>
      <c r="JP941" s="30"/>
      <c r="JQ941" s="30"/>
      <c r="JR941" s="30"/>
      <c r="JS941" s="30"/>
      <c r="JT941" s="30"/>
      <c r="JU941" s="30"/>
      <c r="JV941" s="30"/>
      <c r="JW941" s="30"/>
      <c r="JX941" s="30"/>
      <c r="JY941" s="30"/>
      <c r="JZ941" s="30"/>
      <c r="KA941" s="30"/>
      <c r="KB941" s="30"/>
      <c r="KC941" s="30"/>
      <c r="KD941" s="30"/>
      <c r="KE941" s="30"/>
    </row>
    <row r="942" spans="1:291" customFormat="1" ht="35" customHeight="1">
      <c r="A942" s="23">
        <f>ROW()-3</f>
        <v>939</v>
      </c>
      <c r="B942" s="42" t="s">
        <v>4586</v>
      </c>
      <c r="C942" s="42" t="s">
        <v>3079</v>
      </c>
      <c r="D942" s="43" t="s">
        <v>4687</v>
      </c>
      <c r="E942" s="43" t="s">
        <v>4675</v>
      </c>
      <c r="F942" s="43" t="s">
        <v>4688</v>
      </c>
      <c r="G942" s="42" t="s">
        <v>34</v>
      </c>
      <c r="H942" s="42">
        <v>48</v>
      </c>
      <c r="I942" s="44">
        <v>11.4725</v>
      </c>
      <c r="J942" s="45">
        <v>43468</v>
      </c>
      <c r="K942" s="46" t="s">
        <v>20</v>
      </c>
      <c r="L942" s="48">
        <v>45</v>
      </c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  <c r="FS942" s="30"/>
      <c r="FT942" s="30"/>
      <c r="FU942" s="30"/>
      <c r="FV942" s="30"/>
      <c r="FW942" s="30"/>
      <c r="FX942" s="30"/>
      <c r="FY942" s="30"/>
      <c r="FZ942" s="30"/>
      <c r="GA942" s="30"/>
      <c r="GB942" s="30"/>
      <c r="GC942" s="30"/>
      <c r="GD942" s="30"/>
      <c r="GE942" s="30"/>
      <c r="GF942" s="30"/>
      <c r="GG942" s="30"/>
      <c r="GH942" s="30"/>
      <c r="GI942" s="30"/>
      <c r="GJ942" s="30"/>
      <c r="GK942" s="30"/>
      <c r="GL942" s="30"/>
      <c r="GM942" s="30"/>
      <c r="GN942" s="30"/>
      <c r="GO942" s="30"/>
      <c r="GP942" s="30"/>
      <c r="GQ942" s="30"/>
      <c r="GR942" s="30"/>
      <c r="GS942" s="30"/>
      <c r="GT942" s="30"/>
      <c r="GU942" s="30"/>
      <c r="GV942" s="30"/>
      <c r="GW942" s="30"/>
      <c r="GX942" s="30"/>
      <c r="GY942" s="30"/>
      <c r="GZ942" s="30"/>
      <c r="HA942" s="30"/>
      <c r="HB942" s="30"/>
      <c r="HC942" s="30"/>
      <c r="HD942" s="30"/>
      <c r="HE942" s="30"/>
      <c r="HF942" s="30"/>
      <c r="HG942" s="30"/>
      <c r="HH942" s="30"/>
      <c r="HI942" s="30"/>
      <c r="HJ942" s="30"/>
      <c r="HK942" s="30"/>
      <c r="HL942" s="30"/>
      <c r="HM942" s="30"/>
      <c r="HN942" s="30"/>
      <c r="HO942" s="30"/>
      <c r="HP942" s="30"/>
      <c r="HQ942" s="30"/>
      <c r="HR942" s="30"/>
      <c r="HS942" s="30"/>
      <c r="HT942" s="30"/>
      <c r="HU942" s="30"/>
      <c r="HV942" s="30"/>
      <c r="HW942" s="30"/>
      <c r="HX942" s="30"/>
      <c r="HY942" s="30"/>
      <c r="HZ942" s="30"/>
      <c r="IA942" s="30"/>
      <c r="IB942" s="30"/>
      <c r="IC942" s="30"/>
      <c r="ID942" s="30"/>
      <c r="IE942" s="30"/>
      <c r="IF942" s="30"/>
      <c r="IG942" s="30"/>
      <c r="IH942" s="30"/>
      <c r="II942" s="30"/>
      <c r="IJ942" s="30"/>
      <c r="IK942" s="30"/>
      <c r="IL942" s="30"/>
      <c r="IM942" s="30"/>
      <c r="IN942" s="30"/>
      <c r="IO942" s="30"/>
      <c r="IP942" s="30"/>
      <c r="IQ942" s="30"/>
      <c r="IR942" s="30"/>
      <c r="IS942" s="30"/>
      <c r="IT942" s="30"/>
      <c r="IU942" s="30"/>
      <c r="IV942" s="30"/>
      <c r="IW942" s="30"/>
      <c r="IX942" s="30"/>
      <c r="IY942" s="30"/>
      <c r="IZ942" s="30"/>
      <c r="JA942" s="30"/>
      <c r="JB942" s="30"/>
      <c r="JC942" s="30"/>
      <c r="JD942" s="30"/>
      <c r="JE942" s="30"/>
      <c r="JF942" s="30"/>
      <c r="JG942" s="30"/>
      <c r="JH942" s="30"/>
      <c r="JI942" s="30"/>
      <c r="JJ942" s="30"/>
      <c r="JK942" s="30"/>
      <c r="JL942" s="30"/>
      <c r="JM942" s="30"/>
      <c r="JN942" s="30"/>
      <c r="JO942" s="30"/>
      <c r="JP942" s="30"/>
      <c r="JQ942" s="30"/>
      <c r="JR942" s="30"/>
      <c r="JS942" s="30"/>
      <c r="JT942" s="30"/>
      <c r="JU942" s="30"/>
      <c r="JV942" s="30"/>
      <c r="JW942" s="30"/>
      <c r="JX942" s="30"/>
      <c r="JY942" s="30"/>
      <c r="JZ942" s="30"/>
      <c r="KA942" s="30"/>
      <c r="KB942" s="30"/>
      <c r="KC942" s="30"/>
      <c r="KD942" s="30"/>
      <c r="KE942" s="30"/>
    </row>
    <row r="943" spans="1:291" customFormat="1" ht="35" customHeight="1">
      <c r="A943" s="23">
        <f>ROW()-3</f>
        <v>940</v>
      </c>
      <c r="B943" s="42" t="s">
        <v>4586</v>
      </c>
      <c r="C943" s="42" t="s">
        <v>3079</v>
      </c>
      <c r="D943" s="43" t="s">
        <v>4685</v>
      </c>
      <c r="E943" s="43" t="s">
        <v>4686</v>
      </c>
      <c r="F943" s="43" t="s">
        <v>4632</v>
      </c>
      <c r="G943" s="42" t="s">
        <v>34</v>
      </c>
      <c r="H943" s="42">
        <v>102</v>
      </c>
      <c r="I943" s="44">
        <v>18.411388888888901</v>
      </c>
      <c r="J943" s="45">
        <v>43469</v>
      </c>
      <c r="K943" s="46" t="s">
        <v>20</v>
      </c>
      <c r="L943" s="48">
        <v>46</v>
      </c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  <c r="FS943" s="30"/>
      <c r="FT943" s="30"/>
      <c r="FU943" s="30"/>
      <c r="FV943" s="30"/>
      <c r="FW943" s="30"/>
      <c r="FX943" s="30"/>
      <c r="FY943" s="30"/>
      <c r="FZ943" s="30"/>
      <c r="GA943" s="30"/>
      <c r="GB943" s="30"/>
      <c r="GC943" s="30"/>
      <c r="GD943" s="30"/>
      <c r="GE943" s="30"/>
      <c r="GF943" s="30"/>
      <c r="GG943" s="30"/>
      <c r="GH943" s="30"/>
      <c r="GI943" s="30"/>
      <c r="GJ943" s="30"/>
      <c r="GK943" s="30"/>
      <c r="GL943" s="30"/>
      <c r="GM943" s="30"/>
      <c r="GN943" s="30"/>
      <c r="GO943" s="30"/>
      <c r="GP943" s="30"/>
      <c r="GQ943" s="30"/>
      <c r="GR943" s="30"/>
      <c r="GS943" s="30"/>
      <c r="GT943" s="30"/>
      <c r="GU943" s="30"/>
      <c r="GV943" s="30"/>
      <c r="GW943" s="30"/>
      <c r="GX943" s="30"/>
      <c r="GY943" s="30"/>
      <c r="GZ943" s="30"/>
      <c r="HA943" s="30"/>
      <c r="HB943" s="30"/>
      <c r="HC943" s="30"/>
      <c r="HD943" s="30"/>
      <c r="HE943" s="30"/>
      <c r="HF943" s="30"/>
      <c r="HG943" s="30"/>
      <c r="HH943" s="30"/>
      <c r="HI943" s="30"/>
      <c r="HJ943" s="30"/>
      <c r="HK943" s="30"/>
      <c r="HL943" s="30"/>
      <c r="HM943" s="30"/>
      <c r="HN943" s="30"/>
      <c r="HO943" s="30"/>
      <c r="HP943" s="30"/>
      <c r="HQ943" s="30"/>
      <c r="HR943" s="30"/>
      <c r="HS943" s="30"/>
      <c r="HT943" s="30"/>
      <c r="HU943" s="30"/>
      <c r="HV943" s="30"/>
      <c r="HW943" s="30"/>
      <c r="HX943" s="30"/>
      <c r="HY943" s="30"/>
      <c r="HZ943" s="30"/>
      <c r="IA943" s="30"/>
      <c r="IB943" s="30"/>
      <c r="IC943" s="30"/>
      <c r="ID943" s="30"/>
      <c r="IE943" s="30"/>
      <c r="IF943" s="30"/>
      <c r="IG943" s="30"/>
      <c r="IH943" s="30"/>
      <c r="II943" s="30"/>
      <c r="IJ943" s="30"/>
      <c r="IK943" s="30"/>
      <c r="IL943" s="30"/>
      <c r="IM943" s="30"/>
      <c r="IN943" s="30"/>
      <c r="IO943" s="30"/>
      <c r="IP943" s="30"/>
      <c r="IQ943" s="30"/>
      <c r="IR943" s="30"/>
      <c r="IS943" s="30"/>
      <c r="IT943" s="30"/>
      <c r="IU943" s="30"/>
      <c r="IV943" s="30"/>
      <c r="IW943" s="30"/>
      <c r="IX943" s="30"/>
      <c r="IY943" s="30"/>
      <c r="IZ943" s="30"/>
      <c r="JA943" s="30"/>
      <c r="JB943" s="30"/>
      <c r="JC943" s="30"/>
      <c r="JD943" s="30"/>
      <c r="JE943" s="30"/>
      <c r="JF943" s="30"/>
      <c r="JG943" s="30"/>
      <c r="JH943" s="30"/>
      <c r="JI943" s="30"/>
      <c r="JJ943" s="30"/>
      <c r="JK943" s="30"/>
      <c r="JL943" s="30"/>
      <c r="JM943" s="30"/>
      <c r="JN943" s="30"/>
      <c r="JO943" s="30"/>
      <c r="JP943" s="30"/>
      <c r="JQ943" s="30"/>
      <c r="JR943" s="30"/>
      <c r="JS943" s="30"/>
      <c r="JT943" s="30"/>
      <c r="JU943" s="30"/>
      <c r="JV943" s="30"/>
      <c r="JW943" s="30"/>
      <c r="JX943" s="30"/>
      <c r="JY943" s="30"/>
      <c r="JZ943" s="30"/>
      <c r="KA943" s="30"/>
      <c r="KB943" s="30"/>
      <c r="KC943" s="30"/>
      <c r="KD943" s="30"/>
      <c r="KE943" s="30"/>
    </row>
    <row r="944" spans="1:291" ht="35" customHeight="1">
      <c r="A944" s="23">
        <f>ROW()-3</f>
        <v>941</v>
      </c>
      <c r="B944" s="42" t="s">
        <v>4586</v>
      </c>
      <c r="C944" s="42" t="s">
        <v>3079</v>
      </c>
      <c r="D944" s="43" t="s">
        <v>4689</v>
      </c>
      <c r="E944" s="43" t="s">
        <v>4675</v>
      </c>
      <c r="F944" s="43" t="s">
        <v>4688</v>
      </c>
      <c r="G944" s="42" t="s">
        <v>34</v>
      </c>
      <c r="H944" s="42">
        <v>61</v>
      </c>
      <c r="I944" s="44">
        <v>12.39</v>
      </c>
      <c r="J944" s="45">
        <v>43469</v>
      </c>
      <c r="K944" s="46" t="s">
        <v>20</v>
      </c>
      <c r="L944" s="48">
        <v>49</v>
      </c>
    </row>
    <row r="945" spans="1:12" ht="35" customHeight="1">
      <c r="A945" s="23">
        <f>ROW()-3</f>
        <v>942</v>
      </c>
      <c r="B945" s="42" t="s">
        <v>4586</v>
      </c>
      <c r="C945" s="42" t="s">
        <v>3079</v>
      </c>
      <c r="D945" s="43" t="s">
        <v>4690</v>
      </c>
      <c r="E945" s="43" t="s">
        <v>4675</v>
      </c>
      <c r="F945" s="43" t="s">
        <v>4688</v>
      </c>
      <c r="G945" s="42" t="s">
        <v>34</v>
      </c>
      <c r="H945" s="42">
        <v>20</v>
      </c>
      <c r="I945" s="44">
        <v>6.6775000000000002</v>
      </c>
      <c r="J945" s="45">
        <v>43469</v>
      </c>
      <c r="K945" s="46" t="s">
        <v>20</v>
      </c>
      <c r="L945" s="48">
        <v>36</v>
      </c>
    </row>
    <row r="946" spans="1:12" ht="35" customHeight="1">
      <c r="A946" s="23">
        <f>ROW()-3</f>
        <v>943</v>
      </c>
      <c r="B946" s="42" t="s">
        <v>4586</v>
      </c>
      <c r="C946" s="42" t="s">
        <v>3079</v>
      </c>
      <c r="D946" s="43" t="s">
        <v>4693</v>
      </c>
      <c r="E946" s="43" t="s">
        <v>4694</v>
      </c>
      <c r="F946" s="43" t="s">
        <v>4617</v>
      </c>
      <c r="G946" s="42" t="s">
        <v>34</v>
      </c>
      <c r="H946" s="42">
        <v>55</v>
      </c>
      <c r="I946" s="44">
        <v>10.991666666666699</v>
      </c>
      <c r="J946" s="45">
        <v>43469</v>
      </c>
      <c r="K946" s="46" t="s">
        <v>20</v>
      </c>
      <c r="L946" s="48">
        <v>39</v>
      </c>
    </row>
    <row r="947" spans="1:12" ht="35" customHeight="1">
      <c r="A947" s="23">
        <f>ROW()-3</f>
        <v>944</v>
      </c>
      <c r="B947" s="42" t="s">
        <v>4586</v>
      </c>
      <c r="C947" s="42" t="s">
        <v>3079</v>
      </c>
      <c r="D947" s="43" t="s">
        <v>3164</v>
      </c>
      <c r="E947" s="43" t="s">
        <v>3165</v>
      </c>
      <c r="F947" s="43" t="s">
        <v>4610</v>
      </c>
      <c r="G947" s="42" t="s">
        <v>34</v>
      </c>
      <c r="H947" s="42">
        <v>31</v>
      </c>
      <c r="I947" s="44">
        <v>9.7850000000000001</v>
      </c>
      <c r="J947" s="45">
        <v>43483</v>
      </c>
      <c r="K947" s="46" t="s">
        <v>20</v>
      </c>
      <c r="L947" s="48">
        <v>48</v>
      </c>
    </row>
    <row r="948" spans="1:12" ht="35" customHeight="1">
      <c r="A948" s="23">
        <f>ROW()-3</f>
        <v>945</v>
      </c>
      <c r="B948" s="42" t="s">
        <v>4586</v>
      </c>
      <c r="C948" s="42" t="s">
        <v>3079</v>
      </c>
      <c r="D948" s="43" t="s">
        <v>4679</v>
      </c>
      <c r="E948" s="43" t="s">
        <v>4680</v>
      </c>
      <c r="F948" s="43" t="s">
        <v>4589</v>
      </c>
      <c r="G948" s="42" t="s">
        <v>34</v>
      </c>
      <c r="H948" s="42">
        <v>12</v>
      </c>
      <c r="I948" s="44">
        <v>3.8597222222222198</v>
      </c>
      <c r="J948" s="45">
        <v>43483</v>
      </c>
      <c r="K948" s="46" t="s">
        <v>20</v>
      </c>
      <c r="L948" s="48">
        <v>15.99</v>
      </c>
    </row>
    <row r="949" spans="1:12" ht="35" customHeight="1">
      <c r="A949" s="23">
        <f>ROW()-3</f>
        <v>946</v>
      </c>
      <c r="B949" s="42" t="s">
        <v>4586</v>
      </c>
      <c r="C949" s="42" t="s">
        <v>3079</v>
      </c>
      <c r="D949" s="43" t="s">
        <v>4681</v>
      </c>
      <c r="E949" s="43" t="s">
        <v>4682</v>
      </c>
      <c r="F949" s="43" t="s">
        <v>4632</v>
      </c>
      <c r="G949" s="42" t="s">
        <v>34</v>
      </c>
      <c r="H949" s="42">
        <v>28</v>
      </c>
      <c r="I949" s="44">
        <v>9.1366666666666703</v>
      </c>
      <c r="J949" s="45">
        <v>43483</v>
      </c>
      <c r="K949" s="46" t="s">
        <v>20</v>
      </c>
      <c r="L949" s="48">
        <v>49</v>
      </c>
    </row>
    <row r="950" spans="1:12" ht="35" customHeight="1">
      <c r="A950" s="23">
        <f>ROW()-3</f>
        <v>947</v>
      </c>
      <c r="B950" s="42" t="s">
        <v>4586</v>
      </c>
      <c r="C950" s="42" t="s">
        <v>3079</v>
      </c>
      <c r="D950" s="43" t="s">
        <v>4691</v>
      </c>
      <c r="E950" s="43" t="s">
        <v>4675</v>
      </c>
      <c r="F950" s="43" t="s">
        <v>4688</v>
      </c>
      <c r="G950" s="42" t="s">
        <v>34</v>
      </c>
      <c r="H950" s="42">
        <v>35</v>
      </c>
      <c r="I950" s="44">
        <v>8.8288888888888906</v>
      </c>
      <c r="J950" s="45">
        <v>43483</v>
      </c>
      <c r="K950" s="46" t="s">
        <v>20</v>
      </c>
      <c r="L950" s="48">
        <v>30</v>
      </c>
    </row>
    <row r="951" spans="1:12" ht="35" customHeight="1">
      <c r="A951" s="23">
        <f>ROW()-3</f>
        <v>948</v>
      </c>
      <c r="B951" s="42" t="s">
        <v>4586</v>
      </c>
      <c r="C951" s="42" t="s">
        <v>3079</v>
      </c>
      <c r="D951" s="43" t="s">
        <v>4692</v>
      </c>
      <c r="E951" s="43" t="s">
        <v>4675</v>
      </c>
      <c r="F951" s="43" t="s">
        <v>4688</v>
      </c>
      <c r="G951" s="42" t="s">
        <v>34</v>
      </c>
      <c r="H951" s="42">
        <v>39</v>
      </c>
      <c r="I951" s="44">
        <v>7.5727777777777803</v>
      </c>
      <c r="J951" s="45">
        <v>43483</v>
      </c>
      <c r="K951" s="46" t="s">
        <v>20</v>
      </c>
      <c r="L951" s="48">
        <v>39.99</v>
      </c>
    </row>
    <row r="952" spans="1:12" ht="35" customHeight="1">
      <c r="A952" s="23">
        <f>ROW()-3</f>
        <v>949</v>
      </c>
      <c r="B952" s="42" t="s">
        <v>4586</v>
      </c>
      <c r="C952" s="42" t="s">
        <v>3079</v>
      </c>
      <c r="D952" s="43" t="s">
        <v>3143</v>
      </c>
      <c r="E952" s="43" t="s">
        <v>3144</v>
      </c>
      <c r="F952" s="43" t="s">
        <v>4617</v>
      </c>
      <c r="G952" s="42" t="s">
        <v>34</v>
      </c>
      <c r="H952" s="42">
        <v>74</v>
      </c>
      <c r="I952" s="44">
        <v>9.7944444444444407</v>
      </c>
      <c r="J952" s="45">
        <v>43483</v>
      </c>
      <c r="K952" s="46" t="s">
        <v>20</v>
      </c>
      <c r="L952" s="48">
        <v>59.99</v>
      </c>
    </row>
    <row r="953" spans="1:12" ht="35" customHeight="1">
      <c r="A953" s="23">
        <f>ROW()-3</f>
        <v>950</v>
      </c>
      <c r="B953" s="42" t="s">
        <v>4586</v>
      </c>
      <c r="C953" s="42" t="s">
        <v>3079</v>
      </c>
      <c r="D953" s="43" t="s">
        <v>4695</v>
      </c>
      <c r="E953" s="43" t="s">
        <v>4696</v>
      </c>
      <c r="F953" s="43" t="s">
        <v>4617</v>
      </c>
      <c r="G953" s="42" t="s">
        <v>34</v>
      </c>
      <c r="H953" s="42">
        <v>181</v>
      </c>
      <c r="I953" s="44">
        <v>28.6877777777778</v>
      </c>
      <c r="J953" s="45">
        <v>43483</v>
      </c>
      <c r="K953" s="46" t="s">
        <v>20</v>
      </c>
      <c r="L953" s="48">
        <v>25.99</v>
      </c>
    </row>
    <row r="954" spans="1:12" ht="35" customHeight="1">
      <c r="A954" s="23">
        <f>ROW()-3</f>
        <v>951</v>
      </c>
      <c r="B954" s="42" t="s">
        <v>4586</v>
      </c>
      <c r="C954" s="42" t="s">
        <v>3079</v>
      </c>
      <c r="D954" s="43" t="s">
        <v>4683</v>
      </c>
      <c r="E954" s="43" t="s">
        <v>4596</v>
      </c>
      <c r="F954" s="43" t="s">
        <v>4684</v>
      </c>
      <c r="G954" s="42" t="s">
        <v>34</v>
      </c>
      <c r="H954" s="42">
        <v>29</v>
      </c>
      <c r="I954" s="44">
        <v>9.7466666666666697</v>
      </c>
      <c r="J954" s="45">
        <v>43516</v>
      </c>
      <c r="K954" s="46" t="s">
        <v>20</v>
      </c>
      <c r="L954" s="48">
        <v>60</v>
      </c>
    </row>
    <row r="955" spans="1:12" ht="35" customHeight="1">
      <c r="A955" s="23">
        <f>ROW()-3</f>
        <v>952</v>
      </c>
      <c r="B955" s="42" t="s">
        <v>4586</v>
      </c>
      <c r="C955" s="42" t="s">
        <v>3079</v>
      </c>
      <c r="D955" s="43" t="s">
        <v>4711</v>
      </c>
      <c r="E955" s="43" t="s">
        <v>3198</v>
      </c>
      <c r="F955" s="43" t="s">
        <v>4491</v>
      </c>
      <c r="G955" s="42" t="s">
        <v>34</v>
      </c>
      <c r="H955" s="42">
        <v>35</v>
      </c>
      <c r="I955" s="44">
        <v>11.442222222222201</v>
      </c>
      <c r="J955" s="45">
        <v>43516</v>
      </c>
      <c r="K955" s="46" t="s">
        <v>20</v>
      </c>
      <c r="L955" s="48">
        <v>49.99</v>
      </c>
    </row>
    <row r="956" spans="1:12" ht="35" customHeight="1">
      <c r="A956" s="23">
        <f>ROW()-3</f>
        <v>953</v>
      </c>
      <c r="B956" s="42" t="s">
        <v>4586</v>
      </c>
      <c r="C956" s="42" t="s">
        <v>3079</v>
      </c>
      <c r="D956" s="43" t="s">
        <v>4697</v>
      </c>
      <c r="E956" s="43" t="s">
        <v>310</v>
      </c>
      <c r="F956" s="43" t="s">
        <v>4698</v>
      </c>
      <c r="G956" s="42" t="s">
        <v>34</v>
      </c>
      <c r="H956" s="42">
        <v>89</v>
      </c>
      <c r="I956" s="44">
        <v>12.799444444444401</v>
      </c>
      <c r="J956" s="45">
        <v>43691</v>
      </c>
      <c r="K956" s="46" t="s">
        <v>20</v>
      </c>
      <c r="L956" s="48">
        <v>59</v>
      </c>
    </row>
    <row r="957" spans="1:12" ht="35" customHeight="1">
      <c r="A957" s="23">
        <f>ROW()-3</f>
        <v>954</v>
      </c>
      <c r="B957" s="42" t="s">
        <v>4586</v>
      </c>
      <c r="C957" s="42" t="s">
        <v>3079</v>
      </c>
      <c r="D957" s="43" t="s">
        <v>4699</v>
      </c>
      <c r="E957" s="43" t="s">
        <v>4700</v>
      </c>
      <c r="F957" s="43" t="s">
        <v>4684</v>
      </c>
      <c r="G957" s="42" t="s">
        <v>34</v>
      </c>
      <c r="H957" s="42">
        <v>16</v>
      </c>
      <c r="I957" s="44">
        <v>5.5219444444444399</v>
      </c>
      <c r="J957" s="45">
        <v>43691</v>
      </c>
      <c r="K957" s="46" t="s">
        <v>20</v>
      </c>
      <c r="L957" s="48">
        <v>28.8</v>
      </c>
    </row>
    <row r="958" spans="1:12" ht="35" customHeight="1">
      <c r="A958" s="23">
        <f>ROW()-3</f>
        <v>955</v>
      </c>
      <c r="B958" s="42" t="s">
        <v>4586</v>
      </c>
      <c r="C958" s="42" t="s">
        <v>3079</v>
      </c>
      <c r="D958" s="43" t="s">
        <v>4701</v>
      </c>
      <c r="E958" s="43" t="s">
        <v>4702</v>
      </c>
      <c r="F958" s="43" t="s">
        <v>4632</v>
      </c>
      <c r="G958" s="42" t="s">
        <v>34</v>
      </c>
      <c r="H958" s="42">
        <v>17</v>
      </c>
      <c r="I958" s="44">
        <v>8.8836111111111098</v>
      </c>
      <c r="J958" s="45">
        <v>43691</v>
      </c>
      <c r="K958" s="46" t="s">
        <v>20</v>
      </c>
      <c r="L958" s="48">
        <v>29</v>
      </c>
    </row>
    <row r="959" spans="1:12" ht="35" customHeight="1">
      <c r="A959" s="23">
        <f>ROW()-3</f>
        <v>956</v>
      </c>
      <c r="B959" s="42" t="s">
        <v>4586</v>
      </c>
      <c r="C959" s="42" t="s">
        <v>3079</v>
      </c>
      <c r="D959" s="43" t="s">
        <v>4703</v>
      </c>
      <c r="E959" s="43" t="s">
        <v>4704</v>
      </c>
      <c r="F959" s="43" t="s">
        <v>4703</v>
      </c>
      <c r="G959" s="42" t="s">
        <v>34</v>
      </c>
      <c r="H959" s="42">
        <v>31</v>
      </c>
      <c r="I959" s="44">
        <v>10.7927777777778</v>
      </c>
      <c r="J959" s="45">
        <v>43893</v>
      </c>
      <c r="K959" s="46" t="s">
        <v>20</v>
      </c>
      <c r="L959" s="48">
        <v>9.9</v>
      </c>
    </row>
    <row r="960" spans="1:12" ht="35" customHeight="1">
      <c r="A960" s="23">
        <f>ROW()-3</f>
        <v>957</v>
      </c>
      <c r="B960" s="42" t="s">
        <v>4586</v>
      </c>
      <c r="C960" s="42" t="s">
        <v>3079</v>
      </c>
      <c r="D960" s="43" t="s">
        <v>3148</v>
      </c>
      <c r="E960" s="43" t="s">
        <v>3149</v>
      </c>
      <c r="F960" s="43" t="s">
        <v>4610</v>
      </c>
      <c r="G960" s="42" t="s">
        <v>34</v>
      </c>
      <c r="H960" s="42">
        <v>31</v>
      </c>
      <c r="I960" s="44">
        <v>11.36</v>
      </c>
      <c r="J960" s="45">
        <v>43913</v>
      </c>
      <c r="K960" s="46" t="s">
        <v>20</v>
      </c>
      <c r="L960" s="48">
        <v>29</v>
      </c>
    </row>
    <row r="961" spans="1:291" ht="35" customHeight="1">
      <c r="A961" s="23">
        <f>ROW()-3</f>
        <v>958</v>
      </c>
      <c r="B961" s="42" t="s">
        <v>4586</v>
      </c>
      <c r="C961" s="42" t="s">
        <v>3079</v>
      </c>
      <c r="D961" s="43" t="s">
        <v>3164</v>
      </c>
      <c r="E961" s="43" t="s">
        <v>3165</v>
      </c>
      <c r="F961" s="43" t="s">
        <v>3268</v>
      </c>
      <c r="G961" s="42" t="s">
        <v>34</v>
      </c>
      <c r="H961" s="42">
        <v>51</v>
      </c>
      <c r="I961" s="44">
        <v>8.68611111111111</v>
      </c>
      <c r="J961" s="45">
        <v>43934</v>
      </c>
      <c r="K961" s="46" t="s">
        <v>20</v>
      </c>
      <c r="L961" s="48">
        <v>21.99</v>
      </c>
    </row>
    <row r="962" spans="1:291" ht="35" customHeight="1">
      <c r="A962" s="23">
        <f>ROW()-3</f>
        <v>959</v>
      </c>
      <c r="B962" s="42" t="s">
        <v>4586</v>
      </c>
      <c r="C962" s="42" t="s">
        <v>3079</v>
      </c>
      <c r="D962" s="43" t="s">
        <v>4705</v>
      </c>
      <c r="E962" s="43" t="s">
        <v>4706</v>
      </c>
      <c r="F962" s="43" t="s">
        <v>4707</v>
      </c>
      <c r="G962" s="42" t="s">
        <v>34</v>
      </c>
      <c r="H962" s="42">
        <v>50</v>
      </c>
      <c r="I962" s="44">
        <v>16.625833333333301</v>
      </c>
      <c r="J962" s="45">
        <v>43934</v>
      </c>
      <c r="K962" s="46" t="s">
        <v>20</v>
      </c>
      <c r="L962" s="48">
        <v>99</v>
      </c>
    </row>
    <row r="963" spans="1:291" ht="35" customHeight="1">
      <c r="A963" s="23">
        <f>ROW()-3</f>
        <v>960</v>
      </c>
      <c r="B963" s="43" t="s">
        <v>4586</v>
      </c>
      <c r="C963" s="43" t="s">
        <v>3079</v>
      </c>
      <c r="D963" s="43" t="s">
        <v>4712</v>
      </c>
      <c r="E963" s="43" t="s">
        <v>4713</v>
      </c>
      <c r="F963" s="43" t="s">
        <v>4714</v>
      </c>
      <c r="G963" s="43" t="s">
        <v>34</v>
      </c>
      <c r="H963" s="43">
        <v>25</v>
      </c>
      <c r="I963" s="43">
        <v>9.1</v>
      </c>
      <c r="J963" s="53">
        <v>43937</v>
      </c>
      <c r="K963" s="51" t="s">
        <v>20</v>
      </c>
      <c r="L963" s="62">
        <v>16.989999999999998</v>
      </c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  <c r="AH963" s="52"/>
      <c r="AI963" s="52"/>
      <c r="AJ963" s="52"/>
      <c r="AK963" s="52"/>
      <c r="AL963" s="52"/>
      <c r="AM963" s="52"/>
      <c r="AN963" s="52"/>
      <c r="AO963" s="52"/>
      <c r="AP963" s="52"/>
      <c r="AQ963" s="52"/>
      <c r="AR963" s="52"/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2"/>
      <c r="BQ963" s="52"/>
      <c r="BR963" s="52"/>
      <c r="BS963" s="52"/>
      <c r="BT963" s="52"/>
      <c r="BU963" s="52"/>
      <c r="BV963" s="52"/>
      <c r="BW963" s="52"/>
      <c r="BX963" s="52"/>
      <c r="BY963" s="52"/>
      <c r="BZ963" s="52"/>
      <c r="CA963" s="52"/>
      <c r="CB963" s="52"/>
      <c r="CC963" s="52"/>
      <c r="CD963" s="52"/>
      <c r="CE963" s="52"/>
      <c r="CF963" s="52"/>
      <c r="CG963" s="52"/>
      <c r="CH963" s="52"/>
      <c r="CI963" s="52"/>
      <c r="CJ963" s="52"/>
      <c r="CK963" s="52"/>
      <c r="CL963" s="52"/>
      <c r="CM963" s="52"/>
      <c r="CN963" s="52"/>
      <c r="CO963" s="52"/>
      <c r="CP963" s="52"/>
      <c r="CQ963" s="52"/>
      <c r="CR963" s="52"/>
      <c r="CS963" s="52"/>
      <c r="CT963" s="52"/>
      <c r="CU963" s="52"/>
      <c r="CV963" s="52"/>
      <c r="CW963" s="52"/>
      <c r="CX963" s="52"/>
      <c r="CY963" s="52"/>
      <c r="CZ963" s="52"/>
      <c r="DA963" s="52"/>
      <c r="DB963" s="52"/>
      <c r="DC963" s="52"/>
      <c r="DD963" s="52"/>
      <c r="DE963" s="52"/>
      <c r="DF963" s="52"/>
      <c r="DG963" s="52"/>
      <c r="DH963" s="52"/>
      <c r="DI963" s="52"/>
      <c r="DJ963" s="52"/>
      <c r="DK963" s="52"/>
      <c r="DL963" s="52"/>
      <c r="DM963" s="52"/>
      <c r="DN963" s="52"/>
      <c r="DO963" s="52"/>
      <c r="DP963" s="52"/>
      <c r="DQ963" s="52"/>
      <c r="DR963" s="52"/>
      <c r="DS963" s="52"/>
      <c r="DT963" s="52"/>
      <c r="DU963" s="52"/>
      <c r="DV963" s="52"/>
      <c r="DW963" s="52"/>
      <c r="DX963" s="52"/>
      <c r="DY963" s="52"/>
      <c r="DZ963" s="52"/>
      <c r="EA963" s="52"/>
      <c r="EB963" s="52"/>
      <c r="EC963" s="52"/>
      <c r="ED963" s="52"/>
      <c r="EE963" s="52"/>
      <c r="EF963" s="52"/>
      <c r="EG963" s="52"/>
      <c r="EH963" s="52"/>
      <c r="EI963" s="52"/>
      <c r="EJ963" s="52"/>
      <c r="EK963" s="52"/>
      <c r="EL963" s="52"/>
      <c r="EM963" s="52"/>
      <c r="EN963" s="52"/>
      <c r="EO963" s="52"/>
      <c r="EP963" s="52"/>
      <c r="EQ963" s="52"/>
      <c r="ER963" s="52"/>
      <c r="ES963" s="52"/>
      <c r="ET963" s="52"/>
      <c r="EU963" s="52"/>
      <c r="EV963" s="52"/>
      <c r="EW963" s="52"/>
      <c r="EX963" s="52"/>
      <c r="EY963" s="52"/>
      <c r="EZ963" s="52"/>
      <c r="FA963" s="52"/>
      <c r="FB963" s="52"/>
      <c r="FC963" s="52"/>
      <c r="FD963" s="52"/>
      <c r="FE963" s="52"/>
      <c r="FF963" s="52"/>
      <c r="FG963" s="52"/>
      <c r="FH963" s="52"/>
      <c r="FI963" s="52"/>
      <c r="FJ963" s="52"/>
      <c r="FK963" s="52"/>
      <c r="FL963" s="52"/>
      <c r="FM963" s="52"/>
      <c r="FN963" s="52"/>
      <c r="FO963" s="52"/>
      <c r="FP963" s="52"/>
      <c r="FQ963" s="52"/>
      <c r="FR963" s="52"/>
      <c r="FS963" s="52"/>
      <c r="FT963" s="52"/>
      <c r="FU963" s="52"/>
      <c r="FV963" s="52"/>
      <c r="FW963" s="52"/>
      <c r="FX963" s="52"/>
      <c r="FY963" s="52"/>
      <c r="FZ963" s="52"/>
      <c r="GA963" s="52"/>
      <c r="GB963" s="52"/>
      <c r="GC963" s="52"/>
      <c r="GD963" s="52"/>
      <c r="GE963" s="52"/>
      <c r="GF963" s="52"/>
      <c r="GG963" s="52"/>
      <c r="GH963" s="52"/>
      <c r="GI963" s="52"/>
      <c r="GJ963" s="52"/>
      <c r="GK963" s="52"/>
      <c r="GL963" s="52"/>
      <c r="GM963" s="52"/>
      <c r="GN963" s="52"/>
      <c r="GO963" s="52"/>
      <c r="GP963" s="52"/>
      <c r="GQ963" s="52"/>
      <c r="GR963" s="52"/>
      <c r="GS963" s="52"/>
      <c r="GT963" s="52"/>
      <c r="GU963" s="52"/>
      <c r="GV963" s="52"/>
      <c r="GW963" s="52"/>
      <c r="GX963" s="52"/>
      <c r="GY963" s="52"/>
      <c r="GZ963" s="52"/>
      <c r="HA963" s="52"/>
      <c r="HB963" s="52"/>
      <c r="HC963" s="52"/>
      <c r="HD963" s="52"/>
      <c r="HE963" s="52"/>
      <c r="HF963" s="52"/>
      <c r="HG963" s="52"/>
      <c r="HH963" s="52"/>
      <c r="HI963" s="52"/>
      <c r="HJ963" s="52"/>
      <c r="HK963" s="52"/>
      <c r="HL963" s="52"/>
      <c r="HM963" s="52"/>
      <c r="HN963" s="52"/>
      <c r="HO963" s="52"/>
      <c r="HP963" s="52"/>
      <c r="HQ963" s="52"/>
      <c r="HR963" s="52"/>
      <c r="HS963" s="52"/>
      <c r="HT963" s="52"/>
      <c r="HU963" s="52"/>
      <c r="HV963" s="52"/>
      <c r="HW963" s="52"/>
      <c r="HX963" s="52"/>
      <c r="HY963" s="52"/>
      <c r="HZ963" s="52"/>
      <c r="IA963" s="52"/>
      <c r="IB963" s="52"/>
      <c r="IC963" s="52"/>
      <c r="ID963" s="52"/>
      <c r="IE963" s="52"/>
      <c r="IF963" s="52"/>
      <c r="IG963" s="52"/>
      <c r="IH963" s="52"/>
      <c r="II963" s="52"/>
      <c r="IJ963" s="52"/>
      <c r="IK963" s="52"/>
      <c r="IL963" s="52"/>
      <c r="IM963" s="52"/>
      <c r="IN963" s="52"/>
      <c r="IO963" s="52"/>
      <c r="IP963" s="52"/>
      <c r="IQ963" s="52"/>
      <c r="IR963" s="52"/>
      <c r="IS963" s="52"/>
      <c r="IT963" s="52"/>
      <c r="IU963" s="52"/>
      <c r="IV963" s="52"/>
      <c r="IW963" s="52"/>
      <c r="IX963" s="52"/>
      <c r="IY963" s="52"/>
      <c r="IZ963" s="52"/>
      <c r="JA963" s="52"/>
      <c r="JB963" s="52"/>
      <c r="JC963" s="52"/>
      <c r="JD963" s="52"/>
      <c r="JE963" s="52"/>
      <c r="JF963" s="52"/>
      <c r="JG963" s="52"/>
      <c r="JH963" s="52"/>
      <c r="JI963" s="52"/>
      <c r="JJ963" s="52"/>
      <c r="JK963" s="52"/>
      <c r="JL963" s="52"/>
      <c r="JM963" s="52"/>
      <c r="JN963" s="52"/>
      <c r="JO963" s="52"/>
      <c r="JP963" s="52"/>
      <c r="JQ963" s="52"/>
      <c r="JR963" s="52"/>
      <c r="JS963" s="52"/>
      <c r="JT963" s="52"/>
      <c r="JU963" s="52"/>
      <c r="JV963" s="52"/>
      <c r="JW963" s="52"/>
      <c r="JX963" s="52"/>
      <c r="JY963" s="52"/>
      <c r="JZ963" s="52"/>
      <c r="KA963" s="52"/>
      <c r="KB963" s="52"/>
      <c r="KC963" s="52"/>
      <c r="KD963" s="52"/>
      <c r="KE963" s="52"/>
    </row>
    <row r="964" spans="1:291" ht="35" customHeight="1">
      <c r="A964" s="23">
        <f>ROW()-3</f>
        <v>961</v>
      </c>
      <c r="B964" s="42" t="s">
        <v>4586</v>
      </c>
      <c r="C964" s="42" t="s">
        <v>3079</v>
      </c>
      <c r="D964" s="43" t="s">
        <v>4676</v>
      </c>
      <c r="E964" s="43" t="s">
        <v>4677</v>
      </c>
      <c r="F964" s="43" t="s">
        <v>4678</v>
      </c>
      <c r="G964" s="42" t="s">
        <v>34</v>
      </c>
      <c r="H964" s="42">
        <v>74</v>
      </c>
      <c r="I964" s="44">
        <v>12.3</v>
      </c>
      <c r="J964" s="45">
        <v>44193</v>
      </c>
      <c r="K964" s="46" t="s">
        <v>20</v>
      </c>
      <c r="L964" s="48">
        <v>16.899999999999999</v>
      </c>
    </row>
    <row r="965" spans="1:291" ht="35" customHeight="1">
      <c r="A965" s="23">
        <f>ROW()-3</f>
        <v>962</v>
      </c>
      <c r="B965" s="42" t="s">
        <v>4586</v>
      </c>
      <c r="C965" s="42" t="s">
        <v>3079</v>
      </c>
      <c r="D965" s="43" t="s">
        <v>4674</v>
      </c>
      <c r="E965" s="43" t="s">
        <v>4675</v>
      </c>
      <c r="F965" s="43" t="s">
        <v>855</v>
      </c>
      <c r="G965" s="42" t="s">
        <v>34</v>
      </c>
      <c r="H965" s="42">
        <v>28</v>
      </c>
      <c r="I965" s="44">
        <v>9.3000000000000007</v>
      </c>
      <c r="J965" s="45">
        <v>44207</v>
      </c>
      <c r="K965" s="46" t="s">
        <v>20</v>
      </c>
      <c r="L965" s="48">
        <v>19.899999999999999</v>
      </c>
    </row>
    <row r="966" spans="1:291" ht="35" customHeight="1">
      <c r="A966" s="23">
        <f>ROW()-3</f>
        <v>963</v>
      </c>
      <c r="B966" s="43" t="s">
        <v>4586</v>
      </c>
      <c r="C966" s="43" t="s">
        <v>3079</v>
      </c>
      <c r="D966" s="43" t="s">
        <v>4715</v>
      </c>
      <c r="E966" s="43" t="s">
        <v>4675</v>
      </c>
      <c r="F966" s="43" t="s">
        <v>855</v>
      </c>
      <c r="G966" s="43" t="s">
        <v>34</v>
      </c>
      <c r="H966" s="43">
        <v>21</v>
      </c>
      <c r="I966" s="43">
        <v>7</v>
      </c>
      <c r="J966" s="53">
        <v>44326</v>
      </c>
      <c r="K966" s="51" t="s">
        <v>30</v>
      </c>
      <c r="L966" s="62">
        <v>19.899999999999999</v>
      </c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52"/>
      <c r="BS966" s="52"/>
      <c r="BT966" s="52"/>
      <c r="BU966" s="52"/>
      <c r="BV966" s="52"/>
      <c r="BW966" s="52"/>
      <c r="BX966" s="52"/>
      <c r="BY966" s="52"/>
      <c r="BZ966" s="52"/>
      <c r="CA966" s="52"/>
      <c r="CB966" s="52"/>
      <c r="CC966" s="52"/>
      <c r="CD966" s="52"/>
      <c r="CE966" s="52"/>
      <c r="CF966" s="52"/>
      <c r="CG966" s="52"/>
      <c r="CH966" s="52"/>
      <c r="CI966" s="52"/>
      <c r="CJ966" s="52"/>
      <c r="CK966" s="52"/>
      <c r="CL966" s="52"/>
      <c r="CM966" s="52"/>
      <c r="CN966" s="52"/>
      <c r="CO966" s="52"/>
      <c r="CP966" s="52"/>
      <c r="CQ966" s="52"/>
      <c r="CR966" s="52"/>
      <c r="CS966" s="52"/>
      <c r="CT966" s="52"/>
      <c r="CU966" s="52"/>
      <c r="CV966" s="52"/>
      <c r="CW966" s="52"/>
      <c r="CX966" s="52"/>
      <c r="CY966" s="52"/>
      <c r="CZ966" s="52"/>
      <c r="DA966" s="52"/>
      <c r="DB966" s="52"/>
      <c r="DC966" s="52"/>
      <c r="DD966" s="52"/>
      <c r="DE966" s="52"/>
      <c r="DF966" s="52"/>
      <c r="DG966" s="52"/>
      <c r="DH966" s="52"/>
      <c r="DI966" s="52"/>
      <c r="DJ966" s="52"/>
      <c r="DK966" s="52"/>
      <c r="DL966" s="52"/>
      <c r="DM966" s="52"/>
      <c r="DN966" s="52"/>
      <c r="DO966" s="52"/>
      <c r="DP966" s="52"/>
      <c r="DQ966" s="52"/>
      <c r="DR966" s="52"/>
      <c r="DS966" s="52"/>
      <c r="DT966" s="52"/>
      <c r="DU966" s="52"/>
      <c r="DV966" s="52"/>
      <c r="DW966" s="52"/>
      <c r="DX966" s="52"/>
      <c r="DY966" s="52"/>
      <c r="DZ966" s="52"/>
      <c r="EA966" s="52"/>
      <c r="EB966" s="52"/>
      <c r="EC966" s="52"/>
      <c r="ED966" s="52"/>
      <c r="EE966" s="52"/>
      <c r="EF966" s="52"/>
      <c r="EG966" s="52"/>
      <c r="EH966" s="52"/>
      <c r="EI966" s="52"/>
      <c r="EJ966" s="52"/>
      <c r="EK966" s="52"/>
      <c r="EL966" s="52"/>
      <c r="EM966" s="52"/>
      <c r="EN966" s="52"/>
      <c r="EO966" s="52"/>
      <c r="EP966" s="52"/>
      <c r="EQ966" s="52"/>
      <c r="ER966" s="52"/>
      <c r="ES966" s="52"/>
      <c r="ET966" s="52"/>
      <c r="EU966" s="52"/>
      <c r="EV966" s="52"/>
      <c r="EW966" s="52"/>
      <c r="EX966" s="52"/>
      <c r="EY966" s="52"/>
      <c r="EZ966" s="52"/>
      <c r="FA966" s="52"/>
      <c r="FB966" s="52"/>
      <c r="FC966" s="52"/>
      <c r="FD966" s="52"/>
      <c r="FE966" s="52"/>
      <c r="FF966" s="52"/>
      <c r="FG966" s="52"/>
      <c r="FH966" s="52"/>
      <c r="FI966" s="52"/>
      <c r="FJ966" s="52"/>
      <c r="FK966" s="52"/>
      <c r="FL966" s="52"/>
      <c r="FM966" s="52"/>
      <c r="FN966" s="52"/>
      <c r="FO966" s="52"/>
      <c r="FP966" s="52"/>
      <c r="FQ966" s="52"/>
      <c r="FR966" s="52"/>
      <c r="FS966" s="52"/>
      <c r="FT966" s="52"/>
      <c r="FU966" s="52"/>
      <c r="FV966" s="52"/>
      <c r="FW966" s="52"/>
      <c r="FX966" s="52"/>
      <c r="FY966" s="52"/>
      <c r="FZ966" s="52"/>
      <c r="GA966" s="52"/>
      <c r="GB966" s="52"/>
      <c r="GC966" s="52"/>
      <c r="GD966" s="52"/>
      <c r="GE966" s="52"/>
      <c r="GF966" s="52"/>
      <c r="GG966" s="52"/>
      <c r="GH966" s="52"/>
      <c r="GI966" s="52"/>
      <c r="GJ966" s="52"/>
      <c r="GK966" s="52"/>
      <c r="GL966" s="52"/>
      <c r="GM966" s="52"/>
      <c r="GN966" s="52"/>
      <c r="GO966" s="52"/>
      <c r="GP966" s="52"/>
      <c r="GQ966" s="52"/>
      <c r="GR966" s="52"/>
      <c r="GS966" s="52"/>
      <c r="GT966" s="52"/>
      <c r="GU966" s="52"/>
      <c r="GV966" s="52"/>
      <c r="GW966" s="52"/>
      <c r="GX966" s="52"/>
      <c r="GY966" s="52"/>
      <c r="GZ966" s="52"/>
      <c r="HA966" s="52"/>
      <c r="HB966" s="52"/>
      <c r="HC966" s="52"/>
      <c r="HD966" s="52"/>
      <c r="HE966" s="52"/>
      <c r="HF966" s="52"/>
      <c r="HG966" s="52"/>
      <c r="HH966" s="52"/>
      <c r="HI966" s="52"/>
      <c r="HJ966" s="52"/>
      <c r="HK966" s="52"/>
      <c r="HL966" s="52"/>
      <c r="HM966" s="52"/>
      <c r="HN966" s="52"/>
      <c r="HO966" s="52"/>
      <c r="HP966" s="52"/>
      <c r="HQ966" s="52"/>
      <c r="HR966" s="52"/>
      <c r="HS966" s="52"/>
      <c r="HT966" s="52"/>
      <c r="HU966" s="52"/>
      <c r="HV966" s="52"/>
      <c r="HW966" s="52"/>
      <c r="HX966" s="52"/>
      <c r="HY966" s="52"/>
      <c r="HZ966" s="52"/>
      <c r="IA966" s="52"/>
      <c r="IB966" s="52"/>
      <c r="IC966" s="52"/>
      <c r="ID966" s="52"/>
      <c r="IE966" s="52"/>
      <c r="IF966" s="52"/>
      <c r="IG966" s="52"/>
      <c r="IH966" s="52"/>
      <c r="II966" s="52"/>
      <c r="IJ966" s="52"/>
      <c r="IK966" s="52"/>
      <c r="IL966" s="52"/>
      <c r="IM966" s="52"/>
      <c r="IN966" s="52"/>
      <c r="IO966" s="52"/>
      <c r="IP966" s="52"/>
      <c r="IQ966" s="52"/>
      <c r="IR966" s="52"/>
      <c r="IS966" s="52"/>
      <c r="IT966" s="52"/>
      <c r="IU966" s="52"/>
      <c r="IV966" s="52"/>
      <c r="IW966" s="52"/>
      <c r="IX966" s="52"/>
      <c r="IY966" s="52"/>
      <c r="IZ966" s="52"/>
      <c r="JA966" s="52"/>
      <c r="JB966" s="52"/>
      <c r="JC966" s="52"/>
      <c r="JD966" s="52"/>
      <c r="JE966" s="52"/>
      <c r="JF966" s="52"/>
      <c r="JG966" s="52"/>
      <c r="JH966" s="52"/>
      <c r="JI966" s="52"/>
      <c r="JJ966" s="52"/>
      <c r="JK966" s="52"/>
      <c r="JL966" s="52"/>
      <c r="JM966" s="52"/>
      <c r="JN966" s="52"/>
      <c r="JO966" s="52"/>
      <c r="JP966" s="52"/>
      <c r="JQ966" s="52"/>
      <c r="JR966" s="52"/>
      <c r="JS966" s="52"/>
      <c r="JT966" s="52"/>
      <c r="JU966" s="52"/>
      <c r="JV966" s="52"/>
      <c r="JW966" s="52"/>
      <c r="JX966" s="52"/>
      <c r="JY966" s="52"/>
      <c r="JZ966" s="52"/>
      <c r="KA966" s="52"/>
      <c r="KB966" s="52"/>
      <c r="KC966" s="52"/>
      <c r="KD966" s="52"/>
      <c r="KE966" s="52"/>
    </row>
    <row r="967" spans="1:291" ht="35" customHeight="1">
      <c r="A967" s="23">
        <f>ROW()-3</f>
        <v>964</v>
      </c>
      <c r="B967" s="43" t="s">
        <v>4586</v>
      </c>
      <c r="C967" s="43" t="s">
        <v>3079</v>
      </c>
      <c r="D967" s="43" t="s">
        <v>4716</v>
      </c>
      <c r="E967" s="43" t="s">
        <v>4675</v>
      </c>
      <c r="F967" s="43" t="s">
        <v>855</v>
      </c>
      <c r="G967" s="43" t="s">
        <v>34</v>
      </c>
      <c r="H967" s="43">
        <v>25</v>
      </c>
      <c r="I967" s="43">
        <v>1.66</v>
      </c>
      <c r="J967" s="53">
        <v>44333</v>
      </c>
      <c r="K967" s="51" t="s">
        <v>30</v>
      </c>
      <c r="L967" s="62">
        <v>19.899999999999999</v>
      </c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  <c r="AH967" s="52"/>
      <c r="AI967" s="52"/>
      <c r="AJ967" s="52"/>
      <c r="AK967" s="52"/>
      <c r="AL967" s="52"/>
      <c r="AM967" s="52"/>
      <c r="AN967" s="52"/>
      <c r="AO967" s="52"/>
      <c r="AP967" s="52"/>
      <c r="AQ967" s="52"/>
      <c r="AR967" s="52"/>
      <c r="AS967" s="52"/>
      <c r="AT967" s="52"/>
      <c r="AU967" s="52"/>
      <c r="AV967" s="52"/>
      <c r="AW967" s="52"/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52"/>
      <c r="BS967" s="52"/>
      <c r="BT967" s="52"/>
      <c r="BU967" s="52"/>
      <c r="BV967" s="52"/>
      <c r="BW967" s="52"/>
      <c r="BX967" s="52"/>
      <c r="BY967" s="52"/>
      <c r="BZ967" s="52"/>
      <c r="CA967" s="52"/>
      <c r="CB967" s="52"/>
      <c r="CC967" s="52"/>
      <c r="CD967" s="52"/>
      <c r="CE967" s="52"/>
      <c r="CF967" s="52"/>
      <c r="CG967" s="52"/>
      <c r="CH967" s="52"/>
      <c r="CI967" s="52"/>
      <c r="CJ967" s="52"/>
      <c r="CK967" s="52"/>
      <c r="CL967" s="52"/>
      <c r="CM967" s="52"/>
      <c r="CN967" s="52"/>
      <c r="CO967" s="52"/>
      <c r="CP967" s="52"/>
      <c r="CQ967" s="52"/>
      <c r="CR967" s="52"/>
      <c r="CS967" s="52"/>
      <c r="CT967" s="52"/>
      <c r="CU967" s="52"/>
      <c r="CV967" s="52"/>
      <c r="CW967" s="52"/>
      <c r="CX967" s="52"/>
      <c r="CY967" s="52"/>
      <c r="CZ967" s="52"/>
      <c r="DA967" s="52"/>
      <c r="DB967" s="52"/>
      <c r="DC967" s="52"/>
      <c r="DD967" s="52"/>
      <c r="DE967" s="52"/>
      <c r="DF967" s="52"/>
      <c r="DG967" s="52"/>
      <c r="DH967" s="52"/>
      <c r="DI967" s="52"/>
      <c r="DJ967" s="52"/>
      <c r="DK967" s="52"/>
      <c r="DL967" s="52"/>
      <c r="DM967" s="52"/>
      <c r="DN967" s="52"/>
      <c r="DO967" s="52"/>
      <c r="DP967" s="52"/>
      <c r="DQ967" s="52"/>
      <c r="DR967" s="52"/>
      <c r="DS967" s="52"/>
      <c r="DT967" s="52"/>
      <c r="DU967" s="52"/>
      <c r="DV967" s="52"/>
      <c r="DW967" s="52"/>
      <c r="DX967" s="52"/>
      <c r="DY967" s="52"/>
      <c r="DZ967" s="52"/>
      <c r="EA967" s="52"/>
      <c r="EB967" s="52"/>
      <c r="EC967" s="52"/>
      <c r="ED967" s="52"/>
      <c r="EE967" s="52"/>
      <c r="EF967" s="52"/>
      <c r="EG967" s="52"/>
      <c r="EH967" s="52"/>
      <c r="EI967" s="52"/>
      <c r="EJ967" s="52"/>
      <c r="EK967" s="52"/>
      <c r="EL967" s="52"/>
      <c r="EM967" s="52"/>
      <c r="EN967" s="52"/>
      <c r="EO967" s="52"/>
      <c r="EP967" s="52"/>
      <c r="EQ967" s="52"/>
      <c r="ER967" s="52"/>
      <c r="ES967" s="52"/>
      <c r="ET967" s="52"/>
      <c r="EU967" s="52"/>
      <c r="EV967" s="52"/>
      <c r="EW967" s="52"/>
      <c r="EX967" s="52"/>
      <c r="EY967" s="52"/>
      <c r="EZ967" s="52"/>
      <c r="FA967" s="52"/>
      <c r="FB967" s="52"/>
      <c r="FC967" s="52"/>
      <c r="FD967" s="52"/>
      <c r="FE967" s="52"/>
      <c r="FF967" s="52"/>
      <c r="FG967" s="52"/>
      <c r="FH967" s="52"/>
      <c r="FI967" s="52"/>
      <c r="FJ967" s="52"/>
      <c r="FK967" s="52"/>
      <c r="FL967" s="52"/>
      <c r="FM967" s="52"/>
      <c r="FN967" s="52"/>
      <c r="FO967" s="52"/>
      <c r="FP967" s="52"/>
      <c r="FQ967" s="52"/>
      <c r="FR967" s="52"/>
      <c r="FS967" s="52"/>
      <c r="FT967" s="52"/>
      <c r="FU967" s="52"/>
      <c r="FV967" s="52"/>
      <c r="FW967" s="52"/>
      <c r="FX967" s="52"/>
      <c r="FY967" s="52"/>
      <c r="FZ967" s="52"/>
      <c r="GA967" s="52"/>
      <c r="GB967" s="52"/>
      <c r="GC967" s="52"/>
      <c r="GD967" s="52"/>
      <c r="GE967" s="52"/>
      <c r="GF967" s="52"/>
      <c r="GG967" s="52"/>
      <c r="GH967" s="52"/>
      <c r="GI967" s="52"/>
      <c r="GJ967" s="52"/>
      <c r="GK967" s="52"/>
      <c r="GL967" s="52"/>
      <c r="GM967" s="52"/>
      <c r="GN967" s="52"/>
      <c r="GO967" s="52"/>
      <c r="GP967" s="52"/>
      <c r="GQ967" s="52"/>
      <c r="GR967" s="52"/>
      <c r="GS967" s="52"/>
      <c r="GT967" s="52"/>
      <c r="GU967" s="52"/>
      <c r="GV967" s="52"/>
      <c r="GW967" s="52"/>
      <c r="GX967" s="52"/>
      <c r="GY967" s="52"/>
      <c r="GZ967" s="52"/>
      <c r="HA967" s="52"/>
      <c r="HB967" s="52"/>
      <c r="HC967" s="52"/>
      <c r="HD967" s="52"/>
      <c r="HE967" s="52"/>
      <c r="HF967" s="52"/>
      <c r="HG967" s="52"/>
      <c r="HH967" s="52"/>
      <c r="HI967" s="52"/>
      <c r="HJ967" s="52"/>
      <c r="HK967" s="52"/>
      <c r="HL967" s="52"/>
      <c r="HM967" s="52"/>
      <c r="HN967" s="52"/>
      <c r="HO967" s="52"/>
      <c r="HP967" s="52"/>
      <c r="HQ967" s="52"/>
      <c r="HR967" s="52"/>
      <c r="HS967" s="52"/>
      <c r="HT967" s="52"/>
      <c r="HU967" s="52"/>
      <c r="HV967" s="52"/>
      <c r="HW967" s="52"/>
      <c r="HX967" s="52"/>
      <c r="HY967" s="52"/>
      <c r="HZ967" s="52"/>
      <c r="IA967" s="52"/>
      <c r="IB967" s="52"/>
      <c r="IC967" s="52"/>
      <c r="ID967" s="52"/>
      <c r="IE967" s="52"/>
      <c r="IF967" s="52"/>
      <c r="IG967" s="52"/>
      <c r="IH967" s="52"/>
      <c r="II967" s="52"/>
      <c r="IJ967" s="52"/>
      <c r="IK967" s="52"/>
      <c r="IL967" s="52"/>
      <c r="IM967" s="52"/>
      <c r="IN967" s="52"/>
      <c r="IO967" s="52"/>
      <c r="IP967" s="52"/>
      <c r="IQ967" s="52"/>
      <c r="IR967" s="52"/>
      <c r="IS967" s="52"/>
      <c r="IT967" s="52"/>
      <c r="IU967" s="52"/>
      <c r="IV967" s="52"/>
      <c r="IW967" s="52"/>
      <c r="IX967" s="52"/>
      <c r="IY967" s="52"/>
      <c r="IZ967" s="52"/>
      <c r="JA967" s="52"/>
      <c r="JB967" s="52"/>
      <c r="JC967" s="52"/>
      <c r="JD967" s="52"/>
      <c r="JE967" s="52"/>
      <c r="JF967" s="52"/>
      <c r="JG967" s="52"/>
      <c r="JH967" s="52"/>
      <c r="JI967" s="52"/>
      <c r="JJ967" s="52"/>
      <c r="JK967" s="52"/>
      <c r="JL967" s="52"/>
      <c r="JM967" s="52"/>
      <c r="JN967" s="52"/>
      <c r="JO967" s="52"/>
      <c r="JP967" s="52"/>
      <c r="JQ967" s="52"/>
      <c r="JR967" s="52"/>
      <c r="JS967" s="52"/>
      <c r="JT967" s="52"/>
      <c r="JU967" s="52"/>
      <c r="JV967" s="52"/>
      <c r="JW967" s="52"/>
      <c r="JX967" s="52"/>
      <c r="JY967" s="52"/>
      <c r="JZ967" s="52"/>
      <c r="KA967" s="52"/>
      <c r="KB967" s="52"/>
      <c r="KC967" s="52"/>
      <c r="KD967" s="52"/>
      <c r="KE967" s="52"/>
    </row>
    <row r="968" spans="1:291" ht="35" customHeight="1">
      <c r="A968" s="23">
        <f>ROW()-3</f>
        <v>965</v>
      </c>
      <c r="B968" s="43" t="s">
        <v>4586</v>
      </c>
      <c r="C968" s="43" t="s">
        <v>3079</v>
      </c>
      <c r="D968" s="43" t="s">
        <v>4717</v>
      </c>
      <c r="E968" s="43" t="s">
        <v>4718</v>
      </c>
      <c r="F968" s="43" t="s">
        <v>4719</v>
      </c>
      <c r="G968" s="43" t="s">
        <v>34</v>
      </c>
      <c r="H968" s="43">
        <v>26</v>
      </c>
      <c r="I968" s="43">
        <v>8.7899999999999991</v>
      </c>
      <c r="J968" s="53">
        <v>44340</v>
      </c>
      <c r="K968" s="51" t="s">
        <v>20</v>
      </c>
      <c r="L968" s="62">
        <v>28</v>
      </c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  <c r="AH968" s="52"/>
      <c r="AI968" s="52"/>
      <c r="AJ968" s="52"/>
      <c r="AK968" s="52"/>
      <c r="AL968" s="52"/>
      <c r="AM968" s="52"/>
      <c r="AN968" s="52"/>
      <c r="AO968" s="52"/>
      <c r="AP968" s="52"/>
      <c r="AQ968" s="52"/>
      <c r="AR968" s="52"/>
      <c r="AS968" s="52"/>
      <c r="AT968" s="52"/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52"/>
      <c r="BS968" s="52"/>
      <c r="BT968" s="52"/>
      <c r="BU968" s="52"/>
      <c r="BV968" s="52"/>
      <c r="BW968" s="52"/>
      <c r="BX968" s="52"/>
      <c r="BY968" s="52"/>
      <c r="BZ968" s="52"/>
      <c r="CA968" s="52"/>
      <c r="CB968" s="52"/>
      <c r="CC968" s="52"/>
      <c r="CD968" s="52"/>
      <c r="CE968" s="52"/>
      <c r="CF968" s="52"/>
      <c r="CG968" s="52"/>
      <c r="CH968" s="52"/>
      <c r="CI968" s="52"/>
      <c r="CJ968" s="52"/>
      <c r="CK968" s="52"/>
      <c r="CL968" s="52"/>
      <c r="CM968" s="52"/>
      <c r="CN968" s="52"/>
      <c r="CO968" s="52"/>
      <c r="CP968" s="52"/>
      <c r="CQ968" s="52"/>
      <c r="CR968" s="52"/>
      <c r="CS968" s="52"/>
      <c r="CT968" s="52"/>
      <c r="CU968" s="52"/>
      <c r="CV968" s="52"/>
      <c r="CW968" s="52"/>
      <c r="CX968" s="52"/>
      <c r="CY968" s="52"/>
      <c r="CZ968" s="52"/>
      <c r="DA968" s="52"/>
      <c r="DB968" s="52"/>
      <c r="DC968" s="52"/>
      <c r="DD968" s="52"/>
      <c r="DE968" s="52"/>
      <c r="DF968" s="52"/>
      <c r="DG968" s="52"/>
      <c r="DH968" s="52"/>
      <c r="DI968" s="52"/>
      <c r="DJ968" s="52"/>
      <c r="DK968" s="52"/>
      <c r="DL968" s="52"/>
      <c r="DM968" s="52"/>
      <c r="DN968" s="52"/>
      <c r="DO968" s="52"/>
      <c r="DP968" s="52"/>
      <c r="DQ968" s="52"/>
      <c r="DR968" s="52"/>
      <c r="DS968" s="52"/>
      <c r="DT968" s="52"/>
      <c r="DU968" s="52"/>
      <c r="DV968" s="52"/>
      <c r="DW968" s="52"/>
      <c r="DX968" s="52"/>
      <c r="DY968" s="52"/>
      <c r="DZ968" s="52"/>
      <c r="EA968" s="52"/>
      <c r="EB968" s="52"/>
      <c r="EC968" s="52"/>
      <c r="ED968" s="52"/>
      <c r="EE968" s="52"/>
      <c r="EF968" s="52"/>
      <c r="EG968" s="52"/>
      <c r="EH968" s="52"/>
      <c r="EI968" s="52"/>
      <c r="EJ968" s="52"/>
      <c r="EK968" s="52"/>
      <c r="EL968" s="52"/>
      <c r="EM968" s="52"/>
      <c r="EN968" s="52"/>
      <c r="EO968" s="52"/>
      <c r="EP968" s="52"/>
      <c r="EQ968" s="52"/>
      <c r="ER968" s="52"/>
      <c r="ES968" s="52"/>
      <c r="ET968" s="52"/>
      <c r="EU968" s="52"/>
      <c r="EV968" s="52"/>
      <c r="EW968" s="52"/>
      <c r="EX968" s="52"/>
      <c r="EY968" s="52"/>
      <c r="EZ968" s="52"/>
      <c r="FA968" s="52"/>
      <c r="FB968" s="52"/>
      <c r="FC968" s="52"/>
      <c r="FD968" s="52"/>
      <c r="FE968" s="52"/>
      <c r="FF968" s="52"/>
      <c r="FG968" s="52"/>
      <c r="FH968" s="52"/>
      <c r="FI968" s="52"/>
      <c r="FJ968" s="52"/>
      <c r="FK968" s="52"/>
      <c r="FL968" s="52"/>
      <c r="FM968" s="52"/>
      <c r="FN968" s="52"/>
      <c r="FO968" s="52"/>
      <c r="FP968" s="52"/>
      <c r="FQ968" s="52"/>
      <c r="FR968" s="52"/>
      <c r="FS968" s="52"/>
      <c r="FT968" s="52"/>
      <c r="FU968" s="52"/>
      <c r="FV968" s="52"/>
      <c r="FW968" s="52"/>
      <c r="FX968" s="52"/>
      <c r="FY968" s="52"/>
      <c r="FZ968" s="52"/>
      <c r="GA968" s="52"/>
      <c r="GB968" s="52"/>
      <c r="GC968" s="52"/>
      <c r="GD968" s="52"/>
      <c r="GE968" s="52"/>
      <c r="GF968" s="52"/>
      <c r="GG968" s="52"/>
      <c r="GH968" s="52"/>
      <c r="GI968" s="52"/>
      <c r="GJ968" s="52"/>
      <c r="GK968" s="52"/>
      <c r="GL968" s="52"/>
      <c r="GM968" s="52"/>
      <c r="GN968" s="52"/>
      <c r="GO968" s="52"/>
      <c r="GP968" s="52"/>
      <c r="GQ968" s="52"/>
      <c r="GR968" s="52"/>
      <c r="GS968" s="52"/>
      <c r="GT968" s="52"/>
      <c r="GU968" s="52"/>
      <c r="GV968" s="52"/>
      <c r="GW968" s="52"/>
      <c r="GX968" s="52"/>
      <c r="GY968" s="52"/>
      <c r="GZ968" s="52"/>
      <c r="HA968" s="52"/>
      <c r="HB968" s="52"/>
      <c r="HC968" s="52"/>
      <c r="HD968" s="52"/>
      <c r="HE968" s="52"/>
      <c r="HF968" s="52"/>
      <c r="HG968" s="52"/>
      <c r="HH968" s="52"/>
      <c r="HI968" s="52"/>
      <c r="HJ968" s="52"/>
      <c r="HK968" s="52"/>
      <c r="HL968" s="52"/>
      <c r="HM968" s="52"/>
      <c r="HN968" s="52"/>
      <c r="HO968" s="52"/>
      <c r="HP968" s="52"/>
      <c r="HQ968" s="52"/>
      <c r="HR968" s="52"/>
      <c r="HS968" s="52"/>
      <c r="HT968" s="52"/>
      <c r="HU968" s="52"/>
      <c r="HV968" s="52"/>
      <c r="HW968" s="52"/>
      <c r="HX968" s="52"/>
      <c r="HY968" s="52"/>
      <c r="HZ968" s="52"/>
      <c r="IA968" s="52"/>
      <c r="IB968" s="52"/>
      <c r="IC968" s="52"/>
      <c r="ID968" s="52"/>
      <c r="IE968" s="52"/>
      <c r="IF968" s="52"/>
      <c r="IG968" s="52"/>
      <c r="IH968" s="52"/>
      <c r="II968" s="52"/>
      <c r="IJ968" s="52"/>
      <c r="IK968" s="52"/>
      <c r="IL968" s="52"/>
      <c r="IM968" s="52"/>
      <c r="IN968" s="52"/>
      <c r="IO968" s="52"/>
      <c r="IP968" s="52"/>
      <c r="IQ968" s="52"/>
      <c r="IR968" s="52"/>
      <c r="IS968" s="52"/>
      <c r="IT968" s="52"/>
      <c r="IU968" s="52"/>
      <c r="IV968" s="52"/>
      <c r="IW968" s="52"/>
      <c r="IX968" s="52"/>
      <c r="IY968" s="52"/>
      <c r="IZ968" s="52"/>
      <c r="JA968" s="52"/>
      <c r="JB968" s="52"/>
      <c r="JC968" s="52"/>
      <c r="JD968" s="52"/>
      <c r="JE968" s="52"/>
      <c r="JF968" s="52"/>
      <c r="JG968" s="52"/>
      <c r="JH968" s="52"/>
      <c r="JI968" s="52"/>
      <c r="JJ968" s="52"/>
      <c r="JK968" s="52"/>
      <c r="JL968" s="52"/>
      <c r="JM968" s="52"/>
      <c r="JN968" s="52"/>
      <c r="JO968" s="52"/>
      <c r="JP968" s="52"/>
      <c r="JQ968" s="52"/>
      <c r="JR968" s="52"/>
      <c r="JS968" s="52"/>
      <c r="JT968" s="52"/>
      <c r="JU968" s="52"/>
      <c r="JV968" s="52"/>
      <c r="JW968" s="52"/>
      <c r="JX968" s="52"/>
      <c r="JY968" s="52"/>
      <c r="JZ968" s="52"/>
      <c r="KA968" s="52"/>
      <c r="KB968" s="52"/>
      <c r="KC968" s="52"/>
      <c r="KD968" s="52"/>
      <c r="KE968" s="52"/>
    </row>
    <row r="969" spans="1:291" ht="35" customHeight="1">
      <c r="A969" s="23">
        <f>ROW()-3</f>
        <v>966</v>
      </c>
      <c r="B969" s="43" t="s">
        <v>4586</v>
      </c>
      <c r="C969" s="43" t="s">
        <v>3079</v>
      </c>
      <c r="D969" s="43" t="s">
        <v>4720</v>
      </c>
      <c r="E969" s="43" t="s">
        <v>926</v>
      </c>
      <c r="F969" s="43" t="s">
        <v>4721</v>
      </c>
      <c r="G969" s="43" t="s">
        <v>34</v>
      </c>
      <c r="H969" s="43">
        <v>53</v>
      </c>
      <c r="I969" s="43">
        <v>4.41</v>
      </c>
      <c r="J969" s="53">
        <v>44347</v>
      </c>
      <c r="K969" s="51" t="s">
        <v>20</v>
      </c>
      <c r="L969" s="62">
        <v>0</v>
      </c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  <c r="AH969" s="52"/>
      <c r="AI969" s="52"/>
      <c r="AJ969" s="52"/>
      <c r="AK969" s="52"/>
      <c r="AL969" s="52"/>
      <c r="AM969" s="52"/>
      <c r="AN969" s="52"/>
      <c r="AO969" s="52"/>
      <c r="AP969" s="52"/>
      <c r="AQ969" s="52"/>
      <c r="AR969" s="52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52"/>
      <c r="BS969" s="52"/>
      <c r="BT969" s="52"/>
      <c r="BU969" s="52"/>
      <c r="BV969" s="52"/>
      <c r="BW969" s="52"/>
      <c r="BX969" s="52"/>
      <c r="BY969" s="52"/>
      <c r="BZ969" s="52"/>
      <c r="CA969" s="52"/>
      <c r="CB969" s="52"/>
      <c r="CC969" s="52"/>
      <c r="CD969" s="52"/>
      <c r="CE969" s="52"/>
      <c r="CF969" s="52"/>
      <c r="CG969" s="52"/>
      <c r="CH969" s="52"/>
      <c r="CI969" s="52"/>
      <c r="CJ969" s="52"/>
      <c r="CK969" s="52"/>
      <c r="CL969" s="52"/>
      <c r="CM969" s="52"/>
      <c r="CN969" s="52"/>
      <c r="CO969" s="52"/>
      <c r="CP969" s="52"/>
      <c r="CQ969" s="52"/>
      <c r="CR969" s="52"/>
      <c r="CS969" s="52"/>
      <c r="CT969" s="52"/>
      <c r="CU969" s="52"/>
      <c r="CV969" s="52"/>
      <c r="CW969" s="52"/>
      <c r="CX969" s="52"/>
      <c r="CY969" s="52"/>
      <c r="CZ969" s="52"/>
      <c r="DA969" s="52"/>
      <c r="DB969" s="52"/>
      <c r="DC969" s="52"/>
      <c r="DD969" s="52"/>
      <c r="DE969" s="52"/>
      <c r="DF969" s="52"/>
      <c r="DG969" s="52"/>
      <c r="DH969" s="52"/>
      <c r="DI969" s="52"/>
      <c r="DJ969" s="52"/>
      <c r="DK969" s="52"/>
      <c r="DL969" s="52"/>
      <c r="DM969" s="52"/>
      <c r="DN969" s="52"/>
      <c r="DO969" s="52"/>
      <c r="DP969" s="52"/>
      <c r="DQ969" s="52"/>
      <c r="DR969" s="52"/>
      <c r="DS969" s="52"/>
      <c r="DT969" s="52"/>
      <c r="DU969" s="52"/>
      <c r="DV969" s="52"/>
      <c r="DW969" s="52"/>
      <c r="DX969" s="52"/>
      <c r="DY969" s="52"/>
      <c r="DZ969" s="52"/>
      <c r="EA969" s="52"/>
      <c r="EB969" s="52"/>
      <c r="EC969" s="52"/>
      <c r="ED969" s="52"/>
      <c r="EE969" s="52"/>
      <c r="EF969" s="52"/>
      <c r="EG969" s="52"/>
      <c r="EH969" s="52"/>
      <c r="EI969" s="52"/>
      <c r="EJ969" s="52"/>
      <c r="EK969" s="52"/>
      <c r="EL969" s="52"/>
      <c r="EM969" s="52"/>
      <c r="EN969" s="52"/>
      <c r="EO969" s="52"/>
      <c r="EP969" s="52"/>
      <c r="EQ969" s="52"/>
      <c r="ER969" s="52"/>
      <c r="ES969" s="52"/>
      <c r="ET969" s="52"/>
      <c r="EU969" s="52"/>
      <c r="EV969" s="52"/>
      <c r="EW969" s="52"/>
      <c r="EX969" s="52"/>
      <c r="EY969" s="52"/>
      <c r="EZ969" s="52"/>
      <c r="FA969" s="52"/>
      <c r="FB969" s="52"/>
      <c r="FC969" s="52"/>
      <c r="FD969" s="52"/>
      <c r="FE969" s="52"/>
      <c r="FF969" s="52"/>
      <c r="FG969" s="52"/>
      <c r="FH969" s="52"/>
      <c r="FI969" s="52"/>
      <c r="FJ969" s="52"/>
      <c r="FK969" s="52"/>
      <c r="FL969" s="52"/>
      <c r="FM969" s="52"/>
      <c r="FN969" s="52"/>
      <c r="FO969" s="52"/>
      <c r="FP969" s="52"/>
      <c r="FQ969" s="52"/>
      <c r="FR969" s="52"/>
      <c r="FS969" s="52"/>
      <c r="FT969" s="52"/>
      <c r="FU969" s="52"/>
      <c r="FV969" s="52"/>
      <c r="FW969" s="52"/>
      <c r="FX969" s="52"/>
      <c r="FY969" s="52"/>
      <c r="FZ969" s="52"/>
      <c r="GA969" s="52"/>
      <c r="GB969" s="52"/>
      <c r="GC969" s="52"/>
      <c r="GD969" s="52"/>
      <c r="GE969" s="52"/>
      <c r="GF969" s="52"/>
      <c r="GG969" s="52"/>
      <c r="GH969" s="52"/>
      <c r="GI969" s="52"/>
      <c r="GJ969" s="52"/>
      <c r="GK969" s="52"/>
      <c r="GL969" s="52"/>
      <c r="GM969" s="52"/>
      <c r="GN969" s="52"/>
      <c r="GO969" s="52"/>
      <c r="GP969" s="52"/>
      <c r="GQ969" s="52"/>
      <c r="GR969" s="52"/>
      <c r="GS969" s="52"/>
      <c r="GT969" s="52"/>
      <c r="GU969" s="52"/>
      <c r="GV969" s="52"/>
      <c r="GW969" s="52"/>
      <c r="GX969" s="52"/>
      <c r="GY969" s="52"/>
      <c r="GZ969" s="52"/>
      <c r="HA969" s="52"/>
      <c r="HB969" s="52"/>
      <c r="HC969" s="52"/>
      <c r="HD969" s="52"/>
      <c r="HE969" s="52"/>
      <c r="HF969" s="52"/>
      <c r="HG969" s="52"/>
      <c r="HH969" s="52"/>
      <c r="HI969" s="52"/>
      <c r="HJ969" s="52"/>
      <c r="HK969" s="52"/>
      <c r="HL969" s="52"/>
      <c r="HM969" s="52"/>
      <c r="HN969" s="52"/>
      <c r="HO969" s="52"/>
      <c r="HP969" s="52"/>
      <c r="HQ969" s="52"/>
      <c r="HR969" s="52"/>
      <c r="HS969" s="52"/>
      <c r="HT969" s="52"/>
      <c r="HU969" s="52"/>
      <c r="HV969" s="52"/>
      <c r="HW969" s="52"/>
      <c r="HX969" s="52"/>
      <c r="HY969" s="52"/>
      <c r="HZ969" s="52"/>
      <c r="IA969" s="52"/>
      <c r="IB969" s="52"/>
      <c r="IC969" s="52"/>
      <c r="ID969" s="52"/>
      <c r="IE969" s="52"/>
      <c r="IF969" s="52"/>
      <c r="IG969" s="52"/>
      <c r="IH969" s="52"/>
      <c r="II969" s="52"/>
      <c r="IJ969" s="52"/>
      <c r="IK969" s="52"/>
      <c r="IL969" s="52"/>
      <c r="IM969" s="52"/>
      <c r="IN969" s="52"/>
      <c r="IO969" s="52"/>
      <c r="IP969" s="52"/>
      <c r="IQ969" s="52"/>
      <c r="IR969" s="52"/>
      <c r="IS969" s="52"/>
      <c r="IT969" s="52"/>
      <c r="IU969" s="52"/>
      <c r="IV969" s="52"/>
      <c r="IW969" s="52"/>
      <c r="IX969" s="52"/>
      <c r="IY969" s="52"/>
      <c r="IZ969" s="52"/>
      <c r="JA969" s="52"/>
      <c r="JB969" s="52"/>
      <c r="JC969" s="52"/>
      <c r="JD969" s="52"/>
      <c r="JE969" s="52"/>
      <c r="JF969" s="52"/>
      <c r="JG969" s="52"/>
      <c r="JH969" s="52"/>
      <c r="JI969" s="52"/>
      <c r="JJ969" s="52"/>
      <c r="JK969" s="52"/>
      <c r="JL969" s="52"/>
      <c r="JM969" s="52"/>
      <c r="JN969" s="52"/>
      <c r="JO969" s="52"/>
      <c r="JP969" s="52"/>
      <c r="JQ969" s="52"/>
      <c r="JR969" s="52"/>
      <c r="JS969" s="52"/>
      <c r="JT969" s="52"/>
      <c r="JU969" s="52"/>
      <c r="JV969" s="52"/>
      <c r="JW969" s="52"/>
      <c r="JX969" s="52"/>
      <c r="JY969" s="52"/>
      <c r="JZ969" s="52"/>
      <c r="KA969" s="52"/>
      <c r="KB969" s="52"/>
      <c r="KC969" s="52"/>
      <c r="KD969" s="52"/>
      <c r="KE969" s="52"/>
    </row>
    <row r="970" spans="1:291" ht="35" customHeight="1">
      <c r="A970" s="23">
        <f>ROW()-3</f>
        <v>967</v>
      </c>
      <c r="B970" s="43" t="s">
        <v>4586</v>
      </c>
      <c r="C970" s="43" t="s">
        <v>3079</v>
      </c>
      <c r="D970" s="43" t="s">
        <v>4722</v>
      </c>
      <c r="E970" s="43" t="s">
        <v>4723</v>
      </c>
      <c r="F970" s="43" t="s">
        <v>4724</v>
      </c>
      <c r="G970" s="43" t="s">
        <v>34</v>
      </c>
      <c r="H970" s="43">
        <v>26</v>
      </c>
      <c r="I970" s="43">
        <v>1.89</v>
      </c>
      <c r="J970" s="53">
        <v>44382</v>
      </c>
      <c r="K970" s="51" t="s">
        <v>20</v>
      </c>
      <c r="L970" s="62">
        <v>12.99</v>
      </c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  <c r="AH970" s="52"/>
      <c r="AI970" s="52"/>
      <c r="AJ970" s="52"/>
      <c r="AK970" s="52"/>
      <c r="AL970" s="52"/>
      <c r="AM970" s="52"/>
      <c r="AN970" s="52"/>
      <c r="AO970" s="52"/>
      <c r="AP970" s="52"/>
      <c r="AQ970" s="52"/>
      <c r="AR970" s="52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52"/>
      <c r="BS970" s="52"/>
      <c r="BT970" s="52"/>
      <c r="BU970" s="52"/>
      <c r="BV970" s="52"/>
      <c r="BW970" s="52"/>
      <c r="BX970" s="52"/>
      <c r="BY970" s="52"/>
      <c r="BZ970" s="52"/>
      <c r="CA970" s="52"/>
      <c r="CB970" s="52"/>
      <c r="CC970" s="52"/>
      <c r="CD970" s="52"/>
      <c r="CE970" s="52"/>
      <c r="CF970" s="52"/>
      <c r="CG970" s="52"/>
      <c r="CH970" s="52"/>
      <c r="CI970" s="52"/>
      <c r="CJ970" s="52"/>
      <c r="CK970" s="52"/>
      <c r="CL970" s="52"/>
      <c r="CM970" s="52"/>
      <c r="CN970" s="52"/>
      <c r="CO970" s="52"/>
      <c r="CP970" s="52"/>
      <c r="CQ970" s="52"/>
      <c r="CR970" s="52"/>
      <c r="CS970" s="52"/>
      <c r="CT970" s="52"/>
      <c r="CU970" s="52"/>
      <c r="CV970" s="52"/>
      <c r="CW970" s="52"/>
      <c r="CX970" s="52"/>
      <c r="CY970" s="52"/>
      <c r="CZ970" s="52"/>
      <c r="DA970" s="52"/>
      <c r="DB970" s="52"/>
      <c r="DC970" s="52"/>
      <c r="DD970" s="52"/>
      <c r="DE970" s="52"/>
      <c r="DF970" s="52"/>
      <c r="DG970" s="52"/>
      <c r="DH970" s="52"/>
      <c r="DI970" s="52"/>
      <c r="DJ970" s="52"/>
      <c r="DK970" s="52"/>
      <c r="DL970" s="52"/>
      <c r="DM970" s="52"/>
      <c r="DN970" s="52"/>
      <c r="DO970" s="52"/>
      <c r="DP970" s="52"/>
      <c r="DQ970" s="52"/>
      <c r="DR970" s="52"/>
      <c r="DS970" s="52"/>
      <c r="DT970" s="52"/>
      <c r="DU970" s="52"/>
      <c r="DV970" s="52"/>
      <c r="DW970" s="52"/>
      <c r="DX970" s="52"/>
      <c r="DY970" s="52"/>
      <c r="DZ970" s="52"/>
      <c r="EA970" s="52"/>
      <c r="EB970" s="52"/>
      <c r="EC970" s="52"/>
      <c r="ED970" s="52"/>
      <c r="EE970" s="52"/>
      <c r="EF970" s="52"/>
      <c r="EG970" s="52"/>
      <c r="EH970" s="52"/>
      <c r="EI970" s="52"/>
      <c r="EJ970" s="52"/>
      <c r="EK970" s="52"/>
      <c r="EL970" s="52"/>
      <c r="EM970" s="52"/>
      <c r="EN970" s="52"/>
      <c r="EO970" s="52"/>
      <c r="EP970" s="52"/>
      <c r="EQ970" s="52"/>
      <c r="ER970" s="52"/>
      <c r="ES970" s="52"/>
      <c r="ET970" s="52"/>
      <c r="EU970" s="52"/>
      <c r="EV970" s="52"/>
      <c r="EW970" s="52"/>
      <c r="EX970" s="52"/>
      <c r="EY970" s="52"/>
      <c r="EZ970" s="52"/>
      <c r="FA970" s="52"/>
      <c r="FB970" s="52"/>
      <c r="FC970" s="52"/>
      <c r="FD970" s="52"/>
      <c r="FE970" s="52"/>
      <c r="FF970" s="52"/>
      <c r="FG970" s="52"/>
      <c r="FH970" s="52"/>
      <c r="FI970" s="52"/>
      <c r="FJ970" s="52"/>
      <c r="FK970" s="52"/>
      <c r="FL970" s="52"/>
      <c r="FM970" s="52"/>
      <c r="FN970" s="52"/>
      <c r="FO970" s="52"/>
      <c r="FP970" s="52"/>
      <c r="FQ970" s="52"/>
      <c r="FR970" s="52"/>
      <c r="FS970" s="52"/>
      <c r="FT970" s="52"/>
      <c r="FU970" s="52"/>
      <c r="FV970" s="52"/>
      <c r="FW970" s="52"/>
      <c r="FX970" s="52"/>
      <c r="FY970" s="52"/>
      <c r="FZ970" s="52"/>
      <c r="GA970" s="52"/>
      <c r="GB970" s="52"/>
      <c r="GC970" s="52"/>
      <c r="GD970" s="52"/>
      <c r="GE970" s="52"/>
      <c r="GF970" s="52"/>
      <c r="GG970" s="52"/>
      <c r="GH970" s="52"/>
      <c r="GI970" s="52"/>
      <c r="GJ970" s="52"/>
      <c r="GK970" s="52"/>
      <c r="GL970" s="52"/>
      <c r="GM970" s="52"/>
      <c r="GN970" s="52"/>
      <c r="GO970" s="52"/>
      <c r="GP970" s="52"/>
      <c r="GQ970" s="52"/>
      <c r="GR970" s="52"/>
      <c r="GS970" s="52"/>
      <c r="GT970" s="52"/>
      <c r="GU970" s="52"/>
      <c r="GV970" s="52"/>
      <c r="GW970" s="52"/>
      <c r="GX970" s="52"/>
      <c r="GY970" s="52"/>
      <c r="GZ970" s="52"/>
      <c r="HA970" s="52"/>
      <c r="HB970" s="52"/>
      <c r="HC970" s="52"/>
      <c r="HD970" s="52"/>
      <c r="HE970" s="52"/>
      <c r="HF970" s="52"/>
      <c r="HG970" s="52"/>
      <c r="HH970" s="52"/>
      <c r="HI970" s="52"/>
      <c r="HJ970" s="52"/>
      <c r="HK970" s="52"/>
      <c r="HL970" s="52"/>
      <c r="HM970" s="52"/>
      <c r="HN970" s="52"/>
      <c r="HO970" s="52"/>
      <c r="HP970" s="52"/>
      <c r="HQ970" s="52"/>
      <c r="HR970" s="52"/>
      <c r="HS970" s="52"/>
      <c r="HT970" s="52"/>
      <c r="HU970" s="52"/>
      <c r="HV970" s="52"/>
      <c r="HW970" s="52"/>
      <c r="HX970" s="52"/>
      <c r="HY970" s="52"/>
      <c r="HZ970" s="52"/>
      <c r="IA970" s="52"/>
      <c r="IB970" s="52"/>
      <c r="IC970" s="52"/>
      <c r="ID970" s="52"/>
      <c r="IE970" s="52"/>
      <c r="IF970" s="52"/>
      <c r="IG970" s="52"/>
      <c r="IH970" s="52"/>
      <c r="II970" s="52"/>
      <c r="IJ970" s="52"/>
      <c r="IK970" s="52"/>
      <c r="IL970" s="52"/>
      <c r="IM970" s="52"/>
      <c r="IN970" s="52"/>
      <c r="IO970" s="52"/>
      <c r="IP970" s="52"/>
      <c r="IQ970" s="52"/>
      <c r="IR970" s="52"/>
      <c r="IS970" s="52"/>
      <c r="IT970" s="52"/>
      <c r="IU970" s="52"/>
      <c r="IV970" s="52"/>
      <c r="IW970" s="52"/>
      <c r="IX970" s="52"/>
      <c r="IY970" s="52"/>
      <c r="IZ970" s="52"/>
      <c r="JA970" s="52"/>
      <c r="JB970" s="52"/>
      <c r="JC970" s="52"/>
      <c r="JD970" s="52"/>
      <c r="JE970" s="52"/>
      <c r="JF970" s="52"/>
      <c r="JG970" s="52"/>
      <c r="JH970" s="52"/>
      <c r="JI970" s="52"/>
      <c r="JJ970" s="52"/>
      <c r="JK970" s="52"/>
      <c r="JL970" s="52"/>
      <c r="JM970" s="52"/>
      <c r="JN970" s="52"/>
      <c r="JO970" s="52"/>
      <c r="JP970" s="52"/>
      <c r="JQ970" s="52"/>
      <c r="JR970" s="52"/>
      <c r="JS970" s="52"/>
      <c r="JT970" s="52"/>
      <c r="JU970" s="52"/>
      <c r="JV970" s="52"/>
      <c r="JW970" s="52"/>
      <c r="JX970" s="52"/>
      <c r="JY970" s="52"/>
      <c r="JZ970" s="52"/>
      <c r="KA970" s="52"/>
      <c r="KB970" s="52"/>
      <c r="KC970" s="52"/>
      <c r="KD970" s="52"/>
      <c r="KE970" s="52"/>
    </row>
    <row r="971" spans="1:291" ht="35" customHeight="1">
      <c r="A971" s="23">
        <f>ROW()-3</f>
        <v>968</v>
      </c>
      <c r="B971" s="43" t="s">
        <v>4586</v>
      </c>
      <c r="C971" s="43" t="s">
        <v>3079</v>
      </c>
      <c r="D971" s="43" t="s">
        <v>4725</v>
      </c>
      <c r="E971" s="43" t="s">
        <v>4726</v>
      </c>
      <c r="F971" s="43" t="s">
        <v>4726</v>
      </c>
      <c r="G971" s="43" t="s">
        <v>34</v>
      </c>
      <c r="H971" s="43">
        <v>38</v>
      </c>
      <c r="I971" s="43">
        <v>12</v>
      </c>
      <c r="J971" s="53">
        <v>44390</v>
      </c>
      <c r="K971" s="51" t="s">
        <v>20</v>
      </c>
      <c r="L971" s="62">
        <v>49.9</v>
      </c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  <c r="AH971" s="52"/>
      <c r="AI971" s="52"/>
      <c r="AJ971" s="52"/>
      <c r="AK971" s="52"/>
      <c r="AL971" s="52"/>
      <c r="AM971" s="52"/>
      <c r="AN971" s="52"/>
      <c r="AO971" s="52"/>
      <c r="AP971" s="52"/>
      <c r="AQ971" s="52"/>
      <c r="AR971" s="52"/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52"/>
      <c r="BS971" s="52"/>
      <c r="BT971" s="52"/>
      <c r="BU971" s="52"/>
      <c r="BV971" s="52"/>
      <c r="BW971" s="52"/>
      <c r="BX971" s="52"/>
      <c r="BY971" s="52"/>
      <c r="BZ971" s="52"/>
      <c r="CA971" s="52"/>
      <c r="CB971" s="52"/>
      <c r="CC971" s="52"/>
      <c r="CD971" s="52"/>
      <c r="CE971" s="52"/>
      <c r="CF971" s="52"/>
      <c r="CG971" s="52"/>
      <c r="CH971" s="52"/>
      <c r="CI971" s="52"/>
      <c r="CJ971" s="52"/>
      <c r="CK971" s="52"/>
      <c r="CL971" s="52"/>
      <c r="CM971" s="52"/>
      <c r="CN971" s="52"/>
      <c r="CO971" s="52"/>
      <c r="CP971" s="52"/>
      <c r="CQ971" s="52"/>
      <c r="CR971" s="52"/>
      <c r="CS971" s="52"/>
      <c r="CT971" s="52"/>
      <c r="CU971" s="52"/>
      <c r="CV971" s="52"/>
      <c r="CW971" s="52"/>
      <c r="CX971" s="52"/>
      <c r="CY971" s="52"/>
      <c r="CZ971" s="52"/>
      <c r="DA971" s="52"/>
      <c r="DB971" s="52"/>
      <c r="DC971" s="52"/>
      <c r="DD971" s="52"/>
      <c r="DE971" s="52"/>
      <c r="DF971" s="52"/>
      <c r="DG971" s="52"/>
      <c r="DH971" s="52"/>
      <c r="DI971" s="52"/>
      <c r="DJ971" s="52"/>
      <c r="DK971" s="52"/>
      <c r="DL971" s="52"/>
      <c r="DM971" s="52"/>
      <c r="DN971" s="52"/>
      <c r="DO971" s="52"/>
      <c r="DP971" s="52"/>
      <c r="DQ971" s="52"/>
      <c r="DR971" s="52"/>
      <c r="DS971" s="52"/>
      <c r="DT971" s="52"/>
      <c r="DU971" s="52"/>
      <c r="DV971" s="52"/>
      <c r="DW971" s="52"/>
      <c r="DX971" s="52"/>
      <c r="DY971" s="52"/>
      <c r="DZ971" s="52"/>
      <c r="EA971" s="52"/>
      <c r="EB971" s="52"/>
      <c r="EC971" s="52"/>
      <c r="ED971" s="52"/>
      <c r="EE971" s="52"/>
      <c r="EF971" s="52"/>
      <c r="EG971" s="52"/>
      <c r="EH971" s="52"/>
      <c r="EI971" s="52"/>
      <c r="EJ971" s="52"/>
      <c r="EK971" s="52"/>
      <c r="EL971" s="52"/>
      <c r="EM971" s="52"/>
      <c r="EN971" s="52"/>
      <c r="EO971" s="52"/>
      <c r="EP971" s="52"/>
      <c r="EQ971" s="52"/>
      <c r="ER971" s="52"/>
      <c r="ES971" s="52"/>
      <c r="ET971" s="52"/>
      <c r="EU971" s="52"/>
      <c r="EV971" s="52"/>
      <c r="EW971" s="52"/>
      <c r="EX971" s="52"/>
      <c r="EY971" s="52"/>
      <c r="EZ971" s="52"/>
      <c r="FA971" s="52"/>
      <c r="FB971" s="52"/>
      <c r="FC971" s="52"/>
      <c r="FD971" s="52"/>
      <c r="FE971" s="52"/>
      <c r="FF971" s="52"/>
      <c r="FG971" s="52"/>
      <c r="FH971" s="52"/>
      <c r="FI971" s="52"/>
      <c r="FJ971" s="52"/>
      <c r="FK971" s="52"/>
      <c r="FL971" s="52"/>
      <c r="FM971" s="52"/>
      <c r="FN971" s="52"/>
      <c r="FO971" s="52"/>
      <c r="FP971" s="52"/>
      <c r="FQ971" s="52"/>
      <c r="FR971" s="52"/>
      <c r="FS971" s="52"/>
      <c r="FT971" s="52"/>
      <c r="FU971" s="52"/>
      <c r="FV971" s="52"/>
      <c r="FW971" s="52"/>
      <c r="FX971" s="52"/>
      <c r="FY971" s="52"/>
      <c r="FZ971" s="52"/>
      <c r="GA971" s="52"/>
      <c r="GB971" s="52"/>
      <c r="GC971" s="52"/>
      <c r="GD971" s="52"/>
      <c r="GE971" s="52"/>
      <c r="GF971" s="52"/>
      <c r="GG971" s="52"/>
      <c r="GH971" s="52"/>
      <c r="GI971" s="52"/>
      <c r="GJ971" s="52"/>
      <c r="GK971" s="52"/>
      <c r="GL971" s="52"/>
      <c r="GM971" s="52"/>
      <c r="GN971" s="52"/>
      <c r="GO971" s="52"/>
      <c r="GP971" s="52"/>
      <c r="GQ971" s="52"/>
      <c r="GR971" s="52"/>
      <c r="GS971" s="52"/>
      <c r="GT971" s="52"/>
      <c r="GU971" s="52"/>
      <c r="GV971" s="52"/>
      <c r="GW971" s="52"/>
      <c r="GX971" s="52"/>
      <c r="GY971" s="52"/>
      <c r="GZ971" s="52"/>
      <c r="HA971" s="52"/>
      <c r="HB971" s="52"/>
      <c r="HC971" s="52"/>
      <c r="HD971" s="52"/>
      <c r="HE971" s="52"/>
      <c r="HF971" s="52"/>
      <c r="HG971" s="52"/>
      <c r="HH971" s="52"/>
      <c r="HI971" s="52"/>
      <c r="HJ971" s="52"/>
      <c r="HK971" s="52"/>
      <c r="HL971" s="52"/>
      <c r="HM971" s="52"/>
      <c r="HN971" s="52"/>
      <c r="HO971" s="52"/>
      <c r="HP971" s="52"/>
      <c r="HQ971" s="52"/>
      <c r="HR971" s="52"/>
      <c r="HS971" s="52"/>
      <c r="HT971" s="52"/>
      <c r="HU971" s="52"/>
      <c r="HV971" s="52"/>
      <c r="HW971" s="52"/>
      <c r="HX971" s="52"/>
      <c r="HY971" s="52"/>
      <c r="HZ971" s="52"/>
      <c r="IA971" s="52"/>
      <c r="IB971" s="52"/>
      <c r="IC971" s="52"/>
      <c r="ID971" s="52"/>
      <c r="IE971" s="52"/>
      <c r="IF971" s="52"/>
      <c r="IG971" s="52"/>
      <c r="IH971" s="52"/>
      <c r="II971" s="52"/>
      <c r="IJ971" s="52"/>
      <c r="IK971" s="52"/>
      <c r="IL971" s="52"/>
      <c r="IM971" s="52"/>
      <c r="IN971" s="52"/>
      <c r="IO971" s="52"/>
      <c r="IP971" s="52"/>
      <c r="IQ971" s="52"/>
      <c r="IR971" s="52"/>
      <c r="IS971" s="52"/>
      <c r="IT971" s="52"/>
      <c r="IU971" s="52"/>
      <c r="IV971" s="52"/>
      <c r="IW971" s="52"/>
      <c r="IX971" s="52"/>
      <c r="IY971" s="52"/>
      <c r="IZ971" s="52"/>
      <c r="JA971" s="52"/>
      <c r="JB971" s="52"/>
      <c r="JC971" s="52"/>
      <c r="JD971" s="52"/>
      <c r="JE971" s="52"/>
      <c r="JF971" s="52"/>
      <c r="JG971" s="52"/>
      <c r="JH971" s="52"/>
      <c r="JI971" s="52"/>
      <c r="JJ971" s="52"/>
      <c r="JK971" s="52"/>
      <c r="JL971" s="52"/>
      <c r="JM971" s="52"/>
      <c r="JN971" s="52"/>
      <c r="JO971" s="52"/>
      <c r="JP971" s="52"/>
      <c r="JQ971" s="52"/>
      <c r="JR971" s="52"/>
      <c r="JS971" s="52"/>
      <c r="JT971" s="52"/>
      <c r="JU971" s="52"/>
      <c r="JV971" s="52"/>
      <c r="JW971" s="52"/>
      <c r="JX971" s="52"/>
      <c r="JY971" s="52"/>
      <c r="JZ971" s="52"/>
      <c r="KA971" s="52"/>
      <c r="KB971" s="52"/>
      <c r="KC971" s="52"/>
      <c r="KD971" s="52"/>
      <c r="KE971" s="52"/>
    </row>
    <row r="972" spans="1:291" ht="35" customHeight="1">
      <c r="A972" s="23">
        <f>ROW()-3</f>
        <v>969</v>
      </c>
      <c r="B972" s="182" t="s">
        <v>5597</v>
      </c>
      <c r="C972" s="182" t="s">
        <v>3079</v>
      </c>
      <c r="D972" s="187" t="s">
        <v>5496</v>
      </c>
      <c r="E972" s="187" t="s">
        <v>5521</v>
      </c>
      <c r="F972" s="187" t="s">
        <v>5522</v>
      </c>
      <c r="G972" s="42" t="s">
        <v>3253</v>
      </c>
      <c r="H972" s="182">
        <v>137</v>
      </c>
      <c r="I972" s="206">
        <v>18.596666666666668</v>
      </c>
      <c r="J972" s="209">
        <v>44614</v>
      </c>
      <c r="K972" s="46" t="s">
        <v>20</v>
      </c>
      <c r="L972" s="202"/>
    </row>
    <row r="973" spans="1:291" ht="35" customHeight="1">
      <c r="A973" s="23">
        <f>ROW()-3</f>
        <v>970</v>
      </c>
      <c r="B973" s="182" t="s">
        <v>5597</v>
      </c>
      <c r="C973" s="182" t="s">
        <v>3079</v>
      </c>
      <c r="D973" s="187" t="s">
        <v>5499</v>
      </c>
      <c r="E973" s="187" t="s">
        <v>5530</v>
      </c>
      <c r="F973" s="187" t="s">
        <v>5523</v>
      </c>
      <c r="G973" s="42" t="s">
        <v>3253</v>
      </c>
      <c r="H973" s="182">
        <v>37</v>
      </c>
      <c r="I973" s="206">
        <v>15.389444444444445</v>
      </c>
      <c r="J973" s="209">
        <v>44614</v>
      </c>
      <c r="K973" s="211" t="s">
        <v>5579</v>
      </c>
      <c r="L973" s="202">
        <v>44</v>
      </c>
    </row>
    <row r="974" spans="1:291" ht="35" customHeight="1">
      <c r="A974" s="23">
        <f>ROW()-3</f>
        <v>971</v>
      </c>
      <c r="B974" s="182" t="s">
        <v>5597</v>
      </c>
      <c r="C974" s="182" t="s">
        <v>3079</v>
      </c>
      <c r="D974" s="187" t="s">
        <v>5502</v>
      </c>
      <c r="E974" s="187" t="s">
        <v>5535</v>
      </c>
      <c r="F974" s="187"/>
      <c r="G974" s="42" t="s">
        <v>3253</v>
      </c>
      <c r="H974" s="182">
        <v>44</v>
      </c>
      <c r="I974" s="206">
        <v>6.7505555555555556</v>
      </c>
      <c r="J974" s="209">
        <v>44614</v>
      </c>
      <c r="K974" s="46" t="s">
        <v>20</v>
      </c>
      <c r="L974" s="202">
        <v>33.9</v>
      </c>
    </row>
    <row r="975" spans="1:291" ht="35" customHeight="1">
      <c r="A975" s="23">
        <f>ROW()-3</f>
        <v>972</v>
      </c>
      <c r="B975" s="182" t="s">
        <v>5597</v>
      </c>
      <c r="C975" s="182" t="s">
        <v>3079</v>
      </c>
      <c r="D975" s="187" t="s">
        <v>5539</v>
      </c>
      <c r="E975" s="187" t="s">
        <v>5540</v>
      </c>
      <c r="F975" s="187" t="s">
        <v>5523</v>
      </c>
      <c r="G975" s="42" t="s">
        <v>3253</v>
      </c>
      <c r="H975" s="182">
        <v>34</v>
      </c>
      <c r="I975" s="206">
        <v>12.6275</v>
      </c>
      <c r="J975" s="209">
        <v>44614</v>
      </c>
      <c r="K975" s="211" t="s">
        <v>5579</v>
      </c>
      <c r="L975" s="202">
        <v>24.5</v>
      </c>
    </row>
    <row r="976" spans="1:291" ht="35" customHeight="1">
      <c r="A976" s="23">
        <f>ROW()-3</f>
        <v>973</v>
      </c>
      <c r="B976" s="182" t="s">
        <v>5597</v>
      </c>
      <c r="C976" s="182" t="s">
        <v>3079</v>
      </c>
      <c r="D976" s="187" t="s">
        <v>5503</v>
      </c>
      <c r="E976" s="187" t="s">
        <v>5541</v>
      </c>
      <c r="F976" s="187" t="s">
        <v>5523</v>
      </c>
      <c r="G976" s="42" t="s">
        <v>3253</v>
      </c>
      <c r="H976" s="182">
        <v>58</v>
      </c>
      <c r="I976" s="206">
        <v>9.9238888888888894</v>
      </c>
      <c r="J976" s="209">
        <v>44614</v>
      </c>
      <c r="K976" s="46" t="s">
        <v>20</v>
      </c>
      <c r="L976" s="202">
        <v>34</v>
      </c>
    </row>
    <row r="977" spans="1:12" ht="35" customHeight="1">
      <c r="A977" s="23">
        <f>ROW()-3</f>
        <v>974</v>
      </c>
      <c r="B977" s="182" t="s">
        <v>5597</v>
      </c>
      <c r="C977" s="182" t="s">
        <v>3079</v>
      </c>
      <c r="D977" s="187" t="s">
        <v>5555</v>
      </c>
      <c r="E977" s="187" t="s">
        <v>5556</v>
      </c>
      <c r="F977" s="187" t="s">
        <v>5557</v>
      </c>
      <c r="G977" s="42" t="s">
        <v>3253</v>
      </c>
      <c r="H977" s="182">
        <v>37</v>
      </c>
      <c r="I977" s="206">
        <v>12.129166666666666</v>
      </c>
      <c r="J977" s="209">
        <v>44614</v>
      </c>
      <c r="K977" s="46" t="s">
        <v>20</v>
      </c>
      <c r="L977" s="202">
        <v>14.99</v>
      </c>
    </row>
    <row r="978" spans="1:12" ht="35" customHeight="1">
      <c r="A978" s="23">
        <f>ROW()-3</f>
        <v>975</v>
      </c>
      <c r="B978" s="182" t="s">
        <v>5597</v>
      </c>
      <c r="C978" s="182" t="s">
        <v>3079</v>
      </c>
      <c r="D978" s="187" t="s">
        <v>5508</v>
      </c>
      <c r="E978" s="187" t="s">
        <v>5558</v>
      </c>
      <c r="F978" s="187" t="s">
        <v>5559</v>
      </c>
      <c r="G978" s="42" t="s">
        <v>3253</v>
      </c>
      <c r="H978" s="182">
        <v>171</v>
      </c>
      <c r="I978" s="206">
        <v>24.944166666666668</v>
      </c>
      <c r="J978" s="209">
        <v>44614</v>
      </c>
      <c r="K978" s="46" t="s">
        <v>20</v>
      </c>
      <c r="L978" s="202">
        <v>56.88</v>
      </c>
    </row>
    <row r="979" spans="1:12" ht="35" customHeight="1">
      <c r="A979" s="23">
        <f>ROW()-3</f>
        <v>976</v>
      </c>
      <c r="B979" s="182" t="s">
        <v>5597</v>
      </c>
      <c r="C979" s="182" t="s">
        <v>3079</v>
      </c>
      <c r="D979" s="187" t="s">
        <v>5568</v>
      </c>
      <c r="E979" s="187" t="s">
        <v>5569</v>
      </c>
      <c r="F979" s="187" t="s">
        <v>5570</v>
      </c>
      <c r="G979" s="42" t="s">
        <v>3253</v>
      </c>
      <c r="H979" s="182">
        <v>33</v>
      </c>
      <c r="I979" s="206">
        <v>8.0291666666666668</v>
      </c>
      <c r="J979" s="209">
        <v>44614</v>
      </c>
      <c r="K979" s="46" t="s">
        <v>20</v>
      </c>
      <c r="L979" s="202">
        <v>39</v>
      </c>
    </row>
    <row r="980" spans="1:12" ht="35" customHeight="1">
      <c r="A980" s="23">
        <f>ROW()-3</f>
        <v>977</v>
      </c>
      <c r="B980" s="182" t="s">
        <v>5597</v>
      </c>
      <c r="C980" s="182" t="s">
        <v>3079</v>
      </c>
      <c r="D980" s="187" t="s">
        <v>5512</v>
      </c>
      <c r="E980" s="187" t="s">
        <v>5576</v>
      </c>
      <c r="F980" s="187" t="s">
        <v>5523</v>
      </c>
      <c r="G980" s="42" t="s">
        <v>3253</v>
      </c>
      <c r="H980" s="182">
        <v>21</v>
      </c>
      <c r="I980" s="206">
        <v>7.4219444444444447</v>
      </c>
      <c r="J980" s="209">
        <v>44614</v>
      </c>
      <c r="K980" s="211" t="s">
        <v>5575</v>
      </c>
      <c r="L980" s="202">
        <v>29</v>
      </c>
    </row>
    <row r="981" spans="1:12" ht="35" customHeight="1">
      <c r="A981" s="23">
        <f>ROW()-3</f>
        <v>978</v>
      </c>
      <c r="B981" s="182" t="s">
        <v>5597</v>
      </c>
      <c r="C981" s="182" t="s">
        <v>3079</v>
      </c>
      <c r="D981" s="187" t="s">
        <v>5517</v>
      </c>
      <c r="E981" s="187" t="s">
        <v>5587</v>
      </c>
      <c r="F981" s="187" t="s">
        <v>5588</v>
      </c>
      <c r="G981" s="42" t="s">
        <v>3253</v>
      </c>
      <c r="H981" s="182">
        <v>173</v>
      </c>
      <c r="I981" s="206">
        <v>42.985833333333332</v>
      </c>
      <c r="J981" s="209">
        <v>44614</v>
      </c>
      <c r="K981" s="211" t="s">
        <v>5579</v>
      </c>
      <c r="L981" s="202">
        <v>129</v>
      </c>
    </row>
    <row r="982" spans="1:12" ht="35" customHeight="1">
      <c r="A982" s="23">
        <f>ROW()-3</f>
        <v>979</v>
      </c>
      <c r="B982" s="42" t="s">
        <v>4586</v>
      </c>
      <c r="C982" s="42" t="s">
        <v>3261</v>
      </c>
      <c r="D982" s="43" t="s">
        <v>4734</v>
      </c>
      <c r="E982" s="43" t="s">
        <v>4735</v>
      </c>
      <c r="F982" s="43" t="s">
        <v>4736</v>
      </c>
      <c r="G982" s="42" t="s">
        <v>34</v>
      </c>
      <c r="H982" s="43">
        <v>114</v>
      </c>
      <c r="I982" s="49">
        <v>31.92</v>
      </c>
      <c r="J982" s="45">
        <v>43276</v>
      </c>
      <c r="K982" s="46" t="s">
        <v>20</v>
      </c>
      <c r="L982" s="48">
        <v>199</v>
      </c>
    </row>
    <row r="983" spans="1:12" ht="35" customHeight="1">
      <c r="A983" s="23">
        <f>ROW()-3</f>
        <v>980</v>
      </c>
      <c r="B983" s="42" t="s">
        <v>4586</v>
      </c>
      <c r="C983" s="42" t="s">
        <v>3261</v>
      </c>
      <c r="D983" s="43" t="s">
        <v>4740</v>
      </c>
      <c r="E983" s="43" t="s">
        <v>4741</v>
      </c>
      <c r="F983" s="43" t="s">
        <v>4742</v>
      </c>
      <c r="G983" s="42" t="s">
        <v>34</v>
      </c>
      <c r="H983" s="43">
        <v>112</v>
      </c>
      <c r="I983" s="49">
        <v>46.896111111111097</v>
      </c>
      <c r="J983" s="45">
        <v>43276</v>
      </c>
      <c r="K983" s="46" t="s">
        <v>20</v>
      </c>
      <c r="L983" s="48">
        <v>49</v>
      </c>
    </row>
    <row r="984" spans="1:12" ht="35" customHeight="1">
      <c r="A984" s="23">
        <f>ROW()-3</f>
        <v>981</v>
      </c>
      <c r="B984" s="42" t="s">
        <v>4586</v>
      </c>
      <c r="C984" s="42" t="s">
        <v>3261</v>
      </c>
      <c r="D984" s="43" t="s">
        <v>4727</v>
      </c>
      <c r="E984" s="43" t="s">
        <v>4728</v>
      </c>
      <c r="F984" s="43" t="s">
        <v>4626</v>
      </c>
      <c r="G984" s="42" t="s">
        <v>34</v>
      </c>
      <c r="H984" s="42">
        <v>21</v>
      </c>
      <c r="I984" s="44">
        <v>2.92055555555556</v>
      </c>
      <c r="J984" s="45">
        <v>43691</v>
      </c>
      <c r="K984" s="46" t="s">
        <v>20</v>
      </c>
      <c r="L984" s="48">
        <v>16.989999999999998</v>
      </c>
    </row>
    <row r="985" spans="1:12" ht="35" customHeight="1">
      <c r="A985" s="23">
        <f>ROW()-3</f>
        <v>982</v>
      </c>
      <c r="B985" s="42" t="s">
        <v>4586</v>
      </c>
      <c r="C985" s="42" t="s">
        <v>3261</v>
      </c>
      <c r="D985" s="43" t="s">
        <v>4729</v>
      </c>
      <c r="E985" s="43" t="s">
        <v>4730</v>
      </c>
      <c r="F985" s="43" t="s">
        <v>2182</v>
      </c>
      <c r="G985" s="42" t="s">
        <v>34</v>
      </c>
      <c r="H985" s="42">
        <v>55</v>
      </c>
      <c r="I985" s="44">
        <v>14.234722222222199</v>
      </c>
      <c r="J985" s="45">
        <v>43691</v>
      </c>
      <c r="K985" s="46" t="s">
        <v>20</v>
      </c>
      <c r="L985" s="48">
        <v>199</v>
      </c>
    </row>
    <row r="986" spans="1:12" ht="35" customHeight="1">
      <c r="A986" s="23">
        <f>ROW()-3</f>
        <v>983</v>
      </c>
      <c r="B986" s="42" t="s">
        <v>4586</v>
      </c>
      <c r="C986" s="42" t="s">
        <v>3261</v>
      </c>
      <c r="D986" s="43" t="s">
        <v>4731</v>
      </c>
      <c r="E986" s="43" t="s">
        <v>4732</v>
      </c>
      <c r="F986" s="43" t="s">
        <v>4733</v>
      </c>
      <c r="G986" s="42" t="s">
        <v>34</v>
      </c>
      <c r="H986" s="43">
        <v>302</v>
      </c>
      <c r="I986" s="49">
        <v>60.5197222222222</v>
      </c>
      <c r="J986" s="45">
        <v>43913</v>
      </c>
      <c r="K986" s="46" t="s">
        <v>30</v>
      </c>
      <c r="L986" s="48">
        <v>199</v>
      </c>
    </row>
    <row r="987" spans="1:12" ht="35" customHeight="1">
      <c r="A987" s="23">
        <f>ROW()-3</f>
        <v>984</v>
      </c>
      <c r="B987" s="42" t="s">
        <v>4586</v>
      </c>
      <c r="C987" s="42" t="s">
        <v>3261</v>
      </c>
      <c r="D987" s="43" t="s">
        <v>4743</v>
      </c>
      <c r="E987" s="43" t="s">
        <v>4744</v>
      </c>
      <c r="F987" s="43" t="s">
        <v>4745</v>
      </c>
      <c r="G987" s="42" t="s">
        <v>34</v>
      </c>
      <c r="H987" s="42">
        <v>49</v>
      </c>
      <c r="I987" s="44">
        <v>15.814722222222199</v>
      </c>
      <c r="J987" s="45">
        <v>43913</v>
      </c>
      <c r="K987" s="46" t="s">
        <v>20</v>
      </c>
      <c r="L987" s="48">
        <v>9.3000000000000007</v>
      </c>
    </row>
    <row r="988" spans="1:12" ht="35" customHeight="1">
      <c r="A988" s="23">
        <f>ROW()-3</f>
        <v>985</v>
      </c>
      <c r="B988" s="42" t="s">
        <v>4586</v>
      </c>
      <c r="C988" s="42" t="s">
        <v>3261</v>
      </c>
      <c r="D988" s="43" t="s">
        <v>4737</v>
      </c>
      <c r="E988" s="43" t="s">
        <v>4738</v>
      </c>
      <c r="F988" s="43" t="s">
        <v>4739</v>
      </c>
      <c r="G988" s="42" t="s">
        <v>34</v>
      </c>
      <c r="H988" s="43">
        <v>130</v>
      </c>
      <c r="I988" s="49">
        <v>45.803611111111103</v>
      </c>
      <c r="J988" s="45">
        <v>43928</v>
      </c>
      <c r="K988" s="46" t="s">
        <v>20</v>
      </c>
      <c r="L988" s="48">
        <v>199</v>
      </c>
    </row>
    <row r="989" spans="1:12" ht="35" customHeight="1">
      <c r="A989" s="23">
        <f>ROW()-3</f>
        <v>986</v>
      </c>
      <c r="B989" s="42" t="s">
        <v>4586</v>
      </c>
      <c r="C989" s="42" t="s">
        <v>3265</v>
      </c>
      <c r="D989" s="43" t="s">
        <v>4750</v>
      </c>
      <c r="E989" s="43" t="s">
        <v>4751</v>
      </c>
      <c r="F989" s="43" t="s">
        <v>4610</v>
      </c>
      <c r="G989" s="42" t="s">
        <v>34</v>
      </c>
      <c r="H989" s="42">
        <v>15</v>
      </c>
      <c r="I989" s="44">
        <v>4.8266666666666698</v>
      </c>
      <c r="J989" s="45">
        <v>43469</v>
      </c>
      <c r="K989" s="46" t="s">
        <v>20</v>
      </c>
      <c r="L989" s="48">
        <v>29</v>
      </c>
    </row>
    <row r="990" spans="1:12" ht="35" customHeight="1">
      <c r="A990" s="23">
        <f>ROW()-3</f>
        <v>987</v>
      </c>
      <c r="B990" s="42" t="s">
        <v>4586</v>
      </c>
      <c r="C990" s="42" t="s">
        <v>3265</v>
      </c>
      <c r="D990" s="43" t="s">
        <v>4754</v>
      </c>
      <c r="E990" s="43" t="s">
        <v>4755</v>
      </c>
      <c r="F990" s="43" t="s">
        <v>4610</v>
      </c>
      <c r="G990" s="42" t="s">
        <v>34</v>
      </c>
      <c r="H990" s="42">
        <v>70</v>
      </c>
      <c r="I990" s="44">
        <v>23.543333333333301</v>
      </c>
      <c r="J990" s="45">
        <v>43469</v>
      </c>
      <c r="K990" s="46" t="s">
        <v>20</v>
      </c>
      <c r="L990" s="48">
        <v>59.99</v>
      </c>
    </row>
    <row r="991" spans="1:12" ht="35" customHeight="1">
      <c r="A991" s="23">
        <f>ROW()-3</f>
        <v>988</v>
      </c>
      <c r="B991" s="42" t="s">
        <v>4586</v>
      </c>
      <c r="C991" s="42" t="s">
        <v>3265</v>
      </c>
      <c r="D991" s="43" t="s">
        <v>4756</v>
      </c>
      <c r="E991" s="43" t="s">
        <v>3270</v>
      </c>
      <c r="F991" s="43" t="s">
        <v>4610</v>
      </c>
      <c r="G991" s="42" t="s">
        <v>34</v>
      </c>
      <c r="H991" s="42">
        <v>33</v>
      </c>
      <c r="I991" s="44">
        <v>10.4630555555556</v>
      </c>
      <c r="J991" s="45">
        <v>43469</v>
      </c>
      <c r="K991" s="46" t="s">
        <v>20</v>
      </c>
      <c r="L991" s="48">
        <v>32.5</v>
      </c>
    </row>
    <row r="992" spans="1:12" ht="35" customHeight="1">
      <c r="A992" s="23">
        <f>ROW()-3</f>
        <v>989</v>
      </c>
      <c r="B992" s="42" t="s">
        <v>4586</v>
      </c>
      <c r="C992" s="42" t="s">
        <v>3265</v>
      </c>
      <c r="D992" s="43" t="s">
        <v>4757</v>
      </c>
      <c r="E992" s="43" t="s">
        <v>4758</v>
      </c>
      <c r="F992" s="43" t="s">
        <v>4617</v>
      </c>
      <c r="G992" s="42" t="s">
        <v>34</v>
      </c>
      <c r="H992" s="42">
        <v>24</v>
      </c>
      <c r="I992" s="44">
        <v>7.6372222222222197</v>
      </c>
      <c r="J992" s="45">
        <v>43469</v>
      </c>
      <c r="K992" s="46" t="s">
        <v>20</v>
      </c>
      <c r="L992" s="48">
        <v>19.899999999999999</v>
      </c>
    </row>
    <row r="993" spans="1:12" ht="35" customHeight="1">
      <c r="A993" s="23">
        <f>ROW()-3</f>
        <v>990</v>
      </c>
      <c r="B993" s="42" t="s">
        <v>4586</v>
      </c>
      <c r="C993" s="42" t="s">
        <v>3265</v>
      </c>
      <c r="D993" s="43" t="s">
        <v>3298</v>
      </c>
      <c r="E993" s="43" t="s">
        <v>3299</v>
      </c>
      <c r="F993" s="43" t="s">
        <v>4598</v>
      </c>
      <c r="G993" s="42" t="s">
        <v>34</v>
      </c>
      <c r="H993" s="42">
        <v>40</v>
      </c>
      <c r="I993" s="44">
        <v>11.950555555555599</v>
      </c>
      <c r="J993" s="45">
        <v>43481</v>
      </c>
      <c r="K993" s="46" t="s">
        <v>20</v>
      </c>
      <c r="L993" s="48">
        <v>29.5</v>
      </c>
    </row>
    <row r="994" spans="1:12" ht="35" customHeight="1">
      <c r="A994" s="23">
        <f>ROW()-3</f>
        <v>991</v>
      </c>
      <c r="B994" s="42" t="s">
        <v>4586</v>
      </c>
      <c r="C994" s="42" t="s">
        <v>3265</v>
      </c>
      <c r="D994" s="43" t="s">
        <v>4748</v>
      </c>
      <c r="E994" s="43" t="s">
        <v>3764</v>
      </c>
      <c r="F994" s="43" t="s">
        <v>4749</v>
      </c>
      <c r="G994" s="42" t="s">
        <v>34</v>
      </c>
      <c r="H994" s="42">
        <v>12</v>
      </c>
      <c r="I994" s="44">
        <v>3.6966666666666699</v>
      </c>
      <c r="J994" s="45">
        <v>43481</v>
      </c>
      <c r="K994" s="46" t="s">
        <v>20</v>
      </c>
      <c r="L994" s="48">
        <v>29.5</v>
      </c>
    </row>
    <row r="995" spans="1:12" ht="35" customHeight="1">
      <c r="A995" s="23">
        <f>ROW()-3</f>
        <v>992</v>
      </c>
      <c r="B995" s="42" t="s">
        <v>4586</v>
      </c>
      <c r="C995" s="42" t="s">
        <v>3265</v>
      </c>
      <c r="D995" s="43" t="s">
        <v>4752</v>
      </c>
      <c r="E995" s="43" t="s">
        <v>4753</v>
      </c>
      <c r="F995" s="43" t="s">
        <v>4617</v>
      </c>
      <c r="G995" s="42" t="s">
        <v>34</v>
      </c>
      <c r="H995" s="42">
        <v>24</v>
      </c>
      <c r="I995" s="44">
        <v>8.2047222222222196</v>
      </c>
      <c r="J995" s="45">
        <v>43481</v>
      </c>
      <c r="K995" s="46" t="s">
        <v>20</v>
      </c>
      <c r="L995" s="48">
        <v>24.5</v>
      </c>
    </row>
    <row r="996" spans="1:12" ht="35" customHeight="1">
      <c r="A996" s="23">
        <f>ROW()-3</f>
        <v>993</v>
      </c>
      <c r="B996" s="42" t="s">
        <v>4586</v>
      </c>
      <c r="C996" s="42" t="s">
        <v>3265</v>
      </c>
      <c r="D996" s="43" t="s">
        <v>2785</v>
      </c>
      <c r="E996" s="43" t="s">
        <v>2786</v>
      </c>
      <c r="F996" s="43" t="s">
        <v>4610</v>
      </c>
      <c r="G996" s="42" t="s">
        <v>34</v>
      </c>
      <c r="H996" s="42">
        <v>51</v>
      </c>
      <c r="I996" s="44">
        <v>8.2572222222222198</v>
      </c>
      <c r="J996" s="45">
        <v>43691</v>
      </c>
      <c r="K996" s="46" t="s">
        <v>20</v>
      </c>
      <c r="L996" s="48">
        <v>22.99</v>
      </c>
    </row>
    <row r="997" spans="1:12" ht="35" customHeight="1">
      <c r="A997" s="23">
        <f>ROW()-3</f>
        <v>994</v>
      </c>
      <c r="B997" s="42" t="s">
        <v>4586</v>
      </c>
      <c r="C997" s="42" t="s">
        <v>3265</v>
      </c>
      <c r="D997" s="43" t="s">
        <v>4759</v>
      </c>
      <c r="E997" s="43" t="s">
        <v>4760</v>
      </c>
      <c r="F997" s="43" t="s">
        <v>4632</v>
      </c>
      <c r="G997" s="42" t="s">
        <v>34</v>
      </c>
      <c r="H997" s="42">
        <v>34</v>
      </c>
      <c r="I997" s="44">
        <v>10.943055555555601</v>
      </c>
      <c r="J997" s="45">
        <v>43691</v>
      </c>
      <c r="K997" s="46" t="s">
        <v>20</v>
      </c>
      <c r="L997" s="48">
        <v>24.9</v>
      </c>
    </row>
    <row r="998" spans="1:12" ht="35" customHeight="1">
      <c r="A998" s="23">
        <f>ROW()-3</f>
        <v>995</v>
      </c>
      <c r="B998" s="42" t="s">
        <v>4586</v>
      </c>
      <c r="C998" s="42" t="s">
        <v>3265</v>
      </c>
      <c r="D998" s="43" t="s">
        <v>4746</v>
      </c>
      <c r="E998" s="43" t="s">
        <v>3325</v>
      </c>
      <c r="F998" s="43" t="s">
        <v>4747</v>
      </c>
      <c r="G998" s="42" t="s">
        <v>34</v>
      </c>
      <c r="H998" s="42">
        <v>70</v>
      </c>
      <c r="I998" s="44">
        <v>7.0938888888888902</v>
      </c>
      <c r="J998" s="45">
        <v>43815</v>
      </c>
      <c r="K998" s="46" t="s">
        <v>20</v>
      </c>
      <c r="L998" s="48">
        <v>20.99</v>
      </c>
    </row>
    <row r="999" spans="1:12" ht="35" customHeight="1">
      <c r="A999" s="23">
        <f>ROW()-3</f>
        <v>996</v>
      </c>
      <c r="B999" s="42" t="s">
        <v>5207</v>
      </c>
      <c r="C999" s="42" t="s">
        <v>5236</v>
      </c>
      <c r="D999" s="43" t="s">
        <v>5235</v>
      </c>
      <c r="E999" s="43" t="s">
        <v>5237</v>
      </c>
      <c r="F999" s="43" t="s">
        <v>5238</v>
      </c>
      <c r="G999" s="42" t="s">
        <v>3253</v>
      </c>
      <c r="H999" s="42">
        <v>32</v>
      </c>
      <c r="I999" s="44">
        <v>8.5702777777777772</v>
      </c>
      <c r="J999" s="45">
        <v>44565</v>
      </c>
      <c r="K999" s="46" t="s">
        <v>20</v>
      </c>
      <c r="L999" s="48">
        <v>39</v>
      </c>
    </row>
    <row r="1000" spans="1:12" ht="35" customHeight="1">
      <c r="A1000" s="23">
        <f>ROW()-3</f>
        <v>997</v>
      </c>
      <c r="B1000" s="42" t="s">
        <v>5207</v>
      </c>
      <c r="C1000" s="42" t="s">
        <v>5236</v>
      </c>
      <c r="D1000" s="43" t="s">
        <v>5241</v>
      </c>
      <c r="E1000" s="43" t="s">
        <v>5243</v>
      </c>
      <c r="F1000" s="43" t="s">
        <v>5242</v>
      </c>
      <c r="G1000" s="42" t="s">
        <v>3253</v>
      </c>
      <c r="H1000" s="42">
        <v>24</v>
      </c>
      <c r="I1000" s="44">
        <v>5.8280555555555553</v>
      </c>
      <c r="J1000" s="45">
        <v>44565</v>
      </c>
      <c r="K1000" s="46" t="s">
        <v>20</v>
      </c>
      <c r="L1000" s="48">
        <v>49.8</v>
      </c>
    </row>
    <row r="1001" spans="1:12" ht="35" customHeight="1">
      <c r="A1001" s="23">
        <f>ROW()-3</f>
        <v>998</v>
      </c>
      <c r="B1001" s="42" t="s">
        <v>5207</v>
      </c>
      <c r="C1001" s="42" t="s">
        <v>5236</v>
      </c>
      <c r="D1001" s="43" t="s">
        <v>5247</v>
      </c>
      <c r="E1001" s="43" t="s">
        <v>5248</v>
      </c>
      <c r="F1001" s="43" t="s">
        <v>5249</v>
      </c>
      <c r="G1001" s="42" t="s">
        <v>3253</v>
      </c>
      <c r="H1001" s="42">
        <v>20</v>
      </c>
      <c r="I1001" s="44">
        <v>7.7683333333333335</v>
      </c>
      <c r="J1001" s="45">
        <v>44566</v>
      </c>
      <c r="K1001" s="46" t="s">
        <v>20</v>
      </c>
      <c r="L1001" s="48">
        <v>19.899999999999999</v>
      </c>
    </row>
    <row r="1002" spans="1:12" ht="35" customHeight="1">
      <c r="A1002" s="23">
        <f>ROW()-3</f>
        <v>999</v>
      </c>
      <c r="B1002" s="42" t="s">
        <v>4586</v>
      </c>
      <c r="C1002" s="42" t="s">
        <v>3265</v>
      </c>
      <c r="D1002" s="43" t="s">
        <v>4761</v>
      </c>
      <c r="E1002" s="43" t="s">
        <v>4762</v>
      </c>
      <c r="F1002" s="43" t="s">
        <v>4763</v>
      </c>
      <c r="G1002" s="42" t="s">
        <v>34</v>
      </c>
      <c r="H1002" s="65">
        <v>26</v>
      </c>
      <c r="I1002" s="71">
        <v>2.1</v>
      </c>
      <c r="J1002" s="72">
        <v>44571</v>
      </c>
      <c r="K1002" s="73" t="s">
        <v>4650</v>
      </c>
      <c r="L1002" s="131"/>
    </row>
    <row r="1003" spans="1:12" ht="35" customHeight="1">
      <c r="A1003" s="23">
        <f>ROW()-3</f>
        <v>1000</v>
      </c>
      <c r="B1003" s="42" t="s">
        <v>5207</v>
      </c>
      <c r="C1003" s="42" t="s">
        <v>5236</v>
      </c>
      <c r="D1003" s="43" t="s">
        <v>5239</v>
      </c>
      <c r="E1003" s="43" t="s">
        <v>5240</v>
      </c>
      <c r="F1003" s="43" t="s">
        <v>5234</v>
      </c>
      <c r="G1003" s="42" t="s">
        <v>3253</v>
      </c>
      <c r="H1003" s="42">
        <v>29</v>
      </c>
      <c r="I1003" s="44">
        <v>8.9036111111111111</v>
      </c>
      <c r="J1003" s="45">
        <v>44571</v>
      </c>
      <c r="K1003" s="73" t="s">
        <v>20</v>
      </c>
      <c r="L1003" s="48">
        <v>34.5</v>
      </c>
    </row>
    <row r="1004" spans="1:12" ht="35" customHeight="1">
      <c r="A1004" s="23">
        <f>ROW()-3</f>
        <v>1001</v>
      </c>
      <c r="B1004" s="42" t="s">
        <v>5207</v>
      </c>
      <c r="C1004" s="42" t="s">
        <v>5236</v>
      </c>
      <c r="D1004" s="43" t="s">
        <v>5253</v>
      </c>
      <c r="E1004" s="43" t="s">
        <v>5254</v>
      </c>
      <c r="F1004" s="43" t="s">
        <v>5234</v>
      </c>
      <c r="G1004" s="42" t="s">
        <v>3253</v>
      </c>
      <c r="H1004" s="37">
        <v>36</v>
      </c>
      <c r="I1004" s="196">
        <v>12.719722222222222</v>
      </c>
      <c r="J1004" s="39">
        <v>44571</v>
      </c>
      <c r="K1004" s="46" t="s">
        <v>20</v>
      </c>
      <c r="L1004" s="48">
        <v>34</v>
      </c>
    </row>
    <row r="1005" spans="1:12" ht="35" customHeight="1">
      <c r="A1005" s="23">
        <f>ROW()-3</f>
        <v>1002</v>
      </c>
      <c r="B1005" s="42" t="s">
        <v>5207</v>
      </c>
      <c r="C1005" s="42" t="s">
        <v>5236</v>
      </c>
      <c r="D1005" s="43" t="s">
        <v>5255</v>
      </c>
      <c r="E1005" s="43" t="s">
        <v>5256</v>
      </c>
      <c r="F1005" s="43" t="s">
        <v>5257</v>
      </c>
      <c r="G1005" s="42" t="s">
        <v>3253</v>
      </c>
      <c r="H1005" s="37">
        <v>115</v>
      </c>
      <c r="I1005" s="196">
        <v>13.890555555555556</v>
      </c>
      <c r="J1005" s="39">
        <v>44571</v>
      </c>
      <c r="K1005" s="46" t="s">
        <v>20</v>
      </c>
      <c r="L1005" s="202">
        <v>79</v>
      </c>
    </row>
    <row r="1006" spans="1:12" ht="35" customHeight="1">
      <c r="A1006" s="23">
        <f>ROW()-3</f>
        <v>1003</v>
      </c>
      <c r="B1006" s="42" t="s">
        <v>4586</v>
      </c>
      <c r="C1006" s="42" t="s">
        <v>3329</v>
      </c>
      <c r="D1006" s="43" t="s">
        <v>4790</v>
      </c>
      <c r="E1006" s="43" t="s">
        <v>4791</v>
      </c>
      <c r="F1006" s="43" t="s">
        <v>4792</v>
      </c>
      <c r="G1006" s="42" t="s">
        <v>34</v>
      </c>
      <c r="H1006" s="36">
        <v>9</v>
      </c>
      <c r="I1006" s="38">
        <v>1.5916666666666699</v>
      </c>
      <c r="J1006" s="39">
        <v>43483</v>
      </c>
      <c r="K1006" s="40" t="s">
        <v>20</v>
      </c>
      <c r="L1006" s="126">
        <v>68</v>
      </c>
    </row>
    <row r="1007" spans="1:12" ht="35" customHeight="1">
      <c r="A1007" s="23">
        <f>ROW()-3</f>
        <v>1004</v>
      </c>
      <c r="B1007" s="42" t="s">
        <v>4586</v>
      </c>
      <c r="C1007" s="42" t="s">
        <v>3329</v>
      </c>
      <c r="D1007" s="43" t="s">
        <v>4764</v>
      </c>
      <c r="E1007" s="43" t="s">
        <v>4765</v>
      </c>
      <c r="F1007" s="43" t="s">
        <v>2158</v>
      </c>
      <c r="G1007" s="42" t="s">
        <v>34</v>
      </c>
      <c r="H1007" s="36">
        <v>34</v>
      </c>
      <c r="I1007" s="38">
        <v>13.685277777777801</v>
      </c>
      <c r="J1007" s="39">
        <v>43691</v>
      </c>
      <c r="K1007" s="40" t="s">
        <v>20</v>
      </c>
      <c r="L1007" s="126">
        <v>15.88</v>
      </c>
    </row>
    <row r="1008" spans="1:12" ht="35" customHeight="1">
      <c r="A1008" s="23">
        <f>ROW()-3</f>
        <v>1005</v>
      </c>
      <c r="B1008" s="42" t="s">
        <v>4586</v>
      </c>
      <c r="C1008" s="42" t="s">
        <v>3329</v>
      </c>
      <c r="D1008" s="43" t="s">
        <v>4766</v>
      </c>
      <c r="E1008" s="43" t="s">
        <v>4767</v>
      </c>
      <c r="F1008" s="43" t="s">
        <v>4768</v>
      </c>
      <c r="G1008" s="42" t="s">
        <v>34</v>
      </c>
      <c r="H1008" s="42">
        <v>46</v>
      </c>
      <c r="I1008" s="44">
        <v>15.397222222222201</v>
      </c>
      <c r="J1008" s="45">
        <v>43691</v>
      </c>
      <c r="K1008" s="46" t="s">
        <v>20</v>
      </c>
      <c r="L1008" s="48">
        <v>59.99</v>
      </c>
    </row>
    <row r="1009" spans="1:12" ht="35" customHeight="1">
      <c r="A1009" s="23">
        <f>ROW()-3</f>
        <v>1006</v>
      </c>
      <c r="B1009" s="42" t="s">
        <v>4586</v>
      </c>
      <c r="C1009" s="42" t="s">
        <v>3329</v>
      </c>
      <c r="D1009" s="43" t="s">
        <v>4772</v>
      </c>
      <c r="E1009" s="43" t="s">
        <v>4773</v>
      </c>
      <c r="F1009" s="43" t="s">
        <v>4774</v>
      </c>
      <c r="G1009" s="42" t="s">
        <v>34</v>
      </c>
      <c r="H1009" s="42">
        <v>154</v>
      </c>
      <c r="I1009" s="44">
        <v>53.880277777777799</v>
      </c>
      <c r="J1009" s="45">
        <v>43691</v>
      </c>
      <c r="K1009" s="46" t="s">
        <v>20</v>
      </c>
      <c r="L1009" s="48">
        <v>19</v>
      </c>
    </row>
    <row r="1010" spans="1:12" ht="35" customHeight="1">
      <c r="A1010" s="23">
        <f>ROW()-3</f>
        <v>1007</v>
      </c>
      <c r="B1010" s="42" t="s">
        <v>4586</v>
      </c>
      <c r="C1010" s="42" t="s">
        <v>3329</v>
      </c>
      <c r="D1010" s="43" t="s">
        <v>4775</v>
      </c>
      <c r="E1010" s="43" t="s">
        <v>4776</v>
      </c>
      <c r="F1010" s="43" t="s">
        <v>4777</v>
      </c>
      <c r="G1010" s="42" t="s">
        <v>34</v>
      </c>
      <c r="H1010" s="42">
        <v>15</v>
      </c>
      <c r="I1010" s="44">
        <v>5.3324999999999996</v>
      </c>
      <c r="J1010" s="45">
        <v>43691</v>
      </c>
      <c r="K1010" s="46" t="s">
        <v>20</v>
      </c>
      <c r="L1010" s="48">
        <v>8.99</v>
      </c>
    </row>
    <row r="1011" spans="1:12" ht="35" customHeight="1">
      <c r="A1011" s="23">
        <f>ROW()-3</f>
        <v>1008</v>
      </c>
      <c r="B1011" s="42" t="s">
        <v>4586</v>
      </c>
      <c r="C1011" s="42" t="s">
        <v>3329</v>
      </c>
      <c r="D1011" s="43" t="s">
        <v>4778</v>
      </c>
      <c r="E1011" s="43" t="s">
        <v>4779</v>
      </c>
      <c r="F1011" s="43" t="s">
        <v>4610</v>
      </c>
      <c r="G1011" s="42" t="s">
        <v>34</v>
      </c>
      <c r="H1011" s="42">
        <v>28</v>
      </c>
      <c r="I1011" s="44">
        <v>5.95722222222222</v>
      </c>
      <c r="J1011" s="45">
        <v>43691</v>
      </c>
      <c r="K1011" s="46" t="s">
        <v>20</v>
      </c>
      <c r="L1011" s="48">
        <v>6.6</v>
      </c>
    </row>
    <row r="1012" spans="1:12" ht="35" customHeight="1">
      <c r="A1012" s="23">
        <f>ROW()-3</f>
        <v>1009</v>
      </c>
      <c r="B1012" s="42" t="s">
        <v>4586</v>
      </c>
      <c r="C1012" s="42" t="s">
        <v>3329</v>
      </c>
      <c r="D1012" s="43" t="s">
        <v>4780</v>
      </c>
      <c r="E1012" s="43" t="s">
        <v>142</v>
      </c>
      <c r="F1012" s="43" t="s">
        <v>4781</v>
      </c>
      <c r="G1012" s="42" t="s">
        <v>34</v>
      </c>
      <c r="H1012" s="42">
        <v>25</v>
      </c>
      <c r="I1012" s="44">
        <v>8.1122222222222202</v>
      </c>
      <c r="J1012" s="45">
        <v>43691</v>
      </c>
      <c r="K1012" s="46" t="s">
        <v>20</v>
      </c>
      <c r="L1012" s="48">
        <v>8.4</v>
      </c>
    </row>
    <row r="1013" spans="1:12" ht="35" customHeight="1">
      <c r="A1013" s="23">
        <f>ROW()-3</f>
        <v>1010</v>
      </c>
      <c r="B1013" s="42" t="s">
        <v>4586</v>
      </c>
      <c r="C1013" s="42" t="s">
        <v>3329</v>
      </c>
      <c r="D1013" s="43" t="s">
        <v>4785</v>
      </c>
      <c r="E1013" s="43" t="s">
        <v>4786</v>
      </c>
      <c r="F1013" s="43" t="s">
        <v>4787</v>
      </c>
      <c r="G1013" s="42" t="s">
        <v>34</v>
      </c>
      <c r="H1013" s="42">
        <v>42</v>
      </c>
      <c r="I1013" s="44">
        <v>14.164722222222199</v>
      </c>
      <c r="J1013" s="45">
        <v>43691</v>
      </c>
      <c r="K1013" s="46" t="s">
        <v>20</v>
      </c>
      <c r="L1013" s="48">
        <v>6</v>
      </c>
    </row>
    <row r="1014" spans="1:12" ht="35" customHeight="1">
      <c r="A1014" s="23">
        <f>ROW()-3</f>
        <v>1011</v>
      </c>
      <c r="B1014" s="42" t="s">
        <v>4586</v>
      </c>
      <c r="C1014" s="42" t="s">
        <v>3329</v>
      </c>
      <c r="D1014" s="43" t="s">
        <v>4769</v>
      </c>
      <c r="E1014" s="43" t="s">
        <v>4770</v>
      </c>
      <c r="F1014" s="43" t="s">
        <v>4771</v>
      </c>
      <c r="G1014" s="42" t="s">
        <v>34</v>
      </c>
      <c r="H1014" s="42">
        <v>26</v>
      </c>
      <c r="I1014" s="44">
        <v>12.0005555555556</v>
      </c>
      <c r="J1014" s="45">
        <v>43845</v>
      </c>
      <c r="K1014" s="46" t="s">
        <v>20</v>
      </c>
      <c r="L1014" s="48">
        <v>34</v>
      </c>
    </row>
    <row r="1015" spans="1:12" ht="35" customHeight="1">
      <c r="A1015" s="23">
        <f>ROW()-3</f>
        <v>1012</v>
      </c>
      <c r="B1015" s="42" t="s">
        <v>4586</v>
      </c>
      <c r="C1015" s="42" t="s">
        <v>3329</v>
      </c>
      <c r="D1015" s="43" t="s">
        <v>4788</v>
      </c>
      <c r="E1015" s="43" t="s">
        <v>4789</v>
      </c>
      <c r="F1015" s="43" t="s">
        <v>4589</v>
      </c>
      <c r="G1015" s="42" t="s">
        <v>34</v>
      </c>
      <c r="H1015" s="42">
        <v>65</v>
      </c>
      <c r="I1015" s="44">
        <v>3.25</v>
      </c>
      <c r="J1015" s="45">
        <v>44004</v>
      </c>
      <c r="K1015" s="46" t="s">
        <v>20</v>
      </c>
      <c r="L1015" s="48">
        <v>18</v>
      </c>
    </row>
    <row r="1016" spans="1:12" ht="35" customHeight="1">
      <c r="A1016" s="23">
        <f>ROW()-3</f>
        <v>1013</v>
      </c>
      <c r="B1016" s="42" t="s">
        <v>4586</v>
      </c>
      <c r="C1016" s="42" t="s">
        <v>3329</v>
      </c>
      <c r="D1016" s="42" t="s">
        <v>4782</v>
      </c>
      <c r="E1016" s="43" t="s">
        <v>4783</v>
      </c>
      <c r="F1016" s="43" t="s">
        <v>4784</v>
      </c>
      <c r="G1016" s="42" t="s">
        <v>34</v>
      </c>
      <c r="H1016" s="42">
        <v>178</v>
      </c>
      <c r="I1016" s="44">
        <v>29.6</v>
      </c>
      <c r="J1016" s="45">
        <v>44137</v>
      </c>
      <c r="K1016" s="46" t="s">
        <v>20</v>
      </c>
      <c r="L1016" s="48">
        <v>35.6</v>
      </c>
    </row>
    <row r="1017" spans="1:12" ht="35" customHeight="1">
      <c r="A1017" s="23">
        <f>ROW()-3</f>
        <v>1014</v>
      </c>
      <c r="B1017" s="42" t="s">
        <v>4586</v>
      </c>
      <c r="C1017" s="42" t="s">
        <v>3329</v>
      </c>
      <c r="D1017" s="43" t="s">
        <v>4793</v>
      </c>
      <c r="E1017" s="43" t="s">
        <v>4794</v>
      </c>
      <c r="F1017" s="43" t="s">
        <v>4794</v>
      </c>
      <c r="G1017" s="42" t="s">
        <v>34</v>
      </c>
      <c r="H1017" s="42">
        <v>37</v>
      </c>
      <c r="I1017" s="44">
        <v>3.08</v>
      </c>
      <c r="J1017" s="45">
        <v>44403</v>
      </c>
      <c r="K1017" s="46" t="s">
        <v>20</v>
      </c>
      <c r="L1017" s="48"/>
    </row>
    <row r="1018" spans="1:12" ht="35" customHeight="1">
      <c r="A1018" s="23">
        <f>ROW()-3</f>
        <v>1015</v>
      </c>
      <c r="B1018" s="42" t="s">
        <v>4586</v>
      </c>
      <c r="C1018" s="42" t="s">
        <v>3329</v>
      </c>
      <c r="D1018" s="43" t="s">
        <v>4795</v>
      </c>
      <c r="E1018" s="43" t="s">
        <v>4796</v>
      </c>
      <c r="F1018" s="43" t="s">
        <v>4795</v>
      </c>
      <c r="G1018" s="42" t="s">
        <v>3253</v>
      </c>
      <c r="H1018" s="42">
        <v>22</v>
      </c>
      <c r="I1018" s="44">
        <v>5.5</v>
      </c>
      <c r="J1018" s="45">
        <v>44424</v>
      </c>
      <c r="K1018" s="46" t="s">
        <v>4650</v>
      </c>
      <c r="L1018" s="48"/>
    </row>
    <row r="1019" spans="1:12" ht="35" customHeight="1">
      <c r="A1019" s="23">
        <f>ROW()-3</f>
        <v>1016</v>
      </c>
      <c r="B1019" s="42" t="s">
        <v>4586</v>
      </c>
      <c r="C1019" s="42" t="s">
        <v>3329</v>
      </c>
      <c r="D1019" s="43" t="s">
        <v>4797</v>
      </c>
      <c r="E1019" s="43" t="s">
        <v>4798</v>
      </c>
      <c r="F1019" s="43" t="s">
        <v>4798</v>
      </c>
      <c r="G1019" s="42" t="s">
        <v>3253</v>
      </c>
      <c r="H1019" s="42">
        <v>83</v>
      </c>
      <c r="I1019" s="44">
        <v>8.3000000000000007</v>
      </c>
      <c r="J1019" s="45">
        <v>44488</v>
      </c>
      <c r="K1019" s="46" t="s">
        <v>4799</v>
      </c>
      <c r="L1019" s="48">
        <v>19.989999999999998</v>
      </c>
    </row>
    <row r="1020" spans="1:12" ht="35" customHeight="1">
      <c r="A1020" s="23">
        <f>ROW()-3</f>
        <v>1017</v>
      </c>
      <c r="B1020" s="42" t="s">
        <v>4586</v>
      </c>
      <c r="C1020" s="42" t="s">
        <v>3543</v>
      </c>
      <c r="D1020" s="43" t="s">
        <v>4800</v>
      </c>
      <c r="E1020" s="43" t="s">
        <v>4801</v>
      </c>
      <c r="F1020" s="43" t="s">
        <v>4617</v>
      </c>
      <c r="G1020" s="42" t="s">
        <v>34</v>
      </c>
      <c r="H1020" s="42">
        <v>21</v>
      </c>
      <c r="I1020" s="44">
        <v>7.3613888888888903</v>
      </c>
      <c r="J1020" s="45">
        <v>43691</v>
      </c>
      <c r="K1020" s="46" t="s">
        <v>20</v>
      </c>
      <c r="L1020" s="48">
        <v>49.99</v>
      </c>
    </row>
    <row r="1021" spans="1:12" ht="35" customHeight="1">
      <c r="A1021" s="23">
        <f>ROW()-3</f>
        <v>1018</v>
      </c>
      <c r="B1021" s="42" t="s">
        <v>4586</v>
      </c>
      <c r="C1021" s="42" t="s">
        <v>3543</v>
      </c>
      <c r="D1021" s="43" t="s">
        <v>4802</v>
      </c>
      <c r="E1021" s="43" t="s">
        <v>4803</v>
      </c>
      <c r="F1021" s="43" t="s">
        <v>4804</v>
      </c>
      <c r="G1021" s="42" t="s">
        <v>34</v>
      </c>
      <c r="H1021" s="42">
        <v>23</v>
      </c>
      <c r="I1021" s="44">
        <v>6.2013888888888902</v>
      </c>
      <c r="J1021" s="45">
        <v>43691</v>
      </c>
      <c r="K1021" s="46" t="s">
        <v>20</v>
      </c>
      <c r="L1021" s="48">
        <v>18.989999999999998</v>
      </c>
    </row>
    <row r="1022" spans="1:12" ht="35" customHeight="1">
      <c r="A1022" s="23">
        <f>ROW()-3</f>
        <v>1019</v>
      </c>
      <c r="B1022" s="42" t="s">
        <v>4586</v>
      </c>
      <c r="C1022" s="42" t="s">
        <v>3543</v>
      </c>
      <c r="D1022" s="43" t="s">
        <v>4805</v>
      </c>
      <c r="E1022" s="43" t="s">
        <v>4806</v>
      </c>
      <c r="F1022" s="43" t="s">
        <v>4698</v>
      </c>
      <c r="G1022" s="42" t="s">
        <v>34</v>
      </c>
      <c r="H1022" s="42">
        <v>103</v>
      </c>
      <c r="I1022" s="44">
        <v>10.498055555555601</v>
      </c>
      <c r="J1022" s="45">
        <v>43691</v>
      </c>
      <c r="K1022" s="46" t="s">
        <v>20</v>
      </c>
      <c r="L1022" s="48">
        <v>19.899999999999999</v>
      </c>
    </row>
    <row r="1023" spans="1:12" ht="35" customHeight="1">
      <c r="A1023" s="23">
        <f>ROW()-3</f>
        <v>1020</v>
      </c>
      <c r="B1023" s="42" t="s">
        <v>4586</v>
      </c>
      <c r="C1023" s="42" t="s">
        <v>3543</v>
      </c>
      <c r="D1023" s="43" t="s">
        <v>4807</v>
      </c>
      <c r="E1023" s="43" t="s">
        <v>4808</v>
      </c>
      <c r="F1023" s="43" t="s">
        <v>4809</v>
      </c>
      <c r="G1023" s="42" t="s">
        <v>34</v>
      </c>
      <c r="H1023" s="42">
        <v>12</v>
      </c>
      <c r="I1023" s="44">
        <v>3.52111111111111</v>
      </c>
      <c r="J1023" s="45">
        <v>43691</v>
      </c>
      <c r="K1023" s="46" t="s">
        <v>20</v>
      </c>
      <c r="L1023" s="48">
        <v>6.99</v>
      </c>
    </row>
    <row r="1024" spans="1:12" ht="35" customHeight="1">
      <c r="A1024" s="23">
        <f>ROW()-3</f>
        <v>1021</v>
      </c>
      <c r="B1024" s="42" t="s">
        <v>4586</v>
      </c>
      <c r="C1024" s="42" t="s">
        <v>3543</v>
      </c>
      <c r="D1024" s="43" t="s">
        <v>4810</v>
      </c>
      <c r="E1024" s="43" t="s">
        <v>4811</v>
      </c>
      <c r="F1024" s="43" t="s">
        <v>4812</v>
      </c>
      <c r="G1024" s="42" t="s">
        <v>34</v>
      </c>
      <c r="H1024" s="42">
        <v>18</v>
      </c>
      <c r="I1024" s="44">
        <v>6.2366666666666699</v>
      </c>
      <c r="J1024" s="45">
        <v>43691</v>
      </c>
      <c r="K1024" s="46" t="s">
        <v>20</v>
      </c>
      <c r="L1024" s="48">
        <v>28.8</v>
      </c>
    </row>
    <row r="1025" spans="1:12" ht="35" customHeight="1">
      <c r="A1025" s="23">
        <f>ROW()-3</f>
        <v>1022</v>
      </c>
      <c r="B1025" s="42" t="s">
        <v>4586</v>
      </c>
      <c r="C1025" s="42" t="s">
        <v>3543</v>
      </c>
      <c r="D1025" s="43" t="s">
        <v>4813</v>
      </c>
      <c r="E1025" s="43" t="s">
        <v>4814</v>
      </c>
      <c r="F1025" s="43" t="s">
        <v>4815</v>
      </c>
      <c r="G1025" s="42" t="s">
        <v>34</v>
      </c>
      <c r="H1025" s="42">
        <v>18</v>
      </c>
      <c r="I1025" s="44">
        <v>6.4158333333333299</v>
      </c>
      <c r="J1025" s="45">
        <v>43691</v>
      </c>
      <c r="K1025" s="46" t="s">
        <v>20</v>
      </c>
      <c r="L1025" s="48">
        <v>6</v>
      </c>
    </row>
    <row r="1026" spans="1:12" ht="35" customHeight="1">
      <c r="A1026" s="23">
        <f>ROW()-3</f>
        <v>1023</v>
      </c>
      <c r="B1026" s="42" t="s">
        <v>4586</v>
      </c>
      <c r="C1026" s="42" t="s">
        <v>3543</v>
      </c>
      <c r="D1026" s="43" t="s">
        <v>4816</v>
      </c>
      <c r="E1026" s="43" t="s">
        <v>4817</v>
      </c>
      <c r="F1026" s="43" t="s">
        <v>4632</v>
      </c>
      <c r="G1026" s="42" t="s">
        <v>34</v>
      </c>
      <c r="H1026" s="42">
        <v>30</v>
      </c>
      <c r="I1026" s="44">
        <v>9.1269444444444403</v>
      </c>
      <c r="J1026" s="45">
        <v>43691</v>
      </c>
      <c r="K1026" s="46" t="s">
        <v>20</v>
      </c>
      <c r="L1026" s="48">
        <v>5.6</v>
      </c>
    </row>
    <row r="1027" spans="1:12" ht="35" customHeight="1">
      <c r="A1027" s="23">
        <f>ROW()-3</f>
        <v>1024</v>
      </c>
      <c r="B1027" s="42" t="s">
        <v>4586</v>
      </c>
      <c r="C1027" s="42" t="s">
        <v>3543</v>
      </c>
      <c r="D1027" s="43" t="s">
        <v>4818</v>
      </c>
      <c r="E1027" s="43" t="s">
        <v>4700</v>
      </c>
      <c r="F1027" s="43" t="s">
        <v>4589</v>
      </c>
      <c r="G1027" s="42" t="s">
        <v>34</v>
      </c>
      <c r="H1027" s="42">
        <v>28</v>
      </c>
      <c r="I1027" s="44">
        <v>9.49583333333333</v>
      </c>
      <c r="J1027" s="45">
        <v>43691</v>
      </c>
      <c r="K1027" s="46" t="s">
        <v>20</v>
      </c>
      <c r="L1027" s="48">
        <v>20.99</v>
      </c>
    </row>
    <row r="1028" spans="1:12" ht="35" customHeight="1">
      <c r="A1028" s="23">
        <f>ROW()-3</f>
        <v>1025</v>
      </c>
      <c r="B1028" s="42" t="s">
        <v>4586</v>
      </c>
      <c r="C1028" s="42" t="s">
        <v>3543</v>
      </c>
      <c r="D1028" s="43" t="s">
        <v>4819</v>
      </c>
      <c r="E1028" s="43" t="s">
        <v>4820</v>
      </c>
      <c r="F1028" s="43" t="s">
        <v>4589</v>
      </c>
      <c r="G1028" s="42" t="s">
        <v>34</v>
      </c>
      <c r="H1028" s="42">
        <v>54</v>
      </c>
      <c r="I1028" s="44">
        <v>18.172499999999999</v>
      </c>
      <c r="J1028" s="45">
        <v>43691</v>
      </c>
      <c r="K1028" s="46" t="s">
        <v>20</v>
      </c>
      <c r="L1028" s="48">
        <v>49.98</v>
      </c>
    </row>
    <row r="1029" spans="1:12" ht="35" customHeight="1">
      <c r="A1029" s="23">
        <f>ROW()-3</f>
        <v>1026</v>
      </c>
      <c r="B1029" s="42" t="s">
        <v>5207</v>
      </c>
      <c r="C1029" s="42" t="s">
        <v>5211</v>
      </c>
      <c r="D1029" s="43" t="s">
        <v>5230</v>
      </c>
      <c r="E1029" s="43" t="s">
        <v>5231</v>
      </c>
      <c r="F1029" s="43"/>
      <c r="G1029" s="42" t="s">
        <v>3253</v>
      </c>
      <c r="H1029" s="42">
        <v>76</v>
      </c>
      <c r="I1029" s="44">
        <v>27.428333333333335</v>
      </c>
      <c r="J1029" s="45">
        <v>44553</v>
      </c>
      <c r="K1029" s="46" t="s">
        <v>20</v>
      </c>
      <c r="L1029" s="48">
        <v>26</v>
      </c>
    </row>
    <row r="1030" spans="1:12" ht="35" customHeight="1">
      <c r="A1030" s="23">
        <f>ROW()-3</f>
        <v>1027</v>
      </c>
      <c r="B1030" s="42" t="s">
        <v>4586</v>
      </c>
      <c r="C1030" s="42" t="s">
        <v>3576</v>
      </c>
      <c r="D1030" s="43" t="s">
        <v>4845</v>
      </c>
      <c r="E1030" s="43" t="s">
        <v>4846</v>
      </c>
      <c r="F1030" s="43" t="s">
        <v>2948</v>
      </c>
      <c r="G1030" s="42" t="s">
        <v>34</v>
      </c>
      <c r="H1030" s="43">
        <v>152</v>
      </c>
      <c r="I1030" s="49">
        <v>77.72</v>
      </c>
      <c r="J1030" s="45">
        <v>43273</v>
      </c>
      <c r="K1030" s="46" t="s">
        <v>20</v>
      </c>
      <c r="L1030" s="48"/>
    </row>
    <row r="1031" spans="1:12" ht="35" customHeight="1">
      <c r="A1031" s="23">
        <f>ROW()-3</f>
        <v>1028</v>
      </c>
      <c r="B1031" s="42" t="s">
        <v>4586</v>
      </c>
      <c r="C1031" s="42" t="s">
        <v>3576</v>
      </c>
      <c r="D1031" s="43" t="s">
        <v>4840</v>
      </c>
      <c r="E1031" s="43" t="s">
        <v>4841</v>
      </c>
      <c r="F1031" s="43" t="s">
        <v>4842</v>
      </c>
      <c r="G1031" s="42" t="s">
        <v>34</v>
      </c>
      <c r="H1031" s="42">
        <v>69</v>
      </c>
      <c r="I1031" s="44">
        <v>30.674444444444401</v>
      </c>
      <c r="J1031" s="45">
        <v>43481</v>
      </c>
      <c r="K1031" s="46" t="s">
        <v>20</v>
      </c>
      <c r="L1031" s="48">
        <v>19</v>
      </c>
    </row>
    <row r="1032" spans="1:12" ht="35" customHeight="1">
      <c r="A1032" s="23">
        <f>ROW()-3</f>
        <v>1029</v>
      </c>
      <c r="B1032" s="42" t="s">
        <v>4586</v>
      </c>
      <c r="C1032" s="42" t="s">
        <v>3576</v>
      </c>
      <c r="D1032" s="43" t="s">
        <v>4844</v>
      </c>
      <c r="E1032" s="43" t="s">
        <v>3442</v>
      </c>
      <c r="F1032" s="43" t="s">
        <v>4610</v>
      </c>
      <c r="G1032" s="42" t="s">
        <v>34</v>
      </c>
      <c r="H1032" s="42">
        <v>48</v>
      </c>
      <c r="I1032" s="44">
        <v>11.6602777777778</v>
      </c>
      <c r="J1032" s="45">
        <v>43483</v>
      </c>
      <c r="K1032" s="46" t="s">
        <v>20</v>
      </c>
      <c r="L1032" s="48">
        <v>99</v>
      </c>
    </row>
    <row r="1033" spans="1:12" ht="35" customHeight="1">
      <c r="A1033" s="23">
        <f>ROW()-3</f>
        <v>1030</v>
      </c>
      <c r="B1033" s="42" t="s">
        <v>4586</v>
      </c>
      <c r="C1033" s="42" t="s">
        <v>3576</v>
      </c>
      <c r="D1033" s="43" t="s">
        <v>4843</v>
      </c>
      <c r="E1033" s="43" t="s">
        <v>3442</v>
      </c>
      <c r="F1033" s="43" t="s">
        <v>4610</v>
      </c>
      <c r="G1033" s="42" t="s">
        <v>34</v>
      </c>
      <c r="H1033" s="42">
        <v>23</v>
      </c>
      <c r="I1033" s="44">
        <v>3.9411111111111099</v>
      </c>
      <c r="J1033" s="45">
        <v>43516</v>
      </c>
      <c r="K1033" s="46" t="s">
        <v>20</v>
      </c>
      <c r="L1033" s="48">
        <v>39</v>
      </c>
    </row>
    <row r="1034" spans="1:12" ht="35" customHeight="1">
      <c r="A1034" s="23">
        <f>ROW()-3</f>
        <v>1031</v>
      </c>
      <c r="B1034" s="42" t="s">
        <v>4586</v>
      </c>
      <c r="C1034" s="130" t="s">
        <v>3576</v>
      </c>
      <c r="D1034" s="43" t="s">
        <v>4821</v>
      </c>
      <c r="E1034" s="43" t="s">
        <v>3688</v>
      </c>
      <c r="F1034" s="43" t="s">
        <v>4822</v>
      </c>
      <c r="G1034" s="42" t="s">
        <v>34</v>
      </c>
      <c r="H1034" s="42">
        <v>29</v>
      </c>
      <c r="I1034" s="44">
        <v>9.39</v>
      </c>
      <c r="J1034" s="45">
        <v>43691</v>
      </c>
      <c r="K1034" s="46" t="s">
        <v>20</v>
      </c>
      <c r="L1034" s="48">
        <v>39.99</v>
      </c>
    </row>
    <row r="1035" spans="1:12" ht="35" customHeight="1">
      <c r="A1035" s="23">
        <f>ROW()-3</f>
        <v>1032</v>
      </c>
      <c r="B1035" s="42" t="s">
        <v>4586</v>
      </c>
      <c r="C1035" s="130" t="s">
        <v>3576</v>
      </c>
      <c r="D1035" s="43" t="s">
        <v>4825</v>
      </c>
      <c r="E1035" s="43" t="s">
        <v>4826</v>
      </c>
      <c r="F1035" s="43" t="s">
        <v>4617</v>
      </c>
      <c r="G1035" s="42" t="s">
        <v>34</v>
      </c>
      <c r="H1035" s="42">
        <v>27</v>
      </c>
      <c r="I1035" s="44">
        <v>12.286388888888901</v>
      </c>
      <c r="J1035" s="45">
        <v>43691</v>
      </c>
      <c r="K1035" s="46" t="s">
        <v>20</v>
      </c>
      <c r="L1035" s="48">
        <v>56.99</v>
      </c>
    </row>
    <row r="1036" spans="1:12" ht="35" customHeight="1">
      <c r="A1036" s="23">
        <f>ROW()-3</f>
        <v>1033</v>
      </c>
      <c r="B1036" s="42" t="s">
        <v>4586</v>
      </c>
      <c r="C1036" s="42" t="s">
        <v>3576</v>
      </c>
      <c r="D1036" s="43" t="s">
        <v>4827</v>
      </c>
      <c r="E1036" s="43" t="s">
        <v>4826</v>
      </c>
      <c r="F1036" s="43" t="s">
        <v>4617</v>
      </c>
      <c r="G1036" s="42" t="s">
        <v>34</v>
      </c>
      <c r="H1036" s="42">
        <v>47</v>
      </c>
      <c r="I1036" s="44">
        <v>13.8572222222222</v>
      </c>
      <c r="J1036" s="45">
        <v>43691</v>
      </c>
      <c r="K1036" s="46" t="s">
        <v>20</v>
      </c>
      <c r="L1036" s="48">
        <v>44</v>
      </c>
    </row>
    <row r="1037" spans="1:12" ht="35" customHeight="1">
      <c r="A1037" s="23">
        <f>ROW()-3</f>
        <v>1034</v>
      </c>
      <c r="B1037" s="42" t="s">
        <v>4586</v>
      </c>
      <c r="C1037" s="130" t="s">
        <v>3576</v>
      </c>
      <c r="D1037" s="43" t="s">
        <v>4828</v>
      </c>
      <c r="E1037" s="43" t="s">
        <v>4829</v>
      </c>
      <c r="F1037" s="43" t="s">
        <v>4747</v>
      </c>
      <c r="G1037" s="42" t="s">
        <v>34</v>
      </c>
      <c r="H1037" s="42">
        <v>12</v>
      </c>
      <c r="I1037" s="44">
        <v>4.1180555555555598</v>
      </c>
      <c r="J1037" s="45">
        <v>43691</v>
      </c>
      <c r="K1037" s="46" t="s">
        <v>20</v>
      </c>
      <c r="L1037" s="48">
        <v>8.99</v>
      </c>
    </row>
    <row r="1038" spans="1:12" ht="35" customHeight="1">
      <c r="A1038" s="23">
        <f>ROW()-3</f>
        <v>1035</v>
      </c>
      <c r="B1038" s="42" t="s">
        <v>4586</v>
      </c>
      <c r="C1038" s="42" t="s">
        <v>3576</v>
      </c>
      <c r="D1038" s="43" t="s">
        <v>4830</v>
      </c>
      <c r="E1038" s="43" t="s">
        <v>4831</v>
      </c>
      <c r="F1038" s="43" t="s">
        <v>4768</v>
      </c>
      <c r="G1038" s="42" t="s">
        <v>34</v>
      </c>
      <c r="H1038" s="42">
        <v>35</v>
      </c>
      <c r="I1038" s="44">
        <v>10.8991666666667</v>
      </c>
      <c r="J1038" s="45">
        <v>43691</v>
      </c>
      <c r="K1038" s="46" t="s">
        <v>20</v>
      </c>
      <c r="L1038" s="48">
        <v>25.99</v>
      </c>
    </row>
    <row r="1039" spans="1:12" ht="35" customHeight="1">
      <c r="A1039" s="23">
        <f>ROW()-3</f>
        <v>1036</v>
      </c>
      <c r="B1039" s="42" t="s">
        <v>4586</v>
      </c>
      <c r="C1039" s="42" t="s">
        <v>3576</v>
      </c>
      <c r="D1039" s="43" t="s">
        <v>4849</v>
      </c>
      <c r="E1039" s="43" t="s">
        <v>4850</v>
      </c>
      <c r="F1039" s="43" t="s">
        <v>4851</v>
      </c>
      <c r="G1039" s="42" t="s">
        <v>34</v>
      </c>
      <c r="H1039" s="42">
        <v>69</v>
      </c>
      <c r="I1039" s="44">
        <v>18.689166666666701</v>
      </c>
      <c r="J1039" s="45">
        <v>43691</v>
      </c>
      <c r="K1039" s="46" t="s">
        <v>20</v>
      </c>
      <c r="L1039" s="48">
        <v>21.99</v>
      </c>
    </row>
    <row r="1040" spans="1:12" ht="35" customHeight="1">
      <c r="A1040" s="23">
        <f>ROW()-3</f>
        <v>1037</v>
      </c>
      <c r="B1040" s="42" t="s">
        <v>4586</v>
      </c>
      <c r="C1040" s="42" t="s">
        <v>3576</v>
      </c>
      <c r="D1040" s="43" t="s">
        <v>4823</v>
      </c>
      <c r="E1040" s="43" t="s">
        <v>4824</v>
      </c>
      <c r="F1040" s="43" t="s">
        <v>4812</v>
      </c>
      <c r="G1040" s="42" t="s">
        <v>34</v>
      </c>
      <c r="H1040" s="42">
        <v>24</v>
      </c>
      <c r="I1040" s="44">
        <v>9.5880555555555596</v>
      </c>
      <c r="J1040" s="45">
        <v>43692</v>
      </c>
      <c r="K1040" s="46" t="s">
        <v>20</v>
      </c>
      <c r="L1040" s="48">
        <v>49.99</v>
      </c>
    </row>
    <row r="1041" spans="1:291" ht="35" customHeight="1">
      <c r="A1041" s="23">
        <f>ROW()-3</f>
        <v>1038</v>
      </c>
      <c r="B1041" s="42" t="s">
        <v>4586</v>
      </c>
      <c r="C1041" s="42" t="s">
        <v>3576</v>
      </c>
      <c r="D1041" s="43" t="s">
        <v>4832</v>
      </c>
      <c r="E1041" s="43" t="s">
        <v>4833</v>
      </c>
      <c r="F1041" s="43" t="s">
        <v>4771</v>
      </c>
      <c r="G1041" s="42" t="s">
        <v>34</v>
      </c>
      <c r="H1041" s="42">
        <v>43</v>
      </c>
      <c r="I1041" s="44">
        <v>14.696388888888899</v>
      </c>
      <c r="J1041" s="45">
        <v>43845</v>
      </c>
      <c r="K1041" s="46" t="s">
        <v>20</v>
      </c>
      <c r="L1041" s="48">
        <v>4</v>
      </c>
    </row>
    <row r="1042" spans="1:291" ht="35" customHeight="1">
      <c r="A1042" s="23">
        <f>ROW()-3</f>
        <v>1039</v>
      </c>
      <c r="B1042" s="42" t="s">
        <v>4586</v>
      </c>
      <c r="C1042" s="42" t="s">
        <v>3576</v>
      </c>
      <c r="D1042" s="43" t="s">
        <v>4834</v>
      </c>
      <c r="E1042" s="43" t="s">
        <v>4835</v>
      </c>
      <c r="F1042" s="43" t="s">
        <v>4771</v>
      </c>
      <c r="G1042" s="42" t="s">
        <v>34</v>
      </c>
      <c r="H1042" s="42">
        <v>31</v>
      </c>
      <c r="I1042" s="44">
        <v>11.7705555555556</v>
      </c>
      <c r="J1042" s="45">
        <v>43845</v>
      </c>
      <c r="K1042" s="46" t="s">
        <v>20</v>
      </c>
      <c r="L1042" s="48">
        <v>9.9</v>
      </c>
    </row>
    <row r="1043" spans="1:291" ht="35" customHeight="1">
      <c r="A1043" s="23">
        <f>ROW()-3</f>
        <v>1040</v>
      </c>
      <c r="B1043" s="42" t="s">
        <v>4586</v>
      </c>
      <c r="C1043" s="42" t="s">
        <v>3576</v>
      </c>
      <c r="D1043" s="43" t="s">
        <v>4836</v>
      </c>
      <c r="E1043" s="43" t="s">
        <v>4837</v>
      </c>
      <c r="F1043" s="43" t="s">
        <v>4771</v>
      </c>
      <c r="G1043" s="42" t="s">
        <v>34</v>
      </c>
      <c r="H1043" s="42">
        <v>73</v>
      </c>
      <c r="I1043" s="44">
        <v>25.121666666666702</v>
      </c>
      <c r="J1043" s="45">
        <v>43845</v>
      </c>
      <c r="K1043" s="46" t="s">
        <v>20</v>
      </c>
      <c r="L1043" s="48">
        <v>34</v>
      </c>
    </row>
    <row r="1044" spans="1:291" ht="35" customHeight="1">
      <c r="A1044" s="23">
        <f>ROW()-3</f>
        <v>1041</v>
      </c>
      <c r="B1044" s="42" t="s">
        <v>4586</v>
      </c>
      <c r="C1044" s="42" t="s">
        <v>3576</v>
      </c>
      <c r="D1044" s="43" t="s">
        <v>4847</v>
      </c>
      <c r="E1044" s="43" t="s">
        <v>4848</v>
      </c>
      <c r="F1044" s="43" t="s">
        <v>2948</v>
      </c>
      <c r="G1044" s="42" t="s">
        <v>34</v>
      </c>
      <c r="H1044" s="43">
        <v>325</v>
      </c>
      <c r="I1044" s="49">
        <v>31.816111111111098</v>
      </c>
      <c r="J1044" s="45">
        <v>43976</v>
      </c>
      <c r="K1044" s="46" t="s">
        <v>20</v>
      </c>
      <c r="L1044" s="48">
        <v>18.989999999999998</v>
      </c>
    </row>
    <row r="1045" spans="1:291" ht="35" customHeight="1">
      <c r="A1045" s="23">
        <f>ROW()-3</f>
        <v>1042</v>
      </c>
      <c r="B1045" s="42" t="s">
        <v>4586</v>
      </c>
      <c r="C1045" s="42" t="s">
        <v>3576</v>
      </c>
      <c r="D1045" s="43" t="s">
        <v>4838</v>
      </c>
      <c r="E1045" s="43" t="s">
        <v>474</v>
      </c>
      <c r="F1045" s="43" t="s">
        <v>4839</v>
      </c>
      <c r="G1045" s="42" t="s">
        <v>34</v>
      </c>
      <c r="H1045" s="42">
        <v>117</v>
      </c>
      <c r="I1045" s="44">
        <v>39</v>
      </c>
      <c r="J1045" s="45">
        <v>44102</v>
      </c>
      <c r="K1045" s="46" t="s">
        <v>20</v>
      </c>
      <c r="L1045" s="48">
        <v>79.900000000000006</v>
      </c>
    </row>
    <row r="1046" spans="1:291" ht="35" customHeight="1">
      <c r="A1046" s="23">
        <f>ROW()-3</f>
        <v>1043</v>
      </c>
      <c r="B1046" s="42" t="s">
        <v>4586</v>
      </c>
      <c r="C1046" s="42" t="s">
        <v>3576</v>
      </c>
      <c r="D1046" s="43" t="s">
        <v>4852</v>
      </c>
      <c r="E1046" s="43" t="s">
        <v>457</v>
      </c>
      <c r="F1046" s="43" t="s">
        <v>4787</v>
      </c>
      <c r="G1046" s="42" t="s">
        <v>34</v>
      </c>
      <c r="H1046" s="42">
        <v>42</v>
      </c>
      <c r="I1046" s="44">
        <v>21.5</v>
      </c>
      <c r="J1046" s="45">
        <v>44312</v>
      </c>
      <c r="K1046" s="46" t="s">
        <v>20</v>
      </c>
      <c r="L1046" s="48">
        <v>28</v>
      </c>
    </row>
    <row r="1047" spans="1:291" ht="35" customHeight="1">
      <c r="A1047" s="23">
        <f>ROW()-3</f>
        <v>1044</v>
      </c>
      <c r="B1047" s="42" t="s">
        <v>4586</v>
      </c>
      <c r="C1047" s="42" t="s">
        <v>3576</v>
      </c>
      <c r="D1047" s="43" t="s">
        <v>4853</v>
      </c>
      <c r="E1047" s="43" t="s">
        <v>4854</v>
      </c>
      <c r="F1047" s="43" t="s">
        <v>4855</v>
      </c>
      <c r="G1047" s="42" t="s">
        <v>34</v>
      </c>
      <c r="H1047" s="42">
        <v>6</v>
      </c>
      <c r="I1047" s="44">
        <v>2.9</v>
      </c>
      <c r="J1047" s="45">
        <v>44354</v>
      </c>
      <c r="K1047" s="46" t="s">
        <v>20</v>
      </c>
      <c r="L1047" s="48"/>
    </row>
    <row r="1048" spans="1:291" ht="35" customHeight="1">
      <c r="A1048" s="23">
        <f>ROW()-3</f>
        <v>1045</v>
      </c>
      <c r="B1048" s="42" t="s">
        <v>4586</v>
      </c>
      <c r="C1048" s="42" t="s">
        <v>3576</v>
      </c>
      <c r="D1048" s="43" t="s">
        <v>4856</v>
      </c>
      <c r="E1048" s="43" t="s">
        <v>4857</v>
      </c>
      <c r="F1048" s="43" t="s">
        <v>4858</v>
      </c>
      <c r="G1048" s="42" t="s">
        <v>34</v>
      </c>
      <c r="H1048" s="42">
        <v>37</v>
      </c>
      <c r="I1048" s="44">
        <v>12.95</v>
      </c>
      <c r="J1048" s="45">
        <v>44362</v>
      </c>
      <c r="K1048" s="46" t="s">
        <v>20</v>
      </c>
      <c r="L1048" s="48">
        <v>36</v>
      </c>
    </row>
    <row r="1049" spans="1:291" ht="35" customHeight="1">
      <c r="A1049" s="23">
        <f>ROW()-3</f>
        <v>1046</v>
      </c>
      <c r="B1049" s="42" t="s">
        <v>4586</v>
      </c>
      <c r="C1049" s="42" t="s">
        <v>3576</v>
      </c>
      <c r="D1049" s="43" t="s">
        <v>4859</v>
      </c>
      <c r="E1049" s="43" t="s">
        <v>4860</v>
      </c>
      <c r="F1049" s="43" t="s">
        <v>4861</v>
      </c>
      <c r="G1049" s="42" t="s">
        <v>34</v>
      </c>
      <c r="H1049" s="42">
        <v>63</v>
      </c>
      <c r="I1049" s="44">
        <v>8.64</v>
      </c>
      <c r="J1049" s="45">
        <v>44410</v>
      </c>
      <c r="K1049" s="46" t="s">
        <v>4650</v>
      </c>
      <c r="L1049" s="48">
        <v>16.899999999999999</v>
      </c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1"/>
      <c r="AW1049" s="31"/>
      <c r="AX1049" s="31"/>
      <c r="AY1049" s="31"/>
      <c r="AZ1049" s="31"/>
      <c r="BA1049" s="31"/>
      <c r="BB1049" s="31"/>
      <c r="BC1049" s="31"/>
      <c r="BD1049" s="31"/>
      <c r="BE1049" s="31"/>
      <c r="BF1049" s="31"/>
      <c r="BG1049" s="31"/>
      <c r="BH1049" s="31"/>
      <c r="BI1049" s="31"/>
      <c r="BJ1049" s="31"/>
      <c r="BK1049" s="31"/>
      <c r="BL1049" s="31"/>
      <c r="BM1049" s="31"/>
      <c r="BN1049" s="31"/>
      <c r="BO1049" s="31"/>
      <c r="BP1049" s="31"/>
      <c r="BQ1049" s="31"/>
      <c r="BR1049" s="31"/>
      <c r="BS1049" s="31"/>
      <c r="BT1049" s="31"/>
      <c r="BU1049" s="31"/>
      <c r="BV1049" s="31"/>
      <c r="BW1049" s="31"/>
      <c r="BX1049" s="31"/>
      <c r="BY1049" s="31"/>
      <c r="BZ1049" s="31"/>
      <c r="CA1049" s="31"/>
      <c r="CB1049" s="31"/>
      <c r="CC1049" s="31"/>
      <c r="CD1049" s="31"/>
      <c r="CE1049" s="31"/>
      <c r="CF1049" s="31"/>
      <c r="CG1049" s="31"/>
      <c r="CH1049" s="31"/>
      <c r="CI1049" s="31"/>
      <c r="CJ1049" s="31"/>
      <c r="CK1049" s="31"/>
      <c r="CL1049" s="31"/>
      <c r="CM1049" s="31"/>
      <c r="CN1049" s="31"/>
      <c r="CO1049" s="31"/>
      <c r="CP1049" s="31"/>
      <c r="CQ1049" s="31"/>
      <c r="CR1049" s="31"/>
      <c r="CS1049" s="31"/>
      <c r="CT1049" s="31"/>
      <c r="CU1049" s="31"/>
      <c r="CV1049" s="31"/>
      <c r="CW1049" s="31"/>
      <c r="CX1049" s="31"/>
      <c r="CY1049" s="31"/>
      <c r="CZ1049" s="31"/>
      <c r="DA1049" s="31"/>
      <c r="DB1049" s="31"/>
      <c r="DC1049" s="31"/>
      <c r="DD1049" s="31"/>
      <c r="DE1049" s="31"/>
      <c r="DF1049" s="31"/>
      <c r="DG1049" s="31"/>
      <c r="DH1049" s="31"/>
      <c r="DI1049" s="31"/>
      <c r="DJ1049" s="31"/>
      <c r="DK1049" s="31"/>
      <c r="DL1049" s="31"/>
      <c r="DM1049" s="31"/>
      <c r="DN1049" s="31"/>
      <c r="DO1049" s="31"/>
      <c r="DP1049" s="31"/>
      <c r="DQ1049" s="31"/>
      <c r="DR1049" s="31"/>
      <c r="DS1049" s="31"/>
      <c r="DT1049" s="31"/>
      <c r="DU1049" s="31"/>
      <c r="DV1049" s="31"/>
      <c r="DW1049" s="31"/>
      <c r="DX1049" s="31"/>
      <c r="DY1049" s="31"/>
      <c r="DZ1049" s="31"/>
      <c r="EA1049" s="31"/>
      <c r="EB1049" s="31"/>
      <c r="EC1049" s="31"/>
      <c r="ED1049" s="31"/>
      <c r="EE1049" s="31"/>
      <c r="EF1049" s="31"/>
      <c r="EG1049" s="31"/>
      <c r="EH1049" s="31"/>
      <c r="EI1049" s="31"/>
      <c r="EJ1049" s="31"/>
      <c r="EK1049" s="31"/>
      <c r="EL1049" s="31"/>
      <c r="EM1049" s="31"/>
      <c r="EN1049" s="31"/>
      <c r="EO1049" s="31"/>
      <c r="EP1049" s="31"/>
      <c r="EQ1049" s="31"/>
      <c r="ER1049" s="31"/>
      <c r="ES1049" s="31"/>
      <c r="ET1049" s="31"/>
      <c r="EU1049" s="31"/>
      <c r="EV1049" s="31"/>
      <c r="EW1049" s="31"/>
      <c r="EX1049" s="31"/>
      <c r="EY1049" s="31"/>
      <c r="EZ1049" s="31"/>
      <c r="FA1049" s="31"/>
      <c r="FB1049" s="31"/>
      <c r="FC1049" s="31"/>
      <c r="FD1049" s="31"/>
      <c r="FE1049" s="31"/>
      <c r="FF1049" s="31"/>
      <c r="FG1049" s="31"/>
      <c r="FH1049" s="31"/>
      <c r="FI1049" s="31"/>
      <c r="FJ1049" s="31"/>
      <c r="FK1049" s="31"/>
      <c r="FL1049" s="31"/>
      <c r="FM1049" s="31"/>
      <c r="FN1049" s="31"/>
      <c r="FO1049" s="31"/>
      <c r="FP1049" s="31"/>
      <c r="FQ1049" s="31"/>
      <c r="FR1049" s="31"/>
      <c r="FS1049" s="31"/>
      <c r="FT1049" s="31"/>
      <c r="FU1049" s="31"/>
      <c r="FV1049" s="31"/>
      <c r="FW1049" s="31"/>
      <c r="FX1049" s="31"/>
      <c r="FY1049" s="31"/>
      <c r="FZ1049" s="31"/>
      <c r="GA1049" s="31"/>
      <c r="GB1049" s="31"/>
      <c r="GC1049" s="31"/>
      <c r="GD1049" s="31"/>
      <c r="GE1049" s="31"/>
      <c r="GF1049" s="31"/>
      <c r="GG1049" s="31"/>
      <c r="GH1049" s="31"/>
      <c r="GI1049" s="31"/>
      <c r="GJ1049" s="31"/>
      <c r="GK1049" s="31"/>
      <c r="GL1049" s="31"/>
      <c r="GM1049" s="31"/>
      <c r="GN1049" s="31"/>
      <c r="GO1049" s="31"/>
      <c r="GP1049" s="31"/>
      <c r="GQ1049" s="31"/>
      <c r="GR1049" s="31"/>
      <c r="GS1049" s="31"/>
      <c r="GT1049" s="31"/>
      <c r="GU1049" s="31"/>
      <c r="GV1049" s="31"/>
      <c r="GW1049" s="31"/>
      <c r="GX1049" s="31"/>
      <c r="GY1049" s="31"/>
      <c r="GZ1049" s="31"/>
      <c r="HA1049" s="31"/>
      <c r="HB1049" s="31"/>
      <c r="HC1049" s="31"/>
      <c r="HD1049" s="31"/>
      <c r="HE1049" s="31"/>
      <c r="HF1049" s="31"/>
      <c r="HG1049" s="31"/>
      <c r="HH1049" s="31"/>
      <c r="HI1049" s="31"/>
      <c r="HJ1049" s="31"/>
      <c r="HK1049" s="31"/>
      <c r="HL1049" s="31"/>
      <c r="HM1049" s="31"/>
      <c r="HN1049" s="31"/>
      <c r="HO1049" s="31"/>
      <c r="HP1049" s="31"/>
      <c r="HQ1049" s="31"/>
      <c r="HR1049" s="31"/>
      <c r="HS1049" s="31"/>
      <c r="HT1049" s="31"/>
      <c r="HU1049" s="31"/>
      <c r="HV1049" s="31"/>
      <c r="HW1049" s="31"/>
      <c r="HX1049" s="31"/>
      <c r="HY1049" s="31"/>
      <c r="HZ1049" s="31"/>
      <c r="IA1049" s="31"/>
      <c r="IB1049" s="31"/>
      <c r="IC1049" s="31"/>
      <c r="ID1049" s="31"/>
      <c r="IE1049" s="31"/>
      <c r="IF1049" s="31"/>
      <c r="IG1049" s="31"/>
      <c r="IH1049" s="31"/>
      <c r="II1049" s="31"/>
      <c r="IJ1049" s="31"/>
      <c r="IK1049" s="31"/>
      <c r="IL1049" s="31"/>
      <c r="IM1049" s="31"/>
      <c r="IN1049" s="31"/>
      <c r="IO1049" s="31"/>
      <c r="IP1049" s="31"/>
      <c r="IQ1049" s="31"/>
      <c r="IR1049" s="31"/>
      <c r="IS1049" s="31"/>
      <c r="IT1049" s="31"/>
      <c r="IU1049" s="31"/>
      <c r="IV1049" s="31"/>
      <c r="IW1049" s="31"/>
      <c r="IX1049" s="31"/>
      <c r="IY1049" s="31"/>
      <c r="IZ1049" s="31"/>
      <c r="JA1049" s="31"/>
      <c r="JB1049" s="31"/>
      <c r="JC1049" s="31"/>
      <c r="JD1049" s="31"/>
      <c r="JE1049" s="31"/>
      <c r="JF1049" s="31"/>
      <c r="JG1049" s="31"/>
      <c r="JH1049" s="31"/>
      <c r="JI1049" s="31"/>
      <c r="JJ1049" s="31"/>
      <c r="JK1049" s="31"/>
      <c r="JL1049" s="31"/>
      <c r="JM1049" s="31"/>
      <c r="JN1049" s="31"/>
      <c r="JO1049" s="31"/>
      <c r="JP1049" s="31"/>
      <c r="JQ1049" s="31"/>
      <c r="JR1049" s="31"/>
      <c r="JS1049" s="31"/>
      <c r="JT1049" s="31"/>
      <c r="JU1049" s="31"/>
      <c r="JV1049" s="31"/>
      <c r="JW1049" s="31"/>
      <c r="JX1049" s="31"/>
      <c r="JY1049" s="31"/>
      <c r="JZ1049" s="31"/>
      <c r="KA1049" s="31"/>
      <c r="KB1049" s="31"/>
      <c r="KC1049" s="31"/>
      <c r="KD1049" s="31"/>
      <c r="KE1049" s="31"/>
    </row>
    <row r="1050" spans="1:291" ht="35" customHeight="1">
      <c r="A1050" s="23">
        <f>ROW()-3</f>
        <v>1047</v>
      </c>
      <c r="B1050" s="42" t="s">
        <v>4586</v>
      </c>
      <c r="C1050" s="42" t="s">
        <v>3576</v>
      </c>
      <c r="D1050" s="43" t="s">
        <v>4862</v>
      </c>
      <c r="E1050" s="43" t="s">
        <v>4861</v>
      </c>
      <c r="F1050" s="43" t="s">
        <v>4863</v>
      </c>
      <c r="G1050" s="42" t="s">
        <v>34</v>
      </c>
      <c r="H1050" s="42">
        <v>48</v>
      </c>
      <c r="I1050" s="44">
        <v>6.72</v>
      </c>
      <c r="J1050" s="45">
        <v>44410</v>
      </c>
      <c r="K1050" s="46" t="s">
        <v>4799</v>
      </c>
      <c r="L1050" s="48">
        <v>16.899999999999999</v>
      </c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  <c r="AX1050" s="31"/>
      <c r="AY1050" s="31"/>
      <c r="AZ1050" s="31"/>
      <c r="BA1050" s="31"/>
      <c r="BB1050" s="31"/>
      <c r="BC1050" s="31"/>
      <c r="BD1050" s="31"/>
      <c r="BE1050" s="31"/>
      <c r="BF1050" s="31"/>
      <c r="BG1050" s="31"/>
      <c r="BH1050" s="31"/>
      <c r="BI1050" s="31"/>
      <c r="BJ1050" s="31"/>
      <c r="BK1050" s="31"/>
      <c r="BL1050" s="31"/>
      <c r="BM1050" s="31"/>
      <c r="BN1050" s="31"/>
      <c r="BO1050" s="31"/>
      <c r="BP1050" s="31"/>
      <c r="BQ1050" s="31"/>
      <c r="BR1050" s="31"/>
      <c r="BS1050" s="31"/>
      <c r="BT1050" s="31"/>
      <c r="BU1050" s="31"/>
      <c r="BV1050" s="31"/>
      <c r="BW1050" s="31"/>
      <c r="BX1050" s="31"/>
      <c r="BY1050" s="31"/>
      <c r="BZ1050" s="31"/>
      <c r="CA1050" s="31"/>
      <c r="CB1050" s="31"/>
      <c r="CC1050" s="31"/>
      <c r="CD1050" s="31"/>
      <c r="CE1050" s="31"/>
      <c r="CF1050" s="31"/>
      <c r="CG1050" s="31"/>
      <c r="CH1050" s="31"/>
      <c r="CI1050" s="31"/>
      <c r="CJ1050" s="31"/>
      <c r="CK1050" s="31"/>
      <c r="CL1050" s="31"/>
      <c r="CM1050" s="31"/>
      <c r="CN1050" s="31"/>
      <c r="CO1050" s="31"/>
      <c r="CP1050" s="31"/>
      <c r="CQ1050" s="31"/>
      <c r="CR1050" s="31"/>
      <c r="CS1050" s="31"/>
      <c r="CT1050" s="31"/>
      <c r="CU1050" s="31"/>
      <c r="CV1050" s="31"/>
      <c r="CW1050" s="31"/>
      <c r="CX1050" s="31"/>
      <c r="CY1050" s="31"/>
      <c r="CZ1050" s="31"/>
      <c r="DA1050" s="31"/>
      <c r="DB1050" s="31"/>
      <c r="DC1050" s="31"/>
      <c r="DD1050" s="31"/>
      <c r="DE1050" s="31"/>
      <c r="DF1050" s="31"/>
      <c r="DG1050" s="31"/>
      <c r="DH1050" s="31"/>
      <c r="DI1050" s="31"/>
      <c r="DJ1050" s="31"/>
      <c r="DK1050" s="31"/>
      <c r="DL1050" s="31"/>
      <c r="DM1050" s="31"/>
      <c r="DN1050" s="31"/>
      <c r="DO1050" s="31"/>
      <c r="DP1050" s="31"/>
      <c r="DQ1050" s="31"/>
      <c r="DR1050" s="31"/>
      <c r="DS1050" s="31"/>
      <c r="DT1050" s="31"/>
      <c r="DU1050" s="31"/>
      <c r="DV1050" s="31"/>
      <c r="DW1050" s="31"/>
      <c r="DX1050" s="31"/>
      <c r="DY1050" s="31"/>
      <c r="DZ1050" s="31"/>
      <c r="EA1050" s="31"/>
      <c r="EB1050" s="31"/>
      <c r="EC1050" s="31"/>
      <c r="ED1050" s="31"/>
      <c r="EE1050" s="31"/>
      <c r="EF1050" s="31"/>
      <c r="EG1050" s="31"/>
      <c r="EH1050" s="31"/>
      <c r="EI1050" s="31"/>
      <c r="EJ1050" s="31"/>
      <c r="EK1050" s="31"/>
      <c r="EL1050" s="31"/>
      <c r="EM1050" s="31"/>
      <c r="EN1050" s="31"/>
      <c r="EO1050" s="31"/>
      <c r="EP1050" s="31"/>
      <c r="EQ1050" s="31"/>
      <c r="ER1050" s="31"/>
      <c r="ES1050" s="31"/>
      <c r="ET1050" s="31"/>
      <c r="EU1050" s="31"/>
      <c r="EV1050" s="31"/>
      <c r="EW1050" s="31"/>
      <c r="EX1050" s="31"/>
      <c r="EY1050" s="31"/>
      <c r="EZ1050" s="31"/>
      <c r="FA1050" s="31"/>
      <c r="FB1050" s="31"/>
      <c r="FC1050" s="31"/>
      <c r="FD1050" s="31"/>
      <c r="FE1050" s="31"/>
      <c r="FF1050" s="31"/>
      <c r="FG1050" s="31"/>
      <c r="FH1050" s="31"/>
      <c r="FI1050" s="31"/>
      <c r="FJ1050" s="31"/>
      <c r="FK1050" s="31"/>
      <c r="FL1050" s="31"/>
      <c r="FM1050" s="31"/>
      <c r="FN1050" s="31"/>
      <c r="FO1050" s="31"/>
      <c r="FP1050" s="31"/>
      <c r="FQ1050" s="31"/>
      <c r="FR1050" s="31"/>
      <c r="FS1050" s="31"/>
      <c r="FT1050" s="31"/>
      <c r="FU1050" s="31"/>
      <c r="FV1050" s="31"/>
      <c r="FW1050" s="31"/>
      <c r="FX1050" s="31"/>
      <c r="FY1050" s="31"/>
      <c r="FZ1050" s="31"/>
      <c r="GA1050" s="31"/>
      <c r="GB1050" s="31"/>
      <c r="GC1050" s="31"/>
      <c r="GD1050" s="31"/>
      <c r="GE1050" s="31"/>
      <c r="GF1050" s="31"/>
      <c r="GG1050" s="31"/>
      <c r="GH1050" s="31"/>
      <c r="GI1050" s="31"/>
      <c r="GJ1050" s="31"/>
      <c r="GK1050" s="31"/>
      <c r="GL1050" s="31"/>
      <c r="GM1050" s="31"/>
      <c r="GN1050" s="31"/>
      <c r="GO1050" s="31"/>
      <c r="GP1050" s="31"/>
      <c r="GQ1050" s="31"/>
      <c r="GR1050" s="31"/>
      <c r="GS1050" s="31"/>
      <c r="GT1050" s="31"/>
      <c r="GU1050" s="31"/>
      <c r="GV1050" s="31"/>
      <c r="GW1050" s="31"/>
      <c r="GX1050" s="31"/>
      <c r="GY1050" s="31"/>
      <c r="GZ1050" s="31"/>
      <c r="HA1050" s="31"/>
      <c r="HB1050" s="31"/>
      <c r="HC1050" s="31"/>
      <c r="HD1050" s="31"/>
      <c r="HE1050" s="31"/>
      <c r="HF1050" s="31"/>
      <c r="HG1050" s="31"/>
      <c r="HH1050" s="31"/>
      <c r="HI1050" s="31"/>
      <c r="HJ1050" s="31"/>
      <c r="HK1050" s="31"/>
      <c r="HL1050" s="31"/>
      <c r="HM1050" s="31"/>
      <c r="HN1050" s="31"/>
      <c r="HO1050" s="31"/>
      <c r="HP1050" s="31"/>
      <c r="HQ1050" s="31"/>
      <c r="HR1050" s="31"/>
      <c r="HS1050" s="31"/>
      <c r="HT1050" s="31"/>
      <c r="HU1050" s="31"/>
      <c r="HV1050" s="31"/>
      <c r="HW1050" s="31"/>
      <c r="HX1050" s="31"/>
      <c r="HY1050" s="31"/>
      <c r="HZ1050" s="31"/>
      <c r="IA1050" s="31"/>
      <c r="IB1050" s="31"/>
      <c r="IC1050" s="31"/>
      <c r="ID1050" s="31"/>
      <c r="IE1050" s="31"/>
      <c r="IF1050" s="31"/>
      <c r="IG1050" s="31"/>
      <c r="IH1050" s="31"/>
      <c r="II1050" s="31"/>
      <c r="IJ1050" s="31"/>
      <c r="IK1050" s="31"/>
      <c r="IL1050" s="31"/>
      <c r="IM1050" s="31"/>
      <c r="IN1050" s="31"/>
      <c r="IO1050" s="31"/>
      <c r="IP1050" s="31"/>
      <c r="IQ1050" s="31"/>
      <c r="IR1050" s="31"/>
      <c r="IS1050" s="31"/>
      <c r="IT1050" s="31"/>
      <c r="IU1050" s="31"/>
      <c r="IV1050" s="31"/>
      <c r="IW1050" s="31"/>
      <c r="IX1050" s="31"/>
      <c r="IY1050" s="31"/>
      <c r="IZ1050" s="31"/>
      <c r="JA1050" s="31"/>
      <c r="JB1050" s="31"/>
      <c r="JC1050" s="31"/>
      <c r="JD1050" s="31"/>
      <c r="JE1050" s="31"/>
      <c r="JF1050" s="31"/>
      <c r="JG1050" s="31"/>
      <c r="JH1050" s="31"/>
      <c r="JI1050" s="31"/>
      <c r="JJ1050" s="31"/>
      <c r="JK1050" s="31"/>
      <c r="JL1050" s="31"/>
      <c r="JM1050" s="31"/>
      <c r="JN1050" s="31"/>
      <c r="JO1050" s="31"/>
      <c r="JP1050" s="31"/>
      <c r="JQ1050" s="31"/>
      <c r="JR1050" s="31"/>
      <c r="JS1050" s="31"/>
      <c r="JT1050" s="31"/>
      <c r="JU1050" s="31"/>
      <c r="JV1050" s="31"/>
      <c r="JW1050" s="31"/>
      <c r="JX1050" s="31"/>
      <c r="JY1050" s="31"/>
      <c r="JZ1050" s="31"/>
      <c r="KA1050" s="31"/>
      <c r="KB1050" s="31"/>
      <c r="KC1050" s="31"/>
      <c r="KD1050" s="31"/>
      <c r="KE1050" s="31"/>
    </row>
    <row r="1051" spans="1:291" ht="35" customHeight="1">
      <c r="A1051" s="23">
        <f>ROW()-3</f>
        <v>1048</v>
      </c>
      <c r="B1051" s="42" t="s">
        <v>4586</v>
      </c>
      <c r="C1051" s="42" t="s">
        <v>3576</v>
      </c>
      <c r="D1051" s="43" t="s">
        <v>4864</v>
      </c>
      <c r="E1051" s="43" t="s">
        <v>4330</v>
      </c>
      <c r="F1051" s="43" t="s">
        <v>3258</v>
      </c>
      <c r="G1051" s="42" t="s">
        <v>34</v>
      </c>
      <c r="H1051" s="42">
        <v>40</v>
      </c>
      <c r="I1051" s="44">
        <v>6</v>
      </c>
      <c r="J1051" s="45">
        <v>44417</v>
      </c>
      <c r="K1051" s="46" t="s">
        <v>4650</v>
      </c>
      <c r="L1051" s="48">
        <v>16.899999999999999</v>
      </c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  <c r="AX1051" s="31"/>
      <c r="AY1051" s="31"/>
      <c r="AZ1051" s="31"/>
      <c r="BA1051" s="31"/>
      <c r="BB1051" s="31"/>
      <c r="BC1051" s="31"/>
      <c r="BD1051" s="31"/>
      <c r="BE1051" s="31"/>
      <c r="BF1051" s="31"/>
      <c r="BG1051" s="31"/>
      <c r="BH1051" s="31"/>
      <c r="BI1051" s="31"/>
      <c r="BJ1051" s="31"/>
      <c r="BK1051" s="31"/>
      <c r="BL1051" s="31"/>
      <c r="BM1051" s="31"/>
      <c r="BN1051" s="31"/>
      <c r="BO1051" s="31"/>
      <c r="BP1051" s="31"/>
      <c r="BQ1051" s="31"/>
      <c r="BR1051" s="31"/>
      <c r="BS1051" s="31"/>
      <c r="BT1051" s="31"/>
      <c r="BU1051" s="31"/>
      <c r="BV1051" s="31"/>
      <c r="BW1051" s="31"/>
      <c r="BX1051" s="31"/>
      <c r="BY1051" s="31"/>
      <c r="BZ1051" s="31"/>
      <c r="CA1051" s="31"/>
      <c r="CB1051" s="31"/>
      <c r="CC1051" s="31"/>
      <c r="CD1051" s="31"/>
      <c r="CE1051" s="31"/>
      <c r="CF1051" s="31"/>
      <c r="CG1051" s="31"/>
      <c r="CH1051" s="31"/>
      <c r="CI1051" s="31"/>
      <c r="CJ1051" s="31"/>
      <c r="CK1051" s="31"/>
      <c r="CL1051" s="31"/>
      <c r="CM1051" s="31"/>
      <c r="CN1051" s="31"/>
      <c r="CO1051" s="31"/>
      <c r="CP1051" s="31"/>
      <c r="CQ1051" s="31"/>
      <c r="CR1051" s="31"/>
      <c r="CS1051" s="31"/>
      <c r="CT1051" s="31"/>
      <c r="CU1051" s="31"/>
      <c r="CV1051" s="31"/>
      <c r="CW1051" s="31"/>
      <c r="CX1051" s="31"/>
      <c r="CY1051" s="31"/>
      <c r="CZ1051" s="31"/>
      <c r="DA1051" s="31"/>
      <c r="DB1051" s="31"/>
      <c r="DC1051" s="31"/>
      <c r="DD1051" s="31"/>
      <c r="DE1051" s="31"/>
      <c r="DF1051" s="31"/>
      <c r="DG1051" s="31"/>
      <c r="DH1051" s="31"/>
      <c r="DI1051" s="31"/>
      <c r="DJ1051" s="31"/>
      <c r="DK1051" s="31"/>
      <c r="DL1051" s="31"/>
      <c r="DM1051" s="31"/>
      <c r="DN1051" s="31"/>
      <c r="DO1051" s="31"/>
      <c r="DP1051" s="31"/>
      <c r="DQ1051" s="31"/>
      <c r="DR1051" s="31"/>
      <c r="DS1051" s="31"/>
      <c r="DT1051" s="31"/>
      <c r="DU1051" s="31"/>
      <c r="DV1051" s="31"/>
      <c r="DW1051" s="31"/>
      <c r="DX1051" s="31"/>
      <c r="DY1051" s="31"/>
      <c r="DZ1051" s="31"/>
      <c r="EA1051" s="31"/>
      <c r="EB1051" s="31"/>
      <c r="EC1051" s="31"/>
      <c r="ED1051" s="31"/>
      <c r="EE1051" s="31"/>
      <c r="EF1051" s="31"/>
      <c r="EG1051" s="31"/>
      <c r="EH1051" s="31"/>
      <c r="EI1051" s="31"/>
      <c r="EJ1051" s="31"/>
      <c r="EK1051" s="31"/>
      <c r="EL1051" s="31"/>
      <c r="EM1051" s="31"/>
      <c r="EN1051" s="31"/>
      <c r="EO1051" s="31"/>
      <c r="EP1051" s="31"/>
      <c r="EQ1051" s="31"/>
      <c r="ER1051" s="31"/>
      <c r="ES1051" s="31"/>
      <c r="ET1051" s="31"/>
      <c r="EU1051" s="31"/>
      <c r="EV1051" s="31"/>
      <c r="EW1051" s="31"/>
      <c r="EX1051" s="31"/>
      <c r="EY1051" s="31"/>
      <c r="EZ1051" s="31"/>
      <c r="FA1051" s="31"/>
      <c r="FB1051" s="31"/>
      <c r="FC1051" s="31"/>
      <c r="FD1051" s="31"/>
      <c r="FE1051" s="31"/>
      <c r="FF1051" s="31"/>
      <c r="FG1051" s="31"/>
      <c r="FH1051" s="31"/>
      <c r="FI1051" s="31"/>
      <c r="FJ1051" s="31"/>
      <c r="FK1051" s="31"/>
      <c r="FL1051" s="31"/>
      <c r="FM1051" s="31"/>
      <c r="FN1051" s="31"/>
      <c r="FO1051" s="31"/>
      <c r="FP1051" s="31"/>
      <c r="FQ1051" s="31"/>
      <c r="FR1051" s="31"/>
      <c r="FS1051" s="31"/>
      <c r="FT1051" s="31"/>
      <c r="FU1051" s="31"/>
      <c r="FV1051" s="31"/>
      <c r="FW1051" s="31"/>
      <c r="FX1051" s="31"/>
      <c r="FY1051" s="31"/>
      <c r="FZ1051" s="31"/>
      <c r="GA1051" s="31"/>
      <c r="GB1051" s="31"/>
      <c r="GC1051" s="31"/>
      <c r="GD1051" s="31"/>
      <c r="GE1051" s="31"/>
      <c r="GF1051" s="31"/>
      <c r="GG1051" s="31"/>
      <c r="GH1051" s="31"/>
      <c r="GI1051" s="31"/>
      <c r="GJ1051" s="31"/>
      <c r="GK1051" s="31"/>
      <c r="GL1051" s="31"/>
      <c r="GM1051" s="31"/>
      <c r="GN1051" s="31"/>
      <c r="GO1051" s="31"/>
      <c r="GP1051" s="31"/>
      <c r="GQ1051" s="31"/>
      <c r="GR1051" s="31"/>
      <c r="GS1051" s="31"/>
      <c r="GT1051" s="31"/>
      <c r="GU1051" s="31"/>
      <c r="GV1051" s="31"/>
      <c r="GW1051" s="31"/>
      <c r="GX1051" s="31"/>
      <c r="GY1051" s="31"/>
      <c r="GZ1051" s="31"/>
      <c r="HA1051" s="31"/>
      <c r="HB1051" s="31"/>
      <c r="HC1051" s="31"/>
      <c r="HD1051" s="31"/>
      <c r="HE1051" s="31"/>
      <c r="HF1051" s="31"/>
      <c r="HG1051" s="31"/>
      <c r="HH1051" s="31"/>
      <c r="HI1051" s="31"/>
      <c r="HJ1051" s="31"/>
      <c r="HK1051" s="31"/>
      <c r="HL1051" s="31"/>
      <c r="HM1051" s="31"/>
      <c r="HN1051" s="31"/>
      <c r="HO1051" s="31"/>
      <c r="HP1051" s="31"/>
      <c r="HQ1051" s="31"/>
      <c r="HR1051" s="31"/>
      <c r="HS1051" s="31"/>
      <c r="HT1051" s="31"/>
      <c r="HU1051" s="31"/>
      <c r="HV1051" s="31"/>
      <c r="HW1051" s="31"/>
      <c r="HX1051" s="31"/>
      <c r="HY1051" s="31"/>
      <c r="HZ1051" s="31"/>
      <c r="IA1051" s="31"/>
      <c r="IB1051" s="31"/>
      <c r="IC1051" s="31"/>
      <c r="ID1051" s="31"/>
      <c r="IE1051" s="31"/>
      <c r="IF1051" s="31"/>
      <c r="IG1051" s="31"/>
      <c r="IH1051" s="31"/>
      <c r="II1051" s="31"/>
      <c r="IJ1051" s="31"/>
      <c r="IK1051" s="31"/>
      <c r="IL1051" s="31"/>
      <c r="IM1051" s="31"/>
      <c r="IN1051" s="31"/>
      <c r="IO1051" s="31"/>
      <c r="IP1051" s="31"/>
      <c r="IQ1051" s="31"/>
      <c r="IR1051" s="31"/>
      <c r="IS1051" s="31"/>
      <c r="IT1051" s="31"/>
      <c r="IU1051" s="31"/>
      <c r="IV1051" s="31"/>
      <c r="IW1051" s="31"/>
      <c r="IX1051" s="31"/>
      <c r="IY1051" s="31"/>
      <c r="IZ1051" s="31"/>
      <c r="JA1051" s="31"/>
      <c r="JB1051" s="31"/>
      <c r="JC1051" s="31"/>
      <c r="JD1051" s="31"/>
      <c r="JE1051" s="31"/>
      <c r="JF1051" s="31"/>
      <c r="JG1051" s="31"/>
      <c r="JH1051" s="31"/>
      <c r="JI1051" s="31"/>
      <c r="JJ1051" s="31"/>
      <c r="JK1051" s="31"/>
      <c r="JL1051" s="31"/>
      <c r="JM1051" s="31"/>
      <c r="JN1051" s="31"/>
      <c r="JO1051" s="31"/>
      <c r="JP1051" s="31"/>
      <c r="JQ1051" s="31"/>
      <c r="JR1051" s="31"/>
      <c r="JS1051" s="31"/>
      <c r="JT1051" s="31"/>
      <c r="JU1051" s="31"/>
      <c r="JV1051" s="31"/>
      <c r="JW1051" s="31"/>
      <c r="JX1051" s="31"/>
      <c r="JY1051" s="31"/>
      <c r="JZ1051" s="31"/>
      <c r="KA1051" s="31"/>
      <c r="KB1051" s="31"/>
      <c r="KC1051" s="31"/>
      <c r="KD1051" s="31"/>
      <c r="KE1051" s="31"/>
    </row>
    <row r="1052" spans="1:291" ht="35" customHeight="1">
      <c r="A1052" s="23">
        <f>ROW()-3</f>
        <v>1049</v>
      </c>
      <c r="B1052" s="42" t="s">
        <v>4586</v>
      </c>
      <c r="C1052" s="42" t="s">
        <v>3576</v>
      </c>
      <c r="D1052" s="43" t="s">
        <v>4865</v>
      </c>
      <c r="E1052" s="43" t="s">
        <v>4866</v>
      </c>
      <c r="F1052" s="43" t="s">
        <v>4866</v>
      </c>
      <c r="G1052" s="42" t="s">
        <v>3253</v>
      </c>
      <c r="H1052" s="42">
        <v>57</v>
      </c>
      <c r="I1052" s="44">
        <v>7.6</v>
      </c>
      <c r="J1052" s="45">
        <v>44461</v>
      </c>
      <c r="K1052" s="46" t="s">
        <v>4650</v>
      </c>
      <c r="L1052" s="48">
        <v>16.989999999999998</v>
      </c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  <c r="AX1052" s="31"/>
      <c r="AY1052" s="31"/>
      <c r="AZ1052" s="31"/>
      <c r="BA1052" s="31"/>
      <c r="BB1052" s="31"/>
      <c r="BC1052" s="31"/>
      <c r="BD1052" s="31"/>
      <c r="BE1052" s="31"/>
      <c r="BF1052" s="31"/>
      <c r="BG1052" s="31"/>
      <c r="BH1052" s="31"/>
      <c r="BI1052" s="31"/>
      <c r="BJ1052" s="31"/>
      <c r="BK1052" s="31"/>
      <c r="BL1052" s="31"/>
      <c r="BM1052" s="31"/>
      <c r="BN1052" s="31"/>
      <c r="BO1052" s="31"/>
      <c r="BP1052" s="31"/>
      <c r="BQ1052" s="31"/>
      <c r="BR1052" s="31"/>
      <c r="BS1052" s="31"/>
      <c r="BT1052" s="31"/>
      <c r="BU1052" s="31"/>
      <c r="BV1052" s="31"/>
      <c r="BW1052" s="31"/>
      <c r="BX1052" s="31"/>
      <c r="BY1052" s="31"/>
      <c r="BZ1052" s="31"/>
      <c r="CA1052" s="31"/>
      <c r="CB1052" s="31"/>
      <c r="CC1052" s="31"/>
      <c r="CD1052" s="31"/>
      <c r="CE1052" s="31"/>
      <c r="CF1052" s="31"/>
      <c r="CG1052" s="31"/>
      <c r="CH1052" s="31"/>
      <c r="CI1052" s="31"/>
      <c r="CJ1052" s="31"/>
      <c r="CK1052" s="31"/>
      <c r="CL1052" s="31"/>
      <c r="CM1052" s="31"/>
      <c r="CN1052" s="31"/>
      <c r="CO1052" s="31"/>
      <c r="CP1052" s="31"/>
      <c r="CQ1052" s="31"/>
      <c r="CR1052" s="31"/>
      <c r="CS1052" s="31"/>
      <c r="CT1052" s="31"/>
      <c r="CU1052" s="31"/>
      <c r="CV1052" s="31"/>
      <c r="CW1052" s="31"/>
      <c r="CX1052" s="31"/>
      <c r="CY1052" s="31"/>
      <c r="CZ1052" s="31"/>
      <c r="DA1052" s="31"/>
      <c r="DB1052" s="31"/>
      <c r="DC1052" s="31"/>
      <c r="DD1052" s="31"/>
      <c r="DE1052" s="31"/>
      <c r="DF1052" s="31"/>
      <c r="DG1052" s="31"/>
      <c r="DH1052" s="31"/>
      <c r="DI1052" s="31"/>
      <c r="DJ1052" s="31"/>
      <c r="DK1052" s="31"/>
      <c r="DL1052" s="31"/>
      <c r="DM1052" s="31"/>
      <c r="DN1052" s="31"/>
      <c r="DO1052" s="31"/>
      <c r="DP1052" s="31"/>
      <c r="DQ1052" s="31"/>
      <c r="DR1052" s="31"/>
      <c r="DS1052" s="31"/>
      <c r="DT1052" s="31"/>
      <c r="DU1052" s="31"/>
      <c r="DV1052" s="31"/>
      <c r="DW1052" s="31"/>
      <c r="DX1052" s="31"/>
      <c r="DY1052" s="31"/>
      <c r="DZ1052" s="31"/>
      <c r="EA1052" s="31"/>
      <c r="EB1052" s="31"/>
      <c r="EC1052" s="31"/>
      <c r="ED1052" s="31"/>
      <c r="EE1052" s="31"/>
      <c r="EF1052" s="31"/>
      <c r="EG1052" s="31"/>
      <c r="EH1052" s="31"/>
      <c r="EI1052" s="31"/>
      <c r="EJ1052" s="31"/>
      <c r="EK1052" s="31"/>
      <c r="EL1052" s="31"/>
      <c r="EM1052" s="31"/>
      <c r="EN1052" s="31"/>
      <c r="EO1052" s="31"/>
      <c r="EP1052" s="31"/>
      <c r="EQ1052" s="31"/>
      <c r="ER1052" s="31"/>
      <c r="ES1052" s="31"/>
      <c r="ET1052" s="31"/>
      <c r="EU1052" s="31"/>
      <c r="EV1052" s="31"/>
      <c r="EW1052" s="31"/>
      <c r="EX1052" s="31"/>
      <c r="EY1052" s="31"/>
      <c r="EZ1052" s="31"/>
      <c r="FA1052" s="31"/>
      <c r="FB1052" s="31"/>
      <c r="FC1052" s="31"/>
      <c r="FD1052" s="31"/>
      <c r="FE1052" s="31"/>
      <c r="FF1052" s="31"/>
      <c r="FG1052" s="31"/>
      <c r="FH1052" s="31"/>
      <c r="FI1052" s="31"/>
      <c r="FJ1052" s="31"/>
      <c r="FK1052" s="31"/>
      <c r="FL1052" s="31"/>
      <c r="FM1052" s="31"/>
      <c r="FN1052" s="31"/>
      <c r="FO1052" s="31"/>
      <c r="FP1052" s="31"/>
      <c r="FQ1052" s="31"/>
      <c r="FR1052" s="31"/>
      <c r="FS1052" s="31"/>
      <c r="FT1052" s="31"/>
      <c r="FU1052" s="31"/>
      <c r="FV1052" s="31"/>
      <c r="FW1052" s="31"/>
      <c r="FX1052" s="31"/>
      <c r="FY1052" s="31"/>
      <c r="FZ1052" s="31"/>
      <c r="GA1052" s="31"/>
      <c r="GB1052" s="31"/>
      <c r="GC1052" s="31"/>
      <c r="GD1052" s="31"/>
      <c r="GE1052" s="31"/>
      <c r="GF1052" s="31"/>
      <c r="GG1052" s="31"/>
      <c r="GH1052" s="31"/>
      <c r="GI1052" s="31"/>
      <c r="GJ1052" s="31"/>
      <c r="GK1052" s="31"/>
      <c r="GL1052" s="31"/>
      <c r="GM1052" s="31"/>
      <c r="GN1052" s="31"/>
      <c r="GO1052" s="31"/>
      <c r="GP1052" s="31"/>
      <c r="GQ1052" s="31"/>
      <c r="GR1052" s="31"/>
      <c r="GS1052" s="31"/>
      <c r="GT1052" s="31"/>
      <c r="GU1052" s="31"/>
      <c r="GV1052" s="31"/>
      <c r="GW1052" s="31"/>
      <c r="GX1052" s="31"/>
      <c r="GY1052" s="31"/>
      <c r="GZ1052" s="31"/>
      <c r="HA1052" s="31"/>
      <c r="HB1052" s="31"/>
      <c r="HC1052" s="31"/>
      <c r="HD1052" s="31"/>
      <c r="HE1052" s="31"/>
      <c r="HF1052" s="31"/>
      <c r="HG1052" s="31"/>
      <c r="HH1052" s="31"/>
      <c r="HI1052" s="31"/>
      <c r="HJ1052" s="31"/>
      <c r="HK1052" s="31"/>
      <c r="HL1052" s="31"/>
      <c r="HM1052" s="31"/>
      <c r="HN1052" s="31"/>
      <c r="HO1052" s="31"/>
      <c r="HP1052" s="31"/>
      <c r="HQ1052" s="31"/>
      <c r="HR1052" s="31"/>
      <c r="HS1052" s="31"/>
      <c r="HT1052" s="31"/>
      <c r="HU1052" s="31"/>
      <c r="HV1052" s="31"/>
      <c r="HW1052" s="31"/>
      <c r="HX1052" s="31"/>
      <c r="HY1052" s="31"/>
      <c r="HZ1052" s="31"/>
      <c r="IA1052" s="31"/>
      <c r="IB1052" s="31"/>
      <c r="IC1052" s="31"/>
      <c r="ID1052" s="31"/>
      <c r="IE1052" s="31"/>
      <c r="IF1052" s="31"/>
      <c r="IG1052" s="31"/>
      <c r="IH1052" s="31"/>
      <c r="II1052" s="31"/>
      <c r="IJ1052" s="31"/>
      <c r="IK1052" s="31"/>
      <c r="IL1052" s="31"/>
      <c r="IM1052" s="31"/>
      <c r="IN1052" s="31"/>
      <c r="IO1052" s="31"/>
      <c r="IP1052" s="31"/>
      <c r="IQ1052" s="31"/>
      <c r="IR1052" s="31"/>
      <c r="IS1052" s="31"/>
      <c r="IT1052" s="31"/>
      <c r="IU1052" s="31"/>
      <c r="IV1052" s="31"/>
      <c r="IW1052" s="31"/>
      <c r="IX1052" s="31"/>
      <c r="IY1052" s="31"/>
      <c r="IZ1052" s="31"/>
      <c r="JA1052" s="31"/>
      <c r="JB1052" s="31"/>
      <c r="JC1052" s="31"/>
      <c r="JD1052" s="31"/>
      <c r="JE1052" s="31"/>
      <c r="JF1052" s="31"/>
      <c r="JG1052" s="31"/>
      <c r="JH1052" s="31"/>
      <c r="JI1052" s="31"/>
      <c r="JJ1052" s="31"/>
      <c r="JK1052" s="31"/>
      <c r="JL1052" s="31"/>
      <c r="JM1052" s="31"/>
      <c r="JN1052" s="31"/>
      <c r="JO1052" s="31"/>
      <c r="JP1052" s="31"/>
      <c r="JQ1052" s="31"/>
      <c r="JR1052" s="31"/>
      <c r="JS1052" s="31"/>
      <c r="JT1052" s="31"/>
      <c r="JU1052" s="31"/>
      <c r="JV1052" s="31"/>
      <c r="JW1052" s="31"/>
      <c r="JX1052" s="31"/>
      <c r="JY1052" s="31"/>
      <c r="JZ1052" s="31"/>
      <c r="KA1052" s="31"/>
      <c r="KB1052" s="31"/>
      <c r="KC1052" s="31"/>
      <c r="KD1052" s="31"/>
      <c r="KE1052" s="31"/>
    </row>
    <row r="1053" spans="1:291" ht="35" customHeight="1">
      <c r="A1053" s="23">
        <f>ROW()-3</f>
        <v>1050</v>
      </c>
      <c r="B1053" s="42" t="s">
        <v>4586</v>
      </c>
      <c r="C1053" s="42" t="s">
        <v>3576</v>
      </c>
      <c r="D1053" s="43" t="s">
        <v>4867</v>
      </c>
      <c r="E1053" s="43" t="s">
        <v>4861</v>
      </c>
      <c r="F1053" s="43" t="s">
        <v>4868</v>
      </c>
      <c r="G1053" s="42" t="s">
        <v>3253</v>
      </c>
      <c r="H1053" s="42">
        <v>68</v>
      </c>
      <c r="I1053" s="44">
        <v>11.3</v>
      </c>
      <c r="J1053" s="45">
        <v>44494</v>
      </c>
      <c r="K1053" s="46" t="s">
        <v>4650</v>
      </c>
      <c r="L1053" s="48">
        <v>16.989999999999998</v>
      </c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  <c r="AX1053" s="31"/>
      <c r="AY1053" s="31"/>
      <c r="AZ1053" s="31"/>
      <c r="BA1053" s="31"/>
      <c r="BB1053" s="31"/>
      <c r="BC1053" s="31"/>
      <c r="BD1053" s="31"/>
      <c r="BE1053" s="31"/>
      <c r="BF1053" s="31"/>
      <c r="BG1053" s="31"/>
      <c r="BH1053" s="31"/>
      <c r="BI1053" s="31"/>
      <c r="BJ1053" s="31"/>
      <c r="BK1053" s="31"/>
      <c r="BL1053" s="31"/>
      <c r="BM1053" s="31"/>
      <c r="BN1053" s="31"/>
      <c r="BO1053" s="31"/>
      <c r="BP1053" s="31"/>
      <c r="BQ1053" s="31"/>
      <c r="BR1053" s="31"/>
      <c r="BS1053" s="31"/>
      <c r="BT1053" s="31"/>
      <c r="BU1053" s="31"/>
      <c r="BV1053" s="31"/>
      <c r="BW1053" s="31"/>
      <c r="BX1053" s="31"/>
      <c r="BY1053" s="31"/>
      <c r="BZ1053" s="31"/>
      <c r="CA1053" s="31"/>
      <c r="CB1053" s="31"/>
      <c r="CC1053" s="31"/>
      <c r="CD1053" s="31"/>
      <c r="CE1053" s="31"/>
      <c r="CF1053" s="31"/>
      <c r="CG1053" s="31"/>
      <c r="CH1053" s="31"/>
      <c r="CI1053" s="31"/>
      <c r="CJ1053" s="31"/>
      <c r="CK1053" s="31"/>
      <c r="CL1053" s="31"/>
      <c r="CM1053" s="31"/>
      <c r="CN1053" s="31"/>
      <c r="CO1053" s="31"/>
      <c r="CP1053" s="31"/>
      <c r="CQ1053" s="31"/>
      <c r="CR1053" s="31"/>
      <c r="CS1053" s="31"/>
      <c r="CT1053" s="31"/>
      <c r="CU1053" s="31"/>
      <c r="CV1053" s="31"/>
      <c r="CW1053" s="31"/>
      <c r="CX1053" s="31"/>
      <c r="CY1053" s="31"/>
      <c r="CZ1053" s="31"/>
      <c r="DA1053" s="31"/>
      <c r="DB1053" s="31"/>
      <c r="DC1053" s="31"/>
      <c r="DD1053" s="31"/>
      <c r="DE1053" s="31"/>
      <c r="DF1053" s="31"/>
      <c r="DG1053" s="31"/>
      <c r="DH1053" s="31"/>
      <c r="DI1053" s="31"/>
      <c r="DJ1053" s="31"/>
      <c r="DK1053" s="31"/>
      <c r="DL1053" s="31"/>
      <c r="DM1053" s="31"/>
      <c r="DN1053" s="31"/>
      <c r="DO1053" s="31"/>
      <c r="DP1053" s="31"/>
      <c r="DQ1053" s="31"/>
      <c r="DR1053" s="31"/>
      <c r="DS1053" s="31"/>
      <c r="DT1053" s="31"/>
      <c r="DU1053" s="31"/>
      <c r="DV1053" s="31"/>
      <c r="DW1053" s="31"/>
      <c r="DX1053" s="31"/>
      <c r="DY1053" s="31"/>
      <c r="DZ1053" s="31"/>
      <c r="EA1053" s="31"/>
      <c r="EB1053" s="31"/>
      <c r="EC1053" s="31"/>
      <c r="ED1053" s="31"/>
      <c r="EE1053" s="31"/>
      <c r="EF1053" s="31"/>
      <c r="EG1053" s="31"/>
      <c r="EH1053" s="31"/>
      <c r="EI1053" s="31"/>
      <c r="EJ1053" s="31"/>
      <c r="EK1053" s="31"/>
      <c r="EL1053" s="31"/>
      <c r="EM1053" s="31"/>
      <c r="EN1053" s="31"/>
      <c r="EO1053" s="31"/>
      <c r="EP1053" s="31"/>
      <c r="EQ1053" s="31"/>
      <c r="ER1053" s="31"/>
      <c r="ES1053" s="31"/>
      <c r="ET1053" s="31"/>
      <c r="EU1053" s="31"/>
      <c r="EV1053" s="31"/>
      <c r="EW1053" s="31"/>
      <c r="EX1053" s="31"/>
      <c r="EY1053" s="31"/>
      <c r="EZ1053" s="31"/>
      <c r="FA1053" s="31"/>
      <c r="FB1053" s="31"/>
      <c r="FC1053" s="31"/>
      <c r="FD1053" s="31"/>
      <c r="FE1053" s="31"/>
      <c r="FF1053" s="31"/>
      <c r="FG1053" s="31"/>
      <c r="FH1053" s="31"/>
      <c r="FI1053" s="31"/>
      <c r="FJ1053" s="31"/>
      <c r="FK1053" s="31"/>
      <c r="FL1053" s="31"/>
      <c r="FM1053" s="31"/>
      <c r="FN1053" s="31"/>
      <c r="FO1053" s="31"/>
      <c r="FP1053" s="31"/>
      <c r="FQ1053" s="31"/>
      <c r="FR1053" s="31"/>
      <c r="FS1053" s="31"/>
      <c r="FT1053" s="31"/>
      <c r="FU1053" s="31"/>
      <c r="FV1053" s="31"/>
      <c r="FW1053" s="31"/>
      <c r="FX1053" s="31"/>
      <c r="FY1053" s="31"/>
      <c r="FZ1053" s="31"/>
      <c r="GA1053" s="31"/>
      <c r="GB1053" s="31"/>
      <c r="GC1053" s="31"/>
      <c r="GD1053" s="31"/>
      <c r="GE1053" s="31"/>
      <c r="GF1053" s="31"/>
      <c r="GG1053" s="31"/>
      <c r="GH1053" s="31"/>
      <c r="GI1053" s="31"/>
      <c r="GJ1053" s="31"/>
      <c r="GK1053" s="31"/>
      <c r="GL1053" s="31"/>
      <c r="GM1053" s="31"/>
      <c r="GN1053" s="31"/>
      <c r="GO1053" s="31"/>
      <c r="GP1053" s="31"/>
      <c r="GQ1053" s="31"/>
      <c r="GR1053" s="31"/>
      <c r="GS1053" s="31"/>
      <c r="GT1053" s="31"/>
      <c r="GU1053" s="31"/>
      <c r="GV1053" s="31"/>
      <c r="GW1053" s="31"/>
      <c r="GX1053" s="31"/>
      <c r="GY1053" s="31"/>
      <c r="GZ1053" s="31"/>
      <c r="HA1053" s="31"/>
      <c r="HB1053" s="31"/>
      <c r="HC1053" s="31"/>
      <c r="HD1053" s="31"/>
      <c r="HE1053" s="31"/>
      <c r="HF1053" s="31"/>
      <c r="HG1053" s="31"/>
      <c r="HH1053" s="31"/>
      <c r="HI1053" s="31"/>
      <c r="HJ1053" s="31"/>
      <c r="HK1053" s="31"/>
      <c r="HL1053" s="31"/>
      <c r="HM1053" s="31"/>
      <c r="HN1053" s="31"/>
      <c r="HO1053" s="31"/>
      <c r="HP1053" s="31"/>
      <c r="HQ1053" s="31"/>
      <c r="HR1053" s="31"/>
      <c r="HS1053" s="31"/>
      <c r="HT1053" s="31"/>
      <c r="HU1053" s="31"/>
      <c r="HV1053" s="31"/>
      <c r="HW1053" s="31"/>
      <c r="HX1053" s="31"/>
      <c r="HY1053" s="31"/>
      <c r="HZ1053" s="31"/>
      <c r="IA1053" s="31"/>
      <c r="IB1053" s="31"/>
      <c r="IC1053" s="31"/>
      <c r="ID1053" s="31"/>
      <c r="IE1053" s="31"/>
      <c r="IF1053" s="31"/>
      <c r="IG1053" s="31"/>
      <c r="IH1053" s="31"/>
      <c r="II1053" s="31"/>
      <c r="IJ1053" s="31"/>
      <c r="IK1053" s="31"/>
      <c r="IL1053" s="31"/>
      <c r="IM1053" s="31"/>
      <c r="IN1053" s="31"/>
      <c r="IO1053" s="31"/>
      <c r="IP1053" s="31"/>
      <c r="IQ1053" s="31"/>
      <c r="IR1053" s="31"/>
      <c r="IS1053" s="31"/>
      <c r="IT1053" s="31"/>
      <c r="IU1053" s="31"/>
      <c r="IV1053" s="31"/>
      <c r="IW1053" s="31"/>
      <c r="IX1053" s="31"/>
      <c r="IY1053" s="31"/>
      <c r="IZ1053" s="31"/>
      <c r="JA1053" s="31"/>
      <c r="JB1053" s="31"/>
      <c r="JC1053" s="31"/>
      <c r="JD1053" s="31"/>
      <c r="JE1053" s="31"/>
      <c r="JF1053" s="31"/>
      <c r="JG1053" s="31"/>
      <c r="JH1053" s="31"/>
      <c r="JI1053" s="31"/>
      <c r="JJ1053" s="31"/>
      <c r="JK1053" s="31"/>
      <c r="JL1053" s="31"/>
      <c r="JM1053" s="31"/>
      <c r="JN1053" s="31"/>
      <c r="JO1053" s="31"/>
      <c r="JP1053" s="31"/>
      <c r="JQ1053" s="31"/>
      <c r="JR1053" s="31"/>
      <c r="JS1053" s="31"/>
      <c r="JT1053" s="31"/>
      <c r="JU1053" s="31"/>
      <c r="JV1053" s="31"/>
      <c r="JW1053" s="31"/>
      <c r="JX1053" s="31"/>
      <c r="JY1053" s="31"/>
      <c r="JZ1053" s="31"/>
      <c r="KA1053" s="31"/>
      <c r="KB1053" s="31"/>
      <c r="KC1053" s="31"/>
      <c r="KD1053" s="31"/>
      <c r="KE1053" s="31"/>
    </row>
    <row r="1054" spans="1:291" ht="35" customHeight="1">
      <c r="A1054" s="23">
        <f>ROW()-3</f>
        <v>1051</v>
      </c>
      <c r="B1054" s="42" t="s">
        <v>4586</v>
      </c>
      <c r="C1054" s="42" t="s">
        <v>3576</v>
      </c>
      <c r="D1054" s="43" t="s">
        <v>4869</v>
      </c>
      <c r="E1054" s="43" t="s">
        <v>4870</v>
      </c>
      <c r="F1054" s="43" t="s">
        <v>4870</v>
      </c>
      <c r="G1054" s="42" t="s">
        <v>3253</v>
      </c>
      <c r="H1054" s="42">
        <v>308</v>
      </c>
      <c r="I1054" s="44">
        <v>25.1</v>
      </c>
      <c r="J1054" s="45">
        <v>44522</v>
      </c>
      <c r="K1054" s="46" t="s">
        <v>4650</v>
      </c>
      <c r="L1054" s="48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 s="31"/>
      <c r="AZ1054" s="31"/>
      <c r="BA1054" s="31"/>
      <c r="BB1054" s="31"/>
      <c r="BC1054" s="31"/>
      <c r="BD1054" s="31"/>
      <c r="BE1054" s="31"/>
      <c r="BF1054" s="31"/>
      <c r="BG1054" s="31"/>
      <c r="BH1054" s="31"/>
      <c r="BI1054" s="31"/>
      <c r="BJ1054" s="31"/>
      <c r="BK1054" s="31"/>
      <c r="BL1054" s="31"/>
      <c r="BM1054" s="31"/>
      <c r="BN1054" s="31"/>
      <c r="BO1054" s="31"/>
      <c r="BP1054" s="31"/>
      <c r="BQ1054" s="31"/>
      <c r="BR1054" s="31"/>
      <c r="BS1054" s="31"/>
      <c r="BT1054" s="31"/>
      <c r="BU1054" s="31"/>
      <c r="BV1054" s="31"/>
      <c r="BW1054" s="31"/>
      <c r="BX1054" s="31"/>
      <c r="BY1054" s="31"/>
      <c r="BZ1054" s="31"/>
      <c r="CA1054" s="31"/>
      <c r="CB1054" s="31"/>
      <c r="CC1054" s="31"/>
      <c r="CD1054" s="31"/>
      <c r="CE1054" s="31"/>
      <c r="CF1054" s="31"/>
      <c r="CG1054" s="31"/>
      <c r="CH1054" s="31"/>
      <c r="CI1054" s="31"/>
      <c r="CJ1054" s="31"/>
      <c r="CK1054" s="31"/>
      <c r="CL1054" s="31"/>
      <c r="CM1054" s="31"/>
      <c r="CN1054" s="31"/>
      <c r="CO1054" s="31"/>
      <c r="CP1054" s="31"/>
      <c r="CQ1054" s="31"/>
      <c r="CR1054" s="31"/>
      <c r="CS1054" s="31"/>
      <c r="CT1054" s="31"/>
      <c r="CU1054" s="31"/>
      <c r="CV1054" s="31"/>
      <c r="CW1054" s="31"/>
      <c r="CX1054" s="31"/>
      <c r="CY1054" s="31"/>
      <c r="CZ1054" s="31"/>
      <c r="DA1054" s="31"/>
      <c r="DB1054" s="31"/>
      <c r="DC1054" s="31"/>
      <c r="DD1054" s="31"/>
      <c r="DE1054" s="31"/>
      <c r="DF1054" s="31"/>
      <c r="DG1054" s="31"/>
      <c r="DH1054" s="31"/>
      <c r="DI1054" s="31"/>
      <c r="DJ1054" s="31"/>
      <c r="DK1054" s="31"/>
      <c r="DL1054" s="31"/>
      <c r="DM1054" s="31"/>
      <c r="DN1054" s="31"/>
      <c r="DO1054" s="31"/>
      <c r="DP1054" s="31"/>
      <c r="DQ1054" s="31"/>
      <c r="DR1054" s="31"/>
      <c r="DS1054" s="31"/>
      <c r="DT1054" s="31"/>
      <c r="DU1054" s="31"/>
      <c r="DV1054" s="31"/>
      <c r="DW1054" s="31"/>
      <c r="DX1054" s="31"/>
      <c r="DY1054" s="31"/>
      <c r="DZ1054" s="31"/>
      <c r="EA1054" s="31"/>
      <c r="EB1054" s="31"/>
      <c r="EC1054" s="31"/>
      <c r="ED1054" s="31"/>
      <c r="EE1054" s="31"/>
      <c r="EF1054" s="31"/>
      <c r="EG1054" s="31"/>
      <c r="EH1054" s="31"/>
      <c r="EI1054" s="31"/>
      <c r="EJ1054" s="31"/>
      <c r="EK1054" s="31"/>
      <c r="EL1054" s="31"/>
      <c r="EM1054" s="31"/>
      <c r="EN1054" s="31"/>
      <c r="EO1054" s="31"/>
      <c r="EP1054" s="31"/>
      <c r="EQ1054" s="31"/>
      <c r="ER1054" s="31"/>
      <c r="ES1054" s="31"/>
      <c r="ET1054" s="31"/>
      <c r="EU1054" s="31"/>
      <c r="EV1054" s="31"/>
      <c r="EW1054" s="31"/>
      <c r="EX1054" s="31"/>
      <c r="EY1054" s="31"/>
      <c r="EZ1054" s="31"/>
      <c r="FA1054" s="31"/>
      <c r="FB1054" s="31"/>
      <c r="FC1054" s="31"/>
      <c r="FD1054" s="31"/>
      <c r="FE1054" s="31"/>
      <c r="FF1054" s="31"/>
      <c r="FG1054" s="31"/>
      <c r="FH1054" s="31"/>
      <c r="FI1054" s="31"/>
      <c r="FJ1054" s="31"/>
      <c r="FK1054" s="31"/>
      <c r="FL1054" s="31"/>
      <c r="FM1054" s="31"/>
      <c r="FN1054" s="31"/>
      <c r="FO1054" s="31"/>
      <c r="FP1054" s="31"/>
      <c r="FQ1054" s="31"/>
      <c r="FR1054" s="31"/>
      <c r="FS1054" s="31"/>
      <c r="FT1054" s="31"/>
      <c r="FU1054" s="31"/>
      <c r="FV1054" s="31"/>
      <c r="FW1054" s="31"/>
      <c r="FX1054" s="31"/>
      <c r="FY1054" s="31"/>
      <c r="FZ1054" s="31"/>
      <c r="GA1054" s="31"/>
      <c r="GB1054" s="31"/>
      <c r="GC1054" s="31"/>
      <c r="GD1054" s="31"/>
      <c r="GE1054" s="31"/>
      <c r="GF1054" s="31"/>
      <c r="GG1054" s="31"/>
      <c r="GH1054" s="31"/>
      <c r="GI1054" s="31"/>
      <c r="GJ1054" s="31"/>
      <c r="GK1054" s="31"/>
      <c r="GL1054" s="31"/>
      <c r="GM1054" s="31"/>
      <c r="GN1054" s="31"/>
      <c r="GO1054" s="31"/>
      <c r="GP1054" s="31"/>
      <c r="GQ1054" s="31"/>
      <c r="GR1054" s="31"/>
      <c r="GS1054" s="31"/>
      <c r="GT1054" s="31"/>
      <c r="GU1054" s="31"/>
      <c r="GV1054" s="31"/>
      <c r="GW1054" s="31"/>
      <c r="GX1054" s="31"/>
      <c r="GY1054" s="31"/>
      <c r="GZ1054" s="31"/>
      <c r="HA1054" s="31"/>
      <c r="HB1054" s="31"/>
      <c r="HC1054" s="31"/>
      <c r="HD1054" s="31"/>
      <c r="HE1054" s="31"/>
      <c r="HF1054" s="31"/>
      <c r="HG1054" s="31"/>
      <c r="HH1054" s="31"/>
      <c r="HI1054" s="31"/>
      <c r="HJ1054" s="31"/>
      <c r="HK1054" s="31"/>
      <c r="HL1054" s="31"/>
      <c r="HM1054" s="31"/>
      <c r="HN1054" s="31"/>
      <c r="HO1054" s="31"/>
      <c r="HP1054" s="31"/>
      <c r="HQ1054" s="31"/>
      <c r="HR1054" s="31"/>
      <c r="HS1054" s="31"/>
      <c r="HT1054" s="31"/>
      <c r="HU1054" s="31"/>
      <c r="HV1054" s="31"/>
      <c r="HW1054" s="31"/>
      <c r="HX1054" s="31"/>
      <c r="HY1054" s="31"/>
      <c r="HZ1054" s="31"/>
      <c r="IA1054" s="31"/>
      <c r="IB1054" s="31"/>
      <c r="IC1054" s="31"/>
      <c r="ID1054" s="31"/>
      <c r="IE1054" s="31"/>
      <c r="IF1054" s="31"/>
      <c r="IG1054" s="31"/>
      <c r="IH1054" s="31"/>
      <c r="II1054" s="31"/>
      <c r="IJ1054" s="31"/>
      <c r="IK1054" s="31"/>
      <c r="IL1054" s="31"/>
      <c r="IM1054" s="31"/>
      <c r="IN1054" s="31"/>
      <c r="IO1054" s="31"/>
      <c r="IP1054" s="31"/>
      <c r="IQ1054" s="31"/>
      <c r="IR1054" s="31"/>
      <c r="IS1054" s="31"/>
      <c r="IT1054" s="31"/>
      <c r="IU1054" s="31"/>
      <c r="IV1054" s="31"/>
      <c r="IW1054" s="31"/>
      <c r="IX1054" s="31"/>
      <c r="IY1054" s="31"/>
      <c r="IZ1054" s="31"/>
      <c r="JA1054" s="31"/>
      <c r="JB1054" s="31"/>
      <c r="JC1054" s="31"/>
      <c r="JD1054" s="31"/>
      <c r="JE1054" s="31"/>
      <c r="JF1054" s="31"/>
      <c r="JG1054" s="31"/>
      <c r="JH1054" s="31"/>
      <c r="JI1054" s="31"/>
      <c r="JJ1054" s="31"/>
      <c r="JK1054" s="31"/>
      <c r="JL1054" s="31"/>
      <c r="JM1054" s="31"/>
      <c r="JN1054" s="31"/>
      <c r="JO1054" s="31"/>
      <c r="JP1054" s="31"/>
      <c r="JQ1054" s="31"/>
      <c r="JR1054" s="31"/>
      <c r="JS1054" s="31"/>
      <c r="JT1054" s="31"/>
      <c r="JU1054" s="31"/>
      <c r="JV1054" s="31"/>
      <c r="JW1054" s="31"/>
      <c r="JX1054" s="31"/>
      <c r="JY1054" s="31"/>
      <c r="JZ1054" s="31"/>
      <c r="KA1054" s="31"/>
      <c r="KB1054" s="31"/>
      <c r="KC1054" s="31"/>
      <c r="KD1054" s="31"/>
      <c r="KE1054" s="31"/>
    </row>
    <row r="1055" spans="1:291" ht="35" customHeight="1">
      <c r="A1055" s="23">
        <f>ROW()-3</f>
        <v>1052</v>
      </c>
      <c r="B1055" s="42" t="s">
        <v>4586</v>
      </c>
      <c r="C1055" s="42" t="s">
        <v>3576</v>
      </c>
      <c r="D1055" s="43" t="s">
        <v>4871</v>
      </c>
      <c r="E1055" s="43" t="s">
        <v>4872</v>
      </c>
      <c r="F1055" s="43" t="s">
        <v>4873</v>
      </c>
      <c r="G1055" s="42" t="s">
        <v>3253</v>
      </c>
      <c r="H1055" s="42">
        <v>241</v>
      </c>
      <c r="I1055" s="44">
        <v>32.1</v>
      </c>
      <c r="J1055" s="45">
        <v>44543</v>
      </c>
      <c r="K1055" s="46" t="s">
        <v>20</v>
      </c>
      <c r="L1055" s="48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  <c r="AX1055" s="31"/>
      <c r="AY1055" s="31"/>
      <c r="AZ1055" s="31"/>
      <c r="BA1055" s="31"/>
      <c r="BB1055" s="31"/>
      <c r="BC1055" s="31"/>
      <c r="BD1055" s="31"/>
      <c r="BE1055" s="31"/>
      <c r="BF1055" s="31"/>
      <c r="BG1055" s="31"/>
      <c r="BH1055" s="31"/>
      <c r="BI1055" s="31"/>
      <c r="BJ1055" s="31"/>
      <c r="BK1055" s="31"/>
      <c r="BL1055" s="31"/>
      <c r="BM1055" s="31"/>
      <c r="BN1055" s="31"/>
      <c r="BO1055" s="31"/>
      <c r="BP1055" s="31"/>
      <c r="BQ1055" s="31"/>
      <c r="BR1055" s="31"/>
      <c r="BS1055" s="31"/>
      <c r="BT1055" s="31"/>
      <c r="BU1055" s="31"/>
      <c r="BV1055" s="31"/>
      <c r="BW1055" s="31"/>
      <c r="BX1055" s="31"/>
      <c r="BY1055" s="31"/>
      <c r="BZ1055" s="31"/>
      <c r="CA1055" s="31"/>
      <c r="CB1055" s="31"/>
      <c r="CC1055" s="31"/>
      <c r="CD1055" s="31"/>
      <c r="CE1055" s="31"/>
      <c r="CF1055" s="31"/>
      <c r="CG1055" s="31"/>
      <c r="CH1055" s="31"/>
      <c r="CI1055" s="31"/>
      <c r="CJ1055" s="31"/>
      <c r="CK1055" s="31"/>
      <c r="CL1055" s="31"/>
      <c r="CM1055" s="31"/>
      <c r="CN1055" s="31"/>
      <c r="CO1055" s="31"/>
      <c r="CP1055" s="31"/>
      <c r="CQ1055" s="31"/>
      <c r="CR1055" s="31"/>
      <c r="CS1055" s="31"/>
      <c r="CT1055" s="31"/>
      <c r="CU1055" s="31"/>
      <c r="CV1055" s="31"/>
      <c r="CW1055" s="31"/>
      <c r="CX1055" s="31"/>
      <c r="CY1055" s="31"/>
      <c r="CZ1055" s="31"/>
      <c r="DA1055" s="31"/>
      <c r="DB1055" s="31"/>
      <c r="DC1055" s="31"/>
      <c r="DD1055" s="31"/>
      <c r="DE1055" s="31"/>
      <c r="DF1055" s="31"/>
      <c r="DG1055" s="31"/>
      <c r="DH1055" s="31"/>
      <c r="DI1055" s="31"/>
      <c r="DJ1055" s="31"/>
      <c r="DK1055" s="31"/>
      <c r="DL1055" s="31"/>
      <c r="DM1055" s="31"/>
      <c r="DN1055" s="31"/>
      <c r="DO1055" s="31"/>
      <c r="DP1055" s="31"/>
      <c r="DQ1055" s="31"/>
      <c r="DR1055" s="31"/>
      <c r="DS1055" s="31"/>
      <c r="DT1055" s="31"/>
      <c r="DU1055" s="31"/>
      <c r="DV1055" s="31"/>
      <c r="DW1055" s="31"/>
      <c r="DX1055" s="31"/>
      <c r="DY1055" s="31"/>
      <c r="DZ1055" s="31"/>
      <c r="EA1055" s="31"/>
      <c r="EB1055" s="31"/>
      <c r="EC1055" s="31"/>
      <c r="ED1055" s="31"/>
      <c r="EE1055" s="31"/>
      <c r="EF1055" s="31"/>
      <c r="EG1055" s="31"/>
      <c r="EH1055" s="31"/>
      <c r="EI1055" s="31"/>
      <c r="EJ1055" s="31"/>
      <c r="EK1055" s="31"/>
      <c r="EL1055" s="31"/>
      <c r="EM1055" s="31"/>
      <c r="EN1055" s="31"/>
      <c r="EO1055" s="31"/>
      <c r="EP1055" s="31"/>
      <c r="EQ1055" s="31"/>
      <c r="ER1055" s="31"/>
      <c r="ES1055" s="31"/>
      <c r="ET1055" s="31"/>
      <c r="EU1055" s="31"/>
      <c r="EV1055" s="31"/>
      <c r="EW1055" s="31"/>
      <c r="EX1055" s="31"/>
      <c r="EY1055" s="31"/>
      <c r="EZ1055" s="31"/>
      <c r="FA1055" s="31"/>
      <c r="FB1055" s="31"/>
      <c r="FC1055" s="31"/>
      <c r="FD1055" s="31"/>
      <c r="FE1055" s="31"/>
      <c r="FF1055" s="31"/>
      <c r="FG1055" s="31"/>
      <c r="FH1055" s="31"/>
      <c r="FI1055" s="31"/>
      <c r="FJ1055" s="31"/>
      <c r="FK1055" s="31"/>
      <c r="FL1055" s="31"/>
      <c r="FM1055" s="31"/>
      <c r="FN1055" s="31"/>
      <c r="FO1055" s="31"/>
      <c r="FP1055" s="31"/>
      <c r="FQ1055" s="31"/>
      <c r="FR1055" s="31"/>
      <c r="FS1055" s="31"/>
      <c r="FT1055" s="31"/>
      <c r="FU1055" s="31"/>
      <c r="FV1055" s="31"/>
      <c r="FW1055" s="31"/>
      <c r="FX1055" s="31"/>
      <c r="FY1055" s="31"/>
      <c r="FZ1055" s="31"/>
      <c r="GA1055" s="31"/>
      <c r="GB1055" s="31"/>
      <c r="GC1055" s="31"/>
      <c r="GD1055" s="31"/>
      <c r="GE1055" s="31"/>
      <c r="GF1055" s="31"/>
      <c r="GG1055" s="31"/>
      <c r="GH1055" s="31"/>
      <c r="GI1055" s="31"/>
      <c r="GJ1055" s="31"/>
      <c r="GK1055" s="31"/>
      <c r="GL1055" s="31"/>
      <c r="GM1055" s="31"/>
      <c r="GN1055" s="31"/>
      <c r="GO1055" s="31"/>
      <c r="GP1055" s="31"/>
      <c r="GQ1055" s="31"/>
      <c r="GR1055" s="31"/>
      <c r="GS1055" s="31"/>
      <c r="GT1055" s="31"/>
      <c r="GU1055" s="31"/>
      <c r="GV1055" s="31"/>
      <c r="GW1055" s="31"/>
      <c r="GX1055" s="31"/>
      <c r="GY1055" s="31"/>
      <c r="GZ1055" s="31"/>
      <c r="HA1055" s="31"/>
      <c r="HB1055" s="31"/>
      <c r="HC1055" s="31"/>
      <c r="HD1055" s="31"/>
      <c r="HE1055" s="31"/>
      <c r="HF1055" s="31"/>
      <c r="HG1055" s="31"/>
      <c r="HH1055" s="31"/>
      <c r="HI1055" s="31"/>
      <c r="HJ1055" s="31"/>
      <c r="HK1055" s="31"/>
      <c r="HL1055" s="31"/>
      <c r="HM1055" s="31"/>
      <c r="HN1055" s="31"/>
      <c r="HO1055" s="31"/>
      <c r="HP1055" s="31"/>
      <c r="HQ1055" s="31"/>
      <c r="HR1055" s="31"/>
      <c r="HS1055" s="31"/>
      <c r="HT1055" s="31"/>
      <c r="HU1055" s="31"/>
      <c r="HV1055" s="31"/>
      <c r="HW1055" s="31"/>
      <c r="HX1055" s="31"/>
      <c r="HY1055" s="31"/>
      <c r="HZ1055" s="31"/>
      <c r="IA1055" s="31"/>
      <c r="IB1055" s="31"/>
      <c r="IC1055" s="31"/>
      <c r="ID1055" s="31"/>
      <c r="IE1055" s="31"/>
      <c r="IF1055" s="31"/>
      <c r="IG1055" s="31"/>
      <c r="IH1055" s="31"/>
      <c r="II1055" s="31"/>
      <c r="IJ1055" s="31"/>
      <c r="IK1055" s="31"/>
      <c r="IL1055" s="31"/>
      <c r="IM1055" s="31"/>
      <c r="IN1055" s="31"/>
      <c r="IO1055" s="31"/>
      <c r="IP1055" s="31"/>
      <c r="IQ1055" s="31"/>
      <c r="IR1055" s="31"/>
      <c r="IS1055" s="31"/>
      <c r="IT1055" s="31"/>
      <c r="IU1055" s="31"/>
      <c r="IV1055" s="31"/>
      <c r="IW1055" s="31"/>
      <c r="IX1055" s="31"/>
      <c r="IY1055" s="31"/>
      <c r="IZ1055" s="31"/>
      <c r="JA1055" s="31"/>
      <c r="JB1055" s="31"/>
      <c r="JC1055" s="31"/>
      <c r="JD1055" s="31"/>
      <c r="JE1055" s="31"/>
      <c r="JF1055" s="31"/>
      <c r="JG1055" s="31"/>
      <c r="JH1055" s="31"/>
      <c r="JI1055" s="31"/>
      <c r="JJ1055" s="31"/>
      <c r="JK1055" s="31"/>
      <c r="JL1055" s="31"/>
      <c r="JM1055" s="31"/>
      <c r="JN1055" s="31"/>
      <c r="JO1055" s="31"/>
      <c r="JP1055" s="31"/>
      <c r="JQ1055" s="31"/>
      <c r="JR1055" s="31"/>
      <c r="JS1055" s="31"/>
      <c r="JT1055" s="31"/>
      <c r="JU1055" s="31"/>
      <c r="JV1055" s="31"/>
      <c r="JW1055" s="31"/>
      <c r="JX1055" s="31"/>
      <c r="JY1055" s="31"/>
      <c r="JZ1055" s="31"/>
      <c r="KA1055" s="31"/>
      <c r="KB1055" s="31"/>
      <c r="KC1055" s="31"/>
      <c r="KD1055" s="31"/>
      <c r="KE1055" s="31"/>
    </row>
    <row r="1056" spans="1:291" ht="35" customHeight="1">
      <c r="A1056" s="305">
        <f>ROW()-3</f>
        <v>1053</v>
      </c>
      <c r="B1056" s="310" t="s">
        <v>5693</v>
      </c>
      <c r="C1056" s="310" t="s">
        <v>5695</v>
      </c>
      <c r="D1056" s="311" t="s">
        <v>5697</v>
      </c>
      <c r="E1056" s="311" t="s">
        <v>5702</v>
      </c>
      <c r="F1056" s="311" t="s">
        <v>5703</v>
      </c>
      <c r="G1056" s="312" t="s">
        <v>3253</v>
      </c>
      <c r="H1056" s="310">
        <v>57</v>
      </c>
      <c r="I1056" s="313">
        <v>13.1</v>
      </c>
      <c r="J1056" s="317">
        <v>44634</v>
      </c>
      <c r="K1056" s="319" t="s">
        <v>5690</v>
      </c>
      <c r="L1056" s="320">
        <v>69</v>
      </c>
    </row>
    <row r="1057" spans="1:12" ht="35" customHeight="1">
      <c r="A1057" s="305">
        <f>ROW()-3</f>
        <v>1054</v>
      </c>
      <c r="B1057" s="310" t="s">
        <v>5693</v>
      </c>
      <c r="C1057" s="310" t="s">
        <v>5695</v>
      </c>
      <c r="D1057" s="311" t="s">
        <v>5698</v>
      </c>
      <c r="E1057" s="311" t="s">
        <v>5701</v>
      </c>
      <c r="F1057" s="311" t="s">
        <v>5705</v>
      </c>
      <c r="G1057" s="312" t="s">
        <v>3253</v>
      </c>
      <c r="H1057" s="310">
        <v>137</v>
      </c>
      <c r="I1057" s="313">
        <v>50.3</v>
      </c>
      <c r="J1057" s="317">
        <v>44634</v>
      </c>
      <c r="K1057" s="319" t="s">
        <v>5691</v>
      </c>
      <c r="L1057" s="320"/>
    </row>
    <row r="1058" spans="1:12" ht="35" customHeight="1">
      <c r="A1058" s="23">
        <f>ROW()-3</f>
        <v>1055</v>
      </c>
      <c r="B1058" s="42" t="s">
        <v>4586</v>
      </c>
      <c r="C1058" s="42" t="s">
        <v>3735</v>
      </c>
      <c r="D1058" s="43" t="s">
        <v>3805</v>
      </c>
      <c r="E1058" s="43" t="s">
        <v>3806</v>
      </c>
      <c r="F1058" s="43" t="s">
        <v>4899</v>
      </c>
      <c r="G1058" s="42" t="s">
        <v>34</v>
      </c>
      <c r="H1058" s="42">
        <v>47</v>
      </c>
      <c r="I1058" s="44">
        <v>14.901666666666699</v>
      </c>
      <c r="J1058" s="45">
        <v>43469</v>
      </c>
      <c r="K1058" s="46" t="s">
        <v>20</v>
      </c>
      <c r="L1058" s="48">
        <v>29.8</v>
      </c>
    </row>
    <row r="1059" spans="1:12" ht="35" customHeight="1">
      <c r="A1059" s="23">
        <f>ROW()-3</f>
        <v>1056</v>
      </c>
      <c r="B1059" s="42" t="s">
        <v>4586</v>
      </c>
      <c r="C1059" s="42" t="s">
        <v>3735</v>
      </c>
      <c r="D1059" s="43" t="s">
        <v>4874</v>
      </c>
      <c r="E1059" s="43" t="s">
        <v>4875</v>
      </c>
      <c r="F1059" s="43" t="s">
        <v>4876</v>
      </c>
      <c r="G1059" s="42" t="s">
        <v>34</v>
      </c>
      <c r="H1059" s="42">
        <v>63</v>
      </c>
      <c r="I1059" s="44">
        <v>8.5116666666666703</v>
      </c>
      <c r="J1059" s="45">
        <v>43815</v>
      </c>
      <c r="K1059" s="46" t="s">
        <v>20</v>
      </c>
      <c r="L1059" s="48">
        <v>28.99</v>
      </c>
    </row>
    <row r="1060" spans="1:12" ht="35" customHeight="1">
      <c r="A1060" s="23">
        <f>ROW()-3</f>
        <v>1057</v>
      </c>
      <c r="B1060" s="42" t="s">
        <v>4586</v>
      </c>
      <c r="C1060" s="42" t="s">
        <v>3735</v>
      </c>
      <c r="D1060" s="43" t="s">
        <v>4877</v>
      </c>
      <c r="E1060" s="43" t="s">
        <v>4878</v>
      </c>
      <c r="F1060" s="43" t="s">
        <v>4876</v>
      </c>
      <c r="G1060" s="42" t="s">
        <v>34</v>
      </c>
      <c r="H1060" s="42">
        <v>77</v>
      </c>
      <c r="I1060" s="44">
        <v>9.2844444444444392</v>
      </c>
      <c r="J1060" s="45">
        <v>43815</v>
      </c>
      <c r="K1060" s="46" t="s">
        <v>20</v>
      </c>
      <c r="L1060" s="48">
        <v>4</v>
      </c>
    </row>
    <row r="1061" spans="1:12" ht="35" customHeight="1">
      <c r="A1061" s="23">
        <f>ROW()-3</f>
        <v>1058</v>
      </c>
      <c r="B1061" s="42" t="s">
        <v>4586</v>
      </c>
      <c r="C1061" s="42" t="s">
        <v>3735</v>
      </c>
      <c r="D1061" s="43" t="s">
        <v>4881</v>
      </c>
      <c r="E1061" s="43" t="s">
        <v>4882</v>
      </c>
      <c r="F1061" s="43" t="s">
        <v>4883</v>
      </c>
      <c r="G1061" s="42" t="s">
        <v>34</v>
      </c>
      <c r="H1061" s="42">
        <v>12</v>
      </c>
      <c r="I1061" s="44">
        <v>4.10527777777778</v>
      </c>
      <c r="J1061" s="45">
        <v>43815</v>
      </c>
      <c r="K1061" s="46" t="s">
        <v>20</v>
      </c>
      <c r="L1061" s="48">
        <v>4</v>
      </c>
    </row>
    <row r="1062" spans="1:12" ht="35" customHeight="1">
      <c r="A1062" s="23">
        <f>ROW()-3</f>
        <v>1059</v>
      </c>
      <c r="B1062" s="42" t="s">
        <v>4586</v>
      </c>
      <c r="C1062" s="42" t="s">
        <v>3735</v>
      </c>
      <c r="D1062" s="43" t="s">
        <v>4884</v>
      </c>
      <c r="E1062" s="43" t="s">
        <v>4833</v>
      </c>
      <c r="F1062" s="43" t="s">
        <v>4771</v>
      </c>
      <c r="G1062" s="42" t="s">
        <v>34</v>
      </c>
      <c r="H1062" s="42">
        <v>13</v>
      </c>
      <c r="I1062" s="44">
        <v>4.6416666666666702</v>
      </c>
      <c r="J1062" s="45">
        <v>43815</v>
      </c>
      <c r="K1062" s="46" t="s">
        <v>20</v>
      </c>
      <c r="L1062" s="48">
        <v>4</v>
      </c>
    </row>
    <row r="1063" spans="1:12" ht="35" customHeight="1">
      <c r="A1063" s="23">
        <f>ROW()-3</f>
        <v>1060</v>
      </c>
      <c r="B1063" s="42" t="s">
        <v>4586</v>
      </c>
      <c r="C1063" s="42" t="s">
        <v>3735</v>
      </c>
      <c r="D1063" s="43" t="s">
        <v>4885</v>
      </c>
      <c r="E1063" s="43" t="s">
        <v>4886</v>
      </c>
      <c r="F1063" s="43" t="s">
        <v>4771</v>
      </c>
      <c r="G1063" s="42" t="s">
        <v>34</v>
      </c>
      <c r="H1063" s="42">
        <v>17</v>
      </c>
      <c r="I1063" s="44">
        <v>5.7336111111111103</v>
      </c>
      <c r="J1063" s="45">
        <v>43815</v>
      </c>
      <c r="K1063" s="46" t="s">
        <v>20</v>
      </c>
      <c r="L1063" s="48">
        <v>4</v>
      </c>
    </row>
    <row r="1064" spans="1:12" ht="35" customHeight="1">
      <c r="A1064" s="23">
        <f>ROW()-3</f>
        <v>1061</v>
      </c>
      <c r="B1064" s="42" t="s">
        <v>4586</v>
      </c>
      <c r="C1064" s="42" t="s">
        <v>3735</v>
      </c>
      <c r="D1064" s="43" t="s">
        <v>4887</v>
      </c>
      <c r="E1064" s="43" t="s">
        <v>4888</v>
      </c>
      <c r="F1064" s="43" t="s">
        <v>4771</v>
      </c>
      <c r="G1064" s="42" t="s">
        <v>34</v>
      </c>
      <c r="H1064" s="42">
        <v>18</v>
      </c>
      <c r="I1064" s="44">
        <v>6.7627777777777798</v>
      </c>
      <c r="J1064" s="45">
        <v>43815</v>
      </c>
      <c r="K1064" s="46" t="s">
        <v>20</v>
      </c>
      <c r="L1064" s="48">
        <v>4</v>
      </c>
    </row>
    <row r="1065" spans="1:12" ht="35" customHeight="1">
      <c r="A1065" s="23">
        <f>ROW()-3</f>
        <v>1062</v>
      </c>
      <c r="B1065" s="42" t="s">
        <v>4586</v>
      </c>
      <c r="C1065" s="42" t="s">
        <v>3735</v>
      </c>
      <c r="D1065" s="43" t="s">
        <v>4889</v>
      </c>
      <c r="E1065" s="43" t="s">
        <v>4890</v>
      </c>
      <c r="F1065" s="43" t="s">
        <v>4771</v>
      </c>
      <c r="G1065" s="42" t="s">
        <v>34</v>
      </c>
      <c r="H1065" s="42">
        <v>13</v>
      </c>
      <c r="I1065" s="44">
        <v>4.93888888888889</v>
      </c>
      <c r="J1065" s="45">
        <v>43815</v>
      </c>
      <c r="K1065" s="46" t="s">
        <v>20</v>
      </c>
      <c r="L1065" s="48">
        <v>4</v>
      </c>
    </row>
    <row r="1066" spans="1:12" ht="35" customHeight="1">
      <c r="A1066" s="23">
        <f>ROW()-3</f>
        <v>1063</v>
      </c>
      <c r="B1066" s="42" t="s">
        <v>4586</v>
      </c>
      <c r="C1066" s="42" t="s">
        <v>3735</v>
      </c>
      <c r="D1066" s="43" t="s">
        <v>4891</v>
      </c>
      <c r="E1066" s="43" t="s">
        <v>4833</v>
      </c>
      <c r="F1066" s="43" t="s">
        <v>4771</v>
      </c>
      <c r="G1066" s="42" t="s">
        <v>34</v>
      </c>
      <c r="H1066" s="42">
        <v>12</v>
      </c>
      <c r="I1066" s="44">
        <v>3.7613888888888898</v>
      </c>
      <c r="J1066" s="45">
        <v>43815</v>
      </c>
      <c r="K1066" s="46" t="s">
        <v>20</v>
      </c>
      <c r="L1066" s="48">
        <v>39.5</v>
      </c>
    </row>
    <row r="1067" spans="1:12" ht="35" customHeight="1">
      <c r="A1067" s="23">
        <f>ROW()-3</f>
        <v>1064</v>
      </c>
      <c r="B1067" s="42" t="s">
        <v>4586</v>
      </c>
      <c r="C1067" s="42" t="s">
        <v>3735</v>
      </c>
      <c r="D1067" s="43" t="s">
        <v>4892</v>
      </c>
      <c r="E1067" s="43" t="s">
        <v>4893</v>
      </c>
      <c r="F1067" s="43" t="s">
        <v>4610</v>
      </c>
      <c r="G1067" s="42" t="s">
        <v>34</v>
      </c>
      <c r="H1067" s="42">
        <v>17</v>
      </c>
      <c r="I1067" s="44">
        <v>5.8561111111111099</v>
      </c>
      <c r="J1067" s="45">
        <v>43845</v>
      </c>
      <c r="K1067" s="46" t="s">
        <v>20</v>
      </c>
      <c r="L1067" s="48">
        <v>34</v>
      </c>
    </row>
    <row r="1068" spans="1:12" ht="35" customHeight="1">
      <c r="A1068" s="23">
        <f>ROW()-3</f>
        <v>1065</v>
      </c>
      <c r="B1068" s="42" t="s">
        <v>4586</v>
      </c>
      <c r="C1068" s="42" t="s">
        <v>3735</v>
      </c>
      <c r="D1068" s="43" t="s">
        <v>4896</v>
      </c>
      <c r="E1068" s="43" t="s">
        <v>3442</v>
      </c>
      <c r="F1068" s="43" t="s">
        <v>4610</v>
      </c>
      <c r="G1068" s="42" t="s">
        <v>34</v>
      </c>
      <c r="H1068" s="42">
        <v>46</v>
      </c>
      <c r="I1068" s="44">
        <v>15.9480555555556</v>
      </c>
      <c r="J1068" s="45">
        <v>43845</v>
      </c>
      <c r="K1068" s="46" t="s">
        <v>20</v>
      </c>
      <c r="L1068" s="48">
        <v>9.9</v>
      </c>
    </row>
    <row r="1069" spans="1:12" ht="35" customHeight="1">
      <c r="A1069" s="23">
        <f>ROW()-3</f>
        <v>1066</v>
      </c>
      <c r="B1069" s="42" t="s">
        <v>4586</v>
      </c>
      <c r="C1069" s="42" t="s">
        <v>3735</v>
      </c>
      <c r="D1069" s="43" t="s">
        <v>4894</v>
      </c>
      <c r="E1069" s="43" t="s">
        <v>4895</v>
      </c>
      <c r="F1069" s="43" t="s">
        <v>4610</v>
      </c>
      <c r="G1069" s="42" t="s">
        <v>34</v>
      </c>
      <c r="H1069" s="42">
        <v>7</v>
      </c>
      <c r="I1069" s="44">
        <v>2.1</v>
      </c>
      <c r="J1069" s="45">
        <v>43913</v>
      </c>
      <c r="K1069" s="46" t="s">
        <v>20</v>
      </c>
      <c r="L1069" s="48">
        <v>4</v>
      </c>
    </row>
    <row r="1070" spans="1:12" ht="35" customHeight="1">
      <c r="A1070" s="23">
        <f>ROW()-3</f>
        <v>1067</v>
      </c>
      <c r="B1070" s="42" t="s">
        <v>4586</v>
      </c>
      <c r="C1070" s="42" t="s">
        <v>3735</v>
      </c>
      <c r="D1070" s="43" t="s">
        <v>4897</v>
      </c>
      <c r="E1070" s="43" t="s">
        <v>4898</v>
      </c>
      <c r="F1070" s="43" t="s">
        <v>4610</v>
      </c>
      <c r="G1070" s="42" t="s">
        <v>34</v>
      </c>
      <c r="H1070" s="42">
        <v>16</v>
      </c>
      <c r="I1070" s="44">
        <v>4.95861111111111</v>
      </c>
      <c r="J1070" s="45">
        <v>43920</v>
      </c>
      <c r="K1070" s="46" t="s">
        <v>20</v>
      </c>
      <c r="L1070" s="48">
        <v>39.799999999999997</v>
      </c>
    </row>
    <row r="1071" spans="1:12" ht="35" customHeight="1">
      <c r="A1071" s="23">
        <f>ROW()-3</f>
        <v>1068</v>
      </c>
      <c r="B1071" s="42" t="s">
        <v>4586</v>
      </c>
      <c r="C1071" s="42" t="s">
        <v>3735</v>
      </c>
      <c r="D1071" s="43" t="s">
        <v>4879</v>
      </c>
      <c r="E1071" s="43" t="s">
        <v>3342</v>
      </c>
      <c r="F1071" s="43" t="s">
        <v>4880</v>
      </c>
      <c r="G1071" s="42" t="s">
        <v>34</v>
      </c>
      <c r="H1071" s="42">
        <v>58</v>
      </c>
      <c r="I1071" s="44">
        <v>19.3</v>
      </c>
      <c r="J1071" s="45">
        <v>44193</v>
      </c>
      <c r="K1071" s="46" t="s">
        <v>20</v>
      </c>
      <c r="L1071" s="48">
        <v>68.599999999999994</v>
      </c>
    </row>
    <row r="1072" spans="1:12" ht="35" customHeight="1">
      <c r="A1072" s="23">
        <f>ROW()-3</f>
        <v>1069</v>
      </c>
      <c r="B1072" s="43" t="s">
        <v>4586</v>
      </c>
      <c r="C1072" s="43" t="s">
        <v>3735</v>
      </c>
      <c r="D1072" s="43" t="s">
        <v>4563</v>
      </c>
      <c r="E1072" s="43" t="s">
        <v>4564</v>
      </c>
      <c r="F1072" s="43" t="s">
        <v>4642</v>
      </c>
      <c r="G1072" s="43" t="s">
        <v>34</v>
      </c>
      <c r="H1072" s="43">
        <v>1</v>
      </c>
      <c r="I1072" s="43">
        <v>0.5</v>
      </c>
      <c r="J1072" s="53">
        <v>44298</v>
      </c>
      <c r="K1072" s="51" t="s">
        <v>20</v>
      </c>
      <c r="L1072" s="62">
        <v>4.99</v>
      </c>
    </row>
    <row r="1073" spans="1:291" ht="35" customHeight="1">
      <c r="A1073" s="23">
        <f>ROW()-3</f>
        <v>1070</v>
      </c>
      <c r="B1073" s="43" t="s">
        <v>4586</v>
      </c>
      <c r="C1073" s="43" t="s">
        <v>3735</v>
      </c>
      <c r="D1073" s="43" t="s">
        <v>4900</v>
      </c>
      <c r="E1073" s="43" t="s">
        <v>4901</v>
      </c>
      <c r="F1073" s="43" t="s">
        <v>4901</v>
      </c>
      <c r="G1073" s="43" t="s">
        <v>34</v>
      </c>
      <c r="H1073" s="43">
        <v>65</v>
      </c>
      <c r="I1073" s="43">
        <v>11.9</v>
      </c>
      <c r="J1073" s="53">
        <v>44403</v>
      </c>
      <c r="K1073" s="51" t="s">
        <v>20</v>
      </c>
      <c r="L1073" s="62">
        <v>34.5</v>
      </c>
    </row>
    <row r="1074" spans="1:291" ht="35" customHeight="1">
      <c r="A1074" s="23">
        <f>ROW()-3</f>
        <v>1071</v>
      </c>
      <c r="B1074" s="43" t="s">
        <v>4586</v>
      </c>
      <c r="C1074" s="43" t="s">
        <v>3735</v>
      </c>
      <c r="D1074" s="43" t="s">
        <v>4902</v>
      </c>
      <c r="E1074" s="43" t="s">
        <v>4903</v>
      </c>
      <c r="F1074" s="43" t="s">
        <v>4903</v>
      </c>
      <c r="G1074" s="43" t="s">
        <v>3253</v>
      </c>
      <c r="H1074" s="43">
        <v>77</v>
      </c>
      <c r="I1074" s="43">
        <v>15.4</v>
      </c>
      <c r="J1074" s="53">
        <v>44480</v>
      </c>
      <c r="K1074" s="51" t="s">
        <v>20</v>
      </c>
      <c r="L1074" s="62">
        <v>34.5</v>
      </c>
    </row>
    <row r="1075" spans="1:291" ht="35" customHeight="1">
      <c r="A1075" s="23">
        <f>ROW()-3</f>
        <v>1072</v>
      </c>
      <c r="B1075" s="182" t="s">
        <v>5597</v>
      </c>
      <c r="C1075" s="182" t="s">
        <v>3735</v>
      </c>
      <c r="D1075" s="187" t="s">
        <v>5596</v>
      </c>
      <c r="E1075" s="187" t="s">
        <v>5549</v>
      </c>
      <c r="F1075" s="187" t="s">
        <v>5523</v>
      </c>
      <c r="G1075" s="42" t="s">
        <v>3253</v>
      </c>
      <c r="H1075" s="182">
        <v>30</v>
      </c>
      <c r="I1075" s="206">
        <v>5.1930555555555555</v>
      </c>
      <c r="J1075" s="209">
        <v>44614</v>
      </c>
      <c r="K1075" s="46" t="s">
        <v>20</v>
      </c>
      <c r="L1075" s="202">
        <v>32.5</v>
      </c>
    </row>
    <row r="1076" spans="1:291" ht="35" customHeight="1">
      <c r="A1076" s="23">
        <f>ROW()-3</f>
        <v>1073</v>
      </c>
      <c r="B1076" s="182" t="s">
        <v>5597</v>
      </c>
      <c r="C1076" s="182" t="s">
        <v>3735</v>
      </c>
      <c r="D1076" s="187" t="s">
        <v>5510</v>
      </c>
      <c r="E1076" s="187" t="s">
        <v>5566</v>
      </c>
      <c r="F1076" s="187" t="s">
        <v>5567</v>
      </c>
      <c r="G1076" s="42" t="s">
        <v>3253</v>
      </c>
      <c r="H1076" s="182">
        <v>115</v>
      </c>
      <c r="I1076" s="206">
        <v>21.273611111111112</v>
      </c>
      <c r="J1076" s="209">
        <v>44614</v>
      </c>
      <c r="K1076" s="46" t="s">
        <v>20</v>
      </c>
      <c r="L1076" s="202">
        <v>79</v>
      </c>
    </row>
    <row r="1077" spans="1:291" ht="35" customHeight="1">
      <c r="A1077" s="23">
        <f>ROW()-3</f>
        <v>1074</v>
      </c>
      <c r="B1077" s="42" t="s">
        <v>2639</v>
      </c>
      <c r="C1077" s="42" t="s">
        <v>5656</v>
      </c>
      <c r="D1077" s="43" t="s">
        <v>5657</v>
      </c>
      <c r="E1077" s="43" t="s">
        <v>5658</v>
      </c>
      <c r="F1077" s="43"/>
      <c r="G1077" s="42" t="s">
        <v>5653</v>
      </c>
      <c r="H1077" s="42">
        <v>46</v>
      </c>
      <c r="I1077" s="44">
        <v>8.5</v>
      </c>
      <c r="J1077" s="45">
        <v>44627</v>
      </c>
      <c r="K1077" s="46" t="s">
        <v>5157</v>
      </c>
      <c r="L1077" s="47">
        <v>34</v>
      </c>
      <c r="M1077" s="32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32"/>
      <c r="AG1077" s="32"/>
      <c r="AH1077" s="32"/>
      <c r="AI1077" s="32"/>
      <c r="AJ1077" s="32"/>
      <c r="AK1077" s="32"/>
      <c r="AL1077" s="32"/>
      <c r="AM1077" s="32"/>
      <c r="AN1077" s="32"/>
      <c r="AO1077" s="32"/>
      <c r="AP1077" s="32"/>
      <c r="AQ1077" s="32"/>
      <c r="AR1077" s="32"/>
      <c r="AS1077" s="32"/>
      <c r="AT1077" s="32"/>
      <c r="AU1077" s="32"/>
      <c r="AV1077" s="32"/>
      <c r="AW1077" s="32"/>
      <c r="AX1077" s="32"/>
      <c r="AY1077" s="32"/>
      <c r="AZ1077" s="32"/>
      <c r="BA1077" s="32"/>
      <c r="BB1077" s="32"/>
      <c r="BC1077" s="32"/>
      <c r="BD1077" s="32"/>
      <c r="BE1077" s="32"/>
      <c r="BF1077" s="32"/>
      <c r="BG1077" s="32"/>
      <c r="BH1077" s="32"/>
      <c r="BI1077" s="32"/>
      <c r="BJ1077" s="32"/>
      <c r="BK1077" s="32"/>
      <c r="BL1077" s="32"/>
      <c r="BM1077" s="32"/>
      <c r="BN1077" s="32"/>
      <c r="BO1077" s="32"/>
      <c r="BP1077" s="32"/>
      <c r="BQ1077" s="32"/>
      <c r="BR1077" s="32"/>
      <c r="BS1077" s="32"/>
      <c r="BT1077" s="32"/>
      <c r="BU1077" s="32"/>
      <c r="BV1077" s="32"/>
      <c r="BW1077" s="32"/>
      <c r="BX1077" s="32"/>
      <c r="BY1077" s="32"/>
      <c r="BZ1077" s="32"/>
      <c r="CA1077" s="32"/>
      <c r="CB1077" s="32"/>
      <c r="CC1077" s="32"/>
      <c r="CD1077" s="32"/>
      <c r="CE1077" s="32"/>
      <c r="CF1077" s="32"/>
      <c r="CG1077" s="32"/>
      <c r="CH1077" s="32"/>
      <c r="CI1077" s="32"/>
      <c r="CJ1077" s="32"/>
      <c r="CK1077" s="32"/>
      <c r="CL1077" s="32"/>
      <c r="CM1077" s="32"/>
      <c r="CN1077" s="32"/>
      <c r="CO1077" s="32"/>
      <c r="CP1077" s="32"/>
      <c r="CQ1077" s="32"/>
      <c r="CR1077" s="32"/>
      <c r="CS1077" s="32"/>
      <c r="CT1077" s="32"/>
      <c r="CU1077" s="32"/>
      <c r="CV1077" s="32"/>
      <c r="CW1077" s="32"/>
      <c r="CX1077" s="32"/>
      <c r="CY1077" s="32"/>
      <c r="CZ1077" s="32"/>
      <c r="DA1077" s="32"/>
      <c r="DB1077" s="32"/>
      <c r="DC1077" s="32"/>
      <c r="DD1077" s="32"/>
      <c r="DE1077" s="32"/>
      <c r="DF1077" s="32"/>
      <c r="DG1077" s="32"/>
      <c r="DH1077" s="32"/>
      <c r="DI1077" s="32"/>
      <c r="DJ1077" s="32"/>
      <c r="DK1077" s="32"/>
      <c r="DL1077" s="32"/>
      <c r="DM1077" s="32"/>
      <c r="DN1077" s="32"/>
      <c r="DO1077" s="32"/>
      <c r="DP1077" s="32"/>
      <c r="DQ1077" s="32"/>
      <c r="DR1077" s="32"/>
      <c r="DS1077" s="32"/>
      <c r="DT1077" s="32"/>
      <c r="DU1077" s="32"/>
      <c r="DV1077" s="32"/>
      <c r="DW1077" s="32"/>
      <c r="DX1077" s="32"/>
      <c r="DY1077" s="32"/>
      <c r="DZ1077" s="32"/>
      <c r="EA1077" s="32"/>
      <c r="EB1077" s="32"/>
      <c r="EC1077" s="32"/>
      <c r="ED1077" s="32"/>
      <c r="EE1077" s="32"/>
      <c r="EF1077" s="32"/>
      <c r="EG1077" s="32"/>
      <c r="EH1077" s="32"/>
      <c r="EI1077" s="32"/>
      <c r="EJ1077" s="32"/>
      <c r="EK1077" s="32"/>
      <c r="EL1077" s="32"/>
      <c r="EM1077" s="32"/>
      <c r="EN1077" s="32"/>
      <c r="EO1077" s="32"/>
      <c r="EP1077" s="32"/>
      <c r="EQ1077" s="32"/>
      <c r="ER1077" s="32"/>
      <c r="ES1077" s="32"/>
      <c r="ET1077" s="32"/>
      <c r="EU1077" s="32"/>
      <c r="EV1077" s="32"/>
      <c r="EW1077" s="32"/>
      <c r="EX1077" s="32"/>
      <c r="EY1077" s="32"/>
      <c r="EZ1077" s="32"/>
      <c r="FA1077" s="32"/>
      <c r="FB1077" s="32"/>
      <c r="FC1077" s="32"/>
      <c r="FD1077" s="32"/>
      <c r="FE1077" s="32"/>
      <c r="FF1077" s="32"/>
      <c r="FG1077" s="32"/>
      <c r="FH1077" s="32"/>
      <c r="FI1077" s="32"/>
      <c r="FJ1077" s="32"/>
      <c r="FK1077" s="32"/>
      <c r="FL1077" s="32"/>
      <c r="FM1077" s="32"/>
      <c r="FN1077" s="32"/>
      <c r="FO1077" s="32"/>
      <c r="FP1077" s="32"/>
      <c r="FQ1077" s="32"/>
      <c r="FR1077" s="32"/>
      <c r="FS1077" s="32"/>
      <c r="FT1077" s="32"/>
      <c r="FU1077" s="32"/>
      <c r="FV1077" s="32"/>
      <c r="FW1077" s="32"/>
      <c r="FX1077" s="32"/>
      <c r="FY1077" s="32"/>
      <c r="FZ1077" s="32"/>
      <c r="GA1077" s="32"/>
      <c r="GB1077" s="32"/>
      <c r="GC1077" s="32"/>
      <c r="GD1077" s="32"/>
      <c r="GE1077" s="32"/>
      <c r="GF1077" s="32"/>
      <c r="GG1077" s="32"/>
      <c r="GH1077" s="32"/>
      <c r="GI1077" s="32"/>
      <c r="GJ1077" s="32"/>
      <c r="GK1077" s="32"/>
      <c r="GL1077" s="32"/>
      <c r="GM1077" s="32"/>
      <c r="GN1077" s="32"/>
      <c r="GO1077" s="32"/>
      <c r="GP1077" s="32"/>
      <c r="GQ1077" s="32"/>
      <c r="GR1077" s="32"/>
      <c r="GS1077" s="32"/>
      <c r="GT1077" s="32"/>
      <c r="GU1077" s="32"/>
      <c r="GV1077" s="32"/>
      <c r="GW1077" s="32"/>
      <c r="GX1077" s="32"/>
      <c r="GY1077" s="32"/>
      <c r="GZ1077" s="32"/>
      <c r="HA1077" s="32"/>
      <c r="HB1077" s="32"/>
      <c r="HC1077" s="32"/>
      <c r="HD1077" s="32"/>
      <c r="HE1077" s="32"/>
      <c r="HF1077" s="32"/>
      <c r="HG1077" s="32"/>
      <c r="HH1077" s="32"/>
      <c r="HI1077" s="32"/>
      <c r="HJ1077" s="32"/>
      <c r="HK1077" s="32"/>
      <c r="HL1077" s="32"/>
      <c r="HM1077" s="32"/>
      <c r="HN1077" s="32"/>
      <c r="HO1077" s="32"/>
      <c r="HP1077" s="32"/>
      <c r="HQ1077" s="32"/>
      <c r="HR1077" s="32"/>
      <c r="HS1077" s="32"/>
      <c r="HT1077" s="32"/>
      <c r="HU1077" s="32"/>
      <c r="HV1077" s="32"/>
      <c r="HW1077" s="32"/>
      <c r="HX1077" s="32"/>
      <c r="HY1077" s="32"/>
      <c r="HZ1077" s="32"/>
      <c r="IA1077" s="32"/>
      <c r="IB1077" s="32"/>
      <c r="IC1077" s="32"/>
      <c r="ID1077" s="32"/>
      <c r="IE1077" s="32"/>
      <c r="IF1077" s="32"/>
      <c r="IG1077" s="32"/>
      <c r="IH1077" s="32"/>
      <c r="II1077" s="32"/>
      <c r="IJ1077" s="32"/>
      <c r="IK1077" s="32"/>
      <c r="IL1077" s="32"/>
      <c r="IM1077" s="32"/>
      <c r="IN1077" s="32"/>
      <c r="IO1077" s="32"/>
      <c r="IP1077" s="32"/>
      <c r="IQ1077" s="32"/>
      <c r="IR1077" s="32"/>
      <c r="IS1077" s="32"/>
      <c r="IT1077" s="32"/>
      <c r="IU1077" s="32"/>
      <c r="IV1077" s="32"/>
      <c r="IW1077" s="32"/>
      <c r="IX1077" s="32"/>
      <c r="IY1077" s="32"/>
      <c r="IZ1077" s="32"/>
      <c r="JA1077" s="32"/>
      <c r="JB1077" s="32"/>
      <c r="JC1077" s="32"/>
      <c r="JD1077" s="32"/>
      <c r="JE1077" s="32"/>
      <c r="JF1077" s="32"/>
      <c r="JG1077" s="32"/>
      <c r="JH1077" s="32"/>
      <c r="JI1077" s="32"/>
      <c r="JJ1077" s="32"/>
      <c r="JK1077" s="32"/>
      <c r="JL1077" s="32"/>
      <c r="JM1077" s="32"/>
      <c r="JN1077" s="32"/>
      <c r="JO1077" s="32"/>
      <c r="JP1077" s="32"/>
      <c r="JQ1077" s="32"/>
      <c r="JR1077" s="32"/>
      <c r="JS1077" s="32"/>
      <c r="JT1077" s="32"/>
      <c r="JU1077" s="32"/>
      <c r="JV1077" s="32"/>
      <c r="JW1077" s="32"/>
      <c r="JX1077" s="32"/>
      <c r="JY1077" s="32"/>
      <c r="JZ1077" s="32"/>
      <c r="KA1077" s="32"/>
      <c r="KB1077" s="32"/>
      <c r="KC1077" s="32"/>
      <c r="KD1077" s="32"/>
      <c r="KE1077" s="32"/>
    </row>
    <row r="1078" spans="1:291" ht="35" customHeight="1">
      <c r="A1078" s="23">
        <f>ROW()-3</f>
        <v>1075</v>
      </c>
      <c r="B1078" s="42" t="s">
        <v>4586</v>
      </c>
      <c r="C1078" s="130" t="s">
        <v>3950</v>
      </c>
      <c r="D1078" s="43" t="s">
        <v>3106</v>
      </c>
      <c r="E1078" s="43" t="s">
        <v>3107</v>
      </c>
      <c r="F1078" s="43" t="s">
        <v>4617</v>
      </c>
      <c r="G1078" s="42" t="s">
        <v>34</v>
      </c>
      <c r="H1078" s="42">
        <v>24</v>
      </c>
      <c r="I1078" s="44">
        <v>6.7497222222222204</v>
      </c>
      <c r="J1078" s="45">
        <v>43468</v>
      </c>
      <c r="K1078" s="46" t="s">
        <v>20</v>
      </c>
      <c r="L1078" s="48">
        <v>24</v>
      </c>
    </row>
    <row r="1079" spans="1:291" ht="35" customHeight="1">
      <c r="A1079" s="23">
        <f>ROW()-3</f>
        <v>1076</v>
      </c>
      <c r="B1079" s="42" t="s">
        <v>4586</v>
      </c>
      <c r="C1079" s="42" t="s">
        <v>3950</v>
      </c>
      <c r="D1079" s="43" t="s">
        <v>3098</v>
      </c>
      <c r="E1079" s="43" t="s">
        <v>3099</v>
      </c>
      <c r="F1079" s="43" t="s">
        <v>4617</v>
      </c>
      <c r="G1079" s="42" t="s">
        <v>34</v>
      </c>
      <c r="H1079" s="42">
        <v>53</v>
      </c>
      <c r="I1079" s="44">
        <v>5.7824999999999998</v>
      </c>
      <c r="J1079" s="45">
        <v>43468</v>
      </c>
      <c r="K1079" s="46" t="s">
        <v>20</v>
      </c>
      <c r="L1079" s="48">
        <v>39.99</v>
      </c>
    </row>
    <row r="1080" spans="1:291" ht="35" customHeight="1">
      <c r="A1080" s="23">
        <f>ROW()-3</f>
        <v>1077</v>
      </c>
      <c r="B1080" s="42" t="s">
        <v>4586</v>
      </c>
      <c r="C1080" s="42" t="s">
        <v>3950</v>
      </c>
      <c r="D1080" s="43" t="s">
        <v>4909</v>
      </c>
      <c r="E1080" s="43" t="s">
        <v>4910</v>
      </c>
      <c r="F1080" s="43" t="s">
        <v>4617</v>
      </c>
      <c r="G1080" s="42" t="s">
        <v>34</v>
      </c>
      <c r="H1080" s="42">
        <v>28</v>
      </c>
      <c r="I1080" s="44">
        <v>13.1591666666667</v>
      </c>
      <c r="J1080" s="45">
        <v>43469</v>
      </c>
      <c r="K1080" s="46" t="s">
        <v>20</v>
      </c>
      <c r="L1080" s="48">
        <v>49.99</v>
      </c>
    </row>
    <row r="1081" spans="1:291" ht="35" customHeight="1">
      <c r="A1081" s="23">
        <f>ROW()-3</f>
        <v>1078</v>
      </c>
      <c r="B1081" s="42" t="s">
        <v>4586</v>
      </c>
      <c r="C1081" s="42" t="s">
        <v>3950</v>
      </c>
      <c r="D1081" s="43" t="s">
        <v>4911</v>
      </c>
      <c r="E1081" s="43" t="s">
        <v>3107</v>
      </c>
      <c r="F1081" s="43" t="s">
        <v>4610</v>
      </c>
      <c r="G1081" s="42" t="s">
        <v>34</v>
      </c>
      <c r="H1081" s="42">
        <v>20</v>
      </c>
      <c r="I1081" s="44">
        <v>8.5380555555555606</v>
      </c>
      <c r="J1081" s="45">
        <v>43469</v>
      </c>
      <c r="K1081" s="46" t="s">
        <v>20</v>
      </c>
      <c r="L1081" s="48">
        <v>3.8</v>
      </c>
    </row>
    <row r="1082" spans="1:291" ht="35" customHeight="1">
      <c r="A1082" s="23">
        <f>ROW()-3</f>
        <v>1079</v>
      </c>
      <c r="B1082" s="42" t="s">
        <v>4586</v>
      </c>
      <c r="C1082" s="42" t="s">
        <v>3950</v>
      </c>
      <c r="D1082" s="43" t="s">
        <v>4907</v>
      </c>
      <c r="E1082" s="43" t="s">
        <v>4908</v>
      </c>
      <c r="F1082" s="43" t="s">
        <v>4589</v>
      </c>
      <c r="G1082" s="42" t="s">
        <v>34</v>
      </c>
      <c r="H1082" s="42">
        <v>16</v>
      </c>
      <c r="I1082" s="44">
        <v>4.0738888888888898</v>
      </c>
      <c r="J1082" s="45">
        <v>43483</v>
      </c>
      <c r="K1082" s="46" t="s">
        <v>20</v>
      </c>
      <c r="L1082" s="48">
        <v>12.99</v>
      </c>
    </row>
    <row r="1083" spans="1:291" ht="35" customHeight="1">
      <c r="A1083" s="23">
        <f>ROW()-3</f>
        <v>1080</v>
      </c>
      <c r="B1083" s="42" t="s">
        <v>4586</v>
      </c>
      <c r="C1083" s="42" t="s">
        <v>3950</v>
      </c>
      <c r="D1083" s="43" t="s">
        <v>4904</v>
      </c>
      <c r="E1083" s="43" t="s">
        <v>4905</v>
      </c>
      <c r="F1083" s="43" t="s">
        <v>4906</v>
      </c>
      <c r="G1083" s="42" t="s">
        <v>34</v>
      </c>
      <c r="H1083" s="42">
        <v>34</v>
      </c>
      <c r="I1083" s="44">
        <v>9.1475000000000009</v>
      </c>
      <c r="J1083" s="45">
        <v>43516</v>
      </c>
      <c r="K1083" s="46" t="s">
        <v>20</v>
      </c>
      <c r="L1083" s="48">
        <v>84.6</v>
      </c>
    </row>
    <row r="1084" spans="1:291" ht="35" customHeight="1">
      <c r="A1084" s="23">
        <f>ROW()-3</f>
        <v>1081</v>
      </c>
      <c r="B1084" s="42" t="s">
        <v>4586</v>
      </c>
      <c r="C1084" s="130" t="s">
        <v>3950</v>
      </c>
      <c r="D1084" s="43" t="s">
        <v>4912</v>
      </c>
      <c r="E1084" s="43" t="s">
        <v>4913</v>
      </c>
      <c r="F1084" s="43" t="s">
        <v>4617</v>
      </c>
      <c r="G1084" s="42" t="s">
        <v>34</v>
      </c>
      <c r="H1084" s="42">
        <v>19</v>
      </c>
      <c r="I1084" s="44">
        <v>6.6136111111111102</v>
      </c>
      <c r="J1084" s="45">
        <v>43691</v>
      </c>
      <c r="K1084" s="46" t="s">
        <v>20</v>
      </c>
      <c r="L1084" s="48">
        <v>9.41</v>
      </c>
    </row>
    <row r="1085" spans="1:291" ht="35" customHeight="1">
      <c r="A1085" s="23">
        <f>ROW()-3</f>
        <v>1082</v>
      </c>
      <c r="B1085" s="42" t="s">
        <v>4586</v>
      </c>
      <c r="C1085" s="42" t="s">
        <v>3950</v>
      </c>
      <c r="D1085" s="43" t="s">
        <v>4914</v>
      </c>
      <c r="E1085" s="43" t="s">
        <v>4915</v>
      </c>
      <c r="F1085" s="43" t="s">
        <v>4589</v>
      </c>
      <c r="G1085" s="42" t="s">
        <v>34</v>
      </c>
      <c r="H1085" s="42">
        <v>36</v>
      </c>
      <c r="I1085" s="44">
        <v>3.62388888888889</v>
      </c>
      <c r="J1085" s="45">
        <v>43691</v>
      </c>
      <c r="K1085" s="46" t="s">
        <v>20</v>
      </c>
      <c r="L1085" s="48">
        <v>39.99</v>
      </c>
    </row>
    <row r="1086" spans="1:291" ht="35" customHeight="1">
      <c r="A1086" s="23">
        <f>ROW()-3</f>
        <v>1083</v>
      </c>
      <c r="B1086" s="42" t="s">
        <v>4586</v>
      </c>
      <c r="C1086" s="42" t="s">
        <v>3950</v>
      </c>
      <c r="D1086" s="43" t="s">
        <v>4916</v>
      </c>
      <c r="E1086" s="43" t="s">
        <v>4917</v>
      </c>
      <c r="F1086" s="43" t="s">
        <v>4918</v>
      </c>
      <c r="G1086" s="42" t="s">
        <v>34</v>
      </c>
      <c r="H1086" s="42">
        <v>23</v>
      </c>
      <c r="I1086" s="44">
        <v>9.0238888888888908</v>
      </c>
      <c r="J1086" s="45">
        <v>43691</v>
      </c>
      <c r="K1086" s="46" t="s">
        <v>20</v>
      </c>
      <c r="L1086" s="48">
        <v>20.9</v>
      </c>
    </row>
    <row r="1087" spans="1:291" ht="35" customHeight="1">
      <c r="A1087" s="23">
        <f>ROW()-3</f>
        <v>1084</v>
      </c>
      <c r="B1087" s="42" t="s">
        <v>4586</v>
      </c>
      <c r="C1087" s="42" t="s">
        <v>3950</v>
      </c>
      <c r="D1087" s="43" t="s">
        <v>4919</v>
      </c>
      <c r="E1087" s="43" t="s">
        <v>4920</v>
      </c>
      <c r="F1087" s="43" t="s">
        <v>4617</v>
      </c>
      <c r="G1087" s="42" t="s">
        <v>34</v>
      </c>
      <c r="H1087" s="42">
        <v>57</v>
      </c>
      <c r="I1087" s="44">
        <v>18.290555555555599</v>
      </c>
      <c r="J1087" s="45">
        <v>43691</v>
      </c>
      <c r="K1087" s="46" t="s">
        <v>20</v>
      </c>
      <c r="L1087" s="48">
        <v>8.99</v>
      </c>
    </row>
    <row r="1088" spans="1:291" ht="35" customHeight="1">
      <c r="A1088" s="23">
        <f>ROW()-3</f>
        <v>1085</v>
      </c>
      <c r="B1088" s="42" t="s">
        <v>4586</v>
      </c>
      <c r="C1088" s="42" t="s">
        <v>3950</v>
      </c>
      <c r="D1088" s="43" t="s">
        <v>4921</v>
      </c>
      <c r="E1088" s="43" t="s">
        <v>4922</v>
      </c>
      <c r="F1088" s="43" t="s">
        <v>4923</v>
      </c>
      <c r="G1088" s="42" t="s">
        <v>34</v>
      </c>
      <c r="H1088" s="42">
        <v>183</v>
      </c>
      <c r="I1088" s="44">
        <v>30.5</v>
      </c>
      <c r="J1088" s="45">
        <v>44558</v>
      </c>
      <c r="K1088" s="46" t="s">
        <v>20</v>
      </c>
      <c r="L1088" s="48">
        <v>29</v>
      </c>
    </row>
    <row r="1089" spans="1:12" ht="35" customHeight="1">
      <c r="A1089" s="23">
        <f>ROW()-3</f>
        <v>1086</v>
      </c>
      <c r="B1089" s="42" t="s">
        <v>4586</v>
      </c>
      <c r="C1089" s="42" t="s">
        <v>3950</v>
      </c>
      <c r="D1089" s="43" t="s">
        <v>4924</v>
      </c>
      <c r="E1089" s="43" t="s">
        <v>4925</v>
      </c>
      <c r="F1089" s="43" t="s">
        <v>4926</v>
      </c>
      <c r="G1089" s="42" t="s">
        <v>34</v>
      </c>
      <c r="H1089" s="42">
        <v>42</v>
      </c>
      <c r="I1089" s="44">
        <v>7</v>
      </c>
      <c r="J1089" s="45">
        <v>44571</v>
      </c>
      <c r="K1089" s="46" t="s">
        <v>20</v>
      </c>
      <c r="L1089" s="48">
        <v>49.9</v>
      </c>
    </row>
    <row r="1090" spans="1:12" ht="35" customHeight="1">
      <c r="A1090" s="23">
        <f>ROW()-3</f>
        <v>1087</v>
      </c>
      <c r="B1090" s="42" t="s">
        <v>4586</v>
      </c>
      <c r="C1090" s="130" t="s">
        <v>4064</v>
      </c>
      <c r="D1090" s="43" t="s">
        <v>5021</v>
      </c>
      <c r="E1090" s="43" t="s">
        <v>5022</v>
      </c>
      <c r="F1090" s="43" t="s">
        <v>4653</v>
      </c>
      <c r="G1090" s="42" t="s">
        <v>34</v>
      </c>
      <c r="H1090" s="42">
        <v>222</v>
      </c>
      <c r="I1090" s="44">
        <v>75.388611111111103</v>
      </c>
      <c r="J1090" s="45">
        <v>43691</v>
      </c>
      <c r="K1090" s="46" t="s">
        <v>20</v>
      </c>
      <c r="L1090" s="48">
        <v>19.899999999999999</v>
      </c>
    </row>
    <row r="1091" spans="1:12" ht="35" customHeight="1">
      <c r="A1091" s="23">
        <f>ROW()-3</f>
        <v>1088</v>
      </c>
      <c r="B1091" s="42" t="s">
        <v>4586</v>
      </c>
      <c r="C1091" s="42" t="s">
        <v>4064</v>
      </c>
      <c r="D1091" s="43" t="s">
        <v>5023</v>
      </c>
      <c r="E1091" s="43" t="s">
        <v>5024</v>
      </c>
      <c r="F1091" s="43" t="s">
        <v>5025</v>
      </c>
      <c r="G1091" s="42" t="s">
        <v>34</v>
      </c>
      <c r="H1091" s="42">
        <v>39</v>
      </c>
      <c r="I1091" s="44">
        <v>13.5805555555556</v>
      </c>
      <c r="J1091" s="45">
        <v>43691</v>
      </c>
      <c r="K1091" s="46" t="s">
        <v>20</v>
      </c>
      <c r="L1091" s="48">
        <v>19.899999999999999</v>
      </c>
    </row>
    <row r="1092" spans="1:12" ht="35" customHeight="1">
      <c r="A1092" s="23">
        <f>ROW()-3</f>
        <v>1089</v>
      </c>
      <c r="B1092" s="42" t="s">
        <v>4586</v>
      </c>
      <c r="C1092" s="42" t="s">
        <v>4064</v>
      </c>
      <c r="D1092" s="43" t="s">
        <v>5026</v>
      </c>
      <c r="E1092" s="43" t="s">
        <v>4150</v>
      </c>
      <c r="F1092" s="43" t="s">
        <v>5027</v>
      </c>
      <c r="G1092" s="42" t="s">
        <v>34</v>
      </c>
      <c r="H1092" s="42">
        <v>57</v>
      </c>
      <c r="I1092" s="44">
        <v>14.4413888888889</v>
      </c>
      <c r="J1092" s="45">
        <v>43691</v>
      </c>
      <c r="K1092" s="46" t="s">
        <v>20</v>
      </c>
      <c r="L1092" s="48">
        <v>13.9</v>
      </c>
    </row>
    <row r="1093" spans="1:12" ht="35" customHeight="1">
      <c r="A1093" s="23">
        <f>ROW()-3</f>
        <v>1090</v>
      </c>
      <c r="B1093" s="42" t="s">
        <v>4586</v>
      </c>
      <c r="C1093" s="130" t="s">
        <v>4064</v>
      </c>
      <c r="D1093" s="43" t="s">
        <v>5028</v>
      </c>
      <c r="E1093" s="43" t="s">
        <v>5029</v>
      </c>
      <c r="F1093" s="43" t="s">
        <v>4918</v>
      </c>
      <c r="G1093" s="42" t="s">
        <v>34</v>
      </c>
      <c r="H1093" s="42">
        <v>42</v>
      </c>
      <c r="I1093" s="44">
        <v>0.97111111111111104</v>
      </c>
      <c r="J1093" s="45">
        <v>43691</v>
      </c>
      <c r="K1093" s="46" t="s">
        <v>20</v>
      </c>
      <c r="L1093" s="48">
        <v>13.9</v>
      </c>
    </row>
    <row r="1094" spans="1:12" ht="35" customHeight="1">
      <c r="A1094" s="23">
        <f>ROW()-3</f>
        <v>1091</v>
      </c>
      <c r="B1094" s="42" t="s">
        <v>4586</v>
      </c>
      <c r="C1094" s="42" t="s">
        <v>4064</v>
      </c>
      <c r="D1094" s="43" t="s">
        <v>5030</v>
      </c>
      <c r="E1094" s="43" t="s">
        <v>5031</v>
      </c>
      <c r="F1094" s="43" t="s">
        <v>2182</v>
      </c>
      <c r="G1094" s="42" t="s">
        <v>34</v>
      </c>
      <c r="H1094" s="42">
        <v>43</v>
      </c>
      <c r="I1094" s="44">
        <v>0.98444444444444401</v>
      </c>
      <c r="J1094" s="45">
        <v>43691</v>
      </c>
      <c r="K1094" s="46" t="s">
        <v>20</v>
      </c>
      <c r="L1094" s="48">
        <v>25.99</v>
      </c>
    </row>
    <row r="1095" spans="1:12" ht="35" customHeight="1">
      <c r="A1095" s="23">
        <f>ROW()-3</f>
        <v>1092</v>
      </c>
      <c r="B1095" s="42" t="s">
        <v>4586</v>
      </c>
      <c r="C1095" s="42" t="s">
        <v>4064</v>
      </c>
      <c r="D1095" s="43" t="s">
        <v>5032</v>
      </c>
      <c r="E1095" s="43" t="s">
        <v>5033</v>
      </c>
      <c r="F1095" s="43" t="s">
        <v>2182</v>
      </c>
      <c r="G1095" s="42" t="s">
        <v>34</v>
      </c>
      <c r="H1095" s="42">
        <v>31</v>
      </c>
      <c r="I1095" s="44">
        <v>10.79</v>
      </c>
      <c r="J1095" s="45">
        <v>43691</v>
      </c>
      <c r="K1095" s="46" t="s">
        <v>20</v>
      </c>
      <c r="L1095" s="48">
        <v>57.61</v>
      </c>
    </row>
    <row r="1096" spans="1:12" ht="35" customHeight="1">
      <c r="A1096" s="23">
        <f>ROW()-3</f>
        <v>1093</v>
      </c>
      <c r="B1096" s="42" t="s">
        <v>4586</v>
      </c>
      <c r="C1096" s="130" t="s">
        <v>4064</v>
      </c>
      <c r="D1096" s="43" t="s">
        <v>5040</v>
      </c>
      <c r="E1096" s="43" t="s">
        <v>4999</v>
      </c>
      <c r="F1096" s="43" t="s">
        <v>5041</v>
      </c>
      <c r="G1096" s="42" t="s">
        <v>34</v>
      </c>
      <c r="H1096" s="42">
        <v>8</v>
      </c>
      <c r="I1096" s="44">
        <v>2.72444444444444</v>
      </c>
      <c r="J1096" s="45">
        <v>43691</v>
      </c>
      <c r="K1096" s="46" t="s">
        <v>20</v>
      </c>
      <c r="L1096" s="48">
        <v>110</v>
      </c>
    </row>
    <row r="1097" spans="1:12" ht="35" customHeight="1">
      <c r="A1097" s="23">
        <f>ROW()-3</f>
        <v>1094</v>
      </c>
      <c r="B1097" s="42" t="s">
        <v>4586</v>
      </c>
      <c r="C1097" s="130" t="s">
        <v>4064</v>
      </c>
      <c r="D1097" s="43" t="s">
        <v>4927</v>
      </c>
      <c r="E1097" s="43" t="s">
        <v>457</v>
      </c>
      <c r="F1097" s="43" t="s">
        <v>4600</v>
      </c>
      <c r="G1097" s="42" t="s">
        <v>34</v>
      </c>
      <c r="H1097" s="42">
        <v>65</v>
      </c>
      <c r="I1097" s="44">
        <v>23.982222222222202</v>
      </c>
      <c r="J1097" s="45">
        <v>43692</v>
      </c>
      <c r="K1097" s="46" t="s">
        <v>20</v>
      </c>
      <c r="L1097" s="48">
        <v>12.9</v>
      </c>
    </row>
    <row r="1098" spans="1:12" ht="35" customHeight="1">
      <c r="A1098" s="23">
        <f>ROW()-3</f>
        <v>1095</v>
      </c>
      <c r="B1098" s="42" t="s">
        <v>4586</v>
      </c>
      <c r="C1098" s="42" t="s">
        <v>4064</v>
      </c>
      <c r="D1098" s="43" t="s">
        <v>4928</v>
      </c>
      <c r="E1098" s="43" t="s">
        <v>4929</v>
      </c>
      <c r="F1098" s="43" t="s">
        <v>4899</v>
      </c>
      <c r="G1098" s="42" t="s">
        <v>34</v>
      </c>
      <c r="H1098" s="42">
        <v>21</v>
      </c>
      <c r="I1098" s="44">
        <v>0.98583333333333301</v>
      </c>
      <c r="J1098" s="45">
        <v>43692</v>
      </c>
      <c r="K1098" s="46" t="s">
        <v>20</v>
      </c>
      <c r="L1098" s="48">
        <v>12.9</v>
      </c>
    </row>
    <row r="1099" spans="1:12" ht="35" customHeight="1">
      <c r="A1099" s="23">
        <f>ROW()-3</f>
        <v>1096</v>
      </c>
      <c r="B1099" s="42" t="s">
        <v>4586</v>
      </c>
      <c r="C1099" s="42" t="s">
        <v>4064</v>
      </c>
      <c r="D1099" s="43" t="s">
        <v>4930</v>
      </c>
      <c r="E1099" s="43" t="s">
        <v>4931</v>
      </c>
      <c r="F1099" s="43" t="s">
        <v>2182</v>
      </c>
      <c r="G1099" s="42" t="s">
        <v>34</v>
      </c>
      <c r="H1099" s="42">
        <v>14</v>
      </c>
      <c r="I1099" s="44">
        <v>0.97</v>
      </c>
      <c r="J1099" s="45">
        <v>43692</v>
      </c>
      <c r="K1099" s="46" t="s">
        <v>20</v>
      </c>
      <c r="L1099" s="48">
        <v>12.9</v>
      </c>
    </row>
    <row r="1100" spans="1:12" ht="35" customHeight="1">
      <c r="A1100" s="23">
        <f>ROW()-3</f>
        <v>1097</v>
      </c>
      <c r="B1100" s="42" t="s">
        <v>4586</v>
      </c>
      <c r="C1100" s="130" t="s">
        <v>4064</v>
      </c>
      <c r="D1100" s="43" t="s">
        <v>4932</v>
      </c>
      <c r="E1100" s="43" t="s">
        <v>4933</v>
      </c>
      <c r="F1100" s="43" t="s">
        <v>2182</v>
      </c>
      <c r="G1100" s="42" t="s">
        <v>34</v>
      </c>
      <c r="H1100" s="42">
        <v>20</v>
      </c>
      <c r="I1100" s="44">
        <v>1.5249999999999999</v>
      </c>
      <c r="J1100" s="45">
        <v>43692</v>
      </c>
      <c r="K1100" s="46" t="s">
        <v>20</v>
      </c>
      <c r="L1100" s="48">
        <v>12.9</v>
      </c>
    </row>
    <row r="1101" spans="1:12" ht="35" customHeight="1">
      <c r="A1101" s="23">
        <f>ROW()-3</f>
        <v>1098</v>
      </c>
      <c r="B1101" s="42" t="s">
        <v>4586</v>
      </c>
      <c r="C1101" s="42" t="s">
        <v>4064</v>
      </c>
      <c r="D1101" s="43" t="s">
        <v>4934</v>
      </c>
      <c r="E1101" s="43" t="s">
        <v>4935</v>
      </c>
      <c r="F1101" s="43" t="s">
        <v>2182</v>
      </c>
      <c r="G1101" s="42" t="s">
        <v>34</v>
      </c>
      <c r="H1101" s="42">
        <v>22</v>
      </c>
      <c r="I1101" s="44">
        <v>0.91027777777777796</v>
      </c>
      <c r="J1101" s="45">
        <v>43692</v>
      </c>
      <c r="K1101" s="46" t="s">
        <v>20</v>
      </c>
      <c r="L1101" s="48">
        <v>12.9</v>
      </c>
    </row>
    <row r="1102" spans="1:12" ht="35" customHeight="1">
      <c r="A1102" s="23">
        <f>ROW()-3</f>
        <v>1099</v>
      </c>
      <c r="B1102" s="42" t="s">
        <v>4586</v>
      </c>
      <c r="C1102" s="42" t="s">
        <v>4064</v>
      </c>
      <c r="D1102" s="43" t="s">
        <v>4936</v>
      </c>
      <c r="E1102" s="43" t="s">
        <v>4937</v>
      </c>
      <c r="F1102" s="43" t="s">
        <v>2182</v>
      </c>
      <c r="G1102" s="42" t="s">
        <v>34</v>
      </c>
      <c r="H1102" s="42">
        <v>11</v>
      </c>
      <c r="I1102" s="44">
        <v>0.98194444444444395</v>
      </c>
      <c r="J1102" s="45">
        <v>43692</v>
      </c>
      <c r="K1102" s="46" t="s">
        <v>20</v>
      </c>
      <c r="L1102" s="48">
        <v>12.9</v>
      </c>
    </row>
    <row r="1103" spans="1:12" ht="35" customHeight="1">
      <c r="A1103" s="23">
        <f>ROW()-3</f>
        <v>1100</v>
      </c>
      <c r="B1103" s="42" t="s">
        <v>4586</v>
      </c>
      <c r="C1103" s="130" t="s">
        <v>4064</v>
      </c>
      <c r="D1103" s="43" t="s">
        <v>4938</v>
      </c>
      <c r="E1103" s="43" t="s">
        <v>4939</v>
      </c>
      <c r="F1103" s="43" t="s">
        <v>2182</v>
      </c>
      <c r="G1103" s="42" t="s">
        <v>34</v>
      </c>
      <c r="H1103" s="42">
        <v>11</v>
      </c>
      <c r="I1103" s="44">
        <v>0.97916666666666696</v>
      </c>
      <c r="J1103" s="45">
        <v>43692</v>
      </c>
      <c r="K1103" s="46" t="s">
        <v>20</v>
      </c>
      <c r="L1103" s="48">
        <v>12.9</v>
      </c>
    </row>
    <row r="1104" spans="1:12" ht="35" customHeight="1">
      <c r="A1104" s="23">
        <f>ROW()-3</f>
        <v>1101</v>
      </c>
      <c r="B1104" s="42" t="s">
        <v>4586</v>
      </c>
      <c r="C1104" s="42" t="s">
        <v>4064</v>
      </c>
      <c r="D1104" s="43" t="s">
        <v>4940</v>
      </c>
      <c r="E1104" s="43" t="s">
        <v>4939</v>
      </c>
      <c r="F1104" s="43" t="s">
        <v>2182</v>
      </c>
      <c r="G1104" s="42" t="s">
        <v>34</v>
      </c>
      <c r="H1104" s="42">
        <v>24</v>
      </c>
      <c r="I1104" s="44">
        <v>0.96861111111111098</v>
      </c>
      <c r="J1104" s="45">
        <v>43692</v>
      </c>
      <c r="K1104" s="46" t="s">
        <v>20</v>
      </c>
      <c r="L1104" s="48">
        <v>12.9</v>
      </c>
    </row>
    <row r="1105" spans="1:12" ht="35" customHeight="1">
      <c r="A1105" s="23">
        <f>ROW()-3</f>
        <v>1102</v>
      </c>
      <c r="B1105" s="42" t="s">
        <v>4586</v>
      </c>
      <c r="C1105" s="130" t="s">
        <v>4064</v>
      </c>
      <c r="D1105" s="43" t="s">
        <v>4941</v>
      </c>
      <c r="E1105" s="43" t="s">
        <v>4942</v>
      </c>
      <c r="F1105" s="43" t="s">
        <v>2182</v>
      </c>
      <c r="G1105" s="42" t="s">
        <v>34</v>
      </c>
      <c r="H1105" s="42">
        <v>8</v>
      </c>
      <c r="I1105" s="44">
        <v>0.98444444444444401</v>
      </c>
      <c r="J1105" s="45">
        <v>43692</v>
      </c>
      <c r="K1105" s="46" t="s">
        <v>20</v>
      </c>
      <c r="L1105" s="48">
        <v>12.9</v>
      </c>
    </row>
    <row r="1106" spans="1:12" ht="35" customHeight="1">
      <c r="A1106" s="23">
        <f>ROW()-3</f>
        <v>1103</v>
      </c>
      <c r="B1106" s="42" t="s">
        <v>4586</v>
      </c>
      <c r="C1106" s="42" t="s">
        <v>4064</v>
      </c>
      <c r="D1106" s="43" t="s">
        <v>4943</v>
      </c>
      <c r="E1106" s="43" t="s">
        <v>4944</v>
      </c>
      <c r="F1106" s="43" t="s">
        <v>2182</v>
      </c>
      <c r="G1106" s="42" t="s">
        <v>34</v>
      </c>
      <c r="H1106" s="42">
        <v>6</v>
      </c>
      <c r="I1106" s="44">
        <v>1.17472222222222</v>
      </c>
      <c r="J1106" s="45">
        <v>43692</v>
      </c>
      <c r="K1106" s="46" t="s">
        <v>20</v>
      </c>
      <c r="L1106" s="48">
        <v>12.9</v>
      </c>
    </row>
    <row r="1107" spans="1:12" ht="35" customHeight="1">
      <c r="A1107" s="23">
        <f>ROW()-3</f>
        <v>1104</v>
      </c>
      <c r="B1107" s="42" t="s">
        <v>4586</v>
      </c>
      <c r="C1107" s="42" t="s">
        <v>4064</v>
      </c>
      <c r="D1107" s="43" t="s">
        <v>4945</v>
      </c>
      <c r="E1107" s="43" t="s">
        <v>4946</v>
      </c>
      <c r="F1107" s="43" t="s">
        <v>2182</v>
      </c>
      <c r="G1107" s="42" t="s">
        <v>34</v>
      </c>
      <c r="H1107" s="42">
        <v>7</v>
      </c>
      <c r="I1107" s="44">
        <v>0.82416666666666705</v>
      </c>
      <c r="J1107" s="45">
        <v>43692</v>
      </c>
      <c r="K1107" s="46" t="s">
        <v>20</v>
      </c>
      <c r="L1107" s="48">
        <v>12.9</v>
      </c>
    </row>
    <row r="1108" spans="1:12" ht="35" customHeight="1">
      <c r="A1108" s="23">
        <f>ROW()-3</f>
        <v>1105</v>
      </c>
      <c r="B1108" s="42" t="s">
        <v>4586</v>
      </c>
      <c r="C1108" s="130" t="s">
        <v>4064</v>
      </c>
      <c r="D1108" s="43" t="s">
        <v>4947</v>
      </c>
      <c r="E1108" s="43" t="s">
        <v>4939</v>
      </c>
      <c r="F1108" s="43" t="s">
        <v>2182</v>
      </c>
      <c r="G1108" s="42" t="s">
        <v>34</v>
      </c>
      <c r="H1108" s="42">
        <v>17</v>
      </c>
      <c r="I1108" s="44">
        <v>0.76249999999999996</v>
      </c>
      <c r="J1108" s="45">
        <v>43692</v>
      </c>
      <c r="K1108" s="46" t="s">
        <v>20</v>
      </c>
      <c r="L1108" s="48">
        <v>12.9</v>
      </c>
    </row>
    <row r="1109" spans="1:12" ht="35" customHeight="1">
      <c r="A1109" s="23">
        <f>ROW()-3</f>
        <v>1106</v>
      </c>
      <c r="B1109" s="42" t="s">
        <v>4586</v>
      </c>
      <c r="C1109" s="42" t="s">
        <v>4064</v>
      </c>
      <c r="D1109" s="43" t="s">
        <v>4948</v>
      </c>
      <c r="E1109" s="43" t="s">
        <v>4949</v>
      </c>
      <c r="F1109" s="43" t="s">
        <v>2182</v>
      </c>
      <c r="G1109" s="42" t="s">
        <v>34</v>
      </c>
      <c r="H1109" s="42">
        <v>22</v>
      </c>
      <c r="I1109" s="44">
        <v>0.78666666666666696</v>
      </c>
      <c r="J1109" s="45">
        <v>43692</v>
      </c>
      <c r="K1109" s="46" t="s">
        <v>20</v>
      </c>
      <c r="L1109" s="48">
        <v>12.9</v>
      </c>
    </row>
    <row r="1110" spans="1:12" ht="35" customHeight="1">
      <c r="A1110" s="23">
        <f>ROW()-3</f>
        <v>1107</v>
      </c>
      <c r="B1110" s="42" t="s">
        <v>4586</v>
      </c>
      <c r="C1110" s="42" t="s">
        <v>4064</v>
      </c>
      <c r="D1110" s="43" t="s">
        <v>4950</v>
      </c>
      <c r="E1110" s="43" t="s">
        <v>4931</v>
      </c>
      <c r="F1110" s="43" t="s">
        <v>2182</v>
      </c>
      <c r="G1110" s="42" t="s">
        <v>34</v>
      </c>
      <c r="H1110" s="42">
        <v>44</v>
      </c>
      <c r="I1110" s="44">
        <v>15.8061111111111</v>
      </c>
      <c r="J1110" s="45">
        <v>43692</v>
      </c>
      <c r="K1110" s="46" t="s">
        <v>20</v>
      </c>
      <c r="L1110" s="48">
        <v>6.99</v>
      </c>
    </row>
    <row r="1111" spans="1:12" ht="35" customHeight="1">
      <c r="A1111" s="23">
        <f>ROW()-3</f>
        <v>1108</v>
      </c>
      <c r="B1111" s="42" t="s">
        <v>4586</v>
      </c>
      <c r="C1111" s="130" t="s">
        <v>4064</v>
      </c>
      <c r="D1111" s="43" t="s">
        <v>4951</v>
      </c>
      <c r="E1111" s="43" t="s">
        <v>4150</v>
      </c>
      <c r="F1111" s="43" t="s">
        <v>4952</v>
      </c>
      <c r="G1111" s="42" t="s">
        <v>34</v>
      </c>
      <c r="H1111" s="42">
        <v>17</v>
      </c>
      <c r="I1111" s="44">
        <v>5.54277777777778</v>
      </c>
      <c r="J1111" s="45">
        <v>43692</v>
      </c>
      <c r="K1111" s="46" t="s">
        <v>20</v>
      </c>
      <c r="L1111" s="48">
        <v>21.6</v>
      </c>
    </row>
    <row r="1112" spans="1:12" ht="35" customHeight="1">
      <c r="A1112" s="23">
        <f>ROW()-3</f>
        <v>1109</v>
      </c>
      <c r="B1112" s="42" t="s">
        <v>4586</v>
      </c>
      <c r="C1112" s="42" t="s">
        <v>4064</v>
      </c>
      <c r="D1112" s="43" t="s">
        <v>4953</v>
      </c>
      <c r="E1112" s="43" t="s">
        <v>4954</v>
      </c>
      <c r="F1112" s="43" t="s">
        <v>4955</v>
      </c>
      <c r="G1112" s="42" t="s">
        <v>34</v>
      </c>
      <c r="H1112" s="42">
        <v>108</v>
      </c>
      <c r="I1112" s="44">
        <v>27.0338888888889</v>
      </c>
      <c r="J1112" s="45">
        <v>43692</v>
      </c>
      <c r="K1112" s="46" t="s">
        <v>20</v>
      </c>
      <c r="L1112" s="48">
        <v>7.4</v>
      </c>
    </row>
    <row r="1113" spans="1:12" ht="35" customHeight="1">
      <c r="A1113" s="23">
        <f>ROW()-3</f>
        <v>1110</v>
      </c>
      <c r="B1113" s="42" t="s">
        <v>4586</v>
      </c>
      <c r="C1113" s="42" t="s">
        <v>4064</v>
      </c>
      <c r="D1113" s="43" t="s">
        <v>4956</v>
      </c>
      <c r="E1113" s="43" t="s">
        <v>4957</v>
      </c>
      <c r="F1113" s="43" t="s">
        <v>4958</v>
      </c>
      <c r="G1113" s="42" t="s">
        <v>34</v>
      </c>
      <c r="H1113" s="42">
        <v>37</v>
      </c>
      <c r="I1113" s="44">
        <v>9.4533333333333296</v>
      </c>
      <c r="J1113" s="45">
        <v>43692</v>
      </c>
      <c r="K1113" s="46" t="s">
        <v>20</v>
      </c>
      <c r="L1113" s="48">
        <v>5.7</v>
      </c>
    </row>
    <row r="1114" spans="1:12" ht="35" customHeight="1">
      <c r="A1114" s="23">
        <f>ROW()-3</f>
        <v>1111</v>
      </c>
      <c r="B1114" s="42" t="s">
        <v>4586</v>
      </c>
      <c r="C1114" s="130" t="s">
        <v>4064</v>
      </c>
      <c r="D1114" s="43" t="s">
        <v>4149</v>
      </c>
      <c r="E1114" s="43" t="s">
        <v>4150</v>
      </c>
      <c r="F1114" s="43" t="s">
        <v>4958</v>
      </c>
      <c r="G1114" s="42" t="s">
        <v>34</v>
      </c>
      <c r="H1114" s="42">
        <v>28</v>
      </c>
      <c r="I1114" s="44">
        <v>5.7722222222222204</v>
      </c>
      <c r="J1114" s="45">
        <v>43692</v>
      </c>
      <c r="K1114" s="46" t="s">
        <v>20</v>
      </c>
      <c r="L1114" s="48">
        <v>4.99</v>
      </c>
    </row>
    <row r="1115" spans="1:12" ht="35" customHeight="1">
      <c r="A1115" s="23">
        <f>ROW()-3</f>
        <v>1112</v>
      </c>
      <c r="B1115" s="42" t="s">
        <v>4586</v>
      </c>
      <c r="C1115" s="42" t="s">
        <v>4064</v>
      </c>
      <c r="D1115" s="43" t="s">
        <v>4961</v>
      </c>
      <c r="E1115" s="43" t="s">
        <v>4962</v>
      </c>
      <c r="F1115" s="43" t="s">
        <v>4963</v>
      </c>
      <c r="G1115" s="42" t="s">
        <v>34</v>
      </c>
      <c r="H1115" s="42">
        <v>21</v>
      </c>
      <c r="I1115" s="44">
        <v>3.8430555555555599</v>
      </c>
      <c r="J1115" s="45">
        <v>43692</v>
      </c>
      <c r="K1115" s="46" t="s">
        <v>20</v>
      </c>
      <c r="L1115" s="48">
        <v>11.9</v>
      </c>
    </row>
    <row r="1116" spans="1:12" ht="35" customHeight="1">
      <c r="A1116" s="23">
        <f>ROW()-3</f>
        <v>1113</v>
      </c>
      <c r="B1116" s="42" t="s">
        <v>4586</v>
      </c>
      <c r="C1116" s="130" t="s">
        <v>4064</v>
      </c>
      <c r="D1116" s="43" t="s">
        <v>4964</v>
      </c>
      <c r="E1116" s="43" t="s">
        <v>4965</v>
      </c>
      <c r="F1116" s="43" t="s">
        <v>4963</v>
      </c>
      <c r="G1116" s="42" t="s">
        <v>34</v>
      </c>
      <c r="H1116" s="42">
        <v>35</v>
      </c>
      <c r="I1116" s="44">
        <v>2.835</v>
      </c>
      <c r="J1116" s="45">
        <v>43692</v>
      </c>
      <c r="K1116" s="46" t="s">
        <v>20</v>
      </c>
      <c r="L1116" s="48">
        <v>7.99</v>
      </c>
    </row>
    <row r="1117" spans="1:12" ht="35" customHeight="1">
      <c r="A1117" s="23">
        <f>ROW()-3</f>
        <v>1114</v>
      </c>
      <c r="B1117" s="42" t="s">
        <v>4586</v>
      </c>
      <c r="C1117" s="42" t="s">
        <v>4064</v>
      </c>
      <c r="D1117" s="43" t="s">
        <v>4966</v>
      </c>
      <c r="E1117" s="43" t="s">
        <v>4967</v>
      </c>
      <c r="F1117" s="43" t="s">
        <v>4968</v>
      </c>
      <c r="G1117" s="42" t="s">
        <v>34</v>
      </c>
      <c r="H1117" s="42">
        <v>24</v>
      </c>
      <c r="I1117" s="44">
        <v>7.16638888888889</v>
      </c>
      <c r="J1117" s="45">
        <v>43692</v>
      </c>
      <c r="K1117" s="46" t="s">
        <v>20</v>
      </c>
      <c r="L1117" s="48">
        <v>15.98</v>
      </c>
    </row>
    <row r="1118" spans="1:12" ht="35" customHeight="1">
      <c r="A1118" s="23">
        <f>ROW()-3</f>
        <v>1115</v>
      </c>
      <c r="B1118" s="42" t="s">
        <v>4586</v>
      </c>
      <c r="C1118" s="42" t="s">
        <v>4064</v>
      </c>
      <c r="D1118" s="43" t="s">
        <v>4969</v>
      </c>
      <c r="E1118" s="43" t="s">
        <v>4970</v>
      </c>
      <c r="F1118" s="43" t="s">
        <v>4777</v>
      </c>
      <c r="G1118" s="42" t="s">
        <v>34</v>
      </c>
      <c r="H1118" s="42">
        <v>62</v>
      </c>
      <c r="I1118" s="44">
        <v>21.098611111111101</v>
      </c>
      <c r="J1118" s="45">
        <v>43692</v>
      </c>
      <c r="K1118" s="46" t="s">
        <v>20</v>
      </c>
      <c r="L1118" s="48">
        <v>9.98</v>
      </c>
    </row>
    <row r="1119" spans="1:12" ht="35" customHeight="1">
      <c r="A1119" s="23">
        <f>ROW()-3</f>
        <v>1116</v>
      </c>
      <c r="B1119" s="42" t="s">
        <v>4586</v>
      </c>
      <c r="C1119" s="130" t="s">
        <v>4064</v>
      </c>
      <c r="D1119" s="43" t="s">
        <v>4971</v>
      </c>
      <c r="E1119" s="43" t="s">
        <v>4972</v>
      </c>
      <c r="F1119" s="43" t="s">
        <v>4777</v>
      </c>
      <c r="G1119" s="42" t="s">
        <v>34</v>
      </c>
      <c r="H1119" s="42">
        <v>30</v>
      </c>
      <c r="I1119" s="44">
        <v>10.185555555555601</v>
      </c>
      <c r="J1119" s="45">
        <v>43692</v>
      </c>
      <c r="K1119" s="46" t="s">
        <v>20</v>
      </c>
      <c r="L1119" s="48">
        <v>9.98</v>
      </c>
    </row>
    <row r="1120" spans="1:12" ht="35" customHeight="1">
      <c r="A1120" s="23">
        <f>ROW()-3</f>
        <v>1117</v>
      </c>
      <c r="B1120" s="42" t="s">
        <v>4586</v>
      </c>
      <c r="C1120" s="42" t="s">
        <v>4064</v>
      </c>
      <c r="D1120" s="43" t="s">
        <v>4973</v>
      </c>
      <c r="E1120" s="43" t="s">
        <v>4972</v>
      </c>
      <c r="F1120" s="43" t="s">
        <v>4777</v>
      </c>
      <c r="G1120" s="42" t="s">
        <v>34</v>
      </c>
      <c r="H1120" s="42">
        <v>25</v>
      </c>
      <c r="I1120" s="44">
        <v>8.6875</v>
      </c>
      <c r="J1120" s="45">
        <v>43692</v>
      </c>
      <c r="K1120" s="46" t="s">
        <v>20</v>
      </c>
      <c r="L1120" s="48">
        <v>19</v>
      </c>
    </row>
    <row r="1121" spans="1:12" ht="35" customHeight="1">
      <c r="A1121" s="23">
        <f>ROW()-3</f>
        <v>1118</v>
      </c>
      <c r="B1121" s="42" t="s">
        <v>4586</v>
      </c>
      <c r="C1121" s="42" t="s">
        <v>4064</v>
      </c>
      <c r="D1121" s="43" t="s">
        <v>4974</v>
      </c>
      <c r="E1121" s="43" t="s">
        <v>4975</v>
      </c>
      <c r="F1121" s="43" t="s">
        <v>4777</v>
      </c>
      <c r="G1121" s="42" t="s">
        <v>34</v>
      </c>
      <c r="H1121" s="42">
        <v>17</v>
      </c>
      <c r="I1121" s="44">
        <v>6.81111111111111</v>
      </c>
      <c r="J1121" s="45">
        <v>43692</v>
      </c>
      <c r="K1121" s="46" t="s">
        <v>20</v>
      </c>
      <c r="L1121" s="48">
        <v>4.99</v>
      </c>
    </row>
    <row r="1122" spans="1:12" ht="35" customHeight="1">
      <c r="A1122" s="23">
        <f>ROW()-3</f>
        <v>1119</v>
      </c>
      <c r="B1122" s="42" t="s">
        <v>4586</v>
      </c>
      <c r="C1122" s="42" t="s">
        <v>4064</v>
      </c>
      <c r="D1122" s="43" t="s">
        <v>4976</v>
      </c>
      <c r="E1122" s="43" t="s">
        <v>4977</v>
      </c>
      <c r="F1122" s="43" t="s">
        <v>4978</v>
      </c>
      <c r="G1122" s="42" t="s">
        <v>34</v>
      </c>
      <c r="H1122" s="42">
        <v>13</v>
      </c>
      <c r="I1122" s="44">
        <v>3.9052777777777798</v>
      </c>
      <c r="J1122" s="45">
        <v>43692</v>
      </c>
      <c r="K1122" s="46" t="s">
        <v>20</v>
      </c>
      <c r="L1122" s="48">
        <v>23.6</v>
      </c>
    </row>
    <row r="1123" spans="1:12" ht="35" customHeight="1">
      <c r="A1123" s="23">
        <f>ROW()-3</f>
        <v>1120</v>
      </c>
      <c r="B1123" s="42" t="s">
        <v>4586</v>
      </c>
      <c r="C1123" s="42" t="s">
        <v>4064</v>
      </c>
      <c r="D1123" s="43" t="s">
        <v>4979</v>
      </c>
      <c r="E1123" s="43" t="s">
        <v>4980</v>
      </c>
      <c r="F1123" s="43" t="s">
        <v>4978</v>
      </c>
      <c r="G1123" s="42" t="s">
        <v>34</v>
      </c>
      <c r="H1123" s="42">
        <v>118</v>
      </c>
      <c r="I1123" s="44">
        <v>40.222499999999997</v>
      </c>
      <c r="J1123" s="45">
        <v>43692</v>
      </c>
      <c r="K1123" s="46" t="s">
        <v>20</v>
      </c>
      <c r="L1123" s="48">
        <v>5.99</v>
      </c>
    </row>
    <row r="1124" spans="1:12" ht="35" customHeight="1">
      <c r="A1124" s="23">
        <f>ROW()-3</f>
        <v>1121</v>
      </c>
      <c r="B1124" s="42" t="s">
        <v>4586</v>
      </c>
      <c r="C1124" s="130" t="s">
        <v>4064</v>
      </c>
      <c r="D1124" s="43" t="s">
        <v>4117</v>
      </c>
      <c r="E1124" s="43" t="s">
        <v>4118</v>
      </c>
      <c r="F1124" s="43" t="s">
        <v>4981</v>
      </c>
      <c r="G1124" s="42" t="s">
        <v>34</v>
      </c>
      <c r="H1124" s="42">
        <v>13</v>
      </c>
      <c r="I1124" s="44">
        <v>0.775555555555556</v>
      </c>
      <c r="J1124" s="45">
        <v>43692</v>
      </c>
      <c r="K1124" s="46" t="s">
        <v>20</v>
      </c>
      <c r="L1124" s="48">
        <v>19.989999999999998</v>
      </c>
    </row>
    <row r="1125" spans="1:12" ht="35" customHeight="1">
      <c r="A1125" s="23">
        <f>ROW()-3</f>
        <v>1122</v>
      </c>
      <c r="B1125" s="42" t="s">
        <v>4586</v>
      </c>
      <c r="C1125" s="42" t="s">
        <v>4064</v>
      </c>
      <c r="D1125" s="43" t="s">
        <v>4982</v>
      </c>
      <c r="E1125" s="43" t="s">
        <v>4983</v>
      </c>
      <c r="F1125" s="43" t="s">
        <v>4984</v>
      </c>
      <c r="G1125" s="42" t="s">
        <v>34</v>
      </c>
      <c r="H1125" s="42">
        <v>86</v>
      </c>
      <c r="I1125" s="44">
        <v>21.168333333333301</v>
      </c>
      <c r="J1125" s="45">
        <v>43692</v>
      </c>
      <c r="K1125" s="46" t="s">
        <v>20</v>
      </c>
      <c r="L1125" s="48">
        <v>43.99</v>
      </c>
    </row>
    <row r="1126" spans="1:12" ht="35" customHeight="1">
      <c r="A1126" s="23">
        <f>ROW()-3</f>
        <v>1123</v>
      </c>
      <c r="B1126" s="42" t="s">
        <v>4586</v>
      </c>
      <c r="C1126" s="42" t="s">
        <v>4064</v>
      </c>
      <c r="D1126" s="43" t="s">
        <v>4985</v>
      </c>
      <c r="E1126" s="43" t="s">
        <v>4986</v>
      </c>
      <c r="F1126" s="43" t="s">
        <v>4987</v>
      </c>
      <c r="G1126" s="42" t="s">
        <v>34</v>
      </c>
      <c r="H1126" s="42">
        <v>26</v>
      </c>
      <c r="I1126" s="44">
        <v>9.1138888888888907</v>
      </c>
      <c r="J1126" s="45">
        <v>43692</v>
      </c>
      <c r="K1126" s="46" t="s">
        <v>20</v>
      </c>
      <c r="L1126" s="48">
        <v>29.99</v>
      </c>
    </row>
    <row r="1127" spans="1:12" ht="35" customHeight="1">
      <c r="A1127" s="23">
        <f>ROW()-3</f>
        <v>1124</v>
      </c>
      <c r="B1127" s="42" t="s">
        <v>4586</v>
      </c>
      <c r="C1127" s="130" t="s">
        <v>4064</v>
      </c>
      <c r="D1127" s="43" t="s">
        <v>4988</v>
      </c>
      <c r="E1127" s="43" t="s">
        <v>4989</v>
      </c>
      <c r="F1127" s="43" t="s">
        <v>4617</v>
      </c>
      <c r="G1127" s="42" t="s">
        <v>34</v>
      </c>
      <c r="H1127" s="42">
        <v>28</v>
      </c>
      <c r="I1127" s="44">
        <v>11.72</v>
      </c>
      <c r="J1127" s="45">
        <v>43692</v>
      </c>
      <c r="K1127" s="46" t="s">
        <v>20</v>
      </c>
      <c r="L1127" s="48">
        <v>16.899999999999999</v>
      </c>
    </row>
    <row r="1128" spans="1:12" ht="35" customHeight="1">
      <c r="A1128" s="23">
        <f>ROW()-3</f>
        <v>1125</v>
      </c>
      <c r="B1128" s="42" t="s">
        <v>4586</v>
      </c>
      <c r="C1128" s="42" t="s">
        <v>4064</v>
      </c>
      <c r="D1128" s="43" t="s">
        <v>4990</v>
      </c>
      <c r="E1128" s="43" t="s">
        <v>4991</v>
      </c>
      <c r="F1128" s="43" t="s">
        <v>4617</v>
      </c>
      <c r="G1128" s="42" t="s">
        <v>34</v>
      </c>
      <c r="H1128" s="42">
        <v>58</v>
      </c>
      <c r="I1128" s="44">
        <v>18.106666666666701</v>
      </c>
      <c r="J1128" s="45">
        <v>43692</v>
      </c>
      <c r="K1128" s="46" t="s">
        <v>20</v>
      </c>
      <c r="L1128" s="48">
        <v>19.899999999999999</v>
      </c>
    </row>
    <row r="1129" spans="1:12" ht="35" customHeight="1">
      <c r="A1129" s="23">
        <f>ROW()-3</f>
        <v>1126</v>
      </c>
      <c r="B1129" s="42" t="s">
        <v>4586</v>
      </c>
      <c r="C1129" s="42" t="s">
        <v>4064</v>
      </c>
      <c r="D1129" s="43" t="s">
        <v>4992</v>
      </c>
      <c r="E1129" s="43" t="s">
        <v>4993</v>
      </c>
      <c r="F1129" s="43" t="s">
        <v>4653</v>
      </c>
      <c r="G1129" s="42" t="s">
        <v>34</v>
      </c>
      <c r="H1129" s="42">
        <v>64</v>
      </c>
      <c r="I1129" s="44">
        <v>21.3669444444444</v>
      </c>
      <c r="J1129" s="45">
        <v>43692</v>
      </c>
      <c r="K1129" s="46" t="s">
        <v>20</v>
      </c>
      <c r="L1129" s="48">
        <v>6.98</v>
      </c>
    </row>
    <row r="1130" spans="1:12" ht="35" customHeight="1">
      <c r="A1130" s="23">
        <f>ROW()-3</f>
        <v>1127</v>
      </c>
      <c r="B1130" s="42" t="s">
        <v>4586</v>
      </c>
      <c r="C1130" s="130" t="s">
        <v>4064</v>
      </c>
      <c r="D1130" s="43" t="s">
        <v>4994</v>
      </c>
      <c r="E1130" s="43" t="s">
        <v>4995</v>
      </c>
      <c r="F1130" s="43" t="s">
        <v>4653</v>
      </c>
      <c r="G1130" s="42" t="s">
        <v>34</v>
      </c>
      <c r="H1130" s="42">
        <v>24</v>
      </c>
      <c r="I1130" s="44">
        <v>7.8436111111111098</v>
      </c>
      <c r="J1130" s="45">
        <v>43692</v>
      </c>
      <c r="K1130" s="46" t="s">
        <v>20</v>
      </c>
      <c r="L1130" s="48">
        <v>18.989999999999998</v>
      </c>
    </row>
    <row r="1131" spans="1:12" ht="35" customHeight="1">
      <c r="A1131" s="23">
        <f>ROW()-3</f>
        <v>1128</v>
      </c>
      <c r="B1131" s="42" t="s">
        <v>4586</v>
      </c>
      <c r="C1131" s="42" t="s">
        <v>4064</v>
      </c>
      <c r="D1131" s="43" t="s">
        <v>4996</v>
      </c>
      <c r="E1131" s="43" t="s">
        <v>4997</v>
      </c>
      <c r="F1131" s="43" t="s">
        <v>4653</v>
      </c>
      <c r="G1131" s="42" t="s">
        <v>34</v>
      </c>
      <c r="H1131" s="42">
        <v>121</v>
      </c>
      <c r="I1131" s="44">
        <v>78.327500000000001</v>
      </c>
      <c r="J1131" s="45">
        <v>43692</v>
      </c>
      <c r="K1131" s="46" t="s">
        <v>20</v>
      </c>
      <c r="L1131" s="48">
        <v>8</v>
      </c>
    </row>
    <row r="1132" spans="1:12" ht="35" customHeight="1">
      <c r="A1132" s="23">
        <f>ROW()-3</f>
        <v>1129</v>
      </c>
      <c r="B1132" s="42" t="s">
        <v>4586</v>
      </c>
      <c r="C1132" s="42" t="s">
        <v>4064</v>
      </c>
      <c r="D1132" s="43" t="s">
        <v>4998</v>
      </c>
      <c r="E1132" s="43" t="s">
        <v>4999</v>
      </c>
      <c r="F1132" s="43" t="s">
        <v>5000</v>
      </c>
      <c r="G1132" s="42" t="s">
        <v>34</v>
      </c>
      <c r="H1132" s="42">
        <v>201</v>
      </c>
      <c r="I1132" s="44">
        <v>76.117222222222196</v>
      </c>
      <c r="J1132" s="45">
        <v>43692</v>
      </c>
      <c r="K1132" s="46" t="s">
        <v>20</v>
      </c>
      <c r="L1132" s="48">
        <v>10</v>
      </c>
    </row>
    <row r="1133" spans="1:12" ht="35" customHeight="1">
      <c r="A1133" s="23">
        <f>ROW()-3</f>
        <v>1130</v>
      </c>
      <c r="B1133" s="42" t="s">
        <v>4586</v>
      </c>
      <c r="C1133" s="130" t="s">
        <v>4064</v>
      </c>
      <c r="D1133" s="43" t="s">
        <v>5001</v>
      </c>
      <c r="E1133" s="43" t="s">
        <v>4093</v>
      </c>
      <c r="F1133" s="43" t="s">
        <v>5002</v>
      </c>
      <c r="G1133" s="42" t="s">
        <v>34</v>
      </c>
      <c r="H1133" s="42">
        <v>29</v>
      </c>
      <c r="I1133" s="44">
        <v>10.456111111111101</v>
      </c>
      <c r="J1133" s="45">
        <v>43692</v>
      </c>
      <c r="K1133" s="46" t="s">
        <v>20</v>
      </c>
      <c r="L1133" s="48">
        <v>12</v>
      </c>
    </row>
    <row r="1134" spans="1:12" ht="35" customHeight="1">
      <c r="A1134" s="23">
        <f>ROW()-3</f>
        <v>1131</v>
      </c>
      <c r="B1134" s="42" t="s">
        <v>4586</v>
      </c>
      <c r="C1134" s="130" t="s">
        <v>4064</v>
      </c>
      <c r="D1134" s="43" t="s">
        <v>5003</v>
      </c>
      <c r="E1134" s="43" t="s">
        <v>5004</v>
      </c>
      <c r="F1134" s="43" t="s">
        <v>5005</v>
      </c>
      <c r="G1134" s="42" t="s">
        <v>34</v>
      </c>
      <c r="H1134" s="42">
        <v>101</v>
      </c>
      <c r="I1134" s="44">
        <v>64.487222222222201</v>
      </c>
      <c r="J1134" s="45">
        <v>43692</v>
      </c>
      <c r="K1134" s="46" t="s">
        <v>20</v>
      </c>
      <c r="L1134" s="48">
        <v>43.2</v>
      </c>
    </row>
    <row r="1135" spans="1:12" ht="35" customHeight="1">
      <c r="A1135" s="23">
        <f>ROW()-3</f>
        <v>1132</v>
      </c>
      <c r="B1135" s="42" t="s">
        <v>4586</v>
      </c>
      <c r="C1135" s="130" t="s">
        <v>4064</v>
      </c>
      <c r="D1135" s="43" t="s">
        <v>5006</v>
      </c>
      <c r="E1135" s="43" t="s">
        <v>5007</v>
      </c>
      <c r="F1135" s="43" t="s">
        <v>5000</v>
      </c>
      <c r="G1135" s="42" t="s">
        <v>34</v>
      </c>
      <c r="H1135" s="42">
        <v>19</v>
      </c>
      <c r="I1135" s="44">
        <v>6.4561111111111096</v>
      </c>
      <c r="J1135" s="45">
        <v>43692</v>
      </c>
      <c r="K1135" s="46" t="s">
        <v>20</v>
      </c>
      <c r="L1135" s="48">
        <v>22.99</v>
      </c>
    </row>
    <row r="1136" spans="1:12" ht="35" customHeight="1">
      <c r="A1136" s="23">
        <f>ROW()-3</f>
        <v>1133</v>
      </c>
      <c r="B1136" s="42" t="s">
        <v>4586</v>
      </c>
      <c r="C1136" s="42" t="s">
        <v>4064</v>
      </c>
      <c r="D1136" s="43" t="s">
        <v>5008</v>
      </c>
      <c r="E1136" s="43" t="s">
        <v>5009</v>
      </c>
      <c r="F1136" s="43" t="s">
        <v>5010</v>
      </c>
      <c r="G1136" s="42" t="s">
        <v>34</v>
      </c>
      <c r="H1136" s="42">
        <v>17</v>
      </c>
      <c r="I1136" s="44">
        <v>6.4175000000000004</v>
      </c>
      <c r="J1136" s="45">
        <v>43692</v>
      </c>
      <c r="K1136" s="46" t="s">
        <v>20</v>
      </c>
      <c r="L1136" s="48">
        <v>19.899999999999999</v>
      </c>
    </row>
    <row r="1137" spans="1:291" ht="35" customHeight="1">
      <c r="A1137" s="23">
        <f>ROW()-3</f>
        <v>1134</v>
      </c>
      <c r="B1137" s="42" t="s">
        <v>4586</v>
      </c>
      <c r="C1137" s="130" t="s">
        <v>4064</v>
      </c>
      <c r="D1137" s="43" t="s">
        <v>5011</v>
      </c>
      <c r="E1137" s="43" t="s">
        <v>4148</v>
      </c>
      <c r="F1137" s="43" t="s">
        <v>5012</v>
      </c>
      <c r="G1137" s="42" t="s">
        <v>34</v>
      </c>
      <c r="H1137" s="42">
        <v>63</v>
      </c>
      <c r="I1137" s="44">
        <v>22.9661111111111</v>
      </c>
      <c r="J1137" s="45">
        <v>43692</v>
      </c>
      <c r="K1137" s="46" t="s">
        <v>20</v>
      </c>
      <c r="L1137" s="48">
        <v>18</v>
      </c>
    </row>
    <row r="1138" spans="1:291" ht="35" customHeight="1">
      <c r="A1138" s="23">
        <f>ROW()-3</f>
        <v>1135</v>
      </c>
      <c r="B1138" s="42" t="s">
        <v>4586</v>
      </c>
      <c r="C1138" s="42" t="s">
        <v>4064</v>
      </c>
      <c r="D1138" s="43" t="s">
        <v>5013</v>
      </c>
      <c r="E1138" s="43" t="s">
        <v>5014</v>
      </c>
      <c r="F1138" s="43" t="s">
        <v>5015</v>
      </c>
      <c r="G1138" s="42" t="s">
        <v>34</v>
      </c>
      <c r="H1138" s="42">
        <v>42</v>
      </c>
      <c r="I1138" s="44">
        <v>13.6977777777778</v>
      </c>
      <c r="J1138" s="45">
        <v>43692</v>
      </c>
      <c r="K1138" s="46" t="s">
        <v>20</v>
      </c>
      <c r="L1138" s="48">
        <v>9</v>
      </c>
    </row>
    <row r="1139" spans="1:291" ht="35" customHeight="1">
      <c r="A1139" s="23">
        <f>ROW()-3</f>
        <v>1136</v>
      </c>
      <c r="B1139" s="42" t="s">
        <v>4586</v>
      </c>
      <c r="C1139" s="42" t="s">
        <v>4064</v>
      </c>
      <c r="D1139" s="43" t="s">
        <v>4119</v>
      </c>
      <c r="E1139" s="43" t="s">
        <v>4120</v>
      </c>
      <c r="F1139" s="43" t="s">
        <v>5012</v>
      </c>
      <c r="G1139" s="42" t="s">
        <v>34</v>
      </c>
      <c r="H1139" s="42">
        <v>90</v>
      </c>
      <c r="I1139" s="44">
        <v>31.026111111111099</v>
      </c>
      <c r="J1139" s="45">
        <v>43692</v>
      </c>
      <c r="K1139" s="46" t="s">
        <v>20</v>
      </c>
      <c r="L1139" s="48">
        <v>28</v>
      </c>
    </row>
    <row r="1140" spans="1:291" ht="35" customHeight="1">
      <c r="A1140" s="23">
        <f>ROW()-3</f>
        <v>1137</v>
      </c>
      <c r="B1140" s="42" t="s">
        <v>4586</v>
      </c>
      <c r="C1140" s="130" t="s">
        <v>4064</v>
      </c>
      <c r="D1140" s="43" t="s">
        <v>5016</v>
      </c>
      <c r="E1140" s="43" t="s">
        <v>5017</v>
      </c>
      <c r="F1140" s="43" t="s">
        <v>5012</v>
      </c>
      <c r="G1140" s="42" t="s">
        <v>34</v>
      </c>
      <c r="H1140" s="42">
        <v>181</v>
      </c>
      <c r="I1140" s="44">
        <v>59.3183333333333</v>
      </c>
      <c r="J1140" s="45">
        <v>43692</v>
      </c>
      <c r="K1140" s="46" t="s">
        <v>20</v>
      </c>
      <c r="L1140" s="48">
        <v>28</v>
      </c>
    </row>
    <row r="1141" spans="1:291" ht="35" customHeight="1">
      <c r="A1141" s="23">
        <f>ROW()-3</f>
        <v>1138</v>
      </c>
      <c r="B1141" s="42" t="s">
        <v>4586</v>
      </c>
      <c r="C1141" s="42" t="s">
        <v>4064</v>
      </c>
      <c r="D1141" s="43" t="s">
        <v>5018</v>
      </c>
      <c r="E1141" s="43" t="s">
        <v>5019</v>
      </c>
      <c r="F1141" s="43" t="s">
        <v>5012</v>
      </c>
      <c r="G1141" s="42" t="s">
        <v>34</v>
      </c>
      <c r="H1141" s="42">
        <v>32</v>
      </c>
      <c r="I1141" s="44">
        <v>10.3161111111111</v>
      </c>
      <c r="J1141" s="45">
        <v>43692</v>
      </c>
      <c r="K1141" s="46" t="s">
        <v>20</v>
      </c>
      <c r="L1141" s="48">
        <v>11.88</v>
      </c>
    </row>
    <row r="1142" spans="1:291" ht="35" customHeight="1">
      <c r="A1142" s="23">
        <f>ROW()-3</f>
        <v>1139</v>
      </c>
      <c r="B1142" s="42" t="s">
        <v>4586</v>
      </c>
      <c r="C1142" s="42" t="s">
        <v>4064</v>
      </c>
      <c r="D1142" s="43" t="s">
        <v>5020</v>
      </c>
      <c r="E1142" s="43" t="s">
        <v>5004</v>
      </c>
      <c r="F1142" s="43" t="s">
        <v>4809</v>
      </c>
      <c r="G1142" s="42" t="s">
        <v>34</v>
      </c>
      <c r="H1142" s="42">
        <v>25</v>
      </c>
      <c r="I1142" s="44">
        <v>8.0791666666666693</v>
      </c>
      <c r="J1142" s="45">
        <v>43692</v>
      </c>
      <c r="K1142" s="46" t="s">
        <v>20</v>
      </c>
      <c r="L1142" s="48">
        <v>66.599999999999994</v>
      </c>
    </row>
    <row r="1143" spans="1:291" ht="35" customHeight="1">
      <c r="A1143" s="23">
        <f>ROW()-3</f>
        <v>1140</v>
      </c>
      <c r="B1143" s="42" t="s">
        <v>4586</v>
      </c>
      <c r="C1143" s="42" t="s">
        <v>4064</v>
      </c>
      <c r="D1143" s="43" t="s">
        <v>4959</v>
      </c>
      <c r="E1143" s="43" t="s">
        <v>4960</v>
      </c>
      <c r="F1143" s="43" t="s">
        <v>4958</v>
      </c>
      <c r="G1143" s="42" t="s">
        <v>34</v>
      </c>
      <c r="H1143" s="42">
        <v>27</v>
      </c>
      <c r="I1143" s="44">
        <v>4.0166666666666702</v>
      </c>
      <c r="J1143" s="45">
        <v>43693</v>
      </c>
      <c r="K1143" s="46" t="s">
        <v>20</v>
      </c>
      <c r="L1143" s="48">
        <v>6.99</v>
      </c>
    </row>
    <row r="1144" spans="1:291" ht="35" customHeight="1">
      <c r="A1144" s="23">
        <f>ROW()-3</f>
        <v>1141</v>
      </c>
      <c r="B1144" s="42" t="s">
        <v>4586</v>
      </c>
      <c r="C1144" s="130" t="s">
        <v>4064</v>
      </c>
      <c r="D1144" s="43" t="s">
        <v>5034</v>
      </c>
      <c r="E1144" s="43" t="s">
        <v>5035</v>
      </c>
      <c r="F1144" s="43" t="s">
        <v>5036</v>
      </c>
      <c r="G1144" s="42" t="s">
        <v>34</v>
      </c>
      <c r="H1144" s="42">
        <v>213</v>
      </c>
      <c r="I1144" s="44">
        <v>57.611944444444397</v>
      </c>
      <c r="J1144" s="45">
        <v>43817</v>
      </c>
      <c r="K1144" s="46" t="s">
        <v>20</v>
      </c>
      <c r="L1144" s="48">
        <v>129</v>
      </c>
    </row>
    <row r="1145" spans="1:291" ht="35" customHeight="1">
      <c r="A1145" s="23">
        <f>ROW()-3</f>
        <v>1142</v>
      </c>
      <c r="B1145" s="42" t="s">
        <v>4586</v>
      </c>
      <c r="C1145" s="130" t="s">
        <v>4064</v>
      </c>
      <c r="D1145" s="43" t="s">
        <v>5037</v>
      </c>
      <c r="E1145" s="43" t="s">
        <v>5038</v>
      </c>
      <c r="F1145" s="43" t="s">
        <v>5039</v>
      </c>
      <c r="G1145" s="42" t="s">
        <v>34</v>
      </c>
      <c r="H1145" s="42">
        <v>103</v>
      </c>
      <c r="I1145" s="44">
        <v>57.498888888888899</v>
      </c>
      <c r="J1145" s="45">
        <v>43962</v>
      </c>
      <c r="K1145" s="46" t="s">
        <v>20</v>
      </c>
      <c r="L1145" s="48">
        <v>3.99</v>
      </c>
    </row>
    <row r="1146" spans="1:291" ht="35" customHeight="1">
      <c r="A1146" s="23">
        <f>ROW()-3</f>
        <v>1143</v>
      </c>
      <c r="B1146" s="42" t="s">
        <v>4586</v>
      </c>
      <c r="C1146" s="132" t="s">
        <v>4064</v>
      </c>
      <c r="D1146" s="43" t="s">
        <v>5042</v>
      </c>
      <c r="E1146" s="43" t="s">
        <v>5043</v>
      </c>
      <c r="F1146" s="43" t="s">
        <v>5044</v>
      </c>
      <c r="G1146" s="42" t="s">
        <v>3253</v>
      </c>
      <c r="H1146" s="42">
        <v>80</v>
      </c>
      <c r="I1146" s="44">
        <v>17.77</v>
      </c>
      <c r="J1146" s="45">
        <v>44410</v>
      </c>
      <c r="K1146" s="46" t="s">
        <v>4650</v>
      </c>
      <c r="L1146" s="48">
        <v>39</v>
      </c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1"/>
      <c r="AK1146" s="31"/>
      <c r="AL1146" s="31"/>
      <c r="AM1146" s="31"/>
      <c r="AN1146" s="31"/>
      <c r="AO1146" s="31"/>
      <c r="AP1146" s="31"/>
      <c r="AQ1146" s="31"/>
      <c r="AR1146" s="31"/>
      <c r="AS1146" s="31"/>
      <c r="AT1146" s="31"/>
      <c r="AU1146" s="31"/>
      <c r="AV1146" s="31"/>
      <c r="AW1146" s="31"/>
      <c r="AX1146" s="31"/>
      <c r="AY1146" s="31"/>
      <c r="AZ1146" s="31"/>
      <c r="BA1146" s="31"/>
      <c r="BB1146" s="31"/>
      <c r="BC1146" s="31"/>
      <c r="BD1146" s="31"/>
      <c r="BE1146" s="31"/>
      <c r="BF1146" s="31"/>
      <c r="BG1146" s="31"/>
      <c r="BH1146" s="31"/>
      <c r="BI1146" s="31"/>
      <c r="BJ1146" s="31"/>
      <c r="BK1146" s="31"/>
      <c r="BL1146" s="31"/>
      <c r="BM1146" s="31"/>
      <c r="BN1146" s="31"/>
      <c r="BO1146" s="31"/>
      <c r="BP1146" s="31"/>
      <c r="BQ1146" s="31"/>
      <c r="BR1146" s="31"/>
      <c r="BS1146" s="31"/>
      <c r="BT1146" s="31"/>
      <c r="BU1146" s="31"/>
      <c r="BV1146" s="31"/>
      <c r="BW1146" s="31"/>
      <c r="BX1146" s="31"/>
      <c r="BY1146" s="31"/>
      <c r="BZ1146" s="31"/>
      <c r="CA1146" s="31"/>
      <c r="CB1146" s="31"/>
      <c r="CC1146" s="31"/>
      <c r="CD1146" s="31"/>
      <c r="CE1146" s="31"/>
      <c r="CF1146" s="31"/>
      <c r="CG1146" s="31"/>
      <c r="CH1146" s="31"/>
      <c r="CI1146" s="31"/>
      <c r="CJ1146" s="31"/>
      <c r="CK1146" s="31"/>
      <c r="CL1146" s="31"/>
      <c r="CM1146" s="31"/>
      <c r="CN1146" s="31"/>
      <c r="CO1146" s="31"/>
      <c r="CP1146" s="31"/>
      <c r="CQ1146" s="31"/>
      <c r="CR1146" s="31"/>
      <c r="CS1146" s="31"/>
      <c r="CT1146" s="31"/>
      <c r="CU1146" s="31"/>
      <c r="CV1146" s="31"/>
      <c r="CW1146" s="31"/>
      <c r="CX1146" s="31"/>
      <c r="CY1146" s="31"/>
      <c r="CZ1146" s="31"/>
      <c r="DA1146" s="31"/>
      <c r="DB1146" s="31"/>
      <c r="DC1146" s="31"/>
      <c r="DD1146" s="31"/>
      <c r="DE1146" s="31"/>
      <c r="DF1146" s="31"/>
      <c r="DG1146" s="31"/>
      <c r="DH1146" s="31"/>
      <c r="DI1146" s="31"/>
      <c r="DJ1146" s="31"/>
      <c r="DK1146" s="31"/>
      <c r="DL1146" s="31"/>
      <c r="DM1146" s="31"/>
      <c r="DN1146" s="31"/>
      <c r="DO1146" s="31"/>
      <c r="DP1146" s="31"/>
      <c r="DQ1146" s="31"/>
      <c r="DR1146" s="31"/>
      <c r="DS1146" s="31"/>
      <c r="DT1146" s="31"/>
      <c r="DU1146" s="31"/>
      <c r="DV1146" s="31"/>
      <c r="DW1146" s="31"/>
      <c r="DX1146" s="31"/>
      <c r="DY1146" s="31"/>
      <c r="DZ1146" s="31"/>
      <c r="EA1146" s="31"/>
      <c r="EB1146" s="31"/>
      <c r="EC1146" s="31"/>
      <c r="ED1146" s="31"/>
      <c r="EE1146" s="31"/>
      <c r="EF1146" s="31"/>
      <c r="EG1146" s="31"/>
      <c r="EH1146" s="31"/>
      <c r="EI1146" s="31"/>
      <c r="EJ1146" s="31"/>
      <c r="EK1146" s="31"/>
      <c r="EL1146" s="31"/>
      <c r="EM1146" s="31"/>
      <c r="EN1146" s="31"/>
      <c r="EO1146" s="31"/>
      <c r="EP1146" s="31"/>
      <c r="EQ1146" s="31"/>
      <c r="ER1146" s="31"/>
      <c r="ES1146" s="31"/>
      <c r="ET1146" s="31"/>
      <c r="EU1146" s="31"/>
      <c r="EV1146" s="31"/>
      <c r="EW1146" s="31"/>
      <c r="EX1146" s="31"/>
      <c r="EY1146" s="31"/>
      <c r="EZ1146" s="31"/>
      <c r="FA1146" s="31"/>
      <c r="FB1146" s="31"/>
      <c r="FC1146" s="31"/>
      <c r="FD1146" s="31"/>
      <c r="FE1146" s="31"/>
      <c r="FF1146" s="31"/>
      <c r="FG1146" s="31"/>
      <c r="FH1146" s="31"/>
      <c r="FI1146" s="31"/>
      <c r="FJ1146" s="31"/>
      <c r="FK1146" s="31"/>
      <c r="FL1146" s="31"/>
      <c r="FM1146" s="31"/>
      <c r="FN1146" s="31"/>
      <c r="FO1146" s="31"/>
      <c r="FP1146" s="31"/>
      <c r="FQ1146" s="31"/>
      <c r="FR1146" s="31"/>
      <c r="FS1146" s="31"/>
      <c r="FT1146" s="31"/>
      <c r="FU1146" s="31"/>
      <c r="FV1146" s="31"/>
      <c r="FW1146" s="31"/>
      <c r="FX1146" s="31"/>
      <c r="FY1146" s="31"/>
      <c r="FZ1146" s="31"/>
      <c r="GA1146" s="31"/>
      <c r="GB1146" s="31"/>
      <c r="GC1146" s="31"/>
      <c r="GD1146" s="31"/>
      <c r="GE1146" s="31"/>
      <c r="GF1146" s="31"/>
      <c r="GG1146" s="31"/>
      <c r="GH1146" s="31"/>
      <c r="GI1146" s="31"/>
      <c r="GJ1146" s="31"/>
      <c r="GK1146" s="31"/>
      <c r="GL1146" s="31"/>
      <c r="GM1146" s="31"/>
      <c r="GN1146" s="31"/>
      <c r="GO1146" s="31"/>
      <c r="GP1146" s="31"/>
      <c r="GQ1146" s="31"/>
      <c r="GR1146" s="31"/>
      <c r="GS1146" s="31"/>
      <c r="GT1146" s="31"/>
      <c r="GU1146" s="31"/>
      <c r="GV1146" s="31"/>
      <c r="GW1146" s="31"/>
      <c r="GX1146" s="31"/>
      <c r="GY1146" s="31"/>
      <c r="GZ1146" s="31"/>
      <c r="HA1146" s="31"/>
      <c r="HB1146" s="31"/>
      <c r="HC1146" s="31"/>
      <c r="HD1146" s="31"/>
      <c r="HE1146" s="31"/>
      <c r="HF1146" s="31"/>
      <c r="HG1146" s="31"/>
      <c r="HH1146" s="31"/>
      <c r="HI1146" s="31"/>
      <c r="HJ1146" s="31"/>
      <c r="HK1146" s="31"/>
      <c r="HL1146" s="31"/>
      <c r="HM1146" s="31"/>
      <c r="HN1146" s="31"/>
      <c r="HO1146" s="31"/>
      <c r="HP1146" s="31"/>
      <c r="HQ1146" s="31"/>
      <c r="HR1146" s="31"/>
      <c r="HS1146" s="31"/>
      <c r="HT1146" s="31"/>
      <c r="HU1146" s="31"/>
      <c r="HV1146" s="31"/>
      <c r="HW1146" s="31"/>
      <c r="HX1146" s="31"/>
      <c r="HY1146" s="31"/>
      <c r="HZ1146" s="31"/>
      <c r="IA1146" s="31"/>
      <c r="IB1146" s="31"/>
      <c r="IC1146" s="31"/>
      <c r="ID1146" s="31"/>
      <c r="IE1146" s="31"/>
      <c r="IF1146" s="31"/>
      <c r="IG1146" s="31"/>
      <c r="IH1146" s="31"/>
      <c r="II1146" s="31"/>
      <c r="IJ1146" s="31"/>
      <c r="IK1146" s="31"/>
      <c r="IL1146" s="31"/>
      <c r="IM1146" s="31"/>
      <c r="IN1146" s="31"/>
      <c r="IO1146" s="31"/>
      <c r="IP1146" s="31"/>
      <c r="IQ1146" s="31"/>
      <c r="IR1146" s="31"/>
      <c r="IS1146" s="31"/>
      <c r="IT1146" s="31"/>
      <c r="IU1146" s="31"/>
      <c r="IV1146" s="31"/>
      <c r="IW1146" s="31"/>
      <c r="IX1146" s="31"/>
      <c r="IY1146" s="31"/>
      <c r="IZ1146" s="31"/>
      <c r="JA1146" s="31"/>
      <c r="JB1146" s="31"/>
      <c r="JC1146" s="31"/>
      <c r="JD1146" s="31"/>
      <c r="JE1146" s="31"/>
      <c r="JF1146" s="31"/>
      <c r="JG1146" s="31"/>
      <c r="JH1146" s="31"/>
      <c r="JI1146" s="31"/>
      <c r="JJ1146" s="31"/>
      <c r="JK1146" s="31"/>
      <c r="JL1146" s="31"/>
      <c r="JM1146" s="31"/>
      <c r="JN1146" s="31"/>
      <c r="JO1146" s="31"/>
      <c r="JP1146" s="31"/>
      <c r="JQ1146" s="31"/>
      <c r="JR1146" s="31"/>
      <c r="JS1146" s="31"/>
      <c r="JT1146" s="31"/>
      <c r="JU1146" s="31"/>
      <c r="JV1146" s="31"/>
      <c r="JW1146" s="31"/>
      <c r="JX1146" s="31"/>
      <c r="JY1146" s="31"/>
      <c r="JZ1146" s="31"/>
      <c r="KA1146" s="31"/>
      <c r="KB1146" s="31"/>
      <c r="KC1146" s="31"/>
      <c r="KD1146" s="31"/>
      <c r="KE1146" s="31"/>
    </row>
    <row r="1147" spans="1:291" ht="35" customHeight="1">
      <c r="A1147" s="23">
        <f>ROW()-3</f>
        <v>1144</v>
      </c>
      <c r="B1147" s="42" t="s">
        <v>5207</v>
      </c>
      <c r="C1147" s="42" t="s">
        <v>5192</v>
      </c>
      <c r="D1147" s="43" t="s">
        <v>5221</v>
      </c>
      <c r="E1147" s="43" t="s">
        <v>5222</v>
      </c>
      <c r="F1147" s="43"/>
      <c r="G1147" s="42" t="s">
        <v>3253</v>
      </c>
      <c r="H1147" s="42">
        <v>18</v>
      </c>
      <c r="I1147" s="44">
        <v>3.8366666666666664</v>
      </c>
      <c r="J1147" s="45">
        <v>44551</v>
      </c>
      <c r="K1147" s="46" t="s">
        <v>20</v>
      </c>
      <c r="L1147" s="48">
        <v>9.99</v>
      </c>
    </row>
    <row r="1148" spans="1:291" ht="35" customHeight="1">
      <c r="A1148" s="23">
        <f>ROW()-3</f>
        <v>1145</v>
      </c>
      <c r="B1148" s="42" t="s">
        <v>5207</v>
      </c>
      <c r="C1148" s="42" t="s">
        <v>5192</v>
      </c>
      <c r="D1148" s="43" t="s">
        <v>5218</v>
      </c>
      <c r="E1148" s="43" t="s">
        <v>5219</v>
      </c>
      <c r="F1148" s="43" t="s">
        <v>5220</v>
      </c>
      <c r="G1148" s="42" t="s">
        <v>3253</v>
      </c>
      <c r="H1148" s="42">
        <v>43</v>
      </c>
      <c r="I1148" s="44">
        <v>7.9186111111111108</v>
      </c>
      <c r="J1148" s="45">
        <v>44552</v>
      </c>
      <c r="K1148" s="46" t="s">
        <v>5285</v>
      </c>
      <c r="L1148" s="48">
        <v>15.99</v>
      </c>
    </row>
    <row r="1149" spans="1:291" ht="35" customHeight="1">
      <c r="A1149" s="23">
        <f>ROW()-3</f>
        <v>1146</v>
      </c>
      <c r="B1149" s="42" t="s">
        <v>5207</v>
      </c>
      <c r="C1149" s="42" t="s">
        <v>5192</v>
      </c>
      <c r="D1149" s="43" t="s">
        <v>5225</v>
      </c>
      <c r="E1149" s="43" t="s">
        <v>5226</v>
      </c>
      <c r="F1149" s="43"/>
      <c r="G1149" s="42" t="s">
        <v>3253</v>
      </c>
      <c r="H1149" s="42">
        <v>29</v>
      </c>
      <c r="I1149" s="44">
        <v>5.846111111111111</v>
      </c>
      <c r="J1149" s="45">
        <v>44552</v>
      </c>
      <c r="K1149" s="46" t="s">
        <v>20</v>
      </c>
      <c r="L1149" s="48"/>
    </row>
    <row r="1150" spans="1:291" ht="35" customHeight="1">
      <c r="A1150" s="23">
        <f>ROW()-3</f>
        <v>1147</v>
      </c>
      <c r="B1150" s="42" t="s">
        <v>5207</v>
      </c>
      <c r="C1150" s="42" t="s">
        <v>5192</v>
      </c>
      <c r="D1150" s="43" t="s">
        <v>5227</v>
      </c>
      <c r="E1150" s="43" t="s">
        <v>5228</v>
      </c>
      <c r="F1150" s="43" t="s">
        <v>5229</v>
      </c>
      <c r="G1150" s="42" t="s">
        <v>3253</v>
      </c>
      <c r="H1150" s="42">
        <v>112</v>
      </c>
      <c r="I1150" s="44">
        <v>14.022777777777778</v>
      </c>
      <c r="J1150" s="45">
        <v>44552</v>
      </c>
      <c r="K1150" s="46" t="s">
        <v>20</v>
      </c>
      <c r="L1150" s="48">
        <v>29</v>
      </c>
    </row>
    <row r="1151" spans="1:291" ht="35" customHeight="1">
      <c r="A1151" s="23">
        <f>ROW()-3</f>
        <v>1148</v>
      </c>
      <c r="B1151" s="42" t="s">
        <v>5207</v>
      </c>
      <c r="C1151" s="42" t="s">
        <v>5192</v>
      </c>
      <c r="D1151" s="43" t="s">
        <v>5223</v>
      </c>
      <c r="E1151" s="43" t="s">
        <v>5224</v>
      </c>
      <c r="F1151" s="43"/>
      <c r="G1151" s="42" t="s">
        <v>3253</v>
      </c>
      <c r="H1151" s="42">
        <v>68</v>
      </c>
      <c r="I1151" s="44">
        <v>19.200555555555557</v>
      </c>
      <c r="J1151" s="45">
        <v>44554</v>
      </c>
      <c r="K1151" s="46" t="s">
        <v>20</v>
      </c>
      <c r="L1151" s="48">
        <v>29.9</v>
      </c>
    </row>
    <row r="1152" spans="1:291" ht="35" customHeight="1">
      <c r="A1152" s="23">
        <f>ROW()-3</f>
        <v>1149</v>
      </c>
      <c r="B1152" s="42" t="s">
        <v>5207</v>
      </c>
      <c r="C1152" s="182" t="s">
        <v>5192</v>
      </c>
      <c r="D1152" s="43" t="s">
        <v>5173</v>
      </c>
      <c r="E1152" s="187" t="s">
        <v>5258</v>
      </c>
      <c r="F1152" s="187" t="s">
        <v>5259</v>
      </c>
      <c r="G1152" s="42" t="s">
        <v>3253</v>
      </c>
      <c r="H1152" s="43">
        <v>188</v>
      </c>
      <c r="I1152" s="49">
        <v>21.918055555555554</v>
      </c>
      <c r="J1152" s="45">
        <v>44578</v>
      </c>
      <c r="K1152" s="46" t="s">
        <v>5300</v>
      </c>
      <c r="L1152" s="202">
        <v>19.989999999999998</v>
      </c>
    </row>
    <row r="1153" spans="1:12" ht="35" customHeight="1">
      <c r="A1153" s="23">
        <f>ROW()-3</f>
        <v>1150</v>
      </c>
      <c r="B1153" s="42" t="s">
        <v>4586</v>
      </c>
      <c r="C1153" s="42" t="s">
        <v>4163</v>
      </c>
      <c r="D1153" s="43" t="s">
        <v>5054</v>
      </c>
      <c r="E1153" s="43" t="s">
        <v>2896</v>
      </c>
      <c r="F1153" s="43" t="s">
        <v>4610</v>
      </c>
      <c r="G1153" s="42" t="s">
        <v>34</v>
      </c>
      <c r="H1153" s="42">
        <v>43</v>
      </c>
      <c r="I1153" s="44">
        <v>8.4613888888888908</v>
      </c>
      <c r="J1153" s="45">
        <v>43468</v>
      </c>
      <c r="K1153" s="46" t="s">
        <v>20</v>
      </c>
      <c r="L1153" s="48">
        <v>99</v>
      </c>
    </row>
    <row r="1154" spans="1:12" ht="35" customHeight="1">
      <c r="A1154" s="23">
        <f>ROW()-3</f>
        <v>1151</v>
      </c>
      <c r="B1154" s="42" t="s">
        <v>4586</v>
      </c>
      <c r="C1154" s="42" t="s">
        <v>4163</v>
      </c>
      <c r="D1154" s="43" t="s">
        <v>4293</v>
      </c>
      <c r="E1154" s="43" t="s">
        <v>4294</v>
      </c>
      <c r="F1154" s="43" t="s">
        <v>4610</v>
      </c>
      <c r="G1154" s="42" t="s">
        <v>34</v>
      </c>
      <c r="H1154" s="42">
        <v>47</v>
      </c>
      <c r="I1154" s="44">
        <v>6.5216666666666701</v>
      </c>
      <c r="J1154" s="45">
        <v>43468</v>
      </c>
      <c r="K1154" s="46" t="s">
        <v>20</v>
      </c>
      <c r="L1154" s="48">
        <v>29.5</v>
      </c>
    </row>
    <row r="1155" spans="1:12" ht="35" customHeight="1">
      <c r="A1155" s="23">
        <f>ROW()-3</f>
        <v>1152</v>
      </c>
      <c r="B1155" s="42" t="s">
        <v>4586</v>
      </c>
      <c r="C1155" s="42" t="s">
        <v>4163</v>
      </c>
      <c r="D1155" s="43" t="s">
        <v>5048</v>
      </c>
      <c r="E1155" s="43" t="s">
        <v>5049</v>
      </c>
      <c r="F1155" s="43" t="s">
        <v>4626</v>
      </c>
      <c r="G1155" s="42" t="s">
        <v>34</v>
      </c>
      <c r="H1155" s="42">
        <v>108</v>
      </c>
      <c r="I1155" s="44">
        <v>32.088055555555599</v>
      </c>
      <c r="J1155" s="45">
        <v>43469</v>
      </c>
      <c r="K1155" s="46" t="s">
        <v>20</v>
      </c>
      <c r="L1155" s="48">
        <v>39.9</v>
      </c>
    </row>
    <row r="1156" spans="1:12" ht="35" customHeight="1">
      <c r="A1156" s="23">
        <f>ROW()-3</f>
        <v>1153</v>
      </c>
      <c r="B1156" s="42" t="s">
        <v>4586</v>
      </c>
      <c r="C1156" s="42" t="s">
        <v>4163</v>
      </c>
      <c r="D1156" s="43" t="s">
        <v>5057</v>
      </c>
      <c r="E1156" s="43" t="s">
        <v>5058</v>
      </c>
      <c r="F1156" s="43" t="s">
        <v>4617</v>
      </c>
      <c r="G1156" s="42" t="s">
        <v>34</v>
      </c>
      <c r="H1156" s="42">
        <v>72</v>
      </c>
      <c r="I1156" s="44">
        <v>23.213888888888899</v>
      </c>
      <c r="J1156" s="45">
        <v>43469</v>
      </c>
      <c r="K1156" s="46" t="s">
        <v>20</v>
      </c>
      <c r="L1156" s="48">
        <v>12.99</v>
      </c>
    </row>
    <row r="1157" spans="1:12" ht="35" customHeight="1">
      <c r="A1157" s="23">
        <f>ROW()-3</f>
        <v>1154</v>
      </c>
      <c r="B1157" s="42" t="s">
        <v>4586</v>
      </c>
      <c r="C1157" s="42" t="s">
        <v>4163</v>
      </c>
      <c r="D1157" s="43" t="s">
        <v>4310</v>
      </c>
      <c r="E1157" s="43" t="s">
        <v>512</v>
      </c>
      <c r="F1157" s="43" t="s">
        <v>4598</v>
      </c>
      <c r="G1157" s="42" t="s">
        <v>34</v>
      </c>
      <c r="H1157" s="42">
        <v>24</v>
      </c>
      <c r="I1157" s="44">
        <v>4.26</v>
      </c>
      <c r="J1157" s="45">
        <v>43483</v>
      </c>
      <c r="K1157" s="46" t="s">
        <v>20</v>
      </c>
      <c r="L1157" s="48">
        <v>39</v>
      </c>
    </row>
    <row r="1158" spans="1:12" ht="35" customHeight="1">
      <c r="A1158" s="23">
        <f>ROW()-3</f>
        <v>1155</v>
      </c>
      <c r="B1158" s="42" t="s">
        <v>4586</v>
      </c>
      <c r="C1158" s="42" t="s">
        <v>4163</v>
      </c>
      <c r="D1158" s="43" t="s">
        <v>5050</v>
      </c>
      <c r="E1158" s="43" t="s">
        <v>5051</v>
      </c>
      <c r="F1158" s="43" t="s">
        <v>4768</v>
      </c>
      <c r="G1158" s="42" t="s">
        <v>34</v>
      </c>
      <c r="H1158" s="42">
        <v>87</v>
      </c>
      <c r="I1158" s="44">
        <v>7.7244444444444396</v>
      </c>
      <c r="J1158" s="45">
        <v>43483</v>
      </c>
      <c r="K1158" s="46" t="s">
        <v>20</v>
      </c>
      <c r="L1158" s="48">
        <v>39.99</v>
      </c>
    </row>
    <row r="1159" spans="1:12" ht="35" customHeight="1">
      <c r="A1159" s="23">
        <f>ROW()-3</f>
        <v>1156</v>
      </c>
      <c r="B1159" s="42" t="s">
        <v>4586</v>
      </c>
      <c r="C1159" s="42" t="s">
        <v>4163</v>
      </c>
      <c r="D1159" s="43" t="s">
        <v>5052</v>
      </c>
      <c r="E1159" s="43" t="s">
        <v>5053</v>
      </c>
      <c r="F1159" s="43" t="s">
        <v>4617</v>
      </c>
      <c r="G1159" s="42" t="s">
        <v>34</v>
      </c>
      <c r="H1159" s="42">
        <v>31</v>
      </c>
      <c r="I1159" s="44">
        <v>8.1272222222222208</v>
      </c>
      <c r="J1159" s="45">
        <v>43483</v>
      </c>
      <c r="K1159" s="46" t="s">
        <v>20</v>
      </c>
      <c r="L1159" s="48">
        <v>49</v>
      </c>
    </row>
    <row r="1160" spans="1:12" ht="35" customHeight="1">
      <c r="A1160" s="23">
        <f>ROW()-3</f>
        <v>1157</v>
      </c>
      <c r="B1160" s="42" t="s">
        <v>4586</v>
      </c>
      <c r="C1160" s="42" t="s">
        <v>4163</v>
      </c>
      <c r="D1160" s="43" t="s">
        <v>4164</v>
      </c>
      <c r="E1160" s="43" t="s">
        <v>4165</v>
      </c>
      <c r="F1160" s="43" t="s">
        <v>4610</v>
      </c>
      <c r="G1160" s="42" t="s">
        <v>34</v>
      </c>
      <c r="H1160" s="42">
        <v>23</v>
      </c>
      <c r="I1160" s="44">
        <v>3.7408333333333301</v>
      </c>
      <c r="J1160" s="45">
        <v>43483</v>
      </c>
      <c r="K1160" s="46" t="s">
        <v>20</v>
      </c>
      <c r="L1160" s="48">
        <v>18</v>
      </c>
    </row>
    <row r="1161" spans="1:12" ht="35" customHeight="1">
      <c r="A1161" s="23">
        <f>ROW()-3</f>
        <v>1158</v>
      </c>
      <c r="B1161" s="42" t="s">
        <v>4586</v>
      </c>
      <c r="C1161" s="42" t="s">
        <v>4163</v>
      </c>
      <c r="D1161" s="43" t="s">
        <v>4238</v>
      </c>
      <c r="E1161" s="43" t="s">
        <v>4239</v>
      </c>
      <c r="F1161" s="43" t="s">
        <v>4653</v>
      </c>
      <c r="G1161" s="42" t="s">
        <v>34</v>
      </c>
      <c r="H1161" s="42">
        <v>23</v>
      </c>
      <c r="I1161" s="44">
        <v>7.83</v>
      </c>
      <c r="J1161" s="45">
        <v>43483</v>
      </c>
      <c r="K1161" s="46" t="s">
        <v>20</v>
      </c>
      <c r="L1161" s="48">
        <v>68</v>
      </c>
    </row>
    <row r="1162" spans="1:12" ht="35" customHeight="1">
      <c r="A1162" s="23">
        <f>ROW()-3</f>
        <v>1159</v>
      </c>
      <c r="B1162" s="42" t="s">
        <v>4586</v>
      </c>
      <c r="C1162" s="42" t="s">
        <v>4163</v>
      </c>
      <c r="D1162" s="43" t="s">
        <v>4244</v>
      </c>
      <c r="E1162" s="43" t="s">
        <v>4245</v>
      </c>
      <c r="F1162" s="43" t="s">
        <v>4610</v>
      </c>
      <c r="G1162" s="42" t="s">
        <v>34</v>
      </c>
      <c r="H1162" s="42">
        <v>39</v>
      </c>
      <c r="I1162" s="44">
        <v>10.9405555555556</v>
      </c>
      <c r="J1162" s="45">
        <v>43495</v>
      </c>
      <c r="K1162" s="46" t="s">
        <v>20</v>
      </c>
      <c r="L1162" s="48">
        <v>6.99</v>
      </c>
    </row>
    <row r="1163" spans="1:12" ht="35" customHeight="1">
      <c r="A1163" s="23">
        <f>ROW()-3</f>
        <v>1160</v>
      </c>
      <c r="B1163" s="42" t="s">
        <v>4586</v>
      </c>
      <c r="C1163" s="42" t="s">
        <v>4163</v>
      </c>
      <c r="D1163" s="43" t="s">
        <v>5055</v>
      </c>
      <c r="E1163" s="43" t="s">
        <v>5056</v>
      </c>
      <c r="F1163" s="43" t="s">
        <v>4617</v>
      </c>
      <c r="G1163" s="42" t="s">
        <v>34</v>
      </c>
      <c r="H1163" s="42">
        <v>59</v>
      </c>
      <c r="I1163" s="44">
        <v>13.9516666666667</v>
      </c>
      <c r="J1163" s="45">
        <v>43516</v>
      </c>
      <c r="K1163" s="46" t="s">
        <v>20</v>
      </c>
      <c r="L1163" s="48">
        <v>69.989999999999995</v>
      </c>
    </row>
    <row r="1164" spans="1:12" ht="35" customHeight="1">
      <c r="A1164" s="23">
        <f>ROW()-3</f>
        <v>1161</v>
      </c>
      <c r="B1164" s="42" t="s">
        <v>4586</v>
      </c>
      <c r="C1164" s="130" t="s">
        <v>4163</v>
      </c>
      <c r="D1164" s="43" t="s">
        <v>5045</v>
      </c>
      <c r="E1164" s="43" t="s">
        <v>5046</v>
      </c>
      <c r="F1164" s="43" t="s">
        <v>4617</v>
      </c>
      <c r="G1164" s="42" t="s">
        <v>34</v>
      </c>
      <c r="H1164" s="42">
        <v>17</v>
      </c>
      <c r="I1164" s="44">
        <v>6.1186111111111101</v>
      </c>
      <c r="J1164" s="45">
        <v>43691</v>
      </c>
      <c r="K1164" s="46" t="s">
        <v>20</v>
      </c>
      <c r="L1164" s="48">
        <v>20.99</v>
      </c>
    </row>
    <row r="1165" spans="1:12" ht="35" customHeight="1">
      <c r="A1165" s="23">
        <f>ROW()-3</f>
        <v>1162</v>
      </c>
      <c r="B1165" s="42" t="s">
        <v>4586</v>
      </c>
      <c r="C1165" s="42" t="s">
        <v>4163</v>
      </c>
      <c r="D1165" s="43" t="s">
        <v>5059</v>
      </c>
      <c r="E1165" s="43" t="s">
        <v>5060</v>
      </c>
      <c r="F1165" s="43" t="s">
        <v>4617</v>
      </c>
      <c r="G1165" s="42" t="s">
        <v>34</v>
      </c>
      <c r="H1165" s="42">
        <v>29</v>
      </c>
      <c r="I1165" s="44">
        <v>7.4988888888888896</v>
      </c>
      <c r="J1165" s="45">
        <v>43691</v>
      </c>
      <c r="K1165" s="46" t="s">
        <v>20</v>
      </c>
      <c r="L1165" s="48">
        <v>20.99</v>
      </c>
    </row>
    <row r="1166" spans="1:12" ht="35" customHeight="1">
      <c r="A1166" s="23">
        <f>ROW()-3</f>
        <v>1163</v>
      </c>
      <c r="B1166" s="42" t="s">
        <v>4586</v>
      </c>
      <c r="C1166" s="42" t="s">
        <v>4163</v>
      </c>
      <c r="D1166" s="43" t="s">
        <v>5061</v>
      </c>
      <c r="E1166" s="43" t="s">
        <v>5062</v>
      </c>
      <c r="F1166" s="43" t="s">
        <v>4666</v>
      </c>
      <c r="G1166" s="42" t="s">
        <v>34</v>
      </c>
      <c r="H1166" s="42">
        <v>31</v>
      </c>
      <c r="I1166" s="44">
        <v>10.654999999999999</v>
      </c>
      <c r="J1166" s="45">
        <v>43691</v>
      </c>
      <c r="K1166" s="46" t="s">
        <v>20</v>
      </c>
      <c r="L1166" s="48">
        <v>4.9000000000000004</v>
      </c>
    </row>
    <row r="1167" spans="1:12" ht="35" customHeight="1">
      <c r="A1167" s="23">
        <f>ROW()-3</f>
        <v>1164</v>
      </c>
      <c r="B1167" s="42" t="s">
        <v>4586</v>
      </c>
      <c r="C1167" s="42" t="s">
        <v>4163</v>
      </c>
      <c r="D1167" s="43" t="s">
        <v>5063</v>
      </c>
      <c r="E1167" s="43" t="s">
        <v>310</v>
      </c>
      <c r="F1167" s="43" t="s">
        <v>4698</v>
      </c>
      <c r="G1167" s="42" t="s">
        <v>34</v>
      </c>
      <c r="H1167" s="42">
        <v>11</v>
      </c>
      <c r="I1167" s="44">
        <v>3.4683333333333302</v>
      </c>
      <c r="J1167" s="45">
        <v>43691</v>
      </c>
      <c r="K1167" s="46" t="s">
        <v>20</v>
      </c>
      <c r="L1167" s="48">
        <v>5</v>
      </c>
    </row>
    <row r="1168" spans="1:12" ht="35" customHeight="1">
      <c r="A1168" s="23">
        <f>ROW()-3</f>
        <v>1165</v>
      </c>
      <c r="B1168" s="42" t="s">
        <v>4586</v>
      </c>
      <c r="C1168" s="42" t="s">
        <v>4163</v>
      </c>
      <c r="D1168" s="43" t="s">
        <v>5064</v>
      </c>
      <c r="E1168" s="43" t="s">
        <v>4520</v>
      </c>
      <c r="F1168" s="43" t="s">
        <v>4899</v>
      </c>
      <c r="G1168" s="42" t="s">
        <v>34</v>
      </c>
      <c r="H1168" s="42">
        <v>26</v>
      </c>
      <c r="I1168" s="44">
        <v>7.9302777777777802</v>
      </c>
      <c r="J1168" s="45">
        <v>43691</v>
      </c>
      <c r="K1168" s="46" t="s">
        <v>20</v>
      </c>
      <c r="L1168" s="48">
        <v>9.9</v>
      </c>
    </row>
    <row r="1169" spans="1:291" ht="35" customHeight="1">
      <c r="A1169" s="23">
        <f>ROW()-3</f>
        <v>1166</v>
      </c>
      <c r="B1169" s="42" t="s">
        <v>4586</v>
      </c>
      <c r="C1169" s="42" t="s">
        <v>4163</v>
      </c>
      <c r="D1169" s="43" t="s">
        <v>5065</v>
      </c>
      <c r="E1169" s="43" t="s">
        <v>5066</v>
      </c>
      <c r="F1169" s="43" t="s">
        <v>4653</v>
      </c>
      <c r="G1169" s="42" t="s">
        <v>34</v>
      </c>
      <c r="H1169" s="42">
        <v>27</v>
      </c>
      <c r="I1169" s="44">
        <v>6.22</v>
      </c>
      <c r="J1169" s="45">
        <v>43691</v>
      </c>
      <c r="K1169" s="46" t="s">
        <v>20</v>
      </c>
      <c r="L1169" s="48">
        <v>15.9</v>
      </c>
    </row>
    <row r="1170" spans="1:291" ht="35" customHeight="1">
      <c r="A1170" s="23">
        <f>ROW()-3</f>
        <v>1167</v>
      </c>
      <c r="B1170" s="42" t="s">
        <v>4586</v>
      </c>
      <c r="C1170" s="42" t="s">
        <v>4163</v>
      </c>
      <c r="D1170" s="43" t="s">
        <v>5067</v>
      </c>
      <c r="E1170" s="43" t="s">
        <v>5068</v>
      </c>
      <c r="F1170" s="43" t="s">
        <v>4626</v>
      </c>
      <c r="G1170" s="42" t="s">
        <v>34</v>
      </c>
      <c r="H1170" s="42">
        <v>28</v>
      </c>
      <c r="I1170" s="44">
        <v>6.2658333333333296</v>
      </c>
      <c r="J1170" s="45">
        <v>43691</v>
      </c>
      <c r="K1170" s="46" t="s">
        <v>20</v>
      </c>
      <c r="L1170" s="48">
        <v>4.4000000000000004</v>
      </c>
    </row>
    <row r="1171" spans="1:291" ht="35" customHeight="1">
      <c r="A1171" s="23">
        <f>ROW()-3</f>
        <v>1168</v>
      </c>
      <c r="B1171" s="42" t="s">
        <v>4586</v>
      </c>
      <c r="C1171" s="42" t="s">
        <v>4163</v>
      </c>
      <c r="D1171" s="43" t="s">
        <v>5069</v>
      </c>
      <c r="E1171" s="43" t="s">
        <v>4760</v>
      </c>
      <c r="F1171" s="43" t="s">
        <v>4632</v>
      </c>
      <c r="G1171" s="42" t="s">
        <v>34</v>
      </c>
      <c r="H1171" s="42">
        <v>22</v>
      </c>
      <c r="I1171" s="44">
        <v>7.3030555555555603</v>
      </c>
      <c r="J1171" s="45">
        <v>43691</v>
      </c>
      <c r="K1171" s="46" t="s">
        <v>20</v>
      </c>
      <c r="L1171" s="48">
        <v>7.4</v>
      </c>
    </row>
    <row r="1172" spans="1:291" ht="35" customHeight="1">
      <c r="A1172" s="23">
        <f>ROW()-3</f>
        <v>1169</v>
      </c>
      <c r="B1172" s="42" t="s">
        <v>4586</v>
      </c>
      <c r="C1172" s="42" t="s">
        <v>4163</v>
      </c>
      <c r="D1172" s="43" t="s">
        <v>5070</v>
      </c>
      <c r="E1172" s="43" t="s">
        <v>5071</v>
      </c>
      <c r="F1172" s="43" t="s">
        <v>4589</v>
      </c>
      <c r="G1172" s="42" t="s">
        <v>34</v>
      </c>
      <c r="H1172" s="42">
        <v>37</v>
      </c>
      <c r="I1172" s="44">
        <v>11.251388888888901</v>
      </c>
      <c r="J1172" s="45">
        <v>43691</v>
      </c>
      <c r="K1172" s="46" t="s">
        <v>20</v>
      </c>
      <c r="L1172" s="48">
        <v>7.2</v>
      </c>
    </row>
    <row r="1173" spans="1:291" ht="35" customHeight="1">
      <c r="A1173" s="23">
        <f>ROW()-3</f>
        <v>1170</v>
      </c>
      <c r="B1173" s="42" t="s">
        <v>4586</v>
      </c>
      <c r="C1173" s="42" t="s">
        <v>4163</v>
      </c>
      <c r="D1173" s="43" t="s">
        <v>5072</v>
      </c>
      <c r="E1173" s="43" t="s">
        <v>4700</v>
      </c>
      <c r="F1173" s="43" t="s">
        <v>4589</v>
      </c>
      <c r="G1173" s="42" t="s">
        <v>34</v>
      </c>
      <c r="H1173" s="42">
        <v>36</v>
      </c>
      <c r="I1173" s="44">
        <v>12.2297222222222</v>
      </c>
      <c r="J1173" s="45">
        <v>43691</v>
      </c>
      <c r="K1173" s="46" t="s">
        <v>20</v>
      </c>
      <c r="L1173" s="48">
        <v>19.989999999999998</v>
      </c>
    </row>
    <row r="1174" spans="1:291" ht="35" customHeight="1">
      <c r="A1174" s="23">
        <f>ROW()-3</f>
        <v>1171</v>
      </c>
      <c r="B1174" s="42" t="s">
        <v>4586</v>
      </c>
      <c r="C1174" s="42" t="s">
        <v>4163</v>
      </c>
      <c r="D1174" s="43" t="s">
        <v>5073</v>
      </c>
      <c r="E1174" s="43" t="s">
        <v>4700</v>
      </c>
      <c r="F1174" s="43" t="s">
        <v>4589</v>
      </c>
      <c r="G1174" s="42" t="s">
        <v>34</v>
      </c>
      <c r="H1174" s="42">
        <v>26</v>
      </c>
      <c r="I1174" s="44">
        <v>9.2269444444444506</v>
      </c>
      <c r="J1174" s="45">
        <v>43691</v>
      </c>
      <c r="K1174" s="46" t="s">
        <v>20</v>
      </c>
      <c r="L1174" s="48">
        <v>16.989999999999998</v>
      </c>
    </row>
    <row r="1175" spans="1:291" ht="35" customHeight="1">
      <c r="A1175" s="23">
        <f>ROW()-3</f>
        <v>1172</v>
      </c>
      <c r="B1175" s="42" t="s">
        <v>4586</v>
      </c>
      <c r="C1175" s="42" t="s">
        <v>4163</v>
      </c>
      <c r="D1175" s="43" t="s">
        <v>4238</v>
      </c>
      <c r="E1175" s="43" t="s">
        <v>4239</v>
      </c>
      <c r="F1175" s="43" t="s">
        <v>5047</v>
      </c>
      <c r="G1175" s="42" t="s">
        <v>34</v>
      </c>
      <c r="H1175" s="42">
        <v>40</v>
      </c>
      <c r="I1175" s="44">
        <v>12.8030555555556</v>
      </c>
      <c r="J1175" s="45">
        <v>43692</v>
      </c>
      <c r="K1175" s="46" t="s">
        <v>20</v>
      </c>
      <c r="L1175" s="48">
        <v>29.98</v>
      </c>
    </row>
    <row r="1176" spans="1:291" ht="35" customHeight="1">
      <c r="A1176" s="23">
        <f>ROW()-3</f>
        <v>1173</v>
      </c>
      <c r="B1176" s="42" t="s">
        <v>4586</v>
      </c>
      <c r="C1176" s="42" t="s">
        <v>4163</v>
      </c>
      <c r="D1176" s="43" t="s">
        <v>5074</v>
      </c>
      <c r="E1176" s="43" t="s">
        <v>5075</v>
      </c>
      <c r="F1176" s="43" t="s">
        <v>4768</v>
      </c>
      <c r="G1176" s="42" t="s">
        <v>34</v>
      </c>
      <c r="H1176" s="42">
        <v>27</v>
      </c>
      <c r="I1176" s="44">
        <v>7.5819444444444404</v>
      </c>
      <c r="J1176" s="45">
        <v>43775</v>
      </c>
      <c r="K1176" s="46" t="s">
        <v>20</v>
      </c>
      <c r="L1176" s="48">
        <v>17.5</v>
      </c>
    </row>
    <row r="1177" spans="1:291" ht="35" customHeight="1">
      <c r="A1177" s="23">
        <f>ROW()-3</f>
        <v>1174</v>
      </c>
      <c r="B1177" s="42" t="s">
        <v>4586</v>
      </c>
      <c r="C1177" s="42" t="s">
        <v>4163</v>
      </c>
      <c r="D1177" s="43" t="s">
        <v>5076</v>
      </c>
      <c r="E1177" s="43" t="s">
        <v>5077</v>
      </c>
      <c r="F1177" s="43" t="s">
        <v>5078</v>
      </c>
      <c r="G1177" s="42" t="s">
        <v>34</v>
      </c>
      <c r="H1177" s="42">
        <v>20</v>
      </c>
      <c r="I1177" s="44">
        <v>6.5622222222222204</v>
      </c>
      <c r="J1177" s="45">
        <v>43775</v>
      </c>
      <c r="K1177" s="46" t="s">
        <v>20</v>
      </c>
      <c r="L1177" s="48">
        <v>79</v>
      </c>
    </row>
    <row r="1178" spans="1:291" ht="35" customHeight="1">
      <c r="A1178" s="23">
        <f>ROW()-3</f>
        <v>1175</v>
      </c>
      <c r="B1178" s="42" t="s">
        <v>4586</v>
      </c>
      <c r="C1178" s="42" t="s">
        <v>4163</v>
      </c>
      <c r="D1178" s="43" t="s">
        <v>5079</v>
      </c>
      <c r="E1178" s="43" t="s">
        <v>5080</v>
      </c>
      <c r="F1178" s="43" t="s">
        <v>5080</v>
      </c>
      <c r="G1178" s="42" t="s">
        <v>34</v>
      </c>
      <c r="H1178" s="42">
        <v>12</v>
      </c>
      <c r="I1178" s="44">
        <v>2.4</v>
      </c>
      <c r="J1178" s="45">
        <v>44508</v>
      </c>
      <c r="K1178" s="46" t="s">
        <v>20</v>
      </c>
      <c r="L1178" s="203">
        <v>45</v>
      </c>
    </row>
    <row r="1179" spans="1:291" s="25" customFormat="1" ht="35" customHeight="1">
      <c r="A1179" s="23">
        <f>ROW()-3</f>
        <v>1176</v>
      </c>
      <c r="B1179" s="182" t="s">
        <v>5597</v>
      </c>
      <c r="C1179" s="134" t="s">
        <v>4163</v>
      </c>
      <c r="D1179" s="187" t="s">
        <v>5526</v>
      </c>
      <c r="E1179" s="274" t="s">
        <v>4561</v>
      </c>
      <c r="F1179" s="274" t="s">
        <v>5525</v>
      </c>
      <c r="G1179" s="42" t="s">
        <v>3253</v>
      </c>
      <c r="H1179" s="182">
        <v>64</v>
      </c>
      <c r="I1179" s="206">
        <v>12.138888888888889</v>
      </c>
      <c r="J1179" s="209">
        <v>44614</v>
      </c>
      <c r="K1179" s="46" t="s">
        <v>20</v>
      </c>
      <c r="L1179" s="133">
        <v>19.899999999999999</v>
      </c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  <c r="AI1179" s="30"/>
      <c r="AJ1179" s="30"/>
      <c r="AK1179" s="30"/>
      <c r="AL1179" s="30"/>
      <c r="AM1179" s="30"/>
      <c r="AN1179" s="30"/>
      <c r="AO1179" s="30"/>
      <c r="AP1179" s="30"/>
      <c r="AQ1179" s="30"/>
      <c r="AR1179" s="30"/>
      <c r="AS1179" s="30"/>
      <c r="AT1179" s="30"/>
      <c r="AU1179" s="30"/>
      <c r="AV1179" s="30"/>
      <c r="AW1179" s="30"/>
      <c r="AX1179" s="30"/>
      <c r="AY1179" s="30"/>
      <c r="AZ1179" s="30"/>
      <c r="BA1179" s="30"/>
      <c r="BB1179" s="30"/>
      <c r="BC1179" s="30"/>
      <c r="BD1179" s="30"/>
      <c r="BE1179" s="30"/>
      <c r="BF1179" s="30"/>
      <c r="BG1179" s="30"/>
      <c r="BH1179" s="30"/>
      <c r="BI1179" s="30"/>
      <c r="BJ1179" s="30"/>
      <c r="BK1179" s="30"/>
      <c r="BL1179" s="30"/>
      <c r="BM1179" s="30"/>
      <c r="BN1179" s="30"/>
      <c r="BO1179" s="30"/>
      <c r="BP1179" s="30"/>
      <c r="BQ1179" s="30"/>
      <c r="BR1179" s="30"/>
      <c r="BS1179" s="30"/>
      <c r="BT1179" s="30"/>
      <c r="BU1179" s="30"/>
      <c r="BV1179" s="30"/>
      <c r="BW1179" s="30"/>
      <c r="BX1179" s="30"/>
      <c r="BY1179" s="30"/>
      <c r="BZ1179" s="30"/>
      <c r="CA1179" s="30"/>
      <c r="CB1179" s="30"/>
      <c r="CC1179" s="30"/>
      <c r="CD1179" s="30"/>
      <c r="CE1179" s="30"/>
      <c r="CF1179" s="30"/>
      <c r="CG1179" s="30"/>
      <c r="CH1179" s="30"/>
      <c r="CI1179" s="30"/>
      <c r="CJ1179" s="30"/>
      <c r="CK1179" s="30"/>
      <c r="CL1179" s="30"/>
      <c r="CM1179" s="30"/>
      <c r="CN1179" s="30"/>
      <c r="CO1179" s="30"/>
      <c r="CP1179" s="30"/>
      <c r="CQ1179" s="30"/>
      <c r="CR1179" s="30"/>
      <c r="CS1179" s="30"/>
      <c r="CT1179" s="30"/>
      <c r="CU1179" s="30"/>
      <c r="CV1179" s="30"/>
      <c r="CW1179" s="30"/>
      <c r="CX1179" s="30"/>
      <c r="CY1179" s="30"/>
      <c r="CZ1179" s="30"/>
      <c r="DA1179" s="30"/>
      <c r="DB1179" s="30"/>
      <c r="DC1179" s="30"/>
      <c r="DD1179" s="30"/>
      <c r="DE1179" s="30"/>
      <c r="DF1179" s="30"/>
      <c r="DG1179" s="30"/>
      <c r="DH1179" s="30"/>
      <c r="DI1179" s="30"/>
      <c r="DJ1179" s="30"/>
      <c r="DK1179" s="30"/>
      <c r="DL1179" s="30"/>
      <c r="DM1179" s="30"/>
      <c r="DN1179" s="30"/>
      <c r="DO1179" s="30"/>
      <c r="DP1179" s="30"/>
      <c r="DQ1179" s="30"/>
      <c r="DR1179" s="30"/>
      <c r="DS1179" s="30"/>
      <c r="DT1179" s="30"/>
      <c r="DU1179" s="30"/>
      <c r="DV1179" s="30"/>
      <c r="DW1179" s="30"/>
      <c r="DX1179" s="30"/>
      <c r="DY1179" s="30"/>
      <c r="DZ1179" s="30"/>
      <c r="EA1179" s="30"/>
      <c r="EB1179" s="30"/>
      <c r="EC1179" s="30"/>
      <c r="ED1179" s="30"/>
      <c r="EE1179" s="30"/>
      <c r="EF1179" s="30"/>
      <c r="EG1179" s="30"/>
      <c r="EH1179" s="30"/>
      <c r="EI1179" s="30"/>
      <c r="EJ1179" s="30"/>
      <c r="EK1179" s="30"/>
      <c r="EL1179" s="30"/>
      <c r="EM1179" s="30"/>
      <c r="EN1179" s="30"/>
      <c r="EO1179" s="30"/>
      <c r="EP1179" s="30"/>
      <c r="EQ1179" s="30"/>
      <c r="ER1179" s="30"/>
      <c r="ES1179" s="30"/>
      <c r="ET1179" s="30"/>
      <c r="EU1179" s="30"/>
      <c r="EV1179" s="30"/>
      <c r="EW1179" s="30"/>
      <c r="EX1179" s="30"/>
      <c r="EY1179" s="30"/>
      <c r="EZ1179" s="30"/>
      <c r="FA1179" s="30"/>
      <c r="FB1179" s="30"/>
      <c r="FC1179" s="30"/>
      <c r="FD1179" s="30"/>
      <c r="FE1179" s="30"/>
      <c r="FF1179" s="30"/>
      <c r="FG1179" s="30"/>
      <c r="FH1179" s="30"/>
      <c r="FI1179" s="30"/>
      <c r="FJ1179" s="30"/>
      <c r="FK1179" s="30"/>
      <c r="FL1179" s="30"/>
      <c r="FM1179" s="30"/>
      <c r="FN1179" s="30"/>
      <c r="FO1179" s="30"/>
      <c r="FP1179" s="30"/>
      <c r="FQ1179" s="30"/>
      <c r="FR1179" s="30"/>
      <c r="FS1179" s="30"/>
      <c r="FT1179" s="30"/>
      <c r="FU1179" s="30"/>
      <c r="FV1179" s="30"/>
      <c r="FW1179" s="30"/>
      <c r="FX1179" s="30"/>
      <c r="FY1179" s="30"/>
      <c r="FZ1179" s="30"/>
      <c r="GA1179" s="30"/>
      <c r="GB1179" s="30"/>
      <c r="GC1179" s="30"/>
      <c r="GD1179" s="30"/>
      <c r="GE1179" s="30"/>
      <c r="GF1179" s="30"/>
      <c r="GG1179" s="30"/>
      <c r="GH1179" s="30"/>
      <c r="GI1179" s="30"/>
      <c r="GJ1179" s="30"/>
      <c r="GK1179" s="30"/>
      <c r="GL1179" s="30"/>
      <c r="GM1179" s="30"/>
      <c r="GN1179" s="30"/>
      <c r="GO1179" s="30"/>
      <c r="GP1179" s="30"/>
      <c r="GQ1179" s="30"/>
      <c r="GR1179" s="30"/>
      <c r="GS1179" s="30"/>
      <c r="GT1179" s="30"/>
      <c r="GU1179" s="30"/>
      <c r="GV1179" s="30"/>
      <c r="GW1179" s="30"/>
      <c r="GX1179" s="30"/>
      <c r="GY1179" s="30"/>
      <c r="GZ1179" s="30"/>
      <c r="HA1179" s="30"/>
      <c r="HB1179" s="30"/>
      <c r="HC1179" s="30"/>
      <c r="HD1179" s="30"/>
      <c r="HE1179" s="30"/>
      <c r="HF1179" s="30"/>
      <c r="HG1179" s="30"/>
      <c r="HH1179" s="30"/>
      <c r="HI1179" s="30"/>
      <c r="HJ1179" s="30"/>
      <c r="HK1179" s="30"/>
      <c r="HL1179" s="30"/>
      <c r="HM1179" s="30"/>
      <c r="HN1179" s="30"/>
      <c r="HO1179" s="30"/>
      <c r="HP1179" s="30"/>
      <c r="HQ1179" s="30"/>
      <c r="HR1179" s="30"/>
      <c r="HS1179" s="30"/>
      <c r="HT1179" s="30"/>
      <c r="HU1179" s="30"/>
      <c r="HV1179" s="30"/>
      <c r="HW1179" s="30"/>
      <c r="HX1179" s="30"/>
      <c r="HY1179" s="30"/>
      <c r="HZ1179" s="30"/>
      <c r="IA1179" s="30"/>
      <c r="IB1179" s="30"/>
      <c r="IC1179" s="30"/>
      <c r="ID1179" s="30"/>
      <c r="IE1179" s="30"/>
      <c r="IF1179" s="30"/>
      <c r="IG1179" s="30"/>
      <c r="IH1179" s="30"/>
      <c r="II1179" s="30"/>
      <c r="IJ1179" s="30"/>
      <c r="IK1179" s="30"/>
      <c r="IL1179" s="30"/>
      <c r="IM1179" s="30"/>
      <c r="IN1179" s="30"/>
      <c r="IO1179" s="30"/>
      <c r="IP1179" s="30"/>
      <c r="IQ1179" s="30"/>
      <c r="IR1179" s="30"/>
      <c r="IS1179" s="30"/>
      <c r="IT1179" s="30"/>
      <c r="IU1179" s="30"/>
      <c r="IV1179" s="30"/>
      <c r="IW1179" s="30"/>
      <c r="IX1179" s="30"/>
      <c r="IY1179" s="30"/>
      <c r="IZ1179" s="30"/>
      <c r="JA1179" s="30"/>
      <c r="JB1179" s="30"/>
      <c r="JC1179" s="30"/>
      <c r="JD1179" s="30"/>
      <c r="JE1179" s="30"/>
      <c r="JF1179" s="30"/>
      <c r="JG1179" s="30"/>
      <c r="JH1179" s="30"/>
      <c r="JI1179" s="30"/>
      <c r="JJ1179" s="30"/>
      <c r="JK1179" s="30"/>
      <c r="JL1179" s="30"/>
      <c r="JM1179" s="30"/>
      <c r="JN1179" s="30"/>
      <c r="JO1179" s="30"/>
      <c r="JP1179" s="30"/>
      <c r="JQ1179" s="30"/>
      <c r="JR1179" s="30"/>
      <c r="JS1179" s="30"/>
      <c r="JT1179" s="30"/>
      <c r="JU1179" s="30"/>
      <c r="JV1179" s="30"/>
      <c r="JW1179" s="30"/>
      <c r="JX1179" s="30"/>
      <c r="JY1179" s="30"/>
      <c r="JZ1179" s="30"/>
      <c r="KA1179" s="30"/>
      <c r="KB1179" s="30"/>
      <c r="KC1179" s="30"/>
      <c r="KD1179" s="30"/>
      <c r="KE1179" s="30"/>
    </row>
    <row r="1180" spans="1:291" s="29" customFormat="1" ht="35" customHeight="1">
      <c r="A1180" s="23">
        <f>ROW()-3</f>
        <v>1177</v>
      </c>
      <c r="B1180" s="134" t="s">
        <v>5597</v>
      </c>
      <c r="C1180" s="134" t="s">
        <v>4163</v>
      </c>
      <c r="D1180" s="274" t="s">
        <v>5536</v>
      </c>
      <c r="E1180" s="274" t="s">
        <v>5537</v>
      </c>
      <c r="F1180" s="274" t="s">
        <v>5538</v>
      </c>
      <c r="G1180" s="42" t="s">
        <v>3253</v>
      </c>
      <c r="H1180" s="134">
        <v>53</v>
      </c>
      <c r="I1180" s="275">
        <v>14.243055555555555</v>
      </c>
      <c r="J1180" s="278">
        <v>44614</v>
      </c>
      <c r="K1180" s="211" t="s">
        <v>5579</v>
      </c>
      <c r="L1180" s="133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0"/>
      <c r="AJ1180" s="30"/>
      <c r="AK1180" s="30"/>
      <c r="AL1180" s="30"/>
      <c r="AM1180" s="30"/>
      <c r="AN1180" s="30"/>
      <c r="AO1180" s="30"/>
      <c r="AP1180" s="30"/>
      <c r="AQ1180" s="30"/>
      <c r="AR1180" s="30"/>
      <c r="AS1180" s="30"/>
      <c r="AT1180" s="30"/>
      <c r="AU1180" s="30"/>
      <c r="AV1180" s="30"/>
      <c r="AW1180" s="30"/>
      <c r="AX1180" s="30"/>
      <c r="AY1180" s="30"/>
      <c r="AZ1180" s="30"/>
      <c r="BA1180" s="30"/>
      <c r="BB1180" s="30"/>
      <c r="BC1180" s="30"/>
      <c r="BD1180" s="30"/>
      <c r="BE1180" s="30"/>
      <c r="BF1180" s="30"/>
      <c r="BG1180" s="30"/>
      <c r="BH1180" s="30"/>
      <c r="BI1180" s="30"/>
      <c r="BJ1180" s="30"/>
      <c r="BK1180" s="30"/>
      <c r="BL1180" s="30"/>
      <c r="BM1180" s="30"/>
      <c r="BN1180" s="30"/>
      <c r="BO1180" s="30"/>
      <c r="BP1180" s="30"/>
      <c r="BQ1180" s="30"/>
      <c r="BR1180" s="30"/>
      <c r="BS1180" s="30"/>
      <c r="BT1180" s="30"/>
      <c r="BU1180" s="30"/>
      <c r="BV1180" s="30"/>
      <c r="BW1180" s="30"/>
      <c r="BX1180" s="30"/>
      <c r="BY1180" s="30"/>
      <c r="BZ1180" s="30"/>
      <c r="CA1180" s="30"/>
      <c r="CB1180" s="30"/>
      <c r="CC1180" s="30"/>
      <c r="CD1180" s="30"/>
      <c r="CE1180" s="30"/>
      <c r="CF1180" s="30"/>
      <c r="CG1180" s="30"/>
      <c r="CH1180" s="30"/>
      <c r="CI1180" s="30"/>
      <c r="CJ1180" s="30"/>
      <c r="CK1180" s="30"/>
      <c r="CL1180" s="30"/>
      <c r="CM1180" s="30"/>
      <c r="CN1180" s="30"/>
      <c r="CO1180" s="30"/>
      <c r="CP1180" s="30"/>
      <c r="CQ1180" s="30"/>
      <c r="CR1180" s="30"/>
      <c r="CS1180" s="30"/>
      <c r="CT1180" s="30"/>
      <c r="CU1180" s="30"/>
      <c r="CV1180" s="30"/>
      <c r="CW1180" s="30"/>
      <c r="CX1180" s="30"/>
      <c r="CY1180" s="30"/>
      <c r="CZ1180" s="30"/>
      <c r="DA1180" s="30"/>
      <c r="DB1180" s="30"/>
      <c r="DC1180" s="30"/>
      <c r="DD1180" s="30"/>
      <c r="DE1180" s="30"/>
      <c r="DF1180" s="30"/>
      <c r="DG1180" s="30"/>
      <c r="DH1180" s="30"/>
      <c r="DI1180" s="30"/>
      <c r="DJ1180" s="30"/>
      <c r="DK1180" s="30"/>
      <c r="DL1180" s="30"/>
      <c r="DM1180" s="30"/>
      <c r="DN1180" s="30"/>
      <c r="DO1180" s="30"/>
      <c r="DP1180" s="30"/>
      <c r="DQ1180" s="30"/>
      <c r="DR1180" s="30"/>
      <c r="DS1180" s="30"/>
      <c r="DT1180" s="30"/>
      <c r="DU1180" s="30"/>
      <c r="DV1180" s="30"/>
      <c r="DW1180" s="30"/>
      <c r="DX1180" s="30"/>
      <c r="DY1180" s="30"/>
      <c r="DZ1180" s="30"/>
      <c r="EA1180" s="30"/>
      <c r="EB1180" s="30"/>
      <c r="EC1180" s="30"/>
      <c r="ED1180" s="30"/>
      <c r="EE1180" s="30"/>
      <c r="EF1180" s="30"/>
      <c r="EG1180" s="30"/>
      <c r="EH1180" s="30"/>
      <c r="EI1180" s="30"/>
      <c r="EJ1180" s="30"/>
      <c r="EK1180" s="30"/>
      <c r="EL1180" s="30"/>
      <c r="EM1180" s="30"/>
      <c r="EN1180" s="30"/>
      <c r="EO1180" s="30"/>
      <c r="EP1180" s="30"/>
      <c r="EQ1180" s="30"/>
      <c r="ER1180" s="30"/>
      <c r="ES1180" s="30"/>
      <c r="ET1180" s="30"/>
      <c r="EU1180" s="30"/>
      <c r="EV1180" s="30"/>
      <c r="EW1180" s="30"/>
      <c r="EX1180" s="30"/>
      <c r="EY1180" s="30"/>
      <c r="EZ1180" s="30"/>
      <c r="FA1180" s="30"/>
      <c r="FB1180" s="30"/>
      <c r="FC1180" s="30"/>
      <c r="FD1180" s="30"/>
      <c r="FE1180" s="30"/>
      <c r="FF1180" s="30"/>
      <c r="FG1180" s="30"/>
      <c r="FH1180" s="30"/>
      <c r="FI1180" s="30"/>
      <c r="FJ1180" s="30"/>
      <c r="FK1180" s="30"/>
      <c r="FL1180" s="30"/>
      <c r="FM1180" s="30"/>
      <c r="FN1180" s="30"/>
      <c r="FO1180" s="30"/>
      <c r="FP1180" s="30"/>
      <c r="FQ1180" s="30"/>
      <c r="FR1180" s="30"/>
      <c r="FS1180" s="30"/>
      <c r="FT1180" s="30"/>
      <c r="FU1180" s="30"/>
      <c r="FV1180" s="30"/>
      <c r="FW1180" s="30"/>
      <c r="FX1180" s="30"/>
      <c r="FY1180" s="30"/>
      <c r="FZ1180" s="30"/>
      <c r="GA1180" s="30"/>
      <c r="GB1180" s="30"/>
      <c r="GC1180" s="30"/>
      <c r="GD1180" s="30"/>
      <c r="GE1180" s="30"/>
      <c r="GF1180" s="30"/>
      <c r="GG1180" s="30"/>
      <c r="GH1180" s="30"/>
      <c r="GI1180" s="30"/>
      <c r="GJ1180" s="30"/>
      <c r="GK1180" s="30"/>
      <c r="GL1180" s="30"/>
      <c r="GM1180" s="30"/>
      <c r="GN1180" s="30"/>
      <c r="GO1180" s="30"/>
      <c r="GP1180" s="30"/>
      <c r="GQ1180" s="30"/>
      <c r="GR1180" s="30"/>
      <c r="GS1180" s="30"/>
      <c r="GT1180" s="30"/>
      <c r="GU1180" s="30"/>
      <c r="GV1180" s="30"/>
      <c r="GW1180" s="30"/>
      <c r="GX1180" s="30"/>
      <c r="GY1180" s="30"/>
      <c r="GZ1180" s="30"/>
      <c r="HA1180" s="30"/>
      <c r="HB1180" s="30"/>
      <c r="HC1180" s="30"/>
      <c r="HD1180" s="30"/>
      <c r="HE1180" s="30"/>
      <c r="HF1180" s="30"/>
      <c r="HG1180" s="30"/>
      <c r="HH1180" s="30"/>
      <c r="HI1180" s="30"/>
      <c r="HJ1180" s="30"/>
      <c r="HK1180" s="30"/>
      <c r="HL1180" s="30"/>
      <c r="HM1180" s="30"/>
      <c r="HN1180" s="30"/>
      <c r="HO1180" s="30"/>
      <c r="HP1180" s="30"/>
      <c r="HQ1180" s="30"/>
      <c r="HR1180" s="30"/>
      <c r="HS1180" s="30"/>
      <c r="HT1180" s="30"/>
      <c r="HU1180" s="30"/>
      <c r="HV1180" s="30"/>
      <c r="HW1180" s="30"/>
      <c r="HX1180" s="30"/>
      <c r="HY1180" s="30"/>
      <c r="HZ1180" s="30"/>
      <c r="IA1180" s="30"/>
      <c r="IB1180" s="30"/>
      <c r="IC1180" s="30"/>
      <c r="ID1180" s="30"/>
      <c r="IE1180" s="30"/>
      <c r="IF1180" s="30"/>
      <c r="IG1180" s="30"/>
      <c r="IH1180" s="30"/>
      <c r="II1180" s="30"/>
      <c r="IJ1180" s="30"/>
      <c r="IK1180" s="30"/>
      <c r="IL1180" s="30"/>
      <c r="IM1180" s="30"/>
      <c r="IN1180" s="30"/>
      <c r="IO1180" s="30"/>
      <c r="IP1180" s="30"/>
      <c r="IQ1180" s="30"/>
      <c r="IR1180" s="30"/>
      <c r="IS1180" s="30"/>
      <c r="IT1180" s="30"/>
      <c r="IU1180" s="30"/>
      <c r="IV1180" s="30"/>
      <c r="IW1180" s="30"/>
      <c r="IX1180" s="30"/>
      <c r="IY1180" s="30"/>
      <c r="IZ1180" s="30"/>
      <c r="JA1180" s="30"/>
      <c r="JB1180" s="30"/>
      <c r="JC1180" s="30"/>
      <c r="JD1180" s="30"/>
      <c r="JE1180" s="30"/>
      <c r="JF1180" s="30"/>
      <c r="JG1180" s="30"/>
      <c r="JH1180" s="30"/>
      <c r="JI1180" s="30"/>
      <c r="JJ1180" s="30"/>
      <c r="JK1180" s="30"/>
      <c r="JL1180" s="30"/>
      <c r="JM1180" s="30"/>
      <c r="JN1180" s="30"/>
      <c r="JO1180" s="30"/>
      <c r="JP1180" s="30"/>
      <c r="JQ1180" s="30"/>
      <c r="JR1180" s="30"/>
      <c r="JS1180" s="30"/>
      <c r="JT1180" s="30"/>
      <c r="JU1180" s="30"/>
      <c r="JV1180" s="30"/>
      <c r="JW1180" s="30"/>
      <c r="JX1180" s="30"/>
      <c r="JY1180" s="30"/>
      <c r="JZ1180" s="30"/>
      <c r="KA1180" s="30"/>
      <c r="KB1180" s="30"/>
      <c r="KC1180" s="30"/>
      <c r="KD1180" s="30"/>
      <c r="KE1180" s="30"/>
    </row>
    <row r="1181" spans="1:291" s="29" customFormat="1" ht="35" customHeight="1">
      <c r="A1181" s="23">
        <f>ROW()-3</f>
        <v>1178</v>
      </c>
      <c r="B1181" s="134" t="s">
        <v>5597</v>
      </c>
      <c r="C1181" s="134" t="s">
        <v>4163</v>
      </c>
      <c r="D1181" s="274" t="s">
        <v>5509</v>
      </c>
      <c r="E1181" s="274" t="s">
        <v>5565</v>
      </c>
      <c r="F1181" s="274" t="s">
        <v>5528</v>
      </c>
      <c r="G1181" s="42" t="s">
        <v>3253</v>
      </c>
      <c r="H1181" s="134">
        <v>57</v>
      </c>
      <c r="I1181" s="275">
        <v>7.2638888888888893</v>
      </c>
      <c r="J1181" s="278">
        <v>44614</v>
      </c>
      <c r="K1181" s="46" t="s">
        <v>20</v>
      </c>
      <c r="L1181" s="133">
        <v>29</v>
      </c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  <c r="AI1181" s="30"/>
      <c r="AJ1181" s="30"/>
      <c r="AK1181" s="30"/>
      <c r="AL1181" s="30"/>
      <c r="AM1181" s="30"/>
      <c r="AN1181" s="30"/>
      <c r="AO1181" s="30"/>
      <c r="AP1181" s="30"/>
      <c r="AQ1181" s="30"/>
      <c r="AR1181" s="30"/>
      <c r="AS1181" s="30"/>
      <c r="AT1181" s="30"/>
      <c r="AU1181" s="30"/>
      <c r="AV1181" s="30"/>
      <c r="AW1181" s="30"/>
      <c r="AX1181" s="30"/>
      <c r="AY1181" s="30"/>
      <c r="AZ1181" s="30"/>
      <c r="BA1181" s="30"/>
      <c r="BB1181" s="30"/>
      <c r="BC1181" s="30"/>
      <c r="BD1181" s="30"/>
      <c r="BE1181" s="30"/>
      <c r="BF1181" s="30"/>
      <c r="BG1181" s="30"/>
      <c r="BH1181" s="30"/>
      <c r="BI1181" s="30"/>
      <c r="BJ1181" s="30"/>
      <c r="BK1181" s="30"/>
      <c r="BL1181" s="30"/>
      <c r="BM1181" s="30"/>
      <c r="BN1181" s="30"/>
      <c r="BO1181" s="30"/>
      <c r="BP1181" s="30"/>
      <c r="BQ1181" s="30"/>
      <c r="BR1181" s="30"/>
      <c r="BS1181" s="30"/>
      <c r="BT1181" s="30"/>
      <c r="BU1181" s="30"/>
      <c r="BV1181" s="30"/>
      <c r="BW1181" s="30"/>
      <c r="BX1181" s="30"/>
      <c r="BY1181" s="30"/>
      <c r="BZ1181" s="30"/>
      <c r="CA1181" s="30"/>
      <c r="CB1181" s="30"/>
      <c r="CC1181" s="30"/>
      <c r="CD1181" s="30"/>
      <c r="CE1181" s="30"/>
      <c r="CF1181" s="30"/>
      <c r="CG1181" s="30"/>
      <c r="CH1181" s="30"/>
      <c r="CI1181" s="30"/>
      <c r="CJ1181" s="30"/>
      <c r="CK1181" s="30"/>
      <c r="CL1181" s="30"/>
      <c r="CM1181" s="30"/>
      <c r="CN1181" s="30"/>
      <c r="CO1181" s="30"/>
      <c r="CP1181" s="30"/>
      <c r="CQ1181" s="30"/>
      <c r="CR1181" s="30"/>
      <c r="CS1181" s="30"/>
      <c r="CT1181" s="30"/>
      <c r="CU1181" s="30"/>
      <c r="CV1181" s="30"/>
      <c r="CW1181" s="30"/>
      <c r="CX1181" s="30"/>
      <c r="CY1181" s="30"/>
      <c r="CZ1181" s="30"/>
      <c r="DA1181" s="30"/>
      <c r="DB1181" s="30"/>
      <c r="DC1181" s="30"/>
      <c r="DD1181" s="30"/>
      <c r="DE1181" s="30"/>
      <c r="DF1181" s="30"/>
      <c r="DG1181" s="30"/>
      <c r="DH1181" s="30"/>
      <c r="DI1181" s="30"/>
      <c r="DJ1181" s="30"/>
      <c r="DK1181" s="30"/>
      <c r="DL1181" s="30"/>
      <c r="DM1181" s="30"/>
      <c r="DN1181" s="30"/>
      <c r="DO1181" s="30"/>
      <c r="DP1181" s="30"/>
      <c r="DQ1181" s="30"/>
      <c r="DR1181" s="30"/>
      <c r="DS1181" s="30"/>
      <c r="DT1181" s="30"/>
      <c r="DU1181" s="30"/>
      <c r="DV1181" s="30"/>
      <c r="DW1181" s="30"/>
      <c r="DX1181" s="30"/>
      <c r="DY1181" s="30"/>
      <c r="DZ1181" s="30"/>
      <c r="EA1181" s="30"/>
      <c r="EB1181" s="30"/>
      <c r="EC1181" s="30"/>
      <c r="ED1181" s="30"/>
      <c r="EE1181" s="30"/>
      <c r="EF1181" s="30"/>
      <c r="EG1181" s="30"/>
      <c r="EH1181" s="30"/>
      <c r="EI1181" s="30"/>
      <c r="EJ1181" s="30"/>
      <c r="EK1181" s="30"/>
      <c r="EL1181" s="30"/>
      <c r="EM1181" s="30"/>
      <c r="EN1181" s="30"/>
      <c r="EO1181" s="30"/>
      <c r="EP1181" s="30"/>
      <c r="EQ1181" s="30"/>
      <c r="ER1181" s="30"/>
      <c r="ES1181" s="30"/>
      <c r="ET1181" s="30"/>
      <c r="EU1181" s="30"/>
      <c r="EV1181" s="30"/>
      <c r="EW1181" s="30"/>
      <c r="EX1181" s="30"/>
      <c r="EY1181" s="30"/>
      <c r="EZ1181" s="30"/>
      <c r="FA1181" s="30"/>
      <c r="FB1181" s="30"/>
      <c r="FC1181" s="30"/>
      <c r="FD1181" s="30"/>
      <c r="FE1181" s="30"/>
      <c r="FF1181" s="30"/>
      <c r="FG1181" s="30"/>
      <c r="FH1181" s="30"/>
      <c r="FI1181" s="30"/>
      <c r="FJ1181" s="30"/>
      <c r="FK1181" s="30"/>
      <c r="FL1181" s="30"/>
      <c r="FM1181" s="30"/>
      <c r="FN1181" s="30"/>
      <c r="FO1181" s="30"/>
      <c r="FP1181" s="30"/>
      <c r="FQ1181" s="30"/>
      <c r="FR1181" s="30"/>
      <c r="FS1181" s="30"/>
      <c r="FT1181" s="30"/>
      <c r="FU1181" s="30"/>
      <c r="FV1181" s="30"/>
      <c r="FW1181" s="30"/>
      <c r="FX1181" s="30"/>
      <c r="FY1181" s="30"/>
      <c r="FZ1181" s="30"/>
      <c r="GA1181" s="30"/>
      <c r="GB1181" s="30"/>
      <c r="GC1181" s="30"/>
      <c r="GD1181" s="30"/>
      <c r="GE1181" s="30"/>
      <c r="GF1181" s="30"/>
      <c r="GG1181" s="30"/>
      <c r="GH1181" s="30"/>
      <c r="GI1181" s="30"/>
      <c r="GJ1181" s="30"/>
      <c r="GK1181" s="30"/>
      <c r="GL1181" s="30"/>
      <c r="GM1181" s="30"/>
      <c r="GN1181" s="30"/>
      <c r="GO1181" s="30"/>
      <c r="GP1181" s="30"/>
      <c r="GQ1181" s="30"/>
      <c r="GR1181" s="30"/>
      <c r="GS1181" s="30"/>
      <c r="GT1181" s="30"/>
      <c r="GU1181" s="30"/>
      <c r="GV1181" s="30"/>
      <c r="GW1181" s="30"/>
      <c r="GX1181" s="30"/>
      <c r="GY1181" s="30"/>
      <c r="GZ1181" s="30"/>
      <c r="HA1181" s="30"/>
      <c r="HB1181" s="30"/>
      <c r="HC1181" s="30"/>
      <c r="HD1181" s="30"/>
      <c r="HE1181" s="30"/>
      <c r="HF1181" s="30"/>
      <c r="HG1181" s="30"/>
      <c r="HH1181" s="30"/>
      <c r="HI1181" s="30"/>
      <c r="HJ1181" s="30"/>
      <c r="HK1181" s="30"/>
      <c r="HL1181" s="30"/>
      <c r="HM1181" s="30"/>
      <c r="HN1181" s="30"/>
      <c r="HO1181" s="30"/>
      <c r="HP1181" s="30"/>
      <c r="HQ1181" s="30"/>
      <c r="HR1181" s="30"/>
      <c r="HS1181" s="30"/>
      <c r="HT1181" s="30"/>
      <c r="HU1181" s="30"/>
      <c r="HV1181" s="30"/>
      <c r="HW1181" s="30"/>
      <c r="HX1181" s="30"/>
      <c r="HY1181" s="30"/>
      <c r="HZ1181" s="30"/>
      <c r="IA1181" s="30"/>
      <c r="IB1181" s="30"/>
      <c r="IC1181" s="30"/>
      <c r="ID1181" s="30"/>
      <c r="IE1181" s="30"/>
      <c r="IF1181" s="30"/>
      <c r="IG1181" s="30"/>
      <c r="IH1181" s="30"/>
      <c r="II1181" s="30"/>
      <c r="IJ1181" s="30"/>
      <c r="IK1181" s="30"/>
      <c r="IL1181" s="30"/>
      <c r="IM1181" s="30"/>
      <c r="IN1181" s="30"/>
      <c r="IO1181" s="30"/>
      <c r="IP1181" s="30"/>
      <c r="IQ1181" s="30"/>
      <c r="IR1181" s="30"/>
      <c r="IS1181" s="30"/>
      <c r="IT1181" s="30"/>
      <c r="IU1181" s="30"/>
      <c r="IV1181" s="30"/>
      <c r="IW1181" s="30"/>
      <c r="IX1181" s="30"/>
      <c r="IY1181" s="30"/>
      <c r="IZ1181" s="30"/>
      <c r="JA1181" s="30"/>
      <c r="JB1181" s="30"/>
      <c r="JC1181" s="30"/>
      <c r="JD1181" s="30"/>
      <c r="JE1181" s="30"/>
      <c r="JF1181" s="30"/>
      <c r="JG1181" s="30"/>
      <c r="JH1181" s="30"/>
      <c r="JI1181" s="30"/>
      <c r="JJ1181" s="30"/>
      <c r="JK1181" s="30"/>
      <c r="JL1181" s="30"/>
      <c r="JM1181" s="30"/>
      <c r="JN1181" s="30"/>
      <c r="JO1181" s="30"/>
      <c r="JP1181" s="30"/>
      <c r="JQ1181" s="30"/>
      <c r="JR1181" s="30"/>
      <c r="JS1181" s="30"/>
      <c r="JT1181" s="30"/>
      <c r="JU1181" s="30"/>
      <c r="JV1181" s="30"/>
      <c r="JW1181" s="30"/>
      <c r="JX1181" s="30"/>
      <c r="JY1181" s="30"/>
      <c r="JZ1181" s="30"/>
      <c r="KA1181" s="30"/>
      <c r="KB1181" s="30"/>
      <c r="KC1181" s="30"/>
      <c r="KD1181" s="30"/>
      <c r="KE1181" s="30"/>
    </row>
    <row r="1182" spans="1:291" s="29" customFormat="1" ht="35" customHeight="1">
      <c r="A1182" s="23">
        <f>ROW()-3</f>
        <v>1179</v>
      </c>
      <c r="B1182" s="134" t="s">
        <v>5597</v>
      </c>
      <c r="C1182" s="134" t="s">
        <v>4163</v>
      </c>
      <c r="D1182" s="274" t="s">
        <v>5514</v>
      </c>
      <c r="E1182" s="274" t="s">
        <v>5578</v>
      </c>
      <c r="F1182" s="274" t="s">
        <v>5523</v>
      </c>
      <c r="G1182" s="42" t="s">
        <v>3253</v>
      </c>
      <c r="H1182" s="134">
        <v>65</v>
      </c>
      <c r="I1182" s="275">
        <v>7.9586111111111109</v>
      </c>
      <c r="J1182" s="278">
        <v>44614</v>
      </c>
      <c r="K1182" s="211" t="s">
        <v>5579</v>
      </c>
      <c r="L1182" s="133">
        <v>34.799999999999997</v>
      </c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  <c r="AI1182" s="30"/>
      <c r="AJ1182" s="30"/>
      <c r="AK1182" s="30"/>
      <c r="AL1182" s="30"/>
      <c r="AM1182" s="30"/>
      <c r="AN1182" s="30"/>
      <c r="AO1182" s="30"/>
      <c r="AP1182" s="30"/>
      <c r="AQ1182" s="30"/>
      <c r="AR1182" s="30"/>
      <c r="AS1182" s="30"/>
      <c r="AT1182" s="30"/>
      <c r="AU1182" s="30"/>
      <c r="AV1182" s="30"/>
      <c r="AW1182" s="30"/>
      <c r="AX1182" s="30"/>
      <c r="AY1182" s="30"/>
      <c r="AZ1182" s="30"/>
      <c r="BA1182" s="30"/>
      <c r="BB1182" s="30"/>
      <c r="BC1182" s="30"/>
      <c r="BD1182" s="30"/>
      <c r="BE1182" s="30"/>
      <c r="BF1182" s="30"/>
      <c r="BG1182" s="30"/>
      <c r="BH1182" s="30"/>
      <c r="BI1182" s="30"/>
      <c r="BJ1182" s="30"/>
      <c r="BK1182" s="30"/>
      <c r="BL1182" s="30"/>
      <c r="BM1182" s="30"/>
      <c r="BN1182" s="30"/>
      <c r="BO1182" s="30"/>
      <c r="BP1182" s="30"/>
      <c r="BQ1182" s="30"/>
      <c r="BR1182" s="30"/>
      <c r="BS1182" s="30"/>
      <c r="BT1182" s="30"/>
      <c r="BU1182" s="30"/>
      <c r="BV1182" s="30"/>
      <c r="BW1182" s="30"/>
      <c r="BX1182" s="30"/>
      <c r="BY1182" s="30"/>
      <c r="BZ1182" s="30"/>
      <c r="CA1182" s="30"/>
      <c r="CB1182" s="30"/>
      <c r="CC1182" s="30"/>
      <c r="CD1182" s="30"/>
      <c r="CE1182" s="30"/>
      <c r="CF1182" s="30"/>
      <c r="CG1182" s="30"/>
      <c r="CH1182" s="30"/>
      <c r="CI1182" s="30"/>
      <c r="CJ1182" s="30"/>
      <c r="CK1182" s="30"/>
      <c r="CL1182" s="30"/>
      <c r="CM1182" s="30"/>
      <c r="CN1182" s="30"/>
      <c r="CO1182" s="30"/>
      <c r="CP1182" s="30"/>
      <c r="CQ1182" s="30"/>
      <c r="CR1182" s="30"/>
      <c r="CS1182" s="30"/>
      <c r="CT1182" s="30"/>
      <c r="CU1182" s="30"/>
      <c r="CV1182" s="30"/>
      <c r="CW1182" s="30"/>
      <c r="CX1182" s="30"/>
      <c r="CY1182" s="30"/>
      <c r="CZ1182" s="30"/>
      <c r="DA1182" s="30"/>
      <c r="DB1182" s="30"/>
      <c r="DC1182" s="30"/>
      <c r="DD1182" s="30"/>
      <c r="DE1182" s="30"/>
      <c r="DF1182" s="30"/>
      <c r="DG1182" s="30"/>
      <c r="DH1182" s="30"/>
      <c r="DI1182" s="30"/>
      <c r="DJ1182" s="30"/>
      <c r="DK1182" s="30"/>
      <c r="DL1182" s="30"/>
      <c r="DM1182" s="30"/>
      <c r="DN1182" s="30"/>
      <c r="DO1182" s="30"/>
      <c r="DP1182" s="30"/>
      <c r="DQ1182" s="30"/>
      <c r="DR1182" s="30"/>
      <c r="DS1182" s="30"/>
      <c r="DT1182" s="30"/>
      <c r="DU1182" s="30"/>
      <c r="DV1182" s="30"/>
      <c r="DW1182" s="30"/>
      <c r="DX1182" s="30"/>
      <c r="DY1182" s="30"/>
      <c r="DZ1182" s="30"/>
      <c r="EA1182" s="30"/>
      <c r="EB1182" s="30"/>
      <c r="EC1182" s="30"/>
      <c r="ED1182" s="30"/>
      <c r="EE1182" s="30"/>
      <c r="EF1182" s="30"/>
      <c r="EG1182" s="30"/>
      <c r="EH1182" s="30"/>
      <c r="EI1182" s="30"/>
      <c r="EJ1182" s="30"/>
      <c r="EK1182" s="30"/>
      <c r="EL1182" s="30"/>
      <c r="EM1182" s="30"/>
      <c r="EN1182" s="30"/>
      <c r="EO1182" s="30"/>
      <c r="EP1182" s="30"/>
      <c r="EQ1182" s="30"/>
      <c r="ER1182" s="30"/>
      <c r="ES1182" s="30"/>
      <c r="ET1182" s="30"/>
      <c r="EU1182" s="30"/>
      <c r="EV1182" s="30"/>
      <c r="EW1182" s="30"/>
      <c r="EX1182" s="30"/>
      <c r="EY1182" s="30"/>
      <c r="EZ1182" s="30"/>
      <c r="FA1182" s="30"/>
      <c r="FB1182" s="30"/>
      <c r="FC1182" s="30"/>
      <c r="FD1182" s="30"/>
      <c r="FE1182" s="30"/>
      <c r="FF1182" s="30"/>
      <c r="FG1182" s="30"/>
      <c r="FH1182" s="30"/>
      <c r="FI1182" s="30"/>
      <c r="FJ1182" s="30"/>
      <c r="FK1182" s="30"/>
      <c r="FL1182" s="30"/>
      <c r="FM1182" s="30"/>
      <c r="FN1182" s="30"/>
      <c r="FO1182" s="30"/>
      <c r="FP1182" s="30"/>
      <c r="FQ1182" s="30"/>
      <c r="FR1182" s="30"/>
      <c r="FS1182" s="30"/>
      <c r="FT1182" s="30"/>
      <c r="FU1182" s="30"/>
      <c r="FV1182" s="30"/>
      <c r="FW1182" s="30"/>
      <c r="FX1182" s="30"/>
      <c r="FY1182" s="30"/>
      <c r="FZ1182" s="30"/>
      <c r="GA1182" s="30"/>
      <c r="GB1182" s="30"/>
      <c r="GC1182" s="30"/>
      <c r="GD1182" s="30"/>
      <c r="GE1182" s="30"/>
      <c r="GF1182" s="30"/>
      <c r="GG1182" s="30"/>
      <c r="GH1182" s="30"/>
      <c r="GI1182" s="30"/>
      <c r="GJ1182" s="30"/>
      <c r="GK1182" s="30"/>
      <c r="GL1182" s="30"/>
      <c r="GM1182" s="30"/>
      <c r="GN1182" s="30"/>
      <c r="GO1182" s="30"/>
      <c r="GP1182" s="30"/>
      <c r="GQ1182" s="30"/>
      <c r="GR1182" s="30"/>
      <c r="GS1182" s="30"/>
      <c r="GT1182" s="30"/>
      <c r="GU1182" s="30"/>
      <c r="GV1182" s="30"/>
      <c r="GW1182" s="30"/>
      <c r="GX1182" s="30"/>
      <c r="GY1182" s="30"/>
      <c r="GZ1182" s="30"/>
      <c r="HA1182" s="30"/>
      <c r="HB1182" s="30"/>
      <c r="HC1182" s="30"/>
      <c r="HD1182" s="30"/>
      <c r="HE1182" s="30"/>
      <c r="HF1182" s="30"/>
      <c r="HG1182" s="30"/>
      <c r="HH1182" s="30"/>
      <c r="HI1182" s="30"/>
      <c r="HJ1182" s="30"/>
      <c r="HK1182" s="30"/>
      <c r="HL1182" s="30"/>
      <c r="HM1182" s="30"/>
      <c r="HN1182" s="30"/>
      <c r="HO1182" s="30"/>
      <c r="HP1182" s="30"/>
      <c r="HQ1182" s="30"/>
      <c r="HR1182" s="30"/>
      <c r="HS1182" s="30"/>
      <c r="HT1182" s="30"/>
      <c r="HU1182" s="30"/>
      <c r="HV1182" s="30"/>
      <c r="HW1182" s="30"/>
      <c r="HX1182" s="30"/>
      <c r="HY1182" s="30"/>
      <c r="HZ1182" s="30"/>
      <c r="IA1182" s="30"/>
      <c r="IB1182" s="30"/>
      <c r="IC1182" s="30"/>
      <c r="ID1182" s="30"/>
      <c r="IE1182" s="30"/>
      <c r="IF1182" s="30"/>
      <c r="IG1182" s="30"/>
      <c r="IH1182" s="30"/>
      <c r="II1182" s="30"/>
      <c r="IJ1182" s="30"/>
      <c r="IK1182" s="30"/>
      <c r="IL1182" s="30"/>
      <c r="IM1182" s="30"/>
      <c r="IN1182" s="30"/>
      <c r="IO1182" s="30"/>
      <c r="IP1182" s="30"/>
      <c r="IQ1182" s="30"/>
      <c r="IR1182" s="30"/>
      <c r="IS1182" s="30"/>
      <c r="IT1182" s="30"/>
      <c r="IU1182" s="30"/>
      <c r="IV1182" s="30"/>
      <c r="IW1182" s="30"/>
      <c r="IX1182" s="30"/>
      <c r="IY1182" s="30"/>
      <c r="IZ1182" s="30"/>
      <c r="JA1182" s="30"/>
      <c r="JB1182" s="30"/>
      <c r="JC1182" s="30"/>
      <c r="JD1182" s="30"/>
      <c r="JE1182" s="30"/>
      <c r="JF1182" s="30"/>
      <c r="JG1182" s="30"/>
      <c r="JH1182" s="30"/>
      <c r="JI1182" s="30"/>
      <c r="JJ1182" s="30"/>
      <c r="JK1182" s="30"/>
      <c r="JL1182" s="30"/>
      <c r="JM1182" s="30"/>
      <c r="JN1182" s="30"/>
      <c r="JO1182" s="30"/>
      <c r="JP1182" s="30"/>
      <c r="JQ1182" s="30"/>
      <c r="JR1182" s="30"/>
      <c r="JS1182" s="30"/>
      <c r="JT1182" s="30"/>
      <c r="JU1182" s="30"/>
      <c r="JV1182" s="30"/>
      <c r="JW1182" s="30"/>
      <c r="JX1182" s="30"/>
      <c r="JY1182" s="30"/>
      <c r="JZ1182" s="30"/>
      <c r="KA1182" s="30"/>
      <c r="KB1182" s="30"/>
      <c r="KC1182" s="30"/>
      <c r="KD1182" s="30"/>
      <c r="KE1182" s="30"/>
    </row>
    <row r="1183" spans="1:291" s="25" customFormat="1" ht="35" customHeight="1">
      <c r="A1183" s="23">
        <f>ROW()-3</f>
        <v>1180</v>
      </c>
      <c r="B1183" s="134" t="s">
        <v>5597</v>
      </c>
      <c r="C1183" s="134" t="s">
        <v>4163</v>
      </c>
      <c r="D1183" s="274" t="s">
        <v>5515</v>
      </c>
      <c r="E1183" s="274" t="s">
        <v>5580</v>
      </c>
      <c r="F1183" s="274" t="s">
        <v>5581</v>
      </c>
      <c r="G1183" s="42" t="s">
        <v>3253</v>
      </c>
      <c r="H1183" s="134">
        <v>78</v>
      </c>
      <c r="I1183" s="275">
        <v>6.9677777777777781</v>
      </c>
      <c r="J1183" s="278">
        <v>44614</v>
      </c>
      <c r="K1183" s="211" t="s">
        <v>5575</v>
      </c>
      <c r="L1183" s="133">
        <v>39</v>
      </c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  <c r="AI1183" s="30"/>
      <c r="AJ1183" s="30"/>
      <c r="AK1183" s="30"/>
      <c r="AL1183" s="30"/>
      <c r="AM1183" s="30"/>
      <c r="AN1183" s="30"/>
      <c r="AO1183" s="30"/>
      <c r="AP1183" s="30"/>
      <c r="AQ1183" s="30"/>
      <c r="AR1183" s="30"/>
      <c r="AS1183" s="30"/>
      <c r="AT1183" s="30"/>
      <c r="AU1183" s="30"/>
      <c r="AV1183" s="30"/>
      <c r="AW1183" s="30"/>
      <c r="AX1183" s="30"/>
      <c r="AY1183" s="30"/>
      <c r="AZ1183" s="30"/>
      <c r="BA1183" s="30"/>
      <c r="BB1183" s="30"/>
      <c r="BC1183" s="30"/>
      <c r="BD1183" s="30"/>
      <c r="BE1183" s="30"/>
      <c r="BF1183" s="30"/>
      <c r="BG1183" s="30"/>
      <c r="BH1183" s="30"/>
      <c r="BI1183" s="30"/>
      <c r="BJ1183" s="30"/>
      <c r="BK1183" s="30"/>
      <c r="BL1183" s="30"/>
      <c r="BM1183" s="30"/>
      <c r="BN1183" s="30"/>
      <c r="BO1183" s="30"/>
      <c r="BP1183" s="30"/>
      <c r="BQ1183" s="30"/>
      <c r="BR1183" s="30"/>
      <c r="BS1183" s="30"/>
      <c r="BT1183" s="30"/>
      <c r="BU1183" s="30"/>
      <c r="BV1183" s="30"/>
      <c r="BW1183" s="30"/>
      <c r="BX1183" s="30"/>
      <c r="BY1183" s="30"/>
      <c r="BZ1183" s="30"/>
      <c r="CA1183" s="30"/>
      <c r="CB1183" s="30"/>
      <c r="CC1183" s="30"/>
      <c r="CD1183" s="30"/>
      <c r="CE1183" s="30"/>
      <c r="CF1183" s="30"/>
      <c r="CG1183" s="30"/>
      <c r="CH1183" s="30"/>
      <c r="CI1183" s="30"/>
      <c r="CJ1183" s="30"/>
      <c r="CK1183" s="30"/>
      <c r="CL1183" s="30"/>
      <c r="CM1183" s="30"/>
      <c r="CN1183" s="30"/>
      <c r="CO1183" s="30"/>
      <c r="CP1183" s="30"/>
      <c r="CQ1183" s="30"/>
      <c r="CR1183" s="30"/>
      <c r="CS1183" s="30"/>
      <c r="CT1183" s="30"/>
      <c r="CU1183" s="30"/>
      <c r="CV1183" s="30"/>
      <c r="CW1183" s="30"/>
      <c r="CX1183" s="30"/>
      <c r="CY1183" s="30"/>
      <c r="CZ1183" s="30"/>
      <c r="DA1183" s="30"/>
      <c r="DB1183" s="30"/>
      <c r="DC1183" s="30"/>
      <c r="DD1183" s="30"/>
      <c r="DE1183" s="30"/>
      <c r="DF1183" s="30"/>
      <c r="DG1183" s="30"/>
      <c r="DH1183" s="30"/>
      <c r="DI1183" s="30"/>
      <c r="DJ1183" s="30"/>
      <c r="DK1183" s="30"/>
      <c r="DL1183" s="30"/>
      <c r="DM1183" s="30"/>
      <c r="DN1183" s="30"/>
      <c r="DO1183" s="30"/>
      <c r="DP1183" s="30"/>
      <c r="DQ1183" s="30"/>
      <c r="DR1183" s="30"/>
      <c r="DS1183" s="30"/>
      <c r="DT1183" s="30"/>
      <c r="DU1183" s="30"/>
      <c r="DV1183" s="30"/>
      <c r="DW1183" s="30"/>
      <c r="DX1183" s="30"/>
      <c r="DY1183" s="30"/>
      <c r="DZ1183" s="30"/>
      <c r="EA1183" s="30"/>
      <c r="EB1183" s="30"/>
      <c r="EC1183" s="30"/>
      <c r="ED1183" s="30"/>
      <c r="EE1183" s="30"/>
      <c r="EF1183" s="30"/>
      <c r="EG1183" s="30"/>
      <c r="EH1183" s="30"/>
      <c r="EI1183" s="30"/>
      <c r="EJ1183" s="30"/>
      <c r="EK1183" s="30"/>
      <c r="EL1183" s="30"/>
      <c r="EM1183" s="30"/>
      <c r="EN1183" s="30"/>
      <c r="EO1183" s="30"/>
      <c r="EP1183" s="30"/>
      <c r="EQ1183" s="30"/>
      <c r="ER1183" s="30"/>
      <c r="ES1183" s="30"/>
      <c r="ET1183" s="30"/>
      <c r="EU1183" s="30"/>
      <c r="EV1183" s="30"/>
      <c r="EW1183" s="30"/>
      <c r="EX1183" s="30"/>
      <c r="EY1183" s="30"/>
      <c r="EZ1183" s="30"/>
      <c r="FA1183" s="30"/>
      <c r="FB1183" s="30"/>
      <c r="FC1183" s="30"/>
      <c r="FD1183" s="30"/>
      <c r="FE1183" s="30"/>
      <c r="FF1183" s="30"/>
      <c r="FG1183" s="30"/>
      <c r="FH1183" s="30"/>
      <c r="FI1183" s="30"/>
      <c r="FJ1183" s="30"/>
      <c r="FK1183" s="30"/>
      <c r="FL1183" s="30"/>
      <c r="FM1183" s="30"/>
      <c r="FN1183" s="30"/>
      <c r="FO1183" s="30"/>
      <c r="FP1183" s="30"/>
      <c r="FQ1183" s="30"/>
      <c r="FR1183" s="30"/>
      <c r="FS1183" s="30"/>
      <c r="FT1183" s="30"/>
      <c r="FU1183" s="30"/>
      <c r="FV1183" s="30"/>
      <c r="FW1183" s="30"/>
      <c r="FX1183" s="30"/>
      <c r="FY1183" s="30"/>
      <c r="FZ1183" s="30"/>
      <c r="GA1183" s="30"/>
      <c r="GB1183" s="30"/>
      <c r="GC1183" s="30"/>
      <c r="GD1183" s="30"/>
      <c r="GE1183" s="30"/>
      <c r="GF1183" s="30"/>
      <c r="GG1183" s="30"/>
      <c r="GH1183" s="30"/>
      <c r="GI1183" s="30"/>
      <c r="GJ1183" s="30"/>
      <c r="GK1183" s="30"/>
      <c r="GL1183" s="30"/>
      <c r="GM1183" s="30"/>
      <c r="GN1183" s="30"/>
      <c r="GO1183" s="30"/>
      <c r="GP1183" s="30"/>
      <c r="GQ1183" s="30"/>
      <c r="GR1183" s="30"/>
      <c r="GS1183" s="30"/>
      <c r="GT1183" s="30"/>
      <c r="GU1183" s="30"/>
      <c r="GV1183" s="30"/>
      <c r="GW1183" s="30"/>
      <c r="GX1183" s="30"/>
      <c r="GY1183" s="30"/>
      <c r="GZ1183" s="30"/>
      <c r="HA1183" s="30"/>
      <c r="HB1183" s="30"/>
      <c r="HC1183" s="30"/>
      <c r="HD1183" s="30"/>
      <c r="HE1183" s="30"/>
      <c r="HF1183" s="30"/>
      <c r="HG1183" s="30"/>
      <c r="HH1183" s="30"/>
      <c r="HI1183" s="30"/>
      <c r="HJ1183" s="30"/>
      <c r="HK1183" s="30"/>
      <c r="HL1183" s="30"/>
      <c r="HM1183" s="30"/>
      <c r="HN1183" s="30"/>
      <c r="HO1183" s="30"/>
      <c r="HP1183" s="30"/>
      <c r="HQ1183" s="30"/>
      <c r="HR1183" s="30"/>
      <c r="HS1183" s="30"/>
      <c r="HT1183" s="30"/>
      <c r="HU1183" s="30"/>
      <c r="HV1183" s="30"/>
      <c r="HW1183" s="30"/>
      <c r="HX1183" s="30"/>
      <c r="HY1183" s="30"/>
      <c r="HZ1183" s="30"/>
      <c r="IA1183" s="30"/>
      <c r="IB1183" s="30"/>
      <c r="IC1183" s="30"/>
      <c r="ID1183" s="30"/>
      <c r="IE1183" s="30"/>
      <c r="IF1183" s="30"/>
      <c r="IG1183" s="30"/>
      <c r="IH1183" s="30"/>
      <c r="II1183" s="30"/>
      <c r="IJ1183" s="30"/>
      <c r="IK1183" s="30"/>
      <c r="IL1183" s="30"/>
      <c r="IM1183" s="30"/>
      <c r="IN1183" s="30"/>
      <c r="IO1183" s="30"/>
      <c r="IP1183" s="30"/>
      <c r="IQ1183" s="30"/>
      <c r="IR1183" s="30"/>
      <c r="IS1183" s="30"/>
      <c r="IT1183" s="30"/>
      <c r="IU1183" s="30"/>
      <c r="IV1183" s="30"/>
      <c r="IW1183" s="30"/>
      <c r="IX1183" s="30"/>
      <c r="IY1183" s="30"/>
      <c r="IZ1183" s="30"/>
      <c r="JA1183" s="30"/>
      <c r="JB1183" s="30"/>
      <c r="JC1183" s="30"/>
      <c r="JD1183" s="30"/>
      <c r="JE1183" s="30"/>
      <c r="JF1183" s="30"/>
      <c r="JG1183" s="30"/>
      <c r="JH1183" s="30"/>
      <c r="JI1183" s="30"/>
      <c r="JJ1183" s="30"/>
      <c r="JK1183" s="30"/>
      <c r="JL1183" s="30"/>
      <c r="JM1183" s="30"/>
      <c r="JN1183" s="30"/>
      <c r="JO1183" s="30"/>
      <c r="JP1183" s="30"/>
      <c r="JQ1183" s="30"/>
      <c r="JR1183" s="30"/>
      <c r="JS1183" s="30"/>
      <c r="JT1183" s="30"/>
      <c r="JU1183" s="30"/>
      <c r="JV1183" s="30"/>
      <c r="JW1183" s="30"/>
      <c r="JX1183" s="30"/>
      <c r="JY1183" s="30"/>
      <c r="JZ1183" s="30"/>
      <c r="KA1183" s="30"/>
      <c r="KB1183" s="30"/>
      <c r="KC1183" s="30"/>
      <c r="KD1183" s="30"/>
      <c r="KE1183" s="30"/>
    </row>
    <row r="1184" spans="1:291" s="25" customFormat="1" ht="35" customHeight="1">
      <c r="A1184" s="23">
        <f>ROW()-3</f>
        <v>1181</v>
      </c>
      <c r="B1184" s="134" t="s">
        <v>5597</v>
      </c>
      <c r="C1184" s="134" t="s">
        <v>4163</v>
      </c>
      <c r="D1184" s="274" t="s">
        <v>5516</v>
      </c>
      <c r="E1184" s="274" t="s">
        <v>5585</v>
      </c>
      <c r="F1184" s="274" t="s">
        <v>5586</v>
      </c>
      <c r="G1184" s="42" t="s">
        <v>3253</v>
      </c>
      <c r="H1184" s="134">
        <v>61</v>
      </c>
      <c r="I1184" s="275">
        <v>7.7777777777777777</v>
      </c>
      <c r="J1184" s="278">
        <v>44614</v>
      </c>
      <c r="K1184" s="211" t="s">
        <v>5575</v>
      </c>
      <c r="L1184" s="133">
        <v>29.99</v>
      </c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0"/>
      <c r="AJ1184" s="30"/>
      <c r="AK1184" s="30"/>
      <c r="AL1184" s="30"/>
      <c r="AM1184" s="30"/>
      <c r="AN1184" s="30"/>
      <c r="AO1184" s="30"/>
      <c r="AP1184" s="30"/>
      <c r="AQ1184" s="30"/>
      <c r="AR1184" s="30"/>
      <c r="AS1184" s="30"/>
      <c r="AT1184" s="30"/>
      <c r="AU1184" s="30"/>
      <c r="AV1184" s="30"/>
      <c r="AW1184" s="30"/>
      <c r="AX1184" s="30"/>
      <c r="AY1184" s="30"/>
      <c r="AZ1184" s="30"/>
      <c r="BA1184" s="30"/>
      <c r="BB1184" s="30"/>
      <c r="BC1184" s="30"/>
      <c r="BD1184" s="30"/>
      <c r="BE1184" s="30"/>
      <c r="BF1184" s="30"/>
      <c r="BG1184" s="30"/>
      <c r="BH1184" s="30"/>
      <c r="BI1184" s="30"/>
      <c r="BJ1184" s="30"/>
      <c r="BK1184" s="30"/>
      <c r="BL1184" s="30"/>
      <c r="BM1184" s="30"/>
      <c r="BN1184" s="30"/>
      <c r="BO1184" s="30"/>
      <c r="BP1184" s="30"/>
      <c r="BQ1184" s="30"/>
      <c r="BR1184" s="30"/>
      <c r="BS1184" s="30"/>
      <c r="BT1184" s="30"/>
      <c r="BU1184" s="30"/>
      <c r="BV1184" s="30"/>
      <c r="BW1184" s="30"/>
      <c r="BX1184" s="30"/>
      <c r="BY1184" s="30"/>
      <c r="BZ1184" s="30"/>
      <c r="CA1184" s="30"/>
      <c r="CB1184" s="30"/>
      <c r="CC1184" s="30"/>
      <c r="CD1184" s="30"/>
      <c r="CE1184" s="30"/>
      <c r="CF1184" s="30"/>
      <c r="CG1184" s="30"/>
      <c r="CH1184" s="30"/>
      <c r="CI1184" s="30"/>
      <c r="CJ1184" s="30"/>
      <c r="CK1184" s="30"/>
      <c r="CL1184" s="30"/>
      <c r="CM1184" s="30"/>
      <c r="CN1184" s="30"/>
      <c r="CO1184" s="30"/>
      <c r="CP1184" s="30"/>
      <c r="CQ1184" s="30"/>
      <c r="CR1184" s="30"/>
      <c r="CS1184" s="30"/>
      <c r="CT1184" s="30"/>
      <c r="CU1184" s="30"/>
      <c r="CV1184" s="30"/>
      <c r="CW1184" s="30"/>
      <c r="CX1184" s="30"/>
      <c r="CY1184" s="30"/>
      <c r="CZ1184" s="30"/>
      <c r="DA1184" s="30"/>
      <c r="DB1184" s="30"/>
      <c r="DC1184" s="30"/>
      <c r="DD1184" s="30"/>
      <c r="DE1184" s="30"/>
      <c r="DF1184" s="30"/>
      <c r="DG1184" s="30"/>
      <c r="DH1184" s="30"/>
      <c r="DI1184" s="30"/>
      <c r="DJ1184" s="30"/>
      <c r="DK1184" s="30"/>
      <c r="DL1184" s="30"/>
      <c r="DM1184" s="30"/>
      <c r="DN1184" s="30"/>
      <c r="DO1184" s="30"/>
      <c r="DP1184" s="30"/>
      <c r="DQ1184" s="30"/>
      <c r="DR1184" s="30"/>
      <c r="DS1184" s="30"/>
      <c r="DT1184" s="30"/>
      <c r="DU1184" s="30"/>
      <c r="DV1184" s="30"/>
      <c r="DW1184" s="30"/>
      <c r="DX1184" s="30"/>
      <c r="DY1184" s="30"/>
      <c r="DZ1184" s="30"/>
      <c r="EA1184" s="30"/>
      <c r="EB1184" s="30"/>
      <c r="EC1184" s="30"/>
      <c r="ED1184" s="30"/>
      <c r="EE1184" s="30"/>
      <c r="EF1184" s="30"/>
      <c r="EG1184" s="30"/>
      <c r="EH1184" s="30"/>
      <c r="EI1184" s="30"/>
      <c r="EJ1184" s="30"/>
      <c r="EK1184" s="30"/>
      <c r="EL1184" s="30"/>
      <c r="EM1184" s="30"/>
      <c r="EN1184" s="30"/>
      <c r="EO1184" s="30"/>
      <c r="EP1184" s="30"/>
      <c r="EQ1184" s="30"/>
      <c r="ER1184" s="30"/>
      <c r="ES1184" s="30"/>
      <c r="ET1184" s="30"/>
      <c r="EU1184" s="30"/>
      <c r="EV1184" s="30"/>
      <c r="EW1184" s="30"/>
      <c r="EX1184" s="30"/>
      <c r="EY1184" s="30"/>
      <c r="EZ1184" s="30"/>
      <c r="FA1184" s="30"/>
      <c r="FB1184" s="30"/>
      <c r="FC1184" s="30"/>
      <c r="FD1184" s="30"/>
      <c r="FE1184" s="30"/>
      <c r="FF1184" s="30"/>
      <c r="FG1184" s="30"/>
      <c r="FH1184" s="30"/>
      <c r="FI1184" s="30"/>
      <c r="FJ1184" s="30"/>
      <c r="FK1184" s="30"/>
      <c r="FL1184" s="30"/>
      <c r="FM1184" s="30"/>
      <c r="FN1184" s="30"/>
      <c r="FO1184" s="30"/>
      <c r="FP1184" s="30"/>
      <c r="FQ1184" s="30"/>
      <c r="FR1184" s="30"/>
      <c r="FS1184" s="30"/>
      <c r="FT1184" s="30"/>
      <c r="FU1184" s="30"/>
      <c r="FV1184" s="30"/>
      <c r="FW1184" s="30"/>
      <c r="FX1184" s="30"/>
      <c r="FY1184" s="30"/>
      <c r="FZ1184" s="30"/>
      <c r="GA1184" s="30"/>
      <c r="GB1184" s="30"/>
      <c r="GC1184" s="30"/>
      <c r="GD1184" s="30"/>
      <c r="GE1184" s="30"/>
      <c r="GF1184" s="30"/>
      <c r="GG1184" s="30"/>
      <c r="GH1184" s="30"/>
      <c r="GI1184" s="30"/>
      <c r="GJ1184" s="30"/>
      <c r="GK1184" s="30"/>
      <c r="GL1184" s="30"/>
      <c r="GM1184" s="30"/>
      <c r="GN1184" s="30"/>
      <c r="GO1184" s="30"/>
      <c r="GP1184" s="30"/>
      <c r="GQ1184" s="30"/>
      <c r="GR1184" s="30"/>
      <c r="GS1184" s="30"/>
      <c r="GT1184" s="30"/>
      <c r="GU1184" s="30"/>
      <c r="GV1184" s="30"/>
      <c r="GW1184" s="30"/>
      <c r="GX1184" s="30"/>
      <c r="GY1184" s="30"/>
      <c r="GZ1184" s="30"/>
      <c r="HA1184" s="30"/>
      <c r="HB1184" s="30"/>
      <c r="HC1184" s="30"/>
      <c r="HD1184" s="30"/>
      <c r="HE1184" s="30"/>
      <c r="HF1184" s="30"/>
      <c r="HG1184" s="30"/>
      <c r="HH1184" s="30"/>
      <c r="HI1184" s="30"/>
      <c r="HJ1184" s="30"/>
      <c r="HK1184" s="30"/>
      <c r="HL1184" s="30"/>
      <c r="HM1184" s="30"/>
      <c r="HN1184" s="30"/>
      <c r="HO1184" s="30"/>
      <c r="HP1184" s="30"/>
      <c r="HQ1184" s="30"/>
      <c r="HR1184" s="30"/>
      <c r="HS1184" s="30"/>
      <c r="HT1184" s="30"/>
      <c r="HU1184" s="30"/>
      <c r="HV1184" s="30"/>
      <c r="HW1184" s="30"/>
      <c r="HX1184" s="30"/>
      <c r="HY1184" s="30"/>
      <c r="HZ1184" s="30"/>
      <c r="IA1184" s="30"/>
      <c r="IB1184" s="30"/>
      <c r="IC1184" s="30"/>
      <c r="ID1184" s="30"/>
      <c r="IE1184" s="30"/>
      <c r="IF1184" s="30"/>
      <c r="IG1184" s="30"/>
      <c r="IH1184" s="30"/>
      <c r="II1184" s="30"/>
      <c r="IJ1184" s="30"/>
      <c r="IK1184" s="30"/>
      <c r="IL1184" s="30"/>
      <c r="IM1184" s="30"/>
      <c r="IN1184" s="30"/>
      <c r="IO1184" s="30"/>
      <c r="IP1184" s="30"/>
      <c r="IQ1184" s="30"/>
      <c r="IR1184" s="30"/>
      <c r="IS1184" s="30"/>
      <c r="IT1184" s="30"/>
      <c r="IU1184" s="30"/>
      <c r="IV1184" s="30"/>
      <c r="IW1184" s="30"/>
      <c r="IX1184" s="30"/>
      <c r="IY1184" s="30"/>
      <c r="IZ1184" s="30"/>
      <c r="JA1184" s="30"/>
      <c r="JB1184" s="30"/>
      <c r="JC1184" s="30"/>
      <c r="JD1184" s="30"/>
      <c r="JE1184" s="30"/>
      <c r="JF1184" s="30"/>
      <c r="JG1184" s="30"/>
      <c r="JH1184" s="30"/>
      <c r="JI1184" s="30"/>
      <c r="JJ1184" s="30"/>
      <c r="JK1184" s="30"/>
      <c r="JL1184" s="30"/>
      <c r="JM1184" s="30"/>
      <c r="JN1184" s="30"/>
      <c r="JO1184" s="30"/>
      <c r="JP1184" s="30"/>
      <c r="JQ1184" s="30"/>
      <c r="JR1184" s="30"/>
      <c r="JS1184" s="30"/>
      <c r="JT1184" s="30"/>
      <c r="JU1184" s="30"/>
      <c r="JV1184" s="30"/>
      <c r="JW1184" s="30"/>
      <c r="JX1184" s="30"/>
      <c r="JY1184" s="30"/>
      <c r="JZ1184" s="30"/>
      <c r="KA1184" s="30"/>
      <c r="KB1184" s="30"/>
      <c r="KC1184" s="30"/>
      <c r="KD1184" s="30"/>
      <c r="KE1184" s="30"/>
    </row>
    <row r="1185" spans="1:291" s="25" customFormat="1" ht="35" customHeight="1">
      <c r="A1185" s="23">
        <f>ROW()-3</f>
        <v>1182</v>
      </c>
      <c r="B1185" s="183" t="s">
        <v>4586</v>
      </c>
      <c r="C1185" s="183" t="s">
        <v>4345</v>
      </c>
      <c r="D1185" s="128" t="s">
        <v>5090</v>
      </c>
      <c r="E1185" s="128" t="s">
        <v>5091</v>
      </c>
      <c r="F1185" s="128" t="s">
        <v>4589</v>
      </c>
      <c r="G1185" s="42" t="s">
        <v>34</v>
      </c>
      <c r="H1185" s="183">
        <v>38</v>
      </c>
      <c r="I1185" s="84">
        <v>10.8325</v>
      </c>
      <c r="J1185" s="208">
        <v>43468</v>
      </c>
      <c r="K1185" s="46" t="s">
        <v>20</v>
      </c>
      <c r="L1185" s="203">
        <v>49</v>
      </c>
      <c r="M1185" s="32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32"/>
      <c r="AG1185" s="32"/>
      <c r="AH1185" s="32"/>
      <c r="AI1185" s="32"/>
      <c r="AJ1185" s="32"/>
      <c r="AK1185" s="32"/>
      <c r="AL1185" s="32"/>
      <c r="AM1185" s="32"/>
      <c r="AN1185" s="32"/>
      <c r="AO1185" s="32"/>
      <c r="AP1185" s="32"/>
      <c r="AQ1185" s="32"/>
      <c r="AR1185" s="32"/>
      <c r="AS1185" s="32"/>
      <c r="AT1185" s="32"/>
      <c r="AU1185" s="32"/>
      <c r="AV1185" s="32"/>
      <c r="AW1185" s="32"/>
      <c r="AX1185" s="32"/>
      <c r="AY1185" s="32"/>
      <c r="AZ1185" s="32"/>
      <c r="BA1185" s="32"/>
      <c r="BB1185" s="32"/>
      <c r="BC1185" s="32"/>
      <c r="BD1185" s="32"/>
      <c r="BE1185" s="32"/>
      <c r="BF1185" s="32"/>
      <c r="BG1185" s="32"/>
      <c r="BH1185" s="32"/>
      <c r="BI1185" s="32"/>
      <c r="BJ1185" s="32"/>
      <c r="BK1185" s="32"/>
      <c r="BL1185" s="32"/>
      <c r="BM1185" s="32"/>
      <c r="BN1185" s="32"/>
      <c r="BO1185" s="32"/>
      <c r="BP1185" s="32"/>
      <c r="BQ1185" s="32"/>
      <c r="BR1185" s="32"/>
      <c r="BS1185" s="32"/>
      <c r="BT1185" s="32"/>
      <c r="BU1185" s="32"/>
      <c r="BV1185" s="32"/>
      <c r="BW1185" s="32"/>
      <c r="BX1185" s="32"/>
      <c r="BY1185" s="32"/>
      <c r="BZ1185" s="32"/>
      <c r="CA1185" s="32"/>
      <c r="CB1185" s="32"/>
      <c r="CC1185" s="32"/>
      <c r="CD1185" s="32"/>
      <c r="CE1185" s="32"/>
      <c r="CF1185" s="32"/>
      <c r="CG1185" s="32"/>
      <c r="CH1185" s="32"/>
      <c r="CI1185" s="32"/>
      <c r="CJ1185" s="32"/>
      <c r="CK1185" s="32"/>
      <c r="CL1185" s="32"/>
      <c r="CM1185" s="32"/>
      <c r="CN1185" s="32"/>
      <c r="CO1185" s="32"/>
      <c r="CP1185" s="32"/>
      <c r="CQ1185" s="32"/>
      <c r="CR1185" s="32"/>
      <c r="CS1185" s="32"/>
      <c r="CT1185" s="32"/>
      <c r="CU1185" s="32"/>
      <c r="CV1185" s="32"/>
      <c r="CW1185" s="32"/>
      <c r="CX1185" s="32"/>
      <c r="CY1185" s="32"/>
      <c r="CZ1185" s="32"/>
      <c r="DA1185" s="32"/>
      <c r="DB1185" s="32"/>
      <c r="DC1185" s="32"/>
      <c r="DD1185" s="32"/>
      <c r="DE1185" s="32"/>
      <c r="DF1185" s="32"/>
      <c r="DG1185" s="32"/>
      <c r="DH1185" s="32"/>
      <c r="DI1185" s="32"/>
      <c r="DJ1185" s="32"/>
      <c r="DK1185" s="32"/>
      <c r="DL1185" s="32"/>
      <c r="DM1185" s="32"/>
      <c r="DN1185" s="32"/>
      <c r="DO1185" s="32"/>
      <c r="DP1185" s="32"/>
      <c r="DQ1185" s="32"/>
      <c r="DR1185" s="32"/>
      <c r="DS1185" s="32"/>
      <c r="DT1185" s="32"/>
      <c r="DU1185" s="32"/>
      <c r="DV1185" s="32"/>
      <c r="DW1185" s="32"/>
      <c r="DX1185" s="32"/>
      <c r="DY1185" s="32"/>
      <c r="DZ1185" s="32"/>
      <c r="EA1185" s="32"/>
      <c r="EB1185" s="32"/>
      <c r="EC1185" s="32"/>
      <c r="ED1185" s="32"/>
      <c r="EE1185" s="32"/>
      <c r="EF1185" s="32"/>
      <c r="EG1185" s="32"/>
      <c r="EH1185" s="32"/>
      <c r="EI1185" s="32"/>
      <c r="EJ1185" s="32"/>
      <c r="EK1185" s="32"/>
      <c r="EL1185" s="32"/>
      <c r="EM1185" s="32"/>
      <c r="EN1185" s="32"/>
      <c r="EO1185" s="32"/>
      <c r="EP1185" s="32"/>
      <c r="EQ1185" s="32"/>
      <c r="ER1185" s="32"/>
      <c r="ES1185" s="32"/>
      <c r="ET1185" s="32"/>
      <c r="EU1185" s="32"/>
      <c r="EV1185" s="32"/>
      <c r="EW1185" s="32"/>
      <c r="EX1185" s="32"/>
      <c r="EY1185" s="32"/>
      <c r="EZ1185" s="32"/>
      <c r="FA1185" s="32"/>
      <c r="FB1185" s="32"/>
      <c r="FC1185" s="32"/>
      <c r="FD1185" s="32"/>
      <c r="FE1185" s="32"/>
      <c r="FF1185" s="32"/>
      <c r="FG1185" s="32"/>
      <c r="FH1185" s="32"/>
      <c r="FI1185" s="32"/>
      <c r="FJ1185" s="32"/>
      <c r="FK1185" s="32"/>
      <c r="FL1185" s="32"/>
      <c r="FM1185" s="32"/>
      <c r="FN1185" s="32"/>
      <c r="FO1185" s="32"/>
      <c r="FP1185" s="32"/>
      <c r="FQ1185" s="32"/>
      <c r="FR1185" s="32"/>
      <c r="FS1185" s="32"/>
      <c r="FT1185" s="32"/>
      <c r="FU1185" s="32"/>
      <c r="FV1185" s="32"/>
      <c r="FW1185" s="32"/>
      <c r="FX1185" s="32"/>
      <c r="FY1185" s="32"/>
      <c r="FZ1185" s="32"/>
      <c r="GA1185" s="32"/>
      <c r="GB1185" s="32"/>
      <c r="GC1185" s="32"/>
      <c r="GD1185" s="32"/>
      <c r="GE1185" s="32"/>
      <c r="GF1185" s="32"/>
      <c r="GG1185" s="32"/>
      <c r="GH1185" s="32"/>
      <c r="GI1185" s="32"/>
      <c r="GJ1185" s="32"/>
      <c r="GK1185" s="32"/>
      <c r="GL1185" s="32"/>
      <c r="GM1185" s="32"/>
      <c r="GN1185" s="32"/>
      <c r="GO1185" s="32"/>
      <c r="GP1185" s="32"/>
      <c r="GQ1185" s="32"/>
      <c r="GR1185" s="32"/>
      <c r="GS1185" s="32"/>
      <c r="GT1185" s="32"/>
      <c r="GU1185" s="32"/>
      <c r="GV1185" s="32"/>
      <c r="GW1185" s="32"/>
      <c r="GX1185" s="32"/>
      <c r="GY1185" s="32"/>
      <c r="GZ1185" s="32"/>
      <c r="HA1185" s="32"/>
      <c r="HB1185" s="32"/>
      <c r="HC1185" s="32"/>
      <c r="HD1185" s="32"/>
      <c r="HE1185" s="32"/>
      <c r="HF1185" s="32"/>
      <c r="HG1185" s="32"/>
      <c r="HH1185" s="32"/>
      <c r="HI1185" s="32"/>
      <c r="HJ1185" s="32"/>
      <c r="HK1185" s="32"/>
      <c r="HL1185" s="32"/>
      <c r="HM1185" s="32"/>
      <c r="HN1185" s="32"/>
      <c r="HO1185" s="32"/>
      <c r="HP1185" s="32"/>
      <c r="HQ1185" s="32"/>
      <c r="HR1185" s="32"/>
      <c r="HS1185" s="32"/>
      <c r="HT1185" s="32"/>
      <c r="HU1185" s="32"/>
      <c r="HV1185" s="32"/>
      <c r="HW1185" s="32"/>
      <c r="HX1185" s="32"/>
      <c r="HY1185" s="32"/>
      <c r="HZ1185" s="32"/>
      <c r="IA1185" s="32"/>
      <c r="IB1185" s="32"/>
      <c r="IC1185" s="32"/>
      <c r="ID1185" s="32"/>
      <c r="IE1185" s="32"/>
      <c r="IF1185" s="32"/>
      <c r="IG1185" s="32"/>
      <c r="IH1185" s="32"/>
      <c r="II1185" s="32"/>
      <c r="IJ1185" s="32"/>
      <c r="IK1185" s="32"/>
      <c r="IL1185" s="32"/>
      <c r="IM1185" s="32"/>
      <c r="IN1185" s="32"/>
      <c r="IO1185" s="32"/>
      <c r="IP1185" s="32"/>
      <c r="IQ1185" s="32"/>
      <c r="IR1185" s="32"/>
      <c r="IS1185" s="32"/>
      <c r="IT1185" s="32"/>
      <c r="IU1185" s="32"/>
      <c r="IV1185" s="32"/>
      <c r="IW1185" s="32"/>
      <c r="IX1185" s="32"/>
      <c r="IY1185" s="32"/>
      <c r="IZ1185" s="32"/>
      <c r="JA1185" s="32"/>
      <c r="JB1185" s="32"/>
      <c r="JC1185" s="32"/>
      <c r="JD1185" s="32"/>
      <c r="JE1185" s="32"/>
      <c r="JF1185" s="32"/>
      <c r="JG1185" s="32"/>
      <c r="JH1185" s="32"/>
      <c r="JI1185" s="32"/>
      <c r="JJ1185" s="32"/>
      <c r="JK1185" s="32"/>
      <c r="JL1185" s="32"/>
      <c r="JM1185" s="32"/>
      <c r="JN1185" s="32"/>
      <c r="JO1185" s="32"/>
      <c r="JP1185" s="32"/>
      <c r="JQ1185" s="32"/>
      <c r="JR1185" s="32"/>
      <c r="JS1185" s="32"/>
      <c r="JT1185" s="32"/>
      <c r="JU1185" s="32"/>
      <c r="JV1185" s="32"/>
      <c r="JW1185" s="32"/>
      <c r="JX1185" s="32"/>
      <c r="JY1185" s="32"/>
      <c r="JZ1185" s="32"/>
      <c r="KA1185" s="32"/>
      <c r="KB1185" s="32"/>
      <c r="KC1185" s="32"/>
      <c r="KD1185" s="32"/>
      <c r="KE1185" s="32"/>
    </row>
    <row r="1186" spans="1:291" s="29" customFormat="1" ht="35" customHeight="1">
      <c r="A1186" s="23">
        <f>ROW()-3</f>
        <v>1183</v>
      </c>
      <c r="B1186" s="183" t="s">
        <v>4586</v>
      </c>
      <c r="C1186" s="205" t="s">
        <v>4345</v>
      </c>
      <c r="D1186" s="128" t="s">
        <v>5097</v>
      </c>
      <c r="E1186" s="128" t="s">
        <v>5098</v>
      </c>
      <c r="F1186" s="128" t="s">
        <v>4632</v>
      </c>
      <c r="G1186" s="42" t="s">
        <v>34</v>
      </c>
      <c r="H1186" s="183">
        <v>26</v>
      </c>
      <c r="I1186" s="84">
        <v>8.9152777777777796</v>
      </c>
      <c r="J1186" s="208">
        <v>43469</v>
      </c>
      <c r="K1186" s="46" t="s">
        <v>20</v>
      </c>
      <c r="L1186" s="203">
        <v>45</v>
      </c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32"/>
      <c r="AG1186" s="32"/>
      <c r="AH1186" s="32"/>
      <c r="AI1186" s="32"/>
      <c r="AJ1186" s="32"/>
      <c r="AK1186" s="32"/>
      <c r="AL1186" s="32"/>
      <c r="AM1186" s="32"/>
      <c r="AN1186" s="32"/>
      <c r="AO1186" s="32"/>
      <c r="AP1186" s="32"/>
      <c r="AQ1186" s="32"/>
      <c r="AR1186" s="32"/>
      <c r="AS1186" s="32"/>
      <c r="AT1186" s="32"/>
      <c r="AU1186" s="32"/>
      <c r="AV1186" s="32"/>
      <c r="AW1186" s="32"/>
      <c r="AX1186" s="32"/>
      <c r="AY1186" s="32"/>
      <c r="AZ1186" s="32"/>
      <c r="BA1186" s="32"/>
      <c r="BB1186" s="32"/>
      <c r="BC1186" s="32"/>
      <c r="BD1186" s="32"/>
      <c r="BE1186" s="32"/>
      <c r="BF1186" s="32"/>
      <c r="BG1186" s="32"/>
      <c r="BH1186" s="32"/>
      <c r="BI1186" s="32"/>
      <c r="BJ1186" s="32"/>
      <c r="BK1186" s="32"/>
      <c r="BL1186" s="32"/>
      <c r="BM1186" s="32"/>
      <c r="BN1186" s="32"/>
      <c r="BO1186" s="32"/>
      <c r="BP1186" s="32"/>
      <c r="BQ1186" s="32"/>
      <c r="BR1186" s="32"/>
      <c r="BS1186" s="32"/>
      <c r="BT1186" s="32"/>
      <c r="BU1186" s="32"/>
      <c r="BV1186" s="32"/>
      <c r="BW1186" s="32"/>
      <c r="BX1186" s="32"/>
      <c r="BY1186" s="32"/>
      <c r="BZ1186" s="32"/>
      <c r="CA1186" s="32"/>
      <c r="CB1186" s="32"/>
      <c r="CC1186" s="32"/>
      <c r="CD1186" s="32"/>
      <c r="CE1186" s="32"/>
      <c r="CF1186" s="32"/>
      <c r="CG1186" s="32"/>
      <c r="CH1186" s="32"/>
      <c r="CI1186" s="32"/>
      <c r="CJ1186" s="32"/>
      <c r="CK1186" s="32"/>
      <c r="CL1186" s="32"/>
      <c r="CM1186" s="32"/>
      <c r="CN1186" s="32"/>
      <c r="CO1186" s="32"/>
      <c r="CP1186" s="32"/>
      <c r="CQ1186" s="32"/>
      <c r="CR1186" s="32"/>
      <c r="CS1186" s="32"/>
      <c r="CT1186" s="32"/>
      <c r="CU1186" s="32"/>
      <c r="CV1186" s="32"/>
      <c r="CW1186" s="32"/>
      <c r="CX1186" s="32"/>
      <c r="CY1186" s="32"/>
      <c r="CZ1186" s="32"/>
      <c r="DA1186" s="32"/>
      <c r="DB1186" s="32"/>
      <c r="DC1186" s="32"/>
      <c r="DD1186" s="32"/>
      <c r="DE1186" s="32"/>
      <c r="DF1186" s="32"/>
      <c r="DG1186" s="32"/>
      <c r="DH1186" s="32"/>
      <c r="DI1186" s="32"/>
      <c r="DJ1186" s="32"/>
      <c r="DK1186" s="32"/>
      <c r="DL1186" s="32"/>
      <c r="DM1186" s="32"/>
      <c r="DN1186" s="32"/>
      <c r="DO1186" s="32"/>
      <c r="DP1186" s="32"/>
      <c r="DQ1186" s="32"/>
      <c r="DR1186" s="32"/>
      <c r="DS1186" s="32"/>
      <c r="DT1186" s="32"/>
      <c r="DU1186" s="32"/>
      <c r="DV1186" s="32"/>
      <c r="DW1186" s="32"/>
      <c r="DX1186" s="32"/>
      <c r="DY1186" s="32"/>
      <c r="DZ1186" s="32"/>
      <c r="EA1186" s="32"/>
      <c r="EB1186" s="32"/>
      <c r="EC1186" s="32"/>
      <c r="ED1186" s="32"/>
      <c r="EE1186" s="32"/>
      <c r="EF1186" s="32"/>
      <c r="EG1186" s="32"/>
      <c r="EH1186" s="32"/>
      <c r="EI1186" s="32"/>
      <c r="EJ1186" s="32"/>
      <c r="EK1186" s="32"/>
      <c r="EL1186" s="32"/>
      <c r="EM1186" s="32"/>
      <c r="EN1186" s="32"/>
      <c r="EO1186" s="32"/>
      <c r="EP1186" s="32"/>
      <c r="EQ1186" s="32"/>
      <c r="ER1186" s="32"/>
      <c r="ES1186" s="32"/>
      <c r="ET1186" s="32"/>
      <c r="EU1186" s="32"/>
      <c r="EV1186" s="32"/>
      <c r="EW1186" s="32"/>
      <c r="EX1186" s="32"/>
      <c r="EY1186" s="32"/>
      <c r="EZ1186" s="32"/>
      <c r="FA1186" s="32"/>
      <c r="FB1186" s="32"/>
      <c r="FC1186" s="32"/>
      <c r="FD1186" s="32"/>
      <c r="FE1186" s="32"/>
      <c r="FF1186" s="32"/>
      <c r="FG1186" s="32"/>
      <c r="FH1186" s="32"/>
      <c r="FI1186" s="32"/>
      <c r="FJ1186" s="32"/>
      <c r="FK1186" s="32"/>
      <c r="FL1186" s="32"/>
      <c r="FM1186" s="32"/>
      <c r="FN1186" s="32"/>
      <c r="FO1186" s="32"/>
      <c r="FP1186" s="32"/>
      <c r="FQ1186" s="32"/>
      <c r="FR1186" s="32"/>
      <c r="FS1186" s="32"/>
      <c r="FT1186" s="32"/>
      <c r="FU1186" s="32"/>
      <c r="FV1186" s="32"/>
      <c r="FW1186" s="32"/>
      <c r="FX1186" s="32"/>
      <c r="FY1186" s="32"/>
      <c r="FZ1186" s="32"/>
      <c r="GA1186" s="32"/>
      <c r="GB1186" s="32"/>
      <c r="GC1186" s="32"/>
      <c r="GD1186" s="32"/>
      <c r="GE1186" s="32"/>
      <c r="GF1186" s="32"/>
      <c r="GG1186" s="32"/>
      <c r="GH1186" s="32"/>
      <c r="GI1186" s="32"/>
      <c r="GJ1186" s="32"/>
      <c r="GK1186" s="32"/>
      <c r="GL1186" s="32"/>
      <c r="GM1186" s="32"/>
      <c r="GN1186" s="32"/>
      <c r="GO1186" s="32"/>
      <c r="GP1186" s="32"/>
      <c r="GQ1186" s="32"/>
      <c r="GR1186" s="32"/>
      <c r="GS1186" s="32"/>
      <c r="GT1186" s="32"/>
      <c r="GU1186" s="32"/>
      <c r="GV1186" s="32"/>
      <c r="GW1186" s="32"/>
      <c r="GX1186" s="32"/>
      <c r="GY1186" s="32"/>
      <c r="GZ1186" s="32"/>
      <c r="HA1186" s="32"/>
      <c r="HB1186" s="32"/>
      <c r="HC1186" s="32"/>
      <c r="HD1186" s="32"/>
      <c r="HE1186" s="32"/>
      <c r="HF1186" s="32"/>
      <c r="HG1186" s="32"/>
      <c r="HH1186" s="32"/>
      <c r="HI1186" s="32"/>
      <c r="HJ1186" s="32"/>
      <c r="HK1186" s="32"/>
      <c r="HL1186" s="32"/>
      <c r="HM1186" s="32"/>
      <c r="HN1186" s="32"/>
      <c r="HO1186" s="32"/>
      <c r="HP1186" s="32"/>
      <c r="HQ1186" s="32"/>
      <c r="HR1186" s="32"/>
      <c r="HS1186" s="32"/>
      <c r="HT1186" s="32"/>
      <c r="HU1186" s="32"/>
      <c r="HV1186" s="32"/>
      <c r="HW1186" s="32"/>
      <c r="HX1186" s="32"/>
      <c r="HY1186" s="32"/>
      <c r="HZ1186" s="32"/>
      <c r="IA1186" s="32"/>
      <c r="IB1186" s="32"/>
      <c r="IC1186" s="32"/>
      <c r="ID1186" s="32"/>
      <c r="IE1186" s="32"/>
      <c r="IF1186" s="32"/>
      <c r="IG1186" s="32"/>
      <c r="IH1186" s="32"/>
      <c r="II1186" s="32"/>
      <c r="IJ1186" s="32"/>
      <c r="IK1186" s="32"/>
      <c r="IL1186" s="32"/>
      <c r="IM1186" s="32"/>
      <c r="IN1186" s="32"/>
      <c r="IO1186" s="32"/>
      <c r="IP1186" s="32"/>
      <c r="IQ1186" s="32"/>
      <c r="IR1186" s="32"/>
      <c r="IS1186" s="32"/>
      <c r="IT1186" s="32"/>
      <c r="IU1186" s="32"/>
      <c r="IV1186" s="32"/>
      <c r="IW1186" s="32"/>
      <c r="IX1186" s="32"/>
      <c r="IY1186" s="32"/>
      <c r="IZ1186" s="32"/>
      <c r="JA1186" s="32"/>
      <c r="JB1186" s="32"/>
      <c r="JC1186" s="32"/>
      <c r="JD1186" s="32"/>
      <c r="JE1186" s="32"/>
      <c r="JF1186" s="32"/>
      <c r="JG1186" s="32"/>
      <c r="JH1186" s="32"/>
      <c r="JI1186" s="32"/>
      <c r="JJ1186" s="32"/>
      <c r="JK1186" s="32"/>
      <c r="JL1186" s="32"/>
      <c r="JM1186" s="32"/>
      <c r="JN1186" s="32"/>
      <c r="JO1186" s="32"/>
      <c r="JP1186" s="32"/>
      <c r="JQ1186" s="32"/>
      <c r="JR1186" s="32"/>
      <c r="JS1186" s="32"/>
      <c r="JT1186" s="32"/>
      <c r="JU1186" s="32"/>
      <c r="JV1186" s="32"/>
      <c r="JW1186" s="32"/>
      <c r="JX1186" s="32"/>
      <c r="JY1186" s="32"/>
      <c r="JZ1186" s="32"/>
      <c r="KA1186" s="32"/>
      <c r="KB1186" s="32"/>
      <c r="KC1186" s="32"/>
      <c r="KD1186" s="32"/>
      <c r="KE1186" s="32"/>
    </row>
    <row r="1187" spans="1:291" s="25" customFormat="1" ht="35" customHeight="1">
      <c r="A1187" s="23">
        <f>ROW()-3</f>
        <v>1184</v>
      </c>
      <c r="B1187" s="183" t="s">
        <v>4586</v>
      </c>
      <c r="C1187" s="205" t="s">
        <v>4345</v>
      </c>
      <c r="D1187" s="128" t="s">
        <v>5081</v>
      </c>
      <c r="E1187" s="128" t="s">
        <v>4596</v>
      </c>
      <c r="F1187" s="128" t="s">
        <v>4589</v>
      </c>
      <c r="G1187" s="42" t="s">
        <v>34</v>
      </c>
      <c r="H1187" s="183">
        <v>47</v>
      </c>
      <c r="I1187" s="84">
        <v>15.1216666666667</v>
      </c>
      <c r="J1187" s="208">
        <v>43481</v>
      </c>
      <c r="K1187" s="46" t="s">
        <v>20</v>
      </c>
      <c r="L1187" s="203">
        <v>38</v>
      </c>
      <c r="M1187" s="32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32"/>
      <c r="AG1187" s="32"/>
      <c r="AH1187" s="32"/>
      <c r="AI1187" s="32"/>
      <c r="AJ1187" s="32"/>
      <c r="AK1187" s="32"/>
      <c r="AL1187" s="32"/>
      <c r="AM1187" s="32"/>
      <c r="AN1187" s="32"/>
      <c r="AO1187" s="32"/>
      <c r="AP1187" s="32"/>
      <c r="AQ1187" s="32"/>
      <c r="AR1187" s="32"/>
      <c r="AS1187" s="32"/>
      <c r="AT1187" s="32"/>
      <c r="AU1187" s="32"/>
      <c r="AV1187" s="32"/>
      <c r="AW1187" s="32"/>
      <c r="AX1187" s="32"/>
      <c r="AY1187" s="32"/>
      <c r="AZ1187" s="32"/>
      <c r="BA1187" s="32"/>
      <c r="BB1187" s="32"/>
      <c r="BC1187" s="32"/>
      <c r="BD1187" s="32"/>
      <c r="BE1187" s="32"/>
      <c r="BF1187" s="32"/>
      <c r="BG1187" s="32"/>
      <c r="BH1187" s="32"/>
      <c r="BI1187" s="32"/>
      <c r="BJ1187" s="32"/>
      <c r="BK1187" s="32"/>
      <c r="BL1187" s="32"/>
      <c r="BM1187" s="32"/>
      <c r="BN1187" s="32"/>
      <c r="BO1187" s="32"/>
      <c r="BP1187" s="32"/>
      <c r="BQ1187" s="32"/>
      <c r="BR1187" s="32"/>
      <c r="BS1187" s="32"/>
      <c r="BT1187" s="32"/>
      <c r="BU1187" s="32"/>
      <c r="BV1187" s="32"/>
      <c r="BW1187" s="32"/>
      <c r="BX1187" s="32"/>
      <c r="BY1187" s="32"/>
      <c r="BZ1187" s="32"/>
      <c r="CA1187" s="32"/>
      <c r="CB1187" s="32"/>
      <c r="CC1187" s="32"/>
      <c r="CD1187" s="32"/>
      <c r="CE1187" s="32"/>
      <c r="CF1187" s="32"/>
      <c r="CG1187" s="32"/>
      <c r="CH1187" s="32"/>
      <c r="CI1187" s="32"/>
      <c r="CJ1187" s="32"/>
      <c r="CK1187" s="32"/>
      <c r="CL1187" s="32"/>
      <c r="CM1187" s="32"/>
      <c r="CN1187" s="32"/>
      <c r="CO1187" s="32"/>
      <c r="CP1187" s="32"/>
      <c r="CQ1187" s="32"/>
      <c r="CR1187" s="32"/>
      <c r="CS1187" s="32"/>
      <c r="CT1187" s="32"/>
      <c r="CU1187" s="32"/>
      <c r="CV1187" s="32"/>
      <c r="CW1187" s="32"/>
      <c r="CX1187" s="32"/>
      <c r="CY1187" s="32"/>
      <c r="CZ1187" s="32"/>
      <c r="DA1187" s="32"/>
      <c r="DB1187" s="32"/>
      <c r="DC1187" s="32"/>
      <c r="DD1187" s="32"/>
      <c r="DE1187" s="32"/>
      <c r="DF1187" s="32"/>
      <c r="DG1187" s="32"/>
      <c r="DH1187" s="32"/>
      <c r="DI1187" s="32"/>
      <c r="DJ1187" s="32"/>
      <c r="DK1187" s="32"/>
      <c r="DL1187" s="32"/>
      <c r="DM1187" s="32"/>
      <c r="DN1187" s="32"/>
      <c r="DO1187" s="32"/>
      <c r="DP1187" s="32"/>
      <c r="DQ1187" s="32"/>
      <c r="DR1187" s="32"/>
      <c r="DS1187" s="32"/>
      <c r="DT1187" s="32"/>
      <c r="DU1187" s="32"/>
      <c r="DV1187" s="32"/>
      <c r="DW1187" s="32"/>
      <c r="DX1187" s="32"/>
      <c r="DY1187" s="32"/>
      <c r="DZ1187" s="32"/>
      <c r="EA1187" s="32"/>
      <c r="EB1187" s="32"/>
      <c r="EC1187" s="32"/>
      <c r="ED1187" s="32"/>
      <c r="EE1187" s="32"/>
      <c r="EF1187" s="32"/>
      <c r="EG1187" s="32"/>
      <c r="EH1187" s="32"/>
      <c r="EI1187" s="32"/>
      <c r="EJ1187" s="32"/>
      <c r="EK1187" s="32"/>
      <c r="EL1187" s="32"/>
      <c r="EM1187" s="32"/>
      <c r="EN1187" s="32"/>
      <c r="EO1187" s="32"/>
      <c r="EP1187" s="32"/>
      <c r="EQ1187" s="32"/>
      <c r="ER1187" s="32"/>
      <c r="ES1187" s="32"/>
      <c r="ET1187" s="32"/>
      <c r="EU1187" s="32"/>
      <c r="EV1187" s="32"/>
      <c r="EW1187" s="32"/>
      <c r="EX1187" s="32"/>
      <c r="EY1187" s="32"/>
      <c r="EZ1187" s="32"/>
      <c r="FA1187" s="32"/>
      <c r="FB1187" s="32"/>
      <c r="FC1187" s="32"/>
      <c r="FD1187" s="32"/>
      <c r="FE1187" s="32"/>
      <c r="FF1187" s="32"/>
      <c r="FG1187" s="32"/>
      <c r="FH1187" s="32"/>
      <c r="FI1187" s="32"/>
      <c r="FJ1187" s="32"/>
      <c r="FK1187" s="32"/>
      <c r="FL1187" s="32"/>
      <c r="FM1187" s="32"/>
      <c r="FN1187" s="32"/>
      <c r="FO1187" s="32"/>
      <c r="FP1187" s="32"/>
      <c r="FQ1187" s="32"/>
      <c r="FR1187" s="32"/>
      <c r="FS1187" s="32"/>
      <c r="FT1187" s="32"/>
      <c r="FU1187" s="32"/>
      <c r="FV1187" s="32"/>
      <c r="FW1187" s="32"/>
      <c r="FX1187" s="32"/>
      <c r="FY1187" s="32"/>
      <c r="FZ1187" s="32"/>
      <c r="GA1187" s="32"/>
      <c r="GB1187" s="32"/>
      <c r="GC1187" s="32"/>
      <c r="GD1187" s="32"/>
      <c r="GE1187" s="32"/>
      <c r="GF1187" s="32"/>
      <c r="GG1187" s="32"/>
      <c r="GH1187" s="32"/>
      <c r="GI1187" s="32"/>
      <c r="GJ1187" s="32"/>
      <c r="GK1187" s="32"/>
      <c r="GL1187" s="32"/>
      <c r="GM1187" s="32"/>
      <c r="GN1187" s="32"/>
      <c r="GO1187" s="32"/>
      <c r="GP1187" s="32"/>
      <c r="GQ1187" s="32"/>
      <c r="GR1187" s="32"/>
      <c r="GS1187" s="32"/>
      <c r="GT1187" s="32"/>
      <c r="GU1187" s="32"/>
      <c r="GV1187" s="32"/>
      <c r="GW1187" s="32"/>
      <c r="GX1187" s="32"/>
      <c r="GY1187" s="32"/>
      <c r="GZ1187" s="32"/>
      <c r="HA1187" s="32"/>
      <c r="HB1187" s="32"/>
      <c r="HC1187" s="32"/>
      <c r="HD1187" s="32"/>
      <c r="HE1187" s="32"/>
      <c r="HF1187" s="32"/>
      <c r="HG1187" s="32"/>
      <c r="HH1187" s="32"/>
      <c r="HI1187" s="32"/>
      <c r="HJ1187" s="32"/>
      <c r="HK1187" s="32"/>
      <c r="HL1187" s="32"/>
      <c r="HM1187" s="32"/>
      <c r="HN1187" s="32"/>
      <c r="HO1187" s="32"/>
      <c r="HP1187" s="32"/>
      <c r="HQ1187" s="32"/>
      <c r="HR1187" s="32"/>
      <c r="HS1187" s="32"/>
      <c r="HT1187" s="32"/>
      <c r="HU1187" s="32"/>
      <c r="HV1187" s="32"/>
      <c r="HW1187" s="32"/>
      <c r="HX1187" s="32"/>
      <c r="HY1187" s="32"/>
      <c r="HZ1187" s="32"/>
      <c r="IA1187" s="32"/>
      <c r="IB1187" s="32"/>
      <c r="IC1187" s="32"/>
      <c r="ID1187" s="32"/>
      <c r="IE1187" s="32"/>
      <c r="IF1187" s="32"/>
      <c r="IG1187" s="32"/>
      <c r="IH1187" s="32"/>
      <c r="II1187" s="32"/>
      <c r="IJ1187" s="32"/>
      <c r="IK1187" s="32"/>
      <c r="IL1187" s="32"/>
      <c r="IM1187" s="32"/>
      <c r="IN1187" s="32"/>
      <c r="IO1187" s="32"/>
      <c r="IP1187" s="32"/>
      <c r="IQ1187" s="32"/>
      <c r="IR1187" s="32"/>
      <c r="IS1187" s="32"/>
      <c r="IT1187" s="32"/>
      <c r="IU1187" s="32"/>
      <c r="IV1187" s="32"/>
      <c r="IW1187" s="32"/>
      <c r="IX1187" s="32"/>
      <c r="IY1187" s="32"/>
      <c r="IZ1187" s="32"/>
      <c r="JA1187" s="32"/>
      <c r="JB1187" s="32"/>
      <c r="JC1187" s="32"/>
      <c r="JD1187" s="32"/>
      <c r="JE1187" s="32"/>
      <c r="JF1187" s="32"/>
      <c r="JG1187" s="32"/>
      <c r="JH1187" s="32"/>
      <c r="JI1187" s="32"/>
      <c r="JJ1187" s="32"/>
      <c r="JK1187" s="32"/>
      <c r="JL1187" s="32"/>
      <c r="JM1187" s="32"/>
      <c r="JN1187" s="32"/>
      <c r="JO1187" s="32"/>
      <c r="JP1187" s="32"/>
      <c r="JQ1187" s="32"/>
      <c r="JR1187" s="32"/>
      <c r="JS1187" s="32"/>
      <c r="JT1187" s="32"/>
      <c r="JU1187" s="32"/>
      <c r="JV1187" s="32"/>
      <c r="JW1187" s="32"/>
      <c r="JX1187" s="32"/>
      <c r="JY1187" s="32"/>
      <c r="JZ1187" s="32"/>
      <c r="KA1187" s="32"/>
      <c r="KB1187" s="32"/>
      <c r="KC1187" s="32"/>
      <c r="KD1187" s="32"/>
      <c r="KE1187" s="32"/>
    </row>
    <row r="1188" spans="1:291" s="25" customFormat="1" ht="35" customHeight="1">
      <c r="A1188" s="23">
        <f>ROW()-3</f>
        <v>1185</v>
      </c>
      <c r="B1188" s="183" t="s">
        <v>4586</v>
      </c>
      <c r="C1188" s="183" t="s">
        <v>4345</v>
      </c>
      <c r="D1188" s="128" t="s">
        <v>3124</v>
      </c>
      <c r="E1188" s="128" t="s">
        <v>3125</v>
      </c>
      <c r="F1188" s="128" t="s">
        <v>4617</v>
      </c>
      <c r="G1188" s="42" t="s">
        <v>34</v>
      </c>
      <c r="H1188" s="183">
        <v>177</v>
      </c>
      <c r="I1188" s="84">
        <v>15.206388888888901</v>
      </c>
      <c r="J1188" s="208">
        <v>43481</v>
      </c>
      <c r="K1188" s="46" t="s">
        <v>20</v>
      </c>
      <c r="L1188" s="203">
        <v>20.99</v>
      </c>
      <c r="M1188" s="32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32"/>
      <c r="AG1188" s="32"/>
      <c r="AH1188" s="32"/>
      <c r="AI1188" s="32"/>
      <c r="AJ1188" s="32"/>
      <c r="AK1188" s="32"/>
      <c r="AL1188" s="32"/>
      <c r="AM1188" s="32"/>
      <c r="AN1188" s="32"/>
      <c r="AO1188" s="32"/>
      <c r="AP1188" s="32"/>
      <c r="AQ1188" s="32"/>
      <c r="AR1188" s="32"/>
      <c r="AS1188" s="32"/>
      <c r="AT1188" s="32"/>
      <c r="AU1188" s="32"/>
      <c r="AV1188" s="32"/>
      <c r="AW1188" s="32"/>
      <c r="AX1188" s="32"/>
      <c r="AY1188" s="32"/>
      <c r="AZ1188" s="32"/>
      <c r="BA1188" s="32"/>
      <c r="BB1188" s="32"/>
      <c r="BC1188" s="32"/>
      <c r="BD1188" s="32"/>
      <c r="BE1188" s="32"/>
      <c r="BF1188" s="32"/>
      <c r="BG1188" s="32"/>
      <c r="BH1188" s="32"/>
      <c r="BI1188" s="32"/>
      <c r="BJ1188" s="32"/>
      <c r="BK1188" s="32"/>
      <c r="BL1188" s="32"/>
      <c r="BM1188" s="32"/>
      <c r="BN1188" s="32"/>
      <c r="BO1188" s="32"/>
      <c r="BP1188" s="32"/>
      <c r="BQ1188" s="32"/>
      <c r="BR1188" s="32"/>
      <c r="BS1188" s="32"/>
      <c r="BT1188" s="32"/>
      <c r="BU1188" s="32"/>
      <c r="BV1188" s="32"/>
      <c r="BW1188" s="32"/>
      <c r="BX1188" s="32"/>
      <c r="BY1188" s="32"/>
      <c r="BZ1188" s="32"/>
      <c r="CA1188" s="32"/>
      <c r="CB1188" s="32"/>
      <c r="CC1188" s="32"/>
      <c r="CD1188" s="32"/>
      <c r="CE1188" s="32"/>
      <c r="CF1188" s="32"/>
      <c r="CG1188" s="32"/>
      <c r="CH1188" s="32"/>
      <c r="CI1188" s="32"/>
      <c r="CJ1188" s="32"/>
      <c r="CK1188" s="32"/>
      <c r="CL1188" s="32"/>
      <c r="CM1188" s="32"/>
      <c r="CN1188" s="32"/>
      <c r="CO1188" s="32"/>
      <c r="CP1188" s="32"/>
      <c r="CQ1188" s="32"/>
      <c r="CR1188" s="32"/>
      <c r="CS1188" s="32"/>
      <c r="CT1188" s="32"/>
      <c r="CU1188" s="32"/>
      <c r="CV1188" s="32"/>
      <c r="CW1188" s="32"/>
      <c r="CX1188" s="32"/>
      <c r="CY1188" s="32"/>
      <c r="CZ1188" s="32"/>
      <c r="DA1188" s="32"/>
      <c r="DB1188" s="32"/>
      <c r="DC1188" s="32"/>
      <c r="DD1188" s="32"/>
      <c r="DE1188" s="32"/>
      <c r="DF1188" s="32"/>
      <c r="DG1188" s="32"/>
      <c r="DH1188" s="32"/>
      <c r="DI1188" s="32"/>
      <c r="DJ1188" s="32"/>
      <c r="DK1188" s="32"/>
      <c r="DL1188" s="32"/>
      <c r="DM1188" s="32"/>
      <c r="DN1188" s="32"/>
      <c r="DO1188" s="32"/>
      <c r="DP1188" s="32"/>
      <c r="DQ1188" s="32"/>
      <c r="DR1188" s="32"/>
      <c r="DS1188" s="32"/>
      <c r="DT1188" s="32"/>
      <c r="DU1188" s="32"/>
      <c r="DV1188" s="32"/>
      <c r="DW1188" s="32"/>
      <c r="DX1188" s="32"/>
      <c r="DY1188" s="32"/>
      <c r="DZ1188" s="32"/>
      <c r="EA1188" s="32"/>
      <c r="EB1188" s="32"/>
      <c r="EC1188" s="32"/>
      <c r="ED1188" s="32"/>
      <c r="EE1188" s="32"/>
      <c r="EF1188" s="32"/>
      <c r="EG1188" s="32"/>
      <c r="EH1188" s="32"/>
      <c r="EI1188" s="32"/>
      <c r="EJ1188" s="32"/>
      <c r="EK1188" s="32"/>
      <c r="EL1188" s="32"/>
      <c r="EM1188" s="32"/>
      <c r="EN1188" s="32"/>
      <c r="EO1188" s="32"/>
      <c r="EP1188" s="32"/>
      <c r="EQ1188" s="32"/>
      <c r="ER1188" s="32"/>
      <c r="ES1188" s="32"/>
      <c r="ET1188" s="32"/>
      <c r="EU1188" s="32"/>
      <c r="EV1188" s="32"/>
      <c r="EW1188" s="32"/>
      <c r="EX1188" s="32"/>
      <c r="EY1188" s="32"/>
      <c r="EZ1188" s="32"/>
      <c r="FA1188" s="32"/>
      <c r="FB1188" s="32"/>
      <c r="FC1188" s="32"/>
      <c r="FD1188" s="32"/>
      <c r="FE1188" s="32"/>
      <c r="FF1188" s="32"/>
      <c r="FG1188" s="32"/>
      <c r="FH1188" s="32"/>
      <c r="FI1188" s="32"/>
      <c r="FJ1188" s="32"/>
      <c r="FK1188" s="32"/>
      <c r="FL1188" s="32"/>
      <c r="FM1188" s="32"/>
      <c r="FN1188" s="32"/>
      <c r="FO1188" s="32"/>
      <c r="FP1188" s="32"/>
      <c r="FQ1188" s="32"/>
      <c r="FR1188" s="32"/>
      <c r="FS1188" s="32"/>
      <c r="FT1188" s="32"/>
      <c r="FU1188" s="32"/>
      <c r="FV1188" s="32"/>
      <c r="FW1188" s="32"/>
      <c r="FX1188" s="32"/>
      <c r="FY1188" s="32"/>
      <c r="FZ1188" s="32"/>
      <c r="GA1188" s="32"/>
      <c r="GB1188" s="32"/>
      <c r="GC1188" s="32"/>
      <c r="GD1188" s="32"/>
      <c r="GE1188" s="32"/>
      <c r="GF1188" s="32"/>
      <c r="GG1188" s="32"/>
      <c r="GH1188" s="32"/>
      <c r="GI1188" s="32"/>
      <c r="GJ1188" s="32"/>
      <c r="GK1188" s="32"/>
      <c r="GL1188" s="32"/>
      <c r="GM1188" s="32"/>
      <c r="GN1188" s="32"/>
      <c r="GO1188" s="32"/>
      <c r="GP1188" s="32"/>
      <c r="GQ1188" s="32"/>
      <c r="GR1188" s="32"/>
      <c r="GS1188" s="32"/>
      <c r="GT1188" s="32"/>
      <c r="GU1188" s="32"/>
      <c r="GV1188" s="32"/>
      <c r="GW1188" s="32"/>
      <c r="GX1188" s="32"/>
      <c r="GY1188" s="32"/>
      <c r="GZ1188" s="32"/>
      <c r="HA1188" s="32"/>
      <c r="HB1188" s="32"/>
      <c r="HC1188" s="32"/>
      <c r="HD1188" s="32"/>
      <c r="HE1188" s="32"/>
      <c r="HF1188" s="32"/>
      <c r="HG1188" s="32"/>
      <c r="HH1188" s="32"/>
      <c r="HI1188" s="32"/>
      <c r="HJ1188" s="32"/>
      <c r="HK1188" s="32"/>
      <c r="HL1188" s="32"/>
      <c r="HM1188" s="32"/>
      <c r="HN1188" s="32"/>
      <c r="HO1188" s="32"/>
      <c r="HP1188" s="32"/>
      <c r="HQ1188" s="32"/>
      <c r="HR1188" s="32"/>
      <c r="HS1188" s="32"/>
      <c r="HT1188" s="32"/>
      <c r="HU1188" s="32"/>
      <c r="HV1188" s="32"/>
      <c r="HW1188" s="32"/>
      <c r="HX1188" s="32"/>
      <c r="HY1188" s="32"/>
      <c r="HZ1188" s="32"/>
      <c r="IA1188" s="32"/>
      <c r="IB1188" s="32"/>
      <c r="IC1188" s="32"/>
      <c r="ID1188" s="32"/>
      <c r="IE1188" s="32"/>
      <c r="IF1188" s="32"/>
      <c r="IG1188" s="32"/>
      <c r="IH1188" s="32"/>
      <c r="II1188" s="32"/>
      <c r="IJ1188" s="32"/>
      <c r="IK1188" s="32"/>
      <c r="IL1188" s="32"/>
      <c r="IM1188" s="32"/>
      <c r="IN1188" s="32"/>
      <c r="IO1188" s="32"/>
      <c r="IP1188" s="32"/>
      <c r="IQ1188" s="32"/>
      <c r="IR1188" s="32"/>
      <c r="IS1188" s="32"/>
      <c r="IT1188" s="32"/>
      <c r="IU1188" s="32"/>
      <c r="IV1188" s="32"/>
      <c r="IW1188" s="32"/>
      <c r="IX1188" s="32"/>
      <c r="IY1188" s="32"/>
      <c r="IZ1188" s="32"/>
      <c r="JA1188" s="32"/>
      <c r="JB1188" s="32"/>
      <c r="JC1188" s="32"/>
      <c r="JD1188" s="32"/>
      <c r="JE1188" s="32"/>
      <c r="JF1188" s="32"/>
      <c r="JG1188" s="32"/>
      <c r="JH1188" s="32"/>
      <c r="JI1188" s="32"/>
      <c r="JJ1188" s="32"/>
      <c r="JK1188" s="32"/>
      <c r="JL1188" s="32"/>
      <c r="JM1188" s="32"/>
      <c r="JN1188" s="32"/>
      <c r="JO1188" s="32"/>
      <c r="JP1188" s="32"/>
      <c r="JQ1188" s="32"/>
      <c r="JR1188" s="32"/>
      <c r="JS1188" s="32"/>
      <c r="JT1188" s="32"/>
      <c r="JU1188" s="32"/>
      <c r="JV1188" s="32"/>
      <c r="JW1188" s="32"/>
      <c r="JX1188" s="32"/>
      <c r="JY1188" s="32"/>
      <c r="JZ1188" s="32"/>
      <c r="KA1188" s="32"/>
      <c r="KB1188" s="32"/>
      <c r="KC1188" s="32"/>
      <c r="KD1188" s="32"/>
      <c r="KE1188" s="32"/>
    </row>
    <row r="1189" spans="1:291" s="25" customFormat="1" ht="35" customHeight="1">
      <c r="A1189" s="23">
        <f>ROW()-3</f>
        <v>1186</v>
      </c>
      <c r="B1189" s="183" t="s">
        <v>4586</v>
      </c>
      <c r="C1189" s="205" t="s">
        <v>4345</v>
      </c>
      <c r="D1189" s="128" t="s">
        <v>5087</v>
      </c>
      <c r="E1189" s="128" t="s">
        <v>5088</v>
      </c>
      <c r="F1189" s="128" t="s">
        <v>4632</v>
      </c>
      <c r="G1189" s="42" t="s">
        <v>34</v>
      </c>
      <c r="H1189" s="183">
        <v>43</v>
      </c>
      <c r="I1189" s="84">
        <v>15.2152777777778</v>
      </c>
      <c r="J1189" s="208">
        <v>43483</v>
      </c>
      <c r="K1189" s="46" t="s">
        <v>20</v>
      </c>
      <c r="L1189" s="203">
        <v>9.3000000000000007</v>
      </c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32"/>
      <c r="AG1189" s="32"/>
      <c r="AH1189" s="32"/>
      <c r="AI1189" s="32"/>
      <c r="AJ1189" s="32"/>
      <c r="AK1189" s="32"/>
      <c r="AL1189" s="32"/>
      <c r="AM1189" s="32"/>
      <c r="AN1189" s="32"/>
      <c r="AO1189" s="32"/>
      <c r="AP1189" s="32"/>
      <c r="AQ1189" s="32"/>
      <c r="AR1189" s="32"/>
      <c r="AS1189" s="32"/>
      <c r="AT1189" s="32"/>
      <c r="AU1189" s="32"/>
      <c r="AV1189" s="32"/>
      <c r="AW1189" s="32"/>
      <c r="AX1189" s="32"/>
      <c r="AY1189" s="32"/>
      <c r="AZ1189" s="32"/>
      <c r="BA1189" s="32"/>
      <c r="BB1189" s="32"/>
      <c r="BC1189" s="32"/>
      <c r="BD1189" s="32"/>
      <c r="BE1189" s="32"/>
      <c r="BF1189" s="32"/>
      <c r="BG1189" s="32"/>
      <c r="BH1189" s="32"/>
      <c r="BI1189" s="32"/>
      <c r="BJ1189" s="32"/>
      <c r="BK1189" s="32"/>
      <c r="BL1189" s="32"/>
      <c r="BM1189" s="32"/>
      <c r="BN1189" s="32"/>
      <c r="BO1189" s="32"/>
      <c r="BP1189" s="32"/>
      <c r="BQ1189" s="32"/>
      <c r="BR1189" s="32"/>
      <c r="BS1189" s="32"/>
      <c r="BT1189" s="32"/>
      <c r="BU1189" s="32"/>
      <c r="BV1189" s="32"/>
      <c r="BW1189" s="32"/>
      <c r="BX1189" s="32"/>
      <c r="BY1189" s="32"/>
      <c r="BZ1189" s="32"/>
      <c r="CA1189" s="32"/>
      <c r="CB1189" s="32"/>
      <c r="CC1189" s="32"/>
      <c r="CD1189" s="32"/>
      <c r="CE1189" s="32"/>
      <c r="CF1189" s="32"/>
      <c r="CG1189" s="32"/>
      <c r="CH1189" s="32"/>
      <c r="CI1189" s="32"/>
      <c r="CJ1189" s="32"/>
      <c r="CK1189" s="32"/>
      <c r="CL1189" s="32"/>
      <c r="CM1189" s="32"/>
      <c r="CN1189" s="32"/>
      <c r="CO1189" s="32"/>
      <c r="CP1189" s="32"/>
      <c r="CQ1189" s="32"/>
      <c r="CR1189" s="32"/>
      <c r="CS1189" s="32"/>
      <c r="CT1189" s="32"/>
      <c r="CU1189" s="32"/>
      <c r="CV1189" s="32"/>
      <c r="CW1189" s="32"/>
      <c r="CX1189" s="32"/>
      <c r="CY1189" s="32"/>
      <c r="CZ1189" s="32"/>
      <c r="DA1189" s="32"/>
      <c r="DB1189" s="32"/>
      <c r="DC1189" s="32"/>
      <c r="DD1189" s="32"/>
      <c r="DE1189" s="32"/>
      <c r="DF1189" s="32"/>
      <c r="DG1189" s="32"/>
      <c r="DH1189" s="32"/>
      <c r="DI1189" s="32"/>
      <c r="DJ1189" s="32"/>
      <c r="DK1189" s="32"/>
      <c r="DL1189" s="32"/>
      <c r="DM1189" s="32"/>
      <c r="DN1189" s="32"/>
      <c r="DO1189" s="32"/>
      <c r="DP1189" s="32"/>
      <c r="DQ1189" s="32"/>
      <c r="DR1189" s="32"/>
      <c r="DS1189" s="32"/>
      <c r="DT1189" s="32"/>
      <c r="DU1189" s="32"/>
      <c r="DV1189" s="32"/>
      <c r="DW1189" s="32"/>
      <c r="DX1189" s="32"/>
      <c r="DY1189" s="32"/>
      <c r="DZ1189" s="32"/>
      <c r="EA1189" s="32"/>
      <c r="EB1189" s="32"/>
      <c r="EC1189" s="32"/>
      <c r="ED1189" s="32"/>
      <c r="EE1189" s="32"/>
      <c r="EF1189" s="32"/>
      <c r="EG1189" s="32"/>
      <c r="EH1189" s="32"/>
      <c r="EI1189" s="32"/>
      <c r="EJ1189" s="32"/>
      <c r="EK1189" s="32"/>
      <c r="EL1189" s="32"/>
      <c r="EM1189" s="32"/>
      <c r="EN1189" s="32"/>
      <c r="EO1189" s="32"/>
      <c r="EP1189" s="32"/>
      <c r="EQ1189" s="32"/>
      <c r="ER1189" s="32"/>
      <c r="ES1189" s="32"/>
      <c r="ET1189" s="32"/>
      <c r="EU1189" s="32"/>
      <c r="EV1189" s="32"/>
      <c r="EW1189" s="32"/>
      <c r="EX1189" s="32"/>
      <c r="EY1189" s="32"/>
      <c r="EZ1189" s="32"/>
      <c r="FA1189" s="32"/>
      <c r="FB1189" s="32"/>
      <c r="FC1189" s="32"/>
      <c r="FD1189" s="32"/>
      <c r="FE1189" s="32"/>
      <c r="FF1189" s="32"/>
      <c r="FG1189" s="32"/>
      <c r="FH1189" s="32"/>
      <c r="FI1189" s="32"/>
      <c r="FJ1189" s="32"/>
      <c r="FK1189" s="32"/>
      <c r="FL1189" s="32"/>
      <c r="FM1189" s="32"/>
      <c r="FN1189" s="32"/>
      <c r="FO1189" s="32"/>
      <c r="FP1189" s="32"/>
      <c r="FQ1189" s="32"/>
      <c r="FR1189" s="32"/>
      <c r="FS1189" s="32"/>
      <c r="FT1189" s="32"/>
      <c r="FU1189" s="32"/>
      <c r="FV1189" s="32"/>
      <c r="FW1189" s="32"/>
      <c r="FX1189" s="32"/>
      <c r="FY1189" s="32"/>
      <c r="FZ1189" s="32"/>
      <c r="GA1189" s="32"/>
      <c r="GB1189" s="32"/>
      <c r="GC1189" s="32"/>
      <c r="GD1189" s="32"/>
      <c r="GE1189" s="32"/>
      <c r="GF1189" s="32"/>
      <c r="GG1189" s="32"/>
      <c r="GH1189" s="32"/>
      <c r="GI1189" s="32"/>
      <c r="GJ1189" s="32"/>
      <c r="GK1189" s="32"/>
      <c r="GL1189" s="32"/>
      <c r="GM1189" s="32"/>
      <c r="GN1189" s="32"/>
      <c r="GO1189" s="32"/>
      <c r="GP1189" s="32"/>
      <c r="GQ1189" s="32"/>
      <c r="GR1189" s="32"/>
      <c r="GS1189" s="32"/>
      <c r="GT1189" s="32"/>
      <c r="GU1189" s="32"/>
      <c r="GV1189" s="32"/>
      <c r="GW1189" s="32"/>
      <c r="GX1189" s="32"/>
      <c r="GY1189" s="32"/>
      <c r="GZ1189" s="32"/>
      <c r="HA1189" s="32"/>
      <c r="HB1189" s="32"/>
      <c r="HC1189" s="32"/>
      <c r="HD1189" s="32"/>
      <c r="HE1189" s="32"/>
      <c r="HF1189" s="32"/>
      <c r="HG1189" s="32"/>
      <c r="HH1189" s="32"/>
      <c r="HI1189" s="32"/>
      <c r="HJ1189" s="32"/>
      <c r="HK1189" s="32"/>
      <c r="HL1189" s="32"/>
      <c r="HM1189" s="32"/>
      <c r="HN1189" s="32"/>
      <c r="HO1189" s="32"/>
      <c r="HP1189" s="32"/>
      <c r="HQ1189" s="32"/>
      <c r="HR1189" s="32"/>
      <c r="HS1189" s="32"/>
      <c r="HT1189" s="32"/>
      <c r="HU1189" s="32"/>
      <c r="HV1189" s="32"/>
      <c r="HW1189" s="32"/>
      <c r="HX1189" s="32"/>
      <c r="HY1189" s="32"/>
      <c r="HZ1189" s="32"/>
      <c r="IA1189" s="32"/>
      <c r="IB1189" s="32"/>
      <c r="IC1189" s="32"/>
      <c r="ID1189" s="32"/>
      <c r="IE1189" s="32"/>
      <c r="IF1189" s="32"/>
      <c r="IG1189" s="32"/>
      <c r="IH1189" s="32"/>
      <c r="II1189" s="32"/>
      <c r="IJ1189" s="32"/>
      <c r="IK1189" s="32"/>
      <c r="IL1189" s="32"/>
      <c r="IM1189" s="32"/>
      <c r="IN1189" s="32"/>
      <c r="IO1189" s="32"/>
      <c r="IP1189" s="32"/>
      <c r="IQ1189" s="32"/>
      <c r="IR1189" s="32"/>
      <c r="IS1189" s="32"/>
      <c r="IT1189" s="32"/>
      <c r="IU1189" s="32"/>
      <c r="IV1189" s="32"/>
      <c r="IW1189" s="32"/>
      <c r="IX1189" s="32"/>
      <c r="IY1189" s="32"/>
      <c r="IZ1189" s="32"/>
      <c r="JA1189" s="32"/>
      <c r="JB1189" s="32"/>
      <c r="JC1189" s="32"/>
      <c r="JD1189" s="32"/>
      <c r="JE1189" s="32"/>
      <c r="JF1189" s="32"/>
      <c r="JG1189" s="32"/>
      <c r="JH1189" s="32"/>
      <c r="JI1189" s="32"/>
      <c r="JJ1189" s="32"/>
      <c r="JK1189" s="32"/>
      <c r="JL1189" s="32"/>
      <c r="JM1189" s="32"/>
      <c r="JN1189" s="32"/>
      <c r="JO1189" s="32"/>
      <c r="JP1189" s="32"/>
      <c r="JQ1189" s="32"/>
      <c r="JR1189" s="32"/>
      <c r="JS1189" s="32"/>
      <c r="JT1189" s="32"/>
      <c r="JU1189" s="32"/>
      <c r="JV1189" s="32"/>
      <c r="JW1189" s="32"/>
      <c r="JX1189" s="32"/>
      <c r="JY1189" s="32"/>
      <c r="JZ1189" s="32"/>
      <c r="KA1189" s="32"/>
      <c r="KB1189" s="32"/>
      <c r="KC1189" s="32"/>
      <c r="KD1189" s="32"/>
      <c r="KE1189" s="32"/>
    </row>
    <row r="1190" spans="1:291" s="25" customFormat="1" ht="35" customHeight="1">
      <c r="A1190" s="23">
        <f>ROW()-3</f>
        <v>1187</v>
      </c>
      <c r="B1190" s="183" t="s">
        <v>4586</v>
      </c>
      <c r="C1190" s="183" t="s">
        <v>4345</v>
      </c>
      <c r="D1190" s="128" t="s">
        <v>5089</v>
      </c>
      <c r="E1190" s="128" t="s">
        <v>4596</v>
      </c>
      <c r="F1190" s="128" t="s">
        <v>4589</v>
      </c>
      <c r="G1190" s="42" t="s">
        <v>34</v>
      </c>
      <c r="H1190" s="183">
        <v>31</v>
      </c>
      <c r="I1190" s="84">
        <v>10.250833333333301</v>
      </c>
      <c r="J1190" s="208">
        <v>43483</v>
      </c>
      <c r="K1190" s="46" t="s">
        <v>20</v>
      </c>
      <c r="L1190" s="203">
        <v>39</v>
      </c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32"/>
      <c r="AG1190" s="32"/>
      <c r="AH1190" s="32"/>
      <c r="AI1190" s="32"/>
      <c r="AJ1190" s="32"/>
      <c r="AK1190" s="32"/>
      <c r="AL1190" s="32"/>
      <c r="AM1190" s="32"/>
      <c r="AN1190" s="32"/>
      <c r="AO1190" s="32"/>
      <c r="AP1190" s="32"/>
      <c r="AQ1190" s="32"/>
      <c r="AR1190" s="32"/>
      <c r="AS1190" s="32"/>
      <c r="AT1190" s="32"/>
      <c r="AU1190" s="32"/>
      <c r="AV1190" s="32"/>
      <c r="AW1190" s="32"/>
      <c r="AX1190" s="32"/>
      <c r="AY1190" s="32"/>
      <c r="AZ1190" s="32"/>
      <c r="BA1190" s="32"/>
      <c r="BB1190" s="32"/>
      <c r="BC1190" s="32"/>
      <c r="BD1190" s="32"/>
      <c r="BE1190" s="32"/>
      <c r="BF1190" s="32"/>
      <c r="BG1190" s="32"/>
      <c r="BH1190" s="32"/>
      <c r="BI1190" s="32"/>
      <c r="BJ1190" s="32"/>
      <c r="BK1190" s="32"/>
      <c r="BL1190" s="32"/>
      <c r="BM1190" s="32"/>
      <c r="BN1190" s="32"/>
      <c r="BO1190" s="32"/>
      <c r="BP1190" s="32"/>
      <c r="BQ1190" s="32"/>
      <c r="BR1190" s="32"/>
      <c r="BS1190" s="32"/>
      <c r="BT1190" s="32"/>
      <c r="BU1190" s="32"/>
      <c r="BV1190" s="32"/>
      <c r="BW1190" s="32"/>
      <c r="BX1190" s="32"/>
      <c r="BY1190" s="32"/>
      <c r="BZ1190" s="32"/>
      <c r="CA1190" s="32"/>
      <c r="CB1190" s="32"/>
      <c r="CC1190" s="32"/>
      <c r="CD1190" s="32"/>
      <c r="CE1190" s="32"/>
      <c r="CF1190" s="32"/>
      <c r="CG1190" s="32"/>
      <c r="CH1190" s="32"/>
      <c r="CI1190" s="32"/>
      <c r="CJ1190" s="32"/>
      <c r="CK1190" s="32"/>
      <c r="CL1190" s="32"/>
      <c r="CM1190" s="32"/>
      <c r="CN1190" s="32"/>
      <c r="CO1190" s="32"/>
      <c r="CP1190" s="32"/>
      <c r="CQ1190" s="32"/>
      <c r="CR1190" s="32"/>
      <c r="CS1190" s="32"/>
      <c r="CT1190" s="32"/>
      <c r="CU1190" s="32"/>
      <c r="CV1190" s="32"/>
      <c r="CW1190" s="32"/>
      <c r="CX1190" s="32"/>
      <c r="CY1190" s="32"/>
      <c r="CZ1190" s="32"/>
      <c r="DA1190" s="32"/>
      <c r="DB1190" s="32"/>
      <c r="DC1190" s="32"/>
      <c r="DD1190" s="32"/>
      <c r="DE1190" s="32"/>
      <c r="DF1190" s="32"/>
      <c r="DG1190" s="32"/>
      <c r="DH1190" s="32"/>
      <c r="DI1190" s="32"/>
      <c r="DJ1190" s="32"/>
      <c r="DK1190" s="32"/>
      <c r="DL1190" s="32"/>
      <c r="DM1190" s="32"/>
      <c r="DN1190" s="32"/>
      <c r="DO1190" s="32"/>
      <c r="DP1190" s="32"/>
      <c r="DQ1190" s="32"/>
      <c r="DR1190" s="32"/>
      <c r="DS1190" s="32"/>
      <c r="DT1190" s="32"/>
      <c r="DU1190" s="32"/>
      <c r="DV1190" s="32"/>
      <c r="DW1190" s="32"/>
      <c r="DX1190" s="32"/>
      <c r="DY1190" s="32"/>
      <c r="DZ1190" s="32"/>
      <c r="EA1190" s="32"/>
      <c r="EB1190" s="32"/>
      <c r="EC1190" s="32"/>
      <c r="ED1190" s="32"/>
      <c r="EE1190" s="32"/>
      <c r="EF1190" s="32"/>
      <c r="EG1190" s="32"/>
      <c r="EH1190" s="32"/>
      <c r="EI1190" s="32"/>
      <c r="EJ1190" s="32"/>
      <c r="EK1190" s="32"/>
      <c r="EL1190" s="32"/>
      <c r="EM1190" s="32"/>
      <c r="EN1190" s="32"/>
      <c r="EO1190" s="32"/>
      <c r="EP1190" s="32"/>
      <c r="EQ1190" s="32"/>
      <c r="ER1190" s="32"/>
      <c r="ES1190" s="32"/>
      <c r="ET1190" s="32"/>
      <c r="EU1190" s="32"/>
      <c r="EV1190" s="32"/>
      <c r="EW1190" s="32"/>
      <c r="EX1190" s="32"/>
      <c r="EY1190" s="32"/>
      <c r="EZ1190" s="32"/>
      <c r="FA1190" s="32"/>
      <c r="FB1190" s="32"/>
      <c r="FC1190" s="32"/>
      <c r="FD1190" s="32"/>
      <c r="FE1190" s="32"/>
      <c r="FF1190" s="32"/>
      <c r="FG1190" s="32"/>
      <c r="FH1190" s="32"/>
      <c r="FI1190" s="32"/>
      <c r="FJ1190" s="32"/>
      <c r="FK1190" s="32"/>
      <c r="FL1190" s="32"/>
      <c r="FM1190" s="32"/>
      <c r="FN1190" s="32"/>
      <c r="FO1190" s="32"/>
      <c r="FP1190" s="32"/>
      <c r="FQ1190" s="32"/>
      <c r="FR1190" s="32"/>
      <c r="FS1190" s="32"/>
      <c r="FT1190" s="32"/>
      <c r="FU1190" s="32"/>
      <c r="FV1190" s="32"/>
      <c r="FW1190" s="32"/>
      <c r="FX1190" s="32"/>
      <c r="FY1190" s="32"/>
      <c r="FZ1190" s="32"/>
      <c r="GA1190" s="32"/>
      <c r="GB1190" s="32"/>
      <c r="GC1190" s="32"/>
      <c r="GD1190" s="32"/>
      <c r="GE1190" s="32"/>
      <c r="GF1190" s="32"/>
      <c r="GG1190" s="32"/>
      <c r="GH1190" s="32"/>
      <c r="GI1190" s="32"/>
      <c r="GJ1190" s="32"/>
      <c r="GK1190" s="32"/>
      <c r="GL1190" s="32"/>
      <c r="GM1190" s="32"/>
      <c r="GN1190" s="32"/>
      <c r="GO1190" s="32"/>
      <c r="GP1190" s="32"/>
      <c r="GQ1190" s="32"/>
      <c r="GR1190" s="32"/>
      <c r="GS1190" s="32"/>
      <c r="GT1190" s="32"/>
      <c r="GU1190" s="32"/>
      <c r="GV1190" s="32"/>
      <c r="GW1190" s="32"/>
      <c r="GX1190" s="32"/>
      <c r="GY1190" s="32"/>
      <c r="GZ1190" s="32"/>
      <c r="HA1190" s="32"/>
      <c r="HB1190" s="32"/>
      <c r="HC1190" s="32"/>
      <c r="HD1190" s="32"/>
      <c r="HE1190" s="32"/>
      <c r="HF1190" s="32"/>
      <c r="HG1190" s="32"/>
      <c r="HH1190" s="32"/>
      <c r="HI1190" s="32"/>
      <c r="HJ1190" s="32"/>
      <c r="HK1190" s="32"/>
      <c r="HL1190" s="32"/>
      <c r="HM1190" s="32"/>
      <c r="HN1190" s="32"/>
      <c r="HO1190" s="32"/>
      <c r="HP1190" s="32"/>
      <c r="HQ1190" s="32"/>
      <c r="HR1190" s="32"/>
      <c r="HS1190" s="32"/>
      <c r="HT1190" s="32"/>
      <c r="HU1190" s="32"/>
      <c r="HV1190" s="32"/>
      <c r="HW1190" s="32"/>
      <c r="HX1190" s="32"/>
      <c r="HY1190" s="32"/>
      <c r="HZ1190" s="32"/>
      <c r="IA1190" s="32"/>
      <c r="IB1190" s="32"/>
      <c r="IC1190" s="32"/>
      <c r="ID1190" s="32"/>
      <c r="IE1190" s="32"/>
      <c r="IF1190" s="32"/>
      <c r="IG1190" s="32"/>
      <c r="IH1190" s="32"/>
      <c r="II1190" s="32"/>
      <c r="IJ1190" s="32"/>
      <c r="IK1190" s="32"/>
      <c r="IL1190" s="32"/>
      <c r="IM1190" s="32"/>
      <c r="IN1190" s="32"/>
      <c r="IO1190" s="32"/>
      <c r="IP1190" s="32"/>
      <c r="IQ1190" s="32"/>
      <c r="IR1190" s="32"/>
      <c r="IS1190" s="32"/>
      <c r="IT1190" s="32"/>
      <c r="IU1190" s="32"/>
      <c r="IV1190" s="32"/>
      <c r="IW1190" s="32"/>
      <c r="IX1190" s="32"/>
      <c r="IY1190" s="32"/>
      <c r="IZ1190" s="32"/>
      <c r="JA1190" s="32"/>
      <c r="JB1190" s="32"/>
      <c r="JC1190" s="32"/>
      <c r="JD1190" s="32"/>
      <c r="JE1190" s="32"/>
      <c r="JF1190" s="32"/>
      <c r="JG1190" s="32"/>
      <c r="JH1190" s="32"/>
      <c r="JI1190" s="32"/>
      <c r="JJ1190" s="32"/>
      <c r="JK1190" s="32"/>
      <c r="JL1190" s="32"/>
      <c r="JM1190" s="32"/>
      <c r="JN1190" s="32"/>
      <c r="JO1190" s="32"/>
      <c r="JP1190" s="32"/>
      <c r="JQ1190" s="32"/>
      <c r="JR1190" s="32"/>
      <c r="JS1190" s="32"/>
      <c r="JT1190" s="32"/>
      <c r="JU1190" s="32"/>
      <c r="JV1190" s="32"/>
      <c r="JW1190" s="32"/>
      <c r="JX1190" s="32"/>
      <c r="JY1190" s="32"/>
      <c r="JZ1190" s="32"/>
      <c r="KA1190" s="32"/>
      <c r="KB1190" s="32"/>
      <c r="KC1190" s="32"/>
      <c r="KD1190" s="32"/>
      <c r="KE1190" s="32"/>
    </row>
    <row r="1191" spans="1:291" s="25" customFormat="1" ht="35" customHeight="1">
      <c r="A1191" s="23">
        <f>ROW()-3</f>
        <v>1188</v>
      </c>
      <c r="B1191" s="183" t="s">
        <v>4586</v>
      </c>
      <c r="C1191" s="183" t="s">
        <v>4345</v>
      </c>
      <c r="D1191" s="128" t="s">
        <v>5092</v>
      </c>
      <c r="E1191" s="128" t="s">
        <v>5093</v>
      </c>
      <c r="F1191" s="128" t="s">
        <v>4632</v>
      </c>
      <c r="G1191" s="42" t="s">
        <v>34</v>
      </c>
      <c r="H1191" s="183">
        <v>29</v>
      </c>
      <c r="I1191" s="84">
        <v>7.6205555555555602</v>
      </c>
      <c r="J1191" s="208">
        <v>43483</v>
      </c>
      <c r="K1191" s="46" t="s">
        <v>20</v>
      </c>
      <c r="L1191" s="203">
        <v>49</v>
      </c>
      <c r="M1191" s="32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32"/>
      <c r="AG1191" s="32"/>
      <c r="AH1191" s="32"/>
      <c r="AI1191" s="32"/>
      <c r="AJ1191" s="32"/>
      <c r="AK1191" s="32"/>
      <c r="AL1191" s="32"/>
      <c r="AM1191" s="32"/>
      <c r="AN1191" s="32"/>
      <c r="AO1191" s="32"/>
      <c r="AP1191" s="32"/>
      <c r="AQ1191" s="32"/>
      <c r="AR1191" s="32"/>
      <c r="AS1191" s="32"/>
      <c r="AT1191" s="32"/>
      <c r="AU1191" s="32"/>
      <c r="AV1191" s="32"/>
      <c r="AW1191" s="32"/>
      <c r="AX1191" s="32"/>
      <c r="AY1191" s="32"/>
      <c r="AZ1191" s="32"/>
      <c r="BA1191" s="32"/>
      <c r="BB1191" s="32"/>
      <c r="BC1191" s="32"/>
      <c r="BD1191" s="32"/>
      <c r="BE1191" s="32"/>
      <c r="BF1191" s="32"/>
      <c r="BG1191" s="32"/>
      <c r="BH1191" s="32"/>
      <c r="BI1191" s="32"/>
      <c r="BJ1191" s="32"/>
      <c r="BK1191" s="32"/>
      <c r="BL1191" s="32"/>
      <c r="BM1191" s="32"/>
      <c r="BN1191" s="32"/>
      <c r="BO1191" s="32"/>
      <c r="BP1191" s="32"/>
      <c r="BQ1191" s="32"/>
      <c r="BR1191" s="32"/>
      <c r="BS1191" s="32"/>
      <c r="BT1191" s="32"/>
      <c r="BU1191" s="32"/>
      <c r="BV1191" s="32"/>
      <c r="BW1191" s="32"/>
      <c r="BX1191" s="32"/>
      <c r="BY1191" s="32"/>
      <c r="BZ1191" s="32"/>
      <c r="CA1191" s="32"/>
      <c r="CB1191" s="32"/>
      <c r="CC1191" s="32"/>
      <c r="CD1191" s="32"/>
      <c r="CE1191" s="32"/>
      <c r="CF1191" s="32"/>
      <c r="CG1191" s="32"/>
      <c r="CH1191" s="32"/>
      <c r="CI1191" s="32"/>
      <c r="CJ1191" s="32"/>
      <c r="CK1191" s="32"/>
      <c r="CL1191" s="32"/>
      <c r="CM1191" s="32"/>
      <c r="CN1191" s="32"/>
      <c r="CO1191" s="32"/>
      <c r="CP1191" s="32"/>
      <c r="CQ1191" s="32"/>
      <c r="CR1191" s="32"/>
      <c r="CS1191" s="32"/>
      <c r="CT1191" s="32"/>
      <c r="CU1191" s="32"/>
      <c r="CV1191" s="32"/>
      <c r="CW1191" s="32"/>
      <c r="CX1191" s="32"/>
      <c r="CY1191" s="32"/>
      <c r="CZ1191" s="32"/>
      <c r="DA1191" s="32"/>
      <c r="DB1191" s="32"/>
      <c r="DC1191" s="32"/>
      <c r="DD1191" s="32"/>
      <c r="DE1191" s="32"/>
      <c r="DF1191" s="32"/>
      <c r="DG1191" s="32"/>
      <c r="DH1191" s="32"/>
      <c r="DI1191" s="32"/>
      <c r="DJ1191" s="32"/>
      <c r="DK1191" s="32"/>
      <c r="DL1191" s="32"/>
      <c r="DM1191" s="32"/>
      <c r="DN1191" s="32"/>
      <c r="DO1191" s="32"/>
      <c r="DP1191" s="32"/>
      <c r="DQ1191" s="32"/>
      <c r="DR1191" s="32"/>
      <c r="DS1191" s="32"/>
      <c r="DT1191" s="32"/>
      <c r="DU1191" s="32"/>
      <c r="DV1191" s="32"/>
      <c r="DW1191" s="32"/>
      <c r="DX1191" s="32"/>
      <c r="DY1191" s="32"/>
      <c r="DZ1191" s="32"/>
      <c r="EA1191" s="32"/>
      <c r="EB1191" s="32"/>
      <c r="EC1191" s="32"/>
      <c r="ED1191" s="32"/>
      <c r="EE1191" s="32"/>
      <c r="EF1191" s="32"/>
      <c r="EG1191" s="32"/>
      <c r="EH1191" s="32"/>
      <c r="EI1191" s="32"/>
      <c r="EJ1191" s="32"/>
      <c r="EK1191" s="32"/>
      <c r="EL1191" s="32"/>
      <c r="EM1191" s="32"/>
      <c r="EN1191" s="32"/>
      <c r="EO1191" s="32"/>
      <c r="EP1191" s="32"/>
      <c r="EQ1191" s="32"/>
      <c r="ER1191" s="32"/>
      <c r="ES1191" s="32"/>
      <c r="ET1191" s="32"/>
      <c r="EU1191" s="32"/>
      <c r="EV1191" s="32"/>
      <c r="EW1191" s="32"/>
      <c r="EX1191" s="32"/>
      <c r="EY1191" s="32"/>
      <c r="EZ1191" s="32"/>
      <c r="FA1191" s="32"/>
      <c r="FB1191" s="32"/>
      <c r="FC1191" s="32"/>
      <c r="FD1191" s="32"/>
      <c r="FE1191" s="32"/>
      <c r="FF1191" s="32"/>
      <c r="FG1191" s="32"/>
      <c r="FH1191" s="32"/>
      <c r="FI1191" s="32"/>
      <c r="FJ1191" s="32"/>
      <c r="FK1191" s="32"/>
      <c r="FL1191" s="32"/>
      <c r="FM1191" s="32"/>
      <c r="FN1191" s="32"/>
      <c r="FO1191" s="32"/>
      <c r="FP1191" s="32"/>
      <c r="FQ1191" s="32"/>
      <c r="FR1191" s="32"/>
      <c r="FS1191" s="32"/>
      <c r="FT1191" s="32"/>
      <c r="FU1191" s="32"/>
      <c r="FV1191" s="32"/>
      <c r="FW1191" s="32"/>
      <c r="FX1191" s="32"/>
      <c r="FY1191" s="32"/>
      <c r="FZ1191" s="32"/>
      <c r="GA1191" s="32"/>
      <c r="GB1191" s="32"/>
      <c r="GC1191" s="32"/>
      <c r="GD1191" s="32"/>
      <c r="GE1191" s="32"/>
      <c r="GF1191" s="32"/>
      <c r="GG1191" s="32"/>
      <c r="GH1191" s="32"/>
      <c r="GI1191" s="32"/>
      <c r="GJ1191" s="32"/>
      <c r="GK1191" s="32"/>
      <c r="GL1191" s="32"/>
      <c r="GM1191" s="32"/>
      <c r="GN1191" s="32"/>
      <c r="GO1191" s="32"/>
      <c r="GP1191" s="32"/>
      <c r="GQ1191" s="32"/>
      <c r="GR1191" s="32"/>
      <c r="GS1191" s="32"/>
      <c r="GT1191" s="32"/>
      <c r="GU1191" s="32"/>
      <c r="GV1191" s="32"/>
      <c r="GW1191" s="32"/>
      <c r="GX1191" s="32"/>
      <c r="GY1191" s="32"/>
      <c r="GZ1191" s="32"/>
      <c r="HA1191" s="32"/>
      <c r="HB1191" s="32"/>
      <c r="HC1191" s="32"/>
      <c r="HD1191" s="32"/>
      <c r="HE1191" s="32"/>
      <c r="HF1191" s="32"/>
      <c r="HG1191" s="32"/>
      <c r="HH1191" s="32"/>
      <c r="HI1191" s="32"/>
      <c r="HJ1191" s="32"/>
      <c r="HK1191" s="32"/>
      <c r="HL1191" s="32"/>
      <c r="HM1191" s="32"/>
      <c r="HN1191" s="32"/>
      <c r="HO1191" s="32"/>
      <c r="HP1191" s="32"/>
      <c r="HQ1191" s="32"/>
      <c r="HR1191" s="32"/>
      <c r="HS1191" s="32"/>
      <c r="HT1191" s="32"/>
      <c r="HU1191" s="32"/>
      <c r="HV1191" s="32"/>
      <c r="HW1191" s="32"/>
      <c r="HX1191" s="32"/>
      <c r="HY1191" s="32"/>
      <c r="HZ1191" s="32"/>
      <c r="IA1191" s="32"/>
      <c r="IB1191" s="32"/>
      <c r="IC1191" s="32"/>
      <c r="ID1191" s="32"/>
      <c r="IE1191" s="32"/>
      <c r="IF1191" s="32"/>
      <c r="IG1191" s="32"/>
      <c r="IH1191" s="32"/>
      <c r="II1191" s="32"/>
      <c r="IJ1191" s="32"/>
      <c r="IK1191" s="32"/>
      <c r="IL1191" s="32"/>
      <c r="IM1191" s="32"/>
      <c r="IN1191" s="32"/>
      <c r="IO1191" s="32"/>
      <c r="IP1191" s="32"/>
      <c r="IQ1191" s="32"/>
      <c r="IR1191" s="32"/>
      <c r="IS1191" s="32"/>
      <c r="IT1191" s="32"/>
      <c r="IU1191" s="32"/>
      <c r="IV1191" s="32"/>
      <c r="IW1191" s="32"/>
      <c r="IX1191" s="32"/>
      <c r="IY1191" s="32"/>
      <c r="IZ1191" s="32"/>
      <c r="JA1191" s="32"/>
      <c r="JB1191" s="32"/>
      <c r="JC1191" s="32"/>
      <c r="JD1191" s="32"/>
      <c r="JE1191" s="32"/>
      <c r="JF1191" s="32"/>
      <c r="JG1191" s="32"/>
      <c r="JH1191" s="32"/>
      <c r="JI1191" s="32"/>
      <c r="JJ1191" s="32"/>
      <c r="JK1191" s="32"/>
      <c r="JL1191" s="32"/>
      <c r="JM1191" s="32"/>
      <c r="JN1191" s="32"/>
      <c r="JO1191" s="32"/>
      <c r="JP1191" s="32"/>
      <c r="JQ1191" s="32"/>
      <c r="JR1191" s="32"/>
      <c r="JS1191" s="32"/>
      <c r="JT1191" s="32"/>
      <c r="JU1191" s="32"/>
      <c r="JV1191" s="32"/>
      <c r="JW1191" s="32"/>
      <c r="JX1191" s="32"/>
      <c r="JY1191" s="32"/>
      <c r="JZ1191" s="32"/>
      <c r="KA1191" s="32"/>
      <c r="KB1191" s="32"/>
      <c r="KC1191" s="32"/>
      <c r="KD1191" s="32"/>
      <c r="KE1191" s="32"/>
    </row>
    <row r="1192" spans="1:291" s="25" customFormat="1" ht="35" customHeight="1">
      <c r="A1192" s="23">
        <f>ROW()-3</f>
        <v>1189</v>
      </c>
      <c r="B1192" s="183" t="s">
        <v>4586</v>
      </c>
      <c r="C1192" s="205" t="s">
        <v>4345</v>
      </c>
      <c r="D1192" s="128" t="s">
        <v>5094</v>
      </c>
      <c r="E1192" s="128" t="s">
        <v>4700</v>
      </c>
      <c r="F1192" s="128" t="s">
        <v>4684</v>
      </c>
      <c r="G1192" s="42" t="s">
        <v>34</v>
      </c>
      <c r="H1192" s="183">
        <v>31</v>
      </c>
      <c r="I1192" s="84">
        <v>8.3941666666666706</v>
      </c>
      <c r="J1192" s="208">
        <v>43483</v>
      </c>
      <c r="K1192" s="46" t="s">
        <v>20</v>
      </c>
      <c r="L1192" s="203">
        <v>72.5</v>
      </c>
      <c r="M1192" s="32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32"/>
      <c r="AG1192" s="32"/>
      <c r="AH1192" s="32"/>
      <c r="AI1192" s="32"/>
      <c r="AJ1192" s="32"/>
      <c r="AK1192" s="32"/>
      <c r="AL1192" s="32"/>
      <c r="AM1192" s="32"/>
      <c r="AN1192" s="32"/>
      <c r="AO1192" s="32"/>
      <c r="AP1192" s="32"/>
      <c r="AQ1192" s="32"/>
      <c r="AR1192" s="32"/>
      <c r="AS1192" s="32"/>
      <c r="AT1192" s="32"/>
      <c r="AU1192" s="32"/>
      <c r="AV1192" s="32"/>
      <c r="AW1192" s="32"/>
      <c r="AX1192" s="32"/>
      <c r="AY1192" s="32"/>
      <c r="AZ1192" s="32"/>
      <c r="BA1192" s="32"/>
      <c r="BB1192" s="32"/>
      <c r="BC1192" s="32"/>
      <c r="BD1192" s="32"/>
      <c r="BE1192" s="32"/>
      <c r="BF1192" s="32"/>
      <c r="BG1192" s="32"/>
      <c r="BH1192" s="32"/>
      <c r="BI1192" s="32"/>
      <c r="BJ1192" s="32"/>
      <c r="BK1192" s="32"/>
      <c r="BL1192" s="32"/>
      <c r="BM1192" s="32"/>
      <c r="BN1192" s="32"/>
      <c r="BO1192" s="32"/>
      <c r="BP1192" s="32"/>
      <c r="BQ1192" s="32"/>
      <c r="BR1192" s="32"/>
      <c r="BS1192" s="32"/>
      <c r="BT1192" s="32"/>
      <c r="BU1192" s="32"/>
      <c r="BV1192" s="32"/>
      <c r="BW1192" s="32"/>
      <c r="BX1192" s="32"/>
      <c r="BY1192" s="32"/>
      <c r="BZ1192" s="32"/>
      <c r="CA1192" s="32"/>
      <c r="CB1192" s="32"/>
      <c r="CC1192" s="32"/>
      <c r="CD1192" s="32"/>
      <c r="CE1192" s="32"/>
      <c r="CF1192" s="32"/>
      <c r="CG1192" s="32"/>
      <c r="CH1192" s="32"/>
      <c r="CI1192" s="32"/>
      <c r="CJ1192" s="32"/>
      <c r="CK1192" s="32"/>
      <c r="CL1192" s="32"/>
      <c r="CM1192" s="32"/>
      <c r="CN1192" s="32"/>
      <c r="CO1192" s="32"/>
      <c r="CP1192" s="32"/>
      <c r="CQ1192" s="32"/>
      <c r="CR1192" s="32"/>
      <c r="CS1192" s="32"/>
      <c r="CT1192" s="32"/>
      <c r="CU1192" s="32"/>
      <c r="CV1192" s="32"/>
      <c r="CW1192" s="32"/>
      <c r="CX1192" s="32"/>
      <c r="CY1192" s="32"/>
      <c r="CZ1192" s="32"/>
      <c r="DA1192" s="32"/>
      <c r="DB1192" s="32"/>
      <c r="DC1192" s="32"/>
      <c r="DD1192" s="32"/>
      <c r="DE1192" s="32"/>
      <c r="DF1192" s="32"/>
      <c r="DG1192" s="32"/>
      <c r="DH1192" s="32"/>
      <c r="DI1192" s="32"/>
      <c r="DJ1192" s="32"/>
      <c r="DK1192" s="32"/>
      <c r="DL1192" s="32"/>
      <c r="DM1192" s="32"/>
      <c r="DN1192" s="32"/>
      <c r="DO1192" s="32"/>
      <c r="DP1192" s="32"/>
      <c r="DQ1192" s="32"/>
      <c r="DR1192" s="32"/>
      <c r="DS1192" s="32"/>
      <c r="DT1192" s="32"/>
      <c r="DU1192" s="32"/>
      <c r="DV1192" s="32"/>
      <c r="DW1192" s="32"/>
      <c r="DX1192" s="32"/>
      <c r="DY1192" s="32"/>
      <c r="DZ1192" s="32"/>
      <c r="EA1192" s="32"/>
      <c r="EB1192" s="32"/>
      <c r="EC1192" s="32"/>
      <c r="ED1192" s="32"/>
      <c r="EE1192" s="32"/>
      <c r="EF1192" s="32"/>
      <c r="EG1192" s="32"/>
      <c r="EH1192" s="32"/>
      <c r="EI1192" s="32"/>
      <c r="EJ1192" s="32"/>
      <c r="EK1192" s="32"/>
      <c r="EL1192" s="32"/>
      <c r="EM1192" s="32"/>
      <c r="EN1192" s="32"/>
      <c r="EO1192" s="32"/>
      <c r="EP1192" s="32"/>
      <c r="EQ1192" s="32"/>
      <c r="ER1192" s="32"/>
      <c r="ES1192" s="32"/>
      <c r="ET1192" s="32"/>
      <c r="EU1192" s="32"/>
      <c r="EV1192" s="32"/>
      <c r="EW1192" s="32"/>
      <c r="EX1192" s="32"/>
      <c r="EY1192" s="32"/>
      <c r="EZ1192" s="32"/>
      <c r="FA1192" s="32"/>
      <c r="FB1192" s="32"/>
      <c r="FC1192" s="32"/>
      <c r="FD1192" s="32"/>
      <c r="FE1192" s="32"/>
      <c r="FF1192" s="32"/>
      <c r="FG1192" s="32"/>
      <c r="FH1192" s="32"/>
      <c r="FI1192" s="32"/>
      <c r="FJ1192" s="32"/>
      <c r="FK1192" s="32"/>
      <c r="FL1192" s="32"/>
      <c r="FM1192" s="32"/>
      <c r="FN1192" s="32"/>
      <c r="FO1192" s="32"/>
      <c r="FP1192" s="32"/>
      <c r="FQ1192" s="32"/>
      <c r="FR1192" s="32"/>
      <c r="FS1192" s="32"/>
      <c r="FT1192" s="32"/>
      <c r="FU1192" s="32"/>
      <c r="FV1192" s="32"/>
      <c r="FW1192" s="32"/>
      <c r="FX1192" s="32"/>
      <c r="FY1192" s="32"/>
      <c r="FZ1192" s="32"/>
      <c r="GA1192" s="32"/>
      <c r="GB1192" s="32"/>
      <c r="GC1192" s="32"/>
      <c r="GD1192" s="32"/>
      <c r="GE1192" s="32"/>
      <c r="GF1192" s="32"/>
      <c r="GG1192" s="32"/>
      <c r="GH1192" s="32"/>
      <c r="GI1192" s="32"/>
      <c r="GJ1192" s="32"/>
      <c r="GK1192" s="32"/>
      <c r="GL1192" s="32"/>
      <c r="GM1192" s="32"/>
      <c r="GN1192" s="32"/>
      <c r="GO1192" s="32"/>
      <c r="GP1192" s="32"/>
      <c r="GQ1192" s="32"/>
      <c r="GR1192" s="32"/>
      <c r="GS1192" s="32"/>
      <c r="GT1192" s="32"/>
      <c r="GU1192" s="32"/>
      <c r="GV1192" s="32"/>
      <c r="GW1192" s="32"/>
      <c r="GX1192" s="32"/>
      <c r="GY1192" s="32"/>
      <c r="GZ1192" s="32"/>
      <c r="HA1192" s="32"/>
      <c r="HB1192" s="32"/>
      <c r="HC1192" s="32"/>
      <c r="HD1192" s="32"/>
      <c r="HE1192" s="32"/>
      <c r="HF1192" s="32"/>
      <c r="HG1192" s="32"/>
      <c r="HH1192" s="32"/>
      <c r="HI1192" s="32"/>
      <c r="HJ1192" s="32"/>
      <c r="HK1192" s="32"/>
      <c r="HL1192" s="32"/>
      <c r="HM1192" s="32"/>
      <c r="HN1192" s="32"/>
      <c r="HO1192" s="32"/>
      <c r="HP1192" s="32"/>
      <c r="HQ1192" s="32"/>
      <c r="HR1192" s="32"/>
      <c r="HS1192" s="32"/>
      <c r="HT1192" s="32"/>
      <c r="HU1192" s="32"/>
      <c r="HV1192" s="32"/>
      <c r="HW1192" s="32"/>
      <c r="HX1192" s="32"/>
      <c r="HY1192" s="32"/>
      <c r="HZ1192" s="32"/>
      <c r="IA1192" s="32"/>
      <c r="IB1192" s="32"/>
      <c r="IC1192" s="32"/>
      <c r="ID1192" s="32"/>
      <c r="IE1192" s="32"/>
      <c r="IF1192" s="32"/>
      <c r="IG1192" s="32"/>
      <c r="IH1192" s="32"/>
      <c r="II1192" s="32"/>
      <c r="IJ1192" s="32"/>
      <c r="IK1192" s="32"/>
      <c r="IL1192" s="32"/>
      <c r="IM1192" s="32"/>
      <c r="IN1192" s="32"/>
      <c r="IO1192" s="32"/>
      <c r="IP1192" s="32"/>
      <c r="IQ1192" s="32"/>
      <c r="IR1192" s="32"/>
      <c r="IS1192" s="32"/>
      <c r="IT1192" s="32"/>
      <c r="IU1192" s="32"/>
      <c r="IV1192" s="32"/>
      <c r="IW1192" s="32"/>
      <c r="IX1192" s="32"/>
      <c r="IY1192" s="32"/>
      <c r="IZ1192" s="32"/>
      <c r="JA1192" s="32"/>
      <c r="JB1192" s="32"/>
      <c r="JC1192" s="32"/>
      <c r="JD1192" s="32"/>
      <c r="JE1192" s="32"/>
      <c r="JF1192" s="32"/>
      <c r="JG1192" s="32"/>
      <c r="JH1192" s="32"/>
      <c r="JI1192" s="32"/>
      <c r="JJ1192" s="32"/>
      <c r="JK1192" s="32"/>
      <c r="JL1192" s="32"/>
      <c r="JM1192" s="32"/>
      <c r="JN1192" s="32"/>
      <c r="JO1192" s="32"/>
      <c r="JP1192" s="32"/>
      <c r="JQ1192" s="32"/>
      <c r="JR1192" s="32"/>
      <c r="JS1192" s="32"/>
      <c r="JT1192" s="32"/>
      <c r="JU1192" s="32"/>
      <c r="JV1192" s="32"/>
      <c r="JW1192" s="32"/>
      <c r="JX1192" s="32"/>
      <c r="JY1192" s="32"/>
      <c r="JZ1192" s="32"/>
      <c r="KA1192" s="32"/>
      <c r="KB1192" s="32"/>
      <c r="KC1192" s="32"/>
      <c r="KD1192" s="32"/>
      <c r="KE1192" s="32"/>
    </row>
    <row r="1193" spans="1:291" s="25" customFormat="1" ht="35" customHeight="1">
      <c r="A1193" s="23">
        <f>ROW()-3</f>
        <v>1190</v>
      </c>
      <c r="B1193" s="183" t="s">
        <v>4586</v>
      </c>
      <c r="C1193" s="183" t="s">
        <v>4345</v>
      </c>
      <c r="D1193" s="128" t="s">
        <v>5095</v>
      </c>
      <c r="E1193" s="128" t="s">
        <v>5096</v>
      </c>
      <c r="F1193" s="128" t="s">
        <v>4610</v>
      </c>
      <c r="G1193" s="42" t="s">
        <v>34</v>
      </c>
      <c r="H1193" s="183">
        <v>21</v>
      </c>
      <c r="I1193" s="84">
        <v>7.0591666666666697</v>
      </c>
      <c r="J1193" s="208">
        <v>43483</v>
      </c>
      <c r="K1193" s="84" t="s">
        <v>20</v>
      </c>
      <c r="L1193" s="203">
        <v>49.99</v>
      </c>
      <c r="M1193" s="32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32"/>
      <c r="AG1193" s="32"/>
      <c r="AH1193" s="32"/>
      <c r="AI1193" s="32"/>
      <c r="AJ1193" s="32"/>
      <c r="AK1193" s="32"/>
      <c r="AL1193" s="32"/>
      <c r="AM1193" s="32"/>
      <c r="AN1193" s="32"/>
      <c r="AO1193" s="32"/>
      <c r="AP1193" s="32"/>
      <c r="AQ1193" s="32"/>
      <c r="AR1193" s="32"/>
      <c r="AS1193" s="32"/>
      <c r="AT1193" s="32"/>
      <c r="AU1193" s="32"/>
      <c r="AV1193" s="32"/>
      <c r="AW1193" s="32"/>
      <c r="AX1193" s="32"/>
      <c r="AY1193" s="32"/>
      <c r="AZ1193" s="32"/>
      <c r="BA1193" s="32"/>
      <c r="BB1193" s="32"/>
      <c r="BC1193" s="32"/>
      <c r="BD1193" s="32"/>
      <c r="BE1193" s="32"/>
      <c r="BF1193" s="32"/>
      <c r="BG1193" s="32"/>
      <c r="BH1193" s="32"/>
      <c r="BI1193" s="32"/>
      <c r="BJ1193" s="32"/>
      <c r="BK1193" s="32"/>
      <c r="BL1193" s="32"/>
      <c r="BM1193" s="32"/>
      <c r="BN1193" s="32"/>
      <c r="BO1193" s="32"/>
      <c r="BP1193" s="32"/>
      <c r="BQ1193" s="32"/>
      <c r="BR1193" s="32"/>
      <c r="BS1193" s="32"/>
      <c r="BT1193" s="32"/>
      <c r="BU1193" s="32"/>
      <c r="BV1193" s="32"/>
      <c r="BW1193" s="32"/>
      <c r="BX1193" s="32"/>
      <c r="BY1193" s="32"/>
      <c r="BZ1193" s="32"/>
      <c r="CA1193" s="32"/>
      <c r="CB1193" s="32"/>
      <c r="CC1193" s="32"/>
      <c r="CD1193" s="32"/>
      <c r="CE1193" s="32"/>
      <c r="CF1193" s="32"/>
      <c r="CG1193" s="32"/>
      <c r="CH1193" s="32"/>
      <c r="CI1193" s="32"/>
      <c r="CJ1193" s="32"/>
      <c r="CK1193" s="32"/>
      <c r="CL1193" s="32"/>
      <c r="CM1193" s="32"/>
      <c r="CN1193" s="32"/>
      <c r="CO1193" s="32"/>
      <c r="CP1193" s="32"/>
      <c r="CQ1193" s="32"/>
      <c r="CR1193" s="32"/>
      <c r="CS1193" s="32"/>
      <c r="CT1193" s="32"/>
      <c r="CU1193" s="32"/>
      <c r="CV1193" s="32"/>
      <c r="CW1193" s="32"/>
      <c r="CX1193" s="32"/>
      <c r="CY1193" s="32"/>
      <c r="CZ1193" s="32"/>
      <c r="DA1193" s="32"/>
      <c r="DB1193" s="32"/>
      <c r="DC1193" s="32"/>
      <c r="DD1193" s="32"/>
      <c r="DE1193" s="32"/>
      <c r="DF1193" s="32"/>
      <c r="DG1193" s="32"/>
      <c r="DH1193" s="32"/>
      <c r="DI1193" s="32"/>
      <c r="DJ1193" s="32"/>
      <c r="DK1193" s="32"/>
      <c r="DL1193" s="32"/>
      <c r="DM1193" s="32"/>
      <c r="DN1193" s="32"/>
      <c r="DO1193" s="32"/>
      <c r="DP1193" s="32"/>
      <c r="DQ1193" s="32"/>
      <c r="DR1193" s="32"/>
      <c r="DS1193" s="32"/>
      <c r="DT1193" s="32"/>
      <c r="DU1193" s="32"/>
      <c r="DV1193" s="32"/>
      <c r="DW1193" s="32"/>
      <c r="DX1193" s="32"/>
      <c r="DY1193" s="32"/>
      <c r="DZ1193" s="32"/>
      <c r="EA1193" s="32"/>
      <c r="EB1193" s="32"/>
      <c r="EC1193" s="32"/>
      <c r="ED1193" s="32"/>
      <c r="EE1193" s="32"/>
      <c r="EF1193" s="32"/>
      <c r="EG1193" s="32"/>
      <c r="EH1193" s="32"/>
      <c r="EI1193" s="32"/>
      <c r="EJ1193" s="32"/>
      <c r="EK1193" s="32"/>
      <c r="EL1193" s="32"/>
      <c r="EM1193" s="32"/>
      <c r="EN1193" s="32"/>
      <c r="EO1193" s="32"/>
      <c r="EP1193" s="32"/>
      <c r="EQ1193" s="32"/>
      <c r="ER1193" s="32"/>
      <c r="ES1193" s="32"/>
      <c r="ET1193" s="32"/>
      <c r="EU1193" s="32"/>
      <c r="EV1193" s="32"/>
      <c r="EW1193" s="32"/>
      <c r="EX1193" s="32"/>
      <c r="EY1193" s="32"/>
      <c r="EZ1193" s="32"/>
      <c r="FA1193" s="32"/>
      <c r="FB1193" s="32"/>
      <c r="FC1193" s="32"/>
      <c r="FD1193" s="32"/>
      <c r="FE1193" s="32"/>
      <c r="FF1193" s="32"/>
      <c r="FG1193" s="32"/>
      <c r="FH1193" s="32"/>
      <c r="FI1193" s="32"/>
      <c r="FJ1193" s="32"/>
      <c r="FK1193" s="32"/>
      <c r="FL1193" s="32"/>
      <c r="FM1193" s="32"/>
      <c r="FN1193" s="32"/>
      <c r="FO1193" s="32"/>
      <c r="FP1193" s="32"/>
      <c r="FQ1193" s="32"/>
      <c r="FR1193" s="32"/>
      <c r="FS1193" s="32"/>
      <c r="FT1193" s="32"/>
      <c r="FU1193" s="32"/>
      <c r="FV1193" s="32"/>
      <c r="FW1193" s="32"/>
      <c r="FX1193" s="32"/>
      <c r="FY1193" s="32"/>
      <c r="FZ1193" s="32"/>
      <c r="GA1193" s="32"/>
      <c r="GB1193" s="32"/>
      <c r="GC1193" s="32"/>
      <c r="GD1193" s="32"/>
      <c r="GE1193" s="32"/>
      <c r="GF1193" s="32"/>
      <c r="GG1193" s="32"/>
      <c r="GH1193" s="32"/>
      <c r="GI1193" s="32"/>
      <c r="GJ1193" s="32"/>
      <c r="GK1193" s="32"/>
      <c r="GL1193" s="32"/>
      <c r="GM1193" s="32"/>
      <c r="GN1193" s="32"/>
      <c r="GO1193" s="32"/>
      <c r="GP1193" s="32"/>
      <c r="GQ1193" s="32"/>
      <c r="GR1193" s="32"/>
      <c r="GS1193" s="32"/>
      <c r="GT1193" s="32"/>
      <c r="GU1193" s="32"/>
      <c r="GV1193" s="32"/>
      <c r="GW1193" s="32"/>
      <c r="GX1193" s="32"/>
      <c r="GY1193" s="32"/>
      <c r="GZ1193" s="32"/>
      <c r="HA1193" s="32"/>
      <c r="HB1193" s="32"/>
      <c r="HC1193" s="32"/>
      <c r="HD1193" s="32"/>
      <c r="HE1193" s="32"/>
      <c r="HF1193" s="32"/>
      <c r="HG1193" s="32"/>
      <c r="HH1193" s="32"/>
      <c r="HI1193" s="32"/>
      <c r="HJ1193" s="32"/>
      <c r="HK1193" s="32"/>
      <c r="HL1193" s="32"/>
      <c r="HM1193" s="32"/>
      <c r="HN1193" s="32"/>
      <c r="HO1193" s="32"/>
      <c r="HP1193" s="32"/>
      <c r="HQ1193" s="32"/>
      <c r="HR1193" s="32"/>
      <c r="HS1193" s="32"/>
      <c r="HT1193" s="32"/>
      <c r="HU1193" s="32"/>
      <c r="HV1193" s="32"/>
      <c r="HW1193" s="32"/>
      <c r="HX1193" s="32"/>
      <c r="HY1193" s="32"/>
      <c r="HZ1193" s="32"/>
      <c r="IA1193" s="32"/>
      <c r="IB1193" s="32"/>
      <c r="IC1193" s="32"/>
      <c r="ID1193" s="32"/>
      <c r="IE1193" s="32"/>
      <c r="IF1193" s="32"/>
      <c r="IG1193" s="32"/>
      <c r="IH1193" s="32"/>
      <c r="II1193" s="32"/>
      <c r="IJ1193" s="32"/>
      <c r="IK1193" s="32"/>
      <c r="IL1193" s="32"/>
      <c r="IM1193" s="32"/>
      <c r="IN1193" s="32"/>
      <c r="IO1193" s="32"/>
      <c r="IP1193" s="32"/>
      <c r="IQ1193" s="32"/>
      <c r="IR1193" s="32"/>
      <c r="IS1193" s="32"/>
      <c r="IT1193" s="32"/>
      <c r="IU1193" s="32"/>
      <c r="IV1193" s="32"/>
      <c r="IW1193" s="32"/>
      <c r="IX1193" s="32"/>
      <c r="IY1193" s="32"/>
      <c r="IZ1193" s="32"/>
      <c r="JA1193" s="32"/>
      <c r="JB1193" s="32"/>
      <c r="JC1193" s="32"/>
      <c r="JD1193" s="32"/>
      <c r="JE1193" s="32"/>
      <c r="JF1193" s="32"/>
      <c r="JG1193" s="32"/>
      <c r="JH1193" s="32"/>
      <c r="JI1193" s="32"/>
      <c r="JJ1193" s="32"/>
      <c r="JK1193" s="32"/>
      <c r="JL1193" s="32"/>
      <c r="JM1193" s="32"/>
      <c r="JN1193" s="32"/>
      <c r="JO1193" s="32"/>
      <c r="JP1193" s="32"/>
      <c r="JQ1193" s="32"/>
      <c r="JR1193" s="32"/>
      <c r="JS1193" s="32"/>
      <c r="JT1193" s="32"/>
      <c r="JU1193" s="32"/>
      <c r="JV1193" s="32"/>
      <c r="JW1193" s="32"/>
      <c r="JX1193" s="32"/>
      <c r="JY1193" s="32"/>
      <c r="JZ1193" s="32"/>
      <c r="KA1193" s="32"/>
      <c r="KB1193" s="32"/>
      <c r="KC1193" s="32"/>
      <c r="KD1193" s="32"/>
      <c r="KE1193" s="32"/>
    </row>
    <row r="1194" spans="1:291" s="25" customFormat="1" ht="35" customHeight="1">
      <c r="A1194" s="23">
        <f>ROW()-3</f>
        <v>1191</v>
      </c>
      <c r="B1194" s="183" t="s">
        <v>4586</v>
      </c>
      <c r="C1194" s="183" t="s">
        <v>4345</v>
      </c>
      <c r="D1194" s="128" t="s">
        <v>5084</v>
      </c>
      <c r="E1194" s="128" t="s">
        <v>4625</v>
      </c>
      <c r="F1194" s="128" t="s">
        <v>4626</v>
      </c>
      <c r="G1194" s="42" t="s">
        <v>34</v>
      </c>
      <c r="H1194" s="183">
        <v>14</v>
      </c>
      <c r="I1194" s="84">
        <v>4.6463888888888896</v>
      </c>
      <c r="J1194" s="208">
        <v>43516</v>
      </c>
      <c r="K1194" s="46" t="s">
        <v>20</v>
      </c>
      <c r="L1194" s="203">
        <v>21</v>
      </c>
      <c r="M1194" s="32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32"/>
      <c r="AG1194" s="32"/>
      <c r="AH1194" s="32"/>
      <c r="AI1194" s="32"/>
      <c r="AJ1194" s="32"/>
      <c r="AK1194" s="32"/>
      <c r="AL1194" s="32"/>
      <c r="AM1194" s="32"/>
      <c r="AN1194" s="32"/>
      <c r="AO1194" s="32"/>
      <c r="AP1194" s="32"/>
      <c r="AQ1194" s="32"/>
      <c r="AR1194" s="32"/>
      <c r="AS1194" s="32"/>
      <c r="AT1194" s="32"/>
      <c r="AU1194" s="32"/>
      <c r="AV1194" s="32"/>
      <c r="AW1194" s="32"/>
      <c r="AX1194" s="32"/>
      <c r="AY1194" s="32"/>
      <c r="AZ1194" s="32"/>
      <c r="BA1194" s="32"/>
      <c r="BB1194" s="32"/>
      <c r="BC1194" s="32"/>
      <c r="BD1194" s="32"/>
      <c r="BE1194" s="32"/>
      <c r="BF1194" s="32"/>
      <c r="BG1194" s="32"/>
      <c r="BH1194" s="32"/>
      <c r="BI1194" s="32"/>
      <c r="BJ1194" s="32"/>
      <c r="BK1194" s="32"/>
      <c r="BL1194" s="32"/>
      <c r="BM1194" s="32"/>
      <c r="BN1194" s="32"/>
      <c r="BO1194" s="32"/>
      <c r="BP1194" s="32"/>
      <c r="BQ1194" s="32"/>
      <c r="BR1194" s="32"/>
      <c r="BS1194" s="32"/>
      <c r="BT1194" s="32"/>
      <c r="BU1194" s="32"/>
      <c r="BV1194" s="32"/>
      <c r="BW1194" s="32"/>
      <c r="BX1194" s="32"/>
      <c r="BY1194" s="32"/>
      <c r="BZ1194" s="32"/>
      <c r="CA1194" s="32"/>
      <c r="CB1194" s="32"/>
      <c r="CC1194" s="32"/>
      <c r="CD1194" s="32"/>
      <c r="CE1194" s="32"/>
      <c r="CF1194" s="32"/>
      <c r="CG1194" s="32"/>
      <c r="CH1194" s="32"/>
      <c r="CI1194" s="32"/>
      <c r="CJ1194" s="32"/>
      <c r="CK1194" s="32"/>
      <c r="CL1194" s="32"/>
      <c r="CM1194" s="32"/>
      <c r="CN1194" s="32"/>
      <c r="CO1194" s="32"/>
      <c r="CP1194" s="32"/>
      <c r="CQ1194" s="32"/>
      <c r="CR1194" s="32"/>
      <c r="CS1194" s="32"/>
      <c r="CT1194" s="32"/>
      <c r="CU1194" s="32"/>
      <c r="CV1194" s="32"/>
      <c r="CW1194" s="32"/>
      <c r="CX1194" s="32"/>
      <c r="CY1194" s="32"/>
      <c r="CZ1194" s="32"/>
      <c r="DA1194" s="32"/>
      <c r="DB1194" s="32"/>
      <c r="DC1194" s="32"/>
      <c r="DD1194" s="32"/>
      <c r="DE1194" s="32"/>
      <c r="DF1194" s="32"/>
      <c r="DG1194" s="32"/>
      <c r="DH1194" s="32"/>
      <c r="DI1194" s="32"/>
      <c r="DJ1194" s="32"/>
      <c r="DK1194" s="32"/>
      <c r="DL1194" s="32"/>
      <c r="DM1194" s="32"/>
      <c r="DN1194" s="32"/>
      <c r="DO1194" s="32"/>
      <c r="DP1194" s="32"/>
      <c r="DQ1194" s="32"/>
      <c r="DR1194" s="32"/>
      <c r="DS1194" s="32"/>
      <c r="DT1194" s="32"/>
      <c r="DU1194" s="32"/>
      <c r="DV1194" s="32"/>
      <c r="DW1194" s="32"/>
      <c r="DX1194" s="32"/>
      <c r="DY1194" s="32"/>
      <c r="DZ1194" s="32"/>
      <c r="EA1194" s="32"/>
      <c r="EB1194" s="32"/>
      <c r="EC1194" s="32"/>
      <c r="ED1194" s="32"/>
      <c r="EE1194" s="32"/>
      <c r="EF1194" s="32"/>
      <c r="EG1194" s="32"/>
      <c r="EH1194" s="32"/>
      <c r="EI1194" s="32"/>
      <c r="EJ1194" s="32"/>
      <c r="EK1194" s="32"/>
      <c r="EL1194" s="32"/>
      <c r="EM1194" s="32"/>
      <c r="EN1194" s="32"/>
      <c r="EO1194" s="32"/>
      <c r="EP1194" s="32"/>
      <c r="EQ1194" s="32"/>
      <c r="ER1194" s="32"/>
      <c r="ES1194" s="32"/>
      <c r="ET1194" s="32"/>
      <c r="EU1194" s="32"/>
      <c r="EV1194" s="32"/>
      <c r="EW1194" s="32"/>
      <c r="EX1194" s="32"/>
      <c r="EY1194" s="32"/>
      <c r="EZ1194" s="32"/>
      <c r="FA1194" s="32"/>
      <c r="FB1194" s="32"/>
      <c r="FC1194" s="32"/>
      <c r="FD1194" s="32"/>
      <c r="FE1194" s="32"/>
      <c r="FF1194" s="32"/>
      <c r="FG1194" s="32"/>
      <c r="FH1194" s="32"/>
      <c r="FI1194" s="32"/>
      <c r="FJ1194" s="32"/>
      <c r="FK1194" s="32"/>
      <c r="FL1194" s="32"/>
      <c r="FM1194" s="32"/>
      <c r="FN1194" s="32"/>
      <c r="FO1194" s="32"/>
      <c r="FP1194" s="32"/>
      <c r="FQ1194" s="32"/>
      <c r="FR1194" s="32"/>
      <c r="FS1194" s="32"/>
      <c r="FT1194" s="32"/>
      <c r="FU1194" s="32"/>
      <c r="FV1194" s="32"/>
      <c r="FW1194" s="32"/>
      <c r="FX1194" s="32"/>
      <c r="FY1194" s="32"/>
      <c r="FZ1194" s="32"/>
      <c r="GA1194" s="32"/>
      <c r="GB1194" s="32"/>
      <c r="GC1194" s="32"/>
      <c r="GD1194" s="32"/>
      <c r="GE1194" s="32"/>
      <c r="GF1194" s="32"/>
      <c r="GG1194" s="32"/>
      <c r="GH1194" s="32"/>
      <c r="GI1194" s="32"/>
      <c r="GJ1194" s="32"/>
      <c r="GK1194" s="32"/>
      <c r="GL1194" s="32"/>
      <c r="GM1194" s="32"/>
      <c r="GN1194" s="32"/>
      <c r="GO1194" s="32"/>
      <c r="GP1194" s="32"/>
      <c r="GQ1194" s="32"/>
      <c r="GR1194" s="32"/>
      <c r="GS1194" s="32"/>
      <c r="GT1194" s="32"/>
      <c r="GU1194" s="32"/>
      <c r="GV1194" s="32"/>
      <c r="GW1194" s="32"/>
      <c r="GX1194" s="32"/>
      <c r="GY1194" s="32"/>
      <c r="GZ1194" s="32"/>
      <c r="HA1194" s="32"/>
      <c r="HB1194" s="32"/>
      <c r="HC1194" s="32"/>
      <c r="HD1194" s="32"/>
      <c r="HE1194" s="32"/>
      <c r="HF1194" s="32"/>
      <c r="HG1194" s="32"/>
      <c r="HH1194" s="32"/>
      <c r="HI1194" s="32"/>
      <c r="HJ1194" s="32"/>
      <c r="HK1194" s="32"/>
      <c r="HL1194" s="32"/>
      <c r="HM1194" s="32"/>
      <c r="HN1194" s="32"/>
      <c r="HO1194" s="32"/>
      <c r="HP1194" s="32"/>
      <c r="HQ1194" s="32"/>
      <c r="HR1194" s="32"/>
      <c r="HS1194" s="32"/>
      <c r="HT1194" s="32"/>
      <c r="HU1194" s="32"/>
      <c r="HV1194" s="32"/>
      <c r="HW1194" s="32"/>
      <c r="HX1194" s="32"/>
      <c r="HY1194" s="32"/>
      <c r="HZ1194" s="32"/>
      <c r="IA1194" s="32"/>
      <c r="IB1194" s="32"/>
      <c r="IC1194" s="32"/>
      <c r="ID1194" s="32"/>
      <c r="IE1194" s="32"/>
      <c r="IF1194" s="32"/>
      <c r="IG1194" s="32"/>
      <c r="IH1194" s="32"/>
      <c r="II1194" s="32"/>
      <c r="IJ1194" s="32"/>
      <c r="IK1194" s="32"/>
      <c r="IL1194" s="32"/>
      <c r="IM1194" s="32"/>
      <c r="IN1194" s="32"/>
      <c r="IO1194" s="32"/>
      <c r="IP1194" s="32"/>
      <c r="IQ1194" s="32"/>
      <c r="IR1194" s="32"/>
      <c r="IS1194" s="32"/>
      <c r="IT1194" s="32"/>
      <c r="IU1194" s="32"/>
      <c r="IV1194" s="32"/>
      <c r="IW1194" s="32"/>
      <c r="IX1194" s="32"/>
      <c r="IY1194" s="32"/>
      <c r="IZ1194" s="32"/>
      <c r="JA1194" s="32"/>
      <c r="JB1194" s="32"/>
      <c r="JC1194" s="32"/>
      <c r="JD1194" s="32"/>
      <c r="JE1194" s="32"/>
      <c r="JF1194" s="32"/>
      <c r="JG1194" s="32"/>
      <c r="JH1194" s="32"/>
      <c r="JI1194" s="32"/>
      <c r="JJ1194" s="32"/>
      <c r="JK1194" s="32"/>
      <c r="JL1194" s="32"/>
      <c r="JM1194" s="32"/>
      <c r="JN1194" s="32"/>
      <c r="JO1194" s="32"/>
      <c r="JP1194" s="32"/>
      <c r="JQ1194" s="32"/>
      <c r="JR1194" s="32"/>
      <c r="JS1194" s="32"/>
      <c r="JT1194" s="32"/>
      <c r="JU1194" s="32"/>
      <c r="JV1194" s="32"/>
      <c r="JW1194" s="32"/>
      <c r="JX1194" s="32"/>
      <c r="JY1194" s="32"/>
      <c r="JZ1194" s="32"/>
      <c r="KA1194" s="32"/>
      <c r="KB1194" s="32"/>
      <c r="KC1194" s="32"/>
      <c r="KD1194" s="32"/>
      <c r="KE1194" s="32"/>
    </row>
    <row r="1195" spans="1:291" s="25" customFormat="1" ht="35" customHeight="1">
      <c r="A1195" s="23">
        <f>ROW()-3</f>
        <v>1192</v>
      </c>
      <c r="B1195" s="183" t="s">
        <v>4586</v>
      </c>
      <c r="C1195" s="183" t="s">
        <v>4345</v>
      </c>
      <c r="D1195" s="128" t="s">
        <v>5085</v>
      </c>
      <c r="E1195" s="128" t="s">
        <v>5086</v>
      </c>
      <c r="F1195" s="128" t="s">
        <v>4632</v>
      </c>
      <c r="G1195" s="42" t="s">
        <v>34</v>
      </c>
      <c r="H1195" s="183">
        <v>16</v>
      </c>
      <c r="I1195" s="84">
        <v>5.0408333333333299</v>
      </c>
      <c r="J1195" s="208">
        <v>43516</v>
      </c>
      <c r="K1195" s="84" t="s">
        <v>20</v>
      </c>
      <c r="L1195" s="203">
        <v>12.9</v>
      </c>
      <c r="M1195" s="32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32"/>
      <c r="AG1195" s="32"/>
      <c r="AH1195" s="32"/>
      <c r="AI1195" s="32"/>
      <c r="AJ1195" s="32"/>
      <c r="AK1195" s="32"/>
      <c r="AL1195" s="32"/>
      <c r="AM1195" s="32"/>
      <c r="AN1195" s="32"/>
      <c r="AO1195" s="32"/>
      <c r="AP1195" s="32"/>
      <c r="AQ1195" s="32"/>
      <c r="AR1195" s="32"/>
      <c r="AS1195" s="32"/>
      <c r="AT1195" s="32"/>
      <c r="AU1195" s="32"/>
      <c r="AV1195" s="32"/>
      <c r="AW1195" s="32"/>
      <c r="AX1195" s="32"/>
      <c r="AY1195" s="32"/>
      <c r="AZ1195" s="32"/>
      <c r="BA1195" s="32"/>
      <c r="BB1195" s="32"/>
      <c r="BC1195" s="32"/>
      <c r="BD1195" s="32"/>
      <c r="BE1195" s="32"/>
      <c r="BF1195" s="32"/>
      <c r="BG1195" s="32"/>
      <c r="BH1195" s="32"/>
      <c r="BI1195" s="32"/>
      <c r="BJ1195" s="32"/>
      <c r="BK1195" s="32"/>
      <c r="BL1195" s="32"/>
      <c r="BM1195" s="32"/>
      <c r="BN1195" s="32"/>
      <c r="BO1195" s="32"/>
      <c r="BP1195" s="32"/>
      <c r="BQ1195" s="32"/>
      <c r="BR1195" s="32"/>
      <c r="BS1195" s="32"/>
      <c r="BT1195" s="32"/>
      <c r="BU1195" s="32"/>
      <c r="BV1195" s="32"/>
      <c r="BW1195" s="32"/>
      <c r="BX1195" s="32"/>
      <c r="BY1195" s="32"/>
      <c r="BZ1195" s="32"/>
      <c r="CA1195" s="32"/>
      <c r="CB1195" s="32"/>
      <c r="CC1195" s="32"/>
      <c r="CD1195" s="32"/>
      <c r="CE1195" s="32"/>
      <c r="CF1195" s="32"/>
      <c r="CG1195" s="32"/>
      <c r="CH1195" s="32"/>
      <c r="CI1195" s="32"/>
      <c r="CJ1195" s="32"/>
      <c r="CK1195" s="32"/>
      <c r="CL1195" s="32"/>
      <c r="CM1195" s="32"/>
      <c r="CN1195" s="32"/>
      <c r="CO1195" s="32"/>
      <c r="CP1195" s="32"/>
      <c r="CQ1195" s="32"/>
      <c r="CR1195" s="32"/>
      <c r="CS1195" s="32"/>
      <c r="CT1195" s="32"/>
      <c r="CU1195" s="32"/>
      <c r="CV1195" s="32"/>
      <c r="CW1195" s="32"/>
      <c r="CX1195" s="32"/>
      <c r="CY1195" s="32"/>
      <c r="CZ1195" s="32"/>
      <c r="DA1195" s="32"/>
      <c r="DB1195" s="32"/>
      <c r="DC1195" s="32"/>
      <c r="DD1195" s="32"/>
      <c r="DE1195" s="32"/>
      <c r="DF1195" s="32"/>
      <c r="DG1195" s="32"/>
      <c r="DH1195" s="32"/>
      <c r="DI1195" s="32"/>
      <c r="DJ1195" s="32"/>
      <c r="DK1195" s="32"/>
      <c r="DL1195" s="32"/>
      <c r="DM1195" s="32"/>
      <c r="DN1195" s="32"/>
      <c r="DO1195" s="32"/>
      <c r="DP1195" s="32"/>
      <c r="DQ1195" s="32"/>
      <c r="DR1195" s="32"/>
      <c r="DS1195" s="32"/>
      <c r="DT1195" s="32"/>
      <c r="DU1195" s="32"/>
      <c r="DV1195" s="32"/>
      <c r="DW1195" s="32"/>
      <c r="DX1195" s="32"/>
      <c r="DY1195" s="32"/>
      <c r="DZ1195" s="32"/>
      <c r="EA1195" s="32"/>
      <c r="EB1195" s="32"/>
      <c r="EC1195" s="32"/>
      <c r="ED1195" s="32"/>
      <c r="EE1195" s="32"/>
      <c r="EF1195" s="32"/>
      <c r="EG1195" s="32"/>
      <c r="EH1195" s="32"/>
      <c r="EI1195" s="32"/>
      <c r="EJ1195" s="32"/>
      <c r="EK1195" s="32"/>
      <c r="EL1195" s="32"/>
      <c r="EM1195" s="32"/>
      <c r="EN1195" s="32"/>
      <c r="EO1195" s="32"/>
      <c r="EP1195" s="32"/>
      <c r="EQ1195" s="32"/>
      <c r="ER1195" s="32"/>
      <c r="ES1195" s="32"/>
      <c r="ET1195" s="32"/>
      <c r="EU1195" s="32"/>
      <c r="EV1195" s="32"/>
      <c r="EW1195" s="32"/>
      <c r="EX1195" s="32"/>
      <c r="EY1195" s="32"/>
      <c r="EZ1195" s="32"/>
      <c r="FA1195" s="32"/>
      <c r="FB1195" s="32"/>
      <c r="FC1195" s="32"/>
      <c r="FD1195" s="32"/>
      <c r="FE1195" s="32"/>
      <c r="FF1195" s="32"/>
      <c r="FG1195" s="32"/>
      <c r="FH1195" s="32"/>
      <c r="FI1195" s="32"/>
      <c r="FJ1195" s="32"/>
      <c r="FK1195" s="32"/>
      <c r="FL1195" s="32"/>
      <c r="FM1195" s="32"/>
      <c r="FN1195" s="32"/>
      <c r="FO1195" s="32"/>
      <c r="FP1195" s="32"/>
      <c r="FQ1195" s="32"/>
      <c r="FR1195" s="32"/>
      <c r="FS1195" s="32"/>
      <c r="FT1195" s="32"/>
      <c r="FU1195" s="32"/>
      <c r="FV1195" s="32"/>
      <c r="FW1195" s="32"/>
      <c r="FX1195" s="32"/>
      <c r="FY1195" s="32"/>
      <c r="FZ1195" s="32"/>
      <c r="GA1195" s="32"/>
      <c r="GB1195" s="32"/>
      <c r="GC1195" s="32"/>
      <c r="GD1195" s="32"/>
      <c r="GE1195" s="32"/>
      <c r="GF1195" s="32"/>
      <c r="GG1195" s="32"/>
      <c r="GH1195" s="32"/>
      <c r="GI1195" s="32"/>
      <c r="GJ1195" s="32"/>
      <c r="GK1195" s="32"/>
      <c r="GL1195" s="32"/>
      <c r="GM1195" s="32"/>
      <c r="GN1195" s="32"/>
      <c r="GO1195" s="32"/>
      <c r="GP1195" s="32"/>
      <c r="GQ1195" s="32"/>
      <c r="GR1195" s="32"/>
      <c r="GS1195" s="32"/>
      <c r="GT1195" s="32"/>
      <c r="GU1195" s="32"/>
      <c r="GV1195" s="32"/>
      <c r="GW1195" s="32"/>
      <c r="GX1195" s="32"/>
      <c r="GY1195" s="32"/>
      <c r="GZ1195" s="32"/>
      <c r="HA1195" s="32"/>
      <c r="HB1195" s="32"/>
      <c r="HC1195" s="32"/>
      <c r="HD1195" s="32"/>
      <c r="HE1195" s="32"/>
      <c r="HF1195" s="32"/>
      <c r="HG1195" s="32"/>
      <c r="HH1195" s="32"/>
      <c r="HI1195" s="32"/>
      <c r="HJ1195" s="32"/>
      <c r="HK1195" s="32"/>
      <c r="HL1195" s="32"/>
      <c r="HM1195" s="32"/>
      <c r="HN1195" s="32"/>
      <c r="HO1195" s="32"/>
      <c r="HP1195" s="32"/>
      <c r="HQ1195" s="32"/>
      <c r="HR1195" s="32"/>
      <c r="HS1195" s="32"/>
      <c r="HT1195" s="32"/>
      <c r="HU1195" s="32"/>
      <c r="HV1195" s="32"/>
      <c r="HW1195" s="32"/>
      <c r="HX1195" s="32"/>
      <c r="HY1195" s="32"/>
      <c r="HZ1195" s="32"/>
      <c r="IA1195" s="32"/>
      <c r="IB1195" s="32"/>
      <c r="IC1195" s="32"/>
      <c r="ID1195" s="32"/>
      <c r="IE1195" s="32"/>
      <c r="IF1195" s="32"/>
      <c r="IG1195" s="32"/>
      <c r="IH1195" s="32"/>
      <c r="II1195" s="32"/>
      <c r="IJ1195" s="32"/>
      <c r="IK1195" s="32"/>
      <c r="IL1195" s="32"/>
      <c r="IM1195" s="32"/>
      <c r="IN1195" s="32"/>
      <c r="IO1195" s="32"/>
      <c r="IP1195" s="32"/>
      <c r="IQ1195" s="32"/>
      <c r="IR1195" s="32"/>
      <c r="IS1195" s="32"/>
      <c r="IT1195" s="32"/>
      <c r="IU1195" s="32"/>
      <c r="IV1195" s="32"/>
      <c r="IW1195" s="32"/>
      <c r="IX1195" s="32"/>
      <c r="IY1195" s="32"/>
      <c r="IZ1195" s="32"/>
      <c r="JA1195" s="32"/>
      <c r="JB1195" s="32"/>
      <c r="JC1195" s="32"/>
      <c r="JD1195" s="32"/>
      <c r="JE1195" s="32"/>
      <c r="JF1195" s="32"/>
      <c r="JG1195" s="32"/>
      <c r="JH1195" s="32"/>
      <c r="JI1195" s="32"/>
      <c r="JJ1195" s="32"/>
      <c r="JK1195" s="32"/>
      <c r="JL1195" s="32"/>
      <c r="JM1195" s="32"/>
      <c r="JN1195" s="32"/>
      <c r="JO1195" s="32"/>
      <c r="JP1195" s="32"/>
      <c r="JQ1195" s="32"/>
      <c r="JR1195" s="32"/>
      <c r="JS1195" s="32"/>
      <c r="JT1195" s="32"/>
      <c r="JU1195" s="32"/>
      <c r="JV1195" s="32"/>
      <c r="JW1195" s="32"/>
      <c r="JX1195" s="32"/>
      <c r="JY1195" s="32"/>
      <c r="JZ1195" s="32"/>
      <c r="KA1195" s="32"/>
      <c r="KB1195" s="32"/>
      <c r="KC1195" s="32"/>
      <c r="KD1195" s="32"/>
      <c r="KE1195" s="32"/>
    </row>
    <row r="1196" spans="1:291" s="25" customFormat="1" ht="35" customHeight="1">
      <c r="A1196" s="23">
        <f>ROW()-3</f>
        <v>1193</v>
      </c>
      <c r="B1196" s="183" t="s">
        <v>4586</v>
      </c>
      <c r="C1196" s="183" t="s">
        <v>4345</v>
      </c>
      <c r="D1196" s="128" t="s">
        <v>3160</v>
      </c>
      <c r="E1196" s="128" t="s">
        <v>3161</v>
      </c>
      <c r="F1196" s="128" t="s">
        <v>4610</v>
      </c>
      <c r="G1196" s="42" t="s">
        <v>34</v>
      </c>
      <c r="H1196" s="183">
        <v>30</v>
      </c>
      <c r="I1196" s="84">
        <v>9.4049999999999994</v>
      </c>
      <c r="J1196" s="208">
        <v>43516</v>
      </c>
      <c r="K1196" s="46" t="s">
        <v>20</v>
      </c>
      <c r="L1196" s="203">
        <v>40</v>
      </c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32"/>
      <c r="AG1196" s="32"/>
      <c r="AH1196" s="32"/>
      <c r="AI1196" s="32"/>
      <c r="AJ1196" s="32"/>
      <c r="AK1196" s="32"/>
      <c r="AL1196" s="32"/>
      <c r="AM1196" s="32"/>
      <c r="AN1196" s="32"/>
      <c r="AO1196" s="32"/>
      <c r="AP1196" s="32"/>
      <c r="AQ1196" s="32"/>
      <c r="AR1196" s="32"/>
      <c r="AS1196" s="32"/>
      <c r="AT1196" s="32"/>
      <c r="AU1196" s="32"/>
      <c r="AV1196" s="32"/>
      <c r="AW1196" s="32"/>
      <c r="AX1196" s="32"/>
      <c r="AY1196" s="32"/>
      <c r="AZ1196" s="32"/>
      <c r="BA1196" s="32"/>
      <c r="BB1196" s="32"/>
      <c r="BC1196" s="32"/>
      <c r="BD1196" s="32"/>
      <c r="BE1196" s="32"/>
      <c r="BF1196" s="32"/>
      <c r="BG1196" s="32"/>
      <c r="BH1196" s="32"/>
      <c r="BI1196" s="32"/>
      <c r="BJ1196" s="32"/>
      <c r="BK1196" s="32"/>
      <c r="BL1196" s="32"/>
      <c r="BM1196" s="32"/>
      <c r="BN1196" s="32"/>
      <c r="BO1196" s="32"/>
      <c r="BP1196" s="32"/>
      <c r="BQ1196" s="32"/>
      <c r="BR1196" s="32"/>
      <c r="BS1196" s="32"/>
      <c r="BT1196" s="32"/>
      <c r="BU1196" s="32"/>
      <c r="BV1196" s="32"/>
      <c r="BW1196" s="32"/>
      <c r="BX1196" s="32"/>
      <c r="BY1196" s="32"/>
      <c r="BZ1196" s="32"/>
      <c r="CA1196" s="32"/>
      <c r="CB1196" s="32"/>
      <c r="CC1196" s="32"/>
      <c r="CD1196" s="32"/>
      <c r="CE1196" s="32"/>
      <c r="CF1196" s="32"/>
      <c r="CG1196" s="32"/>
      <c r="CH1196" s="32"/>
      <c r="CI1196" s="32"/>
      <c r="CJ1196" s="32"/>
      <c r="CK1196" s="32"/>
      <c r="CL1196" s="32"/>
      <c r="CM1196" s="32"/>
      <c r="CN1196" s="32"/>
      <c r="CO1196" s="32"/>
      <c r="CP1196" s="32"/>
      <c r="CQ1196" s="32"/>
      <c r="CR1196" s="32"/>
      <c r="CS1196" s="32"/>
      <c r="CT1196" s="32"/>
      <c r="CU1196" s="32"/>
      <c r="CV1196" s="32"/>
      <c r="CW1196" s="32"/>
      <c r="CX1196" s="32"/>
      <c r="CY1196" s="32"/>
      <c r="CZ1196" s="32"/>
      <c r="DA1196" s="32"/>
      <c r="DB1196" s="32"/>
      <c r="DC1196" s="32"/>
      <c r="DD1196" s="32"/>
      <c r="DE1196" s="32"/>
      <c r="DF1196" s="32"/>
      <c r="DG1196" s="32"/>
      <c r="DH1196" s="32"/>
      <c r="DI1196" s="32"/>
      <c r="DJ1196" s="32"/>
      <c r="DK1196" s="32"/>
      <c r="DL1196" s="32"/>
      <c r="DM1196" s="32"/>
      <c r="DN1196" s="32"/>
      <c r="DO1196" s="32"/>
      <c r="DP1196" s="32"/>
      <c r="DQ1196" s="32"/>
      <c r="DR1196" s="32"/>
      <c r="DS1196" s="32"/>
      <c r="DT1196" s="32"/>
      <c r="DU1196" s="32"/>
      <c r="DV1196" s="32"/>
      <c r="DW1196" s="32"/>
      <c r="DX1196" s="32"/>
      <c r="DY1196" s="32"/>
      <c r="DZ1196" s="32"/>
      <c r="EA1196" s="32"/>
      <c r="EB1196" s="32"/>
      <c r="EC1196" s="32"/>
      <c r="ED1196" s="32"/>
      <c r="EE1196" s="32"/>
      <c r="EF1196" s="32"/>
      <c r="EG1196" s="32"/>
      <c r="EH1196" s="32"/>
      <c r="EI1196" s="32"/>
      <c r="EJ1196" s="32"/>
      <c r="EK1196" s="32"/>
      <c r="EL1196" s="32"/>
      <c r="EM1196" s="32"/>
      <c r="EN1196" s="32"/>
      <c r="EO1196" s="32"/>
      <c r="EP1196" s="32"/>
      <c r="EQ1196" s="32"/>
      <c r="ER1196" s="32"/>
      <c r="ES1196" s="32"/>
      <c r="ET1196" s="32"/>
      <c r="EU1196" s="32"/>
      <c r="EV1196" s="32"/>
      <c r="EW1196" s="32"/>
      <c r="EX1196" s="32"/>
      <c r="EY1196" s="32"/>
      <c r="EZ1196" s="32"/>
      <c r="FA1196" s="32"/>
      <c r="FB1196" s="32"/>
      <c r="FC1196" s="32"/>
      <c r="FD1196" s="32"/>
      <c r="FE1196" s="32"/>
      <c r="FF1196" s="32"/>
      <c r="FG1196" s="32"/>
      <c r="FH1196" s="32"/>
      <c r="FI1196" s="32"/>
      <c r="FJ1196" s="32"/>
      <c r="FK1196" s="32"/>
      <c r="FL1196" s="32"/>
      <c r="FM1196" s="32"/>
      <c r="FN1196" s="32"/>
      <c r="FO1196" s="32"/>
      <c r="FP1196" s="32"/>
      <c r="FQ1196" s="32"/>
      <c r="FR1196" s="32"/>
      <c r="FS1196" s="32"/>
      <c r="FT1196" s="32"/>
      <c r="FU1196" s="32"/>
      <c r="FV1196" s="32"/>
      <c r="FW1196" s="32"/>
      <c r="FX1196" s="32"/>
      <c r="FY1196" s="32"/>
      <c r="FZ1196" s="32"/>
      <c r="GA1196" s="32"/>
      <c r="GB1196" s="32"/>
      <c r="GC1196" s="32"/>
      <c r="GD1196" s="32"/>
      <c r="GE1196" s="32"/>
      <c r="GF1196" s="32"/>
      <c r="GG1196" s="32"/>
      <c r="GH1196" s="32"/>
      <c r="GI1196" s="32"/>
      <c r="GJ1196" s="32"/>
      <c r="GK1196" s="32"/>
      <c r="GL1196" s="32"/>
      <c r="GM1196" s="32"/>
      <c r="GN1196" s="32"/>
      <c r="GO1196" s="32"/>
      <c r="GP1196" s="32"/>
      <c r="GQ1196" s="32"/>
      <c r="GR1196" s="32"/>
      <c r="GS1196" s="32"/>
      <c r="GT1196" s="32"/>
      <c r="GU1196" s="32"/>
      <c r="GV1196" s="32"/>
      <c r="GW1196" s="32"/>
      <c r="GX1196" s="32"/>
      <c r="GY1196" s="32"/>
      <c r="GZ1196" s="32"/>
      <c r="HA1196" s="32"/>
      <c r="HB1196" s="32"/>
      <c r="HC1196" s="32"/>
      <c r="HD1196" s="32"/>
      <c r="HE1196" s="32"/>
      <c r="HF1196" s="32"/>
      <c r="HG1196" s="32"/>
      <c r="HH1196" s="32"/>
      <c r="HI1196" s="32"/>
      <c r="HJ1196" s="32"/>
      <c r="HK1196" s="32"/>
      <c r="HL1196" s="32"/>
      <c r="HM1196" s="32"/>
      <c r="HN1196" s="32"/>
      <c r="HO1196" s="32"/>
      <c r="HP1196" s="32"/>
      <c r="HQ1196" s="32"/>
      <c r="HR1196" s="32"/>
      <c r="HS1196" s="32"/>
      <c r="HT1196" s="32"/>
      <c r="HU1196" s="32"/>
      <c r="HV1196" s="32"/>
      <c r="HW1196" s="32"/>
      <c r="HX1196" s="32"/>
      <c r="HY1196" s="32"/>
      <c r="HZ1196" s="32"/>
      <c r="IA1196" s="32"/>
      <c r="IB1196" s="32"/>
      <c r="IC1196" s="32"/>
      <c r="ID1196" s="32"/>
      <c r="IE1196" s="32"/>
      <c r="IF1196" s="32"/>
      <c r="IG1196" s="32"/>
      <c r="IH1196" s="32"/>
      <c r="II1196" s="32"/>
      <c r="IJ1196" s="32"/>
      <c r="IK1196" s="32"/>
      <c r="IL1196" s="32"/>
      <c r="IM1196" s="32"/>
      <c r="IN1196" s="32"/>
      <c r="IO1196" s="32"/>
      <c r="IP1196" s="32"/>
      <c r="IQ1196" s="32"/>
      <c r="IR1196" s="32"/>
      <c r="IS1196" s="32"/>
      <c r="IT1196" s="32"/>
      <c r="IU1196" s="32"/>
      <c r="IV1196" s="32"/>
      <c r="IW1196" s="32"/>
      <c r="IX1196" s="32"/>
      <c r="IY1196" s="32"/>
      <c r="IZ1196" s="32"/>
      <c r="JA1196" s="32"/>
      <c r="JB1196" s="32"/>
      <c r="JC1196" s="32"/>
      <c r="JD1196" s="32"/>
      <c r="JE1196" s="32"/>
      <c r="JF1196" s="32"/>
      <c r="JG1196" s="32"/>
      <c r="JH1196" s="32"/>
      <c r="JI1196" s="32"/>
      <c r="JJ1196" s="32"/>
      <c r="JK1196" s="32"/>
      <c r="JL1196" s="32"/>
      <c r="JM1196" s="32"/>
      <c r="JN1196" s="32"/>
      <c r="JO1196" s="32"/>
      <c r="JP1196" s="32"/>
      <c r="JQ1196" s="32"/>
      <c r="JR1196" s="32"/>
      <c r="JS1196" s="32"/>
      <c r="JT1196" s="32"/>
      <c r="JU1196" s="32"/>
      <c r="JV1196" s="32"/>
      <c r="JW1196" s="32"/>
      <c r="JX1196" s="32"/>
      <c r="JY1196" s="32"/>
      <c r="JZ1196" s="32"/>
      <c r="KA1196" s="32"/>
      <c r="KB1196" s="32"/>
      <c r="KC1196" s="32"/>
      <c r="KD1196" s="32"/>
      <c r="KE1196" s="32"/>
    </row>
    <row r="1197" spans="1:291" s="25" customFormat="1" ht="35" customHeight="1">
      <c r="A1197" s="23">
        <f>ROW()-3</f>
        <v>1194</v>
      </c>
      <c r="B1197" s="183" t="s">
        <v>4586</v>
      </c>
      <c r="C1197" s="205" t="s">
        <v>4345</v>
      </c>
      <c r="D1197" s="128" t="s">
        <v>5099</v>
      </c>
      <c r="E1197" s="128" t="s">
        <v>5100</v>
      </c>
      <c r="F1197" s="128" t="s">
        <v>5101</v>
      </c>
      <c r="G1197" s="42" t="s">
        <v>34</v>
      </c>
      <c r="H1197" s="183">
        <v>24</v>
      </c>
      <c r="I1197" s="84">
        <v>6.8872222222222197</v>
      </c>
      <c r="J1197" s="208">
        <v>43692</v>
      </c>
      <c r="K1197" s="46" t="s">
        <v>20</v>
      </c>
      <c r="L1197" s="203">
        <v>10.99</v>
      </c>
      <c r="M1197" s="32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32"/>
      <c r="AG1197" s="32"/>
      <c r="AH1197" s="32"/>
      <c r="AI1197" s="32"/>
      <c r="AJ1197" s="32"/>
      <c r="AK1197" s="32"/>
      <c r="AL1197" s="32"/>
      <c r="AM1197" s="32"/>
      <c r="AN1197" s="32"/>
      <c r="AO1197" s="32"/>
      <c r="AP1197" s="32"/>
      <c r="AQ1197" s="32"/>
      <c r="AR1197" s="32"/>
      <c r="AS1197" s="32"/>
      <c r="AT1197" s="32"/>
      <c r="AU1197" s="32"/>
      <c r="AV1197" s="32"/>
      <c r="AW1197" s="32"/>
      <c r="AX1197" s="32"/>
      <c r="AY1197" s="32"/>
      <c r="AZ1197" s="32"/>
      <c r="BA1197" s="32"/>
      <c r="BB1197" s="32"/>
      <c r="BC1197" s="32"/>
      <c r="BD1197" s="32"/>
      <c r="BE1197" s="32"/>
      <c r="BF1197" s="32"/>
      <c r="BG1197" s="32"/>
      <c r="BH1197" s="32"/>
      <c r="BI1197" s="32"/>
      <c r="BJ1197" s="32"/>
      <c r="BK1197" s="32"/>
      <c r="BL1197" s="32"/>
      <c r="BM1197" s="32"/>
      <c r="BN1197" s="32"/>
      <c r="BO1197" s="32"/>
      <c r="BP1197" s="32"/>
      <c r="BQ1197" s="32"/>
      <c r="BR1197" s="32"/>
      <c r="BS1197" s="32"/>
      <c r="BT1197" s="32"/>
      <c r="BU1197" s="32"/>
      <c r="BV1197" s="32"/>
      <c r="BW1197" s="32"/>
      <c r="BX1197" s="32"/>
      <c r="BY1197" s="32"/>
      <c r="BZ1197" s="32"/>
      <c r="CA1197" s="32"/>
      <c r="CB1197" s="32"/>
      <c r="CC1197" s="32"/>
      <c r="CD1197" s="32"/>
      <c r="CE1197" s="32"/>
      <c r="CF1197" s="32"/>
      <c r="CG1197" s="32"/>
      <c r="CH1197" s="32"/>
      <c r="CI1197" s="32"/>
      <c r="CJ1197" s="32"/>
      <c r="CK1197" s="32"/>
      <c r="CL1197" s="32"/>
      <c r="CM1197" s="32"/>
      <c r="CN1197" s="32"/>
      <c r="CO1197" s="32"/>
      <c r="CP1197" s="32"/>
      <c r="CQ1197" s="32"/>
      <c r="CR1197" s="32"/>
      <c r="CS1197" s="32"/>
      <c r="CT1197" s="32"/>
      <c r="CU1197" s="32"/>
      <c r="CV1197" s="32"/>
      <c r="CW1197" s="32"/>
      <c r="CX1197" s="32"/>
      <c r="CY1197" s="32"/>
      <c r="CZ1197" s="32"/>
      <c r="DA1197" s="32"/>
      <c r="DB1197" s="32"/>
      <c r="DC1197" s="32"/>
      <c r="DD1197" s="32"/>
      <c r="DE1197" s="32"/>
      <c r="DF1197" s="32"/>
      <c r="DG1197" s="32"/>
      <c r="DH1197" s="32"/>
      <c r="DI1197" s="32"/>
      <c r="DJ1197" s="32"/>
      <c r="DK1197" s="32"/>
      <c r="DL1197" s="32"/>
      <c r="DM1197" s="32"/>
      <c r="DN1197" s="32"/>
      <c r="DO1197" s="32"/>
      <c r="DP1197" s="32"/>
      <c r="DQ1197" s="32"/>
      <c r="DR1197" s="32"/>
      <c r="DS1197" s="32"/>
      <c r="DT1197" s="32"/>
      <c r="DU1197" s="32"/>
      <c r="DV1197" s="32"/>
      <c r="DW1197" s="32"/>
      <c r="DX1197" s="32"/>
      <c r="DY1197" s="32"/>
      <c r="DZ1197" s="32"/>
      <c r="EA1197" s="32"/>
      <c r="EB1197" s="32"/>
      <c r="EC1197" s="32"/>
      <c r="ED1197" s="32"/>
      <c r="EE1197" s="32"/>
      <c r="EF1197" s="32"/>
      <c r="EG1197" s="32"/>
      <c r="EH1197" s="32"/>
      <c r="EI1197" s="32"/>
      <c r="EJ1197" s="32"/>
      <c r="EK1197" s="32"/>
      <c r="EL1197" s="32"/>
      <c r="EM1197" s="32"/>
      <c r="EN1197" s="32"/>
      <c r="EO1197" s="32"/>
      <c r="EP1197" s="32"/>
      <c r="EQ1197" s="32"/>
      <c r="ER1197" s="32"/>
      <c r="ES1197" s="32"/>
      <c r="ET1197" s="32"/>
      <c r="EU1197" s="32"/>
      <c r="EV1197" s="32"/>
      <c r="EW1197" s="32"/>
      <c r="EX1197" s="32"/>
      <c r="EY1197" s="32"/>
      <c r="EZ1197" s="32"/>
      <c r="FA1197" s="32"/>
      <c r="FB1197" s="32"/>
      <c r="FC1197" s="32"/>
      <c r="FD1197" s="32"/>
      <c r="FE1197" s="32"/>
      <c r="FF1197" s="32"/>
      <c r="FG1197" s="32"/>
      <c r="FH1197" s="32"/>
      <c r="FI1197" s="32"/>
      <c r="FJ1197" s="32"/>
      <c r="FK1197" s="32"/>
      <c r="FL1197" s="32"/>
      <c r="FM1197" s="32"/>
      <c r="FN1197" s="32"/>
      <c r="FO1197" s="32"/>
      <c r="FP1197" s="32"/>
      <c r="FQ1197" s="32"/>
      <c r="FR1197" s="32"/>
      <c r="FS1197" s="32"/>
      <c r="FT1197" s="32"/>
      <c r="FU1197" s="32"/>
      <c r="FV1197" s="32"/>
      <c r="FW1197" s="32"/>
      <c r="FX1197" s="32"/>
      <c r="FY1197" s="32"/>
      <c r="FZ1197" s="32"/>
      <c r="GA1197" s="32"/>
      <c r="GB1197" s="32"/>
      <c r="GC1197" s="32"/>
      <c r="GD1197" s="32"/>
      <c r="GE1197" s="32"/>
      <c r="GF1197" s="32"/>
      <c r="GG1197" s="32"/>
      <c r="GH1197" s="32"/>
      <c r="GI1197" s="32"/>
      <c r="GJ1197" s="32"/>
      <c r="GK1197" s="32"/>
      <c r="GL1197" s="32"/>
      <c r="GM1197" s="32"/>
      <c r="GN1197" s="32"/>
      <c r="GO1197" s="32"/>
      <c r="GP1197" s="32"/>
      <c r="GQ1197" s="32"/>
      <c r="GR1197" s="32"/>
      <c r="GS1197" s="32"/>
      <c r="GT1197" s="32"/>
      <c r="GU1197" s="32"/>
      <c r="GV1197" s="32"/>
      <c r="GW1197" s="32"/>
      <c r="GX1197" s="32"/>
      <c r="GY1197" s="32"/>
      <c r="GZ1197" s="32"/>
      <c r="HA1197" s="32"/>
      <c r="HB1197" s="32"/>
      <c r="HC1197" s="32"/>
      <c r="HD1197" s="32"/>
      <c r="HE1197" s="32"/>
      <c r="HF1197" s="32"/>
      <c r="HG1197" s="32"/>
      <c r="HH1197" s="32"/>
      <c r="HI1197" s="32"/>
      <c r="HJ1197" s="32"/>
      <c r="HK1197" s="32"/>
      <c r="HL1197" s="32"/>
      <c r="HM1197" s="32"/>
      <c r="HN1197" s="32"/>
      <c r="HO1197" s="32"/>
      <c r="HP1197" s="32"/>
      <c r="HQ1197" s="32"/>
      <c r="HR1197" s="32"/>
      <c r="HS1197" s="32"/>
      <c r="HT1197" s="32"/>
      <c r="HU1197" s="32"/>
      <c r="HV1197" s="32"/>
      <c r="HW1197" s="32"/>
      <c r="HX1197" s="32"/>
      <c r="HY1197" s="32"/>
      <c r="HZ1197" s="32"/>
      <c r="IA1197" s="32"/>
      <c r="IB1197" s="32"/>
      <c r="IC1197" s="32"/>
      <c r="ID1197" s="32"/>
      <c r="IE1197" s="32"/>
      <c r="IF1197" s="32"/>
      <c r="IG1197" s="32"/>
      <c r="IH1197" s="32"/>
      <c r="II1197" s="32"/>
      <c r="IJ1197" s="32"/>
      <c r="IK1197" s="32"/>
      <c r="IL1197" s="32"/>
      <c r="IM1197" s="32"/>
      <c r="IN1197" s="32"/>
      <c r="IO1197" s="32"/>
      <c r="IP1197" s="32"/>
      <c r="IQ1197" s="32"/>
      <c r="IR1197" s="32"/>
      <c r="IS1197" s="32"/>
      <c r="IT1197" s="32"/>
      <c r="IU1197" s="32"/>
      <c r="IV1197" s="32"/>
      <c r="IW1197" s="32"/>
      <c r="IX1197" s="32"/>
      <c r="IY1197" s="32"/>
      <c r="IZ1197" s="32"/>
      <c r="JA1197" s="32"/>
      <c r="JB1197" s="32"/>
      <c r="JC1197" s="32"/>
      <c r="JD1197" s="32"/>
      <c r="JE1197" s="32"/>
      <c r="JF1197" s="32"/>
      <c r="JG1197" s="32"/>
      <c r="JH1197" s="32"/>
      <c r="JI1197" s="32"/>
      <c r="JJ1197" s="32"/>
      <c r="JK1197" s="32"/>
      <c r="JL1197" s="32"/>
      <c r="JM1197" s="32"/>
      <c r="JN1197" s="32"/>
      <c r="JO1197" s="32"/>
      <c r="JP1197" s="32"/>
      <c r="JQ1197" s="32"/>
      <c r="JR1197" s="32"/>
      <c r="JS1197" s="32"/>
      <c r="JT1197" s="32"/>
      <c r="JU1197" s="32"/>
      <c r="JV1197" s="32"/>
      <c r="JW1197" s="32"/>
      <c r="JX1197" s="32"/>
      <c r="JY1197" s="32"/>
      <c r="JZ1197" s="32"/>
      <c r="KA1197" s="32"/>
      <c r="KB1197" s="32"/>
      <c r="KC1197" s="32"/>
      <c r="KD1197" s="32"/>
      <c r="KE1197" s="32"/>
    </row>
    <row r="1198" spans="1:291" s="25" customFormat="1" ht="35" customHeight="1">
      <c r="A1198" s="23">
        <f>ROW()-3</f>
        <v>1195</v>
      </c>
      <c r="B1198" s="183" t="s">
        <v>4586</v>
      </c>
      <c r="C1198" s="183" t="s">
        <v>4345</v>
      </c>
      <c r="D1198" s="128" t="s">
        <v>5102</v>
      </c>
      <c r="E1198" s="128" t="s">
        <v>310</v>
      </c>
      <c r="F1198" s="128" t="s">
        <v>4698</v>
      </c>
      <c r="G1198" s="42" t="s">
        <v>34</v>
      </c>
      <c r="H1198" s="183">
        <v>25</v>
      </c>
      <c r="I1198" s="84">
        <v>8.8738888888888905</v>
      </c>
      <c r="J1198" s="208">
        <v>43692</v>
      </c>
      <c r="K1198" s="84" t="s">
        <v>20</v>
      </c>
      <c r="L1198" s="203">
        <v>9.99</v>
      </c>
      <c r="M1198" s="32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32"/>
      <c r="AG1198" s="32"/>
      <c r="AH1198" s="32"/>
      <c r="AI1198" s="32"/>
      <c r="AJ1198" s="32"/>
      <c r="AK1198" s="32"/>
      <c r="AL1198" s="32"/>
      <c r="AM1198" s="32"/>
      <c r="AN1198" s="32"/>
      <c r="AO1198" s="32"/>
      <c r="AP1198" s="32"/>
      <c r="AQ1198" s="32"/>
      <c r="AR1198" s="32"/>
      <c r="AS1198" s="32"/>
      <c r="AT1198" s="32"/>
      <c r="AU1198" s="32"/>
      <c r="AV1198" s="32"/>
      <c r="AW1198" s="32"/>
      <c r="AX1198" s="32"/>
      <c r="AY1198" s="32"/>
      <c r="AZ1198" s="32"/>
      <c r="BA1198" s="32"/>
      <c r="BB1198" s="32"/>
      <c r="BC1198" s="32"/>
      <c r="BD1198" s="32"/>
      <c r="BE1198" s="32"/>
      <c r="BF1198" s="32"/>
      <c r="BG1198" s="32"/>
      <c r="BH1198" s="32"/>
      <c r="BI1198" s="32"/>
      <c r="BJ1198" s="32"/>
      <c r="BK1198" s="32"/>
      <c r="BL1198" s="32"/>
      <c r="BM1198" s="32"/>
      <c r="BN1198" s="32"/>
      <c r="BO1198" s="32"/>
      <c r="BP1198" s="32"/>
      <c r="BQ1198" s="32"/>
      <c r="BR1198" s="32"/>
      <c r="BS1198" s="32"/>
      <c r="BT1198" s="32"/>
      <c r="BU1198" s="32"/>
      <c r="BV1198" s="32"/>
      <c r="BW1198" s="32"/>
      <c r="BX1198" s="32"/>
      <c r="BY1198" s="32"/>
      <c r="BZ1198" s="32"/>
      <c r="CA1198" s="32"/>
      <c r="CB1198" s="32"/>
      <c r="CC1198" s="32"/>
      <c r="CD1198" s="32"/>
      <c r="CE1198" s="32"/>
      <c r="CF1198" s="32"/>
      <c r="CG1198" s="32"/>
      <c r="CH1198" s="32"/>
      <c r="CI1198" s="32"/>
      <c r="CJ1198" s="32"/>
      <c r="CK1198" s="32"/>
      <c r="CL1198" s="32"/>
      <c r="CM1198" s="32"/>
      <c r="CN1198" s="32"/>
      <c r="CO1198" s="32"/>
      <c r="CP1198" s="32"/>
      <c r="CQ1198" s="32"/>
      <c r="CR1198" s="32"/>
      <c r="CS1198" s="32"/>
      <c r="CT1198" s="32"/>
      <c r="CU1198" s="32"/>
      <c r="CV1198" s="32"/>
      <c r="CW1198" s="32"/>
      <c r="CX1198" s="32"/>
      <c r="CY1198" s="32"/>
      <c r="CZ1198" s="32"/>
      <c r="DA1198" s="32"/>
      <c r="DB1198" s="32"/>
      <c r="DC1198" s="32"/>
      <c r="DD1198" s="32"/>
      <c r="DE1198" s="32"/>
      <c r="DF1198" s="32"/>
      <c r="DG1198" s="32"/>
      <c r="DH1198" s="32"/>
      <c r="DI1198" s="32"/>
      <c r="DJ1198" s="32"/>
      <c r="DK1198" s="32"/>
      <c r="DL1198" s="32"/>
      <c r="DM1198" s="32"/>
      <c r="DN1198" s="32"/>
      <c r="DO1198" s="32"/>
      <c r="DP1198" s="32"/>
      <c r="DQ1198" s="32"/>
      <c r="DR1198" s="32"/>
      <c r="DS1198" s="32"/>
      <c r="DT1198" s="32"/>
      <c r="DU1198" s="32"/>
      <c r="DV1198" s="32"/>
      <c r="DW1198" s="32"/>
      <c r="DX1198" s="32"/>
      <c r="DY1198" s="32"/>
      <c r="DZ1198" s="32"/>
      <c r="EA1198" s="32"/>
      <c r="EB1198" s="32"/>
      <c r="EC1198" s="32"/>
      <c r="ED1198" s="32"/>
      <c r="EE1198" s="32"/>
      <c r="EF1198" s="32"/>
      <c r="EG1198" s="32"/>
      <c r="EH1198" s="32"/>
      <c r="EI1198" s="32"/>
      <c r="EJ1198" s="32"/>
      <c r="EK1198" s="32"/>
      <c r="EL1198" s="32"/>
      <c r="EM1198" s="32"/>
      <c r="EN1198" s="32"/>
      <c r="EO1198" s="32"/>
      <c r="EP1198" s="32"/>
      <c r="EQ1198" s="32"/>
      <c r="ER1198" s="32"/>
      <c r="ES1198" s="32"/>
      <c r="ET1198" s="32"/>
      <c r="EU1198" s="32"/>
      <c r="EV1198" s="32"/>
      <c r="EW1198" s="32"/>
      <c r="EX1198" s="32"/>
      <c r="EY1198" s="32"/>
      <c r="EZ1198" s="32"/>
      <c r="FA1198" s="32"/>
      <c r="FB1198" s="32"/>
      <c r="FC1198" s="32"/>
      <c r="FD1198" s="32"/>
      <c r="FE1198" s="32"/>
      <c r="FF1198" s="32"/>
      <c r="FG1198" s="32"/>
      <c r="FH1198" s="32"/>
      <c r="FI1198" s="32"/>
      <c r="FJ1198" s="32"/>
      <c r="FK1198" s="32"/>
      <c r="FL1198" s="32"/>
      <c r="FM1198" s="32"/>
      <c r="FN1198" s="32"/>
      <c r="FO1198" s="32"/>
      <c r="FP1198" s="32"/>
      <c r="FQ1198" s="32"/>
      <c r="FR1198" s="32"/>
      <c r="FS1198" s="32"/>
      <c r="FT1198" s="32"/>
      <c r="FU1198" s="32"/>
      <c r="FV1198" s="32"/>
      <c r="FW1198" s="32"/>
      <c r="FX1198" s="32"/>
      <c r="FY1198" s="32"/>
      <c r="FZ1198" s="32"/>
      <c r="GA1198" s="32"/>
      <c r="GB1198" s="32"/>
      <c r="GC1198" s="32"/>
      <c r="GD1198" s="32"/>
      <c r="GE1198" s="32"/>
      <c r="GF1198" s="32"/>
      <c r="GG1198" s="32"/>
      <c r="GH1198" s="32"/>
      <c r="GI1198" s="32"/>
      <c r="GJ1198" s="32"/>
      <c r="GK1198" s="32"/>
      <c r="GL1198" s="32"/>
      <c r="GM1198" s="32"/>
      <c r="GN1198" s="32"/>
      <c r="GO1198" s="32"/>
      <c r="GP1198" s="32"/>
      <c r="GQ1198" s="32"/>
      <c r="GR1198" s="32"/>
      <c r="GS1198" s="32"/>
      <c r="GT1198" s="32"/>
      <c r="GU1198" s="32"/>
      <c r="GV1198" s="32"/>
      <c r="GW1198" s="32"/>
      <c r="GX1198" s="32"/>
      <c r="GY1198" s="32"/>
      <c r="GZ1198" s="32"/>
      <c r="HA1198" s="32"/>
      <c r="HB1198" s="32"/>
      <c r="HC1198" s="32"/>
      <c r="HD1198" s="32"/>
      <c r="HE1198" s="32"/>
      <c r="HF1198" s="32"/>
      <c r="HG1198" s="32"/>
      <c r="HH1198" s="32"/>
      <c r="HI1198" s="32"/>
      <c r="HJ1198" s="32"/>
      <c r="HK1198" s="32"/>
      <c r="HL1198" s="32"/>
      <c r="HM1198" s="32"/>
      <c r="HN1198" s="32"/>
      <c r="HO1198" s="32"/>
      <c r="HP1198" s="32"/>
      <c r="HQ1198" s="32"/>
      <c r="HR1198" s="32"/>
      <c r="HS1198" s="32"/>
      <c r="HT1198" s="32"/>
      <c r="HU1198" s="32"/>
      <c r="HV1198" s="32"/>
      <c r="HW1198" s="32"/>
      <c r="HX1198" s="32"/>
      <c r="HY1198" s="32"/>
      <c r="HZ1198" s="32"/>
      <c r="IA1198" s="32"/>
      <c r="IB1198" s="32"/>
      <c r="IC1198" s="32"/>
      <c r="ID1198" s="32"/>
      <c r="IE1198" s="32"/>
      <c r="IF1198" s="32"/>
      <c r="IG1198" s="32"/>
      <c r="IH1198" s="32"/>
      <c r="II1198" s="32"/>
      <c r="IJ1198" s="32"/>
      <c r="IK1198" s="32"/>
      <c r="IL1198" s="32"/>
      <c r="IM1198" s="32"/>
      <c r="IN1198" s="32"/>
      <c r="IO1198" s="32"/>
      <c r="IP1198" s="32"/>
      <c r="IQ1198" s="32"/>
      <c r="IR1198" s="32"/>
      <c r="IS1198" s="32"/>
      <c r="IT1198" s="32"/>
      <c r="IU1198" s="32"/>
      <c r="IV1198" s="32"/>
      <c r="IW1198" s="32"/>
      <c r="IX1198" s="32"/>
      <c r="IY1198" s="32"/>
      <c r="IZ1198" s="32"/>
      <c r="JA1198" s="32"/>
      <c r="JB1198" s="32"/>
      <c r="JC1198" s="32"/>
      <c r="JD1198" s="32"/>
      <c r="JE1198" s="32"/>
      <c r="JF1198" s="32"/>
      <c r="JG1198" s="32"/>
      <c r="JH1198" s="32"/>
      <c r="JI1198" s="32"/>
      <c r="JJ1198" s="32"/>
      <c r="JK1198" s="32"/>
      <c r="JL1198" s="32"/>
      <c r="JM1198" s="32"/>
      <c r="JN1198" s="32"/>
      <c r="JO1198" s="32"/>
      <c r="JP1198" s="32"/>
      <c r="JQ1198" s="32"/>
      <c r="JR1198" s="32"/>
      <c r="JS1198" s="32"/>
      <c r="JT1198" s="32"/>
      <c r="JU1198" s="32"/>
      <c r="JV1198" s="32"/>
      <c r="JW1198" s="32"/>
      <c r="JX1198" s="32"/>
      <c r="JY1198" s="32"/>
      <c r="JZ1198" s="32"/>
      <c r="KA1198" s="32"/>
      <c r="KB1198" s="32"/>
      <c r="KC1198" s="32"/>
      <c r="KD1198" s="32"/>
      <c r="KE1198" s="32"/>
    </row>
    <row r="1199" spans="1:291" s="25" customFormat="1" ht="35" customHeight="1">
      <c r="A1199" s="23">
        <f>ROW()-3</f>
        <v>1196</v>
      </c>
      <c r="B1199" s="183" t="s">
        <v>4586</v>
      </c>
      <c r="C1199" s="183" t="s">
        <v>4345</v>
      </c>
      <c r="D1199" s="128" t="s">
        <v>5103</v>
      </c>
      <c r="E1199" s="128" t="s">
        <v>5104</v>
      </c>
      <c r="F1199" s="128" t="s">
        <v>5105</v>
      </c>
      <c r="G1199" s="42" t="s">
        <v>34</v>
      </c>
      <c r="H1199" s="183">
        <v>30</v>
      </c>
      <c r="I1199" s="84">
        <v>10.053333333333301</v>
      </c>
      <c r="J1199" s="208">
        <v>43692</v>
      </c>
      <c r="K1199" s="84" t="s">
        <v>20</v>
      </c>
      <c r="L1199" s="203">
        <v>113.05</v>
      </c>
      <c r="M1199" s="32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32"/>
      <c r="AG1199" s="32"/>
      <c r="AH1199" s="32"/>
      <c r="AI1199" s="32"/>
      <c r="AJ1199" s="32"/>
      <c r="AK1199" s="32"/>
      <c r="AL1199" s="32"/>
      <c r="AM1199" s="32"/>
      <c r="AN1199" s="32"/>
      <c r="AO1199" s="32"/>
      <c r="AP1199" s="32"/>
      <c r="AQ1199" s="32"/>
      <c r="AR1199" s="32"/>
      <c r="AS1199" s="32"/>
      <c r="AT1199" s="32"/>
      <c r="AU1199" s="32"/>
      <c r="AV1199" s="32"/>
      <c r="AW1199" s="32"/>
      <c r="AX1199" s="32"/>
      <c r="AY1199" s="32"/>
      <c r="AZ1199" s="32"/>
      <c r="BA1199" s="32"/>
      <c r="BB1199" s="32"/>
      <c r="BC1199" s="32"/>
      <c r="BD1199" s="32"/>
      <c r="BE1199" s="32"/>
      <c r="BF1199" s="32"/>
      <c r="BG1199" s="32"/>
      <c r="BH1199" s="32"/>
      <c r="BI1199" s="32"/>
      <c r="BJ1199" s="32"/>
      <c r="BK1199" s="32"/>
      <c r="BL1199" s="32"/>
      <c r="BM1199" s="32"/>
      <c r="BN1199" s="32"/>
      <c r="BO1199" s="32"/>
      <c r="BP1199" s="32"/>
      <c r="BQ1199" s="32"/>
      <c r="BR1199" s="32"/>
      <c r="BS1199" s="32"/>
      <c r="BT1199" s="32"/>
      <c r="BU1199" s="32"/>
      <c r="BV1199" s="32"/>
      <c r="BW1199" s="32"/>
      <c r="BX1199" s="32"/>
      <c r="BY1199" s="32"/>
      <c r="BZ1199" s="32"/>
      <c r="CA1199" s="32"/>
      <c r="CB1199" s="32"/>
      <c r="CC1199" s="32"/>
      <c r="CD1199" s="32"/>
      <c r="CE1199" s="32"/>
      <c r="CF1199" s="32"/>
      <c r="CG1199" s="32"/>
      <c r="CH1199" s="32"/>
      <c r="CI1199" s="32"/>
      <c r="CJ1199" s="32"/>
      <c r="CK1199" s="32"/>
      <c r="CL1199" s="32"/>
      <c r="CM1199" s="32"/>
      <c r="CN1199" s="32"/>
      <c r="CO1199" s="32"/>
      <c r="CP1199" s="32"/>
      <c r="CQ1199" s="32"/>
      <c r="CR1199" s="32"/>
      <c r="CS1199" s="32"/>
      <c r="CT1199" s="32"/>
      <c r="CU1199" s="32"/>
      <c r="CV1199" s="32"/>
      <c r="CW1199" s="32"/>
      <c r="CX1199" s="32"/>
      <c r="CY1199" s="32"/>
      <c r="CZ1199" s="32"/>
      <c r="DA1199" s="32"/>
      <c r="DB1199" s="32"/>
      <c r="DC1199" s="32"/>
      <c r="DD1199" s="32"/>
      <c r="DE1199" s="32"/>
      <c r="DF1199" s="32"/>
      <c r="DG1199" s="32"/>
      <c r="DH1199" s="32"/>
      <c r="DI1199" s="32"/>
      <c r="DJ1199" s="32"/>
      <c r="DK1199" s="32"/>
      <c r="DL1199" s="32"/>
      <c r="DM1199" s="32"/>
      <c r="DN1199" s="32"/>
      <c r="DO1199" s="32"/>
      <c r="DP1199" s="32"/>
      <c r="DQ1199" s="32"/>
      <c r="DR1199" s="32"/>
      <c r="DS1199" s="32"/>
      <c r="DT1199" s="32"/>
      <c r="DU1199" s="32"/>
      <c r="DV1199" s="32"/>
      <c r="DW1199" s="32"/>
      <c r="DX1199" s="32"/>
      <c r="DY1199" s="32"/>
      <c r="DZ1199" s="32"/>
      <c r="EA1199" s="32"/>
      <c r="EB1199" s="32"/>
      <c r="EC1199" s="32"/>
      <c r="ED1199" s="32"/>
      <c r="EE1199" s="32"/>
      <c r="EF1199" s="32"/>
      <c r="EG1199" s="32"/>
      <c r="EH1199" s="32"/>
      <c r="EI1199" s="32"/>
      <c r="EJ1199" s="32"/>
      <c r="EK1199" s="32"/>
      <c r="EL1199" s="32"/>
      <c r="EM1199" s="32"/>
      <c r="EN1199" s="32"/>
      <c r="EO1199" s="32"/>
      <c r="EP1199" s="32"/>
      <c r="EQ1199" s="32"/>
      <c r="ER1199" s="32"/>
      <c r="ES1199" s="32"/>
      <c r="ET1199" s="32"/>
      <c r="EU1199" s="32"/>
      <c r="EV1199" s="32"/>
      <c r="EW1199" s="32"/>
      <c r="EX1199" s="32"/>
      <c r="EY1199" s="32"/>
      <c r="EZ1199" s="32"/>
      <c r="FA1199" s="32"/>
      <c r="FB1199" s="32"/>
      <c r="FC1199" s="32"/>
      <c r="FD1199" s="32"/>
      <c r="FE1199" s="32"/>
      <c r="FF1199" s="32"/>
      <c r="FG1199" s="32"/>
      <c r="FH1199" s="32"/>
      <c r="FI1199" s="32"/>
      <c r="FJ1199" s="32"/>
      <c r="FK1199" s="32"/>
      <c r="FL1199" s="32"/>
      <c r="FM1199" s="32"/>
      <c r="FN1199" s="32"/>
      <c r="FO1199" s="32"/>
      <c r="FP1199" s="32"/>
      <c r="FQ1199" s="32"/>
      <c r="FR1199" s="32"/>
      <c r="FS1199" s="32"/>
      <c r="FT1199" s="32"/>
      <c r="FU1199" s="32"/>
      <c r="FV1199" s="32"/>
      <c r="FW1199" s="32"/>
      <c r="FX1199" s="32"/>
      <c r="FY1199" s="32"/>
      <c r="FZ1199" s="32"/>
      <c r="GA1199" s="32"/>
      <c r="GB1199" s="32"/>
      <c r="GC1199" s="32"/>
      <c r="GD1199" s="32"/>
      <c r="GE1199" s="32"/>
      <c r="GF1199" s="32"/>
      <c r="GG1199" s="32"/>
      <c r="GH1199" s="32"/>
      <c r="GI1199" s="32"/>
      <c r="GJ1199" s="32"/>
      <c r="GK1199" s="32"/>
      <c r="GL1199" s="32"/>
      <c r="GM1199" s="32"/>
      <c r="GN1199" s="32"/>
      <c r="GO1199" s="32"/>
      <c r="GP1199" s="32"/>
      <c r="GQ1199" s="32"/>
      <c r="GR1199" s="32"/>
      <c r="GS1199" s="32"/>
      <c r="GT1199" s="32"/>
      <c r="GU1199" s="32"/>
      <c r="GV1199" s="32"/>
      <c r="GW1199" s="32"/>
      <c r="GX1199" s="32"/>
      <c r="GY1199" s="32"/>
      <c r="GZ1199" s="32"/>
      <c r="HA1199" s="32"/>
      <c r="HB1199" s="32"/>
      <c r="HC1199" s="32"/>
      <c r="HD1199" s="32"/>
      <c r="HE1199" s="32"/>
      <c r="HF1199" s="32"/>
      <c r="HG1199" s="32"/>
      <c r="HH1199" s="32"/>
      <c r="HI1199" s="32"/>
      <c r="HJ1199" s="32"/>
      <c r="HK1199" s="32"/>
      <c r="HL1199" s="32"/>
      <c r="HM1199" s="32"/>
      <c r="HN1199" s="32"/>
      <c r="HO1199" s="32"/>
      <c r="HP1199" s="32"/>
      <c r="HQ1199" s="32"/>
      <c r="HR1199" s="32"/>
      <c r="HS1199" s="32"/>
      <c r="HT1199" s="32"/>
      <c r="HU1199" s="32"/>
      <c r="HV1199" s="32"/>
      <c r="HW1199" s="32"/>
      <c r="HX1199" s="32"/>
      <c r="HY1199" s="32"/>
      <c r="HZ1199" s="32"/>
      <c r="IA1199" s="32"/>
      <c r="IB1199" s="32"/>
      <c r="IC1199" s="32"/>
      <c r="ID1199" s="32"/>
      <c r="IE1199" s="32"/>
      <c r="IF1199" s="32"/>
      <c r="IG1199" s="32"/>
      <c r="IH1199" s="32"/>
      <c r="II1199" s="32"/>
      <c r="IJ1199" s="32"/>
      <c r="IK1199" s="32"/>
      <c r="IL1199" s="32"/>
      <c r="IM1199" s="32"/>
      <c r="IN1199" s="32"/>
      <c r="IO1199" s="32"/>
      <c r="IP1199" s="32"/>
      <c r="IQ1199" s="32"/>
      <c r="IR1199" s="32"/>
      <c r="IS1199" s="32"/>
      <c r="IT1199" s="32"/>
      <c r="IU1199" s="32"/>
      <c r="IV1199" s="32"/>
      <c r="IW1199" s="32"/>
      <c r="IX1199" s="32"/>
      <c r="IY1199" s="32"/>
      <c r="IZ1199" s="32"/>
      <c r="JA1199" s="32"/>
      <c r="JB1199" s="32"/>
      <c r="JC1199" s="32"/>
      <c r="JD1199" s="32"/>
      <c r="JE1199" s="32"/>
      <c r="JF1199" s="32"/>
      <c r="JG1199" s="32"/>
      <c r="JH1199" s="32"/>
      <c r="JI1199" s="32"/>
      <c r="JJ1199" s="32"/>
      <c r="JK1199" s="32"/>
      <c r="JL1199" s="32"/>
      <c r="JM1199" s="32"/>
      <c r="JN1199" s="32"/>
      <c r="JO1199" s="32"/>
      <c r="JP1199" s="32"/>
      <c r="JQ1199" s="32"/>
      <c r="JR1199" s="32"/>
      <c r="JS1199" s="32"/>
      <c r="JT1199" s="32"/>
      <c r="JU1199" s="32"/>
      <c r="JV1199" s="32"/>
      <c r="JW1199" s="32"/>
      <c r="JX1199" s="32"/>
      <c r="JY1199" s="32"/>
      <c r="JZ1199" s="32"/>
      <c r="KA1199" s="32"/>
      <c r="KB1199" s="32"/>
      <c r="KC1199" s="32"/>
      <c r="KD1199" s="32"/>
      <c r="KE1199" s="32"/>
    </row>
    <row r="1200" spans="1:291" s="25" customFormat="1" ht="35" customHeight="1">
      <c r="A1200" s="23">
        <f>ROW()-3</f>
        <v>1197</v>
      </c>
      <c r="B1200" s="183" t="s">
        <v>4586</v>
      </c>
      <c r="C1200" s="205" t="s">
        <v>4345</v>
      </c>
      <c r="D1200" s="128" t="s">
        <v>5106</v>
      </c>
      <c r="E1200" s="128" t="s">
        <v>5104</v>
      </c>
      <c r="F1200" s="128" t="s">
        <v>5105</v>
      </c>
      <c r="G1200" s="42" t="s">
        <v>34</v>
      </c>
      <c r="H1200" s="183">
        <v>71</v>
      </c>
      <c r="I1200" s="84">
        <v>13.9758333333333</v>
      </c>
      <c r="J1200" s="208">
        <v>43692</v>
      </c>
      <c r="K1200" s="46" t="s">
        <v>20</v>
      </c>
      <c r="L1200" s="203">
        <v>15.99</v>
      </c>
      <c r="M1200" s="32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32"/>
      <c r="AG1200" s="32"/>
      <c r="AH1200" s="32"/>
      <c r="AI1200" s="32"/>
      <c r="AJ1200" s="32"/>
      <c r="AK1200" s="32"/>
      <c r="AL1200" s="32"/>
      <c r="AM1200" s="32"/>
      <c r="AN1200" s="32"/>
      <c r="AO1200" s="32"/>
      <c r="AP1200" s="32"/>
      <c r="AQ1200" s="32"/>
      <c r="AR1200" s="32"/>
      <c r="AS1200" s="32"/>
      <c r="AT1200" s="32"/>
      <c r="AU1200" s="32"/>
      <c r="AV1200" s="32"/>
      <c r="AW1200" s="32"/>
      <c r="AX1200" s="32"/>
      <c r="AY1200" s="32"/>
      <c r="AZ1200" s="32"/>
      <c r="BA1200" s="32"/>
      <c r="BB1200" s="32"/>
      <c r="BC1200" s="32"/>
      <c r="BD1200" s="32"/>
      <c r="BE1200" s="32"/>
      <c r="BF1200" s="32"/>
      <c r="BG1200" s="32"/>
      <c r="BH1200" s="32"/>
      <c r="BI1200" s="32"/>
      <c r="BJ1200" s="32"/>
      <c r="BK1200" s="32"/>
      <c r="BL1200" s="32"/>
      <c r="BM1200" s="32"/>
      <c r="BN1200" s="32"/>
      <c r="BO1200" s="32"/>
      <c r="BP1200" s="32"/>
      <c r="BQ1200" s="32"/>
      <c r="BR1200" s="32"/>
      <c r="BS1200" s="32"/>
      <c r="BT1200" s="32"/>
      <c r="BU1200" s="32"/>
      <c r="BV1200" s="32"/>
      <c r="BW1200" s="32"/>
      <c r="BX1200" s="32"/>
      <c r="BY1200" s="32"/>
      <c r="BZ1200" s="32"/>
      <c r="CA1200" s="32"/>
      <c r="CB1200" s="32"/>
      <c r="CC1200" s="32"/>
      <c r="CD1200" s="32"/>
      <c r="CE1200" s="32"/>
      <c r="CF1200" s="32"/>
      <c r="CG1200" s="32"/>
      <c r="CH1200" s="32"/>
      <c r="CI1200" s="32"/>
      <c r="CJ1200" s="32"/>
      <c r="CK1200" s="32"/>
      <c r="CL1200" s="32"/>
      <c r="CM1200" s="32"/>
      <c r="CN1200" s="32"/>
      <c r="CO1200" s="32"/>
      <c r="CP1200" s="32"/>
      <c r="CQ1200" s="32"/>
      <c r="CR1200" s="32"/>
      <c r="CS1200" s="32"/>
      <c r="CT1200" s="32"/>
      <c r="CU1200" s="32"/>
      <c r="CV1200" s="32"/>
      <c r="CW1200" s="32"/>
      <c r="CX1200" s="32"/>
      <c r="CY1200" s="32"/>
      <c r="CZ1200" s="32"/>
      <c r="DA1200" s="32"/>
      <c r="DB1200" s="32"/>
      <c r="DC1200" s="32"/>
      <c r="DD1200" s="32"/>
      <c r="DE1200" s="32"/>
      <c r="DF1200" s="32"/>
      <c r="DG1200" s="32"/>
      <c r="DH1200" s="32"/>
      <c r="DI1200" s="32"/>
      <c r="DJ1200" s="32"/>
      <c r="DK1200" s="32"/>
      <c r="DL1200" s="32"/>
      <c r="DM1200" s="32"/>
      <c r="DN1200" s="32"/>
      <c r="DO1200" s="32"/>
      <c r="DP1200" s="32"/>
      <c r="DQ1200" s="32"/>
      <c r="DR1200" s="32"/>
      <c r="DS1200" s="32"/>
      <c r="DT1200" s="32"/>
      <c r="DU1200" s="32"/>
      <c r="DV1200" s="32"/>
      <c r="DW1200" s="32"/>
      <c r="DX1200" s="32"/>
      <c r="DY1200" s="32"/>
      <c r="DZ1200" s="32"/>
      <c r="EA1200" s="32"/>
      <c r="EB1200" s="32"/>
      <c r="EC1200" s="32"/>
      <c r="ED1200" s="32"/>
      <c r="EE1200" s="32"/>
      <c r="EF1200" s="32"/>
      <c r="EG1200" s="32"/>
      <c r="EH1200" s="32"/>
      <c r="EI1200" s="32"/>
      <c r="EJ1200" s="32"/>
      <c r="EK1200" s="32"/>
      <c r="EL1200" s="32"/>
      <c r="EM1200" s="32"/>
      <c r="EN1200" s="32"/>
      <c r="EO1200" s="32"/>
      <c r="EP1200" s="32"/>
      <c r="EQ1200" s="32"/>
      <c r="ER1200" s="32"/>
      <c r="ES1200" s="32"/>
      <c r="ET1200" s="32"/>
      <c r="EU1200" s="32"/>
      <c r="EV1200" s="32"/>
      <c r="EW1200" s="32"/>
      <c r="EX1200" s="32"/>
      <c r="EY1200" s="32"/>
      <c r="EZ1200" s="32"/>
      <c r="FA1200" s="32"/>
      <c r="FB1200" s="32"/>
      <c r="FC1200" s="32"/>
      <c r="FD1200" s="32"/>
      <c r="FE1200" s="32"/>
      <c r="FF1200" s="32"/>
      <c r="FG1200" s="32"/>
      <c r="FH1200" s="32"/>
      <c r="FI1200" s="32"/>
      <c r="FJ1200" s="32"/>
      <c r="FK1200" s="32"/>
      <c r="FL1200" s="32"/>
      <c r="FM1200" s="32"/>
      <c r="FN1200" s="32"/>
      <c r="FO1200" s="32"/>
      <c r="FP1200" s="32"/>
      <c r="FQ1200" s="32"/>
      <c r="FR1200" s="32"/>
      <c r="FS1200" s="32"/>
      <c r="FT1200" s="32"/>
      <c r="FU1200" s="32"/>
      <c r="FV1200" s="32"/>
      <c r="FW1200" s="32"/>
      <c r="FX1200" s="32"/>
      <c r="FY1200" s="32"/>
      <c r="FZ1200" s="32"/>
      <c r="GA1200" s="32"/>
      <c r="GB1200" s="32"/>
      <c r="GC1200" s="32"/>
      <c r="GD1200" s="32"/>
      <c r="GE1200" s="32"/>
      <c r="GF1200" s="32"/>
      <c r="GG1200" s="32"/>
      <c r="GH1200" s="32"/>
      <c r="GI1200" s="32"/>
      <c r="GJ1200" s="32"/>
      <c r="GK1200" s="32"/>
      <c r="GL1200" s="32"/>
      <c r="GM1200" s="32"/>
      <c r="GN1200" s="32"/>
      <c r="GO1200" s="32"/>
      <c r="GP1200" s="32"/>
      <c r="GQ1200" s="32"/>
      <c r="GR1200" s="32"/>
      <c r="GS1200" s="32"/>
      <c r="GT1200" s="32"/>
      <c r="GU1200" s="32"/>
      <c r="GV1200" s="32"/>
      <c r="GW1200" s="32"/>
      <c r="GX1200" s="32"/>
      <c r="GY1200" s="32"/>
      <c r="GZ1200" s="32"/>
      <c r="HA1200" s="32"/>
      <c r="HB1200" s="32"/>
      <c r="HC1200" s="32"/>
      <c r="HD1200" s="32"/>
      <c r="HE1200" s="32"/>
      <c r="HF1200" s="32"/>
      <c r="HG1200" s="32"/>
      <c r="HH1200" s="32"/>
      <c r="HI1200" s="32"/>
      <c r="HJ1200" s="32"/>
      <c r="HK1200" s="32"/>
      <c r="HL1200" s="32"/>
      <c r="HM1200" s="32"/>
      <c r="HN1200" s="32"/>
      <c r="HO1200" s="32"/>
      <c r="HP1200" s="32"/>
      <c r="HQ1200" s="32"/>
      <c r="HR1200" s="32"/>
      <c r="HS1200" s="32"/>
      <c r="HT1200" s="32"/>
      <c r="HU1200" s="32"/>
      <c r="HV1200" s="32"/>
      <c r="HW1200" s="32"/>
      <c r="HX1200" s="32"/>
      <c r="HY1200" s="32"/>
      <c r="HZ1200" s="32"/>
      <c r="IA1200" s="32"/>
      <c r="IB1200" s="32"/>
      <c r="IC1200" s="32"/>
      <c r="ID1200" s="32"/>
      <c r="IE1200" s="32"/>
      <c r="IF1200" s="32"/>
      <c r="IG1200" s="32"/>
      <c r="IH1200" s="32"/>
      <c r="II1200" s="32"/>
      <c r="IJ1200" s="32"/>
      <c r="IK1200" s="32"/>
      <c r="IL1200" s="32"/>
      <c r="IM1200" s="32"/>
      <c r="IN1200" s="32"/>
      <c r="IO1200" s="32"/>
      <c r="IP1200" s="32"/>
      <c r="IQ1200" s="32"/>
      <c r="IR1200" s="32"/>
      <c r="IS1200" s="32"/>
      <c r="IT1200" s="32"/>
      <c r="IU1200" s="32"/>
      <c r="IV1200" s="32"/>
      <c r="IW1200" s="32"/>
      <c r="IX1200" s="32"/>
      <c r="IY1200" s="32"/>
      <c r="IZ1200" s="32"/>
      <c r="JA1200" s="32"/>
      <c r="JB1200" s="32"/>
      <c r="JC1200" s="32"/>
      <c r="JD1200" s="32"/>
      <c r="JE1200" s="32"/>
      <c r="JF1200" s="32"/>
      <c r="JG1200" s="32"/>
      <c r="JH1200" s="32"/>
      <c r="JI1200" s="32"/>
      <c r="JJ1200" s="32"/>
      <c r="JK1200" s="32"/>
      <c r="JL1200" s="32"/>
      <c r="JM1200" s="32"/>
      <c r="JN1200" s="32"/>
      <c r="JO1200" s="32"/>
      <c r="JP1200" s="32"/>
      <c r="JQ1200" s="32"/>
      <c r="JR1200" s="32"/>
      <c r="JS1200" s="32"/>
      <c r="JT1200" s="32"/>
      <c r="JU1200" s="32"/>
      <c r="JV1200" s="32"/>
      <c r="JW1200" s="32"/>
      <c r="JX1200" s="32"/>
      <c r="JY1200" s="32"/>
      <c r="JZ1200" s="32"/>
      <c r="KA1200" s="32"/>
      <c r="KB1200" s="32"/>
      <c r="KC1200" s="32"/>
      <c r="KD1200" s="32"/>
      <c r="KE1200" s="32"/>
    </row>
    <row r="1201" spans="1:291" s="25" customFormat="1" ht="35" customHeight="1">
      <c r="A1201" s="23">
        <f>ROW()-3</f>
        <v>1198</v>
      </c>
      <c r="B1201" s="183" t="s">
        <v>4586</v>
      </c>
      <c r="C1201" s="183" t="s">
        <v>4345</v>
      </c>
      <c r="D1201" s="128" t="s">
        <v>5107</v>
      </c>
      <c r="E1201" s="128" t="s">
        <v>5108</v>
      </c>
      <c r="F1201" s="128" t="s">
        <v>5109</v>
      </c>
      <c r="G1201" s="42" t="s">
        <v>34</v>
      </c>
      <c r="H1201" s="183">
        <v>36</v>
      </c>
      <c r="I1201" s="84">
        <v>12.445</v>
      </c>
      <c r="J1201" s="208">
        <v>43692</v>
      </c>
      <c r="K1201" s="46" t="s">
        <v>20</v>
      </c>
      <c r="L1201" s="203">
        <v>17.8</v>
      </c>
      <c r="M1201" s="32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32"/>
      <c r="AG1201" s="32"/>
      <c r="AH1201" s="32"/>
      <c r="AI1201" s="32"/>
      <c r="AJ1201" s="32"/>
      <c r="AK1201" s="32"/>
      <c r="AL1201" s="32"/>
      <c r="AM1201" s="32"/>
      <c r="AN1201" s="32"/>
      <c r="AO1201" s="32"/>
      <c r="AP1201" s="32"/>
      <c r="AQ1201" s="32"/>
      <c r="AR1201" s="32"/>
      <c r="AS1201" s="32"/>
      <c r="AT1201" s="32"/>
      <c r="AU1201" s="32"/>
      <c r="AV1201" s="32"/>
      <c r="AW1201" s="32"/>
      <c r="AX1201" s="32"/>
      <c r="AY1201" s="32"/>
      <c r="AZ1201" s="32"/>
      <c r="BA1201" s="32"/>
      <c r="BB1201" s="32"/>
      <c r="BC1201" s="32"/>
      <c r="BD1201" s="32"/>
      <c r="BE1201" s="32"/>
      <c r="BF1201" s="32"/>
      <c r="BG1201" s="32"/>
      <c r="BH1201" s="32"/>
      <c r="BI1201" s="32"/>
      <c r="BJ1201" s="32"/>
      <c r="BK1201" s="32"/>
      <c r="BL1201" s="32"/>
      <c r="BM1201" s="32"/>
      <c r="BN1201" s="32"/>
      <c r="BO1201" s="32"/>
      <c r="BP1201" s="32"/>
      <c r="BQ1201" s="32"/>
      <c r="BR1201" s="32"/>
      <c r="BS1201" s="32"/>
      <c r="BT1201" s="32"/>
      <c r="BU1201" s="32"/>
      <c r="BV1201" s="32"/>
      <c r="BW1201" s="32"/>
      <c r="BX1201" s="32"/>
      <c r="BY1201" s="32"/>
      <c r="BZ1201" s="32"/>
      <c r="CA1201" s="32"/>
      <c r="CB1201" s="32"/>
      <c r="CC1201" s="32"/>
      <c r="CD1201" s="32"/>
      <c r="CE1201" s="32"/>
      <c r="CF1201" s="32"/>
      <c r="CG1201" s="32"/>
      <c r="CH1201" s="32"/>
      <c r="CI1201" s="32"/>
      <c r="CJ1201" s="32"/>
      <c r="CK1201" s="32"/>
      <c r="CL1201" s="32"/>
      <c r="CM1201" s="32"/>
      <c r="CN1201" s="32"/>
      <c r="CO1201" s="32"/>
      <c r="CP1201" s="32"/>
      <c r="CQ1201" s="32"/>
      <c r="CR1201" s="32"/>
      <c r="CS1201" s="32"/>
      <c r="CT1201" s="32"/>
      <c r="CU1201" s="32"/>
      <c r="CV1201" s="32"/>
      <c r="CW1201" s="32"/>
      <c r="CX1201" s="32"/>
      <c r="CY1201" s="32"/>
      <c r="CZ1201" s="32"/>
      <c r="DA1201" s="32"/>
      <c r="DB1201" s="32"/>
      <c r="DC1201" s="32"/>
      <c r="DD1201" s="32"/>
      <c r="DE1201" s="32"/>
      <c r="DF1201" s="32"/>
      <c r="DG1201" s="32"/>
      <c r="DH1201" s="32"/>
      <c r="DI1201" s="32"/>
      <c r="DJ1201" s="32"/>
      <c r="DK1201" s="32"/>
      <c r="DL1201" s="32"/>
      <c r="DM1201" s="32"/>
      <c r="DN1201" s="32"/>
      <c r="DO1201" s="32"/>
      <c r="DP1201" s="32"/>
      <c r="DQ1201" s="32"/>
      <c r="DR1201" s="32"/>
      <c r="DS1201" s="32"/>
      <c r="DT1201" s="32"/>
      <c r="DU1201" s="32"/>
      <c r="DV1201" s="32"/>
      <c r="DW1201" s="32"/>
      <c r="DX1201" s="32"/>
      <c r="DY1201" s="32"/>
      <c r="DZ1201" s="32"/>
      <c r="EA1201" s="32"/>
      <c r="EB1201" s="32"/>
      <c r="EC1201" s="32"/>
      <c r="ED1201" s="32"/>
      <c r="EE1201" s="32"/>
      <c r="EF1201" s="32"/>
      <c r="EG1201" s="32"/>
      <c r="EH1201" s="32"/>
      <c r="EI1201" s="32"/>
      <c r="EJ1201" s="32"/>
      <c r="EK1201" s="32"/>
      <c r="EL1201" s="32"/>
      <c r="EM1201" s="32"/>
      <c r="EN1201" s="32"/>
      <c r="EO1201" s="32"/>
      <c r="EP1201" s="32"/>
      <c r="EQ1201" s="32"/>
      <c r="ER1201" s="32"/>
      <c r="ES1201" s="32"/>
      <c r="ET1201" s="32"/>
      <c r="EU1201" s="32"/>
      <c r="EV1201" s="32"/>
      <c r="EW1201" s="32"/>
      <c r="EX1201" s="32"/>
      <c r="EY1201" s="32"/>
      <c r="EZ1201" s="32"/>
      <c r="FA1201" s="32"/>
      <c r="FB1201" s="32"/>
      <c r="FC1201" s="32"/>
      <c r="FD1201" s="32"/>
      <c r="FE1201" s="32"/>
      <c r="FF1201" s="32"/>
      <c r="FG1201" s="32"/>
      <c r="FH1201" s="32"/>
      <c r="FI1201" s="32"/>
      <c r="FJ1201" s="32"/>
      <c r="FK1201" s="32"/>
      <c r="FL1201" s="32"/>
      <c r="FM1201" s="32"/>
      <c r="FN1201" s="32"/>
      <c r="FO1201" s="32"/>
      <c r="FP1201" s="32"/>
      <c r="FQ1201" s="32"/>
      <c r="FR1201" s="32"/>
      <c r="FS1201" s="32"/>
      <c r="FT1201" s="32"/>
      <c r="FU1201" s="32"/>
      <c r="FV1201" s="32"/>
      <c r="FW1201" s="32"/>
      <c r="FX1201" s="32"/>
      <c r="FY1201" s="32"/>
      <c r="FZ1201" s="32"/>
      <c r="GA1201" s="32"/>
      <c r="GB1201" s="32"/>
      <c r="GC1201" s="32"/>
      <c r="GD1201" s="32"/>
      <c r="GE1201" s="32"/>
      <c r="GF1201" s="32"/>
      <c r="GG1201" s="32"/>
      <c r="GH1201" s="32"/>
      <c r="GI1201" s="32"/>
      <c r="GJ1201" s="32"/>
      <c r="GK1201" s="32"/>
      <c r="GL1201" s="32"/>
      <c r="GM1201" s="32"/>
      <c r="GN1201" s="32"/>
      <c r="GO1201" s="32"/>
      <c r="GP1201" s="32"/>
      <c r="GQ1201" s="32"/>
      <c r="GR1201" s="32"/>
      <c r="GS1201" s="32"/>
      <c r="GT1201" s="32"/>
      <c r="GU1201" s="32"/>
      <c r="GV1201" s="32"/>
      <c r="GW1201" s="32"/>
      <c r="GX1201" s="32"/>
      <c r="GY1201" s="32"/>
      <c r="GZ1201" s="32"/>
      <c r="HA1201" s="32"/>
      <c r="HB1201" s="32"/>
      <c r="HC1201" s="32"/>
      <c r="HD1201" s="32"/>
      <c r="HE1201" s="32"/>
      <c r="HF1201" s="32"/>
      <c r="HG1201" s="32"/>
      <c r="HH1201" s="32"/>
      <c r="HI1201" s="32"/>
      <c r="HJ1201" s="32"/>
      <c r="HK1201" s="32"/>
      <c r="HL1201" s="32"/>
      <c r="HM1201" s="32"/>
      <c r="HN1201" s="32"/>
      <c r="HO1201" s="32"/>
      <c r="HP1201" s="32"/>
      <c r="HQ1201" s="32"/>
      <c r="HR1201" s="32"/>
      <c r="HS1201" s="32"/>
      <c r="HT1201" s="32"/>
      <c r="HU1201" s="32"/>
      <c r="HV1201" s="32"/>
      <c r="HW1201" s="32"/>
      <c r="HX1201" s="32"/>
      <c r="HY1201" s="32"/>
      <c r="HZ1201" s="32"/>
      <c r="IA1201" s="32"/>
      <c r="IB1201" s="32"/>
      <c r="IC1201" s="32"/>
      <c r="ID1201" s="32"/>
      <c r="IE1201" s="32"/>
      <c r="IF1201" s="32"/>
      <c r="IG1201" s="32"/>
      <c r="IH1201" s="32"/>
      <c r="II1201" s="32"/>
      <c r="IJ1201" s="32"/>
      <c r="IK1201" s="32"/>
      <c r="IL1201" s="32"/>
      <c r="IM1201" s="32"/>
      <c r="IN1201" s="32"/>
      <c r="IO1201" s="32"/>
      <c r="IP1201" s="32"/>
      <c r="IQ1201" s="32"/>
      <c r="IR1201" s="32"/>
      <c r="IS1201" s="32"/>
      <c r="IT1201" s="32"/>
      <c r="IU1201" s="32"/>
      <c r="IV1201" s="32"/>
      <c r="IW1201" s="32"/>
      <c r="IX1201" s="32"/>
      <c r="IY1201" s="32"/>
      <c r="IZ1201" s="32"/>
      <c r="JA1201" s="32"/>
      <c r="JB1201" s="32"/>
      <c r="JC1201" s="32"/>
      <c r="JD1201" s="32"/>
      <c r="JE1201" s="32"/>
      <c r="JF1201" s="32"/>
      <c r="JG1201" s="32"/>
      <c r="JH1201" s="32"/>
      <c r="JI1201" s="32"/>
      <c r="JJ1201" s="32"/>
      <c r="JK1201" s="32"/>
      <c r="JL1201" s="32"/>
      <c r="JM1201" s="32"/>
      <c r="JN1201" s="32"/>
      <c r="JO1201" s="32"/>
      <c r="JP1201" s="32"/>
      <c r="JQ1201" s="32"/>
      <c r="JR1201" s="32"/>
      <c r="JS1201" s="32"/>
      <c r="JT1201" s="32"/>
      <c r="JU1201" s="32"/>
      <c r="JV1201" s="32"/>
      <c r="JW1201" s="32"/>
      <c r="JX1201" s="32"/>
      <c r="JY1201" s="32"/>
      <c r="JZ1201" s="32"/>
      <c r="KA1201" s="32"/>
      <c r="KB1201" s="32"/>
      <c r="KC1201" s="32"/>
      <c r="KD1201" s="32"/>
      <c r="KE1201" s="32"/>
    </row>
    <row r="1202" spans="1:291" s="25" customFormat="1" ht="35" customHeight="1">
      <c r="A1202" s="23">
        <f>ROW()-3</f>
        <v>1199</v>
      </c>
      <c r="B1202" s="183" t="s">
        <v>4586</v>
      </c>
      <c r="C1202" s="183" t="s">
        <v>4345</v>
      </c>
      <c r="D1202" s="128" t="s">
        <v>5110</v>
      </c>
      <c r="E1202" s="128" t="s">
        <v>5111</v>
      </c>
      <c r="F1202" s="128" t="s">
        <v>5112</v>
      </c>
      <c r="G1202" s="42" t="s">
        <v>34</v>
      </c>
      <c r="H1202" s="183">
        <v>23</v>
      </c>
      <c r="I1202" s="84">
        <v>7.4472222222222202</v>
      </c>
      <c r="J1202" s="208">
        <v>43692</v>
      </c>
      <c r="K1202" s="46" t="s">
        <v>20</v>
      </c>
      <c r="L1202" s="203">
        <v>21</v>
      </c>
      <c r="M1202" s="32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32"/>
      <c r="AG1202" s="32"/>
      <c r="AH1202" s="32"/>
      <c r="AI1202" s="32"/>
      <c r="AJ1202" s="32"/>
      <c r="AK1202" s="32"/>
      <c r="AL1202" s="32"/>
      <c r="AM1202" s="32"/>
      <c r="AN1202" s="32"/>
      <c r="AO1202" s="32"/>
      <c r="AP1202" s="32"/>
      <c r="AQ1202" s="32"/>
      <c r="AR1202" s="32"/>
      <c r="AS1202" s="32"/>
      <c r="AT1202" s="32"/>
      <c r="AU1202" s="32"/>
      <c r="AV1202" s="32"/>
      <c r="AW1202" s="32"/>
      <c r="AX1202" s="32"/>
      <c r="AY1202" s="32"/>
      <c r="AZ1202" s="32"/>
      <c r="BA1202" s="32"/>
      <c r="BB1202" s="32"/>
      <c r="BC1202" s="32"/>
      <c r="BD1202" s="32"/>
      <c r="BE1202" s="32"/>
      <c r="BF1202" s="32"/>
      <c r="BG1202" s="32"/>
      <c r="BH1202" s="32"/>
      <c r="BI1202" s="32"/>
      <c r="BJ1202" s="32"/>
      <c r="BK1202" s="32"/>
      <c r="BL1202" s="32"/>
      <c r="BM1202" s="32"/>
      <c r="BN1202" s="32"/>
      <c r="BO1202" s="32"/>
      <c r="BP1202" s="32"/>
      <c r="BQ1202" s="32"/>
      <c r="BR1202" s="32"/>
      <c r="BS1202" s="32"/>
      <c r="BT1202" s="32"/>
      <c r="BU1202" s="32"/>
      <c r="BV1202" s="32"/>
      <c r="BW1202" s="32"/>
      <c r="BX1202" s="32"/>
      <c r="BY1202" s="32"/>
      <c r="BZ1202" s="32"/>
      <c r="CA1202" s="32"/>
      <c r="CB1202" s="32"/>
      <c r="CC1202" s="32"/>
      <c r="CD1202" s="32"/>
      <c r="CE1202" s="32"/>
      <c r="CF1202" s="32"/>
      <c r="CG1202" s="32"/>
      <c r="CH1202" s="32"/>
      <c r="CI1202" s="32"/>
      <c r="CJ1202" s="32"/>
      <c r="CK1202" s="32"/>
      <c r="CL1202" s="32"/>
      <c r="CM1202" s="32"/>
      <c r="CN1202" s="32"/>
      <c r="CO1202" s="32"/>
      <c r="CP1202" s="32"/>
      <c r="CQ1202" s="32"/>
      <c r="CR1202" s="32"/>
      <c r="CS1202" s="32"/>
      <c r="CT1202" s="32"/>
      <c r="CU1202" s="32"/>
      <c r="CV1202" s="32"/>
      <c r="CW1202" s="32"/>
      <c r="CX1202" s="32"/>
      <c r="CY1202" s="32"/>
      <c r="CZ1202" s="32"/>
      <c r="DA1202" s="32"/>
      <c r="DB1202" s="32"/>
      <c r="DC1202" s="32"/>
      <c r="DD1202" s="32"/>
      <c r="DE1202" s="32"/>
      <c r="DF1202" s="32"/>
      <c r="DG1202" s="32"/>
      <c r="DH1202" s="32"/>
      <c r="DI1202" s="32"/>
      <c r="DJ1202" s="32"/>
      <c r="DK1202" s="32"/>
      <c r="DL1202" s="32"/>
      <c r="DM1202" s="32"/>
      <c r="DN1202" s="32"/>
      <c r="DO1202" s="32"/>
      <c r="DP1202" s="32"/>
      <c r="DQ1202" s="32"/>
      <c r="DR1202" s="32"/>
      <c r="DS1202" s="32"/>
      <c r="DT1202" s="32"/>
      <c r="DU1202" s="32"/>
      <c r="DV1202" s="32"/>
      <c r="DW1202" s="32"/>
      <c r="DX1202" s="32"/>
      <c r="DY1202" s="32"/>
      <c r="DZ1202" s="32"/>
      <c r="EA1202" s="32"/>
      <c r="EB1202" s="32"/>
      <c r="EC1202" s="32"/>
      <c r="ED1202" s="32"/>
      <c r="EE1202" s="32"/>
      <c r="EF1202" s="32"/>
      <c r="EG1202" s="32"/>
      <c r="EH1202" s="32"/>
      <c r="EI1202" s="32"/>
      <c r="EJ1202" s="32"/>
      <c r="EK1202" s="32"/>
      <c r="EL1202" s="32"/>
      <c r="EM1202" s="32"/>
      <c r="EN1202" s="32"/>
      <c r="EO1202" s="32"/>
      <c r="EP1202" s="32"/>
      <c r="EQ1202" s="32"/>
      <c r="ER1202" s="32"/>
      <c r="ES1202" s="32"/>
      <c r="ET1202" s="32"/>
      <c r="EU1202" s="32"/>
      <c r="EV1202" s="32"/>
      <c r="EW1202" s="32"/>
      <c r="EX1202" s="32"/>
      <c r="EY1202" s="32"/>
      <c r="EZ1202" s="32"/>
      <c r="FA1202" s="32"/>
      <c r="FB1202" s="32"/>
      <c r="FC1202" s="32"/>
      <c r="FD1202" s="32"/>
      <c r="FE1202" s="32"/>
      <c r="FF1202" s="32"/>
      <c r="FG1202" s="32"/>
      <c r="FH1202" s="32"/>
      <c r="FI1202" s="32"/>
      <c r="FJ1202" s="32"/>
      <c r="FK1202" s="32"/>
      <c r="FL1202" s="32"/>
      <c r="FM1202" s="32"/>
      <c r="FN1202" s="32"/>
      <c r="FO1202" s="32"/>
      <c r="FP1202" s="32"/>
      <c r="FQ1202" s="32"/>
      <c r="FR1202" s="32"/>
      <c r="FS1202" s="32"/>
      <c r="FT1202" s="32"/>
      <c r="FU1202" s="32"/>
      <c r="FV1202" s="32"/>
      <c r="FW1202" s="32"/>
      <c r="FX1202" s="32"/>
      <c r="FY1202" s="32"/>
      <c r="FZ1202" s="32"/>
      <c r="GA1202" s="32"/>
      <c r="GB1202" s="32"/>
      <c r="GC1202" s="32"/>
      <c r="GD1202" s="32"/>
      <c r="GE1202" s="32"/>
      <c r="GF1202" s="32"/>
      <c r="GG1202" s="32"/>
      <c r="GH1202" s="32"/>
      <c r="GI1202" s="32"/>
      <c r="GJ1202" s="32"/>
      <c r="GK1202" s="32"/>
      <c r="GL1202" s="32"/>
      <c r="GM1202" s="32"/>
      <c r="GN1202" s="32"/>
      <c r="GO1202" s="32"/>
      <c r="GP1202" s="32"/>
      <c r="GQ1202" s="32"/>
      <c r="GR1202" s="32"/>
      <c r="GS1202" s="32"/>
      <c r="GT1202" s="32"/>
      <c r="GU1202" s="32"/>
      <c r="GV1202" s="32"/>
      <c r="GW1202" s="32"/>
      <c r="GX1202" s="32"/>
      <c r="GY1202" s="32"/>
      <c r="GZ1202" s="32"/>
      <c r="HA1202" s="32"/>
      <c r="HB1202" s="32"/>
      <c r="HC1202" s="32"/>
      <c r="HD1202" s="32"/>
      <c r="HE1202" s="32"/>
      <c r="HF1202" s="32"/>
      <c r="HG1202" s="32"/>
      <c r="HH1202" s="32"/>
      <c r="HI1202" s="32"/>
      <c r="HJ1202" s="32"/>
      <c r="HK1202" s="32"/>
      <c r="HL1202" s="32"/>
      <c r="HM1202" s="32"/>
      <c r="HN1202" s="32"/>
      <c r="HO1202" s="32"/>
      <c r="HP1202" s="32"/>
      <c r="HQ1202" s="32"/>
      <c r="HR1202" s="32"/>
      <c r="HS1202" s="32"/>
      <c r="HT1202" s="32"/>
      <c r="HU1202" s="32"/>
      <c r="HV1202" s="32"/>
      <c r="HW1202" s="32"/>
      <c r="HX1202" s="32"/>
      <c r="HY1202" s="32"/>
      <c r="HZ1202" s="32"/>
      <c r="IA1202" s="32"/>
      <c r="IB1202" s="32"/>
      <c r="IC1202" s="32"/>
      <c r="ID1202" s="32"/>
      <c r="IE1202" s="32"/>
      <c r="IF1202" s="32"/>
      <c r="IG1202" s="32"/>
      <c r="IH1202" s="32"/>
      <c r="II1202" s="32"/>
      <c r="IJ1202" s="32"/>
      <c r="IK1202" s="32"/>
      <c r="IL1202" s="32"/>
      <c r="IM1202" s="32"/>
      <c r="IN1202" s="32"/>
      <c r="IO1202" s="32"/>
      <c r="IP1202" s="32"/>
      <c r="IQ1202" s="32"/>
      <c r="IR1202" s="32"/>
      <c r="IS1202" s="32"/>
      <c r="IT1202" s="32"/>
      <c r="IU1202" s="32"/>
      <c r="IV1202" s="32"/>
      <c r="IW1202" s="32"/>
      <c r="IX1202" s="32"/>
      <c r="IY1202" s="32"/>
      <c r="IZ1202" s="32"/>
      <c r="JA1202" s="32"/>
      <c r="JB1202" s="32"/>
      <c r="JC1202" s="32"/>
      <c r="JD1202" s="32"/>
      <c r="JE1202" s="32"/>
      <c r="JF1202" s="32"/>
      <c r="JG1202" s="32"/>
      <c r="JH1202" s="32"/>
      <c r="JI1202" s="32"/>
      <c r="JJ1202" s="32"/>
      <c r="JK1202" s="32"/>
      <c r="JL1202" s="32"/>
      <c r="JM1202" s="32"/>
      <c r="JN1202" s="32"/>
      <c r="JO1202" s="32"/>
      <c r="JP1202" s="32"/>
      <c r="JQ1202" s="32"/>
      <c r="JR1202" s="32"/>
      <c r="JS1202" s="32"/>
      <c r="JT1202" s="32"/>
      <c r="JU1202" s="32"/>
      <c r="JV1202" s="32"/>
      <c r="JW1202" s="32"/>
      <c r="JX1202" s="32"/>
      <c r="JY1202" s="32"/>
      <c r="JZ1202" s="32"/>
      <c r="KA1202" s="32"/>
      <c r="KB1202" s="32"/>
      <c r="KC1202" s="32"/>
      <c r="KD1202" s="32"/>
      <c r="KE1202" s="32"/>
    </row>
    <row r="1203" spans="1:291" s="25" customFormat="1" ht="35" customHeight="1">
      <c r="A1203" s="23">
        <f>ROW()-3</f>
        <v>1200</v>
      </c>
      <c r="B1203" s="183" t="s">
        <v>4586</v>
      </c>
      <c r="C1203" s="205" t="s">
        <v>4345</v>
      </c>
      <c r="D1203" s="128" t="s">
        <v>5113</v>
      </c>
      <c r="E1203" s="128" t="s">
        <v>5114</v>
      </c>
      <c r="F1203" s="128" t="s">
        <v>4632</v>
      </c>
      <c r="G1203" s="42" t="s">
        <v>34</v>
      </c>
      <c r="H1203" s="183">
        <v>12</v>
      </c>
      <c r="I1203" s="84">
        <v>4.1555555555555603</v>
      </c>
      <c r="J1203" s="208">
        <v>43692</v>
      </c>
      <c r="K1203" s="46" t="s">
        <v>20</v>
      </c>
      <c r="L1203" s="203">
        <v>30.8</v>
      </c>
      <c r="M1203" s="32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32"/>
      <c r="AG1203" s="32"/>
      <c r="AH1203" s="32"/>
      <c r="AI1203" s="32"/>
      <c r="AJ1203" s="32"/>
      <c r="AK1203" s="32"/>
      <c r="AL1203" s="32"/>
      <c r="AM1203" s="32"/>
      <c r="AN1203" s="32"/>
      <c r="AO1203" s="32"/>
      <c r="AP1203" s="32"/>
      <c r="AQ1203" s="32"/>
      <c r="AR1203" s="32"/>
      <c r="AS1203" s="32"/>
      <c r="AT1203" s="32"/>
      <c r="AU1203" s="32"/>
      <c r="AV1203" s="32"/>
      <c r="AW1203" s="32"/>
      <c r="AX1203" s="32"/>
      <c r="AY1203" s="32"/>
      <c r="AZ1203" s="32"/>
      <c r="BA1203" s="32"/>
      <c r="BB1203" s="32"/>
      <c r="BC1203" s="32"/>
      <c r="BD1203" s="32"/>
      <c r="BE1203" s="32"/>
      <c r="BF1203" s="32"/>
      <c r="BG1203" s="32"/>
      <c r="BH1203" s="32"/>
      <c r="BI1203" s="32"/>
      <c r="BJ1203" s="32"/>
      <c r="BK1203" s="32"/>
      <c r="BL1203" s="32"/>
      <c r="BM1203" s="32"/>
      <c r="BN1203" s="32"/>
      <c r="BO1203" s="32"/>
      <c r="BP1203" s="32"/>
      <c r="BQ1203" s="32"/>
      <c r="BR1203" s="32"/>
      <c r="BS1203" s="32"/>
      <c r="BT1203" s="32"/>
      <c r="BU1203" s="32"/>
      <c r="BV1203" s="32"/>
      <c r="BW1203" s="32"/>
      <c r="BX1203" s="32"/>
      <c r="BY1203" s="32"/>
      <c r="BZ1203" s="32"/>
      <c r="CA1203" s="32"/>
      <c r="CB1203" s="32"/>
      <c r="CC1203" s="32"/>
      <c r="CD1203" s="32"/>
      <c r="CE1203" s="32"/>
      <c r="CF1203" s="32"/>
      <c r="CG1203" s="32"/>
      <c r="CH1203" s="32"/>
      <c r="CI1203" s="32"/>
      <c r="CJ1203" s="32"/>
      <c r="CK1203" s="32"/>
      <c r="CL1203" s="32"/>
      <c r="CM1203" s="32"/>
      <c r="CN1203" s="32"/>
      <c r="CO1203" s="32"/>
      <c r="CP1203" s="32"/>
      <c r="CQ1203" s="32"/>
      <c r="CR1203" s="32"/>
      <c r="CS1203" s="32"/>
      <c r="CT1203" s="32"/>
      <c r="CU1203" s="32"/>
      <c r="CV1203" s="32"/>
      <c r="CW1203" s="32"/>
      <c r="CX1203" s="32"/>
      <c r="CY1203" s="32"/>
      <c r="CZ1203" s="32"/>
      <c r="DA1203" s="32"/>
      <c r="DB1203" s="32"/>
      <c r="DC1203" s="32"/>
      <c r="DD1203" s="32"/>
      <c r="DE1203" s="32"/>
      <c r="DF1203" s="32"/>
      <c r="DG1203" s="32"/>
      <c r="DH1203" s="32"/>
      <c r="DI1203" s="32"/>
      <c r="DJ1203" s="32"/>
      <c r="DK1203" s="32"/>
      <c r="DL1203" s="32"/>
      <c r="DM1203" s="32"/>
      <c r="DN1203" s="32"/>
      <c r="DO1203" s="32"/>
      <c r="DP1203" s="32"/>
      <c r="DQ1203" s="32"/>
      <c r="DR1203" s="32"/>
      <c r="DS1203" s="32"/>
      <c r="DT1203" s="32"/>
      <c r="DU1203" s="32"/>
      <c r="DV1203" s="32"/>
      <c r="DW1203" s="32"/>
      <c r="DX1203" s="32"/>
      <c r="DY1203" s="32"/>
      <c r="DZ1203" s="32"/>
      <c r="EA1203" s="32"/>
      <c r="EB1203" s="32"/>
      <c r="EC1203" s="32"/>
      <c r="ED1203" s="32"/>
      <c r="EE1203" s="32"/>
      <c r="EF1203" s="32"/>
      <c r="EG1203" s="32"/>
      <c r="EH1203" s="32"/>
      <c r="EI1203" s="32"/>
      <c r="EJ1203" s="32"/>
      <c r="EK1203" s="32"/>
      <c r="EL1203" s="32"/>
      <c r="EM1203" s="32"/>
      <c r="EN1203" s="32"/>
      <c r="EO1203" s="32"/>
      <c r="EP1203" s="32"/>
      <c r="EQ1203" s="32"/>
      <c r="ER1203" s="32"/>
      <c r="ES1203" s="32"/>
      <c r="ET1203" s="32"/>
      <c r="EU1203" s="32"/>
      <c r="EV1203" s="32"/>
      <c r="EW1203" s="32"/>
      <c r="EX1203" s="32"/>
      <c r="EY1203" s="32"/>
      <c r="EZ1203" s="32"/>
      <c r="FA1203" s="32"/>
      <c r="FB1203" s="32"/>
      <c r="FC1203" s="32"/>
      <c r="FD1203" s="32"/>
      <c r="FE1203" s="32"/>
      <c r="FF1203" s="32"/>
      <c r="FG1203" s="32"/>
      <c r="FH1203" s="32"/>
      <c r="FI1203" s="32"/>
      <c r="FJ1203" s="32"/>
      <c r="FK1203" s="32"/>
      <c r="FL1203" s="32"/>
      <c r="FM1203" s="32"/>
      <c r="FN1203" s="32"/>
      <c r="FO1203" s="32"/>
      <c r="FP1203" s="32"/>
      <c r="FQ1203" s="32"/>
      <c r="FR1203" s="32"/>
      <c r="FS1203" s="32"/>
      <c r="FT1203" s="32"/>
      <c r="FU1203" s="32"/>
      <c r="FV1203" s="32"/>
      <c r="FW1203" s="32"/>
      <c r="FX1203" s="32"/>
      <c r="FY1203" s="32"/>
      <c r="FZ1203" s="32"/>
      <c r="GA1203" s="32"/>
      <c r="GB1203" s="32"/>
      <c r="GC1203" s="32"/>
      <c r="GD1203" s="32"/>
      <c r="GE1203" s="32"/>
      <c r="GF1203" s="32"/>
      <c r="GG1203" s="32"/>
      <c r="GH1203" s="32"/>
      <c r="GI1203" s="32"/>
      <c r="GJ1203" s="32"/>
      <c r="GK1203" s="32"/>
      <c r="GL1203" s="32"/>
      <c r="GM1203" s="32"/>
      <c r="GN1203" s="32"/>
      <c r="GO1203" s="32"/>
      <c r="GP1203" s="32"/>
      <c r="GQ1203" s="32"/>
      <c r="GR1203" s="32"/>
      <c r="GS1203" s="32"/>
      <c r="GT1203" s="32"/>
      <c r="GU1203" s="32"/>
      <c r="GV1203" s="32"/>
      <c r="GW1203" s="32"/>
      <c r="GX1203" s="32"/>
      <c r="GY1203" s="32"/>
      <c r="GZ1203" s="32"/>
      <c r="HA1203" s="32"/>
      <c r="HB1203" s="32"/>
      <c r="HC1203" s="32"/>
      <c r="HD1203" s="32"/>
      <c r="HE1203" s="32"/>
      <c r="HF1203" s="32"/>
      <c r="HG1203" s="32"/>
      <c r="HH1203" s="32"/>
      <c r="HI1203" s="32"/>
      <c r="HJ1203" s="32"/>
      <c r="HK1203" s="32"/>
      <c r="HL1203" s="32"/>
      <c r="HM1203" s="32"/>
      <c r="HN1203" s="32"/>
      <c r="HO1203" s="32"/>
      <c r="HP1203" s="32"/>
      <c r="HQ1203" s="32"/>
      <c r="HR1203" s="32"/>
      <c r="HS1203" s="32"/>
      <c r="HT1203" s="32"/>
      <c r="HU1203" s="32"/>
      <c r="HV1203" s="32"/>
      <c r="HW1203" s="32"/>
      <c r="HX1203" s="32"/>
      <c r="HY1203" s="32"/>
      <c r="HZ1203" s="32"/>
      <c r="IA1203" s="32"/>
      <c r="IB1203" s="32"/>
      <c r="IC1203" s="32"/>
      <c r="ID1203" s="32"/>
      <c r="IE1203" s="32"/>
      <c r="IF1203" s="32"/>
      <c r="IG1203" s="32"/>
      <c r="IH1203" s="32"/>
      <c r="II1203" s="32"/>
      <c r="IJ1203" s="32"/>
      <c r="IK1203" s="32"/>
      <c r="IL1203" s="32"/>
      <c r="IM1203" s="32"/>
      <c r="IN1203" s="32"/>
      <c r="IO1203" s="32"/>
      <c r="IP1203" s="32"/>
      <c r="IQ1203" s="32"/>
      <c r="IR1203" s="32"/>
      <c r="IS1203" s="32"/>
      <c r="IT1203" s="32"/>
      <c r="IU1203" s="32"/>
      <c r="IV1203" s="32"/>
      <c r="IW1203" s="32"/>
      <c r="IX1203" s="32"/>
      <c r="IY1203" s="32"/>
      <c r="IZ1203" s="32"/>
      <c r="JA1203" s="32"/>
      <c r="JB1203" s="32"/>
      <c r="JC1203" s="32"/>
      <c r="JD1203" s="32"/>
      <c r="JE1203" s="32"/>
      <c r="JF1203" s="32"/>
      <c r="JG1203" s="32"/>
      <c r="JH1203" s="32"/>
      <c r="JI1203" s="32"/>
      <c r="JJ1203" s="32"/>
      <c r="JK1203" s="32"/>
      <c r="JL1203" s="32"/>
      <c r="JM1203" s="32"/>
      <c r="JN1203" s="32"/>
      <c r="JO1203" s="32"/>
      <c r="JP1203" s="32"/>
      <c r="JQ1203" s="32"/>
      <c r="JR1203" s="32"/>
      <c r="JS1203" s="32"/>
      <c r="JT1203" s="32"/>
      <c r="JU1203" s="32"/>
      <c r="JV1203" s="32"/>
      <c r="JW1203" s="32"/>
      <c r="JX1203" s="32"/>
      <c r="JY1203" s="32"/>
      <c r="JZ1203" s="32"/>
      <c r="KA1203" s="32"/>
      <c r="KB1203" s="32"/>
      <c r="KC1203" s="32"/>
      <c r="KD1203" s="32"/>
      <c r="KE1203" s="32"/>
    </row>
    <row r="1204" spans="1:291" s="25" customFormat="1" ht="35" customHeight="1">
      <c r="A1204" s="23">
        <f>ROW()-3</f>
        <v>1201</v>
      </c>
      <c r="B1204" s="183" t="s">
        <v>4586</v>
      </c>
      <c r="C1204" s="183" t="s">
        <v>4345</v>
      </c>
      <c r="D1204" s="128" t="s">
        <v>5115</v>
      </c>
      <c r="E1204" s="128" t="s">
        <v>5116</v>
      </c>
      <c r="F1204" s="128" t="s">
        <v>4632</v>
      </c>
      <c r="G1204" s="42" t="s">
        <v>34</v>
      </c>
      <c r="H1204" s="183">
        <v>20</v>
      </c>
      <c r="I1204" s="84">
        <v>6.9427777777777804</v>
      </c>
      <c r="J1204" s="208">
        <v>43692</v>
      </c>
      <c r="K1204" s="46" t="s">
        <v>20</v>
      </c>
      <c r="L1204" s="203">
        <v>16.989999999999998</v>
      </c>
      <c r="M1204" s="32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32"/>
      <c r="AG1204" s="32"/>
      <c r="AH1204" s="32"/>
      <c r="AI1204" s="32"/>
      <c r="AJ1204" s="32"/>
      <c r="AK1204" s="32"/>
      <c r="AL1204" s="32"/>
      <c r="AM1204" s="32"/>
      <c r="AN1204" s="32"/>
      <c r="AO1204" s="32"/>
      <c r="AP1204" s="32"/>
      <c r="AQ1204" s="32"/>
      <c r="AR1204" s="32"/>
      <c r="AS1204" s="32"/>
      <c r="AT1204" s="32"/>
      <c r="AU1204" s="32"/>
      <c r="AV1204" s="32"/>
      <c r="AW1204" s="32"/>
      <c r="AX1204" s="32"/>
      <c r="AY1204" s="32"/>
      <c r="AZ1204" s="32"/>
      <c r="BA1204" s="32"/>
      <c r="BB1204" s="32"/>
      <c r="BC1204" s="32"/>
      <c r="BD1204" s="32"/>
      <c r="BE1204" s="32"/>
      <c r="BF1204" s="32"/>
      <c r="BG1204" s="32"/>
      <c r="BH1204" s="32"/>
      <c r="BI1204" s="32"/>
      <c r="BJ1204" s="32"/>
      <c r="BK1204" s="32"/>
      <c r="BL1204" s="32"/>
      <c r="BM1204" s="32"/>
      <c r="BN1204" s="32"/>
      <c r="BO1204" s="32"/>
      <c r="BP1204" s="32"/>
      <c r="BQ1204" s="32"/>
      <c r="BR1204" s="32"/>
      <c r="BS1204" s="32"/>
      <c r="BT1204" s="32"/>
      <c r="BU1204" s="32"/>
      <c r="BV1204" s="32"/>
      <c r="BW1204" s="32"/>
      <c r="BX1204" s="32"/>
      <c r="BY1204" s="32"/>
      <c r="BZ1204" s="32"/>
      <c r="CA1204" s="32"/>
      <c r="CB1204" s="32"/>
      <c r="CC1204" s="32"/>
      <c r="CD1204" s="32"/>
      <c r="CE1204" s="32"/>
      <c r="CF1204" s="32"/>
      <c r="CG1204" s="32"/>
      <c r="CH1204" s="32"/>
      <c r="CI1204" s="32"/>
      <c r="CJ1204" s="32"/>
      <c r="CK1204" s="32"/>
      <c r="CL1204" s="32"/>
      <c r="CM1204" s="32"/>
      <c r="CN1204" s="32"/>
      <c r="CO1204" s="32"/>
      <c r="CP1204" s="32"/>
      <c r="CQ1204" s="32"/>
      <c r="CR1204" s="32"/>
      <c r="CS1204" s="32"/>
      <c r="CT1204" s="32"/>
      <c r="CU1204" s="32"/>
      <c r="CV1204" s="32"/>
      <c r="CW1204" s="32"/>
      <c r="CX1204" s="32"/>
      <c r="CY1204" s="32"/>
      <c r="CZ1204" s="32"/>
      <c r="DA1204" s="32"/>
      <c r="DB1204" s="32"/>
      <c r="DC1204" s="32"/>
      <c r="DD1204" s="32"/>
      <c r="DE1204" s="32"/>
      <c r="DF1204" s="32"/>
      <c r="DG1204" s="32"/>
      <c r="DH1204" s="32"/>
      <c r="DI1204" s="32"/>
      <c r="DJ1204" s="32"/>
      <c r="DK1204" s="32"/>
      <c r="DL1204" s="32"/>
      <c r="DM1204" s="32"/>
      <c r="DN1204" s="32"/>
      <c r="DO1204" s="32"/>
      <c r="DP1204" s="32"/>
      <c r="DQ1204" s="32"/>
      <c r="DR1204" s="32"/>
      <c r="DS1204" s="32"/>
      <c r="DT1204" s="32"/>
      <c r="DU1204" s="32"/>
      <c r="DV1204" s="32"/>
      <c r="DW1204" s="32"/>
      <c r="DX1204" s="32"/>
      <c r="DY1204" s="32"/>
      <c r="DZ1204" s="32"/>
      <c r="EA1204" s="32"/>
      <c r="EB1204" s="32"/>
      <c r="EC1204" s="32"/>
      <c r="ED1204" s="32"/>
      <c r="EE1204" s="32"/>
      <c r="EF1204" s="32"/>
      <c r="EG1204" s="32"/>
      <c r="EH1204" s="32"/>
      <c r="EI1204" s="32"/>
      <c r="EJ1204" s="32"/>
      <c r="EK1204" s="32"/>
      <c r="EL1204" s="32"/>
      <c r="EM1204" s="32"/>
      <c r="EN1204" s="32"/>
      <c r="EO1204" s="32"/>
      <c r="EP1204" s="32"/>
      <c r="EQ1204" s="32"/>
      <c r="ER1204" s="32"/>
      <c r="ES1204" s="32"/>
      <c r="ET1204" s="32"/>
      <c r="EU1204" s="32"/>
      <c r="EV1204" s="32"/>
      <c r="EW1204" s="32"/>
      <c r="EX1204" s="32"/>
      <c r="EY1204" s="32"/>
      <c r="EZ1204" s="32"/>
      <c r="FA1204" s="32"/>
      <c r="FB1204" s="32"/>
      <c r="FC1204" s="32"/>
      <c r="FD1204" s="32"/>
      <c r="FE1204" s="32"/>
      <c r="FF1204" s="32"/>
      <c r="FG1204" s="32"/>
      <c r="FH1204" s="32"/>
      <c r="FI1204" s="32"/>
      <c r="FJ1204" s="32"/>
      <c r="FK1204" s="32"/>
      <c r="FL1204" s="32"/>
      <c r="FM1204" s="32"/>
      <c r="FN1204" s="32"/>
      <c r="FO1204" s="32"/>
      <c r="FP1204" s="32"/>
      <c r="FQ1204" s="32"/>
      <c r="FR1204" s="32"/>
      <c r="FS1204" s="32"/>
      <c r="FT1204" s="32"/>
      <c r="FU1204" s="32"/>
      <c r="FV1204" s="32"/>
      <c r="FW1204" s="32"/>
      <c r="FX1204" s="32"/>
      <c r="FY1204" s="32"/>
      <c r="FZ1204" s="32"/>
      <c r="GA1204" s="32"/>
      <c r="GB1204" s="32"/>
      <c r="GC1204" s="32"/>
      <c r="GD1204" s="32"/>
      <c r="GE1204" s="32"/>
      <c r="GF1204" s="32"/>
      <c r="GG1204" s="32"/>
      <c r="GH1204" s="32"/>
      <c r="GI1204" s="32"/>
      <c r="GJ1204" s="32"/>
      <c r="GK1204" s="32"/>
      <c r="GL1204" s="32"/>
      <c r="GM1204" s="32"/>
      <c r="GN1204" s="32"/>
      <c r="GO1204" s="32"/>
      <c r="GP1204" s="32"/>
      <c r="GQ1204" s="32"/>
      <c r="GR1204" s="32"/>
      <c r="GS1204" s="32"/>
      <c r="GT1204" s="32"/>
      <c r="GU1204" s="32"/>
      <c r="GV1204" s="32"/>
      <c r="GW1204" s="32"/>
      <c r="GX1204" s="32"/>
      <c r="GY1204" s="32"/>
      <c r="GZ1204" s="32"/>
      <c r="HA1204" s="32"/>
      <c r="HB1204" s="32"/>
      <c r="HC1204" s="32"/>
      <c r="HD1204" s="32"/>
      <c r="HE1204" s="32"/>
      <c r="HF1204" s="32"/>
      <c r="HG1204" s="32"/>
      <c r="HH1204" s="32"/>
      <c r="HI1204" s="32"/>
      <c r="HJ1204" s="32"/>
      <c r="HK1204" s="32"/>
      <c r="HL1204" s="32"/>
      <c r="HM1204" s="32"/>
      <c r="HN1204" s="32"/>
      <c r="HO1204" s="32"/>
      <c r="HP1204" s="32"/>
      <c r="HQ1204" s="32"/>
      <c r="HR1204" s="32"/>
      <c r="HS1204" s="32"/>
      <c r="HT1204" s="32"/>
      <c r="HU1204" s="32"/>
      <c r="HV1204" s="32"/>
      <c r="HW1204" s="32"/>
      <c r="HX1204" s="32"/>
      <c r="HY1204" s="32"/>
      <c r="HZ1204" s="32"/>
      <c r="IA1204" s="32"/>
      <c r="IB1204" s="32"/>
      <c r="IC1204" s="32"/>
      <c r="ID1204" s="32"/>
      <c r="IE1204" s="32"/>
      <c r="IF1204" s="32"/>
      <c r="IG1204" s="32"/>
      <c r="IH1204" s="32"/>
      <c r="II1204" s="32"/>
      <c r="IJ1204" s="32"/>
      <c r="IK1204" s="32"/>
      <c r="IL1204" s="32"/>
      <c r="IM1204" s="32"/>
      <c r="IN1204" s="32"/>
      <c r="IO1204" s="32"/>
      <c r="IP1204" s="32"/>
      <c r="IQ1204" s="32"/>
      <c r="IR1204" s="32"/>
      <c r="IS1204" s="32"/>
      <c r="IT1204" s="32"/>
      <c r="IU1204" s="32"/>
      <c r="IV1204" s="32"/>
      <c r="IW1204" s="32"/>
      <c r="IX1204" s="32"/>
      <c r="IY1204" s="32"/>
      <c r="IZ1204" s="32"/>
      <c r="JA1204" s="32"/>
      <c r="JB1204" s="32"/>
      <c r="JC1204" s="32"/>
      <c r="JD1204" s="32"/>
      <c r="JE1204" s="32"/>
      <c r="JF1204" s="32"/>
      <c r="JG1204" s="32"/>
      <c r="JH1204" s="32"/>
      <c r="JI1204" s="32"/>
      <c r="JJ1204" s="32"/>
      <c r="JK1204" s="32"/>
      <c r="JL1204" s="32"/>
      <c r="JM1204" s="32"/>
      <c r="JN1204" s="32"/>
      <c r="JO1204" s="32"/>
      <c r="JP1204" s="32"/>
      <c r="JQ1204" s="32"/>
      <c r="JR1204" s="32"/>
      <c r="JS1204" s="32"/>
      <c r="JT1204" s="32"/>
      <c r="JU1204" s="32"/>
      <c r="JV1204" s="32"/>
      <c r="JW1204" s="32"/>
      <c r="JX1204" s="32"/>
      <c r="JY1204" s="32"/>
      <c r="JZ1204" s="32"/>
      <c r="KA1204" s="32"/>
      <c r="KB1204" s="32"/>
      <c r="KC1204" s="32"/>
      <c r="KD1204" s="32"/>
      <c r="KE1204" s="32"/>
    </row>
    <row r="1205" spans="1:291" s="25" customFormat="1" ht="35" customHeight="1">
      <c r="A1205" s="23">
        <f>ROW()-3</f>
        <v>1202</v>
      </c>
      <c r="B1205" s="183" t="s">
        <v>4586</v>
      </c>
      <c r="C1205" s="183" t="s">
        <v>4345</v>
      </c>
      <c r="D1205" s="128" t="s">
        <v>5117</v>
      </c>
      <c r="E1205" s="128" t="s">
        <v>5118</v>
      </c>
      <c r="F1205" s="128" t="s">
        <v>4632</v>
      </c>
      <c r="G1205" s="42" t="s">
        <v>34</v>
      </c>
      <c r="H1205" s="183">
        <v>57</v>
      </c>
      <c r="I1205" s="84">
        <v>10.418333333333299</v>
      </c>
      <c r="J1205" s="208">
        <v>43692</v>
      </c>
      <c r="K1205" s="46" t="s">
        <v>20</v>
      </c>
      <c r="L1205" s="203">
        <v>6.4</v>
      </c>
      <c r="M1205" s="32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32"/>
      <c r="AG1205" s="32"/>
      <c r="AH1205" s="32"/>
      <c r="AI1205" s="32"/>
      <c r="AJ1205" s="32"/>
      <c r="AK1205" s="32"/>
      <c r="AL1205" s="32"/>
      <c r="AM1205" s="32"/>
      <c r="AN1205" s="32"/>
      <c r="AO1205" s="32"/>
      <c r="AP1205" s="32"/>
      <c r="AQ1205" s="32"/>
      <c r="AR1205" s="32"/>
      <c r="AS1205" s="32"/>
      <c r="AT1205" s="32"/>
      <c r="AU1205" s="32"/>
      <c r="AV1205" s="32"/>
      <c r="AW1205" s="32"/>
      <c r="AX1205" s="32"/>
      <c r="AY1205" s="32"/>
      <c r="AZ1205" s="32"/>
      <c r="BA1205" s="32"/>
      <c r="BB1205" s="32"/>
      <c r="BC1205" s="32"/>
      <c r="BD1205" s="32"/>
      <c r="BE1205" s="32"/>
      <c r="BF1205" s="32"/>
      <c r="BG1205" s="32"/>
      <c r="BH1205" s="32"/>
      <c r="BI1205" s="32"/>
      <c r="BJ1205" s="32"/>
      <c r="BK1205" s="32"/>
      <c r="BL1205" s="32"/>
      <c r="BM1205" s="32"/>
      <c r="BN1205" s="32"/>
      <c r="BO1205" s="32"/>
      <c r="BP1205" s="32"/>
      <c r="BQ1205" s="32"/>
      <c r="BR1205" s="32"/>
      <c r="BS1205" s="32"/>
      <c r="BT1205" s="32"/>
      <c r="BU1205" s="32"/>
      <c r="BV1205" s="32"/>
      <c r="BW1205" s="32"/>
      <c r="BX1205" s="32"/>
      <c r="BY1205" s="32"/>
      <c r="BZ1205" s="32"/>
      <c r="CA1205" s="32"/>
      <c r="CB1205" s="32"/>
      <c r="CC1205" s="32"/>
      <c r="CD1205" s="32"/>
      <c r="CE1205" s="32"/>
      <c r="CF1205" s="32"/>
      <c r="CG1205" s="32"/>
      <c r="CH1205" s="32"/>
      <c r="CI1205" s="32"/>
      <c r="CJ1205" s="32"/>
      <c r="CK1205" s="32"/>
      <c r="CL1205" s="32"/>
      <c r="CM1205" s="32"/>
      <c r="CN1205" s="32"/>
      <c r="CO1205" s="32"/>
      <c r="CP1205" s="32"/>
      <c r="CQ1205" s="32"/>
      <c r="CR1205" s="32"/>
      <c r="CS1205" s="32"/>
      <c r="CT1205" s="32"/>
      <c r="CU1205" s="32"/>
      <c r="CV1205" s="32"/>
      <c r="CW1205" s="32"/>
      <c r="CX1205" s="32"/>
      <c r="CY1205" s="32"/>
      <c r="CZ1205" s="32"/>
      <c r="DA1205" s="32"/>
      <c r="DB1205" s="32"/>
      <c r="DC1205" s="32"/>
      <c r="DD1205" s="32"/>
      <c r="DE1205" s="32"/>
      <c r="DF1205" s="32"/>
      <c r="DG1205" s="32"/>
      <c r="DH1205" s="32"/>
      <c r="DI1205" s="32"/>
      <c r="DJ1205" s="32"/>
      <c r="DK1205" s="32"/>
      <c r="DL1205" s="32"/>
      <c r="DM1205" s="32"/>
      <c r="DN1205" s="32"/>
      <c r="DO1205" s="32"/>
      <c r="DP1205" s="32"/>
      <c r="DQ1205" s="32"/>
      <c r="DR1205" s="32"/>
      <c r="DS1205" s="32"/>
      <c r="DT1205" s="32"/>
      <c r="DU1205" s="32"/>
      <c r="DV1205" s="32"/>
      <c r="DW1205" s="32"/>
      <c r="DX1205" s="32"/>
      <c r="DY1205" s="32"/>
      <c r="DZ1205" s="32"/>
      <c r="EA1205" s="32"/>
      <c r="EB1205" s="32"/>
      <c r="EC1205" s="32"/>
      <c r="ED1205" s="32"/>
      <c r="EE1205" s="32"/>
      <c r="EF1205" s="32"/>
      <c r="EG1205" s="32"/>
      <c r="EH1205" s="32"/>
      <c r="EI1205" s="32"/>
      <c r="EJ1205" s="32"/>
      <c r="EK1205" s="32"/>
      <c r="EL1205" s="32"/>
      <c r="EM1205" s="32"/>
      <c r="EN1205" s="32"/>
      <c r="EO1205" s="32"/>
      <c r="EP1205" s="32"/>
      <c r="EQ1205" s="32"/>
      <c r="ER1205" s="32"/>
      <c r="ES1205" s="32"/>
      <c r="ET1205" s="32"/>
      <c r="EU1205" s="32"/>
      <c r="EV1205" s="32"/>
      <c r="EW1205" s="32"/>
      <c r="EX1205" s="32"/>
      <c r="EY1205" s="32"/>
      <c r="EZ1205" s="32"/>
      <c r="FA1205" s="32"/>
      <c r="FB1205" s="32"/>
      <c r="FC1205" s="32"/>
      <c r="FD1205" s="32"/>
      <c r="FE1205" s="32"/>
      <c r="FF1205" s="32"/>
      <c r="FG1205" s="32"/>
      <c r="FH1205" s="32"/>
      <c r="FI1205" s="32"/>
      <c r="FJ1205" s="32"/>
      <c r="FK1205" s="32"/>
      <c r="FL1205" s="32"/>
      <c r="FM1205" s="32"/>
      <c r="FN1205" s="32"/>
      <c r="FO1205" s="32"/>
      <c r="FP1205" s="32"/>
      <c r="FQ1205" s="32"/>
      <c r="FR1205" s="32"/>
      <c r="FS1205" s="32"/>
      <c r="FT1205" s="32"/>
      <c r="FU1205" s="32"/>
      <c r="FV1205" s="32"/>
      <c r="FW1205" s="32"/>
      <c r="FX1205" s="32"/>
      <c r="FY1205" s="32"/>
      <c r="FZ1205" s="32"/>
      <c r="GA1205" s="32"/>
      <c r="GB1205" s="32"/>
      <c r="GC1205" s="32"/>
      <c r="GD1205" s="32"/>
      <c r="GE1205" s="32"/>
      <c r="GF1205" s="32"/>
      <c r="GG1205" s="32"/>
      <c r="GH1205" s="32"/>
      <c r="GI1205" s="32"/>
      <c r="GJ1205" s="32"/>
      <c r="GK1205" s="32"/>
      <c r="GL1205" s="32"/>
      <c r="GM1205" s="32"/>
      <c r="GN1205" s="32"/>
      <c r="GO1205" s="32"/>
      <c r="GP1205" s="32"/>
      <c r="GQ1205" s="32"/>
      <c r="GR1205" s="32"/>
      <c r="GS1205" s="32"/>
      <c r="GT1205" s="32"/>
      <c r="GU1205" s="32"/>
      <c r="GV1205" s="32"/>
      <c r="GW1205" s="32"/>
      <c r="GX1205" s="32"/>
      <c r="GY1205" s="32"/>
      <c r="GZ1205" s="32"/>
      <c r="HA1205" s="32"/>
      <c r="HB1205" s="32"/>
      <c r="HC1205" s="32"/>
      <c r="HD1205" s="32"/>
      <c r="HE1205" s="32"/>
      <c r="HF1205" s="32"/>
      <c r="HG1205" s="32"/>
      <c r="HH1205" s="32"/>
      <c r="HI1205" s="32"/>
      <c r="HJ1205" s="32"/>
      <c r="HK1205" s="32"/>
      <c r="HL1205" s="32"/>
      <c r="HM1205" s="32"/>
      <c r="HN1205" s="32"/>
      <c r="HO1205" s="32"/>
      <c r="HP1205" s="32"/>
      <c r="HQ1205" s="32"/>
      <c r="HR1205" s="32"/>
      <c r="HS1205" s="32"/>
      <c r="HT1205" s="32"/>
      <c r="HU1205" s="32"/>
      <c r="HV1205" s="32"/>
      <c r="HW1205" s="32"/>
      <c r="HX1205" s="32"/>
      <c r="HY1205" s="32"/>
      <c r="HZ1205" s="32"/>
      <c r="IA1205" s="32"/>
      <c r="IB1205" s="32"/>
      <c r="IC1205" s="32"/>
      <c r="ID1205" s="32"/>
      <c r="IE1205" s="32"/>
      <c r="IF1205" s="32"/>
      <c r="IG1205" s="32"/>
      <c r="IH1205" s="32"/>
      <c r="II1205" s="32"/>
      <c r="IJ1205" s="32"/>
      <c r="IK1205" s="32"/>
      <c r="IL1205" s="32"/>
      <c r="IM1205" s="32"/>
      <c r="IN1205" s="32"/>
      <c r="IO1205" s="32"/>
      <c r="IP1205" s="32"/>
      <c r="IQ1205" s="32"/>
      <c r="IR1205" s="32"/>
      <c r="IS1205" s="32"/>
      <c r="IT1205" s="32"/>
      <c r="IU1205" s="32"/>
      <c r="IV1205" s="32"/>
      <c r="IW1205" s="32"/>
      <c r="IX1205" s="32"/>
      <c r="IY1205" s="32"/>
      <c r="IZ1205" s="32"/>
      <c r="JA1205" s="32"/>
      <c r="JB1205" s="32"/>
      <c r="JC1205" s="32"/>
      <c r="JD1205" s="32"/>
      <c r="JE1205" s="32"/>
      <c r="JF1205" s="32"/>
      <c r="JG1205" s="32"/>
      <c r="JH1205" s="32"/>
      <c r="JI1205" s="32"/>
      <c r="JJ1205" s="32"/>
      <c r="JK1205" s="32"/>
      <c r="JL1205" s="32"/>
      <c r="JM1205" s="32"/>
      <c r="JN1205" s="32"/>
      <c r="JO1205" s="32"/>
      <c r="JP1205" s="32"/>
      <c r="JQ1205" s="32"/>
      <c r="JR1205" s="32"/>
      <c r="JS1205" s="32"/>
      <c r="JT1205" s="32"/>
      <c r="JU1205" s="32"/>
      <c r="JV1205" s="32"/>
      <c r="JW1205" s="32"/>
      <c r="JX1205" s="32"/>
      <c r="JY1205" s="32"/>
      <c r="JZ1205" s="32"/>
      <c r="KA1205" s="32"/>
      <c r="KB1205" s="32"/>
      <c r="KC1205" s="32"/>
      <c r="KD1205" s="32"/>
      <c r="KE1205" s="32"/>
    </row>
    <row r="1206" spans="1:291" s="25" customFormat="1" ht="35" customHeight="1">
      <c r="A1206" s="23">
        <f>ROW()-3</f>
        <v>1203</v>
      </c>
      <c r="B1206" s="183" t="s">
        <v>4586</v>
      </c>
      <c r="C1206" s="205" t="s">
        <v>4345</v>
      </c>
      <c r="D1206" s="128" t="s">
        <v>5119</v>
      </c>
      <c r="E1206" s="128" t="s">
        <v>5120</v>
      </c>
      <c r="F1206" s="128" t="s">
        <v>4632</v>
      </c>
      <c r="G1206" s="42" t="s">
        <v>34</v>
      </c>
      <c r="H1206" s="183">
        <v>32</v>
      </c>
      <c r="I1206" s="84">
        <v>10.026666666666699</v>
      </c>
      <c r="J1206" s="208">
        <v>43692</v>
      </c>
      <c r="K1206" s="46" t="s">
        <v>20</v>
      </c>
      <c r="L1206" s="203">
        <v>4.5999999999999996</v>
      </c>
      <c r="M1206" s="32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32"/>
      <c r="AG1206" s="32"/>
      <c r="AH1206" s="32"/>
      <c r="AI1206" s="32"/>
      <c r="AJ1206" s="32"/>
      <c r="AK1206" s="32"/>
      <c r="AL1206" s="32"/>
      <c r="AM1206" s="32"/>
      <c r="AN1206" s="32"/>
      <c r="AO1206" s="32"/>
      <c r="AP1206" s="32"/>
      <c r="AQ1206" s="32"/>
      <c r="AR1206" s="32"/>
      <c r="AS1206" s="32"/>
      <c r="AT1206" s="32"/>
      <c r="AU1206" s="32"/>
      <c r="AV1206" s="32"/>
      <c r="AW1206" s="32"/>
      <c r="AX1206" s="32"/>
      <c r="AY1206" s="32"/>
      <c r="AZ1206" s="32"/>
      <c r="BA1206" s="32"/>
      <c r="BB1206" s="32"/>
      <c r="BC1206" s="32"/>
      <c r="BD1206" s="32"/>
      <c r="BE1206" s="32"/>
      <c r="BF1206" s="32"/>
      <c r="BG1206" s="32"/>
      <c r="BH1206" s="32"/>
      <c r="BI1206" s="32"/>
      <c r="BJ1206" s="32"/>
      <c r="BK1206" s="32"/>
      <c r="BL1206" s="32"/>
      <c r="BM1206" s="32"/>
      <c r="BN1206" s="32"/>
      <c r="BO1206" s="32"/>
      <c r="BP1206" s="32"/>
      <c r="BQ1206" s="32"/>
      <c r="BR1206" s="32"/>
      <c r="BS1206" s="32"/>
      <c r="BT1206" s="32"/>
      <c r="BU1206" s="32"/>
      <c r="BV1206" s="32"/>
      <c r="BW1206" s="32"/>
      <c r="BX1206" s="32"/>
      <c r="BY1206" s="32"/>
      <c r="BZ1206" s="32"/>
      <c r="CA1206" s="32"/>
      <c r="CB1206" s="32"/>
      <c r="CC1206" s="32"/>
      <c r="CD1206" s="32"/>
      <c r="CE1206" s="32"/>
      <c r="CF1206" s="32"/>
      <c r="CG1206" s="32"/>
      <c r="CH1206" s="32"/>
      <c r="CI1206" s="32"/>
      <c r="CJ1206" s="32"/>
      <c r="CK1206" s="32"/>
      <c r="CL1206" s="32"/>
      <c r="CM1206" s="32"/>
      <c r="CN1206" s="32"/>
      <c r="CO1206" s="32"/>
      <c r="CP1206" s="32"/>
      <c r="CQ1206" s="32"/>
      <c r="CR1206" s="32"/>
      <c r="CS1206" s="32"/>
      <c r="CT1206" s="32"/>
      <c r="CU1206" s="32"/>
      <c r="CV1206" s="32"/>
      <c r="CW1206" s="32"/>
      <c r="CX1206" s="32"/>
      <c r="CY1206" s="32"/>
      <c r="CZ1206" s="32"/>
      <c r="DA1206" s="32"/>
      <c r="DB1206" s="32"/>
      <c r="DC1206" s="32"/>
      <c r="DD1206" s="32"/>
      <c r="DE1206" s="32"/>
      <c r="DF1206" s="32"/>
      <c r="DG1206" s="32"/>
      <c r="DH1206" s="32"/>
      <c r="DI1206" s="32"/>
      <c r="DJ1206" s="32"/>
      <c r="DK1206" s="32"/>
      <c r="DL1206" s="32"/>
      <c r="DM1206" s="32"/>
      <c r="DN1206" s="32"/>
      <c r="DO1206" s="32"/>
      <c r="DP1206" s="32"/>
      <c r="DQ1206" s="32"/>
      <c r="DR1206" s="32"/>
      <c r="DS1206" s="32"/>
      <c r="DT1206" s="32"/>
      <c r="DU1206" s="32"/>
      <c r="DV1206" s="32"/>
      <c r="DW1206" s="32"/>
      <c r="DX1206" s="32"/>
      <c r="DY1206" s="32"/>
      <c r="DZ1206" s="32"/>
      <c r="EA1206" s="32"/>
      <c r="EB1206" s="32"/>
      <c r="EC1206" s="32"/>
      <c r="ED1206" s="32"/>
      <c r="EE1206" s="32"/>
      <c r="EF1206" s="32"/>
      <c r="EG1206" s="32"/>
      <c r="EH1206" s="32"/>
      <c r="EI1206" s="32"/>
      <c r="EJ1206" s="32"/>
      <c r="EK1206" s="32"/>
      <c r="EL1206" s="32"/>
      <c r="EM1206" s="32"/>
      <c r="EN1206" s="32"/>
      <c r="EO1206" s="32"/>
      <c r="EP1206" s="32"/>
      <c r="EQ1206" s="32"/>
      <c r="ER1206" s="32"/>
      <c r="ES1206" s="32"/>
      <c r="ET1206" s="32"/>
      <c r="EU1206" s="32"/>
      <c r="EV1206" s="32"/>
      <c r="EW1206" s="32"/>
      <c r="EX1206" s="32"/>
      <c r="EY1206" s="32"/>
      <c r="EZ1206" s="32"/>
      <c r="FA1206" s="32"/>
      <c r="FB1206" s="32"/>
      <c r="FC1206" s="32"/>
      <c r="FD1206" s="32"/>
      <c r="FE1206" s="32"/>
      <c r="FF1206" s="32"/>
      <c r="FG1206" s="32"/>
      <c r="FH1206" s="32"/>
      <c r="FI1206" s="32"/>
      <c r="FJ1206" s="32"/>
      <c r="FK1206" s="32"/>
      <c r="FL1206" s="32"/>
      <c r="FM1206" s="32"/>
      <c r="FN1206" s="32"/>
      <c r="FO1206" s="32"/>
      <c r="FP1206" s="32"/>
      <c r="FQ1206" s="32"/>
      <c r="FR1206" s="32"/>
      <c r="FS1206" s="32"/>
      <c r="FT1206" s="32"/>
      <c r="FU1206" s="32"/>
      <c r="FV1206" s="32"/>
      <c r="FW1206" s="32"/>
      <c r="FX1206" s="32"/>
      <c r="FY1206" s="32"/>
      <c r="FZ1206" s="32"/>
      <c r="GA1206" s="32"/>
      <c r="GB1206" s="32"/>
      <c r="GC1206" s="32"/>
      <c r="GD1206" s="32"/>
      <c r="GE1206" s="32"/>
      <c r="GF1206" s="32"/>
      <c r="GG1206" s="32"/>
      <c r="GH1206" s="32"/>
      <c r="GI1206" s="32"/>
      <c r="GJ1206" s="32"/>
      <c r="GK1206" s="32"/>
      <c r="GL1206" s="32"/>
      <c r="GM1206" s="32"/>
      <c r="GN1206" s="32"/>
      <c r="GO1206" s="32"/>
      <c r="GP1206" s="32"/>
      <c r="GQ1206" s="32"/>
      <c r="GR1206" s="32"/>
      <c r="GS1206" s="32"/>
      <c r="GT1206" s="32"/>
      <c r="GU1206" s="32"/>
      <c r="GV1206" s="32"/>
      <c r="GW1206" s="32"/>
      <c r="GX1206" s="32"/>
      <c r="GY1206" s="32"/>
      <c r="GZ1206" s="32"/>
      <c r="HA1206" s="32"/>
      <c r="HB1206" s="32"/>
      <c r="HC1206" s="32"/>
      <c r="HD1206" s="32"/>
      <c r="HE1206" s="32"/>
      <c r="HF1206" s="32"/>
      <c r="HG1206" s="32"/>
      <c r="HH1206" s="32"/>
      <c r="HI1206" s="32"/>
      <c r="HJ1206" s="32"/>
      <c r="HK1206" s="32"/>
      <c r="HL1206" s="32"/>
      <c r="HM1206" s="32"/>
      <c r="HN1206" s="32"/>
      <c r="HO1206" s="32"/>
      <c r="HP1206" s="32"/>
      <c r="HQ1206" s="32"/>
      <c r="HR1206" s="32"/>
      <c r="HS1206" s="32"/>
      <c r="HT1206" s="32"/>
      <c r="HU1206" s="32"/>
      <c r="HV1206" s="32"/>
      <c r="HW1206" s="32"/>
      <c r="HX1206" s="32"/>
      <c r="HY1206" s="32"/>
      <c r="HZ1206" s="32"/>
      <c r="IA1206" s="32"/>
      <c r="IB1206" s="32"/>
      <c r="IC1206" s="32"/>
      <c r="ID1206" s="32"/>
      <c r="IE1206" s="32"/>
      <c r="IF1206" s="32"/>
      <c r="IG1206" s="32"/>
      <c r="IH1206" s="32"/>
      <c r="II1206" s="32"/>
      <c r="IJ1206" s="32"/>
      <c r="IK1206" s="32"/>
      <c r="IL1206" s="32"/>
      <c r="IM1206" s="32"/>
      <c r="IN1206" s="32"/>
      <c r="IO1206" s="32"/>
      <c r="IP1206" s="32"/>
      <c r="IQ1206" s="32"/>
      <c r="IR1206" s="32"/>
      <c r="IS1206" s="32"/>
      <c r="IT1206" s="32"/>
      <c r="IU1206" s="32"/>
      <c r="IV1206" s="32"/>
      <c r="IW1206" s="32"/>
      <c r="IX1206" s="32"/>
      <c r="IY1206" s="32"/>
      <c r="IZ1206" s="32"/>
      <c r="JA1206" s="32"/>
      <c r="JB1206" s="32"/>
      <c r="JC1206" s="32"/>
      <c r="JD1206" s="32"/>
      <c r="JE1206" s="32"/>
      <c r="JF1206" s="32"/>
      <c r="JG1206" s="32"/>
      <c r="JH1206" s="32"/>
      <c r="JI1206" s="32"/>
      <c r="JJ1206" s="32"/>
      <c r="JK1206" s="32"/>
      <c r="JL1206" s="32"/>
      <c r="JM1206" s="32"/>
      <c r="JN1206" s="32"/>
      <c r="JO1206" s="32"/>
      <c r="JP1206" s="32"/>
      <c r="JQ1206" s="32"/>
      <c r="JR1206" s="32"/>
      <c r="JS1206" s="32"/>
      <c r="JT1206" s="32"/>
      <c r="JU1206" s="32"/>
      <c r="JV1206" s="32"/>
      <c r="JW1206" s="32"/>
      <c r="JX1206" s="32"/>
      <c r="JY1206" s="32"/>
      <c r="JZ1206" s="32"/>
      <c r="KA1206" s="32"/>
      <c r="KB1206" s="32"/>
      <c r="KC1206" s="32"/>
      <c r="KD1206" s="32"/>
      <c r="KE1206" s="32"/>
    </row>
    <row r="1207" spans="1:291" s="25" customFormat="1" ht="35" customHeight="1">
      <c r="A1207" s="23">
        <f>ROW()-3</f>
        <v>1204</v>
      </c>
      <c r="B1207" s="183" t="s">
        <v>4586</v>
      </c>
      <c r="C1207" s="183" t="s">
        <v>4345</v>
      </c>
      <c r="D1207" s="128" t="s">
        <v>5121</v>
      </c>
      <c r="E1207" s="128" t="s">
        <v>5122</v>
      </c>
      <c r="F1207" s="128" t="s">
        <v>4589</v>
      </c>
      <c r="G1207" s="42" t="s">
        <v>34</v>
      </c>
      <c r="H1207" s="183">
        <v>23</v>
      </c>
      <c r="I1207" s="84">
        <v>7.1475</v>
      </c>
      <c r="J1207" s="208">
        <v>43692</v>
      </c>
      <c r="K1207" s="46" t="s">
        <v>20</v>
      </c>
      <c r="L1207" s="203">
        <v>36</v>
      </c>
      <c r="M1207" s="32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32"/>
      <c r="AG1207" s="32"/>
      <c r="AH1207" s="32"/>
      <c r="AI1207" s="32"/>
      <c r="AJ1207" s="32"/>
      <c r="AK1207" s="32"/>
      <c r="AL1207" s="32"/>
      <c r="AM1207" s="32"/>
      <c r="AN1207" s="32"/>
      <c r="AO1207" s="32"/>
      <c r="AP1207" s="32"/>
      <c r="AQ1207" s="32"/>
      <c r="AR1207" s="32"/>
      <c r="AS1207" s="32"/>
      <c r="AT1207" s="32"/>
      <c r="AU1207" s="32"/>
      <c r="AV1207" s="32"/>
      <c r="AW1207" s="32"/>
      <c r="AX1207" s="32"/>
      <c r="AY1207" s="32"/>
      <c r="AZ1207" s="32"/>
      <c r="BA1207" s="32"/>
      <c r="BB1207" s="32"/>
      <c r="BC1207" s="32"/>
      <c r="BD1207" s="32"/>
      <c r="BE1207" s="32"/>
      <c r="BF1207" s="32"/>
      <c r="BG1207" s="32"/>
      <c r="BH1207" s="32"/>
      <c r="BI1207" s="32"/>
      <c r="BJ1207" s="32"/>
      <c r="BK1207" s="32"/>
      <c r="BL1207" s="32"/>
      <c r="BM1207" s="32"/>
      <c r="BN1207" s="32"/>
      <c r="BO1207" s="32"/>
      <c r="BP1207" s="32"/>
      <c r="BQ1207" s="32"/>
      <c r="BR1207" s="32"/>
      <c r="BS1207" s="32"/>
      <c r="BT1207" s="32"/>
      <c r="BU1207" s="32"/>
      <c r="BV1207" s="32"/>
      <c r="BW1207" s="32"/>
      <c r="BX1207" s="32"/>
      <c r="BY1207" s="32"/>
      <c r="BZ1207" s="32"/>
      <c r="CA1207" s="32"/>
      <c r="CB1207" s="32"/>
      <c r="CC1207" s="32"/>
      <c r="CD1207" s="32"/>
      <c r="CE1207" s="32"/>
      <c r="CF1207" s="32"/>
      <c r="CG1207" s="32"/>
      <c r="CH1207" s="32"/>
      <c r="CI1207" s="32"/>
      <c r="CJ1207" s="32"/>
      <c r="CK1207" s="32"/>
      <c r="CL1207" s="32"/>
      <c r="CM1207" s="32"/>
      <c r="CN1207" s="32"/>
      <c r="CO1207" s="32"/>
      <c r="CP1207" s="32"/>
      <c r="CQ1207" s="32"/>
      <c r="CR1207" s="32"/>
      <c r="CS1207" s="32"/>
      <c r="CT1207" s="32"/>
      <c r="CU1207" s="32"/>
      <c r="CV1207" s="32"/>
      <c r="CW1207" s="32"/>
      <c r="CX1207" s="32"/>
      <c r="CY1207" s="32"/>
      <c r="CZ1207" s="32"/>
      <c r="DA1207" s="32"/>
      <c r="DB1207" s="32"/>
      <c r="DC1207" s="32"/>
      <c r="DD1207" s="32"/>
      <c r="DE1207" s="32"/>
      <c r="DF1207" s="32"/>
      <c r="DG1207" s="32"/>
      <c r="DH1207" s="32"/>
      <c r="DI1207" s="32"/>
      <c r="DJ1207" s="32"/>
      <c r="DK1207" s="32"/>
      <c r="DL1207" s="32"/>
      <c r="DM1207" s="32"/>
      <c r="DN1207" s="32"/>
      <c r="DO1207" s="32"/>
      <c r="DP1207" s="32"/>
      <c r="DQ1207" s="32"/>
      <c r="DR1207" s="32"/>
      <c r="DS1207" s="32"/>
      <c r="DT1207" s="32"/>
      <c r="DU1207" s="32"/>
      <c r="DV1207" s="32"/>
      <c r="DW1207" s="32"/>
      <c r="DX1207" s="32"/>
      <c r="DY1207" s="32"/>
      <c r="DZ1207" s="32"/>
      <c r="EA1207" s="32"/>
      <c r="EB1207" s="32"/>
      <c r="EC1207" s="32"/>
      <c r="ED1207" s="32"/>
      <c r="EE1207" s="32"/>
      <c r="EF1207" s="32"/>
      <c r="EG1207" s="32"/>
      <c r="EH1207" s="32"/>
      <c r="EI1207" s="32"/>
      <c r="EJ1207" s="32"/>
      <c r="EK1207" s="32"/>
      <c r="EL1207" s="32"/>
      <c r="EM1207" s="32"/>
      <c r="EN1207" s="32"/>
      <c r="EO1207" s="32"/>
      <c r="EP1207" s="32"/>
      <c r="EQ1207" s="32"/>
      <c r="ER1207" s="32"/>
      <c r="ES1207" s="32"/>
      <c r="ET1207" s="32"/>
      <c r="EU1207" s="32"/>
      <c r="EV1207" s="32"/>
      <c r="EW1207" s="32"/>
      <c r="EX1207" s="32"/>
      <c r="EY1207" s="32"/>
      <c r="EZ1207" s="32"/>
      <c r="FA1207" s="32"/>
      <c r="FB1207" s="32"/>
      <c r="FC1207" s="32"/>
      <c r="FD1207" s="32"/>
      <c r="FE1207" s="32"/>
      <c r="FF1207" s="32"/>
      <c r="FG1207" s="32"/>
      <c r="FH1207" s="32"/>
      <c r="FI1207" s="32"/>
      <c r="FJ1207" s="32"/>
      <c r="FK1207" s="32"/>
      <c r="FL1207" s="32"/>
      <c r="FM1207" s="32"/>
      <c r="FN1207" s="32"/>
      <c r="FO1207" s="32"/>
      <c r="FP1207" s="32"/>
      <c r="FQ1207" s="32"/>
      <c r="FR1207" s="32"/>
      <c r="FS1207" s="32"/>
      <c r="FT1207" s="32"/>
      <c r="FU1207" s="32"/>
      <c r="FV1207" s="32"/>
      <c r="FW1207" s="32"/>
      <c r="FX1207" s="32"/>
      <c r="FY1207" s="32"/>
      <c r="FZ1207" s="32"/>
      <c r="GA1207" s="32"/>
      <c r="GB1207" s="32"/>
      <c r="GC1207" s="32"/>
      <c r="GD1207" s="32"/>
      <c r="GE1207" s="32"/>
      <c r="GF1207" s="32"/>
      <c r="GG1207" s="32"/>
      <c r="GH1207" s="32"/>
      <c r="GI1207" s="32"/>
      <c r="GJ1207" s="32"/>
      <c r="GK1207" s="32"/>
      <c r="GL1207" s="32"/>
      <c r="GM1207" s="32"/>
      <c r="GN1207" s="32"/>
      <c r="GO1207" s="32"/>
      <c r="GP1207" s="32"/>
      <c r="GQ1207" s="32"/>
      <c r="GR1207" s="32"/>
      <c r="GS1207" s="32"/>
      <c r="GT1207" s="32"/>
      <c r="GU1207" s="32"/>
      <c r="GV1207" s="32"/>
      <c r="GW1207" s="32"/>
      <c r="GX1207" s="32"/>
      <c r="GY1207" s="32"/>
      <c r="GZ1207" s="32"/>
      <c r="HA1207" s="32"/>
      <c r="HB1207" s="32"/>
      <c r="HC1207" s="32"/>
      <c r="HD1207" s="32"/>
      <c r="HE1207" s="32"/>
      <c r="HF1207" s="32"/>
      <c r="HG1207" s="32"/>
      <c r="HH1207" s="32"/>
      <c r="HI1207" s="32"/>
      <c r="HJ1207" s="32"/>
      <c r="HK1207" s="32"/>
      <c r="HL1207" s="32"/>
      <c r="HM1207" s="32"/>
      <c r="HN1207" s="32"/>
      <c r="HO1207" s="32"/>
      <c r="HP1207" s="32"/>
      <c r="HQ1207" s="32"/>
      <c r="HR1207" s="32"/>
      <c r="HS1207" s="32"/>
      <c r="HT1207" s="32"/>
      <c r="HU1207" s="32"/>
      <c r="HV1207" s="32"/>
      <c r="HW1207" s="32"/>
      <c r="HX1207" s="32"/>
      <c r="HY1207" s="32"/>
      <c r="HZ1207" s="32"/>
      <c r="IA1207" s="32"/>
      <c r="IB1207" s="32"/>
      <c r="IC1207" s="32"/>
      <c r="ID1207" s="32"/>
      <c r="IE1207" s="32"/>
      <c r="IF1207" s="32"/>
      <c r="IG1207" s="32"/>
      <c r="IH1207" s="32"/>
      <c r="II1207" s="32"/>
      <c r="IJ1207" s="32"/>
      <c r="IK1207" s="32"/>
      <c r="IL1207" s="32"/>
      <c r="IM1207" s="32"/>
      <c r="IN1207" s="32"/>
      <c r="IO1207" s="32"/>
      <c r="IP1207" s="32"/>
      <c r="IQ1207" s="32"/>
      <c r="IR1207" s="32"/>
      <c r="IS1207" s="32"/>
      <c r="IT1207" s="32"/>
      <c r="IU1207" s="32"/>
      <c r="IV1207" s="32"/>
      <c r="IW1207" s="32"/>
      <c r="IX1207" s="32"/>
      <c r="IY1207" s="32"/>
      <c r="IZ1207" s="32"/>
      <c r="JA1207" s="32"/>
      <c r="JB1207" s="32"/>
      <c r="JC1207" s="32"/>
      <c r="JD1207" s="32"/>
      <c r="JE1207" s="32"/>
      <c r="JF1207" s="32"/>
      <c r="JG1207" s="32"/>
      <c r="JH1207" s="32"/>
      <c r="JI1207" s="32"/>
      <c r="JJ1207" s="32"/>
      <c r="JK1207" s="32"/>
      <c r="JL1207" s="32"/>
      <c r="JM1207" s="32"/>
      <c r="JN1207" s="32"/>
      <c r="JO1207" s="32"/>
      <c r="JP1207" s="32"/>
      <c r="JQ1207" s="32"/>
      <c r="JR1207" s="32"/>
      <c r="JS1207" s="32"/>
      <c r="JT1207" s="32"/>
      <c r="JU1207" s="32"/>
      <c r="JV1207" s="32"/>
      <c r="JW1207" s="32"/>
      <c r="JX1207" s="32"/>
      <c r="JY1207" s="32"/>
      <c r="JZ1207" s="32"/>
      <c r="KA1207" s="32"/>
      <c r="KB1207" s="32"/>
      <c r="KC1207" s="32"/>
      <c r="KD1207" s="32"/>
      <c r="KE1207" s="32"/>
    </row>
    <row r="1208" spans="1:291" s="25" customFormat="1" ht="35" customHeight="1">
      <c r="A1208" s="23">
        <f>ROW()-3</f>
        <v>1205</v>
      </c>
      <c r="B1208" s="183" t="s">
        <v>4586</v>
      </c>
      <c r="C1208" s="183" t="s">
        <v>4345</v>
      </c>
      <c r="D1208" s="128" t="s">
        <v>5123</v>
      </c>
      <c r="E1208" s="128" t="s">
        <v>4670</v>
      </c>
      <c r="F1208" s="128" t="s">
        <v>4589</v>
      </c>
      <c r="G1208" s="42" t="s">
        <v>34</v>
      </c>
      <c r="H1208" s="183">
        <v>60</v>
      </c>
      <c r="I1208" s="84">
        <v>10.8925</v>
      </c>
      <c r="J1208" s="208">
        <v>43692</v>
      </c>
      <c r="K1208" s="46" t="s">
        <v>20</v>
      </c>
      <c r="L1208" s="203">
        <v>59.99</v>
      </c>
      <c r="M1208" s="32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32"/>
      <c r="AG1208" s="32"/>
      <c r="AH1208" s="32"/>
      <c r="AI1208" s="32"/>
      <c r="AJ1208" s="32"/>
      <c r="AK1208" s="32"/>
      <c r="AL1208" s="32"/>
      <c r="AM1208" s="32"/>
      <c r="AN1208" s="32"/>
      <c r="AO1208" s="32"/>
      <c r="AP1208" s="32"/>
      <c r="AQ1208" s="32"/>
      <c r="AR1208" s="32"/>
      <c r="AS1208" s="32"/>
      <c r="AT1208" s="32"/>
      <c r="AU1208" s="32"/>
      <c r="AV1208" s="32"/>
      <c r="AW1208" s="32"/>
      <c r="AX1208" s="32"/>
      <c r="AY1208" s="32"/>
      <c r="AZ1208" s="32"/>
      <c r="BA1208" s="32"/>
      <c r="BB1208" s="32"/>
      <c r="BC1208" s="32"/>
      <c r="BD1208" s="32"/>
      <c r="BE1208" s="32"/>
      <c r="BF1208" s="32"/>
      <c r="BG1208" s="32"/>
      <c r="BH1208" s="32"/>
      <c r="BI1208" s="32"/>
      <c r="BJ1208" s="32"/>
      <c r="BK1208" s="32"/>
      <c r="BL1208" s="32"/>
      <c r="BM1208" s="32"/>
      <c r="BN1208" s="32"/>
      <c r="BO1208" s="32"/>
      <c r="BP1208" s="32"/>
      <c r="BQ1208" s="32"/>
      <c r="BR1208" s="32"/>
      <c r="BS1208" s="32"/>
      <c r="BT1208" s="32"/>
      <c r="BU1208" s="32"/>
      <c r="BV1208" s="32"/>
      <c r="BW1208" s="32"/>
      <c r="BX1208" s="32"/>
      <c r="BY1208" s="32"/>
      <c r="BZ1208" s="32"/>
      <c r="CA1208" s="32"/>
      <c r="CB1208" s="32"/>
      <c r="CC1208" s="32"/>
      <c r="CD1208" s="32"/>
      <c r="CE1208" s="32"/>
      <c r="CF1208" s="32"/>
      <c r="CG1208" s="32"/>
      <c r="CH1208" s="32"/>
      <c r="CI1208" s="32"/>
      <c r="CJ1208" s="32"/>
      <c r="CK1208" s="32"/>
      <c r="CL1208" s="32"/>
      <c r="CM1208" s="32"/>
      <c r="CN1208" s="32"/>
      <c r="CO1208" s="32"/>
      <c r="CP1208" s="32"/>
      <c r="CQ1208" s="32"/>
      <c r="CR1208" s="32"/>
      <c r="CS1208" s="32"/>
      <c r="CT1208" s="32"/>
      <c r="CU1208" s="32"/>
      <c r="CV1208" s="32"/>
      <c r="CW1208" s="32"/>
      <c r="CX1208" s="32"/>
      <c r="CY1208" s="32"/>
      <c r="CZ1208" s="32"/>
      <c r="DA1208" s="32"/>
      <c r="DB1208" s="32"/>
      <c r="DC1208" s="32"/>
      <c r="DD1208" s="32"/>
      <c r="DE1208" s="32"/>
      <c r="DF1208" s="32"/>
      <c r="DG1208" s="32"/>
      <c r="DH1208" s="32"/>
      <c r="DI1208" s="32"/>
      <c r="DJ1208" s="32"/>
      <c r="DK1208" s="32"/>
      <c r="DL1208" s="32"/>
      <c r="DM1208" s="32"/>
      <c r="DN1208" s="32"/>
      <c r="DO1208" s="32"/>
      <c r="DP1208" s="32"/>
      <c r="DQ1208" s="32"/>
      <c r="DR1208" s="32"/>
      <c r="DS1208" s="32"/>
      <c r="DT1208" s="32"/>
      <c r="DU1208" s="32"/>
      <c r="DV1208" s="32"/>
      <c r="DW1208" s="32"/>
      <c r="DX1208" s="32"/>
      <c r="DY1208" s="32"/>
      <c r="DZ1208" s="32"/>
      <c r="EA1208" s="32"/>
      <c r="EB1208" s="32"/>
      <c r="EC1208" s="32"/>
      <c r="ED1208" s="32"/>
      <c r="EE1208" s="32"/>
      <c r="EF1208" s="32"/>
      <c r="EG1208" s="32"/>
      <c r="EH1208" s="32"/>
      <c r="EI1208" s="32"/>
      <c r="EJ1208" s="32"/>
      <c r="EK1208" s="32"/>
      <c r="EL1208" s="32"/>
      <c r="EM1208" s="32"/>
      <c r="EN1208" s="32"/>
      <c r="EO1208" s="32"/>
      <c r="EP1208" s="32"/>
      <c r="EQ1208" s="32"/>
      <c r="ER1208" s="32"/>
      <c r="ES1208" s="32"/>
      <c r="ET1208" s="32"/>
      <c r="EU1208" s="32"/>
      <c r="EV1208" s="32"/>
      <c r="EW1208" s="32"/>
      <c r="EX1208" s="32"/>
      <c r="EY1208" s="32"/>
      <c r="EZ1208" s="32"/>
      <c r="FA1208" s="32"/>
      <c r="FB1208" s="32"/>
      <c r="FC1208" s="32"/>
      <c r="FD1208" s="32"/>
      <c r="FE1208" s="32"/>
      <c r="FF1208" s="32"/>
      <c r="FG1208" s="32"/>
      <c r="FH1208" s="32"/>
      <c r="FI1208" s="32"/>
      <c r="FJ1208" s="32"/>
      <c r="FK1208" s="32"/>
      <c r="FL1208" s="32"/>
      <c r="FM1208" s="32"/>
      <c r="FN1208" s="32"/>
      <c r="FO1208" s="32"/>
      <c r="FP1208" s="32"/>
      <c r="FQ1208" s="32"/>
      <c r="FR1208" s="32"/>
      <c r="FS1208" s="32"/>
      <c r="FT1208" s="32"/>
      <c r="FU1208" s="32"/>
      <c r="FV1208" s="32"/>
      <c r="FW1208" s="32"/>
      <c r="FX1208" s="32"/>
      <c r="FY1208" s="32"/>
      <c r="FZ1208" s="32"/>
      <c r="GA1208" s="32"/>
      <c r="GB1208" s="32"/>
      <c r="GC1208" s="32"/>
      <c r="GD1208" s="32"/>
      <c r="GE1208" s="32"/>
      <c r="GF1208" s="32"/>
      <c r="GG1208" s="32"/>
      <c r="GH1208" s="32"/>
      <c r="GI1208" s="32"/>
      <c r="GJ1208" s="32"/>
      <c r="GK1208" s="32"/>
      <c r="GL1208" s="32"/>
      <c r="GM1208" s="32"/>
      <c r="GN1208" s="32"/>
      <c r="GO1208" s="32"/>
      <c r="GP1208" s="32"/>
      <c r="GQ1208" s="32"/>
      <c r="GR1208" s="32"/>
      <c r="GS1208" s="32"/>
      <c r="GT1208" s="32"/>
      <c r="GU1208" s="32"/>
      <c r="GV1208" s="32"/>
      <c r="GW1208" s="32"/>
      <c r="GX1208" s="32"/>
      <c r="GY1208" s="32"/>
      <c r="GZ1208" s="32"/>
      <c r="HA1208" s="32"/>
      <c r="HB1208" s="32"/>
      <c r="HC1208" s="32"/>
      <c r="HD1208" s="32"/>
      <c r="HE1208" s="32"/>
      <c r="HF1208" s="32"/>
      <c r="HG1208" s="32"/>
      <c r="HH1208" s="32"/>
      <c r="HI1208" s="32"/>
      <c r="HJ1208" s="32"/>
      <c r="HK1208" s="32"/>
      <c r="HL1208" s="32"/>
      <c r="HM1208" s="32"/>
      <c r="HN1208" s="32"/>
      <c r="HO1208" s="32"/>
      <c r="HP1208" s="32"/>
      <c r="HQ1208" s="32"/>
      <c r="HR1208" s="32"/>
      <c r="HS1208" s="32"/>
      <c r="HT1208" s="32"/>
      <c r="HU1208" s="32"/>
      <c r="HV1208" s="32"/>
      <c r="HW1208" s="32"/>
      <c r="HX1208" s="32"/>
      <c r="HY1208" s="32"/>
      <c r="HZ1208" s="32"/>
      <c r="IA1208" s="32"/>
      <c r="IB1208" s="32"/>
      <c r="IC1208" s="32"/>
      <c r="ID1208" s="32"/>
      <c r="IE1208" s="32"/>
      <c r="IF1208" s="32"/>
      <c r="IG1208" s="32"/>
      <c r="IH1208" s="32"/>
      <c r="II1208" s="32"/>
      <c r="IJ1208" s="32"/>
      <c r="IK1208" s="32"/>
      <c r="IL1208" s="32"/>
      <c r="IM1208" s="32"/>
      <c r="IN1208" s="32"/>
      <c r="IO1208" s="32"/>
      <c r="IP1208" s="32"/>
      <c r="IQ1208" s="32"/>
      <c r="IR1208" s="32"/>
      <c r="IS1208" s="32"/>
      <c r="IT1208" s="32"/>
      <c r="IU1208" s="32"/>
      <c r="IV1208" s="32"/>
      <c r="IW1208" s="32"/>
      <c r="IX1208" s="32"/>
      <c r="IY1208" s="32"/>
      <c r="IZ1208" s="32"/>
      <c r="JA1208" s="32"/>
      <c r="JB1208" s="32"/>
      <c r="JC1208" s="32"/>
      <c r="JD1208" s="32"/>
      <c r="JE1208" s="32"/>
      <c r="JF1208" s="32"/>
      <c r="JG1208" s="32"/>
      <c r="JH1208" s="32"/>
      <c r="JI1208" s="32"/>
      <c r="JJ1208" s="32"/>
      <c r="JK1208" s="32"/>
      <c r="JL1208" s="32"/>
      <c r="JM1208" s="32"/>
      <c r="JN1208" s="32"/>
      <c r="JO1208" s="32"/>
      <c r="JP1208" s="32"/>
      <c r="JQ1208" s="32"/>
      <c r="JR1208" s="32"/>
      <c r="JS1208" s="32"/>
      <c r="JT1208" s="32"/>
      <c r="JU1208" s="32"/>
      <c r="JV1208" s="32"/>
      <c r="JW1208" s="32"/>
      <c r="JX1208" s="32"/>
      <c r="JY1208" s="32"/>
      <c r="JZ1208" s="32"/>
      <c r="KA1208" s="32"/>
      <c r="KB1208" s="32"/>
      <c r="KC1208" s="32"/>
      <c r="KD1208" s="32"/>
      <c r="KE1208" s="32"/>
    </row>
    <row r="1209" spans="1:291" s="25" customFormat="1" ht="35" customHeight="1">
      <c r="A1209" s="23">
        <f>ROW()-3</f>
        <v>1206</v>
      </c>
      <c r="B1209" s="183" t="s">
        <v>4586</v>
      </c>
      <c r="C1209" s="205" t="s">
        <v>4345</v>
      </c>
      <c r="D1209" s="128" t="s">
        <v>5082</v>
      </c>
      <c r="E1209" s="128" t="s">
        <v>5083</v>
      </c>
      <c r="F1209" s="128" t="s">
        <v>4610</v>
      </c>
      <c r="G1209" s="42" t="s">
        <v>34</v>
      </c>
      <c r="H1209" s="183">
        <v>34</v>
      </c>
      <c r="I1209" s="84">
        <v>3.6</v>
      </c>
      <c r="J1209" s="208">
        <v>44186</v>
      </c>
      <c r="K1209" s="46" t="s">
        <v>20</v>
      </c>
      <c r="L1209" s="203">
        <v>32.5</v>
      </c>
      <c r="M1209" s="32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32"/>
      <c r="AG1209" s="32"/>
      <c r="AH1209" s="32"/>
      <c r="AI1209" s="32"/>
      <c r="AJ1209" s="32"/>
      <c r="AK1209" s="32"/>
      <c r="AL1209" s="32"/>
      <c r="AM1209" s="32"/>
      <c r="AN1209" s="32"/>
      <c r="AO1209" s="32"/>
      <c r="AP1209" s="32"/>
      <c r="AQ1209" s="32"/>
      <c r="AR1209" s="32"/>
      <c r="AS1209" s="32"/>
      <c r="AT1209" s="32"/>
      <c r="AU1209" s="32"/>
      <c r="AV1209" s="32"/>
      <c r="AW1209" s="32"/>
      <c r="AX1209" s="32"/>
      <c r="AY1209" s="32"/>
      <c r="AZ1209" s="32"/>
      <c r="BA1209" s="32"/>
      <c r="BB1209" s="32"/>
      <c r="BC1209" s="32"/>
      <c r="BD1209" s="32"/>
      <c r="BE1209" s="32"/>
      <c r="BF1209" s="32"/>
      <c r="BG1209" s="32"/>
      <c r="BH1209" s="32"/>
      <c r="BI1209" s="32"/>
      <c r="BJ1209" s="32"/>
      <c r="BK1209" s="32"/>
      <c r="BL1209" s="32"/>
      <c r="BM1209" s="32"/>
      <c r="BN1209" s="32"/>
      <c r="BO1209" s="32"/>
      <c r="BP1209" s="32"/>
      <c r="BQ1209" s="32"/>
      <c r="BR1209" s="32"/>
      <c r="BS1209" s="32"/>
      <c r="BT1209" s="32"/>
      <c r="BU1209" s="32"/>
      <c r="BV1209" s="32"/>
      <c r="BW1209" s="32"/>
      <c r="BX1209" s="32"/>
      <c r="BY1209" s="32"/>
      <c r="BZ1209" s="32"/>
      <c r="CA1209" s="32"/>
      <c r="CB1209" s="32"/>
      <c r="CC1209" s="32"/>
      <c r="CD1209" s="32"/>
      <c r="CE1209" s="32"/>
      <c r="CF1209" s="32"/>
      <c r="CG1209" s="32"/>
      <c r="CH1209" s="32"/>
      <c r="CI1209" s="32"/>
      <c r="CJ1209" s="32"/>
      <c r="CK1209" s="32"/>
      <c r="CL1209" s="32"/>
      <c r="CM1209" s="32"/>
      <c r="CN1209" s="32"/>
      <c r="CO1209" s="32"/>
      <c r="CP1209" s="32"/>
      <c r="CQ1209" s="32"/>
      <c r="CR1209" s="32"/>
      <c r="CS1209" s="32"/>
      <c r="CT1209" s="32"/>
      <c r="CU1209" s="32"/>
      <c r="CV1209" s="32"/>
      <c r="CW1209" s="32"/>
      <c r="CX1209" s="32"/>
      <c r="CY1209" s="32"/>
      <c r="CZ1209" s="32"/>
      <c r="DA1209" s="32"/>
      <c r="DB1209" s="32"/>
      <c r="DC1209" s="32"/>
      <c r="DD1209" s="32"/>
      <c r="DE1209" s="32"/>
      <c r="DF1209" s="32"/>
      <c r="DG1209" s="32"/>
      <c r="DH1209" s="32"/>
      <c r="DI1209" s="32"/>
      <c r="DJ1209" s="32"/>
      <c r="DK1209" s="32"/>
      <c r="DL1209" s="32"/>
      <c r="DM1209" s="32"/>
      <c r="DN1209" s="32"/>
      <c r="DO1209" s="32"/>
      <c r="DP1209" s="32"/>
      <c r="DQ1209" s="32"/>
      <c r="DR1209" s="32"/>
      <c r="DS1209" s="32"/>
      <c r="DT1209" s="32"/>
      <c r="DU1209" s="32"/>
      <c r="DV1209" s="32"/>
      <c r="DW1209" s="32"/>
      <c r="DX1209" s="32"/>
      <c r="DY1209" s="32"/>
      <c r="DZ1209" s="32"/>
      <c r="EA1209" s="32"/>
      <c r="EB1209" s="32"/>
      <c r="EC1209" s="32"/>
      <c r="ED1209" s="32"/>
      <c r="EE1209" s="32"/>
      <c r="EF1209" s="32"/>
      <c r="EG1209" s="32"/>
      <c r="EH1209" s="32"/>
      <c r="EI1209" s="32"/>
      <c r="EJ1209" s="32"/>
      <c r="EK1209" s="32"/>
      <c r="EL1209" s="32"/>
      <c r="EM1209" s="32"/>
      <c r="EN1209" s="32"/>
      <c r="EO1209" s="32"/>
      <c r="EP1209" s="32"/>
      <c r="EQ1209" s="32"/>
      <c r="ER1209" s="32"/>
      <c r="ES1209" s="32"/>
      <c r="ET1209" s="32"/>
      <c r="EU1209" s="32"/>
      <c r="EV1209" s="32"/>
      <c r="EW1209" s="32"/>
      <c r="EX1209" s="32"/>
      <c r="EY1209" s="32"/>
      <c r="EZ1209" s="32"/>
      <c r="FA1209" s="32"/>
      <c r="FB1209" s="32"/>
      <c r="FC1209" s="32"/>
      <c r="FD1209" s="32"/>
      <c r="FE1209" s="32"/>
      <c r="FF1209" s="32"/>
      <c r="FG1209" s="32"/>
      <c r="FH1209" s="32"/>
      <c r="FI1209" s="32"/>
      <c r="FJ1209" s="32"/>
      <c r="FK1209" s="32"/>
      <c r="FL1209" s="32"/>
      <c r="FM1209" s="32"/>
      <c r="FN1209" s="32"/>
      <c r="FO1209" s="32"/>
      <c r="FP1209" s="32"/>
      <c r="FQ1209" s="32"/>
      <c r="FR1209" s="32"/>
      <c r="FS1209" s="32"/>
      <c r="FT1209" s="32"/>
      <c r="FU1209" s="32"/>
      <c r="FV1209" s="32"/>
      <c r="FW1209" s="32"/>
      <c r="FX1209" s="32"/>
      <c r="FY1209" s="32"/>
      <c r="FZ1209" s="32"/>
      <c r="GA1209" s="32"/>
      <c r="GB1209" s="32"/>
      <c r="GC1209" s="32"/>
      <c r="GD1209" s="32"/>
      <c r="GE1209" s="32"/>
      <c r="GF1209" s="32"/>
      <c r="GG1209" s="32"/>
      <c r="GH1209" s="32"/>
      <c r="GI1209" s="32"/>
      <c r="GJ1209" s="32"/>
      <c r="GK1209" s="32"/>
      <c r="GL1209" s="32"/>
      <c r="GM1209" s="32"/>
      <c r="GN1209" s="32"/>
      <c r="GO1209" s="32"/>
      <c r="GP1209" s="32"/>
      <c r="GQ1209" s="32"/>
      <c r="GR1209" s="32"/>
      <c r="GS1209" s="32"/>
      <c r="GT1209" s="32"/>
      <c r="GU1209" s="32"/>
      <c r="GV1209" s="32"/>
      <c r="GW1209" s="32"/>
      <c r="GX1209" s="32"/>
      <c r="GY1209" s="32"/>
      <c r="GZ1209" s="32"/>
      <c r="HA1209" s="32"/>
      <c r="HB1209" s="32"/>
      <c r="HC1209" s="32"/>
      <c r="HD1209" s="32"/>
      <c r="HE1209" s="32"/>
      <c r="HF1209" s="32"/>
      <c r="HG1209" s="32"/>
      <c r="HH1209" s="32"/>
      <c r="HI1209" s="32"/>
      <c r="HJ1209" s="32"/>
      <c r="HK1209" s="32"/>
      <c r="HL1209" s="32"/>
      <c r="HM1209" s="32"/>
      <c r="HN1209" s="32"/>
      <c r="HO1209" s="32"/>
      <c r="HP1209" s="32"/>
      <c r="HQ1209" s="32"/>
      <c r="HR1209" s="32"/>
      <c r="HS1209" s="32"/>
      <c r="HT1209" s="32"/>
      <c r="HU1209" s="32"/>
      <c r="HV1209" s="32"/>
      <c r="HW1209" s="32"/>
      <c r="HX1209" s="32"/>
      <c r="HY1209" s="32"/>
      <c r="HZ1209" s="32"/>
      <c r="IA1209" s="32"/>
      <c r="IB1209" s="32"/>
      <c r="IC1209" s="32"/>
      <c r="ID1209" s="32"/>
      <c r="IE1209" s="32"/>
      <c r="IF1209" s="32"/>
      <c r="IG1209" s="32"/>
      <c r="IH1209" s="32"/>
      <c r="II1209" s="32"/>
      <c r="IJ1209" s="32"/>
      <c r="IK1209" s="32"/>
      <c r="IL1209" s="32"/>
      <c r="IM1209" s="32"/>
      <c r="IN1209" s="32"/>
      <c r="IO1209" s="32"/>
      <c r="IP1209" s="32"/>
      <c r="IQ1209" s="32"/>
      <c r="IR1209" s="32"/>
      <c r="IS1209" s="32"/>
      <c r="IT1209" s="32"/>
      <c r="IU1209" s="32"/>
      <c r="IV1209" s="32"/>
      <c r="IW1209" s="32"/>
      <c r="IX1209" s="32"/>
      <c r="IY1209" s="32"/>
      <c r="IZ1209" s="32"/>
      <c r="JA1209" s="32"/>
      <c r="JB1209" s="32"/>
      <c r="JC1209" s="32"/>
      <c r="JD1209" s="32"/>
      <c r="JE1209" s="32"/>
      <c r="JF1209" s="32"/>
      <c r="JG1209" s="32"/>
      <c r="JH1209" s="32"/>
      <c r="JI1209" s="32"/>
      <c r="JJ1209" s="32"/>
      <c r="JK1209" s="32"/>
      <c r="JL1209" s="32"/>
      <c r="JM1209" s="32"/>
      <c r="JN1209" s="32"/>
      <c r="JO1209" s="32"/>
      <c r="JP1209" s="32"/>
      <c r="JQ1209" s="32"/>
      <c r="JR1209" s="32"/>
      <c r="JS1209" s="32"/>
      <c r="JT1209" s="32"/>
      <c r="JU1209" s="32"/>
      <c r="JV1209" s="32"/>
      <c r="JW1209" s="32"/>
      <c r="JX1209" s="32"/>
      <c r="JY1209" s="32"/>
      <c r="JZ1209" s="32"/>
      <c r="KA1209" s="32"/>
      <c r="KB1209" s="32"/>
      <c r="KC1209" s="32"/>
      <c r="KD1209" s="32"/>
      <c r="KE1209" s="32"/>
    </row>
    <row r="1210" spans="1:291" s="25" customFormat="1" ht="35" customHeight="1">
      <c r="A1210" s="23">
        <f>ROW()-3</f>
        <v>1207</v>
      </c>
      <c r="B1210" s="183" t="s">
        <v>4586</v>
      </c>
      <c r="C1210" s="183" t="s">
        <v>4345</v>
      </c>
      <c r="D1210" s="128" t="s">
        <v>5124</v>
      </c>
      <c r="E1210" s="128" t="s">
        <v>5125</v>
      </c>
      <c r="F1210" s="128" t="s">
        <v>5125</v>
      </c>
      <c r="G1210" s="42" t="s">
        <v>34</v>
      </c>
      <c r="H1210" s="183">
        <v>80</v>
      </c>
      <c r="I1210" s="84">
        <v>6.66</v>
      </c>
      <c r="J1210" s="208">
        <v>44389</v>
      </c>
      <c r="K1210" s="46" t="s">
        <v>4650</v>
      </c>
      <c r="L1210" s="203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32"/>
      <c r="AG1210" s="32"/>
      <c r="AH1210" s="32"/>
      <c r="AI1210" s="32"/>
      <c r="AJ1210" s="32"/>
      <c r="AK1210" s="32"/>
      <c r="AL1210" s="32"/>
      <c r="AM1210" s="32"/>
      <c r="AN1210" s="32"/>
      <c r="AO1210" s="32"/>
      <c r="AP1210" s="32"/>
      <c r="AQ1210" s="32"/>
      <c r="AR1210" s="32"/>
      <c r="AS1210" s="32"/>
      <c r="AT1210" s="32"/>
      <c r="AU1210" s="32"/>
      <c r="AV1210" s="32"/>
      <c r="AW1210" s="32"/>
      <c r="AX1210" s="32"/>
      <c r="AY1210" s="32"/>
      <c r="AZ1210" s="32"/>
      <c r="BA1210" s="32"/>
      <c r="BB1210" s="32"/>
      <c r="BC1210" s="32"/>
      <c r="BD1210" s="32"/>
      <c r="BE1210" s="32"/>
      <c r="BF1210" s="32"/>
      <c r="BG1210" s="32"/>
      <c r="BH1210" s="32"/>
      <c r="BI1210" s="32"/>
      <c r="BJ1210" s="32"/>
      <c r="BK1210" s="32"/>
      <c r="BL1210" s="32"/>
      <c r="BM1210" s="32"/>
      <c r="BN1210" s="32"/>
      <c r="BO1210" s="32"/>
      <c r="BP1210" s="32"/>
      <c r="BQ1210" s="32"/>
      <c r="BR1210" s="32"/>
      <c r="BS1210" s="32"/>
      <c r="BT1210" s="32"/>
      <c r="BU1210" s="32"/>
      <c r="BV1210" s="32"/>
      <c r="BW1210" s="32"/>
      <c r="BX1210" s="32"/>
      <c r="BY1210" s="32"/>
      <c r="BZ1210" s="32"/>
      <c r="CA1210" s="32"/>
      <c r="CB1210" s="32"/>
      <c r="CC1210" s="32"/>
      <c r="CD1210" s="32"/>
      <c r="CE1210" s="32"/>
      <c r="CF1210" s="32"/>
      <c r="CG1210" s="32"/>
      <c r="CH1210" s="32"/>
      <c r="CI1210" s="32"/>
      <c r="CJ1210" s="32"/>
      <c r="CK1210" s="32"/>
      <c r="CL1210" s="32"/>
      <c r="CM1210" s="32"/>
      <c r="CN1210" s="32"/>
      <c r="CO1210" s="32"/>
      <c r="CP1210" s="32"/>
      <c r="CQ1210" s="32"/>
      <c r="CR1210" s="32"/>
      <c r="CS1210" s="32"/>
      <c r="CT1210" s="32"/>
      <c r="CU1210" s="32"/>
      <c r="CV1210" s="32"/>
      <c r="CW1210" s="32"/>
      <c r="CX1210" s="32"/>
      <c r="CY1210" s="32"/>
      <c r="CZ1210" s="32"/>
      <c r="DA1210" s="32"/>
      <c r="DB1210" s="32"/>
      <c r="DC1210" s="32"/>
      <c r="DD1210" s="32"/>
      <c r="DE1210" s="32"/>
      <c r="DF1210" s="32"/>
      <c r="DG1210" s="32"/>
      <c r="DH1210" s="32"/>
      <c r="DI1210" s="32"/>
      <c r="DJ1210" s="32"/>
      <c r="DK1210" s="32"/>
      <c r="DL1210" s="32"/>
      <c r="DM1210" s="32"/>
      <c r="DN1210" s="32"/>
      <c r="DO1210" s="32"/>
      <c r="DP1210" s="32"/>
      <c r="DQ1210" s="32"/>
      <c r="DR1210" s="32"/>
      <c r="DS1210" s="32"/>
      <c r="DT1210" s="32"/>
      <c r="DU1210" s="32"/>
      <c r="DV1210" s="32"/>
      <c r="DW1210" s="32"/>
      <c r="DX1210" s="32"/>
      <c r="DY1210" s="32"/>
      <c r="DZ1210" s="32"/>
      <c r="EA1210" s="32"/>
      <c r="EB1210" s="32"/>
      <c r="EC1210" s="32"/>
      <c r="ED1210" s="32"/>
      <c r="EE1210" s="32"/>
      <c r="EF1210" s="32"/>
      <c r="EG1210" s="32"/>
      <c r="EH1210" s="32"/>
      <c r="EI1210" s="32"/>
      <c r="EJ1210" s="32"/>
      <c r="EK1210" s="32"/>
      <c r="EL1210" s="32"/>
      <c r="EM1210" s="32"/>
      <c r="EN1210" s="32"/>
      <c r="EO1210" s="32"/>
      <c r="EP1210" s="32"/>
      <c r="EQ1210" s="32"/>
      <c r="ER1210" s="32"/>
      <c r="ES1210" s="32"/>
      <c r="ET1210" s="32"/>
      <c r="EU1210" s="32"/>
      <c r="EV1210" s="32"/>
      <c r="EW1210" s="32"/>
      <c r="EX1210" s="32"/>
      <c r="EY1210" s="32"/>
      <c r="EZ1210" s="32"/>
      <c r="FA1210" s="32"/>
      <c r="FB1210" s="32"/>
      <c r="FC1210" s="32"/>
      <c r="FD1210" s="32"/>
      <c r="FE1210" s="32"/>
      <c r="FF1210" s="32"/>
      <c r="FG1210" s="32"/>
      <c r="FH1210" s="32"/>
      <c r="FI1210" s="32"/>
      <c r="FJ1210" s="32"/>
      <c r="FK1210" s="32"/>
      <c r="FL1210" s="32"/>
      <c r="FM1210" s="32"/>
      <c r="FN1210" s="32"/>
      <c r="FO1210" s="32"/>
      <c r="FP1210" s="32"/>
      <c r="FQ1210" s="32"/>
      <c r="FR1210" s="32"/>
      <c r="FS1210" s="32"/>
      <c r="FT1210" s="32"/>
      <c r="FU1210" s="32"/>
      <c r="FV1210" s="32"/>
      <c r="FW1210" s="32"/>
      <c r="FX1210" s="32"/>
      <c r="FY1210" s="32"/>
      <c r="FZ1210" s="32"/>
      <c r="GA1210" s="32"/>
      <c r="GB1210" s="32"/>
      <c r="GC1210" s="32"/>
      <c r="GD1210" s="32"/>
      <c r="GE1210" s="32"/>
      <c r="GF1210" s="32"/>
      <c r="GG1210" s="32"/>
      <c r="GH1210" s="32"/>
      <c r="GI1210" s="32"/>
      <c r="GJ1210" s="32"/>
      <c r="GK1210" s="32"/>
      <c r="GL1210" s="32"/>
      <c r="GM1210" s="32"/>
      <c r="GN1210" s="32"/>
      <c r="GO1210" s="32"/>
      <c r="GP1210" s="32"/>
      <c r="GQ1210" s="32"/>
      <c r="GR1210" s="32"/>
      <c r="GS1210" s="32"/>
      <c r="GT1210" s="32"/>
      <c r="GU1210" s="32"/>
      <c r="GV1210" s="32"/>
      <c r="GW1210" s="32"/>
      <c r="GX1210" s="32"/>
      <c r="GY1210" s="32"/>
      <c r="GZ1210" s="32"/>
      <c r="HA1210" s="32"/>
      <c r="HB1210" s="32"/>
      <c r="HC1210" s="32"/>
      <c r="HD1210" s="32"/>
      <c r="HE1210" s="32"/>
      <c r="HF1210" s="32"/>
      <c r="HG1210" s="32"/>
      <c r="HH1210" s="32"/>
      <c r="HI1210" s="32"/>
      <c r="HJ1210" s="32"/>
      <c r="HK1210" s="32"/>
      <c r="HL1210" s="32"/>
      <c r="HM1210" s="32"/>
      <c r="HN1210" s="32"/>
      <c r="HO1210" s="32"/>
      <c r="HP1210" s="32"/>
      <c r="HQ1210" s="32"/>
      <c r="HR1210" s="32"/>
      <c r="HS1210" s="32"/>
      <c r="HT1210" s="32"/>
      <c r="HU1210" s="32"/>
      <c r="HV1210" s="32"/>
      <c r="HW1210" s="32"/>
      <c r="HX1210" s="32"/>
      <c r="HY1210" s="32"/>
      <c r="HZ1210" s="32"/>
      <c r="IA1210" s="32"/>
      <c r="IB1210" s="32"/>
      <c r="IC1210" s="32"/>
      <c r="ID1210" s="32"/>
      <c r="IE1210" s="32"/>
      <c r="IF1210" s="32"/>
      <c r="IG1210" s="32"/>
      <c r="IH1210" s="32"/>
      <c r="II1210" s="32"/>
      <c r="IJ1210" s="32"/>
      <c r="IK1210" s="32"/>
      <c r="IL1210" s="32"/>
      <c r="IM1210" s="32"/>
      <c r="IN1210" s="32"/>
      <c r="IO1210" s="32"/>
      <c r="IP1210" s="32"/>
      <c r="IQ1210" s="32"/>
      <c r="IR1210" s="32"/>
      <c r="IS1210" s="32"/>
      <c r="IT1210" s="32"/>
      <c r="IU1210" s="32"/>
      <c r="IV1210" s="32"/>
      <c r="IW1210" s="32"/>
      <c r="IX1210" s="32"/>
      <c r="IY1210" s="32"/>
      <c r="IZ1210" s="32"/>
      <c r="JA1210" s="32"/>
      <c r="JB1210" s="32"/>
      <c r="JC1210" s="32"/>
      <c r="JD1210" s="32"/>
      <c r="JE1210" s="32"/>
      <c r="JF1210" s="32"/>
      <c r="JG1210" s="32"/>
      <c r="JH1210" s="32"/>
      <c r="JI1210" s="32"/>
      <c r="JJ1210" s="32"/>
      <c r="JK1210" s="32"/>
      <c r="JL1210" s="32"/>
      <c r="JM1210" s="32"/>
      <c r="JN1210" s="32"/>
      <c r="JO1210" s="32"/>
      <c r="JP1210" s="32"/>
      <c r="JQ1210" s="32"/>
      <c r="JR1210" s="32"/>
      <c r="JS1210" s="32"/>
      <c r="JT1210" s="32"/>
      <c r="JU1210" s="32"/>
      <c r="JV1210" s="32"/>
      <c r="JW1210" s="32"/>
      <c r="JX1210" s="32"/>
      <c r="JY1210" s="32"/>
      <c r="JZ1210" s="32"/>
      <c r="KA1210" s="32"/>
      <c r="KB1210" s="32"/>
      <c r="KC1210" s="32"/>
      <c r="KD1210" s="32"/>
      <c r="KE1210" s="32"/>
    </row>
    <row r="1211" spans="1:291" s="25" customFormat="1" ht="35" customHeight="1">
      <c r="A1211" s="23">
        <f>ROW()-3</f>
        <v>1208</v>
      </c>
      <c r="B1211" s="183" t="s">
        <v>4586</v>
      </c>
      <c r="C1211" s="183" t="s">
        <v>4345</v>
      </c>
      <c r="D1211" s="128" t="s">
        <v>5126</v>
      </c>
      <c r="E1211" s="128" t="s">
        <v>5127</v>
      </c>
      <c r="F1211" s="128" t="s">
        <v>5127</v>
      </c>
      <c r="G1211" s="42" t="s">
        <v>3253</v>
      </c>
      <c r="H1211" s="183">
        <v>82</v>
      </c>
      <c r="I1211" s="84">
        <v>10.9</v>
      </c>
      <c r="J1211" s="208">
        <v>44438</v>
      </c>
      <c r="K1211" s="46" t="s">
        <v>20</v>
      </c>
      <c r="L1211" s="203">
        <v>18.989999999999998</v>
      </c>
      <c r="M1211" s="32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32"/>
      <c r="AG1211" s="32"/>
      <c r="AH1211" s="32"/>
      <c r="AI1211" s="32"/>
      <c r="AJ1211" s="32"/>
      <c r="AK1211" s="32"/>
      <c r="AL1211" s="32"/>
      <c r="AM1211" s="32"/>
      <c r="AN1211" s="32"/>
      <c r="AO1211" s="32"/>
      <c r="AP1211" s="32"/>
      <c r="AQ1211" s="32"/>
      <c r="AR1211" s="32"/>
      <c r="AS1211" s="32"/>
      <c r="AT1211" s="32"/>
      <c r="AU1211" s="32"/>
      <c r="AV1211" s="32"/>
      <c r="AW1211" s="32"/>
      <c r="AX1211" s="32"/>
      <c r="AY1211" s="32"/>
      <c r="AZ1211" s="32"/>
      <c r="BA1211" s="32"/>
      <c r="BB1211" s="32"/>
      <c r="BC1211" s="32"/>
      <c r="BD1211" s="32"/>
      <c r="BE1211" s="32"/>
      <c r="BF1211" s="32"/>
      <c r="BG1211" s="32"/>
      <c r="BH1211" s="32"/>
      <c r="BI1211" s="32"/>
      <c r="BJ1211" s="32"/>
      <c r="BK1211" s="32"/>
      <c r="BL1211" s="32"/>
      <c r="BM1211" s="32"/>
      <c r="BN1211" s="32"/>
      <c r="BO1211" s="32"/>
      <c r="BP1211" s="32"/>
      <c r="BQ1211" s="32"/>
      <c r="BR1211" s="32"/>
      <c r="BS1211" s="32"/>
      <c r="BT1211" s="32"/>
      <c r="BU1211" s="32"/>
      <c r="BV1211" s="32"/>
      <c r="BW1211" s="32"/>
      <c r="BX1211" s="32"/>
      <c r="BY1211" s="32"/>
      <c r="BZ1211" s="32"/>
      <c r="CA1211" s="32"/>
      <c r="CB1211" s="32"/>
      <c r="CC1211" s="32"/>
      <c r="CD1211" s="32"/>
      <c r="CE1211" s="32"/>
      <c r="CF1211" s="32"/>
      <c r="CG1211" s="32"/>
      <c r="CH1211" s="32"/>
      <c r="CI1211" s="32"/>
      <c r="CJ1211" s="32"/>
      <c r="CK1211" s="32"/>
      <c r="CL1211" s="32"/>
      <c r="CM1211" s="32"/>
      <c r="CN1211" s="32"/>
      <c r="CO1211" s="32"/>
      <c r="CP1211" s="32"/>
      <c r="CQ1211" s="32"/>
      <c r="CR1211" s="32"/>
      <c r="CS1211" s="32"/>
      <c r="CT1211" s="32"/>
      <c r="CU1211" s="32"/>
      <c r="CV1211" s="32"/>
      <c r="CW1211" s="32"/>
      <c r="CX1211" s="32"/>
      <c r="CY1211" s="32"/>
      <c r="CZ1211" s="32"/>
      <c r="DA1211" s="32"/>
      <c r="DB1211" s="32"/>
      <c r="DC1211" s="32"/>
      <c r="DD1211" s="32"/>
      <c r="DE1211" s="32"/>
      <c r="DF1211" s="32"/>
      <c r="DG1211" s="32"/>
      <c r="DH1211" s="32"/>
      <c r="DI1211" s="32"/>
      <c r="DJ1211" s="32"/>
      <c r="DK1211" s="32"/>
      <c r="DL1211" s="32"/>
      <c r="DM1211" s="32"/>
      <c r="DN1211" s="32"/>
      <c r="DO1211" s="32"/>
      <c r="DP1211" s="32"/>
      <c r="DQ1211" s="32"/>
      <c r="DR1211" s="32"/>
      <c r="DS1211" s="32"/>
      <c r="DT1211" s="32"/>
      <c r="DU1211" s="32"/>
      <c r="DV1211" s="32"/>
      <c r="DW1211" s="32"/>
      <c r="DX1211" s="32"/>
      <c r="DY1211" s="32"/>
      <c r="DZ1211" s="32"/>
      <c r="EA1211" s="32"/>
      <c r="EB1211" s="32"/>
      <c r="EC1211" s="32"/>
      <c r="ED1211" s="32"/>
      <c r="EE1211" s="32"/>
      <c r="EF1211" s="32"/>
      <c r="EG1211" s="32"/>
      <c r="EH1211" s="32"/>
      <c r="EI1211" s="32"/>
      <c r="EJ1211" s="32"/>
      <c r="EK1211" s="32"/>
      <c r="EL1211" s="32"/>
      <c r="EM1211" s="32"/>
      <c r="EN1211" s="32"/>
      <c r="EO1211" s="32"/>
      <c r="EP1211" s="32"/>
      <c r="EQ1211" s="32"/>
      <c r="ER1211" s="32"/>
      <c r="ES1211" s="32"/>
      <c r="ET1211" s="32"/>
      <c r="EU1211" s="32"/>
      <c r="EV1211" s="32"/>
      <c r="EW1211" s="32"/>
      <c r="EX1211" s="32"/>
      <c r="EY1211" s="32"/>
      <c r="EZ1211" s="32"/>
      <c r="FA1211" s="32"/>
      <c r="FB1211" s="32"/>
      <c r="FC1211" s="32"/>
      <c r="FD1211" s="32"/>
      <c r="FE1211" s="32"/>
      <c r="FF1211" s="32"/>
      <c r="FG1211" s="32"/>
      <c r="FH1211" s="32"/>
      <c r="FI1211" s="32"/>
      <c r="FJ1211" s="32"/>
      <c r="FK1211" s="32"/>
      <c r="FL1211" s="32"/>
      <c r="FM1211" s="32"/>
      <c r="FN1211" s="32"/>
      <c r="FO1211" s="32"/>
      <c r="FP1211" s="32"/>
      <c r="FQ1211" s="32"/>
      <c r="FR1211" s="32"/>
      <c r="FS1211" s="32"/>
      <c r="FT1211" s="32"/>
      <c r="FU1211" s="32"/>
      <c r="FV1211" s="32"/>
      <c r="FW1211" s="32"/>
      <c r="FX1211" s="32"/>
      <c r="FY1211" s="32"/>
      <c r="FZ1211" s="32"/>
      <c r="GA1211" s="32"/>
      <c r="GB1211" s="32"/>
      <c r="GC1211" s="32"/>
      <c r="GD1211" s="32"/>
      <c r="GE1211" s="32"/>
      <c r="GF1211" s="32"/>
      <c r="GG1211" s="32"/>
      <c r="GH1211" s="32"/>
      <c r="GI1211" s="32"/>
      <c r="GJ1211" s="32"/>
      <c r="GK1211" s="32"/>
      <c r="GL1211" s="32"/>
      <c r="GM1211" s="32"/>
      <c r="GN1211" s="32"/>
      <c r="GO1211" s="32"/>
      <c r="GP1211" s="32"/>
      <c r="GQ1211" s="32"/>
      <c r="GR1211" s="32"/>
      <c r="GS1211" s="32"/>
      <c r="GT1211" s="32"/>
      <c r="GU1211" s="32"/>
      <c r="GV1211" s="32"/>
      <c r="GW1211" s="32"/>
      <c r="GX1211" s="32"/>
      <c r="GY1211" s="32"/>
      <c r="GZ1211" s="32"/>
      <c r="HA1211" s="32"/>
      <c r="HB1211" s="32"/>
      <c r="HC1211" s="32"/>
      <c r="HD1211" s="32"/>
      <c r="HE1211" s="32"/>
      <c r="HF1211" s="32"/>
      <c r="HG1211" s="32"/>
      <c r="HH1211" s="32"/>
      <c r="HI1211" s="32"/>
      <c r="HJ1211" s="32"/>
      <c r="HK1211" s="32"/>
      <c r="HL1211" s="32"/>
      <c r="HM1211" s="32"/>
      <c r="HN1211" s="32"/>
      <c r="HO1211" s="32"/>
      <c r="HP1211" s="32"/>
      <c r="HQ1211" s="32"/>
      <c r="HR1211" s="32"/>
      <c r="HS1211" s="32"/>
      <c r="HT1211" s="32"/>
      <c r="HU1211" s="32"/>
      <c r="HV1211" s="32"/>
      <c r="HW1211" s="32"/>
      <c r="HX1211" s="32"/>
      <c r="HY1211" s="32"/>
      <c r="HZ1211" s="32"/>
      <c r="IA1211" s="32"/>
      <c r="IB1211" s="32"/>
      <c r="IC1211" s="32"/>
      <c r="ID1211" s="32"/>
      <c r="IE1211" s="32"/>
      <c r="IF1211" s="32"/>
      <c r="IG1211" s="32"/>
      <c r="IH1211" s="32"/>
      <c r="II1211" s="32"/>
      <c r="IJ1211" s="32"/>
      <c r="IK1211" s="32"/>
      <c r="IL1211" s="32"/>
      <c r="IM1211" s="32"/>
      <c r="IN1211" s="32"/>
      <c r="IO1211" s="32"/>
      <c r="IP1211" s="32"/>
      <c r="IQ1211" s="32"/>
      <c r="IR1211" s="32"/>
      <c r="IS1211" s="32"/>
      <c r="IT1211" s="32"/>
      <c r="IU1211" s="32"/>
      <c r="IV1211" s="32"/>
      <c r="IW1211" s="32"/>
      <c r="IX1211" s="32"/>
      <c r="IY1211" s="32"/>
      <c r="IZ1211" s="32"/>
      <c r="JA1211" s="32"/>
      <c r="JB1211" s="32"/>
      <c r="JC1211" s="32"/>
      <c r="JD1211" s="32"/>
      <c r="JE1211" s="32"/>
      <c r="JF1211" s="32"/>
      <c r="JG1211" s="32"/>
      <c r="JH1211" s="32"/>
      <c r="JI1211" s="32"/>
      <c r="JJ1211" s="32"/>
      <c r="JK1211" s="32"/>
      <c r="JL1211" s="32"/>
      <c r="JM1211" s="32"/>
      <c r="JN1211" s="32"/>
      <c r="JO1211" s="32"/>
      <c r="JP1211" s="32"/>
      <c r="JQ1211" s="32"/>
      <c r="JR1211" s="32"/>
      <c r="JS1211" s="32"/>
      <c r="JT1211" s="32"/>
      <c r="JU1211" s="32"/>
      <c r="JV1211" s="32"/>
      <c r="JW1211" s="32"/>
      <c r="JX1211" s="32"/>
      <c r="JY1211" s="32"/>
      <c r="JZ1211" s="32"/>
      <c r="KA1211" s="32"/>
      <c r="KB1211" s="32"/>
      <c r="KC1211" s="32"/>
      <c r="KD1211" s="32"/>
      <c r="KE1211" s="32"/>
    </row>
    <row r="1212" spans="1:291" s="25" customFormat="1" ht="35" customHeight="1">
      <c r="A1212" s="23">
        <f>ROW()-3</f>
        <v>1209</v>
      </c>
      <c r="B1212" s="183" t="s">
        <v>4586</v>
      </c>
      <c r="C1212" s="183" t="s">
        <v>4345</v>
      </c>
      <c r="D1212" s="128" t="s">
        <v>5128</v>
      </c>
      <c r="E1212" s="128" t="s">
        <v>5129</v>
      </c>
      <c r="F1212" s="128" t="s">
        <v>5130</v>
      </c>
      <c r="G1212" s="42" t="s">
        <v>3253</v>
      </c>
      <c r="H1212" s="183">
        <v>36</v>
      </c>
      <c r="I1212" s="84">
        <v>6</v>
      </c>
      <c r="J1212" s="208">
        <v>44466</v>
      </c>
      <c r="K1212" s="46" t="s">
        <v>20</v>
      </c>
      <c r="L1212" s="203">
        <v>34.9</v>
      </c>
      <c r="M1212" s="32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32"/>
      <c r="AG1212" s="32"/>
      <c r="AH1212" s="32"/>
      <c r="AI1212" s="32"/>
      <c r="AJ1212" s="32"/>
      <c r="AK1212" s="32"/>
      <c r="AL1212" s="32"/>
      <c r="AM1212" s="32"/>
      <c r="AN1212" s="32"/>
      <c r="AO1212" s="32"/>
      <c r="AP1212" s="32"/>
      <c r="AQ1212" s="32"/>
      <c r="AR1212" s="32"/>
      <c r="AS1212" s="32"/>
      <c r="AT1212" s="32"/>
      <c r="AU1212" s="32"/>
      <c r="AV1212" s="32"/>
      <c r="AW1212" s="32"/>
      <c r="AX1212" s="32"/>
      <c r="AY1212" s="32"/>
      <c r="AZ1212" s="32"/>
      <c r="BA1212" s="32"/>
      <c r="BB1212" s="32"/>
      <c r="BC1212" s="32"/>
      <c r="BD1212" s="32"/>
      <c r="BE1212" s="32"/>
      <c r="BF1212" s="32"/>
      <c r="BG1212" s="32"/>
      <c r="BH1212" s="32"/>
      <c r="BI1212" s="32"/>
      <c r="BJ1212" s="32"/>
      <c r="BK1212" s="32"/>
      <c r="BL1212" s="32"/>
      <c r="BM1212" s="32"/>
      <c r="BN1212" s="32"/>
      <c r="BO1212" s="32"/>
      <c r="BP1212" s="32"/>
      <c r="BQ1212" s="32"/>
      <c r="BR1212" s="32"/>
      <c r="BS1212" s="32"/>
      <c r="BT1212" s="32"/>
      <c r="BU1212" s="32"/>
      <c r="BV1212" s="32"/>
      <c r="BW1212" s="32"/>
      <c r="BX1212" s="32"/>
      <c r="BY1212" s="32"/>
      <c r="BZ1212" s="32"/>
      <c r="CA1212" s="32"/>
      <c r="CB1212" s="32"/>
      <c r="CC1212" s="32"/>
      <c r="CD1212" s="32"/>
      <c r="CE1212" s="32"/>
      <c r="CF1212" s="32"/>
      <c r="CG1212" s="32"/>
      <c r="CH1212" s="32"/>
      <c r="CI1212" s="32"/>
      <c r="CJ1212" s="32"/>
      <c r="CK1212" s="32"/>
      <c r="CL1212" s="32"/>
      <c r="CM1212" s="32"/>
      <c r="CN1212" s="32"/>
      <c r="CO1212" s="32"/>
      <c r="CP1212" s="32"/>
      <c r="CQ1212" s="32"/>
      <c r="CR1212" s="32"/>
      <c r="CS1212" s="32"/>
      <c r="CT1212" s="32"/>
      <c r="CU1212" s="32"/>
      <c r="CV1212" s="32"/>
      <c r="CW1212" s="32"/>
      <c r="CX1212" s="32"/>
      <c r="CY1212" s="32"/>
      <c r="CZ1212" s="32"/>
      <c r="DA1212" s="32"/>
      <c r="DB1212" s="32"/>
      <c r="DC1212" s="32"/>
      <c r="DD1212" s="32"/>
      <c r="DE1212" s="32"/>
      <c r="DF1212" s="32"/>
      <c r="DG1212" s="32"/>
      <c r="DH1212" s="32"/>
      <c r="DI1212" s="32"/>
      <c r="DJ1212" s="32"/>
      <c r="DK1212" s="32"/>
      <c r="DL1212" s="32"/>
      <c r="DM1212" s="32"/>
      <c r="DN1212" s="32"/>
      <c r="DO1212" s="32"/>
      <c r="DP1212" s="32"/>
      <c r="DQ1212" s="32"/>
      <c r="DR1212" s="32"/>
      <c r="DS1212" s="32"/>
      <c r="DT1212" s="32"/>
      <c r="DU1212" s="32"/>
      <c r="DV1212" s="32"/>
      <c r="DW1212" s="32"/>
      <c r="DX1212" s="32"/>
      <c r="DY1212" s="32"/>
      <c r="DZ1212" s="32"/>
      <c r="EA1212" s="32"/>
      <c r="EB1212" s="32"/>
      <c r="EC1212" s="32"/>
      <c r="ED1212" s="32"/>
      <c r="EE1212" s="32"/>
      <c r="EF1212" s="32"/>
      <c r="EG1212" s="32"/>
      <c r="EH1212" s="32"/>
      <c r="EI1212" s="32"/>
      <c r="EJ1212" s="32"/>
      <c r="EK1212" s="32"/>
      <c r="EL1212" s="32"/>
      <c r="EM1212" s="32"/>
      <c r="EN1212" s="32"/>
      <c r="EO1212" s="32"/>
      <c r="EP1212" s="32"/>
      <c r="EQ1212" s="32"/>
      <c r="ER1212" s="32"/>
      <c r="ES1212" s="32"/>
      <c r="ET1212" s="32"/>
      <c r="EU1212" s="32"/>
      <c r="EV1212" s="32"/>
      <c r="EW1212" s="32"/>
      <c r="EX1212" s="32"/>
      <c r="EY1212" s="32"/>
      <c r="EZ1212" s="32"/>
      <c r="FA1212" s="32"/>
      <c r="FB1212" s="32"/>
      <c r="FC1212" s="32"/>
      <c r="FD1212" s="32"/>
      <c r="FE1212" s="32"/>
      <c r="FF1212" s="32"/>
      <c r="FG1212" s="32"/>
      <c r="FH1212" s="32"/>
      <c r="FI1212" s="32"/>
      <c r="FJ1212" s="32"/>
      <c r="FK1212" s="32"/>
      <c r="FL1212" s="32"/>
      <c r="FM1212" s="32"/>
      <c r="FN1212" s="32"/>
      <c r="FO1212" s="32"/>
      <c r="FP1212" s="32"/>
      <c r="FQ1212" s="32"/>
      <c r="FR1212" s="32"/>
      <c r="FS1212" s="32"/>
      <c r="FT1212" s="32"/>
      <c r="FU1212" s="32"/>
      <c r="FV1212" s="32"/>
      <c r="FW1212" s="32"/>
      <c r="FX1212" s="32"/>
      <c r="FY1212" s="32"/>
      <c r="FZ1212" s="32"/>
      <c r="GA1212" s="32"/>
      <c r="GB1212" s="32"/>
      <c r="GC1212" s="32"/>
      <c r="GD1212" s="32"/>
      <c r="GE1212" s="32"/>
      <c r="GF1212" s="32"/>
      <c r="GG1212" s="32"/>
      <c r="GH1212" s="32"/>
      <c r="GI1212" s="32"/>
      <c r="GJ1212" s="32"/>
      <c r="GK1212" s="32"/>
      <c r="GL1212" s="32"/>
      <c r="GM1212" s="32"/>
      <c r="GN1212" s="32"/>
      <c r="GO1212" s="32"/>
      <c r="GP1212" s="32"/>
      <c r="GQ1212" s="32"/>
      <c r="GR1212" s="32"/>
      <c r="GS1212" s="32"/>
      <c r="GT1212" s="32"/>
      <c r="GU1212" s="32"/>
      <c r="GV1212" s="32"/>
      <c r="GW1212" s="32"/>
      <c r="GX1212" s="32"/>
      <c r="GY1212" s="32"/>
      <c r="GZ1212" s="32"/>
      <c r="HA1212" s="32"/>
      <c r="HB1212" s="32"/>
      <c r="HC1212" s="32"/>
      <c r="HD1212" s="32"/>
      <c r="HE1212" s="32"/>
      <c r="HF1212" s="32"/>
      <c r="HG1212" s="32"/>
      <c r="HH1212" s="32"/>
      <c r="HI1212" s="32"/>
      <c r="HJ1212" s="32"/>
      <c r="HK1212" s="32"/>
      <c r="HL1212" s="32"/>
      <c r="HM1212" s="32"/>
      <c r="HN1212" s="32"/>
      <c r="HO1212" s="32"/>
      <c r="HP1212" s="32"/>
      <c r="HQ1212" s="32"/>
      <c r="HR1212" s="32"/>
      <c r="HS1212" s="32"/>
      <c r="HT1212" s="32"/>
      <c r="HU1212" s="32"/>
      <c r="HV1212" s="32"/>
      <c r="HW1212" s="32"/>
      <c r="HX1212" s="32"/>
      <c r="HY1212" s="32"/>
      <c r="HZ1212" s="32"/>
      <c r="IA1212" s="32"/>
      <c r="IB1212" s="32"/>
      <c r="IC1212" s="32"/>
      <c r="ID1212" s="32"/>
      <c r="IE1212" s="32"/>
      <c r="IF1212" s="32"/>
      <c r="IG1212" s="32"/>
      <c r="IH1212" s="32"/>
      <c r="II1212" s="32"/>
      <c r="IJ1212" s="32"/>
      <c r="IK1212" s="32"/>
      <c r="IL1212" s="32"/>
      <c r="IM1212" s="32"/>
      <c r="IN1212" s="32"/>
      <c r="IO1212" s="32"/>
      <c r="IP1212" s="32"/>
      <c r="IQ1212" s="32"/>
      <c r="IR1212" s="32"/>
      <c r="IS1212" s="32"/>
      <c r="IT1212" s="32"/>
      <c r="IU1212" s="32"/>
      <c r="IV1212" s="32"/>
      <c r="IW1212" s="32"/>
      <c r="IX1212" s="32"/>
      <c r="IY1212" s="32"/>
      <c r="IZ1212" s="32"/>
      <c r="JA1212" s="32"/>
      <c r="JB1212" s="32"/>
      <c r="JC1212" s="32"/>
      <c r="JD1212" s="32"/>
      <c r="JE1212" s="32"/>
      <c r="JF1212" s="32"/>
      <c r="JG1212" s="32"/>
      <c r="JH1212" s="32"/>
      <c r="JI1212" s="32"/>
      <c r="JJ1212" s="32"/>
      <c r="JK1212" s="32"/>
      <c r="JL1212" s="32"/>
      <c r="JM1212" s="32"/>
      <c r="JN1212" s="32"/>
      <c r="JO1212" s="32"/>
      <c r="JP1212" s="32"/>
      <c r="JQ1212" s="32"/>
      <c r="JR1212" s="32"/>
      <c r="JS1212" s="32"/>
      <c r="JT1212" s="32"/>
      <c r="JU1212" s="32"/>
      <c r="JV1212" s="32"/>
      <c r="JW1212" s="32"/>
      <c r="JX1212" s="32"/>
      <c r="JY1212" s="32"/>
      <c r="JZ1212" s="32"/>
      <c r="KA1212" s="32"/>
      <c r="KB1212" s="32"/>
      <c r="KC1212" s="32"/>
      <c r="KD1212" s="32"/>
      <c r="KE1212" s="32"/>
    </row>
    <row r="1213" spans="1:291" s="25" customFormat="1" ht="35" customHeight="1">
      <c r="A1213" s="23">
        <f>ROW()-3</f>
        <v>1210</v>
      </c>
      <c r="B1213" s="183" t="s">
        <v>4586</v>
      </c>
      <c r="C1213" s="183" t="s">
        <v>4345</v>
      </c>
      <c r="D1213" s="128" t="s">
        <v>5131</v>
      </c>
      <c r="E1213" s="128" t="s">
        <v>5132</v>
      </c>
      <c r="F1213" s="128" t="s">
        <v>5132</v>
      </c>
      <c r="G1213" s="42" t="s">
        <v>3253</v>
      </c>
      <c r="H1213" s="183">
        <v>52</v>
      </c>
      <c r="I1213" s="84">
        <v>8.6</v>
      </c>
      <c r="J1213" s="208">
        <v>44515</v>
      </c>
      <c r="K1213" s="46" t="s">
        <v>20</v>
      </c>
      <c r="L1213" s="203"/>
      <c r="M1213" s="32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32"/>
      <c r="AG1213" s="32"/>
      <c r="AH1213" s="32"/>
      <c r="AI1213" s="32"/>
      <c r="AJ1213" s="32"/>
      <c r="AK1213" s="32"/>
      <c r="AL1213" s="32"/>
      <c r="AM1213" s="32"/>
      <c r="AN1213" s="32"/>
      <c r="AO1213" s="32"/>
      <c r="AP1213" s="32"/>
      <c r="AQ1213" s="32"/>
      <c r="AR1213" s="32"/>
      <c r="AS1213" s="32"/>
      <c r="AT1213" s="32"/>
      <c r="AU1213" s="32"/>
      <c r="AV1213" s="32"/>
      <c r="AW1213" s="32"/>
      <c r="AX1213" s="32"/>
      <c r="AY1213" s="32"/>
      <c r="AZ1213" s="32"/>
      <c r="BA1213" s="32"/>
      <c r="BB1213" s="32"/>
      <c r="BC1213" s="32"/>
      <c r="BD1213" s="32"/>
      <c r="BE1213" s="32"/>
      <c r="BF1213" s="32"/>
      <c r="BG1213" s="32"/>
      <c r="BH1213" s="32"/>
      <c r="BI1213" s="32"/>
      <c r="BJ1213" s="32"/>
      <c r="BK1213" s="32"/>
      <c r="BL1213" s="32"/>
      <c r="BM1213" s="32"/>
      <c r="BN1213" s="32"/>
      <c r="BO1213" s="32"/>
      <c r="BP1213" s="32"/>
      <c r="BQ1213" s="32"/>
      <c r="BR1213" s="32"/>
      <c r="BS1213" s="32"/>
      <c r="BT1213" s="32"/>
      <c r="BU1213" s="32"/>
      <c r="BV1213" s="32"/>
      <c r="BW1213" s="32"/>
      <c r="BX1213" s="32"/>
      <c r="BY1213" s="32"/>
      <c r="BZ1213" s="32"/>
      <c r="CA1213" s="32"/>
      <c r="CB1213" s="32"/>
      <c r="CC1213" s="32"/>
      <c r="CD1213" s="32"/>
      <c r="CE1213" s="32"/>
      <c r="CF1213" s="32"/>
      <c r="CG1213" s="32"/>
      <c r="CH1213" s="32"/>
      <c r="CI1213" s="32"/>
      <c r="CJ1213" s="32"/>
      <c r="CK1213" s="32"/>
      <c r="CL1213" s="32"/>
      <c r="CM1213" s="32"/>
      <c r="CN1213" s="32"/>
      <c r="CO1213" s="32"/>
      <c r="CP1213" s="32"/>
      <c r="CQ1213" s="32"/>
      <c r="CR1213" s="32"/>
      <c r="CS1213" s="32"/>
      <c r="CT1213" s="32"/>
      <c r="CU1213" s="32"/>
      <c r="CV1213" s="32"/>
      <c r="CW1213" s="32"/>
      <c r="CX1213" s="32"/>
      <c r="CY1213" s="32"/>
      <c r="CZ1213" s="32"/>
      <c r="DA1213" s="32"/>
      <c r="DB1213" s="32"/>
      <c r="DC1213" s="32"/>
      <c r="DD1213" s="32"/>
      <c r="DE1213" s="32"/>
      <c r="DF1213" s="32"/>
      <c r="DG1213" s="32"/>
      <c r="DH1213" s="32"/>
      <c r="DI1213" s="32"/>
      <c r="DJ1213" s="32"/>
      <c r="DK1213" s="32"/>
      <c r="DL1213" s="32"/>
      <c r="DM1213" s="32"/>
      <c r="DN1213" s="32"/>
      <c r="DO1213" s="32"/>
      <c r="DP1213" s="32"/>
      <c r="DQ1213" s="32"/>
      <c r="DR1213" s="32"/>
      <c r="DS1213" s="32"/>
      <c r="DT1213" s="32"/>
      <c r="DU1213" s="32"/>
      <c r="DV1213" s="32"/>
      <c r="DW1213" s="32"/>
      <c r="DX1213" s="32"/>
      <c r="DY1213" s="32"/>
      <c r="DZ1213" s="32"/>
      <c r="EA1213" s="32"/>
      <c r="EB1213" s="32"/>
      <c r="EC1213" s="32"/>
      <c r="ED1213" s="32"/>
      <c r="EE1213" s="32"/>
      <c r="EF1213" s="32"/>
      <c r="EG1213" s="32"/>
      <c r="EH1213" s="32"/>
      <c r="EI1213" s="32"/>
      <c r="EJ1213" s="32"/>
      <c r="EK1213" s="32"/>
      <c r="EL1213" s="32"/>
      <c r="EM1213" s="32"/>
      <c r="EN1213" s="32"/>
      <c r="EO1213" s="32"/>
      <c r="EP1213" s="32"/>
      <c r="EQ1213" s="32"/>
      <c r="ER1213" s="32"/>
      <c r="ES1213" s="32"/>
      <c r="ET1213" s="32"/>
      <c r="EU1213" s="32"/>
      <c r="EV1213" s="32"/>
      <c r="EW1213" s="32"/>
      <c r="EX1213" s="32"/>
      <c r="EY1213" s="32"/>
      <c r="EZ1213" s="32"/>
      <c r="FA1213" s="32"/>
      <c r="FB1213" s="32"/>
      <c r="FC1213" s="32"/>
      <c r="FD1213" s="32"/>
      <c r="FE1213" s="32"/>
      <c r="FF1213" s="32"/>
      <c r="FG1213" s="32"/>
      <c r="FH1213" s="32"/>
      <c r="FI1213" s="32"/>
      <c r="FJ1213" s="32"/>
      <c r="FK1213" s="32"/>
      <c r="FL1213" s="32"/>
      <c r="FM1213" s="32"/>
      <c r="FN1213" s="32"/>
      <c r="FO1213" s="32"/>
      <c r="FP1213" s="32"/>
      <c r="FQ1213" s="32"/>
      <c r="FR1213" s="32"/>
      <c r="FS1213" s="32"/>
      <c r="FT1213" s="32"/>
      <c r="FU1213" s="32"/>
      <c r="FV1213" s="32"/>
      <c r="FW1213" s="32"/>
      <c r="FX1213" s="32"/>
      <c r="FY1213" s="32"/>
      <c r="FZ1213" s="32"/>
      <c r="GA1213" s="32"/>
      <c r="GB1213" s="32"/>
      <c r="GC1213" s="32"/>
      <c r="GD1213" s="32"/>
      <c r="GE1213" s="32"/>
      <c r="GF1213" s="32"/>
      <c r="GG1213" s="32"/>
      <c r="GH1213" s="32"/>
      <c r="GI1213" s="32"/>
      <c r="GJ1213" s="32"/>
      <c r="GK1213" s="32"/>
      <c r="GL1213" s="32"/>
      <c r="GM1213" s="32"/>
      <c r="GN1213" s="32"/>
      <c r="GO1213" s="32"/>
      <c r="GP1213" s="32"/>
      <c r="GQ1213" s="32"/>
      <c r="GR1213" s="32"/>
      <c r="GS1213" s="32"/>
      <c r="GT1213" s="32"/>
      <c r="GU1213" s="32"/>
      <c r="GV1213" s="32"/>
      <c r="GW1213" s="32"/>
      <c r="GX1213" s="32"/>
      <c r="GY1213" s="32"/>
      <c r="GZ1213" s="32"/>
      <c r="HA1213" s="32"/>
      <c r="HB1213" s="32"/>
      <c r="HC1213" s="32"/>
      <c r="HD1213" s="32"/>
      <c r="HE1213" s="32"/>
      <c r="HF1213" s="32"/>
      <c r="HG1213" s="32"/>
      <c r="HH1213" s="32"/>
      <c r="HI1213" s="32"/>
      <c r="HJ1213" s="32"/>
      <c r="HK1213" s="32"/>
      <c r="HL1213" s="32"/>
      <c r="HM1213" s="32"/>
      <c r="HN1213" s="32"/>
      <c r="HO1213" s="32"/>
      <c r="HP1213" s="32"/>
      <c r="HQ1213" s="32"/>
      <c r="HR1213" s="32"/>
      <c r="HS1213" s="32"/>
      <c r="HT1213" s="32"/>
      <c r="HU1213" s="32"/>
      <c r="HV1213" s="32"/>
      <c r="HW1213" s="32"/>
      <c r="HX1213" s="32"/>
      <c r="HY1213" s="32"/>
      <c r="HZ1213" s="32"/>
      <c r="IA1213" s="32"/>
      <c r="IB1213" s="32"/>
      <c r="IC1213" s="32"/>
      <c r="ID1213" s="32"/>
      <c r="IE1213" s="32"/>
      <c r="IF1213" s="32"/>
      <c r="IG1213" s="32"/>
      <c r="IH1213" s="32"/>
      <c r="II1213" s="32"/>
      <c r="IJ1213" s="32"/>
      <c r="IK1213" s="32"/>
      <c r="IL1213" s="32"/>
      <c r="IM1213" s="32"/>
      <c r="IN1213" s="32"/>
      <c r="IO1213" s="32"/>
      <c r="IP1213" s="32"/>
      <c r="IQ1213" s="32"/>
      <c r="IR1213" s="32"/>
      <c r="IS1213" s="32"/>
      <c r="IT1213" s="32"/>
      <c r="IU1213" s="32"/>
      <c r="IV1213" s="32"/>
      <c r="IW1213" s="32"/>
      <c r="IX1213" s="32"/>
      <c r="IY1213" s="32"/>
      <c r="IZ1213" s="32"/>
      <c r="JA1213" s="32"/>
      <c r="JB1213" s="32"/>
      <c r="JC1213" s="32"/>
      <c r="JD1213" s="32"/>
      <c r="JE1213" s="32"/>
      <c r="JF1213" s="32"/>
      <c r="JG1213" s="32"/>
      <c r="JH1213" s="32"/>
      <c r="JI1213" s="32"/>
      <c r="JJ1213" s="32"/>
      <c r="JK1213" s="32"/>
      <c r="JL1213" s="32"/>
      <c r="JM1213" s="32"/>
      <c r="JN1213" s="32"/>
      <c r="JO1213" s="32"/>
      <c r="JP1213" s="32"/>
      <c r="JQ1213" s="32"/>
      <c r="JR1213" s="32"/>
      <c r="JS1213" s="32"/>
      <c r="JT1213" s="32"/>
      <c r="JU1213" s="32"/>
      <c r="JV1213" s="32"/>
      <c r="JW1213" s="32"/>
      <c r="JX1213" s="32"/>
      <c r="JY1213" s="32"/>
      <c r="JZ1213" s="32"/>
      <c r="KA1213" s="32"/>
      <c r="KB1213" s="32"/>
      <c r="KC1213" s="32"/>
      <c r="KD1213" s="32"/>
      <c r="KE1213" s="32"/>
    </row>
    <row r="1214" spans="1:291" s="25" customFormat="1" ht="35" customHeight="1">
      <c r="A1214" s="23">
        <f>ROW()-3</f>
        <v>1211</v>
      </c>
      <c r="B1214" s="183" t="s">
        <v>4586</v>
      </c>
      <c r="C1214" s="183" t="s">
        <v>4345</v>
      </c>
      <c r="D1214" s="128" t="s">
        <v>5133</v>
      </c>
      <c r="E1214" s="128" t="s">
        <v>5134</v>
      </c>
      <c r="F1214" s="128" t="s">
        <v>5134</v>
      </c>
      <c r="G1214" s="42" t="s">
        <v>3253</v>
      </c>
      <c r="H1214" s="183">
        <v>36</v>
      </c>
      <c r="I1214" s="84">
        <v>4.8</v>
      </c>
      <c r="J1214" s="208">
        <v>44550</v>
      </c>
      <c r="K1214" s="46" t="s">
        <v>20</v>
      </c>
      <c r="L1214" s="203">
        <v>19.989999999999998</v>
      </c>
      <c r="M1214" s="32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32"/>
      <c r="AG1214" s="32"/>
      <c r="AH1214" s="32"/>
      <c r="AI1214" s="32"/>
      <c r="AJ1214" s="32"/>
      <c r="AK1214" s="32"/>
      <c r="AL1214" s="32"/>
      <c r="AM1214" s="32"/>
      <c r="AN1214" s="32"/>
      <c r="AO1214" s="32"/>
      <c r="AP1214" s="32"/>
      <c r="AQ1214" s="32"/>
      <c r="AR1214" s="32"/>
      <c r="AS1214" s="32"/>
      <c r="AT1214" s="32"/>
      <c r="AU1214" s="32"/>
      <c r="AV1214" s="32"/>
      <c r="AW1214" s="32"/>
      <c r="AX1214" s="32"/>
      <c r="AY1214" s="32"/>
      <c r="AZ1214" s="32"/>
      <c r="BA1214" s="32"/>
      <c r="BB1214" s="32"/>
      <c r="BC1214" s="32"/>
      <c r="BD1214" s="32"/>
      <c r="BE1214" s="32"/>
      <c r="BF1214" s="32"/>
      <c r="BG1214" s="32"/>
      <c r="BH1214" s="32"/>
      <c r="BI1214" s="32"/>
      <c r="BJ1214" s="32"/>
      <c r="BK1214" s="32"/>
      <c r="BL1214" s="32"/>
      <c r="BM1214" s="32"/>
      <c r="BN1214" s="32"/>
      <c r="BO1214" s="32"/>
      <c r="BP1214" s="32"/>
      <c r="BQ1214" s="32"/>
      <c r="BR1214" s="32"/>
      <c r="BS1214" s="32"/>
      <c r="BT1214" s="32"/>
      <c r="BU1214" s="32"/>
      <c r="BV1214" s="32"/>
      <c r="BW1214" s="32"/>
      <c r="BX1214" s="32"/>
      <c r="BY1214" s="32"/>
      <c r="BZ1214" s="32"/>
      <c r="CA1214" s="32"/>
      <c r="CB1214" s="32"/>
      <c r="CC1214" s="32"/>
      <c r="CD1214" s="32"/>
      <c r="CE1214" s="32"/>
      <c r="CF1214" s="32"/>
      <c r="CG1214" s="32"/>
      <c r="CH1214" s="32"/>
      <c r="CI1214" s="32"/>
      <c r="CJ1214" s="32"/>
      <c r="CK1214" s="32"/>
      <c r="CL1214" s="32"/>
      <c r="CM1214" s="32"/>
      <c r="CN1214" s="32"/>
      <c r="CO1214" s="32"/>
      <c r="CP1214" s="32"/>
      <c r="CQ1214" s="32"/>
      <c r="CR1214" s="32"/>
      <c r="CS1214" s="32"/>
      <c r="CT1214" s="32"/>
      <c r="CU1214" s="32"/>
      <c r="CV1214" s="32"/>
      <c r="CW1214" s="32"/>
      <c r="CX1214" s="32"/>
      <c r="CY1214" s="32"/>
      <c r="CZ1214" s="32"/>
      <c r="DA1214" s="32"/>
      <c r="DB1214" s="32"/>
      <c r="DC1214" s="32"/>
      <c r="DD1214" s="32"/>
      <c r="DE1214" s="32"/>
      <c r="DF1214" s="32"/>
      <c r="DG1214" s="32"/>
      <c r="DH1214" s="32"/>
      <c r="DI1214" s="32"/>
      <c r="DJ1214" s="32"/>
      <c r="DK1214" s="32"/>
      <c r="DL1214" s="32"/>
      <c r="DM1214" s="32"/>
      <c r="DN1214" s="32"/>
      <c r="DO1214" s="32"/>
      <c r="DP1214" s="32"/>
      <c r="DQ1214" s="32"/>
      <c r="DR1214" s="32"/>
      <c r="DS1214" s="32"/>
      <c r="DT1214" s="32"/>
      <c r="DU1214" s="32"/>
      <c r="DV1214" s="32"/>
      <c r="DW1214" s="32"/>
      <c r="DX1214" s="32"/>
      <c r="DY1214" s="32"/>
      <c r="DZ1214" s="32"/>
      <c r="EA1214" s="32"/>
      <c r="EB1214" s="32"/>
      <c r="EC1214" s="32"/>
      <c r="ED1214" s="32"/>
      <c r="EE1214" s="32"/>
      <c r="EF1214" s="32"/>
      <c r="EG1214" s="32"/>
      <c r="EH1214" s="32"/>
      <c r="EI1214" s="32"/>
      <c r="EJ1214" s="32"/>
      <c r="EK1214" s="32"/>
      <c r="EL1214" s="32"/>
      <c r="EM1214" s="32"/>
      <c r="EN1214" s="32"/>
      <c r="EO1214" s="32"/>
      <c r="EP1214" s="32"/>
      <c r="EQ1214" s="32"/>
      <c r="ER1214" s="32"/>
      <c r="ES1214" s="32"/>
      <c r="ET1214" s="32"/>
      <c r="EU1214" s="32"/>
      <c r="EV1214" s="32"/>
      <c r="EW1214" s="32"/>
      <c r="EX1214" s="32"/>
      <c r="EY1214" s="32"/>
      <c r="EZ1214" s="32"/>
      <c r="FA1214" s="32"/>
      <c r="FB1214" s="32"/>
      <c r="FC1214" s="32"/>
      <c r="FD1214" s="32"/>
      <c r="FE1214" s="32"/>
      <c r="FF1214" s="32"/>
      <c r="FG1214" s="32"/>
      <c r="FH1214" s="32"/>
      <c r="FI1214" s="32"/>
      <c r="FJ1214" s="32"/>
      <c r="FK1214" s="32"/>
      <c r="FL1214" s="32"/>
      <c r="FM1214" s="32"/>
      <c r="FN1214" s="32"/>
      <c r="FO1214" s="32"/>
      <c r="FP1214" s="32"/>
      <c r="FQ1214" s="32"/>
      <c r="FR1214" s="32"/>
      <c r="FS1214" s="32"/>
      <c r="FT1214" s="32"/>
      <c r="FU1214" s="32"/>
      <c r="FV1214" s="32"/>
      <c r="FW1214" s="32"/>
      <c r="FX1214" s="32"/>
      <c r="FY1214" s="32"/>
      <c r="FZ1214" s="32"/>
      <c r="GA1214" s="32"/>
      <c r="GB1214" s="32"/>
      <c r="GC1214" s="32"/>
      <c r="GD1214" s="32"/>
      <c r="GE1214" s="32"/>
      <c r="GF1214" s="32"/>
      <c r="GG1214" s="32"/>
      <c r="GH1214" s="32"/>
      <c r="GI1214" s="32"/>
      <c r="GJ1214" s="32"/>
      <c r="GK1214" s="32"/>
      <c r="GL1214" s="32"/>
      <c r="GM1214" s="32"/>
      <c r="GN1214" s="32"/>
      <c r="GO1214" s="32"/>
      <c r="GP1214" s="32"/>
      <c r="GQ1214" s="32"/>
      <c r="GR1214" s="32"/>
      <c r="GS1214" s="32"/>
      <c r="GT1214" s="32"/>
      <c r="GU1214" s="32"/>
      <c r="GV1214" s="32"/>
      <c r="GW1214" s="32"/>
      <c r="GX1214" s="32"/>
      <c r="GY1214" s="32"/>
      <c r="GZ1214" s="32"/>
      <c r="HA1214" s="32"/>
      <c r="HB1214" s="32"/>
      <c r="HC1214" s="32"/>
      <c r="HD1214" s="32"/>
      <c r="HE1214" s="32"/>
      <c r="HF1214" s="32"/>
      <c r="HG1214" s="32"/>
      <c r="HH1214" s="32"/>
      <c r="HI1214" s="32"/>
      <c r="HJ1214" s="32"/>
      <c r="HK1214" s="32"/>
      <c r="HL1214" s="32"/>
      <c r="HM1214" s="32"/>
      <c r="HN1214" s="32"/>
      <c r="HO1214" s="32"/>
      <c r="HP1214" s="32"/>
      <c r="HQ1214" s="32"/>
      <c r="HR1214" s="32"/>
      <c r="HS1214" s="32"/>
      <c r="HT1214" s="32"/>
      <c r="HU1214" s="32"/>
      <c r="HV1214" s="32"/>
      <c r="HW1214" s="32"/>
      <c r="HX1214" s="32"/>
      <c r="HY1214" s="32"/>
      <c r="HZ1214" s="32"/>
      <c r="IA1214" s="32"/>
      <c r="IB1214" s="32"/>
      <c r="IC1214" s="32"/>
      <c r="ID1214" s="32"/>
      <c r="IE1214" s="32"/>
      <c r="IF1214" s="32"/>
      <c r="IG1214" s="32"/>
      <c r="IH1214" s="32"/>
      <c r="II1214" s="32"/>
      <c r="IJ1214" s="32"/>
      <c r="IK1214" s="32"/>
      <c r="IL1214" s="32"/>
      <c r="IM1214" s="32"/>
      <c r="IN1214" s="32"/>
      <c r="IO1214" s="32"/>
      <c r="IP1214" s="32"/>
      <c r="IQ1214" s="32"/>
      <c r="IR1214" s="32"/>
      <c r="IS1214" s="32"/>
      <c r="IT1214" s="32"/>
      <c r="IU1214" s="32"/>
      <c r="IV1214" s="32"/>
      <c r="IW1214" s="32"/>
      <c r="IX1214" s="32"/>
      <c r="IY1214" s="32"/>
      <c r="IZ1214" s="32"/>
      <c r="JA1214" s="32"/>
      <c r="JB1214" s="32"/>
      <c r="JC1214" s="32"/>
      <c r="JD1214" s="32"/>
      <c r="JE1214" s="32"/>
      <c r="JF1214" s="32"/>
      <c r="JG1214" s="32"/>
      <c r="JH1214" s="32"/>
      <c r="JI1214" s="32"/>
      <c r="JJ1214" s="32"/>
      <c r="JK1214" s="32"/>
      <c r="JL1214" s="32"/>
      <c r="JM1214" s="32"/>
      <c r="JN1214" s="32"/>
      <c r="JO1214" s="32"/>
      <c r="JP1214" s="32"/>
      <c r="JQ1214" s="32"/>
      <c r="JR1214" s="32"/>
      <c r="JS1214" s="32"/>
      <c r="JT1214" s="32"/>
      <c r="JU1214" s="32"/>
      <c r="JV1214" s="32"/>
      <c r="JW1214" s="32"/>
      <c r="JX1214" s="32"/>
      <c r="JY1214" s="32"/>
      <c r="JZ1214" s="32"/>
      <c r="KA1214" s="32"/>
      <c r="KB1214" s="32"/>
      <c r="KC1214" s="32"/>
      <c r="KD1214" s="32"/>
      <c r="KE1214" s="32"/>
    </row>
    <row r="1215" spans="1:291" s="25" customFormat="1" ht="35" customHeight="1">
      <c r="A1215" s="23">
        <f>ROW()-3</f>
        <v>1212</v>
      </c>
      <c r="B1215" s="29" t="s">
        <v>5382</v>
      </c>
      <c r="C1215" s="183" t="s">
        <v>5385</v>
      </c>
      <c r="D1215" s="267" t="s">
        <v>5384</v>
      </c>
      <c r="E1215" s="267" t="s">
        <v>5390</v>
      </c>
      <c r="F1215" s="267" t="s">
        <v>5391</v>
      </c>
      <c r="G1215" s="42" t="s">
        <v>3253</v>
      </c>
      <c r="H1215" s="29">
        <v>58</v>
      </c>
      <c r="I1215" s="268">
        <v>7</v>
      </c>
      <c r="J1215" s="208">
        <v>44606</v>
      </c>
      <c r="K1215" s="46" t="s">
        <v>20</v>
      </c>
      <c r="L1215" s="75">
        <v>18</v>
      </c>
      <c r="M1215" s="32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32"/>
      <c r="AG1215" s="32"/>
      <c r="AH1215" s="32"/>
      <c r="AI1215" s="32"/>
      <c r="AJ1215" s="32"/>
      <c r="AK1215" s="32"/>
      <c r="AL1215" s="32"/>
      <c r="AM1215" s="32"/>
      <c r="AN1215" s="32"/>
      <c r="AO1215" s="32"/>
      <c r="AP1215" s="32"/>
      <c r="AQ1215" s="32"/>
      <c r="AR1215" s="32"/>
      <c r="AS1215" s="32"/>
      <c r="AT1215" s="32"/>
      <c r="AU1215" s="32"/>
      <c r="AV1215" s="32"/>
      <c r="AW1215" s="32"/>
      <c r="AX1215" s="32"/>
      <c r="AY1215" s="32"/>
      <c r="AZ1215" s="32"/>
      <c r="BA1215" s="32"/>
      <c r="BB1215" s="32"/>
      <c r="BC1215" s="32"/>
      <c r="BD1215" s="32"/>
      <c r="BE1215" s="32"/>
      <c r="BF1215" s="32"/>
      <c r="BG1215" s="32"/>
      <c r="BH1215" s="32"/>
      <c r="BI1215" s="32"/>
      <c r="BJ1215" s="32"/>
      <c r="BK1215" s="32"/>
      <c r="BL1215" s="32"/>
      <c r="BM1215" s="32"/>
      <c r="BN1215" s="32"/>
      <c r="BO1215" s="32"/>
      <c r="BP1215" s="32"/>
      <c r="BQ1215" s="32"/>
      <c r="BR1215" s="32"/>
      <c r="BS1215" s="32"/>
      <c r="BT1215" s="32"/>
      <c r="BU1215" s="32"/>
      <c r="BV1215" s="32"/>
      <c r="BW1215" s="32"/>
      <c r="BX1215" s="32"/>
      <c r="BY1215" s="32"/>
      <c r="BZ1215" s="32"/>
      <c r="CA1215" s="32"/>
      <c r="CB1215" s="32"/>
      <c r="CC1215" s="32"/>
      <c r="CD1215" s="32"/>
      <c r="CE1215" s="32"/>
      <c r="CF1215" s="32"/>
      <c r="CG1215" s="32"/>
      <c r="CH1215" s="32"/>
      <c r="CI1215" s="32"/>
      <c r="CJ1215" s="32"/>
      <c r="CK1215" s="32"/>
      <c r="CL1215" s="32"/>
      <c r="CM1215" s="32"/>
      <c r="CN1215" s="32"/>
      <c r="CO1215" s="32"/>
      <c r="CP1215" s="32"/>
      <c r="CQ1215" s="32"/>
      <c r="CR1215" s="32"/>
      <c r="CS1215" s="32"/>
      <c r="CT1215" s="32"/>
      <c r="CU1215" s="32"/>
      <c r="CV1215" s="32"/>
      <c r="CW1215" s="32"/>
      <c r="CX1215" s="32"/>
      <c r="CY1215" s="32"/>
      <c r="CZ1215" s="32"/>
      <c r="DA1215" s="32"/>
      <c r="DB1215" s="32"/>
      <c r="DC1215" s="32"/>
      <c r="DD1215" s="32"/>
      <c r="DE1215" s="32"/>
      <c r="DF1215" s="32"/>
      <c r="DG1215" s="32"/>
      <c r="DH1215" s="32"/>
      <c r="DI1215" s="32"/>
      <c r="DJ1215" s="32"/>
      <c r="DK1215" s="32"/>
      <c r="DL1215" s="32"/>
      <c r="DM1215" s="32"/>
      <c r="DN1215" s="32"/>
      <c r="DO1215" s="32"/>
      <c r="DP1215" s="32"/>
      <c r="DQ1215" s="32"/>
      <c r="DR1215" s="32"/>
      <c r="DS1215" s="32"/>
      <c r="DT1215" s="32"/>
      <c r="DU1215" s="32"/>
      <c r="DV1215" s="32"/>
      <c r="DW1215" s="32"/>
      <c r="DX1215" s="32"/>
      <c r="DY1215" s="32"/>
      <c r="DZ1215" s="32"/>
      <c r="EA1215" s="32"/>
      <c r="EB1215" s="32"/>
      <c r="EC1215" s="32"/>
      <c r="ED1215" s="32"/>
      <c r="EE1215" s="32"/>
      <c r="EF1215" s="32"/>
      <c r="EG1215" s="32"/>
      <c r="EH1215" s="32"/>
      <c r="EI1215" s="32"/>
      <c r="EJ1215" s="32"/>
      <c r="EK1215" s="32"/>
      <c r="EL1215" s="32"/>
      <c r="EM1215" s="32"/>
      <c r="EN1215" s="32"/>
      <c r="EO1215" s="32"/>
      <c r="EP1215" s="32"/>
      <c r="EQ1215" s="32"/>
      <c r="ER1215" s="32"/>
      <c r="ES1215" s="32"/>
      <c r="ET1215" s="32"/>
      <c r="EU1215" s="32"/>
      <c r="EV1215" s="32"/>
      <c r="EW1215" s="32"/>
      <c r="EX1215" s="32"/>
      <c r="EY1215" s="32"/>
      <c r="EZ1215" s="32"/>
      <c r="FA1215" s="32"/>
      <c r="FB1215" s="32"/>
      <c r="FC1215" s="32"/>
      <c r="FD1215" s="32"/>
      <c r="FE1215" s="32"/>
      <c r="FF1215" s="32"/>
      <c r="FG1215" s="32"/>
      <c r="FH1215" s="32"/>
      <c r="FI1215" s="32"/>
      <c r="FJ1215" s="32"/>
      <c r="FK1215" s="32"/>
      <c r="FL1215" s="32"/>
      <c r="FM1215" s="32"/>
      <c r="FN1215" s="32"/>
      <c r="FO1215" s="32"/>
      <c r="FP1215" s="32"/>
      <c r="FQ1215" s="32"/>
      <c r="FR1215" s="32"/>
      <c r="FS1215" s="32"/>
      <c r="FT1215" s="32"/>
      <c r="FU1215" s="32"/>
      <c r="FV1215" s="32"/>
      <c r="FW1215" s="32"/>
      <c r="FX1215" s="32"/>
      <c r="FY1215" s="32"/>
      <c r="FZ1215" s="32"/>
      <c r="GA1215" s="32"/>
      <c r="GB1215" s="32"/>
      <c r="GC1215" s="32"/>
      <c r="GD1215" s="32"/>
      <c r="GE1215" s="32"/>
      <c r="GF1215" s="32"/>
      <c r="GG1215" s="32"/>
      <c r="GH1215" s="32"/>
      <c r="GI1215" s="32"/>
      <c r="GJ1215" s="32"/>
      <c r="GK1215" s="32"/>
      <c r="GL1215" s="32"/>
      <c r="GM1215" s="32"/>
      <c r="GN1215" s="32"/>
      <c r="GO1215" s="32"/>
      <c r="GP1215" s="32"/>
      <c r="GQ1215" s="32"/>
      <c r="GR1215" s="32"/>
      <c r="GS1215" s="32"/>
      <c r="GT1215" s="32"/>
      <c r="GU1215" s="32"/>
      <c r="GV1215" s="32"/>
      <c r="GW1215" s="32"/>
      <c r="GX1215" s="32"/>
      <c r="GY1215" s="32"/>
      <c r="GZ1215" s="32"/>
      <c r="HA1215" s="32"/>
      <c r="HB1215" s="32"/>
      <c r="HC1215" s="32"/>
      <c r="HD1215" s="32"/>
      <c r="HE1215" s="32"/>
      <c r="HF1215" s="32"/>
      <c r="HG1215" s="32"/>
      <c r="HH1215" s="32"/>
      <c r="HI1215" s="32"/>
      <c r="HJ1215" s="32"/>
      <c r="HK1215" s="32"/>
      <c r="HL1215" s="32"/>
      <c r="HM1215" s="32"/>
      <c r="HN1215" s="32"/>
      <c r="HO1215" s="32"/>
      <c r="HP1215" s="32"/>
      <c r="HQ1215" s="32"/>
      <c r="HR1215" s="32"/>
      <c r="HS1215" s="32"/>
      <c r="HT1215" s="32"/>
      <c r="HU1215" s="32"/>
      <c r="HV1215" s="32"/>
      <c r="HW1215" s="32"/>
      <c r="HX1215" s="32"/>
      <c r="HY1215" s="32"/>
      <c r="HZ1215" s="32"/>
      <c r="IA1215" s="32"/>
      <c r="IB1215" s="32"/>
      <c r="IC1215" s="32"/>
      <c r="ID1215" s="32"/>
      <c r="IE1215" s="32"/>
      <c r="IF1215" s="32"/>
      <c r="IG1215" s="32"/>
      <c r="IH1215" s="32"/>
      <c r="II1215" s="32"/>
      <c r="IJ1215" s="32"/>
      <c r="IK1215" s="32"/>
      <c r="IL1215" s="32"/>
      <c r="IM1215" s="32"/>
      <c r="IN1215" s="32"/>
      <c r="IO1215" s="32"/>
      <c r="IP1215" s="32"/>
      <c r="IQ1215" s="32"/>
      <c r="IR1215" s="32"/>
      <c r="IS1215" s="32"/>
      <c r="IT1215" s="32"/>
      <c r="IU1215" s="32"/>
      <c r="IV1215" s="32"/>
      <c r="IW1215" s="32"/>
      <c r="IX1215" s="32"/>
      <c r="IY1215" s="32"/>
      <c r="IZ1215" s="32"/>
      <c r="JA1215" s="32"/>
      <c r="JB1215" s="32"/>
      <c r="JC1215" s="32"/>
      <c r="JD1215" s="32"/>
      <c r="JE1215" s="32"/>
      <c r="JF1215" s="32"/>
      <c r="JG1215" s="32"/>
      <c r="JH1215" s="32"/>
      <c r="JI1215" s="32"/>
      <c r="JJ1215" s="32"/>
      <c r="JK1215" s="32"/>
      <c r="JL1215" s="32"/>
      <c r="JM1215" s="32"/>
      <c r="JN1215" s="32"/>
      <c r="JO1215" s="32"/>
      <c r="JP1215" s="32"/>
      <c r="JQ1215" s="32"/>
      <c r="JR1215" s="32"/>
      <c r="JS1215" s="32"/>
      <c r="JT1215" s="32"/>
      <c r="JU1215" s="32"/>
      <c r="JV1215" s="32"/>
      <c r="JW1215" s="32"/>
      <c r="JX1215" s="32"/>
      <c r="JY1215" s="32"/>
      <c r="JZ1215" s="32"/>
      <c r="KA1215" s="32"/>
      <c r="KB1215" s="32"/>
      <c r="KC1215" s="32"/>
      <c r="KD1215" s="32"/>
      <c r="KE1215" s="32"/>
    </row>
    <row r="1216" spans="1:291" s="25" customFormat="1" ht="35" customHeight="1">
      <c r="A1216" s="23">
        <f>ROW()-3</f>
        <v>1213</v>
      </c>
      <c r="B1216" s="29" t="s">
        <v>2639</v>
      </c>
      <c r="C1216" s="183" t="s">
        <v>5171</v>
      </c>
      <c r="D1216" s="267" t="s">
        <v>5469</v>
      </c>
      <c r="E1216" s="267" t="s">
        <v>5470</v>
      </c>
      <c r="F1216" s="267" t="s">
        <v>5470</v>
      </c>
      <c r="G1216" s="42" t="s">
        <v>3253</v>
      </c>
      <c r="H1216" s="29">
        <v>50</v>
      </c>
      <c r="I1216" s="268">
        <v>7.7</v>
      </c>
      <c r="J1216" s="208">
        <v>44613</v>
      </c>
      <c r="K1216" s="84" t="s">
        <v>20</v>
      </c>
      <c r="L1216" s="75">
        <v>24.99</v>
      </c>
      <c r="M1216" s="32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32"/>
      <c r="AG1216" s="32"/>
      <c r="AH1216" s="32"/>
      <c r="AI1216" s="32"/>
      <c r="AJ1216" s="32"/>
      <c r="AK1216" s="32"/>
      <c r="AL1216" s="32"/>
      <c r="AM1216" s="32"/>
      <c r="AN1216" s="32"/>
      <c r="AO1216" s="32"/>
      <c r="AP1216" s="32"/>
      <c r="AQ1216" s="32"/>
      <c r="AR1216" s="32"/>
      <c r="AS1216" s="32"/>
      <c r="AT1216" s="32"/>
      <c r="AU1216" s="32"/>
      <c r="AV1216" s="32"/>
      <c r="AW1216" s="32"/>
      <c r="AX1216" s="32"/>
      <c r="AY1216" s="32"/>
      <c r="AZ1216" s="32"/>
      <c r="BA1216" s="32"/>
      <c r="BB1216" s="32"/>
      <c r="BC1216" s="32"/>
      <c r="BD1216" s="32"/>
      <c r="BE1216" s="32"/>
      <c r="BF1216" s="32"/>
      <c r="BG1216" s="32"/>
      <c r="BH1216" s="32"/>
      <c r="BI1216" s="32"/>
      <c r="BJ1216" s="32"/>
      <c r="BK1216" s="32"/>
      <c r="BL1216" s="32"/>
      <c r="BM1216" s="32"/>
      <c r="BN1216" s="32"/>
      <c r="BO1216" s="32"/>
      <c r="BP1216" s="32"/>
      <c r="BQ1216" s="32"/>
      <c r="BR1216" s="32"/>
      <c r="BS1216" s="32"/>
      <c r="BT1216" s="32"/>
      <c r="BU1216" s="32"/>
      <c r="BV1216" s="32"/>
      <c r="BW1216" s="32"/>
      <c r="BX1216" s="32"/>
      <c r="BY1216" s="32"/>
      <c r="BZ1216" s="32"/>
      <c r="CA1216" s="32"/>
      <c r="CB1216" s="32"/>
      <c r="CC1216" s="32"/>
      <c r="CD1216" s="32"/>
      <c r="CE1216" s="32"/>
      <c r="CF1216" s="32"/>
      <c r="CG1216" s="32"/>
      <c r="CH1216" s="32"/>
      <c r="CI1216" s="32"/>
      <c r="CJ1216" s="32"/>
      <c r="CK1216" s="32"/>
      <c r="CL1216" s="32"/>
      <c r="CM1216" s="32"/>
      <c r="CN1216" s="32"/>
      <c r="CO1216" s="32"/>
      <c r="CP1216" s="32"/>
      <c r="CQ1216" s="32"/>
      <c r="CR1216" s="32"/>
      <c r="CS1216" s="32"/>
      <c r="CT1216" s="32"/>
      <c r="CU1216" s="32"/>
      <c r="CV1216" s="32"/>
      <c r="CW1216" s="32"/>
      <c r="CX1216" s="32"/>
      <c r="CY1216" s="32"/>
      <c r="CZ1216" s="32"/>
      <c r="DA1216" s="32"/>
      <c r="DB1216" s="32"/>
      <c r="DC1216" s="32"/>
      <c r="DD1216" s="32"/>
      <c r="DE1216" s="32"/>
      <c r="DF1216" s="32"/>
      <c r="DG1216" s="32"/>
      <c r="DH1216" s="32"/>
      <c r="DI1216" s="32"/>
      <c r="DJ1216" s="32"/>
      <c r="DK1216" s="32"/>
      <c r="DL1216" s="32"/>
      <c r="DM1216" s="32"/>
      <c r="DN1216" s="32"/>
      <c r="DO1216" s="32"/>
      <c r="DP1216" s="32"/>
      <c r="DQ1216" s="32"/>
      <c r="DR1216" s="32"/>
      <c r="DS1216" s="32"/>
      <c r="DT1216" s="32"/>
      <c r="DU1216" s="32"/>
      <c r="DV1216" s="32"/>
      <c r="DW1216" s="32"/>
      <c r="DX1216" s="32"/>
      <c r="DY1216" s="32"/>
      <c r="DZ1216" s="32"/>
      <c r="EA1216" s="32"/>
      <c r="EB1216" s="32"/>
      <c r="EC1216" s="32"/>
      <c r="ED1216" s="32"/>
      <c r="EE1216" s="32"/>
      <c r="EF1216" s="32"/>
      <c r="EG1216" s="32"/>
      <c r="EH1216" s="32"/>
      <c r="EI1216" s="32"/>
      <c r="EJ1216" s="32"/>
      <c r="EK1216" s="32"/>
      <c r="EL1216" s="32"/>
      <c r="EM1216" s="32"/>
      <c r="EN1216" s="32"/>
      <c r="EO1216" s="32"/>
      <c r="EP1216" s="32"/>
      <c r="EQ1216" s="32"/>
      <c r="ER1216" s="32"/>
      <c r="ES1216" s="32"/>
      <c r="ET1216" s="32"/>
      <c r="EU1216" s="32"/>
      <c r="EV1216" s="32"/>
      <c r="EW1216" s="32"/>
      <c r="EX1216" s="32"/>
      <c r="EY1216" s="32"/>
      <c r="EZ1216" s="32"/>
      <c r="FA1216" s="32"/>
      <c r="FB1216" s="32"/>
      <c r="FC1216" s="32"/>
      <c r="FD1216" s="32"/>
      <c r="FE1216" s="32"/>
      <c r="FF1216" s="32"/>
      <c r="FG1216" s="32"/>
      <c r="FH1216" s="32"/>
      <c r="FI1216" s="32"/>
      <c r="FJ1216" s="32"/>
      <c r="FK1216" s="32"/>
      <c r="FL1216" s="32"/>
      <c r="FM1216" s="32"/>
      <c r="FN1216" s="32"/>
      <c r="FO1216" s="32"/>
      <c r="FP1216" s="32"/>
      <c r="FQ1216" s="32"/>
      <c r="FR1216" s="32"/>
      <c r="FS1216" s="32"/>
      <c r="FT1216" s="32"/>
      <c r="FU1216" s="32"/>
      <c r="FV1216" s="32"/>
      <c r="FW1216" s="32"/>
      <c r="FX1216" s="32"/>
      <c r="FY1216" s="32"/>
      <c r="FZ1216" s="32"/>
      <c r="GA1216" s="32"/>
      <c r="GB1216" s="32"/>
      <c r="GC1216" s="32"/>
      <c r="GD1216" s="32"/>
      <c r="GE1216" s="32"/>
      <c r="GF1216" s="32"/>
      <c r="GG1216" s="32"/>
      <c r="GH1216" s="32"/>
      <c r="GI1216" s="32"/>
      <c r="GJ1216" s="32"/>
      <c r="GK1216" s="32"/>
      <c r="GL1216" s="32"/>
      <c r="GM1216" s="32"/>
      <c r="GN1216" s="32"/>
      <c r="GO1216" s="32"/>
      <c r="GP1216" s="32"/>
      <c r="GQ1216" s="32"/>
      <c r="GR1216" s="32"/>
      <c r="GS1216" s="32"/>
      <c r="GT1216" s="32"/>
      <c r="GU1216" s="32"/>
      <c r="GV1216" s="32"/>
      <c r="GW1216" s="32"/>
      <c r="GX1216" s="32"/>
      <c r="GY1216" s="32"/>
      <c r="GZ1216" s="32"/>
      <c r="HA1216" s="32"/>
      <c r="HB1216" s="32"/>
      <c r="HC1216" s="32"/>
      <c r="HD1216" s="32"/>
      <c r="HE1216" s="32"/>
      <c r="HF1216" s="32"/>
      <c r="HG1216" s="32"/>
      <c r="HH1216" s="32"/>
      <c r="HI1216" s="32"/>
      <c r="HJ1216" s="32"/>
      <c r="HK1216" s="32"/>
      <c r="HL1216" s="32"/>
      <c r="HM1216" s="32"/>
      <c r="HN1216" s="32"/>
      <c r="HO1216" s="32"/>
      <c r="HP1216" s="32"/>
      <c r="HQ1216" s="32"/>
      <c r="HR1216" s="32"/>
      <c r="HS1216" s="32"/>
      <c r="HT1216" s="32"/>
      <c r="HU1216" s="32"/>
      <c r="HV1216" s="32"/>
      <c r="HW1216" s="32"/>
      <c r="HX1216" s="32"/>
      <c r="HY1216" s="32"/>
      <c r="HZ1216" s="32"/>
      <c r="IA1216" s="32"/>
      <c r="IB1216" s="32"/>
      <c r="IC1216" s="32"/>
      <c r="ID1216" s="32"/>
      <c r="IE1216" s="32"/>
      <c r="IF1216" s="32"/>
      <c r="IG1216" s="32"/>
      <c r="IH1216" s="32"/>
      <c r="II1216" s="32"/>
      <c r="IJ1216" s="32"/>
      <c r="IK1216" s="32"/>
      <c r="IL1216" s="32"/>
      <c r="IM1216" s="32"/>
      <c r="IN1216" s="32"/>
      <c r="IO1216" s="32"/>
      <c r="IP1216" s="32"/>
      <c r="IQ1216" s="32"/>
      <c r="IR1216" s="32"/>
      <c r="IS1216" s="32"/>
      <c r="IT1216" s="32"/>
      <c r="IU1216" s="32"/>
      <c r="IV1216" s="32"/>
      <c r="IW1216" s="32"/>
      <c r="IX1216" s="32"/>
      <c r="IY1216" s="32"/>
      <c r="IZ1216" s="32"/>
      <c r="JA1216" s="32"/>
      <c r="JB1216" s="32"/>
      <c r="JC1216" s="32"/>
      <c r="JD1216" s="32"/>
      <c r="JE1216" s="32"/>
      <c r="JF1216" s="32"/>
      <c r="JG1216" s="32"/>
      <c r="JH1216" s="32"/>
      <c r="JI1216" s="32"/>
      <c r="JJ1216" s="32"/>
      <c r="JK1216" s="32"/>
      <c r="JL1216" s="32"/>
      <c r="JM1216" s="32"/>
      <c r="JN1216" s="32"/>
      <c r="JO1216" s="32"/>
      <c r="JP1216" s="32"/>
      <c r="JQ1216" s="32"/>
      <c r="JR1216" s="32"/>
      <c r="JS1216" s="32"/>
      <c r="JT1216" s="32"/>
      <c r="JU1216" s="32"/>
      <c r="JV1216" s="32"/>
      <c r="JW1216" s="32"/>
      <c r="JX1216" s="32"/>
      <c r="JY1216" s="32"/>
      <c r="JZ1216" s="32"/>
      <c r="KA1216" s="32"/>
      <c r="KB1216" s="32"/>
      <c r="KC1216" s="32"/>
      <c r="KD1216" s="32"/>
      <c r="KE1216" s="32"/>
    </row>
    <row r="1217" spans="1:291" s="25" customFormat="1" ht="35" customHeight="1">
      <c r="A1217" s="23">
        <f>ROW()-3</f>
        <v>1214</v>
      </c>
      <c r="B1217" s="29" t="s">
        <v>5597</v>
      </c>
      <c r="C1217" s="183" t="s">
        <v>4345</v>
      </c>
      <c r="D1217" s="267" t="s">
        <v>5495</v>
      </c>
      <c r="E1217" s="267" t="s">
        <v>5524</v>
      </c>
      <c r="F1217" s="267" t="s">
        <v>5523</v>
      </c>
      <c r="G1217" s="42" t="s">
        <v>3253</v>
      </c>
      <c r="H1217" s="29">
        <v>31</v>
      </c>
      <c r="I1217" s="268">
        <v>11.597777777777777</v>
      </c>
      <c r="J1217" s="269">
        <v>44614</v>
      </c>
      <c r="K1217" s="84" t="s">
        <v>20</v>
      </c>
      <c r="L1217" s="75">
        <v>22.5</v>
      </c>
      <c r="M1217" s="32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32"/>
      <c r="AG1217" s="32"/>
      <c r="AH1217" s="32"/>
      <c r="AI1217" s="32"/>
      <c r="AJ1217" s="32"/>
      <c r="AK1217" s="32"/>
      <c r="AL1217" s="32"/>
      <c r="AM1217" s="32"/>
      <c r="AN1217" s="32"/>
      <c r="AO1217" s="32"/>
      <c r="AP1217" s="32"/>
      <c r="AQ1217" s="32"/>
      <c r="AR1217" s="32"/>
      <c r="AS1217" s="32"/>
      <c r="AT1217" s="32"/>
      <c r="AU1217" s="32"/>
      <c r="AV1217" s="32"/>
      <c r="AW1217" s="32"/>
      <c r="AX1217" s="32"/>
      <c r="AY1217" s="32"/>
      <c r="AZ1217" s="32"/>
      <c r="BA1217" s="32"/>
      <c r="BB1217" s="32"/>
      <c r="BC1217" s="32"/>
      <c r="BD1217" s="32"/>
      <c r="BE1217" s="32"/>
      <c r="BF1217" s="32"/>
      <c r="BG1217" s="32"/>
      <c r="BH1217" s="32"/>
      <c r="BI1217" s="32"/>
      <c r="BJ1217" s="32"/>
      <c r="BK1217" s="32"/>
      <c r="BL1217" s="32"/>
      <c r="BM1217" s="32"/>
      <c r="BN1217" s="32"/>
      <c r="BO1217" s="32"/>
      <c r="BP1217" s="32"/>
      <c r="BQ1217" s="32"/>
      <c r="BR1217" s="32"/>
      <c r="BS1217" s="32"/>
      <c r="BT1217" s="32"/>
      <c r="BU1217" s="32"/>
      <c r="BV1217" s="32"/>
      <c r="BW1217" s="32"/>
      <c r="BX1217" s="32"/>
      <c r="BY1217" s="32"/>
      <c r="BZ1217" s="32"/>
      <c r="CA1217" s="32"/>
      <c r="CB1217" s="32"/>
      <c r="CC1217" s="32"/>
      <c r="CD1217" s="32"/>
      <c r="CE1217" s="32"/>
      <c r="CF1217" s="32"/>
      <c r="CG1217" s="32"/>
      <c r="CH1217" s="32"/>
      <c r="CI1217" s="32"/>
      <c r="CJ1217" s="32"/>
      <c r="CK1217" s="32"/>
      <c r="CL1217" s="32"/>
      <c r="CM1217" s="32"/>
      <c r="CN1217" s="32"/>
      <c r="CO1217" s="32"/>
      <c r="CP1217" s="32"/>
      <c r="CQ1217" s="32"/>
      <c r="CR1217" s="32"/>
      <c r="CS1217" s="32"/>
      <c r="CT1217" s="32"/>
      <c r="CU1217" s="32"/>
      <c r="CV1217" s="32"/>
      <c r="CW1217" s="32"/>
      <c r="CX1217" s="32"/>
      <c r="CY1217" s="32"/>
      <c r="CZ1217" s="32"/>
      <c r="DA1217" s="32"/>
      <c r="DB1217" s="32"/>
      <c r="DC1217" s="32"/>
      <c r="DD1217" s="32"/>
      <c r="DE1217" s="32"/>
      <c r="DF1217" s="32"/>
      <c r="DG1217" s="32"/>
      <c r="DH1217" s="32"/>
      <c r="DI1217" s="32"/>
      <c r="DJ1217" s="32"/>
      <c r="DK1217" s="32"/>
      <c r="DL1217" s="32"/>
      <c r="DM1217" s="32"/>
      <c r="DN1217" s="32"/>
      <c r="DO1217" s="32"/>
      <c r="DP1217" s="32"/>
      <c r="DQ1217" s="32"/>
      <c r="DR1217" s="32"/>
      <c r="DS1217" s="32"/>
      <c r="DT1217" s="32"/>
      <c r="DU1217" s="32"/>
      <c r="DV1217" s="32"/>
      <c r="DW1217" s="32"/>
      <c r="DX1217" s="32"/>
      <c r="DY1217" s="32"/>
      <c r="DZ1217" s="32"/>
      <c r="EA1217" s="32"/>
      <c r="EB1217" s="32"/>
      <c r="EC1217" s="32"/>
      <c r="ED1217" s="32"/>
      <c r="EE1217" s="32"/>
      <c r="EF1217" s="32"/>
      <c r="EG1217" s="32"/>
      <c r="EH1217" s="32"/>
      <c r="EI1217" s="32"/>
      <c r="EJ1217" s="32"/>
      <c r="EK1217" s="32"/>
      <c r="EL1217" s="32"/>
      <c r="EM1217" s="32"/>
      <c r="EN1217" s="32"/>
      <c r="EO1217" s="32"/>
      <c r="EP1217" s="32"/>
      <c r="EQ1217" s="32"/>
      <c r="ER1217" s="32"/>
      <c r="ES1217" s="32"/>
      <c r="ET1217" s="32"/>
      <c r="EU1217" s="32"/>
      <c r="EV1217" s="32"/>
      <c r="EW1217" s="32"/>
      <c r="EX1217" s="32"/>
      <c r="EY1217" s="32"/>
      <c r="EZ1217" s="32"/>
      <c r="FA1217" s="32"/>
      <c r="FB1217" s="32"/>
      <c r="FC1217" s="32"/>
      <c r="FD1217" s="32"/>
      <c r="FE1217" s="32"/>
      <c r="FF1217" s="32"/>
      <c r="FG1217" s="32"/>
      <c r="FH1217" s="32"/>
      <c r="FI1217" s="32"/>
      <c r="FJ1217" s="32"/>
      <c r="FK1217" s="32"/>
      <c r="FL1217" s="32"/>
      <c r="FM1217" s="32"/>
      <c r="FN1217" s="32"/>
      <c r="FO1217" s="32"/>
      <c r="FP1217" s="32"/>
      <c r="FQ1217" s="32"/>
      <c r="FR1217" s="32"/>
      <c r="FS1217" s="32"/>
      <c r="FT1217" s="32"/>
      <c r="FU1217" s="32"/>
      <c r="FV1217" s="32"/>
      <c r="FW1217" s="32"/>
      <c r="FX1217" s="32"/>
      <c r="FY1217" s="32"/>
      <c r="FZ1217" s="32"/>
      <c r="GA1217" s="32"/>
      <c r="GB1217" s="32"/>
      <c r="GC1217" s="32"/>
      <c r="GD1217" s="32"/>
      <c r="GE1217" s="32"/>
      <c r="GF1217" s="32"/>
      <c r="GG1217" s="32"/>
      <c r="GH1217" s="32"/>
      <c r="GI1217" s="32"/>
      <c r="GJ1217" s="32"/>
      <c r="GK1217" s="32"/>
      <c r="GL1217" s="32"/>
      <c r="GM1217" s="32"/>
      <c r="GN1217" s="32"/>
      <c r="GO1217" s="32"/>
      <c r="GP1217" s="32"/>
      <c r="GQ1217" s="32"/>
      <c r="GR1217" s="32"/>
      <c r="GS1217" s="32"/>
      <c r="GT1217" s="32"/>
      <c r="GU1217" s="32"/>
      <c r="GV1217" s="32"/>
      <c r="GW1217" s="32"/>
      <c r="GX1217" s="32"/>
      <c r="GY1217" s="32"/>
      <c r="GZ1217" s="32"/>
      <c r="HA1217" s="32"/>
      <c r="HB1217" s="32"/>
      <c r="HC1217" s="32"/>
      <c r="HD1217" s="32"/>
      <c r="HE1217" s="32"/>
      <c r="HF1217" s="32"/>
      <c r="HG1217" s="32"/>
      <c r="HH1217" s="32"/>
      <c r="HI1217" s="32"/>
      <c r="HJ1217" s="32"/>
      <c r="HK1217" s="32"/>
      <c r="HL1217" s="32"/>
      <c r="HM1217" s="32"/>
      <c r="HN1217" s="32"/>
      <c r="HO1217" s="32"/>
      <c r="HP1217" s="32"/>
      <c r="HQ1217" s="32"/>
      <c r="HR1217" s="32"/>
      <c r="HS1217" s="32"/>
      <c r="HT1217" s="32"/>
      <c r="HU1217" s="32"/>
      <c r="HV1217" s="32"/>
      <c r="HW1217" s="32"/>
      <c r="HX1217" s="32"/>
      <c r="HY1217" s="32"/>
      <c r="HZ1217" s="32"/>
      <c r="IA1217" s="32"/>
      <c r="IB1217" s="32"/>
      <c r="IC1217" s="32"/>
      <c r="ID1217" s="32"/>
      <c r="IE1217" s="32"/>
      <c r="IF1217" s="32"/>
      <c r="IG1217" s="32"/>
      <c r="IH1217" s="32"/>
      <c r="II1217" s="32"/>
      <c r="IJ1217" s="32"/>
      <c r="IK1217" s="32"/>
      <c r="IL1217" s="32"/>
      <c r="IM1217" s="32"/>
      <c r="IN1217" s="32"/>
      <c r="IO1217" s="32"/>
      <c r="IP1217" s="32"/>
      <c r="IQ1217" s="32"/>
      <c r="IR1217" s="32"/>
      <c r="IS1217" s="32"/>
      <c r="IT1217" s="32"/>
      <c r="IU1217" s="32"/>
      <c r="IV1217" s="32"/>
      <c r="IW1217" s="32"/>
      <c r="IX1217" s="32"/>
      <c r="IY1217" s="32"/>
      <c r="IZ1217" s="32"/>
      <c r="JA1217" s="32"/>
      <c r="JB1217" s="32"/>
      <c r="JC1217" s="32"/>
      <c r="JD1217" s="32"/>
      <c r="JE1217" s="32"/>
      <c r="JF1217" s="32"/>
      <c r="JG1217" s="32"/>
      <c r="JH1217" s="32"/>
      <c r="JI1217" s="32"/>
      <c r="JJ1217" s="32"/>
      <c r="JK1217" s="32"/>
      <c r="JL1217" s="32"/>
      <c r="JM1217" s="32"/>
      <c r="JN1217" s="32"/>
      <c r="JO1217" s="32"/>
      <c r="JP1217" s="32"/>
      <c r="JQ1217" s="32"/>
      <c r="JR1217" s="32"/>
      <c r="JS1217" s="32"/>
      <c r="JT1217" s="32"/>
      <c r="JU1217" s="32"/>
      <c r="JV1217" s="32"/>
      <c r="JW1217" s="32"/>
      <c r="JX1217" s="32"/>
      <c r="JY1217" s="32"/>
      <c r="JZ1217" s="32"/>
      <c r="KA1217" s="32"/>
      <c r="KB1217" s="32"/>
      <c r="KC1217" s="32"/>
      <c r="KD1217" s="32"/>
      <c r="KE1217" s="32"/>
    </row>
    <row r="1218" spans="1:291" s="25" customFormat="1" ht="35" customHeight="1">
      <c r="A1218" s="23">
        <f>ROW()-3</f>
        <v>1215</v>
      </c>
      <c r="B1218" s="29" t="s">
        <v>5597</v>
      </c>
      <c r="C1218" s="183" t="s">
        <v>4345</v>
      </c>
      <c r="D1218" s="267" t="s">
        <v>5497</v>
      </c>
      <c r="E1218" s="267" t="s">
        <v>5527</v>
      </c>
      <c r="F1218" s="267" t="s">
        <v>5528</v>
      </c>
      <c r="G1218" s="42" t="s">
        <v>3253</v>
      </c>
      <c r="H1218" s="29">
        <v>81</v>
      </c>
      <c r="I1218" s="268">
        <v>9.1252777777777769</v>
      </c>
      <c r="J1218" s="269">
        <v>44614</v>
      </c>
      <c r="K1218" s="84" t="s">
        <v>20</v>
      </c>
      <c r="L1218" s="75">
        <v>38</v>
      </c>
      <c r="M1218" s="32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32"/>
      <c r="AG1218" s="32"/>
      <c r="AH1218" s="32"/>
      <c r="AI1218" s="32"/>
      <c r="AJ1218" s="32"/>
      <c r="AK1218" s="32"/>
      <c r="AL1218" s="32"/>
      <c r="AM1218" s="32"/>
      <c r="AN1218" s="32"/>
      <c r="AO1218" s="32"/>
      <c r="AP1218" s="32"/>
      <c r="AQ1218" s="32"/>
      <c r="AR1218" s="32"/>
      <c r="AS1218" s="32"/>
      <c r="AT1218" s="32"/>
      <c r="AU1218" s="32"/>
      <c r="AV1218" s="32"/>
      <c r="AW1218" s="32"/>
      <c r="AX1218" s="32"/>
      <c r="AY1218" s="32"/>
      <c r="AZ1218" s="32"/>
      <c r="BA1218" s="32"/>
      <c r="BB1218" s="32"/>
      <c r="BC1218" s="32"/>
      <c r="BD1218" s="32"/>
      <c r="BE1218" s="32"/>
      <c r="BF1218" s="32"/>
      <c r="BG1218" s="32"/>
      <c r="BH1218" s="32"/>
      <c r="BI1218" s="32"/>
      <c r="BJ1218" s="32"/>
      <c r="BK1218" s="32"/>
      <c r="BL1218" s="32"/>
      <c r="BM1218" s="32"/>
      <c r="BN1218" s="32"/>
      <c r="BO1218" s="32"/>
      <c r="BP1218" s="32"/>
      <c r="BQ1218" s="32"/>
      <c r="BR1218" s="32"/>
      <c r="BS1218" s="32"/>
      <c r="BT1218" s="32"/>
      <c r="BU1218" s="32"/>
      <c r="BV1218" s="32"/>
      <c r="BW1218" s="32"/>
      <c r="BX1218" s="32"/>
      <c r="BY1218" s="32"/>
      <c r="BZ1218" s="32"/>
      <c r="CA1218" s="32"/>
      <c r="CB1218" s="32"/>
      <c r="CC1218" s="32"/>
      <c r="CD1218" s="32"/>
      <c r="CE1218" s="32"/>
      <c r="CF1218" s="32"/>
      <c r="CG1218" s="32"/>
      <c r="CH1218" s="32"/>
      <c r="CI1218" s="32"/>
      <c r="CJ1218" s="32"/>
      <c r="CK1218" s="32"/>
      <c r="CL1218" s="32"/>
      <c r="CM1218" s="32"/>
      <c r="CN1218" s="32"/>
      <c r="CO1218" s="32"/>
      <c r="CP1218" s="32"/>
      <c r="CQ1218" s="32"/>
      <c r="CR1218" s="32"/>
      <c r="CS1218" s="32"/>
      <c r="CT1218" s="32"/>
      <c r="CU1218" s="32"/>
      <c r="CV1218" s="32"/>
      <c r="CW1218" s="32"/>
      <c r="CX1218" s="32"/>
      <c r="CY1218" s="32"/>
      <c r="CZ1218" s="32"/>
      <c r="DA1218" s="32"/>
      <c r="DB1218" s="32"/>
      <c r="DC1218" s="32"/>
      <c r="DD1218" s="32"/>
      <c r="DE1218" s="32"/>
      <c r="DF1218" s="32"/>
      <c r="DG1218" s="32"/>
      <c r="DH1218" s="32"/>
      <c r="DI1218" s="32"/>
      <c r="DJ1218" s="32"/>
      <c r="DK1218" s="32"/>
      <c r="DL1218" s="32"/>
      <c r="DM1218" s="32"/>
      <c r="DN1218" s="32"/>
      <c r="DO1218" s="32"/>
      <c r="DP1218" s="32"/>
      <c r="DQ1218" s="32"/>
      <c r="DR1218" s="32"/>
      <c r="DS1218" s="32"/>
      <c r="DT1218" s="32"/>
      <c r="DU1218" s="32"/>
      <c r="DV1218" s="32"/>
      <c r="DW1218" s="32"/>
      <c r="DX1218" s="32"/>
      <c r="DY1218" s="32"/>
      <c r="DZ1218" s="32"/>
      <c r="EA1218" s="32"/>
      <c r="EB1218" s="32"/>
      <c r="EC1218" s="32"/>
      <c r="ED1218" s="32"/>
      <c r="EE1218" s="32"/>
      <c r="EF1218" s="32"/>
      <c r="EG1218" s="32"/>
      <c r="EH1218" s="32"/>
      <c r="EI1218" s="32"/>
      <c r="EJ1218" s="32"/>
      <c r="EK1218" s="32"/>
      <c r="EL1218" s="32"/>
      <c r="EM1218" s="32"/>
      <c r="EN1218" s="32"/>
      <c r="EO1218" s="32"/>
      <c r="EP1218" s="32"/>
      <c r="EQ1218" s="32"/>
      <c r="ER1218" s="32"/>
      <c r="ES1218" s="32"/>
      <c r="ET1218" s="32"/>
      <c r="EU1218" s="32"/>
      <c r="EV1218" s="32"/>
      <c r="EW1218" s="32"/>
      <c r="EX1218" s="32"/>
      <c r="EY1218" s="32"/>
      <c r="EZ1218" s="32"/>
      <c r="FA1218" s="32"/>
      <c r="FB1218" s="32"/>
      <c r="FC1218" s="32"/>
      <c r="FD1218" s="32"/>
      <c r="FE1218" s="32"/>
      <c r="FF1218" s="32"/>
      <c r="FG1218" s="32"/>
      <c r="FH1218" s="32"/>
      <c r="FI1218" s="32"/>
      <c r="FJ1218" s="32"/>
      <c r="FK1218" s="32"/>
      <c r="FL1218" s="32"/>
      <c r="FM1218" s="32"/>
      <c r="FN1218" s="32"/>
      <c r="FO1218" s="32"/>
      <c r="FP1218" s="32"/>
      <c r="FQ1218" s="32"/>
      <c r="FR1218" s="32"/>
      <c r="FS1218" s="32"/>
      <c r="FT1218" s="32"/>
      <c r="FU1218" s="32"/>
      <c r="FV1218" s="32"/>
      <c r="FW1218" s="32"/>
      <c r="FX1218" s="32"/>
      <c r="FY1218" s="32"/>
      <c r="FZ1218" s="32"/>
      <c r="GA1218" s="32"/>
      <c r="GB1218" s="32"/>
      <c r="GC1218" s="32"/>
      <c r="GD1218" s="32"/>
      <c r="GE1218" s="32"/>
      <c r="GF1218" s="32"/>
      <c r="GG1218" s="32"/>
      <c r="GH1218" s="32"/>
      <c r="GI1218" s="32"/>
      <c r="GJ1218" s="32"/>
      <c r="GK1218" s="32"/>
      <c r="GL1218" s="32"/>
      <c r="GM1218" s="32"/>
      <c r="GN1218" s="32"/>
      <c r="GO1218" s="32"/>
      <c r="GP1218" s="32"/>
      <c r="GQ1218" s="32"/>
      <c r="GR1218" s="32"/>
      <c r="GS1218" s="32"/>
      <c r="GT1218" s="32"/>
      <c r="GU1218" s="32"/>
      <c r="GV1218" s="32"/>
      <c r="GW1218" s="32"/>
      <c r="GX1218" s="32"/>
      <c r="GY1218" s="32"/>
      <c r="GZ1218" s="32"/>
      <c r="HA1218" s="32"/>
      <c r="HB1218" s="32"/>
      <c r="HC1218" s="32"/>
      <c r="HD1218" s="32"/>
      <c r="HE1218" s="32"/>
      <c r="HF1218" s="32"/>
      <c r="HG1218" s="32"/>
      <c r="HH1218" s="32"/>
      <c r="HI1218" s="32"/>
      <c r="HJ1218" s="32"/>
      <c r="HK1218" s="32"/>
      <c r="HL1218" s="32"/>
      <c r="HM1218" s="32"/>
      <c r="HN1218" s="32"/>
      <c r="HO1218" s="32"/>
      <c r="HP1218" s="32"/>
      <c r="HQ1218" s="32"/>
      <c r="HR1218" s="32"/>
      <c r="HS1218" s="32"/>
      <c r="HT1218" s="32"/>
      <c r="HU1218" s="32"/>
      <c r="HV1218" s="32"/>
      <c r="HW1218" s="32"/>
      <c r="HX1218" s="32"/>
      <c r="HY1218" s="32"/>
      <c r="HZ1218" s="32"/>
      <c r="IA1218" s="32"/>
      <c r="IB1218" s="32"/>
      <c r="IC1218" s="32"/>
      <c r="ID1218" s="32"/>
      <c r="IE1218" s="32"/>
      <c r="IF1218" s="32"/>
      <c r="IG1218" s="32"/>
      <c r="IH1218" s="32"/>
      <c r="II1218" s="32"/>
      <c r="IJ1218" s="32"/>
      <c r="IK1218" s="32"/>
      <c r="IL1218" s="32"/>
      <c r="IM1218" s="32"/>
      <c r="IN1218" s="32"/>
      <c r="IO1218" s="32"/>
      <c r="IP1218" s="32"/>
      <c r="IQ1218" s="32"/>
      <c r="IR1218" s="32"/>
      <c r="IS1218" s="32"/>
      <c r="IT1218" s="32"/>
      <c r="IU1218" s="32"/>
      <c r="IV1218" s="32"/>
      <c r="IW1218" s="32"/>
      <c r="IX1218" s="32"/>
      <c r="IY1218" s="32"/>
      <c r="IZ1218" s="32"/>
      <c r="JA1218" s="32"/>
      <c r="JB1218" s="32"/>
      <c r="JC1218" s="32"/>
      <c r="JD1218" s="32"/>
      <c r="JE1218" s="32"/>
      <c r="JF1218" s="32"/>
      <c r="JG1218" s="32"/>
      <c r="JH1218" s="32"/>
      <c r="JI1218" s="32"/>
      <c r="JJ1218" s="32"/>
      <c r="JK1218" s="32"/>
      <c r="JL1218" s="32"/>
      <c r="JM1218" s="32"/>
      <c r="JN1218" s="32"/>
      <c r="JO1218" s="32"/>
      <c r="JP1218" s="32"/>
      <c r="JQ1218" s="32"/>
      <c r="JR1218" s="32"/>
      <c r="JS1218" s="32"/>
      <c r="JT1218" s="32"/>
      <c r="JU1218" s="32"/>
      <c r="JV1218" s="32"/>
      <c r="JW1218" s="32"/>
      <c r="JX1218" s="32"/>
      <c r="JY1218" s="32"/>
      <c r="JZ1218" s="32"/>
      <c r="KA1218" s="32"/>
      <c r="KB1218" s="32"/>
      <c r="KC1218" s="32"/>
      <c r="KD1218" s="32"/>
      <c r="KE1218" s="32"/>
    </row>
    <row r="1219" spans="1:291" s="25" customFormat="1" ht="35" customHeight="1">
      <c r="A1219" s="23">
        <f>ROW()-3</f>
        <v>1216</v>
      </c>
      <c r="B1219" s="29" t="s">
        <v>5597</v>
      </c>
      <c r="C1219" s="183" t="s">
        <v>4345</v>
      </c>
      <c r="D1219" s="267" t="s">
        <v>5498</v>
      </c>
      <c r="E1219" s="267" t="s">
        <v>5529</v>
      </c>
      <c r="F1219" s="267" t="s">
        <v>5523</v>
      </c>
      <c r="G1219" s="42" t="s">
        <v>3253</v>
      </c>
      <c r="H1219" s="29">
        <v>51</v>
      </c>
      <c r="I1219" s="268">
        <v>8.1661111111111104</v>
      </c>
      <c r="J1219" s="269">
        <v>44614</v>
      </c>
      <c r="K1219" s="84" t="s">
        <v>20</v>
      </c>
      <c r="L1219" s="75">
        <v>31</v>
      </c>
      <c r="M1219" s="32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32"/>
      <c r="AG1219" s="32"/>
      <c r="AH1219" s="32"/>
      <c r="AI1219" s="32"/>
      <c r="AJ1219" s="32"/>
      <c r="AK1219" s="32"/>
      <c r="AL1219" s="32"/>
      <c r="AM1219" s="32"/>
      <c r="AN1219" s="32"/>
      <c r="AO1219" s="32"/>
      <c r="AP1219" s="32"/>
      <c r="AQ1219" s="32"/>
      <c r="AR1219" s="32"/>
      <c r="AS1219" s="32"/>
      <c r="AT1219" s="32"/>
      <c r="AU1219" s="32"/>
      <c r="AV1219" s="32"/>
      <c r="AW1219" s="32"/>
      <c r="AX1219" s="32"/>
      <c r="AY1219" s="32"/>
      <c r="AZ1219" s="32"/>
      <c r="BA1219" s="32"/>
      <c r="BB1219" s="32"/>
      <c r="BC1219" s="32"/>
      <c r="BD1219" s="32"/>
      <c r="BE1219" s="32"/>
      <c r="BF1219" s="32"/>
      <c r="BG1219" s="32"/>
      <c r="BH1219" s="32"/>
      <c r="BI1219" s="32"/>
      <c r="BJ1219" s="32"/>
      <c r="BK1219" s="32"/>
      <c r="BL1219" s="32"/>
      <c r="BM1219" s="32"/>
      <c r="BN1219" s="32"/>
      <c r="BO1219" s="32"/>
      <c r="BP1219" s="32"/>
      <c r="BQ1219" s="32"/>
      <c r="BR1219" s="32"/>
      <c r="BS1219" s="32"/>
      <c r="BT1219" s="32"/>
      <c r="BU1219" s="32"/>
      <c r="BV1219" s="32"/>
      <c r="BW1219" s="32"/>
      <c r="BX1219" s="32"/>
      <c r="BY1219" s="32"/>
      <c r="BZ1219" s="32"/>
      <c r="CA1219" s="32"/>
      <c r="CB1219" s="32"/>
      <c r="CC1219" s="32"/>
      <c r="CD1219" s="32"/>
      <c r="CE1219" s="32"/>
      <c r="CF1219" s="32"/>
      <c r="CG1219" s="32"/>
      <c r="CH1219" s="32"/>
      <c r="CI1219" s="32"/>
      <c r="CJ1219" s="32"/>
      <c r="CK1219" s="32"/>
      <c r="CL1219" s="32"/>
      <c r="CM1219" s="32"/>
      <c r="CN1219" s="32"/>
      <c r="CO1219" s="32"/>
      <c r="CP1219" s="32"/>
      <c r="CQ1219" s="32"/>
      <c r="CR1219" s="32"/>
      <c r="CS1219" s="32"/>
      <c r="CT1219" s="32"/>
      <c r="CU1219" s="32"/>
      <c r="CV1219" s="32"/>
      <c r="CW1219" s="32"/>
      <c r="CX1219" s="32"/>
      <c r="CY1219" s="32"/>
      <c r="CZ1219" s="32"/>
      <c r="DA1219" s="32"/>
      <c r="DB1219" s="32"/>
      <c r="DC1219" s="32"/>
      <c r="DD1219" s="32"/>
      <c r="DE1219" s="32"/>
      <c r="DF1219" s="32"/>
      <c r="DG1219" s="32"/>
      <c r="DH1219" s="32"/>
      <c r="DI1219" s="32"/>
      <c r="DJ1219" s="32"/>
      <c r="DK1219" s="32"/>
      <c r="DL1219" s="32"/>
      <c r="DM1219" s="32"/>
      <c r="DN1219" s="32"/>
      <c r="DO1219" s="32"/>
      <c r="DP1219" s="32"/>
      <c r="DQ1219" s="32"/>
      <c r="DR1219" s="32"/>
      <c r="DS1219" s="32"/>
      <c r="DT1219" s="32"/>
      <c r="DU1219" s="32"/>
      <c r="DV1219" s="32"/>
      <c r="DW1219" s="32"/>
      <c r="DX1219" s="32"/>
      <c r="DY1219" s="32"/>
      <c r="DZ1219" s="32"/>
      <c r="EA1219" s="32"/>
      <c r="EB1219" s="32"/>
      <c r="EC1219" s="32"/>
      <c r="ED1219" s="32"/>
      <c r="EE1219" s="32"/>
      <c r="EF1219" s="32"/>
      <c r="EG1219" s="32"/>
      <c r="EH1219" s="32"/>
      <c r="EI1219" s="32"/>
      <c r="EJ1219" s="32"/>
      <c r="EK1219" s="32"/>
      <c r="EL1219" s="32"/>
      <c r="EM1219" s="32"/>
      <c r="EN1219" s="32"/>
      <c r="EO1219" s="32"/>
      <c r="EP1219" s="32"/>
      <c r="EQ1219" s="32"/>
      <c r="ER1219" s="32"/>
      <c r="ES1219" s="32"/>
      <c r="ET1219" s="32"/>
      <c r="EU1219" s="32"/>
      <c r="EV1219" s="32"/>
      <c r="EW1219" s="32"/>
      <c r="EX1219" s="32"/>
      <c r="EY1219" s="32"/>
      <c r="EZ1219" s="32"/>
      <c r="FA1219" s="32"/>
      <c r="FB1219" s="32"/>
      <c r="FC1219" s="32"/>
      <c r="FD1219" s="32"/>
      <c r="FE1219" s="32"/>
      <c r="FF1219" s="32"/>
      <c r="FG1219" s="32"/>
      <c r="FH1219" s="32"/>
      <c r="FI1219" s="32"/>
      <c r="FJ1219" s="32"/>
      <c r="FK1219" s="32"/>
      <c r="FL1219" s="32"/>
      <c r="FM1219" s="32"/>
      <c r="FN1219" s="32"/>
      <c r="FO1219" s="32"/>
      <c r="FP1219" s="32"/>
      <c r="FQ1219" s="32"/>
      <c r="FR1219" s="32"/>
      <c r="FS1219" s="32"/>
      <c r="FT1219" s="32"/>
      <c r="FU1219" s="32"/>
      <c r="FV1219" s="32"/>
      <c r="FW1219" s="32"/>
      <c r="FX1219" s="32"/>
      <c r="FY1219" s="32"/>
      <c r="FZ1219" s="32"/>
      <c r="GA1219" s="32"/>
      <c r="GB1219" s="32"/>
      <c r="GC1219" s="32"/>
      <c r="GD1219" s="32"/>
      <c r="GE1219" s="32"/>
      <c r="GF1219" s="32"/>
      <c r="GG1219" s="32"/>
      <c r="GH1219" s="32"/>
      <c r="GI1219" s="32"/>
      <c r="GJ1219" s="32"/>
      <c r="GK1219" s="32"/>
      <c r="GL1219" s="32"/>
      <c r="GM1219" s="32"/>
      <c r="GN1219" s="32"/>
      <c r="GO1219" s="32"/>
      <c r="GP1219" s="32"/>
      <c r="GQ1219" s="32"/>
      <c r="GR1219" s="32"/>
      <c r="GS1219" s="32"/>
      <c r="GT1219" s="32"/>
      <c r="GU1219" s="32"/>
      <c r="GV1219" s="32"/>
      <c r="GW1219" s="32"/>
      <c r="GX1219" s="32"/>
      <c r="GY1219" s="32"/>
      <c r="GZ1219" s="32"/>
      <c r="HA1219" s="32"/>
      <c r="HB1219" s="32"/>
      <c r="HC1219" s="32"/>
      <c r="HD1219" s="32"/>
      <c r="HE1219" s="32"/>
      <c r="HF1219" s="32"/>
      <c r="HG1219" s="32"/>
      <c r="HH1219" s="32"/>
      <c r="HI1219" s="32"/>
      <c r="HJ1219" s="32"/>
      <c r="HK1219" s="32"/>
      <c r="HL1219" s="32"/>
      <c r="HM1219" s="32"/>
      <c r="HN1219" s="32"/>
      <c r="HO1219" s="32"/>
      <c r="HP1219" s="32"/>
      <c r="HQ1219" s="32"/>
      <c r="HR1219" s="32"/>
      <c r="HS1219" s="32"/>
      <c r="HT1219" s="32"/>
      <c r="HU1219" s="32"/>
      <c r="HV1219" s="32"/>
      <c r="HW1219" s="32"/>
      <c r="HX1219" s="32"/>
      <c r="HY1219" s="32"/>
      <c r="HZ1219" s="32"/>
      <c r="IA1219" s="32"/>
      <c r="IB1219" s="32"/>
      <c r="IC1219" s="32"/>
      <c r="ID1219" s="32"/>
      <c r="IE1219" s="32"/>
      <c r="IF1219" s="32"/>
      <c r="IG1219" s="32"/>
      <c r="IH1219" s="32"/>
      <c r="II1219" s="32"/>
      <c r="IJ1219" s="32"/>
      <c r="IK1219" s="32"/>
      <c r="IL1219" s="32"/>
      <c r="IM1219" s="32"/>
      <c r="IN1219" s="32"/>
      <c r="IO1219" s="32"/>
      <c r="IP1219" s="32"/>
      <c r="IQ1219" s="32"/>
      <c r="IR1219" s="32"/>
      <c r="IS1219" s="32"/>
      <c r="IT1219" s="32"/>
      <c r="IU1219" s="32"/>
      <c r="IV1219" s="32"/>
      <c r="IW1219" s="32"/>
      <c r="IX1219" s="32"/>
      <c r="IY1219" s="32"/>
      <c r="IZ1219" s="32"/>
      <c r="JA1219" s="32"/>
      <c r="JB1219" s="32"/>
      <c r="JC1219" s="32"/>
      <c r="JD1219" s="32"/>
      <c r="JE1219" s="32"/>
      <c r="JF1219" s="32"/>
      <c r="JG1219" s="32"/>
      <c r="JH1219" s="32"/>
      <c r="JI1219" s="32"/>
      <c r="JJ1219" s="32"/>
      <c r="JK1219" s="32"/>
      <c r="JL1219" s="32"/>
      <c r="JM1219" s="32"/>
      <c r="JN1219" s="32"/>
      <c r="JO1219" s="32"/>
      <c r="JP1219" s="32"/>
      <c r="JQ1219" s="32"/>
      <c r="JR1219" s="32"/>
      <c r="JS1219" s="32"/>
      <c r="JT1219" s="32"/>
      <c r="JU1219" s="32"/>
      <c r="JV1219" s="32"/>
      <c r="JW1219" s="32"/>
      <c r="JX1219" s="32"/>
      <c r="JY1219" s="32"/>
      <c r="JZ1219" s="32"/>
      <c r="KA1219" s="32"/>
      <c r="KB1219" s="32"/>
      <c r="KC1219" s="32"/>
      <c r="KD1219" s="32"/>
      <c r="KE1219" s="32"/>
    </row>
    <row r="1220" spans="1:291" s="25" customFormat="1" ht="35" customHeight="1">
      <c r="A1220" s="23">
        <f>ROW()-3</f>
        <v>1217</v>
      </c>
      <c r="B1220" s="29" t="s">
        <v>5597</v>
      </c>
      <c r="C1220" s="183" t="s">
        <v>4345</v>
      </c>
      <c r="D1220" s="267" t="s">
        <v>5531</v>
      </c>
      <c r="E1220" s="267" t="s">
        <v>3091</v>
      </c>
      <c r="F1220" s="267" t="s">
        <v>5528</v>
      </c>
      <c r="G1220" s="42" t="s">
        <v>3253</v>
      </c>
      <c r="H1220" s="29">
        <v>188</v>
      </c>
      <c r="I1220" s="268">
        <v>24.781388888888888</v>
      </c>
      <c r="J1220" s="269">
        <v>44614</v>
      </c>
      <c r="K1220" s="84" t="s">
        <v>20</v>
      </c>
      <c r="L1220" s="75"/>
      <c r="M1220" s="32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32"/>
      <c r="AG1220" s="32"/>
      <c r="AH1220" s="32"/>
      <c r="AI1220" s="32"/>
      <c r="AJ1220" s="32"/>
      <c r="AK1220" s="32"/>
      <c r="AL1220" s="32"/>
      <c r="AM1220" s="32"/>
      <c r="AN1220" s="32"/>
      <c r="AO1220" s="32"/>
      <c r="AP1220" s="32"/>
      <c r="AQ1220" s="32"/>
      <c r="AR1220" s="32"/>
      <c r="AS1220" s="32"/>
      <c r="AT1220" s="32"/>
      <c r="AU1220" s="32"/>
      <c r="AV1220" s="32"/>
      <c r="AW1220" s="32"/>
      <c r="AX1220" s="32"/>
      <c r="AY1220" s="32"/>
      <c r="AZ1220" s="32"/>
      <c r="BA1220" s="32"/>
      <c r="BB1220" s="32"/>
      <c r="BC1220" s="32"/>
      <c r="BD1220" s="32"/>
      <c r="BE1220" s="32"/>
      <c r="BF1220" s="32"/>
      <c r="BG1220" s="32"/>
      <c r="BH1220" s="32"/>
      <c r="BI1220" s="32"/>
      <c r="BJ1220" s="32"/>
      <c r="BK1220" s="32"/>
      <c r="BL1220" s="32"/>
      <c r="BM1220" s="32"/>
      <c r="BN1220" s="32"/>
      <c r="BO1220" s="32"/>
      <c r="BP1220" s="32"/>
      <c r="BQ1220" s="32"/>
      <c r="BR1220" s="32"/>
      <c r="BS1220" s="32"/>
      <c r="BT1220" s="32"/>
      <c r="BU1220" s="32"/>
      <c r="BV1220" s="32"/>
      <c r="BW1220" s="32"/>
      <c r="BX1220" s="32"/>
      <c r="BY1220" s="32"/>
      <c r="BZ1220" s="32"/>
      <c r="CA1220" s="32"/>
      <c r="CB1220" s="32"/>
      <c r="CC1220" s="32"/>
      <c r="CD1220" s="32"/>
      <c r="CE1220" s="32"/>
      <c r="CF1220" s="32"/>
      <c r="CG1220" s="32"/>
      <c r="CH1220" s="32"/>
      <c r="CI1220" s="32"/>
      <c r="CJ1220" s="32"/>
      <c r="CK1220" s="32"/>
      <c r="CL1220" s="32"/>
      <c r="CM1220" s="32"/>
      <c r="CN1220" s="32"/>
      <c r="CO1220" s="32"/>
      <c r="CP1220" s="32"/>
      <c r="CQ1220" s="32"/>
      <c r="CR1220" s="32"/>
      <c r="CS1220" s="32"/>
      <c r="CT1220" s="32"/>
      <c r="CU1220" s="32"/>
      <c r="CV1220" s="32"/>
      <c r="CW1220" s="32"/>
      <c r="CX1220" s="32"/>
      <c r="CY1220" s="32"/>
      <c r="CZ1220" s="32"/>
      <c r="DA1220" s="32"/>
      <c r="DB1220" s="32"/>
      <c r="DC1220" s="32"/>
      <c r="DD1220" s="32"/>
      <c r="DE1220" s="32"/>
      <c r="DF1220" s="32"/>
      <c r="DG1220" s="32"/>
      <c r="DH1220" s="32"/>
      <c r="DI1220" s="32"/>
      <c r="DJ1220" s="32"/>
      <c r="DK1220" s="32"/>
      <c r="DL1220" s="32"/>
      <c r="DM1220" s="32"/>
      <c r="DN1220" s="32"/>
      <c r="DO1220" s="32"/>
      <c r="DP1220" s="32"/>
      <c r="DQ1220" s="32"/>
      <c r="DR1220" s="32"/>
      <c r="DS1220" s="32"/>
      <c r="DT1220" s="32"/>
      <c r="DU1220" s="32"/>
      <c r="DV1220" s="32"/>
      <c r="DW1220" s="32"/>
      <c r="DX1220" s="32"/>
      <c r="DY1220" s="32"/>
      <c r="DZ1220" s="32"/>
      <c r="EA1220" s="32"/>
      <c r="EB1220" s="32"/>
      <c r="EC1220" s="32"/>
      <c r="ED1220" s="32"/>
      <c r="EE1220" s="32"/>
      <c r="EF1220" s="32"/>
      <c r="EG1220" s="32"/>
      <c r="EH1220" s="32"/>
      <c r="EI1220" s="32"/>
      <c r="EJ1220" s="32"/>
      <c r="EK1220" s="32"/>
      <c r="EL1220" s="32"/>
      <c r="EM1220" s="32"/>
      <c r="EN1220" s="32"/>
      <c r="EO1220" s="32"/>
      <c r="EP1220" s="32"/>
      <c r="EQ1220" s="32"/>
      <c r="ER1220" s="32"/>
      <c r="ES1220" s="32"/>
      <c r="ET1220" s="32"/>
      <c r="EU1220" s="32"/>
      <c r="EV1220" s="32"/>
      <c r="EW1220" s="32"/>
      <c r="EX1220" s="32"/>
      <c r="EY1220" s="32"/>
      <c r="EZ1220" s="32"/>
      <c r="FA1220" s="32"/>
      <c r="FB1220" s="32"/>
      <c r="FC1220" s="32"/>
      <c r="FD1220" s="32"/>
      <c r="FE1220" s="32"/>
      <c r="FF1220" s="32"/>
      <c r="FG1220" s="32"/>
      <c r="FH1220" s="32"/>
      <c r="FI1220" s="32"/>
      <c r="FJ1220" s="32"/>
      <c r="FK1220" s="32"/>
      <c r="FL1220" s="32"/>
      <c r="FM1220" s="32"/>
      <c r="FN1220" s="32"/>
      <c r="FO1220" s="32"/>
      <c r="FP1220" s="32"/>
      <c r="FQ1220" s="32"/>
      <c r="FR1220" s="32"/>
      <c r="FS1220" s="32"/>
      <c r="FT1220" s="32"/>
      <c r="FU1220" s="32"/>
      <c r="FV1220" s="32"/>
      <c r="FW1220" s="32"/>
      <c r="FX1220" s="32"/>
      <c r="FY1220" s="32"/>
      <c r="FZ1220" s="32"/>
      <c r="GA1220" s="32"/>
      <c r="GB1220" s="32"/>
      <c r="GC1220" s="32"/>
      <c r="GD1220" s="32"/>
      <c r="GE1220" s="32"/>
      <c r="GF1220" s="32"/>
      <c r="GG1220" s="32"/>
      <c r="GH1220" s="32"/>
      <c r="GI1220" s="32"/>
      <c r="GJ1220" s="32"/>
      <c r="GK1220" s="32"/>
      <c r="GL1220" s="32"/>
      <c r="GM1220" s="32"/>
      <c r="GN1220" s="32"/>
      <c r="GO1220" s="32"/>
      <c r="GP1220" s="32"/>
      <c r="GQ1220" s="32"/>
      <c r="GR1220" s="32"/>
      <c r="GS1220" s="32"/>
      <c r="GT1220" s="32"/>
      <c r="GU1220" s="32"/>
      <c r="GV1220" s="32"/>
      <c r="GW1220" s="32"/>
      <c r="GX1220" s="32"/>
      <c r="GY1220" s="32"/>
      <c r="GZ1220" s="32"/>
      <c r="HA1220" s="32"/>
      <c r="HB1220" s="32"/>
      <c r="HC1220" s="32"/>
      <c r="HD1220" s="32"/>
      <c r="HE1220" s="32"/>
      <c r="HF1220" s="32"/>
      <c r="HG1220" s="32"/>
      <c r="HH1220" s="32"/>
      <c r="HI1220" s="32"/>
      <c r="HJ1220" s="32"/>
      <c r="HK1220" s="32"/>
      <c r="HL1220" s="32"/>
      <c r="HM1220" s="32"/>
      <c r="HN1220" s="32"/>
      <c r="HO1220" s="32"/>
      <c r="HP1220" s="32"/>
      <c r="HQ1220" s="32"/>
      <c r="HR1220" s="32"/>
      <c r="HS1220" s="32"/>
      <c r="HT1220" s="32"/>
      <c r="HU1220" s="32"/>
      <c r="HV1220" s="32"/>
      <c r="HW1220" s="32"/>
      <c r="HX1220" s="32"/>
      <c r="HY1220" s="32"/>
      <c r="HZ1220" s="32"/>
      <c r="IA1220" s="32"/>
      <c r="IB1220" s="32"/>
      <c r="IC1220" s="32"/>
      <c r="ID1220" s="32"/>
      <c r="IE1220" s="32"/>
      <c r="IF1220" s="32"/>
      <c r="IG1220" s="32"/>
      <c r="IH1220" s="32"/>
      <c r="II1220" s="32"/>
      <c r="IJ1220" s="32"/>
      <c r="IK1220" s="32"/>
      <c r="IL1220" s="32"/>
      <c r="IM1220" s="32"/>
      <c r="IN1220" s="32"/>
      <c r="IO1220" s="32"/>
      <c r="IP1220" s="32"/>
      <c r="IQ1220" s="32"/>
      <c r="IR1220" s="32"/>
      <c r="IS1220" s="32"/>
      <c r="IT1220" s="32"/>
      <c r="IU1220" s="32"/>
      <c r="IV1220" s="32"/>
      <c r="IW1220" s="32"/>
      <c r="IX1220" s="32"/>
      <c r="IY1220" s="32"/>
      <c r="IZ1220" s="32"/>
      <c r="JA1220" s="32"/>
      <c r="JB1220" s="32"/>
      <c r="JC1220" s="32"/>
      <c r="JD1220" s="32"/>
      <c r="JE1220" s="32"/>
      <c r="JF1220" s="32"/>
      <c r="JG1220" s="32"/>
      <c r="JH1220" s="32"/>
      <c r="JI1220" s="32"/>
      <c r="JJ1220" s="32"/>
      <c r="JK1220" s="32"/>
      <c r="JL1220" s="32"/>
      <c r="JM1220" s="32"/>
      <c r="JN1220" s="32"/>
      <c r="JO1220" s="32"/>
      <c r="JP1220" s="32"/>
      <c r="JQ1220" s="32"/>
      <c r="JR1220" s="32"/>
      <c r="JS1220" s="32"/>
      <c r="JT1220" s="32"/>
      <c r="JU1220" s="32"/>
      <c r="JV1220" s="32"/>
      <c r="JW1220" s="32"/>
      <c r="JX1220" s="32"/>
      <c r="JY1220" s="32"/>
      <c r="JZ1220" s="32"/>
      <c r="KA1220" s="32"/>
      <c r="KB1220" s="32"/>
      <c r="KC1220" s="32"/>
      <c r="KD1220" s="32"/>
      <c r="KE1220" s="32"/>
    </row>
    <row r="1221" spans="1:291" s="25" customFormat="1" ht="35" customHeight="1">
      <c r="A1221" s="23">
        <f>ROW()-3</f>
        <v>1218</v>
      </c>
      <c r="B1221" s="29" t="s">
        <v>5597</v>
      </c>
      <c r="C1221" s="183" t="s">
        <v>4345</v>
      </c>
      <c r="D1221" s="267" t="s">
        <v>5500</v>
      </c>
      <c r="E1221" s="267" t="s">
        <v>5533</v>
      </c>
      <c r="F1221" s="267" t="s">
        <v>5534</v>
      </c>
      <c r="G1221" s="42" t="s">
        <v>3253</v>
      </c>
      <c r="H1221" s="29">
        <v>32</v>
      </c>
      <c r="I1221" s="268">
        <v>5.7583333333333337</v>
      </c>
      <c r="J1221" s="269">
        <v>44614</v>
      </c>
      <c r="K1221" s="84" t="s">
        <v>5579</v>
      </c>
      <c r="L1221" s="75">
        <v>29.9</v>
      </c>
      <c r="M1221" s="32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32"/>
      <c r="AG1221" s="32"/>
      <c r="AH1221" s="32"/>
      <c r="AI1221" s="32"/>
      <c r="AJ1221" s="32"/>
      <c r="AK1221" s="32"/>
      <c r="AL1221" s="32"/>
      <c r="AM1221" s="32"/>
      <c r="AN1221" s="32"/>
      <c r="AO1221" s="32"/>
      <c r="AP1221" s="32"/>
      <c r="AQ1221" s="32"/>
      <c r="AR1221" s="32"/>
      <c r="AS1221" s="32"/>
      <c r="AT1221" s="32"/>
      <c r="AU1221" s="32"/>
      <c r="AV1221" s="32"/>
      <c r="AW1221" s="32"/>
      <c r="AX1221" s="32"/>
      <c r="AY1221" s="32"/>
      <c r="AZ1221" s="32"/>
      <c r="BA1221" s="32"/>
      <c r="BB1221" s="32"/>
      <c r="BC1221" s="32"/>
      <c r="BD1221" s="32"/>
      <c r="BE1221" s="32"/>
      <c r="BF1221" s="32"/>
      <c r="BG1221" s="32"/>
      <c r="BH1221" s="32"/>
      <c r="BI1221" s="32"/>
      <c r="BJ1221" s="32"/>
      <c r="BK1221" s="32"/>
      <c r="BL1221" s="32"/>
      <c r="BM1221" s="32"/>
      <c r="BN1221" s="32"/>
      <c r="BO1221" s="32"/>
      <c r="BP1221" s="32"/>
      <c r="BQ1221" s="32"/>
      <c r="BR1221" s="32"/>
      <c r="BS1221" s="32"/>
      <c r="BT1221" s="32"/>
      <c r="BU1221" s="32"/>
      <c r="BV1221" s="32"/>
      <c r="BW1221" s="32"/>
      <c r="BX1221" s="32"/>
      <c r="BY1221" s="32"/>
      <c r="BZ1221" s="32"/>
      <c r="CA1221" s="32"/>
      <c r="CB1221" s="32"/>
      <c r="CC1221" s="32"/>
      <c r="CD1221" s="32"/>
      <c r="CE1221" s="32"/>
      <c r="CF1221" s="32"/>
      <c r="CG1221" s="32"/>
      <c r="CH1221" s="32"/>
      <c r="CI1221" s="32"/>
      <c r="CJ1221" s="32"/>
      <c r="CK1221" s="32"/>
      <c r="CL1221" s="32"/>
      <c r="CM1221" s="32"/>
      <c r="CN1221" s="32"/>
      <c r="CO1221" s="32"/>
      <c r="CP1221" s="32"/>
      <c r="CQ1221" s="32"/>
      <c r="CR1221" s="32"/>
      <c r="CS1221" s="32"/>
      <c r="CT1221" s="32"/>
      <c r="CU1221" s="32"/>
      <c r="CV1221" s="32"/>
      <c r="CW1221" s="32"/>
      <c r="CX1221" s="32"/>
      <c r="CY1221" s="32"/>
      <c r="CZ1221" s="32"/>
      <c r="DA1221" s="32"/>
      <c r="DB1221" s="32"/>
      <c r="DC1221" s="32"/>
      <c r="DD1221" s="32"/>
      <c r="DE1221" s="32"/>
      <c r="DF1221" s="32"/>
      <c r="DG1221" s="32"/>
      <c r="DH1221" s="32"/>
      <c r="DI1221" s="32"/>
      <c r="DJ1221" s="32"/>
      <c r="DK1221" s="32"/>
      <c r="DL1221" s="32"/>
      <c r="DM1221" s="32"/>
      <c r="DN1221" s="32"/>
      <c r="DO1221" s="32"/>
      <c r="DP1221" s="32"/>
      <c r="DQ1221" s="32"/>
      <c r="DR1221" s="32"/>
      <c r="DS1221" s="32"/>
      <c r="DT1221" s="32"/>
      <c r="DU1221" s="32"/>
      <c r="DV1221" s="32"/>
      <c r="DW1221" s="32"/>
      <c r="DX1221" s="32"/>
      <c r="DY1221" s="32"/>
      <c r="DZ1221" s="32"/>
      <c r="EA1221" s="32"/>
      <c r="EB1221" s="32"/>
      <c r="EC1221" s="32"/>
      <c r="ED1221" s="32"/>
      <c r="EE1221" s="32"/>
      <c r="EF1221" s="32"/>
      <c r="EG1221" s="32"/>
      <c r="EH1221" s="32"/>
      <c r="EI1221" s="32"/>
      <c r="EJ1221" s="32"/>
      <c r="EK1221" s="32"/>
      <c r="EL1221" s="32"/>
      <c r="EM1221" s="32"/>
      <c r="EN1221" s="32"/>
      <c r="EO1221" s="32"/>
      <c r="EP1221" s="32"/>
      <c r="EQ1221" s="32"/>
      <c r="ER1221" s="32"/>
      <c r="ES1221" s="32"/>
      <c r="ET1221" s="32"/>
      <c r="EU1221" s="32"/>
      <c r="EV1221" s="32"/>
      <c r="EW1221" s="32"/>
      <c r="EX1221" s="32"/>
      <c r="EY1221" s="32"/>
      <c r="EZ1221" s="32"/>
      <c r="FA1221" s="32"/>
      <c r="FB1221" s="32"/>
      <c r="FC1221" s="32"/>
      <c r="FD1221" s="32"/>
      <c r="FE1221" s="32"/>
      <c r="FF1221" s="32"/>
      <c r="FG1221" s="32"/>
      <c r="FH1221" s="32"/>
      <c r="FI1221" s="32"/>
      <c r="FJ1221" s="32"/>
      <c r="FK1221" s="32"/>
      <c r="FL1221" s="32"/>
      <c r="FM1221" s="32"/>
      <c r="FN1221" s="32"/>
      <c r="FO1221" s="32"/>
      <c r="FP1221" s="32"/>
      <c r="FQ1221" s="32"/>
      <c r="FR1221" s="32"/>
      <c r="FS1221" s="32"/>
      <c r="FT1221" s="32"/>
      <c r="FU1221" s="32"/>
      <c r="FV1221" s="32"/>
      <c r="FW1221" s="32"/>
      <c r="FX1221" s="32"/>
      <c r="FY1221" s="32"/>
      <c r="FZ1221" s="32"/>
      <c r="GA1221" s="32"/>
      <c r="GB1221" s="32"/>
      <c r="GC1221" s="32"/>
      <c r="GD1221" s="32"/>
      <c r="GE1221" s="32"/>
      <c r="GF1221" s="32"/>
      <c r="GG1221" s="32"/>
      <c r="GH1221" s="32"/>
      <c r="GI1221" s="32"/>
      <c r="GJ1221" s="32"/>
      <c r="GK1221" s="32"/>
      <c r="GL1221" s="32"/>
      <c r="GM1221" s="32"/>
      <c r="GN1221" s="32"/>
      <c r="GO1221" s="32"/>
      <c r="GP1221" s="32"/>
      <c r="GQ1221" s="32"/>
      <c r="GR1221" s="32"/>
      <c r="GS1221" s="32"/>
      <c r="GT1221" s="32"/>
      <c r="GU1221" s="32"/>
      <c r="GV1221" s="32"/>
      <c r="GW1221" s="32"/>
      <c r="GX1221" s="32"/>
      <c r="GY1221" s="32"/>
      <c r="GZ1221" s="32"/>
      <c r="HA1221" s="32"/>
      <c r="HB1221" s="32"/>
      <c r="HC1221" s="32"/>
      <c r="HD1221" s="32"/>
      <c r="HE1221" s="32"/>
      <c r="HF1221" s="32"/>
      <c r="HG1221" s="32"/>
      <c r="HH1221" s="32"/>
      <c r="HI1221" s="32"/>
      <c r="HJ1221" s="32"/>
      <c r="HK1221" s="32"/>
      <c r="HL1221" s="32"/>
      <c r="HM1221" s="32"/>
      <c r="HN1221" s="32"/>
      <c r="HO1221" s="32"/>
      <c r="HP1221" s="32"/>
      <c r="HQ1221" s="32"/>
      <c r="HR1221" s="32"/>
      <c r="HS1221" s="32"/>
      <c r="HT1221" s="32"/>
      <c r="HU1221" s="32"/>
      <c r="HV1221" s="32"/>
      <c r="HW1221" s="32"/>
      <c r="HX1221" s="32"/>
      <c r="HY1221" s="32"/>
      <c r="HZ1221" s="32"/>
      <c r="IA1221" s="32"/>
      <c r="IB1221" s="32"/>
      <c r="IC1221" s="32"/>
      <c r="ID1221" s="32"/>
      <c r="IE1221" s="32"/>
      <c r="IF1221" s="32"/>
      <c r="IG1221" s="32"/>
      <c r="IH1221" s="32"/>
      <c r="II1221" s="32"/>
      <c r="IJ1221" s="32"/>
      <c r="IK1221" s="32"/>
      <c r="IL1221" s="32"/>
      <c r="IM1221" s="32"/>
      <c r="IN1221" s="32"/>
      <c r="IO1221" s="32"/>
      <c r="IP1221" s="32"/>
      <c r="IQ1221" s="32"/>
      <c r="IR1221" s="32"/>
      <c r="IS1221" s="32"/>
      <c r="IT1221" s="32"/>
      <c r="IU1221" s="32"/>
      <c r="IV1221" s="32"/>
      <c r="IW1221" s="32"/>
      <c r="IX1221" s="32"/>
      <c r="IY1221" s="32"/>
      <c r="IZ1221" s="32"/>
      <c r="JA1221" s="32"/>
      <c r="JB1221" s="32"/>
      <c r="JC1221" s="32"/>
      <c r="JD1221" s="32"/>
      <c r="JE1221" s="32"/>
      <c r="JF1221" s="32"/>
      <c r="JG1221" s="32"/>
      <c r="JH1221" s="32"/>
      <c r="JI1221" s="32"/>
      <c r="JJ1221" s="32"/>
      <c r="JK1221" s="32"/>
      <c r="JL1221" s="32"/>
      <c r="JM1221" s="32"/>
      <c r="JN1221" s="32"/>
      <c r="JO1221" s="32"/>
      <c r="JP1221" s="32"/>
      <c r="JQ1221" s="32"/>
      <c r="JR1221" s="32"/>
      <c r="JS1221" s="32"/>
      <c r="JT1221" s="32"/>
      <c r="JU1221" s="32"/>
      <c r="JV1221" s="32"/>
      <c r="JW1221" s="32"/>
      <c r="JX1221" s="32"/>
      <c r="JY1221" s="32"/>
      <c r="JZ1221" s="32"/>
      <c r="KA1221" s="32"/>
      <c r="KB1221" s="32"/>
      <c r="KC1221" s="32"/>
      <c r="KD1221" s="32"/>
      <c r="KE1221" s="32"/>
    </row>
    <row r="1222" spans="1:291" s="25" customFormat="1" ht="35" customHeight="1">
      <c r="A1222" s="23">
        <f>ROW()-3</f>
        <v>1219</v>
      </c>
      <c r="B1222" s="29" t="s">
        <v>5597</v>
      </c>
      <c r="C1222" s="183" t="s">
        <v>4345</v>
      </c>
      <c r="D1222" s="267" t="s">
        <v>5501</v>
      </c>
      <c r="E1222" s="267" t="s">
        <v>5532</v>
      </c>
      <c r="F1222" s="267" t="s">
        <v>5534</v>
      </c>
      <c r="G1222" s="42" t="s">
        <v>3253</v>
      </c>
      <c r="H1222" s="29">
        <v>64</v>
      </c>
      <c r="I1222" s="268">
        <v>10.144166666666667</v>
      </c>
      <c r="J1222" s="269">
        <v>44614</v>
      </c>
      <c r="K1222" s="84" t="s">
        <v>20</v>
      </c>
      <c r="L1222" s="75">
        <v>15.9</v>
      </c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32"/>
      <c r="AG1222" s="32"/>
      <c r="AH1222" s="32"/>
      <c r="AI1222" s="32"/>
      <c r="AJ1222" s="32"/>
      <c r="AK1222" s="32"/>
      <c r="AL1222" s="32"/>
      <c r="AM1222" s="32"/>
      <c r="AN1222" s="32"/>
      <c r="AO1222" s="32"/>
      <c r="AP1222" s="32"/>
      <c r="AQ1222" s="32"/>
      <c r="AR1222" s="32"/>
      <c r="AS1222" s="32"/>
      <c r="AT1222" s="32"/>
      <c r="AU1222" s="32"/>
      <c r="AV1222" s="32"/>
      <c r="AW1222" s="32"/>
      <c r="AX1222" s="32"/>
      <c r="AY1222" s="32"/>
      <c r="AZ1222" s="32"/>
      <c r="BA1222" s="32"/>
      <c r="BB1222" s="32"/>
      <c r="BC1222" s="32"/>
      <c r="BD1222" s="32"/>
      <c r="BE1222" s="32"/>
      <c r="BF1222" s="32"/>
      <c r="BG1222" s="32"/>
      <c r="BH1222" s="32"/>
      <c r="BI1222" s="32"/>
      <c r="BJ1222" s="32"/>
      <c r="BK1222" s="32"/>
      <c r="BL1222" s="32"/>
      <c r="BM1222" s="32"/>
      <c r="BN1222" s="32"/>
      <c r="BO1222" s="32"/>
      <c r="BP1222" s="32"/>
      <c r="BQ1222" s="32"/>
      <c r="BR1222" s="32"/>
      <c r="BS1222" s="32"/>
      <c r="BT1222" s="32"/>
      <c r="BU1222" s="32"/>
      <c r="BV1222" s="32"/>
      <c r="BW1222" s="32"/>
      <c r="BX1222" s="32"/>
      <c r="BY1222" s="32"/>
      <c r="BZ1222" s="32"/>
      <c r="CA1222" s="32"/>
      <c r="CB1222" s="32"/>
      <c r="CC1222" s="32"/>
      <c r="CD1222" s="32"/>
      <c r="CE1222" s="32"/>
      <c r="CF1222" s="32"/>
      <c r="CG1222" s="32"/>
      <c r="CH1222" s="32"/>
      <c r="CI1222" s="32"/>
      <c r="CJ1222" s="32"/>
      <c r="CK1222" s="32"/>
      <c r="CL1222" s="32"/>
      <c r="CM1222" s="32"/>
      <c r="CN1222" s="32"/>
      <c r="CO1222" s="32"/>
      <c r="CP1222" s="32"/>
      <c r="CQ1222" s="32"/>
      <c r="CR1222" s="32"/>
      <c r="CS1222" s="32"/>
      <c r="CT1222" s="32"/>
      <c r="CU1222" s="32"/>
      <c r="CV1222" s="32"/>
      <c r="CW1222" s="32"/>
      <c r="CX1222" s="32"/>
      <c r="CY1222" s="32"/>
      <c r="CZ1222" s="32"/>
      <c r="DA1222" s="32"/>
      <c r="DB1222" s="32"/>
      <c r="DC1222" s="32"/>
      <c r="DD1222" s="32"/>
      <c r="DE1222" s="32"/>
      <c r="DF1222" s="32"/>
      <c r="DG1222" s="32"/>
      <c r="DH1222" s="32"/>
      <c r="DI1222" s="32"/>
      <c r="DJ1222" s="32"/>
      <c r="DK1222" s="32"/>
      <c r="DL1222" s="32"/>
      <c r="DM1222" s="32"/>
      <c r="DN1222" s="32"/>
      <c r="DO1222" s="32"/>
      <c r="DP1222" s="32"/>
      <c r="DQ1222" s="32"/>
      <c r="DR1222" s="32"/>
      <c r="DS1222" s="32"/>
      <c r="DT1222" s="32"/>
      <c r="DU1222" s="32"/>
      <c r="DV1222" s="32"/>
      <c r="DW1222" s="32"/>
      <c r="DX1222" s="32"/>
      <c r="DY1222" s="32"/>
      <c r="DZ1222" s="32"/>
      <c r="EA1222" s="32"/>
      <c r="EB1222" s="32"/>
      <c r="EC1222" s="32"/>
      <c r="ED1222" s="32"/>
      <c r="EE1222" s="32"/>
      <c r="EF1222" s="32"/>
      <c r="EG1222" s="32"/>
      <c r="EH1222" s="32"/>
      <c r="EI1222" s="32"/>
      <c r="EJ1222" s="32"/>
      <c r="EK1222" s="32"/>
      <c r="EL1222" s="32"/>
      <c r="EM1222" s="32"/>
      <c r="EN1222" s="32"/>
      <c r="EO1222" s="32"/>
      <c r="EP1222" s="32"/>
      <c r="EQ1222" s="32"/>
      <c r="ER1222" s="32"/>
      <c r="ES1222" s="32"/>
      <c r="ET1222" s="32"/>
      <c r="EU1222" s="32"/>
      <c r="EV1222" s="32"/>
      <c r="EW1222" s="32"/>
      <c r="EX1222" s="32"/>
      <c r="EY1222" s="32"/>
      <c r="EZ1222" s="32"/>
      <c r="FA1222" s="32"/>
      <c r="FB1222" s="32"/>
      <c r="FC1222" s="32"/>
      <c r="FD1222" s="32"/>
      <c r="FE1222" s="32"/>
      <c r="FF1222" s="32"/>
      <c r="FG1222" s="32"/>
      <c r="FH1222" s="32"/>
      <c r="FI1222" s="32"/>
      <c r="FJ1222" s="32"/>
      <c r="FK1222" s="32"/>
      <c r="FL1222" s="32"/>
      <c r="FM1222" s="32"/>
      <c r="FN1222" s="32"/>
      <c r="FO1222" s="32"/>
      <c r="FP1222" s="32"/>
      <c r="FQ1222" s="32"/>
      <c r="FR1222" s="32"/>
      <c r="FS1222" s="32"/>
      <c r="FT1222" s="32"/>
      <c r="FU1222" s="32"/>
      <c r="FV1222" s="32"/>
      <c r="FW1222" s="32"/>
      <c r="FX1222" s="32"/>
      <c r="FY1222" s="32"/>
      <c r="FZ1222" s="32"/>
      <c r="GA1222" s="32"/>
      <c r="GB1222" s="32"/>
      <c r="GC1222" s="32"/>
      <c r="GD1222" s="32"/>
      <c r="GE1222" s="32"/>
      <c r="GF1222" s="32"/>
      <c r="GG1222" s="32"/>
      <c r="GH1222" s="32"/>
      <c r="GI1222" s="32"/>
      <c r="GJ1222" s="32"/>
      <c r="GK1222" s="32"/>
      <c r="GL1222" s="32"/>
      <c r="GM1222" s="32"/>
      <c r="GN1222" s="32"/>
      <c r="GO1222" s="32"/>
      <c r="GP1222" s="32"/>
      <c r="GQ1222" s="32"/>
      <c r="GR1222" s="32"/>
      <c r="GS1222" s="32"/>
      <c r="GT1222" s="32"/>
      <c r="GU1222" s="32"/>
      <c r="GV1222" s="32"/>
      <c r="GW1222" s="32"/>
      <c r="GX1222" s="32"/>
      <c r="GY1222" s="32"/>
      <c r="GZ1222" s="32"/>
      <c r="HA1222" s="32"/>
      <c r="HB1222" s="32"/>
      <c r="HC1222" s="32"/>
      <c r="HD1222" s="32"/>
      <c r="HE1222" s="32"/>
      <c r="HF1222" s="32"/>
      <c r="HG1222" s="32"/>
      <c r="HH1222" s="32"/>
      <c r="HI1222" s="32"/>
      <c r="HJ1222" s="32"/>
      <c r="HK1222" s="32"/>
      <c r="HL1222" s="32"/>
      <c r="HM1222" s="32"/>
      <c r="HN1222" s="32"/>
      <c r="HO1222" s="32"/>
      <c r="HP1222" s="32"/>
      <c r="HQ1222" s="32"/>
      <c r="HR1222" s="32"/>
      <c r="HS1222" s="32"/>
      <c r="HT1222" s="32"/>
      <c r="HU1222" s="32"/>
      <c r="HV1222" s="32"/>
      <c r="HW1222" s="32"/>
      <c r="HX1222" s="32"/>
      <c r="HY1222" s="32"/>
      <c r="HZ1222" s="32"/>
      <c r="IA1222" s="32"/>
      <c r="IB1222" s="32"/>
      <c r="IC1222" s="32"/>
      <c r="ID1222" s="32"/>
      <c r="IE1222" s="32"/>
      <c r="IF1222" s="32"/>
      <c r="IG1222" s="32"/>
      <c r="IH1222" s="32"/>
      <c r="II1222" s="32"/>
      <c r="IJ1222" s="32"/>
      <c r="IK1222" s="32"/>
      <c r="IL1222" s="32"/>
      <c r="IM1222" s="32"/>
      <c r="IN1222" s="32"/>
      <c r="IO1222" s="32"/>
      <c r="IP1222" s="32"/>
      <c r="IQ1222" s="32"/>
      <c r="IR1222" s="32"/>
      <c r="IS1222" s="32"/>
      <c r="IT1222" s="32"/>
      <c r="IU1222" s="32"/>
      <c r="IV1222" s="32"/>
      <c r="IW1222" s="32"/>
      <c r="IX1222" s="32"/>
      <c r="IY1222" s="32"/>
      <c r="IZ1222" s="32"/>
      <c r="JA1222" s="32"/>
      <c r="JB1222" s="32"/>
      <c r="JC1222" s="32"/>
      <c r="JD1222" s="32"/>
      <c r="JE1222" s="32"/>
      <c r="JF1222" s="32"/>
      <c r="JG1222" s="32"/>
      <c r="JH1222" s="32"/>
      <c r="JI1222" s="32"/>
      <c r="JJ1222" s="32"/>
      <c r="JK1222" s="32"/>
      <c r="JL1222" s="32"/>
      <c r="JM1222" s="32"/>
      <c r="JN1222" s="32"/>
      <c r="JO1222" s="32"/>
      <c r="JP1222" s="32"/>
      <c r="JQ1222" s="32"/>
      <c r="JR1222" s="32"/>
      <c r="JS1222" s="32"/>
      <c r="JT1222" s="32"/>
      <c r="JU1222" s="32"/>
      <c r="JV1222" s="32"/>
      <c r="JW1222" s="32"/>
      <c r="JX1222" s="32"/>
      <c r="JY1222" s="32"/>
      <c r="JZ1222" s="32"/>
      <c r="KA1222" s="32"/>
      <c r="KB1222" s="32"/>
      <c r="KC1222" s="32"/>
      <c r="KD1222" s="32"/>
      <c r="KE1222" s="32"/>
    </row>
    <row r="1223" spans="1:291" s="25" customFormat="1" ht="35" customHeight="1">
      <c r="A1223" s="23">
        <f>ROW()-3</f>
        <v>1220</v>
      </c>
      <c r="B1223" s="29" t="s">
        <v>5597</v>
      </c>
      <c r="C1223" s="183" t="s">
        <v>4345</v>
      </c>
      <c r="D1223" s="267" t="s">
        <v>5545</v>
      </c>
      <c r="E1223" s="267" t="s">
        <v>5546</v>
      </c>
      <c r="F1223" s="267" t="s">
        <v>5259</v>
      </c>
      <c r="G1223" s="42" t="s">
        <v>3253</v>
      </c>
      <c r="H1223" s="29">
        <v>18</v>
      </c>
      <c r="I1223" s="268">
        <v>2.9286111111111111</v>
      </c>
      <c r="J1223" s="269">
        <v>44614</v>
      </c>
      <c r="K1223" s="84" t="s">
        <v>20</v>
      </c>
      <c r="L1223" s="75">
        <v>5.99</v>
      </c>
      <c r="M1223" s="32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32"/>
      <c r="AG1223" s="32"/>
      <c r="AH1223" s="32"/>
      <c r="AI1223" s="32"/>
      <c r="AJ1223" s="32"/>
      <c r="AK1223" s="32"/>
      <c r="AL1223" s="32"/>
      <c r="AM1223" s="32"/>
      <c r="AN1223" s="32"/>
      <c r="AO1223" s="32"/>
      <c r="AP1223" s="32"/>
      <c r="AQ1223" s="32"/>
      <c r="AR1223" s="32"/>
      <c r="AS1223" s="32"/>
      <c r="AT1223" s="32"/>
      <c r="AU1223" s="32"/>
      <c r="AV1223" s="32"/>
      <c r="AW1223" s="32"/>
      <c r="AX1223" s="32"/>
      <c r="AY1223" s="32"/>
      <c r="AZ1223" s="32"/>
      <c r="BA1223" s="32"/>
      <c r="BB1223" s="32"/>
      <c r="BC1223" s="32"/>
      <c r="BD1223" s="32"/>
      <c r="BE1223" s="32"/>
      <c r="BF1223" s="32"/>
      <c r="BG1223" s="32"/>
      <c r="BH1223" s="32"/>
      <c r="BI1223" s="32"/>
      <c r="BJ1223" s="32"/>
      <c r="BK1223" s="32"/>
      <c r="BL1223" s="32"/>
      <c r="BM1223" s="32"/>
      <c r="BN1223" s="32"/>
      <c r="BO1223" s="32"/>
      <c r="BP1223" s="32"/>
      <c r="BQ1223" s="32"/>
      <c r="BR1223" s="32"/>
      <c r="BS1223" s="32"/>
      <c r="BT1223" s="32"/>
      <c r="BU1223" s="32"/>
      <c r="BV1223" s="32"/>
      <c r="BW1223" s="32"/>
      <c r="BX1223" s="32"/>
      <c r="BY1223" s="32"/>
      <c r="BZ1223" s="32"/>
      <c r="CA1223" s="32"/>
      <c r="CB1223" s="32"/>
      <c r="CC1223" s="32"/>
      <c r="CD1223" s="32"/>
      <c r="CE1223" s="32"/>
      <c r="CF1223" s="32"/>
      <c r="CG1223" s="32"/>
      <c r="CH1223" s="32"/>
      <c r="CI1223" s="32"/>
      <c r="CJ1223" s="32"/>
      <c r="CK1223" s="32"/>
      <c r="CL1223" s="32"/>
      <c r="CM1223" s="32"/>
      <c r="CN1223" s="32"/>
      <c r="CO1223" s="32"/>
      <c r="CP1223" s="32"/>
      <c r="CQ1223" s="32"/>
      <c r="CR1223" s="32"/>
      <c r="CS1223" s="32"/>
      <c r="CT1223" s="32"/>
      <c r="CU1223" s="32"/>
      <c r="CV1223" s="32"/>
      <c r="CW1223" s="32"/>
      <c r="CX1223" s="32"/>
      <c r="CY1223" s="32"/>
      <c r="CZ1223" s="32"/>
      <c r="DA1223" s="32"/>
      <c r="DB1223" s="32"/>
      <c r="DC1223" s="32"/>
      <c r="DD1223" s="32"/>
      <c r="DE1223" s="32"/>
      <c r="DF1223" s="32"/>
      <c r="DG1223" s="32"/>
      <c r="DH1223" s="32"/>
      <c r="DI1223" s="32"/>
      <c r="DJ1223" s="32"/>
      <c r="DK1223" s="32"/>
      <c r="DL1223" s="32"/>
      <c r="DM1223" s="32"/>
      <c r="DN1223" s="32"/>
      <c r="DO1223" s="32"/>
      <c r="DP1223" s="32"/>
      <c r="DQ1223" s="32"/>
      <c r="DR1223" s="32"/>
      <c r="DS1223" s="32"/>
      <c r="DT1223" s="32"/>
      <c r="DU1223" s="32"/>
      <c r="DV1223" s="32"/>
      <c r="DW1223" s="32"/>
      <c r="DX1223" s="32"/>
      <c r="DY1223" s="32"/>
      <c r="DZ1223" s="32"/>
      <c r="EA1223" s="32"/>
      <c r="EB1223" s="32"/>
      <c r="EC1223" s="32"/>
      <c r="ED1223" s="32"/>
      <c r="EE1223" s="32"/>
      <c r="EF1223" s="32"/>
      <c r="EG1223" s="32"/>
      <c r="EH1223" s="32"/>
      <c r="EI1223" s="32"/>
      <c r="EJ1223" s="32"/>
      <c r="EK1223" s="32"/>
      <c r="EL1223" s="32"/>
      <c r="EM1223" s="32"/>
      <c r="EN1223" s="32"/>
      <c r="EO1223" s="32"/>
      <c r="EP1223" s="32"/>
      <c r="EQ1223" s="32"/>
      <c r="ER1223" s="32"/>
      <c r="ES1223" s="32"/>
      <c r="ET1223" s="32"/>
      <c r="EU1223" s="32"/>
      <c r="EV1223" s="32"/>
      <c r="EW1223" s="32"/>
      <c r="EX1223" s="32"/>
      <c r="EY1223" s="32"/>
      <c r="EZ1223" s="32"/>
      <c r="FA1223" s="32"/>
      <c r="FB1223" s="32"/>
      <c r="FC1223" s="32"/>
      <c r="FD1223" s="32"/>
      <c r="FE1223" s="32"/>
      <c r="FF1223" s="32"/>
      <c r="FG1223" s="32"/>
      <c r="FH1223" s="32"/>
      <c r="FI1223" s="32"/>
      <c r="FJ1223" s="32"/>
      <c r="FK1223" s="32"/>
      <c r="FL1223" s="32"/>
      <c r="FM1223" s="32"/>
      <c r="FN1223" s="32"/>
      <c r="FO1223" s="32"/>
      <c r="FP1223" s="32"/>
      <c r="FQ1223" s="32"/>
      <c r="FR1223" s="32"/>
      <c r="FS1223" s="32"/>
      <c r="FT1223" s="32"/>
      <c r="FU1223" s="32"/>
      <c r="FV1223" s="32"/>
      <c r="FW1223" s="32"/>
      <c r="FX1223" s="32"/>
      <c r="FY1223" s="32"/>
      <c r="FZ1223" s="32"/>
      <c r="GA1223" s="32"/>
      <c r="GB1223" s="32"/>
      <c r="GC1223" s="32"/>
      <c r="GD1223" s="32"/>
      <c r="GE1223" s="32"/>
      <c r="GF1223" s="32"/>
      <c r="GG1223" s="32"/>
      <c r="GH1223" s="32"/>
      <c r="GI1223" s="32"/>
      <c r="GJ1223" s="32"/>
      <c r="GK1223" s="32"/>
      <c r="GL1223" s="32"/>
      <c r="GM1223" s="32"/>
      <c r="GN1223" s="32"/>
      <c r="GO1223" s="32"/>
      <c r="GP1223" s="32"/>
      <c r="GQ1223" s="32"/>
      <c r="GR1223" s="32"/>
      <c r="GS1223" s="32"/>
      <c r="GT1223" s="32"/>
      <c r="GU1223" s="32"/>
      <c r="GV1223" s="32"/>
      <c r="GW1223" s="32"/>
      <c r="GX1223" s="32"/>
      <c r="GY1223" s="32"/>
      <c r="GZ1223" s="32"/>
      <c r="HA1223" s="32"/>
      <c r="HB1223" s="32"/>
      <c r="HC1223" s="32"/>
      <c r="HD1223" s="32"/>
      <c r="HE1223" s="32"/>
      <c r="HF1223" s="32"/>
      <c r="HG1223" s="32"/>
      <c r="HH1223" s="32"/>
      <c r="HI1223" s="32"/>
      <c r="HJ1223" s="32"/>
      <c r="HK1223" s="32"/>
      <c r="HL1223" s="32"/>
      <c r="HM1223" s="32"/>
      <c r="HN1223" s="32"/>
      <c r="HO1223" s="32"/>
      <c r="HP1223" s="32"/>
      <c r="HQ1223" s="32"/>
      <c r="HR1223" s="32"/>
      <c r="HS1223" s="32"/>
      <c r="HT1223" s="32"/>
      <c r="HU1223" s="32"/>
      <c r="HV1223" s="32"/>
      <c r="HW1223" s="32"/>
      <c r="HX1223" s="32"/>
      <c r="HY1223" s="32"/>
      <c r="HZ1223" s="32"/>
      <c r="IA1223" s="32"/>
      <c r="IB1223" s="32"/>
      <c r="IC1223" s="32"/>
      <c r="ID1223" s="32"/>
      <c r="IE1223" s="32"/>
      <c r="IF1223" s="32"/>
      <c r="IG1223" s="32"/>
      <c r="IH1223" s="32"/>
      <c r="II1223" s="32"/>
      <c r="IJ1223" s="32"/>
      <c r="IK1223" s="32"/>
      <c r="IL1223" s="32"/>
      <c r="IM1223" s="32"/>
      <c r="IN1223" s="32"/>
      <c r="IO1223" s="32"/>
      <c r="IP1223" s="32"/>
      <c r="IQ1223" s="32"/>
      <c r="IR1223" s="32"/>
      <c r="IS1223" s="32"/>
      <c r="IT1223" s="32"/>
      <c r="IU1223" s="32"/>
      <c r="IV1223" s="32"/>
      <c r="IW1223" s="32"/>
      <c r="IX1223" s="32"/>
      <c r="IY1223" s="32"/>
      <c r="IZ1223" s="32"/>
      <c r="JA1223" s="32"/>
      <c r="JB1223" s="32"/>
      <c r="JC1223" s="32"/>
      <c r="JD1223" s="32"/>
      <c r="JE1223" s="32"/>
      <c r="JF1223" s="32"/>
      <c r="JG1223" s="32"/>
      <c r="JH1223" s="32"/>
      <c r="JI1223" s="32"/>
      <c r="JJ1223" s="32"/>
      <c r="JK1223" s="32"/>
      <c r="JL1223" s="32"/>
      <c r="JM1223" s="32"/>
      <c r="JN1223" s="32"/>
      <c r="JO1223" s="32"/>
      <c r="JP1223" s="32"/>
      <c r="JQ1223" s="32"/>
      <c r="JR1223" s="32"/>
      <c r="JS1223" s="32"/>
      <c r="JT1223" s="32"/>
      <c r="JU1223" s="32"/>
      <c r="JV1223" s="32"/>
      <c r="JW1223" s="32"/>
      <c r="JX1223" s="32"/>
      <c r="JY1223" s="32"/>
      <c r="JZ1223" s="32"/>
      <c r="KA1223" s="32"/>
      <c r="KB1223" s="32"/>
      <c r="KC1223" s="32"/>
      <c r="KD1223" s="32"/>
      <c r="KE1223" s="32"/>
    </row>
    <row r="1224" spans="1:291" s="25" customFormat="1" ht="35" customHeight="1">
      <c r="A1224" s="23">
        <f>ROW()-3</f>
        <v>1221</v>
      </c>
      <c r="B1224" s="29" t="s">
        <v>5597</v>
      </c>
      <c r="C1224" s="183" t="s">
        <v>4345</v>
      </c>
      <c r="D1224" s="267" t="s">
        <v>5547</v>
      </c>
      <c r="E1224" s="267" t="s">
        <v>5548</v>
      </c>
      <c r="F1224" s="267"/>
      <c r="G1224" s="42" t="s">
        <v>3253</v>
      </c>
      <c r="H1224" s="29">
        <v>73</v>
      </c>
      <c r="I1224" s="268">
        <v>9.580277777777777</v>
      </c>
      <c r="J1224" s="269">
        <v>44614</v>
      </c>
      <c r="K1224" s="84" t="s">
        <v>20</v>
      </c>
      <c r="L1224" s="75">
        <v>20.99</v>
      </c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32"/>
      <c r="AG1224" s="32"/>
      <c r="AH1224" s="32"/>
      <c r="AI1224" s="32"/>
      <c r="AJ1224" s="32"/>
      <c r="AK1224" s="32"/>
      <c r="AL1224" s="32"/>
      <c r="AM1224" s="32"/>
      <c r="AN1224" s="32"/>
      <c r="AO1224" s="32"/>
      <c r="AP1224" s="32"/>
      <c r="AQ1224" s="32"/>
      <c r="AR1224" s="32"/>
      <c r="AS1224" s="32"/>
      <c r="AT1224" s="32"/>
      <c r="AU1224" s="32"/>
      <c r="AV1224" s="32"/>
      <c r="AW1224" s="32"/>
      <c r="AX1224" s="32"/>
      <c r="AY1224" s="32"/>
      <c r="AZ1224" s="32"/>
      <c r="BA1224" s="32"/>
      <c r="BB1224" s="32"/>
      <c r="BC1224" s="32"/>
      <c r="BD1224" s="32"/>
      <c r="BE1224" s="32"/>
      <c r="BF1224" s="32"/>
      <c r="BG1224" s="32"/>
      <c r="BH1224" s="32"/>
      <c r="BI1224" s="32"/>
      <c r="BJ1224" s="32"/>
      <c r="BK1224" s="32"/>
      <c r="BL1224" s="32"/>
      <c r="BM1224" s="32"/>
      <c r="BN1224" s="32"/>
      <c r="BO1224" s="32"/>
      <c r="BP1224" s="32"/>
      <c r="BQ1224" s="32"/>
      <c r="BR1224" s="32"/>
      <c r="BS1224" s="32"/>
      <c r="BT1224" s="32"/>
      <c r="BU1224" s="32"/>
      <c r="BV1224" s="32"/>
      <c r="BW1224" s="32"/>
      <c r="BX1224" s="32"/>
      <c r="BY1224" s="32"/>
      <c r="BZ1224" s="32"/>
      <c r="CA1224" s="32"/>
      <c r="CB1224" s="32"/>
      <c r="CC1224" s="32"/>
      <c r="CD1224" s="32"/>
      <c r="CE1224" s="32"/>
      <c r="CF1224" s="32"/>
      <c r="CG1224" s="32"/>
      <c r="CH1224" s="32"/>
      <c r="CI1224" s="32"/>
      <c r="CJ1224" s="32"/>
      <c r="CK1224" s="32"/>
      <c r="CL1224" s="32"/>
      <c r="CM1224" s="32"/>
      <c r="CN1224" s="32"/>
      <c r="CO1224" s="32"/>
      <c r="CP1224" s="32"/>
      <c r="CQ1224" s="32"/>
      <c r="CR1224" s="32"/>
      <c r="CS1224" s="32"/>
      <c r="CT1224" s="32"/>
      <c r="CU1224" s="32"/>
      <c r="CV1224" s="32"/>
      <c r="CW1224" s="32"/>
      <c r="CX1224" s="32"/>
      <c r="CY1224" s="32"/>
      <c r="CZ1224" s="32"/>
      <c r="DA1224" s="32"/>
      <c r="DB1224" s="32"/>
      <c r="DC1224" s="32"/>
      <c r="DD1224" s="32"/>
      <c r="DE1224" s="32"/>
      <c r="DF1224" s="32"/>
      <c r="DG1224" s="32"/>
      <c r="DH1224" s="32"/>
      <c r="DI1224" s="32"/>
      <c r="DJ1224" s="32"/>
      <c r="DK1224" s="32"/>
      <c r="DL1224" s="32"/>
      <c r="DM1224" s="32"/>
      <c r="DN1224" s="32"/>
      <c r="DO1224" s="32"/>
      <c r="DP1224" s="32"/>
      <c r="DQ1224" s="32"/>
      <c r="DR1224" s="32"/>
      <c r="DS1224" s="32"/>
      <c r="DT1224" s="32"/>
      <c r="DU1224" s="32"/>
      <c r="DV1224" s="32"/>
      <c r="DW1224" s="32"/>
      <c r="DX1224" s="32"/>
      <c r="DY1224" s="32"/>
      <c r="DZ1224" s="32"/>
      <c r="EA1224" s="32"/>
      <c r="EB1224" s="32"/>
      <c r="EC1224" s="32"/>
      <c r="ED1224" s="32"/>
      <c r="EE1224" s="32"/>
      <c r="EF1224" s="32"/>
      <c r="EG1224" s="32"/>
      <c r="EH1224" s="32"/>
      <c r="EI1224" s="32"/>
      <c r="EJ1224" s="32"/>
      <c r="EK1224" s="32"/>
      <c r="EL1224" s="32"/>
      <c r="EM1224" s="32"/>
      <c r="EN1224" s="32"/>
      <c r="EO1224" s="32"/>
      <c r="EP1224" s="32"/>
      <c r="EQ1224" s="32"/>
      <c r="ER1224" s="32"/>
      <c r="ES1224" s="32"/>
      <c r="ET1224" s="32"/>
      <c r="EU1224" s="32"/>
      <c r="EV1224" s="32"/>
      <c r="EW1224" s="32"/>
      <c r="EX1224" s="32"/>
      <c r="EY1224" s="32"/>
      <c r="EZ1224" s="32"/>
      <c r="FA1224" s="32"/>
      <c r="FB1224" s="32"/>
      <c r="FC1224" s="32"/>
      <c r="FD1224" s="32"/>
      <c r="FE1224" s="32"/>
      <c r="FF1224" s="32"/>
      <c r="FG1224" s="32"/>
      <c r="FH1224" s="32"/>
      <c r="FI1224" s="32"/>
      <c r="FJ1224" s="32"/>
      <c r="FK1224" s="32"/>
      <c r="FL1224" s="32"/>
      <c r="FM1224" s="32"/>
      <c r="FN1224" s="32"/>
      <c r="FO1224" s="32"/>
      <c r="FP1224" s="32"/>
      <c r="FQ1224" s="32"/>
      <c r="FR1224" s="32"/>
      <c r="FS1224" s="32"/>
      <c r="FT1224" s="32"/>
      <c r="FU1224" s="32"/>
      <c r="FV1224" s="32"/>
      <c r="FW1224" s="32"/>
      <c r="FX1224" s="32"/>
      <c r="FY1224" s="32"/>
      <c r="FZ1224" s="32"/>
      <c r="GA1224" s="32"/>
      <c r="GB1224" s="32"/>
      <c r="GC1224" s="32"/>
      <c r="GD1224" s="32"/>
      <c r="GE1224" s="32"/>
      <c r="GF1224" s="32"/>
      <c r="GG1224" s="32"/>
      <c r="GH1224" s="32"/>
      <c r="GI1224" s="32"/>
      <c r="GJ1224" s="32"/>
      <c r="GK1224" s="32"/>
      <c r="GL1224" s="32"/>
      <c r="GM1224" s="32"/>
      <c r="GN1224" s="32"/>
      <c r="GO1224" s="32"/>
      <c r="GP1224" s="32"/>
      <c r="GQ1224" s="32"/>
      <c r="GR1224" s="32"/>
      <c r="GS1224" s="32"/>
      <c r="GT1224" s="32"/>
      <c r="GU1224" s="32"/>
      <c r="GV1224" s="32"/>
      <c r="GW1224" s="32"/>
      <c r="GX1224" s="32"/>
      <c r="GY1224" s="32"/>
      <c r="GZ1224" s="32"/>
      <c r="HA1224" s="32"/>
      <c r="HB1224" s="32"/>
      <c r="HC1224" s="32"/>
      <c r="HD1224" s="32"/>
      <c r="HE1224" s="32"/>
      <c r="HF1224" s="32"/>
      <c r="HG1224" s="32"/>
      <c r="HH1224" s="32"/>
      <c r="HI1224" s="32"/>
      <c r="HJ1224" s="32"/>
      <c r="HK1224" s="32"/>
      <c r="HL1224" s="32"/>
      <c r="HM1224" s="32"/>
      <c r="HN1224" s="32"/>
      <c r="HO1224" s="32"/>
      <c r="HP1224" s="32"/>
      <c r="HQ1224" s="32"/>
      <c r="HR1224" s="32"/>
      <c r="HS1224" s="32"/>
      <c r="HT1224" s="32"/>
      <c r="HU1224" s="32"/>
      <c r="HV1224" s="32"/>
      <c r="HW1224" s="32"/>
      <c r="HX1224" s="32"/>
      <c r="HY1224" s="32"/>
      <c r="HZ1224" s="32"/>
      <c r="IA1224" s="32"/>
      <c r="IB1224" s="32"/>
      <c r="IC1224" s="32"/>
      <c r="ID1224" s="32"/>
      <c r="IE1224" s="32"/>
      <c r="IF1224" s="32"/>
      <c r="IG1224" s="32"/>
      <c r="IH1224" s="32"/>
      <c r="II1224" s="32"/>
      <c r="IJ1224" s="32"/>
      <c r="IK1224" s="32"/>
      <c r="IL1224" s="32"/>
      <c r="IM1224" s="32"/>
      <c r="IN1224" s="32"/>
      <c r="IO1224" s="32"/>
      <c r="IP1224" s="32"/>
      <c r="IQ1224" s="32"/>
      <c r="IR1224" s="32"/>
      <c r="IS1224" s="32"/>
      <c r="IT1224" s="32"/>
      <c r="IU1224" s="32"/>
      <c r="IV1224" s="32"/>
      <c r="IW1224" s="32"/>
      <c r="IX1224" s="32"/>
      <c r="IY1224" s="32"/>
      <c r="IZ1224" s="32"/>
      <c r="JA1224" s="32"/>
      <c r="JB1224" s="32"/>
      <c r="JC1224" s="32"/>
      <c r="JD1224" s="32"/>
      <c r="JE1224" s="32"/>
      <c r="JF1224" s="32"/>
      <c r="JG1224" s="32"/>
      <c r="JH1224" s="32"/>
      <c r="JI1224" s="32"/>
      <c r="JJ1224" s="32"/>
      <c r="JK1224" s="32"/>
      <c r="JL1224" s="32"/>
      <c r="JM1224" s="32"/>
      <c r="JN1224" s="32"/>
      <c r="JO1224" s="32"/>
      <c r="JP1224" s="32"/>
      <c r="JQ1224" s="32"/>
      <c r="JR1224" s="32"/>
      <c r="JS1224" s="32"/>
      <c r="JT1224" s="32"/>
      <c r="JU1224" s="32"/>
      <c r="JV1224" s="32"/>
      <c r="JW1224" s="32"/>
      <c r="JX1224" s="32"/>
      <c r="JY1224" s="32"/>
      <c r="JZ1224" s="32"/>
      <c r="KA1224" s="32"/>
      <c r="KB1224" s="32"/>
      <c r="KC1224" s="32"/>
      <c r="KD1224" s="32"/>
      <c r="KE1224" s="32"/>
    </row>
    <row r="1225" spans="1:291" s="25" customFormat="1" ht="35" customHeight="1">
      <c r="A1225" s="23">
        <f>ROW()-3</f>
        <v>1222</v>
      </c>
      <c r="B1225" s="29" t="s">
        <v>5597</v>
      </c>
      <c r="C1225" s="183" t="s">
        <v>4345</v>
      </c>
      <c r="D1225" s="267" t="s">
        <v>5505</v>
      </c>
      <c r="E1225" s="267" t="s">
        <v>5551</v>
      </c>
      <c r="F1225" s="267" t="s">
        <v>5523</v>
      </c>
      <c r="G1225" s="42" t="s">
        <v>3253</v>
      </c>
      <c r="H1225" s="29">
        <v>17</v>
      </c>
      <c r="I1225" s="268">
        <v>6.2361111111111107</v>
      </c>
      <c r="J1225" s="269">
        <v>44614</v>
      </c>
      <c r="K1225" s="84" t="s">
        <v>20</v>
      </c>
      <c r="L1225" s="75">
        <v>24.5</v>
      </c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32"/>
      <c r="AG1225" s="32"/>
      <c r="AH1225" s="32"/>
      <c r="AI1225" s="32"/>
      <c r="AJ1225" s="32"/>
      <c r="AK1225" s="32"/>
      <c r="AL1225" s="32"/>
      <c r="AM1225" s="32"/>
      <c r="AN1225" s="32"/>
      <c r="AO1225" s="32"/>
      <c r="AP1225" s="32"/>
      <c r="AQ1225" s="32"/>
      <c r="AR1225" s="32"/>
      <c r="AS1225" s="32"/>
      <c r="AT1225" s="32"/>
      <c r="AU1225" s="32"/>
      <c r="AV1225" s="32"/>
      <c r="AW1225" s="32"/>
      <c r="AX1225" s="32"/>
      <c r="AY1225" s="32"/>
      <c r="AZ1225" s="32"/>
      <c r="BA1225" s="32"/>
      <c r="BB1225" s="32"/>
      <c r="BC1225" s="32"/>
      <c r="BD1225" s="32"/>
      <c r="BE1225" s="32"/>
      <c r="BF1225" s="32"/>
      <c r="BG1225" s="32"/>
      <c r="BH1225" s="32"/>
      <c r="BI1225" s="32"/>
      <c r="BJ1225" s="32"/>
      <c r="BK1225" s="32"/>
      <c r="BL1225" s="32"/>
      <c r="BM1225" s="32"/>
      <c r="BN1225" s="32"/>
      <c r="BO1225" s="32"/>
      <c r="BP1225" s="32"/>
      <c r="BQ1225" s="32"/>
      <c r="BR1225" s="32"/>
      <c r="BS1225" s="32"/>
      <c r="BT1225" s="32"/>
      <c r="BU1225" s="32"/>
      <c r="BV1225" s="32"/>
      <c r="BW1225" s="32"/>
      <c r="BX1225" s="32"/>
      <c r="BY1225" s="32"/>
      <c r="BZ1225" s="32"/>
      <c r="CA1225" s="32"/>
      <c r="CB1225" s="32"/>
      <c r="CC1225" s="32"/>
      <c r="CD1225" s="32"/>
      <c r="CE1225" s="32"/>
      <c r="CF1225" s="32"/>
      <c r="CG1225" s="32"/>
      <c r="CH1225" s="32"/>
      <c r="CI1225" s="32"/>
      <c r="CJ1225" s="32"/>
      <c r="CK1225" s="32"/>
      <c r="CL1225" s="32"/>
      <c r="CM1225" s="32"/>
      <c r="CN1225" s="32"/>
      <c r="CO1225" s="32"/>
      <c r="CP1225" s="32"/>
      <c r="CQ1225" s="32"/>
      <c r="CR1225" s="32"/>
      <c r="CS1225" s="32"/>
      <c r="CT1225" s="32"/>
      <c r="CU1225" s="32"/>
      <c r="CV1225" s="32"/>
      <c r="CW1225" s="32"/>
      <c r="CX1225" s="32"/>
      <c r="CY1225" s="32"/>
      <c r="CZ1225" s="32"/>
      <c r="DA1225" s="32"/>
      <c r="DB1225" s="32"/>
      <c r="DC1225" s="32"/>
      <c r="DD1225" s="32"/>
      <c r="DE1225" s="32"/>
      <c r="DF1225" s="32"/>
      <c r="DG1225" s="32"/>
      <c r="DH1225" s="32"/>
      <c r="DI1225" s="32"/>
      <c r="DJ1225" s="32"/>
      <c r="DK1225" s="32"/>
      <c r="DL1225" s="32"/>
      <c r="DM1225" s="32"/>
      <c r="DN1225" s="32"/>
      <c r="DO1225" s="32"/>
      <c r="DP1225" s="32"/>
      <c r="DQ1225" s="32"/>
      <c r="DR1225" s="32"/>
      <c r="DS1225" s="32"/>
      <c r="DT1225" s="32"/>
      <c r="DU1225" s="32"/>
      <c r="DV1225" s="32"/>
      <c r="DW1225" s="32"/>
      <c r="DX1225" s="32"/>
      <c r="DY1225" s="32"/>
      <c r="DZ1225" s="32"/>
      <c r="EA1225" s="32"/>
      <c r="EB1225" s="32"/>
      <c r="EC1225" s="32"/>
      <c r="ED1225" s="32"/>
      <c r="EE1225" s="32"/>
      <c r="EF1225" s="32"/>
      <c r="EG1225" s="32"/>
      <c r="EH1225" s="32"/>
      <c r="EI1225" s="32"/>
      <c r="EJ1225" s="32"/>
      <c r="EK1225" s="32"/>
      <c r="EL1225" s="32"/>
      <c r="EM1225" s="32"/>
      <c r="EN1225" s="32"/>
      <c r="EO1225" s="32"/>
      <c r="EP1225" s="32"/>
      <c r="EQ1225" s="32"/>
      <c r="ER1225" s="32"/>
      <c r="ES1225" s="32"/>
      <c r="ET1225" s="32"/>
      <c r="EU1225" s="32"/>
      <c r="EV1225" s="32"/>
      <c r="EW1225" s="32"/>
      <c r="EX1225" s="32"/>
      <c r="EY1225" s="32"/>
      <c r="EZ1225" s="32"/>
      <c r="FA1225" s="32"/>
      <c r="FB1225" s="32"/>
      <c r="FC1225" s="32"/>
      <c r="FD1225" s="32"/>
      <c r="FE1225" s="32"/>
      <c r="FF1225" s="32"/>
      <c r="FG1225" s="32"/>
      <c r="FH1225" s="32"/>
      <c r="FI1225" s="32"/>
      <c r="FJ1225" s="32"/>
      <c r="FK1225" s="32"/>
      <c r="FL1225" s="32"/>
      <c r="FM1225" s="32"/>
      <c r="FN1225" s="32"/>
      <c r="FO1225" s="32"/>
      <c r="FP1225" s="32"/>
      <c r="FQ1225" s="32"/>
      <c r="FR1225" s="32"/>
      <c r="FS1225" s="32"/>
      <c r="FT1225" s="32"/>
      <c r="FU1225" s="32"/>
      <c r="FV1225" s="32"/>
      <c r="FW1225" s="32"/>
      <c r="FX1225" s="32"/>
      <c r="FY1225" s="32"/>
      <c r="FZ1225" s="32"/>
      <c r="GA1225" s="32"/>
      <c r="GB1225" s="32"/>
      <c r="GC1225" s="32"/>
      <c r="GD1225" s="32"/>
      <c r="GE1225" s="32"/>
      <c r="GF1225" s="32"/>
      <c r="GG1225" s="32"/>
      <c r="GH1225" s="32"/>
      <c r="GI1225" s="32"/>
      <c r="GJ1225" s="32"/>
      <c r="GK1225" s="32"/>
      <c r="GL1225" s="32"/>
      <c r="GM1225" s="32"/>
      <c r="GN1225" s="32"/>
      <c r="GO1225" s="32"/>
      <c r="GP1225" s="32"/>
      <c r="GQ1225" s="32"/>
      <c r="GR1225" s="32"/>
      <c r="GS1225" s="32"/>
      <c r="GT1225" s="32"/>
      <c r="GU1225" s="32"/>
      <c r="GV1225" s="32"/>
      <c r="GW1225" s="32"/>
      <c r="GX1225" s="32"/>
      <c r="GY1225" s="32"/>
      <c r="GZ1225" s="32"/>
      <c r="HA1225" s="32"/>
      <c r="HB1225" s="32"/>
      <c r="HC1225" s="32"/>
      <c r="HD1225" s="32"/>
      <c r="HE1225" s="32"/>
      <c r="HF1225" s="32"/>
      <c r="HG1225" s="32"/>
      <c r="HH1225" s="32"/>
      <c r="HI1225" s="32"/>
      <c r="HJ1225" s="32"/>
      <c r="HK1225" s="32"/>
      <c r="HL1225" s="32"/>
      <c r="HM1225" s="32"/>
      <c r="HN1225" s="32"/>
      <c r="HO1225" s="32"/>
      <c r="HP1225" s="32"/>
      <c r="HQ1225" s="32"/>
      <c r="HR1225" s="32"/>
      <c r="HS1225" s="32"/>
      <c r="HT1225" s="32"/>
      <c r="HU1225" s="32"/>
      <c r="HV1225" s="32"/>
      <c r="HW1225" s="32"/>
      <c r="HX1225" s="32"/>
      <c r="HY1225" s="32"/>
      <c r="HZ1225" s="32"/>
      <c r="IA1225" s="32"/>
      <c r="IB1225" s="32"/>
      <c r="IC1225" s="32"/>
      <c r="ID1225" s="32"/>
      <c r="IE1225" s="32"/>
      <c r="IF1225" s="32"/>
      <c r="IG1225" s="32"/>
      <c r="IH1225" s="32"/>
      <c r="II1225" s="32"/>
      <c r="IJ1225" s="32"/>
      <c r="IK1225" s="32"/>
      <c r="IL1225" s="32"/>
      <c r="IM1225" s="32"/>
      <c r="IN1225" s="32"/>
      <c r="IO1225" s="32"/>
      <c r="IP1225" s="32"/>
      <c r="IQ1225" s="32"/>
      <c r="IR1225" s="32"/>
      <c r="IS1225" s="32"/>
      <c r="IT1225" s="32"/>
      <c r="IU1225" s="32"/>
      <c r="IV1225" s="32"/>
      <c r="IW1225" s="32"/>
      <c r="IX1225" s="32"/>
      <c r="IY1225" s="32"/>
      <c r="IZ1225" s="32"/>
      <c r="JA1225" s="32"/>
      <c r="JB1225" s="32"/>
      <c r="JC1225" s="32"/>
      <c r="JD1225" s="32"/>
      <c r="JE1225" s="32"/>
      <c r="JF1225" s="32"/>
      <c r="JG1225" s="32"/>
      <c r="JH1225" s="32"/>
      <c r="JI1225" s="32"/>
      <c r="JJ1225" s="32"/>
      <c r="JK1225" s="32"/>
      <c r="JL1225" s="32"/>
      <c r="JM1225" s="32"/>
      <c r="JN1225" s="32"/>
      <c r="JO1225" s="32"/>
      <c r="JP1225" s="32"/>
      <c r="JQ1225" s="32"/>
      <c r="JR1225" s="32"/>
      <c r="JS1225" s="32"/>
      <c r="JT1225" s="32"/>
      <c r="JU1225" s="32"/>
      <c r="JV1225" s="32"/>
      <c r="JW1225" s="32"/>
      <c r="JX1225" s="32"/>
      <c r="JY1225" s="32"/>
      <c r="JZ1225" s="32"/>
      <c r="KA1225" s="32"/>
      <c r="KB1225" s="32"/>
      <c r="KC1225" s="32"/>
      <c r="KD1225" s="32"/>
      <c r="KE1225" s="32"/>
    </row>
    <row r="1226" spans="1:291" s="25" customFormat="1" ht="35" customHeight="1">
      <c r="A1226" s="23">
        <f>ROW()-3</f>
        <v>1223</v>
      </c>
      <c r="B1226" s="29" t="s">
        <v>5597</v>
      </c>
      <c r="C1226" s="183" t="s">
        <v>4345</v>
      </c>
      <c r="D1226" s="267" t="s">
        <v>5506</v>
      </c>
      <c r="E1226" s="267" t="s">
        <v>5552</v>
      </c>
      <c r="F1226" s="267" t="s">
        <v>5522</v>
      </c>
      <c r="G1226" s="42" t="s">
        <v>3253</v>
      </c>
      <c r="H1226" s="29">
        <v>81</v>
      </c>
      <c r="I1226" s="268">
        <v>8.6438888888888883</v>
      </c>
      <c r="J1226" s="269">
        <v>44614</v>
      </c>
      <c r="K1226" s="84" t="s">
        <v>20</v>
      </c>
      <c r="L1226" s="75"/>
      <c r="M1226" s="32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32"/>
      <c r="AG1226" s="32"/>
      <c r="AH1226" s="32"/>
      <c r="AI1226" s="32"/>
      <c r="AJ1226" s="32"/>
      <c r="AK1226" s="32"/>
      <c r="AL1226" s="32"/>
      <c r="AM1226" s="32"/>
      <c r="AN1226" s="32"/>
      <c r="AO1226" s="32"/>
      <c r="AP1226" s="32"/>
      <c r="AQ1226" s="32"/>
      <c r="AR1226" s="32"/>
      <c r="AS1226" s="32"/>
      <c r="AT1226" s="32"/>
      <c r="AU1226" s="32"/>
      <c r="AV1226" s="32"/>
      <c r="AW1226" s="32"/>
      <c r="AX1226" s="32"/>
      <c r="AY1226" s="32"/>
      <c r="AZ1226" s="32"/>
      <c r="BA1226" s="32"/>
      <c r="BB1226" s="32"/>
      <c r="BC1226" s="32"/>
      <c r="BD1226" s="32"/>
      <c r="BE1226" s="32"/>
      <c r="BF1226" s="32"/>
      <c r="BG1226" s="32"/>
      <c r="BH1226" s="32"/>
      <c r="BI1226" s="32"/>
      <c r="BJ1226" s="32"/>
      <c r="BK1226" s="32"/>
      <c r="BL1226" s="32"/>
      <c r="BM1226" s="32"/>
      <c r="BN1226" s="32"/>
      <c r="BO1226" s="32"/>
      <c r="BP1226" s="32"/>
      <c r="BQ1226" s="32"/>
      <c r="BR1226" s="32"/>
      <c r="BS1226" s="32"/>
      <c r="BT1226" s="32"/>
      <c r="BU1226" s="32"/>
      <c r="BV1226" s="32"/>
      <c r="BW1226" s="32"/>
      <c r="BX1226" s="32"/>
      <c r="BY1226" s="32"/>
      <c r="BZ1226" s="32"/>
      <c r="CA1226" s="32"/>
      <c r="CB1226" s="32"/>
      <c r="CC1226" s="32"/>
      <c r="CD1226" s="32"/>
      <c r="CE1226" s="32"/>
      <c r="CF1226" s="32"/>
      <c r="CG1226" s="32"/>
      <c r="CH1226" s="32"/>
      <c r="CI1226" s="32"/>
      <c r="CJ1226" s="32"/>
      <c r="CK1226" s="32"/>
      <c r="CL1226" s="32"/>
      <c r="CM1226" s="32"/>
      <c r="CN1226" s="32"/>
      <c r="CO1226" s="32"/>
      <c r="CP1226" s="32"/>
      <c r="CQ1226" s="32"/>
      <c r="CR1226" s="32"/>
      <c r="CS1226" s="32"/>
      <c r="CT1226" s="32"/>
      <c r="CU1226" s="32"/>
      <c r="CV1226" s="32"/>
      <c r="CW1226" s="32"/>
      <c r="CX1226" s="32"/>
      <c r="CY1226" s="32"/>
      <c r="CZ1226" s="32"/>
      <c r="DA1226" s="32"/>
      <c r="DB1226" s="32"/>
      <c r="DC1226" s="32"/>
      <c r="DD1226" s="32"/>
      <c r="DE1226" s="32"/>
      <c r="DF1226" s="32"/>
      <c r="DG1226" s="32"/>
      <c r="DH1226" s="32"/>
      <c r="DI1226" s="32"/>
      <c r="DJ1226" s="32"/>
      <c r="DK1226" s="32"/>
      <c r="DL1226" s="32"/>
      <c r="DM1226" s="32"/>
      <c r="DN1226" s="32"/>
      <c r="DO1226" s="32"/>
      <c r="DP1226" s="32"/>
      <c r="DQ1226" s="32"/>
      <c r="DR1226" s="32"/>
      <c r="DS1226" s="32"/>
      <c r="DT1226" s="32"/>
      <c r="DU1226" s="32"/>
      <c r="DV1226" s="32"/>
      <c r="DW1226" s="32"/>
      <c r="DX1226" s="32"/>
      <c r="DY1226" s="32"/>
      <c r="DZ1226" s="32"/>
      <c r="EA1226" s="32"/>
      <c r="EB1226" s="32"/>
      <c r="EC1226" s="32"/>
      <c r="ED1226" s="32"/>
      <c r="EE1226" s="32"/>
      <c r="EF1226" s="32"/>
      <c r="EG1226" s="32"/>
      <c r="EH1226" s="32"/>
      <c r="EI1226" s="32"/>
      <c r="EJ1226" s="32"/>
      <c r="EK1226" s="32"/>
      <c r="EL1226" s="32"/>
      <c r="EM1226" s="32"/>
      <c r="EN1226" s="32"/>
      <c r="EO1226" s="32"/>
      <c r="EP1226" s="32"/>
      <c r="EQ1226" s="32"/>
      <c r="ER1226" s="32"/>
      <c r="ES1226" s="32"/>
      <c r="ET1226" s="32"/>
      <c r="EU1226" s="32"/>
      <c r="EV1226" s="32"/>
      <c r="EW1226" s="32"/>
      <c r="EX1226" s="32"/>
      <c r="EY1226" s="32"/>
      <c r="EZ1226" s="32"/>
      <c r="FA1226" s="32"/>
      <c r="FB1226" s="32"/>
      <c r="FC1226" s="32"/>
      <c r="FD1226" s="32"/>
      <c r="FE1226" s="32"/>
      <c r="FF1226" s="32"/>
      <c r="FG1226" s="32"/>
      <c r="FH1226" s="32"/>
      <c r="FI1226" s="32"/>
      <c r="FJ1226" s="32"/>
      <c r="FK1226" s="32"/>
      <c r="FL1226" s="32"/>
      <c r="FM1226" s="32"/>
      <c r="FN1226" s="32"/>
      <c r="FO1226" s="32"/>
      <c r="FP1226" s="32"/>
      <c r="FQ1226" s="32"/>
      <c r="FR1226" s="32"/>
      <c r="FS1226" s="32"/>
      <c r="FT1226" s="32"/>
      <c r="FU1226" s="32"/>
      <c r="FV1226" s="32"/>
      <c r="FW1226" s="32"/>
      <c r="FX1226" s="32"/>
      <c r="FY1226" s="32"/>
      <c r="FZ1226" s="32"/>
      <c r="GA1226" s="32"/>
      <c r="GB1226" s="32"/>
      <c r="GC1226" s="32"/>
      <c r="GD1226" s="32"/>
      <c r="GE1226" s="32"/>
      <c r="GF1226" s="32"/>
      <c r="GG1226" s="32"/>
      <c r="GH1226" s="32"/>
      <c r="GI1226" s="32"/>
      <c r="GJ1226" s="32"/>
      <c r="GK1226" s="32"/>
      <c r="GL1226" s="32"/>
      <c r="GM1226" s="32"/>
      <c r="GN1226" s="32"/>
      <c r="GO1226" s="32"/>
      <c r="GP1226" s="32"/>
      <c r="GQ1226" s="32"/>
      <c r="GR1226" s="32"/>
      <c r="GS1226" s="32"/>
      <c r="GT1226" s="32"/>
      <c r="GU1226" s="32"/>
      <c r="GV1226" s="32"/>
      <c r="GW1226" s="32"/>
      <c r="GX1226" s="32"/>
      <c r="GY1226" s="32"/>
      <c r="GZ1226" s="32"/>
      <c r="HA1226" s="32"/>
      <c r="HB1226" s="32"/>
      <c r="HC1226" s="32"/>
      <c r="HD1226" s="32"/>
      <c r="HE1226" s="32"/>
      <c r="HF1226" s="32"/>
      <c r="HG1226" s="32"/>
      <c r="HH1226" s="32"/>
      <c r="HI1226" s="32"/>
      <c r="HJ1226" s="32"/>
      <c r="HK1226" s="32"/>
      <c r="HL1226" s="32"/>
      <c r="HM1226" s="32"/>
      <c r="HN1226" s="32"/>
      <c r="HO1226" s="32"/>
      <c r="HP1226" s="32"/>
      <c r="HQ1226" s="32"/>
      <c r="HR1226" s="32"/>
      <c r="HS1226" s="32"/>
      <c r="HT1226" s="32"/>
      <c r="HU1226" s="32"/>
      <c r="HV1226" s="32"/>
      <c r="HW1226" s="32"/>
      <c r="HX1226" s="32"/>
      <c r="HY1226" s="32"/>
      <c r="HZ1226" s="32"/>
      <c r="IA1226" s="32"/>
      <c r="IB1226" s="32"/>
      <c r="IC1226" s="32"/>
      <c r="ID1226" s="32"/>
      <c r="IE1226" s="32"/>
      <c r="IF1226" s="32"/>
      <c r="IG1226" s="32"/>
      <c r="IH1226" s="32"/>
      <c r="II1226" s="32"/>
      <c r="IJ1226" s="32"/>
      <c r="IK1226" s="32"/>
      <c r="IL1226" s="32"/>
      <c r="IM1226" s="32"/>
      <c r="IN1226" s="32"/>
      <c r="IO1226" s="32"/>
      <c r="IP1226" s="32"/>
      <c r="IQ1226" s="32"/>
      <c r="IR1226" s="32"/>
      <c r="IS1226" s="32"/>
      <c r="IT1226" s="32"/>
      <c r="IU1226" s="32"/>
      <c r="IV1226" s="32"/>
      <c r="IW1226" s="32"/>
      <c r="IX1226" s="32"/>
      <c r="IY1226" s="32"/>
      <c r="IZ1226" s="32"/>
      <c r="JA1226" s="32"/>
      <c r="JB1226" s="32"/>
      <c r="JC1226" s="32"/>
      <c r="JD1226" s="32"/>
      <c r="JE1226" s="32"/>
      <c r="JF1226" s="32"/>
      <c r="JG1226" s="32"/>
      <c r="JH1226" s="32"/>
      <c r="JI1226" s="32"/>
      <c r="JJ1226" s="32"/>
      <c r="JK1226" s="32"/>
      <c r="JL1226" s="32"/>
      <c r="JM1226" s="32"/>
      <c r="JN1226" s="32"/>
      <c r="JO1226" s="32"/>
      <c r="JP1226" s="32"/>
      <c r="JQ1226" s="32"/>
      <c r="JR1226" s="32"/>
      <c r="JS1226" s="32"/>
      <c r="JT1226" s="32"/>
      <c r="JU1226" s="32"/>
      <c r="JV1226" s="32"/>
      <c r="JW1226" s="32"/>
      <c r="JX1226" s="32"/>
      <c r="JY1226" s="32"/>
      <c r="JZ1226" s="32"/>
      <c r="KA1226" s="32"/>
      <c r="KB1226" s="32"/>
      <c r="KC1226" s="32"/>
      <c r="KD1226" s="32"/>
      <c r="KE1226" s="32"/>
    </row>
    <row r="1227" spans="1:291" s="25" customFormat="1" ht="35" customHeight="1">
      <c r="A1227" s="23">
        <f>ROW()-3</f>
        <v>1224</v>
      </c>
      <c r="B1227" s="29" t="s">
        <v>5597</v>
      </c>
      <c r="C1227" s="183" t="s">
        <v>4345</v>
      </c>
      <c r="D1227" s="267" t="s">
        <v>5560</v>
      </c>
      <c r="E1227" s="267" t="s">
        <v>5561</v>
      </c>
      <c r="F1227" s="267" t="s">
        <v>5523</v>
      </c>
      <c r="G1227" s="42" t="s">
        <v>3253</v>
      </c>
      <c r="H1227" s="29">
        <v>24</v>
      </c>
      <c r="I1227" s="268">
        <v>7.1369444444444445</v>
      </c>
      <c r="J1227" s="269">
        <v>44614</v>
      </c>
      <c r="K1227" s="84" t="s">
        <v>20</v>
      </c>
      <c r="L1227" s="75">
        <v>29</v>
      </c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  <c r="AI1227" s="32"/>
      <c r="AJ1227" s="32"/>
      <c r="AK1227" s="32"/>
      <c r="AL1227" s="32"/>
      <c r="AM1227" s="32"/>
      <c r="AN1227" s="32"/>
      <c r="AO1227" s="32"/>
      <c r="AP1227" s="32"/>
      <c r="AQ1227" s="32"/>
      <c r="AR1227" s="32"/>
      <c r="AS1227" s="32"/>
      <c r="AT1227" s="32"/>
      <c r="AU1227" s="32"/>
      <c r="AV1227" s="32"/>
      <c r="AW1227" s="32"/>
      <c r="AX1227" s="32"/>
      <c r="AY1227" s="32"/>
      <c r="AZ1227" s="32"/>
      <c r="BA1227" s="32"/>
      <c r="BB1227" s="32"/>
      <c r="BC1227" s="32"/>
      <c r="BD1227" s="32"/>
      <c r="BE1227" s="32"/>
      <c r="BF1227" s="32"/>
      <c r="BG1227" s="32"/>
      <c r="BH1227" s="32"/>
      <c r="BI1227" s="32"/>
      <c r="BJ1227" s="32"/>
      <c r="BK1227" s="32"/>
      <c r="BL1227" s="32"/>
      <c r="BM1227" s="32"/>
      <c r="BN1227" s="32"/>
      <c r="BO1227" s="32"/>
      <c r="BP1227" s="32"/>
      <c r="BQ1227" s="32"/>
      <c r="BR1227" s="32"/>
      <c r="BS1227" s="32"/>
      <c r="BT1227" s="32"/>
      <c r="BU1227" s="32"/>
      <c r="BV1227" s="32"/>
      <c r="BW1227" s="32"/>
      <c r="BX1227" s="32"/>
      <c r="BY1227" s="32"/>
      <c r="BZ1227" s="32"/>
      <c r="CA1227" s="32"/>
      <c r="CB1227" s="32"/>
      <c r="CC1227" s="32"/>
      <c r="CD1227" s="32"/>
      <c r="CE1227" s="32"/>
      <c r="CF1227" s="32"/>
      <c r="CG1227" s="32"/>
      <c r="CH1227" s="32"/>
      <c r="CI1227" s="32"/>
      <c r="CJ1227" s="32"/>
      <c r="CK1227" s="32"/>
      <c r="CL1227" s="32"/>
      <c r="CM1227" s="32"/>
      <c r="CN1227" s="32"/>
      <c r="CO1227" s="32"/>
      <c r="CP1227" s="32"/>
      <c r="CQ1227" s="32"/>
      <c r="CR1227" s="32"/>
      <c r="CS1227" s="32"/>
      <c r="CT1227" s="32"/>
      <c r="CU1227" s="32"/>
      <c r="CV1227" s="32"/>
      <c r="CW1227" s="32"/>
      <c r="CX1227" s="32"/>
      <c r="CY1227" s="32"/>
      <c r="CZ1227" s="32"/>
      <c r="DA1227" s="32"/>
      <c r="DB1227" s="32"/>
      <c r="DC1227" s="32"/>
      <c r="DD1227" s="32"/>
      <c r="DE1227" s="32"/>
      <c r="DF1227" s="32"/>
      <c r="DG1227" s="32"/>
      <c r="DH1227" s="32"/>
      <c r="DI1227" s="32"/>
      <c r="DJ1227" s="32"/>
      <c r="DK1227" s="32"/>
      <c r="DL1227" s="32"/>
      <c r="DM1227" s="32"/>
      <c r="DN1227" s="32"/>
      <c r="DO1227" s="32"/>
      <c r="DP1227" s="32"/>
      <c r="DQ1227" s="32"/>
      <c r="DR1227" s="32"/>
      <c r="DS1227" s="32"/>
      <c r="DT1227" s="32"/>
      <c r="DU1227" s="32"/>
      <c r="DV1227" s="32"/>
      <c r="DW1227" s="32"/>
      <c r="DX1227" s="32"/>
      <c r="DY1227" s="32"/>
      <c r="DZ1227" s="32"/>
      <c r="EA1227" s="32"/>
      <c r="EB1227" s="32"/>
      <c r="EC1227" s="32"/>
      <c r="ED1227" s="32"/>
      <c r="EE1227" s="32"/>
      <c r="EF1227" s="32"/>
      <c r="EG1227" s="32"/>
      <c r="EH1227" s="32"/>
      <c r="EI1227" s="32"/>
      <c r="EJ1227" s="32"/>
      <c r="EK1227" s="32"/>
      <c r="EL1227" s="32"/>
      <c r="EM1227" s="32"/>
      <c r="EN1227" s="32"/>
      <c r="EO1227" s="32"/>
      <c r="EP1227" s="32"/>
      <c r="EQ1227" s="32"/>
      <c r="ER1227" s="32"/>
      <c r="ES1227" s="32"/>
      <c r="ET1227" s="32"/>
      <c r="EU1227" s="32"/>
      <c r="EV1227" s="32"/>
      <c r="EW1227" s="32"/>
      <c r="EX1227" s="32"/>
      <c r="EY1227" s="32"/>
      <c r="EZ1227" s="32"/>
      <c r="FA1227" s="32"/>
      <c r="FB1227" s="32"/>
      <c r="FC1227" s="32"/>
      <c r="FD1227" s="32"/>
      <c r="FE1227" s="32"/>
      <c r="FF1227" s="32"/>
      <c r="FG1227" s="32"/>
      <c r="FH1227" s="32"/>
      <c r="FI1227" s="32"/>
      <c r="FJ1227" s="32"/>
      <c r="FK1227" s="32"/>
      <c r="FL1227" s="32"/>
      <c r="FM1227" s="32"/>
      <c r="FN1227" s="32"/>
      <c r="FO1227" s="32"/>
      <c r="FP1227" s="32"/>
      <c r="FQ1227" s="32"/>
      <c r="FR1227" s="32"/>
      <c r="FS1227" s="32"/>
      <c r="FT1227" s="32"/>
      <c r="FU1227" s="32"/>
      <c r="FV1227" s="32"/>
      <c r="FW1227" s="32"/>
      <c r="FX1227" s="32"/>
      <c r="FY1227" s="32"/>
      <c r="FZ1227" s="32"/>
      <c r="GA1227" s="32"/>
      <c r="GB1227" s="32"/>
      <c r="GC1227" s="32"/>
      <c r="GD1227" s="32"/>
      <c r="GE1227" s="32"/>
      <c r="GF1227" s="32"/>
      <c r="GG1227" s="32"/>
      <c r="GH1227" s="32"/>
      <c r="GI1227" s="32"/>
      <c r="GJ1227" s="32"/>
      <c r="GK1227" s="32"/>
      <c r="GL1227" s="32"/>
      <c r="GM1227" s="32"/>
      <c r="GN1227" s="32"/>
      <c r="GO1227" s="32"/>
      <c r="GP1227" s="32"/>
      <c r="GQ1227" s="32"/>
      <c r="GR1227" s="32"/>
      <c r="GS1227" s="32"/>
      <c r="GT1227" s="32"/>
      <c r="GU1227" s="32"/>
      <c r="GV1227" s="32"/>
      <c r="GW1227" s="32"/>
      <c r="GX1227" s="32"/>
      <c r="GY1227" s="32"/>
      <c r="GZ1227" s="32"/>
      <c r="HA1227" s="32"/>
      <c r="HB1227" s="32"/>
      <c r="HC1227" s="32"/>
      <c r="HD1227" s="32"/>
      <c r="HE1227" s="32"/>
      <c r="HF1227" s="32"/>
      <c r="HG1227" s="32"/>
      <c r="HH1227" s="32"/>
      <c r="HI1227" s="32"/>
      <c r="HJ1227" s="32"/>
      <c r="HK1227" s="32"/>
      <c r="HL1227" s="32"/>
      <c r="HM1227" s="32"/>
      <c r="HN1227" s="32"/>
      <c r="HO1227" s="32"/>
      <c r="HP1227" s="32"/>
      <c r="HQ1227" s="32"/>
      <c r="HR1227" s="32"/>
      <c r="HS1227" s="32"/>
      <c r="HT1227" s="32"/>
      <c r="HU1227" s="32"/>
      <c r="HV1227" s="32"/>
      <c r="HW1227" s="32"/>
      <c r="HX1227" s="32"/>
      <c r="HY1227" s="32"/>
      <c r="HZ1227" s="32"/>
      <c r="IA1227" s="32"/>
      <c r="IB1227" s="32"/>
      <c r="IC1227" s="32"/>
      <c r="ID1227" s="32"/>
      <c r="IE1227" s="32"/>
      <c r="IF1227" s="32"/>
      <c r="IG1227" s="32"/>
      <c r="IH1227" s="32"/>
      <c r="II1227" s="32"/>
      <c r="IJ1227" s="32"/>
      <c r="IK1227" s="32"/>
      <c r="IL1227" s="32"/>
      <c r="IM1227" s="32"/>
      <c r="IN1227" s="32"/>
      <c r="IO1227" s="32"/>
      <c r="IP1227" s="32"/>
      <c r="IQ1227" s="32"/>
      <c r="IR1227" s="32"/>
      <c r="IS1227" s="32"/>
      <c r="IT1227" s="32"/>
      <c r="IU1227" s="32"/>
      <c r="IV1227" s="32"/>
      <c r="IW1227" s="32"/>
      <c r="IX1227" s="32"/>
      <c r="IY1227" s="32"/>
      <c r="IZ1227" s="32"/>
      <c r="JA1227" s="32"/>
      <c r="JB1227" s="32"/>
      <c r="JC1227" s="32"/>
      <c r="JD1227" s="32"/>
      <c r="JE1227" s="32"/>
      <c r="JF1227" s="32"/>
      <c r="JG1227" s="32"/>
      <c r="JH1227" s="32"/>
      <c r="JI1227" s="32"/>
      <c r="JJ1227" s="32"/>
      <c r="JK1227" s="32"/>
      <c r="JL1227" s="32"/>
      <c r="JM1227" s="32"/>
      <c r="JN1227" s="32"/>
      <c r="JO1227" s="32"/>
      <c r="JP1227" s="32"/>
      <c r="JQ1227" s="32"/>
      <c r="JR1227" s="32"/>
      <c r="JS1227" s="32"/>
      <c r="JT1227" s="32"/>
      <c r="JU1227" s="32"/>
      <c r="JV1227" s="32"/>
      <c r="JW1227" s="32"/>
      <c r="JX1227" s="32"/>
      <c r="JY1227" s="32"/>
      <c r="JZ1227" s="32"/>
      <c r="KA1227" s="32"/>
      <c r="KB1227" s="32"/>
      <c r="KC1227" s="32"/>
      <c r="KD1227" s="32"/>
      <c r="KE1227" s="32"/>
    </row>
    <row r="1228" spans="1:291" s="29" customFormat="1" ht="35" customHeight="1">
      <c r="A1228" s="23">
        <f>ROW()-3</f>
        <v>1225</v>
      </c>
      <c r="B1228" s="29" t="s">
        <v>5597</v>
      </c>
      <c r="C1228" s="183" t="s">
        <v>4345</v>
      </c>
      <c r="D1228" s="267" t="s">
        <v>5562</v>
      </c>
      <c r="E1228" s="267" t="s">
        <v>5563</v>
      </c>
      <c r="F1228" s="267" t="s">
        <v>5564</v>
      </c>
      <c r="G1228" s="183" t="s">
        <v>3253</v>
      </c>
      <c r="H1228" s="29">
        <v>34</v>
      </c>
      <c r="I1228" s="268">
        <v>7.1541666666666668</v>
      </c>
      <c r="J1228" s="269">
        <v>44614</v>
      </c>
      <c r="K1228" s="84" t="s">
        <v>20</v>
      </c>
      <c r="L1228" s="75">
        <v>18</v>
      </c>
      <c r="M1228" s="32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32"/>
      <c r="AG1228" s="32"/>
      <c r="AH1228" s="32"/>
      <c r="AI1228" s="32"/>
      <c r="AJ1228" s="32"/>
      <c r="AK1228" s="32"/>
      <c r="AL1228" s="32"/>
      <c r="AM1228" s="32"/>
      <c r="AN1228" s="32"/>
      <c r="AO1228" s="32"/>
      <c r="AP1228" s="32"/>
      <c r="AQ1228" s="32"/>
      <c r="AR1228" s="32"/>
      <c r="AS1228" s="32"/>
      <c r="AT1228" s="32"/>
      <c r="AU1228" s="32"/>
      <c r="AV1228" s="32"/>
      <c r="AW1228" s="32"/>
      <c r="AX1228" s="32"/>
      <c r="AY1228" s="32"/>
      <c r="AZ1228" s="32"/>
      <c r="BA1228" s="32"/>
      <c r="BB1228" s="32"/>
      <c r="BC1228" s="32"/>
      <c r="BD1228" s="32"/>
      <c r="BE1228" s="32"/>
      <c r="BF1228" s="32"/>
      <c r="BG1228" s="32"/>
      <c r="BH1228" s="32"/>
      <c r="BI1228" s="32"/>
      <c r="BJ1228" s="32"/>
      <c r="BK1228" s="32"/>
      <c r="BL1228" s="32"/>
      <c r="BM1228" s="32"/>
      <c r="BN1228" s="32"/>
      <c r="BO1228" s="32"/>
      <c r="BP1228" s="32"/>
      <c r="BQ1228" s="32"/>
      <c r="BR1228" s="32"/>
      <c r="BS1228" s="32"/>
      <c r="BT1228" s="32"/>
      <c r="BU1228" s="32"/>
      <c r="BV1228" s="32"/>
      <c r="BW1228" s="32"/>
      <c r="BX1228" s="32"/>
      <c r="BY1228" s="32"/>
      <c r="BZ1228" s="32"/>
      <c r="CA1228" s="32"/>
      <c r="CB1228" s="32"/>
      <c r="CC1228" s="32"/>
      <c r="CD1228" s="32"/>
      <c r="CE1228" s="32"/>
      <c r="CF1228" s="32"/>
      <c r="CG1228" s="32"/>
      <c r="CH1228" s="32"/>
      <c r="CI1228" s="32"/>
      <c r="CJ1228" s="32"/>
      <c r="CK1228" s="32"/>
      <c r="CL1228" s="32"/>
      <c r="CM1228" s="32"/>
      <c r="CN1228" s="32"/>
      <c r="CO1228" s="32"/>
      <c r="CP1228" s="32"/>
      <c r="CQ1228" s="32"/>
      <c r="CR1228" s="32"/>
      <c r="CS1228" s="32"/>
      <c r="CT1228" s="32"/>
      <c r="CU1228" s="32"/>
      <c r="CV1228" s="32"/>
      <c r="CW1228" s="32"/>
      <c r="CX1228" s="32"/>
      <c r="CY1228" s="32"/>
      <c r="CZ1228" s="32"/>
      <c r="DA1228" s="32"/>
      <c r="DB1228" s="32"/>
      <c r="DC1228" s="32"/>
      <c r="DD1228" s="32"/>
      <c r="DE1228" s="32"/>
      <c r="DF1228" s="32"/>
      <c r="DG1228" s="32"/>
      <c r="DH1228" s="32"/>
      <c r="DI1228" s="32"/>
      <c r="DJ1228" s="32"/>
      <c r="DK1228" s="32"/>
      <c r="DL1228" s="32"/>
      <c r="DM1228" s="32"/>
      <c r="DN1228" s="32"/>
      <c r="DO1228" s="32"/>
      <c r="DP1228" s="32"/>
      <c r="DQ1228" s="32"/>
      <c r="DR1228" s="32"/>
      <c r="DS1228" s="32"/>
      <c r="DT1228" s="32"/>
      <c r="DU1228" s="32"/>
      <c r="DV1228" s="32"/>
      <c r="DW1228" s="32"/>
      <c r="DX1228" s="32"/>
      <c r="DY1228" s="32"/>
      <c r="DZ1228" s="32"/>
      <c r="EA1228" s="32"/>
      <c r="EB1228" s="32"/>
      <c r="EC1228" s="32"/>
      <c r="ED1228" s="32"/>
      <c r="EE1228" s="32"/>
      <c r="EF1228" s="32"/>
      <c r="EG1228" s="32"/>
      <c r="EH1228" s="32"/>
      <c r="EI1228" s="32"/>
      <c r="EJ1228" s="32"/>
      <c r="EK1228" s="32"/>
      <c r="EL1228" s="32"/>
      <c r="EM1228" s="32"/>
      <c r="EN1228" s="32"/>
      <c r="EO1228" s="32"/>
      <c r="EP1228" s="32"/>
      <c r="EQ1228" s="32"/>
      <c r="ER1228" s="32"/>
      <c r="ES1228" s="32"/>
      <c r="ET1228" s="32"/>
      <c r="EU1228" s="32"/>
      <c r="EV1228" s="32"/>
      <c r="EW1228" s="32"/>
      <c r="EX1228" s="32"/>
      <c r="EY1228" s="32"/>
      <c r="EZ1228" s="32"/>
      <c r="FA1228" s="32"/>
      <c r="FB1228" s="32"/>
      <c r="FC1228" s="32"/>
      <c r="FD1228" s="32"/>
      <c r="FE1228" s="32"/>
      <c r="FF1228" s="32"/>
      <c r="FG1228" s="32"/>
      <c r="FH1228" s="32"/>
      <c r="FI1228" s="32"/>
      <c r="FJ1228" s="32"/>
      <c r="FK1228" s="32"/>
      <c r="FL1228" s="32"/>
      <c r="FM1228" s="32"/>
      <c r="FN1228" s="32"/>
      <c r="FO1228" s="32"/>
      <c r="FP1228" s="32"/>
      <c r="FQ1228" s="32"/>
      <c r="FR1228" s="32"/>
      <c r="FS1228" s="32"/>
      <c r="FT1228" s="32"/>
      <c r="FU1228" s="32"/>
      <c r="FV1228" s="32"/>
      <c r="FW1228" s="32"/>
      <c r="FX1228" s="32"/>
      <c r="FY1228" s="32"/>
      <c r="FZ1228" s="32"/>
      <c r="GA1228" s="32"/>
      <c r="GB1228" s="32"/>
      <c r="GC1228" s="32"/>
      <c r="GD1228" s="32"/>
      <c r="GE1228" s="32"/>
      <c r="GF1228" s="32"/>
      <c r="GG1228" s="32"/>
      <c r="GH1228" s="32"/>
      <c r="GI1228" s="32"/>
      <c r="GJ1228" s="32"/>
      <c r="GK1228" s="32"/>
      <c r="GL1228" s="32"/>
      <c r="GM1228" s="32"/>
      <c r="GN1228" s="32"/>
      <c r="GO1228" s="32"/>
      <c r="GP1228" s="32"/>
      <c r="GQ1228" s="32"/>
      <c r="GR1228" s="32"/>
      <c r="GS1228" s="32"/>
      <c r="GT1228" s="32"/>
      <c r="GU1228" s="32"/>
      <c r="GV1228" s="32"/>
      <c r="GW1228" s="32"/>
      <c r="GX1228" s="32"/>
      <c r="GY1228" s="32"/>
      <c r="GZ1228" s="32"/>
      <c r="HA1228" s="32"/>
      <c r="HB1228" s="32"/>
      <c r="HC1228" s="32"/>
      <c r="HD1228" s="32"/>
      <c r="HE1228" s="32"/>
      <c r="HF1228" s="32"/>
      <c r="HG1228" s="32"/>
      <c r="HH1228" s="32"/>
      <c r="HI1228" s="32"/>
      <c r="HJ1228" s="32"/>
      <c r="HK1228" s="32"/>
      <c r="HL1228" s="32"/>
      <c r="HM1228" s="32"/>
      <c r="HN1228" s="32"/>
      <c r="HO1228" s="32"/>
      <c r="HP1228" s="32"/>
      <c r="HQ1228" s="32"/>
      <c r="HR1228" s="32"/>
      <c r="HS1228" s="32"/>
      <c r="HT1228" s="32"/>
      <c r="HU1228" s="32"/>
      <c r="HV1228" s="32"/>
      <c r="HW1228" s="32"/>
      <c r="HX1228" s="32"/>
      <c r="HY1228" s="32"/>
      <c r="HZ1228" s="32"/>
      <c r="IA1228" s="32"/>
      <c r="IB1228" s="32"/>
      <c r="IC1228" s="32"/>
      <c r="ID1228" s="32"/>
      <c r="IE1228" s="32"/>
      <c r="IF1228" s="32"/>
      <c r="IG1228" s="32"/>
      <c r="IH1228" s="32"/>
      <c r="II1228" s="32"/>
      <c r="IJ1228" s="32"/>
      <c r="IK1228" s="32"/>
      <c r="IL1228" s="32"/>
      <c r="IM1228" s="32"/>
      <c r="IN1228" s="32"/>
      <c r="IO1228" s="32"/>
      <c r="IP1228" s="32"/>
      <c r="IQ1228" s="32"/>
      <c r="IR1228" s="32"/>
      <c r="IS1228" s="32"/>
      <c r="IT1228" s="32"/>
      <c r="IU1228" s="32"/>
      <c r="IV1228" s="32"/>
      <c r="IW1228" s="32"/>
      <c r="IX1228" s="32"/>
      <c r="IY1228" s="32"/>
      <c r="IZ1228" s="32"/>
      <c r="JA1228" s="32"/>
      <c r="JB1228" s="32"/>
      <c r="JC1228" s="32"/>
      <c r="JD1228" s="32"/>
      <c r="JE1228" s="32"/>
      <c r="JF1228" s="32"/>
      <c r="JG1228" s="32"/>
      <c r="JH1228" s="32"/>
      <c r="JI1228" s="32"/>
      <c r="JJ1228" s="32"/>
      <c r="JK1228" s="32"/>
      <c r="JL1228" s="32"/>
      <c r="JM1228" s="32"/>
      <c r="JN1228" s="32"/>
      <c r="JO1228" s="32"/>
      <c r="JP1228" s="32"/>
      <c r="JQ1228" s="32"/>
      <c r="JR1228" s="32"/>
      <c r="JS1228" s="32"/>
      <c r="JT1228" s="32"/>
      <c r="JU1228" s="32"/>
      <c r="JV1228" s="32"/>
      <c r="JW1228" s="32"/>
      <c r="JX1228" s="32"/>
      <c r="JY1228" s="32"/>
      <c r="JZ1228" s="32"/>
      <c r="KA1228" s="32"/>
      <c r="KB1228" s="32"/>
      <c r="KC1228" s="32"/>
      <c r="KD1228" s="32"/>
      <c r="KE1228" s="32"/>
    </row>
    <row r="1229" spans="1:291" s="25" customFormat="1" ht="35" customHeight="1">
      <c r="A1229" s="23">
        <f>ROW()-3</f>
        <v>1226</v>
      </c>
      <c r="B1229" s="29" t="s">
        <v>5597</v>
      </c>
      <c r="C1229" s="183" t="s">
        <v>4345</v>
      </c>
      <c r="D1229" s="267" t="s">
        <v>5511</v>
      </c>
      <c r="E1229" s="267" t="s">
        <v>5571</v>
      </c>
      <c r="F1229" s="267" t="s">
        <v>5523</v>
      </c>
      <c r="G1229" s="183" t="s">
        <v>3253</v>
      </c>
      <c r="H1229" s="29">
        <v>14</v>
      </c>
      <c r="I1229" s="268">
        <v>4.5105555555555554</v>
      </c>
      <c r="J1229" s="269">
        <v>44614</v>
      </c>
      <c r="K1229" s="84" t="s">
        <v>20</v>
      </c>
      <c r="L1229" s="75">
        <v>13</v>
      </c>
      <c r="M1229" s="32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32"/>
      <c r="AG1229" s="32"/>
      <c r="AH1229" s="32"/>
      <c r="AI1229" s="32"/>
      <c r="AJ1229" s="32"/>
      <c r="AK1229" s="32"/>
      <c r="AL1229" s="32"/>
      <c r="AM1229" s="32"/>
      <c r="AN1229" s="32"/>
      <c r="AO1229" s="32"/>
      <c r="AP1229" s="32"/>
      <c r="AQ1229" s="32"/>
      <c r="AR1229" s="32"/>
      <c r="AS1229" s="32"/>
      <c r="AT1229" s="32"/>
      <c r="AU1229" s="32"/>
      <c r="AV1229" s="32"/>
      <c r="AW1229" s="32"/>
      <c r="AX1229" s="32"/>
      <c r="AY1229" s="32"/>
      <c r="AZ1229" s="32"/>
      <c r="BA1229" s="32"/>
      <c r="BB1229" s="32"/>
      <c r="BC1229" s="32"/>
      <c r="BD1229" s="32"/>
      <c r="BE1229" s="32"/>
      <c r="BF1229" s="32"/>
      <c r="BG1229" s="32"/>
      <c r="BH1229" s="32"/>
      <c r="BI1229" s="32"/>
      <c r="BJ1229" s="32"/>
      <c r="BK1229" s="32"/>
      <c r="BL1229" s="32"/>
      <c r="BM1229" s="32"/>
      <c r="BN1229" s="32"/>
      <c r="BO1229" s="32"/>
      <c r="BP1229" s="32"/>
      <c r="BQ1229" s="32"/>
      <c r="BR1229" s="32"/>
      <c r="BS1229" s="32"/>
      <c r="BT1229" s="32"/>
      <c r="BU1229" s="32"/>
      <c r="BV1229" s="32"/>
      <c r="BW1229" s="32"/>
      <c r="BX1229" s="32"/>
      <c r="BY1229" s="32"/>
      <c r="BZ1229" s="32"/>
      <c r="CA1229" s="32"/>
      <c r="CB1229" s="32"/>
      <c r="CC1229" s="32"/>
      <c r="CD1229" s="32"/>
      <c r="CE1229" s="32"/>
      <c r="CF1229" s="32"/>
      <c r="CG1229" s="32"/>
      <c r="CH1229" s="32"/>
      <c r="CI1229" s="32"/>
      <c r="CJ1229" s="32"/>
      <c r="CK1229" s="32"/>
      <c r="CL1229" s="32"/>
      <c r="CM1229" s="32"/>
      <c r="CN1229" s="32"/>
      <c r="CO1229" s="32"/>
      <c r="CP1229" s="32"/>
      <c r="CQ1229" s="32"/>
      <c r="CR1229" s="32"/>
      <c r="CS1229" s="32"/>
      <c r="CT1229" s="32"/>
      <c r="CU1229" s="32"/>
      <c r="CV1229" s="32"/>
      <c r="CW1229" s="32"/>
      <c r="CX1229" s="32"/>
      <c r="CY1229" s="32"/>
      <c r="CZ1229" s="32"/>
      <c r="DA1229" s="32"/>
      <c r="DB1229" s="32"/>
      <c r="DC1229" s="32"/>
      <c r="DD1229" s="32"/>
      <c r="DE1229" s="32"/>
      <c r="DF1229" s="32"/>
      <c r="DG1229" s="32"/>
      <c r="DH1229" s="32"/>
      <c r="DI1229" s="32"/>
      <c r="DJ1229" s="32"/>
      <c r="DK1229" s="32"/>
      <c r="DL1229" s="32"/>
      <c r="DM1229" s="32"/>
      <c r="DN1229" s="32"/>
      <c r="DO1229" s="32"/>
      <c r="DP1229" s="32"/>
      <c r="DQ1229" s="32"/>
      <c r="DR1229" s="32"/>
      <c r="DS1229" s="32"/>
      <c r="DT1229" s="32"/>
      <c r="DU1229" s="32"/>
      <c r="DV1229" s="32"/>
      <c r="DW1229" s="32"/>
      <c r="DX1229" s="32"/>
      <c r="DY1229" s="32"/>
      <c r="DZ1229" s="32"/>
      <c r="EA1229" s="32"/>
      <c r="EB1229" s="32"/>
      <c r="EC1229" s="32"/>
      <c r="ED1229" s="32"/>
      <c r="EE1229" s="32"/>
      <c r="EF1229" s="32"/>
      <c r="EG1229" s="32"/>
      <c r="EH1229" s="32"/>
      <c r="EI1229" s="32"/>
      <c r="EJ1229" s="32"/>
      <c r="EK1229" s="32"/>
      <c r="EL1229" s="32"/>
      <c r="EM1229" s="32"/>
      <c r="EN1229" s="32"/>
      <c r="EO1229" s="32"/>
      <c r="EP1229" s="32"/>
      <c r="EQ1229" s="32"/>
      <c r="ER1229" s="32"/>
      <c r="ES1229" s="32"/>
      <c r="ET1229" s="32"/>
      <c r="EU1229" s="32"/>
      <c r="EV1229" s="32"/>
      <c r="EW1229" s="32"/>
      <c r="EX1229" s="32"/>
      <c r="EY1229" s="32"/>
      <c r="EZ1229" s="32"/>
      <c r="FA1229" s="32"/>
      <c r="FB1229" s="32"/>
      <c r="FC1229" s="32"/>
      <c r="FD1229" s="32"/>
      <c r="FE1229" s="32"/>
      <c r="FF1229" s="32"/>
      <c r="FG1229" s="32"/>
      <c r="FH1229" s="32"/>
      <c r="FI1229" s="32"/>
      <c r="FJ1229" s="32"/>
      <c r="FK1229" s="32"/>
      <c r="FL1229" s="32"/>
      <c r="FM1229" s="32"/>
      <c r="FN1229" s="32"/>
      <c r="FO1229" s="32"/>
      <c r="FP1229" s="32"/>
      <c r="FQ1229" s="32"/>
      <c r="FR1229" s="32"/>
      <c r="FS1229" s="32"/>
      <c r="FT1229" s="32"/>
      <c r="FU1229" s="32"/>
      <c r="FV1229" s="32"/>
      <c r="FW1229" s="32"/>
      <c r="FX1229" s="32"/>
      <c r="FY1229" s="32"/>
      <c r="FZ1229" s="32"/>
      <c r="GA1229" s="32"/>
      <c r="GB1229" s="32"/>
      <c r="GC1229" s="32"/>
      <c r="GD1229" s="32"/>
      <c r="GE1229" s="32"/>
      <c r="GF1229" s="32"/>
      <c r="GG1229" s="32"/>
      <c r="GH1229" s="32"/>
      <c r="GI1229" s="32"/>
      <c r="GJ1229" s="32"/>
      <c r="GK1229" s="32"/>
      <c r="GL1229" s="32"/>
      <c r="GM1229" s="32"/>
      <c r="GN1229" s="32"/>
      <c r="GO1229" s="32"/>
      <c r="GP1229" s="32"/>
      <c r="GQ1229" s="32"/>
      <c r="GR1229" s="32"/>
      <c r="GS1229" s="32"/>
      <c r="GT1229" s="32"/>
      <c r="GU1229" s="32"/>
      <c r="GV1229" s="32"/>
      <c r="GW1229" s="32"/>
      <c r="GX1229" s="32"/>
      <c r="GY1229" s="32"/>
      <c r="GZ1229" s="32"/>
      <c r="HA1229" s="32"/>
      <c r="HB1229" s="32"/>
      <c r="HC1229" s="32"/>
      <c r="HD1229" s="32"/>
      <c r="HE1229" s="32"/>
      <c r="HF1229" s="32"/>
      <c r="HG1229" s="32"/>
      <c r="HH1229" s="32"/>
      <c r="HI1229" s="32"/>
      <c r="HJ1229" s="32"/>
      <c r="HK1229" s="32"/>
      <c r="HL1229" s="32"/>
      <c r="HM1229" s="32"/>
      <c r="HN1229" s="32"/>
      <c r="HO1229" s="32"/>
      <c r="HP1229" s="32"/>
      <c r="HQ1229" s="32"/>
      <c r="HR1229" s="32"/>
      <c r="HS1229" s="32"/>
      <c r="HT1229" s="32"/>
      <c r="HU1229" s="32"/>
      <c r="HV1229" s="32"/>
      <c r="HW1229" s="32"/>
      <c r="HX1229" s="32"/>
      <c r="HY1229" s="32"/>
      <c r="HZ1229" s="32"/>
      <c r="IA1229" s="32"/>
      <c r="IB1229" s="32"/>
      <c r="IC1229" s="32"/>
      <c r="ID1229" s="32"/>
      <c r="IE1229" s="32"/>
      <c r="IF1229" s="32"/>
      <c r="IG1229" s="32"/>
      <c r="IH1229" s="32"/>
      <c r="II1229" s="32"/>
      <c r="IJ1229" s="32"/>
      <c r="IK1229" s="32"/>
      <c r="IL1229" s="32"/>
      <c r="IM1229" s="32"/>
      <c r="IN1229" s="32"/>
      <c r="IO1229" s="32"/>
      <c r="IP1229" s="32"/>
      <c r="IQ1229" s="32"/>
      <c r="IR1229" s="32"/>
      <c r="IS1229" s="32"/>
      <c r="IT1229" s="32"/>
      <c r="IU1229" s="32"/>
      <c r="IV1229" s="32"/>
      <c r="IW1229" s="32"/>
      <c r="IX1229" s="32"/>
      <c r="IY1229" s="32"/>
      <c r="IZ1229" s="32"/>
      <c r="JA1229" s="32"/>
      <c r="JB1229" s="32"/>
      <c r="JC1229" s="32"/>
      <c r="JD1229" s="32"/>
      <c r="JE1229" s="32"/>
      <c r="JF1229" s="32"/>
      <c r="JG1229" s="32"/>
      <c r="JH1229" s="32"/>
      <c r="JI1229" s="32"/>
      <c r="JJ1229" s="32"/>
      <c r="JK1229" s="32"/>
      <c r="JL1229" s="32"/>
      <c r="JM1229" s="32"/>
      <c r="JN1229" s="32"/>
      <c r="JO1229" s="32"/>
      <c r="JP1229" s="32"/>
      <c r="JQ1229" s="32"/>
      <c r="JR1229" s="32"/>
      <c r="JS1229" s="32"/>
      <c r="JT1229" s="32"/>
      <c r="JU1229" s="32"/>
      <c r="JV1229" s="32"/>
      <c r="JW1229" s="32"/>
      <c r="JX1229" s="32"/>
      <c r="JY1229" s="32"/>
      <c r="JZ1229" s="32"/>
      <c r="KA1229" s="32"/>
      <c r="KB1229" s="32"/>
      <c r="KC1229" s="32"/>
      <c r="KD1229" s="32"/>
      <c r="KE1229" s="32"/>
    </row>
    <row r="1230" spans="1:291" s="25" customFormat="1" ht="35" customHeight="1">
      <c r="A1230" s="23">
        <f>ROW()-3</f>
        <v>1227</v>
      </c>
      <c r="B1230" s="29" t="s">
        <v>5597</v>
      </c>
      <c r="C1230" s="183" t="s">
        <v>4345</v>
      </c>
      <c r="D1230" s="267" t="s">
        <v>5572</v>
      </c>
      <c r="E1230" s="267" t="s">
        <v>5573</v>
      </c>
      <c r="F1230" s="267" t="s">
        <v>5574</v>
      </c>
      <c r="G1230" s="183" t="s">
        <v>3253</v>
      </c>
      <c r="H1230" s="29">
        <v>23</v>
      </c>
      <c r="I1230" s="268">
        <v>7.6077777777777778</v>
      </c>
      <c r="J1230" s="269">
        <v>44614</v>
      </c>
      <c r="K1230" s="268" t="s">
        <v>5575</v>
      </c>
      <c r="L1230" s="75"/>
      <c r="M1230" s="32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32"/>
      <c r="AG1230" s="32"/>
      <c r="AH1230" s="32"/>
      <c r="AI1230" s="32"/>
      <c r="AJ1230" s="32"/>
      <c r="AK1230" s="32"/>
      <c r="AL1230" s="32"/>
      <c r="AM1230" s="32"/>
      <c r="AN1230" s="32"/>
      <c r="AO1230" s="32"/>
      <c r="AP1230" s="32"/>
      <c r="AQ1230" s="32"/>
      <c r="AR1230" s="32"/>
      <c r="AS1230" s="32"/>
      <c r="AT1230" s="32"/>
      <c r="AU1230" s="32"/>
      <c r="AV1230" s="32"/>
      <c r="AW1230" s="32"/>
      <c r="AX1230" s="32"/>
      <c r="AY1230" s="32"/>
      <c r="AZ1230" s="32"/>
      <c r="BA1230" s="32"/>
      <c r="BB1230" s="32"/>
      <c r="BC1230" s="32"/>
      <c r="BD1230" s="32"/>
      <c r="BE1230" s="32"/>
      <c r="BF1230" s="32"/>
      <c r="BG1230" s="32"/>
      <c r="BH1230" s="32"/>
      <c r="BI1230" s="32"/>
      <c r="BJ1230" s="32"/>
      <c r="BK1230" s="32"/>
      <c r="BL1230" s="32"/>
      <c r="BM1230" s="32"/>
      <c r="BN1230" s="32"/>
      <c r="BO1230" s="32"/>
      <c r="BP1230" s="32"/>
      <c r="BQ1230" s="32"/>
      <c r="BR1230" s="32"/>
      <c r="BS1230" s="32"/>
      <c r="BT1230" s="32"/>
      <c r="BU1230" s="32"/>
      <c r="BV1230" s="32"/>
      <c r="BW1230" s="32"/>
      <c r="BX1230" s="32"/>
      <c r="BY1230" s="32"/>
      <c r="BZ1230" s="32"/>
      <c r="CA1230" s="32"/>
      <c r="CB1230" s="32"/>
      <c r="CC1230" s="32"/>
      <c r="CD1230" s="32"/>
      <c r="CE1230" s="32"/>
      <c r="CF1230" s="32"/>
      <c r="CG1230" s="32"/>
      <c r="CH1230" s="32"/>
      <c r="CI1230" s="32"/>
      <c r="CJ1230" s="32"/>
      <c r="CK1230" s="32"/>
      <c r="CL1230" s="32"/>
      <c r="CM1230" s="32"/>
      <c r="CN1230" s="32"/>
      <c r="CO1230" s="32"/>
      <c r="CP1230" s="32"/>
      <c r="CQ1230" s="32"/>
      <c r="CR1230" s="32"/>
      <c r="CS1230" s="32"/>
      <c r="CT1230" s="32"/>
      <c r="CU1230" s="32"/>
      <c r="CV1230" s="32"/>
      <c r="CW1230" s="32"/>
      <c r="CX1230" s="32"/>
      <c r="CY1230" s="32"/>
      <c r="CZ1230" s="32"/>
      <c r="DA1230" s="32"/>
      <c r="DB1230" s="32"/>
      <c r="DC1230" s="32"/>
      <c r="DD1230" s="32"/>
      <c r="DE1230" s="32"/>
      <c r="DF1230" s="32"/>
      <c r="DG1230" s="32"/>
      <c r="DH1230" s="32"/>
      <c r="DI1230" s="32"/>
      <c r="DJ1230" s="32"/>
      <c r="DK1230" s="32"/>
      <c r="DL1230" s="32"/>
      <c r="DM1230" s="32"/>
      <c r="DN1230" s="32"/>
      <c r="DO1230" s="32"/>
      <c r="DP1230" s="32"/>
      <c r="DQ1230" s="32"/>
      <c r="DR1230" s="32"/>
      <c r="DS1230" s="32"/>
      <c r="DT1230" s="32"/>
      <c r="DU1230" s="32"/>
      <c r="DV1230" s="32"/>
      <c r="DW1230" s="32"/>
      <c r="DX1230" s="32"/>
      <c r="DY1230" s="32"/>
      <c r="DZ1230" s="32"/>
      <c r="EA1230" s="32"/>
      <c r="EB1230" s="32"/>
      <c r="EC1230" s="32"/>
      <c r="ED1230" s="32"/>
      <c r="EE1230" s="32"/>
      <c r="EF1230" s="32"/>
      <c r="EG1230" s="32"/>
      <c r="EH1230" s="32"/>
      <c r="EI1230" s="32"/>
      <c r="EJ1230" s="32"/>
      <c r="EK1230" s="32"/>
      <c r="EL1230" s="32"/>
      <c r="EM1230" s="32"/>
      <c r="EN1230" s="32"/>
      <c r="EO1230" s="32"/>
      <c r="EP1230" s="32"/>
      <c r="EQ1230" s="32"/>
      <c r="ER1230" s="32"/>
      <c r="ES1230" s="32"/>
      <c r="ET1230" s="32"/>
      <c r="EU1230" s="32"/>
      <c r="EV1230" s="32"/>
      <c r="EW1230" s="32"/>
      <c r="EX1230" s="32"/>
      <c r="EY1230" s="32"/>
      <c r="EZ1230" s="32"/>
      <c r="FA1230" s="32"/>
      <c r="FB1230" s="32"/>
      <c r="FC1230" s="32"/>
      <c r="FD1230" s="32"/>
      <c r="FE1230" s="32"/>
      <c r="FF1230" s="32"/>
      <c r="FG1230" s="32"/>
      <c r="FH1230" s="32"/>
      <c r="FI1230" s="32"/>
      <c r="FJ1230" s="32"/>
      <c r="FK1230" s="32"/>
      <c r="FL1230" s="32"/>
      <c r="FM1230" s="32"/>
      <c r="FN1230" s="32"/>
      <c r="FO1230" s="32"/>
      <c r="FP1230" s="32"/>
      <c r="FQ1230" s="32"/>
      <c r="FR1230" s="32"/>
      <c r="FS1230" s="32"/>
      <c r="FT1230" s="32"/>
      <c r="FU1230" s="32"/>
      <c r="FV1230" s="32"/>
      <c r="FW1230" s="32"/>
      <c r="FX1230" s="32"/>
      <c r="FY1230" s="32"/>
      <c r="FZ1230" s="32"/>
      <c r="GA1230" s="32"/>
      <c r="GB1230" s="32"/>
      <c r="GC1230" s="32"/>
      <c r="GD1230" s="32"/>
      <c r="GE1230" s="32"/>
      <c r="GF1230" s="32"/>
      <c r="GG1230" s="32"/>
      <c r="GH1230" s="32"/>
      <c r="GI1230" s="32"/>
      <c r="GJ1230" s="32"/>
      <c r="GK1230" s="32"/>
      <c r="GL1230" s="32"/>
      <c r="GM1230" s="32"/>
      <c r="GN1230" s="32"/>
      <c r="GO1230" s="32"/>
      <c r="GP1230" s="32"/>
      <c r="GQ1230" s="32"/>
      <c r="GR1230" s="32"/>
      <c r="GS1230" s="32"/>
      <c r="GT1230" s="32"/>
      <c r="GU1230" s="32"/>
      <c r="GV1230" s="32"/>
      <c r="GW1230" s="32"/>
      <c r="GX1230" s="32"/>
      <c r="GY1230" s="32"/>
      <c r="GZ1230" s="32"/>
      <c r="HA1230" s="32"/>
      <c r="HB1230" s="32"/>
      <c r="HC1230" s="32"/>
      <c r="HD1230" s="32"/>
      <c r="HE1230" s="32"/>
      <c r="HF1230" s="32"/>
      <c r="HG1230" s="32"/>
      <c r="HH1230" s="32"/>
      <c r="HI1230" s="32"/>
      <c r="HJ1230" s="32"/>
      <c r="HK1230" s="32"/>
      <c r="HL1230" s="32"/>
      <c r="HM1230" s="32"/>
      <c r="HN1230" s="32"/>
      <c r="HO1230" s="32"/>
      <c r="HP1230" s="32"/>
      <c r="HQ1230" s="32"/>
      <c r="HR1230" s="32"/>
      <c r="HS1230" s="32"/>
      <c r="HT1230" s="32"/>
      <c r="HU1230" s="32"/>
      <c r="HV1230" s="32"/>
      <c r="HW1230" s="32"/>
      <c r="HX1230" s="32"/>
      <c r="HY1230" s="32"/>
      <c r="HZ1230" s="32"/>
      <c r="IA1230" s="32"/>
      <c r="IB1230" s="32"/>
      <c r="IC1230" s="32"/>
      <c r="ID1230" s="32"/>
      <c r="IE1230" s="32"/>
      <c r="IF1230" s="32"/>
      <c r="IG1230" s="32"/>
      <c r="IH1230" s="32"/>
      <c r="II1230" s="32"/>
      <c r="IJ1230" s="32"/>
      <c r="IK1230" s="32"/>
      <c r="IL1230" s="32"/>
      <c r="IM1230" s="32"/>
      <c r="IN1230" s="32"/>
      <c r="IO1230" s="32"/>
      <c r="IP1230" s="32"/>
      <c r="IQ1230" s="32"/>
      <c r="IR1230" s="32"/>
      <c r="IS1230" s="32"/>
      <c r="IT1230" s="32"/>
      <c r="IU1230" s="32"/>
      <c r="IV1230" s="32"/>
      <c r="IW1230" s="32"/>
      <c r="IX1230" s="32"/>
      <c r="IY1230" s="32"/>
      <c r="IZ1230" s="32"/>
      <c r="JA1230" s="32"/>
      <c r="JB1230" s="32"/>
      <c r="JC1230" s="32"/>
      <c r="JD1230" s="32"/>
      <c r="JE1230" s="32"/>
      <c r="JF1230" s="32"/>
      <c r="JG1230" s="32"/>
      <c r="JH1230" s="32"/>
      <c r="JI1230" s="32"/>
      <c r="JJ1230" s="32"/>
      <c r="JK1230" s="32"/>
      <c r="JL1230" s="32"/>
      <c r="JM1230" s="32"/>
      <c r="JN1230" s="32"/>
      <c r="JO1230" s="32"/>
      <c r="JP1230" s="32"/>
      <c r="JQ1230" s="32"/>
      <c r="JR1230" s="32"/>
      <c r="JS1230" s="32"/>
      <c r="JT1230" s="32"/>
      <c r="JU1230" s="32"/>
      <c r="JV1230" s="32"/>
      <c r="JW1230" s="32"/>
      <c r="JX1230" s="32"/>
      <c r="JY1230" s="32"/>
      <c r="JZ1230" s="32"/>
      <c r="KA1230" s="32"/>
      <c r="KB1230" s="32"/>
      <c r="KC1230" s="32"/>
      <c r="KD1230" s="32"/>
      <c r="KE1230" s="32"/>
    </row>
    <row r="1231" spans="1:291" s="25" customFormat="1" ht="35" customHeight="1">
      <c r="A1231" s="23">
        <f>ROW()-3</f>
        <v>1228</v>
      </c>
      <c r="B1231" s="29" t="s">
        <v>5597</v>
      </c>
      <c r="C1231" s="183" t="s">
        <v>4345</v>
      </c>
      <c r="D1231" s="267" t="s">
        <v>5513</v>
      </c>
      <c r="E1231" s="267" t="s">
        <v>5577</v>
      </c>
      <c r="F1231" s="267" t="s">
        <v>5523</v>
      </c>
      <c r="G1231" s="183" t="s">
        <v>3253</v>
      </c>
      <c r="H1231" s="29">
        <v>20</v>
      </c>
      <c r="I1231" s="268">
        <v>7.9725000000000001</v>
      </c>
      <c r="J1231" s="269">
        <v>44614</v>
      </c>
      <c r="K1231" s="268" t="s">
        <v>5575</v>
      </c>
      <c r="L1231" s="75">
        <v>34</v>
      </c>
      <c r="M1231" s="32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32"/>
      <c r="AG1231" s="32"/>
      <c r="AH1231" s="32"/>
      <c r="AI1231" s="32"/>
      <c r="AJ1231" s="32"/>
      <c r="AK1231" s="32"/>
      <c r="AL1231" s="32"/>
      <c r="AM1231" s="32"/>
      <c r="AN1231" s="32"/>
      <c r="AO1231" s="32"/>
      <c r="AP1231" s="32"/>
      <c r="AQ1231" s="32"/>
      <c r="AR1231" s="32"/>
      <c r="AS1231" s="32"/>
      <c r="AT1231" s="32"/>
      <c r="AU1231" s="32"/>
      <c r="AV1231" s="32"/>
      <c r="AW1231" s="32"/>
      <c r="AX1231" s="32"/>
      <c r="AY1231" s="32"/>
      <c r="AZ1231" s="32"/>
      <c r="BA1231" s="32"/>
      <c r="BB1231" s="32"/>
      <c r="BC1231" s="32"/>
      <c r="BD1231" s="32"/>
      <c r="BE1231" s="32"/>
      <c r="BF1231" s="32"/>
      <c r="BG1231" s="32"/>
      <c r="BH1231" s="32"/>
      <c r="BI1231" s="32"/>
      <c r="BJ1231" s="32"/>
      <c r="BK1231" s="32"/>
      <c r="BL1231" s="32"/>
      <c r="BM1231" s="32"/>
      <c r="BN1231" s="32"/>
      <c r="BO1231" s="32"/>
      <c r="BP1231" s="32"/>
      <c r="BQ1231" s="32"/>
      <c r="BR1231" s="32"/>
      <c r="BS1231" s="32"/>
      <c r="BT1231" s="32"/>
      <c r="BU1231" s="32"/>
      <c r="BV1231" s="32"/>
      <c r="BW1231" s="32"/>
      <c r="BX1231" s="32"/>
      <c r="BY1231" s="32"/>
      <c r="BZ1231" s="32"/>
      <c r="CA1231" s="32"/>
      <c r="CB1231" s="32"/>
      <c r="CC1231" s="32"/>
      <c r="CD1231" s="32"/>
      <c r="CE1231" s="32"/>
      <c r="CF1231" s="32"/>
      <c r="CG1231" s="32"/>
      <c r="CH1231" s="32"/>
      <c r="CI1231" s="32"/>
      <c r="CJ1231" s="32"/>
      <c r="CK1231" s="32"/>
      <c r="CL1231" s="32"/>
      <c r="CM1231" s="32"/>
      <c r="CN1231" s="32"/>
      <c r="CO1231" s="32"/>
      <c r="CP1231" s="32"/>
      <c r="CQ1231" s="32"/>
      <c r="CR1231" s="32"/>
      <c r="CS1231" s="32"/>
      <c r="CT1231" s="32"/>
      <c r="CU1231" s="32"/>
      <c r="CV1231" s="32"/>
      <c r="CW1231" s="32"/>
      <c r="CX1231" s="32"/>
      <c r="CY1231" s="32"/>
      <c r="CZ1231" s="32"/>
      <c r="DA1231" s="32"/>
      <c r="DB1231" s="32"/>
      <c r="DC1231" s="32"/>
      <c r="DD1231" s="32"/>
      <c r="DE1231" s="32"/>
      <c r="DF1231" s="32"/>
      <c r="DG1231" s="32"/>
      <c r="DH1231" s="32"/>
      <c r="DI1231" s="32"/>
      <c r="DJ1231" s="32"/>
      <c r="DK1231" s="32"/>
      <c r="DL1231" s="32"/>
      <c r="DM1231" s="32"/>
      <c r="DN1231" s="32"/>
      <c r="DO1231" s="32"/>
      <c r="DP1231" s="32"/>
      <c r="DQ1231" s="32"/>
      <c r="DR1231" s="32"/>
      <c r="DS1231" s="32"/>
      <c r="DT1231" s="32"/>
      <c r="DU1231" s="32"/>
      <c r="DV1231" s="32"/>
      <c r="DW1231" s="32"/>
      <c r="DX1231" s="32"/>
      <c r="DY1231" s="32"/>
      <c r="DZ1231" s="32"/>
      <c r="EA1231" s="32"/>
      <c r="EB1231" s="32"/>
      <c r="EC1231" s="32"/>
      <c r="ED1231" s="32"/>
      <c r="EE1231" s="32"/>
      <c r="EF1231" s="32"/>
      <c r="EG1231" s="32"/>
      <c r="EH1231" s="32"/>
      <c r="EI1231" s="32"/>
      <c r="EJ1231" s="32"/>
      <c r="EK1231" s="32"/>
      <c r="EL1231" s="32"/>
      <c r="EM1231" s="32"/>
      <c r="EN1231" s="32"/>
      <c r="EO1231" s="32"/>
      <c r="EP1231" s="32"/>
      <c r="EQ1231" s="32"/>
      <c r="ER1231" s="32"/>
      <c r="ES1231" s="32"/>
      <c r="ET1231" s="32"/>
      <c r="EU1231" s="32"/>
      <c r="EV1231" s="32"/>
      <c r="EW1231" s="32"/>
      <c r="EX1231" s="32"/>
      <c r="EY1231" s="32"/>
      <c r="EZ1231" s="32"/>
      <c r="FA1231" s="32"/>
      <c r="FB1231" s="32"/>
      <c r="FC1231" s="32"/>
      <c r="FD1231" s="32"/>
      <c r="FE1231" s="32"/>
      <c r="FF1231" s="32"/>
      <c r="FG1231" s="32"/>
      <c r="FH1231" s="32"/>
      <c r="FI1231" s="32"/>
      <c r="FJ1231" s="32"/>
      <c r="FK1231" s="32"/>
      <c r="FL1231" s="32"/>
      <c r="FM1231" s="32"/>
      <c r="FN1231" s="32"/>
      <c r="FO1231" s="32"/>
      <c r="FP1231" s="32"/>
      <c r="FQ1231" s="32"/>
      <c r="FR1231" s="32"/>
      <c r="FS1231" s="32"/>
      <c r="FT1231" s="32"/>
      <c r="FU1231" s="32"/>
      <c r="FV1231" s="32"/>
      <c r="FW1231" s="32"/>
      <c r="FX1231" s="32"/>
      <c r="FY1231" s="32"/>
      <c r="FZ1231" s="32"/>
      <c r="GA1231" s="32"/>
      <c r="GB1231" s="32"/>
      <c r="GC1231" s="32"/>
      <c r="GD1231" s="32"/>
      <c r="GE1231" s="32"/>
      <c r="GF1231" s="32"/>
      <c r="GG1231" s="32"/>
      <c r="GH1231" s="32"/>
      <c r="GI1231" s="32"/>
      <c r="GJ1231" s="32"/>
      <c r="GK1231" s="32"/>
      <c r="GL1231" s="32"/>
      <c r="GM1231" s="32"/>
      <c r="GN1231" s="32"/>
      <c r="GO1231" s="32"/>
      <c r="GP1231" s="32"/>
      <c r="GQ1231" s="32"/>
      <c r="GR1231" s="32"/>
      <c r="GS1231" s="32"/>
      <c r="GT1231" s="32"/>
      <c r="GU1231" s="32"/>
      <c r="GV1231" s="32"/>
      <c r="GW1231" s="32"/>
      <c r="GX1231" s="32"/>
      <c r="GY1231" s="32"/>
      <c r="GZ1231" s="32"/>
      <c r="HA1231" s="32"/>
      <c r="HB1231" s="32"/>
      <c r="HC1231" s="32"/>
      <c r="HD1231" s="32"/>
      <c r="HE1231" s="32"/>
      <c r="HF1231" s="32"/>
      <c r="HG1231" s="32"/>
      <c r="HH1231" s="32"/>
      <c r="HI1231" s="32"/>
      <c r="HJ1231" s="32"/>
      <c r="HK1231" s="32"/>
      <c r="HL1231" s="32"/>
      <c r="HM1231" s="32"/>
      <c r="HN1231" s="32"/>
      <c r="HO1231" s="32"/>
      <c r="HP1231" s="32"/>
      <c r="HQ1231" s="32"/>
      <c r="HR1231" s="32"/>
      <c r="HS1231" s="32"/>
      <c r="HT1231" s="32"/>
      <c r="HU1231" s="32"/>
      <c r="HV1231" s="32"/>
      <c r="HW1231" s="32"/>
      <c r="HX1231" s="32"/>
      <c r="HY1231" s="32"/>
      <c r="HZ1231" s="32"/>
      <c r="IA1231" s="32"/>
      <c r="IB1231" s="32"/>
      <c r="IC1231" s="32"/>
      <c r="ID1231" s="32"/>
      <c r="IE1231" s="32"/>
      <c r="IF1231" s="32"/>
      <c r="IG1231" s="32"/>
      <c r="IH1231" s="32"/>
      <c r="II1231" s="32"/>
      <c r="IJ1231" s="32"/>
      <c r="IK1231" s="32"/>
      <c r="IL1231" s="32"/>
      <c r="IM1231" s="32"/>
      <c r="IN1231" s="32"/>
      <c r="IO1231" s="32"/>
      <c r="IP1231" s="32"/>
      <c r="IQ1231" s="32"/>
      <c r="IR1231" s="32"/>
      <c r="IS1231" s="32"/>
      <c r="IT1231" s="32"/>
      <c r="IU1231" s="32"/>
      <c r="IV1231" s="32"/>
      <c r="IW1231" s="32"/>
      <c r="IX1231" s="32"/>
      <c r="IY1231" s="32"/>
      <c r="IZ1231" s="32"/>
      <c r="JA1231" s="32"/>
      <c r="JB1231" s="32"/>
      <c r="JC1231" s="32"/>
      <c r="JD1231" s="32"/>
      <c r="JE1231" s="32"/>
      <c r="JF1231" s="32"/>
      <c r="JG1231" s="32"/>
      <c r="JH1231" s="32"/>
      <c r="JI1231" s="32"/>
      <c r="JJ1231" s="32"/>
      <c r="JK1231" s="32"/>
      <c r="JL1231" s="32"/>
      <c r="JM1231" s="32"/>
      <c r="JN1231" s="32"/>
      <c r="JO1231" s="32"/>
      <c r="JP1231" s="32"/>
      <c r="JQ1231" s="32"/>
      <c r="JR1231" s="32"/>
      <c r="JS1231" s="32"/>
      <c r="JT1231" s="32"/>
      <c r="JU1231" s="32"/>
      <c r="JV1231" s="32"/>
      <c r="JW1231" s="32"/>
      <c r="JX1231" s="32"/>
      <c r="JY1231" s="32"/>
      <c r="JZ1231" s="32"/>
      <c r="KA1231" s="32"/>
      <c r="KB1231" s="32"/>
      <c r="KC1231" s="32"/>
      <c r="KD1231" s="32"/>
      <c r="KE1231" s="32"/>
    </row>
    <row r="1232" spans="1:291" s="25" customFormat="1" ht="35" customHeight="1">
      <c r="A1232" s="23">
        <f>ROW()-3</f>
        <v>1229</v>
      </c>
      <c r="B1232" s="29" t="s">
        <v>5597</v>
      </c>
      <c r="C1232" s="183" t="s">
        <v>4345</v>
      </c>
      <c r="D1232" s="267" t="s">
        <v>5582</v>
      </c>
      <c r="E1232" s="267" t="s">
        <v>5583</v>
      </c>
      <c r="F1232" s="267" t="s">
        <v>5584</v>
      </c>
      <c r="G1232" s="183" t="s">
        <v>3253</v>
      </c>
      <c r="H1232" s="29">
        <v>90</v>
      </c>
      <c r="I1232" s="268">
        <v>10.989166666666666</v>
      </c>
      <c r="J1232" s="269">
        <v>44614</v>
      </c>
      <c r="K1232" s="268" t="s">
        <v>5575</v>
      </c>
      <c r="L1232" s="75">
        <v>21.99</v>
      </c>
      <c r="M1232" s="32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32"/>
      <c r="AG1232" s="32"/>
      <c r="AH1232" s="32"/>
      <c r="AI1232" s="32"/>
      <c r="AJ1232" s="32"/>
      <c r="AK1232" s="32"/>
      <c r="AL1232" s="32"/>
      <c r="AM1232" s="32"/>
      <c r="AN1232" s="32"/>
      <c r="AO1232" s="32"/>
      <c r="AP1232" s="32"/>
      <c r="AQ1232" s="32"/>
      <c r="AR1232" s="32"/>
      <c r="AS1232" s="32"/>
      <c r="AT1232" s="32"/>
      <c r="AU1232" s="32"/>
      <c r="AV1232" s="32"/>
      <c r="AW1232" s="32"/>
      <c r="AX1232" s="32"/>
      <c r="AY1232" s="32"/>
      <c r="AZ1232" s="32"/>
      <c r="BA1232" s="32"/>
      <c r="BB1232" s="32"/>
      <c r="BC1232" s="32"/>
      <c r="BD1232" s="32"/>
      <c r="BE1232" s="32"/>
      <c r="BF1232" s="32"/>
      <c r="BG1232" s="32"/>
      <c r="BH1232" s="32"/>
      <c r="BI1232" s="32"/>
      <c r="BJ1232" s="32"/>
      <c r="BK1232" s="32"/>
      <c r="BL1232" s="32"/>
      <c r="BM1232" s="32"/>
      <c r="BN1232" s="32"/>
      <c r="BO1232" s="32"/>
      <c r="BP1232" s="32"/>
      <c r="BQ1232" s="32"/>
      <c r="BR1232" s="32"/>
      <c r="BS1232" s="32"/>
      <c r="BT1232" s="32"/>
      <c r="BU1232" s="32"/>
      <c r="BV1232" s="32"/>
      <c r="BW1232" s="32"/>
      <c r="BX1232" s="32"/>
      <c r="BY1232" s="32"/>
      <c r="BZ1232" s="32"/>
      <c r="CA1232" s="32"/>
      <c r="CB1232" s="32"/>
      <c r="CC1232" s="32"/>
      <c r="CD1232" s="32"/>
      <c r="CE1232" s="32"/>
      <c r="CF1232" s="32"/>
      <c r="CG1232" s="32"/>
      <c r="CH1232" s="32"/>
      <c r="CI1232" s="32"/>
      <c r="CJ1232" s="32"/>
      <c r="CK1232" s="32"/>
      <c r="CL1232" s="32"/>
      <c r="CM1232" s="32"/>
      <c r="CN1232" s="32"/>
      <c r="CO1232" s="32"/>
      <c r="CP1232" s="32"/>
      <c r="CQ1232" s="32"/>
      <c r="CR1232" s="32"/>
      <c r="CS1232" s="32"/>
      <c r="CT1232" s="32"/>
      <c r="CU1232" s="32"/>
      <c r="CV1232" s="32"/>
      <c r="CW1232" s="32"/>
      <c r="CX1232" s="32"/>
      <c r="CY1232" s="32"/>
      <c r="CZ1232" s="32"/>
      <c r="DA1232" s="32"/>
      <c r="DB1232" s="32"/>
      <c r="DC1232" s="32"/>
      <c r="DD1232" s="32"/>
      <c r="DE1232" s="32"/>
      <c r="DF1232" s="32"/>
      <c r="DG1232" s="32"/>
      <c r="DH1232" s="32"/>
      <c r="DI1232" s="32"/>
      <c r="DJ1232" s="32"/>
      <c r="DK1232" s="32"/>
      <c r="DL1232" s="32"/>
      <c r="DM1232" s="32"/>
      <c r="DN1232" s="32"/>
      <c r="DO1232" s="32"/>
      <c r="DP1232" s="32"/>
      <c r="DQ1232" s="32"/>
      <c r="DR1232" s="32"/>
      <c r="DS1232" s="32"/>
      <c r="DT1232" s="32"/>
      <c r="DU1232" s="32"/>
      <c r="DV1232" s="32"/>
      <c r="DW1232" s="32"/>
      <c r="DX1232" s="32"/>
      <c r="DY1232" s="32"/>
      <c r="DZ1232" s="32"/>
      <c r="EA1232" s="32"/>
      <c r="EB1232" s="32"/>
      <c r="EC1232" s="32"/>
      <c r="ED1232" s="32"/>
      <c r="EE1232" s="32"/>
      <c r="EF1232" s="32"/>
      <c r="EG1232" s="32"/>
      <c r="EH1232" s="32"/>
      <c r="EI1232" s="32"/>
      <c r="EJ1232" s="32"/>
      <c r="EK1232" s="32"/>
      <c r="EL1232" s="32"/>
      <c r="EM1232" s="32"/>
      <c r="EN1232" s="32"/>
      <c r="EO1232" s="32"/>
      <c r="EP1232" s="32"/>
      <c r="EQ1232" s="32"/>
      <c r="ER1232" s="32"/>
      <c r="ES1232" s="32"/>
      <c r="ET1232" s="32"/>
      <c r="EU1232" s="32"/>
      <c r="EV1232" s="32"/>
      <c r="EW1232" s="32"/>
      <c r="EX1232" s="32"/>
      <c r="EY1232" s="32"/>
      <c r="EZ1232" s="32"/>
      <c r="FA1232" s="32"/>
      <c r="FB1232" s="32"/>
      <c r="FC1232" s="32"/>
      <c r="FD1232" s="32"/>
      <c r="FE1232" s="32"/>
      <c r="FF1232" s="32"/>
      <c r="FG1232" s="32"/>
      <c r="FH1232" s="32"/>
      <c r="FI1232" s="32"/>
      <c r="FJ1232" s="32"/>
      <c r="FK1232" s="32"/>
      <c r="FL1232" s="32"/>
      <c r="FM1232" s="32"/>
      <c r="FN1232" s="32"/>
      <c r="FO1232" s="32"/>
      <c r="FP1232" s="32"/>
      <c r="FQ1232" s="32"/>
      <c r="FR1232" s="32"/>
      <c r="FS1232" s="32"/>
      <c r="FT1232" s="32"/>
      <c r="FU1232" s="32"/>
      <c r="FV1232" s="32"/>
      <c r="FW1232" s="32"/>
      <c r="FX1232" s="32"/>
      <c r="FY1232" s="32"/>
      <c r="FZ1232" s="32"/>
      <c r="GA1232" s="32"/>
      <c r="GB1232" s="32"/>
      <c r="GC1232" s="32"/>
      <c r="GD1232" s="32"/>
      <c r="GE1232" s="32"/>
      <c r="GF1232" s="32"/>
      <c r="GG1232" s="32"/>
      <c r="GH1232" s="32"/>
      <c r="GI1232" s="32"/>
      <c r="GJ1232" s="32"/>
      <c r="GK1232" s="32"/>
      <c r="GL1232" s="32"/>
      <c r="GM1232" s="32"/>
      <c r="GN1232" s="32"/>
      <c r="GO1232" s="32"/>
      <c r="GP1232" s="32"/>
      <c r="GQ1232" s="32"/>
      <c r="GR1232" s="32"/>
      <c r="GS1232" s="32"/>
      <c r="GT1232" s="32"/>
      <c r="GU1232" s="32"/>
      <c r="GV1232" s="32"/>
      <c r="GW1232" s="32"/>
      <c r="GX1232" s="32"/>
      <c r="GY1232" s="32"/>
      <c r="GZ1232" s="32"/>
      <c r="HA1232" s="32"/>
      <c r="HB1232" s="32"/>
      <c r="HC1232" s="32"/>
      <c r="HD1232" s="32"/>
      <c r="HE1232" s="32"/>
      <c r="HF1232" s="32"/>
      <c r="HG1232" s="32"/>
      <c r="HH1232" s="32"/>
      <c r="HI1232" s="32"/>
      <c r="HJ1232" s="32"/>
      <c r="HK1232" s="32"/>
      <c r="HL1232" s="32"/>
      <c r="HM1232" s="32"/>
      <c r="HN1232" s="32"/>
      <c r="HO1232" s="32"/>
      <c r="HP1232" s="32"/>
      <c r="HQ1232" s="32"/>
      <c r="HR1232" s="32"/>
      <c r="HS1232" s="32"/>
      <c r="HT1232" s="32"/>
      <c r="HU1232" s="32"/>
      <c r="HV1232" s="32"/>
      <c r="HW1232" s="32"/>
      <c r="HX1232" s="32"/>
      <c r="HY1232" s="32"/>
      <c r="HZ1232" s="32"/>
      <c r="IA1232" s="32"/>
      <c r="IB1232" s="32"/>
      <c r="IC1232" s="32"/>
      <c r="ID1232" s="32"/>
      <c r="IE1232" s="32"/>
      <c r="IF1232" s="32"/>
      <c r="IG1232" s="32"/>
      <c r="IH1232" s="32"/>
      <c r="II1232" s="32"/>
      <c r="IJ1232" s="32"/>
      <c r="IK1232" s="32"/>
      <c r="IL1232" s="32"/>
      <c r="IM1232" s="32"/>
      <c r="IN1232" s="32"/>
      <c r="IO1232" s="32"/>
      <c r="IP1232" s="32"/>
      <c r="IQ1232" s="32"/>
      <c r="IR1232" s="32"/>
      <c r="IS1232" s="32"/>
      <c r="IT1232" s="32"/>
      <c r="IU1232" s="32"/>
      <c r="IV1232" s="32"/>
      <c r="IW1232" s="32"/>
      <c r="IX1232" s="32"/>
      <c r="IY1232" s="32"/>
      <c r="IZ1232" s="32"/>
      <c r="JA1232" s="32"/>
      <c r="JB1232" s="32"/>
      <c r="JC1232" s="32"/>
      <c r="JD1232" s="32"/>
      <c r="JE1232" s="32"/>
      <c r="JF1232" s="32"/>
      <c r="JG1232" s="32"/>
      <c r="JH1232" s="32"/>
      <c r="JI1232" s="32"/>
      <c r="JJ1232" s="32"/>
      <c r="JK1232" s="32"/>
      <c r="JL1232" s="32"/>
      <c r="JM1232" s="32"/>
      <c r="JN1232" s="32"/>
      <c r="JO1232" s="32"/>
      <c r="JP1232" s="32"/>
      <c r="JQ1232" s="32"/>
      <c r="JR1232" s="32"/>
      <c r="JS1232" s="32"/>
      <c r="JT1232" s="32"/>
      <c r="JU1232" s="32"/>
      <c r="JV1232" s="32"/>
      <c r="JW1232" s="32"/>
      <c r="JX1232" s="32"/>
      <c r="JY1232" s="32"/>
      <c r="JZ1232" s="32"/>
      <c r="KA1232" s="32"/>
      <c r="KB1232" s="32"/>
      <c r="KC1232" s="32"/>
      <c r="KD1232" s="32"/>
      <c r="KE1232" s="32"/>
    </row>
    <row r="1233" spans="1:291" s="25" customFormat="1" ht="35" customHeight="1">
      <c r="A1233" s="23">
        <f>ROW()-3</f>
        <v>1230</v>
      </c>
      <c r="B1233" s="29" t="s">
        <v>5597</v>
      </c>
      <c r="C1233" s="183" t="s">
        <v>4345</v>
      </c>
      <c r="D1233" s="267" t="s">
        <v>5518</v>
      </c>
      <c r="E1233" s="267" t="s">
        <v>5589</v>
      </c>
      <c r="F1233" s="267" t="s">
        <v>5523</v>
      </c>
      <c r="G1233" s="183" t="s">
        <v>3253</v>
      </c>
      <c r="H1233" s="29">
        <v>56</v>
      </c>
      <c r="I1233" s="268">
        <v>8.0822222222222226</v>
      </c>
      <c r="J1233" s="269">
        <v>44614</v>
      </c>
      <c r="K1233" s="268" t="s">
        <v>5575</v>
      </c>
      <c r="L1233" s="75">
        <v>34.5</v>
      </c>
      <c r="M1233" s="32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32"/>
      <c r="AG1233" s="32"/>
      <c r="AH1233" s="32"/>
      <c r="AI1233" s="32"/>
      <c r="AJ1233" s="32"/>
      <c r="AK1233" s="32"/>
      <c r="AL1233" s="32"/>
      <c r="AM1233" s="32"/>
      <c r="AN1233" s="32"/>
      <c r="AO1233" s="32"/>
      <c r="AP1233" s="32"/>
      <c r="AQ1233" s="32"/>
      <c r="AR1233" s="32"/>
      <c r="AS1233" s="32"/>
      <c r="AT1233" s="32"/>
      <c r="AU1233" s="32"/>
      <c r="AV1233" s="32"/>
      <c r="AW1233" s="32"/>
      <c r="AX1233" s="32"/>
      <c r="AY1233" s="32"/>
      <c r="AZ1233" s="32"/>
      <c r="BA1233" s="32"/>
      <c r="BB1233" s="32"/>
      <c r="BC1233" s="32"/>
      <c r="BD1233" s="32"/>
      <c r="BE1233" s="32"/>
      <c r="BF1233" s="32"/>
      <c r="BG1233" s="32"/>
      <c r="BH1233" s="32"/>
      <c r="BI1233" s="32"/>
      <c r="BJ1233" s="32"/>
      <c r="BK1233" s="32"/>
      <c r="BL1233" s="32"/>
      <c r="BM1233" s="32"/>
      <c r="BN1233" s="32"/>
      <c r="BO1233" s="32"/>
      <c r="BP1233" s="32"/>
      <c r="BQ1233" s="32"/>
      <c r="BR1233" s="32"/>
      <c r="BS1233" s="32"/>
      <c r="BT1233" s="32"/>
      <c r="BU1233" s="32"/>
      <c r="BV1233" s="32"/>
      <c r="BW1233" s="32"/>
      <c r="BX1233" s="32"/>
      <c r="BY1233" s="32"/>
      <c r="BZ1233" s="32"/>
      <c r="CA1233" s="32"/>
      <c r="CB1233" s="32"/>
      <c r="CC1233" s="32"/>
      <c r="CD1233" s="32"/>
      <c r="CE1233" s="32"/>
      <c r="CF1233" s="32"/>
      <c r="CG1233" s="32"/>
      <c r="CH1233" s="32"/>
      <c r="CI1233" s="32"/>
      <c r="CJ1233" s="32"/>
      <c r="CK1233" s="32"/>
      <c r="CL1233" s="32"/>
      <c r="CM1233" s="32"/>
      <c r="CN1233" s="32"/>
      <c r="CO1233" s="32"/>
      <c r="CP1233" s="32"/>
      <c r="CQ1233" s="32"/>
      <c r="CR1233" s="32"/>
      <c r="CS1233" s="32"/>
      <c r="CT1233" s="32"/>
      <c r="CU1233" s="32"/>
      <c r="CV1233" s="32"/>
      <c r="CW1233" s="32"/>
      <c r="CX1233" s="32"/>
      <c r="CY1233" s="32"/>
      <c r="CZ1233" s="32"/>
      <c r="DA1233" s="32"/>
      <c r="DB1233" s="32"/>
      <c r="DC1233" s="32"/>
      <c r="DD1233" s="32"/>
      <c r="DE1233" s="32"/>
      <c r="DF1233" s="32"/>
      <c r="DG1233" s="32"/>
      <c r="DH1233" s="32"/>
      <c r="DI1233" s="32"/>
      <c r="DJ1233" s="32"/>
      <c r="DK1233" s="32"/>
      <c r="DL1233" s="32"/>
      <c r="DM1233" s="32"/>
      <c r="DN1233" s="32"/>
      <c r="DO1233" s="32"/>
      <c r="DP1233" s="32"/>
      <c r="DQ1233" s="32"/>
      <c r="DR1233" s="32"/>
      <c r="DS1233" s="32"/>
      <c r="DT1233" s="32"/>
      <c r="DU1233" s="32"/>
      <c r="DV1233" s="32"/>
      <c r="DW1233" s="32"/>
      <c r="DX1233" s="32"/>
      <c r="DY1233" s="32"/>
      <c r="DZ1233" s="32"/>
      <c r="EA1233" s="32"/>
      <c r="EB1233" s="32"/>
      <c r="EC1233" s="32"/>
      <c r="ED1233" s="32"/>
      <c r="EE1233" s="32"/>
      <c r="EF1233" s="32"/>
      <c r="EG1233" s="32"/>
      <c r="EH1233" s="32"/>
      <c r="EI1233" s="32"/>
      <c r="EJ1233" s="32"/>
      <c r="EK1233" s="32"/>
      <c r="EL1233" s="32"/>
      <c r="EM1233" s="32"/>
      <c r="EN1233" s="32"/>
      <c r="EO1233" s="32"/>
      <c r="EP1233" s="32"/>
      <c r="EQ1233" s="32"/>
      <c r="ER1233" s="32"/>
      <c r="ES1233" s="32"/>
      <c r="ET1233" s="32"/>
      <c r="EU1233" s="32"/>
      <c r="EV1233" s="32"/>
      <c r="EW1233" s="32"/>
      <c r="EX1233" s="32"/>
      <c r="EY1233" s="32"/>
      <c r="EZ1233" s="32"/>
      <c r="FA1233" s="32"/>
      <c r="FB1233" s="32"/>
      <c r="FC1233" s="32"/>
      <c r="FD1233" s="32"/>
      <c r="FE1233" s="32"/>
      <c r="FF1233" s="32"/>
      <c r="FG1233" s="32"/>
      <c r="FH1233" s="32"/>
      <c r="FI1233" s="32"/>
      <c r="FJ1233" s="32"/>
      <c r="FK1233" s="32"/>
      <c r="FL1233" s="32"/>
      <c r="FM1233" s="32"/>
      <c r="FN1233" s="32"/>
      <c r="FO1233" s="32"/>
      <c r="FP1233" s="32"/>
      <c r="FQ1233" s="32"/>
      <c r="FR1233" s="32"/>
      <c r="FS1233" s="32"/>
      <c r="FT1233" s="32"/>
      <c r="FU1233" s="32"/>
      <c r="FV1233" s="32"/>
      <c r="FW1233" s="32"/>
      <c r="FX1233" s="32"/>
      <c r="FY1233" s="32"/>
      <c r="FZ1233" s="32"/>
      <c r="GA1233" s="32"/>
      <c r="GB1233" s="32"/>
      <c r="GC1233" s="32"/>
      <c r="GD1233" s="32"/>
      <c r="GE1233" s="32"/>
      <c r="GF1233" s="32"/>
      <c r="GG1233" s="32"/>
      <c r="GH1233" s="32"/>
      <c r="GI1233" s="32"/>
      <c r="GJ1233" s="32"/>
      <c r="GK1233" s="32"/>
      <c r="GL1233" s="32"/>
      <c r="GM1233" s="32"/>
      <c r="GN1233" s="32"/>
      <c r="GO1233" s="32"/>
      <c r="GP1233" s="32"/>
      <c r="GQ1233" s="32"/>
      <c r="GR1233" s="32"/>
      <c r="GS1233" s="32"/>
      <c r="GT1233" s="32"/>
      <c r="GU1233" s="32"/>
      <c r="GV1233" s="32"/>
      <c r="GW1233" s="32"/>
      <c r="GX1233" s="32"/>
      <c r="GY1233" s="32"/>
      <c r="GZ1233" s="32"/>
      <c r="HA1233" s="32"/>
      <c r="HB1233" s="32"/>
      <c r="HC1233" s="32"/>
      <c r="HD1233" s="32"/>
      <c r="HE1233" s="32"/>
      <c r="HF1233" s="32"/>
      <c r="HG1233" s="32"/>
      <c r="HH1233" s="32"/>
      <c r="HI1233" s="32"/>
      <c r="HJ1233" s="32"/>
      <c r="HK1233" s="32"/>
      <c r="HL1233" s="32"/>
      <c r="HM1233" s="32"/>
      <c r="HN1233" s="32"/>
      <c r="HO1233" s="32"/>
      <c r="HP1233" s="32"/>
      <c r="HQ1233" s="32"/>
      <c r="HR1233" s="32"/>
      <c r="HS1233" s="32"/>
      <c r="HT1233" s="32"/>
      <c r="HU1233" s="32"/>
      <c r="HV1233" s="32"/>
      <c r="HW1233" s="32"/>
      <c r="HX1233" s="32"/>
      <c r="HY1233" s="32"/>
      <c r="HZ1233" s="32"/>
      <c r="IA1233" s="32"/>
      <c r="IB1233" s="32"/>
      <c r="IC1233" s="32"/>
      <c r="ID1233" s="32"/>
      <c r="IE1233" s="32"/>
      <c r="IF1233" s="32"/>
      <c r="IG1233" s="32"/>
      <c r="IH1233" s="32"/>
      <c r="II1233" s="32"/>
      <c r="IJ1233" s="32"/>
      <c r="IK1233" s="32"/>
      <c r="IL1233" s="32"/>
      <c r="IM1233" s="32"/>
      <c r="IN1233" s="32"/>
      <c r="IO1233" s="32"/>
      <c r="IP1233" s="32"/>
      <c r="IQ1233" s="32"/>
      <c r="IR1233" s="32"/>
      <c r="IS1233" s="32"/>
      <c r="IT1233" s="32"/>
      <c r="IU1233" s="32"/>
      <c r="IV1233" s="32"/>
      <c r="IW1233" s="32"/>
      <c r="IX1233" s="32"/>
      <c r="IY1233" s="32"/>
      <c r="IZ1233" s="32"/>
      <c r="JA1233" s="32"/>
      <c r="JB1233" s="32"/>
      <c r="JC1233" s="32"/>
      <c r="JD1233" s="32"/>
      <c r="JE1233" s="32"/>
      <c r="JF1233" s="32"/>
      <c r="JG1233" s="32"/>
      <c r="JH1233" s="32"/>
      <c r="JI1233" s="32"/>
      <c r="JJ1233" s="32"/>
      <c r="JK1233" s="32"/>
      <c r="JL1233" s="32"/>
      <c r="JM1233" s="32"/>
      <c r="JN1233" s="32"/>
      <c r="JO1233" s="32"/>
      <c r="JP1233" s="32"/>
      <c r="JQ1233" s="32"/>
      <c r="JR1233" s="32"/>
      <c r="JS1233" s="32"/>
      <c r="JT1233" s="32"/>
      <c r="JU1233" s="32"/>
      <c r="JV1233" s="32"/>
      <c r="JW1233" s="32"/>
      <c r="JX1233" s="32"/>
      <c r="JY1233" s="32"/>
      <c r="JZ1233" s="32"/>
      <c r="KA1233" s="32"/>
      <c r="KB1233" s="32"/>
      <c r="KC1233" s="32"/>
      <c r="KD1233" s="32"/>
      <c r="KE1233" s="32"/>
    </row>
    <row r="1234" spans="1:291" s="25" customFormat="1" ht="35" customHeight="1">
      <c r="A1234" s="23">
        <f>ROW()-3</f>
        <v>1231</v>
      </c>
      <c r="B1234" s="29" t="s">
        <v>5597</v>
      </c>
      <c r="C1234" s="183" t="s">
        <v>4345</v>
      </c>
      <c r="D1234" s="267" t="s">
        <v>5519</v>
      </c>
      <c r="E1234" s="267" t="s">
        <v>5590</v>
      </c>
      <c r="F1234" s="267" t="s">
        <v>5591</v>
      </c>
      <c r="G1234" s="183" t="s">
        <v>3253</v>
      </c>
      <c r="H1234" s="29">
        <v>29</v>
      </c>
      <c r="I1234" s="268">
        <v>6.9155555555555557</v>
      </c>
      <c r="J1234" s="269">
        <v>44614</v>
      </c>
      <c r="K1234" s="268" t="s">
        <v>5575</v>
      </c>
      <c r="L1234" s="75">
        <v>59</v>
      </c>
      <c r="M1234" s="32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32"/>
      <c r="AG1234" s="32"/>
      <c r="AH1234" s="32"/>
      <c r="AI1234" s="32"/>
      <c r="AJ1234" s="32"/>
      <c r="AK1234" s="32"/>
      <c r="AL1234" s="32"/>
      <c r="AM1234" s="32"/>
      <c r="AN1234" s="32"/>
      <c r="AO1234" s="32"/>
      <c r="AP1234" s="32"/>
      <c r="AQ1234" s="32"/>
      <c r="AR1234" s="32"/>
      <c r="AS1234" s="32"/>
      <c r="AT1234" s="32"/>
      <c r="AU1234" s="32"/>
      <c r="AV1234" s="32"/>
      <c r="AW1234" s="32"/>
      <c r="AX1234" s="32"/>
      <c r="AY1234" s="32"/>
      <c r="AZ1234" s="32"/>
      <c r="BA1234" s="32"/>
      <c r="BB1234" s="32"/>
      <c r="BC1234" s="32"/>
      <c r="BD1234" s="32"/>
      <c r="BE1234" s="32"/>
      <c r="BF1234" s="32"/>
      <c r="BG1234" s="32"/>
      <c r="BH1234" s="32"/>
      <c r="BI1234" s="32"/>
      <c r="BJ1234" s="32"/>
      <c r="BK1234" s="32"/>
      <c r="BL1234" s="32"/>
      <c r="BM1234" s="32"/>
      <c r="BN1234" s="32"/>
      <c r="BO1234" s="32"/>
      <c r="BP1234" s="32"/>
      <c r="BQ1234" s="32"/>
      <c r="BR1234" s="32"/>
      <c r="BS1234" s="32"/>
      <c r="BT1234" s="32"/>
      <c r="BU1234" s="32"/>
      <c r="BV1234" s="32"/>
      <c r="BW1234" s="32"/>
      <c r="BX1234" s="32"/>
      <c r="BY1234" s="32"/>
      <c r="BZ1234" s="32"/>
      <c r="CA1234" s="32"/>
      <c r="CB1234" s="32"/>
      <c r="CC1234" s="32"/>
      <c r="CD1234" s="32"/>
      <c r="CE1234" s="32"/>
      <c r="CF1234" s="32"/>
      <c r="CG1234" s="32"/>
      <c r="CH1234" s="32"/>
      <c r="CI1234" s="32"/>
      <c r="CJ1234" s="32"/>
      <c r="CK1234" s="32"/>
      <c r="CL1234" s="32"/>
      <c r="CM1234" s="32"/>
      <c r="CN1234" s="32"/>
      <c r="CO1234" s="32"/>
      <c r="CP1234" s="32"/>
      <c r="CQ1234" s="32"/>
      <c r="CR1234" s="32"/>
      <c r="CS1234" s="32"/>
      <c r="CT1234" s="32"/>
      <c r="CU1234" s="32"/>
      <c r="CV1234" s="32"/>
      <c r="CW1234" s="32"/>
      <c r="CX1234" s="32"/>
      <c r="CY1234" s="32"/>
      <c r="CZ1234" s="32"/>
      <c r="DA1234" s="32"/>
      <c r="DB1234" s="32"/>
      <c r="DC1234" s="32"/>
      <c r="DD1234" s="32"/>
      <c r="DE1234" s="32"/>
      <c r="DF1234" s="32"/>
      <c r="DG1234" s="32"/>
      <c r="DH1234" s="32"/>
      <c r="DI1234" s="32"/>
      <c r="DJ1234" s="32"/>
      <c r="DK1234" s="32"/>
      <c r="DL1234" s="32"/>
      <c r="DM1234" s="32"/>
      <c r="DN1234" s="32"/>
      <c r="DO1234" s="32"/>
      <c r="DP1234" s="32"/>
      <c r="DQ1234" s="32"/>
      <c r="DR1234" s="32"/>
      <c r="DS1234" s="32"/>
      <c r="DT1234" s="32"/>
      <c r="DU1234" s="32"/>
      <c r="DV1234" s="32"/>
      <c r="DW1234" s="32"/>
      <c r="DX1234" s="32"/>
      <c r="DY1234" s="32"/>
      <c r="DZ1234" s="32"/>
      <c r="EA1234" s="32"/>
      <c r="EB1234" s="32"/>
      <c r="EC1234" s="32"/>
      <c r="ED1234" s="32"/>
      <c r="EE1234" s="32"/>
      <c r="EF1234" s="32"/>
      <c r="EG1234" s="32"/>
      <c r="EH1234" s="32"/>
      <c r="EI1234" s="32"/>
      <c r="EJ1234" s="32"/>
      <c r="EK1234" s="32"/>
      <c r="EL1234" s="32"/>
      <c r="EM1234" s="32"/>
      <c r="EN1234" s="32"/>
      <c r="EO1234" s="32"/>
      <c r="EP1234" s="32"/>
      <c r="EQ1234" s="32"/>
      <c r="ER1234" s="32"/>
      <c r="ES1234" s="32"/>
      <c r="ET1234" s="32"/>
      <c r="EU1234" s="32"/>
      <c r="EV1234" s="32"/>
      <c r="EW1234" s="32"/>
      <c r="EX1234" s="32"/>
      <c r="EY1234" s="32"/>
      <c r="EZ1234" s="32"/>
      <c r="FA1234" s="32"/>
      <c r="FB1234" s="32"/>
      <c r="FC1234" s="32"/>
      <c r="FD1234" s="32"/>
      <c r="FE1234" s="32"/>
      <c r="FF1234" s="32"/>
      <c r="FG1234" s="32"/>
      <c r="FH1234" s="32"/>
      <c r="FI1234" s="32"/>
      <c r="FJ1234" s="32"/>
      <c r="FK1234" s="32"/>
      <c r="FL1234" s="32"/>
      <c r="FM1234" s="32"/>
      <c r="FN1234" s="32"/>
      <c r="FO1234" s="32"/>
      <c r="FP1234" s="32"/>
      <c r="FQ1234" s="32"/>
      <c r="FR1234" s="32"/>
      <c r="FS1234" s="32"/>
      <c r="FT1234" s="32"/>
      <c r="FU1234" s="32"/>
      <c r="FV1234" s="32"/>
      <c r="FW1234" s="32"/>
      <c r="FX1234" s="32"/>
      <c r="FY1234" s="32"/>
      <c r="FZ1234" s="32"/>
      <c r="GA1234" s="32"/>
      <c r="GB1234" s="32"/>
      <c r="GC1234" s="32"/>
      <c r="GD1234" s="32"/>
      <c r="GE1234" s="32"/>
      <c r="GF1234" s="32"/>
      <c r="GG1234" s="32"/>
      <c r="GH1234" s="32"/>
      <c r="GI1234" s="32"/>
      <c r="GJ1234" s="32"/>
      <c r="GK1234" s="32"/>
      <c r="GL1234" s="32"/>
      <c r="GM1234" s="32"/>
      <c r="GN1234" s="32"/>
      <c r="GO1234" s="32"/>
      <c r="GP1234" s="32"/>
      <c r="GQ1234" s="32"/>
      <c r="GR1234" s="32"/>
      <c r="GS1234" s="32"/>
      <c r="GT1234" s="32"/>
      <c r="GU1234" s="32"/>
      <c r="GV1234" s="32"/>
      <c r="GW1234" s="32"/>
      <c r="GX1234" s="32"/>
      <c r="GY1234" s="32"/>
      <c r="GZ1234" s="32"/>
      <c r="HA1234" s="32"/>
      <c r="HB1234" s="32"/>
      <c r="HC1234" s="32"/>
      <c r="HD1234" s="32"/>
      <c r="HE1234" s="32"/>
      <c r="HF1234" s="32"/>
      <c r="HG1234" s="32"/>
      <c r="HH1234" s="32"/>
      <c r="HI1234" s="32"/>
      <c r="HJ1234" s="32"/>
      <c r="HK1234" s="32"/>
      <c r="HL1234" s="32"/>
      <c r="HM1234" s="32"/>
      <c r="HN1234" s="32"/>
      <c r="HO1234" s="32"/>
      <c r="HP1234" s="32"/>
      <c r="HQ1234" s="32"/>
      <c r="HR1234" s="32"/>
      <c r="HS1234" s="32"/>
      <c r="HT1234" s="32"/>
      <c r="HU1234" s="32"/>
      <c r="HV1234" s="32"/>
      <c r="HW1234" s="32"/>
      <c r="HX1234" s="32"/>
      <c r="HY1234" s="32"/>
      <c r="HZ1234" s="32"/>
      <c r="IA1234" s="32"/>
      <c r="IB1234" s="32"/>
      <c r="IC1234" s="32"/>
      <c r="ID1234" s="32"/>
      <c r="IE1234" s="32"/>
      <c r="IF1234" s="32"/>
      <c r="IG1234" s="32"/>
      <c r="IH1234" s="32"/>
      <c r="II1234" s="32"/>
      <c r="IJ1234" s="32"/>
      <c r="IK1234" s="32"/>
      <c r="IL1234" s="32"/>
      <c r="IM1234" s="32"/>
      <c r="IN1234" s="32"/>
      <c r="IO1234" s="32"/>
      <c r="IP1234" s="32"/>
      <c r="IQ1234" s="32"/>
      <c r="IR1234" s="32"/>
      <c r="IS1234" s="32"/>
      <c r="IT1234" s="32"/>
      <c r="IU1234" s="32"/>
      <c r="IV1234" s="32"/>
      <c r="IW1234" s="32"/>
      <c r="IX1234" s="32"/>
      <c r="IY1234" s="32"/>
      <c r="IZ1234" s="32"/>
      <c r="JA1234" s="32"/>
      <c r="JB1234" s="32"/>
      <c r="JC1234" s="32"/>
      <c r="JD1234" s="32"/>
      <c r="JE1234" s="32"/>
      <c r="JF1234" s="32"/>
      <c r="JG1234" s="32"/>
      <c r="JH1234" s="32"/>
      <c r="JI1234" s="32"/>
      <c r="JJ1234" s="32"/>
      <c r="JK1234" s="32"/>
      <c r="JL1234" s="32"/>
      <c r="JM1234" s="32"/>
      <c r="JN1234" s="32"/>
      <c r="JO1234" s="32"/>
      <c r="JP1234" s="32"/>
      <c r="JQ1234" s="32"/>
      <c r="JR1234" s="32"/>
      <c r="JS1234" s="32"/>
      <c r="JT1234" s="32"/>
      <c r="JU1234" s="32"/>
      <c r="JV1234" s="32"/>
      <c r="JW1234" s="32"/>
      <c r="JX1234" s="32"/>
      <c r="JY1234" s="32"/>
      <c r="JZ1234" s="32"/>
      <c r="KA1234" s="32"/>
      <c r="KB1234" s="32"/>
      <c r="KC1234" s="32"/>
      <c r="KD1234" s="32"/>
      <c r="KE1234" s="32"/>
    </row>
    <row r="1235" spans="1:291" ht="35" customHeight="1">
      <c r="A1235" s="23">
        <f>ROW()-3</f>
        <v>1232</v>
      </c>
      <c r="B1235" s="29" t="s">
        <v>5597</v>
      </c>
      <c r="C1235" s="183" t="s">
        <v>4345</v>
      </c>
      <c r="D1235" s="267" t="s">
        <v>5520</v>
      </c>
      <c r="E1235" s="267" t="s">
        <v>5592</v>
      </c>
      <c r="F1235" s="267" t="s">
        <v>4763</v>
      </c>
      <c r="G1235" s="183" t="s">
        <v>3253</v>
      </c>
      <c r="H1235" s="29">
        <v>67</v>
      </c>
      <c r="I1235" s="268">
        <v>6.0158333333333331</v>
      </c>
      <c r="J1235" s="269">
        <v>44614</v>
      </c>
      <c r="K1235" s="268" t="s">
        <v>5575</v>
      </c>
      <c r="L1235" s="75">
        <v>24.99</v>
      </c>
      <c r="M1235" s="32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32"/>
      <c r="AG1235" s="32"/>
      <c r="AH1235" s="32"/>
      <c r="AI1235" s="32"/>
      <c r="AJ1235" s="32"/>
      <c r="AK1235" s="32"/>
      <c r="AL1235" s="32"/>
      <c r="AM1235" s="32"/>
      <c r="AN1235" s="32"/>
      <c r="AO1235" s="32"/>
      <c r="AP1235" s="32"/>
      <c r="AQ1235" s="32"/>
      <c r="AR1235" s="32"/>
      <c r="AS1235" s="32"/>
      <c r="AT1235" s="32"/>
      <c r="AU1235" s="32"/>
      <c r="AV1235" s="32"/>
      <c r="AW1235" s="32"/>
      <c r="AX1235" s="32"/>
      <c r="AY1235" s="32"/>
      <c r="AZ1235" s="32"/>
      <c r="BA1235" s="32"/>
      <c r="BB1235" s="32"/>
      <c r="BC1235" s="32"/>
      <c r="BD1235" s="32"/>
      <c r="BE1235" s="32"/>
      <c r="BF1235" s="32"/>
      <c r="BG1235" s="32"/>
      <c r="BH1235" s="32"/>
      <c r="BI1235" s="32"/>
      <c r="BJ1235" s="32"/>
      <c r="BK1235" s="32"/>
      <c r="BL1235" s="32"/>
      <c r="BM1235" s="32"/>
      <c r="BN1235" s="32"/>
      <c r="BO1235" s="32"/>
      <c r="BP1235" s="32"/>
      <c r="BQ1235" s="32"/>
      <c r="BR1235" s="32"/>
      <c r="BS1235" s="32"/>
      <c r="BT1235" s="32"/>
      <c r="BU1235" s="32"/>
      <c r="BV1235" s="32"/>
      <c r="BW1235" s="32"/>
      <c r="BX1235" s="32"/>
      <c r="BY1235" s="32"/>
      <c r="BZ1235" s="32"/>
      <c r="CA1235" s="32"/>
      <c r="CB1235" s="32"/>
      <c r="CC1235" s="32"/>
      <c r="CD1235" s="32"/>
      <c r="CE1235" s="32"/>
      <c r="CF1235" s="32"/>
      <c r="CG1235" s="32"/>
      <c r="CH1235" s="32"/>
      <c r="CI1235" s="32"/>
      <c r="CJ1235" s="32"/>
      <c r="CK1235" s="32"/>
      <c r="CL1235" s="32"/>
      <c r="CM1235" s="32"/>
      <c r="CN1235" s="32"/>
      <c r="CO1235" s="32"/>
      <c r="CP1235" s="32"/>
      <c r="CQ1235" s="32"/>
      <c r="CR1235" s="32"/>
      <c r="CS1235" s="32"/>
      <c r="CT1235" s="32"/>
      <c r="CU1235" s="32"/>
      <c r="CV1235" s="32"/>
      <c r="CW1235" s="32"/>
      <c r="CX1235" s="32"/>
      <c r="CY1235" s="32"/>
      <c r="CZ1235" s="32"/>
      <c r="DA1235" s="32"/>
      <c r="DB1235" s="32"/>
      <c r="DC1235" s="32"/>
      <c r="DD1235" s="32"/>
      <c r="DE1235" s="32"/>
      <c r="DF1235" s="32"/>
      <c r="DG1235" s="32"/>
      <c r="DH1235" s="32"/>
      <c r="DI1235" s="32"/>
      <c r="DJ1235" s="32"/>
      <c r="DK1235" s="32"/>
      <c r="DL1235" s="32"/>
      <c r="DM1235" s="32"/>
      <c r="DN1235" s="32"/>
      <c r="DO1235" s="32"/>
      <c r="DP1235" s="32"/>
      <c r="DQ1235" s="32"/>
      <c r="DR1235" s="32"/>
      <c r="DS1235" s="32"/>
      <c r="DT1235" s="32"/>
      <c r="DU1235" s="32"/>
      <c r="DV1235" s="32"/>
      <c r="DW1235" s="32"/>
      <c r="DX1235" s="32"/>
      <c r="DY1235" s="32"/>
      <c r="DZ1235" s="32"/>
      <c r="EA1235" s="32"/>
      <c r="EB1235" s="32"/>
      <c r="EC1235" s="32"/>
      <c r="ED1235" s="32"/>
      <c r="EE1235" s="32"/>
      <c r="EF1235" s="32"/>
      <c r="EG1235" s="32"/>
      <c r="EH1235" s="32"/>
      <c r="EI1235" s="32"/>
      <c r="EJ1235" s="32"/>
      <c r="EK1235" s="32"/>
      <c r="EL1235" s="32"/>
      <c r="EM1235" s="32"/>
      <c r="EN1235" s="32"/>
      <c r="EO1235" s="32"/>
      <c r="EP1235" s="32"/>
      <c r="EQ1235" s="32"/>
      <c r="ER1235" s="32"/>
      <c r="ES1235" s="32"/>
      <c r="ET1235" s="32"/>
      <c r="EU1235" s="32"/>
      <c r="EV1235" s="32"/>
      <c r="EW1235" s="32"/>
      <c r="EX1235" s="32"/>
      <c r="EY1235" s="32"/>
      <c r="EZ1235" s="32"/>
      <c r="FA1235" s="32"/>
      <c r="FB1235" s="32"/>
      <c r="FC1235" s="32"/>
      <c r="FD1235" s="32"/>
      <c r="FE1235" s="32"/>
      <c r="FF1235" s="32"/>
      <c r="FG1235" s="32"/>
      <c r="FH1235" s="32"/>
      <c r="FI1235" s="32"/>
      <c r="FJ1235" s="32"/>
      <c r="FK1235" s="32"/>
      <c r="FL1235" s="32"/>
      <c r="FM1235" s="32"/>
      <c r="FN1235" s="32"/>
      <c r="FO1235" s="32"/>
      <c r="FP1235" s="32"/>
      <c r="FQ1235" s="32"/>
      <c r="FR1235" s="32"/>
      <c r="FS1235" s="32"/>
      <c r="FT1235" s="32"/>
      <c r="FU1235" s="32"/>
      <c r="FV1235" s="32"/>
      <c r="FW1235" s="32"/>
      <c r="FX1235" s="32"/>
      <c r="FY1235" s="32"/>
      <c r="FZ1235" s="32"/>
      <c r="GA1235" s="32"/>
      <c r="GB1235" s="32"/>
      <c r="GC1235" s="32"/>
      <c r="GD1235" s="32"/>
      <c r="GE1235" s="32"/>
      <c r="GF1235" s="32"/>
      <c r="GG1235" s="32"/>
      <c r="GH1235" s="32"/>
      <c r="GI1235" s="32"/>
      <c r="GJ1235" s="32"/>
      <c r="GK1235" s="32"/>
      <c r="GL1235" s="32"/>
      <c r="GM1235" s="32"/>
      <c r="GN1235" s="32"/>
      <c r="GO1235" s="32"/>
      <c r="GP1235" s="32"/>
      <c r="GQ1235" s="32"/>
      <c r="GR1235" s="32"/>
      <c r="GS1235" s="32"/>
      <c r="GT1235" s="32"/>
      <c r="GU1235" s="32"/>
      <c r="GV1235" s="32"/>
      <c r="GW1235" s="32"/>
      <c r="GX1235" s="32"/>
      <c r="GY1235" s="32"/>
      <c r="GZ1235" s="32"/>
      <c r="HA1235" s="32"/>
      <c r="HB1235" s="32"/>
      <c r="HC1235" s="32"/>
      <c r="HD1235" s="32"/>
      <c r="HE1235" s="32"/>
      <c r="HF1235" s="32"/>
      <c r="HG1235" s="32"/>
      <c r="HH1235" s="32"/>
      <c r="HI1235" s="32"/>
      <c r="HJ1235" s="32"/>
      <c r="HK1235" s="32"/>
      <c r="HL1235" s="32"/>
      <c r="HM1235" s="32"/>
      <c r="HN1235" s="32"/>
      <c r="HO1235" s="32"/>
      <c r="HP1235" s="32"/>
      <c r="HQ1235" s="32"/>
      <c r="HR1235" s="32"/>
      <c r="HS1235" s="32"/>
      <c r="HT1235" s="32"/>
      <c r="HU1235" s="32"/>
      <c r="HV1235" s="32"/>
      <c r="HW1235" s="32"/>
      <c r="HX1235" s="32"/>
      <c r="HY1235" s="32"/>
      <c r="HZ1235" s="32"/>
      <c r="IA1235" s="32"/>
      <c r="IB1235" s="32"/>
      <c r="IC1235" s="32"/>
      <c r="ID1235" s="32"/>
      <c r="IE1235" s="32"/>
      <c r="IF1235" s="32"/>
      <c r="IG1235" s="32"/>
      <c r="IH1235" s="32"/>
      <c r="II1235" s="32"/>
      <c r="IJ1235" s="32"/>
      <c r="IK1235" s="32"/>
      <c r="IL1235" s="32"/>
      <c r="IM1235" s="32"/>
      <c r="IN1235" s="32"/>
      <c r="IO1235" s="32"/>
      <c r="IP1235" s="32"/>
      <c r="IQ1235" s="32"/>
      <c r="IR1235" s="32"/>
      <c r="IS1235" s="32"/>
      <c r="IT1235" s="32"/>
      <c r="IU1235" s="32"/>
      <c r="IV1235" s="32"/>
      <c r="IW1235" s="32"/>
      <c r="IX1235" s="32"/>
      <c r="IY1235" s="32"/>
      <c r="IZ1235" s="32"/>
      <c r="JA1235" s="32"/>
      <c r="JB1235" s="32"/>
      <c r="JC1235" s="32"/>
      <c r="JD1235" s="32"/>
      <c r="JE1235" s="32"/>
      <c r="JF1235" s="32"/>
      <c r="JG1235" s="32"/>
      <c r="JH1235" s="32"/>
      <c r="JI1235" s="32"/>
      <c r="JJ1235" s="32"/>
      <c r="JK1235" s="32"/>
      <c r="JL1235" s="32"/>
      <c r="JM1235" s="32"/>
      <c r="JN1235" s="32"/>
      <c r="JO1235" s="32"/>
      <c r="JP1235" s="32"/>
      <c r="JQ1235" s="32"/>
      <c r="JR1235" s="32"/>
      <c r="JS1235" s="32"/>
      <c r="JT1235" s="32"/>
      <c r="JU1235" s="32"/>
      <c r="JV1235" s="32"/>
      <c r="JW1235" s="32"/>
      <c r="JX1235" s="32"/>
      <c r="JY1235" s="32"/>
      <c r="JZ1235" s="32"/>
      <c r="KA1235" s="32"/>
      <c r="KB1235" s="32"/>
      <c r="KC1235" s="32"/>
      <c r="KD1235" s="32"/>
      <c r="KE1235" s="32"/>
    </row>
    <row r="1236" spans="1:291" ht="35" customHeight="1">
      <c r="A1236" s="23">
        <f>ROW()-3</f>
        <v>1233</v>
      </c>
      <c r="B1236" s="29" t="s">
        <v>5597</v>
      </c>
      <c r="C1236" s="183" t="s">
        <v>4345</v>
      </c>
      <c r="D1236" s="267" t="s">
        <v>5593</v>
      </c>
      <c r="E1236" s="267" t="s">
        <v>5594</v>
      </c>
      <c r="F1236" s="267" t="s">
        <v>5595</v>
      </c>
      <c r="G1236" s="183" t="s">
        <v>3253</v>
      </c>
      <c r="H1236" s="29">
        <v>43</v>
      </c>
      <c r="I1236" s="268">
        <v>8.8833333333333329</v>
      </c>
      <c r="J1236" s="269">
        <v>44614</v>
      </c>
      <c r="K1236" s="268" t="s">
        <v>5157</v>
      </c>
      <c r="L1236" s="75">
        <v>25</v>
      </c>
      <c r="M1236" s="32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32"/>
      <c r="AG1236" s="32"/>
      <c r="AH1236" s="32"/>
      <c r="AI1236" s="32"/>
      <c r="AJ1236" s="32"/>
      <c r="AK1236" s="32"/>
      <c r="AL1236" s="32"/>
      <c r="AM1236" s="32"/>
      <c r="AN1236" s="32"/>
      <c r="AO1236" s="32"/>
      <c r="AP1236" s="32"/>
      <c r="AQ1236" s="32"/>
      <c r="AR1236" s="32"/>
      <c r="AS1236" s="32"/>
      <c r="AT1236" s="32"/>
      <c r="AU1236" s="32"/>
      <c r="AV1236" s="32"/>
      <c r="AW1236" s="32"/>
      <c r="AX1236" s="32"/>
      <c r="AY1236" s="32"/>
      <c r="AZ1236" s="32"/>
      <c r="BA1236" s="32"/>
      <c r="BB1236" s="32"/>
      <c r="BC1236" s="32"/>
      <c r="BD1236" s="32"/>
      <c r="BE1236" s="32"/>
      <c r="BF1236" s="32"/>
      <c r="BG1236" s="32"/>
      <c r="BH1236" s="32"/>
      <c r="BI1236" s="32"/>
      <c r="BJ1236" s="32"/>
      <c r="BK1236" s="32"/>
      <c r="BL1236" s="32"/>
      <c r="BM1236" s="32"/>
      <c r="BN1236" s="32"/>
      <c r="BO1236" s="32"/>
      <c r="BP1236" s="32"/>
      <c r="BQ1236" s="32"/>
      <c r="BR1236" s="32"/>
      <c r="BS1236" s="32"/>
      <c r="BT1236" s="32"/>
      <c r="BU1236" s="32"/>
      <c r="BV1236" s="32"/>
      <c r="BW1236" s="32"/>
      <c r="BX1236" s="32"/>
      <c r="BY1236" s="32"/>
      <c r="BZ1236" s="32"/>
      <c r="CA1236" s="32"/>
      <c r="CB1236" s="32"/>
      <c r="CC1236" s="32"/>
      <c r="CD1236" s="32"/>
      <c r="CE1236" s="32"/>
      <c r="CF1236" s="32"/>
      <c r="CG1236" s="32"/>
      <c r="CH1236" s="32"/>
      <c r="CI1236" s="32"/>
      <c r="CJ1236" s="32"/>
      <c r="CK1236" s="32"/>
      <c r="CL1236" s="32"/>
      <c r="CM1236" s="32"/>
      <c r="CN1236" s="32"/>
      <c r="CO1236" s="32"/>
      <c r="CP1236" s="32"/>
      <c r="CQ1236" s="32"/>
      <c r="CR1236" s="32"/>
      <c r="CS1236" s="32"/>
      <c r="CT1236" s="32"/>
      <c r="CU1236" s="32"/>
      <c r="CV1236" s="32"/>
      <c r="CW1236" s="32"/>
      <c r="CX1236" s="32"/>
      <c r="CY1236" s="32"/>
      <c r="CZ1236" s="32"/>
      <c r="DA1236" s="32"/>
      <c r="DB1236" s="32"/>
      <c r="DC1236" s="32"/>
      <c r="DD1236" s="32"/>
      <c r="DE1236" s="32"/>
      <c r="DF1236" s="32"/>
      <c r="DG1236" s="32"/>
      <c r="DH1236" s="32"/>
      <c r="DI1236" s="32"/>
      <c r="DJ1236" s="32"/>
      <c r="DK1236" s="32"/>
      <c r="DL1236" s="32"/>
      <c r="DM1236" s="32"/>
      <c r="DN1236" s="32"/>
      <c r="DO1236" s="32"/>
      <c r="DP1236" s="32"/>
      <c r="DQ1236" s="32"/>
      <c r="DR1236" s="32"/>
      <c r="DS1236" s="32"/>
      <c r="DT1236" s="32"/>
      <c r="DU1236" s="32"/>
      <c r="DV1236" s="32"/>
      <c r="DW1236" s="32"/>
      <c r="DX1236" s="32"/>
      <c r="DY1236" s="32"/>
      <c r="DZ1236" s="32"/>
      <c r="EA1236" s="32"/>
      <c r="EB1236" s="32"/>
      <c r="EC1236" s="32"/>
      <c r="ED1236" s="32"/>
      <c r="EE1236" s="32"/>
      <c r="EF1236" s="32"/>
      <c r="EG1236" s="32"/>
      <c r="EH1236" s="32"/>
      <c r="EI1236" s="32"/>
      <c r="EJ1236" s="32"/>
      <c r="EK1236" s="32"/>
      <c r="EL1236" s="32"/>
      <c r="EM1236" s="32"/>
      <c r="EN1236" s="32"/>
      <c r="EO1236" s="32"/>
      <c r="EP1236" s="32"/>
      <c r="EQ1236" s="32"/>
      <c r="ER1236" s="32"/>
      <c r="ES1236" s="32"/>
      <c r="ET1236" s="32"/>
      <c r="EU1236" s="32"/>
      <c r="EV1236" s="32"/>
      <c r="EW1236" s="32"/>
      <c r="EX1236" s="32"/>
      <c r="EY1236" s="32"/>
      <c r="EZ1236" s="32"/>
      <c r="FA1236" s="32"/>
      <c r="FB1236" s="32"/>
      <c r="FC1236" s="32"/>
      <c r="FD1236" s="32"/>
      <c r="FE1236" s="32"/>
      <c r="FF1236" s="32"/>
      <c r="FG1236" s="32"/>
      <c r="FH1236" s="32"/>
      <c r="FI1236" s="32"/>
      <c r="FJ1236" s="32"/>
      <c r="FK1236" s="32"/>
      <c r="FL1236" s="32"/>
      <c r="FM1236" s="32"/>
      <c r="FN1236" s="32"/>
      <c r="FO1236" s="32"/>
      <c r="FP1236" s="32"/>
      <c r="FQ1236" s="32"/>
      <c r="FR1236" s="32"/>
      <c r="FS1236" s="32"/>
      <c r="FT1236" s="32"/>
      <c r="FU1236" s="32"/>
      <c r="FV1236" s="32"/>
      <c r="FW1236" s="32"/>
      <c r="FX1236" s="32"/>
      <c r="FY1236" s="32"/>
      <c r="FZ1236" s="32"/>
      <c r="GA1236" s="32"/>
      <c r="GB1236" s="32"/>
      <c r="GC1236" s="32"/>
      <c r="GD1236" s="32"/>
      <c r="GE1236" s="32"/>
      <c r="GF1236" s="32"/>
      <c r="GG1236" s="32"/>
      <c r="GH1236" s="32"/>
      <c r="GI1236" s="32"/>
      <c r="GJ1236" s="32"/>
      <c r="GK1236" s="32"/>
      <c r="GL1236" s="32"/>
      <c r="GM1236" s="32"/>
      <c r="GN1236" s="32"/>
      <c r="GO1236" s="32"/>
      <c r="GP1236" s="32"/>
      <c r="GQ1236" s="32"/>
      <c r="GR1236" s="32"/>
      <c r="GS1236" s="32"/>
      <c r="GT1236" s="32"/>
      <c r="GU1236" s="32"/>
      <c r="GV1236" s="32"/>
      <c r="GW1236" s="32"/>
      <c r="GX1236" s="32"/>
      <c r="GY1236" s="32"/>
      <c r="GZ1236" s="32"/>
      <c r="HA1236" s="32"/>
      <c r="HB1236" s="32"/>
      <c r="HC1236" s="32"/>
      <c r="HD1236" s="32"/>
      <c r="HE1236" s="32"/>
      <c r="HF1236" s="32"/>
      <c r="HG1236" s="32"/>
      <c r="HH1236" s="32"/>
      <c r="HI1236" s="32"/>
      <c r="HJ1236" s="32"/>
      <c r="HK1236" s="32"/>
      <c r="HL1236" s="32"/>
      <c r="HM1236" s="32"/>
      <c r="HN1236" s="32"/>
      <c r="HO1236" s="32"/>
      <c r="HP1236" s="32"/>
      <c r="HQ1236" s="32"/>
      <c r="HR1236" s="32"/>
      <c r="HS1236" s="32"/>
      <c r="HT1236" s="32"/>
      <c r="HU1236" s="32"/>
      <c r="HV1236" s="32"/>
      <c r="HW1236" s="32"/>
      <c r="HX1236" s="32"/>
      <c r="HY1236" s="32"/>
      <c r="HZ1236" s="32"/>
      <c r="IA1236" s="32"/>
      <c r="IB1236" s="32"/>
      <c r="IC1236" s="32"/>
      <c r="ID1236" s="32"/>
      <c r="IE1236" s="32"/>
      <c r="IF1236" s="32"/>
      <c r="IG1236" s="32"/>
      <c r="IH1236" s="32"/>
      <c r="II1236" s="32"/>
      <c r="IJ1236" s="32"/>
      <c r="IK1236" s="32"/>
      <c r="IL1236" s="32"/>
      <c r="IM1236" s="32"/>
      <c r="IN1236" s="32"/>
      <c r="IO1236" s="32"/>
      <c r="IP1236" s="32"/>
      <c r="IQ1236" s="32"/>
      <c r="IR1236" s="32"/>
      <c r="IS1236" s="32"/>
      <c r="IT1236" s="32"/>
      <c r="IU1236" s="32"/>
      <c r="IV1236" s="32"/>
      <c r="IW1236" s="32"/>
      <c r="IX1236" s="32"/>
      <c r="IY1236" s="32"/>
      <c r="IZ1236" s="32"/>
      <c r="JA1236" s="32"/>
      <c r="JB1236" s="32"/>
      <c r="JC1236" s="32"/>
      <c r="JD1236" s="32"/>
      <c r="JE1236" s="32"/>
      <c r="JF1236" s="32"/>
      <c r="JG1236" s="32"/>
      <c r="JH1236" s="32"/>
      <c r="JI1236" s="32"/>
      <c r="JJ1236" s="32"/>
      <c r="JK1236" s="32"/>
      <c r="JL1236" s="32"/>
      <c r="JM1236" s="32"/>
      <c r="JN1236" s="32"/>
      <c r="JO1236" s="32"/>
      <c r="JP1236" s="32"/>
      <c r="JQ1236" s="32"/>
      <c r="JR1236" s="32"/>
      <c r="JS1236" s="32"/>
      <c r="JT1236" s="32"/>
      <c r="JU1236" s="32"/>
      <c r="JV1236" s="32"/>
      <c r="JW1236" s="32"/>
      <c r="JX1236" s="32"/>
      <c r="JY1236" s="32"/>
      <c r="JZ1236" s="32"/>
      <c r="KA1236" s="32"/>
      <c r="KB1236" s="32"/>
      <c r="KC1236" s="32"/>
      <c r="KD1236" s="32"/>
      <c r="KE1236" s="32"/>
    </row>
    <row r="1237" spans="1:291" ht="35" customHeight="1">
      <c r="A1237" s="23">
        <f>ROW()-3</f>
        <v>1234</v>
      </c>
      <c r="B1237" s="29" t="s">
        <v>2639</v>
      </c>
      <c r="C1237" s="183" t="s">
        <v>4345</v>
      </c>
      <c r="D1237" s="267" t="s">
        <v>5630</v>
      </c>
      <c r="E1237" s="267" t="s">
        <v>5631</v>
      </c>
      <c r="F1237" s="267"/>
      <c r="G1237" s="183" t="s">
        <v>3253</v>
      </c>
      <c r="H1237" s="29">
        <v>48</v>
      </c>
      <c r="I1237" s="268">
        <v>6.2</v>
      </c>
      <c r="J1237" s="269">
        <v>44620</v>
      </c>
      <c r="K1237" s="268" t="s">
        <v>5157</v>
      </c>
      <c r="L1237" s="75">
        <v>25</v>
      </c>
      <c r="M1237" s="32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32"/>
      <c r="AG1237" s="32"/>
      <c r="AH1237" s="32"/>
      <c r="AI1237" s="32"/>
      <c r="AJ1237" s="32"/>
      <c r="AK1237" s="32"/>
      <c r="AL1237" s="32"/>
      <c r="AM1237" s="32"/>
      <c r="AN1237" s="32"/>
      <c r="AO1237" s="32"/>
      <c r="AP1237" s="32"/>
      <c r="AQ1237" s="32"/>
      <c r="AR1237" s="32"/>
      <c r="AS1237" s="32"/>
      <c r="AT1237" s="32"/>
      <c r="AU1237" s="32"/>
      <c r="AV1237" s="32"/>
      <c r="AW1237" s="32"/>
      <c r="AX1237" s="32"/>
      <c r="AY1237" s="32"/>
      <c r="AZ1237" s="32"/>
      <c r="BA1237" s="32"/>
      <c r="BB1237" s="32"/>
      <c r="BC1237" s="32"/>
      <c r="BD1237" s="32"/>
      <c r="BE1237" s="32"/>
      <c r="BF1237" s="32"/>
      <c r="BG1237" s="32"/>
      <c r="BH1237" s="32"/>
      <c r="BI1237" s="32"/>
      <c r="BJ1237" s="32"/>
      <c r="BK1237" s="32"/>
      <c r="BL1237" s="32"/>
      <c r="BM1237" s="32"/>
      <c r="BN1237" s="32"/>
      <c r="BO1237" s="32"/>
      <c r="BP1237" s="32"/>
      <c r="BQ1237" s="32"/>
      <c r="BR1237" s="32"/>
      <c r="BS1237" s="32"/>
      <c r="BT1237" s="32"/>
      <c r="BU1237" s="32"/>
      <c r="BV1237" s="32"/>
      <c r="BW1237" s="32"/>
      <c r="BX1237" s="32"/>
      <c r="BY1237" s="32"/>
      <c r="BZ1237" s="32"/>
      <c r="CA1237" s="32"/>
      <c r="CB1237" s="32"/>
      <c r="CC1237" s="32"/>
      <c r="CD1237" s="32"/>
      <c r="CE1237" s="32"/>
      <c r="CF1237" s="32"/>
      <c r="CG1237" s="32"/>
      <c r="CH1237" s="32"/>
      <c r="CI1237" s="32"/>
      <c r="CJ1237" s="32"/>
      <c r="CK1237" s="32"/>
      <c r="CL1237" s="32"/>
      <c r="CM1237" s="32"/>
      <c r="CN1237" s="32"/>
      <c r="CO1237" s="32"/>
      <c r="CP1237" s="32"/>
      <c r="CQ1237" s="32"/>
      <c r="CR1237" s="32"/>
      <c r="CS1237" s="32"/>
      <c r="CT1237" s="32"/>
      <c r="CU1237" s="32"/>
      <c r="CV1237" s="32"/>
      <c r="CW1237" s="32"/>
      <c r="CX1237" s="32"/>
      <c r="CY1237" s="32"/>
      <c r="CZ1237" s="32"/>
      <c r="DA1237" s="32"/>
      <c r="DB1237" s="32"/>
      <c r="DC1237" s="32"/>
      <c r="DD1237" s="32"/>
      <c r="DE1237" s="32"/>
      <c r="DF1237" s="32"/>
      <c r="DG1237" s="32"/>
      <c r="DH1237" s="32"/>
      <c r="DI1237" s="32"/>
      <c r="DJ1237" s="32"/>
      <c r="DK1237" s="32"/>
      <c r="DL1237" s="32"/>
      <c r="DM1237" s="32"/>
      <c r="DN1237" s="32"/>
      <c r="DO1237" s="32"/>
      <c r="DP1237" s="32"/>
      <c r="DQ1237" s="32"/>
      <c r="DR1237" s="32"/>
      <c r="DS1237" s="32"/>
      <c r="DT1237" s="32"/>
      <c r="DU1237" s="32"/>
      <c r="DV1237" s="32"/>
      <c r="DW1237" s="32"/>
      <c r="DX1237" s="32"/>
      <c r="DY1237" s="32"/>
      <c r="DZ1237" s="32"/>
      <c r="EA1237" s="32"/>
      <c r="EB1237" s="32"/>
      <c r="EC1237" s="32"/>
      <c r="ED1237" s="32"/>
      <c r="EE1237" s="32"/>
      <c r="EF1237" s="32"/>
      <c r="EG1237" s="32"/>
      <c r="EH1237" s="32"/>
      <c r="EI1237" s="32"/>
      <c r="EJ1237" s="32"/>
      <c r="EK1237" s="32"/>
      <c r="EL1237" s="32"/>
      <c r="EM1237" s="32"/>
      <c r="EN1237" s="32"/>
      <c r="EO1237" s="32"/>
      <c r="EP1237" s="32"/>
      <c r="EQ1237" s="32"/>
      <c r="ER1237" s="32"/>
      <c r="ES1237" s="32"/>
      <c r="ET1237" s="32"/>
      <c r="EU1237" s="32"/>
      <c r="EV1237" s="32"/>
      <c r="EW1237" s="32"/>
      <c r="EX1237" s="32"/>
      <c r="EY1237" s="32"/>
      <c r="EZ1237" s="32"/>
      <c r="FA1237" s="32"/>
      <c r="FB1237" s="32"/>
      <c r="FC1237" s="32"/>
      <c r="FD1237" s="32"/>
      <c r="FE1237" s="32"/>
      <c r="FF1237" s="32"/>
      <c r="FG1237" s="32"/>
      <c r="FH1237" s="32"/>
      <c r="FI1237" s="32"/>
      <c r="FJ1237" s="32"/>
      <c r="FK1237" s="32"/>
      <c r="FL1237" s="32"/>
      <c r="FM1237" s="32"/>
      <c r="FN1237" s="32"/>
      <c r="FO1237" s="32"/>
      <c r="FP1237" s="32"/>
      <c r="FQ1237" s="32"/>
      <c r="FR1237" s="32"/>
      <c r="FS1237" s="32"/>
      <c r="FT1237" s="32"/>
      <c r="FU1237" s="32"/>
      <c r="FV1237" s="32"/>
      <c r="FW1237" s="32"/>
      <c r="FX1237" s="32"/>
      <c r="FY1237" s="32"/>
      <c r="FZ1237" s="32"/>
      <c r="GA1237" s="32"/>
      <c r="GB1237" s="32"/>
      <c r="GC1237" s="32"/>
      <c r="GD1237" s="32"/>
      <c r="GE1237" s="32"/>
      <c r="GF1237" s="32"/>
      <c r="GG1237" s="32"/>
      <c r="GH1237" s="32"/>
      <c r="GI1237" s="32"/>
      <c r="GJ1237" s="32"/>
      <c r="GK1237" s="32"/>
      <c r="GL1237" s="32"/>
      <c r="GM1237" s="32"/>
      <c r="GN1237" s="32"/>
      <c r="GO1237" s="32"/>
      <c r="GP1237" s="32"/>
      <c r="GQ1237" s="32"/>
      <c r="GR1237" s="32"/>
      <c r="GS1237" s="32"/>
      <c r="GT1237" s="32"/>
      <c r="GU1237" s="32"/>
      <c r="GV1237" s="32"/>
      <c r="GW1237" s="32"/>
      <c r="GX1237" s="32"/>
      <c r="GY1237" s="32"/>
      <c r="GZ1237" s="32"/>
      <c r="HA1237" s="32"/>
      <c r="HB1237" s="32"/>
      <c r="HC1237" s="32"/>
      <c r="HD1237" s="32"/>
      <c r="HE1237" s="32"/>
      <c r="HF1237" s="32"/>
      <c r="HG1237" s="32"/>
      <c r="HH1237" s="32"/>
      <c r="HI1237" s="32"/>
      <c r="HJ1237" s="32"/>
      <c r="HK1237" s="32"/>
      <c r="HL1237" s="32"/>
      <c r="HM1237" s="32"/>
      <c r="HN1237" s="32"/>
      <c r="HO1237" s="32"/>
      <c r="HP1237" s="32"/>
      <c r="HQ1237" s="32"/>
      <c r="HR1237" s="32"/>
      <c r="HS1237" s="32"/>
      <c r="HT1237" s="32"/>
      <c r="HU1237" s="32"/>
      <c r="HV1237" s="32"/>
      <c r="HW1237" s="32"/>
      <c r="HX1237" s="32"/>
      <c r="HY1237" s="32"/>
      <c r="HZ1237" s="32"/>
      <c r="IA1237" s="32"/>
      <c r="IB1237" s="32"/>
      <c r="IC1237" s="32"/>
      <c r="ID1237" s="32"/>
      <c r="IE1237" s="32"/>
      <c r="IF1237" s="32"/>
      <c r="IG1237" s="32"/>
      <c r="IH1237" s="32"/>
      <c r="II1237" s="32"/>
      <c r="IJ1237" s="32"/>
      <c r="IK1237" s="32"/>
      <c r="IL1237" s="32"/>
      <c r="IM1237" s="32"/>
      <c r="IN1237" s="32"/>
      <c r="IO1237" s="32"/>
      <c r="IP1237" s="32"/>
      <c r="IQ1237" s="32"/>
      <c r="IR1237" s="32"/>
      <c r="IS1237" s="32"/>
      <c r="IT1237" s="32"/>
      <c r="IU1237" s="32"/>
      <c r="IV1237" s="32"/>
      <c r="IW1237" s="32"/>
      <c r="IX1237" s="32"/>
      <c r="IY1237" s="32"/>
      <c r="IZ1237" s="32"/>
      <c r="JA1237" s="32"/>
      <c r="JB1237" s="32"/>
      <c r="JC1237" s="32"/>
      <c r="JD1237" s="32"/>
      <c r="JE1237" s="32"/>
      <c r="JF1237" s="32"/>
      <c r="JG1237" s="32"/>
      <c r="JH1237" s="32"/>
      <c r="JI1237" s="32"/>
      <c r="JJ1237" s="32"/>
      <c r="JK1237" s="32"/>
      <c r="JL1237" s="32"/>
      <c r="JM1237" s="32"/>
      <c r="JN1237" s="32"/>
      <c r="JO1237" s="32"/>
      <c r="JP1237" s="32"/>
      <c r="JQ1237" s="32"/>
      <c r="JR1237" s="32"/>
      <c r="JS1237" s="32"/>
      <c r="JT1237" s="32"/>
      <c r="JU1237" s="32"/>
      <c r="JV1237" s="32"/>
      <c r="JW1237" s="32"/>
      <c r="JX1237" s="32"/>
      <c r="JY1237" s="32"/>
      <c r="JZ1237" s="32"/>
      <c r="KA1237" s="32"/>
      <c r="KB1237" s="32"/>
      <c r="KC1237" s="32"/>
      <c r="KD1237" s="32"/>
      <c r="KE1237" s="32"/>
    </row>
  </sheetData>
  <sortState ref="A4:KE1237">
    <sortCondition ref="B4:B1237" customList="讲书，有声书"/>
    <sortCondition ref="C4:C1237" customList="职场，科技，财经，管理，社科，创业，历史，国学，心理，文学，亲子，人文，生活"/>
    <sortCondition ref="J4:J1237"/>
  </sortState>
  <mergeCells count="2">
    <mergeCell ref="A1:L1"/>
    <mergeCell ref="A2:L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A894-34DC-4F5C-869D-F84F1B8357D4}">
  <dimension ref="A1:KE354"/>
  <sheetViews>
    <sheetView workbookViewId="0">
      <pane ySplit="2" topLeftCell="A3" activePane="bottomLeft" state="frozen"/>
      <selection pane="bottomLeft" activeCell="M361" sqref="M361"/>
    </sheetView>
  </sheetViews>
  <sheetFormatPr defaultColWidth="10.08203125" defaultRowHeight="14.5"/>
  <cols>
    <col min="1" max="1" width="5.6640625" style="31" customWidth="1"/>
    <col min="2" max="2" width="8.58203125" style="31" customWidth="1"/>
    <col min="3" max="3" width="6.58203125" style="134" customWidth="1"/>
    <col min="4" max="4" width="26.75" style="135" customWidth="1"/>
    <col min="5" max="5" width="15.25" style="135" customWidth="1"/>
    <col min="6" max="6" width="13.9140625" style="135" customWidth="1"/>
    <col min="7" max="8" width="7.9140625" style="136" customWidth="1"/>
    <col min="9" max="9" width="10.6640625" style="137" customWidth="1"/>
    <col min="10" max="10" width="17.83203125" style="138" customWidth="1"/>
    <col min="11" max="11" width="8.25" style="137" customWidth="1"/>
    <col min="12" max="12" width="8.83203125" style="136" customWidth="1"/>
    <col min="13" max="13" width="8.4140625" style="31" customWidth="1"/>
    <col min="14" max="16384" width="10.08203125" style="31"/>
  </cols>
  <sheetData>
    <row r="1" spans="1:13" ht="35" customHeight="1">
      <c r="A1" s="294" t="s">
        <v>4586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302"/>
    </row>
    <row r="2" spans="1:13" s="34" customFormat="1" ht="35" customHeight="1">
      <c r="A2" s="139" t="s">
        <v>11</v>
      </c>
      <c r="B2" s="140" t="s">
        <v>2726</v>
      </c>
      <c r="C2" s="140" t="s">
        <v>2727</v>
      </c>
      <c r="D2" s="139" t="s">
        <v>2728</v>
      </c>
      <c r="E2" s="139" t="s">
        <v>2729</v>
      </c>
      <c r="F2" s="139" t="s">
        <v>4</v>
      </c>
      <c r="G2" s="141" t="s">
        <v>2730</v>
      </c>
      <c r="H2" s="142" t="s">
        <v>2731</v>
      </c>
      <c r="I2" s="143" t="s">
        <v>8</v>
      </c>
      <c r="J2" s="144" t="s">
        <v>6</v>
      </c>
      <c r="K2" s="143" t="s">
        <v>9</v>
      </c>
      <c r="L2" s="142" t="s">
        <v>10</v>
      </c>
      <c r="M2" s="33"/>
    </row>
    <row r="3" spans="1:13" ht="35" customHeight="1">
      <c r="A3" s="74">
        <f>ROW()-2</f>
        <v>1</v>
      </c>
      <c r="B3" s="23" t="s">
        <v>4586</v>
      </c>
      <c r="C3" s="23" t="s">
        <v>2733</v>
      </c>
      <c r="D3" s="125" t="s">
        <v>4633</v>
      </c>
      <c r="E3" s="37" t="s">
        <v>4634</v>
      </c>
      <c r="F3" s="37" t="s">
        <v>4635</v>
      </c>
      <c r="G3" s="36" t="s">
        <v>34</v>
      </c>
      <c r="H3" s="37">
        <v>115</v>
      </c>
      <c r="I3" s="196">
        <v>65.919166666666698</v>
      </c>
      <c r="J3" s="39">
        <v>43273</v>
      </c>
      <c r="K3" s="38" t="s">
        <v>20</v>
      </c>
      <c r="L3" s="44">
        <v>99</v>
      </c>
    </row>
    <row r="4" spans="1:13" ht="35" customHeight="1">
      <c r="A4" s="74">
        <f>ROW()-2</f>
        <v>2</v>
      </c>
      <c r="B4" s="23" t="s">
        <v>4586</v>
      </c>
      <c r="C4" s="23" t="s">
        <v>2733</v>
      </c>
      <c r="D4" s="125" t="s">
        <v>4636</v>
      </c>
      <c r="E4" s="37" t="s">
        <v>4637</v>
      </c>
      <c r="F4" s="37" t="s">
        <v>2745</v>
      </c>
      <c r="G4" s="36" t="s">
        <v>34</v>
      </c>
      <c r="H4" s="37">
        <v>27</v>
      </c>
      <c r="I4" s="196">
        <v>11.9233333333333</v>
      </c>
      <c r="J4" s="39">
        <v>43325</v>
      </c>
      <c r="K4" s="38" t="s">
        <v>20</v>
      </c>
      <c r="L4" s="44">
        <v>99</v>
      </c>
    </row>
    <row r="5" spans="1:13" ht="35" customHeight="1">
      <c r="A5" s="74">
        <f>ROW()-2</f>
        <v>3</v>
      </c>
      <c r="B5" s="36" t="s">
        <v>4586</v>
      </c>
      <c r="C5" s="36" t="s">
        <v>2733</v>
      </c>
      <c r="D5" s="43" t="s">
        <v>4638</v>
      </c>
      <c r="E5" s="37" t="s">
        <v>4639</v>
      </c>
      <c r="F5" s="43" t="s">
        <v>2942</v>
      </c>
      <c r="G5" s="36" t="s">
        <v>34</v>
      </c>
      <c r="H5" s="43">
        <v>27</v>
      </c>
      <c r="I5" s="49">
        <v>11.9233333333333</v>
      </c>
      <c r="J5" s="45">
        <v>43325</v>
      </c>
      <c r="K5" s="38" t="s">
        <v>20</v>
      </c>
      <c r="L5" s="44"/>
    </row>
    <row r="6" spans="1:13" ht="35" customHeight="1">
      <c r="A6" s="74">
        <f>ROW()-2</f>
        <v>4</v>
      </c>
      <c r="B6" s="42" t="s">
        <v>4586</v>
      </c>
      <c r="C6" s="42" t="s">
        <v>2733</v>
      </c>
      <c r="D6" s="43" t="s">
        <v>4609</v>
      </c>
      <c r="E6" s="43" t="s">
        <v>2814</v>
      </c>
      <c r="F6" s="43" t="s">
        <v>4610</v>
      </c>
      <c r="G6" s="42" t="s">
        <v>34</v>
      </c>
      <c r="H6" s="42">
        <v>66</v>
      </c>
      <c r="I6" s="44">
        <v>23.936666666666699</v>
      </c>
      <c r="J6" s="45">
        <v>43468</v>
      </c>
      <c r="K6" s="44" t="s">
        <v>20</v>
      </c>
      <c r="L6" s="44">
        <v>29.5</v>
      </c>
    </row>
    <row r="7" spans="1:13" ht="35" customHeight="1">
      <c r="A7" s="74">
        <f>ROW()-2</f>
        <v>5</v>
      </c>
      <c r="B7" s="42" t="s">
        <v>4586</v>
      </c>
      <c r="C7" s="42" t="s">
        <v>2733</v>
      </c>
      <c r="D7" s="43" t="s">
        <v>4611</v>
      </c>
      <c r="E7" s="43" t="s">
        <v>4612</v>
      </c>
      <c r="F7" s="43" t="s">
        <v>4610</v>
      </c>
      <c r="G7" s="42" t="s">
        <v>34</v>
      </c>
      <c r="H7" s="42">
        <v>40</v>
      </c>
      <c r="I7" s="44">
        <v>15.3572222222222</v>
      </c>
      <c r="J7" s="45">
        <v>43468</v>
      </c>
      <c r="K7" s="44" t="s">
        <v>20</v>
      </c>
      <c r="L7" s="44">
        <v>90</v>
      </c>
    </row>
    <row r="8" spans="1:13" ht="35" customHeight="1">
      <c r="A8" s="74">
        <f>ROW()-2</f>
        <v>6</v>
      </c>
      <c r="B8" s="42" t="s">
        <v>4586</v>
      </c>
      <c r="C8" s="42" t="s">
        <v>2733</v>
      </c>
      <c r="D8" s="43" t="s">
        <v>4614</v>
      </c>
      <c r="E8" s="43" t="s">
        <v>4615</v>
      </c>
      <c r="F8" s="43" t="s">
        <v>4610</v>
      </c>
      <c r="G8" s="42" t="s">
        <v>34</v>
      </c>
      <c r="H8" s="42">
        <v>52</v>
      </c>
      <c r="I8" s="44">
        <v>19.7</v>
      </c>
      <c r="J8" s="45">
        <v>43468</v>
      </c>
      <c r="K8" s="44" t="s">
        <v>20</v>
      </c>
      <c r="L8" s="44">
        <v>29.5</v>
      </c>
    </row>
    <row r="9" spans="1:13" ht="35" customHeight="1">
      <c r="A9" s="74">
        <f>ROW()-2</f>
        <v>7</v>
      </c>
      <c r="B9" s="42" t="s">
        <v>4586</v>
      </c>
      <c r="C9" s="42" t="s">
        <v>2733</v>
      </c>
      <c r="D9" s="43" t="s">
        <v>4618</v>
      </c>
      <c r="E9" s="43" t="s">
        <v>457</v>
      </c>
      <c r="F9" s="43" t="s">
        <v>4600</v>
      </c>
      <c r="G9" s="42" t="s">
        <v>34</v>
      </c>
      <c r="H9" s="42">
        <v>45</v>
      </c>
      <c r="I9" s="44">
        <v>15.6169444444444</v>
      </c>
      <c r="J9" s="45">
        <v>43468</v>
      </c>
      <c r="K9" s="44" t="s">
        <v>20</v>
      </c>
      <c r="L9" s="44">
        <v>24.5</v>
      </c>
    </row>
    <row r="10" spans="1:13" ht="35" customHeight="1">
      <c r="A10" s="74">
        <f>ROW()-2</f>
        <v>8</v>
      </c>
      <c r="B10" s="42" t="s">
        <v>4586</v>
      </c>
      <c r="C10" s="42" t="s">
        <v>2733</v>
      </c>
      <c r="D10" s="43" t="s">
        <v>4595</v>
      </c>
      <c r="E10" s="43" t="s">
        <v>4596</v>
      </c>
      <c r="F10" s="43" t="s">
        <v>4589</v>
      </c>
      <c r="G10" s="42" t="s">
        <v>34</v>
      </c>
      <c r="H10" s="42">
        <v>28</v>
      </c>
      <c r="I10" s="44">
        <v>7.73166666666667</v>
      </c>
      <c r="J10" s="45">
        <v>43469</v>
      </c>
      <c r="K10" s="44" t="s">
        <v>20</v>
      </c>
      <c r="L10" s="44">
        <v>33.6</v>
      </c>
    </row>
    <row r="11" spans="1:13" ht="35" customHeight="1">
      <c r="A11" s="74">
        <f>ROW()-2</f>
        <v>9</v>
      </c>
      <c r="B11" s="42" t="s">
        <v>4586</v>
      </c>
      <c r="C11" s="42" t="s">
        <v>2733</v>
      </c>
      <c r="D11" s="43" t="s">
        <v>2881</v>
      </c>
      <c r="E11" s="43" t="s">
        <v>2781</v>
      </c>
      <c r="F11" s="43" t="s">
        <v>4610</v>
      </c>
      <c r="G11" s="42" t="s">
        <v>34</v>
      </c>
      <c r="H11" s="42">
        <v>22</v>
      </c>
      <c r="I11" s="44">
        <v>7.7125000000000004</v>
      </c>
      <c r="J11" s="45">
        <v>43469</v>
      </c>
      <c r="K11" s="44" t="s">
        <v>20</v>
      </c>
      <c r="L11" s="44">
        <v>29.5</v>
      </c>
    </row>
    <row r="12" spans="1:13" ht="35" customHeight="1">
      <c r="A12" s="74">
        <f>ROW()-2</f>
        <v>10</v>
      </c>
      <c r="B12" s="42" t="s">
        <v>4586</v>
      </c>
      <c r="C12" s="42" t="s">
        <v>2733</v>
      </c>
      <c r="D12" s="43" t="s">
        <v>2859</v>
      </c>
      <c r="E12" s="43" t="s">
        <v>2860</v>
      </c>
      <c r="F12" s="43" t="s">
        <v>4610</v>
      </c>
      <c r="G12" s="42" t="s">
        <v>34</v>
      </c>
      <c r="H12" s="42">
        <v>45</v>
      </c>
      <c r="I12" s="44">
        <v>17.126388888888901</v>
      </c>
      <c r="J12" s="45">
        <v>43469</v>
      </c>
      <c r="K12" s="44" t="s">
        <v>20</v>
      </c>
      <c r="L12" s="44">
        <v>19.899999999999999</v>
      </c>
    </row>
    <row r="13" spans="1:13" ht="35" customHeight="1">
      <c r="A13" s="74">
        <f>ROW()-2</f>
        <v>11</v>
      </c>
      <c r="B13" s="42" t="s">
        <v>4586</v>
      </c>
      <c r="C13" s="42" t="s">
        <v>2733</v>
      </c>
      <c r="D13" s="43" t="s">
        <v>4587</v>
      </c>
      <c r="E13" s="43" t="s">
        <v>4588</v>
      </c>
      <c r="F13" s="43" t="s">
        <v>4589</v>
      </c>
      <c r="G13" s="42" t="s">
        <v>34</v>
      </c>
      <c r="H13" s="42">
        <v>33</v>
      </c>
      <c r="I13" s="44">
        <v>11.0038888888889</v>
      </c>
      <c r="J13" s="45">
        <v>43481</v>
      </c>
      <c r="K13" s="44" t="s">
        <v>20</v>
      </c>
      <c r="L13" s="44">
        <v>39.9</v>
      </c>
    </row>
    <row r="14" spans="1:13" ht="35" customHeight="1">
      <c r="A14" s="74">
        <f>ROW()-2</f>
        <v>12</v>
      </c>
      <c r="B14" s="42" t="s">
        <v>4586</v>
      </c>
      <c r="C14" s="42" t="s">
        <v>2733</v>
      </c>
      <c r="D14" s="43" t="s">
        <v>4601</v>
      </c>
      <c r="E14" s="43" t="s">
        <v>4602</v>
      </c>
      <c r="F14" s="43" t="s">
        <v>4603</v>
      </c>
      <c r="G14" s="42" t="s">
        <v>34</v>
      </c>
      <c r="H14" s="42">
        <v>23</v>
      </c>
      <c r="I14" s="44">
        <v>9.0175000000000001</v>
      </c>
      <c r="J14" s="45">
        <v>43483</v>
      </c>
      <c r="K14" s="44" t="s">
        <v>20</v>
      </c>
      <c r="L14" s="44">
        <v>6.99</v>
      </c>
    </row>
    <row r="15" spans="1:13" ht="35" customHeight="1">
      <c r="A15" s="74">
        <f>ROW()-2</f>
        <v>13</v>
      </c>
      <c r="B15" s="42" t="s">
        <v>4586</v>
      </c>
      <c r="C15" s="42" t="s">
        <v>2733</v>
      </c>
      <c r="D15" s="43" t="s">
        <v>4606</v>
      </c>
      <c r="E15" s="43" t="s">
        <v>4607</v>
      </c>
      <c r="F15" s="43" t="s">
        <v>4608</v>
      </c>
      <c r="G15" s="42" t="s">
        <v>34</v>
      </c>
      <c r="H15" s="42">
        <v>13</v>
      </c>
      <c r="I15" s="44">
        <v>4.5516666666666703</v>
      </c>
      <c r="J15" s="45">
        <v>43483</v>
      </c>
      <c r="K15" s="44" t="s">
        <v>20</v>
      </c>
      <c r="L15" s="44">
        <v>24.5</v>
      </c>
    </row>
    <row r="16" spans="1:13" ht="35" customHeight="1">
      <c r="A16" s="74">
        <f>ROW()-2</f>
        <v>14</v>
      </c>
      <c r="B16" s="42" t="s">
        <v>4586</v>
      </c>
      <c r="C16" s="42" t="s">
        <v>2733</v>
      </c>
      <c r="D16" s="43" t="s">
        <v>4613</v>
      </c>
      <c r="E16" s="43" t="s">
        <v>2803</v>
      </c>
      <c r="F16" s="43" t="s">
        <v>4610</v>
      </c>
      <c r="G16" s="42" t="s">
        <v>34</v>
      </c>
      <c r="H16" s="42">
        <v>63</v>
      </c>
      <c r="I16" s="44">
        <v>32.301666666666698</v>
      </c>
      <c r="J16" s="45">
        <v>43483</v>
      </c>
      <c r="K16" s="44" t="s">
        <v>20</v>
      </c>
      <c r="L16" s="44">
        <v>24.5</v>
      </c>
    </row>
    <row r="17" spans="1:12" ht="35" customHeight="1">
      <c r="A17" s="74">
        <f>ROW()-2</f>
        <v>15</v>
      </c>
      <c r="B17" s="42" t="s">
        <v>4586</v>
      </c>
      <c r="C17" s="42" t="s">
        <v>2733</v>
      </c>
      <c r="D17" s="43" t="s">
        <v>4616</v>
      </c>
      <c r="E17" s="43" t="s">
        <v>4612</v>
      </c>
      <c r="F17" s="43" t="s">
        <v>4610</v>
      </c>
      <c r="G17" s="42" t="s">
        <v>34</v>
      </c>
      <c r="H17" s="42">
        <v>22</v>
      </c>
      <c r="I17" s="44">
        <v>7.5147222222222201</v>
      </c>
      <c r="J17" s="45">
        <v>43483</v>
      </c>
      <c r="K17" s="44" t="s">
        <v>20</v>
      </c>
      <c r="L17" s="44">
        <v>29.99</v>
      </c>
    </row>
    <row r="18" spans="1:12" ht="35" customHeight="1">
      <c r="A18" s="74">
        <f>ROW()-2</f>
        <v>16</v>
      </c>
      <c r="B18" s="42" t="s">
        <v>4586</v>
      </c>
      <c r="C18" s="42" t="s">
        <v>2733</v>
      </c>
      <c r="D18" s="43" t="s">
        <v>2867</v>
      </c>
      <c r="E18" s="43" t="s">
        <v>2868</v>
      </c>
      <c r="F18" s="43" t="s">
        <v>4617</v>
      </c>
      <c r="G18" s="42" t="s">
        <v>34</v>
      </c>
      <c r="H18" s="42">
        <v>31</v>
      </c>
      <c r="I18" s="44">
        <v>11.7677777777778</v>
      </c>
      <c r="J18" s="45">
        <v>43483</v>
      </c>
      <c r="K18" s="44" t="s">
        <v>20</v>
      </c>
      <c r="L18" s="44">
        <v>38</v>
      </c>
    </row>
    <row r="19" spans="1:12" ht="35" customHeight="1">
      <c r="A19" s="74">
        <f>ROW()-2</f>
        <v>17</v>
      </c>
      <c r="B19" s="42" t="s">
        <v>4586</v>
      </c>
      <c r="C19" s="42" t="s">
        <v>2733</v>
      </c>
      <c r="D19" s="43" t="s">
        <v>4599</v>
      </c>
      <c r="E19" s="43" t="s">
        <v>457</v>
      </c>
      <c r="F19" s="43" t="s">
        <v>4600</v>
      </c>
      <c r="G19" s="42" t="s">
        <v>34</v>
      </c>
      <c r="H19" s="42">
        <v>77</v>
      </c>
      <c r="I19" s="44">
        <v>10.2952777777778</v>
      </c>
      <c r="J19" s="45">
        <v>43495</v>
      </c>
      <c r="K19" s="44" t="s">
        <v>20</v>
      </c>
      <c r="L19" s="44">
        <v>6.9</v>
      </c>
    </row>
    <row r="20" spans="1:12" ht="35" customHeight="1">
      <c r="A20" s="74">
        <f>ROW()-2</f>
        <v>18</v>
      </c>
      <c r="B20" s="42" t="s">
        <v>4586</v>
      </c>
      <c r="C20" s="42" t="s">
        <v>2733</v>
      </c>
      <c r="D20" s="43" t="s">
        <v>4597</v>
      </c>
      <c r="E20" s="43" t="s">
        <v>512</v>
      </c>
      <c r="F20" s="43" t="s">
        <v>4598</v>
      </c>
      <c r="G20" s="42" t="s">
        <v>34</v>
      </c>
      <c r="H20" s="42">
        <v>107</v>
      </c>
      <c r="I20" s="44">
        <v>35.794444444444402</v>
      </c>
      <c r="J20" s="45">
        <v>43516</v>
      </c>
      <c r="K20" s="44" t="s">
        <v>20</v>
      </c>
      <c r="L20" s="44">
        <v>19.8</v>
      </c>
    </row>
    <row r="21" spans="1:12" ht="35" customHeight="1">
      <c r="A21" s="74">
        <f>ROW()-2</f>
        <v>19</v>
      </c>
      <c r="B21" s="42" t="s">
        <v>4586</v>
      </c>
      <c r="C21" s="42" t="s">
        <v>2733</v>
      </c>
      <c r="D21" s="43" t="s">
        <v>4604</v>
      </c>
      <c r="E21" s="43" t="s">
        <v>2883</v>
      </c>
      <c r="F21" s="43" t="s">
        <v>4605</v>
      </c>
      <c r="G21" s="42" t="s">
        <v>34</v>
      </c>
      <c r="H21" s="42">
        <v>24</v>
      </c>
      <c r="I21" s="44">
        <v>7.49722222222222</v>
      </c>
      <c r="J21" s="45">
        <v>43516</v>
      </c>
      <c r="K21" s="44" t="s">
        <v>20</v>
      </c>
      <c r="L21" s="44">
        <v>32.5</v>
      </c>
    </row>
    <row r="22" spans="1:12" ht="35" customHeight="1">
      <c r="A22" s="74">
        <f>ROW()-2</f>
        <v>20</v>
      </c>
      <c r="B22" s="42" t="s">
        <v>4586</v>
      </c>
      <c r="C22" s="42" t="s">
        <v>2733</v>
      </c>
      <c r="D22" s="43" t="s">
        <v>2796</v>
      </c>
      <c r="E22" s="43" t="s">
        <v>2797</v>
      </c>
      <c r="F22" s="43" t="s">
        <v>4610</v>
      </c>
      <c r="G22" s="42" t="s">
        <v>34</v>
      </c>
      <c r="H22" s="42">
        <v>55</v>
      </c>
      <c r="I22" s="44">
        <v>11.74</v>
      </c>
      <c r="J22" s="45">
        <v>43615</v>
      </c>
      <c r="K22" s="44" t="s">
        <v>20</v>
      </c>
      <c r="L22" s="44">
        <v>36.799999999999997</v>
      </c>
    </row>
    <row r="23" spans="1:12" ht="35" customHeight="1">
      <c r="A23" s="74">
        <f>ROW()-2</f>
        <v>21</v>
      </c>
      <c r="B23" s="42" t="s">
        <v>4586</v>
      </c>
      <c r="C23" s="42" t="s">
        <v>2733</v>
      </c>
      <c r="D23" s="43" t="s">
        <v>4619</v>
      </c>
      <c r="E23" s="43" t="s">
        <v>4620</v>
      </c>
      <c r="F23" s="43" t="s">
        <v>4610</v>
      </c>
      <c r="G23" s="42" t="s">
        <v>34</v>
      </c>
      <c r="H23" s="42">
        <v>40</v>
      </c>
      <c r="I23" s="44">
        <v>12.1736111111111</v>
      </c>
      <c r="J23" s="45">
        <v>43691</v>
      </c>
      <c r="K23" s="44" t="s">
        <v>20</v>
      </c>
      <c r="L23" s="44">
        <v>19.899999999999999</v>
      </c>
    </row>
    <row r="24" spans="1:12" ht="35" customHeight="1">
      <c r="A24" s="74">
        <f>ROW()-2</f>
        <v>22</v>
      </c>
      <c r="B24" s="42" t="s">
        <v>4586</v>
      </c>
      <c r="C24" s="42" t="s">
        <v>2733</v>
      </c>
      <c r="D24" s="43" t="s">
        <v>4621</v>
      </c>
      <c r="E24" s="43" t="s">
        <v>4622</v>
      </c>
      <c r="F24" s="43" t="s">
        <v>4623</v>
      </c>
      <c r="G24" s="42" t="s">
        <v>34</v>
      </c>
      <c r="H24" s="42">
        <v>35</v>
      </c>
      <c r="I24" s="44">
        <v>8.0250000000000004</v>
      </c>
      <c r="J24" s="45">
        <v>43691</v>
      </c>
      <c r="K24" s="44" t="s">
        <v>20</v>
      </c>
      <c r="L24" s="44">
        <v>8</v>
      </c>
    </row>
    <row r="25" spans="1:12" ht="35" customHeight="1">
      <c r="A25" s="74">
        <f>ROW()-2</f>
        <v>23</v>
      </c>
      <c r="B25" s="42" t="s">
        <v>4586</v>
      </c>
      <c r="C25" s="42" t="s">
        <v>2733</v>
      </c>
      <c r="D25" s="43" t="s">
        <v>4624</v>
      </c>
      <c r="E25" s="43" t="s">
        <v>4625</v>
      </c>
      <c r="F25" s="43" t="s">
        <v>4626</v>
      </c>
      <c r="G25" s="42" t="s">
        <v>34</v>
      </c>
      <c r="H25" s="42">
        <v>41</v>
      </c>
      <c r="I25" s="44">
        <v>13.113055555555601</v>
      </c>
      <c r="J25" s="45">
        <v>43691</v>
      </c>
      <c r="K25" s="44" t="s">
        <v>20</v>
      </c>
      <c r="L25" s="44">
        <v>49.99</v>
      </c>
    </row>
    <row r="26" spans="1:12" ht="35" customHeight="1">
      <c r="A26" s="74">
        <f>ROW()-2</f>
        <v>24</v>
      </c>
      <c r="B26" s="42" t="s">
        <v>4586</v>
      </c>
      <c r="C26" s="42" t="s">
        <v>2733</v>
      </c>
      <c r="D26" s="43" t="s">
        <v>4627</v>
      </c>
      <c r="E26" s="43" t="s">
        <v>4625</v>
      </c>
      <c r="F26" s="43" t="s">
        <v>4626</v>
      </c>
      <c r="G26" s="42" t="s">
        <v>34</v>
      </c>
      <c r="H26" s="42">
        <v>27</v>
      </c>
      <c r="I26" s="44">
        <v>11.265833333333299</v>
      </c>
      <c r="J26" s="45">
        <v>43691</v>
      </c>
      <c r="K26" s="44" t="s">
        <v>20</v>
      </c>
      <c r="L26" s="44">
        <v>14.99</v>
      </c>
    </row>
    <row r="27" spans="1:12" ht="35" customHeight="1">
      <c r="A27" s="74">
        <f>ROW()-2</f>
        <v>25</v>
      </c>
      <c r="B27" s="42" t="s">
        <v>4586</v>
      </c>
      <c r="C27" s="42" t="s">
        <v>2733</v>
      </c>
      <c r="D27" s="43" t="s">
        <v>4628</v>
      </c>
      <c r="E27" s="43" t="s">
        <v>4629</v>
      </c>
      <c r="F27" s="43" t="s">
        <v>4617</v>
      </c>
      <c r="G27" s="42" t="s">
        <v>34</v>
      </c>
      <c r="H27" s="42">
        <v>35</v>
      </c>
      <c r="I27" s="44">
        <v>8.1422222222222196</v>
      </c>
      <c r="J27" s="45">
        <v>43691</v>
      </c>
      <c r="K27" s="44" t="s">
        <v>20</v>
      </c>
      <c r="L27" s="44">
        <v>24.5</v>
      </c>
    </row>
    <row r="28" spans="1:12" ht="35" customHeight="1">
      <c r="A28" s="74">
        <f>ROW()-2</f>
        <v>26</v>
      </c>
      <c r="B28" s="42" t="s">
        <v>4586</v>
      </c>
      <c r="C28" s="42" t="s">
        <v>2733</v>
      </c>
      <c r="D28" s="43" t="s">
        <v>4630</v>
      </c>
      <c r="E28" s="43" t="s">
        <v>4631</v>
      </c>
      <c r="F28" s="43" t="s">
        <v>4632</v>
      </c>
      <c r="G28" s="42" t="s">
        <v>34</v>
      </c>
      <c r="H28" s="42">
        <v>25</v>
      </c>
      <c r="I28" s="44">
        <v>7.3633333333333297</v>
      </c>
      <c r="J28" s="45">
        <v>43893</v>
      </c>
      <c r="K28" s="44" t="s">
        <v>20</v>
      </c>
      <c r="L28" s="44">
        <v>22.99</v>
      </c>
    </row>
    <row r="29" spans="1:12" ht="35" customHeight="1">
      <c r="A29" s="74">
        <f>ROW()-2</f>
        <v>27</v>
      </c>
      <c r="B29" s="42" t="s">
        <v>4586</v>
      </c>
      <c r="C29" s="42" t="s">
        <v>2733</v>
      </c>
      <c r="D29" s="43" t="s">
        <v>3103</v>
      </c>
      <c r="E29" s="43" t="s">
        <v>3104</v>
      </c>
      <c r="F29" s="43" t="s">
        <v>4610</v>
      </c>
      <c r="G29" s="42" t="s">
        <v>34</v>
      </c>
      <c r="H29" s="42">
        <v>152</v>
      </c>
      <c r="I29" s="44">
        <v>46.397222222222197</v>
      </c>
      <c r="J29" s="45">
        <v>43928</v>
      </c>
      <c r="K29" s="44" t="s">
        <v>20</v>
      </c>
      <c r="L29" s="44">
        <v>99</v>
      </c>
    </row>
    <row r="30" spans="1:12" ht="35" customHeight="1">
      <c r="A30" s="74">
        <f>ROW()-2</f>
        <v>28</v>
      </c>
      <c r="B30" s="42" t="s">
        <v>4586</v>
      </c>
      <c r="C30" s="42" t="s">
        <v>2733</v>
      </c>
      <c r="D30" s="58" t="s">
        <v>4592</v>
      </c>
      <c r="E30" s="43" t="s">
        <v>4593</v>
      </c>
      <c r="F30" s="43" t="s">
        <v>4594</v>
      </c>
      <c r="G30" s="42" t="s">
        <v>34</v>
      </c>
      <c r="H30" s="43">
        <v>69</v>
      </c>
      <c r="I30" s="53">
        <v>10.9</v>
      </c>
      <c r="J30" s="50">
        <v>44179</v>
      </c>
      <c r="K30" s="44" t="s">
        <v>20</v>
      </c>
      <c r="L30" s="145">
        <v>49</v>
      </c>
    </row>
    <row r="31" spans="1:12" ht="35" customHeight="1">
      <c r="A31" s="74">
        <f>ROW()-2</f>
        <v>29</v>
      </c>
      <c r="B31" s="42" t="s">
        <v>4586</v>
      </c>
      <c r="C31" s="42" t="s">
        <v>2733</v>
      </c>
      <c r="D31" s="43" t="s">
        <v>5167</v>
      </c>
      <c r="E31" s="43" t="s">
        <v>535</v>
      </c>
      <c r="F31" s="43" t="s">
        <v>4591</v>
      </c>
      <c r="G31" s="42" t="s">
        <v>34</v>
      </c>
      <c r="H31" s="42">
        <v>86</v>
      </c>
      <c r="I31" s="44">
        <v>25.8</v>
      </c>
      <c r="J31" s="45">
        <v>44186</v>
      </c>
      <c r="K31" s="44" t="s">
        <v>20</v>
      </c>
      <c r="L31" s="44">
        <v>49</v>
      </c>
    </row>
    <row r="32" spans="1:12" ht="35" customHeight="1">
      <c r="A32" s="74">
        <f>ROW()-2</f>
        <v>30</v>
      </c>
      <c r="B32" s="42" t="s">
        <v>4586</v>
      </c>
      <c r="C32" s="42" t="s">
        <v>2733</v>
      </c>
      <c r="D32" s="43" t="s">
        <v>4640</v>
      </c>
      <c r="E32" s="43" t="s">
        <v>457</v>
      </c>
      <c r="F32" s="43" t="s">
        <v>4641</v>
      </c>
      <c r="G32" s="42" t="s">
        <v>34</v>
      </c>
      <c r="H32" s="43">
        <v>71</v>
      </c>
      <c r="I32" s="49">
        <v>12</v>
      </c>
      <c r="J32" s="45">
        <v>44284</v>
      </c>
      <c r="K32" s="44" t="s">
        <v>20</v>
      </c>
      <c r="L32" s="44">
        <v>38</v>
      </c>
    </row>
    <row r="33" spans="1:291" ht="35" customHeight="1">
      <c r="A33" s="74">
        <f>ROW()-2</f>
        <v>31</v>
      </c>
      <c r="B33" s="42" t="s">
        <v>4586</v>
      </c>
      <c r="C33" s="42" t="s">
        <v>2733</v>
      </c>
      <c r="D33" s="43" t="s">
        <v>2831</v>
      </c>
      <c r="E33" s="43" t="s">
        <v>457</v>
      </c>
      <c r="F33" s="43" t="s">
        <v>4642</v>
      </c>
      <c r="G33" s="42" t="s">
        <v>34</v>
      </c>
      <c r="H33" s="43">
        <v>85</v>
      </c>
      <c r="I33" s="49">
        <v>28</v>
      </c>
      <c r="J33" s="45">
        <v>44292</v>
      </c>
      <c r="K33" s="44" t="s">
        <v>20</v>
      </c>
      <c r="L33" s="44">
        <v>68</v>
      </c>
    </row>
    <row r="34" spans="1:291" ht="35" customHeight="1">
      <c r="A34" s="74">
        <f>ROW()-2</f>
        <v>32</v>
      </c>
      <c r="B34" s="42" t="s">
        <v>4586</v>
      </c>
      <c r="C34" s="42" t="s">
        <v>2733</v>
      </c>
      <c r="D34" s="43" t="s">
        <v>4643</v>
      </c>
      <c r="E34" s="43" t="s">
        <v>4644</v>
      </c>
      <c r="F34" s="43" t="s">
        <v>4641</v>
      </c>
      <c r="G34" s="42" t="s">
        <v>34</v>
      </c>
      <c r="H34" s="43">
        <v>36</v>
      </c>
      <c r="I34" s="49">
        <v>12</v>
      </c>
      <c r="J34" s="45">
        <v>44305</v>
      </c>
      <c r="K34" s="136" t="s">
        <v>20</v>
      </c>
      <c r="L34" s="44">
        <v>32</v>
      </c>
    </row>
    <row r="35" spans="1:291" ht="35" customHeight="1">
      <c r="A35" s="74">
        <f>ROW()-2</f>
        <v>33</v>
      </c>
      <c r="B35" s="42" t="s">
        <v>4586</v>
      </c>
      <c r="C35" s="42" t="s">
        <v>2733</v>
      </c>
      <c r="D35" s="43" t="s">
        <v>4645</v>
      </c>
      <c r="E35" s="43" t="s">
        <v>4646</v>
      </c>
      <c r="F35" s="43" t="s">
        <v>4646</v>
      </c>
      <c r="G35" s="42" t="s">
        <v>34</v>
      </c>
      <c r="H35" s="43">
        <v>41</v>
      </c>
      <c r="I35" s="49">
        <v>17.079999999999998</v>
      </c>
      <c r="J35" s="45">
        <v>44403</v>
      </c>
      <c r="K35" s="136" t="s">
        <v>20</v>
      </c>
      <c r="L35" s="48">
        <v>64.5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</row>
    <row r="36" spans="1:291" ht="35" customHeight="1">
      <c r="A36" s="74">
        <f>ROW()-2</f>
        <v>34</v>
      </c>
      <c r="B36" s="204" t="s">
        <v>4586</v>
      </c>
      <c r="C36" s="182" t="s">
        <v>2733</v>
      </c>
      <c r="D36" s="187" t="s">
        <v>5282</v>
      </c>
      <c r="E36" s="187" t="s">
        <v>5301</v>
      </c>
      <c r="F36" s="187" t="s">
        <v>1269</v>
      </c>
      <c r="G36" s="182" t="s">
        <v>34</v>
      </c>
      <c r="H36" s="182">
        <v>6</v>
      </c>
      <c r="I36" s="206">
        <v>1.1836111111111112</v>
      </c>
      <c r="J36" s="207">
        <v>44484</v>
      </c>
      <c r="K36" s="210" t="s">
        <v>20</v>
      </c>
      <c r="L36" s="202">
        <v>49</v>
      </c>
    </row>
    <row r="37" spans="1:291" ht="35" customHeight="1">
      <c r="A37" s="74">
        <f>ROW()-2</f>
        <v>35</v>
      </c>
      <c r="B37" s="204" t="s">
        <v>4586</v>
      </c>
      <c r="C37" s="182" t="s">
        <v>2733</v>
      </c>
      <c r="D37" s="187" t="s">
        <v>5283</v>
      </c>
      <c r="E37" s="187" t="s">
        <v>5302</v>
      </c>
      <c r="F37" s="187" t="s">
        <v>1269</v>
      </c>
      <c r="G37" s="182" t="s">
        <v>34</v>
      </c>
      <c r="H37" s="182">
        <v>6</v>
      </c>
      <c r="I37" s="206">
        <v>1.5119444444444445</v>
      </c>
      <c r="J37" s="207">
        <v>44485</v>
      </c>
      <c r="K37" s="210" t="s">
        <v>20</v>
      </c>
      <c r="L37" s="202">
        <v>49</v>
      </c>
    </row>
    <row r="38" spans="1:291" ht="35" customHeight="1">
      <c r="A38" s="74">
        <f>ROW()-2</f>
        <v>36</v>
      </c>
      <c r="B38" s="42" t="s">
        <v>4586</v>
      </c>
      <c r="C38" s="42" t="s">
        <v>2733</v>
      </c>
      <c r="D38" s="43" t="s">
        <v>4647</v>
      </c>
      <c r="E38" s="43" t="s">
        <v>4648</v>
      </c>
      <c r="F38" s="43" t="s">
        <v>4649</v>
      </c>
      <c r="G38" s="42" t="s">
        <v>34</v>
      </c>
      <c r="H38" s="43">
        <v>139</v>
      </c>
      <c r="I38" s="49">
        <v>13.9</v>
      </c>
      <c r="J38" s="45">
        <v>44536</v>
      </c>
      <c r="K38" s="182" t="s">
        <v>4650</v>
      </c>
      <c r="L38" s="44">
        <v>79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</row>
    <row r="39" spans="1:291" ht="35" customHeight="1">
      <c r="A39" s="74">
        <f>ROW()-2</f>
        <v>37</v>
      </c>
      <c r="B39" s="204" t="s">
        <v>4586</v>
      </c>
      <c r="C39" s="182" t="s">
        <v>2733</v>
      </c>
      <c r="D39" s="187" t="s">
        <v>5290</v>
      </c>
      <c r="E39" s="187" t="s">
        <v>588</v>
      </c>
      <c r="F39" s="187" t="s">
        <v>4610</v>
      </c>
      <c r="G39" s="182" t="s">
        <v>34</v>
      </c>
      <c r="H39" s="182">
        <v>68</v>
      </c>
      <c r="I39" s="206">
        <v>16.822222222222223</v>
      </c>
      <c r="J39" s="209">
        <v>44554</v>
      </c>
      <c r="K39" s="206" t="s">
        <v>20</v>
      </c>
      <c r="L39" s="182">
        <v>44</v>
      </c>
    </row>
    <row r="40" spans="1:291" ht="35" customHeight="1">
      <c r="A40" s="74">
        <f>ROW()-2</f>
        <v>38</v>
      </c>
      <c r="B40" s="204" t="s">
        <v>4586</v>
      </c>
      <c r="C40" s="182" t="s">
        <v>2733</v>
      </c>
      <c r="D40" s="187" t="s">
        <v>5294</v>
      </c>
      <c r="E40" s="187" t="s">
        <v>1627</v>
      </c>
      <c r="F40" s="187" t="s">
        <v>5313</v>
      </c>
      <c r="G40" s="182" t="s">
        <v>34</v>
      </c>
      <c r="H40" s="182">
        <v>143</v>
      </c>
      <c r="I40" s="206">
        <v>15.295</v>
      </c>
      <c r="J40" s="209">
        <v>44566</v>
      </c>
      <c r="K40" s="206" t="s">
        <v>20</v>
      </c>
      <c r="L40" s="182">
        <v>49.99</v>
      </c>
    </row>
    <row r="41" spans="1:291" ht="35" customHeight="1">
      <c r="A41" s="74">
        <f>ROW()-2</f>
        <v>39</v>
      </c>
      <c r="B41" s="204" t="s">
        <v>4586</v>
      </c>
      <c r="C41" s="182" t="s">
        <v>2733</v>
      </c>
      <c r="D41" s="187" t="s">
        <v>5296</v>
      </c>
      <c r="E41" s="187" t="s">
        <v>5316</v>
      </c>
      <c r="F41" s="187" t="s">
        <v>5317</v>
      </c>
      <c r="G41" s="182" t="s">
        <v>34</v>
      </c>
      <c r="H41" s="182">
        <v>95</v>
      </c>
      <c r="I41" s="206">
        <v>15.151666666666667</v>
      </c>
      <c r="J41" s="209">
        <v>44566</v>
      </c>
      <c r="K41" s="206" t="s">
        <v>20</v>
      </c>
      <c r="L41" s="182"/>
    </row>
    <row r="42" spans="1:291" ht="35" customHeight="1">
      <c r="A42" s="74">
        <f>ROW()-2</f>
        <v>40</v>
      </c>
      <c r="B42" s="42" t="s">
        <v>4586</v>
      </c>
      <c r="C42" s="42" t="s">
        <v>2733</v>
      </c>
      <c r="D42" s="43" t="s">
        <v>5154</v>
      </c>
      <c r="E42" s="43" t="s">
        <v>5155</v>
      </c>
      <c r="F42" s="43" t="s">
        <v>5156</v>
      </c>
      <c r="G42" s="42" t="s">
        <v>34</v>
      </c>
      <c r="H42" s="43">
        <v>29</v>
      </c>
      <c r="I42" s="49">
        <v>4.8</v>
      </c>
      <c r="J42" s="45">
        <v>44585</v>
      </c>
      <c r="K42" s="182" t="s">
        <v>5157</v>
      </c>
      <c r="L42" s="44">
        <v>34</v>
      </c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</row>
    <row r="43" spans="1:291" ht="35" customHeight="1">
      <c r="A43" s="74">
        <f>ROW()-2</f>
        <v>41</v>
      </c>
      <c r="B43" s="182" t="s">
        <v>5334</v>
      </c>
      <c r="C43" s="182" t="s">
        <v>5331</v>
      </c>
      <c r="D43" s="187" t="s">
        <v>5323</v>
      </c>
      <c r="E43" s="187" t="s">
        <v>5332</v>
      </c>
      <c r="F43" s="187" t="s">
        <v>5333</v>
      </c>
      <c r="G43" s="42" t="s">
        <v>3253</v>
      </c>
      <c r="H43" s="182">
        <v>176</v>
      </c>
      <c r="I43" s="206">
        <v>35.200000000000003</v>
      </c>
      <c r="J43" s="209">
        <v>44599</v>
      </c>
      <c r="K43" s="44" t="s">
        <v>20</v>
      </c>
      <c r="L43" s="182">
        <v>59.99</v>
      </c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4"/>
      <c r="BO43" s="134"/>
      <c r="BP43" s="134"/>
      <c r="BQ43" s="134"/>
      <c r="BR43" s="134"/>
      <c r="BS43" s="134"/>
      <c r="BT43" s="134"/>
      <c r="BU43" s="134"/>
      <c r="BV43" s="134"/>
      <c r="BW43" s="134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  <c r="CL43" s="134"/>
      <c r="CM43" s="134"/>
      <c r="CN43" s="134"/>
      <c r="CO43" s="134"/>
      <c r="CP43" s="134"/>
      <c r="CQ43" s="134"/>
      <c r="CR43" s="134"/>
      <c r="CS43" s="134"/>
      <c r="CT43" s="134"/>
      <c r="CU43" s="134"/>
      <c r="CV43" s="134"/>
      <c r="CW43" s="134"/>
      <c r="CX43" s="134"/>
      <c r="CY43" s="134"/>
      <c r="CZ43" s="134"/>
      <c r="DA43" s="134"/>
      <c r="DB43" s="134"/>
      <c r="DC43" s="134"/>
      <c r="DD43" s="134"/>
      <c r="DE43" s="134"/>
      <c r="DF43" s="134"/>
      <c r="DG43" s="134"/>
      <c r="DH43" s="134"/>
      <c r="DI43" s="134"/>
      <c r="DJ43" s="134"/>
      <c r="DK43" s="134"/>
      <c r="DL43" s="134"/>
      <c r="DM43" s="134"/>
      <c r="DN43" s="134"/>
      <c r="DO43" s="134"/>
      <c r="DP43" s="134"/>
      <c r="DQ43" s="134"/>
      <c r="DR43" s="134"/>
      <c r="DS43" s="134"/>
      <c r="DT43" s="134"/>
      <c r="DU43" s="134"/>
      <c r="DV43" s="134"/>
      <c r="DW43" s="134"/>
      <c r="DX43" s="134"/>
      <c r="DY43" s="134"/>
      <c r="DZ43" s="134"/>
      <c r="EA43" s="134"/>
      <c r="EB43" s="134"/>
      <c r="EC43" s="134"/>
      <c r="ED43" s="134"/>
      <c r="EE43" s="134"/>
      <c r="EF43" s="134"/>
      <c r="EG43" s="134"/>
      <c r="EH43" s="134"/>
      <c r="EI43" s="134"/>
      <c r="EJ43" s="134"/>
      <c r="EK43" s="134"/>
      <c r="EL43" s="134"/>
      <c r="EM43" s="134"/>
      <c r="EN43" s="134"/>
      <c r="EO43" s="134"/>
      <c r="EP43" s="134"/>
      <c r="EQ43" s="134"/>
      <c r="ER43" s="134"/>
      <c r="ES43" s="134"/>
      <c r="ET43" s="134"/>
      <c r="EU43" s="134"/>
      <c r="EV43" s="134"/>
      <c r="EW43" s="134"/>
      <c r="EX43" s="134"/>
      <c r="EY43" s="134"/>
      <c r="EZ43" s="134"/>
      <c r="FA43" s="134"/>
      <c r="FB43" s="134"/>
      <c r="FC43" s="134"/>
      <c r="FD43" s="134"/>
      <c r="FE43" s="134"/>
      <c r="FF43" s="134"/>
      <c r="FG43" s="134"/>
      <c r="FH43" s="134"/>
      <c r="FI43" s="134"/>
      <c r="FJ43" s="134"/>
      <c r="FK43" s="134"/>
      <c r="FL43" s="134"/>
      <c r="FM43" s="134"/>
      <c r="FN43" s="134"/>
      <c r="FO43" s="134"/>
      <c r="FP43" s="134"/>
      <c r="FQ43" s="134"/>
      <c r="FR43" s="134"/>
      <c r="FS43" s="134"/>
      <c r="FT43" s="134"/>
      <c r="FU43" s="134"/>
      <c r="FV43" s="134"/>
      <c r="FW43" s="134"/>
      <c r="FX43" s="134"/>
      <c r="FY43" s="134"/>
      <c r="FZ43" s="134"/>
      <c r="GA43" s="134"/>
      <c r="GB43" s="134"/>
      <c r="GC43" s="134"/>
      <c r="GD43" s="134"/>
      <c r="GE43" s="134"/>
      <c r="GF43" s="134"/>
      <c r="GG43" s="134"/>
      <c r="GH43" s="134"/>
      <c r="GI43" s="134"/>
      <c r="GJ43" s="134"/>
      <c r="GK43" s="134"/>
      <c r="GL43" s="134"/>
      <c r="GM43" s="134"/>
      <c r="GN43" s="134"/>
      <c r="GO43" s="134"/>
      <c r="GP43" s="134"/>
      <c r="GQ43" s="134"/>
      <c r="GR43" s="134"/>
      <c r="GS43" s="134"/>
      <c r="GT43" s="134"/>
      <c r="GU43" s="134"/>
      <c r="GV43" s="134"/>
      <c r="GW43" s="134"/>
      <c r="GX43" s="134"/>
      <c r="GY43" s="134"/>
      <c r="GZ43" s="134"/>
      <c r="HA43" s="134"/>
      <c r="HB43" s="134"/>
      <c r="HC43" s="134"/>
      <c r="HD43" s="134"/>
      <c r="HE43" s="134"/>
      <c r="HF43" s="134"/>
      <c r="HG43" s="134"/>
      <c r="HH43" s="134"/>
      <c r="HI43" s="134"/>
      <c r="HJ43" s="134"/>
      <c r="HK43" s="134"/>
      <c r="HL43" s="134"/>
      <c r="HM43" s="134"/>
      <c r="HN43" s="134"/>
      <c r="HO43" s="134"/>
      <c r="HP43" s="134"/>
      <c r="HQ43" s="134"/>
      <c r="HR43" s="134"/>
      <c r="HS43" s="134"/>
      <c r="HT43" s="134"/>
      <c r="HU43" s="134"/>
      <c r="HV43" s="134"/>
      <c r="HW43" s="134"/>
      <c r="HX43" s="134"/>
      <c r="HY43" s="134"/>
      <c r="HZ43" s="134"/>
      <c r="IA43" s="134"/>
      <c r="IB43" s="134"/>
      <c r="IC43" s="134"/>
      <c r="ID43" s="134"/>
      <c r="IE43" s="134"/>
      <c r="IF43" s="134"/>
      <c r="IG43" s="134"/>
      <c r="IH43" s="134"/>
      <c r="II43" s="134"/>
      <c r="IJ43" s="134"/>
      <c r="IK43" s="134"/>
      <c r="IL43" s="134"/>
      <c r="IM43" s="134"/>
      <c r="IN43" s="134"/>
      <c r="IO43" s="134"/>
      <c r="IP43" s="134"/>
      <c r="IQ43" s="134"/>
      <c r="IR43" s="134"/>
      <c r="IS43" s="134"/>
      <c r="IT43" s="134"/>
      <c r="IU43" s="134"/>
      <c r="IV43" s="134"/>
      <c r="IW43" s="134"/>
      <c r="IX43" s="134"/>
      <c r="IY43" s="134"/>
      <c r="IZ43" s="134"/>
      <c r="JA43" s="134"/>
      <c r="JB43" s="134"/>
      <c r="JC43" s="134"/>
      <c r="JD43" s="134"/>
      <c r="JE43" s="134"/>
      <c r="JF43" s="134"/>
      <c r="JG43" s="134"/>
      <c r="JH43" s="134"/>
      <c r="JI43" s="134"/>
      <c r="JJ43" s="134"/>
      <c r="JK43" s="134"/>
      <c r="JL43" s="134"/>
      <c r="JM43" s="134"/>
      <c r="JN43" s="134"/>
      <c r="JO43" s="134"/>
      <c r="JP43" s="134"/>
      <c r="JQ43" s="134"/>
      <c r="JR43" s="134"/>
      <c r="JS43" s="134"/>
      <c r="JT43" s="134"/>
      <c r="JU43" s="134"/>
      <c r="JV43" s="134"/>
      <c r="JW43" s="134"/>
      <c r="JX43" s="134"/>
      <c r="JY43" s="134"/>
      <c r="JZ43" s="134"/>
      <c r="KA43" s="134"/>
      <c r="KB43" s="134"/>
      <c r="KC43" s="134"/>
      <c r="KD43" s="134"/>
      <c r="KE43" s="134"/>
    </row>
    <row r="44" spans="1:291" ht="35" customHeight="1">
      <c r="A44" s="74">
        <f>ROW()-2</f>
        <v>42</v>
      </c>
      <c r="B44" s="182" t="s">
        <v>5597</v>
      </c>
      <c r="C44" s="182" t="s">
        <v>2733</v>
      </c>
      <c r="D44" s="187" t="s">
        <v>5504</v>
      </c>
      <c r="E44" s="187" t="s">
        <v>5550</v>
      </c>
      <c r="F44" s="187" t="s">
        <v>5523</v>
      </c>
      <c r="G44" s="42" t="s">
        <v>3253</v>
      </c>
      <c r="H44" s="182">
        <v>54</v>
      </c>
      <c r="I44" s="206">
        <v>10.395277777777778</v>
      </c>
      <c r="J44" s="209">
        <v>44614</v>
      </c>
      <c r="K44" s="44" t="s">
        <v>20</v>
      </c>
      <c r="L44" s="182">
        <v>34.5</v>
      </c>
    </row>
    <row r="45" spans="1:291" ht="35" customHeight="1">
      <c r="A45" s="74">
        <f>ROW()-2</f>
        <v>43</v>
      </c>
      <c r="B45" s="182" t="s">
        <v>5597</v>
      </c>
      <c r="C45" s="182" t="s">
        <v>2733</v>
      </c>
      <c r="D45" s="187" t="s">
        <v>5507</v>
      </c>
      <c r="E45" s="187" t="s">
        <v>5553</v>
      </c>
      <c r="F45" s="187" t="s">
        <v>5554</v>
      </c>
      <c r="G45" s="42" t="s">
        <v>3253</v>
      </c>
      <c r="H45" s="182">
        <v>32</v>
      </c>
      <c r="I45" s="206">
        <v>5.4488888888888889</v>
      </c>
      <c r="J45" s="209">
        <v>44614</v>
      </c>
      <c r="K45" s="44" t="s">
        <v>20</v>
      </c>
      <c r="L45" s="182">
        <v>19.989999999999998</v>
      </c>
    </row>
    <row r="46" spans="1:291" ht="35" customHeight="1">
      <c r="A46" s="74">
        <f>ROW()-2</f>
        <v>44</v>
      </c>
      <c r="B46" s="42" t="s">
        <v>4586</v>
      </c>
      <c r="C46" s="42" t="s">
        <v>3016</v>
      </c>
      <c r="D46" s="43" t="s">
        <v>4660</v>
      </c>
      <c r="E46" s="43" t="s">
        <v>4661</v>
      </c>
      <c r="F46" s="43" t="s">
        <v>4610</v>
      </c>
      <c r="G46" s="42" t="s">
        <v>34</v>
      </c>
      <c r="H46" s="42">
        <v>17</v>
      </c>
      <c r="I46" s="44">
        <v>4.6116666666666699</v>
      </c>
      <c r="J46" s="45">
        <v>43468</v>
      </c>
      <c r="K46" s="44" t="s">
        <v>20</v>
      </c>
      <c r="L46" s="44">
        <v>59.99</v>
      </c>
    </row>
    <row r="47" spans="1:291" ht="35" customHeight="1">
      <c r="A47" s="74">
        <f>ROW()-2</f>
        <v>45</v>
      </c>
      <c r="B47" s="42" t="s">
        <v>4586</v>
      </c>
      <c r="C47" s="42" t="s">
        <v>3016</v>
      </c>
      <c r="D47" s="43" t="s">
        <v>4651</v>
      </c>
      <c r="E47" s="43" t="s">
        <v>4652</v>
      </c>
      <c r="F47" s="43" t="s">
        <v>4653</v>
      </c>
      <c r="G47" s="42" t="s">
        <v>34</v>
      </c>
      <c r="H47" s="42">
        <v>32</v>
      </c>
      <c r="I47" s="44">
        <v>10.8480555555556</v>
      </c>
      <c r="J47" s="45">
        <v>43469</v>
      </c>
      <c r="K47" s="44" t="s">
        <v>20</v>
      </c>
      <c r="L47" s="44">
        <v>39.99</v>
      </c>
    </row>
    <row r="48" spans="1:291" ht="35" customHeight="1">
      <c r="A48" s="74">
        <f>ROW()-2</f>
        <v>46</v>
      </c>
      <c r="B48" s="42" t="s">
        <v>4586</v>
      </c>
      <c r="C48" s="42" t="s">
        <v>3016</v>
      </c>
      <c r="D48" s="43" t="s">
        <v>4654</v>
      </c>
      <c r="E48" s="43" t="s">
        <v>4655</v>
      </c>
      <c r="F48" s="43" t="s">
        <v>4617</v>
      </c>
      <c r="G48" s="42" t="s">
        <v>34</v>
      </c>
      <c r="H48" s="42">
        <v>30</v>
      </c>
      <c r="I48" s="44">
        <v>8.9858333333333302</v>
      </c>
      <c r="J48" s="45">
        <v>43469</v>
      </c>
      <c r="K48" s="44" t="s">
        <v>20</v>
      </c>
      <c r="L48" s="44">
        <v>49</v>
      </c>
    </row>
    <row r="49" spans="1:291" ht="35" customHeight="1">
      <c r="A49" s="74">
        <f>ROW()-2</f>
        <v>47</v>
      </c>
      <c r="B49" s="42" t="s">
        <v>4586</v>
      </c>
      <c r="C49" s="42" t="s">
        <v>3016</v>
      </c>
      <c r="D49" s="43" t="s">
        <v>4656</v>
      </c>
      <c r="E49" s="43" t="s">
        <v>4657</v>
      </c>
      <c r="F49" s="43" t="s">
        <v>4617</v>
      </c>
      <c r="G49" s="42" t="s">
        <v>34</v>
      </c>
      <c r="H49" s="42">
        <v>78</v>
      </c>
      <c r="I49" s="44">
        <v>13.182222222222199</v>
      </c>
      <c r="J49" s="45">
        <v>43469</v>
      </c>
      <c r="K49" s="46" t="s">
        <v>20</v>
      </c>
      <c r="L49" s="48">
        <v>24.5</v>
      </c>
    </row>
    <row r="50" spans="1:291" ht="35" customHeight="1">
      <c r="A50" s="74">
        <f>ROW()-2</f>
        <v>48</v>
      </c>
      <c r="B50" s="42" t="s">
        <v>4586</v>
      </c>
      <c r="C50" s="42" t="s">
        <v>3016</v>
      </c>
      <c r="D50" s="43" t="s">
        <v>4662</v>
      </c>
      <c r="E50" s="43" t="s">
        <v>4663</v>
      </c>
      <c r="F50" s="43" t="s">
        <v>4610</v>
      </c>
      <c r="G50" s="42" t="s">
        <v>34</v>
      </c>
      <c r="H50" s="42">
        <v>37</v>
      </c>
      <c r="I50" s="44">
        <v>15.908611111111099</v>
      </c>
      <c r="J50" s="45">
        <v>43469</v>
      </c>
      <c r="K50" s="44" t="s">
        <v>20</v>
      </c>
      <c r="L50" s="44">
        <v>8.99</v>
      </c>
    </row>
    <row r="51" spans="1:291" ht="35" customHeight="1">
      <c r="A51" s="74">
        <f>ROW()-2</f>
        <v>49</v>
      </c>
      <c r="B51" s="42" t="s">
        <v>4586</v>
      </c>
      <c r="C51" s="42" t="s">
        <v>3016</v>
      </c>
      <c r="D51" s="43" t="s">
        <v>4658</v>
      </c>
      <c r="E51" s="43" t="s">
        <v>4659</v>
      </c>
      <c r="F51" s="43" t="s">
        <v>4610</v>
      </c>
      <c r="G51" s="42" t="s">
        <v>34</v>
      </c>
      <c r="H51" s="42">
        <v>20</v>
      </c>
      <c r="I51" s="44">
        <v>2.5325000000000002</v>
      </c>
      <c r="J51" s="45">
        <v>43483</v>
      </c>
      <c r="K51" s="44" t="s">
        <v>20</v>
      </c>
      <c r="L51" s="44">
        <v>22.5</v>
      </c>
    </row>
    <row r="52" spans="1:291" ht="35" customHeight="1">
      <c r="A52" s="74">
        <f>ROW()-2</f>
        <v>50</v>
      </c>
      <c r="B52" s="42" t="s">
        <v>4586</v>
      </c>
      <c r="C52" s="42" t="s">
        <v>3016</v>
      </c>
      <c r="D52" s="43" t="s">
        <v>4669</v>
      </c>
      <c r="E52" s="43" t="s">
        <v>4670</v>
      </c>
      <c r="F52" s="43" t="s">
        <v>4610</v>
      </c>
      <c r="G52" s="42" t="s">
        <v>34</v>
      </c>
      <c r="H52" s="42">
        <v>24</v>
      </c>
      <c r="I52" s="44">
        <v>8.37638888888889</v>
      </c>
      <c r="J52" s="45">
        <v>43483</v>
      </c>
      <c r="K52" s="44" t="s">
        <v>20</v>
      </c>
      <c r="L52" s="44">
        <v>9.9</v>
      </c>
    </row>
    <row r="53" spans="1:291" ht="35" customHeight="1">
      <c r="A53" s="74">
        <f>ROW()-2</f>
        <v>51</v>
      </c>
      <c r="B53" s="42" t="s">
        <v>4586</v>
      </c>
      <c r="C53" s="42" t="s">
        <v>3016</v>
      </c>
      <c r="D53" s="43" t="s">
        <v>3024</v>
      </c>
      <c r="E53" s="43" t="s">
        <v>3025</v>
      </c>
      <c r="F53" s="43" t="s">
        <v>4617</v>
      </c>
      <c r="G53" s="42" t="s">
        <v>34</v>
      </c>
      <c r="H53" s="42">
        <v>15</v>
      </c>
      <c r="I53" s="44">
        <v>5.7608333333333297</v>
      </c>
      <c r="J53" s="45">
        <v>43691</v>
      </c>
      <c r="K53" s="44" t="s">
        <v>20</v>
      </c>
      <c r="L53" s="44">
        <v>34.5</v>
      </c>
    </row>
    <row r="54" spans="1:291" ht="35" customHeight="1">
      <c r="A54" s="74">
        <f>ROW()-2</f>
        <v>52</v>
      </c>
      <c r="B54" s="42" t="s">
        <v>4586</v>
      </c>
      <c r="C54" s="42" t="s">
        <v>3016</v>
      </c>
      <c r="D54" s="43" t="s">
        <v>4664</v>
      </c>
      <c r="E54" s="43" t="s">
        <v>4665</v>
      </c>
      <c r="F54" s="43" t="s">
        <v>4666</v>
      </c>
      <c r="G54" s="42" t="s">
        <v>34</v>
      </c>
      <c r="H54" s="42">
        <v>37</v>
      </c>
      <c r="I54" s="44">
        <v>14.2838888888889</v>
      </c>
      <c r="J54" s="45">
        <v>43691</v>
      </c>
      <c r="K54" s="44" t="s">
        <v>20</v>
      </c>
      <c r="L54" s="44">
        <v>69</v>
      </c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30"/>
      <c r="GX54" s="30"/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30"/>
      <c r="HJ54" s="30"/>
      <c r="HK54" s="30"/>
      <c r="HL54" s="30"/>
      <c r="HM54" s="30"/>
      <c r="HN54" s="30"/>
      <c r="HO54" s="30"/>
      <c r="HP54" s="30"/>
      <c r="HQ54" s="30"/>
      <c r="HR54" s="30"/>
      <c r="HS54" s="30"/>
      <c r="HT54" s="30"/>
      <c r="HU54" s="30"/>
      <c r="HV54" s="30"/>
      <c r="HW54" s="30"/>
      <c r="HX54" s="30"/>
      <c r="HY54" s="30"/>
      <c r="HZ54" s="30"/>
      <c r="IA54" s="30"/>
      <c r="IB54" s="30"/>
      <c r="IC54" s="30"/>
      <c r="ID54" s="30"/>
      <c r="IE54" s="30"/>
      <c r="IF54" s="30"/>
      <c r="IG54" s="30"/>
      <c r="IH54" s="30"/>
      <c r="II54" s="30"/>
      <c r="IJ54" s="30"/>
      <c r="IK54" s="30"/>
      <c r="IL54" s="30"/>
      <c r="IM54" s="30"/>
      <c r="IN54" s="30"/>
      <c r="IO54" s="30"/>
      <c r="IP54" s="30"/>
      <c r="IQ54" s="30"/>
      <c r="IR54" s="30"/>
      <c r="IS54" s="30"/>
      <c r="IT54" s="30"/>
      <c r="IU54" s="30"/>
      <c r="IV54" s="30"/>
      <c r="IW54" s="30"/>
      <c r="IX54" s="30"/>
      <c r="IY54" s="30"/>
      <c r="IZ54" s="30"/>
      <c r="JA54" s="30"/>
      <c r="JB54" s="30"/>
      <c r="JC54" s="30"/>
      <c r="JD54" s="30"/>
      <c r="JE54" s="30"/>
      <c r="JF54" s="30"/>
      <c r="JG54" s="30"/>
      <c r="JH54" s="30"/>
      <c r="JI54" s="30"/>
      <c r="JJ54" s="30"/>
      <c r="JK54" s="30"/>
      <c r="JL54" s="30"/>
      <c r="JM54" s="30"/>
      <c r="JN54" s="30"/>
      <c r="JO54" s="30"/>
      <c r="JP54" s="30"/>
      <c r="JQ54" s="30"/>
      <c r="JR54" s="30"/>
      <c r="JS54" s="30"/>
      <c r="JT54" s="30"/>
      <c r="JU54" s="30"/>
      <c r="JV54" s="30"/>
      <c r="JW54" s="30"/>
      <c r="JX54" s="30"/>
      <c r="JY54" s="30"/>
      <c r="JZ54" s="30"/>
      <c r="KA54" s="30"/>
      <c r="KB54" s="30"/>
      <c r="KC54" s="30"/>
      <c r="KD54" s="30"/>
      <c r="KE54" s="30"/>
    </row>
    <row r="55" spans="1:291" ht="35" customHeight="1">
      <c r="A55" s="74">
        <f>ROW()-2</f>
        <v>53</v>
      </c>
      <c r="B55" s="42" t="s">
        <v>4586</v>
      </c>
      <c r="C55" s="42" t="s">
        <v>3016</v>
      </c>
      <c r="D55" s="43" t="s">
        <v>4667</v>
      </c>
      <c r="E55" s="43" t="s">
        <v>4668</v>
      </c>
      <c r="F55" s="43" t="s">
        <v>4610</v>
      </c>
      <c r="G55" s="42" t="s">
        <v>34</v>
      </c>
      <c r="H55" s="42">
        <v>7</v>
      </c>
      <c r="I55" s="44">
        <v>2.2216666666666698</v>
      </c>
      <c r="J55" s="45">
        <v>43691</v>
      </c>
      <c r="K55" s="44" t="s">
        <v>20</v>
      </c>
      <c r="L55" s="44">
        <v>7.2</v>
      </c>
    </row>
    <row r="56" spans="1:291" ht="35" customHeight="1">
      <c r="A56" s="74">
        <f>ROW()-2</f>
        <v>54</v>
      </c>
      <c r="B56" s="42" t="s">
        <v>4586</v>
      </c>
      <c r="C56" s="42" t="s">
        <v>3016</v>
      </c>
      <c r="D56" s="43" t="s">
        <v>4671</v>
      </c>
      <c r="E56" s="43" t="s">
        <v>4672</v>
      </c>
      <c r="F56" s="43" t="s">
        <v>4673</v>
      </c>
      <c r="G56" s="42" t="s">
        <v>34</v>
      </c>
      <c r="H56" s="42">
        <v>24</v>
      </c>
      <c r="I56" s="44">
        <v>8</v>
      </c>
      <c r="J56" s="45">
        <v>44445</v>
      </c>
      <c r="K56" s="44" t="s">
        <v>20</v>
      </c>
      <c r="L56" s="44">
        <v>24</v>
      </c>
    </row>
    <row r="57" spans="1:291" ht="35" customHeight="1">
      <c r="A57" s="74">
        <f>ROW()-2</f>
        <v>55</v>
      </c>
      <c r="B57" s="42" t="s">
        <v>4586</v>
      </c>
      <c r="C57" s="42" t="s">
        <v>3079</v>
      </c>
      <c r="D57" s="43" t="s">
        <v>4708</v>
      </c>
      <c r="E57" s="43" t="s">
        <v>4709</v>
      </c>
      <c r="F57" s="43" t="s">
        <v>4710</v>
      </c>
      <c r="G57" s="42" t="s">
        <v>34</v>
      </c>
      <c r="H57" s="43">
        <v>59</v>
      </c>
      <c r="I57" s="49">
        <v>22.835000000000001</v>
      </c>
      <c r="J57" s="45">
        <v>43273</v>
      </c>
      <c r="K57" s="44" t="s">
        <v>20</v>
      </c>
      <c r="L57" s="44">
        <v>189</v>
      </c>
    </row>
    <row r="58" spans="1:291" ht="35" customHeight="1">
      <c r="A58" s="74">
        <f>ROW()-2</f>
        <v>56</v>
      </c>
      <c r="B58" s="42" t="s">
        <v>4586</v>
      </c>
      <c r="C58" s="42" t="s">
        <v>3079</v>
      </c>
      <c r="D58" s="43" t="s">
        <v>829</v>
      </c>
      <c r="E58" s="43" t="s">
        <v>3083</v>
      </c>
      <c r="F58" s="43" t="s">
        <v>830</v>
      </c>
      <c r="G58" s="42" t="s">
        <v>34</v>
      </c>
      <c r="H58" s="43">
        <v>34</v>
      </c>
      <c r="I58" s="49">
        <v>6.3533333333333299</v>
      </c>
      <c r="J58" s="45">
        <v>43325</v>
      </c>
      <c r="K58" s="44" t="s">
        <v>20</v>
      </c>
      <c r="L58" s="44">
        <v>7</v>
      </c>
    </row>
    <row r="59" spans="1:291" ht="35" customHeight="1">
      <c r="A59" s="74">
        <f>ROW()-2</f>
        <v>57</v>
      </c>
      <c r="B59" s="42" t="s">
        <v>4586</v>
      </c>
      <c r="C59" s="42" t="s">
        <v>3079</v>
      </c>
      <c r="D59" s="43" t="s">
        <v>4687</v>
      </c>
      <c r="E59" s="43" t="s">
        <v>4675</v>
      </c>
      <c r="F59" s="43" t="s">
        <v>4688</v>
      </c>
      <c r="G59" s="42" t="s">
        <v>34</v>
      </c>
      <c r="H59" s="42">
        <v>48</v>
      </c>
      <c r="I59" s="44">
        <v>11.4725</v>
      </c>
      <c r="J59" s="45">
        <v>43468</v>
      </c>
      <c r="K59" s="44" t="s">
        <v>20</v>
      </c>
      <c r="L59" s="44">
        <v>45</v>
      </c>
    </row>
    <row r="60" spans="1:291" ht="35" customHeight="1">
      <c r="A60" s="74">
        <f>ROW()-2</f>
        <v>58</v>
      </c>
      <c r="B60" s="42" t="s">
        <v>4586</v>
      </c>
      <c r="C60" s="42" t="s">
        <v>3079</v>
      </c>
      <c r="D60" s="43" t="s">
        <v>4685</v>
      </c>
      <c r="E60" s="43" t="s">
        <v>4686</v>
      </c>
      <c r="F60" s="43" t="s">
        <v>4632</v>
      </c>
      <c r="G60" s="42" t="s">
        <v>34</v>
      </c>
      <c r="H60" s="42">
        <v>102</v>
      </c>
      <c r="I60" s="44">
        <v>18.411388888888901</v>
      </c>
      <c r="J60" s="45">
        <v>43469</v>
      </c>
      <c r="K60" s="44" t="s">
        <v>20</v>
      </c>
      <c r="L60" s="44">
        <v>46</v>
      </c>
    </row>
    <row r="61" spans="1:291" ht="35" customHeight="1">
      <c r="A61" s="74">
        <f>ROW()-2</f>
        <v>59</v>
      </c>
      <c r="B61" s="42" t="s">
        <v>4586</v>
      </c>
      <c r="C61" s="42" t="s">
        <v>3079</v>
      </c>
      <c r="D61" s="43" t="s">
        <v>4689</v>
      </c>
      <c r="E61" s="43" t="s">
        <v>4675</v>
      </c>
      <c r="F61" s="43" t="s">
        <v>4688</v>
      </c>
      <c r="G61" s="42" t="s">
        <v>34</v>
      </c>
      <c r="H61" s="42">
        <v>61</v>
      </c>
      <c r="I61" s="44">
        <v>12.39</v>
      </c>
      <c r="J61" s="45">
        <v>43469</v>
      </c>
      <c r="K61" s="44" t="s">
        <v>20</v>
      </c>
      <c r="L61" s="44">
        <v>49</v>
      </c>
    </row>
    <row r="62" spans="1:291" ht="35" customHeight="1">
      <c r="A62" s="74">
        <f>ROW()-2</f>
        <v>60</v>
      </c>
      <c r="B62" s="42" t="s">
        <v>4586</v>
      </c>
      <c r="C62" s="42" t="s">
        <v>3079</v>
      </c>
      <c r="D62" s="43" t="s">
        <v>4690</v>
      </c>
      <c r="E62" s="43" t="s">
        <v>4675</v>
      </c>
      <c r="F62" s="43" t="s">
        <v>4688</v>
      </c>
      <c r="G62" s="42" t="s">
        <v>34</v>
      </c>
      <c r="H62" s="42">
        <v>20</v>
      </c>
      <c r="I62" s="44">
        <v>6.6775000000000002</v>
      </c>
      <c r="J62" s="45">
        <v>43469</v>
      </c>
      <c r="K62" s="44" t="s">
        <v>20</v>
      </c>
      <c r="L62" s="44">
        <v>36</v>
      </c>
    </row>
    <row r="63" spans="1:291" ht="35" customHeight="1">
      <c r="A63" s="74">
        <f>ROW()-2</f>
        <v>61</v>
      </c>
      <c r="B63" s="42" t="s">
        <v>4586</v>
      </c>
      <c r="C63" s="42" t="s">
        <v>3079</v>
      </c>
      <c r="D63" s="43" t="s">
        <v>4693</v>
      </c>
      <c r="E63" s="43" t="s">
        <v>4694</v>
      </c>
      <c r="F63" s="43" t="s">
        <v>4617</v>
      </c>
      <c r="G63" s="42" t="s">
        <v>34</v>
      </c>
      <c r="H63" s="42">
        <v>55</v>
      </c>
      <c r="I63" s="44">
        <v>10.991666666666699</v>
      </c>
      <c r="J63" s="45">
        <v>43469</v>
      </c>
      <c r="K63" s="44" t="s">
        <v>20</v>
      </c>
      <c r="L63" s="44">
        <v>39</v>
      </c>
    </row>
    <row r="64" spans="1:291" ht="35" customHeight="1">
      <c r="A64" s="74">
        <f>ROW()-2</f>
        <v>62</v>
      </c>
      <c r="B64" s="42" t="s">
        <v>4586</v>
      </c>
      <c r="C64" s="42" t="s">
        <v>3079</v>
      </c>
      <c r="D64" s="43" t="s">
        <v>3164</v>
      </c>
      <c r="E64" s="43" t="s">
        <v>3165</v>
      </c>
      <c r="F64" s="43" t="s">
        <v>4610</v>
      </c>
      <c r="G64" s="42" t="s">
        <v>34</v>
      </c>
      <c r="H64" s="42">
        <v>31</v>
      </c>
      <c r="I64" s="44">
        <v>9.7850000000000001</v>
      </c>
      <c r="J64" s="45">
        <v>43483</v>
      </c>
      <c r="K64" s="44" t="s">
        <v>20</v>
      </c>
      <c r="L64" s="44">
        <v>48</v>
      </c>
    </row>
    <row r="65" spans="1:291" ht="35" customHeight="1">
      <c r="A65" s="74">
        <f>ROW()-2</f>
        <v>63</v>
      </c>
      <c r="B65" s="42" t="s">
        <v>4586</v>
      </c>
      <c r="C65" s="42" t="s">
        <v>3079</v>
      </c>
      <c r="D65" s="43" t="s">
        <v>4679</v>
      </c>
      <c r="E65" s="43" t="s">
        <v>4680</v>
      </c>
      <c r="F65" s="43" t="s">
        <v>4589</v>
      </c>
      <c r="G65" s="42" t="s">
        <v>34</v>
      </c>
      <c r="H65" s="42">
        <v>12</v>
      </c>
      <c r="I65" s="44">
        <v>3.8597222222222198</v>
      </c>
      <c r="J65" s="45">
        <v>43483</v>
      </c>
      <c r="K65" s="44" t="s">
        <v>20</v>
      </c>
      <c r="L65" s="44">
        <v>15.99</v>
      </c>
    </row>
    <row r="66" spans="1:291" ht="35" customHeight="1">
      <c r="A66" s="74">
        <f>ROW()-2</f>
        <v>64</v>
      </c>
      <c r="B66" s="42" t="s">
        <v>4586</v>
      </c>
      <c r="C66" s="42" t="s">
        <v>3079</v>
      </c>
      <c r="D66" s="43" t="s">
        <v>4681</v>
      </c>
      <c r="E66" s="43" t="s">
        <v>4682</v>
      </c>
      <c r="F66" s="43" t="s">
        <v>4632</v>
      </c>
      <c r="G66" s="42" t="s">
        <v>34</v>
      </c>
      <c r="H66" s="42">
        <v>28</v>
      </c>
      <c r="I66" s="44">
        <v>9.1366666666666703</v>
      </c>
      <c r="J66" s="45">
        <v>43483</v>
      </c>
      <c r="K66" s="44" t="s">
        <v>20</v>
      </c>
      <c r="L66" s="44">
        <v>49</v>
      </c>
    </row>
    <row r="67" spans="1:291" ht="35" customHeight="1">
      <c r="A67" s="74">
        <f>ROW()-2</f>
        <v>65</v>
      </c>
      <c r="B67" s="42" t="s">
        <v>4586</v>
      </c>
      <c r="C67" s="42" t="s">
        <v>3079</v>
      </c>
      <c r="D67" s="43" t="s">
        <v>4691</v>
      </c>
      <c r="E67" s="43" t="s">
        <v>4675</v>
      </c>
      <c r="F67" s="43" t="s">
        <v>4688</v>
      </c>
      <c r="G67" s="42" t="s">
        <v>34</v>
      </c>
      <c r="H67" s="42">
        <v>35</v>
      </c>
      <c r="I67" s="44">
        <v>8.8288888888888906</v>
      </c>
      <c r="J67" s="45">
        <v>43483</v>
      </c>
      <c r="K67" s="44" t="s">
        <v>20</v>
      </c>
      <c r="L67" s="44">
        <v>30</v>
      </c>
    </row>
    <row r="68" spans="1:291" ht="35" customHeight="1">
      <c r="A68" s="74">
        <f>ROW()-2</f>
        <v>66</v>
      </c>
      <c r="B68" s="42" t="s">
        <v>4586</v>
      </c>
      <c r="C68" s="42" t="s">
        <v>3079</v>
      </c>
      <c r="D68" s="43" t="s">
        <v>4692</v>
      </c>
      <c r="E68" s="43" t="s">
        <v>4675</v>
      </c>
      <c r="F68" s="43" t="s">
        <v>4688</v>
      </c>
      <c r="G68" s="42" t="s">
        <v>34</v>
      </c>
      <c r="H68" s="42">
        <v>39</v>
      </c>
      <c r="I68" s="44">
        <v>7.5727777777777803</v>
      </c>
      <c r="J68" s="45">
        <v>43483</v>
      </c>
      <c r="K68" s="44" t="s">
        <v>20</v>
      </c>
      <c r="L68" s="44">
        <v>39.99</v>
      </c>
    </row>
    <row r="69" spans="1:291" ht="35" customHeight="1">
      <c r="A69" s="74">
        <f>ROW()-2</f>
        <v>67</v>
      </c>
      <c r="B69" s="42" t="s">
        <v>4586</v>
      </c>
      <c r="C69" s="42" t="s">
        <v>3079</v>
      </c>
      <c r="D69" s="43" t="s">
        <v>3143</v>
      </c>
      <c r="E69" s="43" t="s">
        <v>3144</v>
      </c>
      <c r="F69" s="43" t="s">
        <v>4617</v>
      </c>
      <c r="G69" s="42" t="s">
        <v>34</v>
      </c>
      <c r="H69" s="42">
        <v>74</v>
      </c>
      <c r="I69" s="44">
        <v>9.7944444444444407</v>
      </c>
      <c r="J69" s="45">
        <v>43483</v>
      </c>
      <c r="K69" s="44" t="s">
        <v>20</v>
      </c>
      <c r="L69" s="44">
        <v>59.99</v>
      </c>
    </row>
    <row r="70" spans="1:291" ht="35" customHeight="1">
      <c r="A70" s="74">
        <f>ROW()-2</f>
        <v>68</v>
      </c>
      <c r="B70" s="42" t="s">
        <v>4586</v>
      </c>
      <c r="C70" s="42" t="s">
        <v>3079</v>
      </c>
      <c r="D70" s="43" t="s">
        <v>4695</v>
      </c>
      <c r="E70" s="43" t="s">
        <v>4696</v>
      </c>
      <c r="F70" s="43" t="s">
        <v>4617</v>
      </c>
      <c r="G70" s="42" t="s">
        <v>34</v>
      </c>
      <c r="H70" s="42">
        <v>181</v>
      </c>
      <c r="I70" s="44">
        <v>28.6877777777778</v>
      </c>
      <c r="J70" s="45">
        <v>43483</v>
      </c>
      <c r="K70" s="44" t="s">
        <v>20</v>
      </c>
      <c r="L70" s="44">
        <v>25.99</v>
      </c>
    </row>
    <row r="71" spans="1:291" ht="35" customHeight="1">
      <c r="A71" s="74">
        <f>ROW()-2</f>
        <v>69</v>
      </c>
      <c r="B71" s="42" t="s">
        <v>4586</v>
      </c>
      <c r="C71" s="42" t="s">
        <v>3079</v>
      </c>
      <c r="D71" s="43" t="s">
        <v>4683</v>
      </c>
      <c r="E71" s="43" t="s">
        <v>4596</v>
      </c>
      <c r="F71" s="43" t="s">
        <v>4684</v>
      </c>
      <c r="G71" s="42" t="s">
        <v>34</v>
      </c>
      <c r="H71" s="42">
        <v>29</v>
      </c>
      <c r="I71" s="44">
        <v>9.7466666666666697</v>
      </c>
      <c r="J71" s="45">
        <v>43516</v>
      </c>
      <c r="K71" s="44" t="s">
        <v>20</v>
      </c>
      <c r="L71" s="44">
        <v>60</v>
      </c>
    </row>
    <row r="72" spans="1:291" ht="35" customHeight="1">
      <c r="A72" s="74">
        <f>ROW()-2</f>
        <v>70</v>
      </c>
      <c r="B72" s="42" t="s">
        <v>4586</v>
      </c>
      <c r="C72" s="42" t="s">
        <v>3079</v>
      </c>
      <c r="D72" s="43" t="s">
        <v>4711</v>
      </c>
      <c r="E72" s="43" t="s">
        <v>3198</v>
      </c>
      <c r="F72" s="43" t="s">
        <v>4491</v>
      </c>
      <c r="G72" s="42" t="s">
        <v>34</v>
      </c>
      <c r="H72" s="42">
        <v>35</v>
      </c>
      <c r="I72" s="44">
        <v>11.442222222222201</v>
      </c>
      <c r="J72" s="45">
        <v>43516</v>
      </c>
      <c r="K72" s="44" t="s">
        <v>20</v>
      </c>
      <c r="L72" s="44">
        <v>49.99</v>
      </c>
    </row>
    <row r="73" spans="1:291" ht="35" customHeight="1">
      <c r="A73" s="74">
        <f>ROW()-2</f>
        <v>71</v>
      </c>
      <c r="B73" s="42" t="s">
        <v>4586</v>
      </c>
      <c r="C73" s="42" t="s">
        <v>3079</v>
      </c>
      <c r="D73" s="43" t="s">
        <v>4697</v>
      </c>
      <c r="E73" s="43" t="s">
        <v>310</v>
      </c>
      <c r="F73" s="43" t="s">
        <v>4698</v>
      </c>
      <c r="G73" s="42" t="s">
        <v>34</v>
      </c>
      <c r="H73" s="42">
        <v>89</v>
      </c>
      <c r="I73" s="44">
        <v>12.799444444444401</v>
      </c>
      <c r="J73" s="45">
        <v>43691</v>
      </c>
      <c r="K73" s="44" t="s">
        <v>20</v>
      </c>
      <c r="L73" s="44">
        <v>59</v>
      </c>
    </row>
    <row r="74" spans="1:291" ht="35" customHeight="1">
      <c r="A74" s="74">
        <f>ROW()-2</f>
        <v>72</v>
      </c>
      <c r="B74" s="42" t="s">
        <v>4586</v>
      </c>
      <c r="C74" s="42" t="s">
        <v>3079</v>
      </c>
      <c r="D74" s="43" t="s">
        <v>4699</v>
      </c>
      <c r="E74" s="43" t="s">
        <v>4700</v>
      </c>
      <c r="F74" s="43" t="s">
        <v>4684</v>
      </c>
      <c r="G74" s="42" t="s">
        <v>34</v>
      </c>
      <c r="H74" s="42">
        <v>16</v>
      </c>
      <c r="I74" s="44">
        <v>5.5219444444444399</v>
      </c>
      <c r="J74" s="45">
        <v>43691</v>
      </c>
      <c r="K74" s="44" t="s">
        <v>20</v>
      </c>
      <c r="L74" s="44">
        <v>28.8</v>
      </c>
    </row>
    <row r="75" spans="1:291" ht="35" customHeight="1">
      <c r="A75" s="74">
        <f>ROW()-2</f>
        <v>73</v>
      </c>
      <c r="B75" s="42" t="s">
        <v>4586</v>
      </c>
      <c r="C75" s="42" t="s">
        <v>3079</v>
      </c>
      <c r="D75" s="43" t="s">
        <v>4701</v>
      </c>
      <c r="E75" s="43" t="s">
        <v>4702</v>
      </c>
      <c r="F75" s="43" t="s">
        <v>4632</v>
      </c>
      <c r="G75" s="42" t="s">
        <v>34</v>
      </c>
      <c r="H75" s="42">
        <v>17</v>
      </c>
      <c r="I75" s="44">
        <v>8.8836111111111098</v>
      </c>
      <c r="J75" s="45">
        <v>43691</v>
      </c>
      <c r="K75" s="44" t="s">
        <v>20</v>
      </c>
      <c r="L75" s="44">
        <v>29</v>
      </c>
    </row>
    <row r="76" spans="1:291" ht="35" customHeight="1">
      <c r="A76" s="74">
        <f>ROW()-2</f>
        <v>74</v>
      </c>
      <c r="B76" s="42" t="s">
        <v>4586</v>
      </c>
      <c r="C76" s="42" t="s">
        <v>3079</v>
      </c>
      <c r="D76" s="43" t="s">
        <v>4703</v>
      </c>
      <c r="E76" s="43" t="s">
        <v>4704</v>
      </c>
      <c r="F76" s="43" t="s">
        <v>4703</v>
      </c>
      <c r="G76" s="42" t="s">
        <v>34</v>
      </c>
      <c r="H76" s="42">
        <v>31</v>
      </c>
      <c r="I76" s="44">
        <v>10.7927777777778</v>
      </c>
      <c r="J76" s="45">
        <v>43893</v>
      </c>
      <c r="K76" s="44" t="s">
        <v>20</v>
      </c>
      <c r="L76" s="44">
        <v>9.9</v>
      </c>
    </row>
    <row r="77" spans="1:291" ht="35" customHeight="1">
      <c r="A77" s="74">
        <f>ROW()-2</f>
        <v>75</v>
      </c>
      <c r="B77" s="42" t="s">
        <v>4586</v>
      </c>
      <c r="C77" s="42" t="s">
        <v>3079</v>
      </c>
      <c r="D77" s="43" t="s">
        <v>3148</v>
      </c>
      <c r="E77" s="43" t="s">
        <v>3149</v>
      </c>
      <c r="F77" s="43" t="s">
        <v>4610</v>
      </c>
      <c r="G77" s="42" t="s">
        <v>34</v>
      </c>
      <c r="H77" s="42">
        <v>31</v>
      </c>
      <c r="I77" s="44">
        <v>11.36</v>
      </c>
      <c r="J77" s="45">
        <v>43913</v>
      </c>
      <c r="K77" s="44" t="s">
        <v>20</v>
      </c>
      <c r="L77" s="44">
        <v>29</v>
      </c>
    </row>
    <row r="78" spans="1:291" ht="35" customHeight="1">
      <c r="A78" s="74">
        <f>ROW()-2</f>
        <v>76</v>
      </c>
      <c r="B78" s="42" t="s">
        <v>4586</v>
      </c>
      <c r="C78" s="42" t="s">
        <v>3079</v>
      </c>
      <c r="D78" s="43" t="s">
        <v>3164</v>
      </c>
      <c r="E78" s="43" t="s">
        <v>3165</v>
      </c>
      <c r="F78" s="43" t="s">
        <v>3268</v>
      </c>
      <c r="G78" s="42" t="s">
        <v>34</v>
      </c>
      <c r="H78" s="42">
        <v>51</v>
      </c>
      <c r="I78" s="44">
        <v>8.68611111111111</v>
      </c>
      <c r="J78" s="45">
        <v>43934</v>
      </c>
      <c r="K78" s="44" t="s">
        <v>20</v>
      </c>
      <c r="L78" s="44">
        <v>21.99</v>
      </c>
    </row>
    <row r="79" spans="1:291" customFormat="1" ht="35" customHeight="1">
      <c r="A79" s="74">
        <f>ROW()-2</f>
        <v>77</v>
      </c>
      <c r="B79" s="42" t="s">
        <v>4586</v>
      </c>
      <c r="C79" s="42" t="s">
        <v>3079</v>
      </c>
      <c r="D79" s="43" t="s">
        <v>4705</v>
      </c>
      <c r="E79" s="43" t="s">
        <v>4706</v>
      </c>
      <c r="F79" s="43" t="s">
        <v>4707</v>
      </c>
      <c r="G79" s="42" t="s">
        <v>34</v>
      </c>
      <c r="H79" s="42">
        <v>50</v>
      </c>
      <c r="I79" s="44">
        <v>16.625833333333301</v>
      </c>
      <c r="J79" s="45">
        <v>43934</v>
      </c>
      <c r="K79" s="44" t="s">
        <v>20</v>
      </c>
      <c r="L79" s="44">
        <v>99</v>
      </c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  <c r="II79" s="31"/>
      <c r="IJ79" s="31"/>
      <c r="IK79" s="31"/>
      <c r="IL79" s="31"/>
      <c r="IM79" s="31"/>
      <c r="IN79" s="31"/>
      <c r="IO79" s="31"/>
      <c r="IP79" s="31"/>
      <c r="IQ79" s="31"/>
      <c r="IR79" s="31"/>
      <c r="IS79" s="31"/>
      <c r="IT79" s="31"/>
      <c r="IU79" s="31"/>
      <c r="IV79" s="31"/>
      <c r="IW79" s="31"/>
      <c r="IX79" s="31"/>
      <c r="IY79" s="31"/>
      <c r="IZ79" s="31"/>
      <c r="JA79" s="31"/>
      <c r="JB79" s="31"/>
      <c r="JC79" s="31"/>
      <c r="JD79" s="31"/>
      <c r="JE79" s="31"/>
      <c r="JF79" s="31"/>
      <c r="JG79" s="31"/>
      <c r="JH79" s="31"/>
      <c r="JI79" s="31"/>
      <c r="JJ79" s="31"/>
      <c r="JK79" s="31"/>
      <c r="JL79" s="31"/>
      <c r="JM79" s="31"/>
      <c r="JN79" s="31"/>
      <c r="JO79" s="31"/>
      <c r="JP79" s="31"/>
      <c r="JQ79" s="31"/>
      <c r="JR79" s="31"/>
      <c r="JS79" s="31"/>
      <c r="JT79" s="31"/>
      <c r="JU79" s="31"/>
      <c r="JV79" s="31"/>
      <c r="JW79" s="31"/>
      <c r="JX79" s="31"/>
      <c r="JY79" s="31"/>
      <c r="JZ79" s="31"/>
      <c r="KA79" s="31"/>
      <c r="KB79" s="31"/>
      <c r="KC79" s="31"/>
      <c r="KD79" s="31"/>
      <c r="KE79" s="31"/>
    </row>
    <row r="80" spans="1:291" customFormat="1" ht="35" customHeight="1">
      <c r="A80" s="74">
        <f>ROW()-2</f>
        <v>78</v>
      </c>
      <c r="B80" s="43" t="s">
        <v>4586</v>
      </c>
      <c r="C80" s="43" t="s">
        <v>3079</v>
      </c>
      <c r="D80" s="43" t="s">
        <v>4712</v>
      </c>
      <c r="E80" s="43" t="s">
        <v>4713</v>
      </c>
      <c r="F80" s="43" t="s">
        <v>4714</v>
      </c>
      <c r="G80" s="43" t="s">
        <v>34</v>
      </c>
      <c r="H80" s="43">
        <v>25</v>
      </c>
      <c r="I80" s="43">
        <v>9.1</v>
      </c>
      <c r="J80" s="53">
        <v>43937</v>
      </c>
      <c r="K80" s="43" t="s">
        <v>20</v>
      </c>
      <c r="L80" s="43">
        <v>16.989999999999998</v>
      </c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  <c r="II80" s="31"/>
      <c r="IJ80" s="31"/>
      <c r="IK80" s="31"/>
      <c r="IL80" s="31"/>
      <c r="IM80" s="31"/>
      <c r="IN80" s="31"/>
      <c r="IO80" s="31"/>
      <c r="IP80" s="31"/>
      <c r="IQ80" s="31"/>
      <c r="IR80" s="31"/>
      <c r="IS80" s="31"/>
      <c r="IT80" s="31"/>
      <c r="IU80" s="31"/>
      <c r="IV80" s="31"/>
      <c r="IW80" s="31"/>
      <c r="IX80" s="31"/>
      <c r="IY80" s="31"/>
      <c r="IZ80" s="31"/>
      <c r="JA80" s="31"/>
      <c r="JB80" s="31"/>
      <c r="JC80" s="31"/>
      <c r="JD80" s="31"/>
      <c r="JE80" s="31"/>
      <c r="JF80" s="31"/>
      <c r="JG80" s="31"/>
      <c r="JH80" s="31"/>
      <c r="JI80" s="31"/>
      <c r="JJ80" s="31"/>
      <c r="JK80" s="31"/>
      <c r="JL80" s="31"/>
      <c r="JM80" s="31"/>
      <c r="JN80" s="31"/>
      <c r="JO80" s="31"/>
      <c r="JP80" s="31"/>
      <c r="JQ80" s="31"/>
      <c r="JR80" s="31"/>
      <c r="JS80" s="31"/>
      <c r="JT80" s="31"/>
      <c r="JU80" s="31"/>
      <c r="JV80" s="31"/>
      <c r="JW80" s="31"/>
      <c r="JX80" s="31"/>
      <c r="JY80" s="31"/>
      <c r="JZ80" s="31"/>
      <c r="KA80" s="31"/>
      <c r="KB80" s="31"/>
      <c r="KC80" s="31"/>
      <c r="KD80" s="31"/>
      <c r="KE80" s="31"/>
    </row>
    <row r="81" spans="1:291" customFormat="1" ht="35" customHeight="1">
      <c r="A81" s="74">
        <f>ROW()-2</f>
        <v>79</v>
      </c>
      <c r="B81" s="42" t="s">
        <v>4586</v>
      </c>
      <c r="C81" s="42" t="s">
        <v>3079</v>
      </c>
      <c r="D81" s="43" t="s">
        <v>4676</v>
      </c>
      <c r="E81" s="43" t="s">
        <v>4677</v>
      </c>
      <c r="F81" s="43" t="s">
        <v>4678</v>
      </c>
      <c r="G81" s="42" t="s">
        <v>34</v>
      </c>
      <c r="H81" s="42">
        <v>74</v>
      </c>
      <c r="I81" s="44">
        <v>12.3</v>
      </c>
      <c r="J81" s="45">
        <v>44193</v>
      </c>
      <c r="K81" s="46" t="s">
        <v>20</v>
      </c>
      <c r="L81" s="48">
        <v>16.899999999999999</v>
      </c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  <c r="II81" s="31"/>
      <c r="IJ81" s="31"/>
      <c r="IK81" s="31"/>
      <c r="IL81" s="31"/>
      <c r="IM81" s="31"/>
      <c r="IN81" s="31"/>
      <c r="IO81" s="31"/>
      <c r="IP81" s="31"/>
      <c r="IQ81" s="31"/>
      <c r="IR81" s="31"/>
      <c r="IS81" s="31"/>
      <c r="IT81" s="31"/>
      <c r="IU81" s="31"/>
      <c r="IV81" s="31"/>
      <c r="IW81" s="31"/>
      <c r="IX81" s="31"/>
      <c r="IY81" s="31"/>
      <c r="IZ81" s="31"/>
      <c r="JA81" s="31"/>
      <c r="JB81" s="31"/>
      <c r="JC81" s="31"/>
      <c r="JD81" s="31"/>
      <c r="JE81" s="31"/>
      <c r="JF81" s="31"/>
      <c r="JG81" s="31"/>
      <c r="JH81" s="31"/>
      <c r="JI81" s="31"/>
      <c r="JJ81" s="31"/>
      <c r="JK81" s="31"/>
      <c r="JL81" s="31"/>
      <c r="JM81" s="31"/>
      <c r="JN81" s="31"/>
      <c r="JO81" s="31"/>
      <c r="JP81" s="31"/>
      <c r="JQ81" s="31"/>
      <c r="JR81" s="31"/>
      <c r="JS81" s="31"/>
      <c r="JT81" s="31"/>
      <c r="JU81" s="31"/>
      <c r="JV81" s="31"/>
      <c r="JW81" s="31"/>
      <c r="JX81" s="31"/>
      <c r="JY81" s="31"/>
      <c r="JZ81" s="31"/>
      <c r="KA81" s="31"/>
      <c r="KB81" s="31"/>
      <c r="KC81" s="31"/>
      <c r="KD81" s="31"/>
      <c r="KE81" s="31"/>
    </row>
    <row r="82" spans="1:291" ht="35" customHeight="1">
      <c r="A82" s="74">
        <f>ROW()-2</f>
        <v>80</v>
      </c>
      <c r="B82" s="42" t="s">
        <v>4586</v>
      </c>
      <c r="C82" s="42" t="s">
        <v>3079</v>
      </c>
      <c r="D82" s="43" t="s">
        <v>4674</v>
      </c>
      <c r="E82" s="43" t="s">
        <v>4675</v>
      </c>
      <c r="F82" s="43" t="s">
        <v>855</v>
      </c>
      <c r="G82" s="42" t="s">
        <v>34</v>
      </c>
      <c r="H82" s="42">
        <v>28</v>
      </c>
      <c r="I82" s="44">
        <v>9.3000000000000007</v>
      </c>
      <c r="J82" s="45">
        <v>44207</v>
      </c>
      <c r="K82" s="44" t="s">
        <v>20</v>
      </c>
      <c r="L82" s="44">
        <v>19.899999999999999</v>
      </c>
    </row>
    <row r="83" spans="1:291" ht="35" customHeight="1">
      <c r="A83" s="74">
        <f>ROW()-2</f>
        <v>81</v>
      </c>
      <c r="B83" s="43" t="s">
        <v>4586</v>
      </c>
      <c r="C83" s="43" t="s">
        <v>3079</v>
      </c>
      <c r="D83" s="43" t="s">
        <v>4715</v>
      </c>
      <c r="E83" s="43" t="s">
        <v>4675</v>
      </c>
      <c r="F83" s="43" t="s">
        <v>855</v>
      </c>
      <c r="G83" s="43" t="s">
        <v>34</v>
      </c>
      <c r="H83" s="43">
        <v>21</v>
      </c>
      <c r="I83" s="43">
        <v>7</v>
      </c>
      <c r="J83" s="53">
        <v>44326</v>
      </c>
      <c r="K83" s="43" t="s">
        <v>30</v>
      </c>
      <c r="L83" s="43">
        <v>19.899999999999999</v>
      </c>
    </row>
    <row r="84" spans="1:291" ht="35" customHeight="1">
      <c r="A84" s="74">
        <f>ROW()-2</f>
        <v>82</v>
      </c>
      <c r="B84" s="43" t="s">
        <v>4586</v>
      </c>
      <c r="C84" s="43" t="s">
        <v>3079</v>
      </c>
      <c r="D84" s="43" t="s">
        <v>4716</v>
      </c>
      <c r="E84" s="43" t="s">
        <v>4675</v>
      </c>
      <c r="F84" s="43" t="s">
        <v>855</v>
      </c>
      <c r="G84" s="43" t="s">
        <v>34</v>
      </c>
      <c r="H84" s="43">
        <v>25</v>
      </c>
      <c r="I84" s="43">
        <v>1.66</v>
      </c>
      <c r="J84" s="53">
        <v>44333</v>
      </c>
      <c r="K84" s="43" t="s">
        <v>30</v>
      </c>
      <c r="L84" s="43">
        <v>19.899999999999999</v>
      </c>
    </row>
    <row r="85" spans="1:291" ht="35" customHeight="1">
      <c r="A85" s="74">
        <f>ROW()-2</f>
        <v>83</v>
      </c>
      <c r="B85" s="43" t="s">
        <v>4586</v>
      </c>
      <c r="C85" s="43" t="s">
        <v>3079</v>
      </c>
      <c r="D85" s="43" t="s">
        <v>4717</v>
      </c>
      <c r="E85" s="43" t="s">
        <v>4718</v>
      </c>
      <c r="F85" s="43" t="s">
        <v>4719</v>
      </c>
      <c r="G85" s="43" t="s">
        <v>34</v>
      </c>
      <c r="H85" s="43">
        <v>26</v>
      </c>
      <c r="I85" s="43">
        <v>8.7899999999999991</v>
      </c>
      <c r="J85" s="53">
        <v>44340</v>
      </c>
      <c r="K85" s="43" t="s">
        <v>20</v>
      </c>
      <c r="L85" s="43">
        <v>28</v>
      </c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</row>
    <row r="86" spans="1:291" ht="35" customHeight="1">
      <c r="A86" s="74">
        <f>ROW()-2</f>
        <v>84</v>
      </c>
      <c r="B86" s="43" t="s">
        <v>4586</v>
      </c>
      <c r="C86" s="43" t="s">
        <v>3079</v>
      </c>
      <c r="D86" s="43" t="s">
        <v>4720</v>
      </c>
      <c r="E86" s="43" t="s">
        <v>926</v>
      </c>
      <c r="F86" s="43" t="s">
        <v>4721</v>
      </c>
      <c r="G86" s="43" t="s">
        <v>34</v>
      </c>
      <c r="H86" s="43">
        <v>53</v>
      </c>
      <c r="I86" s="43">
        <v>4.41</v>
      </c>
      <c r="J86" s="53">
        <v>44347</v>
      </c>
      <c r="K86" s="43" t="s">
        <v>20</v>
      </c>
      <c r="L86" s="43">
        <v>0</v>
      </c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</row>
    <row r="87" spans="1:291" ht="35" customHeight="1">
      <c r="A87" s="74">
        <f>ROW()-2</f>
        <v>85</v>
      </c>
      <c r="B87" s="43" t="s">
        <v>4586</v>
      </c>
      <c r="C87" s="43" t="s">
        <v>3079</v>
      </c>
      <c r="D87" s="43" t="s">
        <v>5136</v>
      </c>
      <c r="E87" s="43" t="s">
        <v>4723</v>
      </c>
      <c r="F87" s="43" t="s">
        <v>4724</v>
      </c>
      <c r="G87" s="43" t="s">
        <v>34</v>
      </c>
      <c r="H87" s="43">
        <v>26</v>
      </c>
      <c r="I87" s="43">
        <v>1.89</v>
      </c>
      <c r="J87" s="53">
        <v>44382</v>
      </c>
      <c r="K87" s="43" t="s">
        <v>20</v>
      </c>
      <c r="L87" s="43">
        <v>12.99</v>
      </c>
    </row>
    <row r="88" spans="1:291" ht="35" customHeight="1">
      <c r="A88" s="74">
        <f>ROW()-2</f>
        <v>86</v>
      </c>
      <c r="B88" s="43" t="s">
        <v>4586</v>
      </c>
      <c r="C88" s="43" t="s">
        <v>3079</v>
      </c>
      <c r="D88" s="43" t="s">
        <v>4725</v>
      </c>
      <c r="E88" s="43" t="s">
        <v>4726</v>
      </c>
      <c r="F88" s="43" t="s">
        <v>4726</v>
      </c>
      <c r="G88" s="43" t="s">
        <v>34</v>
      </c>
      <c r="H88" s="43">
        <v>38</v>
      </c>
      <c r="I88" s="43">
        <v>12</v>
      </c>
      <c r="J88" s="53">
        <v>44390</v>
      </c>
      <c r="K88" s="43" t="s">
        <v>20</v>
      </c>
      <c r="L88" s="43">
        <v>49.9</v>
      </c>
    </row>
    <row r="89" spans="1:291" ht="35" customHeight="1">
      <c r="A89" s="74">
        <f>ROW()-2</f>
        <v>87</v>
      </c>
      <c r="B89" s="182" t="s">
        <v>5597</v>
      </c>
      <c r="C89" s="182" t="s">
        <v>3079</v>
      </c>
      <c r="D89" s="187" t="s">
        <v>5496</v>
      </c>
      <c r="E89" s="187" t="s">
        <v>5521</v>
      </c>
      <c r="F89" s="187" t="s">
        <v>5522</v>
      </c>
      <c r="G89" s="42" t="s">
        <v>3253</v>
      </c>
      <c r="H89" s="182">
        <v>137</v>
      </c>
      <c r="I89" s="206">
        <v>18.596666666666668</v>
      </c>
      <c r="J89" s="209">
        <v>44614</v>
      </c>
      <c r="K89" s="44" t="s">
        <v>20</v>
      </c>
      <c r="L89" s="182"/>
    </row>
    <row r="90" spans="1:291" ht="35" customHeight="1">
      <c r="A90" s="74">
        <f>ROW()-2</f>
        <v>88</v>
      </c>
      <c r="B90" s="182" t="s">
        <v>5597</v>
      </c>
      <c r="C90" s="182" t="s">
        <v>3079</v>
      </c>
      <c r="D90" s="187" t="s">
        <v>5499</v>
      </c>
      <c r="E90" s="187" t="s">
        <v>5530</v>
      </c>
      <c r="F90" s="187" t="s">
        <v>5523</v>
      </c>
      <c r="G90" s="42" t="s">
        <v>3253</v>
      </c>
      <c r="H90" s="182">
        <v>37</v>
      </c>
      <c r="I90" s="206">
        <v>15.389444444444445</v>
      </c>
      <c r="J90" s="209">
        <v>44614</v>
      </c>
      <c r="K90" s="206" t="s">
        <v>5579</v>
      </c>
      <c r="L90" s="182">
        <v>44</v>
      </c>
    </row>
    <row r="91" spans="1:291" ht="35" customHeight="1">
      <c r="A91" s="74">
        <f>ROW()-2</f>
        <v>89</v>
      </c>
      <c r="B91" s="182" t="s">
        <v>5597</v>
      </c>
      <c r="C91" s="182" t="s">
        <v>3079</v>
      </c>
      <c r="D91" s="187" t="s">
        <v>5502</v>
      </c>
      <c r="E91" s="187" t="s">
        <v>5535</v>
      </c>
      <c r="F91" s="187"/>
      <c r="G91" s="42" t="s">
        <v>3253</v>
      </c>
      <c r="H91" s="182">
        <v>44</v>
      </c>
      <c r="I91" s="206">
        <v>6.7505555555555556</v>
      </c>
      <c r="J91" s="209">
        <v>44614</v>
      </c>
      <c r="K91" s="44" t="s">
        <v>20</v>
      </c>
      <c r="L91" s="182">
        <v>33.9</v>
      </c>
    </row>
    <row r="92" spans="1:291" ht="35" customHeight="1">
      <c r="A92" s="74">
        <f>ROW()-2</f>
        <v>90</v>
      </c>
      <c r="B92" s="182" t="s">
        <v>5597</v>
      </c>
      <c r="C92" s="182" t="s">
        <v>3079</v>
      </c>
      <c r="D92" s="187" t="s">
        <v>5539</v>
      </c>
      <c r="E92" s="187" t="s">
        <v>5540</v>
      </c>
      <c r="F92" s="187" t="s">
        <v>5523</v>
      </c>
      <c r="G92" s="42" t="s">
        <v>3253</v>
      </c>
      <c r="H92" s="182">
        <v>34</v>
      </c>
      <c r="I92" s="206">
        <v>12.6275</v>
      </c>
      <c r="J92" s="209">
        <v>44614</v>
      </c>
      <c r="K92" s="206" t="s">
        <v>5579</v>
      </c>
      <c r="L92" s="182">
        <v>24.5</v>
      </c>
    </row>
    <row r="93" spans="1:291" ht="35" customHeight="1">
      <c r="A93" s="74">
        <f>ROW()-2</f>
        <v>91</v>
      </c>
      <c r="B93" s="182" t="s">
        <v>5597</v>
      </c>
      <c r="C93" s="182" t="s">
        <v>3079</v>
      </c>
      <c r="D93" s="187" t="s">
        <v>5503</v>
      </c>
      <c r="E93" s="187" t="s">
        <v>5541</v>
      </c>
      <c r="F93" s="187" t="s">
        <v>5523</v>
      </c>
      <c r="G93" s="42" t="s">
        <v>3253</v>
      </c>
      <c r="H93" s="182">
        <v>58</v>
      </c>
      <c r="I93" s="206">
        <v>9.9238888888888894</v>
      </c>
      <c r="J93" s="209">
        <v>44614</v>
      </c>
      <c r="K93" s="44" t="s">
        <v>20</v>
      </c>
      <c r="L93" s="182">
        <v>34</v>
      </c>
    </row>
    <row r="94" spans="1:291" ht="35" customHeight="1">
      <c r="A94" s="74">
        <f>ROW()-2</f>
        <v>92</v>
      </c>
      <c r="B94" s="182" t="s">
        <v>5597</v>
      </c>
      <c r="C94" s="182" t="s">
        <v>3079</v>
      </c>
      <c r="D94" s="187" t="s">
        <v>5555</v>
      </c>
      <c r="E94" s="187" t="s">
        <v>5556</v>
      </c>
      <c r="F94" s="187" t="s">
        <v>5557</v>
      </c>
      <c r="G94" s="42" t="s">
        <v>3253</v>
      </c>
      <c r="H94" s="182">
        <v>37</v>
      </c>
      <c r="I94" s="206">
        <v>12.129166666666666</v>
      </c>
      <c r="J94" s="209">
        <v>44614</v>
      </c>
      <c r="K94" s="44" t="s">
        <v>20</v>
      </c>
      <c r="L94" s="182">
        <v>14.99</v>
      </c>
    </row>
    <row r="95" spans="1:291" ht="35" customHeight="1">
      <c r="A95" s="74">
        <f>ROW()-2</f>
        <v>93</v>
      </c>
      <c r="B95" s="182" t="s">
        <v>5597</v>
      </c>
      <c r="C95" s="182" t="s">
        <v>3079</v>
      </c>
      <c r="D95" s="187" t="s">
        <v>5508</v>
      </c>
      <c r="E95" s="187" t="s">
        <v>5558</v>
      </c>
      <c r="F95" s="187" t="s">
        <v>5559</v>
      </c>
      <c r="G95" s="42" t="s">
        <v>3253</v>
      </c>
      <c r="H95" s="182">
        <v>171</v>
      </c>
      <c r="I95" s="206">
        <v>24.944166666666668</v>
      </c>
      <c r="J95" s="209">
        <v>44614</v>
      </c>
      <c r="K95" s="44" t="s">
        <v>20</v>
      </c>
      <c r="L95" s="182">
        <v>56.88</v>
      </c>
    </row>
    <row r="96" spans="1:291" ht="35" customHeight="1">
      <c r="A96" s="74">
        <f>ROW()-2</f>
        <v>94</v>
      </c>
      <c r="B96" s="182" t="s">
        <v>5597</v>
      </c>
      <c r="C96" s="182" t="s">
        <v>3079</v>
      </c>
      <c r="D96" s="187" t="s">
        <v>5568</v>
      </c>
      <c r="E96" s="187" t="s">
        <v>5569</v>
      </c>
      <c r="F96" s="187" t="s">
        <v>5570</v>
      </c>
      <c r="G96" s="42" t="s">
        <v>3253</v>
      </c>
      <c r="H96" s="182">
        <v>33</v>
      </c>
      <c r="I96" s="206">
        <v>8.0291666666666668</v>
      </c>
      <c r="J96" s="209">
        <v>44614</v>
      </c>
      <c r="K96" s="44" t="s">
        <v>20</v>
      </c>
      <c r="L96" s="182">
        <v>39</v>
      </c>
    </row>
    <row r="97" spans="1:291" ht="35" customHeight="1">
      <c r="A97" s="74">
        <f>ROW()-2</f>
        <v>95</v>
      </c>
      <c r="B97" s="182" t="s">
        <v>5597</v>
      </c>
      <c r="C97" s="182" t="s">
        <v>3079</v>
      </c>
      <c r="D97" s="187" t="s">
        <v>5512</v>
      </c>
      <c r="E97" s="187" t="s">
        <v>5576</v>
      </c>
      <c r="F97" s="187" t="s">
        <v>5523</v>
      </c>
      <c r="G97" s="42" t="s">
        <v>3253</v>
      </c>
      <c r="H97" s="182">
        <v>21</v>
      </c>
      <c r="I97" s="206">
        <v>7.4219444444444447</v>
      </c>
      <c r="J97" s="209">
        <v>44614</v>
      </c>
      <c r="K97" s="206" t="s">
        <v>5575</v>
      </c>
      <c r="L97" s="182">
        <v>29</v>
      </c>
    </row>
    <row r="98" spans="1:291" ht="35" customHeight="1">
      <c r="A98" s="74">
        <f>ROW()-2</f>
        <v>96</v>
      </c>
      <c r="B98" s="182" t="s">
        <v>5597</v>
      </c>
      <c r="C98" s="182" t="s">
        <v>3079</v>
      </c>
      <c r="D98" s="187" t="s">
        <v>5517</v>
      </c>
      <c r="E98" s="187" t="s">
        <v>5587</v>
      </c>
      <c r="F98" s="187" t="s">
        <v>5588</v>
      </c>
      <c r="G98" s="42" t="s">
        <v>3253</v>
      </c>
      <c r="H98" s="182">
        <v>173</v>
      </c>
      <c r="I98" s="206">
        <v>42.985833333333332</v>
      </c>
      <c r="J98" s="209">
        <v>44614</v>
      </c>
      <c r="K98" s="211" t="s">
        <v>5579</v>
      </c>
      <c r="L98" s="202">
        <v>129</v>
      </c>
    </row>
    <row r="99" spans="1:291" ht="35" customHeight="1">
      <c r="A99" s="74">
        <f>ROW()-2</f>
        <v>97</v>
      </c>
      <c r="B99" s="42" t="s">
        <v>4586</v>
      </c>
      <c r="C99" s="42" t="s">
        <v>3261</v>
      </c>
      <c r="D99" s="43" t="s">
        <v>4734</v>
      </c>
      <c r="E99" s="43" t="s">
        <v>4735</v>
      </c>
      <c r="F99" s="43" t="s">
        <v>4736</v>
      </c>
      <c r="G99" s="42" t="s">
        <v>34</v>
      </c>
      <c r="H99" s="43">
        <v>114</v>
      </c>
      <c r="I99" s="49">
        <v>31.92</v>
      </c>
      <c r="J99" s="45">
        <v>43276</v>
      </c>
      <c r="K99" s="44" t="s">
        <v>20</v>
      </c>
      <c r="L99" s="44">
        <v>199</v>
      </c>
    </row>
    <row r="100" spans="1:291" ht="35" customHeight="1">
      <c r="A100" s="74">
        <f>ROW()-2</f>
        <v>98</v>
      </c>
      <c r="B100" s="42" t="s">
        <v>4586</v>
      </c>
      <c r="C100" s="42" t="s">
        <v>3261</v>
      </c>
      <c r="D100" s="43" t="s">
        <v>4740</v>
      </c>
      <c r="E100" s="43" t="s">
        <v>4741</v>
      </c>
      <c r="F100" s="43" t="s">
        <v>4742</v>
      </c>
      <c r="G100" s="42" t="s">
        <v>34</v>
      </c>
      <c r="H100" s="43">
        <v>112</v>
      </c>
      <c r="I100" s="49">
        <v>46.896111111111097</v>
      </c>
      <c r="J100" s="45">
        <v>43276</v>
      </c>
      <c r="K100" s="44" t="s">
        <v>20</v>
      </c>
      <c r="L100" s="44">
        <v>49</v>
      </c>
    </row>
    <row r="101" spans="1:291" ht="35" customHeight="1">
      <c r="A101" s="74">
        <f>ROW()-2</f>
        <v>99</v>
      </c>
      <c r="B101" s="42" t="s">
        <v>4586</v>
      </c>
      <c r="C101" s="42" t="s">
        <v>3261</v>
      </c>
      <c r="D101" s="43" t="s">
        <v>4727</v>
      </c>
      <c r="E101" s="43" t="s">
        <v>4728</v>
      </c>
      <c r="F101" s="43" t="s">
        <v>4626</v>
      </c>
      <c r="G101" s="42" t="s">
        <v>34</v>
      </c>
      <c r="H101" s="42">
        <v>21</v>
      </c>
      <c r="I101" s="44">
        <v>2.92055555555556</v>
      </c>
      <c r="J101" s="45">
        <v>43691</v>
      </c>
      <c r="K101" s="44" t="s">
        <v>20</v>
      </c>
      <c r="L101" s="44">
        <v>16.989999999999998</v>
      </c>
    </row>
    <row r="102" spans="1:291" ht="35" customHeight="1">
      <c r="A102" s="74">
        <f>ROW()-2</f>
        <v>100</v>
      </c>
      <c r="B102" s="42" t="s">
        <v>4586</v>
      </c>
      <c r="C102" s="42" t="s">
        <v>3261</v>
      </c>
      <c r="D102" s="43" t="s">
        <v>4729</v>
      </c>
      <c r="E102" s="43" t="s">
        <v>4730</v>
      </c>
      <c r="F102" s="43" t="s">
        <v>2182</v>
      </c>
      <c r="G102" s="42" t="s">
        <v>34</v>
      </c>
      <c r="H102" s="42">
        <v>55</v>
      </c>
      <c r="I102" s="44">
        <v>14.234722222222199</v>
      </c>
      <c r="J102" s="45">
        <v>43691</v>
      </c>
      <c r="K102" s="44" t="s">
        <v>20</v>
      </c>
      <c r="L102" s="44">
        <v>199</v>
      </c>
    </row>
    <row r="103" spans="1:291" ht="35" customHeight="1">
      <c r="A103" s="74">
        <f>ROW()-2</f>
        <v>101</v>
      </c>
      <c r="B103" s="42" t="s">
        <v>4586</v>
      </c>
      <c r="C103" s="42" t="s">
        <v>3261</v>
      </c>
      <c r="D103" s="43" t="s">
        <v>4731</v>
      </c>
      <c r="E103" s="43" t="s">
        <v>4732</v>
      </c>
      <c r="F103" s="43" t="s">
        <v>4733</v>
      </c>
      <c r="G103" s="42" t="s">
        <v>34</v>
      </c>
      <c r="H103" s="43">
        <v>302</v>
      </c>
      <c r="I103" s="49">
        <v>60.5197222222222</v>
      </c>
      <c r="J103" s="45">
        <v>43913</v>
      </c>
      <c r="K103" s="44" t="s">
        <v>30</v>
      </c>
      <c r="L103" s="44">
        <v>199</v>
      </c>
    </row>
    <row r="104" spans="1:291" ht="35" customHeight="1">
      <c r="A104" s="74">
        <f>ROW()-2</f>
        <v>102</v>
      </c>
      <c r="B104" s="42" t="s">
        <v>4586</v>
      </c>
      <c r="C104" s="42" t="s">
        <v>3261</v>
      </c>
      <c r="D104" s="43" t="s">
        <v>4743</v>
      </c>
      <c r="E104" s="43" t="s">
        <v>4744</v>
      </c>
      <c r="F104" s="43" t="s">
        <v>4745</v>
      </c>
      <c r="G104" s="42" t="s">
        <v>34</v>
      </c>
      <c r="H104" s="42">
        <v>49</v>
      </c>
      <c r="I104" s="44">
        <v>15.814722222222199</v>
      </c>
      <c r="J104" s="45">
        <v>43913</v>
      </c>
      <c r="K104" s="44" t="s">
        <v>20</v>
      </c>
      <c r="L104" s="44">
        <v>9.3000000000000007</v>
      </c>
    </row>
    <row r="105" spans="1:291" ht="35" customHeight="1">
      <c r="A105" s="74">
        <f>ROW()-2</f>
        <v>103</v>
      </c>
      <c r="B105" s="42" t="s">
        <v>4586</v>
      </c>
      <c r="C105" s="42" t="s">
        <v>3261</v>
      </c>
      <c r="D105" s="43" t="s">
        <v>4737</v>
      </c>
      <c r="E105" s="43" t="s">
        <v>4738</v>
      </c>
      <c r="F105" s="43" t="s">
        <v>4739</v>
      </c>
      <c r="G105" s="42" t="s">
        <v>34</v>
      </c>
      <c r="H105" s="43">
        <v>130</v>
      </c>
      <c r="I105" s="49">
        <v>45.803611111111103</v>
      </c>
      <c r="J105" s="45">
        <v>43928</v>
      </c>
      <c r="K105" s="44" t="s">
        <v>20</v>
      </c>
      <c r="L105" s="44">
        <v>199</v>
      </c>
    </row>
    <row r="106" spans="1:291" ht="35" customHeight="1">
      <c r="A106" s="74">
        <f>ROW()-2</f>
        <v>104</v>
      </c>
      <c r="B106" s="42" t="s">
        <v>4586</v>
      </c>
      <c r="C106" s="42" t="s">
        <v>3265</v>
      </c>
      <c r="D106" s="43" t="s">
        <v>4750</v>
      </c>
      <c r="E106" s="43" t="s">
        <v>4751</v>
      </c>
      <c r="F106" s="43" t="s">
        <v>4610</v>
      </c>
      <c r="G106" s="42" t="s">
        <v>34</v>
      </c>
      <c r="H106" s="42">
        <v>15</v>
      </c>
      <c r="I106" s="44">
        <v>4.8266666666666698</v>
      </c>
      <c r="J106" s="45">
        <v>43469</v>
      </c>
      <c r="K106" s="44" t="s">
        <v>20</v>
      </c>
      <c r="L106" s="44">
        <v>29</v>
      </c>
    </row>
    <row r="107" spans="1:291" ht="35" customHeight="1">
      <c r="A107" s="74">
        <f>ROW()-2</f>
        <v>105</v>
      </c>
      <c r="B107" s="42" t="s">
        <v>4586</v>
      </c>
      <c r="C107" s="42" t="s">
        <v>3265</v>
      </c>
      <c r="D107" s="43" t="s">
        <v>4754</v>
      </c>
      <c r="E107" s="43" t="s">
        <v>4755</v>
      </c>
      <c r="F107" s="43" t="s">
        <v>4610</v>
      </c>
      <c r="G107" s="42" t="s">
        <v>34</v>
      </c>
      <c r="H107" s="42">
        <v>70</v>
      </c>
      <c r="I107" s="44">
        <v>23.543333333333301</v>
      </c>
      <c r="J107" s="45">
        <v>43469</v>
      </c>
      <c r="K107" s="44" t="s">
        <v>20</v>
      </c>
      <c r="L107" s="44">
        <v>59.99</v>
      </c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  <c r="FS107" s="30"/>
      <c r="FT107" s="30"/>
      <c r="FU107" s="30"/>
      <c r="FV107" s="30"/>
      <c r="FW107" s="30"/>
      <c r="FX107" s="30"/>
      <c r="FY107" s="30"/>
      <c r="FZ107" s="30"/>
      <c r="GA107" s="30"/>
      <c r="GB107" s="30"/>
      <c r="GC107" s="30"/>
      <c r="GD107" s="30"/>
      <c r="GE107" s="30"/>
      <c r="GF107" s="30"/>
      <c r="GG107" s="30"/>
      <c r="GH107" s="30"/>
      <c r="GI107" s="30"/>
      <c r="GJ107" s="30"/>
      <c r="GK107" s="30"/>
      <c r="GL107" s="30"/>
      <c r="GM107" s="30"/>
      <c r="GN107" s="30"/>
      <c r="GO107" s="30"/>
      <c r="GP107" s="30"/>
      <c r="GQ107" s="30"/>
      <c r="GR107" s="30"/>
      <c r="GS107" s="30"/>
      <c r="GT107" s="30"/>
      <c r="GU107" s="30"/>
      <c r="GV107" s="30"/>
      <c r="GW107" s="30"/>
      <c r="GX107" s="30"/>
      <c r="GY107" s="30"/>
      <c r="GZ107" s="30"/>
      <c r="HA107" s="30"/>
      <c r="HB107" s="30"/>
      <c r="HC107" s="30"/>
      <c r="HD107" s="30"/>
      <c r="HE107" s="30"/>
      <c r="HF107" s="30"/>
      <c r="HG107" s="30"/>
      <c r="HH107" s="30"/>
      <c r="HI107" s="30"/>
      <c r="HJ107" s="30"/>
      <c r="HK107" s="30"/>
      <c r="HL107" s="30"/>
      <c r="HM107" s="30"/>
      <c r="HN107" s="30"/>
      <c r="HO107" s="30"/>
      <c r="HP107" s="30"/>
      <c r="HQ107" s="30"/>
      <c r="HR107" s="30"/>
      <c r="HS107" s="30"/>
      <c r="HT107" s="30"/>
      <c r="HU107" s="30"/>
      <c r="HV107" s="30"/>
      <c r="HW107" s="30"/>
      <c r="HX107" s="30"/>
      <c r="HY107" s="30"/>
      <c r="HZ107" s="30"/>
      <c r="IA107" s="30"/>
      <c r="IB107" s="30"/>
      <c r="IC107" s="30"/>
      <c r="ID107" s="30"/>
      <c r="IE107" s="30"/>
      <c r="IF107" s="30"/>
      <c r="IG107" s="30"/>
      <c r="IH107" s="30"/>
      <c r="II107" s="30"/>
      <c r="IJ107" s="30"/>
      <c r="IK107" s="30"/>
      <c r="IL107" s="30"/>
      <c r="IM107" s="30"/>
      <c r="IN107" s="30"/>
      <c r="IO107" s="30"/>
      <c r="IP107" s="30"/>
      <c r="IQ107" s="30"/>
      <c r="IR107" s="30"/>
      <c r="IS107" s="30"/>
      <c r="IT107" s="30"/>
      <c r="IU107" s="30"/>
      <c r="IV107" s="30"/>
      <c r="IW107" s="30"/>
      <c r="IX107" s="30"/>
      <c r="IY107" s="30"/>
      <c r="IZ107" s="30"/>
      <c r="JA107" s="30"/>
      <c r="JB107" s="30"/>
      <c r="JC107" s="30"/>
      <c r="JD107" s="30"/>
      <c r="JE107" s="30"/>
      <c r="JF107" s="30"/>
      <c r="JG107" s="30"/>
      <c r="JH107" s="30"/>
      <c r="JI107" s="30"/>
      <c r="JJ107" s="30"/>
      <c r="JK107" s="30"/>
      <c r="JL107" s="30"/>
      <c r="JM107" s="30"/>
      <c r="JN107" s="30"/>
      <c r="JO107" s="30"/>
      <c r="JP107" s="30"/>
      <c r="JQ107" s="30"/>
      <c r="JR107" s="30"/>
      <c r="JS107" s="30"/>
      <c r="JT107" s="30"/>
      <c r="JU107" s="30"/>
      <c r="JV107" s="30"/>
      <c r="JW107" s="30"/>
      <c r="JX107" s="30"/>
      <c r="JY107" s="30"/>
      <c r="JZ107" s="30"/>
      <c r="KA107" s="30"/>
      <c r="KB107" s="30"/>
      <c r="KC107" s="30"/>
      <c r="KD107" s="30"/>
      <c r="KE107" s="30"/>
    </row>
    <row r="108" spans="1:291" ht="35" customHeight="1">
      <c r="A108" s="74">
        <f>ROW()-2</f>
        <v>106</v>
      </c>
      <c r="B108" s="42" t="s">
        <v>4586</v>
      </c>
      <c r="C108" s="42" t="s">
        <v>3265</v>
      </c>
      <c r="D108" s="43" t="s">
        <v>4756</v>
      </c>
      <c r="E108" s="43" t="s">
        <v>3270</v>
      </c>
      <c r="F108" s="43" t="s">
        <v>4610</v>
      </c>
      <c r="G108" s="42" t="s">
        <v>34</v>
      </c>
      <c r="H108" s="42">
        <v>33</v>
      </c>
      <c r="I108" s="44">
        <v>10.4630555555556</v>
      </c>
      <c r="J108" s="45">
        <v>43469</v>
      </c>
      <c r="K108" s="46" t="s">
        <v>20</v>
      </c>
      <c r="L108" s="48">
        <v>32.5</v>
      </c>
    </row>
    <row r="109" spans="1:291" ht="35" customHeight="1">
      <c r="A109" s="74">
        <f>ROW()-2</f>
        <v>107</v>
      </c>
      <c r="B109" s="42" t="s">
        <v>4586</v>
      </c>
      <c r="C109" s="42" t="s">
        <v>3265</v>
      </c>
      <c r="D109" s="43" t="s">
        <v>4757</v>
      </c>
      <c r="E109" s="43" t="s">
        <v>4758</v>
      </c>
      <c r="F109" s="43" t="s">
        <v>4617</v>
      </c>
      <c r="G109" s="42" t="s">
        <v>34</v>
      </c>
      <c r="H109" s="42">
        <v>24</v>
      </c>
      <c r="I109" s="44">
        <v>7.6372222222222197</v>
      </c>
      <c r="J109" s="45">
        <v>43469</v>
      </c>
      <c r="K109" s="46" t="s">
        <v>20</v>
      </c>
      <c r="L109" s="48">
        <v>19.899999999999999</v>
      </c>
    </row>
    <row r="110" spans="1:291" ht="35" customHeight="1">
      <c r="A110" s="74">
        <f>ROW()-2</f>
        <v>108</v>
      </c>
      <c r="B110" s="42" t="s">
        <v>4586</v>
      </c>
      <c r="C110" s="42" t="s">
        <v>3265</v>
      </c>
      <c r="D110" s="43" t="s">
        <v>3298</v>
      </c>
      <c r="E110" s="43" t="s">
        <v>3299</v>
      </c>
      <c r="F110" s="43" t="s">
        <v>4598</v>
      </c>
      <c r="G110" s="42" t="s">
        <v>34</v>
      </c>
      <c r="H110" s="42">
        <v>40</v>
      </c>
      <c r="I110" s="44">
        <v>11.950555555555599</v>
      </c>
      <c r="J110" s="45">
        <v>43481</v>
      </c>
      <c r="K110" s="46" t="s">
        <v>20</v>
      </c>
      <c r="L110" s="48">
        <v>29.5</v>
      </c>
    </row>
    <row r="111" spans="1:291" ht="35" customHeight="1">
      <c r="A111" s="74">
        <f>ROW()-2</f>
        <v>109</v>
      </c>
      <c r="B111" s="42" t="s">
        <v>4586</v>
      </c>
      <c r="C111" s="42" t="s">
        <v>3265</v>
      </c>
      <c r="D111" s="43" t="s">
        <v>4748</v>
      </c>
      <c r="E111" s="43" t="s">
        <v>3764</v>
      </c>
      <c r="F111" s="43" t="s">
        <v>4749</v>
      </c>
      <c r="G111" s="42" t="s">
        <v>34</v>
      </c>
      <c r="H111" s="42">
        <v>12</v>
      </c>
      <c r="I111" s="44">
        <v>3.6966666666666699</v>
      </c>
      <c r="J111" s="45">
        <v>43481</v>
      </c>
      <c r="K111" s="44" t="s">
        <v>20</v>
      </c>
      <c r="L111" s="44">
        <v>29.5</v>
      </c>
    </row>
    <row r="112" spans="1:291" ht="35" customHeight="1">
      <c r="A112" s="74">
        <f>ROW()-2</f>
        <v>110</v>
      </c>
      <c r="B112" s="42" t="s">
        <v>4586</v>
      </c>
      <c r="C112" s="42" t="s">
        <v>3265</v>
      </c>
      <c r="D112" s="43" t="s">
        <v>4752</v>
      </c>
      <c r="E112" s="43" t="s">
        <v>4753</v>
      </c>
      <c r="F112" s="43" t="s">
        <v>4617</v>
      </c>
      <c r="G112" s="42" t="s">
        <v>34</v>
      </c>
      <c r="H112" s="42">
        <v>24</v>
      </c>
      <c r="I112" s="44">
        <v>8.2047222222222196</v>
      </c>
      <c r="J112" s="45">
        <v>43481</v>
      </c>
      <c r="K112" s="44" t="s">
        <v>20</v>
      </c>
      <c r="L112" s="44">
        <v>24.5</v>
      </c>
    </row>
    <row r="113" spans="1:291" ht="35" customHeight="1">
      <c r="A113" s="74">
        <f>ROW()-2</f>
        <v>111</v>
      </c>
      <c r="B113" s="42" t="s">
        <v>4586</v>
      </c>
      <c r="C113" s="42" t="s">
        <v>3265</v>
      </c>
      <c r="D113" s="43" t="s">
        <v>2785</v>
      </c>
      <c r="E113" s="43" t="s">
        <v>2786</v>
      </c>
      <c r="F113" s="43" t="s">
        <v>4610</v>
      </c>
      <c r="G113" s="42" t="s">
        <v>34</v>
      </c>
      <c r="H113" s="42">
        <v>51</v>
      </c>
      <c r="I113" s="44">
        <v>8.2572222222222198</v>
      </c>
      <c r="J113" s="45">
        <v>43691</v>
      </c>
      <c r="K113" s="44" t="s">
        <v>20</v>
      </c>
      <c r="L113" s="44">
        <v>22.99</v>
      </c>
    </row>
    <row r="114" spans="1:291" ht="35" customHeight="1">
      <c r="A114" s="74">
        <f>ROW()-2</f>
        <v>112</v>
      </c>
      <c r="B114" s="42" t="s">
        <v>4586</v>
      </c>
      <c r="C114" s="42" t="s">
        <v>3265</v>
      </c>
      <c r="D114" s="43" t="s">
        <v>4759</v>
      </c>
      <c r="E114" s="43" t="s">
        <v>4760</v>
      </c>
      <c r="F114" s="43" t="s">
        <v>4632</v>
      </c>
      <c r="G114" s="42" t="s">
        <v>34</v>
      </c>
      <c r="H114" s="42">
        <v>34</v>
      </c>
      <c r="I114" s="44">
        <v>10.943055555555601</v>
      </c>
      <c r="J114" s="45">
        <v>43691</v>
      </c>
      <c r="K114" s="44" t="s">
        <v>20</v>
      </c>
      <c r="L114" s="44">
        <v>24.9</v>
      </c>
    </row>
    <row r="115" spans="1:291" ht="35" customHeight="1">
      <c r="A115" s="74">
        <f>ROW()-2</f>
        <v>113</v>
      </c>
      <c r="B115" s="42" t="s">
        <v>4586</v>
      </c>
      <c r="C115" s="42" t="s">
        <v>3265</v>
      </c>
      <c r="D115" s="43" t="s">
        <v>4746</v>
      </c>
      <c r="E115" s="43" t="s">
        <v>3325</v>
      </c>
      <c r="F115" s="43" t="s">
        <v>4747</v>
      </c>
      <c r="G115" s="42" t="s">
        <v>34</v>
      </c>
      <c r="H115" s="42">
        <v>70</v>
      </c>
      <c r="I115" s="44">
        <v>7.0938888888888902</v>
      </c>
      <c r="J115" s="45">
        <v>43815</v>
      </c>
      <c r="K115" s="44" t="s">
        <v>20</v>
      </c>
      <c r="L115" s="44">
        <v>20.99</v>
      </c>
    </row>
    <row r="116" spans="1:291" ht="35" customHeight="1">
      <c r="A116" s="74">
        <f>ROW()-2</f>
        <v>114</v>
      </c>
      <c r="B116" s="204" t="s">
        <v>4586</v>
      </c>
      <c r="C116" s="182" t="s">
        <v>3265</v>
      </c>
      <c r="D116" s="187" t="s">
        <v>5291</v>
      </c>
      <c r="E116" s="187" t="s">
        <v>5310</v>
      </c>
      <c r="F116" s="187" t="s">
        <v>5311</v>
      </c>
      <c r="G116" s="182" t="s">
        <v>34</v>
      </c>
      <c r="H116" s="182">
        <v>32</v>
      </c>
      <c r="I116" s="206">
        <v>8.5702777777777772</v>
      </c>
      <c r="J116" s="209">
        <v>44565</v>
      </c>
      <c r="K116" s="206" t="s">
        <v>20</v>
      </c>
      <c r="L116" s="182">
        <v>39</v>
      </c>
    </row>
    <row r="117" spans="1:291" ht="35" customHeight="1">
      <c r="A117" s="74">
        <f>ROW()-2</f>
        <v>115</v>
      </c>
      <c r="B117" s="204" t="s">
        <v>4586</v>
      </c>
      <c r="C117" s="182" t="s">
        <v>3265</v>
      </c>
      <c r="D117" s="187" t="s">
        <v>5293</v>
      </c>
      <c r="E117" s="187" t="s">
        <v>703</v>
      </c>
      <c r="F117" s="187" t="s">
        <v>4666</v>
      </c>
      <c r="G117" s="182" t="s">
        <v>34</v>
      </c>
      <c r="H117" s="182">
        <v>24</v>
      </c>
      <c r="I117" s="206">
        <v>5.8280555555555553</v>
      </c>
      <c r="J117" s="209">
        <v>44565</v>
      </c>
      <c r="K117" s="206" t="s">
        <v>20</v>
      </c>
      <c r="L117" s="182">
        <v>49.8</v>
      </c>
    </row>
    <row r="118" spans="1:291" ht="35" customHeight="1">
      <c r="A118" s="74">
        <f>ROW()-2</f>
        <v>116</v>
      </c>
      <c r="B118" s="204" t="s">
        <v>4586</v>
      </c>
      <c r="C118" s="182" t="s">
        <v>3265</v>
      </c>
      <c r="D118" s="187" t="s">
        <v>5295</v>
      </c>
      <c r="E118" s="187" t="s">
        <v>5314</v>
      </c>
      <c r="F118" s="187" t="s">
        <v>5315</v>
      </c>
      <c r="G118" s="182" t="s">
        <v>34</v>
      </c>
      <c r="H118" s="182">
        <v>20</v>
      </c>
      <c r="I118" s="206">
        <v>7.7683333333333335</v>
      </c>
      <c r="J118" s="209">
        <v>44566</v>
      </c>
      <c r="K118" s="206" t="s">
        <v>20</v>
      </c>
      <c r="L118" s="182">
        <v>19.899999999999999</v>
      </c>
    </row>
    <row r="119" spans="1:291" ht="35" customHeight="1">
      <c r="A119" s="74">
        <f>ROW()-2</f>
        <v>117</v>
      </c>
      <c r="B119" s="42" t="s">
        <v>4586</v>
      </c>
      <c r="C119" s="42" t="s">
        <v>3265</v>
      </c>
      <c r="D119" s="43" t="s">
        <v>4761</v>
      </c>
      <c r="E119" s="43" t="s">
        <v>4762</v>
      </c>
      <c r="F119" s="43" t="s">
        <v>4763</v>
      </c>
      <c r="G119" s="42" t="s">
        <v>34</v>
      </c>
      <c r="H119" s="42">
        <v>26</v>
      </c>
      <c r="I119" s="44">
        <v>2.1</v>
      </c>
      <c r="J119" s="45">
        <v>44571</v>
      </c>
      <c r="K119" s="44" t="s">
        <v>4650</v>
      </c>
      <c r="L119" s="44"/>
    </row>
    <row r="120" spans="1:291" ht="35" customHeight="1">
      <c r="A120" s="74">
        <f>ROW()-2</f>
        <v>118</v>
      </c>
      <c r="B120" s="204" t="s">
        <v>4586</v>
      </c>
      <c r="C120" s="182" t="s">
        <v>3265</v>
      </c>
      <c r="D120" s="187" t="s">
        <v>5292</v>
      </c>
      <c r="E120" s="187" t="s">
        <v>5312</v>
      </c>
      <c r="F120" s="187" t="s">
        <v>4610</v>
      </c>
      <c r="G120" s="182" t="s">
        <v>34</v>
      </c>
      <c r="H120" s="182">
        <v>29</v>
      </c>
      <c r="I120" s="206">
        <v>8.9036111111111111</v>
      </c>
      <c r="J120" s="209">
        <v>44571</v>
      </c>
      <c r="K120" s="206" t="s">
        <v>20</v>
      </c>
      <c r="L120" s="182">
        <v>34.5</v>
      </c>
    </row>
    <row r="121" spans="1:291" ht="35" customHeight="1">
      <c r="A121" s="74">
        <f>ROW()-2</f>
        <v>119</v>
      </c>
      <c r="B121" s="204" t="s">
        <v>4586</v>
      </c>
      <c r="C121" s="182" t="s">
        <v>3265</v>
      </c>
      <c r="D121" s="187" t="s">
        <v>5297</v>
      </c>
      <c r="E121" s="187" t="s">
        <v>5318</v>
      </c>
      <c r="F121" s="187" t="s">
        <v>4610</v>
      </c>
      <c r="G121" s="182" t="s">
        <v>34</v>
      </c>
      <c r="H121" s="182">
        <v>36</v>
      </c>
      <c r="I121" s="206">
        <v>12.719722222222222</v>
      </c>
      <c r="J121" s="209">
        <v>44571</v>
      </c>
      <c r="K121" s="206" t="s">
        <v>20</v>
      </c>
      <c r="L121" s="182">
        <v>34</v>
      </c>
    </row>
    <row r="122" spans="1:291" ht="35" customHeight="1">
      <c r="A122" s="74">
        <f>ROW()-2</f>
        <v>120</v>
      </c>
      <c r="B122" s="204" t="s">
        <v>4586</v>
      </c>
      <c r="C122" s="182" t="s">
        <v>3265</v>
      </c>
      <c r="D122" s="187" t="s">
        <v>5298</v>
      </c>
      <c r="E122" s="187" t="s">
        <v>5319</v>
      </c>
      <c r="F122" s="187" t="s">
        <v>4632</v>
      </c>
      <c r="G122" s="182" t="s">
        <v>34</v>
      </c>
      <c r="H122" s="182">
        <v>115</v>
      </c>
      <c r="I122" s="206">
        <v>13.890555555555556</v>
      </c>
      <c r="J122" s="209">
        <v>44571</v>
      </c>
      <c r="K122" s="206" t="s">
        <v>20</v>
      </c>
      <c r="L122" s="182">
        <v>79</v>
      </c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  <c r="FS122" s="30"/>
      <c r="FT122" s="30"/>
      <c r="FU122" s="30"/>
      <c r="FV122" s="30"/>
      <c r="FW122" s="30"/>
      <c r="FX122" s="30"/>
      <c r="FY122" s="30"/>
      <c r="FZ122" s="30"/>
      <c r="GA122" s="30"/>
      <c r="GB122" s="30"/>
      <c r="GC122" s="30"/>
      <c r="GD122" s="30"/>
      <c r="GE122" s="30"/>
      <c r="GF122" s="30"/>
      <c r="GG122" s="30"/>
      <c r="GH122" s="30"/>
      <c r="GI122" s="30"/>
      <c r="GJ122" s="30"/>
      <c r="GK122" s="30"/>
      <c r="GL122" s="30"/>
      <c r="GM122" s="30"/>
      <c r="GN122" s="30"/>
      <c r="GO122" s="30"/>
      <c r="GP122" s="30"/>
      <c r="GQ122" s="30"/>
      <c r="GR122" s="30"/>
      <c r="GS122" s="30"/>
      <c r="GT122" s="30"/>
      <c r="GU122" s="30"/>
      <c r="GV122" s="30"/>
      <c r="GW122" s="30"/>
      <c r="GX122" s="30"/>
      <c r="GY122" s="30"/>
      <c r="GZ122" s="30"/>
      <c r="HA122" s="30"/>
      <c r="HB122" s="30"/>
      <c r="HC122" s="30"/>
      <c r="HD122" s="30"/>
      <c r="HE122" s="30"/>
      <c r="HF122" s="30"/>
      <c r="HG122" s="30"/>
      <c r="HH122" s="30"/>
      <c r="HI122" s="30"/>
      <c r="HJ122" s="30"/>
      <c r="HK122" s="30"/>
      <c r="HL122" s="30"/>
      <c r="HM122" s="30"/>
      <c r="HN122" s="30"/>
      <c r="HO122" s="30"/>
      <c r="HP122" s="30"/>
      <c r="HQ122" s="30"/>
      <c r="HR122" s="30"/>
      <c r="HS122" s="30"/>
      <c r="HT122" s="30"/>
      <c r="HU122" s="30"/>
      <c r="HV122" s="30"/>
      <c r="HW122" s="30"/>
      <c r="HX122" s="30"/>
      <c r="HY122" s="30"/>
      <c r="HZ122" s="30"/>
      <c r="IA122" s="30"/>
      <c r="IB122" s="30"/>
      <c r="IC122" s="30"/>
      <c r="ID122" s="30"/>
      <c r="IE122" s="30"/>
      <c r="IF122" s="30"/>
      <c r="IG122" s="30"/>
      <c r="IH122" s="30"/>
      <c r="II122" s="30"/>
      <c r="IJ122" s="30"/>
      <c r="IK122" s="30"/>
      <c r="IL122" s="30"/>
      <c r="IM122" s="30"/>
      <c r="IN122" s="30"/>
      <c r="IO122" s="30"/>
      <c r="IP122" s="30"/>
      <c r="IQ122" s="30"/>
      <c r="IR122" s="30"/>
      <c r="IS122" s="30"/>
      <c r="IT122" s="30"/>
      <c r="IU122" s="30"/>
      <c r="IV122" s="30"/>
      <c r="IW122" s="30"/>
      <c r="IX122" s="30"/>
      <c r="IY122" s="30"/>
      <c r="IZ122" s="30"/>
      <c r="JA122" s="30"/>
      <c r="JB122" s="30"/>
      <c r="JC122" s="30"/>
      <c r="JD122" s="30"/>
      <c r="JE122" s="30"/>
      <c r="JF122" s="30"/>
      <c r="JG122" s="30"/>
      <c r="JH122" s="30"/>
      <c r="JI122" s="30"/>
      <c r="JJ122" s="30"/>
      <c r="JK122" s="30"/>
      <c r="JL122" s="30"/>
      <c r="JM122" s="30"/>
      <c r="JN122" s="30"/>
      <c r="JO122" s="30"/>
      <c r="JP122" s="30"/>
      <c r="JQ122" s="30"/>
      <c r="JR122" s="30"/>
      <c r="JS122" s="30"/>
      <c r="JT122" s="30"/>
      <c r="JU122" s="30"/>
      <c r="JV122" s="30"/>
      <c r="JW122" s="30"/>
      <c r="JX122" s="30"/>
      <c r="JY122" s="30"/>
      <c r="JZ122" s="30"/>
      <c r="KA122" s="30"/>
      <c r="KB122" s="30"/>
      <c r="KC122" s="30"/>
      <c r="KD122" s="30"/>
      <c r="KE122" s="30"/>
    </row>
    <row r="123" spans="1:291" ht="35" customHeight="1">
      <c r="A123" s="74">
        <f>ROW()-2</f>
        <v>121</v>
      </c>
      <c r="B123" s="42" t="s">
        <v>4586</v>
      </c>
      <c r="C123" s="42" t="s">
        <v>3329</v>
      </c>
      <c r="D123" s="43" t="s">
        <v>4790</v>
      </c>
      <c r="E123" s="43" t="s">
        <v>4791</v>
      </c>
      <c r="F123" s="43" t="s">
        <v>4792</v>
      </c>
      <c r="G123" s="42" t="s">
        <v>34</v>
      </c>
      <c r="H123" s="42">
        <v>9</v>
      </c>
      <c r="I123" s="44">
        <v>1.5916666666666699</v>
      </c>
      <c r="J123" s="45">
        <v>43483</v>
      </c>
      <c r="K123" s="44" t="s">
        <v>20</v>
      </c>
      <c r="L123" s="44">
        <v>68</v>
      </c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  <c r="FS123" s="30"/>
      <c r="FT123" s="30"/>
      <c r="FU123" s="30"/>
      <c r="FV123" s="30"/>
      <c r="FW123" s="30"/>
      <c r="FX123" s="30"/>
      <c r="FY123" s="30"/>
      <c r="FZ123" s="30"/>
      <c r="GA123" s="30"/>
      <c r="GB123" s="30"/>
      <c r="GC123" s="30"/>
      <c r="GD123" s="30"/>
      <c r="GE123" s="30"/>
      <c r="GF123" s="30"/>
      <c r="GG123" s="30"/>
      <c r="GH123" s="30"/>
      <c r="GI123" s="30"/>
      <c r="GJ123" s="30"/>
      <c r="GK123" s="30"/>
      <c r="GL123" s="30"/>
      <c r="GM123" s="30"/>
      <c r="GN123" s="30"/>
      <c r="GO123" s="30"/>
      <c r="GP123" s="30"/>
      <c r="GQ123" s="30"/>
      <c r="GR123" s="30"/>
      <c r="GS123" s="30"/>
      <c r="GT123" s="30"/>
      <c r="GU123" s="30"/>
      <c r="GV123" s="30"/>
      <c r="GW123" s="30"/>
      <c r="GX123" s="30"/>
      <c r="GY123" s="30"/>
      <c r="GZ123" s="30"/>
      <c r="HA123" s="30"/>
      <c r="HB123" s="30"/>
      <c r="HC123" s="30"/>
      <c r="HD123" s="30"/>
      <c r="HE123" s="30"/>
      <c r="HF123" s="30"/>
      <c r="HG123" s="30"/>
      <c r="HH123" s="30"/>
      <c r="HI123" s="30"/>
      <c r="HJ123" s="30"/>
      <c r="HK123" s="30"/>
      <c r="HL123" s="30"/>
      <c r="HM123" s="30"/>
      <c r="HN123" s="30"/>
      <c r="HO123" s="30"/>
      <c r="HP123" s="30"/>
      <c r="HQ123" s="30"/>
      <c r="HR123" s="30"/>
      <c r="HS123" s="30"/>
      <c r="HT123" s="30"/>
      <c r="HU123" s="30"/>
      <c r="HV123" s="30"/>
      <c r="HW123" s="30"/>
      <c r="HX123" s="30"/>
      <c r="HY123" s="30"/>
      <c r="HZ123" s="30"/>
      <c r="IA123" s="30"/>
      <c r="IB123" s="30"/>
      <c r="IC123" s="30"/>
      <c r="ID123" s="30"/>
      <c r="IE123" s="30"/>
      <c r="IF123" s="30"/>
      <c r="IG123" s="30"/>
      <c r="IH123" s="30"/>
      <c r="II123" s="30"/>
      <c r="IJ123" s="30"/>
      <c r="IK123" s="30"/>
      <c r="IL123" s="30"/>
      <c r="IM123" s="30"/>
      <c r="IN123" s="30"/>
      <c r="IO123" s="30"/>
      <c r="IP123" s="30"/>
      <c r="IQ123" s="30"/>
      <c r="IR123" s="30"/>
      <c r="IS123" s="30"/>
      <c r="IT123" s="30"/>
      <c r="IU123" s="30"/>
      <c r="IV123" s="30"/>
      <c r="IW123" s="30"/>
      <c r="IX123" s="30"/>
      <c r="IY123" s="30"/>
      <c r="IZ123" s="30"/>
      <c r="JA123" s="30"/>
      <c r="JB123" s="30"/>
      <c r="JC123" s="30"/>
      <c r="JD123" s="30"/>
      <c r="JE123" s="30"/>
      <c r="JF123" s="30"/>
      <c r="JG123" s="30"/>
      <c r="JH123" s="30"/>
      <c r="JI123" s="30"/>
      <c r="JJ123" s="30"/>
      <c r="JK123" s="30"/>
      <c r="JL123" s="30"/>
      <c r="JM123" s="30"/>
      <c r="JN123" s="30"/>
      <c r="JO123" s="30"/>
      <c r="JP123" s="30"/>
      <c r="JQ123" s="30"/>
      <c r="JR123" s="30"/>
      <c r="JS123" s="30"/>
      <c r="JT123" s="30"/>
      <c r="JU123" s="30"/>
      <c r="JV123" s="30"/>
      <c r="JW123" s="30"/>
      <c r="JX123" s="30"/>
      <c r="JY123" s="30"/>
      <c r="JZ123" s="30"/>
      <c r="KA123" s="30"/>
      <c r="KB123" s="30"/>
      <c r="KC123" s="30"/>
      <c r="KD123" s="30"/>
      <c r="KE123" s="30"/>
    </row>
    <row r="124" spans="1:291" ht="35" customHeight="1">
      <c r="A124" s="74">
        <f>ROW()-2</f>
        <v>122</v>
      </c>
      <c r="B124" s="42" t="s">
        <v>4586</v>
      </c>
      <c r="C124" s="42" t="s">
        <v>3329</v>
      </c>
      <c r="D124" s="43" t="s">
        <v>4764</v>
      </c>
      <c r="E124" s="43" t="s">
        <v>4765</v>
      </c>
      <c r="F124" s="43" t="s">
        <v>2158</v>
      </c>
      <c r="G124" s="42" t="s">
        <v>34</v>
      </c>
      <c r="H124" s="42">
        <v>34</v>
      </c>
      <c r="I124" s="44">
        <v>13.685277777777801</v>
      </c>
      <c r="J124" s="45">
        <v>43691</v>
      </c>
      <c r="K124" s="44" t="s">
        <v>20</v>
      </c>
      <c r="L124" s="44">
        <v>15.88</v>
      </c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  <c r="FS124" s="30"/>
      <c r="FT124" s="30"/>
      <c r="FU124" s="30"/>
      <c r="FV124" s="30"/>
      <c r="FW124" s="30"/>
      <c r="FX124" s="30"/>
      <c r="FY124" s="30"/>
      <c r="FZ124" s="30"/>
      <c r="GA124" s="30"/>
      <c r="GB124" s="30"/>
      <c r="GC124" s="30"/>
      <c r="GD124" s="30"/>
      <c r="GE124" s="30"/>
      <c r="GF124" s="30"/>
      <c r="GG124" s="30"/>
      <c r="GH124" s="30"/>
      <c r="GI124" s="30"/>
      <c r="GJ124" s="30"/>
      <c r="GK124" s="30"/>
      <c r="GL124" s="30"/>
      <c r="GM124" s="30"/>
      <c r="GN124" s="30"/>
      <c r="GO124" s="30"/>
      <c r="GP124" s="30"/>
      <c r="GQ124" s="30"/>
      <c r="GR124" s="30"/>
      <c r="GS124" s="30"/>
      <c r="GT124" s="30"/>
      <c r="GU124" s="30"/>
      <c r="GV124" s="30"/>
      <c r="GW124" s="30"/>
      <c r="GX124" s="30"/>
      <c r="GY124" s="30"/>
      <c r="GZ124" s="30"/>
      <c r="HA124" s="30"/>
      <c r="HB124" s="30"/>
      <c r="HC124" s="30"/>
      <c r="HD124" s="30"/>
      <c r="HE124" s="30"/>
      <c r="HF124" s="30"/>
      <c r="HG124" s="30"/>
      <c r="HH124" s="30"/>
      <c r="HI124" s="30"/>
      <c r="HJ124" s="30"/>
      <c r="HK124" s="30"/>
      <c r="HL124" s="30"/>
      <c r="HM124" s="30"/>
      <c r="HN124" s="30"/>
      <c r="HO124" s="30"/>
      <c r="HP124" s="30"/>
      <c r="HQ124" s="30"/>
      <c r="HR124" s="30"/>
      <c r="HS124" s="30"/>
      <c r="HT124" s="30"/>
      <c r="HU124" s="30"/>
      <c r="HV124" s="30"/>
      <c r="HW124" s="30"/>
      <c r="HX124" s="30"/>
      <c r="HY124" s="30"/>
      <c r="HZ124" s="30"/>
      <c r="IA124" s="30"/>
      <c r="IB124" s="30"/>
      <c r="IC124" s="30"/>
      <c r="ID124" s="30"/>
      <c r="IE124" s="30"/>
      <c r="IF124" s="30"/>
      <c r="IG124" s="30"/>
      <c r="IH124" s="30"/>
      <c r="II124" s="30"/>
      <c r="IJ124" s="30"/>
      <c r="IK124" s="30"/>
      <c r="IL124" s="30"/>
      <c r="IM124" s="30"/>
      <c r="IN124" s="30"/>
      <c r="IO124" s="30"/>
      <c r="IP124" s="30"/>
      <c r="IQ124" s="30"/>
      <c r="IR124" s="30"/>
      <c r="IS124" s="30"/>
      <c r="IT124" s="30"/>
      <c r="IU124" s="30"/>
      <c r="IV124" s="30"/>
      <c r="IW124" s="30"/>
      <c r="IX124" s="30"/>
      <c r="IY124" s="30"/>
      <c r="IZ124" s="30"/>
      <c r="JA124" s="30"/>
      <c r="JB124" s="30"/>
      <c r="JC124" s="30"/>
      <c r="JD124" s="30"/>
      <c r="JE124" s="30"/>
      <c r="JF124" s="30"/>
      <c r="JG124" s="30"/>
      <c r="JH124" s="30"/>
      <c r="JI124" s="30"/>
      <c r="JJ124" s="30"/>
      <c r="JK124" s="30"/>
      <c r="JL124" s="30"/>
      <c r="JM124" s="30"/>
      <c r="JN124" s="30"/>
      <c r="JO124" s="30"/>
      <c r="JP124" s="30"/>
      <c r="JQ124" s="30"/>
      <c r="JR124" s="30"/>
      <c r="JS124" s="30"/>
      <c r="JT124" s="30"/>
      <c r="JU124" s="30"/>
      <c r="JV124" s="30"/>
      <c r="JW124" s="30"/>
      <c r="JX124" s="30"/>
      <c r="JY124" s="30"/>
      <c r="JZ124" s="30"/>
      <c r="KA124" s="30"/>
      <c r="KB124" s="30"/>
      <c r="KC124" s="30"/>
      <c r="KD124" s="30"/>
      <c r="KE124" s="30"/>
    </row>
    <row r="125" spans="1:291" ht="35" customHeight="1">
      <c r="A125" s="74">
        <f>ROW()-2</f>
        <v>123</v>
      </c>
      <c r="B125" s="42" t="s">
        <v>4586</v>
      </c>
      <c r="C125" s="42" t="s">
        <v>3329</v>
      </c>
      <c r="D125" s="43" t="s">
        <v>4766</v>
      </c>
      <c r="E125" s="43" t="s">
        <v>4767</v>
      </c>
      <c r="F125" s="43" t="s">
        <v>4768</v>
      </c>
      <c r="G125" s="42" t="s">
        <v>34</v>
      </c>
      <c r="H125" s="42">
        <v>46</v>
      </c>
      <c r="I125" s="44">
        <v>15.397222222222201</v>
      </c>
      <c r="J125" s="45">
        <v>43691</v>
      </c>
      <c r="K125" s="44" t="s">
        <v>20</v>
      </c>
      <c r="L125" s="44">
        <v>59.99</v>
      </c>
    </row>
    <row r="126" spans="1:291" ht="35" customHeight="1">
      <c r="A126" s="74">
        <f>ROW()-2</f>
        <v>124</v>
      </c>
      <c r="B126" s="42" t="s">
        <v>4586</v>
      </c>
      <c r="C126" s="42" t="s">
        <v>3329</v>
      </c>
      <c r="D126" s="43" t="s">
        <v>4772</v>
      </c>
      <c r="E126" s="43" t="s">
        <v>4773</v>
      </c>
      <c r="F126" s="43" t="s">
        <v>4774</v>
      </c>
      <c r="G126" s="42" t="s">
        <v>34</v>
      </c>
      <c r="H126" s="42">
        <v>154</v>
      </c>
      <c r="I126" s="44">
        <v>53.880277777777799</v>
      </c>
      <c r="J126" s="45">
        <v>43691</v>
      </c>
      <c r="K126" s="44" t="s">
        <v>20</v>
      </c>
      <c r="L126" s="44">
        <v>19</v>
      </c>
    </row>
    <row r="127" spans="1:291" ht="35" customHeight="1">
      <c r="A127" s="74">
        <f>ROW()-2</f>
        <v>125</v>
      </c>
      <c r="B127" s="42" t="s">
        <v>4586</v>
      </c>
      <c r="C127" s="42" t="s">
        <v>3329</v>
      </c>
      <c r="D127" s="43" t="s">
        <v>4775</v>
      </c>
      <c r="E127" s="43" t="s">
        <v>4776</v>
      </c>
      <c r="F127" s="43" t="s">
        <v>4777</v>
      </c>
      <c r="G127" s="42" t="s">
        <v>34</v>
      </c>
      <c r="H127" s="42">
        <v>15</v>
      </c>
      <c r="I127" s="44">
        <v>5.3324999999999996</v>
      </c>
      <c r="J127" s="45">
        <v>43691</v>
      </c>
      <c r="K127" s="44" t="s">
        <v>20</v>
      </c>
      <c r="L127" s="44">
        <v>8.99</v>
      </c>
    </row>
    <row r="128" spans="1:291" ht="35" customHeight="1">
      <c r="A128" s="74">
        <f>ROW()-2</f>
        <v>126</v>
      </c>
      <c r="B128" s="42" t="s">
        <v>4586</v>
      </c>
      <c r="C128" s="42" t="s">
        <v>3329</v>
      </c>
      <c r="D128" s="43" t="s">
        <v>4778</v>
      </c>
      <c r="E128" s="43" t="s">
        <v>4779</v>
      </c>
      <c r="F128" s="43" t="s">
        <v>4610</v>
      </c>
      <c r="G128" s="42" t="s">
        <v>34</v>
      </c>
      <c r="H128" s="42">
        <v>28</v>
      </c>
      <c r="I128" s="44">
        <v>5.95722222222222</v>
      </c>
      <c r="J128" s="45">
        <v>43691</v>
      </c>
      <c r="K128" s="44" t="s">
        <v>20</v>
      </c>
      <c r="L128" s="44">
        <v>6.6</v>
      </c>
    </row>
    <row r="129" spans="1:13" ht="35" customHeight="1">
      <c r="A129" s="74">
        <f>ROW()-2</f>
        <v>127</v>
      </c>
      <c r="B129" s="42" t="s">
        <v>4586</v>
      </c>
      <c r="C129" s="42" t="s">
        <v>3329</v>
      </c>
      <c r="D129" s="43" t="s">
        <v>4780</v>
      </c>
      <c r="E129" s="43" t="s">
        <v>142</v>
      </c>
      <c r="F129" s="43" t="s">
        <v>4781</v>
      </c>
      <c r="G129" s="42" t="s">
        <v>34</v>
      </c>
      <c r="H129" s="42">
        <v>25</v>
      </c>
      <c r="I129" s="44">
        <v>8.1122222222222202</v>
      </c>
      <c r="J129" s="45">
        <v>43691</v>
      </c>
      <c r="K129" s="44" t="s">
        <v>20</v>
      </c>
      <c r="L129" s="44">
        <v>8.4</v>
      </c>
    </row>
    <row r="130" spans="1:13" ht="35" customHeight="1">
      <c r="A130" s="74">
        <f>ROW()-2</f>
        <v>128</v>
      </c>
      <c r="B130" s="42" t="s">
        <v>4586</v>
      </c>
      <c r="C130" s="42" t="s">
        <v>3329</v>
      </c>
      <c r="D130" s="43" t="s">
        <v>4785</v>
      </c>
      <c r="E130" s="43" t="s">
        <v>4786</v>
      </c>
      <c r="F130" s="43" t="s">
        <v>4787</v>
      </c>
      <c r="G130" s="42" t="s">
        <v>34</v>
      </c>
      <c r="H130" s="42">
        <v>42</v>
      </c>
      <c r="I130" s="44">
        <v>14.164722222222199</v>
      </c>
      <c r="J130" s="45">
        <v>43691</v>
      </c>
      <c r="K130" s="44" t="s">
        <v>20</v>
      </c>
      <c r="L130" s="44">
        <v>6</v>
      </c>
    </row>
    <row r="131" spans="1:13" ht="35" customHeight="1">
      <c r="A131" s="74">
        <f>ROW()-2</f>
        <v>129</v>
      </c>
      <c r="B131" s="42" t="s">
        <v>4586</v>
      </c>
      <c r="C131" s="42" t="s">
        <v>3329</v>
      </c>
      <c r="D131" s="43" t="s">
        <v>4769</v>
      </c>
      <c r="E131" s="43" t="s">
        <v>4770</v>
      </c>
      <c r="F131" s="43" t="s">
        <v>4771</v>
      </c>
      <c r="G131" s="42" t="s">
        <v>34</v>
      </c>
      <c r="H131" s="42">
        <v>26</v>
      </c>
      <c r="I131" s="44">
        <v>12.0005555555556</v>
      </c>
      <c r="J131" s="45">
        <v>43845</v>
      </c>
      <c r="K131" s="44" t="s">
        <v>20</v>
      </c>
      <c r="L131" s="44">
        <v>34</v>
      </c>
    </row>
    <row r="132" spans="1:13" ht="35" customHeight="1">
      <c r="A132" s="74">
        <f>ROW()-2</f>
        <v>130</v>
      </c>
      <c r="B132" s="42" t="s">
        <v>4586</v>
      </c>
      <c r="C132" s="42" t="s">
        <v>3329</v>
      </c>
      <c r="D132" s="43" t="s">
        <v>4788</v>
      </c>
      <c r="E132" s="43" t="s">
        <v>4789</v>
      </c>
      <c r="F132" s="43" t="s">
        <v>4589</v>
      </c>
      <c r="G132" s="42" t="s">
        <v>34</v>
      </c>
      <c r="H132" s="42">
        <v>65</v>
      </c>
      <c r="I132" s="44">
        <v>3.25</v>
      </c>
      <c r="J132" s="45">
        <v>44004</v>
      </c>
      <c r="K132" s="44" t="s">
        <v>20</v>
      </c>
      <c r="L132" s="44">
        <v>18</v>
      </c>
    </row>
    <row r="133" spans="1:13" ht="35" customHeight="1">
      <c r="A133" s="74">
        <f>ROW()-2</f>
        <v>131</v>
      </c>
      <c r="B133" s="42" t="s">
        <v>4586</v>
      </c>
      <c r="C133" s="42" t="s">
        <v>3329</v>
      </c>
      <c r="D133" s="42" t="s">
        <v>4782</v>
      </c>
      <c r="E133" s="43" t="s">
        <v>4783</v>
      </c>
      <c r="F133" s="43" t="s">
        <v>4784</v>
      </c>
      <c r="G133" s="42" t="s">
        <v>34</v>
      </c>
      <c r="H133" s="42">
        <v>178</v>
      </c>
      <c r="I133" s="44">
        <v>29.6</v>
      </c>
      <c r="J133" s="45">
        <v>44137</v>
      </c>
      <c r="K133" s="44" t="s">
        <v>20</v>
      </c>
      <c r="L133" s="44">
        <v>35.6</v>
      </c>
    </row>
    <row r="134" spans="1:13" ht="35" customHeight="1">
      <c r="A134" s="74">
        <f>ROW()-2</f>
        <v>132</v>
      </c>
      <c r="B134" s="42" t="s">
        <v>4586</v>
      </c>
      <c r="C134" s="42" t="s">
        <v>3329</v>
      </c>
      <c r="D134" s="43" t="s">
        <v>4793</v>
      </c>
      <c r="E134" s="43" t="s">
        <v>4794</v>
      </c>
      <c r="F134" s="43" t="s">
        <v>4794</v>
      </c>
      <c r="G134" s="42" t="s">
        <v>34</v>
      </c>
      <c r="H134" s="42">
        <v>37</v>
      </c>
      <c r="I134" s="44">
        <v>3.08</v>
      </c>
      <c r="J134" s="45">
        <v>44403</v>
      </c>
      <c r="K134" s="44" t="s">
        <v>20</v>
      </c>
      <c r="L134" s="44"/>
    </row>
    <row r="135" spans="1:13" ht="35" customHeight="1">
      <c r="A135" s="74">
        <f>ROW()-2</f>
        <v>133</v>
      </c>
      <c r="B135" s="42" t="s">
        <v>4586</v>
      </c>
      <c r="C135" s="42" t="s">
        <v>3329</v>
      </c>
      <c r="D135" s="43" t="s">
        <v>4795</v>
      </c>
      <c r="E135" s="43" t="s">
        <v>4796</v>
      </c>
      <c r="F135" s="43" t="s">
        <v>4795</v>
      </c>
      <c r="G135" s="42" t="s">
        <v>3253</v>
      </c>
      <c r="H135" s="42">
        <v>22</v>
      </c>
      <c r="I135" s="44">
        <v>5.5</v>
      </c>
      <c r="J135" s="45">
        <v>44424</v>
      </c>
      <c r="K135" s="44" t="s">
        <v>4650</v>
      </c>
      <c r="L135" s="44"/>
    </row>
    <row r="136" spans="1:13" ht="35" customHeight="1">
      <c r="A136" s="74">
        <f>ROW()-2</f>
        <v>134</v>
      </c>
      <c r="B136" s="42" t="s">
        <v>4586</v>
      </c>
      <c r="C136" s="42" t="s">
        <v>3329</v>
      </c>
      <c r="D136" s="43" t="s">
        <v>4797</v>
      </c>
      <c r="E136" s="43" t="s">
        <v>4798</v>
      </c>
      <c r="F136" s="43" t="s">
        <v>4798</v>
      </c>
      <c r="G136" s="42" t="s">
        <v>3253</v>
      </c>
      <c r="H136" s="42">
        <v>83</v>
      </c>
      <c r="I136" s="44">
        <v>8.3000000000000007</v>
      </c>
      <c r="J136" s="45">
        <v>44488</v>
      </c>
      <c r="K136" s="44" t="s">
        <v>4799</v>
      </c>
      <c r="L136" s="44">
        <v>19.989999999999998</v>
      </c>
    </row>
    <row r="137" spans="1:13" ht="35" customHeight="1">
      <c r="A137" s="74">
        <f>ROW()-2</f>
        <v>135</v>
      </c>
      <c r="B137" s="42" t="s">
        <v>4586</v>
      </c>
      <c r="C137" s="42" t="s">
        <v>3543</v>
      </c>
      <c r="D137" s="43" t="s">
        <v>4800</v>
      </c>
      <c r="E137" s="43" t="s">
        <v>4801</v>
      </c>
      <c r="F137" s="43" t="s">
        <v>4617</v>
      </c>
      <c r="G137" s="42" t="s">
        <v>34</v>
      </c>
      <c r="H137" s="42">
        <v>21</v>
      </c>
      <c r="I137" s="44">
        <v>7.3613888888888903</v>
      </c>
      <c r="J137" s="45">
        <v>43691</v>
      </c>
      <c r="K137" s="44" t="s">
        <v>20</v>
      </c>
      <c r="L137" s="44">
        <v>49.99</v>
      </c>
    </row>
    <row r="138" spans="1:13" ht="35" customHeight="1">
      <c r="A138" s="74">
        <f>ROW()-2</f>
        <v>136</v>
      </c>
      <c r="B138" s="42" t="s">
        <v>4586</v>
      </c>
      <c r="C138" s="42" t="s">
        <v>3543</v>
      </c>
      <c r="D138" s="43" t="s">
        <v>4802</v>
      </c>
      <c r="E138" s="43" t="s">
        <v>4803</v>
      </c>
      <c r="F138" s="43" t="s">
        <v>4804</v>
      </c>
      <c r="G138" s="42" t="s">
        <v>34</v>
      </c>
      <c r="H138" s="42">
        <v>23</v>
      </c>
      <c r="I138" s="44">
        <v>6.2013888888888902</v>
      </c>
      <c r="J138" s="45">
        <v>43691</v>
      </c>
      <c r="K138" s="44" t="s">
        <v>20</v>
      </c>
      <c r="L138" s="44">
        <v>18.989999999999998</v>
      </c>
    </row>
    <row r="139" spans="1:13" ht="35" customHeight="1">
      <c r="A139" s="74">
        <f>ROW()-2</f>
        <v>137</v>
      </c>
      <c r="B139" s="42" t="s">
        <v>4586</v>
      </c>
      <c r="C139" s="42" t="s">
        <v>3543</v>
      </c>
      <c r="D139" s="43" t="s">
        <v>4805</v>
      </c>
      <c r="E139" s="43" t="s">
        <v>4806</v>
      </c>
      <c r="F139" s="43" t="s">
        <v>4698</v>
      </c>
      <c r="G139" s="42" t="s">
        <v>34</v>
      </c>
      <c r="H139" s="42">
        <v>103</v>
      </c>
      <c r="I139" s="44">
        <v>10.498055555555601</v>
      </c>
      <c r="J139" s="45">
        <v>43691</v>
      </c>
      <c r="K139" s="44" t="s">
        <v>20</v>
      </c>
      <c r="L139" s="44">
        <v>19.899999999999999</v>
      </c>
    </row>
    <row r="140" spans="1:13" ht="35" customHeight="1">
      <c r="A140" s="74">
        <f>ROW()-2</f>
        <v>138</v>
      </c>
      <c r="B140" s="42" t="s">
        <v>4586</v>
      </c>
      <c r="C140" s="42" t="s">
        <v>3543</v>
      </c>
      <c r="D140" s="43" t="s">
        <v>4807</v>
      </c>
      <c r="E140" s="43" t="s">
        <v>4808</v>
      </c>
      <c r="F140" s="43" t="s">
        <v>4809</v>
      </c>
      <c r="G140" s="42" t="s">
        <v>34</v>
      </c>
      <c r="H140" s="42">
        <v>12</v>
      </c>
      <c r="I140" s="44">
        <v>3.52111111111111</v>
      </c>
      <c r="J140" s="45">
        <v>43691</v>
      </c>
      <c r="K140" s="44" t="s">
        <v>20</v>
      </c>
      <c r="L140" s="44">
        <v>6.99</v>
      </c>
    </row>
    <row r="141" spans="1:13" ht="35" customHeight="1">
      <c r="A141" s="74">
        <f>ROW()-2</f>
        <v>139</v>
      </c>
      <c r="B141" s="42" t="s">
        <v>4586</v>
      </c>
      <c r="C141" s="42" t="s">
        <v>3543</v>
      </c>
      <c r="D141" s="43" t="s">
        <v>4810</v>
      </c>
      <c r="E141" s="43" t="s">
        <v>4811</v>
      </c>
      <c r="F141" s="43" t="s">
        <v>4812</v>
      </c>
      <c r="G141" s="42" t="s">
        <v>34</v>
      </c>
      <c r="H141" s="42">
        <v>18</v>
      </c>
      <c r="I141" s="146">
        <v>6.2366666666666699</v>
      </c>
      <c r="J141" s="147">
        <v>43691</v>
      </c>
      <c r="K141" s="148" t="s">
        <v>20</v>
      </c>
      <c r="L141" s="149">
        <v>28.8</v>
      </c>
      <c r="M141" s="150"/>
    </row>
    <row r="142" spans="1:13" ht="35" customHeight="1">
      <c r="A142" s="74">
        <f>ROW()-2</f>
        <v>140</v>
      </c>
      <c r="B142" s="42" t="s">
        <v>4586</v>
      </c>
      <c r="C142" s="42" t="s">
        <v>3543</v>
      </c>
      <c r="D142" s="43" t="s">
        <v>4813</v>
      </c>
      <c r="E142" s="43" t="s">
        <v>4814</v>
      </c>
      <c r="F142" s="43" t="s">
        <v>4815</v>
      </c>
      <c r="G142" s="42" t="s">
        <v>34</v>
      </c>
      <c r="H142" s="42">
        <v>18</v>
      </c>
      <c r="I142" s="44">
        <v>6.4158333333333299</v>
      </c>
      <c r="J142" s="45">
        <v>43691</v>
      </c>
      <c r="K142" s="151" t="s">
        <v>20</v>
      </c>
      <c r="L142" s="44">
        <v>6</v>
      </c>
      <c r="M142" s="30"/>
    </row>
    <row r="143" spans="1:13" ht="35" customHeight="1">
      <c r="A143" s="74">
        <f>ROW()-2</f>
        <v>141</v>
      </c>
      <c r="B143" s="42" t="s">
        <v>4586</v>
      </c>
      <c r="C143" s="42" t="s">
        <v>3543</v>
      </c>
      <c r="D143" s="43" t="s">
        <v>4816</v>
      </c>
      <c r="E143" s="43" t="s">
        <v>4817</v>
      </c>
      <c r="F143" s="43" t="s">
        <v>4632</v>
      </c>
      <c r="G143" s="42" t="s">
        <v>34</v>
      </c>
      <c r="H143" s="36">
        <v>30</v>
      </c>
      <c r="I143" s="38">
        <v>9.1269444444444403</v>
      </c>
      <c r="J143" s="39">
        <v>43691</v>
      </c>
      <c r="K143" s="44" t="s">
        <v>20</v>
      </c>
      <c r="L143" s="44">
        <v>5.6</v>
      </c>
    </row>
    <row r="144" spans="1:13" ht="35" customHeight="1">
      <c r="A144" s="74">
        <f>ROW()-2</f>
        <v>142</v>
      </c>
      <c r="B144" s="42" t="s">
        <v>4586</v>
      </c>
      <c r="C144" s="42" t="s">
        <v>3543</v>
      </c>
      <c r="D144" s="43" t="s">
        <v>4818</v>
      </c>
      <c r="E144" s="43" t="s">
        <v>4700</v>
      </c>
      <c r="F144" s="43" t="s">
        <v>4589</v>
      </c>
      <c r="G144" s="42" t="s">
        <v>34</v>
      </c>
      <c r="H144" s="36">
        <v>28</v>
      </c>
      <c r="I144" s="38">
        <v>9.49583333333333</v>
      </c>
      <c r="J144" s="39">
        <v>43691</v>
      </c>
      <c r="K144" s="44" t="s">
        <v>20</v>
      </c>
      <c r="L144" s="48">
        <v>20.99</v>
      </c>
    </row>
    <row r="145" spans="1:13" ht="35" customHeight="1">
      <c r="A145" s="74">
        <f>ROW()-2</f>
        <v>143</v>
      </c>
      <c r="B145" s="42" t="s">
        <v>4586</v>
      </c>
      <c r="C145" s="42" t="s">
        <v>3543</v>
      </c>
      <c r="D145" s="43" t="s">
        <v>4819</v>
      </c>
      <c r="E145" s="43" t="s">
        <v>4820</v>
      </c>
      <c r="F145" s="43" t="s">
        <v>4589</v>
      </c>
      <c r="G145" s="42" t="s">
        <v>34</v>
      </c>
      <c r="H145" s="36">
        <v>54</v>
      </c>
      <c r="I145" s="38">
        <v>18.172499999999999</v>
      </c>
      <c r="J145" s="39">
        <v>43691</v>
      </c>
      <c r="K145" s="40" t="s">
        <v>20</v>
      </c>
      <c r="L145" s="126">
        <v>49.98</v>
      </c>
    </row>
    <row r="146" spans="1:13" ht="35" customHeight="1">
      <c r="A146" s="74">
        <f>ROW()-2</f>
        <v>144</v>
      </c>
      <c r="B146" s="204" t="s">
        <v>4586</v>
      </c>
      <c r="C146" s="182" t="s">
        <v>3543</v>
      </c>
      <c r="D146" s="187" t="s">
        <v>5289</v>
      </c>
      <c r="E146" s="187" t="s">
        <v>5309</v>
      </c>
      <c r="F146" s="187"/>
      <c r="G146" s="182" t="s">
        <v>34</v>
      </c>
      <c r="H146" s="182">
        <v>76</v>
      </c>
      <c r="I146" s="206">
        <v>27.428333333333335</v>
      </c>
      <c r="J146" s="209">
        <v>44553</v>
      </c>
      <c r="K146" s="206" t="s">
        <v>20</v>
      </c>
      <c r="L146" s="182">
        <v>26</v>
      </c>
    </row>
    <row r="147" spans="1:13" ht="35" customHeight="1">
      <c r="A147" s="74">
        <f>ROW()-2</f>
        <v>145</v>
      </c>
      <c r="B147" s="42" t="s">
        <v>4586</v>
      </c>
      <c r="C147" s="42" t="s">
        <v>3576</v>
      </c>
      <c r="D147" s="43" t="s">
        <v>4845</v>
      </c>
      <c r="E147" s="43" t="s">
        <v>4846</v>
      </c>
      <c r="F147" s="43" t="s">
        <v>2948</v>
      </c>
      <c r="G147" s="42" t="s">
        <v>34</v>
      </c>
      <c r="H147" s="43">
        <v>152</v>
      </c>
      <c r="I147" s="49">
        <v>77.72</v>
      </c>
      <c r="J147" s="45">
        <v>43273</v>
      </c>
      <c r="K147" s="44" t="s">
        <v>20</v>
      </c>
      <c r="L147" s="44"/>
    </row>
    <row r="148" spans="1:13" ht="35" customHeight="1">
      <c r="A148" s="74">
        <f>ROW()-2</f>
        <v>146</v>
      </c>
      <c r="B148" s="42" t="s">
        <v>4586</v>
      </c>
      <c r="C148" s="42" t="s">
        <v>3576</v>
      </c>
      <c r="D148" s="43" t="s">
        <v>4840</v>
      </c>
      <c r="E148" s="43" t="s">
        <v>4841</v>
      </c>
      <c r="F148" s="43" t="s">
        <v>4842</v>
      </c>
      <c r="G148" s="42" t="s">
        <v>34</v>
      </c>
      <c r="H148" s="42">
        <v>69</v>
      </c>
      <c r="I148" s="44">
        <v>30.674444444444401</v>
      </c>
      <c r="J148" s="45">
        <v>43481</v>
      </c>
      <c r="K148" s="44" t="s">
        <v>20</v>
      </c>
      <c r="L148" s="44">
        <v>19</v>
      </c>
    </row>
    <row r="149" spans="1:13" ht="35" customHeight="1">
      <c r="A149" s="74">
        <f>ROW()-2</f>
        <v>147</v>
      </c>
      <c r="B149" s="42" t="s">
        <v>4586</v>
      </c>
      <c r="C149" s="42" t="s">
        <v>3576</v>
      </c>
      <c r="D149" s="43" t="s">
        <v>4844</v>
      </c>
      <c r="E149" s="43" t="s">
        <v>3442</v>
      </c>
      <c r="F149" s="43" t="s">
        <v>4610</v>
      </c>
      <c r="G149" s="42" t="s">
        <v>34</v>
      </c>
      <c r="H149" s="42">
        <v>48</v>
      </c>
      <c r="I149" s="44">
        <v>11.6602777777778</v>
      </c>
      <c r="J149" s="45">
        <v>43483</v>
      </c>
      <c r="K149" s="44" t="s">
        <v>20</v>
      </c>
      <c r="L149" s="44">
        <v>99</v>
      </c>
    </row>
    <row r="150" spans="1:13" ht="35" customHeight="1">
      <c r="A150" s="74">
        <f>ROW()-2</f>
        <v>148</v>
      </c>
      <c r="B150" s="42" t="s">
        <v>4586</v>
      </c>
      <c r="C150" s="42" t="s">
        <v>3576</v>
      </c>
      <c r="D150" s="43" t="s">
        <v>4843</v>
      </c>
      <c r="E150" s="43" t="s">
        <v>3442</v>
      </c>
      <c r="F150" s="43" t="s">
        <v>4610</v>
      </c>
      <c r="G150" s="42" t="s">
        <v>34</v>
      </c>
      <c r="H150" s="42">
        <v>23</v>
      </c>
      <c r="I150" s="44">
        <v>3.9411111111111099</v>
      </c>
      <c r="J150" s="45">
        <v>43516</v>
      </c>
      <c r="K150" s="44" t="s">
        <v>20</v>
      </c>
      <c r="L150" s="44">
        <v>39</v>
      </c>
    </row>
    <row r="151" spans="1:13" ht="35" customHeight="1">
      <c r="A151" s="74">
        <f>ROW()-2</f>
        <v>149</v>
      </c>
      <c r="B151" s="42" t="s">
        <v>4586</v>
      </c>
      <c r="C151" s="130" t="s">
        <v>3576</v>
      </c>
      <c r="D151" s="43" t="s">
        <v>4821</v>
      </c>
      <c r="E151" s="43" t="s">
        <v>3688</v>
      </c>
      <c r="F151" s="43" t="s">
        <v>4822</v>
      </c>
      <c r="G151" s="42" t="s">
        <v>34</v>
      </c>
      <c r="H151" s="42">
        <v>29</v>
      </c>
      <c r="I151" s="44">
        <v>9.39</v>
      </c>
      <c r="J151" s="45">
        <v>43691</v>
      </c>
      <c r="K151" s="44" t="s">
        <v>20</v>
      </c>
      <c r="L151" s="44">
        <v>39.99</v>
      </c>
    </row>
    <row r="152" spans="1:13" ht="35" customHeight="1">
      <c r="A152" s="74">
        <f>ROW()-2</f>
        <v>150</v>
      </c>
      <c r="B152" s="42" t="s">
        <v>4586</v>
      </c>
      <c r="C152" s="130" t="s">
        <v>3576</v>
      </c>
      <c r="D152" s="43" t="s">
        <v>4825</v>
      </c>
      <c r="E152" s="43" t="s">
        <v>4826</v>
      </c>
      <c r="F152" s="43" t="s">
        <v>4617</v>
      </c>
      <c r="G152" s="42" t="s">
        <v>34</v>
      </c>
      <c r="H152" s="42">
        <v>27</v>
      </c>
      <c r="I152" s="44">
        <v>12.286388888888901</v>
      </c>
      <c r="J152" s="45">
        <v>43691</v>
      </c>
      <c r="K152" s="44" t="s">
        <v>20</v>
      </c>
      <c r="L152" s="44">
        <v>56.99</v>
      </c>
    </row>
    <row r="153" spans="1:13" ht="35" customHeight="1">
      <c r="A153" s="74">
        <f>ROW()-2</f>
        <v>151</v>
      </c>
      <c r="B153" s="42" t="s">
        <v>4586</v>
      </c>
      <c r="C153" s="42" t="s">
        <v>3576</v>
      </c>
      <c r="D153" s="43" t="s">
        <v>4827</v>
      </c>
      <c r="E153" s="43" t="s">
        <v>4826</v>
      </c>
      <c r="F153" s="43" t="s">
        <v>4617</v>
      </c>
      <c r="G153" s="42" t="s">
        <v>34</v>
      </c>
      <c r="H153" s="42">
        <v>47</v>
      </c>
      <c r="I153" s="44">
        <v>13.8572222222222</v>
      </c>
      <c r="J153" s="45">
        <v>43691</v>
      </c>
      <c r="K153" s="44" t="s">
        <v>20</v>
      </c>
      <c r="L153" s="44">
        <v>44</v>
      </c>
    </row>
    <row r="154" spans="1:13" ht="35" customHeight="1">
      <c r="A154" s="74">
        <f>ROW()-2</f>
        <v>152</v>
      </c>
      <c r="B154" s="42" t="s">
        <v>4586</v>
      </c>
      <c r="C154" s="130" t="s">
        <v>3576</v>
      </c>
      <c r="D154" s="43" t="s">
        <v>4828</v>
      </c>
      <c r="E154" s="43" t="s">
        <v>4829</v>
      </c>
      <c r="F154" s="43" t="s">
        <v>4747</v>
      </c>
      <c r="G154" s="42" t="s">
        <v>34</v>
      </c>
      <c r="H154" s="42">
        <v>12</v>
      </c>
      <c r="I154" s="44">
        <v>4.1180555555555598</v>
      </c>
      <c r="J154" s="45">
        <v>43691</v>
      </c>
      <c r="K154" s="44" t="s">
        <v>20</v>
      </c>
      <c r="L154" s="44">
        <v>8.99</v>
      </c>
    </row>
    <row r="155" spans="1:13" ht="35" customHeight="1">
      <c r="A155" s="74">
        <f>ROW()-2</f>
        <v>153</v>
      </c>
      <c r="B155" s="42" t="s">
        <v>4586</v>
      </c>
      <c r="C155" s="42" t="s">
        <v>3576</v>
      </c>
      <c r="D155" s="43" t="s">
        <v>4830</v>
      </c>
      <c r="E155" s="43" t="s">
        <v>4831</v>
      </c>
      <c r="F155" s="43" t="s">
        <v>4768</v>
      </c>
      <c r="G155" s="42" t="s">
        <v>34</v>
      </c>
      <c r="H155" s="42">
        <v>35</v>
      </c>
      <c r="I155" s="44">
        <v>10.8991666666667</v>
      </c>
      <c r="J155" s="45">
        <v>43691</v>
      </c>
      <c r="K155" s="44" t="s">
        <v>20</v>
      </c>
      <c r="L155" s="44">
        <v>25.99</v>
      </c>
    </row>
    <row r="156" spans="1:13" ht="35" customHeight="1">
      <c r="A156" s="74">
        <f>ROW()-2</f>
        <v>154</v>
      </c>
      <c r="B156" s="42" t="s">
        <v>4586</v>
      </c>
      <c r="C156" s="42" t="s">
        <v>3576</v>
      </c>
      <c r="D156" s="43" t="s">
        <v>4849</v>
      </c>
      <c r="E156" s="43" t="s">
        <v>4850</v>
      </c>
      <c r="F156" s="43" t="s">
        <v>4851</v>
      </c>
      <c r="G156" s="42" t="s">
        <v>34</v>
      </c>
      <c r="H156" s="42">
        <v>69</v>
      </c>
      <c r="I156" s="44">
        <v>18.689166666666701</v>
      </c>
      <c r="J156" s="45">
        <v>43691</v>
      </c>
      <c r="K156" s="44" t="s">
        <v>20</v>
      </c>
      <c r="L156" s="44">
        <v>21.99</v>
      </c>
      <c r="M156" s="30"/>
    </row>
    <row r="157" spans="1:13" ht="35" customHeight="1">
      <c r="A157" s="74">
        <f>ROW()-2</f>
        <v>155</v>
      </c>
      <c r="B157" s="42" t="s">
        <v>4586</v>
      </c>
      <c r="C157" s="42" t="s">
        <v>3576</v>
      </c>
      <c r="D157" s="43" t="s">
        <v>4823</v>
      </c>
      <c r="E157" s="43" t="s">
        <v>4824</v>
      </c>
      <c r="F157" s="43" t="s">
        <v>4812</v>
      </c>
      <c r="G157" s="42" t="s">
        <v>34</v>
      </c>
      <c r="H157" s="42">
        <v>24</v>
      </c>
      <c r="I157" s="44">
        <v>9.5880555555555596</v>
      </c>
      <c r="J157" s="45">
        <v>43692</v>
      </c>
      <c r="K157" s="44" t="s">
        <v>20</v>
      </c>
      <c r="L157" s="44">
        <v>49.99</v>
      </c>
      <c r="M157" s="30"/>
    </row>
    <row r="158" spans="1:13" ht="35" customHeight="1">
      <c r="A158" s="74">
        <f>ROW()-2</f>
        <v>156</v>
      </c>
      <c r="B158" s="42" t="s">
        <v>4586</v>
      </c>
      <c r="C158" s="42" t="s">
        <v>3576</v>
      </c>
      <c r="D158" s="43" t="s">
        <v>4832</v>
      </c>
      <c r="E158" s="43" t="s">
        <v>4833</v>
      </c>
      <c r="F158" s="43" t="s">
        <v>4771</v>
      </c>
      <c r="G158" s="42" t="s">
        <v>34</v>
      </c>
      <c r="H158" s="42">
        <v>43</v>
      </c>
      <c r="I158" s="44">
        <v>14.696388888888899</v>
      </c>
      <c r="J158" s="45">
        <v>43845</v>
      </c>
      <c r="K158" s="44" t="s">
        <v>20</v>
      </c>
      <c r="L158" s="44">
        <v>4</v>
      </c>
      <c r="M158" s="30"/>
    </row>
    <row r="159" spans="1:13" ht="35" customHeight="1">
      <c r="A159" s="74">
        <f>ROW()-2</f>
        <v>157</v>
      </c>
      <c r="B159" s="42" t="s">
        <v>4586</v>
      </c>
      <c r="C159" s="42" t="s">
        <v>3576</v>
      </c>
      <c r="D159" s="43" t="s">
        <v>4834</v>
      </c>
      <c r="E159" s="43" t="s">
        <v>4835</v>
      </c>
      <c r="F159" s="43" t="s">
        <v>4771</v>
      </c>
      <c r="G159" s="42" t="s">
        <v>34</v>
      </c>
      <c r="H159" s="42">
        <v>31</v>
      </c>
      <c r="I159" s="44">
        <v>11.7705555555556</v>
      </c>
      <c r="J159" s="45">
        <v>43845</v>
      </c>
      <c r="K159" s="44" t="s">
        <v>20</v>
      </c>
      <c r="L159" s="44">
        <v>9.9</v>
      </c>
      <c r="M159" s="30"/>
    </row>
    <row r="160" spans="1:13" ht="35" customHeight="1">
      <c r="A160" s="74">
        <f>ROW()-2</f>
        <v>158</v>
      </c>
      <c r="B160" s="42" t="s">
        <v>4586</v>
      </c>
      <c r="C160" s="42" t="s">
        <v>3576</v>
      </c>
      <c r="D160" s="43" t="s">
        <v>4836</v>
      </c>
      <c r="E160" s="43" t="s">
        <v>4837</v>
      </c>
      <c r="F160" s="43" t="s">
        <v>4771</v>
      </c>
      <c r="G160" s="42" t="s">
        <v>34</v>
      </c>
      <c r="H160" s="42">
        <v>73</v>
      </c>
      <c r="I160" s="44">
        <v>25.121666666666702</v>
      </c>
      <c r="J160" s="45">
        <v>43845</v>
      </c>
      <c r="K160" s="44" t="s">
        <v>20</v>
      </c>
      <c r="L160" s="44">
        <v>34</v>
      </c>
      <c r="M160" s="30"/>
    </row>
    <row r="161" spans="1:291" ht="35" customHeight="1">
      <c r="A161" s="74">
        <f>ROW()-2</f>
        <v>159</v>
      </c>
      <c r="B161" s="42" t="s">
        <v>4586</v>
      </c>
      <c r="C161" s="42" t="s">
        <v>3576</v>
      </c>
      <c r="D161" s="43" t="s">
        <v>4847</v>
      </c>
      <c r="E161" s="43" t="s">
        <v>4848</v>
      </c>
      <c r="F161" s="43" t="s">
        <v>2948</v>
      </c>
      <c r="G161" s="42" t="s">
        <v>34</v>
      </c>
      <c r="H161" s="43">
        <v>325</v>
      </c>
      <c r="I161" s="49">
        <v>31.816111111111098</v>
      </c>
      <c r="J161" s="45">
        <v>43976</v>
      </c>
      <c r="K161" s="46" t="s">
        <v>20</v>
      </c>
      <c r="L161" s="48">
        <v>18.989999999999998</v>
      </c>
    </row>
    <row r="162" spans="1:291" ht="35" customHeight="1">
      <c r="A162" s="74">
        <f>ROW()-2</f>
        <v>160</v>
      </c>
      <c r="B162" s="42" t="s">
        <v>4586</v>
      </c>
      <c r="C162" s="42" t="s">
        <v>3576</v>
      </c>
      <c r="D162" s="43" t="s">
        <v>4838</v>
      </c>
      <c r="E162" s="43" t="s">
        <v>474</v>
      </c>
      <c r="F162" s="43" t="s">
        <v>4839</v>
      </c>
      <c r="G162" s="42" t="s">
        <v>34</v>
      </c>
      <c r="H162" s="42">
        <v>117</v>
      </c>
      <c r="I162" s="44">
        <v>39</v>
      </c>
      <c r="J162" s="45">
        <v>44102</v>
      </c>
      <c r="K162" s="46" t="s">
        <v>20</v>
      </c>
      <c r="L162" s="48">
        <v>79.900000000000006</v>
      </c>
    </row>
    <row r="163" spans="1:291" ht="35" customHeight="1">
      <c r="A163" s="74">
        <f>ROW()-2</f>
        <v>161</v>
      </c>
      <c r="B163" s="42" t="s">
        <v>4586</v>
      </c>
      <c r="C163" s="42" t="s">
        <v>3576</v>
      </c>
      <c r="D163" s="43" t="s">
        <v>4852</v>
      </c>
      <c r="E163" s="43" t="s">
        <v>457</v>
      </c>
      <c r="F163" s="43" t="s">
        <v>4787</v>
      </c>
      <c r="G163" s="42" t="s">
        <v>34</v>
      </c>
      <c r="H163" s="42">
        <v>42</v>
      </c>
      <c r="I163" s="44">
        <v>21.5</v>
      </c>
      <c r="J163" s="45">
        <v>44312</v>
      </c>
      <c r="K163" s="46" t="s">
        <v>20</v>
      </c>
      <c r="L163" s="48">
        <v>28</v>
      </c>
    </row>
    <row r="164" spans="1:291" ht="35" customHeight="1">
      <c r="A164" s="74">
        <f>ROW()-2</f>
        <v>162</v>
      </c>
      <c r="B164" s="42" t="s">
        <v>4586</v>
      </c>
      <c r="C164" s="42" t="s">
        <v>3576</v>
      </c>
      <c r="D164" s="43" t="s">
        <v>4853</v>
      </c>
      <c r="E164" s="43" t="s">
        <v>4854</v>
      </c>
      <c r="F164" s="43" t="s">
        <v>4855</v>
      </c>
      <c r="G164" s="42" t="s">
        <v>34</v>
      </c>
      <c r="H164" s="42">
        <v>6</v>
      </c>
      <c r="I164" s="44">
        <v>2.9</v>
      </c>
      <c r="J164" s="45">
        <v>44354</v>
      </c>
      <c r="K164" s="44" t="s">
        <v>20</v>
      </c>
      <c r="L164" s="44">
        <v>19.989999999999998</v>
      </c>
    </row>
    <row r="165" spans="1:291" ht="35" customHeight="1">
      <c r="A165" s="74">
        <f>ROW()-2</f>
        <v>163</v>
      </c>
      <c r="B165" s="42" t="s">
        <v>4586</v>
      </c>
      <c r="C165" s="42" t="s">
        <v>3576</v>
      </c>
      <c r="D165" s="43" t="s">
        <v>4856</v>
      </c>
      <c r="E165" s="43" t="s">
        <v>4857</v>
      </c>
      <c r="F165" s="43" t="s">
        <v>4858</v>
      </c>
      <c r="G165" s="42" t="s">
        <v>34</v>
      </c>
      <c r="H165" s="42">
        <v>37</v>
      </c>
      <c r="I165" s="44">
        <v>12.95</v>
      </c>
      <c r="J165" s="45">
        <v>44362</v>
      </c>
      <c r="K165" s="44" t="s">
        <v>20</v>
      </c>
      <c r="L165" s="44">
        <v>36</v>
      </c>
    </row>
    <row r="166" spans="1:291" ht="35" customHeight="1">
      <c r="A166" s="74">
        <f>ROW()-2</f>
        <v>164</v>
      </c>
      <c r="B166" s="42" t="s">
        <v>4586</v>
      </c>
      <c r="C166" s="42" t="s">
        <v>3576</v>
      </c>
      <c r="D166" s="43" t="s">
        <v>4859</v>
      </c>
      <c r="E166" s="43" t="s">
        <v>4860</v>
      </c>
      <c r="F166" s="43" t="s">
        <v>4861</v>
      </c>
      <c r="G166" s="42" t="s">
        <v>34</v>
      </c>
      <c r="H166" s="42">
        <v>63</v>
      </c>
      <c r="I166" s="44">
        <v>8.64</v>
      </c>
      <c r="J166" s="45">
        <v>44410</v>
      </c>
      <c r="K166" s="44" t="s">
        <v>4650</v>
      </c>
      <c r="L166" s="44">
        <v>16.899999999999999</v>
      </c>
    </row>
    <row r="167" spans="1:291" ht="35" customHeight="1">
      <c r="A167" s="74">
        <f>ROW()-2</f>
        <v>165</v>
      </c>
      <c r="B167" s="42" t="s">
        <v>4586</v>
      </c>
      <c r="C167" s="42" t="s">
        <v>3576</v>
      </c>
      <c r="D167" s="43" t="s">
        <v>4862</v>
      </c>
      <c r="E167" s="43" t="s">
        <v>4861</v>
      </c>
      <c r="F167" s="43" t="s">
        <v>4863</v>
      </c>
      <c r="G167" s="42" t="s">
        <v>34</v>
      </c>
      <c r="H167" s="42">
        <v>48</v>
      </c>
      <c r="I167" s="44">
        <v>6.72</v>
      </c>
      <c r="J167" s="45">
        <v>44410</v>
      </c>
      <c r="K167" s="44" t="s">
        <v>4799</v>
      </c>
      <c r="L167" s="44">
        <v>16.899999999999999</v>
      </c>
    </row>
    <row r="168" spans="1:291" ht="35" customHeight="1">
      <c r="A168" s="74">
        <f>ROW()-2</f>
        <v>166</v>
      </c>
      <c r="B168" s="42" t="s">
        <v>4586</v>
      </c>
      <c r="C168" s="42" t="s">
        <v>3576</v>
      </c>
      <c r="D168" s="43" t="s">
        <v>4864</v>
      </c>
      <c r="E168" s="43" t="s">
        <v>4330</v>
      </c>
      <c r="F168" s="43" t="s">
        <v>3258</v>
      </c>
      <c r="G168" s="42" t="s">
        <v>34</v>
      </c>
      <c r="H168" s="42">
        <v>40</v>
      </c>
      <c r="I168" s="44">
        <v>6</v>
      </c>
      <c r="J168" s="45">
        <v>44417</v>
      </c>
      <c r="K168" s="44" t="s">
        <v>4650</v>
      </c>
      <c r="L168" s="44">
        <v>16.899999999999999</v>
      </c>
    </row>
    <row r="169" spans="1:291" ht="35" customHeight="1">
      <c r="A169" s="74">
        <f>ROW()-2</f>
        <v>167</v>
      </c>
      <c r="B169" s="42" t="s">
        <v>4586</v>
      </c>
      <c r="C169" s="42" t="s">
        <v>3576</v>
      </c>
      <c r="D169" s="43" t="s">
        <v>4865</v>
      </c>
      <c r="E169" s="43" t="s">
        <v>4866</v>
      </c>
      <c r="F169" s="43" t="s">
        <v>4866</v>
      </c>
      <c r="G169" s="42" t="s">
        <v>3253</v>
      </c>
      <c r="H169" s="42">
        <v>57</v>
      </c>
      <c r="I169" s="44">
        <v>7.6</v>
      </c>
      <c r="J169" s="45">
        <v>44461</v>
      </c>
      <c r="K169" s="44" t="s">
        <v>4650</v>
      </c>
      <c r="L169" s="44">
        <v>16.989999999999998</v>
      </c>
    </row>
    <row r="170" spans="1:291" ht="35" customHeight="1">
      <c r="A170" s="74">
        <f>ROW()-2</f>
        <v>168</v>
      </c>
      <c r="B170" s="42" t="s">
        <v>4586</v>
      </c>
      <c r="C170" s="42" t="s">
        <v>3576</v>
      </c>
      <c r="D170" s="43" t="s">
        <v>4867</v>
      </c>
      <c r="E170" s="43" t="s">
        <v>4861</v>
      </c>
      <c r="F170" s="43" t="s">
        <v>4868</v>
      </c>
      <c r="G170" s="42" t="s">
        <v>3253</v>
      </c>
      <c r="H170" s="42">
        <v>68</v>
      </c>
      <c r="I170" s="44">
        <v>11.3</v>
      </c>
      <c r="J170" s="45">
        <v>44494</v>
      </c>
      <c r="K170" s="44" t="s">
        <v>4650</v>
      </c>
      <c r="L170" s="44">
        <v>16.989999999999998</v>
      </c>
    </row>
    <row r="171" spans="1:291" ht="35" customHeight="1">
      <c r="A171" s="74">
        <f>ROW()-2</f>
        <v>169</v>
      </c>
      <c r="B171" s="42" t="s">
        <v>4586</v>
      </c>
      <c r="C171" s="42" t="s">
        <v>3576</v>
      </c>
      <c r="D171" s="43" t="s">
        <v>4869</v>
      </c>
      <c r="E171" s="43" t="s">
        <v>4870</v>
      </c>
      <c r="F171" s="43" t="s">
        <v>4870</v>
      </c>
      <c r="G171" s="42" t="s">
        <v>3253</v>
      </c>
      <c r="H171" s="42">
        <v>308</v>
      </c>
      <c r="I171" s="44">
        <v>25.1</v>
      </c>
      <c r="J171" s="45">
        <v>44522</v>
      </c>
      <c r="K171" s="44" t="s">
        <v>4650</v>
      </c>
      <c r="L171" s="44"/>
    </row>
    <row r="172" spans="1:291" ht="35" customHeight="1">
      <c r="A172" s="74">
        <f>ROW()-2</f>
        <v>170</v>
      </c>
      <c r="B172" s="42" t="s">
        <v>4586</v>
      </c>
      <c r="C172" s="42" t="s">
        <v>3576</v>
      </c>
      <c r="D172" s="43" t="s">
        <v>4871</v>
      </c>
      <c r="E172" s="43" t="s">
        <v>4872</v>
      </c>
      <c r="F172" s="43" t="s">
        <v>4873</v>
      </c>
      <c r="G172" s="42" t="s">
        <v>3253</v>
      </c>
      <c r="H172" s="42">
        <v>241</v>
      </c>
      <c r="I172" s="44">
        <v>32.1</v>
      </c>
      <c r="J172" s="45">
        <v>44543</v>
      </c>
      <c r="K172" s="44" t="s">
        <v>20</v>
      </c>
      <c r="L172" s="44"/>
    </row>
    <row r="173" spans="1:291" ht="35" customHeight="1">
      <c r="A173" s="74">
        <f>ROW()-2</f>
        <v>171</v>
      </c>
      <c r="B173" s="310" t="s">
        <v>5693</v>
      </c>
      <c r="C173" s="310" t="s">
        <v>5695</v>
      </c>
      <c r="D173" s="311" t="s">
        <v>5697</v>
      </c>
      <c r="E173" s="311" t="s">
        <v>5702</v>
      </c>
      <c r="F173" s="311" t="s">
        <v>5703</v>
      </c>
      <c r="G173" s="312" t="s">
        <v>3253</v>
      </c>
      <c r="H173" s="310">
        <v>57</v>
      </c>
      <c r="I173" s="313">
        <v>13.1</v>
      </c>
      <c r="J173" s="317">
        <v>44634</v>
      </c>
      <c r="K173" s="313" t="s">
        <v>5690</v>
      </c>
      <c r="L173" s="310">
        <v>69</v>
      </c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  <c r="FS173" s="30"/>
      <c r="FT173" s="30"/>
      <c r="FU173" s="30"/>
      <c r="FV173" s="30"/>
      <c r="FW173" s="30"/>
      <c r="FX173" s="30"/>
      <c r="FY173" s="30"/>
      <c r="FZ173" s="30"/>
      <c r="GA173" s="30"/>
      <c r="GB173" s="30"/>
      <c r="GC173" s="30"/>
      <c r="GD173" s="30"/>
      <c r="GE173" s="30"/>
      <c r="GF173" s="30"/>
      <c r="GG173" s="30"/>
      <c r="GH173" s="30"/>
      <c r="GI173" s="30"/>
      <c r="GJ173" s="30"/>
      <c r="GK173" s="30"/>
      <c r="GL173" s="30"/>
      <c r="GM173" s="30"/>
      <c r="GN173" s="30"/>
      <c r="GO173" s="30"/>
      <c r="GP173" s="30"/>
      <c r="GQ173" s="30"/>
      <c r="GR173" s="30"/>
      <c r="GS173" s="30"/>
      <c r="GT173" s="30"/>
      <c r="GU173" s="30"/>
      <c r="GV173" s="30"/>
      <c r="GW173" s="30"/>
      <c r="GX173" s="30"/>
      <c r="GY173" s="30"/>
      <c r="GZ173" s="30"/>
      <c r="HA173" s="30"/>
      <c r="HB173" s="30"/>
      <c r="HC173" s="30"/>
      <c r="HD173" s="30"/>
      <c r="HE173" s="30"/>
      <c r="HF173" s="30"/>
      <c r="HG173" s="30"/>
      <c r="HH173" s="30"/>
      <c r="HI173" s="30"/>
      <c r="HJ173" s="30"/>
      <c r="HK173" s="30"/>
      <c r="HL173" s="30"/>
      <c r="HM173" s="30"/>
      <c r="HN173" s="30"/>
      <c r="HO173" s="30"/>
      <c r="HP173" s="30"/>
      <c r="HQ173" s="30"/>
      <c r="HR173" s="30"/>
      <c r="HS173" s="30"/>
      <c r="HT173" s="30"/>
      <c r="HU173" s="30"/>
      <c r="HV173" s="30"/>
      <c r="HW173" s="30"/>
      <c r="HX173" s="30"/>
      <c r="HY173" s="30"/>
      <c r="HZ173" s="30"/>
      <c r="IA173" s="30"/>
      <c r="IB173" s="30"/>
      <c r="IC173" s="30"/>
      <c r="ID173" s="30"/>
      <c r="IE173" s="30"/>
      <c r="IF173" s="30"/>
      <c r="IG173" s="30"/>
      <c r="IH173" s="30"/>
      <c r="II173" s="30"/>
      <c r="IJ173" s="30"/>
      <c r="IK173" s="30"/>
      <c r="IL173" s="30"/>
      <c r="IM173" s="30"/>
      <c r="IN173" s="30"/>
      <c r="IO173" s="30"/>
      <c r="IP173" s="30"/>
      <c r="IQ173" s="30"/>
      <c r="IR173" s="30"/>
      <c r="IS173" s="30"/>
      <c r="IT173" s="30"/>
      <c r="IU173" s="30"/>
      <c r="IV173" s="30"/>
      <c r="IW173" s="30"/>
      <c r="IX173" s="30"/>
      <c r="IY173" s="30"/>
      <c r="IZ173" s="30"/>
      <c r="JA173" s="30"/>
      <c r="JB173" s="30"/>
      <c r="JC173" s="30"/>
      <c r="JD173" s="30"/>
      <c r="JE173" s="30"/>
      <c r="JF173" s="30"/>
      <c r="JG173" s="30"/>
      <c r="JH173" s="30"/>
      <c r="JI173" s="30"/>
      <c r="JJ173" s="30"/>
      <c r="JK173" s="30"/>
      <c r="JL173" s="30"/>
      <c r="JM173" s="30"/>
      <c r="JN173" s="30"/>
      <c r="JO173" s="30"/>
      <c r="JP173" s="30"/>
      <c r="JQ173" s="30"/>
      <c r="JR173" s="30"/>
      <c r="JS173" s="30"/>
      <c r="JT173" s="30"/>
      <c r="JU173" s="30"/>
      <c r="JV173" s="30"/>
      <c r="JW173" s="30"/>
      <c r="JX173" s="30"/>
      <c r="JY173" s="30"/>
      <c r="JZ173" s="30"/>
      <c r="KA173" s="30"/>
      <c r="KB173" s="30"/>
      <c r="KC173" s="30"/>
      <c r="KD173" s="30"/>
      <c r="KE173" s="30"/>
    </row>
    <row r="174" spans="1:291" ht="35" customHeight="1">
      <c r="A174" s="74">
        <f>ROW()-2</f>
        <v>172</v>
      </c>
      <c r="B174" s="310" t="s">
        <v>5693</v>
      </c>
      <c r="C174" s="310" t="s">
        <v>5695</v>
      </c>
      <c r="D174" s="311" t="s">
        <v>5698</v>
      </c>
      <c r="E174" s="311" t="s">
        <v>5701</v>
      </c>
      <c r="F174" s="311" t="s">
        <v>5705</v>
      </c>
      <c r="G174" s="312" t="s">
        <v>3253</v>
      </c>
      <c r="H174" s="310">
        <v>137</v>
      </c>
      <c r="I174" s="313">
        <v>50.3</v>
      </c>
      <c r="J174" s="317">
        <v>44634</v>
      </c>
      <c r="K174" s="319" t="s">
        <v>5691</v>
      </c>
      <c r="L174" s="32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  <c r="FS174" s="30"/>
      <c r="FT174" s="30"/>
      <c r="FU174" s="30"/>
      <c r="FV174" s="30"/>
      <c r="FW174" s="30"/>
      <c r="FX174" s="30"/>
      <c r="FY174" s="30"/>
      <c r="FZ174" s="30"/>
      <c r="GA174" s="30"/>
      <c r="GB174" s="30"/>
      <c r="GC174" s="30"/>
      <c r="GD174" s="30"/>
      <c r="GE174" s="30"/>
      <c r="GF174" s="30"/>
      <c r="GG174" s="30"/>
      <c r="GH174" s="30"/>
      <c r="GI174" s="30"/>
      <c r="GJ174" s="30"/>
      <c r="GK174" s="30"/>
      <c r="GL174" s="30"/>
      <c r="GM174" s="30"/>
      <c r="GN174" s="30"/>
      <c r="GO174" s="30"/>
      <c r="GP174" s="30"/>
      <c r="GQ174" s="30"/>
      <c r="GR174" s="30"/>
      <c r="GS174" s="30"/>
      <c r="GT174" s="30"/>
      <c r="GU174" s="30"/>
      <c r="GV174" s="30"/>
      <c r="GW174" s="30"/>
      <c r="GX174" s="30"/>
      <c r="GY174" s="30"/>
      <c r="GZ174" s="30"/>
      <c r="HA174" s="30"/>
      <c r="HB174" s="30"/>
      <c r="HC174" s="30"/>
      <c r="HD174" s="30"/>
      <c r="HE174" s="30"/>
      <c r="HF174" s="30"/>
      <c r="HG174" s="30"/>
      <c r="HH174" s="30"/>
      <c r="HI174" s="30"/>
      <c r="HJ174" s="30"/>
      <c r="HK174" s="30"/>
      <c r="HL174" s="30"/>
      <c r="HM174" s="30"/>
      <c r="HN174" s="30"/>
      <c r="HO174" s="30"/>
      <c r="HP174" s="30"/>
      <c r="HQ174" s="30"/>
      <c r="HR174" s="30"/>
      <c r="HS174" s="30"/>
      <c r="HT174" s="30"/>
      <c r="HU174" s="30"/>
      <c r="HV174" s="30"/>
      <c r="HW174" s="30"/>
      <c r="HX174" s="30"/>
      <c r="HY174" s="30"/>
      <c r="HZ174" s="30"/>
      <c r="IA174" s="30"/>
      <c r="IB174" s="30"/>
      <c r="IC174" s="30"/>
      <c r="ID174" s="30"/>
      <c r="IE174" s="30"/>
      <c r="IF174" s="30"/>
      <c r="IG174" s="30"/>
      <c r="IH174" s="30"/>
      <c r="II174" s="30"/>
      <c r="IJ174" s="30"/>
      <c r="IK174" s="30"/>
      <c r="IL174" s="30"/>
      <c r="IM174" s="30"/>
      <c r="IN174" s="30"/>
      <c r="IO174" s="30"/>
      <c r="IP174" s="30"/>
      <c r="IQ174" s="30"/>
      <c r="IR174" s="30"/>
      <c r="IS174" s="30"/>
      <c r="IT174" s="30"/>
      <c r="IU174" s="30"/>
      <c r="IV174" s="30"/>
      <c r="IW174" s="30"/>
      <c r="IX174" s="30"/>
      <c r="IY174" s="30"/>
      <c r="IZ174" s="30"/>
      <c r="JA174" s="30"/>
      <c r="JB174" s="30"/>
      <c r="JC174" s="30"/>
      <c r="JD174" s="30"/>
      <c r="JE174" s="30"/>
      <c r="JF174" s="30"/>
      <c r="JG174" s="30"/>
      <c r="JH174" s="30"/>
      <c r="JI174" s="30"/>
      <c r="JJ174" s="30"/>
      <c r="JK174" s="30"/>
      <c r="JL174" s="30"/>
      <c r="JM174" s="30"/>
      <c r="JN174" s="30"/>
      <c r="JO174" s="30"/>
      <c r="JP174" s="30"/>
      <c r="JQ174" s="30"/>
      <c r="JR174" s="30"/>
      <c r="JS174" s="30"/>
      <c r="JT174" s="30"/>
      <c r="JU174" s="30"/>
      <c r="JV174" s="30"/>
      <c r="JW174" s="30"/>
      <c r="JX174" s="30"/>
      <c r="JY174" s="30"/>
      <c r="JZ174" s="30"/>
      <c r="KA174" s="30"/>
      <c r="KB174" s="30"/>
      <c r="KC174" s="30"/>
      <c r="KD174" s="30"/>
      <c r="KE174" s="30"/>
    </row>
    <row r="175" spans="1:291" ht="35" customHeight="1">
      <c r="A175" s="74">
        <f>ROW()-2</f>
        <v>173</v>
      </c>
      <c r="B175" s="42" t="s">
        <v>4586</v>
      </c>
      <c r="C175" s="42" t="s">
        <v>3735</v>
      </c>
      <c r="D175" s="43" t="s">
        <v>3805</v>
      </c>
      <c r="E175" s="43" t="s">
        <v>3806</v>
      </c>
      <c r="F175" s="43" t="s">
        <v>4899</v>
      </c>
      <c r="G175" s="42" t="s">
        <v>34</v>
      </c>
      <c r="H175" s="42">
        <v>47</v>
      </c>
      <c r="I175" s="44">
        <v>14.901666666666699</v>
      </c>
      <c r="J175" s="45">
        <v>43469</v>
      </c>
      <c r="K175" s="44" t="s">
        <v>20</v>
      </c>
      <c r="L175" s="44">
        <v>29.8</v>
      </c>
    </row>
    <row r="176" spans="1:291" ht="35" customHeight="1">
      <c r="A176" s="74">
        <f>ROW()-2</f>
        <v>174</v>
      </c>
      <c r="B176" s="42" t="s">
        <v>4586</v>
      </c>
      <c r="C176" s="42" t="s">
        <v>3735</v>
      </c>
      <c r="D176" s="43" t="s">
        <v>5137</v>
      </c>
      <c r="E176" s="43" t="s">
        <v>4875</v>
      </c>
      <c r="F176" s="43" t="s">
        <v>4876</v>
      </c>
      <c r="G176" s="42" t="s">
        <v>34</v>
      </c>
      <c r="H176" s="42">
        <v>63</v>
      </c>
      <c r="I176" s="44">
        <v>8.5116666666666703</v>
      </c>
      <c r="J176" s="45">
        <v>43815</v>
      </c>
      <c r="K176" s="44" t="s">
        <v>20</v>
      </c>
      <c r="L176" s="44">
        <v>28.99</v>
      </c>
    </row>
    <row r="177" spans="1:291" ht="35" customHeight="1">
      <c r="A177" s="74">
        <f>ROW()-2</f>
        <v>175</v>
      </c>
      <c r="B177" s="42" t="s">
        <v>4586</v>
      </c>
      <c r="C177" s="42" t="s">
        <v>3735</v>
      </c>
      <c r="D177" s="43" t="s">
        <v>4877</v>
      </c>
      <c r="E177" s="43" t="s">
        <v>4878</v>
      </c>
      <c r="F177" s="43" t="s">
        <v>4876</v>
      </c>
      <c r="G177" s="42" t="s">
        <v>34</v>
      </c>
      <c r="H177" s="42">
        <v>77</v>
      </c>
      <c r="I177" s="44">
        <v>9.2844444444444392</v>
      </c>
      <c r="J177" s="45">
        <v>43815</v>
      </c>
      <c r="K177" s="44" t="s">
        <v>20</v>
      </c>
      <c r="L177" s="44">
        <v>4</v>
      </c>
    </row>
    <row r="178" spans="1:291" ht="35" customHeight="1">
      <c r="A178" s="74">
        <f>ROW()-2</f>
        <v>176</v>
      </c>
      <c r="B178" s="42" t="s">
        <v>4586</v>
      </c>
      <c r="C178" s="42" t="s">
        <v>3735</v>
      </c>
      <c r="D178" s="43" t="s">
        <v>4881</v>
      </c>
      <c r="E178" s="43" t="s">
        <v>4882</v>
      </c>
      <c r="F178" s="43" t="s">
        <v>4883</v>
      </c>
      <c r="G178" s="42" t="s">
        <v>34</v>
      </c>
      <c r="H178" s="42">
        <v>12</v>
      </c>
      <c r="I178" s="44">
        <v>4.10527777777778</v>
      </c>
      <c r="J178" s="45">
        <v>43815</v>
      </c>
      <c r="K178" s="44" t="s">
        <v>20</v>
      </c>
      <c r="L178" s="44">
        <v>4</v>
      </c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  <c r="FS178" s="30"/>
      <c r="FT178" s="30"/>
      <c r="FU178" s="30"/>
      <c r="FV178" s="30"/>
      <c r="FW178" s="30"/>
      <c r="FX178" s="30"/>
      <c r="FY178" s="30"/>
      <c r="FZ178" s="30"/>
      <c r="GA178" s="30"/>
      <c r="GB178" s="30"/>
      <c r="GC178" s="30"/>
      <c r="GD178" s="30"/>
      <c r="GE178" s="30"/>
      <c r="GF178" s="30"/>
      <c r="GG178" s="30"/>
      <c r="GH178" s="30"/>
      <c r="GI178" s="30"/>
      <c r="GJ178" s="30"/>
      <c r="GK178" s="30"/>
      <c r="GL178" s="30"/>
      <c r="GM178" s="30"/>
      <c r="GN178" s="30"/>
      <c r="GO178" s="30"/>
      <c r="GP178" s="30"/>
      <c r="GQ178" s="30"/>
      <c r="GR178" s="30"/>
      <c r="GS178" s="30"/>
      <c r="GT178" s="30"/>
      <c r="GU178" s="30"/>
      <c r="GV178" s="30"/>
      <c r="GW178" s="30"/>
      <c r="GX178" s="30"/>
      <c r="GY178" s="30"/>
      <c r="GZ178" s="30"/>
      <c r="HA178" s="30"/>
      <c r="HB178" s="30"/>
      <c r="HC178" s="30"/>
      <c r="HD178" s="30"/>
      <c r="HE178" s="30"/>
      <c r="HF178" s="30"/>
      <c r="HG178" s="30"/>
      <c r="HH178" s="30"/>
      <c r="HI178" s="30"/>
      <c r="HJ178" s="30"/>
      <c r="HK178" s="30"/>
      <c r="HL178" s="30"/>
      <c r="HM178" s="30"/>
      <c r="HN178" s="30"/>
      <c r="HO178" s="30"/>
      <c r="HP178" s="30"/>
      <c r="HQ178" s="30"/>
      <c r="HR178" s="30"/>
      <c r="HS178" s="30"/>
      <c r="HT178" s="30"/>
      <c r="HU178" s="30"/>
      <c r="HV178" s="30"/>
      <c r="HW178" s="30"/>
      <c r="HX178" s="30"/>
      <c r="HY178" s="30"/>
      <c r="HZ178" s="30"/>
      <c r="IA178" s="30"/>
      <c r="IB178" s="30"/>
      <c r="IC178" s="30"/>
      <c r="ID178" s="30"/>
      <c r="IE178" s="30"/>
      <c r="IF178" s="30"/>
      <c r="IG178" s="30"/>
      <c r="IH178" s="30"/>
      <c r="II178" s="30"/>
      <c r="IJ178" s="30"/>
      <c r="IK178" s="30"/>
      <c r="IL178" s="30"/>
      <c r="IM178" s="30"/>
      <c r="IN178" s="30"/>
      <c r="IO178" s="30"/>
      <c r="IP178" s="30"/>
      <c r="IQ178" s="30"/>
      <c r="IR178" s="30"/>
      <c r="IS178" s="30"/>
      <c r="IT178" s="30"/>
      <c r="IU178" s="30"/>
      <c r="IV178" s="30"/>
      <c r="IW178" s="30"/>
      <c r="IX178" s="30"/>
      <c r="IY178" s="30"/>
      <c r="IZ178" s="30"/>
      <c r="JA178" s="30"/>
      <c r="JB178" s="30"/>
      <c r="JC178" s="30"/>
      <c r="JD178" s="30"/>
      <c r="JE178" s="30"/>
      <c r="JF178" s="30"/>
      <c r="JG178" s="30"/>
      <c r="JH178" s="30"/>
      <c r="JI178" s="30"/>
      <c r="JJ178" s="30"/>
      <c r="JK178" s="30"/>
      <c r="JL178" s="30"/>
      <c r="JM178" s="30"/>
      <c r="JN178" s="30"/>
      <c r="JO178" s="30"/>
      <c r="JP178" s="30"/>
      <c r="JQ178" s="30"/>
      <c r="JR178" s="30"/>
      <c r="JS178" s="30"/>
      <c r="JT178" s="30"/>
      <c r="JU178" s="30"/>
      <c r="JV178" s="30"/>
      <c r="JW178" s="30"/>
      <c r="JX178" s="30"/>
      <c r="JY178" s="30"/>
      <c r="JZ178" s="30"/>
      <c r="KA178" s="30"/>
      <c r="KB178" s="30"/>
      <c r="KC178" s="30"/>
      <c r="KD178" s="30"/>
      <c r="KE178" s="30"/>
    </row>
    <row r="179" spans="1:291" ht="35" customHeight="1">
      <c r="A179" s="74">
        <f>ROW()-2</f>
        <v>177</v>
      </c>
      <c r="B179" s="42" t="s">
        <v>4586</v>
      </c>
      <c r="C179" s="42" t="s">
        <v>3735</v>
      </c>
      <c r="D179" s="43" t="s">
        <v>4884</v>
      </c>
      <c r="E179" s="43" t="s">
        <v>4833</v>
      </c>
      <c r="F179" s="43" t="s">
        <v>4771</v>
      </c>
      <c r="G179" s="42" t="s">
        <v>34</v>
      </c>
      <c r="H179" s="42">
        <v>13</v>
      </c>
      <c r="I179" s="44">
        <v>4.6416666666666702</v>
      </c>
      <c r="J179" s="45">
        <v>43815</v>
      </c>
      <c r="K179" s="44" t="s">
        <v>20</v>
      </c>
      <c r="L179" s="44">
        <v>4</v>
      </c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  <c r="FS179" s="30"/>
      <c r="FT179" s="30"/>
      <c r="FU179" s="30"/>
      <c r="FV179" s="30"/>
      <c r="FW179" s="30"/>
      <c r="FX179" s="30"/>
      <c r="FY179" s="30"/>
      <c r="FZ179" s="30"/>
      <c r="GA179" s="30"/>
      <c r="GB179" s="30"/>
      <c r="GC179" s="30"/>
      <c r="GD179" s="30"/>
      <c r="GE179" s="30"/>
      <c r="GF179" s="30"/>
      <c r="GG179" s="30"/>
      <c r="GH179" s="30"/>
      <c r="GI179" s="30"/>
      <c r="GJ179" s="30"/>
      <c r="GK179" s="30"/>
      <c r="GL179" s="30"/>
      <c r="GM179" s="30"/>
      <c r="GN179" s="30"/>
      <c r="GO179" s="30"/>
      <c r="GP179" s="30"/>
      <c r="GQ179" s="30"/>
      <c r="GR179" s="30"/>
      <c r="GS179" s="30"/>
      <c r="GT179" s="30"/>
      <c r="GU179" s="30"/>
      <c r="GV179" s="30"/>
      <c r="GW179" s="30"/>
      <c r="GX179" s="30"/>
      <c r="GY179" s="30"/>
      <c r="GZ179" s="30"/>
      <c r="HA179" s="30"/>
      <c r="HB179" s="30"/>
      <c r="HC179" s="30"/>
      <c r="HD179" s="30"/>
      <c r="HE179" s="30"/>
      <c r="HF179" s="30"/>
      <c r="HG179" s="30"/>
      <c r="HH179" s="30"/>
      <c r="HI179" s="30"/>
      <c r="HJ179" s="30"/>
      <c r="HK179" s="30"/>
      <c r="HL179" s="30"/>
      <c r="HM179" s="30"/>
      <c r="HN179" s="30"/>
      <c r="HO179" s="30"/>
      <c r="HP179" s="30"/>
      <c r="HQ179" s="30"/>
      <c r="HR179" s="30"/>
      <c r="HS179" s="30"/>
      <c r="HT179" s="30"/>
      <c r="HU179" s="30"/>
      <c r="HV179" s="30"/>
      <c r="HW179" s="30"/>
      <c r="HX179" s="30"/>
      <c r="HY179" s="30"/>
      <c r="HZ179" s="30"/>
      <c r="IA179" s="30"/>
      <c r="IB179" s="30"/>
      <c r="IC179" s="30"/>
      <c r="ID179" s="30"/>
      <c r="IE179" s="30"/>
      <c r="IF179" s="30"/>
      <c r="IG179" s="30"/>
      <c r="IH179" s="30"/>
      <c r="II179" s="30"/>
      <c r="IJ179" s="30"/>
      <c r="IK179" s="30"/>
      <c r="IL179" s="30"/>
      <c r="IM179" s="30"/>
      <c r="IN179" s="30"/>
      <c r="IO179" s="30"/>
      <c r="IP179" s="30"/>
      <c r="IQ179" s="30"/>
      <c r="IR179" s="30"/>
      <c r="IS179" s="30"/>
      <c r="IT179" s="30"/>
      <c r="IU179" s="30"/>
      <c r="IV179" s="30"/>
      <c r="IW179" s="30"/>
      <c r="IX179" s="30"/>
      <c r="IY179" s="30"/>
      <c r="IZ179" s="30"/>
      <c r="JA179" s="30"/>
      <c r="JB179" s="30"/>
      <c r="JC179" s="30"/>
      <c r="JD179" s="30"/>
      <c r="JE179" s="30"/>
      <c r="JF179" s="30"/>
      <c r="JG179" s="30"/>
      <c r="JH179" s="30"/>
      <c r="JI179" s="30"/>
      <c r="JJ179" s="30"/>
      <c r="JK179" s="30"/>
      <c r="JL179" s="30"/>
      <c r="JM179" s="30"/>
      <c r="JN179" s="30"/>
      <c r="JO179" s="30"/>
      <c r="JP179" s="30"/>
      <c r="JQ179" s="30"/>
      <c r="JR179" s="30"/>
      <c r="JS179" s="30"/>
      <c r="JT179" s="30"/>
      <c r="JU179" s="30"/>
      <c r="JV179" s="30"/>
      <c r="JW179" s="30"/>
      <c r="JX179" s="30"/>
      <c r="JY179" s="30"/>
      <c r="JZ179" s="30"/>
      <c r="KA179" s="30"/>
      <c r="KB179" s="30"/>
      <c r="KC179" s="30"/>
      <c r="KD179" s="30"/>
      <c r="KE179" s="30"/>
    </row>
    <row r="180" spans="1:291" ht="35" customHeight="1">
      <c r="A180" s="74">
        <f>ROW()-2</f>
        <v>178</v>
      </c>
      <c r="B180" s="42" t="s">
        <v>4586</v>
      </c>
      <c r="C180" s="42" t="s">
        <v>3735</v>
      </c>
      <c r="D180" s="43" t="s">
        <v>4885</v>
      </c>
      <c r="E180" s="43" t="s">
        <v>4886</v>
      </c>
      <c r="F180" s="43" t="s">
        <v>4771</v>
      </c>
      <c r="G180" s="42" t="s">
        <v>34</v>
      </c>
      <c r="H180" s="42">
        <v>17</v>
      </c>
      <c r="I180" s="44">
        <v>5.7336111111111103</v>
      </c>
      <c r="J180" s="45">
        <v>43815</v>
      </c>
      <c r="K180" s="44" t="s">
        <v>20</v>
      </c>
      <c r="L180" s="44">
        <v>4</v>
      </c>
    </row>
    <row r="181" spans="1:291" ht="35" customHeight="1">
      <c r="A181" s="74">
        <f>ROW()-2</f>
        <v>179</v>
      </c>
      <c r="B181" s="42" t="s">
        <v>4586</v>
      </c>
      <c r="C181" s="42" t="s">
        <v>3735</v>
      </c>
      <c r="D181" s="43" t="s">
        <v>4887</v>
      </c>
      <c r="E181" s="43" t="s">
        <v>4888</v>
      </c>
      <c r="F181" s="43" t="s">
        <v>4771</v>
      </c>
      <c r="G181" s="42" t="s">
        <v>34</v>
      </c>
      <c r="H181" s="42">
        <v>18</v>
      </c>
      <c r="I181" s="44">
        <v>6.7627777777777798</v>
      </c>
      <c r="J181" s="45">
        <v>43815</v>
      </c>
      <c r="K181" s="44" t="s">
        <v>20</v>
      </c>
      <c r="L181" s="44">
        <v>4</v>
      </c>
    </row>
    <row r="182" spans="1:291" ht="35" customHeight="1">
      <c r="A182" s="74">
        <f>ROW()-2</f>
        <v>180</v>
      </c>
      <c r="B182" s="42" t="s">
        <v>4586</v>
      </c>
      <c r="C182" s="42" t="s">
        <v>3735</v>
      </c>
      <c r="D182" s="43" t="s">
        <v>4889</v>
      </c>
      <c r="E182" s="43" t="s">
        <v>4890</v>
      </c>
      <c r="F182" s="43" t="s">
        <v>4771</v>
      </c>
      <c r="G182" s="42" t="s">
        <v>34</v>
      </c>
      <c r="H182" s="42">
        <v>13</v>
      </c>
      <c r="I182" s="44">
        <v>4.93888888888889</v>
      </c>
      <c r="J182" s="45">
        <v>43815</v>
      </c>
      <c r="K182" s="44" t="s">
        <v>20</v>
      </c>
      <c r="L182" s="44">
        <v>4</v>
      </c>
    </row>
    <row r="183" spans="1:291" ht="35" customHeight="1">
      <c r="A183" s="74">
        <f>ROW()-2</f>
        <v>181</v>
      </c>
      <c r="B183" s="42" t="s">
        <v>4586</v>
      </c>
      <c r="C183" s="42" t="s">
        <v>3735</v>
      </c>
      <c r="D183" s="43" t="s">
        <v>4891</v>
      </c>
      <c r="E183" s="43" t="s">
        <v>4833</v>
      </c>
      <c r="F183" s="43" t="s">
        <v>4771</v>
      </c>
      <c r="G183" s="42" t="s">
        <v>34</v>
      </c>
      <c r="H183" s="42">
        <v>12</v>
      </c>
      <c r="I183" s="44">
        <v>3.7613888888888898</v>
      </c>
      <c r="J183" s="45">
        <v>43815</v>
      </c>
      <c r="K183" s="44" t="s">
        <v>20</v>
      </c>
      <c r="L183" s="44">
        <v>39.5</v>
      </c>
    </row>
    <row r="184" spans="1:291" ht="35" customHeight="1">
      <c r="A184" s="74">
        <f>ROW()-2</f>
        <v>182</v>
      </c>
      <c r="B184" s="42" t="s">
        <v>4586</v>
      </c>
      <c r="C184" s="42" t="s">
        <v>3735</v>
      </c>
      <c r="D184" s="43" t="s">
        <v>4892</v>
      </c>
      <c r="E184" s="43" t="s">
        <v>4893</v>
      </c>
      <c r="F184" s="43" t="s">
        <v>4610</v>
      </c>
      <c r="G184" s="42" t="s">
        <v>34</v>
      </c>
      <c r="H184" s="42">
        <v>17</v>
      </c>
      <c r="I184" s="44">
        <v>5.8561111111111099</v>
      </c>
      <c r="J184" s="45">
        <v>43845</v>
      </c>
      <c r="K184" s="44" t="s">
        <v>20</v>
      </c>
      <c r="L184" s="44">
        <v>34</v>
      </c>
    </row>
    <row r="185" spans="1:291" ht="35" customHeight="1">
      <c r="A185" s="74">
        <f>ROW()-2</f>
        <v>183</v>
      </c>
      <c r="B185" s="42" t="s">
        <v>4586</v>
      </c>
      <c r="C185" s="42" t="s">
        <v>3735</v>
      </c>
      <c r="D185" s="43" t="s">
        <v>4896</v>
      </c>
      <c r="E185" s="43" t="s">
        <v>3442</v>
      </c>
      <c r="F185" s="43" t="s">
        <v>4610</v>
      </c>
      <c r="G185" s="42" t="s">
        <v>34</v>
      </c>
      <c r="H185" s="42">
        <v>46</v>
      </c>
      <c r="I185" s="44">
        <v>15.9480555555556</v>
      </c>
      <c r="J185" s="45">
        <v>43845</v>
      </c>
      <c r="K185" s="44" t="s">
        <v>20</v>
      </c>
      <c r="L185" s="44">
        <v>9.9</v>
      </c>
    </row>
    <row r="186" spans="1:291" ht="35" customHeight="1">
      <c r="A186" s="74">
        <f>ROW()-2</f>
        <v>184</v>
      </c>
      <c r="B186" s="42" t="s">
        <v>4586</v>
      </c>
      <c r="C186" s="42" t="s">
        <v>3735</v>
      </c>
      <c r="D186" s="43" t="s">
        <v>4894</v>
      </c>
      <c r="E186" s="43" t="s">
        <v>4895</v>
      </c>
      <c r="F186" s="43" t="s">
        <v>4610</v>
      </c>
      <c r="G186" s="42" t="s">
        <v>34</v>
      </c>
      <c r="H186" s="42">
        <v>7</v>
      </c>
      <c r="I186" s="44">
        <v>2.1</v>
      </c>
      <c r="J186" s="45">
        <v>43913</v>
      </c>
      <c r="K186" s="44" t="s">
        <v>20</v>
      </c>
      <c r="L186" s="44">
        <v>4</v>
      </c>
    </row>
    <row r="187" spans="1:291" ht="35" customHeight="1">
      <c r="A187" s="74">
        <f>ROW()-2</f>
        <v>185</v>
      </c>
      <c r="B187" s="42" t="s">
        <v>4586</v>
      </c>
      <c r="C187" s="42" t="s">
        <v>3735</v>
      </c>
      <c r="D187" s="43" t="s">
        <v>4897</v>
      </c>
      <c r="E187" s="43" t="s">
        <v>4898</v>
      </c>
      <c r="F187" s="43" t="s">
        <v>4610</v>
      </c>
      <c r="G187" s="42" t="s">
        <v>34</v>
      </c>
      <c r="H187" s="42">
        <v>16</v>
      </c>
      <c r="I187" s="44">
        <v>4.95861111111111</v>
      </c>
      <c r="J187" s="45">
        <v>43920</v>
      </c>
      <c r="K187" s="44" t="s">
        <v>20</v>
      </c>
      <c r="L187" s="44">
        <v>39.799999999999997</v>
      </c>
    </row>
    <row r="188" spans="1:291" ht="35" customHeight="1">
      <c r="A188" s="74">
        <f>ROW()-2</f>
        <v>186</v>
      </c>
      <c r="B188" s="42" t="s">
        <v>4586</v>
      </c>
      <c r="C188" s="42" t="s">
        <v>3735</v>
      </c>
      <c r="D188" s="43" t="s">
        <v>4879</v>
      </c>
      <c r="E188" s="43" t="s">
        <v>3342</v>
      </c>
      <c r="F188" s="43" t="s">
        <v>4880</v>
      </c>
      <c r="G188" s="42" t="s">
        <v>34</v>
      </c>
      <c r="H188" s="42">
        <v>58</v>
      </c>
      <c r="I188" s="44">
        <v>19.3</v>
      </c>
      <c r="J188" s="45">
        <v>44193</v>
      </c>
      <c r="K188" s="44" t="s">
        <v>20</v>
      </c>
      <c r="L188" s="44">
        <v>68.599999999999994</v>
      </c>
    </row>
    <row r="189" spans="1:291" ht="35" customHeight="1">
      <c r="A189" s="74">
        <f>ROW()-2</f>
        <v>187</v>
      </c>
      <c r="B189" s="43" t="s">
        <v>4586</v>
      </c>
      <c r="C189" s="43" t="s">
        <v>3735</v>
      </c>
      <c r="D189" s="43" t="s">
        <v>4563</v>
      </c>
      <c r="E189" s="43" t="s">
        <v>4564</v>
      </c>
      <c r="F189" s="43" t="s">
        <v>4642</v>
      </c>
      <c r="G189" s="43" t="s">
        <v>34</v>
      </c>
      <c r="H189" s="43">
        <v>1</v>
      </c>
      <c r="I189" s="43">
        <v>0.5</v>
      </c>
      <c r="J189" s="53">
        <v>44298</v>
      </c>
      <c r="K189" s="43" t="s">
        <v>20</v>
      </c>
      <c r="L189" s="43">
        <v>4.99</v>
      </c>
    </row>
    <row r="190" spans="1:291" ht="35" customHeight="1">
      <c r="A190" s="74">
        <f>ROW()-2</f>
        <v>188</v>
      </c>
      <c r="B190" s="43" t="s">
        <v>4586</v>
      </c>
      <c r="C190" s="43" t="s">
        <v>3735</v>
      </c>
      <c r="D190" s="43" t="s">
        <v>4900</v>
      </c>
      <c r="E190" s="43" t="s">
        <v>4901</v>
      </c>
      <c r="F190" s="43" t="s">
        <v>4901</v>
      </c>
      <c r="G190" s="43" t="s">
        <v>34</v>
      </c>
      <c r="H190" s="43">
        <v>65</v>
      </c>
      <c r="I190" s="43">
        <v>11.9</v>
      </c>
      <c r="J190" s="53">
        <v>44403</v>
      </c>
      <c r="K190" s="43" t="s">
        <v>20</v>
      </c>
      <c r="L190" s="43">
        <v>34.5</v>
      </c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  <c r="FS190" s="30"/>
      <c r="FT190" s="30"/>
      <c r="FU190" s="30"/>
      <c r="FV190" s="30"/>
      <c r="FW190" s="30"/>
      <c r="FX190" s="30"/>
      <c r="FY190" s="30"/>
      <c r="FZ190" s="30"/>
      <c r="GA190" s="30"/>
      <c r="GB190" s="30"/>
      <c r="GC190" s="30"/>
      <c r="GD190" s="30"/>
      <c r="GE190" s="30"/>
      <c r="GF190" s="30"/>
      <c r="GG190" s="30"/>
      <c r="GH190" s="30"/>
      <c r="GI190" s="30"/>
      <c r="GJ190" s="30"/>
      <c r="GK190" s="30"/>
      <c r="GL190" s="30"/>
      <c r="GM190" s="30"/>
      <c r="GN190" s="30"/>
      <c r="GO190" s="30"/>
      <c r="GP190" s="30"/>
      <c r="GQ190" s="30"/>
      <c r="GR190" s="30"/>
      <c r="GS190" s="30"/>
      <c r="GT190" s="30"/>
      <c r="GU190" s="30"/>
      <c r="GV190" s="30"/>
      <c r="GW190" s="30"/>
      <c r="GX190" s="30"/>
      <c r="GY190" s="30"/>
      <c r="GZ190" s="30"/>
      <c r="HA190" s="30"/>
      <c r="HB190" s="30"/>
      <c r="HC190" s="30"/>
      <c r="HD190" s="30"/>
      <c r="HE190" s="30"/>
      <c r="HF190" s="30"/>
      <c r="HG190" s="30"/>
      <c r="HH190" s="30"/>
      <c r="HI190" s="30"/>
      <c r="HJ190" s="30"/>
      <c r="HK190" s="30"/>
      <c r="HL190" s="30"/>
      <c r="HM190" s="30"/>
      <c r="HN190" s="30"/>
      <c r="HO190" s="30"/>
      <c r="HP190" s="30"/>
      <c r="HQ190" s="30"/>
      <c r="HR190" s="30"/>
      <c r="HS190" s="30"/>
      <c r="HT190" s="30"/>
      <c r="HU190" s="30"/>
      <c r="HV190" s="30"/>
      <c r="HW190" s="30"/>
      <c r="HX190" s="30"/>
      <c r="HY190" s="30"/>
      <c r="HZ190" s="30"/>
      <c r="IA190" s="30"/>
      <c r="IB190" s="30"/>
      <c r="IC190" s="30"/>
      <c r="ID190" s="30"/>
      <c r="IE190" s="30"/>
      <c r="IF190" s="30"/>
      <c r="IG190" s="30"/>
      <c r="IH190" s="30"/>
      <c r="II190" s="30"/>
      <c r="IJ190" s="30"/>
      <c r="IK190" s="30"/>
      <c r="IL190" s="30"/>
      <c r="IM190" s="30"/>
      <c r="IN190" s="30"/>
      <c r="IO190" s="30"/>
      <c r="IP190" s="30"/>
      <c r="IQ190" s="30"/>
      <c r="IR190" s="30"/>
      <c r="IS190" s="30"/>
      <c r="IT190" s="30"/>
      <c r="IU190" s="30"/>
      <c r="IV190" s="30"/>
      <c r="IW190" s="30"/>
      <c r="IX190" s="30"/>
      <c r="IY190" s="30"/>
      <c r="IZ190" s="30"/>
      <c r="JA190" s="30"/>
      <c r="JB190" s="30"/>
      <c r="JC190" s="30"/>
      <c r="JD190" s="30"/>
      <c r="JE190" s="30"/>
      <c r="JF190" s="30"/>
      <c r="JG190" s="30"/>
      <c r="JH190" s="30"/>
      <c r="JI190" s="30"/>
      <c r="JJ190" s="30"/>
      <c r="JK190" s="30"/>
      <c r="JL190" s="30"/>
      <c r="JM190" s="30"/>
      <c r="JN190" s="30"/>
      <c r="JO190" s="30"/>
      <c r="JP190" s="30"/>
      <c r="JQ190" s="30"/>
      <c r="JR190" s="30"/>
      <c r="JS190" s="30"/>
      <c r="JT190" s="30"/>
      <c r="JU190" s="30"/>
      <c r="JV190" s="30"/>
      <c r="JW190" s="30"/>
      <c r="JX190" s="30"/>
      <c r="JY190" s="30"/>
      <c r="JZ190" s="30"/>
      <c r="KA190" s="30"/>
      <c r="KB190" s="30"/>
      <c r="KC190" s="30"/>
      <c r="KD190" s="30"/>
      <c r="KE190" s="30"/>
    </row>
    <row r="191" spans="1:291" ht="35" customHeight="1">
      <c r="A191" s="74">
        <f>ROW()-2</f>
        <v>189</v>
      </c>
      <c r="B191" s="43" t="s">
        <v>4586</v>
      </c>
      <c r="C191" s="43" t="s">
        <v>3735</v>
      </c>
      <c r="D191" s="43" t="s">
        <v>4902</v>
      </c>
      <c r="E191" s="43" t="s">
        <v>4903</v>
      </c>
      <c r="F191" s="43" t="s">
        <v>4903</v>
      </c>
      <c r="G191" s="43" t="s">
        <v>3253</v>
      </c>
      <c r="H191" s="43">
        <v>77</v>
      </c>
      <c r="I191" s="43">
        <v>15.4</v>
      </c>
      <c r="J191" s="53">
        <v>44480</v>
      </c>
      <c r="K191" s="43" t="s">
        <v>20</v>
      </c>
      <c r="L191" s="43">
        <v>34.5</v>
      </c>
    </row>
    <row r="192" spans="1:291" ht="35" customHeight="1">
      <c r="A192" s="74">
        <f>ROW()-2</f>
        <v>190</v>
      </c>
      <c r="B192" s="182" t="s">
        <v>5597</v>
      </c>
      <c r="C192" s="182" t="s">
        <v>3735</v>
      </c>
      <c r="D192" s="187" t="s">
        <v>5596</v>
      </c>
      <c r="E192" s="187" t="s">
        <v>5549</v>
      </c>
      <c r="F192" s="187" t="s">
        <v>5523</v>
      </c>
      <c r="G192" s="42" t="s">
        <v>3253</v>
      </c>
      <c r="H192" s="182">
        <v>30</v>
      </c>
      <c r="I192" s="206">
        <v>5.1930555555555555</v>
      </c>
      <c r="J192" s="209">
        <v>44614</v>
      </c>
      <c r="K192" s="44" t="s">
        <v>20</v>
      </c>
      <c r="L192" s="182">
        <v>32.5</v>
      </c>
    </row>
    <row r="193" spans="1:291" ht="35" customHeight="1">
      <c r="A193" s="74">
        <f>ROW()-2</f>
        <v>191</v>
      </c>
      <c r="B193" s="182" t="s">
        <v>5597</v>
      </c>
      <c r="C193" s="182" t="s">
        <v>3735</v>
      </c>
      <c r="D193" s="187" t="s">
        <v>5510</v>
      </c>
      <c r="E193" s="187" t="s">
        <v>5566</v>
      </c>
      <c r="F193" s="187" t="s">
        <v>5567</v>
      </c>
      <c r="G193" s="42" t="s">
        <v>3253</v>
      </c>
      <c r="H193" s="182">
        <v>115</v>
      </c>
      <c r="I193" s="206">
        <v>21.273611111111112</v>
      </c>
      <c r="J193" s="209">
        <v>44614</v>
      </c>
      <c r="K193" s="44" t="s">
        <v>20</v>
      </c>
      <c r="L193" s="182">
        <v>79</v>
      </c>
    </row>
    <row r="194" spans="1:291" ht="35" customHeight="1">
      <c r="A194" s="74">
        <f>ROW()-2</f>
        <v>192</v>
      </c>
      <c r="B194" s="42" t="s">
        <v>2639</v>
      </c>
      <c r="C194" s="42" t="s">
        <v>5656</v>
      </c>
      <c r="D194" s="43" t="s">
        <v>5657</v>
      </c>
      <c r="E194" s="43" t="s">
        <v>5658</v>
      </c>
      <c r="F194" s="43"/>
      <c r="G194" s="42" t="s">
        <v>5653</v>
      </c>
      <c r="H194" s="42">
        <v>46</v>
      </c>
      <c r="I194" s="44">
        <v>8.5</v>
      </c>
      <c r="J194" s="45">
        <v>44627</v>
      </c>
      <c r="K194" s="44" t="s">
        <v>5157</v>
      </c>
      <c r="L194" s="42">
        <v>34</v>
      </c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32"/>
      <c r="FA194" s="32"/>
      <c r="FB194" s="32"/>
      <c r="FC194" s="32"/>
      <c r="FD194" s="32"/>
      <c r="FE194" s="32"/>
      <c r="FF194" s="32"/>
      <c r="FG194" s="32"/>
      <c r="FH194" s="32"/>
      <c r="FI194" s="32"/>
      <c r="FJ194" s="32"/>
      <c r="FK194" s="32"/>
      <c r="FL194" s="32"/>
      <c r="FM194" s="32"/>
      <c r="FN194" s="32"/>
      <c r="FO194" s="32"/>
      <c r="FP194" s="32"/>
      <c r="FQ194" s="32"/>
      <c r="FR194" s="32"/>
      <c r="FS194" s="32"/>
      <c r="FT194" s="32"/>
      <c r="FU194" s="32"/>
      <c r="FV194" s="32"/>
      <c r="FW194" s="32"/>
      <c r="FX194" s="32"/>
      <c r="FY194" s="32"/>
      <c r="FZ194" s="32"/>
      <c r="GA194" s="32"/>
      <c r="GB194" s="32"/>
      <c r="GC194" s="32"/>
      <c r="GD194" s="32"/>
      <c r="GE194" s="32"/>
      <c r="GF194" s="32"/>
      <c r="GG194" s="32"/>
      <c r="GH194" s="32"/>
      <c r="GI194" s="32"/>
      <c r="GJ194" s="32"/>
      <c r="GK194" s="32"/>
      <c r="GL194" s="32"/>
      <c r="GM194" s="32"/>
      <c r="GN194" s="32"/>
      <c r="GO194" s="32"/>
      <c r="GP194" s="32"/>
      <c r="GQ194" s="32"/>
      <c r="GR194" s="32"/>
      <c r="GS194" s="32"/>
      <c r="GT194" s="32"/>
      <c r="GU194" s="32"/>
      <c r="GV194" s="32"/>
      <c r="GW194" s="32"/>
      <c r="GX194" s="32"/>
      <c r="GY194" s="32"/>
      <c r="GZ194" s="32"/>
      <c r="HA194" s="32"/>
      <c r="HB194" s="32"/>
      <c r="HC194" s="32"/>
      <c r="HD194" s="32"/>
      <c r="HE194" s="32"/>
      <c r="HF194" s="32"/>
      <c r="HG194" s="32"/>
      <c r="HH194" s="32"/>
      <c r="HI194" s="32"/>
      <c r="HJ194" s="32"/>
      <c r="HK194" s="32"/>
      <c r="HL194" s="32"/>
      <c r="HM194" s="32"/>
      <c r="HN194" s="32"/>
      <c r="HO194" s="32"/>
      <c r="HP194" s="32"/>
      <c r="HQ194" s="32"/>
      <c r="HR194" s="32"/>
      <c r="HS194" s="32"/>
      <c r="HT194" s="32"/>
      <c r="HU194" s="32"/>
      <c r="HV194" s="32"/>
      <c r="HW194" s="32"/>
      <c r="HX194" s="32"/>
      <c r="HY194" s="32"/>
      <c r="HZ194" s="32"/>
      <c r="IA194" s="32"/>
      <c r="IB194" s="32"/>
      <c r="IC194" s="32"/>
      <c r="ID194" s="32"/>
      <c r="IE194" s="32"/>
      <c r="IF194" s="32"/>
      <c r="IG194" s="32"/>
      <c r="IH194" s="32"/>
      <c r="II194" s="32"/>
      <c r="IJ194" s="32"/>
      <c r="IK194" s="32"/>
      <c r="IL194" s="32"/>
      <c r="IM194" s="32"/>
      <c r="IN194" s="32"/>
      <c r="IO194" s="32"/>
      <c r="IP194" s="32"/>
      <c r="IQ194" s="32"/>
      <c r="IR194" s="32"/>
      <c r="IS194" s="32"/>
      <c r="IT194" s="32"/>
      <c r="IU194" s="32"/>
      <c r="IV194" s="32"/>
      <c r="IW194" s="32"/>
      <c r="IX194" s="32"/>
      <c r="IY194" s="32"/>
      <c r="IZ194" s="32"/>
      <c r="JA194" s="32"/>
      <c r="JB194" s="32"/>
      <c r="JC194" s="32"/>
      <c r="JD194" s="32"/>
      <c r="JE194" s="32"/>
      <c r="JF194" s="32"/>
      <c r="JG194" s="32"/>
      <c r="JH194" s="32"/>
      <c r="JI194" s="32"/>
      <c r="JJ194" s="32"/>
      <c r="JK194" s="32"/>
      <c r="JL194" s="32"/>
      <c r="JM194" s="32"/>
      <c r="JN194" s="32"/>
      <c r="JO194" s="32"/>
      <c r="JP194" s="32"/>
      <c r="JQ194" s="32"/>
      <c r="JR194" s="32"/>
      <c r="JS194" s="32"/>
      <c r="JT194" s="32"/>
      <c r="JU194" s="32"/>
      <c r="JV194" s="32"/>
      <c r="JW194" s="32"/>
      <c r="JX194" s="32"/>
      <c r="JY194" s="32"/>
      <c r="JZ194" s="32"/>
      <c r="KA194" s="32"/>
      <c r="KB194" s="32"/>
      <c r="KC194" s="32"/>
      <c r="KD194" s="32"/>
      <c r="KE194" s="32"/>
    </row>
    <row r="195" spans="1:291" ht="35" customHeight="1">
      <c r="A195" s="74">
        <f>ROW()-2</f>
        <v>193</v>
      </c>
      <c r="B195" s="42" t="s">
        <v>4586</v>
      </c>
      <c r="C195" s="130" t="s">
        <v>3950</v>
      </c>
      <c r="D195" s="43" t="s">
        <v>3106</v>
      </c>
      <c r="E195" s="43" t="s">
        <v>3107</v>
      </c>
      <c r="F195" s="43" t="s">
        <v>4617</v>
      </c>
      <c r="G195" s="42" t="s">
        <v>34</v>
      </c>
      <c r="H195" s="42">
        <v>24</v>
      </c>
      <c r="I195" s="44">
        <v>6.7497222222222204</v>
      </c>
      <c r="J195" s="45">
        <v>43468</v>
      </c>
      <c r="K195" s="44" t="s">
        <v>20</v>
      </c>
      <c r="L195" s="44">
        <v>24</v>
      </c>
    </row>
    <row r="196" spans="1:291" ht="35" customHeight="1">
      <c r="A196" s="74">
        <f>ROW()-2</f>
        <v>194</v>
      </c>
      <c r="B196" s="42" t="s">
        <v>4586</v>
      </c>
      <c r="C196" s="42" t="s">
        <v>3950</v>
      </c>
      <c r="D196" s="43" t="s">
        <v>3098</v>
      </c>
      <c r="E196" s="43" t="s">
        <v>3099</v>
      </c>
      <c r="F196" s="43" t="s">
        <v>4617</v>
      </c>
      <c r="G196" s="42" t="s">
        <v>34</v>
      </c>
      <c r="H196" s="42">
        <v>53</v>
      </c>
      <c r="I196" s="44">
        <v>5.7824999999999998</v>
      </c>
      <c r="J196" s="45">
        <v>43468</v>
      </c>
      <c r="K196" s="44" t="s">
        <v>20</v>
      </c>
      <c r="L196" s="44">
        <v>39.99</v>
      </c>
    </row>
    <row r="197" spans="1:291" ht="35" customHeight="1">
      <c r="A197" s="74">
        <f>ROW()-2</f>
        <v>195</v>
      </c>
      <c r="B197" s="42" t="s">
        <v>4586</v>
      </c>
      <c r="C197" s="42" t="s">
        <v>3950</v>
      </c>
      <c r="D197" s="43" t="s">
        <v>4909</v>
      </c>
      <c r="E197" s="43" t="s">
        <v>4910</v>
      </c>
      <c r="F197" s="43" t="s">
        <v>4617</v>
      </c>
      <c r="G197" s="42" t="s">
        <v>34</v>
      </c>
      <c r="H197" s="42">
        <v>28</v>
      </c>
      <c r="I197" s="44">
        <v>13.1591666666667</v>
      </c>
      <c r="J197" s="45">
        <v>43469</v>
      </c>
      <c r="K197" s="44" t="s">
        <v>20</v>
      </c>
      <c r="L197" s="44">
        <v>49.99</v>
      </c>
    </row>
    <row r="198" spans="1:291" ht="35" customHeight="1">
      <c r="A198" s="74">
        <f>ROW()-2</f>
        <v>196</v>
      </c>
      <c r="B198" s="42" t="s">
        <v>4586</v>
      </c>
      <c r="C198" s="42" t="s">
        <v>3950</v>
      </c>
      <c r="D198" s="43" t="s">
        <v>4911</v>
      </c>
      <c r="E198" s="43" t="s">
        <v>3107</v>
      </c>
      <c r="F198" s="43" t="s">
        <v>4610</v>
      </c>
      <c r="G198" s="42" t="s">
        <v>34</v>
      </c>
      <c r="H198" s="42">
        <v>20</v>
      </c>
      <c r="I198" s="44">
        <v>8.5380555555555606</v>
      </c>
      <c r="J198" s="45">
        <v>43469</v>
      </c>
      <c r="K198" s="44" t="s">
        <v>20</v>
      </c>
      <c r="L198" s="44">
        <v>3.8</v>
      </c>
    </row>
    <row r="199" spans="1:291" ht="35" customHeight="1">
      <c r="A199" s="74">
        <f>ROW()-2</f>
        <v>197</v>
      </c>
      <c r="B199" s="42" t="s">
        <v>4586</v>
      </c>
      <c r="C199" s="42" t="s">
        <v>3950</v>
      </c>
      <c r="D199" s="43" t="s">
        <v>4907</v>
      </c>
      <c r="E199" s="43" t="s">
        <v>4908</v>
      </c>
      <c r="F199" s="43" t="s">
        <v>4589</v>
      </c>
      <c r="G199" s="42" t="s">
        <v>34</v>
      </c>
      <c r="H199" s="42">
        <v>16</v>
      </c>
      <c r="I199" s="44">
        <v>4.0738888888888898</v>
      </c>
      <c r="J199" s="45">
        <v>43483</v>
      </c>
      <c r="K199" s="44" t="s">
        <v>20</v>
      </c>
      <c r="L199" s="44">
        <v>12.99</v>
      </c>
    </row>
    <row r="200" spans="1:291" ht="35" customHeight="1">
      <c r="A200" s="74">
        <f>ROW()-2</f>
        <v>198</v>
      </c>
      <c r="B200" s="42" t="s">
        <v>4586</v>
      </c>
      <c r="C200" s="42" t="s">
        <v>3950</v>
      </c>
      <c r="D200" s="43" t="s">
        <v>4904</v>
      </c>
      <c r="E200" s="43" t="s">
        <v>4905</v>
      </c>
      <c r="F200" s="43" t="s">
        <v>4906</v>
      </c>
      <c r="G200" s="42" t="s">
        <v>34</v>
      </c>
      <c r="H200" s="42">
        <v>34</v>
      </c>
      <c r="I200" s="44">
        <v>9.1475000000000009</v>
      </c>
      <c r="J200" s="45">
        <v>43516</v>
      </c>
      <c r="K200" s="44" t="s">
        <v>20</v>
      </c>
      <c r="L200" s="44">
        <v>84.6</v>
      </c>
    </row>
    <row r="201" spans="1:291" ht="35" customHeight="1">
      <c r="A201" s="74">
        <f>ROW()-2</f>
        <v>199</v>
      </c>
      <c r="B201" s="42" t="s">
        <v>4586</v>
      </c>
      <c r="C201" s="130" t="s">
        <v>3950</v>
      </c>
      <c r="D201" s="43" t="s">
        <v>4912</v>
      </c>
      <c r="E201" s="43" t="s">
        <v>4913</v>
      </c>
      <c r="F201" s="43" t="s">
        <v>4617</v>
      </c>
      <c r="G201" s="42" t="s">
        <v>34</v>
      </c>
      <c r="H201" s="42">
        <v>19</v>
      </c>
      <c r="I201" s="44">
        <v>6.6136111111111102</v>
      </c>
      <c r="J201" s="45">
        <v>43691</v>
      </c>
      <c r="K201" s="46" t="s">
        <v>20</v>
      </c>
      <c r="L201" s="48">
        <v>9.41</v>
      </c>
    </row>
    <row r="202" spans="1:291" ht="35" customHeight="1">
      <c r="A202" s="74">
        <f>ROW()-2</f>
        <v>200</v>
      </c>
      <c r="B202" s="42" t="s">
        <v>4586</v>
      </c>
      <c r="C202" s="42" t="s">
        <v>3950</v>
      </c>
      <c r="D202" s="43" t="s">
        <v>4914</v>
      </c>
      <c r="E202" s="43" t="s">
        <v>4915</v>
      </c>
      <c r="F202" s="43" t="s">
        <v>4589</v>
      </c>
      <c r="G202" s="42" t="s">
        <v>34</v>
      </c>
      <c r="H202" s="42">
        <v>36</v>
      </c>
      <c r="I202" s="44">
        <v>3.62388888888889</v>
      </c>
      <c r="J202" s="45">
        <v>43691</v>
      </c>
      <c r="K202" s="44" t="s">
        <v>20</v>
      </c>
      <c r="L202" s="44">
        <v>39.99</v>
      </c>
    </row>
    <row r="203" spans="1:291" ht="35" customHeight="1">
      <c r="A203" s="74">
        <f>ROW()-2</f>
        <v>201</v>
      </c>
      <c r="B203" s="42" t="s">
        <v>4586</v>
      </c>
      <c r="C203" s="42" t="s">
        <v>3950</v>
      </c>
      <c r="D203" s="43" t="s">
        <v>4916</v>
      </c>
      <c r="E203" s="43" t="s">
        <v>4917</v>
      </c>
      <c r="F203" s="43" t="s">
        <v>4918</v>
      </c>
      <c r="G203" s="42" t="s">
        <v>34</v>
      </c>
      <c r="H203" s="42">
        <v>23</v>
      </c>
      <c r="I203" s="44">
        <v>9.0238888888888908</v>
      </c>
      <c r="J203" s="45">
        <v>43691</v>
      </c>
      <c r="K203" s="44" t="s">
        <v>20</v>
      </c>
      <c r="L203" s="44">
        <v>20.9</v>
      </c>
    </row>
    <row r="204" spans="1:291" ht="35" customHeight="1">
      <c r="A204" s="74">
        <f>ROW()-2</f>
        <v>202</v>
      </c>
      <c r="B204" s="42" t="s">
        <v>4586</v>
      </c>
      <c r="C204" s="42" t="s">
        <v>3950</v>
      </c>
      <c r="D204" s="43" t="s">
        <v>4919</v>
      </c>
      <c r="E204" s="43" t="s">
        <v>4920</v>
      </c>
      <c r="F204" s="43" t="s">
        <v>4617</v>
      </c>
      <c r="G204" s="42" t="s">
        <v>34</v>
      </c>
      <c r="H204" s="42">
        <v>57</v>
      </c>
      <c r="I204" s="44">
        <v>18.290555555555599</v>
      </c>
      <c r="J204" s="45">
        <v>43691</v>
      </c>
      <c r="K204" s="44" t="s">
        <v>20</v>
      </c>
      <c r="L204" s="44">
        <v>8.99</v>
      </c>
    </row>
    <row r="205" spans="1:291" ht="35" customHeight="1">
      <c r="A205" s="74">
        <f>ROW()-2</f>
        <v>203</v>
      </c>
      <c r="B205" s="42" t="s">
        <v>4586</v>
      </c>
      <c r="C205" s="42" t="s">
        <v>3950</v>
      </c>
      <c r="D205" s="43" t="s">
        <v>4921</v>
      </c>
      <c r="E205" s="43" t="s">
        <v>4922</v>
      </c>
      <c r="F205" s="43" t="s">
        <v>4923</v>
      </c>
      <c r="G205" s="42" t="s">
        <v>34</v>
      </c>
      <c r="H205" s="42">
        <v>183</v>
      </c>
      <c r="I205" s="44">
        <v>30.5</v>
      </c>
      <c r="J205" s="45">
        <v>44558</v>
      </c>
      <c r="K205" s="44" t="s">
        <v>20</v>
      </c>
      <c r="L205" s="44">
        <v>29</v>
      </c>
    </row>
    <row r="206" spans="1:291" ht="35" customHeight="1">
      <c r="A206" s="74">
        <f>ROW()-2</f>
        <v>204</v>
      </c>
      <c r="B206" s="42" t="s">
        <v>4586</v>
      </c>
      <c r="C206" s="130" t="s">
        <v>3950</v>
      </c>
      <c r="D206" s="43" t="s">
        <v>5138</v>
      </c>
      <c r="E206" s="43" t="s">
        <v>5139</v>
      </c>
      <c r="F206" s="43" t="s">
        <v>4617</v>
      </c>
      <c r="G206" s="42" t="s">
        <v>34</v>
      </c>
      <c r="H206" s="42">
        <v>42</v>
      </c>
      <c r="I206" s="44">
        <v>7</v>
      </c>
      <c r="J206" s="45">
        <v>44571</v>
      </c>
      <c r="K206" s="44" t="s">
        <v>20</v>
      </c>
      <c r="L206" s="44">
        <v>49.9</v>
      </c>
    </row>
    <row r="207" spans="1:291" ht="35" customHeight="1">
      <c r="A207" s="74">
        <f>ROW()-2</f>
        <v>205</v>
      </c>
      <c r="B207" s="42" t="s">
        <v>4586</v>
      </c>
      <c r="C207" s="130" t="s">
        <v>4064</v>
      </c>
      <c r="D207" s="43" t="s">
        <v>5021</v>
      </c>
      <c r="E207" s="43" t="s">
        <v>5022</v>
      </c>
      <c r="F207" s="43" t="s">
        <v>4653</v>
      </c>
      <c r="G207" s="42" t="s">
        <v>34</v>
      </c>
      <c r="H207" s="42">
        <v>222</v>
      </c>
      <c r="I207" s="44">
        <v>75.388611111111103</v>
      </c>
      <c r="J207" s="45">
        <v>43691</v>
      </c>
      <c r="K207" s="44" t="s">
        <v>20</v>
      </c>
      <c r="L207" s="44">
        <v>19.899999999999999</v>
      </c>
    </row>
    <row r="208" spans="1:291" ht="35" customHeight="1">
      <c r="A208" s="74">
        <f>ROW()-2</f>
        <v>206</v>
      </c>
      <c r="B208" s="42" t="s">
        <v>4586</v>
      </c>
      <c r="C208" s="42" t="s">
        <v>4064</v>
      </c>
      <c r="D208" s="43" t="s">
        <v>5023</v>
      </c>
      <c r="E208" s="43" t="s">
        <v>5024</v>
      </c>
      <c r="F208" s="43" t="s">
        <v>5025</v>
      </c>
      <c r="G208" s="42" t="s">
        <v>34</v>
      </c>
      <c r="H208" s="42">
        <v>39</v>
      </c>
      <c r="I208" s="44">
        <v>13.5805555555556</v>
      </c>
      <c r="J208" s="45">
        <v>43691</v>
      </c>
      <c r="K208" s="44" t="s">
        <v>20</v>
      </c>
      <c r="L208" s="44">
        <v>19.899999999999999</v>
      </c>
    </row>
    <row r="209" spans="1:12" ht="35" customHeight="1">
      <c r="A209" s="74">
        <f>ROW()-2</f>
        <v>207</v>
      </c>
      <c r="B209" s="42" t="s">
        <v>4586</v>
      </c>
      <c r="C209" s="42" t="s">
        <v>4064</v>
      </c>
      <c r="D209" s="43" t="s">
        <v>5026</v>
      </c>
      <c r="E209" s="43" t="s">
        <v>4150</v>
      </c>
      <c r="F209" s="43" t="s">
        <v>5027</v>
      </c>
      <c r="G209" s="42" t="s">
        <v>34</v>
      </c>
      <c r="H209" s="42">
        <v>57</v>
      </c>
      <c r="I209" s="44">
        <v>14.4413888888889</v>
      </c>
      <c r="J209" s="45">
        <v>43691</v>
      </c>
      <c r="K209" s="44" t="s">
        <v>20</v>
      </c>
      <c r="L209" s="44">
        <v>13.9</v>
      </c>
    </row>
    <row r="210" spans="1:12" ht="35" customHeight="1">
      <c r="A210" s="74">
        <f>ROW()-2</f>
        <v>208</v>
      </c>
      <c r="B210" s="42" t="s">
        <v>4586</v>
      </c>
      <c r="C210" s="130" t="s">
        <v>4064</v>
      </c>
      <c r="D210" s="43" t="s">
        <v>5028</v>
      </c>
      <c r="E210" s="43" t="s">
        <v>5029</v>
      </c>
      <c r="F210" s="43" t="s">
        <v>4918</v>
      </c>
      <c r="G210" s="42" t="s">
        <v>34</v>
      </c>
      <c r="H210" s="42">
        <v>42</v>
      </c>
      <c r="I210" s="44">
        <v>0.97111111111111104</v>
      </c>
      <c r="J210" s="45">
        <v>43691</v>
      </c>
      <c r="K210" s="44" t="s">
        <v>20</v>
      </c>
      <c r="L210" s="44">
        <v>13.9</v>
      </c>
    </row>
    <row r="211" spans="1:12" ht="35" customHeight="1">
      <c r="A211" s="74">
        <f>ROW()-2</f>
        <v>209</v>
      </c>
      <c r="B211" s="42" t="s">
        <v>4586</v>
      </c>
      <c r="C211" s="42" t="s">
        <v>4064</v>
      </c>
      <c r="D211" s="43" t="s">
        <v>5030</v>
      </c>
      <c r="E211" s="43" t="s">
        <v>5031</v>
      </c>
      <c r="F211" s="43" t="s">
        <v>2182</v>
      </c>
      <c r="G211" s="42" t="s">
        <v>34</v>
      </c>
      <c r="H211" s="42">
        <v>43</v>
      </c>
      <c r="I211" s="44">
        <v>0.98444444444444401</v>
      </c>
      <c r="J211" s="45">
        <v>43691</v>
      </c>
      <c r="K211" s="44" t="s">
        <v>20</v>
      </c>
      <c r="L211" s="44">
        <v>25.99</v>
      </c>
    </row>
    <row r="212" spans="1:12" ht="35" customHeight="1">
      <c r="A212" s="74">
        <f>ROW()-2</f>
        <v>210</v>
      </c>
      <c r="B212" s="42" t="s">
        <v>4586</v>
      </c>
      <c r="C212" s="42" t="s">
        <v>4064</v>
      </c>
      <c r="D212" s="43" t="s">
        <v>5032</v>
      </c>
      <c r="E212" s="43" t="s">
        <v>5033</v>
      </c>
      <c r="F212" s="43" t="s">
        <v>2182</v>
      </c>
      <c r="G212" s="42" t="s">
        <v>34</v>
      </c>
      <c r="H212" s="42">
        <v>31</v>
      </c>
      <c r="I212" s="44">
        <v>10.79</v>
      </c>
      <c r="J212" s="45">
        <v>43691</v>
      </c>
      <c r="K212" s="44" t="s">
        <v>20</v>
      </c>
      <c r="L212" s="44">
        <v>57.61</v>
      </c>
    </row>
    <row r="213" spans="1:12" ht="35" customHeight="1">
      <c r="A213" s="74">
        <f>ROW()-2</f>
        <v>211</v>
      </c>
      <c r="B213" s="42" t="s">
        <v>4586</v>
      </c>
      <c r="C213" s="130" t="s">
        <v>4064</v>
      </c>
      <c r="D213" s="43" t="s">
        <v>5040</v>
      </c>
      <c r="E213" s="43" t="s">
        <v>4999</v>
      </c>
      <c r="F213" s="43" t="s">
        <v>5041</v>
      </c>
      <c r="G213" s="42" t="s">
        <v>34</v>
      </c>
      <c r="H213" s="42">
        <v>8</v>
      </c>
      <c r="I213" s="44">
        <v>2.72444444444444</v>
      </c>
      <c r="J213" s="45">
        <v>43691</v>
      </c>
      <c r="K213" s="44" t="s">
        <v>20</v>
      </c>
      <c r="L213" s="44">
        <v>110</v>
      </c>
    </row>
    <row r="214" spans="1:12" ht="35" customHeight="1">
      <c r="A214" s="74">
        <f>ROW()-2</f>
        <v>212</v>
      </c>
      <c r="B214" s="42" t="s">
        <v>4586</v>
      </c>
      <c r="C214" s="42" t="s">
        <v>4064</v>
      </c>
      <c r="D214" s="43" t="s">
        <v>4928</v>
      </c>
      <c r="E214" s="43" t="s">
        <v>4929</v>
      </c>
      <c r="F214" s="43" t="s">
        <v>4899</v>
      </c>
      <c r="G214" s="42" t="s">
        <v>34</v>
      </c>
      <c r="H214" s="42">
        <v>21</v>
      </c>
      <c r="I214" s="44">
        <v>0.98583333333333301</v>
      </c>
      <c r="J214" s="45">
        <v>43692</v>
      </c>
      <c r="K214" s="44" t="s">
        <v>20</v>
      </c>
      <c r="L214" s="44">
        <v>12.9</v>
      </c>
    </row>
    <row r="215" spans="1:12" ht="35" customHeight="1">
      <c r="A215" s="74">
        <f>ROW()-2</f>
        <v>213</v>
      </c>
      <c r="B215" s="42" t="s">
        <v>4586</v>
      </c>
      <c r="C215" s="42" t="s">
        <v>4064</v>
      </c>
      <c r="D215" s="43" t="s">
        <v>4930</v>
      </c>
      <c r="E215" s="43" t="s">
        <v>4931</v>
      </c>
      <c r="F215" s="43" t="s">
        <v>2182</v>
      </c>
      <c r="G215" s="42" t="s">
        <v>34</v>
      </c>
      <c r="H215" s="42">
        <v>14</v>
      </c>
      <c r="I215" s="44">
        <v>0.97</v>
      </c>
      <c r="J215" s="45">
        <v>43692</v>
      </c>
      <c r="K215" s="44" t="s">
        <v>20</v>
      </c>
      <c r="L215" s="44">
        <v>12.9</v>
      </c>
    </row>
    <row r="216" spans="1:12" ht="35" customHeight="1">
      <c r="A216" s="74">
        <f>ROW()-2</f>
        <v>214</v>
      </c>
      <c r="B216" s="42" t="s">
        <v>4586</v>
      </c>
      <c r="C216" s="130" t="s">
        <v>4064</v>
      </c>
      <c r="D216" s="43" t="s">
        <v>4932</v>
      </c>
      <c r="E216" s="43" t="s">
        <v>4933</v>
      </c>
      <c r="F216" s="43" t="s">
        <v>2182</v>
      </c>
      <c r="G216" s="42" t="s">
        <v>34</v>
      </c>
      <c r="H216" s="42">
        <v>20</v>
      </c>
      <c r="I216" s="44">
        <v>1.5249999999999999</v>
      </c>
      <c r="J216" s="45">
        <v>43692</v>
      </c>
      <c r="K216" s="44" t="s">
        <v>20</v>
      </c>
      <c r="L216" s="44">
        <v>12.9</v>
      </c>
    </row>
    <row r="217" spans="1:12" ht="35" customHeight="1">
      <c r="A217" s="74">
        <f>ROW()-2</f>
        <v>215</v>
      </c>
      <c r="B217" s="42" t="s">
        <v>4586</v>
      </c>
      <c r="C217" s="42" t="s">
        <v>4064</v>
      </c>
      <c r="D217" s="43" t="s">
        <v>4934</v>
      </c>
      <c r="E217" s="43" t="s">
        <v>4935</v>
      </c>
      <c r="F217" s="43" t="s">
        <v>2182</v>
      </c>
      <c r="G217" s="42" t="s">
        <v>34</v>
      </c>
      <c r="H217" s="42">
        <v>22</v>
      </c>
      <c r="I217" s="44">
        <v>0.91027777777777796</v>
      </c>
      <c r="J217" s="45">
        <v>43692</v>
      </c>
      <c r="K217" s="44" t="s">
        <v>20</v>
      </c>
      <c r="L217" s="44">
        <v>12.9</v>
      </c>
    </row>
    <row r="218" spans="1:12" ht="35" customHeight="1">
      <c r="A218" s="74">
        <f>ROW()-2</f>
        <v>216</v>
      </c>
      <c r="B218" s="42" t="s">
        <v>4586</v>
      </c>
      <c r="C218" s="42" t="s">
        <v>4064</v>
      </c>
      <c r="D218" s="43" t="s">
        <v>4936</v>
      </c>
      <c r="E218" s="43" t="s">
        <v>4937</v>
      </c>
      <c r="F218" s="43" t="s">
        <v>2182</v>
      </c>
      <c r="G218" s="42" t="s">
        <v>34</v>
      </c>
      <c r="H218" s="42">
        <v>11</v>
      </c>
      <c r="I218" s="44">
        <v>0.98194444444444395</v>
      </c>
      <c r="J218" s="45">
        <v>43692</v>
      </c>
      <c r="K218" s="44" t="s">
        <v>20</v>
      </c>
      <c r="L218" s="44">
        <v>12.9</v>
      </c>
    </row>
    <row r="219" spans="1:12" ht="35" customHeight="1">
      <c r="A219" s="74">
        <f>ROW()-2</f>
        <v>217</v>
      </c>
      <c r="B219" s="42" t="s">
        <v>4586</v>
      </c>
      <c r="C219" s="130" t="s">
        <v>4064</v>
      </c>
      <c r="D219" s="43" t="s">
        <v>4938</v>
      </c>
      <c r="E219" s="43" t="s">
        <v>4939</v>
      </c>
      <c r="F219" s="43" t="s">
        <v>2182</v>
      </c>
      <c r="G219" s="42" t="s">
        <v>34</v>
      </c>
      <c r="H219" s="42">
        <v>11</v>
      </c>
      <c r="I219" s="44">
        <v>0.97916666666666696</v>
      </c>
      <c r="J219" s="45">
        <v>43692</v>
      </c>
      <c r="K219" s="44" t="s">
        <v>20</v>
      </c>
      <c r="L219" s="44">
        <v>12.9</v>
      </c>
    </row>
    <row r="220" spans="1:12" ht="35" customHeight="1">
      <c r="A220" s="74">
        <f>ROW()-2</f>
        <v>218</v>
      </c>
      <c r="B220" s="42" t="s">
        <v>4586</v>
      </c>
      <c r="C220" s="42" t="s">
        <v>4064</v>
      </c>
      <c r="D220" s="43" t="s">
        <v>4940</v>
      </c>
      <c r="E220" s="43" t="s">
        <v>4939</v>
      </c>
      <c r="F220" s="43" t="s">
        <v>2182</v>
      </c>
      <c r="G220" s="42" t="s">
        <v>34</v>
      </c>
      <c r="H220" s="42">
        <v>24</v>
      </c>
      <c r="I220" s="44">
        <v>0.96861111111111098</v>
      </c>
      <c r="J220" s="45">
        <v>43692</v>
      </c>
      <c r="K220" s="44" t="s">
        <v>20</v>
      </c>
      <c r="L220" s="44">
        <v>12.9</v>
      </c>
    </row>
    <row r="221" spans="1:12" ht="35" customHeight="1">
      <c r="A221" s="74">
        <f>ROW()-2</f>
        <v>219</v>
      </c>
      <c r="B221" s="42" t="s">
        <v>4586</v>
      </c>
      <c r="C221" s="130" t="s">
        <v>4064</v>
      </c>
      <c r="D221" s="43" t="s">
        <v>4941</v>
      </c>
      <c r="E221" s="43" t="s">
        <v>4942</v>
      </c>
      <c r="F221" s="43" t="s">
        <v>2182</v>
      </c>
      <c r="G221" s="42" t="s">
        <v>34</v>
      </c>
      <c r="H221" s="42">
        <v>8</v>
      </c>
      <c r="I221" s="44">
        <v>0.98444444444444401</v>
      </c>
      <c r="J221" s="45">
        <v>43692</v>
      </c>
      <c r="K221" s="44" t="s">
        <v>20</v>
      </c>
      <c r="L221" s="44">
        <v>12.9</v>
      </c>
    </row>
    <row r="222" spans="1:12" ht="35" customHeight="1">
      <c r="A222" s="74">
        <f>ROW()-2</f>
        <v>220</v>
      </c>
      <c r="B222" s="42" t="s">
        <v>4586</v>
      </c>
      <c r="C222" s="42" t="s">
        <v>4064</v>
      </c>
      <c r="D222" s="43" t="s">
        <v>4943</v>
      </c>
      <c r="E222" s="43" t="s">
        <v>4944</v>
      </c>
      <c r="F222" s="43" t="s">
        <v>2182</v>
      </c>
      <c r="G222" s="42" t="s">
        <v>34</v>
      </c>
      <c r="H222" s="42">
        <v>6</v>
      </c>
      <c r="I222" s="44">
        <v>1.17472222222222</v>
      </c>
      <c r="J222" s="45">
        <v>43692</v>
      </c>
      <c r="K222" s="44" t="s">
        <v>20</v>
      </c>
      <c r="L222" s="44">
        <v>12.9</v>
      </c>
    </row>
    <row r="223" spans="1:12" ht="35" customHeight="1">
      <c r="A223" s="74">
        <f>ROW()-2</f>
        <v>221</v>
      </c>
      <c r="B223" s="42" t="s">
        <v>4586</v>
      </c>
      <c r="C223" s="42" t="s">
        <v>4064</v>
      </c>
      <c r="D223" s="43" t="s">
        <v>4945</v>
      </c>
      <c r="E223" s="43" t="s">
        <v>4946</v>
      </c>
      <c r="F223" s="43" t="s">
        <v>2182</v>
      </c>
      <c r="G223" s="42" t="s">
        <v>34</v>
      </c>
      <c r="H223" s="42">
        <v>7</v>
      </c>
      <c r="I223" s="44">
        <v>0.82416666666666705</v>
      </c>
      <c r="J223" s="45">
        <v>43692</v>
      </c>
      <c r="K223" s="44" t="s">
        <v>20</v>
      </c>
      <c r="L223" s="44">
        <v>12.9</v>
      </c>
    </row>
    <row r="224" spans="1:12" ht="35" customHeight="1">
      <c r="A224" s="74">
        <f>ROW()-2</f>
        <v>222</v>
      </c>
      <c r="B224" s="42" t="s">
        <v>4586</v>
      </c>
      <c r="C224" s="130" t="s">
        <v>4064</v>
      </c>
      <c r="D224" s="43" t="s">
        <v>4947</v>
      </c>
      <c r="E224" s="43" t="s">
        <v>4939</v>
      </c>
      <c r="F224" s="43" t="s">
        <v>2182</v>
      </c>
      <c r="G224" s="42" t="s">
        <v>34</v>
      </c>
      <c r="H224" s="42">
        <v>17</v>
      </c>
      <c r="I224" s="44">
        <v>0.76249999999999996</v>
      </c>
      <c r="J224" s="45">
        <v>43692</v>
      </c>
      <c r="K224" s="44" t="s">
        <v>20</v>
      </c>
      <c r="L224" s="44">
        <v>12.9</v>
      </c>
    </row>
    <row r="225" spans="1:291" ht="35" customHeight="1">
      <c r="A225" s="74">
        <f>ROW()-2</f>
        <v>223</v>
      </c>
      <c r="B225" s="42" t="s">
        <v>4586</v>
      </c>
      <c r="C225" s="42" t="s">
        <v>4064</v>
      </c>
      <c r="D225" s="43" t="s">
        <v>4948</v>
      </c>
      <c r="E225" s="43" t="s">
        <v>4949</v>
      </c>
      <c r="F225" s="43" t="s">
        <v>2182</v>
      </c>
      <c r="G225" s="42" t="s">
        <v>34</v>
      </c>
      <c r="H225" s="42">
        <v>22</v>
      </c>
      <c r="I225" s="44">
        <v>0.78666666666666696</v>
      </c>
      <c r="J225" s="45">
        <v>43692</v>
      </c>
      <c r="K225" s="44" t="s">
        <v>20</v>
      </c>
      <c r="L225" s="44">
        <v>12.9</v>
      </c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  <c r="FS225" s="30"/>
      <c r="FT225" s="30"/>
      <c r="FU225" s="30"/>
      <c r="FV225" s="30"/>
      <c r="FW225" s="30"/>
      <c r="FX225" s="30"/>
      <c r="FY225" s="30"/>
      <c r="FZ225" s="30"/>
      <c r="GA225" s="30"/>
      <c r="GB225" s="30"/>
      <c r="GC225" s="30"/>
      <c r="GD225" s="30"/>
      <c r="GE225" s="30"/>
      <c r="GF225" s="30"/>
      <c r="GG225" s="30"/>
      <c r="GH225" s="30"/>
      <c r="GI225" s="30"/>
      <c r="GJ225" s="30"/>
      <c r="GK225" s="30"/>
      <c r="GL225" s="30"/>
      <c r="GM225" s="30"/>
      <c r="GN225" s="30"/>
      <c r="GO225" s="30"/>
      <c r="GP225" s="30"/>
      <c r="GQ225" s="30"/>
      <c r="GR225" s="30"/>
      <c r="GS225" s="30"/>
      <c r="GT225" s="30"/>
      <c r="GU225" s="30"/>
      <c r="GV225" s="30"/>
      <c r="GW225" s="30"/>
      <c r="GX225" s="30"/>
      <c r="GY225" s="30"/>
      <c r="GZ225" s="30"/>
      <c r="HA225" s="30"/>
      <c r="HB225" s="30"/>
      <c r="HC225" s="30"/>
      <c r="HD225" s="30"/>
      <c r="HE225" s="30"/>
      <c r="HF225" s="30"/>
      <c r="HG225" s="30"/>
      <c r="HH225" s="30"/>
      <c r="HI225" s="30"/>
      <c r="HJ225" s="30"/>
      <c r="HK225" s="30"/>
      <c r="HL225" s="30"/>
      <c r="HM225" s="30"/>
      <c r="HN225" s="30"/>
      <c r="HO225" s="30"/>
      <c r="HP225" s="30"/>
      <c r="HQ225" s="30"/>
      <c r="HR225" s="30"/>
      <c r="HS225" s="30"/>
      <c r="HT225" s="30"/>
      <c r="HU225" s="30"/>
      <c r="HV225" s="30"/>
      <c r="HW225" s="30"/>
      <c r="HX225" s="30"/>
      <c r="HY225" s="30"/>
      <c r="HZ225" s="30"/>
      <c r="IA225" s="30"/>
      <c r="IB225" s="30"/>
      <c r="IC225" s="30"/>
      <c r="ID225" s="30"/>
      <c r="IE225" s="30"/>
      <c r="IF225" s="30"/>
      <c r="IG225" s="30"/>
      <c r="IH225" s="30"/>
      <c r="II225" s="30"/>
      <c r="IJ225" s="30"/>
      <c r="IK225" s="30"/>
      <c r="IL225" s="30"/>
      <c r="IM225" s="30"/>
      <c r="IN225" s="30"/>
      <c r="IO225" s="30"/>
      <c r="IP225" s="30"/>
      <c r="IQ225" s="30"/>
      <c r="IR225" s="30"/>
      <c r="IS225" s="30"/>
      <c r="IT225" s="30"/>
      <c r="IU225" s="30"/>
      <c r="IV225" s="30"/>
      <c r="IW225" s="30"/>
      <c r="IX225" s="30"/>
      <c r="IY225" s="30"/>
      <c r="IZ225" s="30"/>
      <c r="JA225" s="30"/>
      <c r="JB225" s="30"/>
      <c r="JC225" s="30"/>
      <c r="JD225" s="30"/>
      <c r="JE225" s="30"/>
      <c r="JF225" s="30"/>
      <c r="JG225" s="30"/>
      <c r="JH225" s="30"/>
      <c r="JI225" s="30"/>
      <c r="JJ225" s="30"/>
      <c r="JK225" s="30"/>
      <c r="JL225" s="30"/>
      <c r="JM225" s="30"/>
      <c r="JN225" s="30"/>
      <c r="JO225" s="30"/>
      <c r="JP225" s="30"/>
      <c r="JQ225" s="30"/>
      <c r="JR225" s="30"/>
      <c r="JS225" s="30"/>
      <c r="JT225" s="30"/>
      <c r="JU225" s="30"/>
      <c r="JV225" s="30"/>
      <c r="JW225" s="30"/>
      <c r="JX225" s="30"/>
      <c r="JY225" s="30"/>
      <c r="JZ225" s="30"/>
      <c r="KA225" s="30"/>
      <c r="KB225" s="30"/>
      <c r="KC225" s="30"/>
      <c r="KD225" s="30"/>
      <c r="KE225" s="30"/>
    </row>
    <row r="226" spans="1:291" ht="35" customHeight="1">
      <c r="A226" s="74">
        <f>ROW()-2</f>
        <v>224</v>
      </c>
      <c r="B226" s="42" t="s">
        <v>4586</v>
      </c>
      <c r="C226" s="42" t="s">
        <v>4064</v>
      </c>
      <c r="D226" s="43" t="s">
        <v>4950</v>
      </c>
      <c r="E226" s="43" t="s">
        <v>4931</v>
      </c>
      <c r="F226" s="43" t="s">
        <v>2182</v>
      </c>
      <c r="G226" s="42" t="s">
        <v>34</v>
      </c>
      <c r="H226" s="42">
        <v>44</v>
      </c>
      <c r="I226" s="44">
        <v>15.8061111111111</v>
      </c>
      <c r="J226" s="45">
        <v>43692</v>
      </c>
      <c r="K226" s="44" t="s">
        <v>20</v>
      </c>
      <c r="L226" s="44">
        <v>6.99</v>
      </c>
    </row>
    <row r="227" spans="1:291" ht="35" customHeight="1">
      <c r="A227" s="74">
        <f>ROW()-2</f>
        <v>225</v>
      </c>
      <c r="B227" s="42" t="s">
        <v>4586</v>
      </c>
      <c r="C227" s="130" t="s">
        <v>4064</v>
      </c>
      <c r="D227" s="43" t="s">
        <v>4951</v>
      </c>
      <c r="E227" s="43" t="s">
        <v>4150</v>
      </c>
      <c r="F227" s="43" t="s">
        <v>4952</v>
      </c>
      <c r="G227" s="42" t="s">
        <v>34</v>
      </c>
      <c r="H227" s="42">
        <v>17</v>
      </c>
      <c r="I227" s="44">
        <v>5.54277777777778</v>
      </c>
      <c r="J227" s="45">
        <v>43692</v>
      </c>
      <c r="K227" s="44" t="s">
        <v>20</v>
      </c>
      <c r="L227" s="44">
        <v>21.6</v>
      </c>
    </row>
    <row r="228" spans="1:291" ht="35" customHeight="1">
      <c r="A228" s="74">
        <f>ROW()-2</f>
        <v>226</v>
      </c>
      <c r="B228" s="42" t="s">
        <v>4586</v>
      </c>
      <c r="C228" s="42" t="s">
        <v>4064</v>
      </c>
      <c r="D228" s="43" t="s">
        <v>4953</v>
      </c>
      <c r="E228" s="43" t="s">
        <v>4954</v>
      </c>
      <c r="F228" s="43" t="s">
        <v>4955</v>
      </c>
      <c r="G228" s="42" t="s">
        <v>34</v>
      </c>
      <c r="H228" s="42">
        <v>108</v>
      </c>
      <c r="I228" s="44">
        <v>27.0338888888889</v>
      </c>
      <c r="J228" s="45">
        <v>43692</v>
      </c>
      <c r="K228" s="44" t="s">
        <v>20</v>
      </c>
      <c r="L228" s="44">
        <v>7.4</v>
      </c>
    </row>
    <row r="229" spans="1:291" ht="35" customHeight="1">
      <c r="A229" s="74">
        <f>ROW()-2</f>
        <v>227</v>
      </c>
      <c r="B229" s="42" t="s">
        <v>4586</v>
      </c>
      <c r="C229" s="42" t="s">
        <v>4064</v>
      </c>
      <c r="D229" s="43" t="s">
        <v>4956</v>
      </c>
      <c r="E229" s="43" t="s">
        <v>4957</v>
      </c>
      <c r="F229" s="43" t="s">
        <v>4958</v>
      </c>
      <c r="G229" s="42" t="s">
        <v>34</v>
      </c>
      <c r="H229" s="42">
        <v>37</v>
      </c>
      <c r="I229" s="44">
        <v>9.4533333333333296</v>
      </c>
      <c r="J229" s="45">
        <v>43692</v>
      </c>
      <c r="K229" s="44" t="s">
        <v>20</v>
      </c>
      <c r="L229" s="44">
        <v>5.7</v>
      </c>
    </row>
    <row r="230" spans="1:291" ht="35" customHeight="1">
      <c r="A230" s="74">
        <f>ROW()-2</f>
        <v>228</v>
      </c>
      <c r="B230" s="42" t="s">
        <v>4586</v>
      </c>
      <c r="C230" s="130" t="s">
        <v>4064</v>
      </c>
      <c r="D230" s="43" t="s">
        <v>4149</v>
      </c>
      <c r="E230" s="43" t="s">
        <v>4150</v>
      </c>
      <c r="F230" s="43" t="s">
        <v>4958</v>
      </c>
      <c r="G230" s="42" t="s">
        <v>34</v>
      </c>
      <c r="H230" s="42">
        <v>28</v>
      </c>
      <c r="I230" s="44">
        <v>5.7722222222222204</v>
      </c>
      <c r="J230" s="45">
        <v>43692</v>
      </c>
      <c r="K230" s="44" t="s">
        <v>20</v>
      </c>
      <c r="L230" s="44">
        <v>4.99</v>
      </c>
    </row>
    <row r="231" spans="1:291" ht="35" customHeight="1">
      <c r="A231" s="74">
        <f>ROW()-2</f>
        <v>229</v>
      </c>
      <c r="B231" s="42" t="s">
        <v>4586</v>
      </c>
      <c r="C231" s="42" t="s">
        <v>4064</v>
      </c>
      <c r="D231" s="43" t="s">
        <v>4961</v>
      </c>
      <c r="E231" s="43" t="s">
        <v>4962</v>
      </c>
      <c r="F231" s="43" t="s">
        <v>4963</v>
      </c>
      <c r="G231" s="42" t="s">
        <v>34</v>
      </c>
      <c r="H231" s="42">
        <v>21</v>
      </c>
      <c r="I231" s="44">
        <v>3.8430555555555599</v>
      </c>
      <c r="J231" s="45">
        <v>43692</v>
      </c>
      <c r="K231" s="44" t="s">
        <v>20</v>
      </c>
      <c r="L231" s="44">
        <v>11.9</v>
      </c>
    </row>
    <row r="232" spans="1:291" ht="35" customHeight="1">
      <c r="A232" s="74">
        <f>ROW()-2</f>
        <v>230</v>
      </c>
      <c r="B232" s="42" t="s">
        <v>4586</v>
      </c>
      <c r="C232" s="130" t="s">
        <v>4064</v>
      </c>
      <c r="D232" s="43" t="s">
        <v>4964</v>
      </c>
      <c r="E232" s="43" t="s">
        <v>4965</v>
      </c>
      <c r="F232" s="43" t="s">
        <v>4963</v>
      </c>
      <c r="G232" s="42" t="s">
        <v>34</v>
      </c>
      <c r="H232" s="42">
        <v>35</v>
      </c>
      <c r="I232" s="44">
        <v>2.835</v>
      </c>
      <c r="J232" s="45">
        <v>43692</v>
      </c>
      <c r="K232" s="46" t="s">
        <v>20</v>
      </c>
      <c r="L232" s="48">
        <v>7.99</v>
      </c>
    </row>
    <row r="233" spans="1:291" ht="35" customHeight="1">
      <c r="A233" s="74">
        <f>ROW()-2</f>
        <v>231</v>
      </c>
      <c r="B233" s="42" t="s">
        <v>4586</v>
      </c>
      <c r="C233" s="42" t="s">
        <v>4064</v>
      </c>
      <c r="D233" s="43" t="s">
        <v>4966</v>
      </c>
      <c r="E233" s="43" t="s">
        <v>4967</v>
      </c>
      <c r="F233" s="43" t="s">
        <v>4968</v>
      </c>
      <c r="G233" s="42" t="s">
        <v>34</v>
      </c>
      <c r="H233" s="42">
        <v>24</v>
      </c>
      <c r="I233" s="44">
        <v>7.16638888888889</v>
      </c>
      <c r="J233" s="45">
        <v>43692</v>
      </c>
      <c r="K233" s="44" t="s">
        <v>20</v>
      </c>
      <c r="L233" s="44">
        <v>15.98</v>
      </c>
    </row>
    <row r="234" spans="1:291" ht="35" customHeight="1">
      <c r="A234" s="74">
        <f>ROW()-2</f>
        <v>232</v>
      </c>
      <c r="B234" s="42" t="s">
        <v>4586</v>
      </c>
      <c r="C234" s="42" t="s">
        <v>4064</v>
      </c>
      <c r="D234" s="43" t="s">
        <v>4969</v>
      </c>
      <c r="E234" s="43" t="s">
        <v>4970</v>
      </c>
      <c r="F234" s="43" t="s">
        <v>4777</v>
      </c>
      <c r="G234" s="42" t="s">
        <v>34</v>
      </c>
      <c r="H234" s="42">
        <v>62</v>
      </c>
      <c r="I234" s="44">
        <v>21.098611111111101</v>
      </c>
      <c r="J234" s="45">
        <v>43692</v>
      </c>
      <c r="K234" s="44" t="s">
        <v>20</v>
      </c>
      <c r="L234" s="44">
        <v>9.98</v>
      </c>
    </row>
    <row r="235" spans="1:291" ht="35" customHeight="1">
      <c r="A235" s="74">
        <f>ROW()-2</f>
        <v>233</v>
      </c>
      <c r="B235" s="42" t="s">
        <v>4586</v>
      </c>
      <c r="C235" s="130" t="s">
        <v>4064</v>
      </c>
      <c r="D235" s="43" t="s">
        <v>4971</v>
      </c>
      <c r="E235" s="43" t="s">
        <v>4972</v>
      </c>
      <c r="F235" s="43" t="s">
        <v>4777</v>
      </c>
      <c r="G235" s="42" t="s">
        <v>34</v>
      </c>
      <c r="H235" s="42">
        <v>30</v>
      </c>
      <c r="I235" s="44">
        <v>10.185555555555601</v>
      </c>
      <c r="J235" s="45">
        <v>43692</v>
      </c>
      <c r="K235" s="44" t="s">
        <v>20</v>
      </c>
      <c r="L235" s="44">
        <v>9.98</v>
      </c>
    </row>
    <row r="236" spans="1:291" ht="35" customHeight="1">
      <c r="A236" s="74">
        <f>ROW()-2</f>
        <v>234</v>
      </c>
      <c r="B236" s="42" t="s">
        <v>4586</v>
      </c>
      <c r="C236" s="42" t="s">
        <v>4064</v>
      </c>
      <c r="D236" s="43" t="s">
        <v>4973</v>
      </c>
      <c r="E236" s="43" t="s">
        <v>4972</v>
      </c>
      <c r="F236" s="43" t="s">
        <v>4777</v>
      </c>
      <c r="G236" s="42" t="s">
        <v>34</v>
      </c>
      <c r="H236" s="42">
        <v>25</v>
      </c>
      <c r="I236" s="44">
        <v>8.6875</v>
      </c>
      <c r="J236" s="45">
        <v>43692</v>
      </c>
      <c r="K236" s="44" t="s">
        <v>20</v>
      </c>
      <c r="L236" s="44">
        <v>19</v>
      </c>
    </row>
    <row r="237" spans="1:291" ht="35" customHeight="1">
      <c r="A237" s="74">
        <f>ROW()-2</f>
        <v>235</v>
      </c>
      <c r="B237" s="42" t="s">
        <v>4586</v>
      </c>
      <c r="C237" s="42" t="s">
        <v>4064</v>
      </c>
      <c r="D237" s="43" t="s">
        <v>4974</v>
      </c>
      <c r="E237" s="43" t="s">
        <v>4975</v>
      </c>
      <c r="F237" s="43" t="s">
        <v>4777</v>
      </c>
      <c r="G237" s="42" t="s">
        <v>34</v>
      </c>
      <c r="H237" s="42">
        <v>17</v>
      </c>
      <c r="I237" s="44">
        <v>6.81111111111111</v>
      </c>
      <c r="J237" s="45">
        <v>43692</v>
      </c>
      <c r="K237" s="44" t="s">
        <v>20</v>
      </c>
      <c r="L237" s="44">
        <v>4.99</v>
      </c>
    </row>
    <row r="238" spans="1:291" ht="35" customHeight="1">
      <c r="A238" s="74">
        <f>ROW()-2</f>
        <v>236</v>
      </c>
      <c r="B238" s="42" t="s">
        <v>4586</v>
      </c>
      <c r="C238" s="42" t="s">
        <v>4064</v>
      </c>
      <c r="D238" s="43" t="s">
        <v>4976</v>
      </c>
      <c r="E238" s="43" t="s">
        <v>4977</v>
      </c>
      <c r="F238" s="43" t="s">
        <v>4978</v>
      </c>
      <c r="G238" s="42" t="s">
        <v>34</v>
      </c>
      <c r="H238" s="42">
        <v>13</v>
      </c>
      <c r="I238" s="44">
        <v>3.9052777777777798</v>
      </c>
      <c r="J238" s="45">
        <v>43692</v>
      </c>
      <c r="K238" s="44" t="s">
        <v>20</v>
      </c>
      <c r="L238" s="44">
        <v>23.6</v>
      </c>
    </row>
    <row r="239" spans="1:291" ht="35" customHeight="1">
      <c r="A239" s="74">
        <f>ROW()-2</f>
        <v>237</v>
      </c>
      <c r="B239" s="42" t="s">
        <v>4586</v>
      </c>
      <c r="C239" s="130" t="s">
        <v>4064</v>
      </c>
      <c r="D239" s="43" t="s">
        <v>4927</v>
      </c>
      <c r="E239" s="43" t="s">
        <v>457</v>
      </c>
      <c r="F239" s="43" t="s">
        <v>4600</v>
      </c>
      <c r="G239" s="42" t="s">
        <v>34</v>
      </c>
      <c r="H239" s="42">
        <v>65</v>
      </c>
      <c r="I239" s="44">
        <v>23.982222222222202</v>
      </c>
      <c r="J239" s="45">
        <v>43692</v>
      </c>
      <c r="K239" s="44" t="s">
        <v>20</v>
      </c>
      <c r="L239" s="44">
        <v>12.9</v>
      </c>
    </row>
    <row r="240" spans="1:291" ht="35" customHeight="1">
      <c r="A240" s="74">
        <f>ROW()-2</f>
        <v>238</v>
      </c>
      <c r="B240" s="42" t="s">
        <v>4586</v>
      </c>
      <c r="C240" s="42" t="s">
        <v>4064</v>
      </c>
      <c r="D240" s="43" t="s">
        <v>4979</v>
      </c>
      <c r="E240" s="43" t="s">
        <v>4980</v>
      </c>
      <c r="F240" s="43" t="s">
        <v>4978</v>
      </c>
      <c r="G240" s="42" t="s">
        <v>34</v>
      </c>
      <c r="H240" s="42">
        <v>118</v>
      </c>
      <c r="I240" s="44">
        <v>40.222499999999997</v>
      </c>
      <c r="J240" s="45">
        <v>43692</v>
      </c>
      <c r="K240" s="44" t="s">
        <v>20</v>
      </c>
      <c r="L240" s="44">
        <v>5.99</v>
      </c>
    </row>
    <row r="241" spans="1:291" ht="35" customHeight="1">
      <c r="A241" s="74">
        <f>ROW()-2</f>
        <v>239</v>
      </c>
      <c r="B241" s="42" t="s">
        <v>4586</v>
      </c>
      <c r="C241" s="130" t="s">
        <v>4064</v>
      </c>
      <c r="D241" s="43" t="s">
        <v>4117</v>
      </c>
      <c r="E241" s="43" t="s">
        <v>4118</v>
      </c>
      <c r="F241" s="43" t="s">
        <v>4981</v>
      </c>
      <c r="G241" s="42" t="s">
        <v>34</v>
      </c>
      <c r="H241" s="42">
        <v>13</v>
      </c>
      <c r="I241" s="44">
        <v>0.775555555555556</v>
      </c>
      <c r="J241" s="45">
        <v>43692</v>
      </c>
      <c r="K241" s="44" t="s">
        <v>20</v>
      </c>
      <c r="L241" s="44">
        <v>19.989999999999998</v>
      </c>
    </row>
    <row r="242" spans="1:291" ht="35" customHeight="1">
      <c r="A242" s="74">
        <f>ROW()-2</f>
        <v>240</v>
      </c>
      <c r="B242" s="42" t="s">
        <v>4586</v>
      </c>
      <c r="C242" s="42" t="s">
        <v>4064</v>
      </c>
      <c r="D242" s="43" t="s">
        <v>4982</v>
      </c>
      <c r="E242" s="43" t="s">
        <v>4983</v>
      </c>
      <c r="F242" s="43" t="s">
        <v>4984</v>
      </c>
      <c r="G242" s="42" t="s">
        <v>34</v>
      </c>
      <c r="H242" s="42">
        <v>86</v>
      </c>
      <c r="I242" s="44">
        <v>21.168333333333301</v>
      </c>
      <c r="J242" s="45">
        <v>43692</v>
      </c>
      <c r="K242" s="44" t="s">
        <v>20</v>
      </c>
      <c r="L242" s="44">
        <v>43.99</v>
      </c>
    </row>
    <row r="243" spans="1:291" ht="35" customHeight="1">
      <c r="A243" s="74">
        <f>ROW()-2</f>
        <v>241</v>
      </c>
      <c r="B243" s="42" t="s">
        <v>4586</v>
      </c>
      <c r="C243" s="42" t="s">
        <v>4064</v>
      </c>
      <c r="D243" s="43" t="s">
        <v>4985</v>
      </c>
      <c r="E243" s="43" t="s">
        <v>4986</v>
      </c>
      <c r="F243" s="43" t="s">
        <v>4987</v>
      </c>
      <c r="G243" s="42" t="s">
        <v>34</v>
      </c>
      <c r="H243" s="42">
        <v>26</v>
      </c>
      <c r="I243" s="44">
        <v>9.1138888888888907</v>
      </c>
      <c r="J243" s="45">
        <v>43692</v>
      </c>
      <c r="K243" s="44" t="s">
        <v>20</v>
      </c>
      <c r="L243" s="44">
        <v>29.99</v>
      </c>
    </row>
    <row r="244" spans="1:291" ht="35" customHeight="1">
      <c r="A244" s="74">
        <f>ROW()-2</f>
        <v>242</v>
      </c>
      <c r="B244" s="42" t="s">
        <v>4586</v>
      </c>
      <c r="C244" s="130" t="s">
        <v>4064</v>
      </c>
      <c r="D244" s="43" t="s">
        <v>4988</v>
      </c>
      <c r="E244" s="43" t="s">
        <v>4989</v>
      </c>
      <c r="F244" s="43" t="s">
        <v>4617</v>
      </c>
      <c r="G244" s="42" t="s">
        <v>34</v>
      </c>
      <c r="H244" s="42">
        <v>28</v>
      </c>
      <c r="I244" s="44">
        <v>11.72</v>
      </c>
      <c r="J244" s="45">
        <v>43692</v>
      </c>
      <c r="K244" s="44" t="s">
        <v>20</v>
      </c>
      <c r="L244" s="44">
        <v>16.899999999999999</v>
      </c>
    </row>
    <row r="245" spans="1:291" ht="35" customHeight="1">
      <c r="A245" s="74">
        <f>ROW()-2</f>
        <v>243</v>
      </c>
      <c r="B245" s="42" t="s">
        <v>4586</v>
      </c>
      <c r="C245" s="42" t="s">
        <v>4064</v>
      </c>
      <c r="D245" s="43" t="s">
        <v>4990</v>
      </c>
      <c r="E245" s="43" t="s">
        <v>4991</v>
      </c>
      <c r="F245" s="43" t="s">
        <v>4617</v>
      </c>
      <c r="G245" s="42" t="s">
        <v>34</v>
      </c>
      <c r="H245" s="42">
        <v>58</v>
      </c>
      <c r="I245" s="44">
        <v>18.106666666666701</v>
      </c>
      <c r="J245" s="45">
        <v>43692</v>
      </c>
      <c r="K245" s="44" t="s">
        <v>20</v>
      </c>
      <c r="L245" s="44">
        <v>19.899999999999999</v>
      </c>
    </row>
    <row r="246" spans="1:291" ht="35" customHeight="1">
      <c r="A246" s="74">
        <f>ROW()-2</f>
        <v>244</v>
      </c>
      <c r="B246" s="42" t="s">
        <v>4586</v>
      </c>
      <c r="C246" s="42" t="s">
        <v>4064</v>
      </c>
      <c r="D246" s="43" t="s">
        <v>4992</v>
      </c>
      <c r="E246" s="43" t="s">
        <v>4993</v>
      </c>
      <c r="F246" s="43" t="s">
        <v>4653</v>
      </c>
      <c r="G246" s="42" t="s">
        <v>34</v>
      </c>
      <c r="H246" s="42">
        <v>64</v>
      </c>
      <c r="I246" s="44">
        <v>21.3669444444444</v>
      </c>
      <c r="J246" s="45">
        <v>43692</v>
      </c>
      <c r="K246" s="44" t="s">
        <v>20</v>
      </c>
      <c r="L246" s="44">
        <v>6.98</v>
      </c>
    </row>
    <row r="247" spans="1:291" ht="35" customHeight="1">
      <c r="A247" s="74">
        <f>ROW()-2</f>
        <v>245</v>
      </c>
      <c r="B247" s="42" t="s">
        <v>4586</v>
      </c>
      <c r="C247" s="130" t="s">
        <v>4064</v>
      </c>
      <c r="D247" s="43" t="s">
        <v>4994</v>
      </c>
      <c r="E247" s="43" t="s">
        <v>4995</v>
      </c>
      <c r="F247" s="43" t="s">
        <v>4653</v>
      </c>
      <c r="G247" s="42" t="s">
        <v>34</v>
      </c>
      <c r="H247" s="42">
        <v>24</v>
      </c>
      <c r="I247" s="44">
        <v>7.8436111111111098</v>
      </c>
      <c r="J247" s="45">
        <v>43692</v>
      </c>
      <c r="K247" s="44" t="s">
        <v>20</v>
      </c>
      <c r="L247" s="44">
        <v>18.989999999999998</v>
      </c>
    </row>
    <row r="248" spans="1:291" ht="35" customHeight="1">
      <c r="A248" s="74">
        <f>ROW()-2</f>
        <v>246</v>
      </c>
      <c r="B248" s="42" t="s">
        <v>4586</v>
      </c>
      <c r="C248" s="42" t="s">
        <v>4064</v>
      </c>
      <c r="D248" s="43" t="s">
        <v>4996</v>
      </c>
      <c r="E248" s="43" t="s">
        <v>4997</v>
      </c>
      <c r="F248" s="43" t="s">
        <v>4653</v>
      </c>
      <c r="G248" s="42" t="s">
        <v>34</v>
      </c>
      <c r="H248" s="42">
        <v>121</v>
      </c>
      <c r="I248" s="44">
        <v>78.327500000000001</v>
      </c>
      <c r="J248" s="45">
        <v>43692</v>
      </c>
      <c r="K248" s="44" t="s">
        <v>20</v>
      </c>
      <c r="L248" s="44">
        <v>8</v>
      </c>
    </row>
    <row r="249" spans="1:291" s="136" customFormat="1" ht="35" customHeight="1">
      <c r="A249" s="74">
        <f>ROW()-2</f>
        <v>247</v>
      </c>
      <c r="B249" s="42" t="s">
        <v>4586</v>
      </c>
      <c r="C249" s="42" t="s">
        <v>4064</v>
      </c>
      <c r="D249" s="43" t="s">
        <v>4998</v>
      </c>
      <c r="E249" s="43" t="s">
        <v>4999</v>
      </c>
      <c r="F249" s="43" t="s">
        <v>5000</v>
      </c>
      <c r="G249" s="42" t="s">
        <v>34</v>
      </c>
      <c r="H249" s="42">
        <v>201</v>
      </c>
      <c r="I249" s="44">
        <v>76.117222222222196</v>
      </c>
      <c r="J249" s="45">
        <v>43692</v>
      </c>
      <c r="K249" s="44" t="s">
        <v>20</v>
      </c>
      <c r="L249" s="44">
        <v>10</v>
      </c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  <c r="HI249" s="31"/>
      <c r="HJ249" s="31"/>
      <c r="HK249" s="31"/>
      <c r="HL249" s="31"/>
      <c r="HM249" s="31"/>
      <c r="HN249" s="31"/>
      <c r="HO249" s="31"/>
      <c r="HP249" s="31"/>
      <c r="HQ249" s="31"/>
      <c r="HR249" s="31"/>
      <c r="HS249" s="31"/>
      <c r="HT249" s="31"/>
      <c r="HU249" s="31"/>
      <c r="HV249" s="31"/>
      <c r="HW249" s="31"/>
      <c r="HX249" s="31"/>
      <c r="HY249" s="31"/>
      <c r="HZ249" s="31"/>
      <c r="IA249" s="31"/>
      <c r="IB249" s="31"/>
      <c r="IC249" s="31"/>
      <c r="ID249" s="31"/>
      <c r="IE249" s="31"/>
      <c r="IF249" s="31"/>
      <c r="IG249" s="31"/>
      <c r="IH249" s="31"/>
      <c r="II249" s="31"/>
      <c r="IJ249" s="31"/>
      <c r="IK249" s="31"/>
      <c r="IL249" s="31"/>
      <c r="IM249" s="31"/>
      <c r="IN249" s="31"/>
      <c r="IO249" s="31"/>
      <c r="IP249" s="31"/>
      <c r="IQ249" s="31"/>
      <c r="IR249" s="31"/>
      <c r="IS249" s="31"/>
      <c r="IT249" s="31"/>
      <c r="IU249" s="31"/>
      <c r="IV249" s="31"/>
      <c r="IW249" s="31"/>
      <c r="IX249" s="31"/>
      <c r="IY249" s="31"/>
      <c r="IZ249" s="31"/>
      <c r="JA249" s="31"/>
      <c r="JB249" s="31"/>
      <c r="JC249" s="31"/>
      <c r="JD249" s="31"/>
      <c r="JE249" s="31"/>
      <c r="JF249" s="31"/>
      <c r="JG249" s="31"/>
      <c r="JH249" s="31"/>
      <c r="JI249" s="31"/>
      <c r="JJ249" s="31"/>
      <c r="JK249" s="31"/>
      <c r="JL249" s="31"/>
      <c r="JM249" s="31"/>
      <c r="JN249" s="31"/>
      <c r="JO249" s="31"/>
      <c r="JP249" s="31"/>
      <c r="JQ249" s="31"/>
      <c r="JR249" s="31"/>
      <c r="JS249" s="31"/>
      <c r="JT249" s="31"/>
      <c r="JU249" s="31"/>
      <c r="JV249" s="31"/>
      <c r="JW249" s="31"/>
      <c r="JX249" s="31"/>
      <c r="JY249" s="31"/>
      <c r="JZ249" s="31"/>
      <c r="KA249" s="31"/>
      <c r="KB249" s="31"/>
      <c r="KC249" s="31"/>
      <c r="KD249" s="31"/>
      <c r="KE249" s="31"/>
    </row>
    <row r="250" spans="1:291" s="136" customFormat="1" ht="36" customHeight="1">
      <c r="A250" s="74">
        <f>ROW()-2</f>
        <v>248</v>
      </c>
      <c r="B250" s="42" t="s">
        <v>4586</v>
      </c>
      <c r="C250" s="130" t="s">
        <v>4064</v>
      </c>
      <c r="D250" s="43" t="s">
        <v>5001</v>
      </c>
      <c r="E250" s="43" t="s">
        <v>4093</v>
      </c>
      <c r="F250" s="43" t="s">
        <v>5002</v>
      </c>
      <c r="G250" s="42" t="s">
        <v>34</v>
      </c>
      <c r="H250" s="42">
        <v>29</v>
      </c>
      <c r="I250" s="44">
        <v>10.456111111111101</v>
      </c>
      <c r="J250" s="45">
        <v>43692</v>
      </c>
      <c r="K250" s="44" t="s">
        <v>20</v>
      </c>
      <c r="L250" s="44">
        <v>12</v>
      </c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  <c r="DT250" s="31"/>
      <c r="DU250" s="31"/>
      <c r="DV250" s="31"/>
      <c r="DW250" s="31"/>
      <c r="DX250" s="31"/>
      <c r="DY250" s="31"/>
      <c r="DZ250" s="31"/>
      <c r="EA250" s="31"/>
      <c r="EB250" s="31"/>
      <c r="EC250" s="31"/>
      <c r="ED250" s="31"/>
      <c r="EE250" s="31"/>
      <c r="EF250" s="31"/>
      <c r="EG250" s="31"/>
      <c r="EH250" s="31"/>
      <c r="EI250" s="31"/>
      <c r="EJ250" s="31"/>
      <c r="EK250" s="31"/>
      <c r="EL250" s="31"/>
      <c r="EM250" s="31"/>
      <c r="EN250" s="31"/>
      <c r="EO250" s="31"/>
      <c r="EP250" s="31"/>
      <c r="EQ250" s="31"/>
      <c r="ER250" s="31"/>
      <c r="ES250" s="31"/>
      <c r="ET250" s="31"/>
      <c r="EU250" s="31"/>
      <c r="EV250" s="31"/>
      <c r="EW250" s="31"/>
      <c r="EX250" s="31"/>
      <c r="EY250" s="31"/>
      <c r="EZ250" s="31"/>
      <c r="FA250" s="31"/>
      <c r="FB250" s="31"/>
      <c r="FC250" s="31"/>
      <c r="FD250" s="31"/>
      <c r="FE250" s="31"/>
      <c r="FF250" s="31"/>
      <c r="FG250" s="31"/>
      <c r="FH250" s="31"/>
      <c r="FI250" s="31"/>
      <c r="FJ250" s="31"/>
      <c r="FK250" s="31"/>
      <c r="FL250" s="31"/>
      <c r="FM250" s="31"/>
      <c r="FN250" s="31"/>
      <c r="FO250" s="31"/>
      <c r="FP250" s="31"/>
      <c r="FQ250" s="31"/>
      <c r="FR250" s="31"/>
      <c r="FS250" s="31"/>
      <c r="FT250" s="31"/>
      <c r="FU250" s="31"/>
      <c r="FV250" s="31"/>
      <c r="FW250" s="31"/>
      <c r="FX250" s="31"/>
      <c r="FY250" s="31"/>
      <c r="FZ250" s="31"/>
      <c r="GA250" s="31"/>
      <c r="GB250" s="31"/>
      <c r="GC250" s="31"/>
      <c r="GD250" s="31"/>
      <c r="GE250" s="31"/>
      <c r="GF250" s="31"/>
      <c r="GG250" s="31"/>
      <c r="GH250" s="31"/>
      <c r="GI250" s="31"/>
      <c r="GJ250" s="31"/>
      <c r="GK250" s="31"/>
      <c r="GL250" s="31"/>
      <c r="GM250" s="31"/>
      <c r="GN250" s="31"/>
      <c r="GO250" s="31"/>
      <c r="GP250" s="31"/>
      <c r="GQ250" s="31"/>
      <c r="GR250" s="31"/>
      <c r="GS250" s="31"/>
      <c r="GT250" s="31"/>
      <c r="GU250" s="31"/>
      <c r="GV250" s="31"/>
      <c r="GW250" s="31"/>
      <c r="GX250" s="31"/>
      <c r="GY250" s="31"/>
      <c r="GZ250" s="31"/>
      <c r="HA250" s="31"/>
      <c r="HB250" s="31"/>
      <c r="HC250" s="31"/>
      <c r="HD250" s="31"/>
      <c r="HE250" s="31"/>
      <c r="HF250" s="31"/>
      <c r="HG250" s="31"/>
      <c r="HH250" s="31"/>
      <c r="HI250" s="31"/>
      <c r="HJ250" s="31"/>
      <c r="HK250" s="31"/>
      <c r="HL250" s="31"/>
      <c r="HM250" s="31"/>
      <c r="HN250" s="31"/>
      <c r="HO250" s="31"/>
      <c r="HP250" s="31"/>
      <c r="HQ250" s="31"/>
      <c r="HR250" s="31"/>
      <c r="HS250" s="31"/>
      <c r="HT250" s="31"/>
      <c r="HU250" s="31"/>
      <c r="HV250" s="31"/>
      <c r="HW250" s="31"/>
      <c r="HX250" s="31"/>
      <c r="HY250" s="31"/>
      <c r="HZ250" s="31"/>
      <c r="IA250" s="31"/>
      <c r="IB250" s="31"/>
      <c r="IC250" s="31"/>
      <c r="ID250" s="31"/>
      <c r="IE250" s="31"/>
      <c r="IF250" s="31"/>
      <c r="IG250" s="31"/>
      <c r="IH250" s="31"/>
      <c r="II250" s="31"/>
      <c r="IJ250" s="31"/>
      <c r="IK250" s="31"/>
      <c r="IL250" s="31"/>
      <c r="IM250" s="31"/>
      <c r="IN250" s="31"/>
      <c r="IO250" s="31"/>
      <c r="IP250" s="31"/>
      <c r="IQ250" s="31"/>
      <c r="IR250" s="31"/>
      <c r="IS250" s="31"/>
      <c r="IT250" s="31"/>
      <c r="IU250" s="31"/>
      <c r="IV250" s="31"/>
      <c r="IW250" s="31"/>
      <c r="IX250" s="31"/>
      <c r="IY250" s="31"/>
      <c r="IZ250" s="31"/>
      <c r="JA250" s="31"/>
      <c r="JB250" s="31"/>
      <c r="JC250" s="31"/>
      <c r="JD250" s="31"/>
      <c r="JE250" s="31"/>
      <c r="JF250" s="31"/>
      <c r="JG250" s="31"/>
      <c r="JH250" s="31"/>
      <c r="JI250" s="31"/>
      <c r="JJ250" s="31"/>
      <c r="JK250" s="31"/>
      <c r="JL250" s="31"/>
      <c r="JM250" s="31"/>
      <c r="JN250" s="31"/>
      <c r="JO250" s="31"/>
      <c r="JP250" s="31"/>
      <c r="JQ250" s="31"/>
      <c r="JR250" s="31"/>
      <c r="JS250" s="31"/>
      <c r="JT250" s="31"/>
      <c r="JU250" s="31"/>
      <c r="JV250" s="31"/>
      <c r="JW250" s="31"/>
      <c r="JX250" s="31"/>
      <c r="JY250" s="31"/>
      <c r="JZ250" s="31"/>
      <c r="KA250" s="31"/>
      <c r="KB250" s="31"/>
      <c r="KC250" s="31"/>
      <c r="KD250" s="31"/>
      <c r="KE250" s="31"/>
    </row>
    <row r="251" spans="1:291" s="136" customFormat="1" ht="35" customHeight="1">
      <c r="A251" s="74">
        <f>ROW()-2</f>
        <v>249</v>
      </c>
      <c r="B251" s="42" t="s">
        <v>4586</v>
      </c>
      <c r="C251" s="130" t="s">
        <v>4064</v>
      </c>
      <c r="D251" s="43" t="s">
        <v>5003</v>
      </c>
      <c r="E251" s="43" t="s">
        <v>5004</v>
      </c>
      <c r="F251" s="43" t="s">
        <v>5005</v>
      </c>
      <c r="G251" s="42" t="s">
        <v>34</v>
      </c>
      <c r="H251" s="42">
        <v>101</v>
      </c>
      <c r="I251" s="44">
        <v>64.487222222222201</v>
      </c>
      <c r="J251" s="45">
        <v>43692</v>
      </c>
      <c r="K251" s="44" t="s">
        <v>20</v>
      </c>
      <c r="L251" s="44">
        <v>43.2</v>
      </c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  <c r="DY251" s="31"/>
      <c r="DZ251" s="31"/>
      <c r="EA251" s="31"/>
      <c r="EB251" s="31"/>
      <c r="EC251" s="31"/>
      <c r="ED251" s="31"/>
      <c r="EE251" s="31"/>
      <c r="EF251" s="31"/>
      <c r="EG251" s="31"/>
      <c r="EH251" s="31"/>
      <c r="EI251" s="31"/>
      <c r="EJ251" s="31"/>
      <c r="EK251" s="31"/>
      <c r="EL251" s="31"/>
      <c r="EM251" s="31"/>
      <c r="EN251" s="31"/>
      <c r="EO251" s="31"/>
      <c r="EP251" s="31"/>
      <c r="EQ251" s="31"/>
      <c r="ER251" s="31"/>
      <c r="ES251" s="31"/>
      <c r="ET251" s="31"/>
      <c r="EU251" s="31"/>
      <c r="EV251" s="31"/>
      <c r="EW251" s="31"/>
      <c r="EX251" s="31"/>
      <c r="EY251" s="31"/>
      <c r="EZ251" s="31"/>
      <c r="FA251" s="31"/>
      <c r="FB251" s="31"/>
      <c r="FC251" s="31"/>
      <c r="FD251" s="31"/>
      <c r="FE251" s="31"/>
      <c r="FF251" s="31"/>
      <c r="FG251" s="31"/>
      <c r="FH251" s="31"/>
      <c r="FI251" s="31"/>
      <c r="FJ251" s="31"/>
      <c r="FK251" s="31"/>
      <c r="FL251" s="31"/>
      <c r="FM251" s="31"/>
      <c r="FN251" s="31"/>
      <c r="FO251" s="31"/>
      <c r="FP251" s="31"/>
      <c r="FQ251" s="31"/>
      <c r="FR251" s="31"/>
      <c r="FS251" s="31"/>
      <c r="FT251" s="31"/>
      <c r="FU251" s="31"/>
      <c r="FV251" s="31"/>
      <c r="FW251" s="31"/>
      <c r="FX251" s="31"/>
      <c r="FY251" s="31"/>
      <c r="FZ251" s="31"/>
      <c r="GA251" s="31"/>
      <c r="GB251" s="31"/>
      <c r="GC251" s="31"/>
      <c r="GD251" s="31"/>
      <c r="GE251" s="31"/>
      <c r="GF251" s="31"/>
      <c r="GG251" s="31"/>
      <c r="GH251" s="31"/>
      <c r="GI251" s="31"/>
      <c r="GJ251" s="31"/>
      <c r="GK251" s="31"/>
      <c r="GL251" s="31"/>
      <c r="GM251" s="31"/>
      <c r="GN251" s="31"/>
      <c r="GO251" s="31"/>
      <c r="GP251" s="31"/>
      <c r="GQ251" s="31"/>
      <c r="GR251" s="31"/>
      <c r="GS251" s="31"/>
      <c r="GT251" s="31"/>
      <c r="GU251" s="31"/>
      <c r="GV251" s="31"/>
      <c r="GW251" s="31"/>
      <c r="GX251" s="31"/>
      <c r="GY251" s="31"/>
      <c r="GZ251" s="31"/>
      <c r="HA251" s="31"/>
      <c r="HB251" s="31"/>
      <c r="HC251" s="31"/>
      <c r="HD251" s="31"/>
      <c r="HE251" s="31"/>
      <c r="HF251" s="31"/>
      <c r="HG251" s="31"/>
      <c r="HH251" s="31"/>
      <c r="HI251" s="31"/>
      <c r="HJ251" s="31"/>
      <c r="HK251" s="31"/>
      <c r="HL251" s="31"/>
      <c r="HM251" s="31"/>
      <c r="HN251" s="31"/>
      <c r="HO251" s="31"/>
      <c r="HP251" s="31"/>
      <c r="HQ251" s="31"/>
      <c r="HR251" s="31"/>
      <c r="HS251" s="31"/>
      <c r="HT251" s="31"/>
      <c r="HU251" s="31"/>
      <c r="HV251" s="31"/>
      <c r="HW251" s="31"/>
      <c r="HX251" s="31"/>
      <c r="HY251" s="31"/>
      <c r="HZ251" s="31"/>
      <c r="IA251" s="31"/>
      <c r="IB251" s="31"/>
      <c r="IC251" s="31"/>
      <c r="ID251" s="31"/>
      <c r="IE251" s="31"/>
      <c r="IF251" s="31"/>
      <c r="IG251" s="31"/>
      <c r="IH251" s="31"/>
      <c r="II251" s="31"/>
      <c r="IJ251" s="31"/>
      <c r="IK251" s="31"/>
      <c r="IL251" s="31"/>
      <c r="IM251" s="31"/>
      <c r="IN251" s="31"/>
      <c r="IO251" s="31"/>
      <c r="IP251" s="31"/>
      <c r="IQ251" s="31"/>
      <c r="IR251" s="31"/>
      <c r="IS251" s="31"/>
      <c r="IT251" s="31"/>
      <c r="IU251" s="31"/>
      <c r="IV251" s="31"/>
      <c r="IW251" s="31"/>
      <c r="IX251" s="31"/>
      <c r="IY251" s="31"/>
      <c r="IZ251" s="31"/>
      <c r="JA251" s="31"/>
      <c r="JB251" s="31"/>
      <c r="JC251" s="31"/>
      <c r="JD251" s="31"/>
      <c r="JE251" s="31"/>
      <c r="JF251" s="31"/>
      <c r="JG251" s="31"/>
      <c r="JH251" s="31"/>
      <c r="JI251" s="31"/>
      <c r="JJ251" s="31"/>
      <c r="JK251" s="31"/>
      <c r="JL251" s="31"/>
      <c r="JM251" s="31"/>
      <c r="JN251" s="31"/>
      <c r="JO251" s="31"/>
      <c r="JP251" s="31"/>
      <c r="JQ251" s="31"/>
      <c r="JR251" s="31"/>
      <c r="JS251" s="31"/>
      <c r="JT251" s="31"/>
      <c r="JU251" s="31"/>
      <c r="JV251" s="31"/>
      <c r="JW251" s="31"/>
      <c r="JX251" s="31"/>
      <c r="JY251" s="31"/>
      <c r="JZ251" s="31"/>
      <c r="KA251" s="31"/>
      <c r="KB251" s="31"/>
      <c r="KC251" s="31"/>
      <c r="KD251" s="31"/>
      <c r="KE251" s="31"/>
    </row>
    <row r="252" spans="1:291" s="136" customFormat="1" ht="35" customHeight="1">
      <c r="A252" s="74">
        <f>ROW()-2</f>
        <v>250</v>
      </c>
      <c r="B252" s="42" t="s">
        <v>4586</v>
      </c>
      <c r="C252" s="130" t="s">
        <v>4064</v>
      </c>
      <c r="D252" s="43" t="s">
        <v>5006</v>
      </c>
      <c r="E252" s="43" t="s">
        <v>5007</v>
      </c>
      <c r="F252" s="43" t="s">
        <v>5000</v>
      </c>
      <c r="G252" s="42" t="s">
        <v>34</v>
      </c>
      <c r="H252" s="42">
        <v>19</v>
      </c>
      <c r="I252" s="44">
        <v>6.4561111111111096</v>
      </c>
      <c r="J252" s="45">
        <v>43692</v>
      </c>
      <c r="K252" s="44" t="s">
        <v>20</v>
      </c>
      <c r="L252" s="44">
        <v>22.99</v>
      </c>
    </row>
    <row r="253" spans="1:291" ht="35" customHeight="1">
      <c r="A253" s="74">
        <f>ROW()-2</f>
        <v>251</v>
      </c>
      <c r="B253" s="42" t="s">
        <v>4586</v>
      </c>
      <c r="C253" s="42" t="s">
        <v>4064</v>
      </c>
      <c r="D253" s="43" t="s">
        <v>5008</v>
      </c>
      <c r="E253" s="43" t="s">
        <v>5009</v>
      </c>
      <c r="F253" s="43" t="s">
        <v>5010</v>
      </c>
      <c r="G253" s="42" t="s">
        <v>34</v>
      </c>
      <c r="H253" s="42">
        <v>17</v>
      </c>
      <c r="I253" s="44">
        <v>6.4175000000000004</v>
      </c>
      <c r="J253" s="45">
        <v>43692</v>
      </c>
      <c r="K253" s="44" t="s">
        <v>20</v>
      </c>
      <c r="L253" s="44">
        <v>19.899999999999999</v>
      </c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  <c r="BI253" s="136"/>
      <c r="BJ253" s="136"/>
      <c r="BK253" s="136"/>
      <c r="BL253" s="136"/>
      <c r="BM253" s="136"/>
      <c r="BN253" s="136"/>
      <c r="BO253" s="136"/>
      <c r="BP253" s="136"/>
      <c r="BQ253" s="136"/>
      <c r="BR253" s="136"/>
      <c r="BS253" s="136"/>
      <c r="BT253" s="136"/>
      <c r="BU253" s="136"/>
      <c r="BV253" s="136"/>
      <c r="BW253" s="136"/>
      <c r="BX253" s="136"/>
      <c r="BY253" s="136"/>
      <c r="BZ253" s="136"/>
      <c r="CA253" s="136"/>
      <c r="CB253" s="136"/>
      <c r="CC253" s="136"/>
      <c r="CD253" s="136"/>
      <c r="CE253" s="136"/>
      <c r="CF253" s="136"/>
      <c r="CG253" s="136"/>
      <c r="CH253" s="136"/>
      <c r="CI253" s="136"/>
      <c r="CJ253" s="136"/>
      <c r="CK253" s="136"/>
      <c r="CL253" s="136"/>
      <c r="CM253" s="136"/>
      <c r="CN253" s="136"/>
      <c r="CO253" s="136"/>
      <c r="CP253" s="136"/>
      <c r="CQ253" s="136"/>
      <c r="CR253" s="136"/>
      <c r="CS253" s="136"/>
      <c r="CT253" s="136"/>
      <c r="CU253" s="136"/>
      <c r="CV253" s="136"/>
      <c r="CW253" s="136"/>
      <c r="CX253" s="136"/>
      <c r="CY253" s="136"/>
      <c r="CZ253" s="136"/>
      <c r="DA253" s="136"/>
      <c r="DB253" s="136"/>
      <c r="DC253" s="136"/>
      <c r="DD253" s="136"/>
      <c r="DE253" s="136"/>
      <c r="DF253" s="136"/>
      <c r="DG253" s="136"/>
      <c r="DH253" s="136"/>
      <c r="DI253" s="136"/>
      <c r="DJ253" s="136"/>
      <c r="DK253" s="136"/>
      <c r="DL253" s="136"/>
      <c r="DM253" s="136"/>
      <c r="DN253" s="136"/>
      <c r="DO253" s="136"/>
      <c r="DP253" s="136"/>
      <c r="DQ253" s="136"/>
      <c r="DR253" s="136"/>
      <c r="DS253" s="136"/>
      <c r="DT253" s="136"/>
      <c r="DU253" s="136"/>
      <c r="DV253" s="136"/>
      <c r="DW253" s="136"/>
      <c r="DX253" s="136"/>
      <c r="DY253" s="136"/>
      <c r="DZ253" s="136"/>
      <c r="EA253" s="136"/>
      <c r="EB253" s="136"/>
      <c r="EC253" s="136"/>
      <c r="ED253" s="136"/>
      <c r="EE253" s="136"/>
      <c r="EF253" s="136"/>
      <c r="EG253" s="136"/>
      <c r="EH253" s="136"/>
      <c r="EI253" s="136"/>
      <c r="EJ253" s="136"/>
      <c r="EK253" s="136"/>
      <c r="EL253" s="136"/>
      <c r="EM253" s="136"/>
      <c r="EN253" s="136"/>
      <c r="EO253" s="136"/>
      <c r="EP253" s="136"/>
      <c r="EQ253" s="136"/>
      <c r="ER253" s="136"/>
      <c r="ES253" s="136"/>
      <c r="ET253" s="136"/>
      <c r="EU253" s="136"/>
      <c r="EV253" s="136"/>
      <c r="EW253" s="136"/>
      <c r="EX253" s="136"/>
      <c r="EY253" s="136"/>
      <c r="EZ253" s="136"/>
      <c r="FA253" s="136"/>
      <c r="FB253" s="136"/>
      <c r="FC253" s="136"/>
      <c r="FD253" s="136"/>
      <c r="FE253" s="136"/>
      <c r="FF253" s="136"/>
      <c r="FG253" s="136"/>
      <c r="FH253" s="136"/>
      <c r="FI253" s="136"/>
      <c r="FJ253" s="136"/>
      <c r="FK253" s="136"/>
      <c r="FL253" s="136"/>
      <c r="FM253" s="136"/>
      <c r="FN253" s="136"/>
      <c r="FO253" s="136"/>
      <c r="FP253" s="136"/>
      <c r="FQ253" s="136"/>
      <c r="FR253" s="136"/>
      <c r="FS253" s="136"/>
      <c r="FT253" s="136"/>
      <c r="FU253" s="136"/>
      <c r="FV253" s="136"/>
      <c r="FW253" s="136"/>
      <c r="FX253" s="136"/>
      <c r="FY253" s="136"/>
      <c r="FZ253" s="136"/>
      <c r="GA253" s="136"/>
      <c r="GB253" s="136"/>
      <c r="GC253" s="136"/>
      <c r="GD253" s="136"/>
      <c r="GE253" s="136"/>
      <c r="GF253" s="136"/>
      <c r="GG253" s="136"/>
      <c r="GH253" s="136"/>
      <c r="GI253" s="136"/>
      <c r="GJ253" s="136"/>
      <c r="GK253" s="136"/>
      <c r="GL253" s="136"/>
      <c r="GM253" s="136"/>
      <c r="GN253" s="136"/>
      <c r="GO253" s="136"/>
      <c r="GP253" s="136"/>
      <c r="GQ253" s="136"/>
      <c r="GR253" s="136"/>
      <c r="GS253" s="136"/>
      <c r="GT253" s="136"/>
      <c r="GU253" s="136"/>
      <c r="GV253" s="136"/>
      <c r="GW253" s="136"/>
      <c r="GX253" s="136"/>
      <c r="GY253" s="136"/>
      <c r="GZ253" s="136"/>
      <c r="HA253" s="136"/>
      <c r="HB253" s="136"/>
      <c r="HC253" s="136"/>
      <c r="HD253" s="136"/>
      <c r="HE253" s="136"/>
      <c r="HF253" s="136"/>
      <c r="HG253" s="136"/>
      <c r="HH253" s="136"/>
      <c r="HI253" s="136"/>
      <c r="HJ253" s="136"/>
      <c r="HK253" s="136"/>
      <c r="HL253" s="136"/>
      <c r="HM253" s="136"/>
      <c r="HN253" s="136"/>
      <c r="HO253" s="136"/>
      <c r="HP253" s="136"/>
      <c r="HQ253" s="136"/>
      <c r="HR253" s="136"/>
      <c r="HS253" s="136"/>
      <c r="HT253" s="136"/>
      <c r="HU253" s="136"/>
      <c r="HV253" s="136"/>
      <c r="HW253" s="136"/>
      <c r="HX253" s="136"/>
      <c r="HY253" s="136"/>
      <c r="HZ253" s="136"/>
      <c r="IA253" s="136"/>
      <c r="IB253" s="136"/>
      <c r="IC253" s="136"/>
      <c r="ID253" s="136"/>
      <c r="IE253" s="136"/>
      <c r="IF253" s="136"/>
      <c r="IG253" s="136"/>
      <c r="IH253" s="136"/>
      <c r="II253" s="136"/>
      <c r="IJ253" s="136"/>
      <c r="IK253" s="136"/>
      <c r="IL253" s="136"/>
      <c r="IM253" s="136"/>
      <c r="IN253" s="136"/>
      <c r="IO253" s="136"/>
      <c r="IP253" s="136"/>
      <c r="IQ253" s="136"/>
      <c r="IR253" s="136"/>
      <c r="IS253" s="136"/>
      <c r="IT253" s="136"/>
      <c r="IU253" s="136"/>
      <c r="IV253" s="136"/>
      <c r="IW253" s="136"/>
      <c r="IX253" s="136"/>
      <c r="IY253" s="136"/>
      <c r="IZ253" s="136"/>
      <c r="JA253" s="136"/>
      <c r="JB253" s="136"/>
      <c r="JC253" s="136"/>
      <c r="JD253" s="136"/>
      <c r="JE253" s="136"/>
      <c r="JF253" s="136"/>
      <c r="JG253" s="136"/>
      <c r="JH253" s="136"/>
      <c r="JI253" s="136"/>
      <c r="JJ253" s="136"/>
      <c r="JK253" s="136"/>
      <c r="JL253" s="136"/>
      <c r="JM253" s="136"/>
      <c r="JN253" s="136"/>
      <c r="JO253" s="136"/>
      <c r="JP253" s="136"/>
      <c r="JQ253" s="136"/>
      <c r="JR253" s="136"/>
      <c r="JS253" s="136"/>
      <c r="JT253" s="136"/>
      <c r="JU253" s="136"/>
      <c r="JV253" s="136"/>
      <c r="JW253" s="136"/>
      <c r="JX253" s="136"/>
      <c r="JY253" s="136"/>
      <c r="JZ253" s="136"/>
      <c r="KA253" s="136"/>
      <c r="KB253" s="136"/>
      <c r="KC253" s="136"/>
      <c r="KD253" s="136"/>
      <c r="KE253" s="136"/>
    </row>
    <row r="254" spans="1:291" ht="35" customHeight="1">
      <c r="A254" s="74">
        <f>ROW()-2</f>
        <v>252</v>
      </c>
      <c r="B254" s="42" t="s">
        <v>4586</v>
      </c>
      <c r="C254" s="130" t="s">
        <v>4064</v>
      </c>
      <c r="D254" s="43" t="s">
        <v>5011</v>
      </c>
      <c r="E254" s="43" t="s">
        <v>4148</v>
      </c>
      <c r="F254" s="43" t="s">
        <v>5012</v>
      </c>
      <c r="G254" s="42" t="s">
        <v>34</v>
      </c>
      <c r="H254" s="42">
        <v>63</v>
      </c>
      <c r="I254" s="44">
        <v>22.9661111111111</v>
      </c>
      <c r="J254" s="45">
        <v>43692</v>
      </c>
      <c r="K254" s="44" t="s">
        <v>20</v>
      </c>
      <c r="L254" s="44">
        <v>18</v>
      </c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  <c r="BE254" s="136"/>
      <c r="BF254" s="136"/>
      <c r="BG254" s="136"/>
      <c r="BH254" s="136"/>
      <c r="BI254" s="136"/>
      <c r="BJ254" s="136"/>
      <c r="BK254" s="136"/>
      <c r="BL254" s="136"/>
      <c r="BM254" s="136"/>
      <c r="BN254" s="136"/>
      <c r="BO254" s="136"/>
      <c r="BP254" s="136"/>
      <c r="BQ254" s="136"/>
      <c r="BR254" s="136"/>
      <c r="BS254" s="136"/>
      <c r="BT254" s="136"/>
      <c r="BU254" s="136"/>
      <c r="BV254" s="136"/>
      <c r="BW254" s="136"/>
      <c r="BX254" s="136"/>
      <c r="BY254" s="136"/>
      <c r="BZ254" s="136"/>
      <c r="CA254" s="136"/>
      <c r="CB254" s="136"/>
      <c r="CC254" s="136"/>
      <c r="CD254" s="136"/>
      <c r="CE254" s="136"/>
      <c r="CF254" s="136"/>
      <c r="CG254" s="136"/>
      <c r="CH254" s="136"/>
      <c r="CI254" s="136"/>
      <c r="CJ254" s="136"/>
      <c r="CK254" s="136"/>
      <c r="CL254" s="136"/>
      <c r="CM254" s="136"/>
      <c r="CN254" s="136"/>
      <c r="CO254" s="136"/>
      <c r="CP254" s="136"/>
      <c r="CQ254" s="136"/>
      <c r="CR254" s="136"/>
      <c r="CS254" s="136"/>
      <c r="CT254" s="136"/>
      <c r="CU254" s="136"/>
      <c r="CV254" s="136"/>
      <c r="CW254" s="136"/>
      <c r="CX254" s="136"/>
      <c r="CY254" s="136"/>
      <c r="CZ254" s="136"/>
      <c r="DA254" s="136"/>
      <c r="DB254" s="136"/>
      <c r="DC254" s="136"/>
      <c r="DD254" s="136"/>
      <c r="DE254" s="136"/>
      <c r="DF254" s="136"/>
      <c r="DG254" s="136"/>
      <c r="DH254" s="136"/>
      <c r="DI254" s="136"/>
      <c r="DJ254" s="136"/>
      <c r="DK254" s="136"/>
      <c r="DL254" s="136"/>
      <c r="DM254" s="136"/>
      <c r="DN254" s="136"/>
      <c r="DO254" s="136"/>
      <c r="DP254" s="136"/>
      <c r="DQ254" s="136"/>
      <c r="DR254" s="136"/>
      <c r="DS254" s="136"/>
      <c r="DT254" s="136"/>
      <c r="DU254" s="136"/>
      <c r="DV254" s="136"/>
      <c r="DW254" s="136"/>
      <c r="DX254" s="136"/>
      <c r="DY254" s="136"/>
      <c r="DZ254" s="136"/>
      <c r="EA254" s="136"/>
      <c r="EB254" s="136"/>
      <c r="EC254" s="136"/>
      <c r="ED254" s="136"/>
      <c r="EE254" s="136"/>
      <c r="EF254" s="136"/>
      <c r="EG254" s="136"/>
      <c r="EH254" s="136"/>
      <c r="EI254" s="136"/>
      <c r="EJ254" s="136"/>
      <c r="EK254" s="136"/>
      <c r="EL254" s="136"/>
      <c r="EM254" s="136"/>
      <c r="EN254" s="136"/>
      <c r="EO254" s="136"/>
      <c r="EP254" s="136"/>
      <c r="EQ254" s="136"/>
      <c r="ER254" s="136"/>
      <c r="ES254" s="136"/>
      <c r="ET254" s="136"/>
      <c r="EU254" s="136"/>
      <c r="EV254" s="136"/>
      <c r="EW254" s="136"/>
      <c r="EX254" s="136"/>
      <c r="EY254" s="136"/>
      <c r="EZ254" s="136"/>
      <c r="FA254" s="136"/>
      <c r="FB254" s="136"/>
      <c r="FC254" s="136"/>
      <c r="FD254" s="136"/>
      <c r="FE254" s="136"/>
      <c r="FF254" s="136"/>
      <c r="FG254" s="136"/>
      <c r="FH254" s="136"/>
      <c r="FI254" s="136"/>
      <c r="FJ254" s="136"/>
      <c r="FK254" s="136"/>
      <c r="FL254" s="136"/>
      <c r="FM254" s="136"/>
      <c r="FN254" s="136"/>
      <c r="FO254" s="136"/>
      <c r="FP254" s="136"/>
      <c r="FQ254" s="136"/>
      <c r="FR254" s="136"/>
      <c r="FS254" s="136"/>
      <c r="FT254" s="136"/>
      <c r="FU254" s="136"/>
      <c r="FV254" s="136"/>
      <c r="FW254" s="136"/>
      <c r="FX254" s="136"/>
      <c r="FY254" s="136"/>
      <c r="FZ254" s="136"/>
      <c r="GA254" s="136"/>
      <c r="GB254" s="136"/>
      <c r="GC254" s="136"/>
      <c r="GD254" s="136"/>
      <c r="GE254" s="136"/>
      <c r="GF254" s="136"/>
      <c r="GG254" s="136"/>
      <c r="GH254" s="136"/>
      <c r="GI254" s="136"/>
      <c r="GJ254" s="136"/>
      <c r="GK254" s="136"/>
      <c r="GL254" s="136"/>
      <c r="GM254" s="136"/>
      <c r="GN254" s="136"/>
      <c r="GO254" s="136"/>
      <c r="GP254" s="136"/>
      <c r="GQ254" s="136"/>
      <c r="GR254" s="136"/>
      <c r="GS254" s="136"/>
      <c r="GT254" s="136"/>
      <c r="GU254" s="136"/>
      <c r="GV254" s="136"/>
      <c r="GW254" s="136"/>
      <c r="GX254" s="136"/>
      <c r="GY254" s="136"/>
      <c r="GZ254" s="136"/>
      <c r="HA254" s="136"/>
      <c r="HB254" s="136"/>
      <c r="HC254" s="136"/>
      <c r="HD254" s="136"/>
      <c r="HE254" s="136"/>
      <c r="HF254" s="136"/>
      <c r="HG254" s="136"/>
      <c r="HH254" s="136"/>
      <c r="HI254" s="136"/>
      <c r="HJ254" s="136"/>
      <c r="HK254" s="136"/>
      <c r="HL254" s="136"/>
      <c r="HM254" s="136"/>
      <c r="HN254" s="136"/>
      <c r="HO254" s="136"/>
      <c r="HP254" s="136"/>
      <c r="HQ254" s="136"/>
      <c r="HR254" s="136"/>
      <c r="HS254" s="136"/>
      <c r="HT254" s="136"/>
      <c r="HU254" s="136"/>
      <c r="HV254" s="136"/>
      <c r="HW254" s="136"/>
      <c r="HX254" s="136"/>
      <c r="HY254" s="136"/>
      <c r="HZ254" s="136"/>
      <c r="IA254" s="136"/>
      <c r="IB254" s="136"/>
      <c r="IC254" s="136"/>
      <c r="ID254" s="136"/>
      <c r="IE254" s="136"/>
      <c r="IF254" s="136"/>
      <c r="IG254" s="136"/>
      <c r="IH254" s="136"/>
      <c r="II254" s="136"/>
      <c r="IJ254" s="136"/>
      <c r="IK254" s="136"/>
      <c r="IL254" s="136"/>
      <c r="IM254" s="136"/>
      <c r="IN254" s="136"/>
      <c r="IO254" s="136"/>
      <c r="IP254" s="136"/>
      <c r="IQ254" s="136"/>
      <c r="IR254" s="136"/>
      <c r="IS254" s="136"/>
      <c r="IT254" s="136"/>
      <c r="IU254" s="136"/>
      <c r="IV254" s="136"/>
      <c r="IW254" s="136"/>
      <c r="IX254" s="136"/>
      <c r="IY254" s="136"/>
      <c r="IZ254" s="136"/>
      <c r="JA254" s="136"/>
      <c r="JB254" s="136"/>
      <c r="JC254" s="136"/>
      <c r="JD254" s="136"/>
      <c r="JE254" s="136"/>
      <c r="JF254" s="136"/>
      <c r="JG254" s="136"/>
      <c r="JH254" s="136"/>
      <c r="JI254" s="136"/>
      <c r="JJ254" s="136"/>
      <c r="JK254" s="136"/>
      <c r="JL254" s="136"/>
      <c r="JM254" s="136"/>
      <c r="JN254" s="136"/>
      <c r="JO254" s="136"/>
      <c r="JP254" s="136"/>
      <c r="JQ254" s="136"/>
      <c r="JR254" s="136"/>
      <c r="JS254" s="136"/>
      <c r="JT254" s="136"/>
      <c r="JU254" s="136"/>
      <c r="JV254" s="136"/>
      <c r="JW254" s="136"/>
      <c r="JX254" s="136"/>
      <c r="JY254" s="136"/>
      <c r="JZ254" s="136"/>
      <c r="KA254" s="136"/>
      <c r="KB254" s="136"/>
      <c r="KC254" s="136"/>
      <c r="KD254" s="136"/>
      <c r="KE254" s="136"/>
    </row>
    <row r="255" spans="1:291" ht="35" customHeight="1">
      <c r="A255" s="74">
        <f>ROW()-2</f>
        <v>253</v>
      </c>
      <c r="B255" s="42" t="s">
        <v>4586</v>
      </c>
      <c r="C255" s="42" t="s">
        <v>4064</v>
      </c>
      <c r="D255" s="43" t="s">
        <v>5013</v>
      </c>
      <c r="E255" s="43" t="s">
        <v>5014</v>
      </c>
      <c r="F255" s="43" t="s">
        <v>5015</v>
      </c>
      <c r="G255" s="42" t="s">
        <v>34</v>
      </c>
      <c r="H255" s="42">
        <v>42</v>
      </c>
      <c r="I255" s="44">
        <v>13.6977777777778</v>
      </c>
      <c r="J255" s="45">
        <v>43692</v>
      </c>
      <c r="K255" s="44" t="s">
        <v>20</v>
      </c>
      <c r="L255" s="44">
        <v>9</v>
      </c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  <c r="BI255" s="136"/>
      <c r="BJ255" s="136"/>
      <c r="BK255" s="136"/>
      <c r="BL255" s="136"/>
      <c r="BM255" s="136"/>
      <c r="BN255" s="136"/>
      <c r="BO255" s="136"/>
      <c r="BP255" s="136"/>
      <c r="BQ255" s="136"/>
      <c r="BR255" s="136"/>
      <c r="BS255" s="136"/>
      <c r="BT255" s="136"/>
      <c r="BU255" s="136"/>
      <c r="BV255" s="136"/>
      <c r="BW255" s="136"/>
      <c r="BX255" s="136"/>
      <c r="BY255" s="136"/>
      <c r="BZ255" s="136"/>
      <c r="CA255" s="136"/>
      <c r="CB255" s="136"/>
      <c r="CC255" s="136"/>
      <c r="CD255" s="136"/>
      <c r="CE255" s="136"/>
      <c r="CF255" s="136"/>
      <c r="CG255" s="136"/>
      <c r="CH255" s="136"/>
      <c r="CI255" s="136"/>
      <c r="CJ255" s="136"/>
      <c r="CK255" s="136"/>
      <c r="CL255" s="136"/>
      <c r="CM255" s="136"/>
      <c r="CN255" s="136"/>
      <c r="CO255" s="136"/>
      <c r="CP255" s="136"/>
      <c r="CQ255" s="136"/>
      <c r="CR255" s="136"/>
      <c r="CS255" s="136"/>
      <c r="CT255" s="136"/>
      <c r="CU255" s="136"/>
      <c r="CV255" s="136"/>
      <c r="CW255" s="136"/>
      <c r="CX255" s="136"/>
      <c r="CY255" s="136"/>
      <c r="CZ255" s="136"/>
      <c r="DA255" s="136"/>
      <c r="DB255" s="136"/>
      <c r="DC255" s="136"/>
      <c r="DD255" s="136"/>
      <c r="DE255" s="136"/>
      <c r="DF255" s="136"/>
      <c r="DG255" s="136"/>
      <c r="DH255" s="136"/>
      <c r="DI255" s="136"/>
      <c r="DJ255" s="136"/>
      <c r="DK255" s="136"/>
      <c r="DL255" s="136"/>
      <c r="DM255" s="136"/>
      <c r="DN255" s="136"/>
      <c r="DO255" s="136"/>
      <c r="DP255" s="136"/>
      <c r="DQ255" s="136"/>
      <c r="DR255" s="136"/>
      <c r="DS255" s="136"/>
      <c r="DT255" s="136"/>
      <c r="DU255" s="136"/>
      <c r="DV255" s="136"/>
      <c r="DW255" s="136"/>
      <c r="DX255" s="136"/>
      <c r="DY255" s="136"/>
      <c r="DZ255" s="136"/>
      <c r="EA255" s="136"/>
      <c r="EB255" s="136"/>
      <c r="EC255" s="136"/>
      <c r="ED255" s="136"/>
      <c r="EE255" s="136"/>
      <c r="EF255" s="136"/>
      <c r="EG255" s="136"/>
      <c r="EH255" s="136"/>
      <c r="EI255" s="136"/>
      <c r="EJ255" s="136"/>
      <c r="EK255" s="136"/>
      <c r="EL255" s="136"/>
      <c r="EM255" s="136"/>
      <c r="EN255" s="136"/>
      <c r="EO255" s="136"/>
      <c r="EP255" s="136"/>
      <c r="EQ255" s="136"/>
      <c r="ER255" s="136"/>
      <c r="ES255" s="136"/>
      <c r="ET255" s="136"/>
      <c r="EU255" s="136"/>
      <c r="EV255" s="136"/>
      <c r="EW255" s="136"/>
      <c r="EX255" s="136"/>
      <c r="EY255" s="136"/>
      <c r="EZ255" s="136"/>
      <c r="FA255" s="136"/>
      <c r="FB255" s="136"/>
      <c r="FC255" s="136"/>
      <c r="FD255" s="136"/>
      <c r="FE255" s="136"/>
      <c r="FF255" s="136"/>
      <c r="FG255" s="136"/>
      <c r="FH255" s="136"/>
      <c r="FI255" s="136"/>
      <c r="FJ255" s="136"/>
      <c r="FK255" s="136"/>
      <c r="FL255" s="136"/>
      <c r="FM255" s="136"/>
      <c r="FN255" s="136"/>
      <c r="FO255" s="136"/>
      <c r="FP255" s="136"/>
      <c r="FQ255" s="136"/>
      <c r="FR255" s="136"/>
      <c r="FS255" s="136"/>
      <c r="FT255" s="136"/>
      <c r="FU255" s="136"/>
      <c r="FV255" s="136"/>
      <c r="FW255" s="136"/>
      <c r="FX255" s="136"/>
      <c r="FY255" s="136"/>
      <c r="FZ255" s="136"/>
      <c r="GA255" s="136"/>
      <c r="GB255" s="136"/>
      <c r="GC255" s="136"/>
      <c r="GD255" s="136"/>
      <c r="GE255" s="136"/>
      <c r="GF255" s="136"/>
      <c r="GG255" s="136"/>
      <c r="GH255" s="136"/>
      <c r="GI255" s="136"/>
      <c r="GJ255" s="136"/>
      <c r="GK255" s="136"/>
      <c r="GL255" s="136"/>
      <c r="GM255" s="136"/>
      <c r="GN255" s="136"/>
      <c r="GO255" s="136"/>
      <c r="GP255" s="136"/>
      <c r="GQ255" s="136"/>
      <c r="GR255" s="136"/>
      <c r="GS255" s="136"/>
      <c r="GT255" s="136"/>
      <c r="GU255" s="136"/>
      <c r="GV255" s="136"/>
      <c r="GW255" s="136"/>
      <c r="GX255" s="136"/>
      <c r="GY255" s="136"/>
      <c r="GZ255" s="136"/>
      <c r="HA255" s="136"/>
      <c r="HB255" s="136"/>
      <c r="HC255" s="136"/>
      <c r="HD255" s="136"/>
      <c r="HE255" s="136"/>
      <c r="HF255" s="136"/>
      <c r="HG255" s="136"/>
      <c r="HH255" s="136"/>
      <c r="HI255" s="136"/>
      <c r="HJ255" s="136"/>
      <c r="HK255" s="136"/>
      <c r="HL255" s="136"/>
      <c r="HM255" s="136"/>
      <c r="HN255" s="136"/>
      <c r="HO255" s="136"/>
      <c r="HP255" s="136"/>
      <c r="HQ255" s="136"/>
      <c r="HR255" s="136"/>
      <c r="HS255" s="136"/>
      <c r="HT255" s="136"/>
      <c r="HU255" s="136"/>
      <c r="HV255" s="136"/>
      <c r="HW255" s="136"/>
      <c r="HX255" s="136"/>
      <c r="HY255" s="136"/>
      <c r="HZ255" s="136"/>
      <c r="IA255" s="136"/>
      <c r="IB255" s="136"/>
      <c r="IC255" s="136"/>
      <c r="ID255" s="136"/>
      <c r="IE255" s="136"/>
      <c r="IF255" s="136"/>
      <c r="IG255" s="136"/>
      <c r="IH255" s="136"/>
      <c r="II255" s="136"/>
      <c r="IJ255" s="136"/>
      <c r="IK255" s="136"/>
      <c r="IL255" s="136"/>
      <c r="IM255" s="136"/>
      <c r="IN255" s="136"/>
      <c r="IO255" s="136"/>
      <c r="IP255" s="136"/>
      <c r="IQ255" s="136"/>
      <c r="IR255" s="136"/>
      <c r="IS255" s="136"/>
      <c r="IT255" s="136"/>
      <c r="IU255" s="136"/>
      <c r="IV255" s="136"/>
      <c r="IW255" s="136"/>
      <c r="IX255" s="136"/>
      <c r="IY255" s="136"/>
      <c r="IZ255" s="136"/>
      <c r="JA255" s="136"/>
      <c r="JB255" s="136"/>
      <c r="JC255" s="136"/>
      <c r="JD255" s="136"/>
      <c r="JE255" s="136"/>
      <c r="JF255" s="136"/>
      <c r="JG255" s="136"/>
      <c r="JH255" s="136"/>
      <c r="JI255" s="136"/>
      <c r="JJ255" s="136"/>
      <c r="JK255" s="136"/>
      <c r="JL255" s="136"/>
      <c r="JM255" s="136"/>
      <c r="JN255" s="136"/>
      <c r="JO255" s="136"/>
      <c r="JP255" s="136"/>
      <c r="JQ255" s="136"/>
      <c r="JR255" s="136"/>
      <c r="JS255" s="136"/>
      <c r="JT255" s="136"/>
      <c r="JU255" s="136"/>
      <c r="JV255" s="136"/>
      <c r="JW255" s="136"/>
      <c r="JX255" s="136"/>
      <c r="JY255" s="136"/>
      <c r="JZ255" s="136"/>
      <c r="KA255" s="136"/>
      <c r="KB255" s="136"/>
      <c r="KC255" s="136"/>
      <c r="KD255" s="136"/>
      <c r="KE255" s="136"/>
    </row>
    <row r="256" spans="1:291" ht="35" customHeight="1">
      <c r="A256" s="74">
        <f>ROW()-2</f>
        <v>254</v>
      </c>
      <c r="B256" s="42" t="s">
        <v>4586</v>
      </c>
      <c r="C256" s="42" t="s">
        <v>4064</v>
      </c>
      <c r="D256" s="43" t="s">
        <v>4119</v>
      </c>
      <c r="E256" s="43" t="s">
        <v>4120</v>
      </c>
      <c r="F256" s="43" t="s">
        <v>5012</v>
      </c>
      <c r="G256" s="42" t="s">
        <v>34</v>
      </c>
      <c r="H256" s="42">
        <v>90</v>
      </c>
      <c r="I256" s="44">
        <v>31.026111111111099</v>
      </c>
      <c r="J256" s="45">
        <v>43692</v>
      </c>
      <c r="K256" s="44" t="s">
        <v>20</v>
      </c>
      <c r="L256" s="44">
        <v>28</v>
      </c>
    </row>
    <row r="257" spans="1:12" ht="35" customHeight="1">
      <c r="A257" s="74">
        <f>ROW()-2</f>
        <v>255</v>
      </c>
      <c r="B257" s="42" t="s">
        <v>4586</v>
      </c>
      <c r="C257" s="130" t="s">
        <v>4064</v>
      </c>
      <c r="D257" s="43" t="s">
        <v>5016</v>
      </c>
      <c r="E257" s="43" t="s">
        <v>5017</v>
      </c>
      <c r="F257" s="43" t="s">
        <v>5012</v>
      </c>
      <c r="G257" s="42" t="s">
        <v>34</v>
      </c>
      <c r="H257" s="42">
        <v>181</v>
      </c>
      <c r="I257" s="44">
        <v>59.3183333333333</v>
      </c>
      <c r="J257" s="45">
        <v>43692</v>
      </c>
      <c r="K257" s="44" t="s">
        <v>20</v>
      </c>
      <c r="L257" s="44">
        <v>28</v>
      </c>
    </row>
    <row r="258" spans="1:12" ht="35" customHeight="1">
      <c r="A258" s="74">
        <f>ROW()-2</f>
        <v>256</v>
      </c>
      <c r="B258" s="42" t="s">
        <v>4586</v>
      </c>
      <c r="C258" s="42" t="s">
        <v>4064</v>
      </c>
      <c r="D258" s="43" t="s">
        <v>5018</v>
      </c>
      <c r="E258" s="43" t="s">
        <v>5019</v>
      </c>
      <c r="F258" s="43" t="s">
        <v>5012</v>
      </c>
      <c r="G258" s="42" t="s">
        <v>34</v>
      </c>
      <c r="H258" s="42">
        <v>32</v>
      </c>
      <c r="I258" s="44">
        <v>10.3161111111111</v>
      </c>
      <c r="J258" s="45">
        <v>43692</v>
      </c>
      <c r="K258" s="44" t="s">
        <v>20</v>
      </c>
      <c r="L258" s="44">
        <v>11.88</v>
      </c>
    </row>
    <row r="259" spans="1:12" ht="35" customHeight="1">
      <c r="A259" s="74">
        <f>ROW()-2</f>
        <v>257</v>
      </c>
      <c r="B259" s="42" t="s">
        <v>4586</v>
      </c>
      <c r="C259" s="42" t="s">
        <v>4064</v>
      </c>
      <c r="D259" s="43" t="s">
        <v>5020</v>
      </c>
      <c r="E259" s="43" t="s">
        <v>5004</v>
      </c>
      <c r="F259" s="43" t="s">
        <v>4809</v>
      </c>
      <c r="G259" s="42" t="s">
        <v>34</v>
      </c>
      <c r="H259" s="42">
        <v>25</v>
      </c>
      <c r="I259" s="44">
        <v>8.0791666666666693</v>
      </c>
      <c r="J259" s="45">
        <v>43692</v>
      </c>
      <c r="K259" s="44" t="s">
        <v>20</v>
      </c>
      <c r="L259" s="44">
        <v>66.599999999999994</v>
      </c>
    </row>
    <row r="260" spans="1:12" ht="35" customHeight="1">
      <c r="A260" s="74">
        <f>ROW()-2</f>
        <v>258</v>
      </c>
      <c r="B260" s="42" t="s">
        <v>4586</v>
      </c>
      <c r="C260" s="42" t="s">
        <v>4064</v>
      </c>
      <c r="D260" s="43" t="s">
        <v>4959</v>
      </c>
      <c r="E260" s="43" t="s">
        <v>4960</v>
      </c>
      <c r="F260" s="43" t="s">
        <v>4958</v>
      </c>
      <c r="G260" s="42" t="s">
        <v>34</v>
      </c>
      <c r="H260" s="42">
        <v>27</v>
      </c>
      <c r="I260" s="44">
        <v>4.0166666666666702</v>
      </c>
      <c r="J260" s="45">
        <v>43693</v>
      </c>
      <c r="K260" s="46" t="s">
        <v>20</v>
      </c>
      <c r="L260" s="48">
        <v>6.99</v>
      </c>
    </row>
    <row r="261" spans="1:12" ht="35" customHeight="1">
      <c r="A261" s="74">
        <f>ROW()-2</f>
        <v>259</v>
      </c>
      <c r="B261" s="42" t="s">
        <v>4586</v>
      </c>
      <c r="C261" s="130" t="s">
        <v>4064</v>
      </c>
      <c r="D261" s="43" t="s">
        <v>5034</v>
      </c>
      <c r="E261" s="43" t="s">
        <v>5035</v>
      </c>
      <c r="F261" s="43" t="s">
        <v>5036</v>
      </c>
      <c r="G261" s="42" t="s">
        <v>34</v>
      </c>
      <c r="H261" s="42">
        <v>213</v>
      </c>
      <c r="I261" s="44">
        <v>57.611944444444397</v>
      </c>
      <c r="J261" s="45">
        <v>43817</v>
      </c>
      <c r="K261" s="44" t="s">
        <v>20</v>
      </c>
      <c r="L261" s="44">
        <v>129</v>
      </c>
    </row>
    <row r="262" spans="1:12" ht="35" customHeight="1">
      <c r="A262" s="74">
        <f>ROW()-2</f>
        <v>260</v>
      </c>
      <c r="B262" s="42" t="s">
        <v>4586</v>
      </c>
      <c r="C262" s="130" t="s">
        <v>4064</v>
      </c>
      <c r="D262" s="43" t="s">
        <v>5037</v>
      </c>
      <c r="E262" s="43" t="s">
        <v>5038</v>
      </c>
      <c r="F262" s="43" t="s">
        <v>5039</v>
      </c>
      <c r="G262" s="42" t="s">
        <v>34</v>
      </c>
      <c r="H262" s="42">
        <v>103</v>
      </c>
      <c r="I262" s="44">
        <v>57.498888888888899</v>
      </c>
      <c r="J262" s="45">
        <v>43962</v>
      </c>
      <c r="K262" s="44" t="s">
        <v>20</v>
      </c>
      <c r="L262" s="44">
        <v>3.99</v>
      </c>
    </row>
    <row r="263" spans="1:12" ht="35" customHeight="1">
      <c r="A263" s="74">
        <f>ROW()-2</f>
        <v>261</v>
      </c>
      <c r="B263" s="42" t="s">
        <v>4586</v>
      </c>
      <c r="C263" s="132" t="s">
        <v>4064</v>
      </c>
      <c r="D263" s="43" t="s">
        <v>5042</v>
      </c>
      <c r="E263" s="43" t="s">
        <v>5043</v>
      </c>
      <c r="F263" s="43" t="s">
        <v>5044</v>
      </c>
      <c r="G263" s="42" t="s">
        <v>3253</v>
      </c>
      <c r="H263" s="42">
        <v>80</v>
      </c>
      <c r="I263" s="44">
        <v>17.77</v>
      </c>
      <c r="J263" s="45">
        <v>44410</v>
      </c>
      <c r="K263" s="44" t="s">
        <v>4650</v>
      </c>
      <c r="L263" s="44">
        <v>39</v>
      </c>
    </row>
    <row r="264" spans="1:12" ht="35" customHeight="1">
      <c r="A264" s="74">
        <f>ROW()-2</f>
        <v>262</v>
      </c>
      <c r="B264" s="204" t="s">
        <v>4586</v>
      </c>
      <c r="C264" s="182" t="s">
        <v>4064</v>
      </c>
      <c r="D264" s="187" t="s">
        <v>5261</v>
      </c>
      <c r="E264" s="187" t="s">
        <v>5305</v>
      </c>
      <c r="F264" s="187"/>
      <c r="G264" s="182" t="s">
        <v>34</v>
      </c>
      <c r="H264" s="182">
        <v>18</v>
      </c>
      <c r="I264" s="206">
        <v>3.8366666666666664</v>
      </c>
      <c r="J264" s="209">
        <v>44551</v>
      </c>
      <c r="K264" s="206" t="s">
        <v>20</v>
      </c>
      <c r="L264" s="182">
        <v>9.99</v>
      </c>
    </row>
    <row r="265" spans="1:12" ht="35" customHeight="1">
      <c r="A265" s="74">
        <f>ROW()-2</f>
        <v>263</v>
      </c>
      <c r="B265" s="204" t="s">
        <v>4586</v>
      </c>
      <c r="C265" s="182" t="s">
        <v>4064</v>
      </c>
      <c r="D265" s="187" t="s">
        <v>5284</v>
      </c>
      <c r="E265" s="187" t="s">
        <v>5303</v>
      </c>
      <c r="F265" s="187" t="s">
        <v>5304</v>
      </c>
      <c r="G265" s="182" t="s">
        <v>34</v>
      </c>
      <c r="H265" s="182">
        <v>43</v>
      </c>
      <c r="I265" s="206">
        <v>7.9186111111111108</v>
      </c>
      <c r="J265" s="209">
        <v>44552</v>
      </c>
      <c r="K265" s="206" t="s">
        <v>20</v>
      </c>
      <c r="L265" s="182">
        <v>15.99</v>
      </c>
    </row>
    <row r="266" spans="1:12" ht="35" customHeight="1">
      <c r="A266" s="74">
        <f>ROW()-2</f>
        <v>264</v>
      </c>
      <c r="B266" s="182" t="s">
        <v>4586</v>
      </c>
      <c r="C266" s="182" t="s">
        <v>4064</v>
      </c>
      <c r="D266" s="187" t="s">
        <v>5287</v>
      </c>
      <c r="E266" s="187" t="s">
        <v>5306</v>
      </c>
      <c r="F266" s="187"/>
      <c r="G266" s="182" t="s">
        <v>34</v>
      </c>
      <c r="H266" s="182">
        <v>29</v>
      </c>
      <c r="I266" s="206">
        <v>5.846111111111111</v>
      </c>
      <c r="J266" s="209">
        <v>44552</v>
      </c>
      <c r="K266" s="206" t="s">
        <v>20</v>
      </c>
      <c r="L266" s="182"/>
    </row>
    <row r="267" spans="1:12" ht="35" customHeight="1">
      <c r="A267" s="74">
        <f>ROW()-2</f>
        <v>265</v>
      </c>
      <c r="B267" s="182" t="s">
        <v>4586</v>
      </c>
      <c r="C267" s="182" t="s">
        <v>4064</v>
      </c>
      <c r="D267" s="187" t="s">
        <v>5288</v>
      </c>
      <c r="E267" s="187" t="s">
        <v>5307</v>
      </c>
      <c r="F267" s="187" t="s">
        <v>5308</v>
      </c>
      <c r="G267" s="182" t="s">
        <v>34</v>
      </c>
      <c r="H267" s="182">
        <v>112</v>
      </c>
      <c r="I267" s="206">
        <v>14.022777777777778</v>
      </c>
      <c r="J267" s="209">
        <v>44552</v>
      </c>
      <c r="K267" s="206" t="s">
        <v>20</v>
      </c>
      <c r="L267" s="182">
        <v>29</v>
      </c>
    </row>
    <row r="268" spans="1:12" ht="35" customHeight="1">
      <c r="A268" s="74">
        <f>ROW()-2</f>
        <v>266</v>
      </c>
      <c r="B268" s="182" t="s">
        <v>4586</v>
      </c>
      <c r="C268" s="182" t="s">
        <v>4064</v>
      </c>
      <c r="D268" s="187" t="s">
        <v>5286</v>
      </c>
      <c r="E268" s="187" t="s">
        <v>4114</v>
      </c>
      <c r="F268" s="187"/>
      <c r="G268" s="182" t="s">
        <v>34</v>
      </c>
      <c r="H268" s="182">
        <v>68</v>
      </c>
      <c r="I268" s="206">
        <v>19.200555555555557</v>
      </c>
      <c r="J268" s="209">
        <v>44554</v>
      </c>
      <c r="K268" s="206" t="s">
        <v>20</v>
      </c>
      <c r="L268" s="182">
        <v>29.9</v>
      </c>
    </row>
    <row r="269" spans="1:12" ht="35" customHeight="1">
      <c r="A269" s="74">
        <f>ROW()-2</f>
        <v>267</v>
      </c>
      <c r="B269" s="182" t="s">
        <v>4586</v>
      </c>
      <c r="C269" s="182" t="s">
        <v>4064</v>
      </c>
      <c r="D269" s="187" t="s">
        <v>5299</v>
      </c>
      <c r="E269" s="187" t="s">
        <v>5320</v>
      </c>
      <c r="F269" s="187" t="s">
        <v>4707</v>
      </c>
      <c r="G269" s="182" t="s">
        <v>34</v>
      </c>
      <c r="H269" s="182">
        <v>188</v>
      </c>
      <c r="I269" s="206">
        <v>21.918055555555554</v>
      </c>
      <c r="J269" s="209">
        <v>44578</v>
      </c>
      <c r="K269" s="206" t="s">
        <v>30</v>
      </c>
      <c r="L269" s="182">
        <v>19.989999999999998</v>
      </c>
    </row>
    <row r="270" spans="1:12" ht="35" customHeight="1">
      <c r="A270" s="74">
        <f>ROW()-2</f>
        <v>268</v>
      </c>
      <c r="B270" s="42" t="s">
        <v>4586</v>
      </c>
      <c r="C270" s="42" t="s">
        <v>4163</v>
      </c>
      <c r="D270" s="43" t="s">
        <v>5054</v>
      </c>
      <c r="E270" s="43" t="s">
        <v>2896</v>
      </c>
      <c r="F270" s="43" t="s">
        <v>4610</v>
      </c>
      <c r="G270" s="42" t="s">
        <v>34</v>
      </c>
      <c r="H270" s="42">
        <v>43</v>
      </c>
      <c r="I270" s="44">
        <v>8.4613888888888908</v>
      </c>
      <c r="J270" s="45">
        <v>43468</v>
      </c>
      <c r="K270" s="44" t="s">
        <v>20</v>
      </c>
      <c r="L270" s="44">
        <v>99</v>
      </c>
    </row>
    <row r="271" spans="1:12" ht="35" customHeight="1">
      <c r="A271" s="74">
        <f>ROW()-2</f>
        <v>269</v>
      </c>
      <c r="B271" s="42" t="s">
        <v>4586</v>
      </c>
      <c r="C271" s="42" t="s">
        <v>4163</v>
      </c>
      <c r="D271" s="43" t="s">
        <v>4293</v>
      </c>
      <c r="E271" s="43" t="s">
        <v>4294</v>
      </c>
      <c r="F271" s="43" t="s">
        <v>4610</v>
      </c>
      <c r="G271" s="42" t="s">
        <v>34</v>
      </c>
      <c r="H271" s="42">
        <v>47</v>
      </c>
      <c r="I271" s="44">
        <v>6.5216666666666701</v>
      </c>
      <c r="J271" s="45">
        <v>43468</v>
      </c>
      <c r="K271" s="44" t="s">
        <v>20</v>
      </c>
      <c r="L271" s="44">
        <v>29.5</v>
      </c>
    </row>
    <row r="272" spans="1:12" ht="35" customHeight="1">
      <c r="A272" s="74">
        <f>ROW()-2</f>
        <v>270</v>
      </c>
      <c r="B272" s="42" t="s">
        <v>4586</v>
      </c>
      <c r="C272" s="42" t="s">
        <v>4163</v>
      </c>
      <c r="D272" s="43" t="s">
        <v>5048</v>
      </c>
      <c r="E272" s="43" t="s">
        <v>5049</v>
      </c>
      <c r="F272" s="43" t="s">
        <v>4626</v>
      </c>
      <c r="G272" s="42" t="s">
        <v>34</v>
      </c>
      <c r="H272" s="42">
        <v>108</v>
      </c>
      <c r="I272" s="44">
        <v>32.088055555555599</v>
      </c>
      <c r="J272" s="45">
        <v>43469</v>
      </c>
      <c r="K272" s="44" t="s">
        <v>20</v>
      </c>
      <c r="L272" s="44">
        <v>39.9</v>
      </c>
    </row>
    <row r="273" spans="1:291" ht="35" customHeight="1">
      <c r="A273" s="74">
        <f>ROW()-2</f>
        <v>271</v>
      </c>
      <c r="B273" s="42" t="s">
        <v>4586</v>
      </c>
      <c r="C273" s="42" t="s">
        <v>4163</v>
      </c>
      <c r="D273" s="43" t="s">
        <v>5057</v>
      </c>
      <c r="E273" s="43" t="s">
        <v>5058</v>
      </c>
      <c r="F273" s="43" t="s">
        <v>4617</v>
      </c>
      <c r="G273" s="42" t="s">
        <v>34</v>
      </c>
      <c r="H273" s="42">
        <v>72</v>
      </c>
      <c r="I273" s="44">
        <v>23.213888888888899</v>
      </c>
      <c r="J273" s="45">
        <v>43469</v>
      </c>
      <c r="K273" s="44" t="s">
        <v>20</v>
      </c>
      <c r="L273" s="44">
        <v>12.99</v>
      </c>
    </row>
    <row r="274" spans="1:291" ht="35" customHeight="1">
      <c r="A274" s="74">
        <f>ROW()-2</f>
        <v>272</v>
      </c>
      <c r="B274" s="42" t="s">
        <v>4586</v>
      </c>
      <c r="C274" s="42" t="s">
        <v>4163</v>
      </c>
      <c r="D274" s="43" t="s">
        <v>4310</v>
      </c>
      <c r="E274" s="43" t="s">
        <v>512</v>
      </c>
      <c r="F274" s="43" t="s">
        <v>4598</v>
      </c>
      <c r="G274" s="42" t="s">
        <v>34</v>
      </c>
      <c r="H274" s="42">
        <v>24</v>
      </c>
      <c r="I274" s="44">
        <v>4.26</v>
      </c>
      <c r="J274" s="45">
        <v>43483</v>
      </c>
      <c r="K274" s="44" t="s">
        <v>20</v>
      </c>
      <c r="L274" s="44">
        <v>39</v>
      </c>
    </row>
    <row r="275" spans="1:291" ht="35" customHeight="1">
      <c r="A275" s="74">
        <f>ROW()-2</f>
        <v>273</v>
      </c>
      <c r="B275" s="42" t="s">
        <v>4586</v>
      </c>
      <c r="C275" s="42" t="s">
        <v>4163</v>
      </c>
      <c r="D275" s="43" t="s">
        <v>5050</v>
      </c>
      <c r="E275" s="43" t="s">
        <v>5051</v>
      </c>
      <c r="F275" s="43" t="s">
        <v>4768</v>
      </c>
      <c r="G275" s="42" t="s">
        <v>34</v>
      </c>
      <c r="H275" s="42">
        <v>87</v>
      </c>
      <c r="I275" s="44">
        <v>7.7244444444444396</v>
      </c>
      <c r="J275" s="45">
        <v>43483</v>
      </c>
      <c r="K275" s="44" t="s">
        <v>20</v>
      </c>
      <c r="L275" s="44">
        <v>39.99</v>
      </c>
    </row>
    <row r="276" spans="1:291" ht="35" customHeight="1">
      <c r="A276" s="74">
        <f>ROW()-2</f>
        <v>274</v>
      </c>
      <c r="B276" s="42" t="s">
        <v>4586</v>
      </c>
      <c r="C276" s="42" t="s">
        <v>4163</v>
      </c>
      <c r="D276" s="43" t="s">
        <v>5052</v>
      </c>
      <c r="E276" s="43" t="s">
        <v>5053</v>
      </c>
      <c r="F276" s="43" t="s">
        <v>4617</v>
      </c>
      <c r="G276" s="42" t="s">
        <v>34</v>
      </c>
      <c r="H276" s="42">
        <v>31</v>
      </c>
      <c r="I276" s="44">
        <v>8.1272222222222208</v>
      </c>
      <c r="J276" s="45">
        <v>43483</v>
      </c>
      <c r="K276" s="44" t="s">
        <v>20</v>
      </c>
      <c r="L276" s="44">
        <v>49</v>
      </c>
    </row>
    <row r="277" spans="1:291" ht="35" customHeight="1">
      <c r="A277" s="74">
        <f>ROW()-2</f>
        <v>275</v>
      </c>
      <c r="B277" s="42" t="s">
        <v>4586</v>
      </c>
      <c r="C277" s="42" t="s">
        <v>4163</v>
      </c>
      <c r="D277" s="43" t="s">
        <v>4164</v>
      </c>
      <c r="E277" s="43" t="s">
        <v>4165</v>
      </c>
      <c r="F277" s="43" t="s">
        <v>4610</v>
      </c>
      <c r="G277" s="42" t="s">
        <v>34</v>
      </c>
      <c r="H277" s="42">
        <v>23</v>
      </c>
      <c r="I277" s="44">
        <v>3.7408333333333301</v>
      </c>
      <c r="J277" s="45">
        <v>43483</v>
      </c>
      <c r="K277" s="44" t="s">
        <v>20</v>
      </c>
      <c r="L277" s="44">
        <v>18</v>
      </c>
    </row>
    <row r="278" spans="1:291" ht="35" customHeight="1">
      <c r="A278" s="74">
        <f>ROW()-2</f>
        <v>276</v>
      </c>
      <c r="B278" s="42" t="s">
        <v>4586</v>
      </c>
      <c r="C278" s="42" t="s">
        <v>4163</v>
      </c>
      <c r="D278" s="43" t="s">
        <v>4238</v>
      </c>
      <c r="E278" s="43" t="s">
        <v>4239</v>
      </c>
      <c r="F278" s="43" t="s">
        <v>4653</v>
      </c>
      <c r="G278" s="42" t="s">
        <v>34</v>
      </c>
      <c r="H278" s="42">
        <v>23</v>
      </c>
      <c r="I278" s="44">
        <v>7.83</v>
      </c>
      <c r="J278" s="45">
        <v>43483</v>
      </c>
      <c r="K278" s="44" t="s">
        <v>20</v>
      </c>
      <c r="L278" s="44">
        <v>68</v>
      </c>
    </row>
    <row r="279" spans="1:291" ht="35" customHeight="1">
      <c r="A279" s="74">
        <f>ROW()-2</f>
        <v>277</v>
      </c>
      <c r="B279" s="42" t="s">
        <v>4586</v>
      </c>
      <c r="C279" s="42" t="s">
        <v>4163</v>
      </c>
      <c r="D279" s="43" t="s">
        <v>4244</v>
      </c>
      <c r="E279" s="43" t="s">
        <v>4245</v>
      </c>
      <c r="F279" s="43" t="s">
        <v>4610</v>
      </c>
      <c r="G279" s="42" t="s">
        <v>34</v>
      </c>
      <c r="H279" s="42">
        <v>39</v>
      </c>
      <c r="I279" s="44">
        <v>10.9405555555556</v>
      </c>
      <c r="J279" s="45">
        <v>43495</v>
      </c>
      <c r="K279" s="44" t="s">
        <v>20</v>
      </c>
      <c r="L279" s="44">
        <v>6.99</v>
      </c>
    </row>
    <row r="280" spans="1:291" ht="35" customHeight="1">
      <c r="A280" s="74">
        <f>ROW()-2</f>
        <v>278</v>
      </c>
      <c r="B280" s="42" t="s">
        <v>4586</v>
      </c>
      <c r="C280" s="42" t="s">
        <v>4163</v>
      </c>
      <c r="D280" s="43" t="s">
        <v>5055</v>
      </c>
      <c r="E280" s="43" t="s">
        <v>5056</v>
      </c>
      <c r="F280" s="43" t="s">
        <v>4617</v>
      </c>
      <c r="G280" s="42" t="s">
        <v>34</v>
      </c>
      <c r="H280" s="42">
        <v>59</v>
      </c>
      <c r="I280" s="44">
        <v>13.9516666666667</v>
      </c>
      <c r="J280" s="45">
        <v>43516</v>
      </c>
      <c r="K280" s="44" t="s">
        <v>20</v>
      </c>
      <c r="L280" s="44">
        <v>69.989999999999995</v>
      </c>
    </row>
    <row r="281" spans="1:291" ht="35" customHeight="1">
      <c r="A281" s="74">
        <f>ROW()-2</f>
        <v>279</v>
      </c>
      <c r="B281" s="42" t="s">
        <v>4586</v>
      </c>
      <c r="C281" s="130" t="s">
        <v>4163</v>
      </c>
      <c r="D281" s="43" t="s">
        <v>5045</v>
      </c>
      <c r="E281" s="43" t="s">
        <v>5046</v>
      </c>
      <c r="F281" s="43" t="s">
        <v>4617</v>
      </c>
      <c r="G281" s="42" t="s">
        <v>34</v>
      </c>
      <c r="H281" s="42">
        <v>17</v>
      </c>
      <c r="I281" s="44">
        <v>6.1186111111111101</v>
      </c>
      <c r="J281" s="45">
        <v>43691</v>
      </c>
      <c r="K281" s="44" t="s">
        <v>20</v>
      </c>
      <c r="L281" s="44">
        <v>20.99</v>
      </c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  <c r="FS281" s="30"/>
      <c r="FT281" s="30"/>
      <c r="FU281" s="30"/>
      <c r="FV281" s="30"/>
      <c r="FW281" s="30"/>
      <c r="FX281" s="30"/>
      <c r="FY281" s="30"/>
      <c r="FZ281" s="30"/>
      <c r="GA281" s="30"/>
      <c r="GB281" s="30"/>
      <c r="GC281" s="30"/>
      <c r="GD281" s="30"/>
      <c r="GE281" s="30"/>
      <c r="GF281" s="30"/>
      <c r="GG281" s="30"/>
      <c r="GH281" s="30"/>
      <c r="GI281" s="30"/>
      <c r="GJ281" s="30"/>
      <c r="GK281" s="30"/>
      <c r="GL281" s="30"/>
      <c r="GM281" s="30"/>
      <c r="GN281" s="30"/>
      <c r="GO281" s="30"/>
      <c r="GP281" s="30"/>
      <c r="GQ281" s="30"/>
      <c r="GR281" s="30"/>
      <c r="GS281" s="30"/>
      <c r="GT281" s="30"/>
      <c r="GU281" s="30"/>
      <c r="GV281" s="30"/>
      <c r="GW281" s="30"/>
      <c r="GX281" s="30"/>
      <c r="GY281" s="30"/>
      <c r="GZ281" s="30"/>
      <c r="HA281" s="30"/>
      <c r="HB281" s="30"/>
      <c r="HC281" s="30"/>
      <c r="HD281" s="30"/>
      <c r="HE281" s="30"/>
      <c r="HF281" s="30"/>
      <c r="HG281" s="30"/>
      <c r="HH281" s="30"/>
      <c r="HI281" s="30"/>
      <c r="HJ281" s="30"/>
      <c r="HK281" s="30"/>
      <c r="HL281" s="30"/>
      <c r="HM281" s="30"/>
      <c r="HN281" s="30"/>
      <c r="HO281" s="30"/>
      <c r="HP281" s="30"/>
      <c r="HQ281" s="30"/>
      <c r="HR281" s="30"/>
      <c r="HS281" s="30"/>
      <c r="HT281" s="30"/>
      <c r="HU281" s="30"/>
      <c r="HV281" s="30"/>
      <c r="HW281" s="30"/>
      <c r="HX281" s="30"/>
      <c r="HY281" s="30"/>
      <c r="HZ281" s="30"/>
      <c r="IA281" s="30"/>
      <c r="IB281" s="30"/>
      <c r="IC281" s="30"/>
      <c r="ID281" s="30"/>
      <c r="IE281" s="30"/>
      <c r="IF281" s="30"/>
      <c r="IG281" s="30"/>
      <c r="IH281" s="30"/>
      <c r="II281" s="30"/>
      <c r="IJ281" s="30"/>
      <c r="IK281" s="30"/>
      <c r="IL281" s="30"/>
      <c r="IM281" s="30"/>
      <c r="IN281" s="30"/>
      <c r="IO281" s="30"/>
      <c r="IP281" s="30"/>
      <c r="IQ281" s="30"/>
      <c r="IR281" s="30"/>
      <c r="IS281" s="30"/>
      <c r="IT281" s="30"/>
      <c r="IU281" s="30"/>
      <c r="IV281" s="30"/>
      <c r="IW281" s="30"/>
      <c r="IX281" s="30"/>
      <c r="IY281" s="30"/>
      <c r="IZ281" s="30"/>
      <c r="JA281" s="30"/>
      <c r="JB281" s="30"/>
      <c r="JC281" s="30"/>
      <c r="JD281" s="30"/>
      <c r="JE281" s="30"/>
      <c r="JF281" s="30"/>
      <c r="JG281" s="30"/>
      <c r="JH281" s="30"/>
      <c r="JI281" s="30"/>
      <c r="JJ281" s="30"/>
      <c r="JK281" s="30"/>
      <c r="JL281" s="30"/>
      <c r="JM281" s="30"/>
      <c r="JN281" s="30"/>
      <c r="JO281" s="30"/>
      <c r="JP281" s="30"/>
      <c r="JQ281" s="30"/>
      <c r="JR281" s="30"/>
      <c r="JS281" s="30"/>
      <c r="JT281" s="30"/>
      <c r="JU281" s="30"/>
      <c r="JV281" s="30"/>
      <c r="JW281" s="30"/>
      <c r="JX281" s="30"/>
      <c r="JY281" s="30"/>
      <c r="JZ281" s="30"/>
      <c r="KA281" s="30"/>
      <c r="KB281" s="30"/>
      <c r="KC281" s="30"/>
      <c r="KD281" s="30"/>
      <c r="KE281" s="30"/>
    </row>
    <row r="282" spans="1:291" ht="35" customHeight="1">
      <c r="A282" s="74">
        <f>ROW()-2</f>
        <v>280</v>
      </c>
      <c r="B282" s="42" t="s">
        <v>4586</v>
      </c>
      <c r="C282" s="42" t="s">
        <v>4163</v>
      </c>
      <c r="D282" s="43" t="s">
        <v>5059</v>
      </c>
      <c r="E282" s="43" t="s">
        <v>5060</v>
      </c>
      <c r="F282" s="43" t="s">
        <v>4617</v>
      </c>
      <c r="G282" s="42" t="s">
        <v>34</v>
      </c>
      <c r="H282" s="42">
        <v>29</v>
      </c>
      <c r="I282" s="44">
        <v>7.4988888888888896</v>
      </c>
      <c r="J282" s="45">
        <v>43691</v>
      </c>
      <c r="K282" s="44" t="s">
        <v>20</v>
      </c>
      <c r="L282" s="44">
        <v>20.99</v>
      </c>
    </row>
    <row r="283" spans="1:291" ht="35" customHeight="1">
      <c r="A283" s="74">
        <f>ROW()-2</f>
        <v>281</v>
      </c>
      <c r="B283" s="42" t="s">
        <v>4586</v>
      </c>
      <c r="C283" s="42" t="s">
        <v>4163</v>
      </c>
      <c r="D283" s="43" t="s">
        <v>5061</v>
      </c>
      <c r="E283" s="43" t="s">
        <v>5062</v>
      </c>
      <c r="F283" s="43" t="s">
        <v>4666</v>
      </c>
      <c r="G283" s="42" t="s">
        <v>34</v>
      </c>
      <c r="H283" s="42">
        <v>31</v>
      </c>
      <c r="I283" s="44">
        <v>10.654999999999999</v>
      </c>
      <c r="J283" s="45">
        <v>43691</v>
      </c>
      <c r="K283" s="44" t="s">
        <v>20</v>
      </c>
      <c r="L283" s="44">
        <v>4.9000000000000004</v>
      </c>
    </row>
    <row r="284" spans="1:291" ht="35" customHeight="1">
      <c r="A284" s="74">
        <f>ROW()-2</f>
        <v>282</v>
      </c>
      <c r="B284" s="42" t="s">
        <v>4586</v>
      </c>
      <c r="C284" s="42" t="s">
        <v>4163</v>
      </c>
      <c r="D284" s="43" t="s">
        <v>5063</v>
      </c>
      <c r="E284" s="43" t="s">
        <v>310</v>
      </c>
      <c r="F284" s="43" t="s">
        <v>4698</v>
      </c>
      <c r="G284" s="42" t="s">
        <v>34</v>
      </c>
      <c r="H284" s="42">
        <v>11</v>
      </c>
      <c r="I284" s="44">
        <v>3.4683333333333302</v>
      </c>
      <c r="J284" s="45">
        <v>43691</v>
      </c>
      <c r="K284" s="44" t="s">
        <v>20</v>
      </c>
      <c r="L284" s="44">
        <v>5</v>
      </c>
    </row>
    <row r="285" spans="1:291" ht="35" customHeight="1">
      <c r="A285" s="74">
        <f>ROW()-2</f>
        <v>283</v>
      </c>
      <c r="B285" s="42" t="s">
        <v>4586</v>
      </c>
      <c r="C285" s="42" t="s">
        <v>4163</v>
      </c>
      <c r="D285" s="43" t="s">
        <v>5064</v>
      </c>
      <c r="E285" s="43" t="s">
        <v>4520</v>
      </c>
      <c r="F285" s="43" t="s">
        <v>4899</v>
      </c>
      <c r="G285" s="42" t="s">
        <v>34</v>
      </c>
      <c r="H285" s="42">
        <v>26</v>
      </c>
      <c r="I285" s="44">
        <v>7.9302777777777802</v>
      </c>
      <c r="J285" s="45">
        <v>43691</v>
      </c>
      <c r="K285" s="44" t="s">
        <v>20</v>
      </c>
      <c r="L285" s="44">
        <v>9.9</v>
      </c>
    </row>
    <row r="286" spans="1:291" ht="30" customHeight="1">
      <c r="A286" s="74">
        <f>ROW()-2</f>
        <v>284</v>
      </c>
      <c r="B286" s="42" t="s">
        <v>4586</v>
      </c>
      <c r="C286" s="42" t="s">
        <v>4163</v>
      </c>
      <c r="D286" s="43" t="s">
        <v>5065</v>
      </c>
      <c r="E286" s="43" t="s">
        <v>5066</v>
      </c>
      <c r="F286" s="43" t="s">
        <v>4653</v>
      </c>
      <c r="G286" s="42" t="s">
        <v>34</v>
      </c>
      <c r="H286" s="42">
        <v>27</v>
      </c>
      <c r="I286" s="44">
        <v>6.22</v>
      </c>
      <c r="J286" s="45">
        <v>43691</v>
      </c>
      <c r="K286" s="46" t="s">
        <v>20</v>
      </c>
      <c r="L286" s="48">
        <v>15.9</v>
      </c>
    </row>
    <row r="287" spans="1:291" ht="30" customHeight="1">
      <c r="A287" s="74">
        <f>ROW()-2</f>
        <v>285</v>
      </c>
      <c r="B287" s="42" t="s">
        <v>4586</v>
      </c>
      <c r="C287" s="42" t="s">
        <v>4163</v>
      </c>
      <c r="D287" s="43" t="s">
        <v>5067</v>
      </c>
      <c r="E287" s="43" t="s">
        <v>5068</v>
      </c>
      <c r="F287" s="43" t="s">
        <v>4626</v>
      </c>
      <c r="G287" s="42" t="s">
        <v>34</v>
      </c>
      <c r="H287" s="42">
        <v>28</v>
      </c>
      <c r="I287" s="44">
        <v>6.2658333333333296</v>
      </c>
      <c r="J287" s="45">
        <v>43691</v>
      </c>
      <c r="K287" s="46" t="s">
        <v>20</v>
      </c>
      <c r="L287" s="48">
        <v>4.4000000000000004</v>
      </c>
    </row>
    <row r="288" spans="1:291" ht="30" customHeight="1">
      <c r="A288" s="74">
        <f>ROW()-2</f>
        <v>286</v>
      </c>
      <c r="B288" s="42" t="s">
        <v>4586</v>
      </c>
      <c r="C288" s="42" t="s">
        <v>4163</v>
      </c>
      <c r="D288" s="43" t="s">
        <v>5069</v>
      </c>
      <c r="E288" s="43" t="s">
        <v>4760</v>
      </c>
      <c r="F288" s="43" t="s">
        <v>4632</v>
      </c>
      <c r="G288" s="42" t="s">
        <v>34</v>
      </c>
      <c r="H288" s="42">
        <v>22</v>
      </c>
      <c r="I288" s="44">
        <v>7.3030555555555603</v>
      </c>
      <c r="J288" s="45">
        <v>43691</v>
      </c>
      <c r="K288" s="46" t="s">
        <v>20</v>
      </c>
      <c r="L288" s="48">
        <v>7.4</v>
      </c>
    </row>
    <row r="289" spans="1:12" ht="30" customHeight="1">
      <c r="A289" s="74">
        <f>ROW()-2</f>
        <v>287</v>
      </c>
      <c r="B289" s="42" t="s">
        <v>4586</v>
      </c>
      <c r="C289" s="42" t="s">
        <v>4163</v>
      </c>
      <c r="D289" s="43" t="s">
        <v>5070</v>
      </c>
      <c r="E289" s="43" t="s">
        <v>5071</v>
      </c>
      <c r="F289" s="43" t="s">
        <v>4589</v>
      </c>
      <c r="G289" s="42" t="s">
        <v>34</v>
      </c>
      <c r="H289" s="42">
        <v>37</v>
      </c>
      <c r="I289" s="44">
        <v>11.251388888888901</v>
      </c>
      <c r="J289" s="45">
        <v>43691</v>
      </c>
      <c r="K289" s="46" t="s">
        <v>20</v>
      </c>
      <c r="L289" s="48">
        <v>7.2</v>
      </c>
    </row>
    <row r="290" spans="1:12" ht="35" customHeight="1">
      <c r="A290" s="74">
        <f>ROW()-2</f>
        <v>288</v>
      </c>
      <c r="B290" s="183" t="s">
        <v>4586</v>
      </c>
      <c r="C290" s="183" t="s">
        <v>4163</v>
      </c>
      <c r="D290" s="128" t="s">
        <v>5072</v>
      </c>
      <c r="E290" s="128" t="s">
        <v>4700</v>
      </c>
      <c r="F290" s="128" t="s">
        <v>4589</v>
      </c>
      <c r="G290" s="183" t="s">
        <v>34</v>
      </c>
      <c r="H290" s="183">
        <v>36</v>
      </c>
      <c r="I290" s="84">
        <v>12.2297222222222</v>
      </c>
      <c r="J290" s="208">
        <v>43691</v>
      </c>
      <c r="K290" s="84" t="s">
        <v>20</v>
      </c>
      <c r="L290" s="84">
        <v>19.989999999999998</v>
      </c>
    </row>
    <row r="291" spans="1:12" ht="35" customHeight="1">
      <c r="A291" s="74">
        <f>ROW()-2</f>
        <v>289</v>
      </c>
      <c r="B291" s="183" t="s">
        <v>4586</v>
      </c>
      <c r="C291" s="183" t="s">
        <v>4163</v>
      </c>
      <c r="D291" s="128" t="s">
        <v>5073</v>
      </c>
      <c r="E291" s="128" t="s">
        <v>4700</v>
      </c>
      <c r="F291" s="128" t="s">
        <v>4589</v>
      </c>
      <c r="G291" s="183" t="s">
        <v>34</v>
      </c>
      <c r="H291" s="183">
        <v>26</v>
      </c>
      <c r="I291" s="84">
        <v>9.2269444444444506</v>
      </c>
      <c r="J291" s="208">
        <v>43691</v>
      </c>
      <c r="K291" s="84" t="s">
        <v>20</v>
      </c>
      <c r="L291" s="84">
        <v>16.989999999999998</v>
      </c>
    </row>
    <row r="292" spans="1:12" ht="35" customHeight="1">
      <c r="A292" s="74">
        <f>ROW()-2</f>
        <v>290</v>
      </c>
      <c r="B292" s="183" t="s">
        <v>4586</v>
      </c>
      <c r="C292" s="183" t="s">
        <v>4163</v>
      </c>
      <c r="D292" s="128" t="s">
        <v>4238</v>
      </c>
      <c r="E292" s="128" t="s">
        <v>4239</v>
      </c>
      <c r="F292" s="128" t="s">
        <v>5047</v>
      </c>
      <c r="G292" s="183" t="s">
        <v>34</v>
      </c>
      <c r="H292" s="183">
        <v>40</v>
      </c>
      <c r="I292" s="84">
        <v>12.8030555555556</v>
      </c>
      <c r="J292" s="208">
        <v>43692</v>
      </c>
      <c r="K292" s="84" t="s">
        <v>20</v>
      </c>
      <c r="L292" s="84">
        <v>29.98</v>
      </c>
    </row>
    <row r="293" spans="1:12" ht="35" customHeight="1">
      <c r="A293" s="74">
        <f>ROW()-2</f>
        <v>291</v>
      </c>
      <c r="B293" s="183" t="s">
        <v>4586</v>
      </c>
      <c r="C293" s="183" t="s">
        <v>4163</v>
      </c>
      <c r="D293" s="128" t="s">
        <v>5074</v>
      </c>
      <c r="E293" s="128" t="s">
        <v>5075</v>
      </c>
      <c r="F293" s="128" t="s">
        <v>4768</v>
      </c>
      <c r="G293" s="183" t="s">
        <v>34</v>
      </c>
      <c r="H293" s="183">
        <v>27</v>
      </c>
      <c r="I293" s="84">
        <v>7.5819444444444404</v>
      </c>
      <c r="J293" s="208">
        <v>43775</v>
      </c>
      <c r="K293" s="84" t="s">
        <v>20</v>
      </c>
      <c r="L293" s="84">
        <v>17.5</v>
      </c>
    </row>
    <row r="294" spans="1:12" ht="35" customHeight="1">
      <c r="A294" s="74">
        <f>ROW()-2</f>
        <v>292</v>
      </c>
      <c r="B294" s="183" t="s">
        <v>4586</v>
      </c>
      <c r="C294" s="183" t="s">
        <v>4163</v>
      </c>
      <c r="D294" s="128" t="s">
        <v>5076</v>
      </c>
      <c r="E294" s="128" t="s">
        <v>5077</v>
      </c>
      <c r="F294" s="128" t="s">
        <v>5078</v>
      </c>
      <c r="G294" s="183" t="s">
        <v>34</v>
      </c>
      <c r="H294" s="183">
        <v>20</v>
      </c>
      <c r="I294" s="84">
        <v>6.5622222222222204</v>
      </c>
      <c r="J294" s="208">
        <v>43775</v>
      </c>
      <c r="K294" s="84" t="s">
        <v>20</v>
      </c>
      <c r="L294" s="84">
        <v>79</v>
      </c>
    </row>
    <row r="295" spans="1:12" ht="35" customHeight="1">
      <c r="A295" s="74">
        <f>ROW()-2</f>
        <v>293</v>
      </c>
      <c r="B295" s="183" t="s">
        <v>4586</v>
      </c>
      <c r="C295" s="183" t="s">
        <v>4163</v>
      </c>
      <c r="D295" s="128" t="s">
        <v>5079</v>
      </c>
      <c r="E295" s="128" t="s">
        <v>5080</v>
      </c>
      <c r="F295" s="128" t="s">
        <v>5080</v>
      </c>
      <c r="G295" s="183" t="s">
        <v>34</v>
      </c>
      <c r="H295" s="183">
        <v>12</v>
      </c>
      <c r="I295" s="84">
        <v>2.4</v>
      </c>
      <c r="J295" s="208">
        <v>44508</v>
      </c>
      <c r="K295" s="84" t="s">
        <v>20</v>
      </c>
      <c r="L295" s="84">
        <v>45</v>
      </c>
    </row>
    <row r="296" spans="1:12" ht="35" customHeight="1">
      <c r="A296" s="74">
        <f>ROW()-2</f>
        <v>294</v>
      </c>
      <c r="B296" s="136" t="s">
        <v>5597</v>
      </c>
      <c r="C296" s="134" t="s">
        <v>4163</v>
      </c>
      <c r="D296" s="135" t="s">
        <v>5526</v>
      </c>
      <c r="E296" s="135" t="s">
        <v>4561</v>
      </c>
      <c r="F296" s="135" t="s">
        <v>5525</v>
      </c>
      <c r="G296" s="183" t="s">
        <v>3253</v>
      </c>
      <c r="H296" s="136">
        <v>64</v>
      </c>
      <c r="I296" s="137">
        <v>12.138888888888889</v>
      </c>
      <c r="J296" s="138">
        <v>44614</v>
      </c>
      <c r="K296" s="84" t="s">
        <v>20</v>
      </c>
      <c r="L296" s="134">
        <v>19.899999999999999</v>
      </c>
    </row>
    <row r="297" spans="1:12" ht="35" customHeight="1">
      <c r="A297" s="74">
        <f>ROW()-2</f>
        <v>295</v>
      </c>
      <c r="B297" s="136" t="s">
        <v>5597</v>
      </c>
      <c r="C297" s="134" t="s">
        <v>4163</v>
      </c>
      <c r="D297" s="135" t="s">
        <v>5536</v>
      </c>
      <c r="E297" s="135" t="s">
        <v>5537</v>
      </c>
      <c r="F297" s="135" t="s">
        <v>5538</v>
      </c>
      <c r="G297" s="183" t="s">
        <v>3253</v>
      </c>
      <c r="H297" s="136">
        <v>53</v>
      </c>
      <c r="I297" s="137">
        <v>14.243055555555555</v>
      </c>
      <c r="J297" s="138">
        <v>44614</v>
      </c>
      <c r="K297" s="137" t="s">
        <v>5579</v>
      </c>
      <c r="L297" s="134"/>
    </row>
    <row r="298" spans="1:12" ht="35" customHeight="1">
      <c r="A298" s="74">
        <f>ROW()-2</f>
        <v>296</v>
      </c>
      <c r="B298" s="136" t="s">
        <v>5597</v>
      </c>
      <c r="C298" s="134" t="s">
        <v>4163</v>
      </c>
      <c r="D298" s="135" t="s">
        <v>5509</v>
      </c>
      <c r="E298" s="135" t="s">
        <v>5565</v>
      </c>
      <c r="F298" s="135" t="s">
        <v>5528</v>
      </c>
      <c r="G298" s="183" t="s">
        <v>3253</v>
      </c>
      <c r="H298" s="136">
        <v>57</v>
      </c>
      <c r="I298" s="137">
        <v>7.2638888888888893</v>
      </c>
      <c r="J298" s="138">
        <v>44614</v>
      </c>
      <c r="K298" s="84" t="s">
        <v>20</v>
      </c>
      <c r="L298" s="134">
        <v>29</v>
      </c>
    </row>
    <row r="299" spans="1:12" ht="35" customHeight="1">
      <c r="A299" s="74">
        <f>ROW()-2</f>
        <v>297</v>
      </c>
      <c r="B299" s="136" t="s">
        <v>5597</v>
      </c>
      <c r="C299" s="134" t="s">
        <v>4163</v>
      </c>
      <c r="D299" s="135" t="s">
        <v>5514</v>
      </c>
      <c r="E299" s="135" t="s">
        <v>5578</v>
      </c>
      <c r="F299" s="135" t="s">
        <v>5523</v>
      </c>
      <c r="G299" s="183" t="s">
        <v>3253</v>
      </c>
      <c r="H299" s="136">
        <v>65</v>
      </c>
      <c r="I299" s="137">
        <v>7.9586111111111109</v>
      </c>
      <c r="J299" s="138">
        <v>44614</v>
      </c>
      <c r="K299" s="137" t="s">
        <v>5579</v>
      </c>
      <c r="L299" s="134">
        <v>34.799999999999997</v>
      </c>
    </row>
    <row r="300" spans="1:12" ht="35" customHeight="1">
      <c r="A300" s="74">
        <f>ROW()-2</f>
        <v>298</v>
      </c>
      <c r="B300" s="136" t="s">
        <v>5597</v>
      </c>
      <c r="C300" s="134" t="s">
        <v>4163</v>
      </c>
      <c r="D300" s="135" t="s">
        <v>5515</v>
      </c>
      <c r="E300" s="135" t="s">
        <v>5580</v>
      </c>
      <c r="F300" s="135" t="s">
        <v>5581</v>
      </c>
      <c r="G300" s="183" t="s">
        <v>3253</v>
      </c>
      <c r="H300" s="136">
        <v>78</v>
      </c>
      <c r="I300" s="137">
        <v>6.9677777777777781</v>
      </c>
      <c r="J300" s="138">
        <v>44614</v>
      </c>
      <c r="K300" s="137" t="s">
        <v>5575</v>
      </c>
      <c r="L300" s="134">
        <v>39</v>
      </c>
    </row>
    <row r="301" spans="1:12" ht="35" customHeight="1">
      <c r="A301" s="74">
        <f>ROW()-2</f>
        <v>299</v>
      </c>
      <c r="B301" s="136" t="s">
        <v>5597</v>
      </c>
      <c r="C301" s="134" t="s">
        <v>4163</v>
      </c>
      <c r="D301" s="135" t="s">
        <v>5516</v>
      </c>
      <c r="E301" s="135" t="s">
        <v>5585</v>
      </c>
      <c r="F301" s="135" t="s">
        <v>5586</v>
      </c>
      <c r="G301" s="183" t="s">
        <v>3253</v>
      </c>
      <c r="H301" s="136">
        <v>61</v>
      </c>
      <c r="I301" s="137">
        <v>7.7777777777777777</v>
      </c>
      <c r="J301" s="138">
        <v>44614</v>
      </c>
      <c r="K301" s="137" t="s">
        <v>5575</v>
      </c>
      <c r="L301" s="134">
        <v>29.99</v>
      </c>
    </row>
    <row r="302" spans="1:12" ht="35" customHeight="1">
      <c r="A302" s="74">
        <f>ROW()-2</f>
        <v>300</v>
      </c>
      <c r="B302" s="183" t="s">
        <v>4586</v>
      </c>
      <c r="C302" s="183" t="s">
        <v>4345</v>
      </c>
      <c r="D302" s="128" t="s">
        <v>5090</v>
      </c>
      <c r="E302" s="128" t="s">
        <v>5091</v>
      </c>
      <c r="F302" s="128" t="s">
        <v>4589</v>
      </c>
      <c r="G302" s="183" t="s">
        <v>34</v>
      </c>
      <c r="H302" s="183">
        <v>38</v>
      </c>
      <c r="I302" s="84">
        <v>10.8325</v>
      </c>
      <c r="J302" s="208">
        <v>43468</v>
      </c>
      <c r="K302" s="84" t="s">
        <v>20</v>
      </c>
      <c r="L302" s="84">
        <v>49</v>
      </c>
    </row>
    <row r="303" spans="1:12" ht="35" customHeight="1">
      <c r="A303" s="74">
        <f>ROW()-2</f>
        <v>301</v>
      </c>
      <c r="B303" s="183" t="s">
        <v>4586</v>
      </c>
      <c r="C303" s="205" t="s">
        <v>4345</v>
      </c>
      <c r="D303" s="128" t="s">
        <v>5097</v>
      </c>
      <c r="E303" s="128" t="s">
        <v>5098</v>
      </c>
      <c r="F303" s="128" t="s">
        <v>4632</v>
      </c>
      <c r="G303" s="183" t="s">
        <v>34</v>
      </c>
      <c r="H303" s="183">
        <v>26</v>
      </c>
      <c r="I303" s="84">
        <v>8.9152777777777796</v>
      </c>
      <c r="J303" s="208">
        <v>43469</v>
      </c>
      <c r="K303" s="84" t="s">
        <v>20</v>
      </c>
      <c r="L303" s="84">
        <v>45</v>
      </c>
    </row>
    <row r="304" spans="1:12" ht="35" customHeight="1">
      <c r="A304" s="74">
        <f>ROW()-2</f>
        <v>302</v>
      </c>
      <c r="B304" s="183" t="s">
        <v>4586</v>
      </c>
      <c r="C304" s="205" t="s">
        <v>4345</v>
      </c>
      <c r="D304" s="128" t="s">
        <v>5081</v>
      </c>
      <c r="E304" s="128" t="s">
        <v>4596</v>
      </c>
      <c r="F304" s="128" t="s">
        <v>4589</v>
      </c>
      <c r="G304" s="183" t="s">
        <v>34</v>
      </c>
      <c r="H304" s="183">
        <v>47</v>
      </c>
      <c r="I304" s="84">
        <v>15.1216666666667</v>
      </c>
      <c r="J304" s="208">
        <v>43481</v>
      </c>
      <c r="K304" s="84" t="s">
        <v>20</v>
      </c>
      <c r="L304" s="84">
        <v>38</v>
      </c>
    </row>
    <row r="305" spans="1:291" ht="35" customHeight="1">
      <c r="A305" s="74">
        <f>ROW()-2</f>
        <v>303</v>
      </c>
      <c r="B305" s="183" t="s">
        <v>4586</v>
      </c>
      <c r="C305" s="183" t="s">
        <v>4345</v>
      </c>
      <c r="D305" s="128" t="s">
        <v>3124</v>
      </c>
      <c r="E305" s="128" t="s">
        <v>3125</v>
      </c>
      <c r="F305" s="128" t="s">
        <v>4617</v>
      </c>
      <c r="G305" s="183" t="s">
        <v>34</v>
      </c>
      <c r="H305" s="183">
        <v>177</v>
      </c>
      <c r="I305" s="84">
        <v>15.206388888888901</v>
      </c>
      <c r="J305" s="208">
        <v>43481</v>
      </c>
      <c r="K305" s="84" t="s">
        <v>20</v>
      </c>
      <c r="L305" s="84">
        <v>20.99</v>
      </c>
    </row>
    <row r="306" spans="1:291" ht="35" customHeight="1">
      <c r="A306" s="74">
        <f>ROW()-2</f>
        <v>304</v>
      </c>
      <c r="B306" s="183" t="s">
        <v>4586</v>
      </c>
      <c r="C306" s="205" t="s">
        <v>4345</v>
      </c>
      <c r="D306" s="128" t="s">
        <v>5087</v>
      </c>
      <c r="E306" s="128" t="s">
        <v>5088</v>
      </c>
      <c r="F306" s="128" t="s">
        <v>4632</v>
      </c>
      <c r="G306" s="183" t="s">
        <v>34</v>
      </c>
      <c r="H306" s="183">
        <v>43</v>
      </c>
      <c r="I306" s="84">
        <v>15.2152777777778</v>
      </c>
      <c r="J306" s="208">
        <v>43483</v>
      </c>
      <c r="K306" s="84" t="s">
        <v>20</v>
      </c>
      <c r="L306" s="84">
        <v>9.3000000000000007</v>
      </c>
    </row>
    <row r="307" spans="1:291" ht="35" customHeight="1">
      <c r="A307" s="74">
        <f>ROW()-2</f>
        <v>305</v>
      </c>
      <c r="B307" s="183" t="s">
        <v>4586</v>
      </c>
      <c r="C307" s="183" t="s">
        <v>4345</v>
      </c>
      <c r="D307" s="128" t="s">
        <v>5089</v>
      </c>
      <c r="E307" s="128" t="s">
        <v>4596</v>
      </c>
      <c r="F307" s="128" t="s">
        <v>4589</v>
      </c>
      <c r="G307" s="183" t="s">
        <v>34</v>
      </c>
      <c r="H307" s="183">
        <v>31</v>
      </c>
      <c r="I307" s="84">
        <v>10.250833333333301</v>
      </c>
      <c r="J307" s="208">
        <v>43483</v>
      </c>
      <c r="K307" s="84" t="s">
        <v>20</v>
      </c>
      <c r="L307" s="84">
        <v>39</v>
      </c>
    </row>
    <row r="308" spans="1:291" ht="35" customHeight="1">
      <c r="A308" s="74">
        <f>ROW()-2</f>
        <v>306</v>
      </c>
      <c r="B308" s="183" t="s">
        <v>4586</v>
      </c>
      <c r="C308" s="183" t="s">
        <v>4345</v>
      </c>
      <c r="D308" s="128" t="s">
        <v>5092</v>
      </c>
      <c r="E308" s="128" t="s">
        <v>5093</v>
      </c>
      <c r="F308" s="128" t="s">
        <v>4632</v>
      </c>
      <c r="G308" s="183" t="s">
        <v>34</v>
      </c>
      <c r="H308" s="183">
        <v>29</v>
      </c>
      <c r="I308" s="84">
        <v>7.6205555555555602</v>
      </c>
      <c r="J308" s="208">
        <v>43483</v>
      </c>
      <c r="K308" s="84" t="s">
        <v>20</v>
      </c>
      <c r="L308" s="84">
        <v>49</v>
      </c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  <c r="FS308" s="30"/>
      <c r="FT308" s="30"/>
      <c r="FU308" s="30"/>
      <c r="FV308" s="30"/>
      <c r="FW308" s="30"/>
      <c r="FX308" s="30"/>
      <c r="FY308" s="30"/>
      <c r="FZ308" s="30"/>
      <c r="GA308" s="30"/>
      <c r="GB308" s="30"/>
      <c r="GC308" s="30"/>
      <c r="GD308" s="30"/>
      <c r="GE308" s="30"/>
      <c r="GF308" s="30"/>
      <c r="GG308" s="30"/>
      <c r="GH308" s="30"/>
      <c r="GI308" s="30"/>
      <c r="GJ308" s="30"/>
      <c r="GK308" s="30"/>
      <c r="GL308" s="30"/>
      <c r="GM308" s="30"/>
      <c r="GN308" s="30"/>
      <c r="GO308" s="30"/>
      <c r="GP308" s="30"/>
      <c r="GQ308" s="30"/>
      <c r="GR308" s="30"/>
      <c r="GS308" s="30"/>
      <c r="GT308" s="30"/>
      <c r="GU308" s="30"/>
      <c r="GV308" s="30"/>
      <c r="GW308" s="30"/>
      <c r="GX308" s="30"/>
      <c r="GY308" s="30"/>
      <c r="GZ308" s="30"/>
      <c r="HA308" s="30"/>
      <c r="HB308" s="30"/>
      <c r="HC308" s="30"/>
      <c r="HD308" s="30"/>
      <c r="HE308" s="30"/>
      <c r="HF308" s="30"/>
      <c r="HG308" s="30"/>
      <c r="HH308" s="30"/>
      <c r="HI308" s="30"/>
      <c r="HJ308" s="30"/>
      <c r="HK308" s="30"/>
      <c r="HL308" s="30"/>
      <c r="HM308" s="30"/>
      <c r="HN308" s="30"/>
      <c r="HO308" s="30"/>
      <c r="HP308" s="30"/>
      <c r="HQ308" s="30"/>
      <c r="HR308" s="30"/>
      <c r="HS308" s="30"/>
      <c r="HT308" s="30"/>
      <c r="HU308" s="30"/>
      <c r="HV308" s="30"/>
      <c r="HW308" s="30"/>
      <c r="HX308" s="30"/>
      <c r="HY308" s="30"/>
      <c r="HZ308" s="30"/>
      <c r="IA308" s="30"/>
      <c r="IB308" s="30"/>
      <c r="IC308" s="30"/>
      <c r="ID308" s="30"/>
      <c r="IE308" s="30"/>
      <c r="IF308" s="30"/>
      <c r="IG308" s="30"/>
      <c r="IH308" s="30"/>
      <c r="II308" s="30"/>
      <c r="IJ308" s="30"/>
      <c r="IK308" s="30"/>
      <c r="IL308" s="30"/>
      <c r="IM308" s="30"/>
      <c r="IN308" s="30"/>
      <c r="IO308" s="30"/>
      <c r="IP308" s="30"/>
      <c r="IQ308" s="30"/>
      <c r="IR308" s="30"/>
      <c r="IS308" s="30"/>
      <c r="IT308" s="30"/>
      <c r="IU308" s="30"/>
      <c r="IV308" s="30"/>
      <c r="IW308" s="30"/>
      <c r="IX308" s="30"/>
      <c r="IY308" s="30"/>
      <c r="IZ308" s="30"/>
      <c r="JA308" s="30"/>
      <c r="JB308" s="30"/>
      <c r="JC308" s="30"/>
      <c r="JD308" s="30"/>
      <c r="JE308" s="30"/>
      <c r="JF308" s="30"/>
      <c r="JG308" s="30"/>
      <c r="JH308" s="30"/>
      <c r="JI308" s="30"/>
      <c r="JJ308" s="30"/>
      <c r="JK308" s="30"/>
      <c r="JL308" s="30"/>
      <c r="JM308" s="30"/>
      <c r="JN308" s="30"/>
      <c r="JO308" s="30"/>
      <c r="JP308" s="30"/>
      <c r="JQ308" s="30"/>
      <c r="JR308" s="30"/>
      <c r="JS308" s="30"/>
      <c r="JT308" s="30"/>
      <c r="JU308" s="30"/>
      <c r="JV308" s="30"/>
      <c r="JW308" s="30"/>
      <c r="JX308" s="30"/>
      <c r="JY308" s="30"/>
      <c r="JZ308" s="30"/>
      <c r="KA308" s="30"/>
      <c r="KB308" s="30"/>
      <c r="KC308" s="30"/>
      <c r="KD308" s="30"/>
      <c r="KE308" s="30"/>
    </row>
    <row r="309" spans="1:291" ht="35" customHeight="1">
      <c r="A309" s="74">
        <f>ROW()-2</f>
        <v>307</v>
      </c>
      <c r="B309" s="183" t="s">
        <v>4586</v>
      </c>
      <c r="C309" s="205" t="s">
        <v>4345</v>
      </c>
      <c r="D309" s="128" t="s">
        <v>5094</v>
      </c>
      <c r="E309" s="128" t="s">
        <v>4700</v>
      </c>
      <c r="F309" s="128" t="s">
        <v>4684</v>
      </c>
      <c r="G309" s="42" t="s">
        <v>34</v>
      </c>
      <c r="H309" s="183">
        <v>31</v>
      </c>
      <c r="I309" s="84">
        <v>8.3941666666666706</v>
      </c>
      <c r="J309" s="208">
        <v>43483</v>
      </c>
      <c r="K309" s="46" t="s">
        <v>20</v>
      </c>
      <c r="L309" s="203">
        <v>72.5</v>
      </c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  <c r="FS309" s="30"/>
      <c r="FT309" s="30"/>
      <c r="FU309" s="30"/>
      <c r="FV309" s="30"/>
      <c r="FW309" s="30"/>
      <c r="FX309" s="30"/>
      <c r="FY309" s="30"/>
      <c r="FZ309" s="30"/>
      <c r="GA309" s="30"/>
      <c r="GB309" s="30"/>
      <c r="GC309" s="30"/>
      <c r="GD309" s="30"/>
      <c r="GE309" s="30"/>
      <c r="GF309" s="30"/>
      <c r="GG309" s="30"/>
      <c r="GH309" s="30"/>
      <c r="GI309" s="30"/>
      <c r="GJ309" s="30"/>
      <c r="GK309" s="30"/>
      <c r="GL309" s="30"/>
      <c r="GM309" s="30"/>
      <c r="GN309" s="30"/>
      <c r="GO309" s="30"/>
      <c r="GP309" s="30"/>
      <c r="GQ309" s="30"/>
      <c r="GR309" s="30"/>
      <c r="GS309" s="30"/>
      <c r="GT309" s="30"/>
      <c r="GU309" s="30"/>
      <c r="GV309" s="30"/>
      <c r="GW309" s="30"/>
      <c r="GX309" s="30"/>
      <c r="GY309" s="30"/>
      <c r="GZ309" s="30"/>
      <c r="HA309" s="30"/>
      <c r="HB309" s="30"/>
      <c r="HC309" s="30"/>
      <c r="HD309" s="30"/>
      <c r="HE309" s="30"/>
      <c r="HF309" s="30"/>
      <c r="HG309" s="30"/>
      <c r="HH309" s="30"/>
      <c r="HI309" s="30"/>
      <c r="HJ309" s="30"/>
      <c r="HK309" s="30"/>
      <c r="HL309" s="30"/>
      <c r="HM309" s="30"/>
      <c r="HN309" s="30"/>
      <c r="HO309" s="30"/>
      <c r="HP309" s="30"/>
      <c r="HQ309" s="30"/>
      <c r="HR309" s="30"/>
      <c r="HS309" s="30"/>
      <c r="HT309" s="30"/>
      <c r="HU309" s="30"/>
      <c r="HV309" s="30"/>
      <c r="HW309" s="30"/>
      <c r="HX309" s="30"/>
      <c r="HY309" s="30"/>
      <c r="HZ309" s="30"/>
      <c r="IA309" s="30"/>
      <c r="IB309" s="30"/>
      <c r="IC309" s="30"/>
      <c r="ID309" s="30"/>
      <c r="IE309" s="30"/>
      <c r="IF309" s="30"/>
      <c r="IG309" s="30"/>
      <c r="IH309" s="30"/>
      <c r="II309" s="30"/>
      <c r="IJ309" s="30"/>
      <c r="IK309" s="30"/>
      <c r="IL309" s="30"/>
      <c r="IM309" s="30"/>
      <c r="IN309" s="30"/>
      <c r="IO309" s="30"/>
      <c r="IP309" s="30"/>
      <c r="IQ309" s="30"/>
      <c r="IR309" s="30"/>
      <c r="IS309" s="30"/>
      <c r="IT309" s="30"/>
      <c r="IU309" s="30"/>
      <c r="IV309" s="30"/>
      <c r="IW309" s="30"/>
      <c r="IX309" s="30"/>
      <c r="IY309" s="30"/>
      <c r="IZ309" s="30"/>
      <c r="JA309" s="30"/>
      <c r="JB309" s="30"/>
      <c r="JC309" s="30"/>
      <c r="JD309" s="30"/>
      <c r="JE309" s="30"/>
      <c r="JF309" s="30"/>
      <c r="JG309" s="30"/>
      <c r="JH309" s="30"/>
      <c r="JI309" s="30"/>
      <c r="JJ309" s="30"/>
      <c r="JK309" s="30"/>
      <c r="JL309" s="30"/>
      <c r="JM309" s="30"/>
      <c r="JN309" s="30"/>
      <c r="JO309" s="30"/>
      <c r="JP309" s="30"/>
      <c r="JQ309" s="30"/>
      <c r="JR309" s="30"/>
      <c r="JS309" s="30"/>
      <c r="JT309" s="30"/>
      <c r="JU309" s="30"/>
      <c r="JV309" s="30"/>
      <c r="JW309" s="30"/>
      <c r="JX309" s="30"/>
      <c r="JY309" s="30"/>
      <c r="JZ309" s="30"/>
      <c r="KA309" s="30"/>
      <c r="KB309" s="30"/>
      <c r="KC309" s="30"/>
      <c r="KD309" s="30"/>
      <c r="KE309" s="30"/>
    </row>
    <row r="310" spans="1:291" ht="35" customHeight="1">
      <c r="A310" s="74">
        <f>ROW()-2</f>
        <v>308</v>
      </c>
      <c r="B310" s="183" t="s">
        <v>4586</v>
      </c>
      <c r="C310" s="183" t="s">
        <v>4345</v>
      </c>
      <c r="D310" s="128" t="s">
        <v>5095</v>
      </c>
      <c r="E310" s="128" t="s">
        <v>5096</v>
      </c>
      <c r="F310" s="128" t="s">
        <v>4610</v>
      </c>
      <c r="G310" s="42" t="s">
        <v>34</v>
      </c>
      <c r="H310" s="183">
        <v>21</v>
      </c>
      <c r="I310" s="84">
        <v>7.0591666666666697</v>
      </c>
      <c r="J310" s="208">
        <v>43483</v>
      </c>
      <c r="K310" s="46" t="s">
        <v>20</v>
      </c>
      <c r="L310" s="203">
        <v>49.99</v>
      </c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  <c r="FS310" s="30"/>
      <c r="FT310" s="30"/>
      <c r="FU310" s="30"/>
      <c r="FV310" s="30"/>
      <c r="FW310" s="30"/>
      <c r="FX310" s="30"/>
      <c r="FY310" s="30"/>
      <c r="FZ310" s="30"/>
      <c r="GA310" s="30"/>
      <c r="GB310" s="30"/>
      <c r="GC310" s="30"/>
      <c r="GD310" s="30"/>
      <c r="GE310" s="30"/>
      <c r="GF310" s="30"/>
      <c r="GG310" s="30"/>
      <c r="GH310" s="30"/>
      <c r="GI310" s="30"/>
      <c r="GJ310" s="30"/>
      <c r="GK310" s="30"/>
      <c r="GL310" s="30"/>
      <c r="GM310" s="30"/>
      <c r="GN310" s="30"/>
      <c r="GO310" s="30"/>
      <c r="GP310" s="30"/>
      <c r="GQ310" s="30"/>
      <c r="GR310" s="30"/>
      <c r="GS310" s="30"/>
      <c r="GT310" s="30"/>
      <c r="GU310" s="30"/>
      <c r="GV310" s="30"/>
      <c r="GW310" s="30"/>
      <c r="GX310" s="30"/>
      <c r="GY310" s="30"/>
      <c r="GZ310" s="30"/>
      <c r="HA310" s="30"/>
      <c r="HB310" s="30"/>
      <c r="HC310" s="30"/>
      <c r="HD310" s="30"/>
      <c r="HE310" s="30"/>
      <c r="HF310" s="30"/>
      <c r="HG310" s="30"/>
      <c r="HH310" s="30"/>
      <c r="HI310" s="30"/>
      <c r="HJ310" s="30"/>
      <c r="HK310" s="30"/>
      <c r="HL310" s="30"/>
      <c r="HM310" s="30"/>
      <c r="HN310" s="30"/>
      <c r="HO310" s="30"/>
      <c r="HP310" s="30"/>
      <c r="HQ310" s="30"/>
      <c r="HR310" s="30"/>
      <c r="HS310" s="30"/>
      <c r="HT310" s="30"/>
      <c r="HU310" s="30"/>
      <c r="HV310" s="30"/>
      <c r="HW310" s="30"/>
      <c r="HX310" s="30"/>
      <c r="HY310" s="30"/>
      <c r="HZ310" s="30"/>
      <c r="IA310" s="30"/>
      <c r="IB310" s="30"/>
      <c r="IC310" s="30"/>
      <c r="ID310" s="30"/>
      <c r="IE310" s="30"/>
      <c r="IF310" s="30"/>
      <c r="IG310" s="30"/>
      <c r="IH310" s="30"/>
      <c r="II310" s="30"/>
      <c r="IJ310" s="30"/>
      <c r="IK310" s="30"/>
      <c r="IL310" s="30"/>
      <c r="IM310" s="30"/>
      <c r="IN310" s="30"/>
      <c r="IO310" s="30"/>
      <c r="IP310" s="30"/>
      <c r="IQ310" s="30"/>
      <c r="IR310" s="30"/>
      <c r="IS310" s="30"/>
      <c r="IT310" s="30"/>
      <c r="IU310" s="30"/>
      <c r="IV310" s="30"/>
      <c r="IW310" s="30"/>
      <c r="IX310" s="30"/>
      <c r="IY310" s="30"/>
      <c r="IZ310" s="30"/>
      <c r="JA310" s="30"/>
      <c r="JB310" s="30"/>
      <c r="JC310" s="30"/>
      <c r="JD310" s="30"/>
      <c r="JE310" s="30"/>
      <c r="JF310" s="30"/>
      <c r="JG310" s="30"/>
      <c r="JH310" s="30"/>
      <c r="JI310" s="30"/>
      <c r="JJ310" s="30"/>
      <c r="JK310" s="30"/>
      <c r="JL310" s="30"/>
      <c r="JM310" s="30"/>
      <c r="JN310" s="30"/>
      <c r="JO310" s="30"/>
      <c r="JP310" s="30"/>
      <c r="JQ310" s="30"/>
      <c r="JR310" s="30"/>
      <c r="JS310" s="30"/>
      <c r="JT310" s="30"/>
      <c r="JU310" s="30"/>
      <c r="JV310" s="30"/>
      <c r="JW310" s="30"/>
      <c r="JX310" s="30"/>
      <c r="JY310" s="30"/>
      <c r="JZ310" s="30"/>
      <c r="KA310" s="30"/>
      <c r="KB310" s="30"/>
      <c r="KC310" s="30"/>
      <c r="KD310" s="30"/>
      <c r="KE310" s="30"/>
    </row>
    <row r="311" spans="1:291" ht="35" customHeight="1">
      <c r="A311" s="74">
        <f>ROW()-2</f>
        <v>309</v>
      </c>
      <c r="B311" s="183" t="s">
        <v>4586</v>
      </c>
      <c r="C311" s="183" t="s">
        <v>4345</v>
      </c>
      <c r="D311" s="128" t="s">
        <v>5084</v>
      </c>
      <c r="E311" s="128" t="s">
        <v>4625</v>
      </c>
      <c r="F311" s="128" t="s">
        <v>4626</v>
      </c>
      <c r="G311" s="42" t="s">
        <v>34</v>
      </c>
      <c r="H311" s="183">
        <v>14</v>
      </c>
      <c r="I311" s="84">
        <v>4.6463888888888896</v>
      </c>
      <c r="J311" s="208">
        <v>43516</v>
      </c>
      <c r="K311" s="46" t="s">
        <v>20</v>
      </c>
      <c r="L311" s="203">
        <v>21</v>
      </c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  <c r="FS311" s="30"/>
      <c r="FT311" s="30"/>
      <c r="FU311" s="30"/>
      <c r="FV311" s="30"/>
      <c r="FW311" s="30"/>
      <c r="FX311" s="30"/>
      <c r="FY311" s="30"/>
      <c r="FZ311" s="30"/>
      <c r="GA311" s="30"/>
      <c r="GB311" s="30"/>
      <c r="GC311" s="30"/>
      <c r="GD311" s="30"/>
      <c r="GE311" s="30"/>
      <c r="GF311" s="30"/>
      <c r="GG311" s="30"/>
      <c r="GH311" s="30"/>
      <c r="GI311" s="30"/>
      <c r="GJ311" s="30"/>
      <c r="GK311" s="30"/>
      <c r="GL311" s="30"/>
      <c r="GM311" s="30"/>
      <c r="GN311" s="30"/>
      <c r="GO311" s="30"/>
      <c r="GP311" s="30"/>
      <c r="GQ311" s="30"/>
      <c r="GR311" s="30"/>
      <c r="GS311" s="30"/>
      <c r="GT311" s="30"/>
      <c r="GU311" s="30"/>
      <c r="GV311" s="30"/>
      <c r="GW311" s="30"/>
      <c r="GX311" s="30"/>
      <c r="GY311" s="30"/>
      <c r="GZ311" s="30"/>
      <c r="HA311" s="30"/>
      <c r="HB311" s="30"/>
      <c r="HC311" s="30"/>
      <c r="HD311" s="30"/>
      <c r="HE311" s="30"/>
      <c r="HF311" s="30"/>
      <c r="HG311" s="30"/>
      <c r="HH311" s="30"/>
      <c r="HI311" s="30"/>
      <c r="HJ311" s="30"/>
      <c r="HK311" s="30"/>
      <c r="HL311" s="30"/>
      <c r="HM311" s="30"/>
      <c r="HN311" s="30"/>
      <c r="HO311" s="30"/>
      <c r="HP311" s="30"/>
      <c r="HQ311" s="30"/>
      <c r="HR311" s="30"/>
      <c r="HS311" s="30"/>
      <c r="HT311" s="30"/>
      <c r="HU311" s="30"/>
      <c r="HV311" s="30"/>
      <c r="HW311" s="30"/>
      <c r="HX311" s="30"/>
      <c r="HY311" s="30"/>
      <c r="HZ311" s="30"/>
      <c r="IA311" s="30"/>
      <c r="IB311" s="30"/>
      <c r="IC311" s="30"/>
      <c r="ID311" s="30"/>
      <c r="IE311" s="30"/>
      <c r="IF311" s="30"/>
      <c r="IG311" s="30"/>
      <c r="IH311" s="30"/>
      <c r="II311" s="30"/>
      <c r="IJ311" s="30"/>
      <c r="IK311" s="30"/>
      <c r="IL311" s="30"/>
      <c r="IM311" s="30"/>
      <c r="IN311" s="30"/>
      <c r="IO311" s="30"/>
      <c r="IP311" s="30"/>
      <c r="IQ311" s="30"/>
      <c r="IR311" s="30"/>
      <c r="IS311" s="30"/>
      <c r="IT311" s="30"/>
      <c r="IU311" s="30"/>
      <c r="IV311" s="30"/>
      <c r="IW311" s="30"/>
      <c r="IX311" s="30"/>
      <c r="IY311" s="30"/>
      <c r="IZ311" s="30"/>
      <c r="JA311" s="30"/>
      <c r="JB311" s="30"/>
      <c r="JC311" s="30"/>
      <c r="JD311" s="30"/>
      <c r="JE311" s="30"/>
      <c r="JF311" s="30"/>
      <c r="JG311" s="30"/>
      <c r="JH311" s="30"/>
      <c r="JI311" s="30"/>
      <c r="JJ311" s="30"/>
      <c r="JK311" s="30"/>
      <c r="JL311" s="30"/>
      <c r="JM311" s="30"/>
      <c r="JN311" s="30"/>
      <c r="JO311" s="30"/>
      <c r="JP311" s="30"/>
      <c r="JQ311" s="30"/>
      <c r="JR311" s="30"/>
      <c r="JS311" s="30"/>
      <c r="JT311" s="30"/>
      <c r="JU311" s="30"/>
      <c r="JV311" s="30"/>
      <c r="JW311" s="30"/>
      <c r="JX311" s="30"/>
      <c r="JY311" s="30"/>
      <c r="JZ311" s="30"/>
      <c r="KA311" s="30"/>
      <c r="KB311" s="30"/>
      <c r="KC311" s="30"/>
      <c r="KD311" s="30"/>
      <c r="KE311" s="30"/>
    </row>
    <row r="312" spans="1:291" ht="35" customHeight="1">
      <c r="A312" s="74">
        <f>ROW()-2</f>
        <v>310</v>
      </c>
      <c r="B312" s="183" t="s">
        <v>4586</v>
      </c>
      <c r="C312" s="183" t="s">
        <v>4345</v>
      </c>
      <c r="D312" s="128" t="s">
        <v>5085</v>
      </c>
      <c r="E312" s="128" t="s">
        <v>5086</v>
      </c>
      <c r="F312" s="128" t="s">
        <v>4632</v>
      </c>
      <c r="G312" s="42" t="s">
        <v>34</v>
      </c>
      <c r="H312" s="183">
        <v>16</v>
      </c>
      <c r="I312" s="84">
        <v>5.0408333333333299</v>
      </c>
      <c r="J312" s="208">
        <v>43516</v>
      </c>
      <c r="K312" s="46" t="s">
        <v>20</v>
      </c>
      <c r="L312" s="203">
        <v>12.9</v>
      </c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  <c r="FS312" s="30"/>
      <c r="FT312" s="30"/>
      <c r="FU312" s="30"/>
      <c r="FV312" s="30"/>
      <c r="FW312" s="30"/>
      <c r="FX312" s="30"/>
      <c r="FY312" s="30"/>
      <c r="FZ312" s="30"/>
      <c r="GA312" s="30"/>
      <c r="GB312" s="30"/>
      <c r="GC312" s="30"/>
      <c r="GD312" s="30"/>
      <c r="GE312" s="30"/>
      <c r="GF312" s="30"/>
      <c r="GG312" s="30"/>
      <c r="GH312" s="30"/>
      <c r="GI312" s="30"/>
      <c r="GJ312" s="30"/>
      <c r="GK312" s="30"/>
      <c r="GL312" s="30"/>
      <c r="GM312" s="30"/>
      <c r="GN312" s="30"/>
      <c r="GO312" s="30"/>
      <c r="GP312" s="30"/>
      <c r="GQ312" s="30"/>
      <c r="GR312" s="30"/>
      <c r="GS312" s="30"/>
      <c r="GT312" s="30"/>
      <c r="GU312" s="30"/>
      <c r="GV312" s="30"/>
      <c r="GW312" s="30"/>
      <c r="GX312" s="30"/>
      <c r="GY312" s="30"/>
      <c r="GZ312" s="30"/>
      <c r="HA312" s="30"/>
      <c r="HB312" s="30"/>
      <c r="HC312" s="30"/>
      <c r="HD312" s="30"/>
      <c r="HE312" s="30"/>
      <c r="HF312" s="30"/>
      <c r="HG312" s="30"/>
      <c r="HH312" s="30"/>
      <c r="HI312" s="30"/>
      <c r="HJ312" s="30"/>
      <c r="HK312" s="30"/>
      <c r="HL312" s="30"/>
      <c r="HM312" s="30"/>
      <c r="HN312" s="30"/>
      <c r="HO312" s="30"/>
      <c r="HP312" s="30"/>
      <c r="HQ312" s="30"/>
      <c r="HR312" s="30"/>
      <c r="HS312" s="30"/>
      <c r="HT312" s="30"/>
      <c r="HU312" s="30"/>
      <c r="HV312" s="30"/>
      <c r="HW312" s="30"/>
      <c r="HX312" s="30"/>
      <c r="HY312" s="30"/>
      <c r="HZ312" s="30"/>
      <c r="IA312" s="30"/>
      <c r="IB312" s="30"/>
      <c r="IC312" s="30"/>
      <c r="ID312" s="30"/>
      <c r="IE312" s="30"/>
      <c r="IF312" s="30"/>
      <c r="IG312" s="30"/>
      <c r="IH312" s="30"/>
      <c r="II312" s="30"/>
      <c r="IJ312" s="30"/>
      <c r="IK312" s="30"/>
      <c r="IL312" s="30"/>
      <c r="IM312" s="30"/>
      <c r="IN312" s="30"/>
      <c r="IO312" s="30"/>
      <c r="IP312" s="30"/>
      <c r="IQ312" s="30"/>
      <c r="IR312" s="30"/>
      <c r="IS312" s="30"/>
      <c r="IT312" s="30"/>
      <c r="IU312" s="30"/>
      <c r="IV312" s="30"/>
      <c r="IW312" s="30"/>
      <c r="IX312" s="30"/>
      <c r="IY312" s="30"/>
      <c r="IZ312" s="30"/>
      <c r="JA312" s="30"/>
      <c r="JB312" s="30"/>
      <c r="JC312" s="30"/>
      <c r="JD312" s="30"/>
      <c r="JE312" s="30"/>
      <c r="JF312" s="30"/>
      <c r="JG312" s="30"/>
      <c r="JH312" s="30"/>
      <c r="JI312" s="30"/>
      <c r="JJ312" s="30"/>
      <c r="JK312" s="30"/>
      <c r="JL312" s="30"/>
      <c r="JM312" s="30"/>
      <c r="JN312" s="30"/>
      <c r="JO312" s="30"/>
      <c r="JP312" s="30"/>
      <c r="JQ312" s="30"/>
      <c r="JR312" s="30"/>
      <c r="JS312" s="30"/>
      <c r="JT312" s="30"/>
      <c r="JU312" s="30"/>
      <c r="JV312" s="30"/>
      <c r="JW312" s="30"/>
      <c r="JX312" s="30"/>
      <c r="JY312" s="30"/>
      <c r="JZ312" s="30"/>
      <c r="KA312" s="30"/>
      <c r="KB312" s="30"/>
      <c r="KC312" s="30"/>
      <c r="KD312" s="30"/>
      <c r="KE312" s="30"/>
    </row>
    <row r="313" spans="1:291" ht="35" customHeight="1">
      <c r="A313" s="74">
        <f>ROW()-2</f>
        <v>311</v>
      </c>
      <c r="B313" s="183" t="s">
        <v>4586</v>
      </c>
      <c r="C313" s="183" t="s">
        <v>4345</v>
      </c>
      <c r="D313" s="128" t="s">
        <v>3160</v>
      </c>
      <c r="E313" s="128" t="s">
        <v>3161</v>
      </c>
      <c r="F313" s="128" t="s">
        <v>4610</v>
      </c>
      <c r="G313" s="42" t="s">
        <v>34</v>
      </c>
      <c r="H313" s="183">
        <v>30</v>
      </c>
      <c r="I313" s="84">
        <v>9.4049999999999994</v>
      </c>
      <c r="J313" s="208">
        <v>43516</v>
      </c>
      <c r="K313" s="46" t="s">
        <v>20</v>
      </c>
      <c r="L313" s="203">
        <v>40</v>
      </c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  <c r="FS313" s="30"/>
      <c r="FT313" s="30"/>
      <c r="FU313" s="30"/>
      <c r="FV313" s="30"/>
      <c r="FW313" s="30"/>
      <c r="FX313" s="30"/>
      <c r="FY313" s="30"/>
      <c r="FZ313" s="30"/>
      <c r="GA313" s="30"/>
      <c r="GB313" s="30"/>
      <c r="GC313" s="30"/>
      <c r="GD313" s="30"/>
      <c r="GE313" s="30"/>
      <c r="GF313" s="30"/>
      <c r="GG313" s="30"/>
      <c r="GH313" s="30"/>
      <c r="GI313" s="30"/>
      <c r="GJ313" s="30"/>
      <c r="GK313" s="30"/>
      <c r="GL313" s="30"/>
      <c r="GM313" s="30"/>
      <c r="GN313" s="30"/>
      <c r="GO313" s="30"/>
      <c r="GP313" s="30"/>
      <c r="GQ313" s="30"/>
      <c r="GR313" s="30"/>
      <c r="GS313" s="30"/>
      <c r="GT313" s="30"/>
      <c r="GU313" s="30"/>
      <c r="GV313" s="30"/>
      <c r="GW313" s="30"/>
      <c r="GX313" s="30"/>
      <c r="GY313" s="30"/>
      <c r="GZ313" s="30"/>
      <c r="HA313" s="30"/>
      <c r="HB313" s="30"/>
      <c r="HC313" s="30"/>
      <c r="HD313" s="30"/>
      <c r="HE313" s="30"/>
      <c r="HF313" s="30"/>
      <c r="HG313" s="30"/>
      <c r="HH313" s="30"/>
      <c r="HI313" s="30"/>
      <c r="HJ313" s="30"/>
      <c r="HK313" s="30"/>
      <c r="HL313" s="30"/>
      <c r="HM313" s="30"/>
      <c r="HN313" s="30"/>
      <c r="HO313" s="30"/>
      <c r="HP313" s="30"/>
      <c r="HQ313" s="30"/>
      <c r="HR313" s="30"/>
      <c r="HS313" s="30"/>
      <c r="HT313" s="30"/>
      <c r="HU313" s="30"/>
      <c r="HV313" s="30"/>
      <c r="HW313" s="30"/>
      <c r="HX313" s="30"/>
      <c r="HY313" s="30"/>
      <c r="HZ313" s="30"/>
      <c r="IA313" s="30"/>
      <c r="IB313" s="30"/>
      <c r="IC313" s="30"/>
      <c r="ID313" s="30"/>
      <c r="IE313" s="30"/>
      <c r="IF313" s="30"/>
      <c r="IG313" s="30"/>
      <c r="IH313" s="30"/>
      <c r="II313" s="30"/>
      <c r="IJ313" s="30"/>
      <c r="IK313" s="30"/>
      <c r="IL313" s="30"/>
      <c r="IM313" s="30"/>
      <c r="IN313" s="30"/>
      <c r="IO313" s="30"/>
      <c r="IP313" s="30"/>
      <c r="IQ313" s="30"/>
      <c r="IR313" s="30"/>
      <c r="IS313" s="30"/>
      <c r="IT313" s="30"/>
      <c r="IU313" s="30"/>
      <c r="IV313" s="30"/>
      <c r="IW313" s="30"/>
      <c r="IX313" s="30"/>
      <c r="IY313" s="30"/>
      <c r="IZ313" s="30"/>
      <c r="JA313" s="30"/>
      <c r="JB313" s="30"/>
      <c r="JC313" s="30"/>
      <c r="JD313" s="30"/>
      <c r="JE313" s="30"/>
      <c r="JF313" s="30"/>
      <c r="JG313" s="30"/>
      <c r="JH313" s="30"/>
      <c r="JI313" s="30"/>
      <c r="JJ313" s="30"/>
      <c r="JK313" s="30"/>
      <c r="JL313" s="30"/>
      <c r="JM313" s="30"/>
      <c r="JN313" s="30"/>
      <c r="JO313" s="30"/>
      <c r="JP313" s="30"/>
      <c r="JQ313" s="30"/>
      <c r="JR313" s="30"/>
      <c r="JS313" s="30"/>
      <c r="JT313" s="30"/>
      <c r="JU313" s="30"/>
      <c r="JV313" s="30"/>
      <c r="JW313" s="30"/>
      <c r="JX313" s="30"/>
      <c r="JY313" s="30"/>
      <c r="JZ313" s="30"/>
      <c r="KA313" s="30"/>
      <c r="KB313" s="30"/>
      <c r="KC313" s="30"/>
      <c r="KD313" s="30"/>
      <c r="KE313" s="30"/>
    </row>
    <row r="314" spans="1:291" ht="35" customHeight="1">
      <c r="A314" s="74">
        <f>ROW()-2</f>
        <v>312</v>
      </c>
      <c r="B314" s="183" t="s">
        <v>4586</v>
      </c>
      <c r="C314" s="205" t="s">
        <v>4345</v>
      </c>
      <c r="D314" s="128" t="s">
        <v>5099</v>
      </c>
      <c r="E314" s="128" t="s">
        <v>5100</v>
      </c>
      <c r="F314" s="128" t="s">
        <v>5101</v>
      </c>
      <c r="G314" s="42" t="s">
        <v>34</v>
      </c>
      <c r="H314" s="183">
        <v>24</v>
      </c>
      <c r="I314" s="84">
        <v>6.8872222222222197</v>
      </c>
      <c r="J314" s="208">
        <v>43692</v>
      </c>
      <c r="K314" s="46" t="s">
        <v>20</v>
      </c>
      <c r="L314" s="203">
        <v>10.99</v>
      </c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  <c r="FS314" s="30"/>
      <c r="FT314" s="30"/>
      <c r="FU314" s="30"/>
      <c r="FV314" s="30"/>
      <c r="FW314" s="30"/>
      <c r="FX314" s="30"/>
      <c r="FY314" s="30"/>
      <c r="FZ314" s="30"/>
      <c r="GA314" s="30"/>
      <c r="GB314" s="30"/>
      <c r="GC314" s="30"/>
      <c r="GD314" s="30"/>
      <c r="GE314" s="30"/>
      <c r="GF314" s="30"/>
      <c r="GG314" s="30"/>
      <c r="GH314" s="30"/>
      <c r="GI314" s="30"/>
      <c r="GJ314" s="30"/>
      <c r="GK314" s="30"/>
      <c r="GL314" s="30"/>
      <c r="GM314" s="30"/>
      <c r="GN314" s="30"/>
      <c r="GO314" s="30"/>
      <c r="GP314" s="30"/>
      <c r="GQ314" s="30"/>
      <c r="GR314" s="30"/>
      <c r="GS314" s="30"/>
      <c r="GT314" s="30"/>
      <c r="GU314" s="30"/>
      <c r="GV314" s="30"/>
      <c r="GW314" s="30"/>
      <c r="GX314" s="30"/>
      <c r="GY314" s="30"/>
      <c r="GZ314" s="30"/>
      <c r="HA314" s="30"/>
      <c r="HB314" s="30"/>
      <c r="HC314" s="30"/>
      <c r="HD314" s="30"/>
      <c r="HE314" s="30"/>
      <c r="HF314" s="30"/>
      <c r="HG314" s="30"/>
      <c r="HH314" s="30"/>
      <c r="HI314" s="30"/>
      <c r="HJ314" s="30"/>
      <c r="HK314" s="30"/>
      <c r="HL314" s="30"/>
      <c r="HM314" s="30"/>
      <c r="HN314" s="30"/>
      <c r="HO314" s="30"/>
      <c r="HP314" s="30"/>
      <c r="HQ314" s="30"/>
      <c r="HR314" s="30"/>
      <c r="HS314" s="30"/>
      <c r="HT314" s="30"/>
      <c r="HU314" s="30"/>
      <c r="HV314" s="30"/>
      <c r="HW314" s="30"/>
      <c r="HX314" s="30"/>
      <c r="HY314" s="30"/>
      <c r="HZ314" s="30"/>
      <c r="IA314" s="30"/>
      <c r="IB314" s="30"/>
      <c r="IC314" s="30"/>
      <c r="ID314" s="30"/>
      <c r="IE314" s="30"/>
      <c r="IF314" s="30"/>
      <c r="IG314" s="30"/>
      <c r="IH314" s="30"/>
      <c r="II314" s="30"/>
      <c r="IJ314" s="30"/>
      <c r="IK314" s="30"/>
      <c r="IL314" s="30"/>
      <c r="IM314" s="30"/>
      <c r="IN314" s="30"/>
      <c r="IO314" s="30"/>
      <c r="IP314" s="30"/>
      <c r="IQ314" s="30"/>
      <c r="IR314" s="30"/>
      <c r="IS314" s="30"/>
      <c r="IT314" s="30"/>
      <c r="IU314" s="30"/>
      <c r="IV314" s="30"/>
      <c r="IW314" s="30"/>
      <c r="IX314" s="30"/>
      <c r="IY314" s="30"/>
      <c r="IZ314" s="30"/>
      <c r="JA314" s="30"/>
      <c r="JB314" s="30"/>
      <c r="JC314" s="30"/>
      <c r="JD314" s="30"/>
      <c r="JE314" s="30"/>
      <c r="JF314" s="30"/>
      <c r="JG314" s="30"/>
      <c r="JH314" s="30"/>
      <c r="JI314" s="30"/>
      <c r="JJ314" s="30"/>
      <c r="JK314" s="30"/>
      <c r="JL314" s="30"/>
      <c r="JM314" s="30"/>
      <c r="JN314" s="30"/>
      <c r="JO314" s="30"/>
      <c r="JP314" s="30"/>
      <c r="JQ314" s="30"/>
      <c r="JR314" s="30"/>
      <c r="JS314" s="30"/>
      <c r="JT314" s="30"/>
      <c r="JU314" s="30"/>
      <c r="JV314" s="30"/>
      <c r="JW314" s="30"/>
      <c r="JX314" s="30"/>
      <c r="JY314" s="30"/>
      <c r="JZ314" s="30"/>
      <c r="KA314" s="30"/>
      <c r="KB314" s="30"/>
      <c r="KC314" s="30"/>
      <c r="KD314" s="30"/>
      <c r="KE314" s="30"/>
    </row>
    <row r="315" spans="1:291" ht="35" customHeight="1">
      <c r="A315" s="74">
        <f>ROW()-2</f>
        <v>313</v>
      </c>
      <c r="B315" s="183" t="s">
        <v>4586</v>
      </c>
      <c r="C315" s="183" t="s">
        <v>4345</v>
      </c>
      <c r="D315" s="128" t="s">
        <v>5102</v>
      </c>
      <c r="E315" s="128" t="s">
        <v>310</v>
      </c>
      <c r="F315" s="128" t="s">
        <v>4698</v>
      </c>
      <c r="G315" s="42" t="s">
        <v>34</v>
      </c>
      <c r="H315" s="183">
        <v>25</v>
      </c>
      <c r="I315" s="84">
        <v>8.8738888888888905</v>
      </c>
      <c r="J315" s="208">
        <v>43692</v>
      </c>
      <c r="K315" s="46" t="s">
        <v>20</v>
      </c>
      <c r="L315" s="203">
        <v>9.99</v>
      </c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  <c r="FS315" s="30"/>
      <c r="FT315" s="30"/>
      <c r="FU315" s="30"/>
      <c r="FV315" s="30"/>
      <c r="FW315" s="30"/>
      <c r="FX315" s="30"/>
      <c r="FY315" s="30"/>
      <c r="FZ315" s="30"/>
      <c r="GA315" s="30"/>
      <c r="GB315" s="30"/>
      <c r="GC315" s="30"/>
      <c r="GD315" s="30"/>
      <c r="GE315" s="30"/>
      <c r="GF315" s="30"/>
      <c r="GG315" s="30"/>
      <c r="GH315" s="30"/>
      <c r="GI315" s="30"/>
      <c r="GJ315" s="30"/>
      <c r="GK315" s="30"/>
      <c r="GL315" s="30"/>
      <c r="GM315" s="30"/>
      <c r="GN315" s="30"/>
      <c r="GO315" s="30"/>
      <c r="GP315" s="30"/>
      <c r="GQ315" s="30"/>
      <c r="GR315" s="30"/>
      <c r="GS315" s="30"/>
      <c r="GT315" s="30"/>
      <c r="GU315" s="30"/>
      <c r="GV315" s="30"/>
      <c r="GW315" s="30"/>
      <c r="GX315" s="30"/>
      <c r="GY315" s="30"/>
      <c r="GZ315" s="30"/>
      <c r="HA315" s="30"/>
      <c r="HB315" s="30"/>
      <c r="HC315" s="30"/>
      <c r="HD315" s="30"/>
      <c r="HE315" s="30"/>
      <c r="HF315" s="30"/>
      <c r="HG315" s="30"/>
      <c r="HH315" s="30"/>
      <c r="HI315" s="30"/>
      <c r="HJ315" s="30"/>
      <c r="HK315" s="30"/>
      <c r="HL315" s="30"/>
      <c r="HM315" s="30"/>
      <c r="HN315" s="30"/>
      <c r="HO315" s="30"/>
      <c r="HP315" s="30"/>
      <c r="HQ315" s="30"/>
      <c r="HR315" s="30"/>
      <c r="HS315" s="30"/>
      <c r="HT315" s="30"/>
      <c r="HU315" s="30"/>
      <c r="HV315" s="30"/>
      <c r="HW315" s="30"/>
      <c r="HX315" s="30"/>
      <c r="HY315" s="30"/>
      <c r="HZ315" s="30"/>
      <c r="IA315" s="30"/>
      <c r="IB315" s="30"/>
      <c r="IC315" s="30"/>
      <c r="ID315" s="30"/>
      <c r="IE315" s="30"/>
      <c r="IF315" s="30"/>
      <c r="IG315" s="30"/>
      <c r="IH315" s="30"/>
      <c r="II315" s="30"/>
      <c r="IJ315" s="30"/>
      <c r="IK315" s="30"/>
      <c r="IL315" s="30"/>
      <c r="IM315" s="30"/>
      <c r="IN315" s="30"/>
      <c r="IO315" s="30"/>
      <c r="IP315" s="30"/>
      <c r="IQ315" s="30"/>
      <c r="IR315" s="30"/>
      <c r="IS315" s="30"/>
      <c r="IT315" s="30"/>
      <c r="IU315" s="30"/>
      <c r="IV315" s="30"/>
      <c r="IW315" s="30"/>
      <c r="IX315" s="30"/>
      <c r="IY315" s="30"/>
      <c r="IZ315" s="30"/>
      <c r="JA315" s="30"/>
      <c r="JB315" s="30"/>
      <c r="JC315" s="30"/>
      <c r="JD315" s="30"/>
      <c r="JE315" s="30"/>
      <c r="JF315" s="30"/>
      <c r="JG315" s="30"/>
      <c r="JH315" s="30"/>
      <c r="JI315" s="30"/>
      <c r="JJ315" s="30"/>
      <c r="JK315" s="30"/>
      <c r="JL315" s="30"/>
      <c r="JM315" s="30"/>
      <c r="JN315" s="30"/>
      <c r="JO315" s="30"/>
      <c r="JP315" s="30"/>
      <c r="JQ315" s="30"/>
      <c r="JR315" s="30"/>
      <c r="JS315" s="30"/>
      <c r="JT315" s="30"/>
      <c r="JU315" s="30"/>
      <c r="JV315" s="30"/>
      <c r="JW315" s="30"/>
      <c r="JX315" s="30"/>
      <c r="JY315" s="30"/>
      <c r="JZ315" s="30"/>
      <c r="KA315" s="30"/>
      <c r="KB315" s="30"/>
      <c r="KC315" s="30"/>
      <c r="KD315" s="30"/>
      <c r="KE315" s="30"/>
    </row>
    <row r="316" spans="1:291" ht="35" customHeight="1">
      <c r="A316" s="74">
        <f>ROW()-2</f>
        <v>314</v>
      </c>
      <c r="B316" s="183" t="s">
        <v>4586</v>
      </c>
      <c r="C316" s="183" t="s">
        <v>4345</v>
      </c>
      <c r="D316" s="128" t="s">
        <v>5103</v>
      </c>
      <c r="E316" s="128" t="s">
        <v>5104</v>
      </c>
      <c r="F316" s="128" t="s">
        <v>5105</v>
      </c>
      <c r="G316" s="42" t="s">
        <v>34</v>
      </c>
      <c r="H316" s="183">
        <v>30</v>
      </c>
      <c r="I316" s="84">
        <v>10.053333333333301</v>
      </c>
      <c r="J316" s="208">
        <v>43692</v>
      </c>
      <c r="K316" s="84" t="s">
        <v>20</v>
      </c>
      <c r="L316" s="203">
        <v>113.05</v>
      </c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  <c r="FS316" s="30"/>
      <c r="FT316" s="30"/>
      <c r="FU316" s="30"/>
      <c r="FV316" s="30"/>
      <c r="FW316" s="30"/>
      <c r="FX316" s="30"/>
      <c r="FY316" s="30"/>
      <c r="FZ316" s="30"/>
      <c r="GA316" s="30"/>
      <c r="GB316" s="30"/>
      <c r="GC316" s="30"/>
      <c r="GD316" s="30"/>
      <c r="GE316" s="30"/>
      <c r="GF316" s="30"/>
      <c r="GG316" s="30"/>
      <c r="GH316" s="30"/>
      <c r="GI316" s="30"/>
      <c r="GJ316" s="30"/>
      <c r="GK316" s="30"/>
      <c r="GL316" s="30"/>
      <c r="GM316" s="30"/>
      <c r="GN316" s="30"/>
      <c r="GO316" s="30"/>
      <c r="GP316" s="30"/>
      <c r="GQ316" s="30"/>
      <c r="GR316" s="30"/>
      <c r="GS316" s="30"/>
      <c r="GT316" s="30"/>
      <c r="GU316" s="30"/>
      <c r="GV316" s="30"/>
      <c r="GW316" s="30"/>
      <c r="GX316" s="30"/>
      <c r="GY316" s="30"/>
      <c r="GZ316" s="30"/>
      <c r="HA316" s="30"/>
      <c r="HB316" s="30"/>
      <c r="HC316" s="30"/>
      <c r="HD316" s="30"/>
      <c r="HE316" s="30"/>
      <c r="HF316" s="30"/>
      <c r="HG316" s="30"/>
      <c r="HH316" s="30"/>
      <c r="HI316" s="30"/>
      <c r="HJ316" s="30"/>
      <c r="HK316" s="30"/>
      <c r="HL316" s="30"/>
      <c r="HM316" s="30"/>
      <c r="HN316" s="30"/>
      <c r="HO316" s="30"/>
      <c r="HP316" s="30"/>
      <c r="HQ316" s="30"/>
      <c r="HR316" s="30"/>
      <c r="HS316" s="30"/>
      <c r="HT316" s="30"/>
      <c r="HU316" s="30"/>
      <c r="HV316" s="30"/>
      <c r="HW316" s="30"/>
      <c r="HX316" s="30"/>
      <c r="HY316" s="30"/>
      <c r="HZ316" s="30"/>
      <c r="IA316" s="30"/>
      <c r="IB316" s="30"/>
      <c r="IC316" s="30"/>
      <c r="ID316" s="30"/>
      <c r="IE316" s="30"/>
      <c r="IF316" s="30"/>
      <c r="IG316" s="30"/>
      <c r="IH316" s="30"/>
      <c r="II316" s="30"/>
      <c r="IJ316" s="30"/>
      <c r="IK316" s="30"/>
      <c r="IL316" s="30"/>
      <c r="IM316" s="30"/>
      <c r="IN316" s="30"/>
      <c r="IO316" s="30"/>
      <c r="IP316" s="30"/>
      <c r="IQ316" s="30"/>
      <c r="IR316" s="30"/>
      <c r="IS316" s="30"/>
      <c r="IT316" s="30"/>
      <c r="IU316" s="30"/>
      <c r="IV316" s="30"/>
      <c r="IW316" s="30"/>
      <c r="IX316" s="30"/>
      <c r="IY316" s="30"/>
      <c r="IZ316" s="30"/>
      <c r="JA316" s="30"/>
      <c r="JB316" s="30"/>
      <c r="JC316" s="30"/>
      <c r="JD316" s="30"/>
      <c r="JE316" s="30"/>
      <c r="JF316" s="30"/>
      <c r="JG316" s="30"/>
      <c r="JH316" s="30"/>
      <c r="JI316" s="30"/>
      <c r="JJ316" s="30"/>
      <c r="JK316" s="30"/>
      <c r="JL316" s="30"/>
      <c r="JM316" s="30"/>
      <c r="JN316" s="30"/>
      <c r="JO316" s="30"/>
      <c r="JP316" s="30"/>
      <c r="JQ316" s="30"/>
      <c r="JR316" s="30"/>
      <c r="JS316" s="30"/>
      <c r="JT316" s="30"/>
      <c r="JU316" s="30"/>
      <c r="JV316" s="30"/>
      <c r="JW316" s="30"/>
      <c r="JX316" s="30"/>
      <c r="JY316" s="30"/>
      <c r="JZ316" s="30"/>
      <c r="KA316" s="30"/>
      <c r="KB316" s="30"/>
      <c r="KC316" s="30"/>
      <c r="KD316" s="30"/>
      <c r="KE316" s="30"/>
    </row>
    <row r="317" spans="1:291" ht="35" customHeight="1">
      <c r="A317" s="74">
        <f>ROW()-2</f>
        <v>315</v>
      </c>
      <c r="B317" s="183" t="s">
        <v>4586</v>
      </c>
      <c r="C317" s="205" t="s">
        <v>4345</v>
      </c>
      <c r="D317" s="128" t="s">
        <v>5106</v>
      </c>
      <c r="E317" s="128" t="s">
        <v>5104</v>
      </c>
      <c r="F317" s="128" t="s">
        <v>5105</v>
      </c>
      <c r="G317" s="42" t="s">
        <v>34</v>
      </c>
      <c r="H317" s="183">
        <v>71</v>
      </c>
      <c r="I317" s="84">
        <v>13.9758333333333</v>
      </c>
      <c r="J317" s="208">
        <v>43692</v>
      </c>
      <c r="K317" s="46" t="s">
        <v>20</v>
      </c>
      <c r="L317" s="203">
        <v>15.99</v>
      </c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  <c r="FS317" s="30"/>
      <c r="FT317" s="30"/>
      <c r="FU317" s="30"/>
      <c r="FV317" s="30"/>
      <c r="FW317" s="30"/>
      <c r="FX317" s="30"/>
      <c r="FY317" s="30"/>
      <c r="FZ317" s="30"/>
      <c r="GA317" s="30"/>
      <c r="GB317" s="30"/>
      <c r="GC317" s="30"/>
      <c r="GD317" s="30"/>
      <c r="GE317" s="30"/>
      <c r="GF317" s="30"/>
      <c r="GG317" s="30"/>
      <c r="GH317" s="30"/>
      <c r="GI317" s="30"/>
      <c r="GJ317" s="30"/>
      <c r="GK317" s="30"/>
      <c r="GL317" s="30"/>
      <c r="GM317" s="30"/>
      <c r="GN317" s="30"/>
      <c r="GO317" s="30"/>
      <c r="GP317" s="30"/>
      <c r="GQ317" s="30"/>
      <c r="GR317" s="30"/>
      <c r="GS317" s="30"/>
      <c r="GT317" s="30"/>
      <c r="GU317" s="30"/>
      <c r="GV317" s="30"/>
      <c r="GW317" s="30"/>
      <c r="GX317" s="30"/>
      <c r="GY317" s="30"/>
      <c r="GZ317" s="30"/>
      <c r="HA317" s="30"/>
      <c r="HB317" s="30"/>
      <c r="HC317" s="30"/>
      <c r="HD317" s="30"/>
      <c r="HE317" s="30"/>
      <c r="HF317" s="30"/>
      <c r="HG317" s="30"/>
      <c r="HH317" s="30"/>
      <c r="HI317" s="30"/>
      <c r="HJ317" s="30"/>
      <c r="HK317" s="30"/>
      <c r="HL317" s="30"/>
      <c r="HM317" s="30"/>
      <c r="HN317" s="30"/>
      <c r="HO317" s="30"/>
      <c r="HP317" s="30"/>
      <c r="HQ317" s="30"/>
      <c r="HR317" s="30"/>
      <c r="HS317" s="30"/>
      <c r="HT317" s="30"/>
      <c r="HU317" s="30"/>
      <c r="HV317" s="30"/>
      <c r="HW317" s="30"/>
      <c r="HX317" s="30"/>
      <c r="HY317" s="30"/>
      <c r="HZ317" s="30"/>
      <c r="IA317" s="30"/>
      <c r="IB317" s="30"/>
      <c r="IC317" s="30"/>
      <c r="ID317" s="30"/>
      <c r="IE317" s="30"/>
      <c r="IF317" s="30"/>
      <c r="IG317" s="30"/>
      <c r="IH317" s="30"/>
      <c r="II317" s="30"/>
      <c r="IJ317" s="30"/>
      <c r="IK317" s="30"/>
      <c r="IL317" s="30"/>
      <c r="IM317" s="30"/>
      <c r="IN317" s="30"/>
      <c r="IO317" s="30"/>
      <c r="IP317" s="30"/>
      <c r="IQ317" s="30"/>
      <c r="IR317" s="30"/>
      <c r="IS317" s="30"/>
      <c r="IT317" s="30"/>
      <c r="IU317" s="30"/>
      <c r="IV317" s="30"/>
      <c r="IW317" s="30"/>
      <c r="IX317" s="30"/>
      <c r="IY317" s="30"/>
      <c r="IZ317" s="30"/>
      <c r="JA317" s="30"/>
      <c r="JB317" s="30"/>
      <c r="JC317" s="30"/>
      <c r="JD317" s="30"/>
      <c r="JE317" s="30"/>
      <c r="JF317" s="30"/>
      <c r="JG317" s="30"/>
      <c r="JH317" s="30"/>
      <c r="JI317" s="30"/>
      <c r="JJ317" s="30"/>
      <c r="JK317" s="30"/>
      <c r="JL317" s="30"/>
      <c r="JM317" s="30"/>
      <c r="JN317" s="30"/>
      <c r="JO317" s="30"/>
      <c r="JP317" s="30"/>
      <c r="JQ317" s="30"/>
      <c r="JR317" s="30"/>
      <c r="JS317" s="30"/>
      <c r="JT317" s="30"/>
      <c r="JU317" s="30"/>
      <c r="JV317" s="30"/>
      <c r="JW317" s="30"/>
      <c r="JX317" s="30"/>
      <c r="JY317" s="30"/>
      <c r="JZ317" s="30"/>
      <c r="KA317" s="30"/>
      <c r="KB317" s="30"/>
      <c r="KC317" s="30"/>
      <c r="KD317" s="30"/>
      <c r="KE317" s="30"/>
    </row>
    <row r="318" spans="1:291" ht="35" customHeight="1">
      <c r="A318" s="74">
        <f>ROW()-2</f>
        <v>316</v>
      </c>
      <c r="B318" s="183" t="s">
        <v>4586</v>
      </c>
      <c r="C318" s="183" t="s">
        <v>4345</v>
      </c>
      <c r="D318" s="128" t="s">
        <v>5107</v>
      </c>
      <c r="E318" s="128" t="s">
        <v>5108</v>
      </c>
      <c r="F318" s="128" t="s">
        <v>5109</v>
      </c>
      <c r="G318" s="42" t="s">
        <v>34</v>
      </c>
      <c r="H318" s="183">
        <v>36</v>
      </c>
      <c r="I318" s="84">
        <v>12.445</v>
      </c>
      <c r="J318" s="208">
        <v>43692</v>
      </c>
      <c r="K318" s="84" t="s">
        <v>20</v>
      </c>
      <c r="L318" s="203">
        <v>17.8</v>
      </c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  <c r="FS318" s="30"/>
      <c r="FT318" s="30"/>
      <c r="FU318" s="30"/>
      <c r="FV318" s="30"/>
      <c r="FW318" s="30"/>
      <c r="FX318" s="30"/>
      <c r="FY318" s="30"/>
      <c r="FZ318" s="30"/>
      <c r="GA318" s="30"/>
      <c r="GB318" s="30"/>
      <c r="GC318" s="30"/>
      <c r="GD318" s="30"/>
      <c r="GE318" s="30"/>
      <c r="GF318" s="30"/>
      <c r="GG318" s="30"/>
      <c r="GH318" s="30"/>
      <c r="GI318" s="30"/>
      <c r="GJ318" s="30"/>
      <c r="GK318" s="30"/>
      <c r="GL318" s="30"/>
      <c r="GM318" s="30"/>
      <c r="GN318" s="30"/>
      <c r="GO318" s="30"/>
      <c r="GP318" s="30"/>
      <c r="GQ318" s="30"/>
      <c r="GR318" s="30"/>
      <c r="GS318" s="30"/>
      <c r="GT318" s="30"/>
      <c r="GU318" s="30"/>
      <c r="GV318" s="30"/>
      <c r="GW318" s="30"/>
      <c r="GX318" s="30"/>
      <c r="GY318" s="30"/>
      <c r="GZ318" s="30"/>
      <c r="HA318" s="30"/>
      <c r="HB318" s="30"/>
      <c r="HC318" s="30"/>
      <c r="HD318" s="30"/>
      <c r="HE318" s="30"/>
      <c r="HF318" s="30"/>
      <c r="HG318" s="30"/>
      <c r="HH318" s="30"/>
      <c r="HI318" s="30"/>
      <c r="HJ318" s="30"/>
      <c r="HK318" s="30"/>
      <c r="HL318" s="30"/>
      <c r="HM318" s="30"/>
      <c r="HN318" s="30"/>
      <c r="HO318" s="30"/>
      <c r="HP318" s="30"/>
      <c r="HQ318" s="30"/>
      <c r="HR318" s="30"/>
      <c r="HS318" s="30"/>
      <c r="HT318" s="30"/>
      <c r="HU318" s="30"/>
      <c r="HV318" s="30"/>
      <c r="HW318" s="30"/>
      <c r="HX318" s="30"/>
      <c r="HY318" s="30"/>
      <c r="HZ318" s="30"/>
      <c r="IA318" s="30"/>
      <c r="IB318" s="30"/>
      <c r="IC318" s="30"/>
      <c r="ID318" s="30"/>
      <c r="IE318" s="30"/>
      <c r="IF318" s="30"/>
      <c r="IG318" s="30"/>
      <c r="IH318" s="30"/>
      <c r="II318" s="30"/>
      <c r="IJ318" s="30"/>
      <c r="IK318" s="30"/>
      <c r="IL318" s="30"/>
      <c r="IM318" s="30"/>
      <c r="IN318" s="30"/>
      <c r="IO318" s="30"/>
      <c r="IP318" s="30"/>
      <c r="IQ318" s="30"/>
      <c r="IR318" s="30"/>
      <c r="IS318" s="30"/>
      <c r="IT318" s="30"/>
      <c r="IU318" s="30"/>
      <c r="IV318" s="30"/>
      <c r="IW318" s="30"/>
      <c r="IX318" s="30"/>
      <c r="IY318" s="30"/>
      <c r="IZ318" s="30"/>
      <c r="JA318" s="30"/>
      <c r="JB318" s="30"/>
      <c r="JC318" s="30"/>
      <c r="JD318" s="30"/>
      <c r="JE318" s="30"/>
      <c r="JF318" s="30"/>
      <c r="JG318" s="30"/>
      <c r="JH318" s="30"/>
      <c r="JI318" s="30"/>
      <c r="JJ318" s="30"/>
      <c r="JK318" s="30"/>
      <c r="JL318" s="30"/>
      <c r="JM318" s="30"/>
      <c r="JN318" s="30"/>
      <c r="JO318" s="30"/>
      <c r="JP318" s="30"/>
      <c r="JQ318" s="30"/>
      <c r="JR318" s="30"/>
      <c r="JS318" s="30"/>
      <c r="JT318" s="30"/>
      <c r="JU318" s="30"/>
      <c r="JV318" s="30"/>
      <c r="JW318" s="30"/>
      <c r="JX318" s="30"/>
      <c r="JY318" s="30"/>
      <c r="JZ318" s="30"/>
      <c r="KA318" s="30"/>
      <c r="KB318" s="30"/>
      <c r="KC318" s="30"/>
      <c r="KD318" s="30"/>
      <c r="KE318" s="30"/>
    </row>
    <row r="319" spans="1:291" ht="35" customHeight="1">
      <c r="A319" s="74">
        <f>ROW()-2</f>
        <v>317</v>
      </c>
      <c r="B319" s="183" t="s">
        <v>4586</v>
      </c>
      <c r="C319" s="183" t="s">
        <v>4345</v>
      </c>
      <c r="D319" s="128" t="s">
        <v>5110</v>
      </c>
      <c r="E319" s="128" t="s">
        <v>5111</v>
      </c>
      <c r="F319" s="128" t="s">
        <v>5112</v>
      </c>
      <c r="G319" s="42" t="s">
        <v>34</v>
      </c>
      <c r="H319" s="183">
        <v>23</v>
      </c>
      <c r="I319" s="84">
        <v>7.4472222222222202</v>
      </c>
      <c r="J319" s="208">
        <v>43692</v>
      </c>
      <c r="K319" s="46" t="s">
        <v>20</v>
      </c>
      <c r="L319" s="203">
        <v>21</v>
      </c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  <c r="FS319" s="30"/>
      <c r="FT319" s="30"/>
      <c r="FU319" s="30"/>
      <c r="FV319" s="30"/>
      <c r="FW319" s="30"/>
      <c r="FX319" s="30"/>
      <c r="FY319" s="30"/>
      <c r="FZ319" s="30"/>
      <c r="GA319" s="30"/>
      <c r="GB319" s="30"/>
      <c r="GC319" s="30"/>
      <c r="GD319" s="30"/>
      <c r="GE319" s="30"/>
      <c r="GF319" s="30"/>
      <c r="GG319" s="30"/>
      <c r="GH319" s="30"/>
      <c r="GI319" s="30"/>
      <c r="GJ319" s="30"/>
      <c r="GK319" s="30"/>
      <c r="GL319" s="30"/>
      <c r="GM319" s="30"/>
      <c r="GN319" s="30"/>
      <c r="GO319" s="30"/>
      <c r="GP319" s="30"/>
      <c r="GQ319" s="30"/>
      <c r="GR319" s="30"/>
      <c r="GS319" s="30"/>
      <c r="GT319" s="30"/>
      <c r="GU319" s="30"/>
      <c r="GV319" s="30"/>
      <c r="GW319" s="30"/>
      <c r="GX319" s="30"/>
      <c r="GY319" s="30"/>
      <c r="GZ319" s="30"/>
      <c r="HA319" s="30"/>
      <c r="HB319" s="30"/>
      <c r="HC319" s="30"/>
      <c r="HD319" s="30"/>
      <c r="HE319" s="30"/>
      <c r="HF319" s="30"/>
      <c r="HG319" s="30"/>
      <c r="HH319" s="30"/>
      <c r="HI319" s="30"/>
      <c r="HJ319" s="30"/>
      <c r="HK319" s="30"/>
      <c r="HL319" s="30"/>
      <c r="HM319" s="30"/>
      <c r="HN319" s="30"/>
      <c r="HO319" s="30"/>
      <c r="HP319" s="30"/>
      <c r="HQ319" s="30"/>
      <c r="HR319" s="30"/>
      <c r="HS319" s="30"/>
      <c r="HT319" s="30"/>
      <c r="HU319" s="30"/>
      <c r="HV319" s="30"/>
      <c r="HW319" s="30"/>
      <c r="HX319" s="30"/>
      <c r="HY319" s="30"/>
      <c r="HZ319" s="30"/>
      <c r="IA319" s="30"/>
      <c r="IB319" s="30"/>
      <c r="IC319" s="30"/>
      <c r="ID319" s="30"/>
      <c r="IE319" s="30"/>
      <c r="IF319" s="30"/>
      <c r="IG319" s="30"/>
      <c r="IH319" s="30"/>
      <c r="II319" s="30"/>
      <c r="IJ319" s="30"/>
      <c r="IK319" s="30"/>
      <c r="IL319" s="30"/>
      <c r="IM319" s="30"/>
      <c r="IN319" s="30"/>
      <c r="IO319" s="30"/>
      <c r="IP319" s="30"/>
      <c r="IQ319" s="30"/>
      <c r="IR319" s="30"/>
      <c r="IS319" s="30"/>
      <c r="IT319" s="30"/>
      <c r="IU319" s="30"/>
      <c r="IV319" s="30"/>
      <c r="IW319" s="30"/>
      <c r="IX319" s="30"/>
      <c r="IY319" s="30"/>
      <c r="IZ319" s="30"/>
      <c r="JA319" s="30"/>
      <c r="JB319" s="30"/>
      <c r="JC319" s="30"/>
      <c r="JD319" s="30"/>
      <c r="JE319" s="30"/>
      <c r="JF319" s="30"/>
      <c r="JG319" s="30"/>
      <c r="JH319" s="30"/>
      <c r="JI319" s="30"/>
      <c r="JJ319" s="30"/>
      <c r="JK319" s="30"/>
      <c r="JL319" s="30"/>
      <c r="JM319" s="30"/>
      <c r="JN319" s="30"/>
      <c r="JO319" s="30"/>
      <c r="JP319" s="30"/>
      <c r="JQ319" s="30"/>
      <c r="JR319" s="30"/>
      <c r="JS319" s="30"/>
      <c r="JT319" s="30"/>
      <c r="JU319" s="30"/>
      <c r="JV319" s="30"/>
      <c r="JW319" s="30"/>
      <c r="JX319" s="30"/>
      <c r="JY319" s="30"/>
      <c r="JZ319" s="30"/>
      <c r="KA319" s="30"/>
      <c r="KB319" s="30"/>
      <c r="KC319" s="30"/>
      <c r="KD319" s="30"/>
      <c r="KE319" s="30"/>
    </row>
    <row r="320" spans="1:291" ht="35" customHeight="1">
      <c r="A320" s="74">
        <f>ROW()-2</f>
        <v>318</v>
      </c>
      <c r="B320" s="183" t="s">
        <v>4586</v>
      </c>
      <c r="C320" s="205" t="s">
        <v>4345</v>
      </c>
      <c r="D320" s="128" t="s">
        <v>5113</v>
      </c>
      <c r="E320" s="128" t="s">
        <v>5114</v>
      </c>
      <c r="F320" s="128" t="s">
        <v>4632</v>
      </c>
      <c r="G320" s="42" t="s">
        <v>34</v>
      </c>
      <c r="H320" s="183">
        <v>12</v>
      </c>
      <c r="I320" s="84">
        <v>4.1555555555555603</v>
      </c>
      <c r="J320" s="208">
        <v>43692</v>
      </c>
      <c r="K320" s="46" t="s">
        <v>20</v>
      </c>
      <c r="L320" s="203">
        <v>30.8</v>
      </c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  <c r="FS320" s="30"/>
      <c r="FT320" s="30"/>
      <c r="FU320" s="30"/>
      <c r="FV320" s="30"/>
      <c r="FW320" s="30"/>
      <c r="FX320" s="30"/>
      <c r="FY320" s="30"/>
      <c r="FZ320" s="30"/>
      <c r="GA320" s="30"/>
      <c r="GB320" s="30"/>
      <c r="GC320" s="30"/>
      <c r="GD320" s="30"/>
      <c r="GE320" s="30"/>
      <c r="GF320" s="30"/>
      <c r="GG320" s="30"/>
      <c r="GH320" s="30"/>
      <c r="GI320" s="30"/>
      <c r="GJ320" s="30"/>
      <c r="GK320" s="30"/>
      <c r="GL320" s="30"/>
      <c r="GM320" s="30"/>
      <c r="GN320" s="30"/>
      <c r="GO320" s="30"/>
      <c r="GP320" s="30"/>
      <c r="GQ320" s="30"/>
      <c r="GR320" s="30"/>
      <c r="GS320" s="30"/>
      <c r="GT320" s="30"/>
      <c r="GU320" s="30"/>
      <c r="GV320" s="30"/>
      <c r="GW320" s="30"/>
      <c r="GX320" s="30"/>
      <c r="GY320" s="30"/>
      <c r="GZ320" s="30"/>
      <c r="HA320" s="30"/>
      <c r="HB320" s="30"/>
      <c r="HC320" s="30"/>
      <c r="HD320" s="30"/>
      <c r="HE320" s="30"/>
      <c r="HF320" s="30"/>
      <c r="HG320" s="30"/>
      <c r="HH320" s="30"/>
      <c r="HI320" s="30"/>
      <c r="HJ320" s="30"/>
      <c r="HK320" s="30"/>
      <c r="HL320" s="30"/>
      <c r="HM320" s="30"/>
      <c r="HN320" s="30"/>
      <c r="HO320" s="30"/>
      <c r="HP320" s="30"/>
      <c r="HQ320" s="30"/>
      <c r="HR320" s="30"/>
      <c r="HS320" s="30"/>
      <c r="HT320" s="30"/>
      <c r="HU320" s="30"/>
      <c r="HV320" s="30"/>
      <c r="HW320" s="30"/>
      <c r="HX320" s="30"/>
      <c r="HY320" s="30"/>
      <c r="HZ320" s="30"/>
      <c r="IA320" s="30"/>
      <c r="IB320" s="30"/>
      <c r="IC320" s="30"/>
      <c r="ID320" s="30"/>
      <c r="IE320" s="30"/>
      <c r="IF320" s="30"/>
      <c r="IG320" s="30"/>
      <c r="IH320" s="30"/>
      <c r="II320" s="30"/>
      <c r="IJ320" s="30"/>
      <c r="IK320" s="30"/>
      <c r="IL320" s="30"/>
      <c r="IM320" s="30"/>
      <c r="IN320" s="30"/>
      <c r="IO320" s="30"/>
      <c r="IP320" s="30"/>
      <c r="IQ320" s="30"/>
      <c r="IR320" s="30"/>
      <c r="IS320" s="30"/>
      <c r="IT320" s="30"/>
      <c r="IU320" s="30"/>
      <c r="IV320" s="30"/>
      <c r="IW320" s="30"/>
      <c r="IX320" s="30"/>
      <c r="IY320" s="30"/>
      <c r="IZ320" s="30"/>
      <c r="JA320" s="30"/>
      <c r="JB320" s="30"/>
      <c r="JC320" s="30"/>
      <c r="JD320" s="30"/>
      <c r="JE320" s="30"/>
      <c r="JF320" s="30"/>
      <c r="JG320" s="30"/>
      <c r="JH320" s="30"/>
      <c r="JI320" s="30"/>
      <c r="JJ320" s="30"/>
      <c r="JK320" s="30"/>
      <c r="JL320" s="30"/>
      <c r="JM320" s="30"/>
      <c r="JN320" s="30"/>
      <c r="JO320" s="30"/>
      <c r="JP320" s="30"/>
      <c r="JQ320" s="30"/>
      <c r="JR320" s="30"/>
      <c r="JS320" s="30"/>
      <c r="JT320" s="30"/>
      <c r="JU320" s="30"/>
      <c r="JV320" s="30"/>
      <c r="JW320" s="30"/>
      <c r="JX320" s="30"/>
      <c r="JY320" s="30"/>
      <c r="JZ320" s="30"/>
      <c r="KA320" s="30"/>
      <c r="KB320" s="30"/>
      <c r="KC320" s="30"/>
      <c r="KD320" s="30"/>
      <c r="KE320" s="30"/>
    </row>
    <row r="321" spans="1:291" ht="35" customHeight="1">
      <c r="A321" s="74">
        <f>ROW()-2</f>
        <v>319</v>
      </c>
      <c r="B321" s="183" t="s">
        <v>4586</v>
      </c>
      <c r="C321" s="183" t="s">
        <v>4345</v>
      </c>
      <c r="D321" s="128" t="s">
        <v>5115</v>
      </c>
      <c r="E321" s="128" t="s">
        <v>5116</v>
      </c>
      <c r="F321" s="128" t="s">
        <v>4632</v>
      </c>
      <c r="G321" s="42" t="s">
        <v>34</v>
      </c>
      <c r="H321" s="183">
        <v>20</v>
      </c>
      <c r="I321" s="84">
        <v>6.9427777777777804</v>
      </c>
      <c r="J321" s="208">
        <v>43692</v>
      </c>
      <c r="K321" s="84" t="s">
        <v>20</v>
      </c>
      <c r="L321" s="203">
        <v>16.989999999999998</v>
      </c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  <c r="FS321" s="30"/>
      <c r="FT321" s="30"/>
      <c r="FU321" s="30"/>
      <c r="FV321" s="30"/>
      <c r="FW321" s="30"/>
      <c r="FX321" s="30"/>
      <c r="FY321" s="30"/>
      <c r="FZ321" s="30"/>
      <c r="GA321" s="30"/>
      <c r="GB321" s="30"/>
      <c r="GC321" s="30"/>
      <c r="GD321" s="30"/>
      <c r="GE321" s="30"/>
      <c r="GF321" s="30"/>
      <c r="GG321" s="30"/>
      <c r="GH321" s="30"/>
      <c r="GI321" s="30"/>
      <c r="GJ321" s="30"/>
      <c r="GK321" s="30"/>
      <c r="GL321" s="30"/>
      <c r="GM321" s="30"/>
      <c r="GN321" s="30"/>
      <c r="GO321" s="30"/>
      <c r="GP321" s="30"/>
      <c r="GQ321" s="30"/>
      <c r="GR321" s="30"/>
      <c r="GS321" s="30"/>
      <c r="GT321" s="30"/>
      <c r="GU321" s="30"/>
      <c r="GV321" s="30"/>
      <c r="GW321" s="30"/>
      <c r="GX321" s="30"/>
      <c r="GY321" s="30"/>
      <c r="GZ321" s="30"/>
      <c r="HA321" s="30"/>
      <c r="HB321" s="30"/>
      <c r="HC321" s="30"/>
      <c r="HD321" s="30"/>
      <c r="HE321" s="30"/>
      <c r="HF321" s="30"/>
      <c r="HG321" s="30"/>
      <c r="HH321" s="30"/>
      <c r="HI321" s="30"/>
      <c r="HJ321" s="30"/>
      <c r="HK321" s="30"/>
      <c r="HL321" s="30"/>
      <c r="HM321" s="30"/>
      <c r="HN321" s="30"/>
      <c r="HO321" s="30"/>
      <c r="HP321" s="30"/>
      <c r="HQ321" s="30"/>
      <c r="HR321" s="30"/>
      <c r="HS321" s="30"/>
      <c r="HT321" s="30"/>
      <c r="HU321" s="30"/>
      <c r="HV321" s="30"/>
      <c r="HW321" s="30"/>
      <c r="HX321" s="30"/>
      <c r="HY321" s="30"/>
      <c r="HZ321" s="30"/>
      <c r="IA321" s="30"/>
      <c r="IB321" s="30"/>
      <c r="IC321" s="30"/>
      <c r="ID321" s="30"/>
      <c r="IE321" s="30"/>
      <c r="IF321" s="30"/>
      <c r="IG321" s="30"/>
      <c r="IH321" s="30"/>
      <c r="II321" s="30"/>
      <c r="IJ321" s="30"/>
      <c r="IK321" s="30"/>
      <c r="IL321" s="30"/>
      <c r="IM321" s="30"/>
      <c r="IN321" s="30"/>
      <c r="IO321" s="30"/>
      <c r="IP321" s="30"/>
      <c r="IQ321" s="30"/>
      <c r="IR321" s="30"/>
      <c r="IS321" s="30"/>
      <c r="IT321" s="30"/>
      <c r="IU321" s="30"/>
      <c r="IV321" s="30"/>
      <c r="IW321" s="30"/>
      <c r="IX321" s="30"/>
      <c r="IY321" s="30"/>
      <c r="IZ321" s="30"/>
      <c r="JA321" s="30"/>
      <c r="JB321" s="30"/>
      <c r="JC321" s="30"/>
      <c r="JD321" s="30"/>
      <c r="JE321" s="30"/>
      <c r="JF321" s="30"/>
      <c r="JG321" s="30"/>
      <c r="JH321" s="30"/>
      <c r="JI321" s="30"/>
      <c r="JJ321" s="30"/>
      <c r="JK321" s="30"/>
      <c r="JL321" s="30"/>
      <c r="JM321" s="30"/>
      <c r="JN321" s="30"/>
      <c r="JO321" s="30"/>
      <c r="JP321" s="30"/>
      <c r="JQ321" s="30"/>
      <c r="JR321" s="30"/>
      <c r="JS321" s="30"/>
      <c r="JT321" s="30"/>
      <c r="JU321" s="30"/>
      <c r="JV321" s="30"/>
      <c r="JW321" s="30"/>
      <c r="JX321" s="30"/>
      <c r="JY321" s="30"/>
      <c r="JZ321" s="30"/>
      <c r="KA321" s="30"/>
      <c r="KB321" s="30"/>
      <c r="KC321" s="30"/>
      <c r="KD321" s="30"/>
      <c r="KE321" s="30"/>
    </row>
    <row r="322" spans="1:291" ht="35" customHeight="1">
      <c r="A322" s="74">
        <f>ROW()-2</f>
        <v>320</v>
      </c>
      <c r="B322" s="183" t="s">
        <v>4586</v>
      </c>
      <c r="C322" s="183" t="s">
        <v>4345</v>
      </c>
      <c r="D322" s="128" t="s">
        <v>5117</v>
      </c>
      <c r="E322" s="128" t="s">
        <v>5118</v>
      </c>
      <c r="F322" s="128" t="s">
        <v>4632</v>
      </c>
      <c r="G322" s="42" t="s">
        <v>34</v>
      </c>
      <c r="H322" s="183">
        <v>57</v>
      </c>
      <c r="I322" s="84">
        <v>10.418333333333299</v>
      </c>
      <c r="J322" s="208">
        <v>43692</v>
      </c>
      <c r="K322" s="84" t="s">
        <v>20</v>
      </c>
      <c r="L322" s="203">
        <v>6.4</v>
      </c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  <c r="FS322" s="30"/>
      <c r="FT322" s="30"/>
      <c r="FU322" s="30"/>
      <c r="FV322" s="30"/>
      <c r="FW322" s="30"/>
      <c r="FX322" s="30"/>
      <c r="FY322" s="30"/>
      <c r="FZ322" s="30"/>
      <c r="GA322" s="30"/>
      <c r="GB322" s="30"/>
      <c r="GC322" s="30"/>
      <c r="GD322" s="30"/>
      <c r="GE322" s="30"/>
      <c r="GF322" s="30"/>
      <c r="GG322" s="30"/>
      <c r="GH322" s="30"/>
      <c r="GI322" s="30"/>
      <c r="GJ322" s="30"/>
      <c r="GK322" s="30"/>
      <c r="GL322" s="30"/>
      <c r="GM322" s="30"/>
      <c r="GN322" s="30"/>
      <c r="GO322" s="30"/>
      <c r="GP322" s="30"/>
      <c r="GQ322" s="30"/>
      <c r="GR322" s="30"/>
      <c r="GS322" s="30"/>
      <c r="GT322" s="30"/>
      <c r="GU322" s="30"/>
      <c r="GV322" s="30"/>
      <c r="GW322" s="30"/>
      <c r="GX322" s="30"/>
      <c r="GY322" s="30"/>
      <c r="GZ322" s="30"/>
      <c r="HA322" s="30"/>
      <c r="HB322" s="30"/>
      <c r="HC322" s="30"/>
      <c r="HD322" s="30"/>
      <c r="HE322" s="30"/>
      <c r="HF322" s="30"/>
      <c r="HG322" s="30"/>
      <c r="HH322" s="30"/>
      <c r="HI322" s="30"/>
      <c r="HJ322" s="30"/>
      <c r="HK322" s="30"/>
      <c r="HL322" s="30"/>
      <c r="HM322" s="30"/>
      <c r="HN322" s="30"/>
      <c r="HO322" s="30"/>
      <c r="HP322" s="30"/>
      <c r="HQ322" s="30"/>
      <c r="HR322" s="30"/>
      <c r="HS322" s="30"/>
      <c r="HT322" s="30"/>
      <c r="HU322" s="30"/>
      <c r="HV322" s="30"/>
      <c r="HW322" s="30"/>
      <c r="HX322" s="30"/>
      <c r="HY322" s="30"/>
      <c r="HZ322" s="30"/>
      <c r="IA322" s="30"/>
      <c r="IB322" s="30"/>
      <c r="IC322" s="30"/>
      <c r="ID322" s="30"/>
      <c r="IE322" s="30"/>
      <c r="IF322" s="30"/>
      <c r="IG322" s="30"/>
      <c r="IH322" s="30"/>
      <c r="II322" s="30"/>
      <c r="IJ322" s="30"/>
      <c r="IK322" s="30"/>
      <c r="IL322" s="30"/>
      <c r="IM322" s="30"/>
      <c r="IN322" s="30"/>
      <c r="IO322" s="30"/>
      <c r="IP322" s="30"/>
      <c r="IQ322" s="30"/>
      <c r="IR322" s="30"/>
      <c r="IS322" s="30"/>
      <c r="IT322" s="30"/>
      <c r="IU322" s="30"/>
      <c r="IV322" s="30"/>
      <c r="IW322" s="30"/>
      <c r="IX322" s="30"/>
      <c r="IY322" s="30"/>
      <c r="IZ322" s="30"/>
      <c r="JA322" s="30"/>
      <c r="JB322" s="30"/>
      <c r="JC322" s="30"/>
      <c r="JD322" s="30"/>
      <c r="JE322" s="30"/>
      <c r="JF322" s="30"/>
      <c r="JG322" s="30"/>
      <c r="JH322" s="30"/>
      <c r="JI322" s="30"/>
      <c r="JJ322" s="30"/>
      <c r="JK322" s="30"/>
      <c r="JL322" s="30"/>
      <c r="JM322" s="30"/>
      <c r="JN322" s="30"/>
      <c r="JO322" s="30"/>
      <c r="JP322" s="30"/>
      <c r="JQ322" s="30"/>
      <c r="JR322" s="30"/>
      <c r="JS322" s="30"/>
      <c r="JT322" s="30"/>
      <c r="JU322" s="30"/>
      <c r="JV322" s="30"/>
      <c r="JW322" s="30"/>
      <c r="JX322" s="30"/>
      <c r="JY322" s="30"/>
      <c r="JZ322" s="30"/>
      <c r="KA322" s="30"/>
      <c r="KB322" s="30"/>
      <c r="KC322" s="30"/>
      <c r="KD322" s="30"/>
      <c r="KE322" s="30"/>
    </row>
    <row r="323" spans="1:291" ht="35" customHeight="1">
      <c r="A323" s="74">
        <f>ROW()-2</f>
        <v>321</v>
      </c>
      <c r="B323" s="183" t="s">
        <v>4586</v>
      </c>
      <c r="C323" s="205" t="s">
        <v>4345</v>
      </c>
      <c r="D323" s="128" t="s">
        <v>5119</v>
      </c>
      <c r="E323" s="128" t="s">
        <v>5120</v>
      </c>
      <c r="F323" s="128" t="s">
        <v>4632</v>
      </c>
      <c r="G323" s="42" t="s">
        <v>34</v>
      </c>
      <c r="H323" s="183">
        <v>32</v>
      </c>
      <c r="I323" s="84">
        <v>10.026666666666699</v>
      </c>
      <c r="J323" s="208">
        <v>43692</v>
      </c>
      <c r="K323" s="46" t="s">
        <v>20</v>
      </c>
      <c r="L323" s="203">
        <v>4.5999999999999996</v>
      </c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  <c r="FS323" s="30"/>
      <c r="FT323" s="30"/>
      <c r="FU323" s="30"/>
      <c r="FV323" s="30"/>
      <c r="FW323" s="30"/>
      <c r="FX323" s="30"/>
      <c r="FY323" s="30"/>
      <c r="FZ323" s="30"/>
      <c r="GA323" s="30"/>
      <c r="GB323" s="30"/>
      <c r="GC323" s="30"/>
      <c r="GD323" s="30"/>
      <c r="GE323" s="30"/>
      <c r="GF323" s="30"/>
      <c r="GG323" s="30"/>
      <c r="GH323" s="30"/>
      <c r="GI323" s="30"/>
      <c r="GJ323" s="30"/>
      <c r="GK323" s="30"/>
      <c r="GL323" s="30"/>
      <c r="GM323" s="30"/>
      <c r="GN323" s="30"/>
      <c r="GO323" s="30"/>
      <c r="GP323" s="30"/>
      <c r="GQ323" s="30"/>
      <c r="GR323" s="30"/>
      <c r="GS323" s="30"/>
      <c r="GT323" s="30"/>
      <c r="GU323" s="30"/>
      <c r="GV323" s="30"/>
      <c r="GW323" s="30"/>
      <c r="GX323" s="30"/>
      <c r="GY323" s="30"/>
      <c r="GZ323" s="30"/>
      <c r="HA323" s="30"/>
      <c r="HB323" s="30"/>
      <c r="HC323" s="30"/>
      <c r="HD323" s="30"/>
      <c r="HE323" s="30"/>
      <c r="HF323" s="30"/>
      <c r="HG323" s="30"/>
      <c r="HH323" s="30"/>
      <c r="HI323" s="30"/>
      <c r="HJ323" s="30"/>
      <c r="HK323" s="30"/>
      <c r="HL323" s="30"/>
      <c r="HM323" s="30"/>
      <c r="HN323" s="30"/>
      <c r="HO323" s="30"/>
      <c r="HP323" s="30"/>
      <c r="HQ323" s="30"/>
      <c r="HR323" s="30"/>
      <c r="HS323" s="30"/>
      <c r="HT323" s="30"/>
      <c r="HU323" s="30"/>
      <c r="HV323" s="30"/>
      <c r="HW323" s="30"/>
      <c r="HX323" s="30"/>
      <c r="HY323" s="30"/>
      <c r="HZ323" s="30"/>
      <c r="IA323" s="30"/>
      <c r="IB323" s="30"/>
      <c r="IC323" s="30"/>
      <c r="ID323" s="30"/>
      <c r="IE323" s="30"/>
      <c r="IF323" s="30"/>
      <c r="IG323" s="30"/>
      <c r="IH323" s="30"/>
      <c r="II323" s="30"/>
      <c r="IJ323" s="30"/>
      <c r="IK323" s="30"/>
      <c r="IL323" s="30"/>
      <c r="IM323" s="30"/>
      <c r="IN323" s="30"/>
      <c r="IO323" s="30"/>
      <c r="IP323" s="30"/>
      <c r="IQ323" s="30"/>
      <c r="IR323" s="30"/>
      <c r="IS323" s="30"/>
      <c r="IT323" s="30"/>
      <c r="IU323" s="30"/>
      <c r="IV323" s="30"/>
      <c r="IW323" s="30"/>
      <c r="IX323" s="30"/>
      <c r="IY323" s="30"/>
      <c r="IZ323" s="30"/>
      <c r="JA323" s="30"/>
      <c r="JB323" s="30"/>
      <c r="JC323" s="30"/>
      <c r="JD323" s="30"/>
      <c r="JE323" s="30"/>
      <c r="JF323" s="30"/>
      <c r="JG323" s="30"/>
      <c r="JH323" s="30"/>
      <c r="JI323" s="30"/>
      <c r="JJ323" s="30"/>
      <c r="JK323" s="30"/>
      <c r="JL323" s="30"/>
      <c r="JM323" s="30"/>
      <c r="JN323" s="30"/>
      <c r="JO323" s="30"/>
      <c r="JP323" s="30"/>
      <c r="JQ323" s="30"/>
      <c r="JR323" s="30"/>
      <c r="JS323" s="30"/>
      <c r="JT323" s="30"/>
      <c r="JU323" s="30"/>
      <c r="JV323" s="30"/>
      <c r="JW323" s="30"/>
      <c r="JX323" s="30"/>
      <c r="JY323" s="30"/>
      <c r="JZ323" s="30"/>
      <c r="KA323" s="30"/>
      <c r="KB323" s="30"/>
      <c r="KC323" s="30"/>
      <c r="KD323" s="30"/>
      <c r="KE323" s="30"/>
    </row>
    <row r="324" spans="1:291" ht="35" customHeight="1">
      <c r="A324" s="74">
        <f>ROW()-2</f>
        <v>322</v>
      </c>
      <c r="B324" s="183" t="s">
        <v>4586</v>
      </c>
      <c r="C324" s="183" t="s">
        <v>4345</v>
      </c>
      <c r="D324" s="128" t="s">
        <v>5121</v>
      </c>
      <c r="E324" s="128" t="s">
        <v>5122</v>
      </c>
      <c r="F324" s="128" t="s">
        <v>4589</v>
      </c>
      <c r="G324" s="42" t="s">
        <v>34</v>
      </c>
      <c r="H324" s="183">
        <v>23</v>
      </c>
      <c r="I324" s="84">
        <v>7.1475</v>
      </c>
      <c r="J324" s="208">
        <v>43692</v>
      </c>
      <c r="K324" s="46" t="s">
        <v>20</v>
      </c>
      <c r="L324" s="203">
        <v>36</v>
      </c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  <c r="FS324" s="30"/>
      <c r="FT324" s="30"/>
      <c r="FU324" s="30"/>
      <c r="FV324" s="30"/>
      <c r="FW324" s="30"/>
      <c r="FX324" s="30"/>
      <c r="FY324" s="30"/>
      <c r="FZ324" s="30"/>
      <c r="GA324" s="30"/>
      <c r="GB324" s="30"/>
      <c r="GC324" s="30"/>
      <c r="GD324" s="30"/>
      <c r="GE324" s="30"/>
      <c r="GF324" s="30"/>
      <c r="GG324" s="30"/>
      <c r="GH324" s="30"/>
      <c r="GI324" s="30"/>
      <c r="GJ324" s="30"/>
      <c r="GK324" s="30"/>
      <c r="GL324" s="30"/>
      <c r="GM324" s="30"/>
      <c r="GN324" s="30"/>
      <c r="GO324" s="30"/>
      <c r="GP324" s="30"/>
      <c r="GQ324" s="30"/>
      <c r="GR324" s="30"/>
      <c r="GS324" s="30"/>
      <c r="GT324" s="30"/>
      <c r="GU324" s="30"/>
      <c r="GV324" s="30"/>
      <c r="GW324" s="30"/>
      <c r="GX324" s="30"/>
      <c r="GY324" s="30"/>
      <c r="GZ324" s="30"/>
      <c r="HA324" s="30"/>
      <c r="HB324" s="30"/>
      <c r="HC324" s="30"/>
      <c r="HD324" s="30"/>
      <c r="HE324" s="30"/>
      <c r="HF324" s="30"/>
      <c r="HG324" s="30"/>
      <c r="HH324" s="30"/>
      <c r="HI324" s="30"/>
      <c r="HJ324" s="30"/>
      <c r="HK324" s="30"/>
      <c r="HL324" s="30"/>
      <c r="HM324" s="30"/>
      <c r="HN324" s="30"/>
      <c r="HO324" s="30"/>
      <c r="HP324" s="30"/>
      <c r="HQ324" s="30"/>
      <c r="HR324" s="30"/>
      <c r="HS324" s="30"/>
      <c r="HT324" s="30"/>
      <c r="HU324" s="30"/>
      <c r="HV324" s="30"/>
      <c r="HW324" s="30"/>
      <c r="HX324" s="30"/>
      <c r="HY324" s="30"/>
      <c r="HZ324" s="30"/>
      <c r="IA324" s="30"/>
      <c r="IB324" s="30"/>
      <c r="IC324" s="30"/>
      <c r="ID324" s="30"/>
      <c r="IE324" s="30"/>
      <c r="IF324" s="30"/>
      <c r="IG324" s="30"/>
      <c r="IH324" s="30"/>
      <c r="II324" s="30"/>
      <c r="IJ324" s="30"/>
      <c r="IK324" s="30"/>
      <c r="IL324" s="30"/>
      <c r="IM324" s="30"/>
      <c r="IN324" s="30"/>
      <c r="IO324" s="30"/>
      <c r="IP324" s="30"/>
      <c r="IQ324" s="30"/>
      <c r="IR324" s="30"/>
      <c r="IS324" s="30"/>
      <c r="IT324" s="30"/>
      <c r="IU324" s="30"/>
      <c r="IV324" s="30"/>
      <c r="IW324" s="30"/>
      <c r="IX324" s="30"/>
      <c r="IY324" s="30"/>
      <c r="IZ324" s="30"/>
      <c r="JA324" s="30"/>
      <c r="JB324" s="30"/>
      <c r="JC324" s="30"/>
      <c r="JD324" s="30"/>
      <c r="JE324" s="30"/>
      <c r="JF324" s="30"/>
      <c r="JG324" s="30"/>
      <c r="JH324" s="30"/>
      <c r="JI324" s="30"/>
      <c r="JJ324" s="30"/>
      <c r="JK324" s="30"/>
      <c r="JL324" s="30"/>
      <c r="JM324" s="30"/>
      <c r="JN324" s="30"/>
      <c r="JO324" s="30"/>
      <c r="JP324" s="30"/>
      <c r="JQ324" s="30"/>
      <c r="JR324" s="30"/>
      <c r="JS324" s="30"/>
      <c r="JT324" s="30"/>
      <c r="JU324" s="30"/>
      <c r="JV324" s="30"/>
      <c r="JW324" s="30"/>
      <c r="JX324" s="30"/>
      <c r="JY324" s="30"/>
      <c r="JZ324" s="30"/>
      <c r="KA324" s="30"/>
      <c r="KB324" s="30"/>
      <c r="KC324" s="30"/>
      <c r="KD324" s="30"/>
      <c r="KE324" s="30"/>
    </row>
    <row r="325" spans="1:291" ht="35" customHeight="1">
      <c r="A325" s="74">
        <f>ROW()-2</f>
        <v>323</v>
      </c>
      <c r="B325" s="183" t="s">
        <v>4586</v>
      </c>
      <c r="C325" s="183" t="s">
        <v>4345</v>
      </c>
      <c r="D325" s="128" t="s">
        <v>5123</v>
      </c>
      <c r="E325" s="128" t="s">
        <v>4670</v>
      </c>
      <c r="F325" s="128" t="s">
        <v>4589</v>
      </c>
      <c r="G325" s="42" t="s">
        <v>34</v>
      </c>
      <c r="H325" s="183">
        <v>60</v>
      </c>
      <c r="I325" s="84">
        <v>10.8925</v>
      </c>
      <c r="J325" s="208">
        <v>43692</v>
      </c>
      <c r="K325" s="46" t="s">
        <v>20</v>
      </c>
      <c r="L325" s="203">
        <v>59.99</v>
      </c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  <c r="FS325" s="30"/>
      <c r="FT325" s="30"/>
      <c r="FU325" s="30"/>
      <c r="FV325" s="30"/>
      <c r="FW325" s="30"/>
      <c r="FX325" s="30"/>
      <c r="FY325" s="30"/>
      <c r="FZ325" s="30"/>
      <c r="GA325" s="30"/>
      <c r="GB325" s="30"/>
      <c r="GC325" s="30"/>
      <c r="GD325" s="30"/>
      <c r="GE325" s="30"/>
      <c r="GF325" s="30"/>
      <c r="GG325" s="30"/>
      <c r="GH325" s="30"/>
      <c r="GI325" s="30"/>
      <c r="GJ325" s="30"/>
      <c r="GK325" s="30"/>
      <c r="GL325" s="30"/>
      <c r="GM325" s="30"/>
      <c r="GN325" s="30"/>
      <c r="GO325" s="30"/>
      <c r="GP325" s="30"/>
      <c r="GQ325" s="30"/>
      <c r="GR325" s="30"/>
      <c r="GS325" s="30"/>
      <c r="GT325" s="30"/>
      <c r="GU325" s="30"/>
      <c r="GV325" s="30"/>
      <c r="GW325" s="30"/>
      <c r="GX325" s="30"/>
      <c r="GY325" s="30"/>
      <c r="GZ325" s="30"/>
      <c r="HA325" s="30"/>
      <c r="HB325" s="30"/>
      <c r="HC325" s="30"/>
      <c r="HD325" s="30"/>
      <c r="HE325" s="30"/>
      <c r="HF325" s="30"/>
      <c r="HG325" s="30"/>
      <c r="HH325" s="30"/>
      <c r="HI325" s="30"/>
      <c r="HJ325" s="30"/>
      <c r="HK325" s="30"/>
      <c r="HL325" s="30"/>
      <c r="HM325" s="30"/>
      <c r="HN325" s="30"/>
      <c r="HO325" s="30"/>
      <c r="HP325" s="30"/>
      <c r="HQ325" s="30"/>
      <c r="HR325" s="30"/>
      <c r="HS325" s="30"/>
      <c r="HT325" s="30"/>
      <c r="HU325" s="30"/>
      <c r="HV325" s="30"/>
      <c r="HW325" s="30"/>
      <c r="HX325" s="30"/>
      <c r="HY325" s="30"/>
      <c r="HZ325" s="30"/>
      <c r="IA325" s="30"/>
      <c r="IB325" s="30"/>
      <c r="IC325" s="30"/>
      <c r="ID325" s="30"/>
      <c r="IE325" s="30"/>
      <c r="IF325" s="30"/>
      <c r="IG325" s="30"/>
      <c r="IH325" s="30"/>
      <c r="II325" s="30"/>
      <c r="IJ325" s="30"/>
      <c r="IK325" s="30"/>
      <c r="IL325" s="30"/>
      <c r="IM325" s="30"/>
      <c r="IN325" s="30"/>
      <c r="IO325" s="30"/>
      <c r="IP325" s="30"/>
      <c r="IQ325" s="30"/>
      <c r="IR325" s="30"/>
      <c r="IS325" s="30"/>
      <c r="IT325" s="30"/>
      <c r="IU325" s="30"/>
      <c r="IV325" s="30"/>
      <c r="IW325" s="30"/>
      <c r="IX325" s="30"/>
      <c r="IY325" s="30"/>
      <c r="IZ325" s="30"/>
      <c r="JA325" s="30"/>
      <c r="JB325" s="30"/>
      <c r="JC325" s="30"/>
      <c r="JD325" s="30"/>
      <c r="JE325" s="30"/>
      <c r="JF325" s="30"/>
      <c r="JG325" s="30"/>
      <c r="JH325" s="30"/>
      <c r="JI325" s="30"/>
      <c r="JJ325" s="30"/>
      <c r="JK325" s="30"/>
      <c r="JL325" s="30"/>
      <c r="JM325" s="30"/>
      <c r="JN325" s="30"/>
      <c r="JO325" s="30"/>
      <c r="JP325" s="30"/>
      <c r="JQ325" s="30"/>
      <c r="JR325" s="30"/>
      <c r="JS325" s="30"/>
      <c r="JT325" s="30"/>
      <c r="JU325" s="30"/>
      <c r="JV325" s="30"/>
      <c r="JW325" s="30"/>
      <c r="JX325" s="30"/>
      <c r="JY325" s="30"/>
      <c r="JZ325" s="30"/>
      <c r="KA325" s="30"/>
      <c r="KB325" s="30"/>
      <c r="KC325" s="30"/>
      <c r="KD325" s="30"/>
      <c r="KE325" s="30"/>
    </row>
    <row r="326" spans="1:291" ht="35" customHeight="1">
      <c r="A326" s="74">
        <f>ROW()-2</f>
        <v>324</v>
      </c>
      <c r="B326" s="183" t="s">
        <v>4586</v>
      </c>
      <c r="C326" s="205" t="s">
        <v>4345</v>
      </c>
      <c r="D326" s="128" t="s">
        <v>5082</v>
      </c>
      <c r="E326" s="128" t="s">
        <v>5083</v>
      </c>
      <c r="F326" s="128" t="s">
        <v>4610</v>
      </c>
      <c r="G326" s="42" t="s">
        <v>34</v>
      </c>
      <c r="H326" s="183">
        <v>34</v>
      </c>
      <c r="I326" s="84">
        <v>3.6</v>
      </c>
      <c r="J326" s="208">
        <v>44186</v>
      </c>
      <c r="K326" s="46" t="s">
        <v>20</v>
      </c>
      <c r="L326" s="203">
        <v>32.5</v>
      </c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  <c r="FS326" s="30"/>
      <c r="FT326" s="30"/>
      <c r="FU326" s="30"/>
      <c r="FV326" s="30"/>
      <c r="FW326" s="30"/>
      <c r="FX326" s="30"/>
      <c r="FY326" s="30"/>
      <c r="FZ326" s="30"/>
      <c r="GA326" s="30"/>
      <c r="GB326" s="30"/>
      <c r="GC326" s="30"/>
      <c r="GD326" s="30"/>
      <c r="GE326" s="30"/>
      <c r="GF326" s="30"/>
      <c r="GG326" s="30"/>
      <c r="GH326" s="30"/>
      <c r="GI326" s="30"/>
      <c r="GJ326" s="30"/>
      <c r="GK326" s="30"/>
      <c r="GL326" s="30"/>
      <c r="GM326" s="30"/>
      <c r="GN326" s="30"/>
      <c r="GO326" s="30"/>
      <c r="GP326" s="30"/>
      <c r="GQ326" s="30"/>
      <c r="GR326" s="30"/>
      <c r="GS326" s="30"/>
      <c r="GT326" s="30"/>
      <c r="GU326" s="30"/>
      <c r="GV326" s="30"/>
      <c r="GW326" s="30"/>
      <c r="GX326" s="30"/>
      <c r="GY326" s="30"/>
      <c r="GZ326" s="30"/>
      <c r="HA326" s="30"/>
      <c r="HB326" s="30"/>
      <c r="HC326" s="30"/>
      <c r="HD326" s="30"/>
      <c r="HE326" s="30"/>
      <c r="HF326" s="30"/>
      <c r="HG326" s="30"/>
      <c r="HH326" s="30"/>
      <c r="HI326" s="30"/>
      <c r="HJ326" s="30"/>
      <c r="HK326" s="30"/>
      <c r="HL326" s="30"/>
      <c r="HM326" s="30"/>
      <c r="HN326" s="30"/>
      <c r="HO326" s="30"/>
      <c r="HP326" s="30"/>
      <c r="HQ326" s="30"/>
      <c r="HR326" s="30"/>
      <c r="HS326" s="30"/>
      <c r="HT326" s="30"/>
      <c r="HU326" s="30"/>
      <c r="HV326" s="30"/>
      <c r="HW326" s="30"/>
      <c r="HX326" s="30"/>
      <c r="HY326" s="30"/>
      <c r="HZ326" s="30"/>
      <c r="IA326" s="30"/>
      <c r="IB326" s="30"/>
      <c r="IC326" s="30"/>
      <c r="ID326" s="30"/>
      <c r="IE326" s="30"/>
      <c r="IF326" s="30"/>
      <c r="IG326" s="30"/>
      <c r="IH326" s="30"/>
      <c r="II326" s="30"/>
      <c r="IJ326" s="30"/>
      <c r="IK326" s="30"/>
      <c r="IL326" s="30"/>
      <c r="IM326" s="30"/>
      <c r="IN326" s="30"/>
      <c r="IO326" s="30"/>
      <c r="IP326" s="30"/>
      <c r="IQ326" s="30"/>
      <c r="IR326" s="30"/>
      <c r="IS326" s="30"/>
      <c r="IT326" s="30"/>
      <c r="IU326" s="30"/>
      <c r="IV326" s="30"/>
      <c r="IW326" s="30"/>
      <c r="IX326" s="30"/>
      <c r="IY326" s="30"/>
      <c r="IZ326" s="30"/>
      <c r="JA326" s="30"/>
      <c r="JB326" s="30"/>
      <c r="JC326" s="30"/>
      <c r="JD326" s="30"/>
      <c r="JE326" s="30"/>
      <c r="JF326" s="30"/>
      <c r="JG326" s="30"/>
      <c r="JH326" s="30"/>
      <c r="JI326" s="30"/>
      <c r="JJ326" s="30"/>
      <c r="JK326" s="30"/>
      <c r="JL326" s="30"/>
      <c r="JM326" s="30"/>
      <c r="JN326" s="30"/>
      <c r="JO326" s="30"/>
      <c r="JP326" s="30"/>
      <c r="JQ326" s="30"/>
      <c r="JR326" s="30"/>
      <c r="JS326" s="30"/>
      <c r="JT326" s="30"/>
      <c r="JU326" s="30"/>
      <c r="JV326" s="30"/>
      <c r="JW326" s="30"/>
      <c r="JX326" s="30"/>
      <c r="JY326" s="30"/>
      <c r="JZ326" s="30"/>
      <c r="KA326" s="30"/>
      <c r="KB326" s="30"/>
      <c r="KC326" s="30"/>
      <c r="KD326" s="30"/>
      <c r="KE326" s="30"/>
    </row>
    <row r="327" spans="1:291" ht="35" customHeight="1">
      <c r="A327" s="74">
        <f>ROW()-2</f>
        <v>325</v>
      </c>
      <c r="B327" s="183" t="s">
        <v>4586</v>
      </c>
      <c r="C327" s="183" t="s">
        <v>4345</v>
      </c>
      <c r="D327" s="128" t="s">
        <v>5124</v>
      </c>
      <c r="E327" s="128" t="s">
        <v>5125</v>
      </c>
      <c r="F327" s="128" t="s">
        <v>5125</v>
      </c>
      <c r="G327" s="42" t="s">
        <v>34</v>
      </c>
      <c r="H327" s="183">
        <v>80</v>
      </c>
      <c r="I327" s="84">
        <v>6.66</v>
      </c>
      <c r="J327" s="208">
        <v>44389</v>
      </c>
      <c r="K327" s="46" t="s">
        <v>4650</v>
      </c>
      <c r="L327" s="203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  <c r="FS327" s="30"/>
      <c r="FT327" s="30"/>
      <c r="FU327" s="30"/>
      <c r="FV327" s="30"/>
      <c r="FW327" s="30"/>
      <c r="FX327" s="30"/>
      <c r="FY327" s="30"/>
      <c r="FZ327" s="30"/>
      <c r="GA327" s="30"/>
      <c r="GB327" s="30"/>
      <c r="GC327" s="30"/>
      <c r="GD327" s="30"/>
      <c r="GE327" s="30"/>
      <c r="GF327" s="30"/>
      <c r="GG327" s="30"/>
      <c r="GH327" s="30"/>
      <c r="GI327" s="30"/>
      <c r="GJ327" s="30"/>
      <c r="GK327" s="30"/>
      <c r="GL327" s="30"/>
      <c r="GM327" s="30"/>
      <c r="GN327" s="30"/>
      <c r="GO327" s="30"/>
      <c r="GP327" s="30"/>
      <c r="GQ327" s="30"/>
      <c r="GR327" s="30"/>
      <c r="GS327" s="30"/>
      <c r="GT327" s="30"/>
      <c r="GU327" s="30"/>
      <c r="GV327" s="30"/>
      <c r="GW327" s="30"/>
      <c r="GX327" s="30"/>
      <c r="GY327" s="30"/>
      <c r="GZ327" s="30"/>
      <c r="HA327" s="30"/>
      <c r="HB327" s="30"/>
      <c r="HC327" s="30"/>
      <c r="HD327" s="30"/>
      <c r="HE327" s="30"/>
      <c r="HF327" s="30"/>
      <c r="HG327" s="30"/>
      <c r="HH327" s="30"/>
      <c r="HI327" s="30"/>
      <c r="HJ327" s="30"/>
      <c r="HK327" s="30"/>
      <c r="HL327" s="30"/>
      <c r="HM327" s="30"/>
      <c r="HN327" s="30"/>
      <c r="HO327" s="30"/>
      <c r="HP327" s="30"/>
      <c r="HQ327" s="30"/>
      <c r="HR327" s="30"/>
      <c r="HS327" s="30"/>
      <c r="HT327" s="30"/>
      <c r="HU327" s="30"/>
      <c r="HV327" s="30"/>
      <c r="HW327" s="30"/>
      <c r="HX327" s="30"/>
      <c r="HY327" s="30"/>
      <c r="HZ327" s="30"/>
      <c r="IA327" s="30"/>
      <c r="IB327" s="30"/>
      <c r="IC327" s="30"/>
      <c r="ID327" s="30"/>
      <c r="IE327" s="30"/>
      <c r="IF327" s="30"/>
      <c r="IG327" s="30"/>
      <c r="IH327" s="30"/>
      <c r="II327" s="30"/>
      <c r="IJ327" s="30"/>
      <c r="IK327" s="30"/>
      <c r="IL327" s="30"/>
      <c r="IM327" s="30"/>
      <c r="IN327" s="30"/>
      <c r="IO327" s="30"/>
      <c r="IP327" s="30"/>
      <c r="IQ327" s="30"/>
      <c r="IR327" s="30"/>
      <c r="IS327" s="30"/>
      <c r="IT327" s="30"/>
      <c r="IU327" s="30"/>
      <c r="IV327" s="30"/>
      <c r="IW327" s="30"/>
      <c r="IX327" s="30"/>
      <c r="IY327" s="30"/>
      <c r="IZ327" s="30"/>
      <c r="JA327" s="30"/>
      <c r="JB327" s="30"/>
      <c r="JC327" s="30"/>
      <c r="JD327" s="30"/>
      <c r="JE327" s="30"/>
      <c r="JF327" s="30"/>
      <c r="JG327" s="30"/>
      <c r="JH327" s="30"/>
      <c r="JI327" s="30"/>
      <c r="JJ327" s="30"/>
      <c r="JK327" s="30"/>
      <c r="JL327" s="30"/>
      <c r="JM327" s="30"/>
      <c r="JN327" s="30"/>
      <c r="JO327" s="30"/>
      <c r="JP327" s="30"/>
      <c r="JQ327" s="30"/>
      <c r="JR327" s="30"/>
      <c r="JS327" s="30"/>
      <c r="JT327" s="30"/>
      <c r="JU327" s="30"/>
      <c r="JV327" s="30"/>
      <c r="JW327" s="30"/>
      <c r="JX327" s="30"/>
      <c r="JY327" s="30"/>
      <c r="JZ327" s="30"/>
      <c r="KA327" s="30"/>
      <c r="KB327" s="30"/>
      <c r="KC327" s="30"/>
      <c r="KD327" s="30"/>
      <c r="KE327" s="30"/>
    </row>
    <row r="328" spans="1:291" ht="35" customHeight="1">
      <c r="A328" s="74">
        <f>ROW()-2</f>
        <v>326</v>
      </c>
      <c r="B328" s="183" t="s">
        <v>4586</v>
      </c>
      <c r="C328" s="183" t="s">
        <v>4345</v>
      </c>
      <c r="D328" s="128" t="s">
        <v>5126</v>
      </c>
      <c r="E328" s="128" t="s">
        <v>5127</v>
      </c>
      <c r="F328" s="128" t="s">
        <v>5127</v>
      </c>
      <c r="G328" s="42" t="s">
        <v>3253</v>
      </c>
      <c r="H328" s="183">
        <v>82</v>
      </c>
      <c r="I328" s="84">
        <v>10.9</v>
      </c>
      <c r="J328" s="208">
        <v>44438</v>
      </c>
      <c r="K328" s="46" t="s">
        <v>20</v>
      </c>
      <c r="L328" s="203">
        <v>18.989999999999998</v>
      </c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  <c r="FS328" s="30"/>
      <c r="FT328" s="30"/>
      <c r="FU328" s="30"/>
      <c r="FV328" s="30"/>
      <c r="FW328" s="30"/>
      <c r="FX328" s="30"/>
      <c r="FY328" s="30"/>
      <c r="FZ328" s="30"/>
      <c r="GA328" s="30"/>
      <c r="GB328" s="30"/>
      <c r="GC328" s="30"/>
      <c r="GD328" s="30"/>
      <c r="GE328" s="30"/>
      <c r="GF328" s="30"/>
      <c r="GG328" s="30"/>
      <c r="GH328" s="30"/>
      <c r="GI328" s="30"/>
      <c r="GJ328" s="30"/>
      <c r="GK328" s="30"/>
      <c r="GL328" s="30"/>
      <c r="GM328" s="30"/>
      <c r="GN328" s="30"/>
      <c r="GO328" s="30"/>
      <c r="GP328" s="30"/>
      <c r="GQ328" s="30"/>
      <c r="GR328" s="30"/>
      <c r="GS328" s="30"/>
      <c r="GT328" s="30"/>
      <c r="GU328" s="30"/>
      <c r="GV328" s="30"/>
      <c r="GW328" s="30"/>
      <c r="GX328" s="30"/>
      <c r="GY328" s="30"/>
      <c r="GZ328" s="30"/>
      <c r="HA328" s="30"/>
      <c r="HB328" s="30"/>
      <c r="HC328" s="30"/>
      <c r="HD328" s="30"/>
      <c r="HE328" s="30"/>
      <c r="HF328" s="30"/>
      <c r="HG328" s="30"/>
      <c r="HH328" s="30"/>
      <c r="HI328" s="30"/>
      <c r="HJ328" s="30"/>
      <c r="HK328" s="30"/>
      <c r="HL328" s="30"/>
      <c r="HM328" s="30"/>
      <c r="HN328" s="30"/>
      <c r="HO328" s="30"/>
      <c r="HP328" s="30"/>
      <c r="HQ328" s="30"/>
      <c r="HR328" s="30"/>
      <c r="HS328" s="30"/>
      <c r="HT328" s="30"/>
      <c r="HU328" s="30"/>
      <c r="HV328" s="30"/>
      <c r="HW328" s="30"/>
      <c r="HX328" s="30"/>
      <c r="HY328" s="30"/>
      <c r="HZ328" s="30"/>
      <c r="IA328" s="30"/>
      <c r="IB328" s="30"/>
      <c r="IC328" s="30"/>
      <c r="ID328" s="30"/>
      <c r="IE328" s="30"/>
      <c r="IF328" s="30"/>
      <c r="IG328" s="30"/>
      <c r="IH328" s="30"/>
      <c r="II328" s="30"/>
      <c r="IJ328" s="30"/>
      <c r="IK328" s="30"/>
      <c r="IL328" s="30"/>
      <c r="IM328" s="30"/>
      <c r="IN328" s="30"/>
      <c r="IO328" s="30"/>
      <c r="IP328" s="30"/>
      <c r="IQ328" s="30"/>
      <c r="IR328" s="30"/>
      <c r="IS328" s="30"/>
      <c r="IT328" s="30"/>
      <c r="IU328" s="30"/>
      <c r="IV328" s="30"/>
      <c r="IW328" s="30"/>
      <c r="IX328" s="30"/>
      <c r="IY328" s="30"/>
      <c r="IZ328" s="30"/>
      <c r="JA328" s="30"/>
      <c r="JB328" s="30"/>
      <c r="JC328" s="30"/>
      <c r="JD328" s="30"/>
      <c r="JE328" s="30"/>
      <c r="JF328" s="30"/>
      <c r="JG328" s="30"/>
      <c r="JH328" s="30"/>
      <c r="JI328" s="30"/>
      <c r="JJ328" s="30"/>
      <c r="JK328" s="30"/>
      <c r="JL328" s="30"/>
      <c r="JM328" s="30"/>
      <c r="JN328" s="30"/>
      <c r="JO328" s="30"/>
      <c r="JP328" s="30"/>
      <c r="JQ328" s="30"/>
      <c r="JR328" s="30"/>
      <c r="JS328" s="30"/>
      <c r="JT328" s="30"/>
      <c r="JU328" s="30"/>
      <c r="JV328" s="30"/>
      <c r="JW328" s="30"/>
      <c r="JX328" s="30"/>
      <c r="JY328" s="30"/>
      <c r="JZ328" s="30"/>
      <c r="KA328" s="30"/>
      <c r="KB328" s="30"/>
      <c r="KC328" s="30"/>
      <c r="KD328" s="30"/>
      <c r="KE328" s="30"/>
    </row>
    <row r="329" spans="1:291" ht="35" customHeight="1">
      <c r="A329" s="74">
        <f>ROW()-2</f>
        <v>327</v>
      </c>
      <c r="B329" s="183" t="s">
        <v>4586</v>
      </c>
      <c r="C329" s="183" t="s">
        <v>4345</v>
      </c>
      <c r="D329" s="128" t="s">
        <v>5128</v>
      </c>
      <c r="E329" s="128" t="s">
        <v>5129</v>
      </c>
      <c r="F329" s="128" t="s">
        <v>5130</v>
      </c>
      <c r="G329" s="42" t="s">
        <v>3253</v>
      </c>
      <c r="H329" s="183">
        <v>36</v>
      </c>
      <c r="I329" s="84">
        <v>6</v>
      </c>
      <c r="J329" s="208">
        <v>44466</v>
      </c>
      <c r="K329" s="46" t="s">
        <v>20</v>
      </c>
      <c r="L329" s="203">
        <v>34.9</v>
      </c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  <c r="FS329" s="30"/>
      <c r="FT329" s="30"/>
      <c r="FU329" s="30"/>
      <c r="FV329" s="30"/>
      <c r="FW329" s="30"/>
      <c r="FX329" s="30"/>
      <c r="FY329" s="30"/>
      <c r="FZ329" s="30"/>
      <c r="GA329" s="30"/>
      <c r="GB329" s="30"/>
      <c r="GC329" s="30"/>
      <c r="GD329" s="30"/>
      <c r="GE329" s="30"/>
      <c r="GF329" s="30"/>
      <c r="GG329" s="30"/>
      <c r="GH329" s="30"/>
      <c r="GI329" s="30"/>
      <c r="GJ329" s="30"/>
      <c r="GK329" s="30"/>
      <c r="GL329" s="30"/>
      <c r="GM329" s="30"/>
      <c r="GN329" s="30"/>
      <c r="GO329" s="30"/>
      <c r="GP329" s="30"/>
      <c r="GQ329" s="30"/>
      <c r="GR329" s="30"/>
      <c r="GS329" s="30"/>
      <c r="GT329" s="30"/>
      <c r="GU329" s="30"/>
      <c r="GV329" s="30"/>
      <c r="GW329" s="30"/>
      <c r="GX329" s="30"/>
      <c r="GY329" s="30"/>
      <c r="GZ329" s="30"/>
      <c r="HA329" s="30"/>
      <c r="HB329" s="30"/>
      <c r="HC329" s="30"/>
      <c r="HD329" s="30"/>
      <c r="HE329" s="30"/>
      <c r="HF329" s="30"/>
      <c r="HG329" s="30"/>
      <c r="HH329" s="30"/>
      <c r="HI329" s="30"/>
      <c r="HJ329" s="30"/>
      <c r="HK329" s="30"/>
      <c r="HL329" s="30"/>
      <c r="HM329" s="30"/>
      <c r="HN329" s="30"/>
      <c r="HO329" s="30"/>
      <c r="HP329" s="30"/>
      <c r="HQ329" s="30"/>
      <c r="HR329" s="30"/>
      <c r="HS329" s="30"/>
      <c r="HT329" s="30"/>
      <c r="HU329" s="30"/>
      <c r="HV329" s="30"/>
      <c r="HW329" s="30"/>
      <c r="HX329" s="30"/>
      <c r="HY329" s="30"/>
      <c r="HZ329" s="30"/>
      <c r="IA329" s="30"/>
      <c r="IB329" s="30"/>
      <c r="IC329" s="30"/>
      <c r="ID329" s="30"/>
      <c r="IE329" s="30"/>
      <c r="IF329" s="30"/>
      <c r="IG329" s="30"/>
      <c r="IH329" s="30"/>
      <c r="II329" s="30"/>
      <c r="IJ329" s="30"/>
      <c r="IK329" s="30"/>
      <c r="IL329" s="30"/>
      <c r="IM329" s="30"/>
      <c r="IN329" s="30"/>
      <c r="IO329" s="30"/>
      <c r="IP329" s="30"/>
      <c r="IQ329" s="30"/>
      <c r="IR329" s="30"/>
      <c r="IS329" s="30"/>
      <c r="IT329" s="30"/>
      <c r="IU329" s="30"/>
      <c r="IV329" s="30"/>
      <c r="IW329" s="30"/>
      <c r="IX329" s="30"/>
      <c r="IY329" s="30"/>
      <c r="IZ329" s="30"/>
      <c r="JA329" s="30"/>
      <c r="JB329" s="30"/>
      <c r="JC329" s="30"/>
      <c r="JD329" s="30"/>
      <c r="JE329" s="30"/>
      <c r="JF329" s="30"/>
      <c r="JG329" s="30"/>
      <c r="JH329" s="30"/>
      <c r="JI329" s="30"/>
      <c r="JJ329" s="30"/>
      <c r="JK329" s="30"/>
      <c r="JL329" s="30"/>
      <c r="JM329" s="30"/>
      <c r="JN329" s="30"/>
      <c r="JO329" s="30"/>
      <c r="JP329" s="30"/>
      <c r="JQ329" s="30"/>
      <c r="JR329" s="30"/>
      <c r="JS329" s="30"/>
      <c r="JT329" s="30"/>
      <c r="JU329" s="30"/>
      <c r="JV329" s="30"/>
      <c r="JW329" s="30"/>
      <c r="JX329" s="30"/>
      <c r="JY329" s="30"/>
      <c r="JZ329" s="30"/>
      <c r="KA329" s="30"/>
      <c r="KB329" s="30"/>
      <c r="KC329" s="30"/>
      <c r="KD329" s="30"/>
      <c r="KE329" s="30"/>
    </row>
    <row r="330" spans="1:291" ht="35" customHeight="1">
      <c r="A330" s="74">
        <f>ROW()-2</f>
        <v>328</v>
      </c>
      <c r="B330" s="183" t="s">
        <v>4586</v>
      </c>
      <c r="C330" s="183" t="s">
        <v>4345</v>
      </c>
      <c r="D330" s="128" t="s">
        <v>5131</v>
      </c>
      <c r="E330" s="128" t="s">
        <v>5132</v>
      </c>
      <c r="F330" s="128" t="s">
        <v>5132</v>
      </c>
      <c r="G330" s="42" t="s">
        <v>3253</v>
      </c>
      <c r="H330" s="183">
        <v>52</v>
      </c>
      <c r="I330" s="84">
        <v>8.6</v>
      </c>
      <c r="J330" s="208">
        <v>44515</v>
      </c>
      <c r="K330" s="46" t="s">
        <v>20</v>
      </c>
      <c r="L330" s="203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  <c r="FS330" s="30"/>
      <c r="FT330" s="30"/>
      <c r="FU330" s="30"/>
      <c r="FV330" s="30"/>
      <c r="FW330" s="30"/>
      <c r="FX330" s="30"/>
      <c r="FY330" s="30"/>
      <c r="FZ330" s="30"/>
      <c r="GA330" s="30"/>
      <c r="GB330" s="30"/>
      <c r="GC330" s="30"/>
      <c r="GD330" s="30"/>
      <c r="GE330" s="30"/>
      <c r="GF330" s="30"/>
      <c r="GG330" s="30"/>
      <c r="GH330" s="30"/>
      <c r="GI330" s="30"/>
      <c r="GJ330" s="30"/>
      <c r="GK330" s="30"/>
      <c r="GL330" s="30"/>
      <c r="GM330" s="30"/>
      <c r="GN330" s="30"/>
      <c r="GO330" s="30"/>
      <c r="GP330" s="30"/>
      <c r="GQ330" s="30"/>
      <c r="GR330" s="30"/>
      <c r="GS330" s="30"/>
      <c r="GT330" s="30"/>
      <c r="GU330" s="30"/>
      <c r="GV330" s="30"/>
      <c r="GW330" s="30"/>
      <c r="GX330" s="30"/>
      <c r="GY330" s="30"/>
      <c r="GZ330" s="30"/>
      <c r="HA330" s="30"/>
      <c r="HB330" s="30"/>
      <c r="HC330" s="30"/>
      <c r="HD330" s="30"/>
      <c r="HE330" s="30"/>
      <c r="HF330" s="30"/>
      <c r="HG330" s="30"/>
      <c r="HH330" s="30"/>
      <c r="HI330" s="30"/>
      <c r="HJ330" s="30"/>
      <c r="HK330" s="30"/>
      <c r="HL330" s="30"/>
      <c r="HM330" s="30"/>
      <c r="HN330" s="30"/>
      <c r="HO330" s="30"/>
      <c r="HP330" s="30"/>
      <c r="HQ330" s="30"/>
      <c r="HR330" s="30"/>
      <c r="HS330" s="30"/>
      <c r="HT330" s="30"/>
      <c r="HU330" s="30"/>
      <c r="HV330" s="30"/>
      <c r="HW330" s="30"/>
      <c r="HX330" s="30"/>
      <c r="HY330" s="30"/>
      <c r="HZ330" s="30"/>
      <c r="IA330" s="30"/>
      <c r="IB330" s="30"/>
      <c r="IC330" s="30"/>
      <c r="ID330" s="30"/>
      <c r="IE330" s="30"/>
      <c r="IF330" s="30"/>
      <c r="IG330" s="30"/>
      <c r="IH330" s="30"/>
      <c r="II330" s="30"/>
      <c r="IJ330" s="30"/>
      <c r="IK330" s="30"/>
      <c r="IL330" s="30"/>
      <c r="IM330" s="30"/>
      <c r="IN330" s="30"/>
      <c r="IO330" s="30"/>
      <c r="IP330" s="30"/>
      <c r="IQ330" s="30"/>
      <c r="IR330" s="30"/>
      <c r="IS330" s="30"/>
      <c r="IT330" s="30"/>
      <c r="IU330" s="30"/>
      <c r="IV330" s="30"/>
      <c r="IW330" s="30"/>
      <c r="IX330" s="30"/>
      <c r="IY330" s="30"/>
      <c r="IZ330" s="30"/>
      <c r="JA330" s="30"/>
      <c r="JB330" s="30"/>
      <c r="JC330" s="30"/>
      <c r="JD330" s="30"/>
      <c r="JE330" s="30"/>
      <c r="JF330" s="30"/>
      <c r="JG330" s="30"/>
      <c r="JH330" s="30"/>
      <c r="JI330" s="30"/>
      <c r="JJ330" s="30"/>
      <c r="JK330" s="30"/>
      <c r="JL330" s="30"/>
      <c r="JM330" s="30"/>
      <c r="JN330" s="30"/>
      <c r="JO330" s="30"/>
      <c r="JP330" s="30"/>
      <c r="JQ330" s="30"/>
      <c r="JR330" s="30"/>
      <c r="JS330" s="30"/>
      <c r="JT330" s="30"/>
      <c r="JU330" s="30"/>
      <c r="JV330" s="30"/>
      <c r="JW330" s="30"/>
      <c r="JX330" s="30"/>
      <c r="JY330" s="30"/>
      <c r="JZ330" s="30"/>
      <c r="KA330" s="30"/>
      <c r="KB330" s="30"/>
      <c r="KC330" s="30"/>
      <c r="KD330" s="30"/>
      <c r="KE330" s="30"/>
    </row>
    <row r="331" spans="1:291" ht="35" customHeight="1">
      <c r="A331" s="74">
        <f>ROW()-2</f>
        <v>329</v>
      </c>
      <c r="B331" s="183" t="s">
        <v>4586</v>
      </c>
      <c r="C331" s="183" t="s">
        <v>4345</v>
      </c>
      <c r="D331" s="128" t="s">
        <v>5133</v>
      </c>
      <c r="E331" s="128" t="s">
        <v>5134</v>
      </c>
      <c r="F331" s="128" t="s">
        <v>5134</v>
      </c>
      <c r="G331" s="42" t="s">
        <v>3253</v>
      </c>
      <c r="H331" s="183">
        <v>36</v>
      </c>
      <c r="I331" s="84">
        <v>4.8</v>
      </c>
      <c r="J331" s="208">
        <v>44550</v>
      </c>
      <c r="K331" s="46" t="s">
        <v>20</v>
      </c>
      <c r="L331" s="203">
        <v>19.989999999999998</v>
      </c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  <c r="FS331" s="30"/>
      <c r="FT331" s="30"/>
      <c r="FU331" s="30"/>
      <c r="FV331" s="30"/>
      <c r="FW331" s="30"/>
      <c r="FX331" s="30"/>
      <c r="FY331" s="30"/>
      <c r="FZ331" s="30"/>
      <c r="GA331" s="30"/>
      <c r="GB331" s="30"/>
      <c r="GC331" s="30"/>
      <c r="GD331" s="30"/>
      <c r="GE331" s="30"/>
      <c r="GF331" s="30"/>
      <c r="GG331" s="30"/>
      <c r="GH331" s="30"/>
      <c r="GI331" s="30"/>
      <c r="GJ331" s="30"/>
      <c r="GK331" s="30"/>
      <c r="GL331" s="30"/>
      <c r="GM331" s="30"/>
      <c r="GN331" s="30"/>
      <c r="GO331" s="30"/>
      <c r="GP331" s="30"/>
      <c r="GQ331" s="30"/>
      <c r="GR331" s="30"/>
      <c r="GS331" s="30"/>
      <c r="GT331" s="30"/>
      <c r="GU331" s="30"/>
      <c r="GV331" s="30"/>
      <c r="GW331" s="30"/>
      <c r="GX331" s="30"/>
      <c r="GY331" s="30"/>
      <c r="GZ331" s="30"/>
      <c r="HA331" s="30"/>
      <c r="HB331" s="30"/>
      <c r="HC331" s="30"/>
      <c r="HD331" s="30"/>
      <c r="HE331" s="30"/>
      <c r="HF331" s="30"/>
      <c r="HG331" s="30"/>
      <c r="HH331" s="30"/>
      <c r="HI331" s="30"/>
      <c r="HJ331" s="30"/>
      <c r="HK331" s="30"/>
      <c r="HL331" s="30"/>
      <c r="HM331" s="30"/>
      <c r="HN331" s="30"/>
      <c r="HO331" s="30"/>
      <c r="HP331" s="30"/>
      <c r="HQ331" s="30"/>
      <c r="HR331" s="30"/>
      <c r="HS331" s="30"/>
      <c r="HT331" s="30"/>
      <c r="HU331" s="30"/>
      <c r="HV331" s="30"/>
      <c r="HW331" s="30"/>
      <c r="HX331" s="30"/>
      <c r="HY331" s="30"/>
      <c r="HZ331" s="30"/>
      <c r="IA331" s="30"/>
      <c r="IB331" s="30"/>
      <c r="IC331" s="30"/>
      <c r="ID331" s="30"/>
      <c r="IE331" s="30"/>
      <c r="IF331" s="30"/>
      <c r="IG331" s="30"/>
      <c r="IH331" s="30"/>
      <c r="II331" s="30"/>
      <c r="IJ331" s="30"/>
      <c r="IK331" s="30"/>
      <c r="IL331" s="30"/>
      <c r="IM331" s="30"/>
      <c r="IN331" s="30"/>
      <c r="IO331" s="30"/>
      <c r="IP331" s="30"/>
      <c r="IQ331" s="30"/>
      <c r="IR331" s="30"/>
      <c r="IS331" s="30"/>
      <c r="IT331" s="30"/>
      <c r="IU331" s="30"/>
      <c r="IV331" s="30"/>
      <c r="IW331" s="30"/>
      <c r="IX331" s="30"/>
      <c r="IY331" s="30"/>
      <c r="IZ331" s="30"/>
      <c r="JA331" s="30"/>
      <c r="JB331" s="30"/>
      <c r="JC331" s="30"/>
      <c r="JD331" s="30"/>
      <c r="JE331" s="30"/>
      <c r="JF331" s="30"/>
      <c r="JG331" s="30"/>
      <c r="JH331" s="30"/>
      <c r="JI331" s="30"/>
      <c r="JJ331" s="30"/>
      <c r="JK331" s="30"/>
      <c r="JL331" s="30"/>
      <c r="JM331" s="30"/>
      <c r="JN331" s="30"/>
      <c r="JO331" s="30"/>
      <c r="JP331" s="30"/>
      <c r="JQ331" s="30"/>
      <c r="JR331" s="30"/>
      <c r="JS331" s="30"/>
      <c r="JT331" s="30"/>
      <c r="JU331" s="30"/>
      <c r="JV331" s="30"/>
      <c r="JW331" s="30"/>
      <c r="JX331" s="30"/>
      <c r="JY331" s="30"/>
      <c r="JZ331" s="30"/>
      <c r="KA331" s="30"/>
      <c r="KB331" s="30"/>
      <c r="KC331" s="30"/>
      <c r="KD331" s="30"/>
      <c r="KE331" s="30"/>
    </row>
    <row r="332" spans="1:291" ht="35" customHeight="1">
      <c r="A332" s="74">
        <f>ROW()-2</f>
        <v>330</v>
      </c>
      <c r="B332" s="136" t="s">
        <v>5382</v>
      </c>
      <c r="C332" s="134" t="s">
        <v>5385</v>
      </c>
      <c r="D332" s="135" t="s">
        <v>5384</v>
      </c>
      <c r="E332" s="135" t="s">
        <v>5390</v>
      </c>
      <c r="F332" s="135" t="s">
        <v>5391</v>
      </c>
      <c r="G332" s="42" t="s">
        <v>3253</v>
      </c>
      <c r="H332" s="136">
        <v>58</v>
      </c>
      <c r="I332" s="137">
        <v>7</v>
      </c>
      <c r="J332" s="138">
        <v>44606</v>
      </c>
      <c r="K332" s="46" t="s">
        <v>20</v>
      </c>
      <c r="L332" s="133">
        <v>18</v>
      </c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  <c r="FS332" s="30"/>
      <c r="FT332" s="30"/>
      <c r="FU332" s="30"/>
      <c r="FV332" s="30"/>
      <c r="FW332" s="30"/>
      <c r="FX332" s="30"/>
      <c r="FY332" s="30"/>
      <c r="FZ332" s="30"/>
      <c r="GA332" s="30"/>
      <c r="GB332" s="30"/>
      <c r="GC332" s="30"/>
      <c r="GD332" s="30"/>
      <c r="GE332" s="30"/>
      <c r="GF332" s="30"/>
      <c r="GG332" s="30"/>
      <c r="GH332" s="30"/>
      <c r="GI332" s="30"/>
      <c r="GJ332" s="30"/>
      <c r="GK332" s="30"/>
      <c r="GL332" s="30"/>
      <c r="GM332" s="30"/>
      <c r="GN332" s="30"/>
      <c r="GO332" s="30"/>
      <c r="GP332" s="30"/>
      <c r="GQ332" s="30"/>
      <c r="GR332" s="30"/>
      <c r="GS332" s="30"/>
      <c r="GT332" s="30"/>
      <c r="GU332" s="30"/>
      <c r="GV332" s="30"/>
      <c r="GW332" s="30"/>
      <c r="GX332" s="30"/>
      <c r="GY332" s="30"/>
      <c r="GZ332" s="30"/>
      <c r="HA332" s="30"/>
      <c r="HB332" s="30"/>
      <c r="HC332" s="30"/>
      <c r="HD332" s="30"/>
      <c r="HE332" s="30"/>
      <c r="HF332" s="30"/>
      <c r="HG332" s="30"/>
      <c r="HH332" s="30"/>
      <c r="HI332" s="30"/>
      <c r="HJ332" s="30"/>
      <c r="HK332" s="30"/>
      <c r="HL332" s="30"/>
      <c r="HM332" s="30"/>
      <c r="HN332" s="30"/>
      <c r="HO332" s="30"/>
      <c r="HP332" s="30"/>
      <c r="HQ332" s="30"/>
      <c r="HR332" s="30"/>
      <c r="HS332" s="30"/>
      <c r="HT332" s="30"/>
      <c r="HU332" s="30"/>
      <c r="HV332" s="30"/>
      <c r="HW332" s="30"/>
      <c r="HX332" s="30"/>
      <c r="HY332" s="30"/>
      <c r="HZ332" s="30"/>
      <c r="IA332" s="30"/>
      <c r="IB332" s="30"/>
      <c r="IC332" s="30"/>
      <c r="ID332" s="30"/>
      <c r="IE332" s="30"/>
      <c r="IF332" s="30"/>
      <c r="IG332" s="30"/>
      <c r="IH332" s="30"/>
      <c r="II332" s="30"/>
      <c r="IJ332" s="30"/>
      <c r="IK332" s="30"/>
      <c r="IL332" s="30"/>
      <c r="IM332" s="30"/>
      <c r="IN332" s="30"/>
      <c r="IO332" s="30"/>
      <c r="IP332" s="30"/>
      <c r="IQ332" s="30"/>
      <c r="IR332" s="30"/>
      <c r="IS332" s="30"/>
      <c r="IT332" s="30"/>
      <c r="IU332" s="30"/>
      <c r="IV332" s="30"/>
      <c r="IW332" s="30"/>
      <c r="IX332" s="30"/>
      <c r="IY332" s="30"/>
      <c r="IZ332" s="30"/>
      <c r="JA332" s="30"/>
      <c r="JB332" s="30"/>
      <c r="JC332" s="30"/>
      <c r="JD332" s="30"/>
      <c r="JE332" s="30"/>
      <c r="JF332" s="30"/>
      <c r="JG332" s="30"/>
      <c r="JH332" s="30"/>
      <c r="JI332" s="30"/>
      <c r="JJ332" s="30"/>
      <c r="JK332" s="30"/>
      <c r="JL332" s="30"/>
      <c r="JM332" s="30"/>
      <c r="JN332" s="30"/>
      <c r="JO332" s="30"/>
      <c r="JP332" s="30"/>
      <c r="JQ332" s="30"/>
      <c r="JR332" s="30"/>
      <c r="JS332" s="30"/>
      <c r="JT332" s="30"/>
      <c r="JU332" s="30"/>
      <c r="JV332" s="30"/>
      <c r="JW332" s="30"/>
      <c r="JX332" s="30"/>
      <c r="JY332" s="30"/>
      <c r="JZ332" s="30"/>
      <c r="KA332" s="30"/>
      <c r="KB332" s="30"/>
      <c r="KC332" s="30"/>
      <c r="KD332" s="30"/>
      <c r="KE332" s="30"/>
    </row>
    <row r="333" spans="1:291" ht="35" customHeight="1">
      <c r="A333" s="74">
        <f>ROW()-2</f>
        <v>331</v>
      </c>
      <c r="B333" s="136" t="s">
        <v>2639</v>
      </c>
      <c r="C333" s="134" t="s">
        <v>5171</v>
      </c>
      <c r="D333" s="135" t="s">
        <v>5469</v>
      </c>
      <c r="E333" s="135" t="s">
        <v>5470</v>
      </c>
      <c r="F333" s="135" t="s">
        <v>5470</v>
      </c>
      <c r="G333" s="42" t="s">
        <v>3253</v>
      </c>
      <c r="H333" s="136">
        <v>50</v>
      </c>
      <c r="I333" s="137">
        <v>7.7</v>
      </c>
      <c r="J333" s="208">
        <v>44613</v>
      </c>
      <c r="K333" s="46" t="s">
        <v>20</v>
      </c>
      <c r="L333" s="75">
        <v>24.99</v>
      </c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  <c r="FS333" s="30"/>
      <c r="FT333" s="30"/>
      <c r="FU333" s="30"/>
      <c r="FV333" s="30"/>
      <c r="FW333" s="30"/>
      <c r="FX333" s="30"/>
      <c r="FY333" s="30"/>
      <c r="FZ333" s="30"/>
      <c r="GA333" s="30"/>
      <c r="GB333" s="30"/>
      <c r="GC333" s="30"/>
      <c r="GD333" s="30"/>
      <c r="GE333" s="30"/>
      <c r="GF333" s="30"/>
      <c r="GG333" s="30"/>
      <c r="GH333" s="30"/>
      <c r="GI333" s="30"/>
      <c r="GJ333" s="30"/>
      <c r="GK333" s="30"/>
      <c r="GL333" s="30"/>
      <c r="GM333" s="30"/>
      <c r="GN333" s="30"/>
      <c r="GO333" s="30"/>
      <c r="GP333" s="30"/>
      <c r="GQ333" s="30"/>
      <c r="GR333" s="30"/>
      <c r="GS333" s="30"/>
      <c r="GT333" s="30"/>
      <c r="GU333" s="30"/>
      <c r="GV333" s="30"/>
      <c r="GW333" s="30"/>
      <c r="GX333" s="30"/>
      <c r="GY333" s="30"/>
      <c r="GZ333" s="30"/>
      <c r="HA333" s="30"/>
      <c r="HB333" s="30"/>
      <c r="HC333" s="30"/>
      <c r="HD333" s="30"/>
      <c r="HE333" s="30"/>
      <c r="HF333" s="30"/>
      <c r="HG333" s="30"/>
      <c r="HH333" s="30"/>
      <c r="HI333" s="30"/>
      <c r="HJ333" s="30"/>
      <c r="HK333" s="30"/>
      <c r="HL333" s="30"/>
      <c r="HM333" s="30"/>
      <c r="HN333" s="30"/>
      <c r="HO333" s="30"/>
      <c r="HP333" s="30"/>
      <c r="HQ333" s="30"/>
      <c r="HR333" s="30"/>
      <c r="HS333" s="30"/>
      <c r="HT333" s="30"/>
      <c r="HU333" s="30"/>
      <c r="HV333" s="30"/>
      <c r="HW333" s="30"/>
      <c r="HX333" s="30"/>
      <c r="HY333" s="30"/>
      <c r="HZ333" s="30"/>
      <c r="IA333" s="30"/>
      <c r="IB333" s="30"/>
      <c r="IC333" s="30"/>
      <c r="ID333" s="30"/>
      <c r="IE333" s="30"/>
      <c r="IF333" s="30"/>
      <c r="IG333" s="30"/>
      <c r="IH333" s="30"/>
      <c r="II333" s="30"/>
      <c r="IJ333" s="30"/>
      <c r="IK333" s="30"/>
      <c r="IL333" s="30"/>
      <c r="IM333" s="30"/>
      <c r="IN333" s="30"/>
      <c r="IO333" s="30"/>
      <c r="IP333" s="30"/>
      <c r="IQ333" s="30"/>
      <c r="IR333" s="30"/>
      <c r="IS333" s="30"/>
      <c r="IT333" s="30"/>
      <c r="IU333" s="30"/>
      <c r="IV333" s="30"/>
      <c r="IW333" s="30"/>
      <c r="IX333" s="30"/>
      <c r="IY333" s="30"/>
      <c r="IZ333" s="30"/>
      <c r="JA333" s="30"/>
      <c r="JB333" s="30"/>
      <c r="JC333" s="30"/>
      <c r="JD333" s="30"/>
      <c r="JE333" s="30"/>
      <c r="JF333" s="30"/>
      <c r="JG333" s="30"/>
      <c r="JH333" s="30"/>
      <c r="JI333" s="30"/>
      <c r="JJ333" s="30"/>
      <c r="JK333" s="30"/>
      <c r="JL333" s="30"/>
      <c r="JM333" s="30"/>
      <c r="JN333" s="30"/>
      <c r="JO333" s="30"/>
      <c r="JP333" s="30"/>
      <c r="JQ333" s="30"/>
      <c r="JR333" s="30"/>
      <c r="JS333" s="30"/>
      <c r="JT333" s="30"/>
      <c r="JU333" s="30"/>
      <c r="JV333" s="30"/>
      <c r="JW333" s="30"/>
      <c r="JX333" s="30"/>
      <c r="JY333" s="30"/>
      <c r="JZ333" s="30"/>
      <c r="KA333" s="30"/>
      <c r="KB333" s="30"/>
      <c r="KC333" s="30"/>
      <c r="KD333" s="30"/>
      <c r="KE333" s="30"/>
    </row>
    <row r="334" spans="1:291" ht="35" customHeight="1">
      <c r="A334" s="74">
        <f>ROW()-2</f>
        <v>332</v>
      </c>
      <c r="B334" s="136" t="s">
        <v>5597</v>
      </c>
      <c r="C334" s="134" t="s">
        <v>4345</v>
      </c>
      <c r="D334" s="135" t="s">
        <v>5495</v>
      </c>
      <c r="E334" s="135" t="s">
        <v>5524</v>
      </c>
      <c r="F334" s="135" t="s">
        <v>5523</v>
      </c>
      <c r="G334" s="42" t="s">
        <v>3253</v>
      </c>
      <c r="H334" s="136">
        <v>31</v>
      </c>
      <c r="I334" s="137">
        <v>11.597777777777777</v>
      </c>
      <c r="J334" s="138">
        <v>44614</v>
      </c>
      <c r="K334" s="46" t="s">
        <v>20</v>
      </c>
      <c r="L334" s="133">
        <v>22.5</v>
      </c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  <c r="FS334" s="30"/>
      <c r="FT334" s="30"/>
      <c r="FU334" s="30"/>
      <c r="FV334" s="30"/>
      <c r="FW334" s="30"/>
      <c r="FX334" s="30"/>
      <c r="FY334" s="30"/>
      <c r="FZ334" s="30"/>
      <c r="GA334" s="30"/>
      <c r="GB334" s="30"/>
      <c r="GC334" s="30"/>
      <c r="GD334" s="30"/>
      <c r="GE334" s="30"/>
      <c r="GF334" s="30"/>
      <c r="GG334" s="30"/>
      <c r="GH334" s="30"/>
      <c r="GI334" s="30"/>
      <c r="GJ334" s="30"/>
      <c r="GK334" s="30"/>
      <c r="GL334" s="30"/>
      <c r="GM334" s="30"/>
      <c r="GN334" s="30"/>
      <c r="GO334" s="30"/>
      <c r="GP334" s="30"/>
      <c r="GQ334" s="30"/>
      <c r="GR334" s="30"/>
      <c r="GS334" s="30"/>
      <c r="GT334" s="30"/>
      <c r="GU334" s="30"/>
      <c r="GV334" s="30"/>
      <c r="GW334" s="30"/>
      <c r="GX334" s="30"/>
      <c r="GY334" s="30"/>
      <c r="GZ334" s="30"/>
      <c r="HA334" s="30"/>
      <c r="HB334" s="30"/>
      <c r="HC334" s="30"/>
      <c r="HD334" s="30"/>
      <c r="HE334" s="30"/>
      <c r="HF334" s="30"/>
      <c r="HG334" s="30"/>
      <c r="HH334" s="30"/>
      <c r="HI334" s="30"/>
      <c r="HJ334" s="30"/>
      <c r="HK334" s="30"/>
      <c r="HL334" s="30"/>
      <c r="HM334" s="30"/>
      <c r="HN334" s="30"/>
      <c r="HO334" s="30"/>
      <c r="HP334" s="30"/>
      <c r="HQ334" s="30"/>
      <c r="HR334" s="30"/>
      <c r="HS334" s="30"/>
      <c r="HT334" s="30"/>
      <c r="HU334" s="30"/>
      <c r="HV334" s="30"/>
      <c r="HW334" s="30"/>
      <c r="HX334" s="30"/>
      <c r="HY334" s="30"/>
      <c r="HZ334" s="30"/>
      <c r="IA334" s="30"/>
      <c r="IB334" s="30"/>
      <c r="IC334" s="30"/>
      <c r="ID334" s="30"/>
      <c r="IE334" s="30"/>
      <c r="IF334" s="30"/>
      <c r="IG334" s="30"/>
      <c r="IH334" s="30"/>
      <c r="II334" s="30"/>
      <c r="IJ334" s="30"/>
      <c r="IK334" s="30"/>
      <c r="IL334" s="30"/>
      <c r="IM334" s="30"/>
      <c r="IN334" s="30"/>
      <c r="IO334" s="30"/>
      <c r="IP334" s="30"/>
      <c r="IQ334" s="30"/>
      <c r="IR334" s="30"/>
      <c r="IS334" s="30"/>
      <c r="IT334" s="30"/>
      <c r="IU334" s="30"/>
      <c r="IV334" s="30"/>
      <c r="IW334" s="30"/>
      <c r="IX334" s="30"/>
      <c r="IY334" s="30"/>
      <c r="IZ334" s="30"/>
      <c r="JA334" s="30"/>
      <c r="JB334" s="30"/>
      <c r="JC334" s="30"/>
      <c r="JD334" s="30"/>
      <c r="JE334" s="30"/>
      <c r="JF334" s="30"/>
      <c r="JG334" s="30"/>
      <c r="JH334" s="30"/>
      <c r="JI334" s="30"/>
      <c r="JJ334" s="30"/>
      <c r="JK334" s="30"/>
      <c r="JL334" s="30"/>
      <c r="JM334" s="30"/>
      <c r="JN334" s="30"/>
      <c r="JO334" s="30"/>
      <c r="JP334" s="30"/>
      <c r="JQ334" s="30"/>
      <c r="JR334" s="30"/>
      <c r="JS334" s="30"/>
      <c r="JT334" s="30"/>
      <c r="JU334" s="30"/>
      <c r="JV334" s="30"/>
      <c r="JW334" s="30"/>
      <c r="JX334" s="30"/>
      <c r="JY334" s="30"/>
      <c r="JZ334" s="30"/>
      <c r="KA334" s="30"/>
      <c r="KB334" s="30"/>
      <c r="KC334" s="30"/>
      <c r="KD334" s="30"/>
      <c r="KE334" s="30"/>
    </row>
    <row r="335" spans="1:291" ht="35" customHeight="1">
      <c r="A335" s="74">
        <f>ROW()-2</f>
        <v>333</v>
      </c>
      <c r="B335" s="136" t="s">
        <v>5597</v>
      </c>
      <c r="C335" s="134" t="s">
        <v>4345</v>
      </c>
      <c r="D335" s="135" t="s">
        <v>5497</v>
      </c>
      <c r="E335" s="135" t="s">
        <v>5527</v>
      </c>
      <c r="F335" s="135" t="s">
        <v>5528</v>
      </c>
      <c r="G335" s="42" t="s">
        <v>3253</v>
      </c>
      <c r="H335" s="136">
        <v>81</v>
      </c>
      <c r="I335" s="137">
        <v>9.1252777777777769</v>
      </c>
      <c r="J335" s="138">
        <v>44614</v>
      </c>
      <c r="K335" s="46" t="s">
        <v>20</v>
      </c>
      <c r="L335" s="133">
        <v>38</v>
      </c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  <c r="FS335" s="30"/>
      <c r="FT335" s="30"/>
      <c r="FU335" s="30"/>
      <c r="FV335" s="30"/>
      <c r="FW335" s="30"/>
      <c r="FX335" s="30"/>
      <c r="FY335" s="30"/>
      <c r="FZ335" s="30"/>
      <c r="GA335" s="30"/>
      <c r="GB335" s="30"/>
      <c r="GC335" s="30"/>
      <c r="GD335" s="30"/>
      <c r="GE335" s="30"/>
      <c r="GF335" s="30"/>
      <c r="GG335" s="30"/>
      <c r="GH335" s="30"/>
      <c r="GI335" s="30"/>
      <c r="GJ335" s="30"/>
      <c r="GK335" s="30"/>
      <c r="GL335" s="30"/>
      <c r="GM335" s="30"/>
      <c r="GN335" s="30"/>
      <c r="GO335" s="30"/>
      <c r="GP335" s="30"/>
      <c r="GQ335" s="30"/>
      <c r="GR335" s="30"/>
      <c r="GS335" s="30"/>
      <c r="GT335" s="30"/>
      <c r="GU335" s="30"/>
      <c r="GV335" s="30"/>
      <c r="GW335" s="30"/>
      <c r="GX335" s="30"/>
      <c r="GY335" s="30"/>
      <c r="GZ335" s="30"/>
      <c r="HA335" s="30"/>
      <c r="HB335" s="30"/>
      <c r="HC335" s="30"/>
      <c r="HD335" s="30"/>
      <c r="HE335" s="30"/>
      <c r="HF335" s="30"/>
      <c r="HG335" s="30"/>
      <c r="HH335" s="30"/>
      <c r="HI335" s="30"/>
      <c r="HJ335" s="30"/>
      <c r="HK335" s="30"/>
      <c r="HL335" s="30"/>
      <c r="HM335" s="30"/>
      <c r="HN335" s="30"/>
      <c r="HO335" s="30"/>
      <c r="HP335" s="30"/>
      <c r="HQ335" s="30"/>
      <c r="HR335" s="30"/>
      <c r="HS335" s="30"/>
      <c r="HT335" s="30"/>
      <c r="HU335" s="30"/>
      <c r="HV335" s="30"/>
      <c r="HW335" s="30"/>
      <c r="HX335" s="30"/>
      <c r="HY335" s="30"/>
      <c r="HZ335" s="30"/>
      <c r="IA335" s="30"/>
      <c r="IB335" s="30"/>
      <c r="IC335" s="30"/>
      <c r="ID335" s="30"/>
      <c r="IE335" s="30"/>
      <c r="IF335" s="30"/>
      <c r="IG335" s="30"/>
      <c r="IH335" s="30"/>
      <c r="II335" s="30"/>
      <c r="IJ335" s="30"/>
      <c r="IK335" s="30"/>
      <c r="IL335" s="30"/>
      <c r="IM335" s="30"/>
      <c r="IN335" s="30"/>
      <c r="IO335" s="30"/>
      <c r="IP335" s="30"/>
      <c r="IQ335" s="30"/>
      <c r="IR335" s="30"/>
      <c r="IS335" s="30"/>
      <c r="IT335" s="30"/>
      <c r="IU335" s="30"/>
      <c r="IV335" s="30"/>
      <c r="IW335" s="30"/>
      <c r="IX335" s="30"/>
      <c r="IY335" s="30"/>
      <c r="IZ335" s="30"/>
      <c r="JA335" s="30"/>
      <c r="JB335" s="30"/>
      <c r="JC335" s="30"/>
      <c r="JD335" s="30"/>
      <c r="JE335" s="30"/>
      <c r="JF335" s="30"/>
      <c r="JG335" s="30"/>
      <c r="JH335" s="30"/>
      <c r="JI335" s="30"/>
      <c r="JJ335" s="30"/>
      <c r="JK335" s="30"/>
      <c r="JL335" s="30"/>
      <c r="JM335" s="30"/>
      <c r="JN335" s="30"/>
      <c r="JO335" s="30"/>
      <c r="JP335" s="30"/>
      <c r="JQ335" s="30"/>
      <c r="JR335" s="30"/>
      <c r="JS335" s="30"/>
      <c r="JT335" s="30"/>
      <c r="JU335" s="30"/>
      <c r="JV335" s="30"/>
      <c r="JW335" s="30"/>
      <c r="JX335" s="30"/>
      <c r="JY335" s="30"/>
      <c r="JZ335" s="30"/>
      <c r="KA335" s="30"/>
      <c r="KB335" s="30"/>
      <c r="KC335" s="30"/>
      <c r="KD335" s="30"/>
      <c r="KE335" s="30"/>
    </row>
    <row r="336" spans="1:291" ht="35" customHeight="1">
      <c r="A336" s="74">
        <f>ROW()-2</f>
        <v>334</v>
      </c>
      <c r="B336" s="136" t="s">
        <v>5597</v>
      </c>
      <c r="C336" s="134" t="s">
        <v>4345</v>
      </c>
      <c r="D336" s="135" t="s">
        <v>5498</v>
      </c>
      <c r="E336" s="135" t="s">
        <v>5529</v>
      </c>
      <c r="F336" s="135" t="s">
        <v>5523</v>
      </c>
      <c r="G336" s="42" t="s">
        <v>3253</v>
      </c>
      <c r="H336" s="136">
        <v>51</v>
      </c>
      <c r="I336" s="137">
        <v>8.1661111111111104</v>
      </c>
      <c r="J336" s="138">
        <v>44614</v>
      </c>
      <c r="K336" s="46" t="s">
        <v>20</v>
      </c>
      <c r="L336" s="133">
        <v>31</v>
      </c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  <c r="FS336" s="30"/>
      <c r="FT336" s="30"/>
      <c r="FU336" s="30"/>
      <c r="FV336" s="30"/>
      <c r="FW336" s="30"/>
      <c r="FX336" s="30"/>
      <c r="FY336" s="30"/>
      <c r="FZ336" s="30"/>
      <c r="GA336" s="30"/>
      <c r="GB336" s="30"/>
      <c r="GC336" s="30"/>
      <c r="GD336" s="30"/>
      <c r="GE336" s="30"/>
      <c r="GF336" s="30"/>
      <c r="GG336" s="30"/>
      <c r="GH336" s="30"/>
      <c r="GI336" s="30"/>
      <c r="GJ336" s="30"/>
      <c r="GK336" s="30"/>
      <c r="GL336" s="30"/>
      <c r="GM336" s="30"/>
      <c r="GN336" s="30"/>
      <c r="GO336" s="30"/>
      <c r="GP336" s="30"/>
      <c r="GQ336" s="30"/>
      <c r="GR336" s="30"/>
      <c r="GS336" s="30"/>
      <c r="GT336" s="30"/>
      <c r="GU336" s="30"/>
      <c r="GV336" s="30"/>
      <c r="GW336" s="30"/>
      <c r="GX336" s="30"/>
      <c r="GY336" s="30"/>
      <c r="GZ336" s="30"/>
      <c r="HA336" s="30"/>
      <c r="HB336" s="30"/>
      <c r="HC336" s="30"/>
      <c r="HD336" s="30"/>
      <c r="HE336" s="30"/>
      <c r="HF336" s="30"/>
      <c r="HG336" s="30"/>
      <c r="HH336" s="30"/>
      <c r="HI336" s="30"/>
      <c r="HJ336" s="30"/>
      <c r="HK336" s="30"/>
      <c r="HL336" s="30"/>
      <c r="HM336" s="30"/>
      <c r="HN336" s="30"/>
      <c r="HO336" s="30"/>
      <c r="HP336" s="30"/>
      <c r="HQ336" s="30"/>
      <c r="HR336" s="30"/>
      <c r="HS336" s="30"/>
      <c r="HT336" s="30"/>
      <c r="HU336" s="30"/>
      <c r="HV336" s="30"/>
      <c r="HW336" s="30"/>
      <c r="HX336" s="30"/>
      <c r="HY336" s="30"/>
      <c r="HZ336" s="30"/>
      <c r="IA336" s="30"/>
      <c r="IB336" s="30"/>
      <c r="IC336" s="30"/>
      <c r="ID336" s="30"/>
      <c r="IE336" s="30"/>
      <c r="IF336" s="30"/>
      <c r="IG336" s="30"/>
      <c r="IH336" s="30"/>
      <c r="II336" s="30"/>
      <c r="IJ336" s="30"/>
      <c r="IK336" s="30"/>
      <c r="IL336" s="30"/>
      <c r="IM336" s="30"/>
      <c r="IN336" s="30"/>
      <c r="IO336" s="30"/>
      <c r="IP336" s="30"/>
      <c r="IQ336" s="30"/>
      <c r="IR336" s="30"/>
      <c r="IS336" s="30"/>
      <c r="IT336" s="30"/>
      <c r="IU336" s="30"/>
      <c r="IV336" s="30"/>
      <c r="IW336" s="30"/>
      <c r="IX336" s="30"/>
      <c r="IY336" s="30"/>
      <c r="IZ336" s="30"/>
      <c r="JA336" s="30"/>
      <c r="JB336" s="30"/>
      <c r="JC336" s="30"/>
      <c r="JD336" s="30"/>
      <c r="JE336" s="30"/>
      <c r="JF336" s="30"/>
      <c r="JG336" s="30"/>
      <c r="JH336" s="30"/>
      <c r="JI336" s="30"/>
      <c r="JJ336" s="30"/>
      <c r="JK336" s="30"/>
      <c r="JL336" s="30"/>
      <c r="JM336" s="30"/>
      <c r="JN336" s="30"/>
      <c r="JO336" s="30"/>
      <c r="JP336" s="30"/>
      <c r="JQ336" s="30"/>
      <c r="JR336" s="30"/>
      <c r="JS336" s="30"/>
      <c r="JT336" s="30"/>
      <c r="JU336" s="30"/>
      <c r="JV336" s="30"/>
      <c r="JW336" s="30"/>
      <c r="JX336" s="30"/>
      <c r="JY336" s="30"/>
      <c r="JZ336" s="30"/>
      <c r="KA336" s="30"/>
      <c r="KB336" s="30"/>
      <c r="KC336" s="30"/>
      <c r="KD336" s="30"/>
      <c r="KE336" s="30"/>
    </row>
    <row r="337" spans="1:291" ht="35" customHeight="1">
      <c r="A337" s="74">
        <f>ROW()-2</f>
        <v>335</v>
      </c>
      <c r="B337" s="136" t="s">
        <v>5597</v>
      </c>
      <c r="C337" s="134" t="s">
        <v>4345</v>
      </c>
      <c r="D337" s="135" t="s">
        <v>5531</v>
      </c>
      <c r="E337" s="135" t="s">
        <v>3091</v>
      </c>
      <c r="F337" s="135" t="s">
        <v>5528</v>
      </c>
      <c r="G337" s="42" t="s">
        <v>3253</v>
      </c>
      <c r="H337" s="136">
        <v>188</v>
      </c>
      <c r="I337" s="137">
        <v>24.781388888888888</v>
      </c>
      <c r="J337" s="138">
        <v>44614</v>
      </c>
      <c r="K337" s="46" t="s">
        <v>20</v>
      </c>
      <c r="L337" s="133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  <c r="FS337" s="30"/>
      <c r="FT337" s="30"/>
      <c r="FU337" s="30"/>
      <c r="FV337" s="30"/>
      <c r="FW337" s="30"/>
      <c r="FX337" s="30"/>
      <c r="FY337" s="30"/>
      <c r="FZ337" s="30"/>
      <c r="GA337" s="30"/>
      <c r="GB337" s="30"/>
      <c r="GC337" s="30"/>
      <c r="GD337" s="30"/>
      <c r="GE337" s="30"/>
      <c r="GF337" s="30"/>
      <c r="GG337" s="30"/>
      <c r="GH337" s="30"/>
      <c r="GI337" s="30"/>
      <c r="GJ337" s="30"/>
      <c r="GK337" s="30"/>
      <c r="GL337" s="30"/>
      <c r="GM337" s="30"/>
      <c r="GN337" s="30"/>
      <c r="GO337" s="30"/>
      <c r="GP337" s="30"/>
      <c r="GQ337" s="30"/>
      <c r="GR337" s="30"/>
      <c r="GS337" s="30"/>
      <c r="GT337" s="30"/>
      <c r="GU337" s="30"/>
      <c r="GV337" s="30"/>
      <c r="GW337" s="30"/>
      <c r="GX337" s="30"/>
      <c r="GY337" s="30"/>
      <c r="GZ337" s="30"/>
      <c r="HA337" s="30"/>
      <c r="HB337" s="30"/>
      <c r="HC337" s="30"/>
      <c r="HD337" s="30"/>
      <c r="HE337" s="30"/>
      <c r="HF337" s="30"/>
      <c r="HG337" s="30"/>
      <c r="HH337" s="30"/>
      <c r="HI337" s="30"/>
      <c r="HJ337" s="30"/>
      <c r="HK337" s="30"/>
      <c r="HL337" s="30"/>
      <c r="HM337" s="30"/>
      <c r="HN337" s="30"/>
      <c r="HO337" s="30"/>
      <c r="HP337" s="30"/>
      <c r="HQ337" s="30"/>
      <c r="HR337" s="30"/>
      <c r="HS337" s="30"/>
      <c r="HT337" s="30"/>
      <c r="HU337" s="30"/>
      <c r="HV337" s="30"/>
      <c r="HW337" s="30"/>
      <c r="HX337" s="30"/>
      <c r="HY337" s="30"/>
      <c r="HZ337" s="30"/>
      <c r="IA337" s="30"/>
      <c r="IB337" s="30"/>
      <c r="IC337" s="30"/>
      <c r="ID337" s="30"/>
      <c r="IE337" s="30"/>
      <c r="IF337" s="30"/>
      <c r="IG337" s="30"/>
      <c r="IH337" s="30"/>
      <c r="II337" s="30"/>
      <c r="IJ337" s="30"/>
      <c r="IK337" s="30"/>
      <c r="IL337" s="30"/>
      <c r="IM337" s="30"/>
      <c r="IN337" s="30"/>
      <c r="IO337" s="30"/>
      <c r="IP337" s="30"/>
      <c r="IQ337" s="30"/>
      <c r="IR337" s="30"/>
      <c r="IS337" s="30"/>
      <c r="IT337" s="30"/>
      <c r="IU337" s="30"/>
      <c r="IV337" s="30"/>
      <c r="IW337" s="30"/>
      <c r="IX337" s="30"/>
      <c r="IY337" s="30"/>
      <c r="IZ337" s="30"/>
      <c r="JA337" s="30"/>
      <c r="JB337" s="30"/>
      <c r="JC337" s="30"/>
      <c r="JD337" s="30"/>
      <c r="JE337" s="30"/>
      <c r="JF337" s="30"/>
      <c r="JG337" s="30"/>
      <c r="JH337" s="30"/>
      <c r="JI337" s="30"/>
      <c r="JJ337" s="30"/>
      <c r="JK337" s="30"/>
      <c r="JL337" s="30"/>
      <c r="JM337" s="30"/>
      <c r="JN337" s="30"/>
      <c r="JO337" s="30"/>
      <c r="JP337" s="30"/>
      <c r="JQ337" s="30"/>
      <c r="JR337" s="30"/>
      <c r="JS337" s="30"/>
      <c r="JT337" s="30"/>
      <c r="JU337" s="30"/>
      <c r="JV337" s="30"/>
      <c r="JW337" s="30"/>
      <c r="JX337" s="30"/>
      <c r="JY337" s="30"/>
      <c r="JZ337" s="30"/>
      <c r="KA337" s="30"/>
      <c r="KB337" s="30"/>
      <c r="KC337" s="30"/>
      <c r="KD337" s="30"/>
      <c r="KE337" s="30"/>
    </row>
    <row r="338" spans="1:291" ht="35" customHeight="1">
      <c r="A338" s="74">
        <f>ROW()-2</f>
        <v>336</v>
      </c>
      <c r="B338" s="136" t="s">
        <v>5597</v>
      </c>
      <c r="C338" s="134" t="s">
        <v>4345</v>
      </c>
      <c r="D338" s="135" t="s">
        <v>5500</v>
      </c>
      <c r="E338" s="135" t="s">
        <v>5533</v>
      </c>
      <c r="F338" s="135" t="s">
        <v>5534</v>
      </c>
      <c r="G338" s="42" t="s">
        <v>3253</v>
      </c>
      <c r="H338" s="136">
        <v>32</v>
      </c>
      <c r="I338" s="137">
        <v>5.7583333333333337</v>
      </c>
      <c r="J338" s="138">
        <v>44614</v>
      </c>
      <c r="K338" s="211" t="s">
        <v>5579</v>
      </c>
      <c r="L338" s="133">
        <v>29.9</v>
      </c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  <c r="FS338" s="30"/>
      <c r="FT338" s="30"/>
      <c r="FU338" s="30"/>
      <c r="FV338" s="30"/>
      <c r="FW338" s="30"/>
      <c r="FX338" s="30"/>
      <c r="FY338" s="30"/>
      <c r="FZ338" s="30"/>
      <c r="GA338" s="30"/>
      <c r="GB338" s="30"/>
      <c r="GC338" s="30"/>
      <c r="GD338" s="30"/>
      <c r="GE338" s="30"/>
      <c r="GF338" s="30"/>
      <c r="GG338" s="30"/>
      <c r="GH338" s="30"/>
      <c r="GI338" s="30"/>
      <c r="GJ338" s="30"/>
      <c r="GK338" s="30"/>
      <c r="GL338" s="30"/>
      <c r="GM338" s="30"/>
      <c r="GN338" s="30"/>
      <c r="GO338" s="30"/>
      <c r="GP338" s="30"/>
      <c r="GQ338" s="30"/>
      <c r="GR338" s="30"/>
      <c r="GS338" s="30"/>
      <c r="GT338" s="30"/>
      <c r="GU338" s="30"/>
      <c r="GV338" s="30"/>
      <c r="GW338" s="30"/>
      <c r="GX338" s="30"/>
      <c r="GY338" s="30"/>
      <c r="GZ338" s="30"/>
      <c r="HA338" s="30"/>
      <c r="HB338" s="30"/>
      <c r="HC338" s="30"/>
      <c r="HD338" s="30"/>
      <c r="HE338" s="30"/>
      <c r="HF338" s="30"/>
      <c r="HG338" s="30"/>
      <c r="HH338" s="30"/>
      <c r="HI338" s="30"/>
      <c r="HJ338" s="30"/>
      <c r="HK338" s="30"/>
      <c r="HL338" s="30"/>
      <c r="HM338" s="30"/>
      <c r="HN338" s="30"/>
      <c r="HO338" s="30"/>
      <c r="HP338" s="30"/>
      <c r="HQ338" s="30"/>
      <c r="HR338" s="30"/>
      <c r="HS338" s="30"/>
      <c r="HT338" s="30"/>
      <c r="HU338" s="30"/>
      <c r="HV338" s="30"/>
      <c r="HW338" s="30"/>
      <c r="HX338" s="30"/>
      <c r="HY338" s="30"/>
      <c r="HZ338" s="30"/>
      <c r="IA338" s="30"/>
      <c r="IB338" s="30"/>
      <c r="IC338" s="30"/>
      <c r="ID338" s="30"/>
      <c r="IE338" s="30"/>
      <c r="IF338" s="30"/>
      <c r="IG338" s="30"/>
      <c r="IH338" s="30"/>
      <c r="II338" s="30"/>
      <c r="IJ338" s="30"/>
      <c r="IK338" s="30"/>
      <c r="IL338" s="30"/>
      <c r="IM338" s="30"/>
      <c r="IN338" s="30"/>
      <c r="IO338" s="30"/>
      <c r="IP338" s="30"/>
      <c r="IQ338" s="30"/>
      <c r="IR338" s="30"/>
      <c r="IS338" s="30"/>
      <c r="IT338" s="30"/>
      <c r="IU338" s="30"/>
      <c r="IV338" s="30"/>
      <c r="IW338" s="30"/>
      <c r="IX338" s="30"/>
      <c r="IY338" s="30"/>
      <c r="IZ338" s="30"/>
      <c r="JA338" s="30"/>
      <c r="JB338" s="30"/>
      <c r="JC338" s="30"/>
      <c r="JD338" s="30"/>
      <c r="JE338" s="30"/>
      <c r="JF338" s="30"/>
      <c r="JG338" s="30"/>
      <c r="JH338" s="30"/>
      <c r="JI338" s="30"/>
      <c r="JJ338" s="30"/>
      <c r="JK338" s="30"/>
      <c r="JL338" s="30"/>
      <c r="JM338" s="30"/>
      <c r="JN338" s="30"/>
      <c r="JO338" s="30"/>
      <c r="JP338" s="30"/>
      <c r="JQ338" s="30"/>
      <c r="JR338" s="30"/>
      <c r="JS338" s="30"/>
      <c r="JT338" s="30"/>
      <c r="JU338" s="30"/>
      <c r="JV338" s="30"/>
      <c r="JW338" s="30"/>
      <c r="JX338" s="30"/>
      <c r="JY338" s="30"/>
      <c r="JZ338" s="30"/>
      <c r="KA338" s="30"/>
      <c r="KB338" s="30"/>
      <c r="KC338" s="30"/>
      <c r="KD338" s="30"/>
      <c r="KE338" s="30"/>
    </row>
    <row r="339" spans="1:291" ht="35" customHeight="1">
      <c r="A339" s="74">
        <f>ROW()-2</f>
        <v>337</v>
      </c>
      <c r="B339" s="136" t="s">
        <v>5597</v>
      </c>
      <c r="C339" s="134" t="s">
        <v>4345</v>
      </c>
      <c r="D339" s="135" t="s">
        <v>5501</v>
      </c>
      <c r="E339" s="135" t="s">
        <v>5532</v>
      </c>
      <c r="F339" s="135" t="s">
        <v>5534</v>
      </c>
      <c r="G339" s="42" t="s">
        <v>3253</v>
      </c>
      <c r="H339" s="136">
        <v>64</v>
      </c>
      <c r="I339" s="137">
        <v>10.144166666666667</v>
      </c>
      <c r="J339" s="138">
        <v>44614</v>
      </c>
      <c r="K339" s="84" t="s">
        <v>20</v>
      </c>
      <c r="L339" s="133">
        <v>15.9</v>
      </c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  <c r="FS339" s="30"/>
      <c r="FT339" s="30"/>
      <c r="FU339" s="30"/>
      <c r="FV339" s="30"/>
      <c r="FW339" s="30"/>
      <c r="FX339" s="30"/>
      <c r="FY339" s="30"/>
      <c r="FZ339" s="30"/>
      <c r="GA339" s="30"/>
      <c r="GB339" s="30"/>
      <c r="GC339" s="30"/>
      <c r="GD339" s="30"/>
      <c r="GE339" s="30"/>
      <c r="GF339" s="30"/>
      <c r="GG339" s="30"/>
      <c r="GH339" s="30"/>
      <c r="GI339" s="30"/>
      <c r="GJ339" s="30"/>
      <c r="GK339" s="30"/>
      <c r="GL339" s="30"/>
      <c r="GM339" s="30"/>
      <c r="GN339" s="30"/>
      <c r="GO339" s="30"/>
      <c r="GP339" s="30"/>
      <c r="GQ339" s="30"/>
      <c r="GR339" s="30"/>
      <c r="GS339" s="30"/>
      <c r="GT339" s="30"/>
      <c r="GU339" s="30"/>
      <c r="GV339" s="30"/>
      <c r="GW339" s="30"/>
      <c r="GX339" s="30"/>
      <c r="GY339" s="30"/>
      <c r="GZ339" s="30"/>
      <c r="HA339" s="30"/>
      <c r="HB339" s="30"/>
      <c r="HC339" s="30"/>
      <c r="HD339" s="30"/>
      <c r="HE339" s="30"/>
      <c r="HF339" s="30"/>
      <c r="HG339" s="30"/>
      <c r="HH339" s="30"/>
      <c r="HI339" s="30"/>
      <c r="HJ339" s="30"/>
      <c r="HK339" s="30"/>
      <c r="HL339" s="30"/>
      <c r="HM339" s="30"/>
      <c r="HN339" s="30"/>
      <c r="HO339" s="30"/>
      <c r="HP339" s="30"/>
      <c r="HQ339" s="30"/>
      <c r="HR339" s="30"/>
      <c r="HS339" s="30"/>
      <c r="HT339" s="30"/>
      <c r="HU339" s="30"/>
      <c r="HV339" s="30"/>
      <c r="HW339" s="30"/>
      <c r="HX339" s="30"/>
      <c r="HY339" s="30"/>
      <c r="HZ339" s="30"/>
      <c r="IA339" s="30"/>
      <c r="IB339" s="30"/>
      <c r="IC339" s="30"/>
      <c r="ID339" s="30"/>
      <c r="IE339" s="30"/>
      <c r="IF339" s="30"/>
      <c r="IG339" s="30"/>
      <c r="IH339" s="30"/>
      <c r="II339" s="30"/>
      <c r="IJ339" s="30"/>
      <c r="IK339" s="30"/>
      <c r="IL339" s="30"/>
      <c r="IM339" s="30"/>
      <c r="IN339" s="30"/>
      <c r="IO339" s="30"/>
      <c r="IP339" s="30"/>
      <c r="IQ339" s="30"/>
      <c r="IR339" s="30"/>
      <c r="IS339" s="30"/>
      <c r="IT339" s="30"/>
      <c r="IU339" s="30"/>
      <c r="IV339" s="30"/>
      <c r="IW339" s="30"/>
      <c r="IX339" s="30"/>
      <c r="IY339" s="30"/>
      <c r="IZ339" s="30"/>
      <c r="JA339" s="30"/>
      <c r="JB339" s="30"/>
      <c r="JC339" s="30"/>
      <c r="JD339" s="30"/>
      <c r="JE339" s="30"/>
      <c r="JF339" s="30"/>
      <c r="JG339" s="30"/>
      <c r="JH339" s="30"/>
      <c r="JI339" s="30"/>
      <c r="JJ339" s="30"/>
      <c r="JK339" s="30"/>
      <c r="JL339" s="30"/>
      <c r="JM339" s="30"/>
      <c r="JN339" s="30"/>
      <c r="JO339" s="30"/>
      <c r="JP339" s="30"/>
      <c r="JQ339" s="30"/>
      <c r="JR339" s="30"/>
      <c r="JS339" s="30"/>
      <c r="JT339" s="30"/>
      <c r="JU339" s="30"/>
      <c r="JV339" s="30"/>
      <c r="JW339" s="30"/>
      <c r="JX339" s="30"/>
      <c r="JY339" s="30"/>
      <c r="JZ339" s="30"/>
      <c r="KA339" s="30"/>
      <c r="KB339" s="30"/>
      <c r="KC339" s="30"/>
      <c r="KD339" s="30"/>
      <c r="KE339" s="30"/>
    </row>
    <row r="340" spans="1:291" ht="35" customHeight="1">
      <c r="A340" s="74">
        <f>ROW()-2</f>
        <v>338</v>
      </c>
      <c r="B340" s="136" t="s">
        <v>5597</v>
      </c>
      <c r="C340" s="134" t="s">
        <v>4345</v>
      </c>
      <c r="D340" s="135" t="s">
        <v>5545</v>
      </c>
      <c r="E340" s="135" t="s">
        <v>5546</v>
      </c>
      <c r="F340" s="135" t="s">
        <v>5259</v>
      </c>
      <c r="G340" s="42" t="s">
        <v>3253</v>
      </c>
      <c r="H340" s="136">
        <v>18</v>
      </c>
      <c r="I340" s="137">
        <v>2.9286111111111111</v>
      </c>
      <c r="J340" s="138">
        <v>44614</v>
      </c>
      <c r="K340" s="84" t="s">
        <v>20</v>
      </c>
      <c r="L340" s="133">
        <v>5.99</v>
      </c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  <c r="FS340" s="30"/>
      <c r="FT340" s="30"/>
      <c r="FU340" s="30"/>
      <c r="FV340" s="30"/>
      <c r="FW340" s="30"/>
      <c r="FX340" s="30"/>
      <c r="FY340" s="30"/>
      <c r="FZ340" s="30"/>
      <c r="GA340" s="30"/>
      <c r="GB340" s="30"/>
      <c r="GC340" s="30"/>
      <c r="GD340" s="30"/>
      <c r="GE340" s="30"/>
      <c r="GF340" s="30"/>
      <c r="GG340" s="30"/>
      <c r="GH340" s="30"/>
      <c r="GI340" s="30"/>
      <c r="GJ340" s="30"/>
      <c r="GK340" s="30"/>
      <c r="GL340" s="30"/>
      <c r="GM340" s="30"/>
      <c r="GN340" s="30"/>
      <c r="GO340" s="30"/>
      <c r="GP340" s="30"/>
      <c r="GQ340" s="30"/>
      <c r="GR340" s="30"/>
      <c r="GS340" s="30"/>
      <c r="GT340" s="30"/>
      <c r="GU340" s="30"/>
      <c r="GV340" s="30"/>
      <c r="GW340" s="30"/>
      <c r="GX340" s="30"/>
      <c r="GY340" s="30"/>
      <c r="GZ340" s="30"/>
      <c r="HA340" s="30"/>
      <c r="HB340" s="30"/>
      <c r="HC340" s="30"/>
      <c r="HD340" s="30"/>
      <c r="HE340" s="30"/>
      <c r="HF340" s="30"/>
      <c r="HG340" s="30"/>
      <c r="HH340" s="30"/>
      <c r="HI340" s="30"/>
      <c r="HJ340" s="30"/>
      <c r="HK340" s="30"/>
      <c r="HL340" s="30"/>
      <c r="HM340" s="30"/>
      <c r="HN340" s="30"/>
      <c r="HO340" s="30"/>
      <c r="HP340" s="30"/>
      <c r="HQ340" s="30"/>
      <c r="HR340" s="30"/>
      <c r="HS340" s="30"/>
      <c r="HT340" s="30"/>
      <c r="HU340" s="30"/>
      <c r="HV340" s="30"/>
      <c r="HW340" s="30"/>
      <c r="HX340" s="30"/>
      <c r="HY340" s="30"/>
      <c r="HZ340" s="30"/>
      <c r="IA340" s="30"/>
      <c r="IB340" s="30"/>
      <c r="IC340" s="30"/>
      <c r="ID340" s="30"/>
      <c r="IE340" s="30"/>
      <c r="IF340" s="30"/>
      <c r="IG340" s="30"/>
      <c r="IH340" s="30"/>
      <c r="II340" s="30"/>
      <c r="IJ340" s="30"/>
      <c r="IK340" s="30"/>
      <c r="IL340" s="30"/>
      <c r="IM340" s="30"/>
      <c r="IN340" s="30"/>
      <c r="IO340" s="30"/>
      <c r="IP340" s="30"/>
      <c r="IQ340" s="30"/>
      <c r="IR340" s="30"/>
      <c r="IS340" s="30"/>
      <c r="IT340" s="30"/>
      <c r="IU340" s="30"/>
      <c r="IV340" s="30"/>
      <c r="IW340" s="30"/>
      <c r="IX340" s="30"/>
      <c r="IY340" s="30"/>
      <c r="IZ340" s="30"/>
      <c r="JA340" s="30"/>
      <c r="JB340" s="30"/>
      <c r="JC340" s="30"/>
      <c r="JD340" s="30"/>
      <c r="JE340" s="30"/>
      <c r="JF340" s="30"/>
      <c r="JG340" s="30"/>
      <c r="JH340" s="30"/>
      <c r="JI340" s="30"/>
      <c r="JJ340" s="30"/>
      <c r="JK340" s="30"/>
      <c r="JL340" s="30"/>
      <c r="JM340" s="30"/>
      <c r="JN340" s="30"/>
      <c r="JO340" s="30"/>
      <c r="JP340" s="30"/>
      <c r="JQ340" s="30"/>
      <c r="JR340" s="30"/>
      <c r="JS340" s="30"/>
      <c r="JT340" s="30"/>
      <c r="JU340" s="30"/>
      <c r="JV340" s="30"/>
      <c r="JW340" s="30"/>
      <c r="JX340" s="30"/>
      <c r="JY340" s="30"/>
      <c r="JZ340" s="30"/>
      <c r="KA340" s="30"/>
      <c r="KB340" s="30"/>
      <c r="KC340" s="30"/>
      <c r="KD340" s="30"/>
      <c r="KE340" s="30"/>
    </row>
    <row r="341" spans="1:291" ht="35" customHeight="1">
      <c r="A341" s="74">
        <f>ROW()-2</f>
        <v>339</v>
      </c>
      <c r="B341" s="136" t="s">
        <v>5597</v>
      </c>
      <c r="C341" s="134" t="s">
        <v>4345</v>
      </c>
      <c r="D341" s="135" t="s">
        <v>5547</v>
      </c>
      <c r="E341" s="135" t="s">
        <v>5548</v>
      </c>
      <c r="G341" s="42" t="s">
        <v>3253</v>
      </c>
      <c r="H341" s="136">
        <v>73</v>
      </c>
      <c r="I341" s="137">
        <v>9.580277777777777</v>
      </c>
      <c r="J341" s="138">
        <v>44614</v>
      </c>
      <c r="K341" s="84" t="s">
        <v>20</v>
      </c>
      <c r="L341" s="133">
        <v>20.99</v>
      </c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  <c r="FS341" s="30"/>
      <c r="FT341" s="30"/>
      <c r="FU341" s="30"/>
      <c r="FV341" s="30"/>
      <c r="FW341" s="30"/>
      <c r="FX341" s="30"/>
      <c r="FY341" s="30"/>
      <c r="FZ341" s="30"/>
      <c r="GA341" s="30"/>
      <c r="GB341" s="30"/>
      <c r="GC341" s="30"/>
      <c r="GD341" s="30"/>
      <c r="GE341" s="30"/>
      <c r="GF341" s="30"/>
      <c r="GG341" s="30"/>
      <c r="GH341" s="30"/>
      <c r="GI341" s="30"/>
      <c r="GJ341" s="30"/>
      <c r="GK341" s="30"/>
      <c r="GL341" s="30"/>
      <c r="GM341" s="30"/>
      <c r="GN341" s="30"/>
      <c r="GO341" s="30"/>
      <c r="GP341" s="30"/>
      <c r="GQ341" s="30"/>
      <c r="GR341" s="30"/>
      <c r="GS341" s="30"/>
      <c r="GT341" s="30"/>
      <c r="GU341" s="30"/>
      <c r="GV341" s="30"/>
      <c r="GW341" s="30"/>
      <c r="GX341" s="30"/>
      <c r="GY341" s="30"/>
      <c r="GZ341" s="30"/>
      <c r="HA341" s="30"/>
      <c r="HB341" s="30"/>
      <c r="HC341" s="30"/>
      <c r="HD341" s="30"/>
      <c r="HE341" s="30"/>
      <c r="HF341" s="30"/>
      <c r="HG341" s="30"/>
      <c r="HH341" s="30"/>
      <c r="HI341" s="30"/>
      <c r="HJ341" s="30"/>
      <c r="HK341" s="30"/>
      <c r="HL341" s="30"/>
      <c r="HM341" s="30"/>
      <c r="HN341" s="30"/>
      <c r="HO341" s="30"/>
      <c r="HP341" s="30"/>
      <c r="HQ341" s="30"/>
      <c r="HR341" s="30"/>
      <c r="HS341" s="30"/>
      <c r="HT341" s="30"/>
      <c r="HU341" s="30"/>
      <c r="HV341" s="30"/>
      <c r="HW341" s="30"/>
      <c r="HX341" s="30"/>
      <c r="HY341" s="30"/>
      <c r="HZ341" s="30"/>
      <c r="IA341" s="30"/>
      <c r="IB341" s="30"/>
      <c r="IC341" s="30"/>
      <c r="ID341" s="30"/>
      <c r="IE341" s="30"/>
      <c r="IF341" s="30"/>
      <c r="IG341" s="30"/>
      <c r="IH341" s="30"/>
      <c r="II341" s="30"/>
      <c r="IJ341" s="30"/>
      <c r="IK341" s="30"/>
      <c r="IL341" s="30"/>
      <c r="IM341" s="30"/>
      <c r="IN341" s="30"/>
      <c r="IO341" s="30"/>
      <c r="IP341" s="30"/>
      <c r="IQ341" s="30"/>
      <c r="IR341" s="30"/>
      <c r="IS341" s="30"/>
      <c r="IT341" s="30"/>
      <c r="IU341" s="30"/>
      <c r="IV341" s="30"/>
      <c r="IW341" s="30"/>
      <c r="IX341" s="30"/>
      <c r="IY341" s="30"/>
      <c r="IZ341" s="30"/>
      <c r="JA341" s="30"/>
      <c r="JB341" s="30"/>
      <c r="JC341" s="30"/>
      <c r="JD341" s="30"/>
      <c r="JE341" s="30"/>
      <c r="JF341" s="30"/>
      <c r="JG341" s="30"/>
      <c r="JH341" s="30"/>
      <c r="JI341" s="30"/>
      <c r="JJ341" s="30"/>
      <c r="JK341" s="30"/>
      <c r="JL341" s="30"/>
      <c r="JM341" s="30"/>
      <c r="JN341" s="30"/>
      <c r="JO341" s="30"/>
      <c r="JP341" s="30"/>
      <c r="JQ341" s="30"/>
      <c r="JR341" s="30"/>
      <c r="JS341" s="30"/>
      <c r="JT341" s="30"/>
      <c r="JU341" s="30"/>
      <c r="JV341" s="30"/>
      <c r="JW341" s="30"/>
      <c r="JX341" s="30"/>
      <c r="JY341" s="30"/>
      <c r="JZ341" s="30"/>
      <c r="KA341" s="30"/>
      <c r="KB341" s="30"/>
      <c r="KC341" s="30"/>
      <c r="KD341" s="30"/>
      <c r="KE341" s="30"/>
    </row>
    <row r="342" spans="1:291" ht="35" customHeight="1">
      <c r="A342" s="74">
        <f>ROW()-2</f>
        <v>340</v>
      </c>
      <c r="B342" s="136" t="s">
        <v>5597</v>
      </c>
      <c r="C342" s="134" t="s">
        <v>4345</v>
      </c>
      <c r="D342" s="135" t="s">
        <v>5505</v>
      </c>
      <c r="E342" s="135" t="s">
        <v>5551</v>
      </c>
      <c r="F342" s="135" t="s">
        <v>5523</v>
      </c>
      <c r="G342" s="42" t="s">
        <v>3253</v>
      </c>
      <c r="H342" s="136">
        <v>17</v>
      </c>
      <c r="I342" s="137">
        <v>6.2361111111111107</v>
      </c>
      <c r="J342" s="138">
        <v>44614</v>
      </c>
      <c r="K342" s="84" t="s">
        <v>20</v>
      </c>
      <c r="L342" s="133">
        <v>24.5</v>
      </c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  <c r="FS342" s="30"/>
      <c r="FT342" s="30"/>
      <c r="FU342" s="30"/>
      <c r="FV342" s="30"/>
      <c r="FW342" s="30"/>
      <c r="FX342" s="30"/>
      <c r="FY342" s="30"/>
      <c r="FZ342" s="30"/>
      <c r="GA342" s="30"/>
      <c r="GB342" s="30"/>
      <c r="GC342" s="30"/>
      <c r="GD342" s="30"/>
      <c r="GE342" s="30"/>
      <c r="GF342" s="30"/>
      <c r="GG342" s="30"/>
      <c r="GH342" s="30"/>
      <c r="GI342" s="30"/>
      <c r="GJ342" s="30"/>
      <c r="GK342" s="30"/>
      <c r="GL342" s="30"/>
      <c r="GM342" s="30"/>
      <c r="GN342" s="30"/>
      <c r="GO342" s="30"/>
      <c r="GP342" s="30"/>
      <c r="GQ342" s="30"/>
      <c r="GR342" s="30"/>
      <c r="GS342" s="30"/>
      <c r="GT342" s="30"/>
      <c r="GU342" s="30"/>
      <c r="GV342" s="30"/>
      <c r="GW342" s="30"/>
      <c r="GX342" s="30"/>
      <c r="GY342" s="30"/>
      <c r="GZ342" s="30"/>
      <c r="HA342" s="30"/>
      <c r="HB342" s="30"/>
      <c r="HC342" s="30"/>
      <c r="HD342" s="30"/>
      <c r="HE342" s="30"/>
      <c r="HF342" s="30"/>
      <c r="HG342" s="30"/>
      <c r="HH342" s="30"/>
      <c r="HI342" s="30"/>
      <c r="HJ342" s="30"/>
      <c r="HK342" s="30"/>
      <c r="HL342" s="30"/>
      <c r="HM342" s="30"/>
      <c r="HN342" s="30"/>
      <c r="HO342" s="30"/>
      <c r="HP342" s="30"/>
      <c r="HQ342" s="30"/>
      <c r="HR342" s="30"/>
      <c r="HS342" s="30"/>
      <c r="HT342" s="30"/>
      <c r="HU342" s="30"/>
      <c r="HV342" s="30"/>
      <c r="HW342" s="30"/>
      <c r="HX342" s="30"/>
      <c r="HY342" s="30"/>
      <c r="HZ342" s="30"/>
      <c r="IA342" s="30"/>
      <c r="IB342" s="30"/>
      <c r="IC342" s="30"/>
      <c r="ID342" s="30"/>
      <c r="IE342" s="30"/>
      <c r="IF342" s="30"/>
      <c r="IG342" s="30"/>
      <c r="IH342" s="30"/>
      <c r="II342" s="30"/>
      <c r="IJ342" s="30"/>
      <c r="IK342" s="30"/>
      <c r="IL342" s="30"/>
      <c r="IM342" s="30"/>
      <c r="IN342" s="30"/>
      <c r="IO342" s="30"/>
      <c r="IP342" s="30"/>
      <c r="IQ342" s="30"/>
      <c r="IR342" s="30"/>
      <c r="IS342" s="30"/>
      <c r="IT342" s="30"/>
      <c r="IU342" s="30"/>
      <c r="IV342" s="30"/>
      <c r="IW342" s="30"/>
      <c r="IX342" s="30"/>
      <c r="IY342" s="30"/>
      <c r="IZ342" s="30"/>
      <c r="JA342" s="30"/>
      <c r="JB342" s="30"/>
      <c r="JC342" s="30"/>
      <c r="JD342" s="30"/>
      <c r="JE342" s="30"/>
      <c r="JF342" s="30"/>
      <c r="JG342" s="30"/>
      <c r="JH342" s="30"/>
      <c r="JI342" s="30"/>
      <c r="JJ342" s="30"/>
      <c r="JK342" s="30"/>
      <c r="JL342" s="30"/>
      <c r="JM342" s="30"/>
      <c r="JN342" s="30"/>
      <c r="JO342" s="30"/>
      <c r="JP342" s="30"/>
      <c r="JQ342" s="30"/>
      <c r="JR342" s="30"/>
      <c r="JS342" s="30"/>
      <c r="JT342" s="30"/>
      <c r="JU342" s="30"/>
      <c r="JV342" s="30"/>
      <c r="JW342" s="30"/>
      <c r="JX342" s="30"/>
      <c r="JY342" s="30"/>
      <c r="JZ342" s="30"/>
      <c r="KA342" s="30"/>
      <c r="KB342" s="30"/>
      <c r="KC342" s="30"/>
      <c r="KD342" s="30"/>
      <c r="KE342" s="30"/>
    </row>
    <row r="343" spans="1:291" ht="35" customHeight="1">
      <c r="A343" s="74">
        <f>ROW()-2</f>
        <v>341</v>
      </c>
      <c r="B343" s="136" t="s">
        <v>5597</v>
      </c>
      <c r="C343" s="134" t="s">
        <v>4345</v>
      </c>
      <c r="D343" s="135" t="s">
        <v>5506</v>
      </c>
      <c r="E343" s="135" t="s">
        <v>5552</v>
      </c>
      <c r="F343" s="135" t="s">
        <v>5522</v>
      </c>
      <c r="G343" s="42" t="s">
        <v>3253</v>
      </c>
      <c r="H343" s="136">
        <v>81</v>
      </c>
      <c r="I343" s="137">
        <v>8.6438888888888883</v>
      </c>
      <c r="J343" s="138">
        <v>44614</v>
      </c>
      <c r="K343" s="84" t="s">
        <v>20</v>
      </c>
      <c r="L343" s="133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  <c r="FS343" s="30"/>
      <c r="FT343" s="30"/>
      <c r="FU343" s="30"/>
      <c r="FV343" s="30"/>
      <c r="FW343" s="30"/>
      <c r="FX343" s="30"/>
      <c r="FY343" s="30"/>
      <c r="FZ343" s="30"/>
      <c r="GA343" s="30"/>
      <c r="GB343" s="30"/>
      <c r="GC343" s="30"/>
      <c r="GD343" s="30"/>
      <c r="GE343" s="30"/>
      <c r="GF343" s="30"/>
      <c r="GG343" s="30"/>
      <c r="GH343" s="30"/>
      <c r="GI343" s="30"/>
      <c r="GJ343" s="30"/>
      <c r="GK343" s="30"/>
      <c r="GL343" s="30"/>
      <c r="GM343" s="30"/>
      <c r="GN343" s="30"/>
      <c r="GO343" s="30"/>
      <c r="GP343" s="30"/>
      <c r="GQ343" s="30"/>
      <c r="GR343" s="30"/>
      <c r="GS343" s="30"/>
      <c r="GT343" s="30"/>
      <c r="GU343" s="30"/>
      <c r="GV343" s="30"/>
      <c r="GW343" s="30"/>
      <c r="GX343" s="30"/>
      <c r="GY343" s="30"/>
      <c r="GZ343" s="30"/>
      <c r="HA343" s="30"/>
      <c r="HB343" s="30"/>
      <c r="HC343" s="30"/>
      <c r="HD343" s="30"/>
      <c r="HE343" s="30"/>
      <c r="HF343" s="30"/>
      <c r="HG343" s="30"/>
      <c r="HH343" s="30"/>
      <c r="HI343" s="30"/>
      <c r="HJ343" s="30"/>
      <c r="HK343" s="30"/>
      <c r="HL343" s="30"/>
      <c r="HM343" s="30"/>
      <c r="HN343" s="30"/>
      <c r="HO343" s="30"/>
      <c r="HP343" s="30"/>
      <c r="HQ343" s="30"/>
      <c r="HR343" s="30"/>
      <c r="HS343" s="30"/>
      <c r="HT343" s="30"/>
      <c r="HU343" s="30"/>
      <c r="HV343" s="30"/>
      <c r="HW343" s="30"/>
      <c r="HX343" s="30"/>
      <c r="HY343" s="30"/>
      <c r="HZ343" s="30"/>
      <c r="IA343" s="30"/>
      <c r="IB343" s="30"/>
      <c r="IC343" s="30"/>
      <c r="ID343" s="30"/>
      <c r="IE343" s="30"/>
      <c r="IF343" s="30"/>
      <c r="IG343" s="30"/>
      <c r="IH343" s="30"/>
      <c r="II343" s="30"/>
      <c r="IJ343" s="30"/>
      <c r="IK343" s="30"/>
      <c r="IL343" s="30"/>
      <c r="IM343" s="30"/>
      <c r="IN343" s="30"/>
      <c r="IO343" s="30"/>
      <c r="IP343" s="30"/>
      <c r="IQ343" s="30"/>
      <c r="IR343" s="30"/>
      <c r="IS343" s="30"/>
      <c r="IT343" s="30"/>
      <c r="IU343" s="30"/>
      <c r="IV343" s="30"/>
      <c r="IW343" s="30"/>
      <c r="IX343" s="30"/>
      <c r="IY343" s="30"/>
      <c r="IZ343" s="30"/>
      <c r="JA343" s="30"/>
      <c r="JB343" s="30"/>
      <c r="JC343" s="30"/>
      <c r="JD343" s="30"/>
      <c r="JE343" s="30"/>
      <c r="JF343" s="30"/>
      <c r="JG343" s="30"/>
      <c r="JH343" s="30"/>
      <c r="JI343" s="30"/>
      <c r="JJ343" s="30"/>
      <c r="JK343" s="30"/>
      <c r="JL343" s="30"/>
      <c r="JM343" s="30"/>
      <c r="JN343" s="30"/>
      <c r="JO343" s="30"/>
      <c r="JP343" s="30"/>
      <c r="JQ343" s="30"/>
      <c r="JR343" s="30"/>
      <c r="JS343" s="30"/>
      <c r="JT343" s="30"/>
      <c r="JU343" s="30"/>
      <c r="JV343" s="30"/>
      <c r="JW343" s="30"/>
      <c r="JX343" s="30"/>
      <c r="JY343" s="30"/>
      <c r="JZ343" s="30"/>
      <c r="KA343" s="30"/>
      <c r="KB343" s="30"/>
      <c r="KC343" s="30"/>
      <c r="KD343" s="30"/>
      <c r="KE343" s="30"/>
    </row>
    <row r="344" spans="1:291" ht="35" customHeight="1">
      <c r="A344" s="74">
        <f>ROW()-2</f>
        <v>342</v>
      </c>
      <c r="B344" s="136" t="s">
        <v>5597</v>
      </c>
      <c r="C344" s="134" t="s">
        <v>4345</v>
      </c>
      <c r="D344" s="135" t="s">
        <v>5560</v>
      </c>
      <c r="E344" s="135" t="s">
        <v>5561</v>
      </c>
      <c r="F344" s="135" t="s">
        <v>5523</v>
      </c>
      <c r="G344" s="42" t="s">
        <v>3253</v>
      </c>
      <c r="H344" s="136">
        <v>24</v>
      </c>
      <c r="I344" s="137">
        <v>7.1369444444444445</v>
      </c>
      <c r="J344" s="138">
        <v>44614</v>
      </c>
      <c r="K344" s="84" t="s">
        <v>20</v>
      </c>
      <c r="L344" s="133">
        <v>29</v>
      </c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  <c r="FS344" s="30"/>
      <c r="FT344" s="30"/>
      <c r="FU344" s="30"/>
      <c r="FV344" s="30"/>
      <c r="FW344" s="30"/>
      <c r="FX344" s="30"/>
      <c r="FY344" s="30"/>
      <c r="FZ344" s="30"/>
      <c r="GA344" s="30"/>
      <c r="GB344" s="30"/>
      <c r="GC344" s="30"/>
      <c r="GD344" s="30"/>
      <c r="GE344" s="30"/>
      <c r="GF344" s="30"/>
      <c r="GG344" s="30"/>
      <c r="GH344" s="30"/>
      <c r="GI344" s="30"/>
      <c r="GJ344" s="30"/>
      <c r="GK344" s="30"/>
      <c r="GL344" s="30"/>
      <c r="GM344" s="30"/>
      <c r="GN344" s="30"/>
      <c r="GO344" s="30"/>
      <c r="GP344" s="30"/>
      <c r="GQ344" s="30"/>
      <c r="GR344" s="30"/>
      <c r="GS344" s="30"/>
      <c r="GT344" s="30"/>
      <c r="GU344" s="30"/>
      <c r="GV344" s="30"/>
      <c r="GW344" s="30"/>
      <c r="GX344" s="30"/>
      <c r="GY344" s="30"/>
      <c r="GZ344" s="30"/>
      <c r="HA344" s="30"/>
      <c r="HB344" s="30"/>
      <c r="HC344" s="30"/>
      <c r="HD344" s="30"/>
      <c r="HE344" s="30"/>
      <c r="HF344" s="30"/>
      <c r="HG344" s="30"/>
      <c r="HH344" s="30"/>
      <c r="HI344" s="30"/>
      <c r="HJ344" s="30"/>
      <c r="HK344" s="30"/>
      <c r="HL344" s="30"/>
      <c r="HM344" s="30"/>
      <c r="HN344" s="30"/>
      <c r="HO344" s="30"/>
      <c r="HP344" s="30"/>
      <c r="HQ344" s="30"/>
      <c r="HR344" s="30"/>
      <c r="HS344" s="30"/>
      <c r="HT344" s="30"/>
      <c r="HU344" s="30"/>
      <c r="HV344" s="30"/>
      <c r="HW344" s="30"/>
      <c r="HX344" s="30"/>
      <c r="HY344" s="30"/>
      <c r="HZ344" s="30"/>
      <c r="IA344" s="30"/>
      <c r="IB344" s="30"/>
      <c r="IC344" s="30"/>
      <c r="ID344" s="30"/>
      <c r="IE344" s="30"/>
      <c r="IF344" s="30"/>
      <c r="IG344" s="30"/>
      <c r="IH344" s="30"/>
      <c r="II344" s="30"/>
      <c r="IJ344" s="30"/>
      <c r="IK344" s="30"/>
      <c r="IL344" s="30"/>
      <c r="IM344" s="30"/>
      <c r="IN344" s="30"/>
      <c r="IO344" s="30"/>
      <c r="IP344" s="30"/>
      <c r="IQ344" s="30"/>
      <c r="IR344" s="30"/>
      <c r="IS344" s="30"/>
      <c r="IT344" s="30"/>
      <c r="IU344" s="30"/>
      <c r="IV344" s="30"/>
      <c r="IW344" s="30"/>
      <c r="IX344" s="30"/>
      <c r="IY344" s="30"/>
      <c r="IZ344" s="30"/>
      <c r="JA344" s="30"/>
      <c r="JB344" s="30"/>
      <c r="JC344" s="30"/>
      <c r="JD344" s="30"/>
      <c r="JE344" s="30"/>
      <c r="JF344" s="30"/>
      <c r="JG344" s="30"/>
      <c r="JH344" s="30"/>
      <c r="JI344" s="30"/>
      <c r="JJ344" s="30"/>
      <c r="JK344" s="30"/>
      <c r="JL344" s="30"/>
      <c r="JM344" s="30"/>
      <c r="JN344" s="30"/>
      <c r="JO344" s="30"/>
      <c r="JP344" s="30"/>
      <c r="JQ344" s="30"/>
      <c r="JR344" s="30"/>
      <c r="JS344" s="30"/>
      <c r="JT344" s="30"/>
      <c r="JU344" s="30"/>
      <c r="JV344" s="30"/>
      <c r="JW344" s="30"/>
      <c r="JX344" s="30"/>
      <c r="JY344" s="30"/>
      <c r="JZ344" s="30"/>
      <c r="KA344" s="30"/>
      <c r="KB344" s="30"/>
      <c r="KC344" s="30"/>
      <c r="KD344" s="30"/>
      <c r="KE344" s="30"/>
    </row>
    <row r="345" spans="1:291" ht="35" customHeight="1">
      <c r="A345" s="74">
        <f>ROW()-2</f>
        <v>343</v>
      </c>
      <c r="B345" s="136" t="s">
        <v>5597</v>
      </c>
      <c r="C345" s="134" t="s">
        <v>4345</v>
      </c>
      <c r="D345" s="135" t="s">
        <v>5562</v>
      </c>
      <c r="E345" s="135" t="s">
        <v>5563</v>
      </c>
      <c r="F345" s="135" t="s">
        <v>5564</v>
      </c>
      <c r="G345" s="42" t="s">
        <v>3253</v>
      </c>
      <c r="H345" s="136">
        <v>34</v>
      </c>
      <c r="I345" s="137">
        <v>7.1541666666666668</v>
      </c>
      <c r="J345" s="138">
        <v>44614</v>
      </c>
      <c r="K345" s="84" t="s">
        <v>20</v>
      </c>
      <c r="L345" s="133">
        <v>18</v>
      </c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  <c r="FS345" s="30"/>
      <c r="FT345" s="30"/>
      <c r="FU345" s="30"/>
      <c r="FV345" s="30"/>
      <c r="FW345" s="30"/>
      <c r="FX345" s="30"/>
      <c r="FY345" s="30"/>
      <c r="FZ345" s="30"/>
      <c r="GA345" s="30"/>
      <c r="GB345" s="30"/>
      <c r="GC345" s="30"/>
      <c r="GD345" s="30"/>
      <c r="GE345" s="30"/>
      <c r="GF345" s="30"/>
      <c r="GG345" s="30"/>
      <c r="GH345" s="30"/>
      <c r="GI345" s="30"/>
      <c r="GJ345" s="30"/>
      <c r="GK345" s="30"/>
      <c r="GL345" s="30"/>
      <c r="GM345" s="30"/>
      <c r="GN345" s="30"/>
      <c r="GO345" s="30"/>
      <c r="GP345" s="30"/>
      <c r="GQ345" s="30"/>
      <c r="GR345" s="30"/>
      <c r="GS345" s="30"/>
      <c r="GT345" s="30"/>
      <c r="GU345" s="30"/>
      <c r="GV345" s="30"/>
      <c r="GW345" s="30"/>
      <c r="GX345" s="30"/>
      <c r="GY345" s="30"/>
      <c r="GZ345" s="30"/>
      <c r="HA345" s="30"/>
      <c r="HB345" s="30"/>
      <c r="HC345" s="30"/>
      <c r="HD345" s="30"/>
      <c r="HE345" s="30"/>
      <c r="HF345" s="30"/>
      <c r="HG345" s="30"/>
      <c r="HH345" s="30"/>
      <c r="HI345" s="30"/>
      <c r="HJ345" s="30"/>
      <c r="HK345" s="30"/>
      <c r="HL345" s="30"/>
      <c r="HM345" s="30"/>
      <c r="HN345" s="30"/>
      <c r="HO345" s="30"/>
      <c r="HP345" s="30"/>
      <c r="HQ345" s="30"/>
      <c r="HR345" s="30"/>
      <c r="HS345" s="30"/>
      <c r="HT345" s="30"/>
      <c r="HU345" s="30"/>
      <c r="HV345" s="30"/>
      <c r="HW345" s="30"/>
      <c r="HX345" s="30"/>
      <c r="HY345" s="30"/>
      <c r="HZ345" s="30"/>
      <c r="IA345" s="30"/>
      <c r="IB345" s="30"/>
      <c r="IC345" s="30"/>
      <c r="ID345" s="30"/>
      <c r="IE345" s="30"/>
      <c r="IF345" s="30"/>
      <c r="IG345" s="30"/>
      <c r="IH345" s="30"/>
      <c r="II345" s="30"/>
      <c r="IJ345" s="30"/>
      <c r="IK345" s="30"/>
      <c r="IL345" s="30"/>
      <c r="IM345" s="30"/>
      <c r="IN345" s="30"/>
      <c r="IO345" s="30"/>
      <c r="IP345" s="30"/>
      <c r="IQ345" s="30"/>
      <c r="IR345" s="30"/>
      <c r="IS345" s="30"/>
      <c r="IT345" s="30"/>
      <c r="IU345" s="30"/>
      <c r="IV345" s="30"/>
      <c r="IW345" s="30"/>
      <c r="IX345" s="30"/>
      <c r="IY345" s="30"/>
      <c r="IZ345" s="30"/>
      <c r="JA345" s="30"/>
      <c r="JB345" s="30"/>
      <c r="JC345" s="30"/>
      <c r="JD345" s="30"/>
      <c r="JE345" s="30"/>
      <c r="JF345" s="30"/>
      <c r="JG345" s="30"/>
      <c r="JH345" s="30"/>
      <c r="JI345" s="30"/>
      <c r="JJ345" s="30"/>
      <c r="JK345" s="30"/>
      <c r="JL345" s="30"/>
      <c r="JM345" s="30"/>
      <c r="JN345" s="30"/>
      <c r="JO345" s="30"/>
      <c r="JP345" s="30"/>
      <c r="JQ345" s="30"/>
      <c r="JR345" s="30"/>
      <c r="JS345" s="30"/>
      <c r="JT345" s="30"/>
      <c r="JU345" s="30"/>
      <c r="JV345" s="30"/>
      <c r="JW345" s="30"/>
      <c r="JX345" s="30"/>
      <c r="JY345" s="30"/>
      <c r="JZ345" s="30"/>
      <c r="KA345" s="30"/>
      <c r="KB345" s="30"/>
      <c r="KC345" s="30"/>
      <c r="KD345" s="30"/>
      <c r="KE345" s="30"/>
    </row>
    <row r="346" spans="1:291" ht="35" customHeight="1">
      <c r="A346" s="74">
        <f>ROW()-2</f>
        <v>344</v>
      </c>
      <c r="B346" s="136" t="s">
        <v>5597</v>
      </c>
      <c r="C346" s="134" t="s">
        <v>4345</v>
      </c>
      <c r="D346" s="135" t="s">
        <v>5511</v>
      </c>
      <c r="E346" s="135" t="s">
        <v>5571</v>
      </c>
      <c r="F346" s="135" t="s">
        <v>5523</v>
      </c>
      <c r="G346" s="42" t="s">
        <v>3253</v>
      </c>
      <c r="H346" s="136">
        <v>14</v>
      </c>
      <c r="I346" s="137">
        <v>4.5105555555555554</v>
      </c>
      <c r="J346" s="138">
        <v>44614</v>
      </c>
      <c r="K346" s="84" t="s">
        <v>20</v>
      </c>
      <c r="L346" s="133">
        <v>13</v>
      </c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  <c r="FS346" s="30"/>
      <c r="FT346" s="30"/>
      <c r="FU346" s="30"/>
      <c r="FV346" s="30"/>
      <c r="FW346" s="30"/>
      <c r="FX346" s="30"/>
      <c r="FY346" s="30"/>
      <c r="FZ346" s="30"/>
      <c r="GA346" s="30"/>
      <c r="GB346" s="30"/>
      <c r="GC346" s="30"/>
      <c r="GD346" s="30"/>
      <c r="GE346" s="30"/>
      <c r="GF346" s="30"/>
      <c r="GG346" s="30"/>
      <c r="GH346" s="30"/>
      <c r="GI346" s="30"/>
      <c r="GJ346" s="30"/>
      <c r="GK346" s="30"/>
      <c r="GL346" s="30"/>
      <c r="GM346" s="30"/>
      <c r="GN346" s="30"/>
      <c r="GO346" s="30"/>
      <c r="GP346" s="30"/>
      <c r="GQ346" s="30"/>
      <c r="GR346" s="30"/>
      <c r="GS346" s="30"/>
      <c r="GT346" s="30"/>
      <c r="GU346" s="30"/>
      <c r="GV346" s="30"/>
      <c r="GW346" s="30"/>
      <c r="GX346" s="30"/>
      <c r="GY346" s="30"/>
      <c r="GZ346" s="30"/>
      <c r="HA346" s="30"/>
      <c r="HB346" s="30"/>
      <c r="HC346" s="30"/>
      <c r="HD346" s="30"/>
      <c r="HE346" s="30"/>
      <c r="HF346" s="30"/>
      <c r="HG346" s="30"/>
      <c r="HH346" s="30"/>
      <c r="HI346" s="30"/>
      <c r="HJ346" s="30"/>
      <c r="HK346" s="30"/>
      <c r="HL346" s="30"/>
      <c r="HM346" s="30"/>
      <c r="HN346" s="30"/>
      <c r="HO346" s="30"/>
      <c r="HP346" s="30"/>
      <c r="HQ346" s="30"/>
      <c r="HR346" s="30"/>
      <c r="HS346" s="30"/>
      <c r="HT346" s="30"/>
      <c r="HU346" s="30"/>
      <c r="HV346" s="30"/>
      <c r="HW346" s="30"/>
      <c r="HX346" s="30"/>
      <c r="HY346" s="30"/>
      <c r="HZ346" s="30"/>
      <c r="IA346" s="30"/>
      <c r="IB346" s="30"/>
      <c r="IC346" s="30"/>
      <c r="ID346" s="30"/>
      <c r="IE346" s="30"/>
      <c r="IF346" s="30"/>
      <c r="IG346" s="30"/>
      <c r="IH346" s="30"/>
      <c r="II346" s="30"/>
      <c r="IJ346" s="30"/>
      <c r="IK346" s="30"/>
      <c r="IL346" s="30"/>
      <c r="IM346" s="30"/>
      <c r="IN346" s="30"/>
      <c r="IO346" s="30"/>
      <c r="IP346" s="30"/>
      <c r="IQ346" s="30"/>
      <c r="IR346" s="30"/>
      <c r="IS346" s="30"/>
      <c r="IT346" s="30"/>
      <c r="IU346" s="30"/>
      <c r="IV346" s="30"/>
      <c r="IW346" s="30"/>
      <c r="IX346" s="30"/>
      <c r="IY346" s="30"/>
      <c r="IZ346" s="30"/>
      <c r="JA346" s="30"/>
      <c r="JB346" s="30"/>
      <c r="JC346" s="30"/>
      <c r="JD346" s="30"/>
      <c r="JE346" s="30"/>
      <c r="JF346" s="30"/>
      <c r="JG346" s="30"/>
      <c r="JH346" s="30"/>
      <c r="JI346" s="30"/>
      <c r="JJ346" s="30"/>
      <c r="JK346" s="30"/>
      <c r="JL346" s="30"/>
      <c r="JM346" s="30"/>
      <c r="JN346" s="30"/>
      <c r="JO346" s="30"/>
      <c r="JP346" s="30"/>
      <c r="JQ346" s="30"/>
      <c r="JR346" s="30"/>
      <c r="JS346" s="30"/>
      <c r="JT346" s="30"/>
      <c r="JU346" s="30"/>
      <c r="JV346" s="30"/>
      <c r="JW346" s="30"/>
      <c r="JX346" s="30"/>
      <c r="JY346" s="30"/>
      <c r="JZ346" s="30"/>
      <c r="KA346" s="30"/>
      <c r="KB346" s="30"/>
      <c r="KC346" s="30"/>
      <c r="KD346" s="30"/>
      <c r="KE346" s="30"/>
    </row>
    <row r="347" spans="1:291" ht="35" customHeight="1">
      <c r="A347" s="74">
        <f>ROW()-2</f>
        <v>345</v>
      </c>
      <c r="B347" s="136" t="s">
        <v>5597</v>
      </c>
      <c r="C347" s="134" t="s">
        <v>4345</v>
      </c>
      <c r="D347" s="135" t="s">
        <v>5572</v>
      </c>
      <c r="E347" s="135" t="s">
        <v>5573</v>
      </c>
      <c r="F347" s="135" t="s">
        <v>5574</v>
      </c>
      <c r="G347" s="42" t="s">
        <v>3253</v>
      </c>
      <c r="H347" s="136">
        <v>23</v>
      </c>
      <c r="I347" s="137">
        <v>7.6077777777777778</v>
      </c>
      <c r="J347" s="138">
        <v>44614</v>
      </c>
      <c r="K347" s="137" t="s">
        <v>5575</v>
      </c>
      <c r="L347" s="133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  <c r="FS347" s="30"/>
      <c r="FT347" s="30"/>
      <c r="FU347" s="30"/>
      <c r="FV347" s="30"/>
      <c r="FW347" s="30"/>
      <c r="FX347" s="30"/>
      <c r="FY347" s="30"/>
      <c r="FZ347" s="30"/>
      <c r="GA347" s="30"/>
      <c r="GB347" s="30"/>
      <c r="GC347" s="30"/>
      <c r="GD347" s="30"/>
      <c r="GE347" s="30"/>
      <c r="GF347" s="30"/>
      <c r="GG347" s="30"/>
      <c r="GH347" s="30"/>
      <c r="GI347" s="30"/>
      <c r="GJ347" s="30"/>
      <c r="GK347" s="30"/>
      <c r="GL347" s="30"/>
      <c r="GM347" s="30"/>
      <c r="GN347" s="30"/>
      <c r="GO347" s="30"/>
      <c r="GP347" s="30"/>
      <c r="GQ347" s="30"/>
      <c r="GR347" s="30"/>
      <c r="GS347" s="30"/>
      <c r="GT347" s="30"/>
      <c r="GU347" s="30"/>
      <c r="GV347" s="30"/>
      <c r="GW347" s="30"/>
      <c r="GX347" s="30"/>
      <c r="GY347" s="30"/>
      <c r="GZ347" s="30"/>
      <c r="HA347" s="30"/>
      <c r="HB347" s="30"/>
      <c r="HC347" s="30"/>
      <c r="HD347" s="30"/>
      <c r="HE347" s="30"/>
      <c r="HF347" s="30"/>
      <c r="HG347" s="30"/>
      <c r="HH347" s="30"/>
      <c r="HI347" s="30"/>
      <c r="HJ347" s="30"/>
      <c r="HK347" s="30"/>
      <c r="HL347" s="30"/>
      <c r="HM347" s="30"/>
      <c r="HN347" s="30"/>
      <c r="HO347" s="30"/>
      <c r="HP347" s="30"/>
      <c r="HQ347" s="30"/>
      <c r="HR347" s="30"/>
      <c r="HS347" s="30"/>
      <c r="HT347" s="30"/>
      <c r="HU347" s="30"/>
      <c r="HV347" s="30"/>
      <c r="HW347" s="30"/>
      <c r="HX347" s="30"/>
      <c r="HY347" s="30"/>
      <c r="HZ347" s="30"/>
      <c r="IA347" s="30"/>
      <c r="IB347" s="30"/>
      <c r="IC347" s="30"/>
      <c r="ID347" s="30"/>
      <c r="IE347" s="30"/>
      <c r="IF347" s="30"/>
      <c r="IG347" s="30"/>
      <c r="IH347" s="30"/>
      <c r="II347" s="30"/>
      <c r="IJ347" s="30"/>
      <c r="IK347" s="30"/>
      <c r="IL347" s="30"/>
      <c r="IM347" s="30"/>
      <c r="IN347" s="30"/>
      <c r="IO347" s="30"/>
      <c r="IP347" s="30"/>
      <c r="IQ347" s="30"/>
      <c r="IR347" s="30"/>
      <c r="IS347" s="30"/>
      <c r="IT347" s="30"/>
      <c r="IU347" s="30"/>
      <c r="IV347" s="30"/>
      <c r="IW347" s="30"/>
      <c r="IX347" s="30"/>
      <c r="IY347" s="30"/>
      <c r="IZ347" s="30"/>
      <c r="JA347" s="30"/>
      <c r="JB347" s="30"/>
      <c r="JC347" s="30"/>
      <c r="JD347" s="30"/>
      <c r="JE347" s="30"/>
      <c r="JF347" s="30"/>
      <c r="JG347" s="30"/>
      <c r="JH347" s="30"/>
      <c r="JI347" s="30"/>
      <c r="JJ347" s="30"/>
      <c r="JK347" s="30"/>
      <c r="JL347" s="30"/>
      <c r="JM347" s="30"/>
      <c r="JN347" s="30"/>
      <c r="JO347" s="30"/>
      <c r="JP347" s="30"/>
      <c r="JQ347" s="30"/>
      <c r="JR347" s="30"/>
      <c r="JS347" s="30"/>
      <c r="JT347" s="30"/>
      <c r="JU347" s="30"/>
      <c r="JV347" s="30"/>
      <c r="JW347" s="30"/>
      <c r="JX347" s="30"/>
      <c r="JY347" s="30"/>
      <c r="JZ347" s="30"/>
      <c r="KA347" s="30"/>
      <c r="KB347" s="30"/>
      <c r="KC347" s="30"/>
      <c r="KD347" s="30"/>
      <c r="KE347" s="30"/>
    </row>
    <row r="348" spans="1:291" ht="35" customHeight="1">
      <c r="A348" s="74">
        <f>ROW()-2</f>
        <v>346</v>
      </c>
      <c r="B348" s="136" t="s">
        <v>5597</v>
      </c>
      <c r="C348" s="134" t="s">
        <v>4345</v>
      </c>
      <c r="D348" s="135" t="s">
        <v>5513</v>
      </c>
      <c r="E348" s="135" t="s">
        <v>5577</v>
      </c>
      <c r="F348" s="135" t="s">
        <v>5523</v>
      </c>
      <c r="G348" s="42" t="s">
        <v>3253</v>
      </c>
      <c r="H348" s="136">
        <v>20</v>
      </c>
      <c r="I348" s="137">
        <v>7.9725000000000001</v>
      </c>
      <c r="J348" s="138">
        <v>44614</v>
      </c>
      <c r="K348" s="137" t="s">
        <v>5575</v>
      </c>
      <c r="L348" s="133">
        <v>34</v>
      </c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  <c r="FS348" s="30"/>
      <c r="FT348" s="30"/>
      <c r="FU348" s="30"/>
      <c r="FV348" s="30"/>
      <c r="FW348" s="30"/>
      <c r="FX348" s="30"/>
      <c r="FY348" s="30"/>
      <c r="FZ348" s="30"/>
      <c r="GA348" s="30"/>
      <c r="GB348" s="30"/>
      <c r="GC348" s="30"/>
      <c r="GD348" s="30"/>
      <c r="GE348" s="30"/>
      <c r="GF348" s="30"/>
      <c r="GG348" s="30"/>
      <c r="GH348" s="30"/>
      <c r="GI348" s="30"/>
      <c r="GJ348" s="30"/>
      <c r="GK348" s="30"/>
      <c r="GL348" s="30"/>
      <c r="GM348" s="30"/>
      <c r="GN348" s="30"/>
      <c r="GO348" s="30"/>
      <c r="GP348" s="30"/>
      <c r="GQ348" s="30"/>
      <c r="GR348" s="30"/>
      <c r="GS348" s="30"/>
      <c r="GT348" s="30"/>
      <c r="GU348" s="30"/>
      <c r="GV348" s="30"/>
      <c r="GW348" s="30"/>
      <c r="GX348" s="30"/>
      <c r="GY348" s="30"/>
      <c r="GZ348" s="30"/>
      <c r="HA348" s="30"/>
      <c r="HB348" s="30"/>
      <c r="HC348" s="30"/>
      <c r="HD348" s="30"/>
      <c r="HE348" s="30"/>
      <c r="HF348" s="30"/>
      <c r="HG348" s="30"/>
      <c r="HH348" s="30"/>
      <c r="HI348" s="30"/>
      <c r="HJ348" s="30"/>
      <c r="HK348" s="30"/>
      <c r="HL348" s="30"/>
      <c r="HM348" s="30"/>
      <c r="HN348" s="30"/>
      <c r="HO348" s="30"/>
      <c r="HP348" s="30"/>
      <c r="HQ348" s="30"/>
      <c r="HR348" s="30"/>
      <c r="HS348" s="30"/>
      <c r="HT348" s="30"/>
      <c r="HU348" s="30"/>
      <c r="HV348" s="30"/>
      <c r="HW348" s="30"/>
      <c r="HX348" s="30"/>
      <c r="HY348" s="30"/>
      <c r="HZ348" s="30"/>
      <c r="IA348" s="30"/>
      <c r="IB348" s="30"/>
      <c r="IC348" s="30"/>
      <c r="ID348" s="30"/>
      <c r="IE348" s="30"/>
      <c r="IF348" s="30"/>
      <c r="IG348" s="30"/>
      <c r="IH348" s="30"/>
      <c r="II348" s="30"/>
      <c r="IJ348" s="30"/>
      <c r="IK348" s="30"/>
      <c r="IL348" s="30"/>
      <c r="IM348" s="30"/>
      <c r="IN348" s="30"/>
      <c r="IO348" s="30"/>
      <c r="IP348" s="30"/>
      <c r="IQ348" s="30"/>
      <c r="IR348" s="30"/>
      <c r="IS348" s="30"/>
      <c r="IT348" s="30"/>
      <c r="IU348" s="30"/>
      <c r="IV348" s="30"/>
      <c r="IW348" s="30"/>
      <c r="IX348" s="30"/>
      <c r="IY348" s="30"/>
      <c r="IZ348" s="30"/>
      <c r="JA348" s="30"/>
      <c r="JB348" s="30"/>
      <c r="JC348" s="30"/>
      <c r="JD348" s="30"/>
      <c r="JE348" s="30"/>
      <c r="JF348" s="30"/>
      <c r="JG348" s="30"/>
      <c r="JH348" s="30"/>
      <c r="JI348" s="30"/>
      <c r="JJ348" s="30"/>
      <c r="JK348" s="30"/>
      <c r="JL348" s="30"/>
      <c r="JM348" s="30"/>
      <c r="JN348" s="30"/>
      <c r="JO348" s="30"/>
      <c r="JP348" s="30"/>
      <c r="JQ348" s="30"/>
      <c r="JR348" s="30"/>
      <c r="JS348" s="30"/>
      <c r="JT348" s="30"/>
      <c r="JU348" s="30"/>
      <c r="JV348" s="30"/>
      <c r="JW348" s="30"/>
      <c r="JX348" s="30"/>
      <c r="JY348" s="30"/>
      <c r="JZ348" s="30"/>
      <c r="KA348" s="30"/>
      <c r="KB348" s="30"/>
      <c r="KC348" s="30"/>
      <c r="KD348" s="30"/>
      <c r="KE348" s="30"/>
    </row>
    <row r="349" spans="1:291" ht="35" customHeight="1">
      <c r="A349" s="74">
        <f>ROW()-2</f>
        <v>347</v>
      </c>
      <c r="B349" s="136" t="s">
        <v>5597</v>
      </c>
      <c r="C349" s="134" t="s">
        <v>4345</v>
      </c>
      <c r="D349" s="135" t="s">
        <v>5582</v>
      </c>
      <c r="E349" s="135" t="s">
        <v>5583</v>
      </c>
      <c r="F349" s="135" t="s">
        <v>5584</v>
      </c>
      <c r="G349" s="42" t="s">
        <v>3253</v>
      </c>
      <c r="H349" s="136">
        <v>90</v>
      </c>
      <c r="I349" s="137">
        <v>10.989166666666666</v>
      </c>
      <c r="J349" s="138">
        <v>44614</v>
      </c>
      <c r="K349" s="137" t="s">
        <v>5575</v>
      </c>
      <c r="L349" s="133">
        <v>21.99</v>
      </c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  <c r="FS349" s="30"/>
      <c r="FT349" s="30"/>
      <c r="FU349" s="30"/>
      <c r="FV349" s="30"/>
      <c r="FW349" s="30"/>
      <c r="FX349" s="30"/>
      <c r="FY349" s="30"/>
      <c r="FZ349" s="30"/>
      <c r="GA349" s="30"/>
      <c r="GB349" s="30"/>
      <c r="GC349" s="30"/>
      <c r="GD349" s="30"/>
      <c r="GE349" s="30"/>
      <c r="GF349" s="30"/>
      <c r="GG349" s="30"/>
      <c r="GH349" s="30"/>
      <c r="GI349" s="30"/>
      <c r="GJ349" s="30"/>
      <c r="GK349" s="30"/>
      <c r="GL349" s="30"/>
      <c r="GM349" s="30"/>
      <c r="GN349" s="30"/>
      <c r="GO349" s="30"/>
      <c r="GP349" s="30"/>
      <c r="GQ349" s="30"/>
      <c r="GR349" s="30"/>
      <c r="GS349" s="30"/>
      <c r="GT349" s="30"/>
      <c r="GU349" s="30"/>
      <c r="GV349" s="30"/>
      <c r="GW349" s="30"/>
      <c r="GX349" s="30"/>
      <c r="GY349" s="30"/>
      <c r="GZ349" s="30"/>
      <c r="HA349" s="30"/>
      <c r="HB349" s="30"/>
      <c r="HC349" s="30"/>
      <c r="HD349" s="30"/>
      <c r="HE349" s="30"/>
      <c r="HF349" s="30"/>
      <c r="HG349" s="30"/>
      <c r="HH349" s="30"/>
      <c r="HI349" s="30"/>
      <c r="HJ349" s="30"/>
      <c r="HK349" s="30"/>
      <c r="HL349" s="30"/>
      <c r="HM349" s="30"/>
      <c r="HN349" s="30"/>
      <c r="HO349" s="30"/>
      <c r="HP349" s="30"/>
      <c r="HQ349" s="30"/>
      <c r="HR349" s="30"/>
      <c r="HS349" s="30"/>
      <c r="HT349" s="30"/>
      <c r="HU349" s="30"/>
      <c r="HV349" s="30"/>
      <c r="HW349" s="30"/>
      <c r="HX349" s="30"/>
      <c r="HY349" s="30"/>
      <c r="HZ349" s="30"/>
      <c r="IA349" s="30"/>
      <c r="IB349" s="30"/>
      <c r="IC349" s="30"/>
      <c r="ID349" s="30"/>
      <c r="IE349" s="30"/>
      <c r="IF349" s="30"/>
      <c r="IG349" s="30"/>
      <c r="IH349" s="30"/>
      <c r="II349" s="30"/>
      <c r="IJ349" s="30"/>
      <c r="IK349" s="30"/>
      <c r="IL349" s="30"/>
      <c r="IM349" s="30"/>
      <c r="IN349" s="30"/>
      <c r="IO349" s="30"/>
      <c r="IP349" s="30"/>
      <c r="IQ349" s="30"/>
      <c r="IR349" s="30"/>
      <c r="IS349" s="30"/>
      <c r="IT349" s="30"/>
      <c r="IU349" s="30"/>
      <c r="IV349" s="30"/>
      <c r="IW349" s="30"/>
      <c r="IX349" s="30"/>
      <c r="IY349" s="30"/>
      <c r="IZ349" s="30"/>
      <c r="JA349" s="30"/>
      <c r="JB349" s="30"/>
      <c r="JC349" s="30"/>
      <c r="JD349" s="30"/>
      <c r="JE349" s="30"/>
      <c r="JF349" s="30"/>
      <c r="JG349" s="30"/>
      <c r="JH349" s="30"/>
      <c r="JI349" s="30"/>
      <c r="JJ349" s="30"/>
      <c r="JK349" s="30"/>
      <c r="JL349" s="30"/>
      <c r="JM349" s="30"/>
      <c r="JN349" s="30"/>
      <c r="JO349" s="30"/>
      <c r="JP349" s="30"/>
      <c r="JQ349" s="30"/>
      <c r="JR349" s="30"/>
      <c r="JS349" s="30"/>
      <c r="JT349" s="30"/>
      <c r="JU349" s="30"/>
      <c r="JV349" s="30"/>
      <c r="JW349" s="30"/>
      <c r="JX349" s="30"/>
      <c r="JY349" s="30"/>
      <c r="JZ349" s="30"/>
      <c r="KA349" s="30"/>
      <c r="KB349" s="30"/>
      <c r="KC349" s="30"/>
      <c r="KD349" s="30"/>
      <c r="KE349" s="30"/>
    </row>
    <row r="350" spans="1:291" ht="35" customHeight="1">
      <c r="A350" s="74">
        <f>ROW()-2</f>
        <v>348</v>
      </c>
      <c r="B350" s="136" t="s">
        <v>5597</v>
      </c>
      <c r="C350" s="134" t="s">
        <v>4345</v>
      </c>
      <c r="D350" s="135" t="s">
        <v>5518</v>
      </c>
      <c r="E350" s="135" t="s">
        <v>5589</v>
      </c>
      <c r="F350" s="135" t="s">
        <v>5523</v>
      </c>
      <c r="G350" s="42" t="s">
        <v>3253</v>
      </c>
      <c r="H350" s="136">
        <v>56</v>
      </c>
      <c r="I350" s="137">
        <v>8.0822222222222226</v>
      </c>
      <c r="J350" s="138">
        <v>44614</v>
      </c>
      <c r="K350" s="137" t="s">
        <v>5575</v>
      </c>
      <c r="L350" s="133">
        <v>34.5</v>
      </c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  <c r="FS350" s="30"/>
      <c r="FT350" s="30"/>
      <c r="FU350" s="30"/>
      <c r="FV350" s="30"/>
      <c r="FW350" s="30"/>
      <c r="FX350" s="30"/>
      <c r="FY350" s="30"/>
      <c r="FZ350" s="30"/>
      <c r="GA350" s="30"/>
      <c r="GB350" s="30"/>
      <c r="GC350" s="30"/>
      <c r="GD350" s="30"/>
      <c r="GE350" s="30"/>
      <c r="GF350" s="30"/>
      <c r="GG350" s="30"/>
      <c r="GH350" s="30"/>
      <c r="GI350" s="30"/>
      <c r="GJ350" s="30"/>
      <c r="GK350" s="30"/>
      <c r="GL350" s="30"/>
      <c r="GM350" s="30"/>
      <c r="GN350" s="30"/>
      <c r="GO350" s="30"/>
      <c r="GP350" s="30"/>
      <c r="GQ350" s="30"/>
      <c r="GR350" s="30"/>
      <c r="GS350" s="30"/>
      <c r="GT350" s="30"/>
      <c r="GU350" s="30"/>
      <c r="GV350" s="30"/>
      <c r="GW350" s="30"/>
      <c r="GX350" s="30"/>
      <c r="GY350" s="30"/>
      <c r="GZ350" s="30"/>
      <c r="HA350" s="30"/>
      <c r="HB350" s="30"/>
      <c r="HC350" s="30"/>
      <c r="HD350" s="30"/>
      <c r="HE350" s="30"/>
      <c r="HF350" s="30"/>
      <c r="HG350" s="30"/>
      <c r="HH350" s="30"/>
      <c r="HI350" s="30"/>
      <c r="HJ350" s="30"/>
      <c r="HK350" s="30"/>
      <c r="HL350" s="30"/>
      <c r="HM350" s="30"/>
      <c r="HN350" s="30"/>
      <c r="HO350" s="30"/>
      <c r="HP350" s="30"/>
      <c r="HQ350" s="30"/>
      <c r="HR350" s="30"/>
      <c r="HS350" s="30"/>
      <c r="HT350" s="30"/>
      <c r="HU350" s="30"/>
      <c r="HV350" s="30"/>
      <c r="HW350" s="30"/>
      <c r="HX350" s="30"/>
      <c r="HY350" s="30"/>
      <c r="HZ350" s="30"/>
      <c r="IA350" s="30"/>
      <c r="IB350" s="30"/>
      <c r="IC350" s="30"/>
      <c r="ID350" s="30"/>
      <c r="IE350" s="30"/>
      <c r="IF350" s="30"/>
      <c r="IG350" s="30"/>
      <c r="IH350" s="30"/>
      <c r="II350" s="30"/>
      <c r="IJ350" s="30"/>
      <c r="IK350" s="30"/>
      <c r="IL350" s="30"/>
      <c r="IM350" s="30"/>
      <c r="IN350" s="30"/>
      <c r="IO350" s="30"/>
      <c r="IP350" s="30"/>
      <c r="IQ350" s="30"/>
      <c r="IR350" s="30"/>
      <c r="IS350" s="30"/>
      <c r="IT350" s="30"/>
      <c r="IU350" s="30"/>
      <c r="IV350" s="30"/>
      <c r="IW350" s="30"/>
      <c r="IX350" s="30"/>
      <c r="IY350" s="30"/>
      <c r="IZ350" s="30"/>
      <c r="JA350" s="30"/>
      <c r="JB350" s="30"/>
      <c r="JC350" s="30"/>
      <c r="JD350" s="30"/>
      <c r="JE350" s="30"/>
      <c r="JF350" s="30"/>
      <c r="JG350" s="30"/>
      <c r="JH350" s="30"/>
      <c r="JI350" s="30"/>
      <c r="JJ350" s="30"/>
      <c r="JK350" s="30"/>
      <c r="JL350" s="30"/>
      <c r="JM350" s="30"/>
      <c r="JN350" s="30"/>
      <c r="JO350" s="30"/>
      <c r="JP350" s="30"/>
      <c r="JQ350" s="30"/>
      <c r="JR350" s="30"/>
      <c r="JS350" s="30"/>
      <c r="JT350" s="30"/>
      <c r="JU350" s="30"/>
      <c r="JV350" s="30"/>
      <c r="JW350" s="30"/>
      <c r="JX350" s="30"/>
      <c r="JY350" s="30"/>
      <c r="JZ350" s="30"/>
      <c r="KA350" s="30"/>
      <c r="KB350" s="30"/>
      <c r="KC350" s="30"/>
      <c r="KD350" s="30"/>
      <c r="KE350" s="30"/>
    </row>
    <row r="351" spans="1:291" ht="35" customHeight="1">
      <c r="A351" s="74">
        <f>ROW()-2</f>
        <v>349</v>
      </c>
      <c r="B351" s="136" t="s">
        <v>5597</v>
      </c>
      <c r="C351" s="134" t="s">
        <v>4345</v>
      </c>
      <c r="D351" s="135" t="s">
        <v>5519</v>
      </c>
      <c r="E351" s="135" t="s">
        <v>5590</v>
      </c>
      <c r="F351" s="135" t="s">
        <v>5591</v>
      </c>
      <c r="G351" s="42" t="s">
        <v>3253</v>
      </c>
      <c r="H351" s="136">
        <v>29</v>
      </c>
      <c r="I351" s="137">
        <v>6.9155555555555557</v>
      </c>
      <c r="J351" s="138">
        <v>44614</v>
      </c>
      <c r="K351" s="137" t="s">
        <v>5575</v>
      </c>
      <c r="L351" s="133">
        <v>59</v>
      </c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  <c r="FS351" s="30"/>
      <c r="FT351" s="30"/>
      <c r="FU351" s="30"/>
      <c r="FV351" s="30"/>
      <c r="FW351" s="30"/>
      <c r="FX351" s="30"/>
      <c r="FY351" s="30"/>
      <c r="FZ351" s="30"/>
      <c r="GA351" s="30"/>
      <c r="GB351" s="30"/>
      <c r="GC351" s="30"/>
      <c r="GD351" s="30"/>
      <c r="GE351" s="30"/>
      <c r="GF351" s="30"/>
      <c r="GG351" s="30"/>
      <c r="GH351" s="30"/>
      <c r="GI351" s="30"/>
      <c r="GJ351" s="30"/>
      <c r="GK351" s="30"/>
      <c r="GL351" s="30"/>
      <c r="GM351" s="30"/>
      <c r="GN351" s="30"/>
      <c r="GO351" s="30"/>
      <c r="GP351" s="30"/>
      <c r="GQ351" s="30"/>
      <c r="GR351" s="30"/>
      <c r="GS351" s="30"/>
      <c r="GT351" s="30"/>
      <c r="GU351" s="30"/>
      <c r="GV351" s="30"/>
      <c r="GW351" s="30"/>
      <c r="GX351" s="30"/>
      <c r="GY351" s="30"/>
      <c r="GZ351" s="30"/>
      <c r="HA351" s="30"/>
      <c r="HB351" s="30"/>
      <c r="HC351" s="30"/>
      <c r="HD351" s="30"/>
      <c r="HE351" s="30"/>
      <c r="HF351" s="30"/>
      <c r="HG351" s="30"/>
      <c r="HH351" s="30"/>
      <c r="HI351" s="30"/>
      <c r="HJ351" s="30"/>
      <c r="HK351" s="30"/>
      <c r="HL351" s="30"/>
      <c r="HM351" s="30"/>
      <c r="HN351" s="30"/>
      <c r="HO351" s="30"/>
      <c r="HP351" s="30"/>
      <c r="HQ351" s="30"/>
      <c r="HR351" s="30"/>
      <c r="HS351" s="30"/>
      <c r="HT351" s="30"/>
      <c r="HU351" s="30"/>
      <c r="HV351" s="30"/>
      <c r="HW351" s="30"/>
      <c r="HX351" s="30"/>
      <c r="HY351" s="30"/>
      <c r="HZ351" s="30"/>
      <c r="IA351" s="30"/>
      <c r="IB351" s="30"/>
      <c r="IC351" s="30"/>
      <c r="ID351" s="30"/>
      <c r="IE351" s="30"/>
      <c r="IF351" s="30"/>
      <c r="IG351" s="30"/>
      <c r="IH351" s="30"/>
      <c r="II351" s="30"/>
      <c r="IJ351" s="30"/>
      <c r="IK351" s="30"/>
      <c r="IL351" s="30"/>
      <c r="IM351" s="30"/>
      <c r="IN351" s="30"/>
      <c r="IO351" s="30"/>
      <c r="IP351" s="30"/>
      <c r="IQ351" s="30"/>
      <c r="IR351" s="30"/>
      <c r="IS351" s="30"/>
      <c r="IT351" s="30"/>
      <c r="IU351" s="30"/>
      <c r="IV351" s="30"/>
      <c r="IW351" s="30"/>
      <c r="IX351" s="30"/>
      <c r="IY351" s="30"/>
      <c r="IZ351" s="30"/>
      <c r="JA351" s="30"/>
      <c r="JB351" s="30"/>
      <c r="JC351" s="30"/>
      <c r="JD351" s="30"/>
      <c r="JE351" s="30"/>
      <c r="JF351" s="30"/>
      <c r="JG351" s="30"/>
      <c r="JH351" s="30"/>
      <c r="JI351" s="30"/>
      <c r="JJ351" s="30"/>
      <c r="JK351" s="30"/>
      <c r="JL351" s="30"/>
      <c r="JM351" s="30"/>
      <c r="JN351" s="30"/>
      <c r="JO351" s="30"/>
      <c r="JP351" s="30"/>
      <c r="JQ351" s="30"/>
      <c r="JR351" s="30"/>
      <c r="JS351" s="30"/>
      <c r="JT351" s="30"/>
      <c r="JU351" s="30"/>
      <c r="JV351" s="30"/>
      <c r="JW351" s="30"/>
      <c r="JX351" s="30"/>
      <c r="JY351" s="30"/>
      <c r="JZ351" s="30"/>
      <c r="KA351" s="30"/>
      <c r="KB351" s="30"/>
      <c r="KC351" s="30"/>
      <c r="KD351" s="30"/>
      <c r="KE351" s="30"/>
    </row>
    <row r="352" spans="1:291" s="25" customFormat="1" ht="35" customHeight="1">
      <c r="A352" s="74">
        <f>ROW()-2</f>
        <v>350</v>
      </c>
      <c r="B352" s="136" t="s">
        <v>5597</v>
      </c>
      <c r="C352" s="134" t="s">
        <v>4345</v>
      </c>
      <c r="D352" s="135" t="s">
        <v>5520</v>
      </c>
      <c r="E352" s="135" t="s">
        <v>5592</v>
      </c>
      <c r="F352" s="135" t="s">
        <v>4763</v>
      </c>
      <c r="G352" s="183" t="s">
        <v>3253</v>
      </c>
      <c r="H352" s="136">
        <v>67</v>
      </c>
      <c r="I352" s="137">
        <v>6.0158333333333331</v>
      </c>
      <c r="J352" s="138">
        <v>44614</v>
      </c>
      <c r="K352" s="137" t="s">
        <v>5575</v>
      </c>
      <c r="L352" s="133">
        <v>24.99</v>
      </c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  <c r="FS352" s="30"/>
      <c r="FT352" s="30"/>
      <c r="FU352" s="30"/>
      <c r="FV352" s="30"/>
      <c r="FW352" s="30"/>
      <c r="FX352" s="30"/>
      <c r="FY352" s="30"/>
      <c r="FZ352" s="30"/>
      <c r="GA352" s="30"/>
      <c r="GB352" s="30"/>
      <c r="GC352" s="30"/>
      <c r="GD352" s="30"/>
      <c r="GE352" s="30"/>
      <c r="GF352" s="30"/>
      <c r="GG352" s="30"/>
      <c r="GH352" s="30"/>
      <c r="GI352" s="30"/>
      <c r="GJ352" s="30"/>
      <c r="GK352" s="30"/>
      <c r="GL352" s="30"/>
      <c r="GM352" s="30"/>
      <c r="GN352" s="30"/>
      <c r="GO352" s="30"/>
      <c r="GP352" s="30"/>
      <c r="GQ352" s="30"/>
      <c r="GR352" s="30"/>
      <c r="GS352" s="30"/>
      <c r="GT352" s="30"/>
      <c r="GU352" s="30"/>
      <c r="GV352" s="30"/>
      <c r="GW352" s="30"/>
      <c r="GX352" s="30"/>
      <c r="GY352" s="30"/>
      <c r="GZ352" s="30"/>
      <c r="HA352" s="30"/>
      <c r="HB352" s="30"/>
      <c r="HC352" s="30"/>
      <c r="HD352" s="30"/>
      <c r="HE352" s="30"/>
      <c r="HF352" s="30"/>
      <c r="HG352" s="30"/>
      <c r="HH352" s="30"/>
      <c r="HI352" s="30"/>
      <c r="HJ352" s="30"/>
      <c r="HK352" s="30"/>
      <c r="HL352" s="30"/>
      <c r="HM352" s="30"/>
      <c r="HN352" s="30"/>
      <c r="HO352" s="30"/>
      <c r="HP352" s="30"/>
      <c r="HQ352" s="30"/>
      <c r="HR352" s="30"/>
      <c r="HS352" s="30"/>
      <c r="HT352" s="30"/>
      <c r="HU352" s="30"/>
      <c r="HV352" s="30"/>
      <c r="HW352" s="30"/>
      <c r="HX352" s="30"/>
      <c r="HY352" s="30"/>
      <c r="HZ352" s="30"/>
      <c r="IA352" s="30"/>
      <c r="IB352" s="30"/>
      <c r="IC352" s="30"/>
      <c r="ID352" s="30"/>
      <c r="IE352" s="30"/>
      <c r="IF352" s="30"/>
      <c r="IG352" s="30"/>
      <c r="IH352" s="30"/>
      <c r="II352" s="30"/>
      <c r="IJ352" s="30"/>
      <c r="IK352" s="30"/>
      <c r="IL352" s="30"/>
      <c r="IM352" s="30"/>
      <c r="IN352" s="30"/>
      <c r="IO352" s="30"/>
      <c r="IP352" s="30"/>
      <c r="IQ352" s="30"/>
      <c r="IR352" s="30"/>
      <c r="IS352" s="30"/>
      <c r="IT352" s="30"/>
      <c r="IU352" s="30"/>
      <c r="IV352" s="30"/>
      <c r="IW352" s="30"/>
      <c r="IX352" s="30"/>
      <c r="IY352" s="30"/>
      <c r="IZ352" s="30"/>
      <c r="JA352" s="30"/>
      <c r="JB352" s="30"/>
      <c r="JC352" s="30"/>
      <c r="JD352" s="30"/>
      <c r="JE352" s="30"/>
      <c r="JF352" s="30"/>
      <c r="JG352" s="30"/>
      <c r="JH352" s="30"/>
      <c r="JI352" s="30"/>
      <c r="JJ352" s="30"/>
      <c r="JK352" s="30"/>
      <c r="JL352" s="30"/>
      <c r="JM352" s="30"/>
      <c r="JN352" s="30"/>
      <c r="JO352" s="30"/>
      <c r="JP352" s="30"/>
      <c r="JQ352" s="30"/>
      <c r="JR352" s="30"/>
      <c r="JS352" s="30"/>
      <c r="JT352" s="30"/>
      <c r="JU352" s="30"/>
      <c r="JV352" s="30"/>
      <c r="JW352" s="30"/>
      <c r="JX352" s="30"/>
      <c r="JY352" s="30"/>
      <c r="JZ352" s="30"/>
      <c r="KA352" s="30"/>
      <c r="KB352" s="30"/>
      <c r="KC352" s="30"/>
      <c r="KD352" s="30"/>
      <c r="KE352" s="30"/>
    </row>
    <row r="353" spans="1:291" ht="35" customHeight="1">
      <c r="A353" s="74">
        <f>ROW()-2</f>
        <v>351</v>
      </c>
      <c r="B353" s="136" t="s">
        <v>5597</v>
      </c>
      <c r="C353" s="134" t="s">
        <v>4345</v>
      </c>
      <c r="D353" s="135" t="s">
        <v>5593</v>
      </c>
      <c r="E353" s="135" t="s">
        <v>5594</v>
      </c>
      <c r="F353" s="135" t="s">
        <v>5595</v>
      </c>
      <c r="G353" s="183" t="s">
        <v>3253</v>
      </c>
      <c r="H353" s="136">
        <v>43</v>
      </c>
      <c r="I353" s="137">
        <v>8.8833333333333329</v>
      </c>
      <c r="J353" s="138">
        <v>44614</v>
      </c>
      <c r="K353" s="137" t="s">
        <v>5575</v>
      </c>
      <c r="L353" s="133">
        <v>25</v>
      </c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  <c r="FS353" s="30"/>
      <c r="FT353" s="30"/>
      <c r="FU353" s="30"/>
      <c r="FV353" s="30"/>
      <c r="FW353" s="30"/>
      <c r="FX353" s="30"/>
      <c r="FY353" s="30"/>
      <c r="FZ353" s="30"/>
      <c r="GA353" s="30"/>
      <c r="GB353" s="30"/>
      <c r="GC353" s="30"/>
      <c r="GD353" s="30"/>
      <c r="GE353" s="30"/>
      <c r="GF353" s="30"/>
      <c r="GG353" s="30"/>
      <c r="GH353" s="30"/>
      <c r="GI353" s="30"/>
      <c r="GJ353" s="30"/>
      <c r="GK353" s="30"/>
      <c r="GL353" s="30"/>
      <c r="GM353" s="30"/>
      <c r="GN353" s="30"/>
      <c r="GO353" s="30"/>
      <c r="GP353" s="30"/>
      <c r="GQ353" s="30"/>
      <c r="GR353" s="30"/>
      <c r="GS353" s="30"/>
      <c r="GT353" s="30"/>
      <c r="GU353" s="30"/>
      <c r="GV353" s="30"/>
      <c r="GW353" s="30"/>
      <c r="GX353" s="30"/>
      <c r="GY353" s="30"/>
      <c r="GZ353" s="30"/>
      <c r="HA353" s="30"/>
      <c r="HB353" s="30"/>
      <c r="HC353" s="30"/>
      <c r="HD353" s="30"/>
      <c r="HE353" s="30"/>
      <c r="HF353" s="30"/>
      <c r="HG353" s="30"/>
      <c r="HH353" s="30"/>
      <c r="HI353" s="30"/>
      <c r="HJ353" s="30"/>
      <c r="HK353" s="30"/>
      <c r="HL353" s="30"/>
      <c r="HM353" s="30"/>
      <c r="HN353" s="30"/>
      <c r="HO353" s="30"/>
      <c r="HP353" s="30"/>
      <c r="HQ353" s="30"/>
      <c r="HR353" s="30"/>
      <c r="HS353" s="30"/>
      <c r="HT353" s="30"/>
      <c r="HU353" s="30"/>
      <c r="HV353" s="30"/>
      <c r="HW353" s="30"/>
      <c r="HX353" s="30"/>
      <c r="HY353" s="30"/>
      <c r="HZ353" s="30"/>
      <c r="IA353" s="30"/>
      <c r="IB353" s="30"/>
      <c r="IC353" s="30"/>
      <c r="ID353" s="30"/>
      <c r="IE353" s="30"/>
      <c r="IF353" s="30"/>
      <c r="IG353" s="30"/>
      <c r="IH353" s="30"/>
      <c r="II353" s="30"/>
      <c r="IJ353" s="30"/>
      <c r="IK353" s="30"/>
      <c r="IL353" s="30"/>
      <c r="IM353" s="30"/>
      <c r="IN353" s="30"/>
      <c r="IO353" s="30"/>
      <c r="IP353" s="30"/>
      <c r="IQ353" s="30"/>
      <c r="IR353" s="30"/>
      <c r="IS353" s="30"/>
      <c r="IT353" s="30"/>
      <c r="IU353" s="30"/>
      <c r="IV353" s="30"/>
      <c r="IW353" s="30"/>
      <c r="IX353" s="30"/>
      <c r="IY353" s="30"/>
      <c r="IZ353" s="30"/>
      <c r="JA353" s="30"/>
      <c r="JB353" s="30"/>
      <c r="JC353" s="30"/>
      <c r="JD353" s="30"/>
      <c r="JE353" s="30"/>
      <c r="JF353" s="30"/>
      <c r="JG353" s="30"/>
      <c r="JH353" s="30"/>
      <c r="JI353" s="30"/>
      <c r="JJ353" s="30"/>
      <c r="JK353" s="30"/>
      <c r="JL353" s="30"/>
      <c r="JM353" s="30"/>
      <c r="JN353" s="30"/>
      <c r="JO353" s="30"/>
      <c r="JP353" s="30"/>
      <c r="JQ353" s="30"/>
      <c r="JR353" s="30"/>
      <c r="JS353" s="30"/>
      <c r="JT353" s="30"/>
      <c r="JU353" s="30"/>
      <c r="JV353" s="30"/>
      <c r="JW353" s="30"/>
      <c r="JX353" s="30"/>
      <c r="JY353" s="30"/>
      <c r="JZ353" s="30"/>
      <c r="KA353" s="30"/>
      <c r="KB353" s="30"/>
      <c r="KC353" s="30"/>
      <c r="KD353" s="30"/>
      <c r="KE353" s="30"/>
    </row>
    <row r="354" spans="1:291" ht="35" customHeight="1">
      <c r="A354" s="74">
        <f>ROW()-2</f>
        <v>352</v>
      </c>
      <c r="B354" s="136" t="s">
        <v>2639</v>
      </c>
      <c r="C354" s="134" t="s">
        <v>4345</v>
      </c>
      <c r="D354" s="135" t="s">
        <v>5630</v>
      </c>
      <c r="E354" s="135" t="s">
        <v>5631</v>
      </c>
      <c r="G354" s="183" t="s">
        <v>3253</v>
      </c>
      <c r="H354" s="136">
        <v>48</v>
      </c>
      <c r="I354" s="137">
        <v>6.2</v>
      </c>
      <c r="J354" s="138">
        <v>44620</v>
      </c>
      <c r="K354" s="137" t="s">
        <v>5157</v>
      </c>
      <c r="L354" s="133">
        <v>25</v>
      </c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  <c r="FS354" s="30"/>
      <c r="FT354" s="30"/>
      <c r="FU354" s="30"/>
      <c r="FV354" s="30"/>
      <c r="FW354" s="30"/>
      <c r="FX354" s="30"/>
      <c r="FY354" s="30"/>
      <c r="FZ354" s="30"/>
      <c r="GA354" s="30"/>
      <c r="GB354" s="30"/>
      <c r="GC354" s="30"/>
      <c r="GD354" s="30"/>
      <c r="GE354" s="30"/>
      <c r="GF354" s="30"/>
      <c r="GG354" s="30"/>
      <c r="GH354" s="30"/>
      <c r="GI354" s="30"/>
      <c r="GJ354" s="30"/>
      <c r="GK354" s="30"/>
      <c r="GL354" s="30"/>
      <c r="GM354" s="30"/>
      <c r="GN354" s="30"/>
      <c r="GO354" s="30"/>
      <c r="GP354" s="30"/>
      <c r="GQ354" s="30"/>
      <c r="GR354" s="30"/>
      <c r="GS354" s="30"/>
      <c r="GT354" s="30"/>
      <c r="GU354" s="30"/>
      <c r="GV354" s="30"/>
      <c r="GW354" s="30"/>
      <c r="GX354" s="30"/>
      <c r="GY354" s="30"/>
      <c r="GZ354" s="30"/>
      <c r="HA354" s="30"/>
      <c r="HB354" s="30"/>
      <c r="HC354" s="30"/>
      <c r="HD354" s="30"/>
      <c r="HE354" s="30"/>
      <c r="HF354" s="30"/>
      <c r="HG354" s="30"/>
      <c r="HH354" s="30"/>
      <c r="HI354" s="30"/>
      <c r="HJ354" s="30"/>
      <c r="HK354" s="30"/>
      <c r="HL354" s="30"/>
      <c r="HM354" s="30"/>
      <c r="HN354" s="30"/>
      <c r="HO354" s="30"/>
      <c r="HP354" s="30"/>
      <c r="HQ354" s="30"/>
      <c r="HR354" s="30"/>
      <c r="HS354" s="30"/>
      <c r="HT354" s="30"/>
      <c r="HU354" s="30"/>
      <c r="HV354" s="30"/>
      <c r="HW354" s="30"/>
      <c r="HX354" s="30"/>
      <c r="HY354" s="30"/>
      <c r="HZ354" s="30"/>
      <c r="IA354" s="30"/>
      <c r="IB354" s="30"/>
      <c r="IC354" s="30"/>
      <c r="ID354" s="30"/>
      <c r="IE354" s="30"/>
      <c r="IF354" s="30"/>
      <c r="IG354" s="30"/>
      <c r="IH354" s="30"/>
      <c r="II354" s="30"/>
      <c r="IJ354" s="30"/>
      <c r="IK354" s="30"/>
      <c r="IL354" s="30"/>
      <c r="IM354" s="30"/>
      <c r="IN354" s="30"/>
      <c r="IO354" s="30"/>
      <c r="IP354" s="30"/>
      <c r="IQ354" s="30"/>
      <c r="IR354" s="30"/>
      <c r="IS354" s="30"/>
      <c r="IT354" s="30"/>
      <c r="IU354" s="30"/>
      <c r="IV354" s="30"/>
      <c r="IW354" s="30"/>
      <c r="IX354" s="30"/>
      <c r="IY354" s="30"/>
      <c r="IZ354" s="30"/>
      <c r="JA354" s="30"/>
      <c r="JB354" s="30"/>
      <c r="JC354" s="30"/>
      <c r="JD354" s="30"/>
      <c r="JE354" s="30"/>
      <c r="JF354" s="30"/>
      <c r="JG354" s="30"/>
      <c r="JH354" s="30"/>
      <c r="JI354" s="30"/>
      <c r="JJ354" s="30"/>
      <c r="JK354" s="30"/>
      <c r="JL354" s="30"/>
      <c r="JM354" s="30"/>
      <c r="JN354" s="30"/>
      <c r="JO354" s="30"/>
      <c r="JP354" s="30"/>
      <c r="JQ354" s="30"/>
      <c r="JR354" s="30"/>
      <c r="JS354" s="30"/>
      <c r="JT354" s="30"/>
      <c r="JU354" s="30"/>
      <c r="JV354" s="30"/>
      <c r="JW354" s="30"/>
      <c r="JX354" s="30"/>
      <c r="JY354" s="30"/>
      <c r="JZ354" s="30"/>
      <c r="KA354" s="30"/>
      <c r="KB354" s="30"/>
      <c r="KC354" s="30"/>
      <c r="KD354" s="30"/>
      <c r="KE354" s="30"/>
    </row>
  </sheetData>
  <sortState ref="A3:KE354">
    <sortCondition ref="C3:C354" customList="职场，科技，财经，管理，社科，创业，历史，国学，心理，文学，亲子，人文，生活"/>
    <sortCondition ref="J3:J354"/>
  </sortState>
  <mergeCells count="1">
    <mergeCell ref="A1:L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3771-88B9-4B28-8B3F-6248FB4DEC54}">
  <dimension ref="A1:KE884"/>
  <sheetViews>
    <sheetView workbookViewId="0">
      <pane ySplit="2" topLeftCell="A3" activePane="bottomLeft" state="frozen"/>
      <selection pane="bottomLeft" activeCell="H7" sqref="H7"/>
    </sheetView>
  </sheetViews>
  <sheetFormatPr defaultColWidth="10.08203125" defaultRowHeight="14.5"/>
  <cols>
    <col min="1" max="1" width="5.6640625" style="31" customWidth="1"/>
    <col min="2" max="2" width="8.58203125" style="31" customWidth="1"/>
    <col min="3" max="3" width="6.58203125" style="134" customWidth="1"/>
    <col min="4" max="4" width="21.4140625" style="135" customWidth="1"/>
    <col min="5" max="5" width="15.25" style="135" customWidth="1"/>
    <col min="6" max="6" width="13.9140625" style="135" customWidth="1"/>
    <col min="7" max="8" width="7.9140625" style="136" customWidth="1"/>
    <col min="9" max="9" width="10.6640625" style="137" customWidth="1"/>
    <col min="10" max="10" width="17.83203125" style="138" customWidth="1"/>
    <col min="11" max="11" width="8.25" style="137" customWidth="1"/>
    <col min="12" max="12" width="8.83203125" style="136" customWidth="1"/>
    <col min="13" max="13" width="8.4140625" style="31" customWidth="1"/>
    <col min="14" max="16384" width="10.08203125" style="31"/>
  </cols>
  <sheetData>
    <row r="1" spans="1:291" ht="35" customHeight="1">
      <c r="A1" s="294" t="s">
        <v>2732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302"/>
    </row>
    <row r="2" spans="1:291" s="34" customFormat="1" ht="35" customHeight="1">
      <c r="A2" s="142" t="s">
        <v>11</v>
      </c>
      <c r="B2" s="142" t="s">
        <v>2726</v>
      </c>
      <c r="C2" s="142" t="s">
        <v>2727</v>
      </c>
      <c r="D2" s="142" t="s">
        <v>2728</v>
      </c>
      <c r="E2" s="142" t="s">
        <v>2729</v>
      </c>
      <c r="F2" s="142" t="s">
        <v>4</v>
      </c>
      <c r="G2" s="142" t="s">
        <v>2730</v>
      </c>
      <c r="H2" s="142" t="s">
        <v>2731</v>
      </c>
      <c r="I2" s="143" t="s">
        <v>8</v>
      </c>
      <c r="J2" s="144" t="s">
        <v>6</v>
      </c>
      <c r="K2" s="143" t="s">
        <v>9</v>
      </c>
      <c r="L2" s="142" t="s">
        <v>10</v>
      </c>
      <c r="M2" s="33"/>
    </row>
    <row r="3" spans="1:291" ht="34" customHeight="1">
      <c r="A3" s="42">
        <f>ROW()-2</f>
        <v>1</v>
      </c>
      <c r="B3" s="152" t="s">
        <v>2732</v>
      </c>
      <c r="C3" s="152" t="s">
        <v>2733</v>
      </c>
      <c r="D3" s="58" t="s">
        <v>2858</v>
      </c>
      <c r="E3" s="58" t="s">
        <v>571</v>
      </c>
      <c r="F3" s="58" t="s">
        <v>571</v>
      </c>
      <c r="G3" s="152" t="s">
        <v>34</v>
      </c>
      <c r="H3" s="152">
        <v>1</v>
      </c>
      <c r="I3" s="153">
        <v>0.63472222222222197</v>
      </c>
      <c r="J3" s="154">
        <v>43468</v>
      </c>
      <c r="K3" s="153" t="s">
        <v>20</v>
      </c>
      <c r="L3" s="152">
        <v>4.99</v>
      </c>
      <c r="M3" s="155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B3" s="156"/>
      <c r="DC3" s="156"/>
      <c r="DD3" s="156"/>
      <c r="DE3" s="156"/>
      <c r="DF3" s="156"/>
      <c r="DG3" s="156"/>
      <c r="DH3" s="156"/>
      <c r="DI3" s="156"/>
      <c r="DJ3" s="156"/>
      <c r="DK3" s="156"/>
      <c r="DL3" s="156"/>
      <c r="DM3" s="156"/>
      <c r="DN3" s="156"/>
      <c r="DO3" s="156"/>
      <c r="DP3" s="156"/>
      <c r="DQ3" s="156"/>
      <c r="DR3" s="156"/>
      <c r="DS3" s="156"/>
      <c r="DT3" s="156"/>
      <c r="DU3" s="156"/>
      <c r="DV3" s="156"/>
      <c r="DW3" s="156"/>
      <c r="DX3" s="156"/>
      <c r="DY3" s="156"/>
      <c r="DZ3" s="156"/>
      <c r="EA3" s="156"/>
      <c r="EB3" s="156"/>
      <c r="EC3" s="156"/>
      <c r="ED3" s="156"/>
      <c r="EE3" s="156"/>
      <c r="EF3" s="156"/>
      <c r="EG3" s="156"/>
      <c r="EH3" s="156"/>
      <c r="EI3" s="156"/>
      <c r="EJ3" s="156"/>
      <c r="EK3" s="156"/>
      <c r="EL3" s="156"/>
      <c r="EM3" s="156"/>
      <c r="EN3" s="156"/>
      <c r="EO3" s="156"/>
      <c r="EP3" s="156"/>
      <c r="EQ3" s="156"/>
      <c r="ER3" s="156"/>
      <c r="ES3" s="156"/>
      <c r="ET3" s="156"/>
      <c r="EU3" s="156"/>
      <c r="EV3" s="156"/>
      <c r="EW3" s="156"/>
      <c r="EX3" s="156"/>
      <c r="EY3" s="156"/>
      <c r="EZ3" s="156"/>
      <c r="FA3" s="156"/>
      <c r="FB3" s="156"/>
      <c r="FC3" s="156"/>
      <c r="FD3" s="156"/>
      <c r="FE3" s="156"/>
      <c r="FF3" s="156"/>
      <c r="FG3" s="156"/>
      <c r="FH3" s="156"/>
      <c r="FI3" s="156"/>
      <c r="FJ3" s="156"/>
      <c r="FK3" s="156"/>
      <c r="FL3" s="156"/>
      <c r="FM3" s="156"/>
      <c r="FN3" s="156"/>
      <c r="FO3" s="156"/>
      <c r="FP3" s="156"/>
      <c r="FQ3" s="156"/>
      <c r="FR3" s="156"/>
      <c r="FS3" s="156"/>
      <c r="FT3" s="156"/>
      <c r="FU3" s="156"/>
      <c r="FV3" s="156"/>
      <c r="FW3" s="156"/>
      <c r="FX3" s="156"/>
      <c r="FY3" s="156"/>
      <c r="FZ3" s="156"/>
      <c r="GA3" s="156"/>
      <c r="GB3" s="156"/>
      <c r="GC3" s="156"/>
      <c r="GD3" s="156"/>
      <c r="GE3" s="156"/>
      <c r="GF3" s="156"/>
      <c r="GG3" s="156"/>
      <c r="GH3" s="156"/>
      <c r="GI3" s="156"/>
      <c r="GJ3" s="156"/>
      <c r="GK3" s="156"/>
      <c r="GL3" s="156"/>
      <c r="GM3" s="156"/>
      <c r="GN3" s="156"/>
      <c r="GO3" s="156"/>
      <c r="GP3" s="156"/>
      <c r="GQ3" s="156"/>
      <c r="GR3" s="156"/>
      <c r="GS3" s="156"/>
      <c r="GT3" s="156"/>
      <c r="GU3" s="156"/>
      <c r="GV3" s="156"/>
      <c r="GW3" s="156"/>
      <c r="GX3" s="156"/>
      <c r="GY3" s="156"/>
      <c r="GZ3" s="156"/>
      <c r="HA3" s="156"/>
      <c r="HB3" s="156"/>
      <c r="HC3" s="156"/>
      <c r="HD3" s="156"/>
      <c r="HE3" s="156"/>
      <c r="HF3" s="156"/>
      <c r="HG3" s="156"/>
      <c r="HH3" s="156"/>
      <c r="HI3" s="156"/>
      <c r="HJ3" s="156"/>
      <c r="HK3" s="156"/>
      <c r="HL3" s="156"/>
      <c r="HM3" s="156"/>
      <c r="HN3" s="156"/>
      <c r="HO3" s="156"/>
      <c r="HP3" s="156"/>
      <c r="HQ3" s="156"/>
      <c r="HR3" s="156"/>
      <c r="HS3" s="156"/>
      <c r="HT3" s="156"/>
      <c r="HU3" s="156"/>
      <c r="HV3" s="156"/>
      <c r="HW3" s="156"/>
      <c r="HX3" s="156"/>
      <c r="HY3" s="156"/>
      <c r="HZ3" s="156"/>
      <c r="IA3" s="156"/>
      <c r="IB3" s="156"/>
      <c r="IC3" s="156"/>
      <c r="ID3" s="156"/>
      <c r="IE3" s="156"/>
      <c r="IF3" s="156"/>
      <c r="IG3" s="156"/>
      <c r="IH3" s="156"/>
      <c r="II3" s="156"/>
      <c r="IJ3" s="156"/>
      <c r="IK3" s="156"/>
      <c r="IL3" s="156"/>
      <c r="IM3" s="156"/>
      <c r="IN3" s="156"/>
      <c r="IO3" s="156"/>
      <c r="IP3" s="156"/>
      <c r="IQ3" s="156"/>
      <c r="IR3" s="156"/>
      <c r="IS3" s="156"/>
      <c r="IT3" s="156"/>
      <c r="IU3" s="156"/>
      <c r="IV3" s="156"/>
      <c r="IW3" s="156"/>
      <c r="IX3" s="156"/>
      <c r="IY3" s="156"/>
      <c r="IZ3" s="156"/>
      <c r="JA3" s="156"/>
      <c r="JB3" s="156"/>
      <c r="JC3" s="156"/>
      <c r="JD3" s="156"/>
      <c r="JE3" s="156"/>
      <c r="JF3" s="156"/>
      <c r="JG3" s="156"/>
      <c r="JH3" s="156"/>
      <c r="JI3" s="156"/>
      <c r="JJ3" s="156"/>
      <c r="JK3" s="156"/>
      <c r="JL3" s="156"/>
      <c r="JM3" s="156"/>
      <c r="JN3" s="156"/>
      <c r="JO3" s="156"/>
      <c r="JP3" s="156"/>
      <c r="JQ3" s="156"/>
      <c r="JR3" s="156"/>
      <c r="JS3" s="156"/>
      <c r="JT3" s="156"/>
      <c r="JU3" s="156"/>
      <c r="JV3" s="156"/>
      <c r="JW3" s="156"/>
      <c r="JX3" s="156"/>
      <c r="JY3" s="156"/>
      <c r="JZ3" s="156"/>
      <c r="KA3" s="156"/>
      <c r="KB3" s="156"/>
      <c r="KC3" s="156"/>
      <c r="KD3" s="156"/>
      <c r="KE3" s="156"/>
    </row>
    <row r="4" spans="1:291" ht="35" customHeight="1">
      <c r="A4" s="42">
        <f>ROW()-2</f>
        <v>2</v>
      </c>
      <c r="B4" s="42" t="s">
        <v>2732</v>
      </c>
      <c r="C4" s="42" t="s">
        <v>2733</v>
      </c>
      <c r="D4" s="43" t="s">
        <v>2782</v>
      </c>
      <c r="E4" s="43" t="s">
        <v>2783</v>
      </c>
      <c r="F4" s="43" t="s">
        <v>2784</v>
      </c>
      <c r="G4" s="42" t="s">
        <v>34</v>
      </c>
      <c r="H4" s="42">
        <v>1</v>
      </c>
      <c r="I4" s="44">
        <v>0.54777777777777803</v>
      </c>
      <c r="J4" s="45">
        <v>43469</v>
      </c>
      <c r="K4" s="44" t="s">
        <v>20</v>
      </c>
      <c r="L4" s="42">
        <v>4.99</v>
      </c>
      <c r="M4" s="25"/>
    </row>
    <row r="5" spans="1:291" ht="35" customHeight="1">
      <c r="A5" s="42">
        <f>ROW()-2</f>
        <v>3</v>
      </c>
      <c r="B5" s="152" t="s">
        <v>2732</v>
      </c>
      <c r="C5" s="152" t="s">
        <v>2733</v>
      </c>
      <c r="D5" s="58" t="s">
        <v>2793</v>
      </c>
      <c r="E5" s="58" t="s">
        <v>2794</v>
      </c>
      <c r="F5" s="58" t="s">
        <v>2795</v>
      </c>
      <c r="G5" s="152" t="s">
        <v>34</v>
      </c>
      <c r="H5" s="152">
        <v>1</v>
      </c>
      <c r="I5" s="153">
        <v>0.71916666666666695</v>
      </c>
      <c r="J5" s="154">
        <v>43469</v>
      </c>
      <c r="K5" s="153" t="s">
        <v>20</v>
      </c>
      <c r="L5" s="152">
        <v>4.99</v>
      </c>
      <c r="M5" s="155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B5" s="156"/>
      <c r="DC5" s="156"/>
      <c r="DD5" s="156"/>
      <c r="DE5" s="156"/>
      <c r="DF5" s="156"/>
      <c r="DG5" s="156"/>
      <c r="DH5" s="156"/>
      <c r="DI5" s="156"/>
      <c r="DJ5" s="156"/>
      <c r="DK5" s="156"/>
      <c r="DL5" s="156"/>
      <c r="DM5" s="156"/>
      <c r="DN5" s="156"/>
      <c r="DO5" s="156"/>
      <c r="DP5" s="156"/>
      <c r="DQ5" s="156"/>
      <c r="DR5" s="156"/>
      <c r="DS5" s="156"/>
      <c r="DT5" s="156"/>
      <c r="DU5" s="156"/>
      <c r="DV5" s="156"/>
      <c r="DW5" s="156"/>
      <c r="DX5" s="156"/>
      <c r="DY5" s="156"/>
      <c r="DZ5" s="156"/>
      <c r="EA5" s="156"/>
      <c r="EB5" s="156"/>
      <c r="EC5" s="156"/>
      <c r="ED5" s="156"/>
      <c r="EE5" s="156"/>
      <c r="EF5" s="156"/>
      <c r="EG5" s="156"/>
      <c r="EH5" s="156"/>
      <c r="EI5" s="156"/>
      <c r="EJ5" s="156"/>
      <c r="EK5" s="156"/>
      <c r="EL5" s="156"/>
      <c r="EM5" s="156"/>
      <c r="EN5" s="156"/>
      <c r="EO5" s="156"/>
      <c r="EP5" s="156"/>
      <c r="EQ5" s="156"/>
      <c r="ER5" s="156"/>
      <c r="ES5" s="156"/>
      <c r="ET5" s="156"/>
      <c r="EU5" s="156"/>
      <c r="EV5" s="156"/>
      <c r="EW5" s="156"/>
      <c r="EX5" s="156"/>
      <c r="EY5" s="156"/>
      <c r="EZ5" s="156"/>
      <c r="FA5" s="156"/>
      <c r="FB5" s="156"/>
      <c r="FC5" s="156"/>
      <c r="FD5" s="156"/>
      <c r="FE5" s="156"/>
      <c r="FF5" s="156"/>
      <c r="FG5" s="156"/>
      <c r="FH5" s="156"/>
      <c r="FI5" s="156"/>
      <c r="FJ5" s="156"/>
      <c r="FK5" s="156"/>
      <c r="FL5" s="156"/>
      <c r="FM5" s="156"/>
      <c r="FN5" s="156"/>
      <c r="FO5" s="156"/>
      <c r="FP5" s="156"/>
      <c r="FQ5" s="156"/>
      <c r="FR5" s="156"/>
      <c r="FS5" s="156"/>
      <c r="FT5" s="156"/>
      <c r="FU5" s="156"/>
      <c r="FV5" s="156"/>
      <c r="FW5" s="156"/>
      <c r="FX5" s="156"/>
      <c r="FY5" s="156"/>
      <c r="FZ5" s="156"/>
      <c r="GA5" s="156"/>
      <c r="GB5" s="156"/>
      <c r="GC5" s="156"/>
      <c r="GD5" s="156"/>
      <c r="GE5" s="156"/>
      <c r="GF5" s="156"/>
      <c r="GG5" s="156"/>
      <c r="GH5" s="156"/>
      <c r="GI5" s="156"/>
      <c r="GJ5" s="156"/>
      <c r="GK5" s="156"/>
      <c r="GL5" s="156"/>
      <c r="GM5" s="156"/>
      <c r="GN5" s="156"/>
      <c r="GO5" s="156"/>
      <c r="GP5" s="156"/>
      <c r="GQ5" s="156"/>
      <c r="GR5" s="156"/>
      <c r="GS5" s="156"/>
      <c r="GT5" s="156"/>
      <c r="GU5" s="156"/>
      <c r="GV5" s="156"/>
      <c r="GW5" s="156"/>
      <c r="GX5" s="156"/>
      <c r="GY5" s="156"/>
      <c r="GZ5" s="156"/>
      <c r="HA5" s="156"/>
      <c r="HB5" s="156"/>
      <c r="HC5" s="156"/>
      <c r="HD5" s="156"/>
      <c r="HE5" s="156"/>
      <c r="HF5" s="156"/>
      <c r="HG5" s="156"/>
      <c r="HH5" s="156"/>
      <c r="HI5" s="156"/>
      <c r="HJ5" s="156"/>
      <c r="HK5" s="156"/>
      <c r="HL5" s="156"/>
      <c r="HM5" s="156"/>
      <c r="HN5" s="156"/>
      <c r="HO5" s="156"/>
      <c r="HP5" s="156"/>
      <c r="HQ5" s="156"/>
      <c r="HR5" s="156"/>
      <c r="HS5" s="156"/>
      <c r="HT5" s="156"/>
      <c r="HU5" s="156"/>
      <c r="HV5" s="156"/>
      <c r="HW5" s="156"/>
      <c r="HX5" s="156"/>
      <c r="HY5" s="156"/>
      <c r="HZ5" s="156"/>
      <c r="IA5" s="156"/>
      <c r="IB5" s="156"/>
      <c r="IC5" s="156"/>
      <c r="ID5" s="156"/>
      <c r="IE5" s="156"/>
      <c r="IF5" s="156"/>
      <c r="IG5" s="156"/>
      <c r="IH5" s="156"/>
      <c r="II5" s="156"/>
      <c r="IJ5" s="156"/>
      <c r="IK5" s="156"/>
      <c r="IL5" s="156"/>
      <c r="IM5" s="156"/>
      <c r="IN5" s="156"/>
      <c r="IO5" s="156"/>
      <c r="IP5" s="156"/>
      <c r="IQ5" s="156"/>
      <c r="IR5" s="156"/>
      <c r="IS5" s="156"/>
      <c r="IT5" s="156"/>
      <c r="IU5" s="156"/>
      <c r="IV5" s="156"/>
      <c r="IW5" s="156"/>
      <c r="IX5" s="156"/>
      <c r="IY5" s="156"/>
      <c r="IZ5" s="156"/>
      <c r="JA5" s="156"/>
      <c r="JB5" s="156"/>
      <c r="JC5" s="156"/>
      <c r="JD5" s="156"/>
      <c r="JE5" s="156"/>
      <c r="JF5" s="156"/>
      <c r="JG5" s="156"/>
      <c r="JH5" s="156"/>
      <c r="JI5" s="156"/>
      <c r="JJ5" s="156"/>
      <c r="JK5" s="156"/>
      <c r="JL5" s="156"/>
      <c r="JM5" s="156"/>
      <c r="JN5" s="156"/>
      <c r="JO5" s="156"/>
      <c r="JP5" s="156"/>
      <c r="JQ5" s="156"/>
      <c r="JR5" s="156"/>
      <c r="JS5" s="156"/>
      <c r="JT5" s="156"/>
      <c r="JU5" s="156"/>
      <c r="JV5" s="156"/>
      <c r="JW5" s="156"/>
      <c r="JX5" s="156"/>
      <c r="JY5" s="156"/>
      <c r="JZ5" s="156"/>
      <c r="KA5" s="156"/>
      <c r="KB5" s="156"/>
      <c r="KC5" s="156"/>
      <c r="KD5" s="156"/>
      <c r="KE5" s="156"/>
    </row>
    <row r="6" spans="1:291" ht="35" customHeight="1">
      <c r="A6" s="42">
        <f>ROW()-2</f>
        <v>4</v>
      </c>
      <c r="B6" s="152" t="s">
        <v>2732</v>
      </c>
      <c r="C6" s="152" t="s">
        <v>2733</v>
      </c>
      <c r="D6" s="58" t="s">
        <v>2865</v>
      </c>
      <c r="E6" s="58" t="s">
        <v>2866</v>
      </c>
      <c r="F6" s="58" t="s">
        <v>2864</v>
      </c>
      <c r="G6" s="152" t="s">
        <v>34</v>
      </c>
      <c r="H6" s="152">
        <v>1</v>
      </c>
      <c r="I6" s="153">
        <v>0.75722222222222202</v>
      </c>
      <c r="J6" s="154">
        <v>43469</v>
      </c>
      <c r="K6" s="153" t="s">
        <v>20</v>
      </c>
      <c r="L6" s="152">
        <v>4.99</v>
      </c>
      <c r="M6" s="155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6"/>
      <c r="CN6" s="156"/>
      <c r="CO6" s="156"/>
      <c r="CP6" s="156"/>
      <c r="CQ6" s="156"/>
      <c r="CR6" s="156"/>
      <c r="CS6" s="156"/>
      <c r="CT6" s="156"/>
      <c r="CU6" s="156"/>
      <c r="CV6" s="156"/>
      <c r="CW6" s="156"/>
      <c r="CX6" s="156"/>
      <c r="CY6" s="156"/>
      <c r="CZ6" s="156"/>
      <c r="DA6" s="156"/>
      <c r="DB6" s="156"/>
      <c r="DC6" s="156"/>
      <c r="DD6" s="156"/>
      <c r="DE6" s="156"/>
      <c r="DF6" s="156"/>
      <c r="DG6" s="156"/>
      <c r="DH6" s="156"/>
      <c r="DI6" s="156"/>
      <c r="DJ6" s="156"/>
      <c r="DK6" s="156"/>
      <c r="DL6" s="156"/>
      <c r="DM6" s="156"/>
      <c r="DN6" s="156"/>
      <c r="DO6" s="156"/>
      <c r="DP6" s="156"/>
      <c r="DQ6" s="156"/>
      <c r="DR6" s="156"/>
      <c r="DS6" s="156"/>
      <c r="DT6" s="156"/>
      <c r="DU6" s="156"/>
      <c r="DV6" s="156"/>
      <c r="DW6" s="156"/>
      <c r="DX6" s="156"/>
      <c r="DY6" s="156"/>
      <c r="DZ6" s="156"/>
      <c r="EA6" s="156"/>
      <c r="EB6" s="156"/>
      <c r="EC6" s="156"/>
      <c r="ED6" s="156"/>
      <c r="EE6" s="156"/>
      <c r="EF6" s="156"/>
      <c r="EG6" s="156"/>
      <c r="EH6" s="156"/>
      <c r="EI6" s="156"/>
      <c r="EJ6" s="156"/>
      <c r="EK6" s="156"/>
      <c r="EL6" s="156"/>
      <c r="EM6" s="156"/>
      <c r="EN6" s="156"/>
      <c r="EO6" s="156"/>
      <c r="EP6" s="156"/>
      <c r="EQ6" s="156"/>
      <c r="ER6" s="156"/>
      <c r="ES6" s="156"/>
      <c r="ET6" s="156"/>
      <c r="EU6" s="156"/>
      <c r="EV6" s="156"/>
      <c r="EW6" s="156"/>
      <c r="EX6" s="156"/>
      <c r="EY6" s="156"/>
      <c r="EZ6" s="156"/>
      <c r="FA6" s="156"/>
      <c r="FB6" s="156"/>
      <c r="FC6" s="156"/>
      <c r="FD6" s="156"/>
      <c r="FE6" s="156"/>
      <c r="FF6" s="156"/>
      <c r="FG6" s="156"/>
      <c r="FH6" s="156"/>
      <c r="FI6" s="156"/>
      <c r="FJ6" s="156"/>
      <c r="FK6" s="156"/>
      <c r="FL6" s="156"/>
      <c r="FM6" s="156"/>
      <c r="FN6" s="156"/>
      <c r="FO6" s="156"/>
      <c r="FP6" s="156"/>
      <c r="FQ6" s="156"/>
      <c r="FR6" s="156"/>
      <c r="FS6" s="156"/>
      <c r="FT6" s="156"/>
      <c r="FU6" s="156"/>
      <c r="FV6" s="156"/>
      <c r="FW6" s="156"/>
      <c r="FX6" s="156"/>
      <c r="FY6" s="156"/>
      <c r="FZ6" s="156"/>
      <c r="GA6" s="156"/>
      <c r="GB6" s="156"/>
      <c r="GC6" s="156"/>
      <c r="GD6" s="156"/>
      <c r="GE6" s="156"/>
      <c r="GF6" s="156"/>
      <c r="GG6" s="156"/>
      <c r="GH6" s="156"/>
      <c r="GI6" s="156"/>
      <c r="GJ6" s="156"/>
      <c r="GK6" s="156"/>
      <c r="GL6" s="156"/>
      <c r="GM6" s="156"/>
      <c r="GN6" s="156"/>
      <c r="GO6" s="156"/>
      <c r="GP6" s="156"/>
      <c r="GQ6" s="156"/>
      <c r="GR6" s="156"/>
      <c r="GS6" s="156"/>
      <c r="GT6" s="156"/>
      <c r="GU6" s="156"/>
      <c r="GV6" s="156"/>
      <c r="GW6" s="156"/>
      <c r="GX6" s="156"/>
      <c r="GY6" s="156"/>
      <c r="GZ6" s="156"/>
      <c r="HA6" s="156"/>
      <c r="HB6" s="156"/>
      <c r="HC6" s="156"/>
      <c r="HD6" s="156"/>
      <c r="HE6" s="156"/>
      <c r="HF6" s="156"/>
      <c r="HG6" s="156"/>
      <c r="HH6" s="156"/>
      <c r="HI6" s="156"/>
      <c r="HJ6" s="156"/>
      <c r="HK6" s="156"/>
      <c r="HL6" s="156"/>
      <c r="HM6" s="156"/>
      <c r="HN6" s="156"/>
      <c r="HO6" s="156"/>
      <c r="HP6" s="156"/>
      <c r="HQ6" s="156"/>
      <c r="HR6" s="156"/>
      <c r="HS6" s="156"/>
      <c r="HT6" s="156"/>
      <c r="HU6" s="156"/>
      <c r="HV6" s="156"/>
      <c r="HW6" s="156"/>
      <c r="HX6" s="156"/>
      <c r="HY6" s="156"/>
      <c r="HZ6" s="156"/>
      <c r="IA6" s="156"/>
      <c r="IB6" s="156"/>
      <c r="IC6" s="156"/>
      <c r="ID6" s="156"/>
      <c r="IE6" s="156"/>
      <c r="IF6" s="156"/>
      <c r="IG6" s="156"/>
      <c r="IH6" s="156"/>
      <c r="II6" s="156"/>
      <c r="IJ6" s="156"/>
      <c r="IK6" s="156"/>
      <c r="IL6" s="156"/>
      <c r="IM6" s="156"/>
      <c r="IN6" s="156"/>
      <c r="IO6" s="156"/>
      <c r="IP6" s="156"/>
      <c r="IQ6" s="156"/>
      <c r="IR6" s="156"/>
      <c r="IS6" s="156"/>
      <c r="IT6" s="156"/>
      <c r="IU6" s="156"/>
      <c r="IV6" s="156"/>
      <c r="IW6" s="156"/>
      <c r="IX6" s="156"/>
      <c r="IY6" s="156"/>
      <c r="IZ6" s="156"/>
      <c r="JA6" s="156"/>
      <c r="JB6" s="156"/>
      <c r="JC6" s="156"/>
      <c r="JD6" s="156"/>
      <c r="JE6" s="156"/>
      <c r="JF6" s="156"/>
      <c r="JG6" s="156"/>
      <c r="JH6" s="156"/>
      <c r="JI6" s="156"/>
      <c r="JJ6" s="156"/>
      <c r="JK6" s="156"/>
      <c r="JL6" s="156"/>
      <c r="JM6" s="156"/>
      <c r="JN6" s="156"/>
      <c r="JO6" s="156"/>
      <c r="JP6" s="156"/>
      <c r="JQ6" s="156"/>
      <c r="JR6" s="156"/>
      <c r="JS6" s="156"/>
      <c r="JT6" s="156"/>
      <c r="JU6" s="156"/>
      <c r="JV6" s="156"/>
      <c r="JW6" s="156"/>
      <c r="JX6" s="156"/>
      <c r="JY6" s="156"/>
      <c r="JZ6" s="156"/>
      <c r="KA6" s="156"/>
      <c r="KB6" s="156"/>
      <c r="KC6" s="156"/>
      <c r="KD6" s="156"/>
      <c r="KE6" s="156"/>
    </row>
    <row r="7" spans="1:291" ht="35" customHeight="1">
      <c r="A7" s="42">
        <f>ROW()-2</f>
        <v>5</v>
      </c>
      <c r="B7" s="152" t="s">
        <v>2732</v>
      </c>
      <c r="C7" s="152" t="s">
        <v>2733</v>
      </c>
      <c r="D7" s="58" t="s">
        <v>2879</v>
      </c>
      <c r="E7" s="58" t="s">
        <v>2880</v>
      </c>
      <c r="F7" s="58" t="s">
        <v>2878</v>
      </c>
      <c r="G7" s="152" t="s">
        <v>34</v>
      </c>
      <c r="H7" s="152">
        <v>1</v>
      </c>
      <c r="I7" s="153">
        <v>0.49472222222222201</v>
      </c>
      <c r="J7" s="154">
        <v>43483</v>
      </c>
      <c r="K7" s="153" t="s">
        <v>20</v>
      </c>
      <c r="L7" s="152">
        <v>4.99</v>
      </c>
      <c r="M7" s="155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6"/>
      <c r="CN7" s="156"/>
      <c r="CO7" s="156"/>
      <c r="CP7" s="156"/>
      <c r="CQ7" s="156"/>
      <c r="CR7" s="156"/>
      <c r="CS7" s="156"/>
      <c r="CT7" s="156"/>
      <c r="CU7" s="156"/>
      <c r="CV7" s="156"/>
      <c r="CW7" s="156"/>
      <c r="CX7" s="156"/>
      <c r="CY7" s="156"/>
      <c r="CZ7" s="156"/>
      <c r="DA7" s="156"/>
      <c r="DB7" s="156"/>
      <c r="DC7" s="156"/>
      <c r="DD7" s="156"/>
      <c r="DE7" s="156"/>
      <c r="DF7" s="156"/>
      <c r="DG7" s="156"/>
      <c r="DH7" s="156"/>
      <c r="DI7" s="156"/>
      <c r="DJ7" s="156"/>
      <c r="DK7" s="156"/>
      <c r="DL7" s="156"/>
      <c r="DM7" s="156"/>
      <c r="DN7" s="156"/>
      <c r="DO7" s="156"/>
      <c r="DP7" s="156"/>
      <c r="DQ7" s="156"/>
      <c r="DR7" s="156"/>
      <c r="DS7" s="156"/>
      <c r="DT7" s="156"/>
      <c r="DU7" s="156"/>
      <c r="DV7" s="156"/>
      <c r="DW7" s="156"/>
      <c r="DX7" s="156"/>
      <c r="DY7" s="156"/>
      <c r="DZ7" s="156"/>
      <c r="EA7" s="156"/>
      <c r="EB7" s="156"/>
      <c r="EC7" s="156"/>
      <c r="ED7" s="156"/>
      <c r="EE7" s="156"/>
      <c r="EF7" s="156"/>
      <c r="EG7" s="156"/>
      <c r="EH7" s="156"/>
      <c r="EI7" s="156"/>
      <c r="EJ7" s="156"/>
      <c r="EK7" s="156"/>
      <c r="EL7" s="156"/>
      <c r="EM7" s="156"/>
      <c r="EN7" s="156"/>
      <c r="EO7" s="156"/>
      <c r="EP7" s="156"/>
      <c r="EQ7" s="156"/>
      <c r="ER7" s="156"/>
      <c r="ES7" s="156"/>
      <c r="ET7" s="156"/>
      <c r="EU7" s="156"/>
      <c r="EV7" s="156"/>
      <c r="EW7" s="156"/>
      <c r="EX7" s="156"/>
      <c r="EY7" s="156"/>
      <c r="EZ7" s="156"/>
      <c r="FA7" s="156"/>
      <c r="FB7" s="156"/>
      <c r="FC7" s="156"/>
      <c r="FD7" s="156"/>
      <c r="FE7" s="156"/>
      <c r="FF7" s="156"/>
      <c r="FG7" s="156"/>
      <c r="FH7" s="156"/>
      <c r="FI7" s="156"/>
      <c r="FJ7" s="156"/>
      <c r="FK7" s="156"/>
      <c r="FL7" s="156"/>
      <c r="FM7" s="156"/>
      <c r="FN7" s="156"/>
      <c r="FO7" s="156"/>
      <c r="FP7" s="156"/>
      <c r="FQ7" s="156"/>
      <c r="FR7" s="156"/>
      <c r="FS7" s="156"/>
      <c r="FT7" s="156"/>
      <c r="FU7" s="156"/>
      <c r="FV7" s="156"/>
      <c r="FW7" s="156"/>
      <c r="FX7" s="156"/>
      <c r="FY7" s="156"/>
      <c r="FZ7" s="156"/>
      <c r="GA7" s="156"/>
      <c r="GB7" s="156"/>
      <c r="GC7" s="156"/>
      <c r="GD7" s="156"/>
      <c r="GE7" s="156"/>
      <c r="GF7" s="156"/>
      <c r="GG7" s="156"/>
      <c r="GH7" s="156"/>
      <c r="GI7" s="156"/>
      <c r="GJ7" s="156"/>
      <c r="GK7" s="156"/>
      <c r="GL7" s="156"/>
      <c r="GM7" s="156"/>
      <c r="GN7" s="156"/>
      <c r="GO7" s="156"/>
      <c r="GP7" s="156"/>
      <c r="GQ7" s="156"/>
      <c r="GR7" s="156"/>
      <c r="GS7" s="156"/>
      <c r="GT7" s="156"/>
      <c r="GU7" s="156"/>
      <c r="GV7" s="156"/>
      <c r="GW7" s="156"/>
      <c r="GX7" s="156"/>
      <c r="GY7" s="156"/>
      <c r="GZ7" s="156"/>
      <c r="HA7" s="156"/>
      <c r="HB7" s="156"/>
      <c r="HC7" s="156"/>
      <c r="HD7" s="156"/>
      <c r="HE7" s="156"/>
      <c r="HF7" s="156"/>
      <c r="HG7" s="156"/>
      <c r="HH7" s="156"/>
      <c r="HI7" s="156"/>
      <c r="HJ7" s="156"/>
      <c r="HK7" s="156"/>
      <c r="HL7" s="156"/>
      <c r="HM7" s="156"/>
      <c r="HN7" s="156"/>
      <c r="HO7" s="156"/>
      <c r="HP7" s="156"/>
      <c r="HQ7" s="156"/>
      <c r="HR7" s="156"/>
      <c r="HS7" s="156"/>
      <c r="HT7" s="156"/>
      <c r="HU7" s="156"/>
      <c r="HV7" s="156"/>
      <c r="HW7" s="156"/>
      <c r="HX7" s="156"/>
      <c r="HY7" s="156"/>
      <c r="HZ7" s="156"/>
      <c r="IA7" s="156"/>
      <c r="IB7" s="156"/>
      <c r="IC7" s="156"/>
      <c r="ID7" s="156"/>
      <c r="IE7" s="156"/>
      <c r="IF7" s="156"/>
      <c r="IG7" s="156"/>
      <c r="IH7" s="156"/>
      <c r="II7" s="156"/>
      <c r="IJ7" s="156"/>
      <c r="IK7" s="156"/>
      <c r="IL7" s="156"/>
      <c r="IM7" s="156"/>
      <c r="IN7" s="156"/>
      <c r="IO7" s="156"/>
      <c r="IP7" s="156"/>
      <c r="IQ7" s="156"/>
      <c r="IR7" s="156"/>
      <c r="IS7" s="156"/>
      <c r="IT7" s="156"/>
      <c r="IU7" s="156"/>
      <c r="IV7" s="156"/>
      <c r="IW7" s="156"/>
      <c r="IX7" s="156"/>
      <c r="IY7" s="156"/>
      <c r="IZ7" s="156"/>
      <c r="JA7" s="156"/>
      <c r="JB7" s="156"/>
      <c r="JC7" s="156"/>
      <c r="JD7" s="156"/>
      <c r="JE7" s="156"/>
      <c r="JF7" s="156"/>
      <c r="JG7" s="156"/>
      <c r="JH7" s="156"/>
      <c r="JI7" s="156"/>
      <c r="JJ7" s="156"/>
      <c r="JK7" s="156"/>
      <c r="JL7" s="156"/>
      <c r="JM7" s="156"/>
      <c r="JN7" s="156"/>
      <c r="JO7" s="156"/>
      <c r="JP7" s="156"/>
      <c r="JQ7" s="156"/>
      <c r="JR7" s="156"/>
      <c r="JS7" s="156"/>
      <c r="JT7" s="156"/>
      <c r="JU7" s="156"/>
      <c r="JV7" s="156"/>
      <c r="JW7" s="156"/>
      <c r="JX7" s="156"/>
      <c r="JY7" s="156"/>
      <c r="JZ7" s="156"/>
      <c r="KA7" s="156"/>
      <c r="KB7" s="156"/>
      <c r="KC7" s="156"/>
      <c r="KD7" s="156"/>
      <c r="KE7" s="156"/>
    </row>
    <row r="8" spans="1:291" ht="35" customHeight="1">
      <c r="A8" s="42">
        <f>ROW()-2</f>
        <v>6</v>
      </c>
      <c r="B8" s="152" t="s">
        <v>2732</v>
      </c>
      <c r="C8" s="152" t="s">
        <v>2733</v>
      </c>
      <c r="D8" s="58" t="s">
        <v>2971</v>
      </c>
      <c r="E8" s="58" t="s">
        <v>2972</v>
      </c>
      <c r="F8" s="58" t="s">
        <v>2745</v>
      </c>
      <c r="G8" s="152" t="s">
        <v>34</v>
      </c>
      <c r="H8" s="152">
        <v>29</v>
      </c>
      <c r="I8" s="157">
        <v>8.8205555555555595</v>
      </c>
      <c r="J8" s="154">
        <v>43483</v>
      </c>
      <c r="K8" s="153" t="s">
        <v>20</v>
      </c>
      <c r="L8" s="153">
        <v>4.99</v>
      </c>
      <c r="M8" s="155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6"/>
      <c r="CN8" s="156"/>
      <c r="CO8" s="156"/>
      <c r="CP8" s="156"/>
      <c r="CQ8" s="156"/>
      <c r="CR8" s="156"/>
      <c r="CS8" s="156"/>
      <c r="CT8" s="156"/>
      <c r="CU8" s="156"/>
      <c r="CV8" s="156"/>
      <c r="CW8" s="156"/>
      <c r="CX8" s="156"/>
      <c r="CY8" s="156"/>
      <c r="CZ8" s="156"/>
      <c r="DA8" s="156"/>
      <c r="DB8" s="156"/>
      <c r="DC8" s="156"/>
      <c r="DD8" s="156"/>
      <c r="DE8" s="156"/>
      <c r="DF8" s="156"/>
      <c r="DG8" s="156"/>
      <c r="DH8" s="156"/>
      <c r="DI8" s="156"/>
      <c r="DJ8" s="156"/>
      <c r="DK8" s="156"/>
      <c r="DL8" s="156"/>
      <c r="DM8" s="156"/>
      <c r="DN8" s="156"/>
      <c r="DO8" s="156"/>
      <c r="DP8" s="156"/>
      <c r="DQ8" s="156"/>
      <c r="DR8" s="156"/>
      <c r="DS8" s="156"/>
      <c r="DT8" s="156"/>
      <c r="DU8" s="156"/>
      <c r="DV8" s="156"/>
      <c r="DW8" s="156"/>
      <c r="DX8" s="156"/>
      <c r="DY8" s="156"/>
      <c r="DZ8" s="156"/>
      <c r="EA8" s="156"/>
      <c r="EB8" s="156"/>
      <c r="EC8" s="156"/>
      <c r="ED8" s="156"/>
      <c r="EE8" s="156"/>
      <c r="EF8" s="156"/>
      <c r="EG8" s="156"/>
      <c r="EH8" s="156"/>
      <c r="EI8" s="156"/>
      <c r="EJ8" s="156"/>
      <c r="EK8" s="156"/>
      <c r="EL8" s="156"/>
      <c r="EM8" s="156"/>
      <c r="EN8" s="156"/>
      <c r="EO8" s="156"/>
      <c r="EP8" s="156"/>
      <c r="EQ8" s="156"/>
      <c r="ER8" s="156"/>
      <c r="ES8" s="156"/>
      <c r="ET8" s="156"/>
      <c r="EU8" s="156"/>
      <c r="EV8" s="156"/>
      <c r="EW8" s="156"/>
      <c r="EX8" s="156"/>
      <c r="EY8" s="156"/>
      <c r="EZ8" s="156"/>
      <c r="FA8" s="156"/>
      <c r="FB8" s="156"/>
      <c r="FC8" s="156"/>
      <c r="FD8" s="156"/>
      <c r="FE8" s="156"/>
      <c r="FF8" s="156"/>
      <c r="FG8" s="156"/>
      <c r="FH8" s="156"/>
      <c r="FI8" s="156"/>
      <c r="FJ8" s="156"/>
      <c r="FK8" s="156"/>
      <c r="FL8" s="156"/>
      <c r="FM8" s="156"/>
      <c r="FN8" s="156"/>
      <c r="FO8" s="156"/>
      <c r="FP8" s="156"/>
      <c r="FQ8" s="156"/>
      <c r="FR8" s="156"/>
      <c r="FS8" s="156"/>
      <c r="FT8" s="156"/>
      <c r="FU8" s="156"/>
      <c r="FV8" s="156"/>
      <c r="FW8" s="156"/>
      <c r="FX8" s="156"/>
      <c r="FY8" s="156"/>
      <c r="FZ8" s="156"/>
      <c r="GA8" s="156"/>
      <c r="GB8" s="156"/>
      <c r="GC8" s="156"/>
      <c r="GD8" s="156"/>
      <c r="GE8" s="156"/>
      <c r="GF8" s="156"/>
      <c r="GG8" s="156"/>
      <c r="GH8" s="156"/>
      <c r="GI8" s="156"/>
      <c r="GJ8" s="156"/>
      <c r="GK8" s="156"/>
      <c r="GL8" s="156"/>
      <c r="GM8" s="156"/>
      <c r="GN8" s="156"/>
      <c r="GO8" s="156"/>
      <c r="GP8" s="156"/>
      <c r="GQ8" s="156"/>
      <c r="GR8" s="156"/>
      <c r="GS8" s="156"/>
      <c r="GT8" s="156"/>
      <c r="GU8" s="156"/>
      <c r="GV8" s="156"/>
      <c r="GW8" s="156"/>
      <c r="GX8" s="156"/>
      <c r="GY8" s="156"/>
      <c r="GZ8" s="156"/>
      <c r="HA8" s="156"/>
      <c r="HB8" s="156"/>
      <c r="HC8" s="156"/>
      <c r="HD8" s="156"/>
      <c r="HE8" s="156"/>
      <c r="HF8" s="156"/>
      <c r="HG8" s="156"/>
      <c r="HH8" s="156"/>
      <c r="HI8" s="156"/>
      <c r="HJ8" s="156"/>
      <c r="HK8" s="156"/>
      <c r="HL8" s="156"/>
      <c r="HM8" s="156"/>
      <c r="HN8" s="156"/>
      <c r="HO8" s="156"/>
      <c r="HP8" s="156"/>
      <c r="HQ8" s="156"/>
      <c r="HR8" s="156"/>
      <c r="HS8" s="156"/>
      <c r="HT8" s="156"/>
      <c r="HU8" s="156"/>
      <c r="HV8" s="156"/>
      <c r="HW8" s="156"/>
      <c r="HX8" s="156"/>
      <c r="HY8" s="156"/>
      <c r="HZ8" s="156"/>
      <c r="IA8" s="156"/>
      <c r="IB8" s="156"/>
      <c r="IC8" s="156"/>
      <c r="ID8" s="156"/>
      <c r="IE8" s="156"/>
      <c r="IF8" s="156"/>
      <c r="IG8" s="156"/>
      <c r="IH8" s="156"/>
      <c r="II8" s="156"/>
      <c r="IJ8" s="156"/>
      <c r="IK8" s="156"/>
      <c r="IL8" s="156"/>
      <c r="IM8" s="156"/>
      <c r="IN8" s="156"/>
      <c r="IO8" s="156"/>
      <c r="IP8" s="156"/>
      <c r="IQ8" s="156"/>
      <c r="IR8" s="156"/>
      <c r="IS8" s="156"/>
      <c r="IT8" s="156"/>
      <c r="IU8" s="156"/>
      <c r="IV8" s="156"/>
      <c r="IW8" s="156"/>
      <c r="IX8" s="156"/>
      <c r="IY8" s="156"/>
      <c r="IZ8" s="156"/>
      <c r="JA8" s="156"/>
      <c r="JB8" s="156"/>
      <c r="JC8" s="156"/>
      <c r="JD8" s="156"/>
      <c r="JE8" s="156"/>
      <c r="JF8" s="156"/>
      <c r="JG8" s="156"/>
      <c r="JH8" s="156"/>
      <c r="JI8" s="156"/>
      <c r="JJ8" s="156"/>
      <c r="JK8" s="156"/>
      <c r="JL8" s="156"/>
      <c r="JM8" s="156"/>
      <c r="JN8" s="156"/>
      <c r="JO8" s="156"/>
      <c r="JP8" s="156"/>
      <c r="JQ8" s="156"/>
      <c r="JR8" s="156"/>
      <c r="JS8" s="156"/>
      <c r="JT8" s="156"/>
      <c r="JU8" s="156"/>
      <c r="JV8" s="156"/>
      <c r="JW8" s="156"/>
      <c r="JX8" s="156"/>
      <c r="JY8" s="156"/>
      <c r="JZ8" s="156"/>
      <c r="KA8" s="156"/>
      <c r="KB8" s="156"/>
      <c r="KC8" s="156"/>
      <c r="KD8" s="156"/>
      <c r="KE8" s="156"/>
    </row>
    <row r="9" spans="1:291" ht="35" customHeight="1">
      <c r="A9" s="42">
        <f>ROW()-2</f>
        <v>7</v>
      </c>
      <c r="B9" s="42" t="s">
        <v>2732</v>
      </c>
      <c r="C9" s="42" t="s">
        <v>2733</v>
      </c>
      <c r="D9" s="43" t="s">
        <v>2754</v>
      </c>
      <c r="E9" s="43" t="s">
        <v>2755</v>
      </c>
      <c r="F9" s="43" t="s">
        <v>2751</v>
      </c>
      <c r="G9" s="42" t="s">
        <v>34</v>
      </c>
      <c r="H9" s="42">
        <v>1</v>
      </c>
      <c r="I9" s="44">
        <v>0.40611111111111098</v>
      </c>
      <c r="J9" s="45">
        <v>43962</v>
      </c>
      <c r="K9" s="44" t="s">
        <v>20</v>
      </c>
      <c r="L9" s="42">
        <v>4.99</v>
      </c>
      <c r="M9" s="25"/>
    </row>
    <row r="10" spans="1:291" ht="35" customHeight="1">
      <c r="A10" s="42">
        <f>ROW()-2</f>
        <v>8</v>
      </c>
      <c r="B10" s="42" t="s">
        <v>2732</v>
      </c>
      <c r="C10" s="42" t="s">
        <v>2733</v>
      </c>
      <c r="D10" s="43" t="s">
        <v>2771</v>
      </c>
      <c r="E10" s="43" t="s">
        <v>2772</v>
      </c>
      <c r="F10" s="43" t="s">
        <v>2773</v>
      </c>
      <c r="G10" s="42" t="s">
        <v>34</v>
      </c>
      <c r="H10" s="42">
        <v>1</v>
      </c>
      <c r="I10" s="44">
        <v>0.35777777777777803</v>
      </c>
      <c r="J10" s="45">
        <v>43962</v>
      </c>
      <c r="K10" s="44" t="s">
        <v>20</v>
      </c>
      <c r="L10" s="42">
        <v>4.99</v>
      </c>
      <c r="M10" s="25"/>
    </row>
    <row r="11" spans="1:291" ht="35" customHeight="1">
      <c r="A11" s="42">
        <f>ROW()-2</f>
        <v>9</v>
      </c>
      <c r="B11" s="42" t="s">
        <v>2732</v>
      </c>
      <c r="C11" s="42" t="s">
        <v>2733</v>
      </c>
      <c r="D11" s="43" t="s">
        <v>2785</v>
      </c>
      <c r="E11" s="43" t="s">
        <v>2786</v>
      </c>
      <c r="F11" s="43" t="s">
        <v>2787</v>
      </c>
      <c r="G11" s="42" t="s">
        <v>34</v>
      </c>
      <c r="H11" s="42">
        <v>1</v>
      </c>
      <c r="I11" s="44">
        <v>0.45055555555555599</v>
      </c>
      <c r="J11" s="45">
        <v>43962</v>
      </c>
      <c r="K11" s="44" t="s">
        <v>20</v>
      </c>
      <c r="L11" s="42">
        <v>4.99</v>
      </c>
      <c r="M11" s="25"/>
    </row>
    <row r="12" spans="1:291" ht="35" customHeight="1">
      <c r="A12" s="42">
        <f>ROW()-2</f>
        <v>10</v>
      </c>
      <c r="B12" s="152" t="s">
        <v>2732</v>
      </c>
      <c r="C12" s="152" t="s">
        <v>2733</v>
      </c>
      <c r="D12" s="58" t="s">
        <v>2808</v>
      </c>
      <c r="E12" s="58" t="s">
        <v>2775</v>
      </c>
      <c r="F12" s="58" t="s">
        <v>2809</v>
      </c>
      <c r="G12" s="152" t="s">
        <v>34</v>
      </c>
      <c r="H12" s="152">
        <v>1</v>
      </c>
      <c r="I12" s="153">
        <v>0.42055555555555602</v>
      </c>
      <c r="J12" s="154">
        <v>43962</v>
      </c>
      <c r="K12" s="153" t="s">
        <v>20</v>
      </c>
      <c r="L12" s="152">
        <v>4.99</v>
      </c>
      <c r="M12" s="155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B12" s="156"/>
      <c r="DC12" s="156"/>
      <c r="DD12" s="156"/>
      <c r="DE12" s="156"/>
      <c r="DF12" s="156"/>
      <c r="DG12" s="156"/>
      <c r="DH12" s="156"/>
      <c r="DI12" s="156"/>
      <c r="DJ12" s="156"/>
      <c r="DK12" s="156"/>
      <c r="DL12" s="156"/>
      <c r="DM12" s="156"/>
      <c r="DN12" s="156"/>
      <c r="DO12" s="156"/>
      <c r="DP12" s="156"/>
      <c r="DQ12" s="156"/>
      <c r="DR12" s="156"/>
      <c r="DS12" s="156"/>
      <c r="DT12" s="156"/>
      <c r="DU12" s="156"/>
      <c r="DV12" s="156"/>
      <c r="DW12" s="156"/>
      <c r="DX12" s="156"/>
      <c r="DY12" s="156"/>
      <c r="DZ12" s="156"/>
      <c r="EA12" s="156"/>
      <c r="EB12" s="156"/>
      <c r="EC12" s="156"/>
      <c r="ED12" s="156"/>
      <c r="EE12" s="156"/>
      <c r="EF12" s="156"/>
      <c r="EG12" s="156"/>
      <c r="EH12" s="156"/>
      <c r="EI12" s="156"/>
      <c r="EJ12" s="156"/>
      <c r="EK12" s="156"/>
      <c r="EL12" s="156"/>
      <c r="EM12" s="156"/>
      <c r="EN12" s="156"/>
      <c r="EO12" s="156"/>
      <c r="EP12" s="156"/>
      <c r="EQ12" s="156"/>
      <c r="ER12" s="156"/>
      <c r="ES12" s="156"/>
      <c r="ET12" s="156"/>
      <c r="EU12" s="156"/>
      <c r="EV12" s="156"/>
      <c r="EW12" s="156"/>
      <c r="EX12" s="156"/>
      <c r="EY12" s="156"/>
      <c r="EZ12" s="156"/>
      <c r="FA12" s="156"/>
      <c r="FB12" s="156"/>
      <c r="FC12" s="156"/>
      <c r="FD12" s="156"/>
      <c r="FE12" s="156"/>
      <c r="FF12" s="156"/>
      <c r="FG12" s="156"/>
      <c r="FH12" s="156"/>
      <c r="FI12" s="156"/>
      <c r="FJ12" s="156"/>
      <c r="FK12" s="156"/>
      <c r="FL12" s="156"/>
      <c r="FM12" s="156"/>
      <c r="FN12" s="156"/>
      <c r="FO12" s="156"/>
      <c r="FP12" s="156"/>
      <c r="FQ12" s="156"/>
      <c r="FR12" s="156"/>
      <c r="FS12" s="156"/>
      <c r="FT12" s="156"/>
      <c r="FU12" s="156"/>
      <c r="FV12" s="156"/>
      <c r="FW12" s="156"/>
      <c r="FX12" s="156"/>
      <c r="FY12" s="156"/>
      <c r="FZ12" s="156"/>
      <c r="GA12" s="156"/>
      <c r="GB12" s="156"/>
      <c r="GC12" s="156"/>
      <c r="GD12" s="156"/>
      <c r="GE12" s="156"/>
      <c r="GF12" s="156"/>
      <c r="GG12" s="156"/>
      <c r="GH12" s="156"/>
      <c r="GI12" s="156"/>
      <c r="GJ12" s="156"/>
      <c r="GK12" s="156"/>
      <c r="GL12" s="156"/>
      <c r="GM12" s="156"/>
      <c r="GN12" s="156"/>
      <c r="GO12" s="156"/>
      <c r="GP12" s="156"/>
      <c r="GQ12" s="156"/>
      <c r="GR12" s="156"/>
      <c r="GS12" s="156"/>
      <c r="GT12" s="156"/>
      <c r="GU12" s="156"/>
      <c r="GV12" s="156"/>
      <c r="GW12" s="156"/>
      <c r="GX12" s="156"/>
      <c r="GY12" s="156"/>
      <c r="GZ12" s="156"/>
      <c r="HA12" s="156"/>
      <c r="HB12" s="156"/>
      <c r="HC12" s="156"/>
      <c r="HD12" s="156"/>
      <c r="HE12" s="156"/>
      <c r="HF12" s="156"/>
      <c r="HG12" s="156"/>
      <c r="HH12" s="156"/>
      <c r="HI12" s="156"/>
      <c r="HJ12" s="156"/>
      <c r="HK12" s="156"/>
      <c r="HL12" s="156"/>
      <c r="HM12" s="156"/>
      <c r="HN12" s="156"/>
      <c r="HO12" s="156"/>
      <c r="HP12" s="156"/>
      <c r="HQ12" s="156"/>
      <c r="HR12" s="156"/>
      <c r="HS12" s="156"/>
      <c r="HT12" s="156"/>
      <c r="HU12" s="156"/>
      <c r="HV12" s="156"/>
      <c r="HW12" s="156"/>
      <c r="HX12" s="156"/>
      <c r="HY12" s="156"/>
      <c r="HZ12" s="156"/>
      <c r="IA12" s="156"/>
      <c r="IB12" s="156"/>
      <c r="IC12" s="156"/>
      <c r="ID12" s="156"/>
      <c r="IE12" s="156"/>
      <c r="IF12" s="156"/>
      <c r="IG12" s="156"/>
      <c r="IH12" s="156"/>
      <c r="II12" s="156"/>
      <c r="IJ12" s="156"/>
      <c r="IK12" s="156"/>
      <c r="IL12" s="156"/>
      <c r="IM12" s="156"/>
      <c r="IN12" s="156"/>
      <c r="IO12" s="156"/>
      <c r="IP12" s="156"/>
      <c r="IQ12" s="156"/>
      <c r="IR12" s="156"/>
      <c r="IS12" s="156"/>
      <c r="IT12" s="156"/>
      <c r="IU12" s="156"/>
      <c r="IV12" s="156"/>
      <c r="IW12" s="156"/>
      <c r="IX12" s="156"/>
      <c r="IY12" s="156"/>
      <c r="IZ12" s="156"/>
      <c r="JA12" s="156"/>
      <c r="JB12" s="156"/>
      <c r="JC12" s="156"/>
      <c r="JD12" s="156"/>
      <c r="JE12" s="156"/>
      <c r="JF12" s="156"/>
      <c r="JG12" s="156"/>
      <c r="JH12" s="156"/>
      <c r="JI12" s="156"/>
      <c r="JJ12" s="156"/>
      <c r="JK12" s="156"/>
      <c r="JL12" s="156"/>
      <c r="JM12" s="156"/>
      <c r="JN12" s="156"/>
      <c r="JO12" s="156"/>
      <c r="JP12" s="156"/>
      <c r="JQ12" s="156"/>
      <c r="JR12" s="156"/>
      <c r="JS12" s="156"/>
      <c r="JT12" s="156"/>
      <c r="JU12" s="156"/>
      <c r="JV12" s="156"/>
      <c r="JW12" s="156"/>
      <c r="JX12" s="156"/>
      <c r="JY12" s="156"/>
      <c r="JZ12" s="156"/>
      <c r="KA12" s="156"/>
      <c r="KB12" s="156"/>
      <c r="KC12" s="156"/>
      <c r="KD12" s="156"/>
      <c r="KE12" s="156"/>
    </row>
    <row r="13" spans="1:291" ht="35" customHeight="1">
      <c r="A13" s="42">
        <f>ROW()-2</f>
        <v>11</v>
      </c>
      <c r="B13" s="152" t="s">
        <v>2732</v>
      </c>
      <c r="C13" s="152" t="s">
        <v>2733</v>
      </c>
      <c r="D13" s="58" t="s">
        <v>2884</v>
      </c>
      <c r="E13" s="58" t="s">
        <v>2885</v>
      </c>
      <c r="F13" s="58" t="s">
        <v>2878</v>
      </c>
      <c r="G13" s="152" t="s">
        <v>34</v>
      </c>
      <c r="H13" s="152">
        <v>1</v>
      </c>
      <c r="I13" s="153">
        <v>0.465555555555556</v>
      </c>
      <c r="J13" s="154">
        <v>43962</v>
      </c>
      <c r="K13" s="153" t="s">
        <v>20</v>
      </c>
      <c r="L13" s="152">
        <v>4.99</v>
      </c>
      <c r="M13" s="155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6"/>
      <c r="CN13" s="156"/>
      <c r="CO13" s="156"/>
      <c r="CP13" s="156"/>
      <c r="CQ13" s="156"/>
      <c r="CR13" s="156"/>
      <c r="CS13" s="156"/>
      <c r="CT13" s="156"/>
      <c r="CU13" s="156"/>
      <c r="CV13" s="156"/>
      <c r="CW13" s="156"/>
      <c r="CX13" s="156"/>
      <c r="CY13" s="156"/>
      <c r="CZ13" s="156"/>
      <c r="DA13" s="156"/>
      <c r="DB13" s="156"/>
      <c r="DC13" s="156"/>
      <c r="DD13" s="156"/>
      <c r="DE13" s="156"/>
      <c r="DF13" s="156"/>
      <c r="DG13" s="156"/>
      <c r="DH13" s="156"/>
      <c r="DI13" s="156"/>
      <c r="DJ13" s="156"/>
      <c r="DK13" s="156"/>
      <c r="DL13" s="156"/>
      <c r="DM13" s="156"/>
      <c r="DN13" s="156"/>
      <c r="DO13" s="156"/>
      <c r="DP13" s="156"/>
      <c r="DQ13" s="156"/>
      <c r="DR13" s="156"/>
      <c r="DS13" s="156"/>
      <c r="DT13" s="156"/>
      <c r="DU13" s="156"/>
      <c r="DV13" s="156"/>
      <c r="DW13" s="156"/>
      <c r="DX13" s="156"/>
      <c r="DY13" s="156"/>
      <c r="DZ13" s="156"/>
      <c r="EA13" s="156"/>
      <c r="EB13" s="156"/>
      <c r="EC13" s="156"/>
      <c r="ED13" s="156"/>
      <c r="EE13" s="156"/>
      <c r="EF13" s="156"/>
      <c r="EG13" s="156"/>
      <c r="EH13" s="156"/>
      <c r="EI13" s="156"/>
      <c r="EJ13" s="156"/>
      <c r="EK13" s="156"/>
      <c r="EL13" s="156"/>
      <c r="EM13" s="156"/>
      <c r="EN13" s="156"/>
      <c r="EO13" s="156"/>
      <c r="EP13" s="156"/>
      <c r="EQ13" s="156"/>
      <c r="ER13" s="156"/>
      <c r="ES13" s="156"/>
      <c r="ET13" s="156"/>
      <c r="EU13" s="156"/>
      <c r="EV13" s="156"/>
      <c r="EW13" s="156"/>
      <c r="EX13" s="156"/>
      <c r="EY13" s="156"/>
      <c r="EZ13" s="156"/>
      <c r="FA13" s="156"/>
      <c r="FB13" s="156"/>
      <c r="FC13" s="156"/>
      <c r="FD13" s="156"/>
      <c r="FE13" s="156"/>
      <c r="FF13" s="156"/>
      <c r="FG13" s="156"/>
      <c r="FH13" s="156"/>
      <c r="FI13" s="156"/>
      <c r="FJ13" s="156"/>
      <c r="FK13" s="156"/>
      <c r="FL13" s="156"/>
      <c r="FM13" s="156"/>
      <c r="FN13" s="156"/>
      <c r="FO13" s="156"/>
      <c r="FP13" s="156"/>
      <c r="FQ13" s="156"/>
      <c r="FR13" s="156"/>
      <c r="FS13" s="156"/>
      <c r="FT13" s="156"/>
      <c r="FU13" s="156"/>
      <c r="FV13" s="156"/>
      <c r="FW13" s="156"/>
      <c r="FX13" s="156"/>
      <c r="FY13" s="156"/>
      <c r="FZ13" s="156"/>
      <c r="GA13" s="156"/>
      <c r="GB13" s="156"/>
      <c r="GC13" s="156"/>
      <c r="GD13" s="156"/>
      <c r="GE13" s="156"/>
      <c r="GF13" s="156"/>
      <c r="GG13" s="156"/>
      <c r="GH13" s="156"/>
      <c r="GI13" s="156"/>
      <c r="GJ13" s="156"/>
      <c r="GK13" s="156"/>
      <c r="GL13" s="156"/>
      <c r="GM13" s="156"/>
      <c r="GN13" s="156"/>
      <c r="GO13" s="156"/>
      <c r="GP13" s="156"/>
      <c r="GQ13" s="156"/>
      <c r="GR13" s="156"/>
      <c r="GS13" s="156"/>
      <c r="GT13" s="156"/>
      <c r="GU13" s="156"/>
      <c r="GV13" s="156"/>
      <c r="GW13" s="156"/>
      <c r="GX13" s="156"/>
      <c r="GY13" s="156"/>
      <c r="GZ13" s="156"/>
      <c r="HA13" s="156"/>
      <c r="HB13" s="156"/>
      <c r="HC13" s="156"/>
      <c r="HD13" s="156"/>
      <c r="HE13" s="156"/>
      <c r="HF13" s="156"/>
      <c r="HG13" s="156"/>
      <c r="HH13" s="156"/>
      <c r="HI13" s="156"/>
      <c r="HJ13" s="156"/>
      <c r="HK13" s="156"/>
      <c r="HL13" s="156"/>
      <c r="HM13" s="156"/>
      <c r="HN13" s="156"/>
      <c r="HO13" s="156"/>
      <c r="HP13" s="156"/>
      <c r="HQ13" s="156"/>
      <c r="HR13" s="156"/>
      <c r="HS13" s="156"/>
      <c r="HT13" s="156"/>
      <c r="HU13" s="156"/>
      <c r="HV13" s="156"/>
      <c r="HW13" s="156"/>
      <c r="HX13" s="156"/>
      <c r="HY13" s="156"/>
      <c r="HZ13" s="156"/>
      <c r="IA13" s="156"/>
      <c r="IB13" s="156"/>
      <c r="IC13" s="156"/>
      <c r="ID13" s="156"/>
      <c r="IE13" s="156"/>
      <c r="IF13" s="156"/>
      <c r="IG13" s="156"/>
      <c r="IH13" s="156"/>
      <c r="II13" s="156"/>
      <c r="IJ13" s="156"/>
      <c r="IK13" s="156"/>
      <c r="IL13" s="156"/>
      <c r="IM13" s="156"/>
      <c r="IN13" s="156"/>
      <c r="IO13" s="156"/>
      <c r="IP13" s="156"/>
      <c r="IQ13" s="156"/>
      <c r="IR13" s="156"/>
      <c r="IS13" s="156"/>
      <c r="IT13" s="156"/>
      <c r="IU13" s="156"/>
      <c r="IV13" s="156"/>
      <c r="IW13" s="156"/>
      <c r="IX13" s="156"/>
      <c r="IY13" s="156"/>
      <c r="IZ13" s="156"/>
      <c r="JA13" s="156"/>
      <c r="JB13" s="156"/>
      <c r="JC13" s="156"/>
      <c r="JD13" s="156"/>
      <c r="JE13" s="156"/>
      <c r="JF13" s="156"/>
      <c r="JG13" s="156"/>
      <c r="JH13" s="156"/>
      <c r="JI13" s="156"/>
      <c r="JJ13" s="156"/>
      <c r="JK13" s="156"/>
      <c r="JL13" s="156"/>
      <c r="JM13" s="156"/>
      <c r="JN13" s="156"/>
      <c r="JO13" s="156"/>
      <c r="JP13" s="156"/>
      <c r="JQ13" s="156"/>
      <c r="JR13" s="156"/>
      <c r="JS13" s="156"/>
      <c r="JT13" s="156"/>
      <c r="JU13" s="156"/>
      <c r="JV13" s="156"/>
      <c r="JW13" s="156"/>
      <c r="JX13" s="156"/>
      <c r="JY13" s="156"/>
      <c r="JZ13" s="156"/>
      <c r="KA13" s="156"/>
      <c r="KB13" s="156"/>
      <c r="KC13" s="156"/>
      <c r="KD13" s="156"/>
      <c r="KE13" s="156"/>
    </row>
    <row r="14" spans="1:291" ht="35" customHeight="1">
      <c r="A14" s="42">
        <f>ROW()-2</f>
        <v>12</v>
      </c>
      <c r="B14" s="152" t="s">
        <v>2732</v>
      </c>
      <c r="C14" s="152" t="s">
        <v>2733</v>
      </c>
      <c r="D14" s="58" t="s">
        <v>2895</v>
      </c>
      <c r="E14" s="58" t="s">
        <v>2896</v>
      </c>
      <c r="F14" s="58" t="s">
        <v>191</v>
      </c>
      <c r="G14" s="152" t="s">
        <v>34</v>
      </c>
      <c r="H14" s="152">
        <v>1</v>
      </c>
      <c r="I14" s="153">
        <v>0.30138888888888898</v>
      </c>
      <c r="J14" s="154">
        <v>43962</v>
      </c>
      <c r="K14" s="153" t="s">
        <v>20</v>
      </c>
      <c r="L14" s="152">
        <v>4.99</v>
      </c>
      <c r="M14" s="155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B14" s="156"/>
      <c r="DC14" s="156"/>
      <c r="DD14" s="156"/>
      <c r="DE14" s="156"/>
      <c r="DF14" s="156"/>
      <c r="DG14" s="156"/>
      <c r="DH14" s="156"/>
      <c r="DI14" s="156"/>
      <c r="DJ14" s="156"/>
      <c r="DK14" s="156"/>
      <c r="DL14" s="156"/>
      <c r="DM14" s="156"/>
      <c r="DN14" s="156"/>
      <c r="DO14" s="156"/>
      <c r="DP14" s="156"/>
      <c r="DQ14" s="156"/>
      <c r="DR14" s="156"/>
      <c r="DS14" s="156"/>
      <c r="DT14" s="156"/>
      <c r="DU14" s="156"/>
      <c r="DV14" s="156"/>
      <c r="DW14" s="156"/>
      <c r="DX14" s="156"/>
      <c r="DY14" s="156"/>
      <c r="DZ14" s="156"/>
      <c r="EA14" s="156"/>
      <c r="EB14" s="156"/>
      <c r="EC14" s="156"/>
      <c r="ED14" s="156"/>
      <c r="EE14" s="156"/>
      <c r="EF14" s="156"/>
      <c r="EG14" s="156"/>
      <c r="EH14" s="156"/>
      <c r="EI14" s="156"/>
      <c r="EJ14" s="156"/>
      <c r="EK14" s="156"/>
      <c r="EL14" s="156"/>
      <c r="EM14" s="156"/>
      <c r="EN14" s="156"/>
      <c r="EO14" s="156"/>
      <c r="EP14" s="156"/>
      <c r="EQ14" s="156"/>
      <c r="ER14" s="156"/>
      <c r="ES14" s="156"/>
      <c r="ET14" s="156"/>
      <c r="EU14" s="156"/>
      <c r="EV14" s="156"/>
      <c r="EW14" s="156"/>
      <c r="EX14" s="156"/>
      <c r="EY14" s="156"/>
      <c r="EZ14" s="156"/>
      <c r="FA14" s="156"/>
      <c r="FB14" s="156"/>
      <c r="FC14" s="156"/>
      <c r="FD14" s="156"/>
      <c r="FE14" s="156"/>
      <c r="FF14" s="156"/>
      <c r="FG14" s="156"/>
      <c r="FH14" s="156"/>
      <c r="FI14" s="156"/>
      <c r="FJ14" s="156"/>
      <c r="FK14" s="156"/>
      <c r="FL14" s="156"/>
      <c r="FM14" s="156"/>
      <c r="FN14" s="156"/>
      <c r="FO14" s="156"/>
      <c r="FP14" s="156"/>
      <c r="FQ14" s="156"/>
      <c r="FR14" s="156"/>
      <c r="FS14" s="156"/>
      <c r="FT14" s="156"/>
      <c r="FU14" s="156"/>
      <c r="FV14" s="156"/>
      <c r="FW14" s="156"/>
      <c r="FX14" s="156"/>
      <c r="FY14" s="156"/>
      <c r="FZ14" s="156"/>
      <c r="GA14" s="156"/>
      <c r="GB14" s="156"/>
      <c r="GC14" s="156"/>
      <c r="GD14" s="156"/>
      <c r="GE14" s="156"/>
      <c r="GF14" s="156"/>
      <c r="GG14" s="156"/>
      <c r="GH14" s="156"/>
      <c r="GI14" s="156"/>
      <c r="GJ14" s="156"/>
      <c r="GK14" s="156"/>
      <c r="GL14" s="156"/>
      <c r="GM14" s="156"/>
      <c r="GN14" s="156"/>
      <c r="GO14" s="156"/>
      <c r="GP14" s="156"/>
      <c r="GQ14" s="156"/>
      <c r="GR14" s="156"/>
      <c r="GS14" s="156"/>
      <c r="GT14" s="156"/>
      <c r="GU14" s="156"/>
      <c r="GV14" s="156"/>
      <c r="GW14" s="156"/>
      <c r="GX14" s="156"/>
      <c r="GY14" s="156"/>
      <c r="GZ14" s="156"/>
      <c r="HA14" s="156"/>
      <c r="HB14" s="156"/>
      <c r="HC14" s="156"/>
      <c r="HD14" s="156"/>
      <c r="HE14" s="156"/>
      <c r="HF14" s="156"/>
      <c r="HG14" s="156"/>
      <c r="HH14" s="156"/>
      <c r="HI14" s="156"/>
      <c r="HJ14" s="156"/>
      <c r="HK14" s="156"/>
      <c r="HL14" s="156"/>
      <c r="HM14" s="156"/>
      <c r="HN14" s="156"/>
      <c r="HO14" s="156"/>
      <c r="HP14" s="156"/>
      <c r="HQ14" s="156"/>
      <c r="HR14" s="156"/>
      <c r="HS14" s="156"/>
      <c r="HT14" s="156"/>
      <c r="HU14" s="156"/>
      <c r="HV14" s="156"/>
      <c r="HW14" s="156"/>
      <c r="HX14" s="156"/>
      <c r="HY14" s="156"/>
      <c r="HZ14" s="156"/>
      <c r="IA14" s="156"/>
      <c r="IB14" s="156"/>
      <c r="IC14" s="156"/>
      <c r="ID14" s="156"/>
      <c r="IE14" s="156"/>
      <c r="IF14" s="156"/>
      <c r="IG14" s="156"/>
      <c r="IH14" s="156"/>
      <c r="II14" s="156"/>
      <c r="IJ14" s="156"/>
      <c r="IK14" s="156"/>
      <c r="IL14" s="156"/>
      <c r="IM14" s="156"/>
      <c r="IN14" s="156"/>
      <c r="IO14" s="156"/>
      <c r="IP14" s="156"/>
      <c r="IQ14" s="156"/>
      <c r="IR14" s="156"/>
      <c r="IS14" s="156"/>
      <c r="IT14" s="156"/>
      <c r="IU14" s="156"/>
      <c r="IV14" s="156"/>
      <c r="IW14" s="156"/>
      <c r="IX14" s="156"/>
      <c r="IY14" s="156"/>
      <c r="IZ14" s="156"/>
      <c r="JA14" s="156"/>
      <c r="JB14" s="156"/>
      <c r="JC14" s="156"/>
      <c r="JD14" s="156"/>
      <c r="JE14" s="156"/>
      <c r="JF14" s="156"/>
      <c r="JG14" s="156"/>
      <c r="JH14" s="156"/>
      <c r="JI14" s="156"/>
      <c r="JJ14" s="156"/>
      <c r="JK14" s="156"/>
      <c r="JL14" s="156"/>
      <c r="JM14" s="156"/>
      <c r="JN14" s="156"/>
      <c r="JO14" s="156"/>
      <c r="JP14" s="156"/>
      <c r="JQ14" s="156"/>
      <c r="JR14" s="156"/>
      <c r="JS14" s="156"/>
      <c r="JT14" s="156"/>
      <c r="JU14" s="156"/>
      <c r="JV14" s="156"/>
      <c r="JW14" s="156"/>
      <c r="JX14" s="156"/>
      <c r="JY14" s="156"/>
      <c r="JZ14" s="156"/>
      <c r="KA14" s="156"/>
      <c r="KB14" s="156"/>
      <c r="KC14" s="156"/>
      <c r="KD14" s="156"/>
      <c r="KE14" s="156"/>
    </row>
    <row r="15" spans="1:291" ht="35" customHeight="1">
      <c r="A15" s="42">
        <f>ROW()-2</f>
        <v>13</v>
      </c>
      <c r="B15" s="152" t="s">
        <v>2732</v>
      </c>
      <c r="C15" s="152" t="s">
        <v>2733</v>
      </c>
      <c r="D15" s="58" t="s">
        <v>2897</v>
      </c>
      <c r="E15" s="58" t="s">
        <v>2898</v>
      </c>
      <c r="F15" s="58" t="s">
        <v>2899</v>
      </c>
      <c r="G15" s="152" t="s">
        <v>34</v>
      </c>
      <c r="H15" s="152">
        <v>1</v>
      </c>
      <c r="I15" s="153">
        <v>0.37944444444444397</v>
      </c>
      <c r="J15" s="154">
        <v>43962</v>
      </c>
      <c r="K15" s="153" t="s">
        <v>20</v>
      </c>
      <c r="L15" s="152">
        <v>4.99</v>
      </c>
      <c r="M15" s="155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 s="156"/>
      <c r="DC15" s="156"/>
      <c r="DD15" s="156"/>
      <c r="DE15" s="156"/>
      <c r="DF15" s="156"/>
      <c r="DG15" s="156"/>
      <c r="DH15" s="156"/>
      <c r="DI15" s="156"/>
      <c r="DJ15" s="156"/>
      <c r="DK15" s="156"/>
      <c r="DL15" s="156"/>
      <c r="DM15" s="156"/>
      <c r="DN15" s="156"/>
      <c r="DO15" s="156"/>
      <c r="DP15" s="156"/>
      <c r="DQ15" s="156"/>
      <c r="DR15" s="156"/>
      <c r="DS15" s="156"/>
      <c r="DT15" s="156"/>
      <c r="DU15" s="156"/>
      <c r="DV15" s="156"/>
      <c r="DW15" s="156"/>
      <c r="DX15" s="156"/>
      <c r="DY15" s="156"/>
      <c r="DZ15" s="156"/>
      <c r="EA15" s="156"/>
      <c r="EB15" s="156"/>
      <c r="EC15" s="156"/>
      <c r="ED15" s="156"/>
      <c r="EE15" s="156"/>
      <c r="EF15" s="156"/>
      <c r="EG15" s="156"/>
      <c r="EH15" s="156"/>
      <c r="EI15" s="156"/>
      <c r="EJ15" s="156"/>
      <c r="EK15" s="156"/>
      <c r="EL15" s="156"/>
      <c r="EM15" s="156"/>
      <c r="EN15" s="156"/>
      <c r="EO15" s="156"/>
      <c r="EP15" s="156"/>
      <c r="EQ15" s="156"/>
      <c r="ER15" s="156"/>
      <c r="ES15" s="156"/>
      <c r="ET15" s="156"/>
      <c r="EU15" s="156"/>
      <c r="EV15" s="156"/>
      <c r="EW15" s="156"/>
      <c r="EX15" s="156"/>
      <c r="EY15" s="156"/>
      <c r="EZ15" s="156"/>
      <c r="FA15" s="156"/>
      <c r="FB15" s="156"/>
      <c r="FC15" s="156"/>
      <c r="FD15" s="156"/>
      <c r="FE15" s="156"/>
      <c r="FF15" s="156"/>
      <c r="FG15" s="156"/>
      <c r="FH15" s="156"/>
      <c r="FI15" s="156"/>
      <c r="FJ15" s="156"/>
      <c r="FK15" s="156"/>
      <c r="FL15" s="156"/>
      <c r="FM15" s="156"/>
      <c r="FN15" s="156"/>
      <c r="FO15" s="156"/>
      <c r="FP15" s="156"/>
      <c r="FQ15" s="156"/>
      <c r="FR15" s="156"/>
      <c r="FS15" s="156"/>
      <c r="FT15" s="156"/>
      <c r="FU15" s="156"/>
      <c r="FV15" s="156"/>
      <c r="FW15" s="156"/>
      <c r="FX15" s="156"/>
      <c r="FY15" s="156"/>
      <c r="FZ15" s="156"/>
      <c r="GA15" s="156"/>
      <c r="GB15" s="156"/>
      <c r="GC15" s="156"/>
      <c r="GD15" s="156"/>
      <c r="GE15" s="156"/>
      <c r="GF15" s="156"/>
      <c r="GG15" s="156"/>
      <c r="GH15" s="156"/>
      <c r="GI15" s="156"/>
      <c r="GJ15" s="156"/>
      <c r="GK15" s="156"/>
      <c r="GL15" s="156"/>
      <c r="GM15" s="156"/>
      <c r="GN15" s="156"/>
      <c r="GO15" s="156"/>
      <c r="GP15" s="156"/>
      <c r="GQ15" s="156"/>
      <c r="GR15" s="156"/>
      <c r="GS15" s="156"/>
      <c r="GT15" s="156"/>
      <c r="GU15" s="156"/>
      <c r="GV15" s="156"/>
      <c r="GW15" s="156"/>
      <c r="GX15" s="156"/>
      <c r="GY15" s="156"/>
      <c r="GZ15" s="156"/>
      <c r="HA15" s="156"/>
      <c r="HB15" s="156"/>
      <c r="HC15" s="156"/>
      <c r="HD15" s="156"/>
      <c r="HE15" s="156"/>
      <c r="HF15" s="156"/>
      <c r="HG15" s="156"/>
      <c r="HH15" s="156"/>
      <c r="HI15" s="156"/>
      <c r="HJ15" s="156"/>
      <c r="HK15" s="156"/>
      <c r="HL15" s="156"/>
      <c r="HM15" s="156"/>
      <c r="HN15" s="156"/>
      <c r="HO15" s="156"/>
      <c r="HP15" s="156"/>
      <c r="HQ15" s="156"/>
      <c r="HR15" s="156"/>
      <c r="HS15" s="156"/>
      <c r="HT15" s="156"/>
      <c r="HU15" s="156"/>
      <c r="HV15" s="156"/>
      <c r="HW15" s="156"/>
      <c r="HX15" s="156"/>
      <c r="HY15" s="156"/>
      <c r="HZ15" s="156"/>
      <c r="IA15" s="156"/>
      <c r="IB15" s="156"/>
      <c r="IC15" s="156"/>
      <c r="ID15" s="156"/>
      <c r="IE15" s="156"/>
      <c r="IF15" s="156"/>
      <c r="IG15" s="156"/>
      <c r="IH15" s="156"/>
      <c r="II15" s="156"/>
      <c r="IJ15" s="156"/>
      <c r="IK15" s="156"/>
      <c r="IL15" s="156"/>
      <c r="IM15" s="156"/>
      <c r="IN15" s="156"/>
      <c r="IO15" s="156"/>
      <c r="IP15" s="156"/>
      <c r="IQ15" s="156"/>
      <c r="IR15" s="156"/>
      <c r="IS15" s="156"/>
      <c r="IT15" s="156"/>
      <c r="IU15" s="156"/>
      <c r="IV15" s="156"/>
      <c r="IW15" s="156"/>
      <c r="IX15" s="156"/>
      <c r="IY15" s="156"/>
      <c r="IZ15" s="156"/>
      <c r="JA15" s="156"/>
      <c r="JB15" s="156"/>
      <c r="JC15" s="156"/>
      <c r="JD15" s="156"/>
      <c r="JE15" s="156"/>
      <c r="JF15" s="156"/>
      <c r="JG15" s="156"/>
      <c r="JH15" s="156"/>
      <c r="JI15" s="156"/>
      <c r="JJ15" s="156"/>
      <c r="JK15" s="156"/>
      <c r="JL15" s="156"/>
      <c r="JM15" s="156"/>
      <c r="JN15" s="156"/>
      <c r="JO15" s="156"/>
      <c r="JP15" s="156"/>
      <c r="JQ15" s="156"/>
      <c r="JR15" s="156"/>
      <c r="JS15" s="156"/>
      <c r="JT15" s="156"/>
      <c r="JU15" s="156"/>
      <c r="JV15" s="156"/>
      <c r="JW15" s="156"/>
      <c r="JX15" s="156"/>
      <c r="JY15" s="156"/>
      <c r="JZ15" s="156"/>
      <c r="KA15" s="156"/>
      <c r="KB15" s="156"/>
      <c r="KC15" s="156"/>
      <c r="KD15" s="156"/>
      <c r="KE15" s="156"/>
    </row>
    <row r="16" spans="1:291" ht="35" customHeight="1">
      <c r="A16" s="42">
        <f>ROW()-2</f>
        <v>14</v>
      </c>
      <c r="B16" s="152" t="s">
        <v>2732</v>
      </c>
      <c r="C16" s="152" t="s">
        <v>2733</v>
      </c>
      <c r="D16" s="58" t="s">
        <v>2917</v>
      </c>
      <c r="E16" s="58" t="s">
        <v>2918</v>
      </c>
      <c r="F16" s="58" t="s">
        <v>2919</v>
      </c>
      <c r="G16" s="152" t="s">
        <v>34</v>
      </c>
      <c r="H16" s="152">
        <v>1</v>
      </c>
      <c r="I16" s="153">
        <v>0.40083333333333299</v>
      </c>
      <c r="J16" s="154">
        <v>43962</v>
      </c>
      <c r="K16" s="153" t="s">
        <v>20</v>
      </c>
      <c r="L16" s="152">
        <v>4.99</v>
      </c>
      <c r="M16" s="155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6"/>
      <c r="CN16" s="156"/>
      <c r="CO16" s="156"/>
      <c r="CP16" s="156"/>
      <c r="CQ16" s="156"/>
      <c r="CR16" s="156"/>
      <c r="CS16" s="156"/>
      <c r="CT16" s="156"/>
      <c r="CU16" s="156"/>
      <c r="CV16" s="156"/>
      <c r="CW16" s="156"/>
      <c r="CX16" s="156"/>
      <c r="CY16" s="156"/>
      <c r="CZ16" s="156"/>
      <c r="DA16" s="156"/>
      <c r="DB16" s="156"/>
      <c r="DC16" s="156"/>
      <c r="DD16" s="156"/>
      <c r="DE16" s="156"/>
      <c r="DF16" s="156"/>
      <c r="DG16" s="156"/>
      <c r="DH16" s="156"/>
      <c r="DI16" s="156"/>
      <c r="DJ16" s="156"/>
      <c r="DK16" s="156"/>
      <c r="DL16" s="156"/>
      <c r="DM16" s="156"/>
      <c r="DN16" s="156"/>
      <c r="DO16" s="156"/>
      <c r="DP16" s="156"/>
      <c r="DQ16" s="156"/>
      <c r="DR16" s="156"/>
      <c r="DS16" s="156"/>
      <c r="DT16" s="156"/>
      <c r="DU16" s="156"/>
      <c r="DV16" s="156"/>
      <c r="DW16" s="156"/>
      <c r="DX16" s="156"/>
      <c r="DY16" s="156"/>
      <c r="DZ16" s="156"/>
      <c r="EA16" s="156"/>
      <c r="EB16" s="156"/>
      <c r="EC16" s="156"/>
      <c r="ED16" s="156"/>
      <c r="EE16" s="156"/>
      <c r="EF16" s="156"/>
      <c r="EG16" s="156"/>
      <c r="EH16" s="156"/>
      <c r="EI16" s="156"/>
      <c r="EJ16" s="156"/>
      <c r="EK16" s="156"/>
      <c r="EL16" s="156"/>
      <c r="EM16" s="156"/>
      <c r="EN16" s="156"/>
      <c r="EO16" s="156"/>
      <c r="EP16" s="156"/>
      <c r="EQ16" s="156"/>
      <c r="ER16" s="156"/>
      <c r="ES16" s="156"/>
      <c r="ET16" s="156"/>
      <c r="EU16" s="156"/>
      <c r="EV16" s="156"/>
      <c r="EW16" s="156"/>
      <c r="EX16" s="156"/>
      <c r="EY16" s="156"/>
      <c r="EZ16" s="156"/>
      <c r="FA16" s="156"/>
      <c r="FB16" s="156"/>
      <c r="FC16" s="156"/>
      <c r="FD16" s="156"/>
      <c r="FE16" s="156"/>
      <c r="FF16" s="156"/>
      <c r="FG16" s="156"/>
      <c r="FH16" s="156"/>
      <c r="FI16" s="156"/>
      <c r="FJ16" s="156"/>
      <c r="FK16" s="156"/>
      <c r="FL16" s="156"/>
      <c r="FM16" s="156"/>
      <c r="FN16" s="156"/>
      <c r="FO16" s="156"/>
      <c r="FP16" s="156"/>
      <c r="FQ16" s="156"/>
      <c r="FR16" s="156"/>
      <c r="FS16" s="156"/>
      <c r="FT16" s="156"/>
      <c r="FU16" s="156"/>
      <c r="FV16" s="156"/>
      <c r="FW16" s="156"/>
      <c r="FX16" s="156"/>
      <c r="FY16" s="156"/>
      <c r="FZ16" s="156"/>
      <c r="GA16" s="156"/>
      <c r="GB16" s="156"/>
      <c r="GC16" s="156"/>
      <c r="GD16" s="156"/>
      <c r="GE16" s="156"/>
      <c r="GF16" s="156"/>
      <c r="GG16" s="156"/>
      <c r="GH16" s="156"/>
      <c r="GI16" s="156"/>
      <c r="GJ16" s="156"/>
      <c r="GK16" s="156"/>
      <c r="GL16" s="156"/>
      <c r="GM16" s="156"/>
      <c r="GN16" s="156"/>
      <c r="GO16" s="156"/>
      <c r="GP16" s="156"/>
      <c r="GQ16" s="156"/>
      <c r="GR16" s="156"/>
      <c r="GS16" s="156"/>
      <c r="GT16" s="156"/>
      <c r="GU16" s="156"/>
      <c r="GV16" s="156"/>
      <c r="GW16" s="156"/>
      <c r="GX16" s="156"/>
      <c r="GY16" s="156"/>
      <c r="GZ16" s="156"/>
      <c r="HA16" s="156"/>
      <c r="HB16" s="156"/>
      <c r="HC16" s="156"/>
      <c r="HD16" s="156"/>
      <c r="HE16" s="156"/>
      <c r="HF16" s="156"/>
      <c r="HG16" s="156"/>
      <c r="HH16" s="156"/>
      <c r="HI16" s="156"/>
      <c r="HJ16" s="156"/>
      <c r="HK16" s="156"/>
      <c r="HL16" s="156"/>
      <c r="HM16" s="156"/>
      <c r="HN16" s="156"/>
      <c r="HO16" s="156"/>
      <c r="HP16" s="156"/>
      <c r="HQ16" s="156"/>
      <c r="HR16" s="156"/>
      <c r="HS16" s="156"/>
      <c r="HT16" s="156"/>
      <c r="HU16" s="156"/>
      <c r="HV16" s="156"/>
      <c r="HW16" s="156"/>
      <c r="HX16" s="156"/>
      <c r="HY16" s="156"/>
      <c r="HZ16" s="156"/>
      <c r="IA16" s="156"/>
      <c r="IB16" s="156"/>
      <c r="IC16" s="156"/>
      <c r="ID16" s="156"/>
      <c r="IE16" s="156"/>
      <c r="IF16" s="156"/>
      <c r="IG16" s="156"/>
      <c r="IH16" s="156"/>
      <c r="II16" s="156"/>
      <c r="IJ16" s="156"/>
      <c r="IK16" s="156"/>
      <c r="IL16" s="156"/>
      <c r="IM16" s="156"/>
      <c r="IN16" s="156"/>
      <c r="IO16" s="156"/>
      <c r="IP16" s="156"/>
      <c r="IQ16" s="156"/>
      <c r="IR16" s="156"/>
      <c r="IS16" s="156"/>
      <c r="IT16" s="156"/>
      <c r="IU16" s="156"/>
      <c r="IV16" s="156"/>
      <c r="IW16" s="156"/>
      <c r="IX16" s="156"/>
      <c r="IY16" s="156"/>
      <c r="IZ16" s="156"/>
      <c r="JA16" s="156"/>
      <c r="JB16" s="156"/>
      <c r="JC16" s="156"/>
      <c r="JD16" s="156"/>
      <c r="JE16" s="156"/>
      <c r="JF16" s="156"/>
      <c r="JG16" s="156"/>
      <c r="JH16" s="156"/>
      <c r="JI16" s="156"/>
      <c r="JJ16" s="156"/>
      <c r="JK16" s="156"/>
      <c r="JL16" s="156"/>
      <c r="JM16" s="156"/>
      <c r="JN16" s="156"/>
      <c r="JO16" s="156"/>
      <c r="JP16" s="156"/>
      <c r="JQ16" s="156"/>
      <c r="JR16" s="156"/>
      <c r="JS16" s="156"/>
      <c r="JT16" s="156"/>
      <c r="JU16" s="156"/>
      <c r="JV16" s="156"/>
      <c r="JW16" s="156"/>
      <c r="JX16" s="156"/>
      <c r="JY16" s="156"/>
      <c r="JZ16" s="156"/>
      <c r="KA16" s="156"/>
      <c r="KB16" s="156"/>
      <c r="KC16" s="156"/>
      <c r="KD16" s="156"/>
      <c r="KE16" s="156"/>
    </row>
    <row r="17" spans="1:291" ht="35" customHeight="1">
      <c r="A17" s="42">
        <f>ROW()-2</f>
        <v>15</v>
      </c>
      <c r="B17" s="152" t="s">
        <v>2732</v>
      </c>
      <c r="C17" s="152" t="s">
        <v>2733</v>
      </c>
      <c r="D17" s="58" t="s">
        <v>2920</v>
      </c>
      <c r="E17" s="58" t="s">
        <v>2921</v>
      </c>
      <c r="F17" s="58" t="s">
        <v>2801</v>
      </c>
      <c r="G17" s="152" t="s">
        <v>34</v>
      </c>
      <c r="H17" s="152">
        <v>1</v>
      </c>
      <c r="I17" s="153">
        <v>0.392777777777778</v>
      </c>
      <c r="J17" s="154">
        <v>43962</v>
      </c>
      <c r="K17" s="153" t="s">
        <v>20</v>
      </c>
      <c r="L17" s="152">
        <v>4.99</v>
      </c>
      <c r="M17" s="155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B17" s="156"/>
      <c r="DC17" s="156"/>
      <c r="DD17" s="156"/>
      <c r="DE17" s="156"/>
      <c r="DF17" s="156"/>
      <c r="DG17" s="156"/>
      <c r="DH17" s="156"/>
      <c r="DI17" s="156"/>
      <c r="DJ17" s="156"/>
      <c r="DK17" s="156"/>
      <c r="DL17" s="156"/>
      <c r="DM17" s="156"/>
      <c r="DN17" s="156"/>
      <c r="DO17" s="156"/>
      <c r="DP17" s="156"/>
      <c r="DQ17" s="156"/>
      <c r="DR17" s="156"/>
      <c r="DS17" s="156"/>
      <c r="DT17" s="156"/>
      <c r="DU17" s="156"/>
      <c r="DV17" s="156"/>
      <c r="DW17" s="156"/>
      <c r="DX17" s="156"/>
      <c r="DY17" s="156"/>
      <c r="DZ17" s="156"/>
      <c r="EA17" s="156"/>
      <c r="EB17" s="156"/>
      <c r="EC17" s="156"/>
      <c r="ED17" s="156"/>
      <c r="EE17" s="156"/>
      <c r="EF17" s="156"/>
      <c r="EG17" s="156"/>
      <c r="EH17" s="156"/>
      <c r="EI17" s="156"/>
      <c r="EJ17" s="156"/>
      <c r="EK17" s="156"/>
      <c r="EL17" s="156"/>
      <c r="EM17" s="156"/>
      <c r="EN17" s="156"/>
      <c r="EO17" s="156"/>
      <c r="EP17" s="156"/>
      <c r="EQ17" s="156"/>
      <c r="ER17" s="156"/>
      <c r="ES17" s="156"/>
      <c r="ET17" s="156"/>
      <c r="EU17" s="156"/>
      <c r="EV17" s="156"/>
      <c r="EW17" s="156"/>
      <c r="EX17" s="156"/>
      <c r="EY17" s="156"/>
      <c r="EZ17" s="156"/>
      <c r="FA17" s="156"/>
      <c r="FB17" s="156"/>
      <c r="FC17" s="156"/>
      <c r="FD17" s="156"/>
      <c r="FE17" s="156"/>
      <c r="FF17" s="156"/>
      <c r="FG17" s="156"/>
      <c r="FH17" s="156"/>
      <c r="FI17" s="156"/>
      <c r="FJ17" s="156"/>
      <c r="FK17" s="156"/>
      <c r="FL17" s="156"/>
      <c r="FM17" s="156"/>
      <c r="FN17" s="156"/>
      <c r="FO17" s="156"/>
      <c r="FP17" s="156"/>
      <c r="FQ17" s="156"/>
      <c r="FR17" s="156"/>
      <c r="FS17" s="156"/>
      <c r="FT17" s="156"/>
      <c r="FU17" s="156"/>
      <c r="FV17" s="156"/>
      <c r="FW17" s="156"/>
      <c r="FX17" s="156"/>
      <c r="FY17" s="156"/>
      <c r="FZ17" s="156"/>
      <c r="GA17" s="156"/>
      <c r="GB17" s="156"/>
      <c r="GC17" s="156"/>
      <c r="GD17" s="156"/>
      <c r="GE17" s="156"/>
      <c r="GF17" s="156"/>
      <c r="GG17" s="156"/>
      <c r="GH17" s="156"/>
      <c r="GI17" s="156"/>
      <c r="GJ17" s="156"/>
      <c r="GK17" s="156"/>
      <c r="GL17" s="156"/>
      <c r="GM17" s="156"/>
      <c r="GN17" s="156"/>
      <c r="GO17" s="156"/>
      <c r="GP17" s="156"/>
      <c r="GQ17" s="156"/>
      <c r="GR17" s="156"/>
      <c r="GS17" s="156"/>
      <c r="GT17" s="156"/>
      <c r="GU17" s="156"/>
      <c r="GV17" s="156"/>
      <c r="GW17" s="156"/>
      <c r="GX17" s="156"/>
      <c r="GY17" s="156"/>
      <c r="GZ17" s="156"/>
      <c r="HA17" s="156"/>
      <c r="HB17" s="156"/>
      <c r="HC17" s="156"/>
      <c r="HD17" s="156"/>
      <c r="HE17" s="156"/>
      <c r="HF17" s="156"/>
      <c r="HG17" s="156"/>
      <c r="HH17" s="156"/>
      <c r="HI17" s="156"/>
      <c r="HJ17" s="156"/>
      <c r="HK17" s="156"/>
      <c r="HL17" s="156"/>
      <c r="HM17" s="156"/>
      <c r="HN17" s="156"/>
      <c r="HO17" s="156"/>
      <c r="HP17" s="156"/>
      <c r="HQ17" s="156"/>
      <c r="HR17" s="156"/>
      <c r="HS17" s="156"/>
      <c r="HT17" s="156"/>
      <c r="HU17" s="156"/>
      <c r="HV17" s="156"/>
      <c r="HW17" s="156"/>
      <c r="HX17" s="156"/>
      <c r="HY17" s="156"/>
      <c r="HZ17" s="156"/>
      <c r="IA17" s="156"/>
      <c r="IB17" s="156"/>
      <c r="IC17" s="156"/>
      <c r="ID17" s="156"/>
      <c r="IE17" s="156"/>
      <c r="IF17" s="156"/>
      <c r="IG17" s="156"/>
      <c r="IH17" s="156"/>
      <c r="II17" s="156"/>
      <c r="IJ17" s="156"/>
      <c r="IK17" s="156"/>
      <c r="IL17" s="156"/>
      <c r="IM17" s="156"/>
      <c r="IN17" s="156"/>
      <c r="IO17" s="156"/>
      <c r="IP17" s="156"/>
      <c r="IQ17" s="156"/>
      <c r="IR17" s="156"/>
      <c r="IS17" s="156"/>
      <c r="IT17" s="156"/>
      <c r="IU17" s="156"/>
      <c r="IV17" s="156"/>
      <c r="IW17" s="156"/>
      <c r="IX17" s="156"/>
      <c r="IY17" s="156"/>
      <c r="IZ17" s="156"/>
      <c r="JA17" s="156"/>
      <c r="JB17" s="156"/>
      <c r="JC17" s="156"/>
      <c r="JD17" s="156"/>
      <c r="JE17" s="156"/>
      <c r="JF17" s="156"/>
      <c r="JG17" s="156"/>
      <c r="JH17" s="156"/>
      <c r="JI17" s="156"/>
      <c r="JJ17" s="156"/>
      <c r="JK17" s="156"/>
      <c r="JL17" s="156"/>
      <c r="JM17" s="156"/>
      <c r="JN17" s="156"/>
      <c r="JO17" s="156"/>
      <c r="JP17" s="156"/>
      <c r="JQ17" s="156"/>
      <c r="JR17" s="156"/>
      <c r="JS17" s="156"/>
      <c r="JT17" s="156"/>
      <c r="JU17" s="156"/>
      <c r="JV17" s="156"/>
      <c r="JW17" s="156"/>
      <c r="JX17" s="156"/>
      <c r="JY17" s="156"/>
      <c r="JZ17" s="156"/>
      <c r="KA17" s="156"/>
      <c r="KB17" s="156"/>
      <c r="KC17" s="156"/>
      <c r="KD17" s="156"/>
      <c r="KE17" s="156"/>
    </row>
    <row r="18" spans="1:291" ht="35" customHeight="1">
      <c r="A18" s="42">
        <f>ROW()-2</f>
        <v>16</v>
      </c>
      <c r="B18" s="152" t="s">
        <v>2732</v>
      </c>
      <c r="C18" s="152" t="s">
        <v>2733</v>
      </c>
      <c r="D18" s="58" t="s">
        <v>2922</v>
      </c>
      <c r="E18" s="58" t="s">
        <v>2921</v>
      </c>
      <c r="F18" s="58" t="s">
        <v>2801</v>
      </c>
      <c r="G18" s="152" t="s">
        <v>34</v>
      </c>
      <c r="H18" s="152">
        <v>1</v>
      </c>
      <c r="I18" s="153">
        <v>0.59166666666666701</v>
      </c>
      <c r="J18" s="154">
        <v>43962</v>
      </c>
      <c r="K18" s="153" t="s">
        <v>20</v>
      </c>
      <c r="L18" s="152">
        <v>4.99</v>
      </c>
      <c r="M18" s="155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B18" s="156"/>
      <c r="DC18" s="156"/>
      <c r="DD18" s="156"/>
      <c r="DE18" s="156"/>
      <c r="DF18" s="156"/>
      <c r="DG18" s="156"/>
      <c r="DH18" s="156"/>
      <c r="DI18" s="156"/>
      <c r="DJ18" s="156"/>
      <c r="DK18" s="156"/>
      <c r="DL18" s="156"/>
      <c r="DM18" s="156"/>
      <c r="DN18" s="156"/>
      <c r="DO18" s="156"/>
      <c r="DP18" s="156"/>
      <c r="DQ18" s="156"/>
      <c r="DR18" s="156"/>
      <c r="DS18" s="156"/>
      <c r="DT18" s="156"/>
      <c r="DU18" s="156"/>
      <c r="DV18" s="156"/>
      <c r="DW18" s="156"/>
      <c r="DX18" s="156"/>
      <c r="DY18" s="156"/>
      <c r="DZ18" s="156"/>
      <c r="EA18" s="156"/>
      <c r="EB18" s="156"/>
      <c r="EC18" s="156"/>
      <c r="ED18" s="156"/>
      <c r="EE18" s="156"/>
      <c r="EF18" s="156"/>
      <c r="EG18" s="156"/>
      <c r="EH18" s="156"/>
      <c r="EI18" s="156"/>
      <c r="EJ18" s="156"/>
      <c r="EK18" s="156"/>
      <c r="EL18" s="156"/>
      <c r="EM18" s="156"/>
      <c r="EN18" s="156"/>
      <c r="EO18" s="156"/>
      <c r="EP18" s="156"/>
      <c r="EQ18" s="156"/>
      <c r="ER18" s="156"/>
      <c r="ES18" s="156"/>
      <c r="ET18" s="156"/>
      <c r="EU18" s="156"/>
      <c r="EV18" s="156"/>
      <c r="EW18" s="156"/>
      <c r="EX18" s="156"/>
      <c r="EY18" s="156"/>
      <c r="EZ18" s="156"/>
      <c r="FA18" s="156"/>
      <c r="FB18" s="156"/>
      <c r="FC18" s="156"/>
      <c r="FD18" s="156"/>
      <c r="FE18" s="156"/>
      <c r="FF18" s="156"/>
      <c r="FG18" s="156"/>
      <c r="FH18" s="156"/>
      <c r="FI18" s="156"/>
      <c r="FJ18" s="156"/>
      <c r="FK18" s="156"/>
      <c r="FL18" s="156"/>
      <c r="FM18" s="156"/>
      <c r="FN18" s="156"/>
      <c r="FO18" s="156"/>
      <c r="FP18" s="156"/>
      <c r="FQ18" s="156"/>
      <c r="FR18" s="156"/>
      <c r="FS18" s="156"/>
      <c r="FT18" s="156"/>
      <c r="FU18" s="156"/>
      <c r="FV18" s="156"/>
      <c r="FW18" s="156"/>
      <c r="FX18" s="156"/>
      <c r="FY18" s="156"/>
      <c r="FZ18" s="156"/>
      <c r="GA18" s="156"/>
      <c r="GB18" s="156"/>
      <c r="GC18" s="156"/>
      <c r="GD18" s="156"/>
      <c r="GE18" s="156"/>
      <c r="GF18" s="156"/>
      <c r="GG18" s="156"/>
      <c r="GH18" s="156"/>
      <c r="GI18" s="156"/>
      <c r="GJ18" s="156"/>
      <c r="GK18" s="156"/>
      <c r="GL18" s="156"/>
      <c r="GM18" s="156"/>
      <c r="GN18" s="156"/>
      <c r="GO18" s="156"/>
      <c r="GP18" s="156"/>
      <c r="GQ18" s="156"/>
      <c r="GR18" s="156"/>
      <c r="GS18" s="156"/>
      <c r="GT18" s="156"/>
      <c r="GU18" s="156"/>
      <c r="GV18" s="156"/>
      <c r="GW18" s="156"/>
      <c r="GX18" s="156"/>
      <c r="GY18" s="156"/>
      <c r="GZ18" s="156"/>
      <c r="HA18" s="156"/>
      <c r="HB18" s="156"/>
      <c r="HC18" s="156"/>
      <c r="HD18" s="156"/>
      <c r="HE18" s="156"/>
      <c r="HF18" s="156"/>
      <c r="HG18" s="156"/>
      <c r="HH18" s="156"/>
      <c r="HI18" s="156"/>
      <c r="HJ18" s="156"/>
      <c r="HK18" s="156"/>
      <c r="HL18" s="156"/>
      <c r="HM18" s="156"/>
      <c r="HN18" s="156"/>
      <c r="HO18" s="156"/>
      <c r="HP18" s="156"/>
      <c r="HQ18" s="156"/>
      <c r="HR18" s="156"/>
      <c r="HS18" s="156"/>
      <c r="HT18" s="156"/>
      <c r="HU18" s="156"/>
      <c r="HV18" s="156"/>
      <c r="HW18" s="156"/>
      <c r="HX18" s="156"/>
      <c r="HY18" s="156"/>
      <c r="HZ18" s="156"/>
      <c r="IA18" s="156"/>
      <c r="IB18" s="156"/>
      <c r="IC18" s="156"/>
      <c r="ID18" s="156"/>
      <c r="IE18" s="156"/>
      <c r="IF18" s="156"/>
      <c r="IG18" s="156"/>
      <c r="IH18" s="156"/>
      <c r="II18" s="156"/>
      <c r="IJ18" s="156"/>
      <c r="IK18" s="156"/>
      <c r="IL18" s="156"/>
      <c r="IM18" s="156"/>
      <c r="IN18" s="156"/>
      <c r="IO18" s="156"/>
      <c r="IP18" s="156"/>
      <c r="IQ18" s="156"/>
      <c r="IR18" s="156"/>
      <c r="IS18" s="156"/>
      <c r="IT18" s="156"/>
      <c r="IU18" s="156"/>
      <c r="IV18" s="156"/>
      <c r="IW18" s="156"/>
      <c r="IX18" s="156"/>
      <c r="IY18" s="156"/>
      <c r="IZ18" s="156"/>
      <c r="JA18" s="156"/>
      <c r="JB18" s="156"/>
      <c r="JC18" s="156"/>
      <c r="JD18" s="156"/>
      <c r="JE18" s="156"/>
      <c r="JF18" s="156"/>
      <c r="JG18" s="156"/>
      <c r="JH18" s="156"/>
      <c r="JI18" s="156"/>
      <c r="JJ18" s="156"/>
      <c r="JK18" s="156"/>
      <c r="JL18" s="156"/>
      <c r="JM18" s="156"/>
      <c r="JN18" s="156"/>
      <c r="JO18" s="156"/>
      <c r="JP18" s="156"/>
      <c r="JQ18" s="156"/>
      <c r="JR18" s="156"/>
      <c r="JS18" s="156"/>
      <c r="JT18" s="156"/>
      <c r="JU18" s="156"/>
      <c r="JV18" s="156"/>
      <c r="JW18" s="156"/>
      <c r="JX18" s="156"/>
      <c r="JY18" s="156"/>
      <c r="JZ18" s="156"/>
      <c r="KA18" s="156"/>
      <c r="KB18" s="156"/>
      <c r="KC18" s="156"/>
      <c r="KD18" s="156"/>
      <c r="KE18" s="156"/>
    </row>
    <row r="19" spans="1:291" ht="35" customHeight="1">
      <c r="A19" s="42">
        <f>ROW()-2</f>
        <v>17</v>
      </c>
      <c r="B19" s="152" t="s">
        <v>2732</v>
      </c>
      <c r="C19" s="152" t="s">
        <v>2733</v>
      </c>
      <c r="D19" s="58" t="s">
        <v>2923</v>
      </c>
      <c r="E19" s="58" t="s">
        <v>2924</v>
      </c>
      <c r="F19" s="58" t="s">
        <v>2919</v>
      </c>
      <c r="G19" s="152" t="s">
        <v>34</v>
      </c>
      <c r="H19" s="152">
        <v>1</v>
      </c>
      <c r="I19" s="153">
        <v>0.41638888888888897</v>
      </c>
      <c r="J19" s="154">
        <v>43962</v>
      </c>
      <c r="K19" s="153" t="s">
        <v>20</v>
      </c>
      <c r="L19" s="152">
        <v>4.99</v>
      </c>
      <c r="M19" s="155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6"/>
      <c r="CN19" s="156"/>
      <c r="CO19" s="156"/>
      <c r="CP19" s="156"/>
      <c r="CQ19" s="156"/>
      <c r="CR19" s="156"/>
      <c r="CS19" s="156"/>
      <c r="CT19" s="156"/>
      <c r="CU19" s="156"/>
      <c r="CV19" s="156"/>
      <c r="CW19" s="156"/>
      <c r="CX19" s="156"/>
      <c r="CY19" s="156"/>
      <c r="CZ19" s="156"/>
      <c r="DA19" s="156"/>
      <c r="DB19" s="156"/>
      <c r="DC19" s="156"/>
      <c r="DD19" s="156"/>
      <c r="DE19" s="156"/>
      <c r="DF19" s="156"/>
      <c r="DG19" s="156"/>
      <c r="DH19" s="156"/>
      <c r="DI19" s="156"/>
      <c r="DJ19" s="156"/>
      <c r="DK19" s="156"/>
      <c r="DL19" s="156"/>
      <c r="DM19" s="156"/>
      <c r="DN19" s="156"/>
      <c r="DO19" s="156"/>
      <c r="DP19" s="156"/>
      <c r="DQ19" s="156"/>
      <c r="DR19" s="156"/>
      <c r="DS19" s="156"/>
      <c r="DT19" s="156"/>
      <c r="DU19" s="156"/>
      <c r="DV19" s="156"/>
      <c r="DW19" s="156"/>
      <c r="DX19" s="156"/>
      <c r="DY19" s="156"/>
      <c r="DZ19" s="156"/>
      <c r="EA19" s="156"/>
      <c r="EB19" s="156"/>
      <c r="EC19" s="156"/>
      <c r="ED19" s="156"/>
      <c r="EE19" s="156"/>
      <c r="EF19" s="156"/>
      <c r="EG19" s="156"/>
      <c r="EH19" s="156"/>
      <c r="EI19" s="156"/>
      <c r="EJ19" s="156"/>
      <c r="EK19" s="156"/>
      <c r="EL19" s="156"/>
      <c r="EM19" s="156"/>
      <c r="EN19" s="156"/>
      <c r="EO19" s="156"/>
      <c r="EP19" s="156"/>
      <c r="EQ19" s="156"/>
      <c r="ER19" s="156"/>
      <c r="ES19" s="156"/>
      <c r="ET19" s="156"/>
      <c r="EU19" s="156"/>
      <c r="EV19" s="156"/>
      <c r="EW19" s="156"/>
      <c r="EX19" s="156"/>
      <c r="EY19" s="156"/>
      <c r="EZ19" s="156"/>
      <c r="FA19" s="156"/>
      <c r="FB19" s="156"/>
      <c r="FC19" s="156"/>
      <c r="FD19" s="156"/>
      <c r="FE19" s="156"/>
      <c r="FF19" s="156"/>
      <c r="FG19" s="156"/>
      <c r="FH19" s="156"/>
      <c r="FI19" s="156"/>
      <c r="FJ19" s="156"/>
      <c r="FK19" s="156"/>
      <c r="FL19" s="156"/>
      <c r="FM19" s="156"/>
      <c r="FN19" s="156"/>
      <c r="FO19" s="156"/>
      <c r="FP19" s="156"/>
      <c r="FQ19" s="156"/>
      <c r="FR19" s="156"/>
      <c r="FS19" s="156"/>
      <c r="FT19" s="156"/>
      <c r="FU19" s="156"/>
      <c r="FV19" s="156"/>
      <c r="FW19" s="156"/>
      <c r="FX19" s="156"/>
      <c r="FY19" s="156"/>
      <c r="FZ19" s="156"/>
      <c r="GA19" s="156"/>
      <c r="GB19" s="156"/>
      <c r="GC19" s="156"/>
      <c r="GD19" s="156"/>
      <c r="GE19" s="156"/>
      <c r="GF19" s="156"/>
      <c r="GG19" s="156"/>
      <c r="GH19" s="156"/>
      <c r="GI19" s="156"/>
      <c r="GJ19" s="156"/>
      <c r="GK19" s="156"/>
      <c r="GL19" s="156"/>
      <c r="GM19" s="156"/>
      <c r="GN19" s="156"/>
      <c r="GO19" s="156"/>
      <c r="GP19" s="156"/>
      <c r="GQ19" s="156"/>
      <c r="GR19" s="156"/>
      <c r="GS19" s="156"/>
      <c r="GT19" s="156"/>
      <c r="GU19" s="156"/>
      <c r="GV19" s="156"/>
      <c r="GW19" s="156"/>
      <c r="GX19" s="156"/>
      <c r="GY19" s="156"/>
      <c r="GZ19" s="156"/>
      <c r="HA19" s="156"/>
      <c r="HB19" s="156"/>
      <c r="HC19" s="156"/>
      <c r="HD19" s="156"/>
      <c r="HE19" s="156"/>
      <c r="HF19" s="156"/>
      <c r="HG19" s="156"/>
      <c r="HH19" s="156"/>
      <c r="HI19" s="156"/>
      <c r="HJ19" s="156"/>
      <c r="HK19" s="156"/>
      <c r="HL19" s="156"/>
      <c r="HM19" s="156"/>
      <c r="HN19" s="156"/>
      <c r="HO19" s="156"/>
      <c r="HP19" s="156"/>
      <c r="HQ19" s="156"/>
      <c r="HR19" s="156"/>
      <c r="HS19" s="156"/>
      <c r="HT19" s="156"/>
      <c r="HU19" s="156"/>
      <c r="HV19" s="156"/>
      <c r="HW19" s="156"/>
      <c r="HX19" s="156"/>
      <c r="HY19" s="156"/>
      <c r="HZ19" s="156"/>
      <c r="IA19" s="156"/>
      <c r="IB19" s="156"/>
      <c r="IC19" s="156"/>
      <c r="ID19" s="156"/>
      <c r="IE19" s="156"/>
      <c r="IF19" s="156"/>
      <c r="IG19" s="156"/>
      <c r="IH19" s="156"/>
      <c r="II19" s="156"/>
      <c r="IJ19" s="156"/>
      <c r="IK19" s="156"/>
      <c r="IL19" s="156"/>
      <c r="IM19" s="156"/>
      <c r="IN19" s="156"/>
      <c r="IO19" s="156"/>
      <c r="IP19" s="156"/>
      <c r="IQ19" s="156"/>
      <c r="IR19" s="156"/>
      <c r="IS19" s="156"/>
      <c r="IT19" s="156"/>
      <c r="IU19" s="156"/>
      <c r="IV19" s="156"/>
      <c r="IW19" s="156"/>
      <c r="IX19" s="156"/>
      <c r="IY19" s="156"/>
      <c r="IZ19" s="156"/>
      <c r="JA19" s="156"/>
      <c r="JB19" s="156"/>
      <c r="JC19" s="156"/>
      <c r="JD19" s="156"/>
      <c r="JE19" s="156"/>
      <c r="JF19" s="156"/>
      <c r="JG19" s="156"/>
      <c r="JH19" s="156"/>
      <c r="JI19" s="156"/>
      <c r="JJ19" s="156"/>
      <c r="JK19" s="156"/>
      <c r="JL19" s="156"/>
      <c r="JM19" s="156"/>
      <c r="JN19" s="156"/>
      <c r="JO19" s="156"/>
      <c r="JP19" s="156"/>
      <c r="JQ19" s="156"/>
      <c r="JR19" s="156"/>
      <c r="JS19" s="156"/>
      <c r="JT19" s="156"/>
      <c r="JU19" s="156"/>
      <c r="JV19" s="156"/>
      <c r="JW19" s="156"/>
      <c r="JX19" s="156"/>
      <c r="JY19" s="156"/>
      <c r="JZ19" s="156"/>
      <c r="KA19" s="156"/>
      <c r="KB19" s="156"/>
      <c r="KC19" s="156"/>
      <c r="KD19" s="156"/>
      <c r="KE19" s="156"/>
    </row>
    <row r="20" spans="1:291" ht="35" customHeight="1">
      <c r="A20" s="42">
        <f>ROW()-2</f>
        <v>18</v>
      </c>
      <c r="B20" s="42" t="s">
        <v>2732</v>
      </c>
      <c r="C20" s="42" t="s">
        <v>2733</v>
      </c>
      <c r="D20" s="43" t="s">
        <v>2749</v>
      </c>
      <c r="E20" s="43" t="s">
        <v>2750</v>
      </c>
      <c r="F20" s="43" t="s">
        <v>2751</v>
      </c>
      <c r="G20" s="42" t="s">
        <v>34</v>
      </c>
      <c r="H20" s="42">
        <v>1</v>
      </c>
      <c r="I20" s="44">
        <v>0.56861111111111096</v>
      </c>
      <c r="J20" s="45">
        <v>43978</v>
      </c>
      <c r="K20" s="44" t="s">
        <v>20</v>
      </c>
      <c r="L20" s="42">
        <v>4.99</v>
      </c>
      <c r="M20" s="25"/>
    </row>
    <row r="21" spans="1:291" ht="35" customHeight="1">
      <c r="A21" s="42">
        <f>ROW()-2</f>
        <v>19</v>
      </c>
      <c r="B21" s="42" t="s">
        <v>2732</v>
      </c>
      <c r="C21" s="42" t="s">
        <v>2733</v>
      </c>
      <c r="D21" s="43" t="s">
        <v>2752</v>
      </c>
      <c r="E21" s="43" t="s">
        <v>2753</v>
      </c>
      <c r="F21" s="43" t="s">
        <v>2751</v>
      </c>
      <c r="G21" s="42" t="s">
        <v>34</v>
      </c>
      <c r="H21" s="42">
        <v>1</v>
      </c>
      <c r="I21" s="44">
        <v>0.484722222222222</v>
      </c>
      <c r="J21" s="45">
        <v>43978</v>
      </c>
      <c r="K21" s="44" t="s">
        <v>20</v>
      </c>
      <c r="L21" s="42">
        <v>4.99</v>
      </c>
      <c r="M21" s="25"/>
    </row>
    <row r="22" spans="1:291" ht="35" customHeight="1">
      <c r="A22" s="42">
        <f>ROW()-2</f>
        <v>20</v>
      </c>
      <c r="B22" s="42" t="s">
        <v>2732</v>
      </c>
      <c r="C22" s="42" t="s">
        <v>2733</v>
      </c>
      <c r="D22" s="43" t="s">
        <v>2756</v>
      </c>
      <c r="E22" s="43" t="s">
        <v>2757</v>
      </c>
      <c r="F22" s="43" t="s">
        <v>2751</v>
      </c>
      <c r="G22" s="42" t="s">
        <v>34</v>
      </c>
      <c r="H22" s="42">
        <v>1</v>
      </c>
      <c r="I22" s="44">
        <v>0.39388888888888901</v>
      </c>
      <c r="J22" s="45">
        <v>43978</v>
      </c>
      <c r="K22" s="44" t="s">
        <v>20</v>
      </c>
      <c r="L22" s="42">
        <v>4.99</v>
      </c>
      <c r="M22" s="25"/>
    </row>
    <row r="23" spans="1:291" ht="35" customHeight="1">
      <c r="A23" s="42">
        <f>ROW()-2</f>
        <v>21</v>
      </c>
      <c r="B23" s="42" t="s">
        <v>2732</v>
      </c>
      <c r="C23" s="42" t="s">
        <v>2733</v>
      </c>
      <c r="D23" s="43" t="s">
        <v>2758</v>
      </c>
      <c r="E23" s="43" t="s">
        <v>2759</v>
      </c>
      <c r="F23" s="43" t="s">
        <v>2760</v>
      </c>
      <c r="G23" s="42" t="s">
        <v>34</v>
      </c>
      <c r="H23" s="42">
        <v>1</v>
      </c>
      <c r="I23" s="44">
        <v>0.470555555555556</v>
      </c>
      <c r="J23" s="45">
        <v>43978</v>
      </c>
      <c r="K23" s="44" t="s">
        <v>20</v>
      </c>
      <c r="L23" s="42">
        <v>4.99</v>
      </c>
      <c r="M23" s="25"/>
    </row>
    <row r="24" spans="1:291" s="156" customFormat="1" ht="35" customHeight="1">
      <c r="A24" s="42">
        <f>ROW()-2</f>
        <v>22</v>
      </c>
      <c r="B24" s="42" t="s">
        <v>2732</v>
      </c>
      <c r="C24" s="42" t="s">
        <v>2733</v>
      </c>
      <c r="D24" s="43" t="s">
        <v>2761</v>
      </c>
      <c r="E24" s="43" t="s">
        <v>2762</v>
      </c>
      <c r="F24" s="43" t="s">
        <v>2763</v>
      </c>
      <c r="G24" s="42" t="s">
        <v>34</v>
      </c>
      <c r="H24" s="42">
        <v>1</v>
      </c>
      <c r="I24" s="44">
        <v>0.44277777777777799</v>
      </c>
      <c r="J24" s="45">
        <v>43978</v>
      </c>
      <c r="K24" s="44" t="s">
        <v>20</v>
      </c>
      <c r="L24" s="42">
        <v>4.99</v>
      </c>
      <c r="M24" s="25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/>
      <c r="JT24" s="31"/>
      <c r="JU24" s="31"/>
      <c r="JV24" s="31"/>
      <c r="JW24" s="31"/>
      <c r="JX24" s="31"/>
      <c r="JY24" s="31"/>
      <c r="JZ24" s="31"/>
      <c r="KA24" s="31"/>
      <c r="KB24" s="31"/>
      <c r="KC24" s="31"/>
      <c r="KD24" s="31"/>
      <c r="KE24" s="31"/>
    </row>
    <row r="25" spans="1:291" s="156" customFormat="1" ht="35" customHeight="1">
      <c r="A25" s="42">
        <f>ROW()-2</f>
        <v>23</v>
      </c>
      <c r="B25" s="42" t="s">
        <v>2732</v>
      </c>
      <c r="C25" s="42" t="s">
        <v>2733</v>
      </c>
      <c r="D25" s="43" t="s">
        <v>2764</v>
      </c>
      <c r="E25" s="43" t="s">
        <v>2765</v>
      </c>
      <c r="F25" s="43" t="s">
        <v>2766</v>
      </c>
      <c r="G25" s="42" t="s">
        <v>34</v>
      </c>
      <c r="H25" s="42">
        <v>1</v>
      </c>
      <c r="I25" s="44">
        <v>0.55527777777777798</v>
      </c>
      <c r="J25" s="45">
        <v>43978</v>
      </c>
      <c r="K25" s="44" t="s">
        <v>20</v>
      </c>
      <c r="L25" s="42">
        <v>4.99</v>
      </c>
      <c r="M25" s="25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  <c r="JN25" s="31"/>
      <c r="JO25" s="31"/>
      <c r="JP25" s="31"/>
      <c r="JQ25" s="31"/>
      <c r="JR25" s="31"/>
      <c r="JS25" s="31"/>
      <c r="JT25" s="31"/>
      <c r="JU25" s="31"/>
      <c r="JV25" s="31"/>
      <c r="JW25" s="31"/>
      <c r="JX25" s="31"/>
      <c r="JY25" s="31"/>
      <c r="JZ25" s="31"/>
      <c r="KA25" s="31"/>
      <c r="KB25" s="31"/>
      <c r="KC25" s="31"/>
      <c r="KD25" s="31"/>
      <c r="KE25" s="31"/>
    </row>
    <row r="26" spans="1:291" s="156" customFormat="1" ht="35" customHeight="1">
      <c r="A26" s="42">
        <f>ROW()-2</f>
        <v>24</v>
      </c>
      <c r="B26" s="42" t="s">
        <v>2732</v>
      </c>
      <c r="C26" s="42" t="s">
        <v>2733</v>
      </c>
      <c r="D26" s="43" t="s">
        <v>2767</v>
      </c>
      <c r="E26" s="43" t="s">
        <v>2768</v>
      </c>
      <c r="F26" s="43" t="s">
        <v>2766</v>
      </c>
      <c r="G26" s="42" t="s">
        <v>34</v>
      </c>
      <c r="H26" s="42">
        <v>1</v>
      </c>
      <c r="I26" s="44">
        <v>0.58916666666666695</v>
      </c>
      <c r="J26" s="45">
        <v>43978</v>
      </c>
      <c r="K26" s="44" t="s">
        <v>20</v>
      </c>
      <c r="L26" s="42">
        <v>4.99</v>
      </c>
      <c r="M26" s="25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1"/>
      <c r="JP26" s="31"/>
      <c r="JQ26" s="31"/>
      <c r="JR26" s="31"/>
      <c r="JS26" s="31"/>
      <c r="JT26" s="31"/>
      <c r="JU26" s="31"/>
      <c r="JV26" s="31"/>
      <c r="JW26" s="31"/>
      <c r="JX26" s="31"/>
      <c r="JY26" s="31"/>
      <c r="JZ26" s="31"/>
      <c r="KA26" s="31"/>
      <c r="KB26" s="31"/>
      <c r="KC26" s="31"/>
      <c r="KD26" s="31"/>
      <c r="KE26" s="31"/>
    </row>
    <row r="27" spans="1:291" s="156" customFormat="1" ht="35" customHeight="1">
      <c r="A27" s="42">
        <f>ROW()-2</f>
        <v>25</v>
      </c>
      <c r="B27" s="42" t="s">
        <v>2732</v>
      </c>
      <c r="C27" s="42" t="s">
        <v>2733</v>
      </c>
      <c r="D27" s="43" t="s">
        <v>2769</v>
      </c>
      <c r="E27" s="43" t="s">
        <v>2770</v>
      </c>
      <c r="F27" s="43" t="s">
        <v>2766</v>
      </c>
      <c r="G27" s="42" t="s">
        <v>34</v>
      </c>
      <c r="H27" s="42">
        <v>1</v>
      </c>
      <c r="I27" s="44">
        <v>0.48666666666666702</v>
      </c>
      <c r="J27" s="45">
        <v>43978</v>
      </c>
      <c r="K27" s="44" t="s">
        <v>20</v>
      </c>
      <c r="L27" s="42">
        <v>4.99</v>
      </c>
      <c r="M27" s="25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  <c r="JH27" s="31"/>
      <c r="JI27" s="31"/>
      <c r="JJ27" s="31"/>
      <c r="JK27" s="31"/>
      <c r="JL27" s="31"/>
      <c r="JM27" s="31"/>
      <c r="JN27" s="31"/>
      <c r="JO27" s="31"/>
      <c r="JP27" s="31"/>
      <c r="JQ27" s="31"/>
      <c r="JR27" s="31"/>
      <c r="JS27" s="31"/>
      <c r="JT27" s="31"/>
      <c r="JU27" s="31"/>
      <c r="JV27" s="31"/>
      <c r="JW27" s="31"/>
      <c r="JX27" s="31"/>
      <c r="JY27" s="31"/>
      <c r="JZ27" s="31"/>
      <c r="KA27" s="31"/>
      <c r="KB27" s="31"/>
      <c r="KC27" s="31"/>
      <c r="KD27" s="31"/>
      <c r="KE27" s="31"/>
    </row>
    <row r="28" spans="1:291" s="156" customFormat="1" ht="35" customHeight="1">
      <c r="A28" s="42">
        <f>ROW()-2</f>
        <v>26</v>
      </c>
      <c r="B28" s="42" t="s">
        <v>2732</v>
      </c>
      <c r="C28" s="42" t="s">
        <v>2733</v>
      </c>
      <c r="D28" s="43" t="s">
        <v>2774</v>
      </c>
      <c r="E28" s="43" t="s">
        <v>2775</v>
      </c>
      <c r="F28" s="43" t="s">
        <v>2776</v>
      </c>
      <c r="G28" s="42" t="s">
        <v>34</v>
      </c>
      <c r="H28" s="42">
        <v>1</v>
      </c>
      <c r="I28" s="44">
        <v>0.38972222222222203</v>
      </c>
      <c r="J28" s="45">
        <v>43978</v>
      </c>
      <c r="K28" s="44" t="s">
        <v>20</v>
      </c>
      <c r="L28" s="42">
        <v>4.99</v>
      </c>
      <c r="M28" s="25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/>
      <c r="JT28" s="31"/>
      <c r="JU28" s="31"/>
      <c r="JV28" s="31"/>
      <c r="JW28" s="31"/>
      <c r="JX28" s="31"/>
      <c r="JY28" s="31"/>
      <c r="JZ28" s="31"/>
      <c r="KA28" s="31"/>
      <c r="KB28" s="31"/>
      <c r="KC28" s="31"/>
      <c r="KD28" s="31"/>
      <c r="KE28" s="31"/>
    </row>
    <row r="29" spans="1:291" s="156" customFormat="1" ht="35" customHeight="1">
      <c r="A29" s="42">
        <f>ROW()-2</f>
        <v>27</v>
      </c>
      <c r="B29" s="42" t="s">
        <v>2732</v>
      </c>
      <c r="C29" s="42" t="s">
        <v>2733</v>
      </c>
      <c r="D29" s="43" t="s">
        <v>2777</v>
      </c>
      <c r="E29" s="43" t="s">
        <v>2778</v>
      </c>
      <c r="F29" s="43" t="s">
        <v>2779</v>
      </c>
      <c r="G29" s="42" t="s">
        <v>34</v>
      </c>
      <c r="H29" s="42">
        <v>1</v>
      </c>
      <c r="I29" s="44">
        <v>0.57888888888888901</v>
      </c>
      <c r="J29" s="45">
        <v>43978</v>
      </c>
      <c r="K29" s="44" t="s">
        <v>20</v>
      </c>
      <c r="L29" s="42">
        <v>4.99</v>
      </c>
      <c r="M29" s="25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  <c r="IO29" s="31"/>
      <c r="IP29" s="31"/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  <c r="JH29" s="31"/>
      <c r="JI29" s="31"/>
      <c r="JJ29" s="31"/>
      <c r="JK29" s="31"/>
      <c r="JL29" s="31"/>
      <c r="JM29" s="31"/>
      <c r="JN29" s="31"/>
      <c r="JO29" s="31"/>
      <c r="JP29" s="31"/>
      <c r="JQ29" s="31"/>
      <c r="JR29" s="31"/>
      <c r="JS29" s="31"/>
      <c r="JT29" s="31"/>
      <c r="JU29" s="31"/>
      <c r="JV29" s="31"/>
      <c r="JW29" s="31"/>
      <c r="JX29" s="31"/>
      <c r="JY29" s="31"/>
      <c r="JZ29" s="31"/>
      <c r="KA29" s="31"/>
      <c r="KB29" s="31"/>
      <c r="KC29" s="31"/>
      <c r="KD29" s="31"/>
      <c r="KE29" s="31"/>
    </row>
    <row r="30" spans="1:291" s="156" customFormat="1" ht="35" customHeight="1">
      <c r="A30" s="42">
        <f>ROW()-2</f>
        <v>28</v>
      </c>
      <c r="B30" s="42" t="s">
        <v>2732</v>
      </c>
      <c r="C30" s="42" t="s">
        <v>2733</v>
      </c>
      <c r="D30" s="43" t="s">
        <v>2780</v>
      </c>
      <c r="E30" s="43" t="s">
        <v>2781</v>
      </c>
      <c r="F30" s="43" t="s">
        <v>2779</v>
      </c>
      <c r="G30" s="42" t="s">
        <v>34</v>
      </c>
      <c r="H30" s="42">
        <v>1</v>
      </c>
      <c r="I30" s="44">
        <v>0.580277777777778</v>
      </c>
      <c r="J30" s="45">
        <v>43978</v>
      </c>
      <c r="K30" s="44" t="s">
        <v>20</v>
      </c>
      <c r="L30" s="42">
        <v>4.99</v>
      </c>
      <c r="M30" s="2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  <c r="IB30" s="31"/>
      <c r="IC30" s="31"/>
      <c r="ID30" s="31"/>
      <c r="IE30" s="31"/>
      <c r="IF30" s="31"/>
      <c r="IG30" s="31"/>
      <c r="IH30" s="31"/>
      <c r="II30" s="31"/>
      <c r="IJ30" s="31"/>
      <c r="IK30" s="31"/>
      <c r="IL30" s="31"/>
      <c r="IM30" s="31"/>
      <c r="IN30" s="31"/>
      <c r="IO30" s="31"/>
      <c r="IP30" s="31"/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  <c r="JH30" s="31"/>
      <c r="JI30" s="31"/>
      <c r="JJ30" s="31"/>
      <c r="JK30" s="31"/>
      <c r="JL30" s="31"/>
      <c r="JM30" s="31"/>
      <c r="JN30" s="31"/>
      <c r="JO30" s="31"/>
      <c r="JP30" s="31"/>
      <c r="JQ30" s="31"/>
      <c r="JR30" s="31"/>
      <c r="JS30" s="31"/>
      <c r="JT30" s="31"/>
      <c r="JU30" s="31"/>
      <c r="JV30" s="31"/>
      <c r="JW30" s="31"/>
      <c r="JX30" s="31"/>
      <c r="JY30" s="31"/>
      <c r="JZ30" s="31"/>
      <c r="KA30" s="31"/>
      <c r="KB30" s="31"/>
      <c r="KC30" s="31"/>
      <c r="KD30" s="31"/>
      <c r="KE30" s="31"/>
    </row>
    <row r="31" spans="1:291" s="156" customFormat="1" ht="35" customHeight="1">
      <c r="A31" s="42">
        <f>ROW()-2</f>
        <v>29</v>
      </c>
      <c r="B31" s="152" t="s">
        <v>2732</v>
      </c>
      <c r="C31" s="152" t="s">
        <v>2733</v>
      </c>
      <c r="D31" s="58" t="s">
        <v>2788</v>
      </c>
      <c r="E31" s="58" t="s">
        <v>2789</v>
      </c>
      <c r="F31" s="58" t="s">
        <v>2790</v>
      </c>
      <c r="G31" s="152" t="s">
        <v>34</v>
      </c>
      <c r="H31" s="152">
        <v>1</v>
      </c>
      <c r="I31" s="153">
        <v>0.49222222222222201</v>
      </c>
      <c r="J31" s="154">
        <v>43978</v>
      </c>
      <c r="K31" s="153" t="s">
        <v>20</v>
      </c>
      <c r="L31" s="152">
        <v>4.99</v>
      </c>
      <c r="M31" s="155"/>
    </row>
    <row r="32" spans="1:291" s="156" customFormat="1" ht="35" customHeight="1">
      <c r="A32" s="42">
        <f>ROW()-2</f>
        <v>30</v>
      </c>
      <c r="B32" s="152" t="s">
        <v>2732</v>
      </c>
      <c r="C32" s="152" t="s">
        <v>2733</v>
      </c>
      <c r="D32" s="58" t="s">
        <v>2791</v>
      </c>
      <c r="E32" s="58" t="s">
        <v>2792</v>
      </c>
      <c r="F32" s="58" t="s">
        <v>2790</v>
      </c>
      <c r="G32" s="152" t="s">
        <v>34</v>
      </c>
      <c r="H32" s="152">
        <v>1</v>
      </c>
      <c r="I32" s="153">
        <v>0.49166666666666697</v>
      </c>
      <c r="J32" s="154">
        <v>43978</v>
      </c>
      <c r="K32" s="153" t="s">
        <v>20</v>
      </c>
      <c r="L32" s="152">
        <v>4.99</v>
      </c>
      <c r="M32" s="155"/>
    </row>
    <row r="33" spans="1:13" s="156" customFormat="1" ht="35" customHeight="1">
      <c r="A33" s="42">
        <f>ROW()-2</f>
        <v>31</v>
      </c>
      <c r="B33" s="152" t="s">
        <v>2732</v>
      </c>
      <c r="C33" s="152" t="s">
        <v>2733</v>
      </c>
      <c r="D33" s="58" t="s">
        <v>2796</v>
      </c>
      <c r="E33" s="58" t="s">
        <v>2797</v>
      </c>
      <c r="F33" s="58" t="s">
        <v>2798</v>
      </c>
      <c r="G33" s="152" t="s">
        <v>34</v>
      </c>
      <c r="H33" s="152">
        <v>1</v>
      </c>
      <c r="I33" s="153">
        <v>0.54944444444444396</v>
      </c>
      <c r="J33" s="154">
        <v>43978</v>
      </c>
      <c r="K33" s="153" t="s">
        <v>20</v>
      </c>
      <c r="L33" s="152">
        <v>4.99</v>
      </c>
      <c r="M33" s="155"/>
    </row>
    <row r="34" spans="1:13" s="156" customFormat="1" ht="35" customHeight="1">
      <c r="A34" s="42">
        <f>ROW()-2</f>
        <v>32</v>
      </c>
      <c r="B34" s="152" t="s">
        <v>2732</v>
      </c>
      <c r="C34" s="152" t="s">
        <v>2733</v>
      </c>
      <c r="D34" s="58" t="s">
        <v>2799</v>
      </c>
      <c r="E34" s="58" t="s">
        <v>2800</v>
      </c>
      <c r="F34" s="58" t="s">
        <v>2801</v>
      </c>
      <c r="G34" s="152" t="s">
        <v>34</v>
      </c>
      <c r="H34" s="152">
        <v>1</v>
      </c>
      <c r="I34" s="153">
        <v>0.60472222222222205</v>
      </c>
      <c r="J34" s="154">
        <v>43978</v>
      </c>
      <c r="K34" s="153" t="s">
        <v>20</v>
      </c>
      <c r="L34" s="152">
        <v>4.99</v>
      </c>
      <c r="M34" s="155"/>
    </row>
    <row r="35" spans="1:13" s="156" customFormat="1" ht="35" customHeight="1">
      <c r="A35" s="42">
        <f>ROW()-2</f>
        <v>33</v>
      </c>
      <c r="B35" s="152" t="s">
        <v>2732</v>
      </c>
      <c r="C35" s="152" t="s">
        <v>2733</v>
      </c>
      <c r="D35" s="58" t="s">
        <v>2802</v>
      </c>
      <c r="E35" s="58" t="s">
        <v>2803</v>
      </c>
      <c r="F35" s="58" t="s">
        <v>2804</v>
      </c>
      <c r="G35" s="152" t="s">
        <v>34</v>
      </c>
      <c r="H35" s="152">
        <v>1</v>
      </c>
      <c r="I35" s="153">
        <v>0.87305555555555603</v>
      </c>
      <c r="J35" s="154">
        <v>43978</v>
      </c>
      <c r="K35" s="153" t="s">
        <v>20</v>
      </c>
      <c r="L35" s="152">
        <v>4.99</v>
      </c>
      <c r="M35" s="155"/>
    </row>
    <row r="36" spans="1:13" s="156" customFormat="1" ht="35" customHeight="1">
      <c r="A36" s="42">
        <f>ROW()-2</f>
        <v>34</v>
      </c>
      <c r="B36" s="152" t="s">
        <v>2732</v>
      </c>
      <c r="C36" s="152" t="s">
        <v>2733</v>
      </c>
      <c r="D36" s="58" t="s">
        <v>2805</v>
      </c>
      <c r="E36" s="58" t="s">
        <v>2806</v>
      </c>
      <c r="F36" s="58" t="s">
        <v>2807</v>
      </c>
      <c r="G36" s="152" t="s">
        <v>34</v>
      </c>
      <c r="H36" s="152">
        <v>1</v>
      </c>
      <c r="I36" s="153">
        <v>0.54027777777777797</v>
      </c>
      <c r="J36" s="154">
        <v>43978</v>
      </c>
      <c r="K36" s="153" t="s">
        <v>20</v>
      </c>
      <c r="L36" s="152">
        <v>4.99</v>
      </c>
      <c r="M36" s="155"/>
    </row>
    <row r="37" spans="1:13" s="156" customFormat="1" ht="35" customHeight="1">
      <c r="A37" s="42">
        <f>ROW()-2</f>
        <v>35</v>
      </c>
      <c r="B37" s="152" t="s">
        <v>2732</v>
      </c>
      <c r="C37" s="152" t="s">
        <v>2733</v>
      </c>
      <c r="D37" s="58" t="s">
        <v>2810</v>
      </c>
      <c r="E37" s="58" t="s">
        <v>2811</v>
      </c>
      <c r="F37" s="58" t="s">
        <v>2812</v>
      </c>
      <c r="G37" s="152" t="s">
        <v>34</v>
      </c>
      <c r="H37" s="152">
        <v>1</v>
      </c>
      <c r="I37" s="153">
        <v>0.74388888888888904</v>
      </c>
      <c r="J37" s="154">
        <v>43978</v>
      </c>
      <c r="K37" s="153" t="s">
        <v>20</v>
      </c>
      <c r="L37" s="152">
        <v>4.99</v>
      </c>
      <c r="M37" s="155"/>
    </row>
    <row r="38" spans="1:13" s="156" customFormat="1" ht="35" customHeight="1">
      <c r="A38" s="42">
        <f>ROW()-2</f>
        <v>36</v>
      </c>
      <c r="B38" s="152" t="s">
        <v>2732</v>
      </c>
      <c r="C38" s="152" t="s">
        <v>2733</v>
      </c>
      <c r="D38" s="58" t="s">
        <v>2813</v>
      </c>
      <c r="E38" s="58" t="s">
        <v>2814</v>
      </c>
      <c r="F38" s="58" t="s">
        <v>2815</v>
      </c>
      <c r="G38" s="152" t="s">
        <v>34</v>
      </c>
      <c r="H38" s="152">
        <v>1</v>
      </c>
      <c r="I38" s="153">
        <v>0.60777777777777797</v>
      </c>
      <c r="J38" s="154">
        <v>43978</v>
      </c>
      <c r="K38" s="153" t="s">
        <v>20</v>
      </c>
      <c r="L38" s="152">
        <v>4.99</v>
      </c>
      <c r="M38" s="155"/>
    </row>
    <row r="39" spans="1:13" s="156" customFormat="1" ht="35" customHeight="1">
      <c r="A39" s="42">
        <f>ROW()-2</f>
        <v>37</v>
      </c>
      <c r="B39" s="152" t="s">
        <v>2732</v>
      </c>
      <c r="C39" s="152" t="s">
        <v>2733</v>
      </c>
      <c r="D39" s="58" t="s">
        <v>2816</v>
      </c>
      <c r="E39" s="58" t="s">
        <v>2817</v>
      </c>
      <c r="F39" s="58" t="s">
        <v>2818</v>
      </c>
      <c r="G39" s="152" t="s">
        <v>34</v>
      </c>
      <c r="H39" s="152">
        <v>1</v>
      </c>
      <c r="I39" s="153">
        <v>0.59805555555555601</v>
      </c>
      <c r="J39" s="154">
        <v>43978</v>
      </c>
      <c r="K39" s="153" t="s">
        <v>20</v>
      </c>
      <c r="L39" s="152">
        <v>4.99</v>
      </c>
      <c r="M39" s="155"/>
    </row>
    <row r="40" spans="1:13" s="156" customFormat="1" ht="35" customHeight="1">
      <c r="A40" s="42">
        <f>ROW()-2</f>
        <v>38</v>
      </c>
      <c r="B40" s="152" t="s">
        <v>2732</v>
      </c>
      <c r="C40" s="152" t="s">
        <v>2733</v>
      </c>
      <c r="D40" s="58" t="s">
        <v>2819</v>
      </c>
      <c r="E40" s="58" t="s">
        <v>2814</v>
      </c>
      <c r="F40" s="58" t="s">
        <v>2820</v>
      </c>
      <c r="G40" s="152" t="s">
        <v>34</v>
      </c>
      <c r="H40" s="152">
        <v>1</v>
      </c>
      <c r="I40" s="153">
        <v>0.77749999999999997</v>
      </c>
      <c r="J40" s="154">
        <v>43978</v>
      </c>
      <c r="K40" s="153" t="s">
        <v>20</v>
      </c>
      <c r="L40" s="152">
        <v>4.99</v>
      </c>
      <c r="M40" s="155"/>
    </row>
    <row r="41" spans="1:13" s="156" customFormat="1" ht="35" customHeight="1">
      <c r="A41" s="42">
        <f>ROW()-2</f>
        <v>39</v>
      </c>
      <c r="B41" s="152" t="s">
        <v>2732</v>
      </c>
      <c r="C41" s="152" t="s">
        <v>2733</v>
      </c>
      <c r="D41" s="58" t="s">
        <v>2821</v>
      </c>
      <c r="E41" s="58" t="s">
        <v>2822</v>
      </c>
      <c r="F41" s="58" t="s">
        <v>2823</v>
      </c>
      <c r="G41" s="152" t="s">
        <v>34</v>
      </c>
      <c r="H41" s="152">
        <v>1</v>
      </c>
      <c r="I41" s="153">
        <v>0.92166666666666697</v>
      </c>
      <c r="J41" s="154">
        <v>43978</v>
      </c>
      <c r="K41" s="153" t="s">
        <v>20</v>
      </c>
      <c r="L41" s="152">
        <v>4.99</v>
      </c>
      <c r="M41" s="155"/>
    </row>
    <row r="42" spans="1:13" s="156" customFormat="1" ht="35" customHeight="1">
      <c r="A42" s="42">
        <f>ROW()-2</f>
        <v>40</v>
      </c>
      <c r="B42" s="152" t="s">
        <v>2732</v>
      </c>
      <c r="C42" s="152" t="s">
        <v>2733</v>
      </c>
      <c r="D42" s="58" t="s">
        <v>2824</v>
      </c>
      <c r="E42" s="58" t="s">
        <v>2825</v>
      </c>
      <c r="F42" s="58" t="s">
        <v>2823</v>
      </c>
      <c r="G42" s="152" t="s">
        <v>34</v>
      </c>
      <c r="H42" s="152">
        <v>1</v>
      </c>
      <c r="I42" s="153">
        <v>0.51888888888888896</v>
      </c>
      <c r="J42" s="154">
        <v>43978</v>
      </c>
      <c r="K42" s="153" t="s">
        <v>20</v>
      </c>
      <c r="L42" s="152">
        <v>4.99</v>
      </c>
      <c r="M42" s="155"/>
    </row>
    <row r="43" spans="1:13" s="156" customFormat="1" ht="35" customHeight="1">
      <c r="A43" s="42">
        <f>ROW()-2</f>
        <v>41</v>
      </c>
      <c r="B43" s="152" t="s">
        <v>2732</v>
      </c>
      <c r="C43" s="152" t="s">
        <v>2733</v>
      </c>
      <c r="D43" s="58" t="s">
        <v>2826</v>
      </c>
      <c r="E43" s="58" t="s">
        <v>2827</v>
      </c>
      <c r="F43" s="58" t="s">
        <v>2828</v>
      </c>
      <c r="G43" s="152" t="s">
        <v>34</v>
      </c>
      <c r="H43" s="152">
        <v>1</v>
      </c>
      <c r="I43" s="153">
        <v>0.49333333333333301</v>
      </c>
      <c r="J43" s="154">
        <v>43978</v>
      </c>
      <c r="K43" s="153" t="s">
        <v>20</v>
      </c>
      <c r="L43" s="152">
        <v>4.99</v>
      </c>
      <c r="M43" s="155"/>
    </row>
    <row r="44" spans="1:13" s="156" customFormat="1" ht="35" customHeight="1">
      <c r="A44" s="42">
        <f>ROW()-2</f>
        <v>42</v>
      </c>
      <c r="B44" s="152" t="s">
        <v>2732</v>
      </c>
      <c r="C44" s="152" t="s">
        <v>2733</v>
      </c>
      <c r="D44" s="58" t="s">
        <v>2829</v>
      </c>
      <c r="E44" s="58" t="s">
        <v>457</v>
      </c>
      <c r="F44" s="58" t="s">
        <v>2830</v>
      </c>
      <c r="G44" s="152" t="s">
        <v>34</v>
      </c>
      <c r="H44" s="152">
        <v>1</v>
      </c>
      <c r="I44" s="153">
        <v>0.64472222222222197</v>
      </c>
      <c r="J44" s="154">
        <v>43978</v>
      </c>
      <c r="K44" s="153" t="s">
        <v>20</v>
      </c>
      <c r="L44" s="152">
        <v>4.99</v>
      </c>
      <c r="M44" s="155"/>
    </row>
    <row r="45" spans="1:13" s="156" customFormat="1" ht="35" customHeight="1">
      <c r="A45" s="42">
        <f>ROW()-2</f>
        <v>43</v>
      </c>
      <c r="B45" s="152" t="s">
        <v>2732</v>
      </c>
      <c r="C45" s="152" t="s">
        <v>2733</v>
      </c>
      <c r="D45" s="58" t="s">
        <v>2831</v>
      </c>
      <c r="E45" s="58" t="s">
        <v>457</v>
      </c>
      <c r="F45" s="58" t="s">
        <v>2830</v>
      </c>
      <c r="G45" s="152" t="s">
        <v>34</v>
      </c>
      <c r="H45" s="152">
        <v>1</v>
      </c>
      <c r="I45" s="153">
        <v>0.43666666666666698</v>
      </c>
      <c r="J45" s="154">
        <v>43978</v>
      </c>
      <c r="K45" s="153" t="s">
        <v>20</v>
      </c>
      <c r="L45" s="152">
        <v>4.99</v>
      </c>
      <c r="M45" s="155"/>
    </row>
    <row r="46" spans="1:13" s="156" customFormat="1" ht="35" customHeight="1">
      <c r="A46" s="42">
        <f>ROW()-2</f>
        <v>44</v>
      </c>
      <c r="B46" s="152" t="s">
        <v>2732</v>
      </c>
      <c r="C46" s="152" t="s">
        <v>2733</v>
      </c>
      <c r="D46" s="58" t="s">
        <v>2832</v>
      </c>
      <c r="E46" s="58" t="s">
        <v>2833</v>
      </c>
      <c r="F46" s="58" t="s">
        <v>2830</v>
      </c>
      <c r="G46" s="152" t="s">
        <v>34</v>
      </c>
      <c r="H46" s="152">
        <v>1</v>
      </c>
      <c r="I46" s="153">
        <v>0.45222222222222203</v>
      </c>
      <c r="J46" s="154">
        <v>43978</v>
      </c>
      <c r="K46" s="153" t="s">
        <v>20</v>
      </c>
      <c r="L46" s="152">
        <v>4.99</v>
      </c>
      <c r="M46" s="155"/>
    </row>
    <row r="47" spans="1:13" s="156" customFormat="1" ht="35" customHeight="1">
      <c r="A47" s="42">
        <f>ROW()-2</f>
        <v>45</v>
      </c>
      <c r="B47" s="152" t="s">
        <v>2732</v>
      </c>
      <c r="C47" s="152" t="s">
        <v>2733</v>
      </c>
      <c r="D47" s="58" t="s">
        <v>2834</v>
      </c>
      <c r="E47" s="58" t="s">
        <v>457</v>
      </c>
      <c r="F47" s="58" t="s">
        <v>2830</v>
      </c>
      <c r="G47" s="152" t="s">
        <v>34</v>
      </c>
      <c r="H47" s="152">
        <v>1</v>
      </c>
      <c r="I47" s="153">
        <v>0.79444444444444395</v>
      </c>
      <c r="J47" s="154">
        <v>43978</v>
      </c>
      <c r="K47" s="153" t="s">
        <v>20</v>
      </c>
      <c r="L47" s="152">
        <v>4.99</v>
      </c>
      <c r="M47" s="155"/>
    </row>
    <row r="48" spans="1:13" s="156" customFormat="1" ht="35" customHeight="1">
      <c r="A48" s="42">
        <f>ROW()-2</f>
        <v>46</v>
      </c>
      <c r="B48" s="152" t="s">
        <v>2732</v>
      </c>
      <c r="C48" s="152" t="s">
        <v>2733</v>
      </c>
      <c r="D48" s="58" t="s">
        <v>2855</v>
      </c>
      <c r="E48" s="58" t="s">
        <v>2856</v>
      </c>
      <c r="F48" s="58" t="s">
        <v>2830</v>
      </c>
      <c r="G48" s="152" t="s">
        <v>34</v>
      </c>
      <c r="H48" s="152">
        <v>1</v>
      </c>
      <c r="I48" s="153">
        <v>0.60194444444444395</v>
      </c>
      <c r="J48" s="154">
        <v>43978</v>
      </c>
      <c r="K48" s="153" t="s">
        <v>20</v>
      </c>
      <c r="L48" s="152">
        <v>4.99</v>
      </c>
      <c r="M48" s="155"/>
    </row>
    <row r="49" spans="1:13" s="156" customFormat="1" ht="35" customHeight="1">
      <c r="A49" s="42">
        <f>ROW()-2</f>
        <v>47</v>
      </c>
      <c r="B49" s="152" t="s">
        <v>2732</v>
      </c>
      <c r="C49" s="152" t="s">
        <v>2733</v>
      </c>
      <c r="D49" s="58" t="s">
        <v>2857</v>
      </c>
      <c r="E49" s="58" t="s">
        <v>457</v>
      </c>
      <c r="F49" s="58" t="s">
        <v>2830</v>
      </c>
      <c r="G49" s="152" t="s">
        <v>34</v>
      </c>
      <c r="H49" s="152">
        <v>1</v>
      </c>
      <c r="I49" s="153">
        <v>0.94555555555555604</v>
      </c>
      <c r="J49" s="154">
        <v>43978</v>
      </c>
      <c r="K49" s="153" t="s">
        <v>20</v>
      </c>
      <c r="L49" s="152">
        <v>4.99</v>
      </c>
      <c r="M49" s="155"/>
    </row>
    <row r="50" spans="1:13" s="156" customFormat="1" ht="35" customHeight="1">
      <c r="A50" s="42">
        <f>ROW()-2</f>
        <v>48</v>
      </c>
      <c r="B50" s="152" t="s">
        <v>2732</v>
      </c>
      <c r="C50" s="152" t="s">
        <v>2733</v>
      </c>
      <c r="D50" s="58" t="s">
        <v>2859</v>
      </c>
      <c r="E50" s="58" t="s">
        <v>2860</v>
      </c>
      <c r="F50" s="58" t="s">
        <v>2861</v>
      </c>
      <c r="G50" s="152" t="s">
        <v>34</v>
      </c>
      <c r="H50" s="152">
        <v>1</v>
      </c>
      <c r="I50" s="153">
        <v>0.75388888888888905</v>
      </c>
      <c r="J50" s="154">
        <v>43978</v>
      </c>
      <c r="K50" s="153" t="s">
        <v>20</v>
      </c>
      <c r="L50" s="152">
        <v>4.99</v>
      </c>
      <c r="M50" s="155"/>
    </row>
    <row r="51" spans="1:13" s="156" customFormat="1" ht="35" customHeight="1">
      <c r="A51" s="42">
        <f>ROW()-2</f>
        <v>49</v>
      </c>
      <c r="B51" s="152" t="s">
        <v>2732</v>
      </c>
      <c r="C51" s="152" t="s">
        <v>2733</v>
      </c>
      <c r="D51" s="58" t="s">
        <v>2862</v>
      </c>
      <c r="E51" s="58" t="s">
        <v>2863</v>
      </c>
      <c r="F51" s="58" t="s">
        <v>2864</v>
      </c>
      <c r="G51" s="152" t="s">
        <v>34</v>
      </c>
      <c r="H51" s="152">
        <v>1</v>
      </c>
      <c r="I51" s="153">
        <v>0.65472222222222198</v>
      </c>
      <c r="J51" s="154">
        <v>43978</v>
      </c>
      <c r="K51" s="153" t="s">
        <v>20</v>
      </c>
      <c r="L51" s="152">
        <v>4.99</v>
      </c>
      <c r="M51" s="155"/>
    </row>
    <row r="52" spans="1:13" s="156" customFormat="1" ht="35" customHeight="1">
      <c r="A52" s="42">
        <f>ROW()-2</f>
        <v>50</v>
      </c>
      <c r="B52" s="152" t="s">
        <v>2732</v>
      </c>
      <c r="C52" s="152" t="s">
        <v>2733</v>
      </c>
      <c r="D52" s="58" t="s">
        <v>2867</v>
      </c>
      <c r="E52" s="58" t="s">
        <v>2868</v>
      </c>
      <c r="F52" s="58" t="s">
        <v>2864</v>
      </c>
      <c r="G52" s="152" t="s">
        <v>34</v>
      </c>
      <c r="H52" s="152">
        <v>1</v>
      </c>
      <c r="I52" s="153">
        <v>0.75888888888888895</v>
      </c>
      <c r="J52" s="154">
        <v>43978</v>
      </c>
      <c r="K52" s="153" t="s">
        <v>20</v>
      </c>
      <c r="L52" s="152">
        <v>4.99</v>
      </c>
      <c r="M52" s="155"/>
    </row>
    <row r="53" spans="1:13" s="156" customFormat="1" ht="35" customHeight="1">
      <c r="A53" s="42">
        <f>ROW()-2</f>
        <v>51</v>
      </c>
      <c r="B53" s="152" t="s">
        <v>2732</v>
      </c>
      <c r="C53" s="152" t="s">
        <v>2733</v>
      </c>
      <c r="D53" s="58" t="s">
        <v>2869</v>
      </c>
      <c r="E53" s="58" t="s">
        <v>2797</v>
      </c>
      <c r="F53" s="58" t="s">
        <v>2864</v>
      </c>
      <c r="G53" s="152" t="s">
        <v>34</v>
      </c>
      <c r="H53" s="152">
        <v>1</v>
      </c>
      <c r="I53" s="153">
        <v>0.67083333333333295</v>
      </c>
      <c r="J53" s="154">
        <v>43978</v>
      </c>
      <c r="K53" s="153" t="s">
        <v>20</v>
      </c>
      <c r="L53" s="152">
        <v>4.99</v>
      </c>
      <c r="M53" s="155"/>
    </row>
    <row r="54" spans="1:13" s="156" customFormat="1" ht="35" customHeight="1">
      <c r="A54" s="42">
        <f>ROW()-2</f>
        <v>52</v>
      </c>
      <c r="B54" s="152" t="s">
        <v>2732</v>
      </c>
      <c r="C54" s="152" t="s">
        <v>2733</v>
      </c>
      <c r="D54" s="58" t="s">
        <v>2870</v>
      </c>
      <c r="E54" s="58" t="s">
        <v>2871</v>
      </c>
      <c r="F54" s="58" t="s">
        <v>2872</v>
      </c>
      <c r="G54" s="152" t="s">
        <v>34</v>
      </c>
      <c r="H54" s="152">
        <v>1</v>
      </c>
      <c r="I54" s="153">
        <v>0.711666666666667</v>
      </c>
      <c r="J54" s="154">
        <v>43978</v>
      </c>
      <c r="K54" s="153" t="s">
        <v>20</v>
      </c>
      <c r="L54" s="152">
        <v>4.99</v>
      </c>
      <c r="M54" s="155"/>
    </row>
    <row r="55" spans="1:13" s="156" customFormat="1" ht="35" customHeight="1">
      <c r="A55" s="42">
        <f>ROW()-2</f>
        <v>53</v>
      </c>
      <c r="B55" s="152" t="s">
        <v>2732</v>
      </c>
      <c r="C55" s="152" t="s">
        <v>2733</v>
      </c>
      <c r="D55" s="58" t="s">
        <v>2873</v>
      </c>
      <c r="E55" s="58" t="s">
        <v>2874</v>
      </c>
      <c r="F55" s="58" t="s">
        <v>2875</v>
      </c>
      <c r="G55" s="152" t="s">
        <v>34</v>
      </c>
      <c r="H55" s="152">
        <v>1</v>
      </c>
      <c r="I55" s="153">
        <v>0.505</v>
      </c>
      <c r="J55" s="154">
        <v>43978</v>
      </c>
      <c r="K55" s="153" t="s">
        <v>20</v>
      </c>
      <c r="L55" s="152">
        <v>4.99</v>
      </c>
      <c r="M55" s="155"/>
    </row>
    <row r="56" spans="1:13" s="156" customFormat="1" ht="35" customHeight="1">
      <c r="A56" s="42">
        <f>ROW()-2</f>
        <v>54</v>
      </c>
      <c r="B56" s="152" t="s">
        <v>2732</v>
      </c>
      <c r="C56" s="152" t="s">
        <v>2733</v>
      </c>
      <c r="D56" s="58" t="s">
        <v>2876</v>
      </c>
      <c r="E56" s="58" t="s">
        <v>2877</v>
      </c>
      <c r="F56" s="58" t="s">
        <v>2878</v>
      </c>
      <c r="G56" s="152" t="s">
        <v>34</v>
      </c>
      <c r="H56" s="152">
        <v>1</v>
      </c>
      <c r="I56" s="153">
        <v>0.50944444444444403</v>
      </c>
      <c r="J56" s="154">
        <v>43978</v>
      </c>
      <c r="K56" s="153" t="s">
        <v>20</v>
      </c>
      <c r="L56" s="152">
        <v>4.99</v>
      </c>
      <c r="M56" s="155"/>
    </row>
    <row r="57" spans="1:13" s="156" customFormat="1" ht="35" customHeight="1">
      <c r="A57" s="42">
        <f>ROW()-2</f>
        <v>55</v>
      </c>
      <c r="B57" s="152" t="s">
        <v>2732</v>
      </c>
      <c r="C57" s="152" t="s">
        <v>2733</v>
      </c>
      <c r="D57" s="58" t="s">
        <v>2881</v>
      </c>
      <c r="E57" s="58" t="s">
        <v>2781</v>
      </c>
      <c r="F57" s="58" t="s">
        <v>2878</v>
      </c>
      <c r="G57" s="152" t="s">
        <v>34</v>
      </c>
      <c r="H57" s="152">
        <v>1</v>
      </c>
      <c r="I57" s="153">
        <v>0.471944444444444</v>
      </c>
      <c r="J57" s="154">
        <v>43978</v>
      </c>
      <c r="K57" s="153" t="s">
        <v>20</v>
      </c>
      <c r="L57" s="152">
        <v>4.99</v>
      </c>
      <c r="M57" s="155"/>
    </row>
    <row r="58" spans="1:13" s="156" customFormat="1" ht="35" customHeight="1">
      <c r="A58" s="42">
        <f>ROW()-2</f>
        <v>56</v>
      </c>
      <c r="B58" s="152" t="s">
        <v>2732</v>
      </c>
      <c r="C58" s="152" t="s">
        <v>2733</v>
      </c>
      <c r="D58" s="58" t="s">
        <v>2882</v>
      </c>
      <c r="E58" s="58" t="s">
        <v>2883</v>
      </c>
      <c r="F58" s="58" t="s">
        <v>2878</v>
      </c>
      <c r="G58" s="152" t="s">
        <v>34</v>
      </c>
      <c r="H58" s="152">
        <v>1</v>
      </c>
      <c r="I58" s="153">
        <v>0.51416666666666699</v>
      </c>
      <c r="J58" s="154">
        <v>43978</v>
      </c>
      <c r="K58" s="153" t="s">
        <v>20</v>
      </c>
      <c r="L58" s="152">
        <v>4.99</v>
      </c>
      <c r="M58" s="155"/>
    </row>
    <row r="59" spans="1:13" s="156" customFormat="1" ht="35" customHeight="1">
      <c r="A59" s="42">
        <f>ROW()-2</f>
        <v>57</v>
      </c>
      <c r="B59" s="152" t="s">
        <v>2732</v>
      </c>
      <c r="C59" s="152" t="s">
        <v>2733</v>
      </c>
      <c r="D59" s="58" t="s">
        <v>2886</v>
      </c>
      <c r="E59" s="58" t="s">
        <v>2887</v>
      </c>
      <c r="F59" s="58" t="s">
        <v>2878</v>
      </c>
      <c r="G59" s="152" t="s">
        <v>34</v>
      </c>
      <c r="H59" s="152">
        <v>1</v>
      </c>
      <c r="I59" s="153">
        <v>0.506388888888889</v>
      </c>
      <c r="J59" s="154">
        <v>43978</v>
      </c>
      <c r="K59" s="153" t="s">
        <v>20</v>
      </c>
      <c r="L59" s="152">
        <v>4.99</v>
      </c>
      <c r="M59" s="155"/>
    </row>
    <row r="60" spans="1:13" s="156" customFormat="1" ht="35" customHeight="1">
      <c r="A60" s="42">
        <f>ROW()-2</f>
        <v>58</v>
      </c>
      <c r="B60" s="152" t="s">
        <v>2732</v>
      </c>
      <c r="C60" s="152" t="s">
        <v>2733</v>
      </c>
      <c r="D60" s="58" t="s">
        <v>2888</v>
      </c>
      <c r="E60" s="58" t="s">
        <v>2889</v>
      </c>
      <c r="F60" s="58" t="s">
        <v>2890</v>
      </c>
      <c r="G60" s="152" t="s">
        <v>34</v>
      </c>
      <c r="H60" s="152">
        <v>1</v>
      </c>
      <c r="I60" s="153">
        <v>0.25583333333333302</v>
      </c>
      <c r="J60" s="154">
        <v>43978</v>
      </c>
      <c r="K60" s="153" t="s">
        <v>20</v>
      </c>
      <c r="L60" s="152">
        <v>4.99</v>
      </c>
      <c r="M60" s="155"/>
    </row>
    <row r="61" spans="1:13" s="156" customFormat="1" ht="35" customHeight="1">
      <c r="A61" s="42">
        <f>ROW()-2</f>
        <v>59</v>
      </c>
      <c r="B61" s="152" t="s">
        <v>2732</v>
      </c>
      <c r="C61" s="152" t="s">
        <v>2733</v>
      </c>
      <c r="D61" s="58" t="s">
        <v>2891</v>
      </c>
      <c r="E61" s="58" t="s">
        <v>2892</v>
      </c>
      <c r="F61" s="58" t="s">
        <v>2893</v>
      </c>
      <c r="G61" s="152" t="s">
        <v>34</v>
      </c>
      <c r="H61" s="152">
        <v>1</v>
      </c>
      <c r="I61" s="153">
        <v>0.25944444444444398</v>
      </c>
      <c r="J61" s="154">
        <v>43978</v>
      </c>
      <c r="K61" s="153" t="s">
        <v>20</v>
      </c>
      <c r="L61" s="152">
        <v>4.99</v>
      </c>
      <c r="M61" s="155"/>
    </row>
    <row r="62" spans="1:13" s="156" customFormat="1" ht="35" customHeight="1">
      <c r="A62" s="42">
        <f>ROW()-2</f>
        <v>60</v>
      </c>
      <c r="B62" s="152" t="s">
        <v>2732</v>
      </c>
      <c r="C62" s="152" t="s">
        <v>2733</v>
      </c>
      <c r="D62" s="58" t="s">
        <v>2894</v>
      </c>
      <c r="E62" s="58" t="s">
        <v>2892</v>
      </c>
      <c r="F62" s="58" t="s">
        <v>2893</v>
      </c>
      <c r="G62" s="152" t="s">
        <v>34</v>
      </c>
      <c r="H62" s="152">
        <v>1</v>
      </c>
      <c r="I62" s="153">
        <v>0.56694444444444403</v>
      </c>
      <c r="J62" s="154">
        <v>43978</v>
      </c>
      <c r="K62" s="153" t="s">
        <v>20</v>
      </c>
      <c r="L62" s="152">
        <v>4.99</v>
      </c>
      <c r="M62" s="155"/>
    </row>
    <row r="63" spans="1:13" s="156" customFormat="1" ht="35" customHeight="1">
      <c r="A63" s="42">
        <f>ROW()-2</f>
        <v>61</v>
      </c>
      <c r="B63" s="152" t="s">
        <v>2732</v>
      </c>
      <c r="C63" s="152" t="s">
        <v>2733</v>
      </c>
      <c r="D63" s="58" t="s">
        <v>2900</v>
      </c>
      <c r="E63" s="58" t="s">
        <v>2901</v>
      </c>
      <c r="F63" s="58" t="s">
        <v>2902</v>
      </c>
      <c r="G63" s="152" t="s">
        <v>34</v>
      </c>
      <c r="H63" s="152">
        <v>1</v>
      </c>
      <c r="I63" s="153">
        <v>0.39833333333333298</v>
      </c>
      <c r="J63" s="154">
        <v>43978</v>
      </c>
      <c r="K63" s="153" t="s">
        <v>20</v>
      </c>
      <c r="L63" s="152">
        <v>4.99</v>
      </c>
      <c r="M63" s="155"/>
    </row>
    <row r="64" spans="1:13" s="156" customFormat="1" ht="35" customHeight="1">
      <c r="A64" s="42">
        <f>ROW()-2</f>
        <v>62</v>
      </c>
      <c r="B64" s="152" t="s">
        <v>2732</v>
      </c>
      <c r="C64" s="152" t="s">
        <v>2733</v>
      </c>
      <c r="D64" s="58" t="s">
        <v>2903</v>
      </c>
      <c r="E64" s="58" t="s">
        <v>2904</v>
      </c>
      <c r="F64" s="58" t="s">
        <v>2905</v>
      </c>
      <c r="G64" s="152" t="s">
        <v>34</v>
      </c>
      <c r="H64" s="152">
        <v>1</v>
      </c>
      <c r="I64" s="153">
        <v>0.55000000000000004</v>
      </c>
      <c r="J64" s="154">
        <v>43978</v>
      </c>
      <c r="K64" s="153" t="s">
        <v>20</v>
      </c>
      <c r="L64" s="152">
        <v>4.99</v>
      </c>
      <c r="M64" s="155"/>
    </row>
    <row r="65" spans="1:291" s="156" customFormat="1" ht="35" customHeight="1">
      <c r="A65" s="42">
        <f>ROW()-2</f>
        <v>63</v>
      </c>
      <c r="B65" s="152" t="s">
        <v>2732</v>
      </c>
      <c r="C65" s="152" t="s">
        <v>2733</v>
      </c>
      <c r="D65" s="58" t="s">
        <v>2906</v>
      </c>
      <c r="E65" s="58" t="s">
        <v>2907</v>
      </c>
      <c r="F65" s="58" t="s">
        <v>2908</v>
      </c>
      <c r="G65" s="152" t="s">
        <v>34</v>
      </c>
      <c r="H65" s="152">
        <v>1</v>
      </c>
      <c r="I65" s="153">
        <v>0.74805555555555603</v>
      </c>
      <c r="J65" s="154">
        <v>43978</v>
      </c>
      <c r="K65" s="153" t="s">
        <v>20</v>
      </c>
      <c r="L65" s="152">
        <v>4.99</v>
      </c>
      <c r="M65" s="155"/>
    </row>
    <row r="66" spans="1:291" s="156" customFormat="1" ht="35" customHeight="1">
      <c r="A66" s="42">
        <f>ROW()-2</f>
        <v>64</v>
      </c>
      <c r="B66" s="152" t="s">
        <v>2732</v>
      </c>
      <c r="C66" s="152" t="s">
        <v>2733</v>
      </c>
      <c r="D66" s="58" t="s">
        <v>2909</v>
      </c>
      <c r="E66" s="58" t="s">
        <v>2910</v>
      </c>
      <c r="F66" s="58" t="s">
        <v>2748</v>
      </c>
      <c r="G66" s="152" t="s">
        <v>34</v>
      </c>
      <c r="H66" s="152">
        <v>1</v>
      </c>
      <c r="I66" s="153">
        <v>0.75749999999999995</v>
      </c>
      <c r="J66" s="154">
        <v>43978</v>
      </c>
      <c r="K66" s="153" t="s">
        <v>20</v>
      </c>
      <c r="L66" s="152">
        <v>4.99</v>
      </c>
      <c r="M66" s="155"/>
    </row>
    <row r="67" spans="1:291" s="156" customFormat="1" ht="35" customHeight="1">
      <c r="A67" s="42">
        <f>ROW()-2</f>
        <v>65</v>
      </c>
      <c r="B67" s="152" t="s">
        <v>2732</v>
      </c>
      <c r="C67" s="152" t="s">
        <v>2733</v>
      </c>
      <c r="D67" s="58" t="s">
        <v>2911</v>
      </c>
      <c r="E67" s="58" t="s">
        <v>2820</v>
      </c>
      <c r="F67" s="58" t="s">
        <v>2748</v>
      </c>
      <c r="G67" s="152" t="s">
        <v>34</v>
      </c>
      <c r="H67" s="152">
        <v>1</v>
      </c>
      <c r="I67" s="153">
        <v>0.54805555555555596</v>
      </c>
      <c r="J67" s="154">
        <v>43978</v>
      </c>
      <c r="K67" s="153" t="s">
        <v>20</v>
      </c>
      <c r="L67" s="152">
        <v>4.99</v>
      </c>
      <c r="M67" s="155"/>
    </row>
    <row r="68" spans="1:291" s="156" customFormat="1" ht="35" customHeight="1">
      <c r="A68" s="42">
        <f>ROW()-2</f>
        <v>66</v>
      </c>
      <c r="B68" s="152" t="s">
        <v>2732</v>
      </c>
      <c r="C68" s="152" t="s">
        <v>2733</v>
      </c>
      <c r="D68" s="58" t="s">
        <v>2912</v>
      </c>
      <c r="E68" s="58" t="s">
        <v>2880</v>
      </c>
      <c r="F68" s="58" t="s">
        <v>2748</v>
      </c>
      <c r="G68" s="152" t="s">
        <v>34</v>
      </c>
      <c r="H68" s="152">
        <v>1</v>
      </c>
      <c r="I68" s="153">
        <v>0.83833333333333304</v>
      </c>
      <c r="J68" s="154">
        <v>43978</v>
      </c>
      <c r="K68" s="153" t="s">
        <v>20</v>
      </c>
      <c r="L68" s="152">
        <v>4.99</v>
      </c>
      <c r="M68" s="155"/>
    </row>
    <row r="69" spans="1:291" s="156" customFormat="1" ht="35" customHeight="1">
      <c r="A69" s="42">
        <f>ROW()-2</f>
        <v>67</v>
      </c>
      <c r="B69" s="152" t="s">
        <v>2732</v>
      </c>
      <c r="C69" s="152" t="s">
        <v>2733</v>
      </c>
      <c r="D69" s="58" t="s">
        <v>2913</v>
      </c>
      <c r="E69" s="58" t="s">
        <v>2820</v>
      </c>
      <c r="F69" s="58" t="s">
        <v>2748</v>
      </c>
      <c r="G69" s="152" t="s">
        <v>34</v>
      </c>
      <c r="H69" s="152">
        <v>1</v>
      </c>
      <c r="I69" s="153">
        <v>0.43277777777777798</v>
      </c>
      <c r="J69" s="154">
        <v>43978</v>
      </c>
      <c r="K69" s="153" t="s">
        <v>20</v>
      </c>
      <c r="L69" s="152">
        <v>4.99</v>
      </c>
      <c r="M69" s="155"/>
    </row>
    <row r="70" spans="1:291" s="156" customFormat="1" ht="35" customHeight="1">
      <c r="A70" s="42">
        <f>ROW()-2</f>
        <v>68</v>
      </c>
      <c r="B70" s="152" t="s">
        <v>2732</v>
      </c>
      <c r="C70" s="152" t="s">
        <v>2733</v>
      </c>
      <c r="D70" s="58" t="s">
        <v>2914</v>
      </c>
      <c r="E70" s="58" t="s">
        <v>2915</v>
      </c>
      <c r="F70" s="58" t="s">
        <v>2916</v>
      </c>
      <c r="G70" s="152" t="s">
        <v>34</v>
      </c>
      <c r="H70" s="152">
        <v>1</v>
      </c>
      <c r="I70" s="153">
        <v>0.49222222222222201</v>
      </c>
      <c r="J70" s="154">
        <v>43978</v>
      </c>
      <c r="K70" s="153" t="s">
        <v>20</v>
      </c>
      <c r="L70" s="152">
        <v>4.99</v>
      </c>
      <c r="M70" s="155"/>
    </row>
    <row r="71" spans="1:291" s="156" customFormat="1" ht="35" customHeight="1">
      <c r="A71" s="42">
        <f>ROW()-2</f>
        <v>69</v>
      </c>
      <c r="B71" s="152" t="s">
        <v>2732</v>
      </c>
      <c r="C71" s="152" t="s">
        <v>2733</v>
      </c>
      <c r="D71" s="58" t="s">
        <v>2925</v>
      </c>
      <c r="E71" s="58" t="s">
        <v>2926</v>
      </c>
      <c r="F71" s="58" t="s">
        <v>2801</v>
      </c>
      <c r="G71" s="152" t="s">
        <v>34</v>
      </c>
      <c r="H71" s="152">
        <v>1</v>
      </c>
      <c r="I71" s="153">
        <v>0.5</v>
      </c>
      <c r="J71" s="154">
        <v>43997</v>
      </c>
      <c r="K71" s="153" t="s">
        <v>20</v>
      </c>
      <c r="L71" s="152">
        <v>5.99</v>
      </c>
      <c r="M71" s="155"/>
    </row>
    <row r="72" spans="1:291" s="156" customFormat="1" ht="35" customHeight="1">
      <c r="A72" s="42">
        <f>ROW()-2</f>
        <v>70</v>
      </c>
      <c r="B72" s="152" t="s">
        <v>2732</v>
      </c>
      <c r="C72" s="152" t="s">
        <v>2733</v>
      </c>
      <c r="D72" s="58" t="s">
        <v>2927</v>
      </c>
      <c r="E72" s="58" t="s">
        <v>2928</v>
      </c>
      <c r="F72" s="58" t="s">
        <v>2929</v>
      </c>
      <c r="G72" s="152" t="s">
        <v>34</v>
      </c>
      <c r="H72" s="152">
        <v>1</v>
      </c>
      <c r="I72" s="157">
        <v>0.38</v>
      </c>
      <c r="J72" s="154">
        <v>44004</v>
      </c>
      <c r="K72" s="153" t="s">
        <v>20</v>
      </c>
      <c r="L72" s="153">
        <v>4.99</v>
      </c>
      <c r="M72" s="155"/>
    </row>
    <row r="73" spans="1:291" s="156" customFormat="1" ht="35" customHeight="1">
      <c r="A73" s="42">
        <f>ROW()-2</f>
        <v>71</v>
      </c>
      <c r="B73" s="152" t="s">
        <v>2732</v>
      </c>
      <c r="C73" s="152" t="s">
        <v>2733</v>
      </c>
      <c r="D73" s="58" t="s">
        <v>2930</v>
      </c>
      <c r="E73" s="58" t="s">
        <v>2931</v>
      </c>
      <c r="F73" s="58" t="s">
        <v>2932</v>
      </c>
      <c r="G73" s="152" t="s">
        <v>34</v>
      </c>
      <c r="H73" s="152">
        <v>1</v>
      </c>
      <c r="I73" s="157">
        <v>0.46</v>
      </c>
      <c r="J73" s="154">
        <v>44004</v>
      </c>
      <c r="K73" s="153" t="s">
        <v>20</v>
      </c>
      <c r="L73" s="153">
        <v>4.99</v>
      </c>
      <c r="M73" s="155"/>
    </row>
    <row r="74" spans="1:291" s="156" customFormat="1" ht="35" customHeight="1">
      <c r="A74" s="42">
        <f>ROW()-2</f>
        <v>72</v>
      </c>
      <c r="B74" s="152" t="s">
        <v>2732</v>
      </c>
      <c r="C74" s="152" t="s">
        <v>2733</v>
      </c>
      <c r="D74" s="58" t="s">
        <v>2933</v>
      </c>
      <c r="E74" s="58" t="s">
        <v>2934</v>
      </c>
      <c r="F74" s="58" t="s">
        <v>2801</v>
      </c>
      <c r="G74" s="152" t="s">
        <v>34</v>
      </c>
      <c r="H74" s="152">
        <v>1</v>
      </c>
      <c r="I74" s="157">
        <v>0.43</v>
      </c>
      <c r="J74" s="154">
        <v>44004</v>
      </c>
      <c r="K74" s="153" t="s">
        <v>20</v>
      </c>
      <c r="L74" s="153">
        <v>4.99</v>
      </c>
      <c r="M74" s="155"/>
    </row>
    <row r="75" spans="1:291" s="156" customFormat="1" ht="35" customHeight="1">
      <c r="A75" s="42">
        <f>ROW()-2</f>
        <v>73</v>
      </c>
      <c r="B75" s="152" t="s">
        <v>2732</v>
      </c>
      <c r="C75" s="152" t="s">
        <v>2733</v>
      </c>
      <c r="D75" s="58" t="s">
        <v>2935</v>
      </c>
      <c r="E75" s="58" t="s">
        <v>2936</v>
      </c>
      <c r="F75" s="58" t="s">
        <v>2790</v>
      </c>
      <c r="G75" s="152" t="s">
        <v>34</v>
      </c>
      <c r="H75" s="152">
        <v>1</v>
      </c>
      <c r="I75" s="157">
        <v>0.36</v>
      </c>
      <c r="J75" s="154">
        <v>44004</v>
      </c>
      <c r="K75" s="153" t="s">
        <v>20</v>
      </c>
      <c r="L75" s="153">
        <v>4.99</v>
      </c>
      <c r="M75" s="155"/>
    </row>
    <row r="76" spans="1:291" s="156" customFormat="1" ht="35" customHeight="1">
      <c r="A76" s="42">
        <f>ROW()-2</f>
        <v>74</v>
      </c>
      <c r="B76" s="42" t="s">
        <v>2732</v>
      </c>
      <c r="C76" s="42" t="s">
        <v>2733</v>
      </c>
      <c r="D76" s="43" t="s">
        <v>5169</v>
      </c>
      <c r="E76" s="43" t="s">
        <v>2741</v>
      </c>
      <c r="F76" s="43" t="s">
        <v>2742</v>
      </c>
      <c r="G76" s="42" t="s">
        <v>34</v>
      </c>
      <c r="H76" s="42">
        <v>1</v>
      </c>
      <c r="I76" s="44">
        <v>0.46</v>
      </c>
      <c r="J76" s="45">
        <v>44011</v>
      </c>
      <c r="K76" s="44" t="s">
        <v>20</v>
      </c>
      <c r="L76" s="42">
        <v>4.99</v>
      </c>
      <c r="M76" s="25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  <c r="HG76" s="31"/>
      <c r="HH76" s="31"/>
      <c r="HI76" s="31"/>
      <c r="HJ76" s="31"/>
      <c r="HK76" s="31"/>
      <c r="HL76" s="31"/>
      <c r="HM76" s="31"/>
      <c r="HN76" s="31"/>
      <c r="HO76" s="31"/>
      <c r="HP76" s="31"/>
      <c r="HQ76" s="31"/>
      <c r="HR76" s="31"/>
      <c r="HS76" s="31"/>
      <c r="HT76" s="31"/>
      <c r="HU76" s="31"/>
      <c r="HV76" s="31"/>
      <c r="HW76" s="31"/>
      <c r="HX76" s="31"/>
      <c r="HY76" s="31"/>
      <c r="HZ76" s="31"/>
      <c r="IA76" s="31"/>
      <c r="IB76" s="31"/>
      <c r="IC76" s="31"/>
      <c r="ID76" s="31"/>
      <c r="IE76" s="31"/>
      <c r="IF76" s="31"/>
      <c r="IG76" s="31"/>
      <c r="IH76" s="31"/>
      <c r="II76" s="31"/>
      <c r="IJ76" s="31"/>
      <c r="IK76" s="31"/>
      <c r="IL76" s="31"/>
      <c r="IM76" s="31"/>
      <c r="IN76" s="31"/>
      <c r="IO76" s="31"/>
      <c r="IP76" s="31"/>
      <c r="IQ76" s="31"/>
      <c r="IR76" s="31"/>
      <c r="IS76" s="31"/>
      <c r="IT76" s="31"/>
      <c r="IU76" s="31"/>
      <c r="IV76" s="31"/>
      <c r="IW76" s="31"/>
      <c r="IX76" s="31"/>
      <c r="IY76" s="31"/>
      <c r="IZ76" s="31"/>
      <c r="JA76" s="31"/>
      <c r="JB76" s="31"/>
      <c r="JC76" s="31"/>
      <c r="JD76" s="31"/>
      <c r="JE76" s="31"/>
      <c r="JF76" s="31"/>
      <c r="JG76" s="31"/>
      <c r="JH76" s="31"/>
      <c r="JI76" s="31"/>
      <c r="JJ76" s="31"/>
      <c r="JK76" s="31"/>
      <c r="JL76" s="31"/>
      <c r="JM76" s="31"/>
      <c r="JN76" s="31"/>
      <c r="JO76" s="31"/>
      <c r="JP76" s="31"/>
      <c r="JQ76" s="31"/>
      <c r="JR76" s="31"/>
      <c r="JS76" s="31"/>
      <c r="JT76" s="31"/>
      <c r="JU76" s="31"/>
      <c r="JV76" s="31"/>
      <c r="JW76" s="31"/>
      <c r="JX76" s="31"/>
      <c r="JY76" s="31"/>
      <c r="JZ76" s="31"/>
      <c r="KA76" s="31"/>
      <c r="KB76" s="31"/>
      <c r="KC76" s="31"/>
      <c r="KD76" s="31"/>
      <c r="KE76" s="31"/>
    </row>
    <row r="77" spans="1:291" s="156" customFormat="1" ht="35" customHeight="1">
      <c r="A77" s="42">
        <f>ROW()-2</f>
        <v>75</v>
      </c>
      <c r="B77" s="152" t="s">
        <v>2732</v>
      </c>
      <c r="C77" s="152" t="s">
        <v>2733</v>
      </c>
      <c r="D77" s="58" t="s">
        <v>2937</v>
      </c>
      <c r="E77" s="58" t="s">
        <v>2800</v>
      </c>
      <c r="F77" s="58" t="s">
        <v>2929</v>
      </c>
      <c r="G77" s="152" t="s">
        <v>34</v>
      </c>
      <c r="H77" s="152">
        <v>1</v>
      </c>
      <c r="I77" s="157">
        <v>0.38</v>
      </c>
      <c r="J77" s="154">
        <v>44011</v>
      </c>
      <c r="K77" s="153" t="s">
        <v>20</v>
      </c>
      <c r="L77" s="153">
        <v>4.99</v>
      </c>
      <c r="M77" s="155"/>
    </row>
    <row r="78" spans="1:291" s="156" customFormat="1" ht="35" customHeight="1">
      <c r="A78" s="42">
        <f>ROW()-2</f>
        <v>76</v>
      </c>
      <c r="B78" s="152" t="s">
        <v>2732</v>
      </c>
      <c r="C78" s="152" t="s">
        <v>2733</v>
      </c>
      <c r="D78" s="58" t="s">
        <v>2938</v>
      </c>
      <c r="E78" s="58" t="s">
        <v>2939</v>
      </c>
      <c r="F78" s="58" t="s">
        <v>2828</v>
      </c>
      <c r="G78" s="152" t="s">
        <v>34</v>
      </c>
      <c r="H78" s="152">
        <v>1</v>
      </c>
      <c r="I78" s="157">
        <v>0.48</v>
      </c>
      <c r="J78" s="154">
        <v>44011</v>
      </c>
      <c r="K78" s="153" t="s">
        <v>20</v>
      </c>
      <c r="L78" s="153">
        <v>4.99</v>
      </c>
      <c r="M78" s="155"/>
    </row>
    <row r="79" spans="1:291" s="156" customFormat="1" ht="35" customHeight="1">
      <c r="A79" s="42">
        <f>ROW()-2</f>
        <v>77</v>
      </c>
      <c r="B79" s="152" t="s">
        <v>2732</v>
      </c>
      <c r="C79" s="152" t="s">
        <v>2733</v>
      </c>
      <c r="D79" s="58" t="s">
        <v>2940</v>
      </c>
      <c r="E79" s="58" t="s">
        <v>2941</v>
      </c>
      <c r="F79" s="58" t="s">
        <v>2790</v>
      </c>
      <c r="G79" s="152" t="s">
        <v>34</v>
      </c>
      <c r="H79" s="152">
        <v>3</v>
      </c>
      <c r="I79" s="157">
        <v>1.5</v>
      </c>
      <c r="J79" s="154">
        <v>44032</v>
      </c>
      <c r="K79" s="153" t="s">
        <v>20</v>
      </c>
      <c r="L79" s="153">
        <v>4.99</v>
      </c>
      <c r="M79" s="155"/>
    </row>
    <row r="80" spans="1:291" s="156" customFormat="1" ht="35" customHeight="1">
      <c r="A80" s="42">
        <f>ROW()-2</f>
        <v>78</v>
      </c>
      <c r="B80" s="152" t="s">
        <v>2732</v>
      </c>
      <c r="C80" s="152" t="s">
        <v>2733</v>
      </c>
      <c r="D80" s="58" t="s">
        <v>2859</v>
      </c>
      <c r="E80" s="58" t="s">
        <v>2860</v>
      </c>
      <c r="F80" s="58" t="s">
        <v>2942</v>
      </c>
      <c r="G80" s="152" t="s">
        <v>34</v>
      </c>
      <c r="H80" s="152">
        <v>3</v>
      </c>
      <c r="I80" s="157">
        <v>1.36</v>
      </c>
      <c r="J80" s="154">
        <v>44032</v>
      </c>
      <c r="K80" s="153" t="s">
        <v>20</v>
      </c>
      <c r="L80" s="153">
        <v>4.99</v>
      </c>
      <c r="M80" s="155"/>
    </row>
    <row r="81" spans="1:13" s="156" customFormat="1" ht="35" customHeight="1">
      <c r="A81" s="42">
        <f>ROW()-2</f>
        <v>79</v>
      </c>
      <c r="B81" s="152" t="s">
        <v>2732</v>
      </c>
      <c r="C81" s="152" t="s">
        <v>2733</v>
      </c>
      <c r="D81" s="58" t="s">
        <v>2764</v>
      </c>
      <c r="E81" s="58" t="s">
        <v>2765</v>
      </c>
      <c r="F81" s="58" t="s">
        <v>2942</v>
      </c>
      <c r="G81" s="152" t="s">
        <v>34</v>
      </c>
      <c r="H81" s="152">
        <v>3</v>
      </c>
      <c r="I81" s="157">
        <v>1.5</v>
      </c>
      <c r="J81" s="154">
        <v>44032</v>
      </c>
      <c r="K81" s="153" t="s">
        <v>20</v>
      </c>
      <c r="L81" s="153">
        <v>4.99</v>
      </c>
      <c r="M81" s="155"/>
    </row>
    <row r="82" spans="1:13" s="156" customFormat="1" ht="35" customHeight="1">
      <c r="A82" s="42">
        <f>ROW()-2</f>
        <v>80</v>
      </c>
      <c r="B82" s="152" t="s">
        <v>2732</v>
      </c>
      <c r="C82" s="152" t="s">
        <v>2733</v>
      </c>
      <c r="D82" s="58" t="s">
        <v>2943</v>
      </c>
      <c r="E82" s="58" t="s">
        <v>2944</v>
      </c>
      <c r="F82" s="58" t="s">
        <v>2942</v>
      </c>
      <c r="G82" s="152" t="s">
        <v>34</v>
      </c>
      <c r="H82" s="152">
        <v>4</v>
      </c>
      <c r="I82" s="157">
        <v>1.36</v>
      </c>
      <c r="J82" s="154">
        <v>44032</v>
      </c>
      <c r="K82" s="153" t="s">
        <v>20</v>
      </c>
      <c r="L82" s="153">
        <v>4.99</v>
      </c>
      <c r="M82" s="155"/>
    </row>
    <row r="83" spans="1:13" s="156" customFormat="1" ht="35" customHeight="1">
      <c r="A83" s="42">
        <f>ROW()-2</f>
        <v>81</v>
      </c>
      <c r="B83" s="152" t="s">
        <v>2732</v>
      </c>
      <c r="C83" s="152" t="s">
        <v>2733</v>
      </c>
      <c r="D83" s="58" t="s">
        <v>2925</v>
      </c>
      <c r="E83" s="58" t="s">
        <v>2926</v>
      </c>
      <c r="F83" s="58" t="s">
        <v>2745</v>
      </c>
      <c r="G83" s="152" t="s">
        <v>34</v>
      </c>
      <c r="H83" s="152">
        <v>4</v>
      </c>
      <c r="I83" s="157">
        <v>1.6</v>
      </c>
      <c r="J83" s="154">
        <v>44039</v>
      </c>
      <c r="K83" s="153" t="s">
        <v>20</v>
      </c>
      <c r="L83" s="153">
        <v>4.99</v>
      </c>
      <c r="M83" s="155"/>
    </row>
    <row r="84" spans="1:13" s="156" customFormat="1" ht="35" customHeight="1">
      <c r="A84" s="42">
        <f>ROW()-2</f>
        <v>82</v>
      </c>
      <c r="B84" s="152" t="s">
        <v>2732</v>
      </c>
      <c r="C84" s="152" t="s">
        <v>2733</v>
      </c>
      <c r="D84" s="58" t="s">
        <v>2945</v>
      </c>
      <c r="E84" s="58" t="s">
        <v>2885</v>
      </c>
      <c r="F84" s="58" t="s">
        <v>2745</v>
      </c>
      <c r="G84" s="152" t="s">
        <v>34</v>
      </c>
      <c r="H84" s="152">
        <v>3</v>
      </c>
      <c r="I84" s="157">
        <v>1.23</v>
      </c>
      <c r="J84" s="154">
        <v>44039</v>
      </c>
      <c r="K84" s="153" t="s">
        <v>20</v>
      </c>
      <c r="L84" s="153">
        <v>4.99</v>
      </c>
      <c r="M84" s="155"/>
    </row>
    <row r="85" spans="1:13" s="156" customFormat="1" ht="35" customHeight="1">
      <c r="A85" s="42">
        <f>ROW()-2</f>
        <v>83</v>
      </c>
      <c r="B85" s="152" t="s">
        <v>2732</v>
      </c>
      <c r="C85" s="152" t="s">
        <v>2733</v>
      </c>
      <c r="D85" s="58" t="s">
        <v>2946</v>
      </c>
      <c r="E85" s="58" t="s">
        <v>2947</v>
      </c>
      <c r="F85" s="58" t="s">
        <v>2948</v>
      </c>
      <c r="G85" s="152" t="s">
        <v>34</v>
      </c>
      <c r="H85" s="152">
        <v>1</v>
      </c>
      <c r="I85" s="157">
        <v>0.56000000000000005</v>
      </c>
      <c r="J85" s="154">
        <v>44039</v>
      </c>
      <c r="K85" s="153" t="s">
        <v>20</v>
      </c>
      <c r="L85" s="153">
        <v>4.99</v>
      </c>
      <c r="M85" s="155"/>
    </row>
    <row r="86" spans="1:13" s="156" customFormat="1" ht="35" customHeight="1">
      <c r="A86" s="42">
        <f>ROW()-2</f>
        <v>84</v>
      </c>
      <c r="B86" s="152" t="s">
        <v>2732</v>
      </c>
      <c r="C86" s="152" t="s">
        <v>2733</v>
      </c>
      <c r="D86" s="58" t="s">
        <v>2949</v>
      </c>
      <c r="E86" s="58" t="s">
        <v>2950</v>
      </c>
      <c r="F86" s="58" t="s">
        <v>2742</v>
      </c>
      <c r="G86" s="152" t="s">
        <v>34</v>
      </c>
      <c r="H86" s="152">
        <v>5</v>
      </c>
      <c r="I86" s="157">
        <v>2.16</v>
      </c>
      <c r="J86" s="154">
        <v>44039</v>
      </c>
      <c r="K86" s="153" t="s">
        <v>20</v>
      </c>
      <c r="L86" s="153">
        <v>4.99</v>
      </c>
      <c r="M86" s="155"/>
    </row>
    <row r="87" spans="1:13" s="156" customFormat="1" ht="35" customHeight="1">
      <c r="A87" s="42">
        <f>ROW()-2</f>
        <v>85</v>
      </c>
      <c r="B87" s="152" t="s">
        <v>2732</v>
      </c>
      <c r="C87" s="152" t="s">
        <v>2733</v>
      </c>
      <c r="D87" s="58" t="s">
        <v>2951</v>
      </c>
      <c r="E87" s="58" t="s">
        <v>2952</v>
      </c>
      <c r="F87" s="58" t="s">
        <v>2745</v>
      </c>
      <c r="G87" s="152" t="s">
        <v>34</v>
      </c>
      <c r="H87" s="152">
        <v>4</v>
      </c>
      <c r="I87" s="157">
        <v>2.3199999999999998</v>
      </c>
      <c r="J87" s="154">
        <v>44046</v>
      </c>
      <c r="K87" s="153" t="s">
        <v>20</v>
      </c>
      <c r="L87" s="153">
        <v>4.99</v>
      </c>
      <c r="M87" s="155"/>
    </row>
    <row r="88" spans="1:13" s="156" customFormat="1" ht="35" customHeight="1">
      <c r="A88" s="42">
        <f>ROW()-2</f>
        <v>86</v>
      </c>
      <c r="B88" s="152" t="s">
        <v>2732</v>
      </c>
      <c r="C88" s="152" t="s">
        <v>2733</v>
      </c>
      <c r="D88" s="58" t="s">
        <v>2903</v>
      </c>
      <c r="E88" s="58" t="s">
        <v>2904</v>
      </c>
      <c r="F88" s="58" t="s">
        <v>2745</v>
      </c>
      <c r="G88" s="152" t="s">
        <v>34</v>
      </c>
      <c r="H88" s="152">
        <v>4</v>
      </c>
      <c r="I88" s="157">
        <v>2.71</v>
      </c>
      <c r="J88" s="154">
        <v>44046</v>
      </c>
      <c r="K88" s="153" t="s">
        <v>20</v>
      </c>
      <c r="L88" s="153">
        <v>4.99</v>
      </c>
      <c r="M88" s="155"/>
    </row>
    <row r="89" spans="1:13" s="156" customFormat="1" ht="35" customHeight="1">
      <c r="A89" s="42">
        <f>ROW()-2</f>
        <v>87</v>
      </c>
      <c r="B89" s="152" t="s">
        <v>2732</v>
      </c>
      <c r="C89" s="152" t="s">
        <v>2733</v>
      </c>
      <c r="D89" s="58" t="s">
        <v>2953</v>
      </c>
      <c r="E89" s="58" t="s">
        <v>2779</v>
      </c>
      <c r="F89" s="58" t="s">
        <v>2745</v>
      </c>
      <c r="G89" s="152" t="s">
        <v>34</v>
      </c>
      <c r="H89" s="152">
        <v>3</v>
      </c>
      <c r="I89" s="157">
        <v>1.1200000000000001</v>
      </c>
      <c r="J89" s="154">
        <v>44053</v>
      </c>
      <c r="K89" s="153" t="s">
        <v>30</v>
      </c>
      <c r="L89" s="153">
        <v>4.99</v>
      </c>
      <c r="M89" s="155"/>
    </row>
    <row r="90" spans="1:13" s="156" customFormat="1" ht="35" customHeight="1">
      <c r="A90" s="42">
        <f>ROW()-2</f>
        <v>88</v>
      </c>
      <c r="B90" s="152" t="s">
        <v>2732</v>
      </c>
      <c r="C90" s="152" t="s">
        <v>2733</v>
      </c>
      <c r="D90" s="58" t="s">
        <v>2796</v>
      </c>
      <c r="E90" s="58" t="s">
        <v>2797</v>
      </c>
      <c r="F90" s="58" t="s">
        <v>2942</v>
      </c>
      <c r="G90" s="152" t="s">
        <v>34</v>
      </c>
      <c r="H90" s="152">
        <v>3</v>
      </c>
      <c r="I90" s="157">
        <v>1.1100000000000001</v>
      </c>
      <c r="J90" s="154">
        <v>44053</v>
      </c>
      <c r="K90" s="153" t="s">
        <v>20</v>
      </c>
      <c r="L90" s="153">
        <v>4.99</v>
      </c>
      <c r="M90" s="155"/>
    </row>
    <row r="91" spans="1:13" s="156" customFormat="1" ht="35" customHeight="1">
      <c r="A91" s="42">
        <f>ROW()-2</f>
        <v>89</v>
      </c>
      <c r="B91" s="152" t="s">
        <v>2732</v>
      </c>
      <c r="C91" s="152" t="s">
        <v>2733</v>
      </c>
      <c r="D91" s="58" t="s">
        <v>2954</v>
      </c>
      <c r="E91" s="58" t="s">
        <v>2955</v>
      </c>
      <c r="F91" s="58" t="s">
        <v>2745</v>
      </c>
      <c r="G91" s="152" t="s">
        <v>34</v>
      </c>
      <c r="H91" s="152">
        <v>4</v>
      </c>
      <c r="I91" s="157">
        <v>2.36</v>
      </c>
      <c r="J91" s="154">
        <v>44053</v>
      </c>
      <c r="K91" s="153" t="s">
        <v>20</v>
      </c>
      <c r="L91" s="153">
        <v>4.99</v>
      </c>
      <c r="M91" s="155"/>
    </row>
    <row r="92" spans="1:13" s="156" customFormat="1" ht="35" customHeight="1">
      <c r="A92" s="42">
        <f>ROW()-2</f>
        <v>90</v>
      </c>
      <c r="B92" s="152" t="s">
        <v>2732</v>
      </c>
      <c r="C92" s="152" t="s">
        <v>2733</v>
      </c>
      <c r="D92" s="58" t="s">
        <v>2956</v>
      </c>
      <c r="E92" s="58" t="s">
        <v>2957</v>
      </c>
      <c r="F92" s="58" t="s">
        <v>2745</v>
      </c>
      <c r="G92" s="152" t="s">
        <v>34</v>
      </c>
      <c r="H92" s="152">
        <v>4</v>
      </c>
      <c r="I92" s="157">
        <v>2.6</v>
      </c>
      <c r="J92" s="154">
        <v>44060</v>
      </c>
      <c r="K92" s="153" t="s">
        <v>20</v>
      </c>
      <c r="L92" s="153">
        <v>4.99</v>
      </c>
      <c r="M92" s="155"/>
    </row>
    <row r="93" spans="1:13" s="156" customFormat="1" ht="35" customHeight="1">
      <c r="A93" s="42">
        <f>ROW()-2</f>
        <v>91</v>
      </c>
      <c r="B93" s="152" t="s">
        <v>2732</v>
      </c>
      <c r="C93" s="152" t="s">
        <v>2733</v>
      </c>
      <c r="D93" s="58" t="s">
        <v>2958</v>
      </c>
      <c r="E93" s="58" t="s">
        <v>2959</v>
      </c>
      <c r="F93" s="58" t="s">
        <v>2745</v>
      </c>
      <c r="G93" s="152" t="s">
        <v>34</v>
      </c>
      <c r="H93" s="152">
        <v>4</v>
      </c>
      <c r="I93" s="157">
        <v>2.56</v>
      </c>
      <c r="J93" s="154">
        <v>44060</v>
      </c>
      <c r="K93" s="153" t="s">
        <v>20</v>
      </c>
      <c r="L93" s="153">
        <v>4.99</v>
      </c>
      <c r="M93" s="155"/>
    </row>
    <row r="94" spans="1:13" s="156" customFormat="1" ht="35" customHeight="1">
      <c r="A94" s="42">
        <f>ROW()-2</f>
        <v>92</v>
      </c>
      <c r="B94" s="152" t="s">
        <v>2732</v>
      </c>
      <c r="C94" s="152" t="s">
        <v>2733</v>
      </c>
      <c r="D94" s="58" t="s">
        <v>2960</v>
      </c>
      <c r="E94" s="58" t="s">
        <v>2961</v>
      </c>
      <c r="F94" s="58" t="s">
        <v>2745</v>
      </c>
      <c r="G94" s="152" t="s">
        <v>34</v>
      </c>
      <c r="H94" s="152">
        <v>4</v>
      </c>
      <c r="I94" s="157">
        <v>2.5</v>
      </c>
      <c r="J94" s="154">
        <v>44060</v>
      </c>
      <c r="K94" s="153" t="s">
        <v>20</v>
      </c>
      <c r="L94" s="153">
        <v>4.99</v>
      </c>
      <c r="M94" s="155"/>
    </row>
    <row r="95" spans="1:13" s="156" customFormat="1" ht="35" customHeight="1">
      <c r="A95" s="42">
        <f>ROW()-2</f>
        <v>93</v>
      </c>
      <c r="B95" s="152" t="s">
        <v>2732</v>
      </c>
      <c r="C95" s="152" t="s">
        <v>2733</v>
      </c>
      <c r="D95" s="58" t="s">
        <v>2962</v>
      </c>
      <c r="E95" s="58" t="s">
        <v>2963</v>
      </c>
      <c r="F95" s="58" t="s">
        <v>2745</v>
      </c>
      <c r="G95" s="152" t="s">
        <v>34</v>
      </c>
      <c r="H95" s="152">
        <v>4</v>
      </c>
      <c r="I95" s="157">
        <v>2.61</v>
      </c>
      <c r="J95" s="154">
        <v>44067</v>
      </c>
      <c r="K95" s="153" t="s">
        <v>20</v>
      </c>
      <c r="L95" s="153">
        <v>4.99</v>
      </c>
      <c r="M95" s="155"/>
    </row>
    <row r="96" spans="1:13" s="156" customFormat="1" ht="35" customHeight="1">
      <c r="A96" s="42">
        <f>ROW()-2</f>
        <v>94</v>
      </c>
      <c r="B96" s="152" t="s">
        <v>2732</v>
      </c>
      <c r="C96" s="152" t="s">
        <v>2733</v>
      </c>
      <c r="D96" s="58" t="s">
        <v>2964</v>
      </c>
      <c r="E96" s="58" t="s">
        <v>2965</v>
      </c>
      <c r="F96" s="58" t="s">
        <v>2745</v>
      </c>
      <c r="G96" s="152" t="s">
        <v>34</v>
      </c>
      <c r="H96" s="152">
        <v>6</v>
      </c>
      <c r="I96" s="157">
        <v>4.5</v>
      </c>
      <c r="J96" s="154">
        <v>44067</v>
      </c>
      <c r="K96" s="153" t="s">
        <v>20</v>
      </c>
      <c r="L96" s="153">
        <v>4.99</v>
      </c>
      <c r="M96" s="155"/>
    </row>
    <row r="97" spans="1:291" s="156" customFormat="1" ht="35" customHeight="1">
      <c r="A97" s="42">
        <f>ROW()-2</f>
        <v>95</v>
      </c>
      <c r="B97" s="42" t="s">
        <v>2732</v>
      </c>
      <c r="C97" s="42" t="s">
        <v>2733</v>
      </c>
      <c r="D97" s="43" t="s">
        <v>5168</v>
      </c>
      <c r="E97" s="43" t="s">
        <v>2744</v>
      </c>
      <c r="F97" s="43" t="s">
        <v>2745</v>
      </c>
      <c r="G97" s="42" t="s">
        <v>34</v>
      </c>
      <c r="H97" s="42">
        <v>6</v>
      </c>
      <c r="I97" s="44">
        <v>6.2</v>
      </c>
      <c r="J97" s="45">
        <v>44074</v>
      </c>
      <c r="K97" s="44" t="s">
        <v>20</v>
      </c>
      <c r="L97" s="42">
        <v>4.99</v>
      </c>
      <c r="M97" s="25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/>
      <c r="IQ97" s="31"/>
      <c r="IR97" s="31"/>
      <c r="IS97" s="31"/>
      <c r="IT97" s="31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  <c r="JG97" s="31"/>
      <c r="JH97" s="31"/>
      <c r="JI97" s="31"/>
      <c r="JJ97" s="31"/>
      <c r="JK97" s="31"/>
      <c r="JL97" s="31"/>
      <c r="JM97" s="31"/>
      <c r="JN97" s="31"/>
      <c r="JO97" s="31"/>
      <c r="JP97" s="31"/>
      <c r="JQ97" s="31"/>
      <c r="JR97" s="31"/>
      <c r="JS97" s="31"/>
      <c r="JT97" s="31"/>
      <c r="JU97" s="31"/>
      <c r="JV97" s="31"/>
      <c r="JW97" s="31"/>
      <c r="JX97" s="31"/>
      <c r="JY97" s="31"/>
      <c r="JZ97" s="31"/>
      <c r="KA97" s="31"/>
      <c r="KB97" s="31"/>
      <c r="KC97" s="31"/>
      <c r="KD97" s="31"/>
      <c r="KE97" s="31"/>
    </row>
    <row r="98" spans="1:291" s="156" customFormat="1" ht="35" customHeight="1">
      <c r="A98" s="42">
        <f>ROW()-2</f>
        <v>96</v>
      </c>
      <c r="B98" s="152" t="s">
        <v>2732</v>
      </c>
      <c r="C98" s="152" t="s">
        <v>2733</v>
      </c>
      <c r="D98" s="58" t="s">
        <v>2966</v>
      </c>
      <c r="E98" s="58" t="s">
        <v>2967</v>
      </c>
      <c r="F98" s="58" t="s">
        <v>2745</v>
      </c>
      <c r="G98" s="152" t="s">
        <v>34</v>
      </c>
      <c r="H98" s="152">
        <v>5</v>
      </c>
      <c r="I98" s="157">
        <v>4.16</v>
      </c>
      <c r="J98" s="154">
        <v>44074</v>
      </c>
      <c r="K98" s="153" t="s">
        <v>20</v>
      </c>
      <c r="L98" s="153">
        <v>4.99</v>
      </c>
      <c r="M98" s="155"/>
    </row>
    <row r="99" spans="1:291" s="156" customFormat="1" ht="35" customHeight="1">
      <c r="A99" s="42">
        <f>ROW()-2</f>
        <v>97</v>
      </c>
      <c r="B99" s="152" t="s">
        <v>2732</v>
      </c>
      <c r="C99" s="152" t="s">
        <v>2733</v>
      </c>
      <c r="D99" s="58" t="s">
        <v>2968</v>
      </c>
      <c r="E99" s="58" t="s">
        <v>2969</v>
      </c>
      <c r="F99" s="58" t="s">
        <v>2745</v>
      </c>
      <c r="G99" s="152" t="s">
        <v>34</v>
      </c>
      <c r="H99" s="152">
        <v>7</v>
      </c>
      <c r="I99" s="157">
        <v>3.5</v>
      </c>
      <c r="J99" s="154">
        <v>44074</v>
      </c>
      <c r="K99" s="153" t="s">
        <v>20</v>
      </c>
      <c r="L99" s="153">
        <v>4.99</v>
      </c>
      <c r="M99" s="155"/>
    </row>
    <row r="100" spans="1:291" s="156" customFormat="1" ht="35" customHeight="1">
      <c r="A100" s="42">
        <f>ROW()-2</f>
        <v>98</v>
      </c>
      <c r="B100" s="152" t="s">
        <v>2732</v>
      </c>
      <c r="C100" s="152" t="s">
        <v>2733</v>
      </c>
      <c r="D100" s="58" t="s">
        <v>2799</v>
      </c>
      <c r="E100" s="58" t="s">
        <v>2800</v>
      </c>
      <c r="F100" s="58" t="s">
        <v>2745</v>
      </c>
      <c r="G100" s="152" t="s">
        <v>34</v>
      </c>
      <c r="H100" s="152">
        <v>2</v>
      </c>
      <c r="I100" s="157">
        <v>1.25</v>
      </c>
      <c r="J100" s="154">
        <v>44081</v>
      </c>
      <c r="K100" s="153" t="s">
        <v>20</v>
      </c>
      <c r="L100" s="153">
        <v>4.99</v>
      </c>
      <c r="M100" s="155"/>
    </row>
    <row r="101" spans="1:291" s="156" customFormat="1" ht="35" customHeight="1">
      <c r="A101" s="42">
        <f>ROW()-2</f>
        <v>99</v>
      </c>
      <c r="B101" s="152" t="s">
        <v>2732</v>
      </c>
      <c r="C101" s="152" t="s">
        <v>2733</v>
      </c>
      <c r="D101" s="58" t="s">
        <v>2886</v>
      </c>
      <c r="E101" s="58" t="s">
        <v>2970</v>
      </c>
      <c r="F101" s="58" t="s">
        <v>2745</v>
      </c>
      <c r="G101" s="152" t="s">
        <v>34</v>
      </c>
      <c r="H101" s="152">
        <v>3</v>
      </c>
      <c r="I101" s="157">
        <v>2.1</v>
      </c>
      <c r="J101" s="154">
        <v>44088</v>
      </c>
      <c r="K101" s="153" t="s">
        <v>20</v>
      </c>
      <c r="L101" s="153">
        <v>4.99</v>
      </c>
      <c r="M101" s="155"/>
    </row>
    <row r="102" spans="1:291" s="156" customFormat="1" ht="35" customHeight="1">
      <c r="A102" s="42">
        <f>ROW()-2</f>
        <v>100</v>
      </c>
      <c r="B102" s="152" t="s">
        <v>2732</v>
      </c>
      <c r="C102" s="152" t="s">
        <v>2733</v>
      </c>
      <c r="D102" s="58" t="s">
        <v>2973</v>
      </c>
      <c r="E102" s="58" t="s">
        <v>2974</v>
      </c>
      <c r="F102" s="58" t="s">
        <v>2742</v>
      </c>
      <c r="G102" s="152" t="s">
        <v>34</v>
      </c>
      <c r="H102" s="152">
        <v>1</v>
      </c>
      <c r="I102" s="157">
        <v>0.41</v>
      </c>
      <c r="J102" s="154">
        <v>44095</v>
      </c>
      <c r="K102" s="153" t="s">
        <v>20</v>
      </c>
      <c r="L102" s="153">
        <v>4.99</v>
      </c>
      <c r="M102" s="155"/>
    </row>
    <row r="103" spans="1:291" s="156" customFormat="1" ht="35" customHeight="1">
      <c r="A103" s="42">
        <f>ROW()-2</f>
        <v>101</v>
      </c>
      <c r="B103" s="152" t="s">
        <v>2732</v>
      </c>
      <c r="C103" s="152" t="s">
        <v>2733</v>
      </c>
      <c r="D103" s="58" t="s">
        <v>2975</v>
      </c>
      <c r="E103" s="58" t="s">
        <v>2976</v>
      </c>
      <c r="F103" s="58" t="s">
        <v>2929</v>
      </c>
      <c r="G103" s="152" t="s">
        <v>34</v>
      </c>
      <c r="H103" s="152">
        <v>1</v>
      </c>
      <c r="I103" s="157">
        <v>0.42</v>
      </c>
      <c r="J103" s="154">
        <v>44095</v>
      </c>
      <c r="K103" s="153" t="s">
        <v>20</v>
      </c>
      <c r="L103" s="153">
        <v>4.99</v>
      </c>
      <c r="M103" s="155"/>
    </row>
    <row r="104" spans="1:291" s="156" customFormat="1" ht="35" customHeight="1">
      <c r="A104" s="42">
        <f>ROW()-2</f>
        <v>102</v>
      </c>
      <c r="B104" s="152" t="s">
        <v>2732</v>
      </c>
      <c r="C104" s="152" t="s">
        <v>2733</v>
      </c>
      <c r="D104" s="58" t="s">
        <v>2977</v>
      </c>
      <c r="E104" s="58" t="s">
        <v>2978</v>
      </c>
      <c r="F104" s="58" t="s">
        <v>2905</v>
      </c>
      <c r="G104" s="152" t="s">
        <v>34</v>
      </c>
      <c r="H104" s="152">
        <v>1</v>
      </c>
      <c r="I104" s="157">
        <v>0.42</v>
      </c>
      <c r="J104" s="154">
        <v>44095</v>
      </c>
      <c r="K104" s="153" t="s">
        <v>20</v>
      </c>
      <c r="L104" s="153">
        <v>4.99</v>
      </c>
      <c r="M104" s="155"/>
    </row>
    <row r="105" spans="1:291" s="156" customFormat="1" ht="35" customHeight="1">
      <c r="A105" s="42">
        <f>ROW()-2</f>
        <v>103</v>
      </c>
      <c r="B105" s="152" t="s">
        <v>2732</v>
      </c>
      <c r="C105" s="152" t="s">
        <v>2733</v>
      </c>
      <c r="D105" s="58" t="s">
        <v>2979</v>
      </c>
      <c r="E105" s="58" t="s">
        <v>2980</v>
      </c>
      <c r="F105" s="58" t="s">
        <v>2828</v>
      </c>
      <c r="G105" s="152" t="s">
        <v>34</v>
      </c>
      <c r="H105" s="152">
        <v>1</v>
      </c>
      <c r="I105" s="157">
        <v>0.41</v>
      </c>
      <c r="J105" s="154">
        <v>44095</v>
      </c>
      <c r="K105" s="153" t="s">
        <v>20</v>
      </c>
      <c r="L105" s="153">
        <v>4.99</v>
      </c>
      <c r="M105" s="155"/>
    </row>
    <row r="106" spans="1:291" s="156" customFormat="1" ht="35" customHeight="1">
      <c r="A106" s="42">
        <f>ROW()-2</f>
        <v>104</v>
      </c>
      <c r="B106" s="152" t="s">
        <v>2732</v>
      </c>
      <c r="C106" s="152" t="s">
        <v>2733</v>
      </c>
      <c r="D106" s="58" t="s">
        <v>2981</v>
      </c>
      <c r="E106" s="58" t="s">
        <v>2982</v>
      </c>
      <c r="F106" s="58" t="s">
        <v>2919</v>
      </c>
      <c r="G106" s="152" t="s">
        <v>34</v>
      </c>
      <c r="H106" s="152">
        <v>1</v>
      </c>
      <c r="I106" s="157">
        <v>0.75</v>
      </c>
      <c r="J106" s="154">
        <v>44095</v>
      </c>
      <c r="K106" s="153" t="s">
        <v>20</v>
      </c>
      <c r="L106" s="153">
        <v>4.99</v>
      </c>
      <c r="M106" s="155"/>
    </row>
    <row r="107" spans="1:291" s="156" customFormat="1" ht="35" customHeight="1">
      <c r="A107" s="42">
        <f>ROW()-2</f>
        <v>105</v>
      </c>
      <c r="B107" s="152" t="s">
        <v>2732</v>
      </c>
      <c r="C107" s="152" t="s">
        <v>2733</v>
      </c>
      <c r="D107" s="58" t="s">
        <v>2983</v>
      </c>
      <c r="E107" s="58" t="s">
        <v>2984</v>
      </c>
      <c r="F107" s="58" t="s">
        <v>2905</v>
      </c>
      <c r="G107" s="152" t="s">
        <v>34</v>
      </c>
      <c r="H107" s="152">
        <v>1</v>
      </c>
      <c r="I107" s="157">
        <v>0.49</v>
      </c>
      <c r="J107" s="154">
        <v>44095</v>
      </c>
      <c r="K107" s="153" t="s">
        <v>20</v>
      </c>
      <c r="L107" s="153">
        <v>4.99</v>
      </c>
      <c r="M107" s="155"/>
    </row>
    <row r="108" spans="1:291" s="156" customFormat="1" ht="35" customHeight="1">
      <c r="A108" s="42">
        <f>ROW()-2</f>
        <v>106</v>
      </c>
      <c r="B108" s="152" t="s">
        <v>2732</v>
      </c>
      <c r="C108" s="152" t="s">
        <v>2733</v>
      </c>
      <c r="D108" s="58" t="s">
        <v>2985</v>
      </c>
      <c r="E108" s="58" t="s">
        <v>2986</v>
      </c>
      <c r="F108" s="58" t="s">
        <v>2828</v>
      </c>
      <c r="G108" s="152" t="s">
        <v>34</v>
      </c>
      <c r="H108" s="152">
        <v>1</v>
      </c>
      <c r="I108" s="157">
        <v>0.38</v>
      </c>
      <c r="J108" s="154">
        <v>44095</v>
      </c>
      <c r="K108" s="153" t="s">
        <v>20</v>
      </c>
      <c r="L108" s="153">
        <v>4.99</v>
      </c>
      <c r="M108" s="155"/>
    </row>
    <row r="109" spans="1:291" s="156" customFormat="1" ht="35" customHeight="1">
      <c r="A109" s="42">
        <f>ROW()-2</f>
        <v>107</v>
      </c>
      <c r="B109" s="152" t="s">
        <v>2732</v>
      </c>
      <c r="C109" s="152" t="s">
        <v>2733</v>
      </c>
      <c r="D109" s="58" t="s">
        <v>2987</v>
      </c>
      <c r="E109" s="58" t="s">
        <v>2988</v>
      </c>
      <c r="F109" s="58" t="s">
        <v>2828</v>
      </c>
      <c r="G109" s="152" t="s">
        <v>34</v>
      </c>
      <c r="H109" s="152">
        <v>1</v>
      </c>
      <c r="I109" s="157">
        <v>0.42</v>
      </c>
      <c r="J109" s="154">
        <v>44095</v>
      </c>
      <c r="K109" s="153" t="s">
        <v>20</v>
      </c>
      <c r="L109" s="153">
        <v>4.99</v>
      </c>
      <c r="M109" s="155"/>
    </row>
    <row r="110" spans="1:291" s="156" customFormat="1" ht="35" customHeight="1">
      <c r="A110" s="42">
        <f>ROW()-2</f>
        <v>108</v>
      </c>
      <c r="B110" s="152" t="s">
        <v>2732</v>
      </c>
      <c r="C110" s="152" t="s">
        <v>2733</v>
      </c>
      <c r="D110" s="58" t="s">
        <v>2989</v>
      </c>
      <c r="E110" s="58" t="s">
        <v>2990</v>
      </c>
      <c r="F110" s="58" t="s">
        <v>2932</v>
      </c>
      <c r="G110" s="152" t="s">
        <v>34</v>
      </c>
      <c r="H110" s="152">
        <v>1</v>
      </c>
      <c r="I110" s="157">
        <v>0.4</v>
      </c>
      <c r="J110" s="154">
        <v>44102</v>
      </c>
      <c r="K110" s="153" t="s">
        <v>20</v>
      </c>
      <c r="L110" s="153">
        <v>4.99</v>
      </c>
      <c r="M110" s="155"/>
    </row>
    <row r="111" spans="1:291" s="156" customFormat="1" ht="35" customHeight="1">
      <c r="A111" s="42">
        <f>ROW()-2</f>
        <v>109</v>
      </c>
      <c r="B111" s="152" t="s">
        <v>2732</v>
      </c>
      <c r="C111" s="152" t="s">
        <v>2733</v>
      </c>
      <c r="D111" s="58" t="s">
        <v>2991</v>
      </c>
      <c r="E111" s="58" t="s">
        <v>2992</v>
      </c>
      <c r="F111" s="58" t="s">
        <v>2751</v>
      </c>
      <c r="G111" s="152" t="s">
        <v>34</v>
      </c>
      <c r="H111" s="152">
        <v>1</v>
      </c>
      <c r="I111" s="157">
        <v>0.5</v>
      </c>
      <c r="J111" s="154">
        <v>44102</v>
      </c>
      <c r="K111" s="153" t="s">
        <v>20</v>
      </c>
      <c r="L111" s="153">
        <v>4.99</v>
      </c>
      <c r="M111" s="155"/>
    </row>
    <row r="112" spans="1:291" s="156" customFormat="1" ht="35" customHeight="1">
      <c r="A112" s="42">
        <f>ROW()-2</f>
        <v>110</v>
      </c>
      <c r="B112" s="152" t="s">
        <v>2732</v>
      </c>
      <c r="C112" s="152" t="s">
        <v>2733</v>
      </c>
      <c r="D112" s="58" t="s">
        <v>2993</v>
      </c>
      <c r="E112" s="58" t="s">
        <v>2994</v>
      </c>
      <c r="F112" s="58" t="s">
        <v>2916</v>
      </c>
      <c r="G112" s="152" t="s">
        <v>34</v>
      </c>
      <c r="H112" s="152">
        <v>1</v>
      </c>
      <c r="I112" s="157">
        <v>0.53</v>
      </c>
      <c r="J112" s="154">
        <v>44102</v>
      </c>
      <c r="K112" s="153" t="s">
        <v>20</v>
      </c>
      <c r="L112" s="153">
        <v>4.99</v>
      </c>
      <c r="M112" s="155"/>
    </row>
    <row r="113" spans="1:291" s="156" customFormat="1" ht="35" customHeight="1">
      <c r="A113" s="42">
        <f>ROW()-2</f>
        <v>111</v>
      </c>
      <c r="B113" s="152" t="s">
        <v>2732</v>
      </c>
      <c r="C113" s="152" t="s">
        <v>2733</v>
      </c>
      <c r="D113" s="58" t="s">
        <v>2995</v>
      </c>
      <c r="E113" s="58" t="s">
        <v>2757</v>
      </c>
      <c r="F113" s="58" t="s">
        <v>2751</v>
      </c>
      <c r="G113" s="152" t="s">
        <v>34</v>
      </c>
      <c r="H113" s="152">
        <v>1</v>
      </c>
      <c r="I113" s="157">
        <v>0.42</v>
      </c>
      <c r="J113" s="154">
        <v>44102</v>
      </c>
      <c r="K113" s="153" t="s">
        <v>20</v>
      </c>
      <c r="L113" s="153">
        <v>4.99</v>
      </c>
      <c r="M113" s="155"/>
    </row>
    <row r="114" spans="1:291" s="156" customFormat="1" ht="35" customHeight="1">
      <c r="A114" s="42">
        <f>ROW()-2</f>
        <v>112</v>
      </c>
      <c r="B114" s="152" t="s">
        <v>2732</v>
      </c>
      <c r="C114" s="152" t="s">
        <v>2733</v>
      </c>
      <c r="D114" s="58" t="s">
        <v>2996</v>
      </c>
      <c r="E114" s="58" t="s">
        <v>2997</v>
      </c>
      <c r="F114" s="58" t="s">
        <v>2998</v>
      </c>
      <c r="G114" s="152" t="s">
        <v>34</v>
      </c>
      <c r="H114" s="152">
        <v>1</v>
      </c>
      <c r="I114" s="157">
        <v>0.4</v>
      </c>
      <c r="J114" s="154">
        <v>44102</v>
      </c>
      <c r="K114" s="153" t="s">
        <v>20</v>
      </c>
      <c r="L114" s="153">
        <v>4.99</v>
      </c>
      <c r="M114" s="155"/>
    </row>
    <row r="115" spans="1:291" s="156" customFormat="1" ht="35" customHeight="1">
      <c r="A115" s="42">
        <f>ROW()-2</f>
        <v>113</v>
      </c>
      <c r="B115" s="152" t="s">
        <v>2732</v>
      </c>
      <c r="C115" s="152" t="s">
        <v>2733</v>
      </c>
      <c r="D115" s="58" t="s">
        <v>3002</v>
      </c>
      <c r="E115" s="58" t="s">
        <v>3003</v>
      </c>
      <c r="F115" s="58" t="s">
        <v>2905</v>
      </c>
      <c r="G115" s="152" t="s">
        <v>34</v>
      </c>
      <c r="H115" s="152">
        <v>1</v>
      </c>
      <c r="I115" s="157">
        <v>0.47</v>
      </c>
      <c r="J115" s="154">
        <v>44102</v>
      </c>
      <c r="K115" s="153" t="s">
        <v>20</v>
      </c>
      <c r="L115" s="153">
        <v>4.99</v>
      </c>
      <c r="M115" s="155"/>
    </row>
    <row r="116" spans="1:291" s="156" customFormat="1" ht="35" customHeight="1">
      <c r="A116" s="42">
        <f>ROW()-2</f>
        <v>114</v>
      </c>
      <c r="B116" s="152" t="s">
        <v>2732</v>
      </c>
      <c r="C116" s="152" t="s">
        <v>2733</v>
      </c>
      <c r="D116" s="58" t="s">
        <v>2835</v>
      </c>
      <c r="E116" s="58" t="s">
        <v>2836</v>
      </c>
      <c r="F116" s="58" t="s">
        <v>2837</v>
      </c>
      <c r="G116" s="152" t="s">
        <v>34</v>
      </c>
      <c r="H116" s="152">
        <v>1</v>
      </c>
      <c r="I116" s="153">
        <v>0.45</v>
      </c>
      <c r="J116" s="154">
        <v>44116</v>
      </c>
      <c r="K116" s="153" t="s">
        <v>20</v>
      </c>
      <c r="L116" s="152">
        <v>4.99</v>
      </c>
      <c r="M116" s="155"/>
    </row>
    <row r="117" spans="1:291" s="156" customFormat="1" ht="35" customHeight="1">
      <c r="A117" s="42">
        <f>ROW()-2</f>
        <v>115</v>
      </c>
      <c r="B117" s="152" t="s">
        <v>2732</v>
      </c>
      <c r="C117" s="152" t="s">
        <v>2733</v>
      </c>
      <c r="D117" s="58" t="s">
        <v>2838</v>
      </c>
      <c r="E117" s="58" t="s">
        <v>2765</v>
      </c>
      <c r="F117" s="58" t="s">
        <v>2828</v>
      </c>
      <c r="G117" s="152" t="s">
        <v>34</v>
      </c>
      <c r="H117" s="152">
        <v>1</v>
      </c>
      <c r="I117" s="153">
        <v>0.49</v>
      </c>
      <c r="J117" s="154">
        <v>44116</v>
      </c>
      <c r="K117" s="153" t="s">
        <v>20</v>
      </c>
      <c r="L117" s="152">
        <v>4.99</v>
      </c>
      <c r="M117" s="155"/>
    </row>
    <row r="118" spans="1:291" s="156" customFormat="1" ht="35" customHeight="1">
      <c r="A118" s="42">
        <f>ROW()-2</f>
        <v>116</v>
      </c>
      <c r="B118" s="152" t="s">
        <v>2732</v>
      </c>
      <c r="C118" s="152" t="s">
        <v>2733</v>
      </c>
      <c r="D118" s="58" t="s">
        <v>2839</v>
      </c>
      <c r="E118" s="58" t="s">
        <v>2833</v>
      </c>
      <c r="F118" s="58" t="s">
        <v>2840</v>
      </c>
      <c r="G118" s="152" t="s">
        <v>34</v>
      </c>
      <c r="H118" s="152">
        <v>1</v>
      </c>
      <c r="I118" s="153">
        <v>0.41</v>
      </c>
      <c r="J118" s="154">
        <v>44116</v>
      </c>
      <c r="K118" s="153" t="s">
        <v>20</v>
      </c>
      <c r="L118" s="152">
        <v>4.99</v>
      </c>
      <c r="M118" s="155"/>
    </row>
    <row r="119" spans="1:291" s="156" customFormat="1" ht="35" customHeight="1">
      <c r="A119" s="42">
        <f>ROW()-2</f>
        <v>117</v>
      </c>
      <c r="B119" s="152" t="s">
        <v>2732</v>
      </c>
      <c r="C119" s="152" t="s">
        <v>2733</v>
      </c>
      <c r="D119" s="58" t="s">
        <v>2841</v>
      </c>
      <c r="E119" s="58" t="s">
        <v>2842</v>
      </c>
      <c r="F119" s="58" t="s">
        <v>2843</v>
      </c>
      <c r="G119" s="152" t="s">
        <v>34</v>
      </c>
      <c r="H119" s="152">
        <v>1</v>
      </c>
      <c r="I119" s="153">
        <v>0.45</v>
      </c>
      <c r="J119" s="154">
        <v>44116</v>
      </c>
      <c r="K119" s="153" t="s">
        <v>20</v>
      </c>
      <c r="L119" s="152">
        <v>4.99</v>
      </c>
      <c r="M119" s="155"/>
    </row>
    <row r="120" spans="1:291" s="156" customFormat="1" ht="35" customHeight="1">
      <c r="A120" s="42">
        <f>ROW()-2</f>
        <v>118</v>
      </c>
      <c r="B120" s="152" t="s">
        <v>2732</v>
      </c>
      <c r="C120" s="152" t="s">
        <v>2733</v>
      </c>
      <c r="D120" s="58" t="s">
        <v>2844</v>
      </c>
      <c r="E120" s="58" t="s">
        <v>2845</v>
      </c>
      <c r="F120" s="58" t="s">
        <v>2846</v>
      </c>
      <c r="G120" s="152" t="s">
        <v>34</v>
      </c>
      <c r="H120" s="152">
        <v>1</v>
      </c>
      <c r="I120" s="153">
        <v>0.26</v>
      </c>
      <c r="J120" s="154">
        <v>44116</v>
      </c>
      <c r="K120" s="153" t="s">
        <v>20</v>
      </c>
      <c r="L120" s="152">
        <v>4.99</v>
      </c>
      <c r="M120" s="155"/>
    </row>
    <row r="121" spans="1:291" s="156" customFormat="1" ht="35" customHeight="1">
      <c r="A121" s="42">
        <f>ROW()-2</f>
        <v>119</v>
      </c>
      <c r="B121" s="152" t="s">
        <v>2732</v>
      </c>
      <c r="C121" s="152" t="s">
        <v>2733</v>
      </c>
      <c r="D121" s="58" t="s">
        <v>2847</v>
      </c>
      <c r="E121" s="58" t="s">
        <v>2845</v>
      </c>
      <c r="F121" s="58" t="s">
        <v>2846</v>
      </c>
      <c r="G121" s="152" t="s">
        <v>34</v>
      </c>
      <c r="H121" s="152">
        <v>1</v>
      </c>
      <c r="I121" s="153">
        <v>0.18</v>
      </c>
      <c r="J121" s="154">
        <v>44116</v>
      </c>
      <c r="K121" s="153" t="s">
        <v>20</v>
      </c>
      <c r="L121" s="152">
        <v>4.99</v>
      </c>
      <c r="M121" s="155"/>
    </row>
    <row r="122" spans="1:291" s="156" customFormat="1" ht="35" customHeight="1">
      <c r="A122" s="42">
        <f>ROW()-2</f>
        <v>120</v>
      </c>
      <c r="B122" s="152" t="s">
        <v>2732</v>
      </c>
      <c r="C122" s="152" t="s">
        <v>2733</v>
      </c>
      <c r="D122" s="58" t="s">
        <v>2848</v>
      </c>
      <c r="E122" s="58" t="s">
        <v>2849</v>
      </c>
      <c r="F122" s="58" t="s">
        <v>2850</v>
      </c>
      <c r="G122" s="152" t="s">
        <v>34</v>
      </c>
      <c r="H122" s="152">
        <v>1</v>
      </c>
      <c r="I122" s="153">
        <v>0.17</v>
      </c>
      <c r="J122" s="154">
        <v>44116</v>
      </c>
      <c r="K122" s="153" t="s">
        <v>20</v>
      </c>
      <c r="L122" s="152">
        <v>4.99</v>
      </c>
      <c r="M122" s="155"/>
    </row>
    <row r="123" spans="1:291" s="156" customFormat="1" ht="35" customHeight="1">
      <c r="A123" s="42">
        <f>ROW()-2</f>
        <v>121</v>
      </c>
      <c r="B123" s="152" t="s">
        <v>2732</v>
      </c>
      <c r="C123" s="152" t="s">
        <v>2733</v>
      </c>
      <c r="D123" s="58" t="s">
        <v>2851</v>
      </c>
      <c r="E123" s="58" t="s">
        <v>2849</v>
      </c>
      <c r="F123" s="58" t="s">
        <v>2850</v>
      </c>
      <c r="G123" s="152" t="s">
        <v>34</v>
      </c>
      <c r="H123" s="152">
        <v>1</v>
      </c>
      <c r="I123" s="153">
        <v>0.23</v>
      </c>
      <c r="J123" s="154">
        <v>44116</v>
      </c>
      <c r="K123" s="153" t="s">
        <v>20</v>
      </c>
      <c r="L123" s="152">
        <v>4.99</v>
      </c>
      <c r="M123" s="155"/>
    </row>
    <row r="124" spans="1:291" s="156" customFormat="1" ht="35" customHeight="1">
      <c r="A124" s="42">
        <f>ROW()-2</f>
        <v>122</v>
      </c>
      <c r="B124" s="152" t="s">
        <v>2732</v>
      </c>
      <c r="C124" s="152" t="s">
        <v>2733</v>
      </c>
      <c r="D124" s="58" t="s">
        <v>2852</v>
      </c>
      <c r="E124" s="58" t="s">
        <v>2833</v>
      </c>
      <c r="F124" s="58" t="s">
        <v>2840</v>
      </c>
      <c r="G124" s="152" t="s">
        <v>34</v>
      </c>
      <c r="H124" s="152">
        <v>1</v>
      </c>
      <c r="I124" s="153">
        <v>0.38</v>
      </c>
      <c r="J124" s="154">
        <v>44116</v>
      </c>
      <c r="K124" s="153" t="s">
        <v>20</v>
      </c>
      <c r="L124" s="152">
        <v>4.99</v>
      </c>
      <c r="M124" s="155"/>
    </row>
    <row r="125" spans="1:291" s="156" customFormat="1" ht="35" customHeight="1">
      <c r="A125" s="42">
        <f>ROW()-2</f>
        <v>123</v>
      </c>
      <c r="B125" s="152" t="s">
        <v>2732</v>
      </c>
      <c r="C125" s="152" t="s">
        <v>2733</v>
      </c>
      <c r="D125" s="58" t="s">
        <v>2853</v>
      </c>
      <c r="E125" s="58" t="s">
        <v>2854</v>
      </c>
      <c r="F125" s="58" t="s">
        <v>2840</v>
      </c>
      <c r="G125" s="152" t="s">
        <v>34</v>
      </c>
      <c r="H125" s="152">
        <v>1</v>
      </c>
      <c r="I125" s="153">
        <v>0.45</v>
      </c>
      <c r="J125" s="154">
        <v>44116</v>
      </c>
      <c r="K125" s="153" t="s">
        <v>20</v>
      </c>
      <c r="L125" s="152">
        <v>4.99</v>
      </c>
      <c r="M125" s="155"/>
    </row>
    <row r="126" spans="1:291" s="156" customFormat="1" ht="35" customHeight="1">
      <c r="A126" s="42">
        <f>ROW()-2</f>
        <v>124</v>
      </c>
      <c r="B126" s="42" t="s">
        <v>2732</v>
      </c>
      <c r="C126" s="42" t="s">
        <v>2733</v>
      </c>
      <c r="D126" s="43" t="s">
        <v>2734</v>
      </c>
      <c r="E126" s="43" t="s">
        <v>2735</v>
      </c>
      <c r="F126" s="43" t="s">
        <v>2736</v>
      </c>
      <c r="G126" s="42" t="s">
        <v>34</v>
      </c>
      <c r="H126" s="42">
        <v>1</v>
      </c>
      <c r="I126" s="44">
        <v>0.89305555555555605</v>
      </c>
      <c r="J126" s="45">
        <v>44158</v>
      </c>
      <c r="K126" s="44" t="s">
        <v>20</v>
      </c>
      <c r="L126" s="42">
        <v>4.99</v>
      </c>
      <c r="M126" s="25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  <c r="HG126" s="31"/>
      <c r="HH126" s="31"/>
      <c r="HI126" s="31"/>
      <c r="HJ126" s="31"/>
      <c r="HK126" s="31"/>
      <c r="HL126" s="31"/>
      <c r="HM126" s="31"/>
      <c r="HN126" s="31"/>
      <c r="HO126" s="31"/>
      <c r="HP126" s="31"/>
      <c r="HQ126" s="31"/>
      <c r="HR126" s="31"/>
      <c r="HS126" s="31"/>
      <c r="HT126" s="31"/>
      <c r="HU126" s="31"/>
      <c r="HV126" s="31"/>
      <c r="HW126" s="31"/>
      <c r="HX126" s="31"/>
      <c r="HY126" s="31"/>
      <c r="HZ126" s="31"/>
      <c r="IA126" s="31"/>
      <c r="IB126" s="31"/>
      <c r="IC126" s="31"/>
      <c r="ID126" s="31"/>
      <c r="IE126" s="31"/>
      <c r="IF126" s="31"/>
      <c r="IG126" s="31"/>
      <c r="IH126" s="31"/>
      <c r="II126" s="31"/>
      <c r="IJ126" s="31"/>
      <c r="IK126" s="31"/>
      <c r="IL126" s="31"/>
      <c r="IM126" s="31"/>
      <c r="IN126" s="31"/>
      <c r="IO126" s="31"/>
      <c r="IP126" s="31"/>
      <c r="IQ126" s="31"/>
      <c r="IR126" s="31"/>
      <c r="IS126" s="31"/>
      <c r="IT126" s="31"/>
      <c r="IU126" s="31"/>
      <c r="IV126" s="31"/>
      <c r="IW126" s="31"/>
      <c r="IX126" s="31"/>
      <c r="IY126" s="31"/>
      <c r="IZ126" s="31"/>
      <c r="JA126" s="31"/>
      <c r="JB126" s="31"/>
      <c r="JC126" s="31"/>
      <c r="JD126" s="31"/>
      <c r="JE126" s="31"/>
      <c r="JF126" s="31"/>
      <c r="JG126" s="31"/>
      <c r="JH126" s="31"/>
      <c r="JI126" s="31"/>
      <c r="JJ126" s="31"/>
      <c r="JK126" s="31"/>
      <c r="JL126" s="31"/>
      <c r="JM126" s="31"/>
      <c r="JN126" s="31"/>
      <c r="JO126" s="31"/>
      <c r="JP126" s="31"/>
      <c r="JQ126" s="31"/>
      <c r="JR126" s="31"/>
      <c r="JS126" s="31"/>
      <c r="JT126" s="31"/>
      <c r="JU126" s="31"/>
      <c r="JV126" s="31"/>
      <c r="JW126" s="31"/>
      <c r="JX126" s="31"/>
      <c r="JY126" s="31"/>
      <c r="JZ126" s="31"/>
      <c r="KA126" s="31"/>
      <c r="KB126" s="31"/>
      <c r="KC126" s="31"/>
      <c r="KD126" s="31"/>
      <c r="KE126" s="31"/>
    </row>
    <row r="127" spans="1:291" s="156" customFormat="1" ht="35" customHeight="1">
      <c r="A127" s="42">
        <f>ROW()-2</f>
        <v>125</v>
      </c>
      <c r="B127" s="42" t="s">
        <v>2732</v>
      </c>
      <c r="C127" s="42" t="s">
        <v>2733</v>
      </c>
      <c r="D127" s="43" t="s">
        <v>2746</v>
      </c>
      <c r="E127" s="43" t="s">
        <v>2747</v>
      </c>
      <c r="F127" s="43" t="s">
        <v>2748</v>
      </c>
      <c r="G127" s="42" t="s">
        <v>34</v>
      </c>
      <c r="H127" s="42">
        <v>1</v>
      </c>
      <c r="I127" s="44">
        <v>0.49555555555555603</v>
      </c>
      <c r="J127" s="45">
        <v>44158</v>
      </c>
      <c r="K127" s="44" t="s">
        <v>20</v>
      </c>
      <c r="L127" s="42">
        <v>4.99</v>
      </c>
      <c r="M127" s="25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  <c r="HI127" s="31"/>
      <c r="HJ127" s="31"/>
      <c r="HK127" s="31"/>
      <c r="HL127" s="31"/>
      <c r="HM127" s="31"/>
      <c r="HN127" s="31"/>
      <c r="HO127" s="31"/>
      <c r="HP127" s="31"/>
      <c r="HQ127" s="31"/>
      <c r="HR127" s="31"/>
      <c r="HS127" s="31"/>
      <c r="HT127" s="31"/>
      <c r="HU127" s="31"/>
      <c r="HV127" s="31"/>
      <c r="HW127" s="31"/>
      <c r="HX127" s="31"/>
      <c r="HY127" s="31"/>
      <c r="HZ127" s="31"/>
      <c r="IA127" s="31"/>
      <c r="IB127" s="31"/>
      <c r="IC127" s="31"/>
      <c r="ID127" s="31"/>
      <c r="IE127" s="31"/>
      <c r="IF127" s="31"/>
      <c r="IG127" s="31"/>
      <c r="IH127" s="31"/>
      <c r="II127" s="31"/>
      <c r="IJ127" s="31"/>
      <c r="IK127" s="31"/>
      <c r="IL127" s="31"/>
      <c r="IM127" s="31"/>
      <c r="IN127" s="31"/>
      <c r="IO127" s="31"/>
      <c r="IP127" s="31"/>
      <c r="IQ127" s="31"/>
      <c r="IR127" s="31"/>
      <c r="IS127" s="31"/>
      <c r="IT127" s="31"/>
      <c r="IU127" s="31"/>
      <c r="IV127" s="31"/>
      <c r="IW127" s="31"/>
      <c r="IX127" s="31"/>
      <c r="IY127" s="31"/>
      <c r="IZ127" s="31"/>
      <c r="JA127" s="31"/>
      <c r="JB127" s="31"/>
      <c r="JC127" s="31"/>
      <c r="JD127" s="31"/>
      <c r="JE127" s="31"/>
      <c r="JF127" s="31"/>
      <c r="JG127" s="31"/>
      <c r="JH127" s="31"/>
      <c r="JI127" s="31"/>
      <c r="JJ127" s="31"/>
      <c r="JK127" s="31"/>
      <c r="JL127" s="31"/>
      <c r="JM127" s="31"/>
      <c r="JN127" s="31"/>
      <c r="JO127" s="31"/>
      <c r="JP127" s="31"/>
      <c r="JQ127" s="31"/>
      <c r="JR127" s="31"/>
      <c r="JS127" s="31"/>
      <c r="JT127" s="31"/>
      <c r="JU127" s="31"/>
      <c r="JV127" s="31"/>
      <c r="JW127" s="31"/>
      <c r="JX127" s="31"/>
      <c r="JY127" s="31"/>
      <c r="JZ127" s="31"/>
      <c r="KA127" s="31"/>
      <c r="KB127" s="31"/>
      <c r="KC127" s="31"/>
      <c r="KD127" s="31"/>
      <c r="KE127" s="31"/>
    </row>
    <row r="128" spans="1:291" s="156" customFormat="1" ht="35" customHeight="1">
      <c r="A128" s="42">
        <f>ROW()-2</f>
        <v>126</v>
      </c>
      <c r="B128" s="152" t="s">
        <v>2732</v>
      </c>
      <c r="C128" s="152" t="s">
        <v>2733</v>
      </c>
      <c r="D128" s="58" t="s">
        <v>2999</v>
      </c>
      <c r="E128" s="58" t="s">
        <v>3000</v>
      </c>
      <c r="F128" s="58" t="s">
        <v>3001</v>
      </c>
      <c r="G128" s="152" t="s">
        <v>34</v>
      </c>
      <c r="H128" s="152">
        <v>1</v>
      </c>
      <c r="I128" s="157">
        <v>0.4</v>
      </c>
      <c r="J128" s="154">
        <v>44169</v>
      </c>
      <c r="K128" s="153" t="s">
        <v>20</v>
      </c>
      <c r="L128" s="153">
        <v>4.99</v>
      </c>
      <c r="M128" s="155"/>
    </row>
    <row r="129" spans="1:291" s="156" customFormat="1" ht="35" customHeight="1">
      <c r="A129" s="42">
        <f>ROW()-2</f>
        <v>127</v>
      </c>
      <c r="B129" s="42" t="s">
        <v>2732</v>
      </c>
      <c r="C129" s="42" t="s">
        <v>2733</v>
      </c>
      <c r="D129" s="43" t="s">
        <v>2737</v>
      </c>
      <c r="E129" s="43" t="s">
        <v>2738</v>
      </c>
      <c r="F129" s="43" t="s">
        <v>2739</v>
      </c>
      <c r="G129" s="42" t="s">
        <v>34</v>
      </c>
      <c r="H129" s="42">
        <v>1</v>
      </c>
      <c r="I129" s="44">
        <v>0.52</v>
      </c>
      <c r="J129" s="45">
        <v>44186</v>
      </c>
      <c r="K129" s="44" t="s">
        <v>20</v>
      </c>
      <c r="L129" s="42">
        <v>4.99</v>
      </c>
      <c r="M129" s="25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  <c r="HI129" s="31"/>
      <c r="HJ129" s="31"/>
      <c r="HK129" s="31"/>
      <c r="HL129" s="31"/>
      <c r="HM129" s="31"/>
      <c r="HN129" s="31"/>
      <c r="HO129" s="31"/>
      <c r="HP129" s="31"/>
      <c r="HQ129" s="31"/>
      <c r="HR129" s="31"/>
      <c r="HS129" s="31"/>
      <c r="HT129" s="31"/>
      <c r="HU129" s="31"/>
      <c r="HV129" s="31"/>
      <c r="HW129" s="31"/>
      <c r="HX129" s="31"/>
      <c r="HY129" s="31"/>
      <c r="HZ129" s="31"/>
      <c r="IA129" s="31"/>
      <c r="IB129" s="31"/>
      <c r="IC129" s="31"/>
      <c r="ID129" s="31"/>
      <c r="IE129" s="31"/>
      <c r="IF129" s="31"/>
      <c r="IG129" s="31"/>
      <c r="IH129" s="31"/>
      <c r="II129" s="31"/>
      <c r="IJ129" s="31"/>
      <c r="IK129" s="31"/>
      <c r="IL129" s="31"/>
      <c r="IM129" s="31"/>
      <c r="IN129" s="31"/>
      <c r="IO129" s="31"/>
      <c r="IP129" s="31"/>
      <c r="IQ129" s="31"/>
      <c r="IR129" s="31"/>
      <c r="IS129" s="31"/>
      <c r="IT129" s="31"/>
      <c r="IU129" s="31"/>
      <c r="IV129" s="31"/>
      <c r="IW129" s="31"/>
      <c r="IX129" s="31"/>
      <c r="IY129" s="31"/>
      <c r="IZ129" s="31"/>
      <c r="JA129" s="31"/>
      <c r="JB129" s="31"/>
      <c r="JC129" s="31"/>
      <c r="JD129" s="31"/>
      <c r="JE129" s="31"/>
      <c r="JF129" s="31"/>
      <c r="JG129" s="31"/>
      <c r="JH129" s="31"/>
      <c r="JI129" s="31"/>
      <c r="JJ129" s="31"/>
      <c r="JK129" s="31"/>
      <c r="JL129" s="31"/>
      <c r="JM129" s="31"/>
      <c r="JN129" s="31"/>
      <c r="JO129" s="31"/>
      <c r="JP129" s="31"/>
      <c r="JQ129" s="31"/>
      <c r="JR129" s="31"/>
      <c r="JS129" s="31"/>
      <c r="JT129" s="31"/>
      <c r="JU129" s="31"/>
      <c r="JV129" s="31"/>
      <c r="JW129" s="31"/>
      <c r="JX129" s="31"/>
      <c r="JY129" s="31"/>
      <c r="JZ129" s="31"/>
      <c r="KA129" s="31"/>
      <c r="KB129" s="31"/>
      <c r="KC129" s="31"/>
      <c r="KD129" s="31"/>
      <c r="KE129" s="31"/>
    </row>
    <row r="130" spans="1:291" s="156" customFormat="1" ht="35" customHeight="1">
      <c r="A130" s="42">
        <f>ROW()-2</f>
        <v>128</v>
      </c>
      <c r="B130" s="42" t="s">
        <v>2732</v>
      </c>
      <c r="C130" s="42" t="s">
        <v>2733</v>
      </c>
      <c r="D130" s="43" t="s">
        <v>3004</v>
      </c>
      <c r="E130" s="43" t="s">
        <v>3005</v>
      </c>
      <c r="F130" s="43" t="s">
        <v>2801</v>
      </c>
      <c r="G130" s="42" t="s">
        <v>34</v>
      </c>
      <c r="H130" s="42">
        <v>1</v>
      </c>
      <c r="I130" s="49">
        <v>0.5</v>
      </c>
      <c r="J130" s="45">
        <v>44263</v>
      </c>
      <c r="K130" s="44" t="s">
        <v>20</v>
      </c>
      <c r="L130" s="44" t="s">
        <v>3006</v>
      </c>
      <c r="M130" s="25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  <c r="IA130" s="31"/>
      <c r="IB130" s="31"/>
      <c r="IC130" s="31"/>
      <c r="ID130" s="31"/>
      <c r="IE130" s="31"/>
      <c r="IF130" s="31"/>
      <c r="IG130" s="31"/>
      <c r="IH130" s="31"/>
      <c r="II130" s="31"/>
      <c r="IJ130" s="31"/>
      <c r="IK130" s="31"/>
      <c r="IL130" s="31"/>
      <c r="IM130" s="31"/>
      <c r="IN130" s="31"/>
      <c r="IO130" s="31"/>
      <c r="IP130" s="31"/>
      <c r="IQ130" s="31"/>
      <c r="IR130" s="31"/>
      <c r="IS130" s="31"/>
      <c r="IT130" s="31"/>
      <c r="IU130" s="31"/>
      <c r="IV130" s="31"/>
      <c r="IW130" s="31"/>
      <c r="IX130" s="31"/>
      <c r="IY130" s="31"/>
      <c r="IZ130" s="31"/>
      <c r="JA130" s="31"/>
      <c r="JB130" s="31"/>
      <c r="JC130" s="31"/>
      <c r="JD130" s="31"/>
      <c r="JE130" s="31"/>
      <c r="JF130" s="31"/>
      <c r="JG130" s="31"/>
      <c r="JH130" s="31"/>
      <c r="JI130" s="31"/>
      <c r="JJ130" s="31"/>
      <c r="JK130" s="31"/>
      <c r="JL130" s="31"/>
      <c r="JM130" s="31"/>
      <c r="JN130" s="31"/>
      <c r="JO130" s="31"/>
      <c r="JP130" s="31"/>
      <c r="JQ130" s="31"/>
      <c r="JR130" s="31"/>
      <c r="JS130" s="31"/>
      <c r="JT130" s="31"/>
      <c r="JU130" s="31"/>
      <c r="JV130" s="31"/>
      <c r="JW130" s="31"/>
      <c r="JX130" s="31"/>
      <c r="JY130" s="31"/>
      <c r="JZ130" s="31"/>
      <c r="KA130" s="31"/>
      <c r="KB130" s="31"/>
      <c r="KC130" s="31"/>
      <c r="KD130" s="31"/>
      <c r="KE130" s="31"/>
    </row>
    <row r="131" spans="1:291" ht="35" customHeight="1">
      <c r="A131" s="42">
        <f>ROW()-2</f>
        <v>129</v>
      </c>
      <c r="B131" s="42" t="s">
        <v>2732</v>
      </c>
      <c r="C131" s="42" t="s">
        <v>2733</v>
      </c>
      <c r="D131" s="43" t="s">
        <v>3007</v>
      </c>
      <c r="E131" s="43" t="s">
        <v>3008</v>
      </c>
      <c r="F131" s="43" t="s">
        <v>3009</v>
      </c>
      <c r="G131" s="42" t="s">
        <v>34</v>
      </c>
      <c r="H131" s="42">
        <v>1</v>
      </c>
      <c r="I131" s="49">
        <v>0.5</v>
      </c>
      <c r="J131" s="45">
        <v>44522</v>
      </c>
      <c r="K131" s="44" t="s">
        <v>20</v>
      </c>
      <c r="L131" s="44" t="s">
        <v>3006</v>
      </c>
      <c r="M131" s="32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  <c r="FS131" s="30"/>
      <c r="FT131" s="30"/>
      <c r="FU131" s="30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/>
      <c r="GQ131" s="30"/>
      <c r="GR131" s="30"/>
      <c r="GS131" s="30"/>
      <c r="GT131" s="30"/>
      <c r="GU131" s="30"/>
      <c r="GV131" s="30"/>
      <c r="GW131" s="30"/>
      <c r="GX131" s="30"/>
      <c r="GY131" s="30"/>
      <c r="GZ131" s="30"/>
      <c r="HA131" s="30"/>
      <c r="HB131" s="30"/>
      <c r="HC131" s="30"/>
      <c r="HD131" s="30"/>
      <c r="HE131" s="30"/>
      <c r="HF131" s="30"/>
      <c r="HG131" s="30"/>
      <c r="HH131" s="30"/>
      <c r="HI131" s="30"/>
      <c r="HJ131" s="30"/>
      <c r="HK131" s="30"/>
      <c r="HL131" s="30"/>
      <c r="HM131" s="30"/>
      <c r="HN131" s="30"/>
      <c r="HO131" s="30"/>
      <c r="HP131" s="30"/>
      <c r="HQ131" s="30"/>
      <c r="HR131" s="30"/>
      <c r="HS131" s="30"/>
      <c r="HT131" s="30"/>
      <c r="HU131" s="30"/>
      <c r="HV131" s="30"/>
      <c r="HW131" s="30"/>
      <c r="HX131" s="30"/>
      <c r="HY131" s="30"/>
      <c r="HZ131" s="30"/>
      <c r="IA131" s="30"/>
      <c r="IB131" s="30"/>
      <c r="IC131" s="30"/>
      <c r="ID131" s="30"/>
      <c r="IE131" s="30"/>
      <c r="IF131" s="30"/>
      <c r="IG131" s="30"/>
      <c r="IH131" s="30"/>
      <c r="II131" s="30"/>
      <c r="IJ131" s="30"/>
      <c r="IK131" s="30"/>
      <c r="IL131" s="30"/>
      <c r="IM131" s="30"/>
      <c r="IN131" s="30"/>
      <c r="IO131" s="30"/>
      <c r="IP131" s="30"/>
      <c r="IQ131" s="30"/>
      <c r="IR131" s="30"/>
      <c r="IS131" s="30"/>
      <c r="IT131" s="30"/>
      <c r="IU131" s="30"/>
      <c r="IV131" s="30"/>
      <c r="IW131" s="30"/>
      <c r="IX131" s="30"/>
      <c r="IY131" s="30"/>
      <c r="IZ131" s="30"/>
      <c r="JA131" s="30"/>
      <c r="JB131" s="30"/>
      <c r="JC131" s="30"/>
      <c r="JD131" s="30"/>
      <c r="JE131" s="30"/>
      <c r="JF131" s="30"/>
      <c r="JG131" s="30"/>
      <c r="JH131" s="30"/>
      <c r="JI131" s="30"/>
      <c r="JJ131" s="30"/>
      <c r="JK131" s="30"/>
      <c r="JL131" s="30"/>
      <c r="JM131" s="30"/>
      <c r="JN131" s="30"/>
      <c r="JO131" s="30"/>
      <c r="JP131" s="30"/>
      <c r="JQ131" s="30"/>
      <c r="JR131" s="30"/>
      <c r="JS131" s="30"/>
      <c r="JT131" s="30"/>
      <c r="JU131" s="30"/>
      <c r="JV131" s="30"/>
      <c r="JW131" s="30"/>
      <c r="JX131" s="30"/>
      <c r="JY131" s="30"/>
      <c r="JZ131" s="30"/>
      <c r="KA131" s="30"/>
      <c r="KB131" s="30"/>
      <c r="KC131" s="30"/>
      <c r="KD131" s="30"/>
      <c r="KE131" s="30"/>
    </row>
    <row r="132" spans="1:291" ht="35" customHeight="1">
      <c r="A132" s="42">
        <f>ROW()-2</f>
        <v>130</v>
      </c>
      <c r="B132" s="42" t="s">
        <v>2732</v>
      </c>
      <c r="C132" s="42" t="s">
        <v>2733</v>
      </c>
      <c r="D132" s="43" t="s">
        <v>3010</v>
      </c>
      <c r="E132" s="43" t="s">
        <v>3011</v>
      </c>
      <c r="F132" s="43" t="s">
        <v>3012</v>
      </c>
      <c r="G132" s="42" t="s">
        <v>34</v>
      </c>
      <c r="H132" s="42">
        <v>1</v>
      </c>
      <c r="I132" s="49">
        <v>0.5</v>
      </c>
      <c r="J132" s="45">
        <v>44543</v>
      </c>
      <c r="K132" s="46" t="s">
        <v>20</v>
      </c>
      <c r="L132" s="48" t="s">
        <v>3006</v>
      </c>
      <c r="M132" s="32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  <c r="FS132" s="30"/>
      <c r="FT132" s="30"/>
      <c r="FU132" s="30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/>
      <c r="GQ132" s="30"/>
      <c r="GR132" s="30"/>
      <c r="GS132" s="30"/>
      <c r="GT132" s="30"/>
      <c r="GU132" s="30"/>
      <c r="GV132" s="30"/>
      <c r="GW132" s="30"/>
      <c r="GX132" s="30"/>
      <c r="GY132" s="30"/>
      <c r="GZ132" s="30"/>
      <c r="HA132" s="30"/>
      <c r="HB132" s="30"/>
      <c r="HC132" s="30"/>
      <c r="HD132" s="30"/>
      <c r="HE132" s="30"/>
      <c r="HF132" s="30"/>
      <c r="HG132" s="30"/>
      <c r="HH132" s="30"/>
      <c r="HI132" s="30"/>
      <c r="HJ132" s="30"/>
      <c r="HK132" s="30"/>
      <c r="HL132" s="30"/>
      <c r="HM132" s="30"/>
      <c r="HN132" s="30"/>
      <c r="HO132" s="30"/>
      <c r="HP132" s="30"/>
      <c r="HQ132" s="30"/>
      <c r="HR132" s="30"/>
      <c r="HS132" s="30"/>
      <c r="HT132" s="30"/>
      <c r="HU132" s="30"/>
      <c r="HV132" s="30"/>
      <c r="HW132" s="30"/>
      <c r="HX132" s="30"/>
      <c r="HY132" s="30"/>
      <c r="HZ132" s="30"/>
      <c r="IA132" s="30"/>
      <c r="IB132" s="30"/>
      <c r="IC132" s="30"/>
      <c r="ID132" s="30"/>
      <c r="IE132" s="30"/>
      <c r="IF132" s="30"/>
      <c r="IG132" s="30"/>
      <c r="IH132" s="30"/>
      <c r="II132" s="30"/>
      <c r="IJ132" s="30"/>
      <c r="IK132" s="30"/>
      <c r="IL132" s="30"/>
      <c r="IM132" s="30"/>
      <c r="IN132" s="30"/>
      <c r="IO132" s="30"/>
      <c r="IP132" s="30"/>
      <c r="IQ132" s="30"/>
      <c r="IR132" s="30"/>
      <c r="IS132" s="30"/>
      <c r="IT132" s="30"/>
      <c r="IU132" s="30"/>
      <c r="IV132" s="30"/>
      <c r="IW132" s="30"/>
      <c r="IX132" s="30"/>
      <c r="IY132" s="30"/>
      <c r="IZ132" s="30"/>
      <c r="JA132" s="30"/>
      <c r="JB132" s="30"/>
      <c r="JC132" s="30"/>
      <c r="JD132" s="30"/>
      <c r="JE132" s="30"/>
      <c r="JF132" s="30"/>
      <c r="JG132" s="30"/>
      <c r="JH132" s="30"/>
      <c r="JI132" s="30"/>
      <c r="JJ132" s="30"/>
      <c r="JK132" s="30"/>
      <c r="JL132" s="30"/>
      <c r="JM132" s="30"/>
      <c r="JN132" s="30"/>
      <c r="JO132" s="30"/>
      <c r="JP132" s="30"/>
      <c r="JQ132" s="30"/>
      <c r="JR132" s="30"/>
      <c r="JS132" s="30"/>
      <c r="JT132" s="30"/>
      <c r="JU132" s="30"/>
      <c r="JV132" s="30"/>
      <c r="JW132" s="30"/>
      <c r="JX132" s="30"/>
      <c r="JY132" s="30"/>
      <c r="JZ132" s="30"/>
      <c r="KA132" s="30"/>
      <c r="KB132" s="30"/>
      <c r="KC132" s="30"/>
      <c r="KD132" s="30"/>
      <c r="KE132" s="30"/>
    </row>
    <row r="133" spans="1:291" ht="35" customHeight="1">
      <c r="A133" s="42">
        <f>ROW()-2</f>
        <v>131</v>
      </c>
      <c r="B133" s="42" t="s">
        <v>2732</v>
      </c>
      <c r="C133" s="42" t="s">
        <v>2733</v>
      </c>
      <c r="D133" s="43" t="s">
        <v>3013</v>
      </c>
      <c r="E133" s="43" t="s">
        <v>3014</v>
      </c>
      <c r="F133" s="43" t="s">
        <v>3015</v>
      </c>
      <c r="G133" s="42" t="s">
        <v>34</v>
      </c>
      <c r="H133" s="42">
        <v>1</v>
      </c>
      <c r="I133" s="49">
        <v>0.49</v>
      </c>
      <c r="J133" s="45">
        <v>44551</v>
      </c>
      <c r="K133" s="46" t="s">
        <v>20</v>
      </c>
      <c r="L133" s="48">
        <v>4.99</v>
      </c>
      <c r="M133" s="32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  <c r="FS133" s="30"/>
      <c r="FT133" s="30"/>
      <c r="FU133" s="30"/>
      <c r="FV133" s="30"/>
      <c r="FW133" s="30"/>
      <c r="FX133" s="30"/>
      <c r="FY133" s="30"/>
      <c r="FZ133" s="30"/>
      <c r="GA133" s="30"/>
      <c r="GB133" s="30"/>
      <c r="GC133" s="30"/>
      <c r="GD133" s="30"/>
      <c r="GE133" s="30"/>
      <c r="GF133" s="30"/>
      <c r="GG133" s="30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30"/>
      <c r="GS133" s="30"/>
      <c r="GT133" s="30"/>
      <c r="GU133" s="30"/>
      <c r="GV133" s="30"/>
      <c r="GW133" s="30"/>
      <c r="GX133" s="30"/>
      <c r="GY133" s="30"/>
      <c r="GZ133" s="30"/>
      <c r="HA133" s="30"/>
      <c r="HB133" s="30"/>
      <c r="HC133" s="30"/>
      <c r="HD133" s="30"/>
      <c r="HE133" s="30"/>
      <c r="HF133" s="30"/>
      <c r="HG133" s="30"/>
      <c r="HH133" s="30"/>
      <c r="HI133" s="30"/>
      <c r="HJ133" s="30"/>
      <c r="HK133" s="30"/>
      <c r="HL133" s="30"/>
      <c r="HM133" s="30"/>
      <c r="HN133" s="30"/>
      <c r="HO133" s="30"/>
      <c r="HP133" s="30"/>
      <c r="HQ133" s="30"/>
      <c r="HR133" s="30"/>
      <c r="HS133" s="30"/>
      <c r="HT133" s="30"/>
      <c r="HU133" s="30"/>
      <c r="HV133" s="30"/>
      <c r="HW133" s="30"/>
      <c r="HX133" s="30"/>
      <c r="HY133" s="30"/>
      <c r="HZ133" s="30"/>
      <c r="IA133" s="30"/>
      <c r="IB133" s="30"/>
      <c r="IC133" s="30"/>
      <c r="ID133" s="30"/>
      <c r="IE133" s="30"/>
      <c r="IF133" s="30"/>
      <c r="IG133" s="30"/>
      <c r="IH133" s="30"/>
      <c r="II133" s="30"/>
      <c r="IJ133" s="30"/>
      <c r="IK133" s="30"/>
      <c r="IL133" s="30"/>
      <c r="IM133" s="30"/>
      <c r="IN133" s="30"/>
      <c r="IO133" s="30"/>
      <c r="IP133" s="30"/>
      <c r="IQ133" s="30"/>
      <c r="IR133" s="30"/>
      <c r="IS133" s="30"/>
      <c r="IT133" s="30"/>
      <c r="IU133" s="30"/>
      <c r="IV133" s="30"/>
      <c r="IW133" s="30"/>
      <c r="IX133" s="30"/>
      <c r="IY133" s="30"/>
      <c r="IZ133" s="30"/>
      <c r="JA133" s="30"/>
      <c r="JB133" s="30"/>
      <c r="JC133" s="30"/>
      <c r="JD133" s="30"/>
      <c r="JE133" s="30"/>
      <c r="JF133" s="30"/>
      <c r="JG133" s="30"/>
      <c r="JH133" s="30"/>
      <c r="JI133" s="30"/>
      <c r="JJ133" s="30"/>
      <c r="JK133" s="30"/>
      <c r="JL133" s="30"/>
      <c r="JM133" s="30"/>
      <c r="JN133" s="30"/>
      <c r="JO133" s="30"/>
      <c r="JP133" s="30"/>
      <c r="JQ133" s="30"/>
      <c r="JR133" s="30"/>
      <c r="JS133" s="30"/>
      <c r="JT133" s="30"/>
      <c r="JU133" s="30"/>
      <c r="JV133" s="30"/>
      <c r="JW133" s="30"/>
      <c r="JX133" s="30"/>
      <c r="JY133" s="30"/>
      <c r="JZ133" s="30"/>
      <c r="KA133" s="30"/>
      <c r="KB133" s="30"/>
      <c r="KC133" s="30"/>
      <c r="KD133" s="30"/>
      <c r="KE133" s="30"/>
    </row>
    <row r="134" spans="1:291" ht="35" customHeight="1">
      <c r="A134" s="42">
        <f>ROW()-2</f>
        <v>132</v>
      </c>
      <c r="B134" s="42" t="s">
        <v>2732</v>
      </c>
      <c r="C134" s="42" t="s">
        <v>2733</v>
      </c>
      <c r="D134" s="43" t="s">
        <v>5147</v>
      </c>
      <c r="E134" s="43" t="s">
        <v>5149</v>
      </c>
      <c r="F134" s="43" t="s">
        <v>5148</v>
      </c>
      <c r="G134" s="42" t="s">
        <v>34</v>
      </c>
      <c r="H134" s="42">
        <v>1</v>
      </c>
      <c r="I134" s="49">
        <v>0.48</v>
      </c>
      <c r="J134" s="45">
        <v>44578</v>
      </c>
      <c r="K134" s="46" t="s">
        <v>20</v>
      </c>
      <c r="L134" s="48" t="s">
        <v>5150</v>
      </c>
      <c r="M134" s="32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  <c r="FS134" s="30"/>
      <c r="FT134" s="30"/>
      <c r="FU134" s="30"/>
      <c r="FV134" s="30"/>
      <c r="FW134" s="30"/>
      <c r="FX134" s="30"/>
      <c r="FY134" s="30"/>
      <c r="FZ134" s="30"/>
      <c r="GA134" s="30"/>
      <c r="GB134" s="30"/>
      <c r="GC134" s="30"/>
      <c r="GD134" s="30"/>
      <c r="GE134" s="30"/>
      <c r="GF134" s="30"/>
      <c r="GG134" s="30"/>
      <c r="GH134" s="30"/>
      <c r="GI134" s="30"/>
      <c r="GJ134" s="30"/>
      <c r="GK134" s="30"/>
      <c r="GL134" s="30"/>
      <c r="GM134" s="30"/>
      <c r="GN134" s="30"/>
      <c r="GO134" s="30"/>
      <c r="GP134" s="30"/>
      <c r="GQ134" s="30"/>
      <c r="GR134" s="30"/>
      <c r="GS134" s="30"/>
      <c r="GT134" s="30"/>
      <c r="GU134" s="30"/>
      <c r="GV134" s="30"/>
      <c r="GW134" s="30"/>
      <c r="GX134" s="30"/>
      <c r="GY134" s="30"/>
      <c r="GZ134" s="30"/>
      <c r="HA134" s="30"/>
      <c r="HB134" s="30"/>
      <c r="HC134" s="30"/>
      <c r="HD134" s="30"/>
      <c r="HE134" s="30"/>
      <c r="HF134" s="30"/>
      <c r="HG134" s="30"/>
      <c r="HH134" s="30"/>
      <c r="HI134" s="30"/>
      <c r="HJ134" s="30"/>
      <c r="HK134" s="30"/>
      <c r="HL134" s="30"/>
      <c r="HM134" s="30"/>
      <c r="HN134" s="30"/>
      <c r="HO134" s="30"/>
      <c r="HP134" s="30"/>
      <c r="HQ134" s="30"/>
      <c r="HR134" s="30"/>
      <c r="HS134" s="30"/>
      <c r="HT134" s="30"/>
      <c r="HU134" s="30"/>
      <c r="HV134" s="30"/>
      <c r="HW134" s="30"/>
      <c r="HX134" s="30"/>
      <c r="HY134" s="30"/>
      <c r="HZ134" s="30"/>
      <c r="IA134" s="30"/>
      <c r="IB134" s="30"/>
      <c r="IC134" s="30"/>
      <c r="ID134" s="30"/>
      <c r="IE134" s="30"/>
      <c r="IF134" s="30"/>
      <c r="IG134" s="30"/>
      <c r="IH134" s="30"/>
      <c r="II134" s="30"/>
      <c r="IJ134" s="30"/>
      <c r="IK134" s="30"/>
      <c r="IL134" s="30"/>
      <c r="IM134" s="30"/>
      <c r="IN134" s="30"/>
      <c r="IO134" s="30"/>
      <c r="IP134" s="30"/>
      <c r="IQ134" s="30"/>
      <c r="IR134" s="30"/>
      <c r="IS134" s="30"/>
      <c r="IT134" s="30"/>
      <c r="IU134" s="30"/>
      <c r="IV134" s="30"/>
      <c r="IW134" s="30"/>
      <c r="IX134" s="30"/>
      <c r="IY134" s="30"/>
      <c r="IZ134" s="30"/>
      <c r="JA134" s="30"/>
      <c r="JB134" s="30"/>
      <c r="JC134" s="30"/>
      <c r="JD134" s="30"/>
      <c r="JE134" s="30"/>
      <c r="JF134" s="30"/>
      <c r="JG134" s="30"/>
      <c r="JH134" s="30"/>
      <c r="JI134" s="30"/>
      <c r="JJ134" s="30"/>
      <c r="JK134" s="30"/>
      <c r="JL134" s="30"/>
      <c r="JM134" s="30"/>
      <c r="JN134" s="30"/>
      <c r="JO134" s="30"/>
      <c r="JP134" s="30"/>
      <c r="JQ134" s="30"/>
      <c r="JR134" s="30"/>
      <c r="JS134" s="30"/>
      <c r="JT134" s="30"/>
      <c r="JU134" s="30"/>
      <c r="JV134" s="30"/>
      <c r="JW134" s="30"/>
      <c r="JX134" s="30"/>
      <c r="JY134" s="30"/>
      <c r="JZ134" s="30"/>
      <c r="KA134" s="30"/>
      <c r="KB134" s="30"/>
      <c r="KC134" s="30"/>
      <c r="KD134" s="30"/>
      <c r="KE134" s="30"/>
    </row>
    <row r="135" spans="1:291" ht="35" customHeight="1">
      <c r="A135" s="42">
        <f>ROW()-2</f>
        <v>133</v>
      </c>
      <c r="B135" s="182" t="s">
        <v>5629</v>
      </c>
      <c r="C135" s="182" t="s">
        <v>2733</v>
      </c>
      <c r="D135" s="187" t="s">
        <v>5624</v>
      </c>
      <c r="E135" s="270" t="s">
        <v>5626</v>
      </c>
      <c r="F135" s="270" t="s">
        <v>2828</v>
      </c>
      <c r="G135" s="42" t="s">
        <v>3253</v>
      </c>
      <c r="H135" s="182">
        <v>1</v>
      </c>
      <c r="I135" s="206">
        <v>0.5</v>
      </c>
      <c r="J135" s="209">
        <v>44620</v>
      </c>
      <c r="K135" s="211" t="s">
        <v>5157</v>
      </c>
      <c r="L135" s="202">
        <v>4.9000000000000004</v>
      </c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  <c r="FS135" s="30"/>
      <c r="FT135" s="30"/>
      <c r="FU135" s="30"/>
      <c r="FV135" s="30"/>
      <c r="FW135" s="30"/>
      <c r="FX135" s="30"/>
      <c r="FY135" s="30"/>
      <c r="FZ135" s="30"/>
      <c r="GA135" s="30"/>
      <c r="GB135" s="30"/>
      <c r="GC135" s="30"/>
      <c r="GD135" s="30"/>
      <c r="GE135" s="30"/>
      <c r="GF135" s="30"/>
      <c r="GG135" s="30"/>
      <c r="GH135" s="30"/>
      <c r="GI135" s="30"/>
      <c r="GJ135" s="30"/>
      <c r="GK135" s="30"/>
      <c r="GL135" s="30"/>
      <c r="GM135" s="30"/>
      <c r="GN135" s="30"/>
      <c r="GO135" s="30"/>
      <c r="GP135" s="30"/>
      <c r="GQ135" s="30"/>
      <c r="GR135" s="30"/>
      <c r="GS135" s="30"/>
      <c r="GT135" s="30"/>
      <c r="GU135" s="30"/>
      <c r="GV135" s="30"/>
      <c r="GW135" s="30"/>
      <c r="GX135" s="30"/>
      <c r="GY135" s="30"/>
      <c r="GZ135" s="30"/>
      <c r="HA135" s="30"/>
      <c r="HB135" s="30"/>
      <c r="HC135" s="30"/>
      <c r="HD135" s="30"/>
      <c r="HE135" s="30"/>
      <c r="HF135" s="30"/>
      <c r="HG135" s="30"/>
      <c r="HH135" s="30"/>
      <c r="HI135" s="30"/>
      <c r="HJ135" s="30"/>
      <c r="HK135" s="30"/>
      <c r="HL135" s="30"/>
      <c r="HM135" s="30"/>
      <c r="HN135" s="30"/>
      <c r="HO135" s="30"/>
      <c r="HP135" s="30"/>
      <c r="HQ135" s="30"/>
      <c r="HR135" s="30"/>
      <c r="HS135" s="30"/>
      <c r="HT135" s="30"/>
      <c r="HU135" s="30"/>
      <c r="HV135" s="30"/>
      <c r="HW135" s="30"/>
      <c r="HX135" s="30"/>
      <c r="HY135" s="30"/>
      <c r="HZ135" s="30"/>
      <c r="IA135" s="30"/>
      <c r="IB135" s="30"/>
      <c r="IC135" s="30"/>
      <c r="ID135" s="30"/>
      <c r="IE135" s="30"/>
      <c r="IF135" s="30"/>
      <c r="IG135" s="30"/>
      <c r="IH135" s="30"/>
      <c r="II135" s="30"/>
      <c r="IJ135" s="30"/>
      <c r="IK135" s="30"/>
      <c r="IL135" s="30"/>
      <c r="IM135" s="30"/>
      <c r="IN135" s="30"/>
      <c r="IO135" s="30"/>
      <c r="IP135" s="30"/>
      <c r="IQ135" s="30"/>
      <c r="IR135" s="30"/>
      <c r="IS135" s="30"/>
      <c r="IT135" s="30"/>
      <c r="IU135" s="30"/>
      <c r="IV135" s="30"/>
      <c r="IW135" s="30"/>
      <c r="IX135" s="30"/>
      <c r="IY135" s="30"/>
      <c r="IZ135" s="30"/>
      <c r="JA135" s="30"/>
      <c r="JB135" s="30"/>
      <c r="JC135" s="30"/>
      <c r="JD135" s="30"/>
      <c r="JE135" s="30"/>
      <c r="JF135" s="30"/>
      <c r="JG135" s="30"/>
      <c r="JH135" s="30"/>
      <c r="JI135" s="30"/>
      <c r="JJ135" s="30"/>
      <c r="JK135" s="30"/>
      <c r="JL135" s="30"/>
      <c r="JM135" s="30"/>
      <c r="JN135" s="30"/>
      <c r="JO135" s="30"/>
      <c r="JP135" s="30"/>
      <c r="JQ135" s="30"/>
      <c r="JR135" s="30"/>
      <c r="JS135" s="30"/>
      <c r="JT135" s="30"/>
      <c r="JU135" s="30"/>
      <c r="JV135" s="30"/>
      <c r="JW135" s="30"/>
      <c r="JX135" s="30"/>
      <c r="JY135" s="30"/>
      <c r="JZ135" s="30"/>
      <c r="KA135" s="30"/>
      <c r="KB135" s="30"/>
      <c r="KC135" s="30"/>
      <c r="KD135" s="30"/>
      <c r="KE135" s="30"/>
    </row>
    <row r="136" spans="1:291" s="156" customFormat="1" ht="35" customHeight="1">
      <c r="A136" s="42">
        <f>ROW()-2</f>
        <v>134</v>
      </c>
      <c r="B136" s="152" t="s">
        <v>2732</v>
      </c>
      <c r="C136" s="152" t="s">
        <v>3016</v>
      </c>
      <c r="D136" s="58" t="s">
        <v>3022</v>
      </c>
      <c r="E136" s="58" t="s">
        <v>3023</v>
      </c>
      <c r="F136" s="58" t="s">
        <v>2006</v>
      </c>
      <c r="G136" s="152" t="s">
        <v>34</v>
      </c>
      <c r="H136" s="152">
        <v>1</v>
      </c>
      <c r="I136" s="153">
        <v>0.52888888888888896</v>
      </c>
      <c r="J136" s="154">
        <v>43469</v>
      </c>
      <c r="K136" s="153" t="s">
        <v>20</v>
      </c>
      <c r="L136" s="152">
        <v>4.99</v>
      </c>
      <c r="M136" s="155"/>
    </row>
    <row r="137" spans="1:291" s="156" customFormat="1" ht="35" customHeight="1">
      <c r="A137" s="42">
        <f>ROW()-2</f>
        <v>135</v>
      </c>
      <c r="B137" s="152" t="s">
        <v>2732</v>
      </c>
      <c r="C137" s="152" t="s">
        <v>3016</v>
      </c>
      <c r="D137" s="58" t="s">
        <v>3018</v>
      </c>
      <c r="E137" s="58" t="s">
        <v>3019</v>
      </c>
      <c r="F137" s="58" t="s">
        <v>2742</v>
      </c>
      <c r="G137" s="152" t="s">
        <v>34</v>
      </c>
      <c r="H137" s="152">
        <v>1</v>
      </c>
      <c r="I137" s="153">
        <v>0.46666666666666701</v>
      </c>
      <c r="J137" s="154">
        <v>43962</v>
      </c>
      <c r="K137" s="153" t="s">
        <v>20</v>
      </c>
      <c r="L137" s="152">
        <v>4.99</v>
      </c>
      <c r="M137" s="155"/>
    </row>
    <row r="138" spans="1:291" s="156" customFormat="1" ht="35" customHeight="1">
      <c r="A138" s="42">
        <f>ROW()-2</f>
        <v>136</v>
      </c>
      <c r="B138" s="152" t="s">
        <v>2732</v>
      </c>
      <c r="C138" s="152" t="s">
        <v>3016</v>
      </c>
      <c r="D138" s="58" t="s">
        <v>3056</v>
      </c>
      <c r="E138" s="58" t="s">
        <v>3057</v>
      </c>
      <c r="F138" s="58" t="s">
        <v>3058</v>
      </c>
      <c r="G138" s="152" t="s">
        <v>34</v>
      </c>
      <c r="H138" s="152">
        <v>1</v>
      </c>
      <c r="I138" s="153">
        <v>0.73194444444444395</v>
      </c>
      <c r="J138" s="154">
        <v>43962</v>
      </c>
      <c r="K138" s="153" t="s">
        <v>20</v>
      </c>
      <c r="L138" s="152">
        <v>4.99</v>
      </c>
      <c r="M138" s="155"/>
    </row>
    <row r="139" spans="1:291" s="156" customFormat="1" ht="35" customHeight="1">
      <c r="A139" s="42">
        <f>ROW()-2</f>
        <v>137</v>
      </c>
      <c r="B139" s="152" t="s">
        <v>2732</v>
      </c>
      <c r="C139" s="152" t="s">
        <v>3016</v>
      </c>
      <c r="D139" s="58" t="s">
        <v>3020</v>
      </c>
      <c r="E139" s="58" t="s">
        <v>3021</v>
      </c>
      <c r="F139" s="58" t="s">
        <v>3001</v>
      </c>
      <c r="G139" s="152" t="s">
        <v>34</v>
      </c>
      <c r="H139" s="152">
        <v>1</v>
      </c>
      <c r="I139" s="153">
        <v>0.42777777777777798</v>
      </c>
      <c r="J139" s="154">
        <v>43978</v>
      </c>
      <c r="K139" s="153" t="s">
        <v>20</v>
      </c>
      <c r="L139" s="152">
        <v>4.99</v>
      </c>
      <c r="M139" s="155"/>
    </row>
    <row r="140" spans="1:291" s="156" customFormat="1" ht="35" customHeight="1">
      <c r="A140" s="42">
        <f>ROW()-2</f>
        <v>138</v>
      </c>
      <c r="B140" s="152" t="s">
        <v>2732</v>
      </c>
      <c r="C140" s="152" t="s">
        <v>3016</v>
      </c>
      <c r="D140" s="58" t="s">
        <v>3024</v>
      </c>
      <c r="E140" s="58" t="s">
        <v>3025</v>
      </c>
      <c r="F140" s="58" t="s">
        <v>3026</v>
      </c>
      <c r="G140" s="152" t="s">
        <v>34</v>
      </c>
      <c r="H140" s="152">
        <v>1</v>
      </c>
      <c r="I140" s="153">
        <v>0.56611111111111101</v>
      </c>
      <c r="J140" s="154">
        <v>43978</v>
      </c>
      <c r="K140" s="153" t="s">
        <v>20</v>
      </c>
      <c r="L140" s="152">
        <v>4.99</v>
      </c>
      <c r="M140" s="155"/>
    </row>
    <row r="141" spans="1:291" s="156" customFormat="1" ht="35" customHeight="1">
      <c r="A141" s="42">
        <f>ROW()-2</f>
        <v>139</v>
      </c>
      <c r="B141" s="152" t="s">
        <v>2732</v>
      </c>
      <c r="C141" s="152" t="s">
        <v>3016</v>
      </c>
      <c r="D141" s="58" t="s">
        <v>3027</v>
      </c>
      <c r="E141" s="58" t="s">
        <v>3028</v>
      </c>
      <c r="F141" s="58" t="s">
        <v>3029</v>
      </c>
      <c r="G141" s="152" t="s">
        <v>34</v>
      </c>
      <c r="H141" s="152">
        <v>1</v>
      </c>
      <c r="I141" s="153">
        <v>1.9375</v>
      </c>
      <c r="J141" s="154">
        <v>43978</v>
      </c>
      <c r="K141" s="153" t="s">
        <v>20</v>
      </c>
      <c r="L141" s="152">
        <v>4.99</v>
      </c>
      <c r="M141" s="155"/>
    </row>
    <row r="142" spans="1:291" s="156" customFormat="1" ht="35" customHeight="1">
      <c r="A142" s="42">
        <f>ROW()-2</f>
        <v>140</v>
      </c>
      <c r="B142" s="152" t="s">
        <v>2732</v>
      </c>
      <c r="C142" s="152" t="s">
        <v>3016</v>
      </c>
      <c r="D142" s="58" t="s">
        <v>3030</v>
      </c>
      <c r="E142" s="58" t="s">
        <v>3031</v>
      </c>
      <c r="F142" s="58" t="s">
        <v>2804</v>
      </c>
      <c r="G142" s="152" t="s">
        <v>34</v>
      </c>
      <c r="H142" s="152">
        <v>1</v>
      </c>
      <c r="I142" s="153">
        <v>0.79277777777777803</v>
      </c>
      <c r="J142" s="154">
        <v>43978</v>
      </c>
      <c r="K142" s="153" t="s">
        <v>20</v>
      </c>
      <c r="L142" s="152">
        <v>4.99</v>
      </c>
      <c r="M142" s="155"/>
    </row>
    <row r="143" spans="1:291" s="156" customFormat="1" ht="35" customHeight="1">
      <c r="A143" s="42">
        <f>ROW()-2</f>
        <v>141</v>
      </c>
      <c r="B143" s="152" t="s">
        <v>2732</v>
      </c>
      <c r="C143" s="152" t="s">
        <v>3016</v>
      </c>
      <c r="D143" s="58" t="s">
        <v>3034</v>
      </c>
      <c r="E143" s="58" t="s">
        <v>3035</v>
      </c>
      <c r="F143" s="58" t="s">
        <v>2804</v>
      </c>
      <c r="G143" s="152" t="s">
        <v>34</v>
      </c>
      <c r="H143" s="152">
        <v>1</v>
      </c>
      <c r="I143" s="153">
        <v>0.41749999999999998</v>
      </c>
      <c r="J143" s="154">
        <v>43978</v>
      </c>
      <c r="K143" s="153" t="s">
        <v>20</v>
      </c>
      <c r="L143" s="152">
        <v>4.99</v>
      </c>
      <c r="M143" s="155"/>
    </row>
    <row r="144" spans="1:291" s="156" customFormat="1" ht="35" customHeight="1">
      <c r="A144" s="42">
        <f>ROW()-2</f>
        <v>142</v>
      </c>
      <c r="B144" s="152" t="s">
        <v>2732</v>
      </c>
      <c r="C144" s="152" t="s">
        <v>3016</v>
      </c>
      <c r="D144" s="58" t="s">
        <v>3036</v>
      </c>
      <c r="E144" s="58" t="s">
        <v>3037</v>
      </c>
      <c r="F144" s="58" t="s">
        <v>3038</v>
      </c>
      <c r="G144" s="152" t="s">
        <v>34</v>
      </c>
      <c r="H144" s="152">
        <v>1</v>
      </c>
      <c r="I144" s="153">
        <v>0.55444444444444396</v>
      </c>
      <c r="J144" s="154">
        <v>43978</v>
      </c>
      <c r="K144" s="153" t="s">
        <v>20</v>
      </c>
      <c r="L144" s="152">
        <v>4.99</v>
      </c>
      <c r="M144" s="155"/>
    </row>
    <row r="145" spans="1:291" s="156" customFormat="1" ht="35" customHeight="1">
      <c r="A145" s="42">
        <f>ROW()-2</f>
        <v>143</v>
      </c>
      <c r="B145" s="152" t="s">
        <v>2732</v>
      </c>
      <c r="C145" s="152" t="s">
        <v>3016</v>
      </c>
      <c r="D145" s="58" t="s">
        <v>3039</v>
      </c>
      <c r="E145" s="58" t="s">
        <v>3040</v>
      </c>
      <c r="F145" s="58" t="s">
        <v>3041</v>
      </c>
      <c r="G145" s="152" t="s">
        <v>34</v>
      </c>
      <c r="H145" s="152">
        <v>1</v>
      </c>
      <c r="I145" s="153">
        <v>0.3075</v>
      </c>
      <c r="J145" s="154">
        <v>43978</v>
      </c>
      <c r="K145" s="153" t="s">
        <v>20</v>
      </c>
      <c r="L145" s="152">
        <v>4.99</v>
      </c>
      <c r="M145" s="155"/>
    </row>
    <row r="146" spans="1:291" s="156" customFormat="1" ht="35" customHeight="1">
      <c r="A146" s="42">
        <f>ROW()-2</f>
        <v>144</v>
      </c>
      <c r="B146" s="152" t="s">
        <v>2732</v>
      </c>
      <c r="C146" s="152" t="s">
        <v>3016</v>
      </c>
      <c r="D146" s="58" t="s">
        <v>3042</v>
      </c>
      <c r="E146" s="58" t="s">
        <v>3043</v>
      </c>
      <c r="F146" s="58" t="s">
        <v>3044</v>
      </c>
      <c r="G146" s="152" t="s">
        <v>34</v>
      </c>
      <c r="H146" s="152">
        <v>1</v>
      </c>
      <c r="I146" s="153">
        <v>0.43944444444444403</v>
      </c>
      <c r="J146" s="154">
        <v>43978</v>
      </c>
      <c r="K146" s="153" t="s">
        <v>20</v>
      </c>
      <c r="L146" s="152">
        <v>4.99</v>
      </c>
      <c r="M146" s="155"/>
    </row>
    <row r="147" spans="1:291" s="156" customFormat="1" ht="35" customHeight="1">
      <c r="A147" s="42">
        <f>ROW()-2</f>
        <v>145</v>
      </c>
      <c r="B147" s="152" t="s">
        <v>2732</v>
      </c>
      <c r="C147" s="152" t="s">
        <v>3016</v>
      </c>
      <c r="D147" s="58" t="s">
        <v>3045</v>
      </c>
      <c r="E147" s="58" t="s">
        <v>3046</v>
      </c>
      <c r="F147" s="58" t="s">
        <v>3047</v>
      </c>
      <c r="G147" s="152" t="s">
        <v>34</v>
      </c>
      <c r="H147" s="152">
        <v>1</v>
      </c>
      <c r="I147" s="153">
        <v>0.62805555555555603</v>
      </c>
      <c r="J147" s="154">
        <v>43978</v>
      </c>
      <c r="K147" s="153" t="s">
        <v>20</v>
      </c>
      <c r="L147" s="152">
        <v>4.99</v>
      </c>
      <c r="M147" s="155"/>
    </row>
    <row r="148" spans="1:291" s="156" customFormat="1" ht="35" customHeight="1">
      <c r="A148" s="42">
        <f>ROW()-2</f>
        <v>146</v>
      </c>
      <c r="B148" s="152" t="s">
        <v>2732</v>
      </c>
      <c r="C148" s="152" t="s">
        <v>3016</v>
      </c>
      <c r="D148" s="58" t="s">
        <v>3048</v>
      </c>
      <c r="E148" s="58" t="s">
        <v>457</v>
      </c>
      <c r="F148" s="58" t="s">
        <v>2830</v>
      </c>
      <c r="G148" s="152" t="s">
        <v>34</v>
      </c>
      <c r="H148" s="152">
        <v>1</v>
      </c>
      <c r="I148" s="153">
        <v>0.75666666666666704</v>
      </c>
      <c r="J148" s="154">
        <v>43978</v>
      </c>
      <c r="K148" s="153" t="s">
        <v>20</v>
      </c>
      <c r="L148" s="152">
        <v>4.99</v>
      </c>
      <c r="M148" s="155"/>
    </row>
    <row r="149" spans="1:291" s="156" customFormat="1" ht="35" customHeight="1">
      <c r="A149" s="42">
        <f>ROW()-2</f>
        <v>147</v>
      </c>
      <c r="B149" s="152" t="s">
        <v>2732</v>
      </c>
      <c r="C149" s="152" t="s">
        <v>3016</v>
      </c>
      <c r="D149" s="58" t="s">
        <v>3049</v>
      </c>
      <c r="E149" s="58" t="s">
        <v>457</v>
      </c>
      <c r="F149" s="58" t="s">
        <v>2830</v>
      </c>
      <c r="G149" s="152" t="s">
        <v>34</v>
      </c>
      <c r="H149" s="152">
        <v>1</v>
      </c>
      <c r="I149" s="153">
        <v>0.85611111111111104</v>
      </c>
      <c r="J149" s="154">
        <v>43978</v>
      </c>
      <c r="K149" s="153" t="s">
        <v>20</v>
      </c>
      <c r="L149" s="152">
        <v>4.99</v>
      </c>
      <c r="M149" s="155"/>
    </row>
    <row r="150" spans="1:291" s="156" customFormat="1" ht="35" customHeight="1">
      <c r="A150" s="42">
        <f>ROW()-2</f>
        <v>148</v>
      </c>
      <c r="B150" s="152" t="s">
        <v>2732</v>
      </c>
      <c r="C150" s="152" t="s">
        <v>3016</v>
      </c>
      <c r="D150" s="58" t="s">
        <v>3050</v>
      </c>
      <c r="E150" s="58" t="s">
        <v>3051</v>
      </c>
      <c r="F150" s="58" t="s">
        <v>3052</v>
      </c>
      <c r="G150" s="152" t="s">
        <v>34</v>
      </c>
      <c r="H150" s="152">
        <v>1</v>
      </c>
      <c r="I150" s="153">
        <v>0.410833333333333</v>
      </c>
      <c r="J150" s="154">
        <v>43978</v>
      </c>
      <c r="K150" s="153" t="s">
        <v>20</v>
      </c>
      <c r="L150" s="152">
        <v>4.99</v>
      </c>
      <c r="M150" s="155"/>
    </row>
    <row r="151" spans="1:291" s="156" customFormat="1" ht="35" customHeight="1">
      <c r="A151" s="42">
        <f>ROW()-2</f>
        <v>149</v>
      </c>
      <c r="B151" s="152" t="s">
        <v>2732</v>
      </c>
      <c r="C151" s="152" t="s">
        <v>3016</v>
      </c>
      <c r="D151" s="58" t="s">
        <v>3053</v>
      </c>
      <c r="E151" s="58" t="s">
        <v>3054</v>
      </c>
      <c r="F151" s="58" t="s">
        <v>3055</v>
      </c>
      <c r="G151" s="152" t="s">
        <v>34</v>
      </c>
      <c r="H151" s="152">
        <v>1</v>
      </c>
      <c r="I151" s="153">
        <v>0.45555555555555599</v>
      </c>
      <c r="J151" s="154">
        <v>43978</v>
      </c>
      <c r="K151" s="153" t="s">
        <v>20</v>
      </c>
      <c r="L151" s="152">
        <v>4.99</v>
      </c>
      <c r="M151" s="155"/>
    </row>
    <row r="152" spans="1:291" s="156" customFormat="1" ht="35" customHeight="1">
      <c r="A152" s="42">
        <f>ROW()-2</f>
        <v>150</v>
      </c>
      <c r="B152" s="152" t="s">
        <v>2732</v>
      </c>
      <c r="C152" s="152" t="s">
        <v>3016</v>
      </c>
      <c r="D152" s="58" t="s">
        <v>3064</v>
      </c>
      <c r="E152" s="58" t="s">
        <v>3065</v>
      </c>
      <c r="F152" s="58" t="s">
        <v>3066</v>
      </c>
      <c r="G152" s="152" t="s">
        <v>34</v>
      </c>
      <c r="H152" s="152">
        <v>1</v>
      </c>
      <c r="I152" s="153">
        <v>0.55388888888888899</v>
      </c>
      <c r="J152" s="154">
        <v>43978</v>
      </c>
      <c r="K152" s="153" t="s">
        <v>20</v>
      </c>
      <c r="L152" s="152">
        <v>4.99</v>
      </c>
      <c r="M152" s="155"/>
    </row>
    <row r="153" spans="1:291" s="156" customFormat="1" ht="35" customHeight="1">
      <c r="A153" s="42">
        <f>ROW()-2</f>
        <v>151</v>
      </c>
      <c r="B153" s="152" t="s">
        <v>2732</v>
      </c>
      <c r="C153" s="152" t="s">
        <v>3016</v>
      </c>
      <c r="D153" s="58" t="s">
        <v>3059</v>
      </c>
      <c r="E153" s="58" t="s">
        <v>3060</v>
      </c>
      <c r="F153" s="58" t="s">
        <v>2736</v>
      </c>
      <c r="G153" s="152" t="s">
        <v>34</v>
      </c>
      <c r="H153" s="152">
        <v>1</v>
      </c>
      <c r="I153" s="153">
        <v>0.38</v>
      </c>
      <c r="J153" s="154">
        <v>44011</v>
      </c>
      <c r="K153" s="153" t="s">
        <v>20</v>
      </c>
      <c r="L153" s="152">
        <v>4.99</v>
      </c>
      <c r="M153" s="155"/>
    </row>
    <row r="154" spans="1:291" s="156" customFormat="1" ht="35" customHeight="1">
      <c r="A154" s="42">
        <f>ROW()-2</f>
        <v>152</v>
      </c>
      <c r="B154" s="152" t="s">
        <v>2732</v>
      </c>
      <c r="C154" s="152" t="s">
        <v>3016</v>
      </c>
      <c r="D154" s="58" t="s">
        <v>3061</v>
      </c>
      <c r="E154" s="58" t="s">
        <v>3062</v>
      </c>
      <c r="F154" s="58" t="s">
        <v>3063</v>
      </c>
      <c r="G154" s="152" t="s">
        <v>34</v>
      </c>
      <c r="H154" s="152">
        <v>1</v>
      </c>
      <c r="I154" s="153">
        <v>0.38</v>
      </c>
      <c r="J154" s="154">
        <v>44011</v>
      </c>
      <c r="K154" s="153" t="s">
        <v>20</v>
      </c>
      <c r="L154" s="152">
        <v>4.99</v>
      </c>
      <c r="M154" s="155"/>
    </row>
    <row r="155" spans="1:291" s="156" customFormat="1" ht="35" customHeight="1">
      <c r="A155" s="42">
        <f>ROW()-2</f>
        <v>153</v>
      </c>
      <c r="B155" s="182" t="s">
        <v>2732</v>
      </c>
      <c r="C155" s="182" t="s">
        <v>3016</v>
      </c>
      <c r="D155" s="187" t="s">
        <v>5270</v>
      </c>
      <c r="E155" s="187" t="s">
        <v>5271</v>
      </c>
      <c r="F155" s="187" t="s">
        <v>2828</v>
      </c>
      <c r="G155" s="182" t="s">
        <v>34</v>
      </c>
      <c r="H155" s="182">
        <v>1</v>
      </c>
      <c r="I155" s="206">
        <v>0.5</v>
      </c>
      <c r="J155" s="209">
        <v>44032</v>
      </c>
      <c r="K155" s="206" t="s">
        <v>20</v>
      </c>
      <c r="L155" s="182">
        <v>4.99</v>
      </c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136"/>
      <c r="BL155" s="136"/>
      <c r="BM155" s="136"/>
      <c r="BN155" s="136"/>
      <c r="BO155" s="136"/>
      <c r="BP155" s="136"/>
      <c r="BQ155" s="136"/>
      <c r="BR155" s="136"/>
      <c r="BS155" s="136"/>
      <c r="BT155" s="136"/>
      <c r="BU155" s="136"/>
      <c r="BV155" s="136"/>
      <c r="BW155" s="136"/>
      <c r="BX155" s="136"/>
      <c r="BY155" s="136"/>
      <c r="BZ155" s="136"/>
      <c r="CA155" s="136"/>
      <c r="CB155" s="136"/>
      <c r="CC155" s="136"/>
      <c r="CD155" s="136"/>
      <c r="CE155" s="136"/>
      <c r="CF155" s="136"/>
      <c r="CG155" s="136"/>
      <c r="CH155" s="136"/>
      <c r="CI155" s="136"/>
      <c r="CJ155" s="136"/>
      <c r="CK155" s="136"/>
      <c r="CL155" s="136"/>
      <c r="CM155" s="136"/>
      <c r="CN155" s="136"/>
      <c r="CO155" s="136"/>
      <c r="CP155" s="136"/>
      <c r="CQ155" s="136"/>
      <c r="CR155" s="136"/>
      <c r="CS155" s="136"/>
      <c r="CT155" s="136"/>
      <c r="CU155" s="136"/>
      <c r="CV155" s="136"/>
      <c r="CW155" s="136"/>
      <c r="CX155" s="136"/>
      <c r="CY155" s="136"/>
      <c r="CZ155" s="136"/>
      <c r="DA155" s="136"/>
      <c r="DB155" s="136"/>
      <c r="DC155" s="136"/>
      <c r="DD155" s="136"/>
      <c r="DE155" s="136"/>
      <c r="DF155" s="136"/>
      <c r="DG155" s="136"/>
      <c r="DH155" s="136"/>
      <c r="DI155" s="136"/>
      <c r="DJ155" s="136"/>
      <c r="DK155" s="136"/>
      <c r="DL155" s="136"/>
      <c r="DM155" s="136"/>
      <c r="DN155" s="136"/>
      <c r="DO155" s="136"/>
      <c r="DP155" s="136"/>
      <c r="DQ155" s="136"/>
      <c r="DR155" s="136"/>
      <c r="DS155" s="136"/>
      <c r="DT155" s="136"/>
      <c r="DU155" s="136"/>
      <c r="DV155" s="136"/>
      <c r="DW155" s="136"/>
      <c r="DX155" s="136"/>
      <c r="DY155" s="136"/>
      <c r="DZ155" s="136"/>
      <c r="EA155" s="136"/>
      <c r="EB155" s="136"/>
      <c r="EC155" s="136"/>
      <c r="ED155" s="136"/>
      <c r="EE155" s="136"/>
      <c r="EF155" s="136"/>
      <c r="EG155" s="136"/>
      <c r="EH155" s="136"/>
      <c r="EI155" s="136"/>
      <c r="EJ155" s="136"/>
      <c r="EK155" s="136"/>
      <c r="EL155" s="136"/>
      <c r="EM155" s="136"/>
      <c r="EN155" s="136"/>
      <c r="EO155" s="136"/>
      <c r="EP155" s="136"/>
      <c r="EQ155" s="136"/>
      <c r="ER155" s="136"/>
      <c r="ES155" s="136"/>
      <c r="ET155" s="136"/>
      <c r="EU155" s="136"/>
      <c r="EV155" s="136"/>
      <c r="EW155" s="136"/>
      <c r="EX155" s="136"/>
      <c r="EY155" s="136"/>
      <c r="EZ155" s="136"/>
      <c r="FA155" s="136"/>
      <c r="FB155" s="136"/>
      <c r="FC155" s="136"/>
      <c r="FD155" s="136"/>
      <c r="FE155" s="136"/>
      <c r="FF155" s="136"/>
      <c r="FG155" s="136"/>
      <c r="FH155" s="136"/>
      <c r="FI155" s="136"/>
      <c r="FJ155" s="136"/>
      <c r="FK155" s="136"/>
      <c r="FL155" s="136"/>
      <c r="FM155" s="136"/>
      <c r="FN155" s="136"/>
      <c r="FO155" s="136"/>
      <c r="FP155" s="136"/>
      <c r="FQ155" s="136"/>
      <c r="FR155" s="136"/>
      <c r="FS155" s="136"/>
      <c r="FT155" s="136"/>
      <c r="FU155" s="136"/>
      <c r="FV155" s="136"/>
      <c r="FW155" s="136"/>
      <c r="FX155" s="136"/>
      <c r="FY155" s="136"/>
      <c r="FZ155" s="136"/>
      <c r="GA155" s="136"/>
      <c r="GB155" s="136"/>
      <c r="GC155" s="136"/>
      <c r="GD155" s="136"/>
      <c r="GE155" s="136"/>
      <c r="GF155" s="136"/>
      <c r="GG155" s="136"/>
      <c r="GH155" s="136"/>
      <c r="GI155" s="136"/>
      <c r="GJ155" s="136"/>
      <c r="GK155" s="136"/>
      <c r="GL155" s="136"/>
      <c r="GM155" s="136"/>
      <c r="GN155" s="136"/>
      <c r="GO155" s="136"/>
      <c r="GP155" s="136"/>
      <c r="GQ155" s="136"/>
      <c r="GR155" s="136"/>
      <c r="GS155" s="136"/>
      <c r="GT155" s="136"/>
      <c r="GU155" s="136"/>
      <c r="GV155" s="136"/>
      <c r="GW155" s="136"/>
      <c r="GX155" s="136"/>
      <c r="GY155" s="136"/>
      <c r="GZ155" s="136"/>
      <c r="HA155" s="136"/>
      <c r="HB155" s="136"/>
      <c r="HC155" s="136"/>
      <c r="HD155" s="136"/>
      <c r="HE155" s="136"/>
      <c r="HF155" s="136"/>
      <c r="HG155" s="136"/>
      <c r="HH155" s="136"/>
      <c r="HI155" s="136"/>
      <c r="HJ155" s="136"/>
      <c r="HK155" s="136"/>
      <c r="HL155" s="136"/>
      <c r="HM155" s="136"/>
      <c r="HN155" s="136"/>
      <c r="HO155" s="136"/>
      <c r="HP155" s="136"/>
      <c r="HQ155" s="136"/>
      <c r="HR155" s="136"/>
      <c r="HS155" s="136"/>
      <c r="HT155" s="136"/>
      <c r="HU155" s="136"/>
      <c r="HV155" s="136"/>
      <c r="HW155" s="136"/>
      <c r="HX155" s="136"/>
      <c r="HY155" s="136"/>
      <c r="HZ155" s="136"/>
      <c r="IA155" s="136"/>
      <c r="IB155" s="136"/>
      <c r="IC155" s="136"/>
      <c r="ID155" s="136"/>
      <c r="IE155" s="136"/>
      <c r="IF155" s="136"/>
      <c r="IG155" s="136"/>
      <c r="IH155" s="136"/>
      <c r="II155" s="136"/>
      <c r="IJ155" s="136"/>
      <c r="IK155" s="136"/>
      <c r="IL155" s="136"/>
      <c r="IM155" s="136"/>
      <c r="IN155" s="136"/>
      <c r="IO155" s="136"/>
      <c r="IP155" s="136"/>
      <c r="IQ155" s="136"/>
      <c r="IR155" s="136"/>
      <c r="IS155" s="136"/>
      <c r="IT155" s="136"/>
      <c r="IU155" s="136"/>
      <c r="IV155" s="136"/>
      <c r="IW155" s="136"/>
      <c r="IX155" s="136"/>
      <c r="IY155" s="136"/>
      <c r="IZ155" s="136"/>
      <c r="JA155" s="136"/>
      <c r="JB155" s="136"/>
      <c r="JC155" s="136"/>
      <c r="JD155" s="136"/>
      <c r="JE155" s="136"/>
      <c r="JF155" s="136"/>
      <c r="JG155" s="136"/>
      <c r="JH155" s="136"/>
      <c r="JI155" s="136"/>
      <c r="JJ155" s="136"/>
      <c r="JK155" s="136"/>
      <c r="JL155" s="136"/>
      <c r="JM155" s="136"/>
      <c r="JN155" s="136"/>
      <c r="JO155" s="136"/>
      <c r="JP155" s="136"/>
      <c r="JQ155" s="136"/>
      <c r="JR155" s="136"/>
      <c r="JS155" s="136"/>
      <c r="JT155" s="136"/>
      <c r="JU155" s="136"/>
      <c r="JV155" s="136"/>
      <c r="JW155" s="136"/>
      <c r="JX155" s="136"/>
      <c r="JY155" s="136"/>
      <c r="JZ155" s="136"/>
      <c r="KA155" s="136"/>
      <c r="KB155" s="136"/>
      <c r="KC155" s="136"/>
      <c r="KD155" s="136"/>
      <c r="KE155" s="136"/>
    </row>
    <row r="156" spans="1:291" s="156" customFormat="1" ht="35" customHeight="1">
      <c r="A156" s="42">
        <f>ROW()-2</f>
        <v>154</v>
      </c>
      <c r="B156" s="152" t="s">
        <v>2732</v>
      </c>
      <c r="C156" s="152" t="s">
        <v>3016</v>
      </c>
      <c r="D156" s="58" t="s">
        <v>3067</v>
      </c>
      <c r="E156" s="58" t="s">
        <v>3068</v>
      </c>
      <c r="F156" s="58" t="s">
        <v>2739</v>
      </c>
      <c r="G156" s="152" t="s">
        <v>34</v>
      </c>
      <c r="H156" s="152">
        <v>1</v>
      </c>
      <c r="I156" s="153">
        <v>0.5</v>
      </c>
      <c r="J156" s="154">
        <v>44095</v>
      </c>
      <c r="K156" s="153" t="s">
        <v>20</v>
      </c>
      <c r="L156" s="152">
        <v>4.99</v>
      </c>
      <c r="M156" s="155"/>
    </row>
    <row r="157" spans="1:291" s="156" customFormat="1" ht="35" customHeight="1">
      <c r="A157" s="42">
        <f>ROW()-2</f>
        <v>155</v>
      </c>
      <c r="B157" s="152" t="s">
        <v>2732</v>
      </c>
      <c r="C157" s="152" t="s">
        <v>3016</v>
      </c>
      <c r="D157" s="58" t="s">
        <v>3069</v>
      </c>
      <c r="E157" s="58" t="s">
        <v>3070</v>
      </c>
      <c r="F157" s="58" t="s">
        <v>2919</v>
      </c>
      <c r="G157" s="152" t="s">
        <v>34</v>
      </c>
      <c r="H157" s="152">
        <v>1</v>
      </c>
      <c r="I157" s="153">
        <v>0.57999999999999996</v>
      </c>
      <c r="J157" s="154">
        <v>44095</v>
      </c>
      <c r="K157" s="153" t="s">
        <v>20</v>
      </c>
      <c r="L157" s="152">
        <v>4.99</v>
      </c>
      <c r="M157" s="155"/>
    </row>
    <row r="158" spans="1:291" s="156" customFormat="1" ht="35" customHeight="1">
      <c r="A158" s="42">
        <f>ROW()-2</f>
        <v>156</v>
      </c>
      <c r="B158" s="182" t="s">
        <v>2732</v>
      </c>
      <c r="C158" s="182" t="s">
        <v>3016</v>
      </c>
      <c r="D158" s="187" t="s">
        <v>5273</v>
      </c>
      <c r="E158" s="187" t="s">
        <v>3068</v>
      </c>
      <c r="F158" s="187" t="s">
        <v>2739</v>
      </c>
      <c r="G158" s="182" t="s">
        <v>34</v>
      </c>
      <c r="H158" s="182">
        <v>1</v>
      </c>
      <c r="I158" s="206">
        <v>0.75583333333333336</v>
      </c>
      <c r="J158" s="209">
        <v>44095</v>
      </c>
      <c r="K158" s="206" t="s">
        <v>20</v>
      </c>
      <c r="L158" s="182">
        <v>4.99</v>
      </c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136"/>
      <c r="BL158" s="136"/>
      <c r="BM158" s="136"/>
      <c r="BN158" s="136"/>
      <c r="BO158" s="136"/>
      <c r="BP158" s="136"/>
      <c r="BQ158" s="136"/>
      <c r="BR158" s="136"/>
      <c r="BS158" s="136"/>
      <c r="BT158" s="136"/>
      <c r="BU158" s="136"/>
      <c r="BV158" s="136"/>
      <c r="BW158" s="136"/>
      <c r="BX158" s="136"/>
      <c r="BY158" s="136"/>
      <c r="BZ158" s="136"/>
      <c r="CA158" s="136"/>
      <c r="CB158" s="136"/>
      <c r="CC158" s="136"/>
      <c r="CD158" s="136"/>
      <c r="CE158" s="136"/>
      <c r="CF158" s="136"/>
      <c r="CG158" s="136"/>
      <c r="CH158" s="136"/>
      <c r="CI158" s="136"/>
      <c r="CJ158" s="136"/>
      <c r="CK158" s="136"/>
      <c r="CL158" s="136"/>
      <c r="CM158" s="136"/>
      <c r="CN158" s="136"/>
      <c r="CO158" s="136"/>
      <c r="CP158" s="136"/>
      <c r="CQ158" s="136"/>
      <c r="CR158" s="136"/>
      <c r="CS158" s="136"/>
      <c r="CT158" s="136"/>
      <c r="CU158" s="136"/>
      <c r="CV158" s="136"/>
      <c r="CW158" s="136"/>
      <c r="CX158" s="136"/>
      <c r="CY158" s="136"/>
      <c r="CZ158" s="136"/>
      <c r="DA158" s="136"/>
      <c r="DB158" s="136"/>
      <c r="DC158" s="136"/>
      <c r="DD158" s="136"/>
      <c r="DE158" s="136"/>
      <c r="DF158" s="136"/>
      <c r="DG158" s="136"/>
      <c r="DH158" s="136"/>
      <c r="DI158" s="136"/>
      <c r="DJ158" s="136"/>
      <c r="DK158" s="136"/>
      <c r="DL158" s="136"/>
      <c r="DM158" s="136"/>
      <c r="DN158" s="136"/>
      <c r="DO158" s="136"/>
      <c r="DP158" s="136"/>
      <c r="DQ158" s="136"/>
      <c r="DR158" s="136"/>
      <c r="DS158" s="136"/>
      <c r="DT158" s="136"/>
      <c r="DU158" s="136"/>
      <c r="DV158" s="136"/>
      <c r="DW158" s="136"/>
      <c r="DX158" s="136"/>
      <c r="DY158" s="136"/>
      <c r="DZ158" s="136"/>
      <c r="EA158" s="136"/>
      <c r="EB158" s="136"/>
      <c r="EC158" s="136"/>
      <c r="ED158" s="136"/>
      <c r="EE158" s="136"/>
      <c r="EF158" s="136"/>
      <c r="EG158" s="136"/>
      <c r="EH158" s="136"/>
      <c r="EI158" s="136"/>
      <c r="EJ158" s="136"/>
      <c r="EK158" s="136"/>
      <c r="EL158" s="136"/>
      <c r="EM158" s="136"/>
      <c r="EN158" s="136"/>
      <c r="EO158" s="136"/>
      <c r="EP158" s="136"/>
      <c r="EQ158" s="136"/>
      <c r="ER158" s="136"/>
      <c r="ES158" s="136"/>
      <c r="ET158" s="136"/>
      <c r="EU158" s="136"/>
      <c r="EV158" s="136"/>
      <c r="EW158" s="136"/>
      <c r="EX158" s="136"/>
      <c r="EY158" s="136"/>
      <c r="EZ158" s="136"/>
      <c r="FA158" s="136"/>
      <c r="FB158" s="136"/>
      <c r="FC158" s="136"/>
      <c r="FD158" s="136"/>
      <c r="FE158" s="136"/>
      <c r="FF158" s="136"/>
      <c r="FG158" s="136"/>
      <c r="FH158" s="136"/>
      <c r="FI158" s="136"/>
      <c r="FJ158" s="136"/>
      <c r="FK158" s="136"/>
      <c r="FL158" s="136"/>
      <c r="FM158" s="136"/>
      <c r="FN158" s="136"/>
      <c r="FO158" s="136"/>
      <c r="FP158" s="136"/>
      <c r="FQ158" s="136"/>
      <c r="FR158" s="136"/>
      <c r="FS158" s="136"/>
      <c r="FT158" s="136"/>
      <c r="FU158" s="136"/>
      <c r="FV158" s="136"/>
      <c r="FW158" s="136"/>
      <c r="FX158" s="136"/>
      <c r="FY158" s="136"/>
      <c r="FZ158" s="136"/>
      <c r="GA158" s="136"/>
      <c r="GB158" s="136"/>
      <c r="GC158" s="136"/>
      <c r="GD158" s="136"/>
      <c r="GE158" s="136"/>
      <c r="GF158" s="136"/>
      <c r="GG158" s="136"/>
      <c r="GH158" s="136"/>
      <c r="GI158" s="136"/>
      <c r="GJ158" s="136"/>
      <c r="GK158" s="136"/>
      <c r="GL158" s="136"/>
      <c r="GM158" s="136"/>
      <c r="GN158" s="136"/>
      <c r="GO158" s="136"/>
      <c r="GP158" s="136"/>
      <c r="GQ158" s="136"/>
      <c r="GR158" s="136"/>
      <c r="GS158" s="136"/>
      <c r="GT158" s="136"/>
      <c r="GU158" s="136"/>
      <c r="GV158" s="136"/>
      <c r="GW158" s="136"/>
      <c r="GX158" s="136"/>
      <c r="GY158" s="136"/>
      <c r="GZ158" s="136"/>
      <c r="HA158" s="136"/>
      <c r="HB158" s="136"/>
      <c r="HC158" s="136"/>
      <c r="HD158" s="136"/>
      <c r="HE158" s="136"/>
      <c r="HF158" s="136"/>
      <c r="HG158" s="136"/>
      <c r="HH158" s="136"/>
      <c r="HI158" s="136"/>
      <c r="HJ158" s="136"/>
      <c r="HK158" s="136"/>
      <c r="HL158" s="136"/>
      <c r="HM158" s="136"/>
      <c r="HN158" s="136"/>
      <c r="HO158" s="136"/>
      <c r="HP158" s="136"/>
      <c r="HQ158" s="136"/>
      <c r="HR158" s="136"/>
      <c r="HS158" s="136"/>
      <c r="HT158" s="136"/>
      <c r="HU158" s="136"/>
      <c r="HV158" s="136"/>
      <c r="HW158" s="136"/>
      <c r="HX158" s="136"/>
      <c r="HY158" s="136"/>
      <c r="HZ158" s="136"/>
      <c r="IA158" s="136"/>
      <c r="IB158" s="136"/>
      <c r="IC158" s="136"/>
      <c r="ID158" s="136"/>
      <c r="IE158" s="136"/>
      <c r="IF158" s="136"/>
      <c r="IG158" s="136"/>
      <c r="IH158" s="136"/>
      <c r="II158" s="136"/>
      <c r="IJ158" s="136"/>
      <c r="IK158" s="136"/>
      <c r="IL158" s="136"/>
      <c r="IM158" s="136"/>
      <c r="IN158" s="136"/>
      <c r="IO158" s="136"/>
      <c r="IP158" s="136"/>
      <c r="IQ158" s="136"/>
      <c r="IR158" s="136"/>
      <c r="IS158" s="136"/>
      <c r="IT158" s="136"/>
      <c r="IU158" s="136"/>
      <c r="IV158" s="136"/>
      <c r="IW158" s="136"/>
      <c r="IX158" s="136"/>
      <c r="IY158" s="136"/>
      <c r="IZ158" s="136"/>
      <c r="JA158" s="136"/>
      <c r="JB158" s="136"/>
      <c r="JC158" s="136"/>
      <c r="JD158" s="136"/>
      <c r="JE158" s="136"/>
      <c r="JF158" s="136"/>
      <c r="JG158" s="136"/>
      <c r="JH158" s="136"/>
      <c r="JI158" s="136"/>
      <c r="JJ158" s="136"/>
      <c r="JK158" s="136"/>
      <c r="JL158" s="136"/>
      <c r="JM158" s="136"/>
      <c r="JN158" s="136"/>
      <c r="JO158" s="136"/>
      <c r="JP158" s="136"/>
      <c r="JQ158" s="136"/>
      <c r="JR158" s="136"/>
      <c r="JS158" s="136"/>
      <c r="JT158" s="136"/>
      <c r="JU158" s="136"/>
      <c r="JV158" s="136"/>
      <c r="JW158" s="136"/>
      <c r="JX158" s="136"/>
      <c r="JY158" s="136"/>
      <c r="JZ158" s="136"/>
      <c r="KA158" s="136"/>
      <c r="KB158" s="136"/>
      <c r="KC158" s="136"/>
      <c r="KD158" s="136"/>
      <c r="KE158" s="136"/>
    </row>
    <row r="159" spans="1:291" s="156" customFormat="1" ht="35" customHeight="1">
      <c r="A159" s="42">
        <f>ROW()-2</f>
        <v>157</v>
      </c>
      <c r="B159" s="152" t="s">
        <v>2732</v>
      </c>
      <c r="C159" s="152" t="s">
        <v>3016</v>
      </c>
      <c r="D159" s="58" t="s">
        <v>3071</v>
      </c>
      <c r="E159" s="58" t="s">
        <v>3072</v>
      </c>
      <c r="F159" s="58" t="s">
        <v>3038</v>
      </c>
      <c r="G159" s="152" t="s">
        <v>34</v>
      </c>
      <c r="H159" s="152">
        <v>1</v>
      </c>
      <c r="I159" s="157">
        <v>0.41</v>
      </c>
      <c r="J159" s="154">
        <v>44102</v>
      </c>
      <c r="K159" s="153" t="s">
        <v>20</v>
      </c>
      <c r="L159" s="153">
        <v>4.99</v>
      </c>
      <c r="M159" s="155"/>
    </row>
    <row r="160" spans="1:291" ht="35" customHeight="1">
      <c r="A160" s="42">
        <f>ROW()-2</f>
        <v>158</v>
      </c>
      <c r="B160" s="152" t="s">
        <v>2732</v>
      </c>
      <c r="C160" s="152" t="s">
        <v>3016</v>
      </c>
      <c r="D160" s="58" t="s">
        <v>3073</v>
      </c>
      <c r="E160" s="58" t="s">
        <v>3074</v>
      </c>
      <c r="F160" s="58" t="s">
        <v>3075</v>
      </c>
      <c r="G160" s="152" t="s">
        <v>34</v>
      </c>
      <c r="H160" s="152">
        <v>1</v>
      </c>
      <c r="I160" s="157">
        <v>0.4</v>
      </c>
      <c r="J160" s="154">
        <v>44102</v>
      </c>
      <c r="K160" s="236" t="s">
        <v>20</v>
      </c>
      <c r="L160" s="255">
        <v>4.99</v>
      </c>
      <c r="M160" s="155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  <c r="AI160" s="156"/>
      <c r="AJ160" s="156"/>
      <c r="AK160" s="156"/>
      <c r="AL160" s="156"/>
      <c r="AM160" s="156"/>
      <c r="AN160" s="156"/>
      <c r="AO160" s="156"/>
      <c r="AP160" s="156"/>
      <c r="AQ160" s="156"/>
      <c r="AR160" s="156"/>
      <c r="AS160" s="156"/>
      <c r="AT160" s="156"/>
      <c r="AU160" s="156"/>
      <c r="AV160" s="156"/>
      <c r="AW160" s="156"/>
      <c r="AX160" s="156"/>
      <c r="AY160" s="156"/>
      <c r="AZ160" s="156"/>
      <c r="BA160" s="156"/>
      <c r="BB160" s="156"/>
      <c r="BC160" s="156"/>
      <c r="BD160" s="156"/>
      <c r="BE160" s="156"/>
      <c r="BF160" s="156"/>
      <c r="BG160" s="156"/>
      <c r="BH160" s="156"/>
      <c r="BI160" s="156"/>
      <c r="BJ160" s="156"/>
      <c r="BK160" s="156"/>
      <c r="BL160" s="156"/>
      <c r="BM160" s="156"/>
      <c r="BN160" s="156"/>
      <c r="BO160" s="156"/>
      <c r="BP160" s="156"/>
      <c r="BQ160" s="156"/>
      <c r="BR160" s="156"/>
      <c r="BS160" s="156"/>
      <c r="BT160" s="156"/>
      <c r="BU160" s="156"/>
      <c r="BV160" s="156"/>
      <c r="BW160" s="156"/>
      <c r="BX160" s="156"/>
      <c r="BY160" s="156"/>
      <c r="BZ160" s="156"/>
      <c r="CA160" s="156"/>
      <c r="CB160" s="156"/>
      <c r="CC160" s="156"/>
      <c r="CD160" s="156"/>
      <c r="CE160" s="156"/>
      <c r="CF160" s="156"/>
      <c r="CG160" s="156"/>
      <c r="CH160" s="156"/>
      <c r="CI160" s="156"/>
      <c r="CJ160" s="156"/>
      <c r="CK160" s="156"/>
      <c r="CL160" s="156"/>
      <c r="CM160" s="156"/>
      <c r="CN160" s="156"/>
      <c r="CO160" s="156"/>
      <c r="CP160" s="156"/>
      <c r="CQ160" s="156"/>
      <c r="CR160" s="156"/>
      <c r="CS160" s="156"/>
      <c r="CT160" s="156"/>
      <c r="CU160" s="156"/>
      <c r="CV160" s="156"/>
      <c r="CW160" s="156"/>
      <c r="CX160" s="156"/>
      <c r="CY160" s="156"/>
      <c r="CZ160" s="156"/>
      <c r="DA160" s="156"/>
      <c r="DB160" s="156"/>
      <c r="DC160" s="156"/>
      <c r="DD160" s="156"/>
      <c r="DE160" s="156"/>
      <c r="DF160" s="156"/>
      <c r="DG160" s="156"/>
      <c r="DH160" s="156"/>
      <c r="DI160" s="156"/>
      <c r="DJ160" s="156"/>
      <c r="DK160" s="156"/>
      <c r="DL160" s="156"/>
      <c r="DM160" s="156"/>
      <c r="DN160" s="156"/>
      <c r="DO160" s="156"/>
      <c r="DP160" s="156"/>
      <c r="DQ160" s="156"/>
      <c r="DR160" s="156"/>
      <c r="DS160" s="156"/>
      <c r="DT160" s="156"/>
      <c r="DU160" s="156"/>
      <c r="DV160" s="156"/>
      <c r="DW160" s="156"/>
      <c r="DX160" s="156"/>
      <c r="DY160" s="156"/>
      <c r="DZ160" s="156"/>
      <c r="EA160" s="156"/>
      <c r="EB160" s="156"/>
      <c r="EC160" s="156"/>
      <c r="ED160" s="156"/>
      <c r="EE160" s="156"/>
      <c r="EF160" s="156"/>
      <c r="EG160" s="156"/>
      <c r="EH160" s="156"/>
      <c r="EI160" s="156"/>
      <c r="EJ160" s="156"/>
      <c r="EK160" s="156"/>
      <c r="EL160" s="156"/>
      <c r="EM160" s="156"/>
      <c r="EN160" s="156"/>
      <c r="EO160" s="156"/>
      <c r="EP160" s="156"/>
      <c r="EQ160" s="156"/>
      <c r="ER160" s="156"/>
      <c r="ES160" s="156"/>
      <c r="ET160" s="156"/>
      <c r="EU160" s="156"/>
      <c r="EV160" s="156"/>
      <c r="EW160" s="156"/>
      <c r="EX160" s="156"/>
      <c r="EY160" s="156"/>
      <c r="EZ160" s="156"/>
      <c r="FA160" s="156"/>
      <c r="FB160" s="156"/>
      <c r="FC160" s="156"/>
      <c r="FD160" s="156"/>
      <c r="FE160" s="156"/>
      <c r="FF160" s="156"/>
      <c r="FG160" s="156"/>
      <c r="FH160" s="156"/>
      <c r="FI160" s="156"/>
      <c r="FJ160" s="156"/>
      <c r="FK160" s="156"/>
      <c r="FL160" s="156"/>
      <c r="FM160" s="156"/>
      <c r="FN160" s="156"/>
      <c r="FO160" s="156"/>
      <c r="FP160" s="156"/>
      <c r="FQ160" s="156"/>
      <c r="FR160" s="156"/>
      <c r="FS160" s="156"/>
      <c r="FT160" s="156"/>
      <c r="FU160" s="156"/>
      <c r="FV160" s="156"/>
      <c r="FW160" s="156"/>
      <c r="FX160" s="156"/>
      <c r="FY160" s="156"/>
      <c r="FZ160" s="156"/>
      <c r="GA160" s="156"/>
      <c r="GB160" s="156"/>
      <c r="GC160" s="156"/>
      <c r="GD160" s="156"/>
      <c r="GE160" s="156"/>
      <c r="GF160" s="156"/>
      <c r="GG160" s="156"/>
      <c r="GH160" s="156"/>
      <c r="GI160" s="156"/>
      <c r="GJ160" s="156"/>
      <c r="GK160" s="156"/>
      <c r="GL160" s="156"/>
      <c r="GM160" s="156"/>
      <c r="GN160" s="156"/>
      <c r="GO160" s="156"/>
      <c r="GP160" s="156"/>
      <c r="GQ160" s="156"/>
      <c r="GR160" s="156"/>
      <c r="GS160" s="156"/>
      <c r="GT160" s="156"/>
      <c r="GU160" s="156"/>
      <c r="GV160" s="156"/>
      <c r="GW160" s="156"/>
      <c r="GX160" s="156"/>
      <c r="GY160" s="156"/>
      <c r="GZ160" s="156"/>
      <c r="HA160" s="156"/>
      <c r="HB160" s="156"/>
      <c r="HC160" s="156"/>
      <c r="HD160" s="156"/>
      <c r="HE160" s="156"/>
      <c r="HF160" s="156"/>
      <c r="HG160" s="156"/>
      <c r="HH160" s="156"/>
      <c r="HI160" s="156"/>
      <c r="HJ160" s="156"/>
      <c r="HK160" s="156"/>
      <c r="HL160" s="156"/>
      <c r="HM160" s="156"/>
      <c r="HN160" s="156"/>
      <c r="HO160" s="156"/>
      <c r="HP160" s="156"/>
      <c r="HQ160" s="156"/>
      <c r="HR160" s="156"/>
      <c r="HS160" s="156"/>
      <c r="HT160" s="156"/>
      <c r="HU160" s="156"/>
      <c r="HV160" s="156"/>
      <c r="HW160" s="156"/>
      <c r="HX160" s="156"/>
      <c r="HY160" s="156"/>
      <c r="HZ160" s="156"/>
      <c r="IA160" s="156"/>
      <c r="IB160" s="156"/>
      <c r="IC160" s="156"/>
      <c r="ID160" s="156"/>
      <c r="IE160" s="156"/>
      <c r="IF160" s="156"/>
      <c r="IG160" s="156"/>
      <c r="IH160" s="156"/>
      <c r="II160" s="156"/>
      <c r="IJ160" s="156"/>
      <c r="IK160" s="156"/>
      <c r="IL160" s="156"/>
      <c r="IM160" s="156"/>
      <c r="IN160" s="156"/>
      <c r="IO160" s="156"/>
      <c r="IP160" s="156"/>
      <c r="IQ160" s="156"/>
      <c r="IR160" s="156"/>
      <c r="IS160" s="156"/>
      <c r="IT160" s="156"/>
      <c r="IU160" s="156"/>
      <c r="IV160" s="156"/>
      <c r="IW160" s="156"/>
      <c r="IX160" s="156"/>
      <c r="IY160" s="156"/>
      <c r="IZ160" s="156"/>
      <c r="JA160" s="156"/>
      <c r="JB160" s="156"/>
      <c r="JC160" s="156"/>
      <c r="JD160" s="156"/>
      <c r="JE160" s="156"/>
      <c r="JF160" s="156"/>
      <c r="JG160" s="156"/>
      <c r="JH160" s="156"/>
      <c r="JI160" s="156"/>
      <c r="JJ160" s="156"/>
      <c r="JK160" s="156"/>
      <c r="JL160" s="156"/>
      <c r="JM160" s="156"/>
      <c r="JN160" s="156"/>
      <c r="JO160" s="156"/>
      <c r="JP160" s="156"/>
      <c r="JQ160" s="156"/>
      <c r="JR160" s="156"/>
      <c r="JS160" s="156"/>
      <c r="JT160" s="156"/>
      <c r="JU160" s="156"/>
      <c r="JV160" s="156"/>
      <c r="JW160" s="156"/>
      <c r="JX160" s="156"/>
      <c r="JY160" s="156"/>
      <c r="JZ160" s="156"/>
      <c r="KA160" s="156"/>
      <c r="KB160" s="156"/>
      <c r="KC160" s="156"/>
      <c r="KD160" s="156"/>
      <c r="KE160" s="156"/>
    </row>
    <row r="161" spans="1:291" s="156" customFormat="1" ht="35" customHeight="1">
      <c r="A161" s="42">
        <f>ROW()-2</f>
        <v>159</v>
      </c>
      <c r="B161" s="152" t="s">
        <v>2732</v>
      </c>
      <c r="C161" s="152" t="s">
        <v>3016</v>
      </c>
      <c r="D161" s="58" t="s">
        <v>3032</v>
      </c>
      <c r="E161" s="58" t="s">
        <v>3033</v>
      </c>
      <c r="F161" s="58" t="s">
        <v>2840</v>
      </c>
      <c r="G161" s="152" t="s">
        <v>34</v>
      </c>
      <c r="H161" s="152">
        <v>1</v>
      </c>
      <c r="I161" s="153">
        <v>0.36</v>
      </c>
      <c r="J161" s="154">
        <v>44123</v>
      </c>
      <c r="K161" s="153" t="s">
        <v>20</v>
      </c>
      <c r="L161" s="152" t="s">
        <v>3006</v>
      </c>
      <c r="M161" s="155"/>
    </row>
    <row r="162" spans="1:291" s="156" customFormat="1" ht="35" customHeight="1">
      <c r="A162" s="42">
        <f>ROW()-2</f>
        <v>160</v>
      </c>
      <c r="B162" s="42" t="s">
        <v>2732</v>
      </c>
      <c r="C162" s="42" t="s">
        <v>3016</v>
      </c>
      <c r="D162" s="43" t="s">
        <v>3017</v>
      </c>
      <c r="E162" s="43" t="s">
        <v>2747</v>
      </c>
      <c r="F162" s="43" t="s">
        <v>2748</v>
      </c>
      <c r="G162" s="42" t="s">
        <v>34</v>
      </c>
      <c r="H162" s="42">
        <v>1</v>
      </c>
      <c r="I162" s="44">
        <v>0.49555555555555603</v>
      </c>
      <c r="J162" s="45">
        <v>44158</v>
      </c>
      <c r="K162" s="44" t="s">
        <v>20</v>
      </c>
      <c r="L162" s="42">
        <v>4.99</v>
      </c>
      <c r="M162" s="25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  <c r="JH162" s="31"/>
      <c r="JI162" s="31"/>
      <c r="JJ162" s="31"/>
      <c r="JK162" s="31"/>
      <c r="JL162" s="31"/>
      <c r="JM162" s="31"/>
      <c r="JN162" s="31"/>
      <c r="JO162" s="31"/>
      <c r="JP162" s="31"/>
      <c r="JQ162" s="31"/>
      <c r="JR162" s="31"/>
      <c r="JS162" s="31"/>
      <c r="JT162" s="31"/>
      <c r="JU162" s="31"/>
      <c r="JV162" s="31"/>
      <c r="JW162" s="31"/>
      <c r="JX162" s="31"/>
      <c r="JY162" s="31"/>
      <c r="JZ162" s="31"/>
      <c r="KA162" s="31"/>
      <c r="KB162" s="31"/>
      <c r="KC162" s="31"/>
      <c r="KD162" s="31"/>
      <c r="KE162" s="31"/>
    </row>
    <row r="163" spans="1:291" s="156" customFormat="1" ht="35" customHeight="1">
      <c r="A163" s="42">
        <f>ROW()-2</f>
        <v>161</v>
      </c>
      <c r="B163" s="42" t="s">
        <v>2732</v>
      </c>
      <c r="C163" s="42" t="s">
        <v>3016</v>
      </c>
      <c r="D163" s="43" t="s">
        <v>3076</v>
      </c>
      <c r="E163" s="43" t="s">
        <v>3077</v>
      </c>
      <c r="F163" s="43" t="s">
        <v>3078</v>
      </c>
      <c r="G163" s="42" t="s">
        <v>34</v>
      </c>
      <c r="H163" s="42">
        <v>1</v>
      </c>
      <c r="I163" s="49">
        <v>0.4</v>
      </c>
      <c r="J163" s="45">
        <v>44529</v>
      </c>
      <c r="K163" s="44" t="s">
        <v>20</v>
      </c>
      <c r="L163" s="44">
        <v>4.99</v>
      </c>
      <c r="M163" s="32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  <c r="FS163" s="30"/>
      <c r="FT163" s="30"/>
      <c r="FU163" s="30"/>
      <c r="FV163" s="30"/>
      <c r="FW163" s="30"/>
      <c r="FX163" s="30"/>
      <c r="FY163" s="30"/>
      <c r="FZ163" s="30"/>
      <c r="GA163" s="30"/>
      <c r="GB163" s="30"/>
      <c r="GC163" s="30"/>
      <c r="GD163" s="30"/>
      <c r="GE163" s="30"/>
      <c r="GF163" s="30"/>
      <c r="GG163" s="30"/>
      <c r="GH163" s="30"/>
      <c r="GI163" s="30"/>
      <c r="GJ163" s="30"/>
      <c r="GK163" s="30"/>
      <c r="GL163" s="30"/>
      <c r="GM163" s="30"/>
      <c r="GN163" s="30"/>
      <c r="GO163" s="30"/>
      <c r="GP163" s="30"/>
      <c r="GQ163" s="30"/>
      <c r="GR163" s="30"/>
      <c r="GS163" s="30"/>
      <c r="GT163" s="30"/>
      <c r="GU163" s="30"/>
      <c r="GV163" s="30"/>
      <c r="GW163" s="30"/>
      <c r="GX163" s="30"/>
      <c r="GY163" s="30"/>
      <c r="GZ163" s="30"/>
      <c r="HA163" s="30"/>
      <c r="HB163" s="30"/>
      <c r="HC163" s="30"/>
      <c r="HD163" s="30"/>
      <c r="HE163" s="30"/>
      <c r="HF163" s="30"/>
      <c r="HG163" s="30"/>
      <c r="HH163" s="30"/>
      <c r="HI163" s="30"/>
      <c r="HJ163" s="30"/>
      <c r="HK163" s="30"/>
      <c r="HL163" s="30"/>
      <c r="HM163" s="30"/>
      <c r="HN163" s="30"/>
      <c r="HO163" s="30"/>
      <c r="HP163" s="30"/>
      <c r="HQ163" s="30"/>
      <c r="HR163" s="30"/>
      <c r="HS163" s="30"/>
      <c r="HT163" s="30"/>
      <c r="HU163" s="30"/>
      <c r="HV163" s="30"/>
      <c r="HW163" s="30"/>
      <c r="HX163" s="30"/>
      <c r="HY163" s="30"/>
      <c r="HZ163" s="30"/>
      <c r="IA163" s="30"/>
      <c r="IB163" s="30"/>
      <c r="IC163" s="30"/>
      <c r="ID163" s="30"/>
      <c r="IE163" s="30"/>
      <c r="IF163" s="30"/>
      <c r="IG163" s="30"/>
      <c r="IH163" s="30"/>
      <c r="II163" s="30"/>
      <c r="IJ163" s="30"/>
      <c r="IK163" s="30"/>
      <c r="IL163" s="30"/>
      <c r="IM163" s="30"/>
      <c r="IN163" s="30"/>
      <c r="IO163" s="30"/>
      <c r="IP163" s="30"/>
      <c r="IQ163" s="30"/>
      <c r="IR163" s="30"/>
      <c r="IS163" s="30"/>
      <c r="IT163" s="30"/>
      <c r="IU163" s="30"/>
      <c r="IV163" s="30"/>
      <c r="IW163" s="30"/>
      <c r="IX163" s="30"/>
      <c r="IY163" s="30"/>
      <c r="IZ163" s="30"/>
      <c r="JA163" s="30"/>
      <c r="JB163" s="30"/>
      <c r="JC163" s="30"/>
      <c r="JD163" s="30"/>
      <c r="JE163" s="30"/>
      <c r="JF163" s="30"/>
      <c r="JG163" s="30"/>
      <c r="JH163" s="30"/>
      <c r="JI163" s="30"/>
      <c r="JJ163" s="30"/>
      <c r="JK163" s="30"/>
      <c r="JL163" s="30"/>
      <c r="JM163" s="30"/>
      <c r="JN163" s="30"/>
      <c r="JO163" s="30"/>
      <c r="JP163" s="30"/>
      <c r="JQ163" s="30"/>
      <c r="JR163" s="30"/>
      <c r="JS163" s="30"/>
      <c r="JT163" s="30"/>
      <c r="JU163" s="30"/>
      <c r="JV163" s="30"/>
      <c r="JW163" s="30"/>
      <c r="JX163" s="30"/>
      <c r="JY163" s="30"/>
      <c r="JZ163" s="30"/>
      <c r="KA163" s="30"/>
      <c r="KB163" s="30"/>
      <c r="KC163" s="30"/>
      <c r="KD163" s="30"/>
      <c r="KE163" s="30"/>
    </row>
    <row r="164" spans="1:291" s="156" customFormat="1" ht="35" customHeight="1">
      <c r="A164" s="42">
        <f>ROW()-2</f>
        <v>162</v>
      </c>
      <c r="B164" s="152" t="s">
        <v>2732</v>
      </c>
      <c r="C164" s="152" t="s">
        <v>3079</v>
      </c>
      <c r="D164" s="58" t="s">
        <v>3096</v>
      </c>
      <c r="E164" s="58" t="s">
        <v>3097</v>
      </c>
      <c r="F164" s="58" t="s">
        <v>2742</v>
      </c>
      <c r="G164" s="152" t="s">
        <v>34</v>
      </c>
      <c r="H164" s="152">
        <v>1</v>
      </c>
      <c r="I164" s="153">
        <v>0.36666666666666697</v>
      </c>
      <c r="J164" s="154">
        <v>43468</v>
      </c>
      <c r="K164" s="153" t="s">
        <v>20</v>
      </c>
      <c r="L164" s="152">
        <v>4.99</v>
      </c>
      <c r="M164" s="155"/>
    </row>
    <row r="165" spans="1:291" s="156" customFormat="1" ht="35" customHeight="1">
      <c r="A165" s="42">
        <f>ROW()-2</f>
        <v>163</v>
      </c>
      <c r="B165" s="152" t="s">
        <v>2732</v>
      </c>
      <c r="C165" s="152" t="s">
        <v>3079</v>
      </c>
      <c r="D165" s="58" t="s">
        <v>3141</v>
      </c>
      <c r="E165" s="58" t="s">
        <v>3142</v>
      </c>
      <c r="F165" s="58" t="s">
        <v>2864</v>
      </c>
      <c r="G165" s="152" t="s">
        <v>34</v>
      </c>
      <c r="H165" s="152">
        <v>1</v>
      </c>
      <c r="I165" s="153">
        <v>0.40500000000000003</v>
      </c>
      <c r="J165" s="154">
        <v>43468</v>
      </c>
      <c r="K165" s="153" t="s">
        <v>20</v>
      </c>
      <c r="L165" s="152">
        <v>4.99</v>
      </c>
      <c r="M165" s="155"/>
    </row>
    <row r="166" spans="1:291" s="156" customFormat="1" ht="35" customHeight="1">
      <c r="A166" s="42">
        <f>ROW()-2</f>
        <v>164</v>
      </c>
      <c r="B166" s="152" t="s">
        <v>2732</v>
      </c>
      <c r="C166" s="152" t="s">
        <v>3079</v>
      </c>
      <c r="D166" s="58" t="s">
        <v>3103</v>
      </c>
      <c r="E166" s="58" t="s">
        <v>3104</v>
      </c>
      <c r="F166" s="58" t="s">
        <v>3105</v>
      </c>
      <c r="G166" s="152" t="s">
        <v>34</v>
      </c>
      <c r="H166" s="152">
        <v>1</v>
      </c>
      <c r="I166" s="153">
        <v>0.50305555555555603</v>
      </c>
      <c r="J166" s="154">
        <v>43469</v>
      </c>
      <c r="K166" s="153" t="s">
        <v>20</v>
      </c>
      <c r="L166" s="152">
        <v>4.99</v>
      </c>
      <c r="M166" s="155"/>
    </row>
    <row r="167" spans="1:291" s="156" customFormat="1" ht="35" customHeight="1">
      <c r="A167" s="42">
        <f>ROW()-2</f>
        <v>165</v>
      </c>
      <c r="B167" s="152" t="s">
        <v>2732</v>
      </c>
      <c r="C167" s="152" t="s">
        <v>3079</v>
      </c>
      <c r="D167" s="58" t="s">
        <v>3122</v>
      </c>
      <c r="E167" s="58" t="s">
        <v>3123</v>
      </c>
      <c r="F167" s="58" t="s">
        <v>1592</v>
      </c>
      <c r="G167" s="152" t="s">
        <v>34</v>
      </c>
      <c r="H167" s="152">
        <v>1</v>
      </c>
      <c r="I167" s="153">
        <v>0.70555555555555605</v>
      </c>
      <c r="J167" s="154">
        <v>43469</v>
      </c>
      <c r="K167" s="153" t="s">
        <v>20</v>
      </c>
      <c r="L167" s="152">
        <v>4.99</v>
      </c>
      <c r="M167" s="155"/>
    </row>
    <row r="168" spans="1:291" s="156" customFormat="1" ht="35" customHeight="1">
      <c r="A168" s="42">
        <f>ROW()-2</f>
        <v>166</v>
      </c>
      <c r="B168" s="152" t="s">
        <v>2732</v>
      </c>
      <c r="C168" s="152" t="s">
        <v>3079</v>
      </c>
      <c r="D168" s="58" t="s">
        <v>3158</v>
      </c>
      <c r="E168" s="58" t="s">
        <v>3159</v>
      </c>
      <c r="F168" s="58" t="s">
        <v>191</v>
      </c>
      <c r="G168" s="152" t="s">
        <v>34</v>
      </c>
      <c r="H168" s="152">
        <v>1</v>
      </c>
      <c r="I168" s="153">
        <v>0.59555555555555595</v>
      </c>
      <c r="J168" s="154">
        <v>43483</v>
      </c>
      <c r="K168" s="153" t="s">
        <v>20</v>
      </c>
      <c r="L168" s="152">
        <v>4.99</v>
      </c>
      <c r="M168" s="155"/>
    </row>
    <row r="169" spans="1:291" s="156" customFormat="1" ht="35" customHeight="1">
      <c r="A169" s="42">
        <f>ROW()-2</f>
        <v>167</v>
      </c>
      <c r="B169" s="152" t="s">
        <v>2732</v>
      </c>
      <c r="C169" s="152" t="s">
        <v>3079</v>
      </c>
      <c r="D169" s="58" t="s">
        <v>3100</v>
      </c>
      <c r="E169" s="58" t="s">
        <v>3101</v>
      </c>
      <c r="F169" s="58" t="s">
        <v>3102</v>
      </c>
      <c r="G169" s="152" t="s">
        <v>34</v>
      </c>
      <c r="H169" s="152">
        <v>1</v>
      </c>
      <c r="I169" s="153">
        <v>0.61388888888888904</v>
      </c>
      <c r="J169" s="154">
        <v>43893</v>
      </c>
      <c r="K169" s="153" t="s">
        <v>20</v>
      </c>
      <c r="L169" s="152">
        <v>4.99</v>
      </c>
      <c r="M169" s="155"/>
    </row>
    <row r="170" spans="1:291" s="156" customFormat="1" ht="35" customHeight="1">
      <c r="A170" s="42">
        <f>ROW()-2</f>
        <v>168</v>
      </c>
      <c r="B170" s="152" t="s">
        <v>2732</v>
      </c>
      <c r="C170" s="152" t="s">
        <v>3079</v>
      </c>
      <c r="D170" s="58" t="s">
        <v>3145</v>
      </c>
      <c r="E170" s="58" t="s">
        <v>3146</v>
      </c>
      <c r="F170" s="58" t="s">
        <v>3147</v>
      </c>
      <c r="G170" s="152" t="s">
        <v>34</v>
      </c>
      <c r="H170" s="152">
        <v>1</v>
      </c>
      <c r="I170" s="153">
        <v>0.74722222222222201</v>
      </c>
      <c r="J170" s="154">
        <v>43893</v>
      </c>
      <c r="K170" s="153" t="s">
        <v>20</v>
      </c>
      <c r="L170" s="152">
        <v>4.99</v>
      </c>
      <c r="M170" s="155"/>
    </row>
    <row r="171" spans="1:291" s="156" customFormat="1" ht="35" customHeight="1">
      <c r="A171" s="42">
        <f>ROW()-2</f>
        <v>169</v>
      </c>
      <c r="B171" s="152" t="s">
        <v>2732</v>
      </c>
      <c r="C171" s="152" t="s">
        <v>3079</v>
      </c>
      <c r="D171" s="58" t="s">
        <v>1593</v>
      </c>
      <c r="E171" s="58" t="s">
        <v>3162</v>
      </c>
      <c r="F171" s="58" t="s">
        <v>3163</v>
      </c>
      <c r="G171" s="152" t="s">
        <v>34</v>
      </c>
      <c r="H171" s="152">
        <v>1</v>
      </c>
      <c r="I171" s="153">
        <v>0.39833333333333298</v>
      </c>
      <c r="J171" s="154">
        <v>43913</v>
      </c>
      <c r="K171" s="153" t="s">
        <v>20</v>
      </c>
      <c r="L171" s="152">
        <v>4.99</v>
      </c>
      <c r="M171" s="155"/>
    </row>
    <row r="172" spans="1:291" s="156" customFormat="1" ht="35" customHeight="1">
      <c r="A172" s="42">
        <f>ROW()-2</f>
        <v>170</v>
      </c>
      <c r="B172" s="152" t="s">
        <v>2732</v>
      </c>
      <c r="C172" s="152" t="s">
        <v>3079</v>
      </c>
      <c r="D172" s="58" t="s">
        <v>3168</v>
      </c>
      <c r="E172" s="58" t="s">
        <v>3169</v>
      </c>
      <c r="F172" s="58" t="s">
        <v>3170</v>
      </c>
      <c r="G172" s="152" t="s">
        <v>34</v>
      </c>
      <c r="H172" s="152">
        <v>1</v>
      </c>
      <c r="I172" s="153">
        <v>0.42583333333333301</v>
      </c>
      <c r="J172" s="154">
        <v>43962</v>
      </c>
      <c r="K172" s="153" t="s">
        <v>20</v>
      </c>
      <c r="L172" s="152">
        <v>4.99</v>
      </c>
      <c r="M172" s="155"/>
    </row>
    <row r="173" spans="1:291" s="156" customFormat="1" ht="35" customHeight="1">
      <c r="A173" s="42">
        <f>ROW()-2</f>
        <v>171</v>
      </c>
      <c r="B173" s="152" t="s">
        <v>2732</v>
      </c>
      <c r="C173" s="152" t="s">
        <v>3079</v>
      </c>
      <c r="D173" s="58" t="s">
        <v>3171</v>
      </c>
      <c r="E173" s="58" t="s">
        <v>3172</v>
      </c>
      <c r="F173" s="58" t="s">
        <v>3173</v>
      </c>
      <c r="G173" s="152" t="s">
        <v>34</v>
      </c>
      <c r="H173" s="152">
        <v>1</v>
      </c>
      <c r="I173" s="153">
        <v>0.411944444444444</v>
      </c>
      <c r="J173" s="154">
        <v>43962</v>
      </c>
      <c r="K173" s="153" t="s">
        <v>20</v>
      </c>
      <c r="L173" s="152">
        <v>4.99</v>
      </c>
      <c r="M173" s="155"/>
    </row>
    <row r="174" spans="1:291" s="156" customFormat="1" ht="35" customHeight="1">
      <c r="A174" s="42">
        <f>ROW()-2</f>
        <v>172</v>
      </c>
      <c r="B174" s="152" t="s">
        <v>2732</v>
      </c>
      <c r="C174" s="152" t="s">
        <v>3079</v>
      </c>
      <c r="D174" s="58" t="s">
        <v>3174</v>
      </c>
      <c r="E174" s="58" t="s">
        <v>3175</v>
      </c>
      <c r="F174" s="58" t="s">
        <v>3173</v>
      </c>
      <c r="G174" s="152" t="s">
        <v>34</v>
      </c>
      <c r="H174" s="152">
        <v>1</v>
      </c>
      <c r="I174" s="153">
        <v>0.39194444444444398</v>
      </c>
      <c r="J174" s="154">
        <v>43962</v>
      </c>
      <c r="K174" s="153" t="s">
        <v>20</v>
      </c>
      <c r="L174" s="152">
        <v>4.99</v>
      </c>
      <c r="M174" s="155"/>
    </row>
    <row r="175" spans="1:291" s="156" customFormat="1" ht="35" customHeight="1">
      <c r="A175" s="42">
        <f>ROW()-2</f>
        <v>173</v>
      </c>
      <c r="B175" s="152" t="s">
        <v>2732</v>
      </c>
      <c r="C175" s="152" t="s">
        <v>3079</v>
      </c>
      <c r="D175" s="58" t="s">
        <v>3176</v>
      </c>
      <c r="E175" s="58" t="s">
        <v>913</v>
      </c>
      <c r="F175" s="58" t="s">
        <v>3173</v>
      </c>
      <c r="G175" s="152" t="s">
        <v>34</v>
      </c>
      <c r="H175" s="152">
        <v>1</v>
      </c>
      <c r="I175" s="153">
        <v>0.36388888888888898</v>
      </c>
      <c r="J175" s="154">
        <v>43962</v>
      </c>
      <c r="K175" s="153" t="s">
        <v>20</v>
      </c>
      <c r="L175" s="152">
        <v>4.99</v>
      </c>
      <c r="M175" s="155"/>
    </row>
    <row r="176" spans="1:291" s="156" customFormat="1" ht="35" customHeight="1">
      <c r="A176" s="42">
        <f>ROW()-2</f>
        <v>174</v>
      </c>
      <c r="B176" s="152" t="s">
        <v>2732</v>
      </c>
      <c r="C176" s="152" t="s">
        <v>3079</v>
      </c>
      <c r="D176" s="58" t="s">
        <v>3179</v>
      </c>
      <c r="E176" s="58" t="s">
        <v>3179</v>
      </c>
      <c r="F176" s="58" t="s">
        <v>3180</v>
      </c>
      <c r="G176" s="152" t="s">
        <v>34</v>
      </c>
      <c r="H176" s="152">
        <v>1</v>
      </c>
      <c r="I176" s="153">
        <v>0.46472222222222198</v>
      </c>
      <c r="J176" s="154">
        <v>43962</v>
      </c>
      <c r="K176" s="153" t="s">
        <v>20</v>
      </c>
      <c r="L176" s="152">
        <v>4.99</v>
      </c>
      <c r="M176" s="155"/>
    </row>
    <row r="177" spans="1:13" s="156" customFormat="1" ht="35" customHeight="1">
      <c r="A177" s="42">
        <f>ROW()-2</f>
        <v>175</v>
      </c>
      <c r="B177" s="152" t="s">
        <v>2732</v>
      </c>
      <c r="C177" s="152" t="s">
        <v>3079</v>
      </c>
      <c r="D177" s="58" t="s">
        <v>3181</v>
      </c>
      <c r="E177" s="58" t="s">
        <v>3182</v>
      </c>
      <c r="F177" s="58" t="s">
        <v>2916</v>
      </c>
      <c r="G177" s="152" t="s">
        <v>34</v>
      </c>
      <c r="H177" s="152">
        <v>1</v>
      </c>
      <c r="I177" s="153">
        <v>0.41916666666666702</v>
      </c>
      <c r="J177" s="154">
        <v>43962</v>
      </c>
      <c r="K177" s="153" t="s">
        <v>20</v>
      </c>
      <c r="L177" s="152">
        <v>4.99</v>
      </c>
      <c r="M177" s="155"/>
    </row>
    <row r="178" spans="1:13" s="156" customFormat="1" ht="35" customHeight="1">
      <c r="A178" s="42">
        <f>ROW()-2</f>
        <v>176</v>
      </c>
      <c r="B178" s="152" t="s">
        <v>2732</v>
      </c>
      <c r="C178" s="152" t="s">
        <v>3079</v>
      </c>
      <c r="D178" s="58" t="s">
        <v>3229</v>
      </c>
      <c r="E178" s="58" t="s">
        <v>3083</v>
      </c>
      <c r="F178" s="58" t="s">
        <v>830</v>
      </c>
      <c r="G178" s="152" t="s">
        <v>34</v>
      </c>
      <c r="H178" s="152">
        <v>1</v>
      </c>
      <c r="I178" s="153">
        <v>0.49694444444444402</v>
      </c>
      <c r="J178" s="154">
        <v>43962</v>
      </c>
      <c r="K178" s="153" t="s">
        <v>20</v>
      </c>
      <c r="L178" s="152">
        <v>4.99</v>
      </c>
      <c r="M178" s="155"/>
    </row>
    <row r="179" spans="1:13" s="156" customFormat="1" ht="35" customHeight="1">
      <c r="A179" s="42">
        <f>ROW()-2</f>
        <v>177</v>
      </c>
      <c r="B179" s="152" t="s">
        <v>2732</v>
      </c>
      <c r="C179" s="152" t="s">
        <v>3079</v>
      </c>
      <c r="D179" s="58" t="s">
        <v>3183</v>
      </c>
      <c r="E179" s="58" t="s">
        <v>3184</v>
      </c>
      <c r="F179" s="58" t="s">
        <v>2742</v>
      </c>
      <c r="G179" s="152" t="s">
        <v>34</v>
      </c>
      <c r="H179" s="152">
        <v>1</v>
      </c>
      <c r="I179" s="153">
        <v>0.46250000000000002</v>
      </c>
      <c r="J179" s="154">
        <v>43976</v>
      </c>
      <c r="K179" s="153" t="s">
        <v>20</v>
      </c>
      <c r="L179" s="152">
        <v>4.99</v>
      </c>
      <c r="M179" s="155"/>
    </row>
    <row r="180" spans="1:13" s="156" customFormat="1" ht="35" customHeight="1">
      <c r="A180" s="42">
        <f>ROW()-2</f>
        <v>178</v>
      </c>
      <c r="B180" s="152" t="s">
        <v>2732</v>
      </c>
      <c r="C180" s="152" t="s">
        <v>3079</v>
      </c>
      <c r="D180" s="58" t="s">
        <v>3090</v>
      </c>
      <c r="E180" s="58" t="s">
        <v>3091</v>
      </c>
      <c r="F180" s="58" t="s">
        <v>2766</v>
      </c>
      <c r="G180" s="152" t="s">
        <v>34</v>
      </c>
      <c r="H180" s="152">
        <v>1</v>
      </c>
      <c r="I180" s="153">
        <v>0.543333333333333</v>
      </c>
      <c r="J180" s="154">
        <v>43978</v>
      </c>
      <c r="K180" s="153" t="s">
        <v>20</v>
      </c>
      <c r="L180" s="152">
        <v>4.99</v>
      </c>
      <c r="M180" s="155"/>
    </row>
    <row r="181" spans="1:13" s="156" customFormat="1" ht="35" customHeight="1">
      <c r="A181" s="42">
        <f>ROW()-2</f>
        <v>179</v>
      </c>
      <c r="B181" s="152" t="s">
        <v>2732</v>
      </c>
      <c r="C181" s="152" t="s">
        <v>3079</v>
      </c>
      <c r="D181" s="58" t="s">
        <v>3092</v>
      </c>
      <c r="E181" s="58" t="s">
        <v>3093</v>
      </c>
      <c r="F181" s="58" t="s">
        <v>2742</v>
      </c>
      <c r="G181" s="152" t="s">
        <v>34</v>
      </c>
      <c r="H181" s="152">
        <v>1</v>
      </c>
      <c r="I181" s="153">
        <v>0.403055555555556</v>
      </c>
      <c r="J181" s="154">
        <v>43978</v>
      </c>
      <c r="K181" s="153" t="s">
        <v>20</v>
      </c>
      <c r="L181" s="152">
        <v>4.99</v>
      </c>
      <c r="M181" s="155"/>
    </row>
    <row r="182" spans="1:13" s="156" customFormat="1" ht="35" customHeight="1">
      <c r="A182" s="42">
        <f>ROW()-2</f>
        <v>180</v>
      </c>
      <c r="B182" s="152" t="s">
        <v>2732</v>
      </c>
      <c r="C182" s="152" t="s">
        <v>3079</v>
      </c>
      <c r="D182" s="58" t="s">
        <v>3095</v>
      </c>
      <c r="E182" s="58" t="s">
        <v>3083</v>
      </c>
      <c r="F182" s="58" t="s">
        <v>2742</v>
      </c>
      <c r="G182" s="152" t="s">
        <v>34</v>
      </c>
      <c r="H182" s="152">
        <v>1</v>
      </c>
      <c r="I182" s="153">
        <v>0.52583333333333304</v>
      </c>
      <c r="J182" s="154">
        <v>43978</v>
      </c>
      <c r="K182" s="153" t="s">
        <v>20</v>
      </c>
      <c r="L182" s="152">
        <v>4.99</v>
      </c>
      <c r="M182" s="155"/>
    </row>
    <row r="183" spans="1:13" s="156" customFormat="1" ht="35" customHeight="1">
      <c r="A183" s="42">
        <f>ROW()-2</f>
        <v>181</v>
      </c>
      <c r="B183" s="152" t="s">
        <v>2732</v>
      </c>
      <c r="C183" s="152" t="s">
        <v>3079</v>
      </c>
      <c r="D183" s="58" t="s">
        <v>3098</v>
      </c>
      <c r="E183" s="58" t="s">
        <v>3099</v>
      </c>
      <c r="F183" s="58" t="s">
        <v>150</v>
      </c>
      <c r="G183" s="152" t="s">
        <v>34</v>
      </c>
      <c r="H183" s="152">
        <v>1</v>
      </c>
      <c r="I183" s="153">
        <v>0.52833333333333299</v>
      </c>
      <c r="J183" s="154">
        <v>43978</v>
      </c>
      <c r="K183" s="153" t="s">
        <v>20</v>
      </c>
      <c r="L183" s="152">
        <v>4.99</v>
      </c>
      <c r="M183" s="155"/>
    </row>
    <row r="184" spans="1:13" s="156" customFormat="1" ht="35" customHeight="1">
      <c r="A184" s="42">
        <f>ROW()-2</f>
        <v>182</v>
      </c>
      <c r="B184" s="152" t="s">
        <v>2732</v>
      </c>
      <c r="C184" s="152" t="s">
        <v>3079</v>
      </c>
      <c r="D184" s="58" t="s">
        <v>3106</v>
      </c>
      <c r="E184" s="58" t="s">
        <v>3107</v>
      </c>
      <c r="F184" s="58" t="s">
        <v>3108</v>
      </c>
      <c r="G184" s="152" t="s">
        <v>34</v>
      </c>
      <c r="H184" s="152">
        <v>1</v>
      </c>
      <c r="I184" s="153">
        <v>0.56055555555555603</v>
      </c>
      <c r="J184" s="154">
        <v>43978</v>
      </c>
      <c r="K184" s="153" t="s">
        <v>20</v>
      </c>
      <c r="L184" s="152">
        <v>4.99</v>
      </c>
      <c r="M184" s="155"/>
    </row>
    <row r="185" spans="1:13" s="156" customFormat="1" ht="35" customHeight="1">
      <c r="A185" s="42">
        <f>ROW()-2</f>
        <v>183</v>
      </c>
      <c r="B185" s="152" t="s">
        <v>2732</v>
      </c>
      <c r="C185" s="152" t="s">
        <v>3079</v>
      </c>
      <c r="D185" s="58" t="s">
        <v>3111</v>
      </c>
      <c r="E185" s="58" t="s">
        <v>3112</v>
      </c>
      <c r="F185" s="58" t="s">
        <v>3026</v>
      </c>
      <c r="G185" s="152" t="s">
        <v>34</v>
      </c>
      <c r="H185" s="152">
        <v>1</v>
      </c>
      <c r="I185" s="153">
        <v>0.59222222222222198</v>
      </c>
      <c r="J185" s="154">
        <v>43978</v>
      </c>
      <c r="K185" s="153" t="s">
        <v>20</v>
      </c>
      <c r="L185" s="152">
        <v>4.99</v>
      </c>
      <c r="M185" s="155"/>
    </row>
    <row r="186" spans="1:13" s="156" customFormat="1" ht="35" customHeight="1">
      <c r="A186" s="42">
        <f>ROW()-2</f>
        <v>184</v>
      </c>
      <c r="B186" s="152" t="s">
        <v>2732</v>
      </c>
      <c r="C186" s="152" t="s">
        <v>3079</v>
      </c>
      <c r="D186" s="58" t="s">
        <v>3113</v>
      </c>
      <c r="E186" s="58" t="s">
        <v>3083</v>
      </c>
      <c r="F186" s="58" t="s">
        <v>3026</v>
      </c>
      <c r="G186" s="152" t="s">
        <v>34</v>
      </c>
      <c r="H186" s="152">
        <v>1</v>
      </c>
      <c r="I186" s="153">
        <v>0.37805555555555598</v>
      </c>
      <c r="J186" s="154">
        <v>43978</v>
      </c>
      <c r="K186" s="153" t="s">
        <v>20</v>
      </c>
      <c r="L186" s="152">
        <v>4.99</v>
      </c>
      <c r="M186" s="155"/>
    </row>
    <row r="187" spans="1:13" s="156" customFormat="1" ht="35" customHeight="1">
      <c r="A187" s="42">
        <f>ROW()-2</f>
        <v>185</v>
      </c>
      <c r="B187" s="152" t="s">
        <v>2732</v>
      </c>
      <c r="C187" s="152" t="s">
        <v>3079</v>
      </c>
      <c r="D187" s="58" t="s">
        <v>3114</v>
      </c>
      <c r="E187" s="58" t="s">
        <v>3115</v>
      </c>
      <c r="F187" s="58" t="s">
        <v>3116</v>
      </c>
      <c r="G187" s="152" t="s">
        <v>34</v>
      </c>
      <c r="H187" s="152">
        <v>1</v>
      </c>
      <c r="I187" s="153">
        <v>0.74777777777777799</v>
      </c>
      <c r="J187" s="154">
        <v>43978</v>
      </c>
      <c r="K187" s="153" t="s">
        <v>20</v>
      </c>
      <c r="L187" s="152">
        <v>4.99</v>
      </c>
      <c r="M187" s="155"/>
    </row>
    <row r="188" spans="1:13" s="156" customFormat="1" ht="35" customHeight="1">
      <c r="A188" s="42">
        <f>ROW()-2</f>
        <v>186</v>
      </c>
      <c r="B188" s="152" t="s">
        <v>2732</v>
      </c>
      <c r="C188" s="152" t="s">
        <v>3079</v>
      </c>
      <c r="D188" s="58" t="s">
        <v>3117</v>
      </c>
      <c r="E188" s="58" t="s">
        <v>3118</v>
      </c>
      <c r="F188" s="58" t="s">
        <v>807</v>
      </c>
      <c r="G188" s="152" t="s">
        <v>34</v>
      </c>
      <c r="H188" s="152">
        <v>1</v>
      </c>
      <c r="I188" s="153">
        <v>0.424722222222222</v>
      </c>
      <c r="J188" s="154">
        <v>43978</v>
      </c>
      <c r="K188" s="153" t="s">
        <v>20</v>
      </c>
      <c r="L188" s="152">
        <v>4.99</v>
      </c>
      <c r="M188" s="155"/>
    </row>
    <row r="189" spans="1:13" s="156" customFormat="1" ht="35" customHeight="1">
      <c r="A189" s="42">
        <f>ROW()-2</f>
        <v>187</v>
      </c>
      <c r="B189" s="152" t="s">
        <v>2732</v>
      </c>
      <c r="C189" s="152" t="s">
        <v>3079</v>
      </c>
      <c r="D189" s="58" t="s">
        <v>3119</v>
      </c>
      <c r="E189" s="58" t="s">
        <v>3120</v>
      </c>
      <c r="F189" s="58" t="s">
        <v>3121</v>
      </c>
      <c r="G189" s="152" t="s">
        <v>34</v>
      </c>
      <c r="H189" s="152">
        <v>1</v>
      </c>
      <c r="I189" s="153">
        <v>0.39583333333333298</v>
      </c>
      <c r="J189" s="154">
        <v>43978</v>
      </c>
      <c r="K189" s="153" t="s">
        <v>20</v>
      </c>
      <c r="L189" s="152">
        <v>4.99</v>
      </c>
      <c r="M189" s="155"/>
    </row>
    <row r="190" spans="1:13" s="156" customFormat="1" ht="35" customHeight="1">
      <c r="A190" s="42">
        <f>ROW()-2</f>
        <v>188</v>
      </c>
      <c r="B190" s="152" t="s">
        <v>2732</v>
      </c>
      <c r="C190" s="152" t="s">
        <v>3079</v>
      </c>
      <c r="D190" s="58" t="s">
        <v>3124</v>
      </c>
      <c r="E190" s="58" t="s">
        <v>3125</v>
      </c>
      <c r="F190" s="58" t="s">
        <v>2804</v>
      </c>
      <c r="G190" s="152" t="s">
        <v>34</v>
      </c>
      <c r="H190" s="152">
        <v>1</v>
      </c>
      <c r="I190" s="153">
        <v>0.44555555555555598</v>
      </c>
      <c r="J190" s="154">
        <v>43978</v>
      </c>
      <c r="K190" s="153" t="s">
        <v>20</v>
      </c>
      <c r="L190" s="152">
        <v>4.99</v>
      </c>
      <c r="M190" s="155"/>
    </row>
    <row r="191" spans="1:13" s="156" customFormat="1" ht="35" customHeight="1">
      <c r="A191" s="42">
        <f>ROW()-2</f>
        <v>189</v>
      </c>
      <c r="B191" s="152" t="s">
        <v>2732</v>
      </c>
      <c r="C191" s="152" t="s">
        <v>3079</v>
      </c>
      <c r="D191" s="58" t="s">
        <v>3126</v>
      </c>
      <c r="E191" s="58" t="s">
        <v>3127</v>
      </c>
      <c r="F191" s="58" t="s">
        <v>3038</v>
      </c>
      <c r="G191" s="152" t="s">
        <v>34</v>
      </c>
      <c r="H191" s="152">
        <v>1</v>
      </c>
      <c r="I191" s="153">
        <v>0.43</v>
      </c>
      <c r="J191" s="154">
        <v>43978</v>
      </c>
      <c r="K191" s="153" t="s">
        <v>20</v>
      </c>
      <c r="L191" s="152">
        <v>4.99</v>
      </c>
      <c r="M191" s="155"/>
    </row>
    <row r="192" spans="1:13" s="156" customFormat="1" ht="35" customHeight="1">
      <c r="A192" s="42">
        <f>ROW()-2</f>
        <v>190</v>
      </c>
      <c r="B192" s="152" t="s">
        <v>2732</v>
      </c>
      <c r="C192" s="152" t="s">
        <v>3079</v>
      </c>
      <c r="D192" s="58" t="s">
        <v>3128</v>
      </c>
      <c r="E192" s="58" t="s">
        <v>3129</v>
      </c>
      <c r="F192" s="58" t="s">
        <v>3130</v>
      </c>
      <c r="G192" s="152" t="s">
        <v>34</v>
      </c>
      <c r="H192" s="152">
        <v>1</v>
      </c>
      <c r="I192" s="153">
        <v>0.52444444444444405</v>
      </c>
      <c r="J192" s="154">
        <v>43978</v>
      </c>
      <c r="K192" s="153" t="s">
        <v>20</v>
      </c>
      <c r="L192" s="152">
        <v>4.99</v>
      </c>
      <c r="M192" s="155"/>
    </row>
    <row r="193" spans="1:13" s="156" customFormat="1" ht="35" customHeight="1">
      <c r="A193" s="42">
        <f>ROW()-2</f>
        <v>191</v>
      </c>
      <c r="B193" s="152" t="s">
        <v>2732</v>
      </c>
      <c r="C193" s="152" t="s">
        <v>3079</v>
      </c>
      <c r="D193" s="58" t="s">
        <v>3131</v>
      </c>
      <c r="E193" s="58" t="s">
        <v>3132</v>
      </c>
      <c r="F193" s="58" t="s">
        <v>3044</v>
      </c>
      <c r="G193" s="152" t="s">
        <v>34</v>
      </c>
      <c r="H193" s="152">
        <v>1</v>
      </c>
      <c r="I193" s="153">
        <v>0.41611111111111099</v>
      </c>
      <c r="J193" s="154">
        <v>43978</v>
      </c>
      <c r="K193" s="153" t="s">
        <v>20</v>
      </c>
      <c r="L193" s="152">
        <v>4.99</v>
      </c>
      <c r="M193" s="155"/>
    </row>
    <row r="194" spans="1:13" s="156" customFormat="1" ht="35" customHeight="1">
      <c r="A194" s="42">
        <f>ROW()-2</f>
        <v>192</v>
      </c>
      <c r="B194" s="152" t="s">
        <v>2732</v>
      </c>
      <c r="C194" s="152" t="s">
        <v>3079</v>
      </c>
      <c r="D194" s="58" t="s">
        <v>3133</v>
      </c>
      <c r="E194" s="58" t="s">
        <v>3134</v>
      </c>
      <c r="F194" s="58" t="s">
        <v>3135</v>
      </c>
      <c r="G194" s="152" t="s">
        <v>34</v>
      </c>
      <c r="H194" s="152">
        <v>1</v>
      </c>
      <c r="I194" s="153">
        <v>0.371111111111111</v>
      </c>
      <c r="J194" s="154">
        <v>43978</v>
      </c>
      <c r="K194" s="153" t="s">
        <v>20</v>
      </c>
      <c r="L194" s="152">
        <v>4.99</v>
      </c>
      <c r="M194" s="155"/>
    </row>
    <row r="195" spans="1:13" s="156" customFormat="1" ht="35" customHeight="1">
      <c r="A195" s="42">
        <f>ROW()-2</f>
        <v>193</v>
      </c>
      <c r="B195" s="152" t="s">
        <v>2732</v>
      </c>
      <c r="C195" s="152" t="s">
        <v>3079</v>
      </c>
      <c r="D195" s="58" t="s">
        <v>3136</v>
      </c>
      <c r="E195" s="58" t="s">
        <v>3091</v>
      </c>
      <c r="F195" s="58" t="s">
        <v>3137</v>
      </c>
      <c r="G195" s="152" t="s">
        <v>34</v>
      </c>
      <c r="H195" s="152">
        <v>1</v>
      </c>
      <c r="I195" s="153">
        <v>0.42583333333333301</v>
      </c>
      <c r="J195" s="154">
        <v>43978</v>
      </c>
      <c r="K195" s="153" t="s">
        <v>20</v>
      </c>
      <c r="L195" s="152">
        <v>4.99</v>
      </c>
      <c r="M195" s="155"/>
    </row>
    <row r="196" spans="1:13" s="156" customFormat="1" ht="35" customHeight="1">
      <c r="A196" s="42">
        <f>ROW()-2</f>
        <v>194</v>
      </c>
      <c r="B196" s="152" t="s">
        <v>2732</v>
      </c>
      <c r="C196" s="152" t="s">
        <v>3079</v>
      </c>
      <c r="D196" s="58" t="s">
        <v>3138</v>
      </c>
      <c r="E196" s="58" t="s">
        <v>3139</v>
      </c>
      <c r="F196" s="58" t="s">
        <v>3140</v>
      </c>
      <c r="G196" s="152" t="s">
        <v>34</v>
      </c>
      <c r="H196" s="152">
        <v>1</v>
      </c>
      <c r="I196" s="153">
        <v>0.77916666666666701</v>
      </c>
      <c r="J196" s="154">
        <v>43978</v>
      </c>
      <c r="K196" s="153" t="s">
        <v>20</v>
      </c>
      <c r="L196" s="152">
        <v>4.99</v>
      </c>
      <c r="M196" s="155"/>
    </row>
    <row r="197" spans="1:13" s="156" customFormat="1" ht="35" customHeight="1">
      <c r="A197" s="42">
        <f>ROW()-2</f>
        <v>195</v>
      </c>
      <c r="B197" s="152" t="s">
        <v>2732</v>
      </c>
      <c r="C197" s="152" t="s">
        <v>3079</v>
      </c>
      <c r="D197" s="58" t="s">
        <v>3143</v>
      </c>
      <c r="E197" s="58" t="s">
        <v>3144</v>
      </c>
      <c r="F197" s="58" t="s">
        <v>3066</v>
      </c>
      <c r="G197" s="152" t="s">
        <v>34</v>
      </c>
      <c r="H197" s="152">
        <v>1</v>
      </c>
      <c r="I197" s="153">
        <v>0.65500000000000003</v>
      </c>
      <c r="J197" s="154">
        <v>43978</v>
      </c>
      <c r="K197" s="153" t="s">
        <v>20</v>
      </c>
      <c r="L197" s="152">
        <v>4.99</v>
      </c>
      <c r="M197" s="155"/>
    </row>
    <row r="198" spans="1:13" s="156" customFormat="1" ht="35" customHeight="1">
      <c r="A198" s="42">
        <f>ROW()-2</f>
        <v>196</v>
      </c>
      <c r="B198" s="152" t="s">
        <v>2732</v>
      </c>
      <c r="C198" s="152" t="s">
        <v>3079</v>
      </c>
      <c r="D198" s="58" t="s">
        <v>3148</v>
      </c>
      <c r="E198" s="58" t="s">
        <v>3149</v>
      </c>
      <c r="F198" s="58" t="s">
        <v>191</v>
      </c>
      <c r="G198" s="152" t="s">
        <v>34</v>
      </c>
      <c r="H198" s="152">
        <v>1</v>
      </c>
      <c r="I198" s="153">
        <v>0.478333333333333</v>
      </c>
      <c r="J198" s="154">
        <v>43978</v>
      </c>
      <c r="K198" s="153" t="s">
        <v>20</v>
      </c>
      <c r="L198" s="152">
        <v>4.99</v>
      </c>
      <c r="M198" s="155"/>
    </row>
    <row r="199" spans="1:13" s="156" customFormat="1" ht="35" customHeight="1">
      <c r="A199" s="42">
        <f>ROW()-2</f>
        <v>197</v>
      </c>
      <c r="B199" s="152" t="s">
        <v>2732</v>
      </c>
      <c r="C199" s="152" t="s">
        <v>3079</v>
      </c>
      <c r="D199" s="58" t="s">
        <v>3150</v>
      </c>
      <c r="E199" s="58" t="s">
        <v>3151</v>
      </c>
      <c r="F199" s="58" t="s">
        <v>191</v>
      </c>
      <c r="G199" s="152" t="s">
        <v>34</v>
      </c>
      <c r="H199" s="152">
        <v>1</v>
      </c>
      <c r="I199" s="153">
        <v>0.54944444444444396</v>
      </c>
      <c r="J199" s="154">
        <v>43978</v>
      </c>
      <c r="K199" s="153" t="s">
        <v>20</v>
      </c>
      <c r="L199" s="152">
        <v>4.99</v>
      </c>
      <c r="M199" s="155"/>
    </row>
    <row r="200" spans="1:13" s="156" customFormat="1" ht="35" customHeight="1">
      <c r="A200" s="42">
        <f>ROW()-2</f>
        <v>198</v>
      </c>
      <c r="B200" s="152" t="s">
        <v>2732</v>
      </c>
      <c r="C200" s="152" t="s">
        <v>3079</v>
      </c>
      <c r="D200" s="58" t="s">
        <v>3152</v>
      </c>
      <c r="E200" s="58" t="s">
        <v>3153</v>
      </c>
      <c r="F200" s="58" t="s">
        <v>191</v>
      </c>
      <c r="G200" s="152" t="s">
        <v>34</v>
      </c>
      <c r="H200" s="152">
        <v>1</v>
      </c>
      <c r="I200" s="153">
        <v>0.50833333333333297</v>
      </c>
      <c r="J200" s="154">
        <v>43978</v>
      </c>
      <c r="K200" s="153" t="s">
        <v>20</v>
      </c>
      <c r="L200" s="152">
        <v>4.99</v>
      </c>
      <c r="M200" s="155"/>
    </row>
    <row r="201" spans="1:13" s="156" customFormat="1" ht="35" customHeight="1">
      <c r="A201" s="42">
        <f>ROW()-2</f>
        <v>199</v>
      </c>
      <c r="B201" s="152" t="s">
        <v>2732</v>
      </c>
      <c r="C201" s="152" t="s">
        <v>3079</v>
      </c>
      <c r="D201" s="58" t="s">
        <v>3154</v>
      </c>
      <c r="E201" s="58" t="s">
        <v>3155</v>
      </c>
      <c r="F201" s="58" t="s">
        <v>191</v>
      </c>
      <c r="G201" s="152" t="s">
        <v>34</v>
      </c>
      <c r="H201" s="152">
        <v>1</v>
      </c>
      <c r="I201" s="153">
        <v>0.52972222222222198</v>
      </c>
      <c r="J201" s="154">
        <v>43978</v>
      </c>
      <c r="K201" s="153" t="s">
        <v>20</v>
      </c>
      <c r="L201" s="152">
        <v>4.99</v>
      </c>
      <c r="M201" s="155"/>
    </row>
    <row r="202" spans="1:13" s="156" customFormat="1" ht="35" customHeight="1">
      <c r="A202" s="42">
        <f>ROW()-2</f>
        <v>200</v>
      </c>
      <c r="B202" s="152" t="s">
        <v>2732</v>
      </c>
      <c r="C202" s="152" t="s">
        <v>3079</v>
      </c>
      <c r="D202" s="58" t="s">
        <v>3156</v>
      </c>
      <c r="E202" s="58" t="s">
        <v>3157</v>
      </c>
      <c r="F202" s="58" t="s">
        <v>191</v>
      </c>
      <c r="G202" s="152" t="s">
        <v>34</v>
      </c>
      <c r="H202" s="152">
        <v>1</v>
      </c>
      <c r="I202" s="153">
        <v>0.67416666666666702</v>
      </c>
      <c r="J202" s="154">
        <v>43978</v>
      </c>
      <c r="K202" s="153" t="s">
        <v>20</v>
      </c>
      <c r="L202" s="152">
        <v>4.99</v>
      </c>
      <c r="M202" s="155"/>
    </row>
    <row r="203" spans="1:13" s="156" customFormat="1" ht="35" customHeight="1">
      <c r="A203" s="42">
        <f>ROW()-2</f>
        <v>201</v>
      </c>
      <c r="B203" s="152" t="s">
        <v>2732</v>
      </c>
      <c r="C203" s="152" t="s">
        <v>3079</v>
      </c>
      <c r="D203" s="58" t="s">
        <v>3160</v>
      </c>
      <c r="E203" s="58" t="s">
        <v>3161</v>
      </c>
      <c r="F203" s="58" t="s">
        <v>191</v>
      </c>
      <c r="G203" s="152" t="s">
        <v>34</v>
      </c>
      <c r="H203" s="152">
        <v>1</v>
      </c>
      <c r="I203" s="153">
        <v>0.76666666666666705</v>
      </c>
      <c r="J203" s="154">
        <v>43978</v>
      </c>
      <c r="K203" s="153" t="s">
        <v>20</v>
      </c>
      <c r="L203" s="152">
        <v>4.99</v>
      </c>
      <c r="M203" s="155"/>
    </row>
    <row r="204" spans="1:13" s="156" customFormat="1" ht="35" customHeight="1">
      <c r="A204" s="42">
        <f>ROW()-2</f>
        <v>202</v>
      </c>
      <c r="B204" s="152" t="s">
        <v>2732</v>
      </c>
      <c r="C204" s="152" t="s">
        <v>3079</v>
      </c>
      <c r="D204" s="58" t="s">
        <v>3164</v>
      </c>
      <c r="E204" s="58" t="s">
        <v>3165</v>
      </c>
      <c r="F204" s="58" t="s">
        <v>2905</v>
      </c>
      <c r="G204" s="152" t="s">
        <v>34</v>
      </c>
      <c r="H204" s="152">
        <v>1</v>
      </c>
      <c r="I204" s="153">
        <v>0.53944444444444395</v>
      </c>
      <c r="J204" s="154">
        <v>43978</v>
      </c>
      <c r="K204" s="153" t="s">
        <v>20</v>
      </c>
      <c r="L204" s="152">
        <v>4.99</v>
      </c>
      <c r="M204" s="155"/>
    </row>
    <row r="205" spans="1:13" s="156" customFormat="1" ht="35" customHeight="1">
      <c r="A205" s="42">
        <f>ROW()-2</f>
        <v>203</v>
      </c>
      <c r="B205" s="152" t="s">
        <v>2732</v>
      </c>
      <c r="C205" s="152" t="s">
        <v>3079</v>
      </c>
      <c r="D205" s="58" t="s">
        <v>3166</v>
      </c>
      <c r="E205" s="58" t="s">
        <v>3167</v>
      </c>
      <c r="F205" s="58" t="s">
        <v>2748</v>
      </c>
      <c r="G205" s="152" t="s">
        <v>34</v>
      </c>
      <c r="H205" s="152">
        <v>1</v>
      </c>
      <c r="I205" s="153">
        <v>0.81361111111111095</v>
      </c>
      <c r="J205" s="154">
        <v>43978</v>
      </c>
      <c r="K205" s="153" t="s">
        <v>20</v>
      </c>
      <c r="L205" s="152">
        <v>4.99</v>
      </c>
      <c r="M205" s="155"/>
    </row>
    <row r="206" spans="1:13" s="156" customFormat="1" ht="35" customHeight="1">
      <c r="A206" s="42">
        <f>ROW()-2</f>
        <v>204</v>
      </c>
      <c r="B206" s="152" t="s">
        <v>2732</v>
      </c>
      <c r="C206" s="152" t="s">
        <v>3079</v>
      </c>
      <c r="D206" s="58" t="s">
        <v>3177</v>
      </c>
      <c r="E206" s="58" t="s">
        <v>3178</v>
      </c>
      <c r="F206" s="58" t="s">
        <v>3173</v>
      </c>
      <c r="G206" s="152" t="s">
        <v>34</v>
      </c>
      <c r="H206" s="152">
        <v>1</v>
      </c>
      <c r="I206" s="153">
        <v>0.57999999999999996</v>
      </c>
      <c r="J206" s="154">
        <v>43978</v>
      </c>
      <c r="K206" s="153" t="s">
        <v>20</v>
      </c>
      <c r="L206" s="152">
        <v>4.99</v>
      </c>
      <c r="M206" s="155"/>
    </row>
    <row r="207" spans="1:13" s="156" customFormat="1" ht="35" customHeight="1">
      <c r="A207" s="42">
        <f>ROW()-2</f>
        <v>205</v>
      </c>
      <c r="B207" s="152" t="s">
        <v>2732</v>
      </c>
      <c r="C207" s="152" t="s">
        <v>3079</v>
      </c>
      <c r="D207" s="58" t="s">
        <v>3185</v>
      </c>
      <c r="E207" s="58" t="s">
        <v>3186</v>
      </c>
      <c r="F207" s="58" t="s">
        <v>2932</v>
      </c>
      <c r="G207" s="152" t="s">
        <v>34</v>
      </c>
      <c r="H207" s="152">
        <v>1</v>
      </c>
      <c r="I207" s="153">
        <v>0.4</v>
      </c>
      <c r="J207" s="154">
        <v>43983</v>
      </c>
      <c r="K207" s="153" t="s">
        <v>20</v>
      </c>
      <c r="L207" s="152">
        <v>4.99</v>
      </c>
      <c r="M207" s="155"/>
    </row>
    <row r="208" spans="1:13" s="156" customFormat="1" ht="35" customHeight="1">
      <c r="A208" s="42">
        <f>ROW()-2</f>
        <v>206</v>
      </c>
      <c r="B208" s="152" t="s">
        <v>2732</v>
      </c>
      <c r="C208" s="152" t="s">
        <v>3079</v>
      </c>
      <c r="D208" s="58" t="s">
        <v>3187</v>
      </c>
      <c r="E208" s="58" t="s">
        <v>3188</v>
      </c>
      <c r="F208" s="58" t="s">
        <v>2919</v>
      </c>
      <c r="G208" s="152" t="s">
        <v>34</v>
      </c>
      <c r="H208" s="152">
        <v>1</v>
      </c>
      <c r="I208" s="153">
        <v>0.4</v>
      </c>
      <c r="J208" s="154">
        <v>43990</v>
      </c>
      <c r="K208" s="153" t="s">
        <v>20</v>
      </c>
      <c r="L208" s="152">
        <v>4.99</v>
      </c>
      <c r="M208" s="155"/>
    </row>
    <row r="209" spans="1:291" s="156" customFormat="1" ht="35" customHeight="1">
      <c r="A209" s="42">
        <f>ROW()-2</f>
        <v>207</v>
      </c>
      <c r="B209" s="152" t="s">
        <v>2732</v>
      </c>
      <c r="C209" s="152" t="s">
        <v>3079</v>
      </c>
      <c r="D209" s="58" t="s">
        <v>3189</v>
      </c>
      <c r="E209" s="58" t="s">
        <v>3190</v>
      </c>
      <c r="F209" s="58" t="s">
        <v>2812</v>
      </c>
      <c r="G209" s="152" t="s">
        <v>34</v>
      </c>
      <c r="H209" s="152">
        <v>1</v>
      </c>
      <c r="I209" s="153">
        <v>0.4</v>
      </c>
      <c r="J209" s="154">
        <v>43990</v>
      </c>
      <c r="K209" s="153" t="s">
        <v>20</v>
      </c>
      <c r="L209" s="152">
        <v>4.99</v>
      </c>
      <c r="M209" s="155"/>
    </row>
    <row r="210" spans="1:291" s="156" customFormat="1" ht="35" customHeight="1">
      <c r="A210" s="42">
        <f>ROW()-2</f>
        <v>208</v>
      </c>
      <c r="B210" s="152" t="s">
        <v>2732</v>
      </c>
      <c r="C210" s="152" t="s">
        <v>3079</v>
      </c>
      <c r="D210" s="58" t="s">
        <v>3191</v>
      </c>
      <c r="E210" s="58" t="s">
        <v>3192</v>
      </c>
      <c r="F210" s="58" t="s">
        <v>3173</v>
      </c>
      <c r="G210" s="152" t="s">
        <v>34</v>
      </c>
      <c r="H210" s="152">
        <v>1</v>
      </c>
      <c r="I210" s="157">
        <v>0.35</v>
      </c>
      <c r="J210" s="154">
        <v>44004</v>
      </c>
      <c r="K210" s="153" t="s">
        <v>20</v>
      </c>
      <c r="L210" s="152">
        <v>4.99</v>
      </c>
      <c r="M210" s="155"/>
    </row>
    <row r="211" spans="1:291" s="156" customFormat="1" ht="35" customHeight="1">
      <c r="A211" s="42">
        <f>ROW()-2</f>
        <v>209</v>
      </c>
      <c r="B211" s="152" t="s">
        <v>2732</v>
      </c>
      <c r="C211" s="152" t="s">
        <v>3079</v>
      </c>
      <c r="D211" s="58" t="s">
        <v>3193</v>
      </c>
      <c r="E211" s="58" t="s">
        <v>3194</v>
      </c>
      <c r="F211" s="58" t="s">
        <v>2899</v>
      </c>
      <c r="G211" s="152" t="s">
        <v>34</v>
      </c>
      <c r="H211" s="152">
        <v>1</v>
      </c>
      <c r="I211" s="157">
        <v>0.35</v>
      </c>
      <c r="J211" s="154">
        <v>44004</v>
      </c>
      <c r="K211" s="153" t="s">
        <v>20</v>
      </c>
      <c r="L211" s="152">
        <v>4.99</v>
      </c>
      <c r="M211" s="155"/>
    </row>
    <row r="212" spans="1:291" s="156" customFormat="1" ht="35" customHeight="1">
      <c r="A212" s="42">
        <f>ROW()-2</f>
        <v>210</v>
      </c>
      <c r="B212" s="152" t="s">
        <v>2732</v>
      </c>
      <c r="C212" s="152" t="s">
        <v>3079</v>
      </c>
      <c r="D212" s="58" t="s">
        <v>3195</v>
      </c>
      <c r="E212" s="58" t="s">
        <v>3196</v>
      </c>
      <c r="F212" s="58" t="s">
        <v>3066</v>
      </c>
      <c r="G212" s="152" t="s">
        <v>34</v>
      </c>
      <c r="H212" s="152">
        <v>1</v>
      </c>
      <c r="I212" s="157">
        <v>0.31</v>
      </c>
      <c r="J212" s="154">
        <v>44004</v>
      </c>
      <c r="K212" s="153" t="s">
        <v>20</v>
      </c>
      <c r="L212" s="152">
        <v>4.99</v>
      </c>
      <c r="M212" s="155"/>
    </row>
    <row r="213" spans="1:291" s="156" customFormat="1" ht="35" customHeight="1">
      <c r="A213" s="42">
        <f>ROW()-2</f>
        <v>211</v>
      </c>
      <c r="B213" s="152" t="s">
        <v>2732</v>
      </c>
      <c r="C213" s="152" t="s">
        <v>3079</v>
      </c>
      <c r="D213" s="58" t="s">
        <v>3200</v>
      </c>
      <c r="E213" s="58" t="s">
        <v>3201</v>
      </c>
      <c r="F213" s="58" t="s">
        <v>2919</v>
      </c>
      <c r="G213" s="152" t="s">
        <v>34</v>
      </c>
      <c r="H213" s="152">
        <v>1</v>
      </c>
      <c r="I213" s="157">
        <v>0.31</v>
      </c>
      <c r="J213" s="154">
        <v>44004</v>
      </c>
      <c r="K213" s="153" t="s">
        <v>20</v>
      </c>
      <c r="L213" s="152">
        <v>4.99</v>
      </c>
      <c r="M213" s="155"/>
    </row>
    <row r="214" spans="1:291" s="156" customFormat="1" ht="35" customHeight="1">
      <c r="A214" s="42">
        <f>ROW()-2</f>
        <v>212</v>
      </c>
      <c r="B214" s="152" t="s">
        <v>2732</v>
      </c>
      <c r="C214" s="152" t="s">
        <v>3079</v>
      </c>
      <c r="D214" s="58" t="s">
        <v>3087</v>
      </c>
      <c r="E214" s="58" t="s">
        <v>3088</v>
      </c>
      <c r="F214" s="58" t="s">
        <v>3089</v>
      </c>
      <c r="G214" s="152" t="s">
        <v>34</v>
      </c>
      <c r="H214" s="152">
        <v>3</v>
      </c>
      <c r="I214" s="153">
        <v>0.52</v>
      </c>
      <c r="J214" s="154">
        <v>44011</v>
      </c>
      <c r="K214" s="153" t="s">
        <v>20</v>
      </c>
      <c r="L214" s="152">
        <v>4.99</v>
      </c>
      <c r="M214" s="155"/>
    </row>
    <row r="215" spans="1:291" s="156" customFormat="1" ht="35" customHeight="1">
      <c r="A215" s="42">
        <f>ROW()-2</f>
        <v>213</v>
      </c>
      <c r="B215" s="152" t="s">
        <v>2732</v>
      </c>
      <c r="C215" s="152" t="s">
        <v>3079</v>
      </c>
      <c r="D215" s="58" t="s">
        <v>3202</v>
      </c>
      <c r="E215" s="58" t="s">
        <v>3091</v>
      </c>
      <c r="F215" s="58" t="s">
        <v>3203</v>
      </c>
      <c r="G215" s="152" t="s">
        <v>34</v>
      </c>
      <c r="H215" s="152">
        <v>1</v>
      </c>
      <c r="I215" s="157">
        <v>0.41</v>
      </c>
      <c r="J215" s="154">
        <v>44011</v>
      </c>
      <c r="K215" s="153" t="s">
        <v>20</v>
      </c>
      <c r="L215" s="152">
        <v>4.99</v>
      </c>
      <c r="M215" s="155"/>
    </row>
    <row r="216" spans="1:291" s="156" customFormat="1" ht="35" customHeight="1">
      <c r="A216" s="42">
        <f>ROW()-2</f>
        <v>214</v>
      </c>
      <c r="B216" s="152" t="s">
        <v>2732</v>
      </c>
      <c r="C216" s="152" t="s">
        <v>3079</v>
      </c>
      <c r="D216" s="58" t="s">
        <v>3204</v>
      </c>
      <c r="E216" s="58" t="s">
        <v>3205</v>
      </c>
      <c r="F216" s="58" t="s">
        <v>3206</v>
      </c>
      <c r="G216" s="152" t="s">
        <v>34</v>
      </c>
      <c r="H216" s="152">
        <v>1</v>
      </c>
      <c r="I216" s="157">
        <v>0.51</v>
      </c>
      <c r="J216" s="154">
        <v>44011</v>
      </c>
      <c r="K216" s="153" t="s">
        <v>20</v>
      </c>
      <c r="L216" s="152">
        <v>4.99</v>
      </c>
      <c r="M216" s="155"/>
    </row>
    <row r="217" spans="1:291" s="156" customFormat="1" ht="35" customHeight="1">
      <c r="A217" s="42">
        <f>ROW()-2</f>
        <v>215</v>
      </c>
      <c r="B217" s="152" t="s">
        <v>2732</v>
      </c>
      <c r="C217" s="152" t="s">
        <v>3079</v>
      </c>
      <c r="D217" s="58" t="s">
        <v>3207</v>
      </c>
      <c r="E217" s="58" t="s">
        <v>3208</v>
      </c>
      <c r="F217" s="58" t="s">
        <v>3209</v>
      </c>
      <c r="G217" s="152" t="s">
        <v>34</v>
      </c>
      <c r="H217" s="152">
        <v>3</v>
      </c>
      <c r="I217" s="157">
        <v>1.1000000000000001</v>
      </c>
      <c r="J217" s="154">
        <v>44032</v>
      </c>
      <c r="K217" s="153" t="s">
        <v>20</v>
      </c>
      <c r="L217" s="152">
        <v>4.99</v>
      </c>
      <c r="M217" s="155"/>
    </row>
    <row r="218" spans="1:291" s="156" customFormat="1" ht="35" customHeight="1">
      <c r="A218" s="42">
        <f>ROW()-2</f>
        <v>216</v>
      </c>
      <c r="B218" s="152" t="s">
        <v>2732</v>
      </c>
      <c r="C218" s="152" t="s">
        <v>3079</v>
      </c>
      <c r="D218" s="58" t="s">
        <v>3210</v>
      </c>
      <c r="E218" s="58" t="s">
        <v>3083</v>
      </c>
      <c r="F218" s="58" t="s">
        <v>830</v>
      </c>
      <c r="G218" s="152" t="s">
        <v>34</v>
      </c>
      <c r="H218" s="152">
        <v>4</v>
      </c>
      <c r="I218" s="157">
        <v>2</v>
      </c>
      <c r="J218" s="154">
        <v>44032</v>
      </c>
      <c r="K218" s="153" t="s">
        <v>20</v>
      </c>
      <c r="L218" s="152">
        <v>4.99</v>
      </c>
      <c r="M218" s="155"/>
    </row>
    <row r="219" spans="1:291" s="156" customFormat="1" ht="35" customHeight="1">
      <c r="A219" s="42">
        <f>ROW()-2</f>
        <v>217</v>
      </c>
      <c r="B219" s="182" t="s">
        <v>2732</v>
      </c>
      <c r="C219" s="182" t="s">
        <v>3079</v>
      </c>
      <c r="D219" s="187" t="s">
        <v>5269</v>
      </c>
      <c r="E219" s="187" t="s">
        <v>3083</v>
      </c>
      <c r="F219" s="187" t="s">
        <v>830</v>
      </c>
      <c r="G219" s="182" t="s">
        <v>34</v>
      </c>
      <c r="H219" s="182">
        <v>3</v>
      </c>
      <c r="I219" s="206">
        <v>1.1819444444444445</v>
      </c>
      <c r="J219" s="209">
        <v>44032</v>
      </c>
      <c r="K219" s="206" t="s">
        <v>20</v>
      </c>
      <c r="L219" s="182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  <c r="BP219" s="136"/>
      <c r="BQ219" s="136"/>
      <c r="BR219" s="136"/>
      <c r="BS219" s="136"/>
      <c r="BT219" s="136"/>
      <c r="BU219" s="136"/>
      <c r="BV219" s="136"/>
      <c r="BW219" s="136"/>
      <c r="BX219" s="136"/>
      <c r="BY219" s="136"/>
      <c r="BZ219" s="136"/>
      <c r="CA219" s="136"/>
      <c r="CB219" s="136"/>
      <c r="CC219" s="136"/>
      <c r="CD219" s="136"/>
      <c r="CE219" s="136"/>
      <c r="CF219" s="136"/>
      <c r="CG219" s="136"/>
      <c r="CH219" s="136"/>
      <c r="CI219" s="136"/>
      <c r="CJ219" s="136"/>
      <c r="CK219" s="136"/>
      <c r="CL219" s="136"/>
      <c r="CM219" s="136"/>
      <c r="CN219" s="136"/>
      <c r="CO219" s="136"/>
      <c r="CP219" s="136"/>
      <c r="CQ219" s="136"/>
      <c r="CR219" s="136"/>
      <c r="CS219" s="136"/>
      <c r="CT219" s="136"/>
      <c r="CU219" s="136"/>
      <c r="CV219" s="136"/>
      <c r="CW219" s="136"/>
      <c r="CX219" s="136"/>
      <c r="CY219" s="136"/>
      <c r="CZ219" s="136"/>
      <c r="DA219" s="136"/>
      <c r="DB219" s="136"/>
      <c r="DC219" s="136"/>
      <c r="DD219" s="136"/>
      <c r="DE219" s="136"/>
      <c r="DF219" s="136"/>
      <c r="DG219" s="136"/>
      <c r="DH219" s="136"/>
      <c r="DI219" s="136"/>
      <c r="DJ219" s="136"/>
      <c r="DK219" s="136"/>
      <c r="DL219" s="136"/>
      <c r="DM219" s="136"/>
      <c r="DN219" s="136"/>
      <c r="DO219" s="136"/>
      <c r="DP219" s="136"/>
      <c r="DQ219" s="136"/>
      <c r="DR219" s="136"/>
      <c r="DS219" s="136"/>
      <c r="DT219" s="136"/>
      <c r="DU219" s="136"/>
      <c r="DV219" s="136"/>
      <c r="DW219" s="136"/>
      <c r="DX219" s="136"/>
      <c r="DY219" s="136"/>
      <c r="DZ219" s="136"/>
      <c r="EA219" s="136"/>
      <c r="EB219" s="136"/>
      <c r="EC219" s="136"/>
      <c r="ED219" s="136"/>
      <c r="EE219" s="136"/>
      <c r="EF219" s="136"/>
      <c r="EG219" s="136"/>
      <c r="EH219" s="136"/>
      <c r="EI219" s="136"/>
      <c r="EJ219" s="136"/>
      <c r="EK219" s="136"/>
      <c r="EL219" s="136"/>
      <c r="EM219" s="136"/>
      <c r="EN219" s="136"/>
      <c r="EO219" s="136"/>
      <c r="EP219" s="136"/>
      <c r="EQ219" s="136"/>
      <c r="ER219" s="136"/>
      <c r="ES219" s="136"/>
      <c r="ET219" s="136"/>
      <c r="EU219" s="136"/>
      <c r="EV219" s="136"/>
      <c r="EW219" s="136"/>
      <c r="EX219" s="136"/>
      <c r="EY219" s="136"/>
      <c r="EZ219" s="136"/>
      <c r="FA219" s="136"/>
      <c r="FB219" s="136"/>
      <c r="FC219" s="136"/>
      <c r="FD219" s="136"/>
      <c r="FE219" s="136"/>
      <c r="FF219" s="136"/>
      <c r="FG219" s="136"/>
      <c r="FH219" s="136"/>
      <c r="FI219" s="136"/>
      <c r="FJ219" s="136"/>
      <c r="FK219" s="136"/>
      <c r="FL219" s="136"/>
      <c r="FM219" s="136"/>
      <c r="FN219" s="136"/>
      <c r="FO219" s="136"/>
      <c r="FP219" s="136"/>
      <c r="FQ219" s="136"/>
      <c r="FR219" s="136"/>
      <c r="FS219" s="136"/>
      <c r="FT219" s="136"/>
      <c r="FU219" s="136"/>
      <c r="FV219" s="136"/>
      <c r="FW219" s="136"/>
      <c r="FX219" s="136"/>
      <c r="FY219" s="136"/>
      <c r="FZ219" s="136"/>
      <c r="GA219" s="136"/>
      <c r="GB219" s="136"/>
      <c r="GC219" s="136"/>
      <c r="GD219" s="136"/>
      <c r="GE219" s="136"/>
      <c r="GF219" s="136"/>
      <c r="GG219" s="136"/>
      <c r="GH219" s="136"/>
      <c r="GI219" s="136"/>
      <c r="GJ219" s="136"/>
      <c r="GK219" s="136"/>
      <c r="GL219" s="136"/>
      <c r="GM219" s="136"/>
      <c r="GN219" s="136"/>
      <c r="GO219" s="136"/>
      <c r="GP219" s="136"/>
      <c r="GQ219" s="136"/>
      <c r="GR219" s="136"/>
      <c r="GS219" s="136"/>
      <c r="GT219" s="136"/>
      <c r="GU219" s="136"/>
      <c r="GV219" s="136"/>
      <c r="GW219" s="136"/>
      <c r="GX219" s="136"/>
      <c r="GY219" s="136"/>
      <c r="GZ219" s="136"/>
      <c r="HA219" s="136"/>
      <c r="HB219" s="136"/>
      <c r="HC219" s="136"/>
      <c r="HD219" s="136"/>
      <c r="HE219" s="136"/>
      <c r="HF219" s="136"/>
      <c r="HG219" s="136"/>
      <c r="HH219" s="136"/>
      <c r="HI219" s="136"/>
      <c r="HJ219" s="136"/>
      <c r="HK219" s="136"/>
      <c r="HL219" s="136"/>
      <c r="HM219" s="136"/>
      <c r="HN219" s="136"/>
      <c r="HO219" s="136"/>
      <c r="HP219" s="136"/>
      <c r="HQ219" s="136"/>
      <c r="HR219" s="136"/>
      <c r="HS219" s="136"/>
      <c r="HT219" s="136"/>
      <c r="HU219" s="136"/>
      <c r="HV219" s="136"/>
      <c r="HW219" s="136"/>
      <c r="HX219" s="136"/>
      <c r="HY219" s="136"/>
      <c r="HZ219" s="136"/>
      <c r="IA219" s="136"/>
      <c r="IB219" s="136"/>
      <c r="IC219" s="136"/>
      <c r="ID219" s="136"/>
      <c r="IE219" s="136"/>
      <c r="IF219" s="136"/>
      <c r="IG219" s="136"/>
      <c r="IH219" s="136"/>
      <c r="II219" s="136"/>
      <c r="IJ219" s="136"/>
      <c r="IK219" s="136"/>
      <c r="IL219" s="136"/>
      <c r="IM219" s="136"/>
      <c r="IN219" s="136"/>
      <c r="IO219" s="136"/>
      <c r="IP219" s="136"/>
      <c r="IQ219" s="136"/>
      <c r="IR219" s="136"/>
      <c r="IS219" s="136"/>
      <c r="IT219" s="136"/>
      <c r="IU219" s="136"/>
      <c r="IV219" s="136"/>
      <c r="IW219" s="136"/>
      <c r="IX219" s="136"/>
      <c r="IY219" s="136"/>
      <c r="IZ219" s="136"/>
      <c r="JA219" s="136"/>
      <c r="JB219" s="136"/>
      <c r="JC219" s="136"/>
      <c r="JD219" s="136"/>
      <c r="JE219" s="136"/>
      <c r="JF219" s="136"/>
      <c r="JG219" s="136"/>
      <c r="JH219" s="136"/>
      <c r="JI219" s="136"/>
      <c r="JJ219" s="136"/>
      <c r="JK219" s="136"/>
      <c r="JL219" s="136"/>
      <c r="JM219" s="136"/>
      <c r="JN219" s="136"/>
      <c r="JO219" s="136"/>
      <c r="JP219" s="136"/>
      <c r="JQ219" s="136"/>
      <c r="JR219" s="136"/>
      <c r="JS219" s="136"/>
      <c r="JT219" s="136"/>
      <c r="JU219" s="136"/>
      <c r="JV219" s="136"/>
      <c r="JW219" s="136"/>
      <c r="JX219" s="136"/>
      <c r="JY219" s="136"/>
      <c r="JZ219" s="136"/>
      <c r="KA219" s="136"/>
      <c r="KB219" s="136"/>
      <c r="KC219" s="136"/>
      <c r="KD219" s="136"/>
      <c r="KE219" s="136"/>
    </row>
    <row r="220" spans="1:291" s="156" customFormat="1" ht="35" customHeight="1">
      <c r="A220" s="42">
        <f>ROW()-2</f>
        <v>218</v>
      </c>
      <c r="B220" s="152" t="s">
        <v>2732</v>
      </c>
      <c r="C220" s="152" t="s">
        <v>3079</v>
      </c>
      <c r="D220" s="58" t="s">
        <v>3211</v>
      </c>
      <c r="E220" s="58" t="s">
        <v>3083</v>
      </c>
      <c r="F220" s="58" t="s">
        <v>2745</v>
      </c>
      <c r="G220" s="152" t="s">
        <v>34</v>
      </c>
      <c r="H220" s="152">
        <v>3</v>
      </c>
      <c r="I220" s="157">
        <v>1.23</v>
      </c>
      <c r="J220" s="154">
        <v>44039</v>
      </c>
      <c r="K220" s="153" t="s">
        <v>20</v>
      </c>
      <c r="L220" s="152">
        <v>4.99</v>
      </c>
      <c r="M220" s="155"/>
    </row>
    <row r="221" spans="1:291" s="156" customFormat="1" ht="35" customHeight="1">
      <c r="A221" s="42">
        <f>ROW()-2</f>
        <v>219</v>
      </c>
      <c r="B221" s="152" t="s">
        <v>2732</v>
      </c>
      <c r="C221" s="152" t="s">
        <v>3079</v>
      </c>
      <c r="D221" s="58" t="s">
        <v>3212</v>
      </c>
      <c r="E221" s="58" t="s">
        <v>3083</v>
      </c>
      <c r="F221" s="58" t="s">
        <v>830</v>
      </c>
      <c r="G221" s="152" t="s">
        <v>34</v>
      </c>
      <c r="H221" s="152">
        <v>6</v>
      </c>
      <c r="I221" s="157">
        <v>2.44</v>
      </c>
      <c r="J221" s="154">
        <v>44046</v>
      </c>
      <c r="K221" s="153" t="s">
        <v>20</v>
      </c>
      <c r="L221" s="152">
        <v>4.99</v>
      </c>
      <c r="M221" s="155"/>
    </row>
    <row r="222" spans="1:291" s="156" customFormat="1" ht="35" customHeight="1">
      <c r="A222" s="42">
        <f>ROW()-2</f>
        <v>220</v>
      </c>
      <c r="B222" s="152" t="s">
        <v>2732</v>
      </c>
      <c r="C222" s="152" t="s">
        <v>3079</v>
      </c>
      <c r="D222" s="58" t="s">
        <v>3213</v>
      </c>
      <c r="E222" s="58" t="s">
        <v>3083</v>
      </c>
      <c r="F222" s="58" t="s">
        <v>830</v>
      </c>
      <c r="G222" s="152" t="s">
        <v>34</v>
      </c>
      <c r="H222" s="152">
        <v>2</v>
      </c>
      <c r="I222" s="157">
        <v>0.82</v>
      </c>
      <c r="J222" s="154">
        <v>44046</v>
      </c>
      <c r="K222" s="153" t="s">
        <v>20</v>
      </c>
      <c r="L222" s="152">
        <v>4.99</v>
      </c>
      <c r="M222" s="155"/>
    </row>
    <row r="223" spans="1:291" s="156" customFormat="1" ht="35" customHeight="1">
      <c r="A223" s="42">
        <f>ROW()-2</f>
        <v>221</v>
      </c>
      <c r="B223" s="152" t="s">
        <v>2732</v>
      </c>
      <c r="C223" s="152" t="s">
        <v>3079</v>
      </c>
      <c r="D223" s="58" t="s">
        <v>3113</v>
      </c>
      <c r="E223" s="58" t="s">
        <v>3083</v>
      </c>
      <c r="F223" s="58" t="s">
        <v>830</v>
      </c>
      <c r="G223" s="152" t="s">
        <v>34</v>
      </c>
      <c r="H223" s="152">
        <v>3</v>
      </c>
      <c r="I223" s="157">
        <v>1.2</v>
      </c>
      <c r="J223" s="154">
        <v>44053</v>
      </c>
      <c r="K223" s="153" t="s">
        <v>20</v>
      </c>
      <c r="L223" s="152">
        <v>4.99</v>
      </c>
      <c r="M223" s="155"/>
    </row>
    <row r="224" spans="1:291" s="156" customFormat="1" ht="35" customHeight="1">
      <c r="A224" s="42">
        <f>ROW()-2</f>
        <v>222</v>
      </c>
      <c r="B224" s="152" t="s">
        <v>2732</v>
      </c>
      <c r="C224" s="152" t="s">
        <v>3079</v>
      </c>
      <c r="D224" s="58" t="s">
        <v>3095</v>
      </c>
      <c r="E224" s="58" t="s">
        <v>3083</v>
      </c>
      <c r="F224" s="58" t="s">
        <v>830</v>
      </c>
      <c r="G224" s="152" t="s">
        <v>34</v>
      </c>
      <c r="H224" s="152">
        <v>3</v>
      </c>
      <c r="I224" s="157">
        <v>1.2</v>
      </c>
      <c r="J224" s="154">
        <v>44060</v>
      </c>
      <c r="K224" s="153" t="s">
        <v>20</v>
      </c>
      <c r="L224" s="152">
        <v>4.99</v>
      </c>
      <c r="M224" s="155"/>
    </row>
    <row r="225" spans="1:291" s="156" customFormat="1" ht="35" customHeight="1">
      <c r="A225" s="42">
        <f>ROW()-2</f>
        <v>223</v>
      </c>
      <c r="B225" s="152" t="s">
        <v>2732</v>
      </c>
      <c r="C225" s="152" t="s">
        <v>3079</v>
      </c>
      <c r="D225" s="58" t="s">
        <v>3225</v>
      </c>
      <c r="E225" s="58" t="s">
        <v>3083</v>
      </c>
      <c r="F225" s="58" t="s">
        <v>830</v>
      </c>
      <c r="G225" s="152" t="s">
        <v>34</v>
      </c>
      <c r="H225" s="152">
        <v>3</v>
      </c>
      <c r="I225" s="157">
        <v>1.2</v>
      </c>
      <c r="J225" s="154">
        <v>44060</v>
      </c>
      <c r="K225" s="153" t="s">
        <v>20</v>
      </c>
      <c r="L225" s="152">
        <v>4.99</v>
      </c>
      <c r="M225" s="155"/>
    </row>
    <row r="226" spans="1:291" s="156" customFormat="1" ht="35" customHeight="1">
      <c r="A226" s="42">
        <f>ROW()-2</f>
        <v>224</v>
      </c>
      <c r="B226" s="152" t="s">
        <v>2732</v>
      </c>
      <c r="C226" s="152" t="s">
        <v>3079</v>
      </c>
      <c r="D226" s="58" t="s">
        <v>3082</v>
      </c>
      <c r="E226" s="58" t="s">
        <v>3083</v>
      </c>
      <c r="F226" s="58" t="s">
        <v>830</v>
      </c>
      <c r="G226" s="152" t="s">
        <v>34</v>
      </c>
      <c r="H226" s="152">
        <v>3</v>
      </c>
      <c r="I226" s="153">
        <v>1.3</v>
      </c>
      <c r="J226" s="154">
        <v>44067</v>
      </c>
      <c r="K226" s="153" t="s">
        <v>20</v>
      </c>
      <c r="L226" s="152">
        <v>4.99</v>
      </c>
      <c r="M226" s="155"/>
    </row>
    <row r="227" spans="1:291" s="156" customFormat="1" ht="35" customHeight="1">
      <c r="A227" s="42">
        <f>ROW()-2</f>
        <v>225</v>
      </c>
      <c r="B227" s="152" t="s">
        <v>2732</v>
      </c>
      <c r="C227" s="152" t="s">
        <v>3079</v>
      </c>
      <c r="D227" s="58" t="s">
        <v>3214</v>
      </c>
      <c r="E227" s="58" t="s">
        <v>3083</v>
      </c>
      <c r="F227" s="58" t="s">
        <v>830</v>
      </c>
      <c r="G227" s="152" t="s">
        <v>34</v>
      </c>
      <c r="H227" s="152">
        <v>4</v>
      </c>
      <c r="I227" s="157">
        <v>2.66</v>
      </c>
      <c r="J227" s="154">
        <v>44067</v>
      </c>
      <c r="K227" s="153" t="s">
        <v>20</v>
      </c>
      <c r="L227" s="152">
        <v>4.99</v>
      </c>
      <c r="M227" s="155"/>
    </row>
    <row r="228" spans="1:291" s="156" customFormat="1" ht="35" customHeight="1">
      <c r="A228" s="42">
        <f>ROW()-2</f>
        <v>226</v>
      </c>
      <c r="B228" s="152" t="s">
        <v>2732</v>
      </c>
      <c r="C228" s="152" t="s">
        <v>3079</v>
      </c>
      <c r="D228" s="58" t="s">
        <v>3215</v>
      </c>
      <c r="E228" s="58" t="s">
        <v>3216</v>
      </c>
      <c r="F228" s="58" t="s">
        <v>2745</v>
      </c>
      <c r="G228" s="152" t="s">
        <v>34</v>
      </c>
      <c r="H228" s="152">
        <v>3</v>
      </c>
      <c r="I228" s="157">
        <v>1.2</v>
      </c>
      <c r="J228" s="154">
        <v>44067</v>
      </c>
      <c r="K228" s="153" t="s">
        <v>20</v>
      </c>
      <c r="L228" s="152">
        <v>4.99</v>
      </c>
      <c r="M228" s="155"/>
    </row>
    <row r="229" spans="1:291" s="156" customFormat="1" ht="35" customHeight="1">
      <c r="A229" s="42">
        <f>ROW()-2</f>
        <v>227</v>
      </c>
      <c r="B229" s="152" t="s">
        <v>2732</v>
      </c>
      <c r="C229" s="152" t="s">
        <v>3079</v>
      </c>
      <c r="D229" s="58" t="s">
        <v>3223</v>
      </c>
      <c r="E229" s="58" t="s">
        <v>3083</v>
      </c>
      <c r="F229" s="58" t="s">
        <v>830</v>
      </c>
      <c r="G229" s="152" t="s">
        <v>34</v>
      </c>
      <c r="H229" s="152">
        <v>3</v>
      </c>
      <c r="I229" s="157">
        <v>1.22</v>
      </c>
      <c r="J229" s="154">
        <v>44067</v>
      </c>
      <c r="K229" s="153" t="s">
        <v>20</v>
      </c>
      <c r="L229" s="152">
        <v>4.99</v>
      </c>
      <c r="M229" s="155"/>
    </row>
    <row r="230" spans="1:291" s="156" customFormat="1" ht="35" customHeight="1">
      <c r="A230" s="42">
        <f>ROW()-2</f>
        <v>228</v>
      </c>
      <c r="B230" s="152" t="s">
        <v>2732</v>
      </c>
      <c r="C230" s="152" t="s">
        <v>3079</v>
      </c>
      <c r="D230" s="58" t="s">
        <v>3224</v>
      </c>
      <c r="E230" s="58" t="s">
        <v>3083</v>
      </c>
      <c r="F230" s="58" t="s">
        <v>830</v>
      </c>
      <c r="G230" s="152" t="s">
        <v>34</v>
      </c>
      <c r="H230" s="152">
        <v>3</v>
      </c>
      <c r="I230" s="157">
        <v>1.23</v>
      </c>
      <c r="J230" s="154">
        <v>44067</v>
      </c>
      <c r="K230" s="153" t="s">
        <v>20</v>
      </c>
      <c r="L230" s="152">
        <v>4.99</v>
      </c>
      <c r="M230" s="155"/>
    </row>
    <row r="231" spans="1:291" s="156" customFormat="1" ht="35" customHeight="1">
      <c r="A231" s="42">
        <f>ROW()-2</f>
        <v>229</v>
      </c>
      <c r="B231" s="152" t="s">
        <v>2732</v>
      </c>
      <c r="C231" s="152" t="s">
        <v>3079</v>
      </c>
      <c r="D231" s="58" t="s">
        <v>3226</v>
      </c>
      <c r="E231" s="58" t="s">
        <v>3227</v>
      </c>
      <c r="F231" s="58" t="s">
        <v>830</v>
      </c>
      <c r="G231" s="152" t="s">
        <v>34</v>
      </c>
      <c r="H231" s="152">
        <v>3</v>
      </c>
      <c r="I231" s="157">
        <v>1.3</v>
      </c>
      <c r="J231" s="154">
        <v>44074</v>
      </c>
      <c r="K231" s="153" t="s">
        <v>20</v>
      </c>
      <c r="L231" s="152">
        <v>4.99</v>
      </c>
      <c r="M231" s="155"/>
    </row>
    <row r="232" spans="1:291" s="156" customFormat="1" ht="35" customHeight="1">
      <c r="A232" s="42">
        <f>ROW()-2</f>
        <v>230</v>
      </c>
      <c r="B232" s="152" t="s">
        <v>2732</v>
      </c>
      <c r="C232" s="152" t="s">
        <v>3079</v>
      </c>
      <c r="D232" s="58" t="s">
        <v>3228</v>
      </c>
      <c r="E232" s="58" t="s">
        <v>3083</v>
      </c>
      <c r="F232" s="58" t="s">
        <v>830</v>
      </c>
      <c r="G232" s="152" t="s">
        <v>34</v>
      </c>
      <c r="H232" s="152">
        <v>3</v>
      </c>
      <c r="I232" s="157">
        <v>1.2</v>
      </c>
      <c r="J232" s="154">
        <v>44081</v>
      </c>
      <c r="K232" s="153" t="s">
        <v>20</v>
      </c>
      <c r="L232" s="152">
        <v>5.99</v>
      </c>
      <c r="M232" s="155"/>
    </row>
    <row r="233" spans="1:291" s="156" customFormat="1" ht="35" customHeight="1">
      <c r="A233" s="42">
        <f>ROW()-2</f>
        <v>231</v>
      </c>
      <c r="B233" s="152" t="s">
        <v>2732</v>
      </c>
      <c r="C233" s="152" t="s">
        <v>3079</v>
      </c>
      <c r="D233" s="58" t="s">
        <v>3230</v>
      </c>
      <c r="E233" s="58" t="s">
        <v>3231</v>
      </c>
      <c r="F233" s="58" t="s">
        <v>830</v>
      </c>
      <c r="G233" s="152" t="s">
        <v>34</v>
      </c>
      <c r="H233" s="152">
        <v>3</v>
      </c>
      <c r="I233" s="153">
        <v>1.5</v>
      </c>
      <c r="J233" s="154">
        <v>44088</v>
      </c>
      <c r="K233" s="153" t="s">
        <v>20</v>
      </c>
      <c r="L233" s="152">
        <v>4.99</v>
      </c>
      <c r="M233" s="155"/>
    </row>
    <row r="234" spans="1:291" s="156" customFormat="1" ht="35" customHeight="1">
      <c r="A234" s="42">
        <f>ROW()-2</f>
        <v>232</v>
      </c>
      <c r="B234" s="152" t="s">
        <v>2732</v>
      </c>
      <c r="C234" s="152" t="s">
        <v>3079</v>
      </c>
      <c r="D234" s="58" t="s">
        <v>3232</v>
      </c>
      <c r="E234" s="58" t="s">
        <v>3083</v>
      </c>
      <c r="F234" s="58" t="s">
        <v>830</v>
      </c>
      <c r="G234" s="152" t="s">
        <v>34</v>
      </c>
      <c r="H234" s="152">
        <v>3</v>
      </c>
      <c r="I234" s="153">
        <v>1.5</v>
      </c>
      <c r="J234" s="154">
        <v>44088</v>
      </c>
      <c r="K234" s="153" t="s">
        <v>20</v>
      </c>
      <c r="L234" s="152">
        <v>4.99</v>
      </c>
      <c r="M234" s="155"/>
    </row>
    <row r="235" spans="1:291" s="156" customFormat="1" ht="35" customHeight="1">
      <c r="A235" s="42">
        <f>ROW()-2</f>
        <v>233</v>
      </c>
      <c r="B235" s="152" t="s">
        <v>2732</v>
      </c>
      <c r="C235" s="152" t="s">
        <v>3079</v>
      </c>
      <c r="D235" s="58" t="s">
        <v>3233</v>
      </c>
      <c r="E235" s="58" t="s">
        <v>3234</v>
      </c>
      <c r="F235" s="58" t="s">
        <v>2739</v>
      </c>
      <c r="G235" s="152" t="s">
        <v>34</v>
      </c>
      <c r="H235" s="152">
        <v>1</v>
      </c>
      <c r="I235" s="153">
        <v>0.49</v>
      </c>
      <c r="J235" s="154">
        <v>44095</v>
      </c>
      <c r="K235" s="153" t="s">
        <v>20</v>
      </c>
      <c r="L235" s="152">
        <v>4.99</v>
      </c>
      <c r="M235" s="155"/>
    </row>
    <row r="236" spans="1:291" s="156" customFormat="1" ht="35" customHeight="1">
      <c r="A236" s="42">
        <f>ROW()-2</f>
        <v>234</v>
      </c>
      <c r="B236" s="152" t="s">
        <v>2732</v>
      </c>
      <c r="C236" s="152" t="s">
        <v>3079</v>
      </c>
      <c r="D236" s="58" t="s">
        <v>3235</v>
      </c>
      <c r="E236" s="58" t="s">
        <v>3236</v>
      </c>
      <c r="F236" s="58" t="s">
        <v>2742</v>
      </c>
      <c r="G236" s="152" t="s">
        <v>34</v>
      </c>
      <c r="H236" s="152">
        <v>1</v>
      </c>
      <c r="I236" s="153">
        <v>0.47</v>
      </c>
      <c r="J236" s="154">
        <v>44095</v>
      </c>
      <c r="K236" s="153" t="s">
        <v>20</v>
      </c>
      <c r="L236" s="152">
        <v>4.99</v>
      </c>
      <c r="M236" s="155"/>
    </row>
    <row r="237" spans="1:291" s="156" customFormat="1" ht="35" customHeight="1">
      <c r="A237" s="42">
        <f>ROW()-2</f>
        <v>235</v>
      </c>
      <c r="B237" s="152" t="s">
        <v>2732</v>
      </c>
      <c r="C237" s="152" t="s">
        <v>3079</v>
      </c>
      <c r="D237" s="58" t="s">
        <v>3237</v>
      </c>
      <c r="E237" s="58" t="s">
        <v>3238</v>
      </c>
      <c r="F237" s="58" t="s">
        <v>3239</v>
      </c>
      <c r="G237" s="152" t="s">
        <v>34</v>
      </c>
      <c r="H237" s="152">
        <v>1</v>
      </c>
      <c r="I237" s="157">
        <v>0.43</v>
      </c>
      <c r="J237" s="154">
        <v>44102</v>
      </c>
      <c r="K237" s="153" t="s">
        <v>20</v>
      </c>
      <c r="L237" s="153">
        <v>4.99</v>
      </c>
      <c r="M237" s="155"/>
    </row>
    <row r="238" spans="1:291" s="156" customFormat="1" ht="35" customHeight="1">
      <c r="A238" s="42">
        <f>ROW()-2</f>
        <v>236</v>
      </c>
      <c r="B238" s="152" t="s">
        <v>2732</v>
      </c>
      <c r="C238" s="152" t="s">
        <v>3079</v>
      </c>
      <c r="D238" s="58" t="s">
        <v>3217</v>
      </c>
      <c r="E238" s="58" t="s">
        <v>3218</v>
      </c>
      <c r="F238" s="58" t="s">
        <v>3219</v>
      </c>
      <c r="G238" s="152" t="s">
        <v>34</v>
      </c>
      <c r="H238" s="152">
        <v>1</v>
      </c>
      <c r="I238" s="153">
        <v>0.33</v>
      </c>
      <c r="J238" s="154">
        <v>44116</v>
      </c>
      <c r="K238" s="153" t="s">
        <v>20</v>
      </c>
      <c r="L238" s="152">
        <v>4.99</v>
      </c>
      <c r="M238" s="155"/>
    </row>
    <row r="239" spans="1:291" s="158" customFormat="1" ht="35" customHeight="1">
      <c r="A239" s="42">
        <f>ROW()-2</f>
        <v>237</v>
      </c>
      <c r="B239" s="152" t="s">
        <v>2732</v>
      </c>
      <c r="C239" s="152" t="s">
        <v>3079</v>
      </c>
      <c r="D239" s="58" t="s">
        <v>3220</v>
      </c>
      <c r="E239" s="58" t="s">
        <v>3221</v>
      </c>
      <c r="F239" s="58" t="s">
        <v>3222</v>
      </c>
      <c r="G239" s="152" t="s">
        <v>34</v>
      </c>
      <c r="H239" s="152">
        <v>1</v>
      </c>
      <c r="I239" s="153">
        <v>0.47</v>
      </c>
      <c r="J239" s="154">
        <v>44116</v>
      </c>
      <c r="K239" s="153" t="s">
        <v>20</v>
      </c>
      <c r="L239" s="152">
        <v>4.99</v>
      </c>
      <c r="M239" s="155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  <c r="AA239" s="156"/>
      <c r="AB239" s="156"/>
      <c r="AC239" s="156"/>
      <c r="AD239" s="156"/>
      <c r="AE239" s="156"/>
      <c r="AF239" s="156"/>
      <c r="AG239" s="156"/>
      <c r="AH239" s="156"/>
      <c r="AI239" s="156"/>
      <c r="AJ239" s="156"/>
      <c r="AK239" s="156"/>
      <c r="AL239" s="156"/>
      <c r="AM239" s="156"/>
      <c r="AN239" s="156"/>
      <c r="AO239" s="156"/>
      <c r="AP239" s="156"/>
      <c r="AQ239" s="156"/>
      <c r="AR239" s="156"/>
      <c r="AS239" s="156"/>
      <c r="AT239" s="156"/>
      <c r="AU239" s="156"/>
      <c r="AV239" s="156"/>
      <c r="AW239" s="156"/>
      <c r="AX239" s="156"/>
      <c r="AY239" s="156"/>
      <c r="AZ239" s="156"/>
      <c r="BA239" s="156"/>
      <c r="BB239" s="156"/>
      <c r="BC239" s="156"/>
      <c r="BD239" s="156"/>
      <c r="BE239" s="156"/>
      <c r="BF239" s="156"/>
      <c r="BG239" s="156"/>
      <c r="BH239" s="156"/>
      <c r="BI239" s="156"/>
      <c r="BJ239" s="156"/>
      <c r="BK239" s="156"/>
      <c r="BL239" s="156"/>
      <c r="BM239" s="156"/>
      <c r="BN239" s="156"/>
      <c r="BO239" s="156"/>
      <c r="BP239" s="156"/>
      <c r="BQ239" s="156"/>
      <c r="BR239" s="156"/>
      <c r="BS239" s="156"/>
      <c r="BT239" s="156"/>
      <c r="BU239" s="156"/>
      <c r="BV239" s="156"/>
      <c r="BW239" s="156"/>
      <c r="BX239" s="156"/>
      <c r="BY239" s="156"/>
      <c r="BZ239" s="156"/>
      <c r="CA239" s="156"/>
      <c r="CB239" s="156"/>
      <c r="CC239" s="156"/>
      <c r="CD239" s="156"/>
      <c r="CE239" s="156"/>
      <c r="CF239" s="156"/>
      <c r="CG239" s="156"/>
      <c r="CH239" s="156"/>
      <c r="CI239" s="156"/>
      <c r="CJ239" s="156"/>
      <c r="CK239" s="156"/>
      <c r="CL239" s="156"/>
      <c r="CM239" s="156"/>
      <c r="CN239" s="156"/>
      <c r="CO239" s="156"/>
      <c r="CP239" s="156"/>
      <c r="CQ239" s="156"/>
      <c r="CR239" s="156"/>
      <c r="CS239" s="156"/>
      <c r="CT239" s="156"/>
      <c r="CU239" s="156"/>
      <c r="CV239" s="156"/>
      <c r="CW239" s="156"/>
      <c r="CX239" s="156"/>
      <c r="CY239" s="156"/>
      <c r="CZ239" s="156"/>
      <c r="DA239" s="156"/>
      <c r="DB239" s="156"/>
      <c r="DC239" s="156"/>
      <c r="DD239" s="156"/>
      <c r="DE239" s="156"/>
      <c r="DF239" s="156"/>
      <c r="DG239" s="156"/>
      <c r="DH239" s="156"/>
      <c r="DI239" s="156"/>
      <c r="DJ239" s="156"/>
      <c r="DK239" s="156"/>
      <c r="DL239" s="156"/>
      <c r="DM239" s="156"/>
      <c r="DN239" s="156"/>
      <c r="DO239" s="156"/>
      <c r="DP239" s="156"/>
      <c r="DQ239" s="156"/>
      <c r="DR239" s="156"/>
      <c r="DS239" s="156"/>
      <c r="DT239" s="156"/>
      <c r="DU239" s="156"/>
      <c r="DV239" s="156"/>
      <c r="DW239" s="156"/>
      <c r="DX239" s="156"/>
      <c r="DY239" s="156"/>
      <c r="DZ239" s="156"/>
      <c r="EA239" s="156"/>
      <c r="EB239" s="156"/>
      <c r="EC239" s="156"/>
      <c r="ED239" s="156"/>
      <c r="EE239" s="156"/>
      <c r="EF239" s="156"/>
      <c r="EG239" s="156"/>
      <c r="EH239" s="156"/>
      <c r="EI239" s="156"/>
      <c r="EJ239" s="156"/>
      <c r="EK239" s="156"/>
      <c r="EL239" s="156"/>
      <c r="EM239" s="156"/>
      <c r="EN239" s="156"/>
      <c r="EO239" s="156"/>
      <c r="EP239" s="156"/>
      <c r="EQ239" s="156"/>
      <c r="ER239" s="156"/>
      <c r="ES239" s="156"/>
      <c r="ET239" s="156"/>
      <c r="EU239" s="156"/>
      <c r="EV239" s="156"/>
      <c r="EW239" s="156"/>
      <c r="EX239" s="156"/>
      <c r="EY239" s="156"/>
      <c r="EZ239" s="156"/>
      <c r="FA239" s="156"/>
      <c r="FB239" s="156"/>
      <c r="FC239" s="156"/>
      <c r="FD239" s="156"/>
      <c r="FE239" s="156"/>
      <c r="FF239" s="156"/>
      <c r="FG239" s="156"/>
      <c r="FH239" s="156"/>
      <c r="FI239" s="156"/>
      <c r="FJ239" s="156"/>
      <c r="FK239" s="156"/>
      <c r="FL239" s="156"/>
      <c r="FM239" s="156"/>
      <c r="FN239" s="156"/>
      <c r="FO239" s="156"/>
      <c r="FP239" s="156"/>
      <c r="FQ239" s="156"/>
      <c r="FR239" s="156"/>
      <c r="FS239" s="156"/>
      <c r="FT239" s="156"/>
      <c r="FU239" s="156"/>
      <c r="FV239" s="156"/>
      <c r="FW239" s="156"/>
      <c r="FX239" s="156"/>
      <c r="FY239" s="156"/>
      <c r="FZ239" s="156"/>
      <c r="GA239" s="156"/>
      <c r="GB239" s="156"/>
      <c r="GC239" s="156"/>
      <c r="GD239" s="156"/>
      <c r="GE239" s="156"/>
      <c r="GF239" s="156"/>
      <c r="GG239" s="156"/>
      <c r="GH239" s="156"/>
      <c r="GI239" s="156"/>
      <c r="GJ239" s="156"/>
      <c r="GK239" s="156"/>
      <c r="GL239" s="156"/>
      <c r="GM239" s="156"/>
      <c r="GN239" s="156"/>
      <c r="GO239" s="156"/>
      <c r="GP239" s="156"/>
      <c r="GQ239" s="156"/>
      <c r="GR239" s="156"/>
      <c r="GS239" s="156"/>
      <c r="GT239" s="156"/>
      <c r="GU239" s="156"/>
      <c r="GV239" s="156"/>
      <c r="GW239" s="156"/>
      <c r="GX239" s="156"/>
      <c r="GY239" s="156"/>
      <c r="GZ239" s="156"/>
      <c r="HA239" s="156"/>
      <c r="HB239" s="156"/>
      <c r="HC239" s="156"/>
      <c r="HD239" s="156"/>
      <c r="HE239" s="156"/>
      <c r="HF239" s="156"/>
      <c r="HG239" s="156"/>
      <c r="HH239" s="156"/>
      <c r="HI239" s="156"/>
      <c r="HJ239" s="156"/>
      <c r="HK239" s="156"/>
      <c r="HL239" s="156"/>
      <c r="HM239" s="156"/>
      <c r="HN239" s="156"/>
      <c r="HO239" s="156"/>
      <c r="HP239" s="156"/>
      <c r="HQ239" s="156"/>
      <c r="HR239" s="156"/>
      <c r="HS239" s="156"/>
      <c r="HT239" s="156"/>
      <c r="HU239" s="156"/>
      <c r="HV239" s="156"/>
      <c r="HW239" s="156"/>
      <c r="HX239" s="156"/>
      <c r="HY239" s="156"/>
      <c r="HZ239" s="156"/>
      <c r="IA239" s="156"/>
      <c r="IB239" s="156"/>
      <c r="IC239" s="156"/>
      <c r="ID239" s="156"/>
      <c r="IE239" s="156"/>
      <c r="IF239" s="156"/>
      <c r="IG239" s="156"/>
      <c r="IH239" s="156"/>
      <c r="II239" s="156"/>
      <c r="IJ239" s="156"/>
      <c r="IK239" s="156"/>
      <c r="IL239" s="156"/>
      <c r="IM239" s="156"/>
      <c r="IN239" s="156"/>
      <c r="IO239" s="156"/>
      <c r="IP239" s="156"/>
      <c r="IQ239" s="156"/>
      <c r="IR239" s="156"/>
      <c r="IS239" s="156"/>
      <c r="IT239" s="156"/>
      <c r="IU239" s="156"/>
      <c r="IV239" s="156"/>
      <c r="IW239" s="156"/>
      <c r="IX239" s="156"/>
      <c r="IY239" s="156"/>
      <c r="IZ239" s="156"/>
      <c r="JA239" s="156"/>
      <c r="JB239" s="156"/>
      <c r="JC239" s="156"/>
      <c r="JD239" s="156"/>
      <c r="JE239" s="156"/>
      <c r="JF239" s="156"/>
      <c r="JG239" s="156"/>
      <c r="JH239" s="156"/>
      <c r="JI239" s="156"/>
      <c r="JJ239" s="156"/>
      <c r="JK239" s="156"/>
      <c r="JL239" s="156"/>
      <c r="JM239" s="156"/>
      <c r="JN239" s="156"/>
      <c r="JO239" s="156"/>
      <c r="JP239" s="156"/>
      <c r="JQ239" s="156"/>
      <c r="JR239" s="156"/>
      <c r="JS239" s="156"/>
      <c r="JT239" s="156"/>
      <c r="JU239" s="156"/>
      <c r="JV239" s="156"/>
      <c r="JW239" s="156"/>
      <c r="JX239" s="156"/>
      <c r="JY239" s="156"/>
      <c r="JZ239" s="156"/>
      <c r="KA239" s="156"/>
      <c r="KB239" s="156"/>
      <c r="KC239" s="156"/>
      <c r="KD239" s="156"/>
      <c r="KE239" s="156"/>
    </row>
    <row r="240" spans="1:291" customFormat="1" ht="35" customHeight="1">
      <c r="A240" s="42">
        <f>ROW()-2</f>
        <v>238</v>
      </c>
      <c r="B240" s="152" t="s">
        <v>2732</v>
      </c>
      <c r="C240" s="152" t="s">
        <v>3079</v>
      </c>
      <c r="D240" s="58" t="s">
        <v>3084</v>
      </c>
      <c r="E240" s="58" t="s">
        <v>3085</v>
      </c>
      <c r="F240" s="58" t="s">
        <v>3086</v>
      </c>
      <c r="G240" s="152" t="s">
        <v>34</v>
      </c>
      <c r="H240" s="152">
        <v>1</v>
      </c>
      <c r="I240" s="153">
        <v>0.33472222222222198</v>
      </c>
      <c r="J240" s="154">
        <v>44151</v>
      </c>
      <c r="K240" s="153" t="s">
        <v>20</v>
      </c>
      <c r="L240" s="152">
        <v>4.99</v>
      </c>
      <c r="M240" s="155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  <c r="AA240" s="156"/>
      <c r="AB240" s="156"/>
      <c r="AC240" s="156"/>
      <c r="AD240" s="156"/>
      <c r="AE240" s="156"/>
      <c r="AF240" s="156"/>
      <c r="AG240" s="156"/>
      <c r="AH240" s="156"/>
      <c r="AI240" s="156"/>
      <c r="AJ240" s="156"/>
      <c r="AK240" s="156"/>
      <c r="AL240" s="156"/>
      <c r="AM240" s="156"/>
      <c r="AN240" s="156"/>
      <c r="AO240" s="156"/>
      <c r="AP240" s="156"/>
      <c r="AQ240" s="156"/>
      <c r="AR240" s="156"/>
      <c r="AS240" s="156"/>
      <c r="AT240" s="156"/>
      <c r="AU240" s="156"/>
      <c r="AV240" s="156"/>
      <c r="AW240" s="156"/>
      <c r="AX240" s="156"/>
      <c r="AY240" s="156"/>
      <c r="AZ240" s="156"/>
      <c r="BA240" s="156"/>
      <c r="BB240" s="156"/>
      <c r="BC240" s="156"/>
      <c r="BD240" s="156"/>
      <c r="BE240" s="156"/>
      <c r="BF240" s="156"/>
      <c r="BG240" s="156"/>
      <c r="BH240" s="156"/>
      <c r="BI240" s="156"/>
      <c r="BJ240" s="156"/>
      <c r="BK240" s="156"/>
      <c r="BL240" s="156"/>
      <c r="BM240" s="156"/>
      <c r="BN240" s="156"/>
      <c r="BO240" s="156"/>
      <c r="BP240" s="156"/>
      <c r="BQ240" s="156"/>
      <c r="BR240" s="156"/>
      <c r="BS240" s="156"/>
      <c r="BT240" s="156"/>
      <c r="BU240" s="156"/>
      <c r="BV240" s="156"/>
      <c r="BW240" s="156"/>
      <c r="BX240" s="156"/>
      <c r="BY240" s="156"/>
      <c r="BZ240" s="156"/>
      <c r="CA240" s="156"/>
      <c r="CB240" s="156"/>
      <c r="CC240" s="156"/>
      <c r="CD240" s="156"/>
      <c r="CE240" s="156"/>
      <c r="CF240" s="156"/>
      <c r="CG240" s="156"/>
      <c r="CH240" s="156"/>
      <c r="CI240" s="156"/>
      <c r="CJ240" s="156"/>
      <c r="CK240" s="156"/>
      <c r="CL240" s="156"/>
      <c r="CM240" s="156"/>
      <c r="CN240" s="156"/>
      <c r="CO240" s="156"/>
      <c r="CP240" s="156"/>
      <c r="CQ240" s="156"/>
      <c r="CR240" s="156"/>
      <c r="CS240" s="156"/>
      <c r="CT240" s="156"/>
      <c r="CU240" s="156"/>
      <c r="CV240" s="156"/>
      <c r="CW240" s="156"/>
      <c r="CX240" s="156"/>
      <c r="CY240" s="156"/>
      <c r="CZ240" s="156"/>
      <c r="DA240" s="156"/>
      <c r="DB240" s="156"/>
      <c r="DC240" s="156"/>
      <c r="DD240" s="156"/>
      <c r="DE240" s="156"/>
      <c r="DF240" s="156"/>
      <c r="DG240" s="156"/>
      <c r="DH240" s="156"/>
      <c r="DI240" s="156"/>
      <c r="DJ240" s="156"/>
      <c r="DK240" s="156"/>
      <c r="DL240" s="156"/>
      <c r="DM240" s="156"/>
      <c r="DN240" s="156"/>
      <c r="DO240" s="156"/>
      <c r="DP240" s="156"/>
      <c r="DQ240" s="156"/>
      <c r="DR240" s="156"/>
      <c r="DS240" s="156"/>
      <c r="DT240" s="156"/>
      <c r="DU240" s="156"/>
      <c r="DV240" s="156"/>
      <c r="DW240" s="156"/>
      <c r="DX240" s="156"/>
      <c r="DY240" s="156"/>
      <c r="DZ240" s="156"/>
      <c r="EA240" s="156"/>
      <c r="EB240" s="156"/>
      <c r="EC240" s="156"/>
      <c r="ED240" s="156"/>
      <c r="EE240" s="156"/>
      <c r="EF240" s="156"/>
      <c r="EG240" s="156"/>
      <c r="EH240" s="156"/>
      <c r="EI240" s="156"/>
      <c r="EJ240" s="156"/>
      <c r="EK240" s="156"/>
      <c r="EL240" s="156"/>
      <c r="EM240" s="156"/>
      <c r="EN240" s="156"/>
      <c r="EO240" s="156"/>
      <c r="EP240" s="156"/>
      <c r="EQ240" s="156"/>
      <c r="ER240" s="156"/>
      <c r="ES240" s="156"/>
      <c r="ET240" s="156"/>
      <c r="EU240" s="156"/>
      <c r="EV240" s="156"/>
      <c r="EW240" s="156"/>
      <c r="EX240" s="156"/>
      <c r="EY240" s="156"/>
      <c r="EZ240" s="156"/>
      <c r="FA240" s="156"/>
      <c r="FB240" s="156"/>
      <c r="FC240" s="156"/>
      <c r="FD240" s="156"/>
      <c r="FE240" s="156"/>
      <c r="FF240" s="156"/>
      <c r="FG240" s="156"/>
      <c r="FH240" s="156"/>
      <c r="FI240" s="156"/>
      <c r="FJ240" s="156"/>
      <c r="FK240" s="156"/>
      <c r="FL240" s="156"/>
      <c r="FM240" s="156"/>
      <c r="FN240" s="156"/>
      <c r="FO240" s="156"/>
      <c r="FP240" s="156"/>
      <c r="FQ240" s="156"/>
      <c r="FR240" s="156"/>
      <c r="FS240" s="156"/>
      <c r="FT240" s="156"/>
      <c r="FU240" s="156"/>
      <c r="FV240" s="156"/>
      <c r="FW240" s="156"/>
      <c r="FX240" s="156"/>
      <c r="FY240" s="156"/>
      <c r="FZ240" s="156"/>
      <c r="GA240" s="156"/>
      <c r="GB240" s="156"/>
      <c r="GC240" s="156"/>
      <c r="GD240" s="156"/>
      <c r="GE240" s="156"/>
      <c r="GF240" s="156"/>
      <c r="GG240" s="156"/>
      <c r="GH240" s="156"/>
      <c r="GI240" s="156"/>
      <c r="GJ240" s="156"/>
      <c r="GK240" s="156"/>
      <c r="GL240" s="156"/>
      <c r="GM240" s="156"/>
      <c r="GN240" s="156"/>
      <c r="GO240" s="156"/>
      <c r="GP240" s="156"/>
      <c r="GQ240" s="156"/>
      <c r="GR240" s="156"/>
      <c r="GS240" s="156"/>
      <c r="GT240" s="156"/>
      <c r="GU240" s="156"/>
      <c r="GV240" s="156"/>
      <c r="GW240" s="156"/>
      <c r="GX240" s="156"/>
      <c r="GY240" s="156"/>
      <c r="GZ240" s="156"/>
      <c r="HA240" s="156"/>
      <c r="HB240" s="156"/>
      <c r="HC240" s="156"/>
      <c r="HD240" s="156"/>
      <c r="HE240" s="156"/>
      <c r="HF240" s="156"/>
      <c r="HG240" s="156"/>
      <c r="HH240" s="156"/>
      <c r="HI240" s="156"/>
      <c r="HJ240" s="156"/>
      <c r="HK240" s="156"/>
      <c r="HL240" s="156"/>
      <c r="HM240" s="156"/>
      <c r="HN240" s="156"/>
      <c r="HO240" s="156"/>
      <c r="HP240" s="156"/>
      <c r="HQ240" s="156"/>
      <c r="HR240" s="156"/>
      <c r="HS240" s="156"/>
      <c r="HT240" s="156"/>
      <c r="HU240" s="156"/>
      <c r="HV240" s="156"/>
      <c r="HW240" s="156"/>
      <c r="HX240" s="156"/>
      <c r="HY240" s="156"/>
      <c r="HZ240" s="156"/>
      <c r="IA240" s="156"/>
      <c r="IB240" s="156"/>
      <c r="IC240" s="156"/>
      <c r="ID240" s="156"/>
      <c r="IE240" s="156"/>
      <c r="IF240" s="156"/>
      <c r="IG240" s="156"/>
      <c r="IH240" s="156"/>
      <c r="II240" s="156"/>
      <c r="IJ240" s="156"/>
      <c r="IK240" s="156"/>
      <c r="IL240" s="156"/>
      <c r="IM240" s="156"/>
      <c r="IN240" s="156"/>
      <c r="IO240" s="156"/>
      <c r="IP240" s="156"/>
      <c r="IQ240" s="156"/>
      <c r="IR240" s="156"/>
      <c r="IS240" s="156"/>
      <c r="IT240" s="156"/>
      <c r="IU240" s="156"/>
      <c r="IV240" s="156"/>
      <c r="IW240" s="156"/>
      <c r="IX240" s="156"/>
      <c r="IY240" s="156"/>
      <c r="IZ240" s="156"/>
      <c r="JA240" s="156"/>
      <c r="JB240" s="156"/>
      <c r="JC240" s="156"/>
      <c r="JD240" s="156"/>
      <c r="JE240" s="156"/>
      <c r="JF240" s="156"/>
      <c r="JG240" s="156"/>
      <c r="JH240" s="156"/>
      <c r="JI240" s="156"/>
      <c r="JJ240" s="156"/>
      <c r="JK240" s="156"/>
      <c r="JL240" s="156"/>
      <c r="JM240" s="156"/>
      <c r="JN240" s="156"/>
      <c r="JO240" s="156"/>
      <c r="JP240" s="156"/>
      <c r="JQ240" s="156"/>
      <c r="JR240" s="156"/>
      <c r="JS240" s="156"/>
      <c r="JT240" s="156"/>
      <c r="JU240" s="156"/>
      <c r="JV240" s="156"/>
      <c r="JW240" s="156"/>
      <c r="JX240" s="156"/>
      <c r="JY240" s="156"/>
      <c r="JZ240" s="156"/>
      <c r="KA240" s="156"/>
      <c r="KB240" s="156"/>
      <c r="KC240" s="156"/>
      <c r="KD240" s="156"/>
      <c r="KE240" s="156"/>
    </row>
    <row r="241" spans="1:291" customFormat="1" ht="35" customHeight="1">
      <c r="A241" s="42">
        <f>ROW()-2</f>
        <v>239</v>
      </c>
      <c r="B241" s="152" t="s">
        <v>2732</v>
      </c>
      <c r="C241" s="152" t="s">
        <v>3079</v>
      </c>
      <c r="D241" s="58" t="s">
        <v>3080</v>
      </c>
      <c r="E241" s="58" t="s">
        <v>3081</v>
      </c>
      <c r="F241" s="58" t="s">
        <v>2919</v>
      </c>
      <c r="G241" s="152" t="s">
        <v>34</v>
      </c>
      <c r="H241" s="152">
        <v>1</v>
      </c>
      <c r="I241" s="153">
        <v>0.74</v>
      </c>
      <c r="J241" s="154">
        <v>44158</v>
      </c>
      <c r="K241" s="153" t="s">
        <v>20</v>
      </c>
      <c r="L241" s="152">
        <v>4.99</v>
      </c>
      <c r="M241" s="155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  <c r="AA241" s="156"/>
      <c r="AB241" s="156"/>
      <c r="AC241" s="156"/>
      <c r="AD241" s="156"/>
      <c r="AE241" s="156"/>
      <c r="AF241" s="156"/>
      <c r="AG241" s="156"/>
      <c r="AH241" s="156"/>
      <c r="AI241" s="156"/>
      <c r="AJ241" s="156"/>
      <c r="AK241" s="156"/>
      <c r="AL241" s="156"/>
      <c r="AM241" s="156"/>
      <c r="AN241" s="156"/>
      <c r="AO241" s="156"/>
      <c r="AP241" s="156"/>
      <c r="AQ241" s="156"/>
      <c r="AR241" s="156"/>
      <c r="AS241" s="156"/>
      <c r="AT241" s="156"/>
      <c r="AU241" s="156"/>
      <c r="AV241" s="156"/>
      <c r="AW241" s="156"/>
      <c r="AX241" s="156"/>
      <c r="AY241" s="156"/>
      <c r="AZ241" s="156"/>
      <c r="BA241" s="156"/>
      <c r="BB241" s="156"/>
      <c r="BC241" s="156"/>
      <c r="BD241" s="156"/>
      <c r="BE241" s="156"/>
      <c r="BF241" s="156"/>
      <c r="BG241" s="156"/>
      <c r="BH241" s="156"/>
      <c r="BI241" s="156"/>
      <c r="BJ241" s="156"/>
      <c r="BK241" s="156"/>
      <c r="BL241" s="156"/>
      <c r="BM241" s="156"/>
      <c r="BN241" s="156"/>
      <c r="BO241" s="156"/>
      <c r="BP241" s="156"/>
      <c r="BQ241" s="156"/>
      <c r="BR241" s="156"/>
      <c r="BS241" s="156"/>
      <c r="BT241" s="156"/>
      <c r="BU241" s="156"/>
      <c r="BV241" s="156"/>
      <c r="BW241" s="156"/>
      <c r="BX241" s="156"/>
      <c r="BY241" s="156"/>
      <c r="BZ241" s="156"/>
      <c r="CA241" s="156"/>
      <c r="CB241" s="156"/>
      <c r="CC241" s="156"/>
      <c r="CD241" s="156"/>
      <c r="CE241" s="156"/>
      <c r="CF241" s="156"/>
      <c r="CG241" s="156"/>
      <c r="CH241" s="156"/>
      <c r="CI241" s="156"/>
      <c r="CJ241" s="156"/>
      <c r="CK241" s="156"/>
      <c r="CL241" s="156"/>
      <c r="CM241" s="156"/>
      <c r="CN241" s="156"/>
      <c r="CO241" s="156"/>
      <c r="CP241" s="156"/>
      <c r="CQ241" s="156"/>
      <c r="CR241" s="156"/>
      <c r="CS241" s="156"/>
      <c r="CT241" s="156"/>
      <c r="CU241" s="156"/>
      <c r="CV241" s="156"/>
      <c r="CW241" s="156"/>
      <c r="CX241" s="156"/>
      <c r="CY241" s="156"/>
      <c r="CZ241" s="156"/>
      <c r="DA241" s="156"/>
      <c r="DB241" s="156"/>
      <c r="DC241" s="156"/>
      <c r="DD241" s="156"/>
      <c r="DE241" s="156"/>
      <c r="DF241" s="156"/>
      <c r="DG241" s="156"/>
      <c r="DH241" s="156"/>
      <c r="DI241" s="156"/>
      <c r="DJ241" s="156"/>
      <c r="DK241" s="156"/>
      <c r="DL241" s="156"/>
      <c r="DM241" s="156"/>
      <c r="DN241" s="156"/>
      <c r="DO241" s="156"/>
      <c r="DP241" s="156"/>
      <c r="DQ241" s="156"/>
      <c r="DR241" s="156"/>
      <c r="DS241" s="156"/>
      <c r="DT241" s="156"/>
      <c r="DU241" s="156"/>
      <c r="DV241" s="156"/>
      <c r="DW241" s="156"/>
      <c r="DX241" s="156"/>
      <c r="DY241" s="156"/>
      <c r="DZ241" s="156"/>
      <c r="EA241" s="156"/>
      <c r="EB241" s="156"/>
      <c r="EC241" s="156"/>
      <c r="ED241" s="156"/>
      <c r="EE241" s="156"/>
      <c r="EF241" s="156"/>
      <c r="EG241" s="156"/>
      <c r="EH241" s="156"/>
      <c r="EI241" s="156"/>
      <c r="EJ241" s="156"/>
      <c r="EK241" s="156"/>
      <c r="EL241" s="156"/>
      <c r="EM241" s="156"/>
      <c r="EN241" s="156"/>
      <c r="EO241" s="156"/>
      <c r="EP241" s="156"/>
      <c r="EQ241" s="156"/>
      <c r="ER241" s="156"/>
      <c r="ES241" s="156"/>
      <c r="ET241" s="156"/>
      <c r="EU241" s="156"/>
      <c r="EV241" s="156"/>
      <c r="EW241" s="156"/>
      <c r="EX241" s="156"/>
      <c r="EY241" s="156"/>
      <c r="EZ241" s="156"/>
      <c r="FA241" s="156"/>
      <c r="FB241" s="156"/>
      <c r="FC241" s="156"/>
      <c r="FD241" s="156"/>
      <c r="FE241" s="156"/>
      <c r="FF241" s="156"/>
      <c r="FG241" s="156"/>
      <c r="FH241" s="156"/>
      <c r="FI241" s="156"/>
      <c r="FJ241" s="156"/>
      <c r="FK241" s="156"/>
      <c r="FL241" s="156"/>
      <c r="FM241" s="156"/>
      <c r="FN241" s="156"/>
      <c r="FO241" s="156"/>
      <c r="FP241" s="156"/>
      <c r="FQ241" s="156"/>
      <c r="FR241" s="156"/>
      <c r="FS241" s="156"/>
      <c r="FT241" s="156"/>
      <c r="FU241" s="156"/>
      <c r="FV241" s="156"/>
      <c r="FW241" s="156"/>
      <c r="FX241" s="156"/>
      <c r="FY241" s="156"/>
      <c r="FZ241" s="156"/>
      <c r="GA241" s="156"/>
      <c r="GB241" s="156"/>
      <c r="GC241" s="156"/>
      <c r="GD241" s="156"/>
      <c r="GE241" s="156"/>
      <c r="GF241" s="156"/>
      <c r="GG241" s="156"/>
      <c r="GH241" s="156"/>
      <c r="GI241" s="156"/>
      <c r="GJ241" s="156"/>
      <c r="GK241" s="156"/>
      <c r="GL241" s="156"/>
      <c r="GM241" s="156"/>
      <c r="GN241" s="156"/>
      <c r="GO241" s="156"/>
      <c r="GP241" s="156"/>
      <c r="GQ241" s="156"/>
      <c r="GR241" s="156"/>
      <c r="GS241" s="156"/>
      <c r="GT241" s="156"/>
      <c r="GU241" s="156"/>
      <c r="GV241" s="156"/>
      <c r="GW241" s="156"/>
      <c r="GX241" s="156"/>
      <c r="GY241" s="156"/>
      <c r="GZ241" s="156"/>
      <c r="HA241" s="156"/>
      <c r="HB241" s="156"/>
      <c r="HC241" s="156"/>
      <c r="HD241" s="156"/>
      <c r="HE241" s="156"/>
      <c r="HF241" s="156"/>
      <c r="HG241" s="156"/>
      <c r="HH241" s="156"/>
      <c r="HI241" s="156"/>
      <c r="HJ241" s="156"/>
      <c r="HK241" s="156"/>
      <c r="HL241" s="156"/>
      <c r="HM241" s="156"/>
      <c r="HN241" s="156"/>
      <c r="HO241" s="156"/>
      <c r="HP241" s="156"/>
      <c r="HQ241" s="156"/>
      <c r="HR241" s="156"/>
      <c r="HS241" s="156"/>
      <c r="HT241" s="156"/>
      <c r="HU241" s="156"/>
      <c r="HV241" s="156"/>
      <c r="HW241" s="156"/>
      <c r="HX241" s="156"/>
      <c r="HY241" s="156"/>
      <c r="HZ241" s="156"/>
      <c r="IA241" s="156"/>
      <c r="IB241" s="156"/>
      <c r="IC241" s="156"/>
      <c r="ID241" s="156"/>
      <c r="IE241" s="156"/>
      <c r="IF241" s="156"/>
      <c r="IG241" s="156"/>
      <c r="IH241" s="156"/>
      <c r="II241" s="156"/>
      <c r="IJ241" s="156"/>
      <c r="IK241" s="156"/>
      <c r="IL241" s="156"/>
      <c r="IM241" s="156"/>
      <c r="IN241" s="156"/>
      <c r="IO241" s="156"/>
      <c r="IP241" s="156"/>
      <c r="IQ241" s="156"/>
      <c r="IR241" s="156"/>
      <c r="IS241" s="156"/>
      <c r="IT241" s="156"/>
      <c r="IU241" s="156"/>
      <c r="IV241" s="156"/>
      <c r="IW241" s="156"/>
      <c r="IX241" s="156"/>
      <c r="IY241" s="156"/>
      <c r="IZ241" s="156"/>
      <c r="JA241" s="156"/>
      <c r="JB241" s="156"/>
      <c r="JC241" s="156"/>
      <c r="JD241" s="156"/>
      <c r="JE241" s="156"/>
      <c r="JF241" s="156"/>
      <c r="JG241" s="156"/>
      <c r="JH241" s="156"/>
      <c r="JI241" s="156"/>
      <c r="JJ241" s="156"/>
      <c r="JK241" s="156"/>
      <c r="JL241" s="156"/>
      <c r="JM241" s="156"/>
      <c r="JN241" s="156"/>
      <c r="JO241" s="156"/>
      <c r="JP241" s="156"/>
      <c r="JQ241" s="156"/>
      <c r="JR241" s="156"/>
      <c r="JS241" s="156"/>
      <c r="JT241" s="156"/>
      <c r="JU241" s="156"/>
      <c r="JV241" s="156"/>
      <c r="JW241" s="156"/>
      <c r="JX241" s="156"/>
      <c r="JY241" s="156"/>
      <c r="JZ241" s="156"/>
      <c r="KA241" s="156"/>
      <c r="KB241" s="156"/>
      <c r="KC241" s="156"/>
      <c r="KD241" s="156"/>
      <c r="KE241" s="156"/>
    </row>
    <row r="242" spans="1:291" customFormat="1" ht="35" customHeight="1">
      <c r="A242" s="42">
        <f>ROW()-2</f>
        <v>240</v>
      </c>
      <c r="B242" s="152" t="s">
        <v>2732</v>
      </c>
      <c r="C242" s="152" t="s">
        <v>3079</v>
      </c>
      <c r="D242" s="58" t="s">
        <v>3094</v>
      </c>
      <c r="E242" s="58" t="s">
        <v>822</v>
      </c>
      <c r="F242" s="58" t="s">
        <v>2742</v>
      </c>
      <c r="G242" s="152" t="s">
        <v>34</v>
      </c>
      <c r="H242" s="152">
        <v>1</v>
      </c>
      <c r="I242" s="153">
        <v>0.5</v>
      </c>
      <c r="J242" s="154">
        <v>44165</v>
      </c>
      <c r="K242" s="153" t="s">
        <v>20</v>
      </c>
      <c r="L242" s="152">
        <v>4.99</v>
      </c>
      <c r="M242" s="155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  <c r="AA242" s="156"/>
      <c r="AB242" s="156"/>
      <c r="AC242" s="156"/>
      <c r="AD242" s="156"/>
      <c r="AE242" s="156"/>
      <c r="AF242" s="156"/>
      <c r="AG242" s="156"/>
      <c r="AH242" s="156"/>
      <c r="AI242" s="156"/>
      <c r="AJ242" s="156"/>
      <c r="AK242" s="156"/>
      <c r="AL242" s="156"/>
      <c r="AM242" s="156"/>
      <c r="AN242" s="156"/>
      <c r="AO242" s="156"/>
      <c r="AP242" s="156"/>
      <c r="AQ242" s="156"/>
      <c r="AR242" s="156"/>
      <c r="AS242" s="156"/>
      <c r="AT242" s="156"/>
      <c r="AU242" s="156"/>
      <c r="AV242" s="156"/>
      <c r="AW242" s="156"/>
      <c r="AX242" s="156"/>
      <c r="AY242" s="156"/>
      <c r="AZ242" s="156"/>
      <c r="BA242" s="156"/>
      <c r="BB242" s="156"/>
      <c r="BC242" s="156"/>
      <c r="BD242" s="156"/>
      <c r="BE242" s="156"/>
      <c r="BF242" s="156"/>
      <c r="BG242" s="156"/>
      <c r="BH242" s="156"/>
      <c r="BI242" s="156"/>
      <c r="BJ242" s="156"/>
      <c r="BK242" s="156"/>
      <c r="BL242" s="156"/>
      <c r="BM242" s="156"/>
      <c r="BN242" s="156"/>
      <c r="BO242" s="156"/>
      <c r="BP242" s="156"/>
      <c r="BQ242" s="156"/>
      <c r="BR242" s="156"/>
      <c r="BS242" s="156"/>
      <c r="BT242" s="156"/>
      <c r="BU242" s="156"/>
      <c r="BV242" s="156"/>
      <c r="BW242" s="156"/>
      <c r="BX242" s="156"/>
      <c r="BY242" s="156"/>
      <c r="BZ242" s="156"/>
      <c r="CA242" s="156"/>
      <c r="CB242" s="156"/>
      <c r="CC242" s="156"/>
      <c r="CD242" s="156"/>
      <c r="CE242" s="156"/>
      <c r="CF242" s="156"/>
      <c r="CG242" s="156"/>
      <c r="CH242" s="156"/>
      <c r="CI242" s="156"/>
      <c r="CJ242" s="156"/>
      <c r="CK242" s="156"/>
      <c r="CL242" s="156"/>
      <c r="CM242" s="156"/>
      <c r="CN242" s="156"/>
      <c r="CO242" s="156"/>
      <c r="CP242" s="156"/>
      <c r="CQ242" s="156"/>
      <c r="CR242" s="156"/>
      <c r="CS242" s="156"/>
      <c r="CT242" s="156"/>
      <c r="CU242" s="156"/>
      <c r="CV242" s="156"/>
      <c r="CW242" s="156"/>
      <c r="CX242" s="156"/>
      <c r="CY242" s="156"/>
      <c r="CZ242" s="156"/>
      <c r="DA242" s="156"/>
      <c r="DB242" s="156"/>
      <c r="DC242" s="156"/>
      <c r="DD242" s="156"/>
      <c r="DE242" s="156"/>
      <c r="DF242" s="156"/>
      <c r="DG242" s="156"/>
      <c r="DH242" s="156"/>
      <c r="DI242" s="156"/>
      <c r="DJ242" s="156"/>
      <c r="DK242" s="156"/>
      <c r="DL242" s="156"/>
      <c r="DM242" s="156"/>
      <c r="DN242" s="156"/>
      <c r="DO242" s="156"/>
      <c r="DP242" s="156"/>
      <c r="DQ242" s="156"/>
      <c r="DR242" s="156"/>
      <c r="DS242" s="156"/>
      <c r="DT242" s="156"/>
      <c r="DU242" s="156"/>
      <c r="DV242" s="156"/>
      <c r="DW242" s="156"/>
      <c r="DX242" s="156"/>
      <c r="DY242" s="156"/>
      <c r="DZ242" s="156"/>
      <c r="EA242" s="156"/>
      <c r="EB242" s="156"/>
      <c r="EC242" s="156"/>
      <c r="ED242" s="156"/>
      <c r="EE242" s="156"/>
      <c r="EF242" s="156"/>
      <c r="EG242" s="156"/>
      <c r="EH242" s="156"/>
      <c r="EI242" s="156"/>
      <c r="EJ242" s="156"/>
      <c r="EK242" s="156"/>
      <c r="EL242" s="156"/>
      <c r="EM242" s="156"/>
      <c r="EN242" s="156"/>
      <c r="EO242" s="156"/>
      <c r="EP242" s="156"/>
      <c r="EQ242" s="156"/>
      <c r="ER242" s="156"/>
      <c r="ES242" s="156"/>
      <c r="ET242" s="156"/>
      <c r="EU242" s="156"/>
      <c r="EV242" s="156"/>
      <c r="EW242" s="156"/>
      <c r="EX242" s="156"/>
      <c r="EY242" s="156"/>
      <c r="EZ242" s="156"/>
      <c r="FA242" s="156"/>
      <c r="FB242" s="156"/>
      <c r="FC242" s="156"/>
      <c r="FD242" s="156"/>
      <c r="FE242" s="156"/>
      <c r="FF242" s="156"/>
      <c r="FG242" s="156"/>
      <c r="FH242" s="156"/>
      <c r="FI242" s="156"/>
      <c r="FJ242" s="156"/>
      <c r="FK242" s="156"/>
      <c r="FL242" s="156"/>
      <c r="FM242" s="156"/>
      <c r="FN242" s="156"/>
      <c r="FO242" s="156"/>
      <c r="FP242" s="156"/>
      <c r="FQ242" s="156"/>
      <c r="FR242" s="156"/>
      <c r="FS242" s="156"/>
      <c r="FT242" s="156"/>
      <c r="FU242" s="156"/>
      <c r="FV242" s="156"/>
      <c r="FW242" s="156"/>
      <c r="FX242" s="156"/>
      <c r="FY242" s="156"/>
      <c r="FZ242" s="156"/>
      <c r="GA242" s="156"/>
      <c r="GB242" s="156"/>
      <c r="GC242" s="156"/>
      <c r="GD242" s="156"/>
      <c r="GE242" s="156"/>
      <c r="GF242" s="156"/>
      <c r="GG242" s="156"/>
      <c r="GH242" s="156"/>
      <c r="GI242" s="156"/>
      <c r="GJ242" s="156"/>
      <c r="GK242" s="156"/>
      <c r="GL242" s="156"/>
      <c r="GM242" s="156"/>
      <c r="GN242" s="156"/>
      <c r="GO242" s="156"/>
      <c r="GP242" s="156"/>
      <c r="GQ242" s="156"/>
      <c r="GR242" s="156"/>
      <c r="GS242" s="156"/>
      <c r="GT242" s="156"/>
      <c r="GU242" s="156"/>
      <c r="GV242" s="156"/>
      <c r="GW242" s="156"/>
      <c r="GX242" s="156"/>
      <c r="GY242" s="156"/>
      <c r="GZ242" s="156"/>
      <c r="HA242" s="156"/>
      <c r="HB242" s="156"/>
      <c r="HC242" s="156"/>
      <c r="HD242" s="156"/>
      <c r="HE242" s="156"/>
      <c r="HF242" s="156"/>
      <c r="HG242" s="156"/>
      <c r="HH242" s="156"/>
      <c r="HI242" s="156"/>
      <c r="HJ242" s="156"/>
      <c r="HK242" s="156"/>
      <c r="HL242" s="156"/>
      <c r="HM242" s="156"/>
      <c r="HN242" s="156"/>
      <c r="HO242" s="156"/>
      <c r="HP242" s="156"/>
      <c r="HQ242" s="156"/>
      <c r="HR242" s="156"/>
      <c r="HS242" s="156"/>
      <c r="HT242" s="156"/>
      <c r="HU242" s="156"/>
      <c r="HV242" s="156"/>
      <c r="HW242" s="156"/>
      <c r="HX242" s="156"/>
      <c r="HY242" s="156"/>
      <c r="HZ242" s="156"/>
      <c r="IA242" s="156"/>
      <c r="IB242" s="156"/>
      <c r="IC242" s="156"/>
      <c r="ID242" s="156"/>
      <c r="IE242" s="156"/>
      <c r="IF242" s="156"/>
      <c r="IG242" s="156"/>
      <c r="IH242" s="156"/>
      <c r="II242" s="156"/>
      <c r="IJ242" s="156"/>
      <c r="IK242" s="156"/>
      <c r="IL242" s="156"/>
      <c r="IM242" s="156"/>
      <c r="IN242" s="156"/>
      <c r="IO242" s="156"/>
      <c r="IP242" s="156"/>
      <c r="IQ242" s="156"/>
      <c r="IR242" s="156"/>
      <c r="IS242" s="156"/>
      <c r="IT242" s="156"/>
      <c r="IU242" s="156"/>
      <c r="IV242" s="156"/>
      <c r="IW242" s="156"/>
      <c r="IX242" s="156"/>
      <c r="IY242" s="156"/>
      <c r="IZ242" s="156"/>
      <c r="JA242" s="156"/>
      <c r="JB242" s="156"/>
      <c r="JC242" s="156"/>
      <c r="JD242" s="156"/>
      <c r="JE242" s="156"/>
      <c r="JF242" s="156"/>
      <c r="JG242" s="156"/>
      <c r="JH242" s="156"/>
      <c r="JI242" s="156"/>
      <c r="JJ242" s="156"/>
      <c r="JK242" s="156"/>
      <c r="JL242" s="156"/>
      <c r="JM242" s="156"/>
      <c r="JN242" s="156"/>
      <c r="JO242" s="156"/>
      <c r="JP242" s="156"/>
      <c r="JQ242" s="156"/>
      <c r="JR242" s="156"/>
      <c r="JS242" s="156"/>
      <c r="JT242" s="156"/>
      <c r="JU242" s="156"/>
      <c r="JV242" s="156"/>
      <c r="JW242" s="156"/>
      <c r="JX242" s="156"/>
      <c r="JY242" s="156"/>
      <c r="JZ242" s="156"/>
      <c r="KA242" s="156"/>
      <c r="KB242" s="156"/>
      <c r="KC242" s="156"/>
      <c r="KD242" s="156"/>
      <c r="KE242" s="156"/>
    </row>
    <row r="243" spans="1:291" customFormat="1" ht="35" customHeight="1">
      <c r="A243" s="42">
        <f>ROW()-2</f>
        <v>241</v>
      </c>
      <c r="B243" s="152" t="s">
        <v>2732</v>
      </c>
      <c r="C243" s="58" t="s">
        <v>3079</v>
      </c>
      <c r="D243" s="58" t="s">
        <v>3240</v>
      </c>
      <c r="E243" s="58" t="s">
        <v>3241</v>
      </c>
      <c r="F243" s="58" t="s">
        <v>3242</v>
      </c>
      <c r="G243" s="58" t="s">
        <v>34</v>
      </c>
      <c r="H243" s="58">
        <v>1</v>
      </c>
      <c r="I243" s="58">
        <v>0.4</v>
      </c>
      <c r="J243" s="50">
        <v>44214</v>
      </c>
      <c r="K243" s="58" t="s">
        <v>20</v>
      </c>
      <c r="L243" s="152">
        <v>4.99</v>
      </c>
      <c r="M243" s="155"/>
      <c r="N243" s="155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  <c r="AN243" s="158"/>
      <c r="AO243" s="158"/>
      <c r="AP243" s="158"/>
      <c r="AQ243" s="158"/>
      <c r="AR243" s="158"/>
      <c r="AS243" s="158"/>
      <c r="AT243" s="158"/>
      <c r="AU243" s="158"/>
      <c r="AV243" s="158"/>
      <c r="AW243" s="158"/>
      <c r="AX243" s="158"/>
      <c r="AY243" s="158"/>
      <c r="AZ243" s="158"/>
      <c r="BA243" s="158"/>
      <c r="BB243" s="158"/>
      <c r="BC243" s="158"/>
      <c r="BD243" s="158"/>
      <c r="BE243" s="158"/>
      <c r="BF243" s="158"/>
      <c r="BG243" s="158"/>
      <c r="BH243" s="158"/>
      <c r="BI243" s="158"/>
      <c r="BJ243" s="158"/>
      <c r="BK243" s="158"/>
      <c r="BL243" s="158"/>
      <c r="BM243" s="158"/>
      <c r="BN243" s="158"/>
      <c r="BO243" s="158"/>
      <c r="BP243" s="158"/>
      <c r="BQ243" s="158"/>
      <c r="BR243" s="158"/>
      <c r="BS243" s="158"/>
      <c r="BT243" s="158"/>
      <c r="BU243" s="158"/>
      <c r="BV243" s="158"/>
      <c r="BW243" s="158"/>
      <c r="BX243" s="158"/>
      <c r="BY243" s="158"/>
      <c r="BZ243" s="158"/>
      <c r="CA243" s="158"/>
      <c r="CB243" s="158"/>
      <c r="CC243" s="158"/>
      <c r="CD243" s="158"/>
      <c r="CE243" s="158"/>
      <c r="CF243" s="158"/>
      <c r="CG243" s="158"/>
      <c r="CH243" s="158"/>
      <c r="CI243" s="158"/>
      <c r="CJ243" s="158"/>
      <c r="CK243" s="158"/>
      <c r="CL243" s="158"/>
      <c r="CM243" s="158"/>
      <c r="CN243" s="158"/>
      <c r="CO243" s="158"/>
      <c r="CP243" s="158"/>
      <c r="CQ243" s="158"/>
      <c r="CR243" s="158"/>
      <c r="CS243" s="158"/>
      <c r="CT243" s="158"/>
      <c r="CU243" s="158"/>
      <c r="CV243" s="158"/>
      <c r="CW243" s="158"/>
      <c r="CX243" s="158"/>
      <c r="CY243" s="158"/>
      <c r="CZ243" s="158"/>
      <c r="DA243" s="158"/>
      <c r="DB243" s="158"/>
      <c r="DC243" s="158"/>
      <c r="DD243" s="158"/>
      <c r="DE243" s="158"/>
      <c r="DF243" s="158"/>
      <c r="DG243" s="158"/>
      <c r="DH243" s="158"/>
      <c r="DI243" s="158"/>
      <c r="DJ243" s="158"/>
      <c r="DK243" s="158"/>
      <c r="DL243" s="158"/>
      <c r="DM243" s="158"/>
      <c r="DN243" s="158"/>
      <c r="DO243" s="158"/>
      <c r="DP243" s="158"/>
      <c r="DQ243" s="158"/>
      <c r="DR243" s="158"/>
      <c r="DS243" s="158"/>
      <c r="DT243" s="158"/>
      <c r="DU243" s="158"/>
      <c r="DV243" s="158"/>
      <c r="DW243" s="158"/>
      <c r="DX243" s="158"/>
      <c r="DY243" s="158"/>
      <c r="DZ243" s="158"/>
      <c r="EA243" s="158"/>
      <c r="EB243" s="158"/>
      <c r="EC243" s="158"/>
      <c r="ED243" s="158"/>
      <c r="EE243" s="158"/>
      <c r="EF243" s="158"/>
      <c r="EG243" s="158"/>
      <c r="EH243" s="158"/>
      <c r="EI243" s="158"/>
      <c r="EJ243" s="158"/>
      <c r="EK243" s="158"/>
      <c r="EL243" s="158"/>
      <c r="EM243" s="158"/>
      <c r="EN243" s="158"/>
      <c r="EO243" s="158"/>
      <c r="EP243" s="158"/>
      <c r="EQ243" s="158"/>
      <c r="ER243" s="158"/>
      <c r="ES243" s="158"/>
      <c r="ET243" s="158"/>
      <c r="EU243" s="158"/>
      <c r="EV243" s="158"/>
      <c r="EW243" s="158"/>
      <c r="EX243" s="158"/>
      <c r="EY243" s="158"/>
      <c r="EZ243" s="158"/>
      <c r="FA243" s="158"/>
      <c r="FB243" s="158"/>
      <c r="FC243" s="158"/>
      <c r="FD243" s="158"/>
      <c r="FE243" s="158"/>
      <c r="FF243" s="158"/>
      <c r="FG243" s="158"/>
      <c r="FH243" s="158"/>
      <c r="FI243" s="158"/>
      <c r="FJ243" s="158"/>
      <c r="FK243" s="158"/>
      <c r="FL243" s="158"/>
      <c r="FM243" s="158"/>
      <c r="FN243" s="158"/>
      <c r="FO243" s="158"/>
      <c r="FP243" s="158"/>
      <c r="FQ243" s="158"/>
      <c r="FR243" s="158"/>
      <c r="FS243" s="158"/>
      <c r="FT243" s="158"/>
      <c r="FU243" s="158"/>
      <c r="FV243" s="158"/>
      <c r="FW243" s="158"/>
      <c r="FX243" s="158"/>
      <c r="FY243" s="158"/>
      <c r="FZ243" s="158"/>
      <c r="GA243" s="158"/>
      <c r="GB243" s="158"/>
      <c r="GC243" s="158"/>
      <c r="GD243" s="158"/>
      <c r="GE243" s="158"/>
      <c r="GF243" s="158"/>
      <c r="GG243" s="158"/>
      <c r="GH243" s="158"/>
      <c r="GI243" s="158"/>
      <c r="GJ243" s="158"/>
      <c r="GK243" s="158"/>
      <c r="GL243" s="158"/>
      <c r="GM243" s="158"/>
      <c r="GN243" s="158"/>
      <c r="GO243" s="158"/>
      <c r="GP243" s="158"/>
      <c r="GQ243" s="158"/>
      <c r="GR243" s="158"/>
      <c r="GS243" s="158"/>
      <c r="GT243" s="158"/>
      <c r="GU243" s="158"/>
      <c r="GV243" s="158"/>
      <c r="GW243" s="158"/>
      <c r="GX243" s="158"/>
      <c r="GY243" s="158"/>
      <c r="GZ243" s="158"/>
      <c r="HA243" s="158"/>
      <c r="HB243" s="158"/>
      <c r="HC243" s="158"/>
      <c r="HD243" s="158"/>
      <c r="HE243" s="158"/>
      <c r="HF243" s="158"/>
      <c r="HG243" s="158"/>
      <c r="HH243" s="158"/>
      <c r="HI243" s="158"/>
      <c r="HJ243" s="158"/>
      <c r="HK243" s="158"/>
      <c r="HL243" s="158"/>
      <c r="HM243" s="158"/>
      <c r="HN243" s="158"/>
      <c r="HO243" s="158"/>
      <c r="HP243" s="158"/>
      <c r="HQ243" s="158"/>
      <c r="HR243" s="158"/>
      <c r="HS243" s="158"/>
      <c r="HT243" s="158"/>
      <c r="HU243" s="158"/>
      <c r="HV243" s="158"/>
      <c r="HW243" s="158"/>
      <c r="HX243" s="158"/>
      <c r="HY243" s="158"/>
      <c r="HZ243" s="158"/>
      <c r="IA243" s="158"/>
      <c r="IB243" s="158"/>
      <c r="IC243" s="158"/>
      <c r="ID243" s="158"/>
      <c r="IE243" s="158"/>
      <c r="IF243" s="158"/>
      <c r="IG243" s="158"/>
      <c r="IH243" s="158"/>
      <c r="II243" s="158"/>
      <c r="IJ243" s="158"/>
      <c r="IK243" s="158"/>
      <c r="IL243" s="158"/>
      <c r="IM243" s="158"/>
      <c r="IN243" s="158"/>
      <c r="IO243" s="158"/>
      <c r="IP243" s="158"/>
      <c r="IQ243" s="158"/>
      <c r="IR243" s="158"/>
      <c r="IS243" s="158"/>
      <c r="IT243" s="158"/>
      <c r="IU243" s="158"/>
      <c r="IV243" s="158"/>
      <c r="IW243" s="158"/>
      <c r="IX243" s="158"/>
      <c r="IY243" s="158"/>
      <c r="IZ243" s="158"/>
      <c r="JA243" s="158"/>
      <c r="JB243" s="158"/>
      <c r="JC243" s="158"/>
      <c r="JD243" s="158"/>
      <c r="JE243" s="158"/>
      <c r="JF243" s="158"/>
      <c r="JG243" s="158"/>
      <c r="JH243" s="158"/>
      <c r="JI243" s="158"/>
      <c r="JJ243" s="158"/>
      <c r="JK243" s="158"/>
      <c r="JL243" s="158"/>
      <c r="JM243" s="158"/>
      <c r="JN243" s="158"/>
      <c r="JO243" s="158"/>
      <c r="JP243" s="158"/>
      <c r="JQ243" s="158"/>
      <c r="JR243" s="158"/>
      <c r="JS243" s="158"/>
      <c r="JT243" s="158"/>
      <c r="JU243" s="158"/>
      <c r="JV243" s="158"/>
      <c r="JW243" s="158"/>
      <c r="JX243" s="158"/>
      <c r="JY243" s="158"/>
      <c r="JZ243" s="158"/>
      <c r="KA243" s="158"/>
      <c r="KB243" s="158"/>
      <c r="KC243" s="158"/>
      <c r="KD243" s="158"/>
      <c r="KE243" s="158"/>
    </row>
    <row r="244" spans="1:291" customFormat="1" ht="35" customHeight="1">
      <c r="A244" s="42">
        <f>ROW()-2</f>
        <v>242</v>
      </c>
      <c r="B244" s="42" t="s">
        <v>2732</v>
      </c>
      <c r="C244" s="43" t="s">
        <v>3079</v>
      </c>
      <c r="D244" s="43" t="s">
        <v>3243</v>
      </c>
      <c r="E244" s="43" t="s">
        <v>3244</v>
      </c>
      <c r="F244" s="43" t="s">
        <v>3173</v>
      </c>
      <c r="G244" s="43" t="s">
        <v>34</v>
      </c>
      <c r="H244" s="43">
        <v>1</v>
      </c>
      <c r="I244" s="43">
        <v>0.5</v>
      </c>
      <c r="J244" s="50">
        <v>44354</v>
      </c>
      <c r="K244" s="43" t="s">
        <v>20</v>
      </c>
      <c r="L244" s="42">
        <v>4.99</v>
      </c>
      <c r="M244" s="25"/>
      <c r="N244" s="25"/>
    </row>
    <row r="245" spans="1:291" customFormat="1" ht="35" customHeight="1">
      <c r="A245" s="42">
        <f>ROW()-2</f>
        <v>243</v>
      </c>
      <c r="B245" s="42" t="s">
        <v>2732</v>
      </c>
      <c r="C245" s="43" t="s">
        <v>3079</v>
      </c>
      <c r="D245" s="43" t="s">
        <v>3245</v>
      </c>
      <c r="E245" s="43" t="s">
        <v>3246</v>
      </c>
      <c r="F245" s="43" t="s">
        <v>2840</v>
      </c>
      <c r="G245" s="43" t="s">
        <v>34</v>
      </c>
      <c r="H245" s="43">
        <v>1</v>
      </c>
      <c r="I245" s="43">
        <v>0.5</v>
      </c>
      <c r="J245" s="50">
        <v>44375</v>
      </c>
      <c r="K245" s="43" t="s">
        <v>20</v>
      </c>
      <c r="L245" s="42">
        <v>4.99</v>
      </c>
      <c r="M245" s="25"/>
      <c r="N245" s="25"/>
    </row>
    <row r="246" spans="1:291" customFormat="1" ht="35" customHeight="1">
      <c r="A246" s="42">
        <f>ROW()-2</f>
        <v>244</v>
      </c>
      <c r="B246" s="42" t="s">
        <v>2732</v>
      </c>
      <c r="C246" s="43" t="s">
        <v>3079</v>
      </c>
      <c r="D246" s="43" t="s">
        <v>3247</v>
      </c>
      <c r="E246" s="43" t="s">
        <v>3248</v>
      </c>
      <c r="F246" s="43" t="s">
        <v>3249</v>
      </c>
      <c r="G246" s="43" t="s">
        <v>34</v>
      </c>
      <c r="H246" s="43">
        <v>1</v>
      </c>
      <c r="I246" s="43">
        <v>0.5</v>
      </c>
      <c r="J246" s="50">
        <v>44396</v>
      </c>
      <c r="K246" s="51" t="s">
        <v>20</v>
      </c>
      <c r="L246" s="47">
        <v>4.99</v>
      </c>
      <c r="M246" s="25"/>
      <c r="N246" s="25"/>
    </row>
    <row r="247" spans="1:291" customFormat="1" ht="35" customHeight="1">
      <c r="A247" s="42">
        <f>ROW()-2</f>
        <v>245</v>
      </c>
      <c r="B247" s="42" t="s">
        <v>2732</v>
      </c>
      <c r="C247" s="43" t="s">
        <v>3079</v>
      </c>
      <c r="D247" s="43" t="s">
        <v>3259</v>
      </c>
      <c r="E247" s="43" t="s">
        <v>3260</v>
      </c>
      <c r="F247" s="43" t="s">
        <v>3012</v>
      </c>
      <c r="G247" s="43" t="s">
        <v>34</v>
      </c>
      <c r="H247" s="43">
        <v>1</v>
      </c>
      <c r="I247" s="43">
        <v>0.5</v>
      </c>
      <c r="J247" s="50">
        <v>44461</v>
      </c>
      <c r="K247" s="51" t="s">
        <v>20</v>
      </c>
      <c r="L247" s="47">
        <v>4.99</v>
      </c>
      <c r="M247" s="25"/>
      <c r="N247" s="25"/>
    </row>
    <row r="248" spans="1:291" s="156" customFormat="1" ht="35" customHeight="1">
      <c r="A248" s="42">
        <f>ROW()-2</f>
        <v>246</v>
      </c>
      <c r="B248" s="42" t="s">
        <v>2732</v>
      </c>
      <c r="C248" s="43" t="s">
        <v>3079</v>
      </c>
      <c r="D248" s="43" t="s">
        <v>3250</v>
      </c>
      <c r="E248" s="43" t="s">
        <v>3251</v>
      </c>
      <c r="F248" s="43" t="s">
        <v>3252</v>
      </c>
      <c r="G248" s="43" t="s">
        <v>3253</v>
      </c>
      <c r="H248" s="43">
        <v>1</v>
      </c>
      <c r="I248" s="43">
        <v>0.5</v>
      </c>
      <c r="J248" s="50">
        <v>44466</v>
      </c>
      <c r="K248" s="43" t="s">
        <v>20</v>
      </c>
      <c r="L248" s="42">
        <v>4.99</v>
      </c>
      <c r="M248" s="25"/>
      <c r="N248" s="25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</row>
    <row r="249" spans="1:291" s="156" customFormat="1" ht="35" customHeight="1">
      <c r="A249" s="42">
        <f>ROW()-2</f>
        <v>247</v>
      </c>
      <c r="B249" s="42" t="s">
        <v>2732</v>
      </c>
      <c r="C249" s="43" t="s">
        <v>3079</v>
      </c>
      <c r="D249" s="43" t="s">
        <v>3254</v>
      </c>
      <c r="E249" s="43" t="s">
        <v>3255</v>
      </c>
      <c r="F249" s="43" t="s">
        <v>3252</v>
      </c>
      <c r="G249" s="43" t="s">
        <v>3253</v>
      </c>
      <c r="H249" s="43">
        <v>1</v>
      </c>
      <c r="I249" s="43">
        <v>0.5</v>
      </c>
      <c r="J249" s="50">
        <v>44494</v>
      </c>
      <c r="K249" s="43" t="s">
        <v>20</v>
      </c>
      <c r="L249" s="42">
        <v>4.99</v>
      </c>
      <c r="M249" s="25"/>
      <c r="N249" s="25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</row>
    <row r="250" spans="1:291" s="156" customFormat="1" ht="35" customHeight="1">
      <c r="A250" s="42">
        <f>ROW()-2</f>
        <v>248</v>
      </c>
      <c r="B250" s="42" t="s">
        <v>2732</v>
      </c>
      <c r="C250" s="43" t="s">
        <v>3079</v>
      </c>
      <c r="D250" s="43" t="s">
        <v>3256</v>
      </c>
      <c r="E250" s="43" t="s">
        <v>3257</v>
      </c>
      <c r="F250" s="43" t="s">
        <v>3258</v>
      </c>
      <c r="G250" s="43" t="s">
        <v>3253</v>
      </c>
      <c r="H250" s="43">
        <v>1</v>
      </c>
      <c r="I250" s="43">
        <v>0.5</v>
      </c>
      <c r="J250" s="50">
        <v>44557</v>
      </c>
      <c r="K250" s="43" t="s">
        <v>20</v>
      </c>
      <c r="L250" s="42">
        <v>4.99</v>
      </c>
      <c r="M250" s="25"/>
      <c r="N250" s="25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</row>
    <row r="251" spans="1:291" s="156" customFormat="1" ht="35" customHeight="1">
      <c r="A251" s="42">
        <f>ROW()-2</f>
        <v>249</v>
      </c>
      <c r="B251" s="42" t="s">
        <v>2732</v>
      </c>
      <c r="C251" s="43" t="s">
        <v>3079</v>
      </c>
      <c r="D251" s="43" t="s">
        <v>5151</v>
      </c>
      <c r="E251" s="43" t="s">
        <v>5152</v>
      </c>
      <c r="F251" s="43" t="s">
        <v>5153</v>
      </c>
      <c r="G251" s="43" t="s">
        <v>3253</v>
      </c>
      <c r="H251" s="43">
        <v>1</v>
      </c>
      <c r="I251" s="43">
        <v>0.5</v>
      </c>
      <c r="J251" s="50">
        <v>44585</v>
      </c>
      <c r="K251" s="43" t="s">
        <v>20</v>
      </c>
      <c r="L251" s="42">
        <v>4.99</v>
      </c>
      <c r="M251" s="25"/>
      <c r="N251" s="25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</row>
    <row r="252" spans="1:291" s="156" customFormat="1" ht="35" customHeight="1">
      <c r="A252" s="42">
        <f>ROW()-2</f>
        <v>250</v>
      </c>
      <c r="B252" s="182" t="s">
        <v>5325</v>
      </c>
      <c r="C252" s="182" t="s">
        <v>5326</v>
      </c>
      <c r="D252" s="187" t="s">
        <v>5321</v>
      </c>
      <c r="E252" s="187" t="s">
        <v>5327</v>
      </c>
      <c r="F252" s="187" t="s">
        <v>5328</v>
      </c>
      <c r="G252" s="42" t="s">
        <v>3253</v>
      </c>
      <c r="H252" s="182">
        <v>1</v>
      </c>
      <c r="I252" s="206">
        <v>0.5</v>
      </c>
      <c r="J252" s="209">
        <v>44585</v>
      </c>
      <c r="K252" s="44" t="s">
        <v>20</v>
      </c>
      <c r="L252" s="182">
        <v>4.99</v>
      </c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  <c r="AO252" s="134"/>
      <c r="AP252" s="134"/>
      <c r="AQ252" s="134"/>
      <c r="AR252" s="134"/>
      <c r="AS252" s="134"/>
      <c r="AT252" s="134"/>
      <c r="AU252" s="134"/>
      <c r="AV252" s="134"/>
      <c r="AW252" s="134"/>
      <c r="AX252" s="134"/>
      <c r="AY252" s="134"/>
      <c r="AZ252" s="134"/>
      <c r="BA252" s="134"/>
      <c r="BB252" s="134"/>
      <c r="BC252" s="134"/>
      <c r="BD252" s="134"/>
      <c r="BE252" s="134"/>
      <c r="BF252" s="134"/>
      <c r="BG252" s="134"/>
      <c r="BH252" s="134"/>
      <c r="BI252" s="134"/>
      <c r="BJ252" s="134"/>
      <c r="BK252" s="134"/>
      <c r="BL252" s="134"/>
      <c r="BM252" s="134"/>
      <c r="BN252" s="134"/>
      <c r="BO252" s="134"/>
      <c r="BP252" s="134"/>
      <c r="BQ252" s="134"/>
      <c r="BR252" s="134"/>
      <c r="BS252" s="134"/>
      <c r="BT252" s="134"/>
      <c r="BU252" s="134"/>
      <c r="BV252" s="134"/>
      <c r="BW252" s="134"/>
      <c r="BX252" s="134"/>
      <c r="BY252" s="134"/>
      <c r="BZ252" s="134"/>
      <c r="CA252" s="134"/>
      <c r="CB252" s="134"/>
      <c r="CC252" s="134"/>
      <c r="CD252" s="134"/>
      <c r="CE252" s="134"/>
      <c r="CF252" s="134"/>
      <c r="CG252" s="134"/>
      <c r="CH252" s="134"/>
      <c r="CI252" s="134"/>
      <c r="CJ252" s="134"/>
      <c r="CK252" s="134"/>
      <c r="CL252" s="134"/>
      <c r="CM252" s="134"/>
      <c r="CN252" s="134"/>
      <c r="CO252" s="134"/>
      <c r="CP252" s="134"/>
      <c r="CQ252" s="134"/>
      <c r="CR252" s="134"/>
      <c r="CS252" s="134"/>
      <c r="CT252" s="134"/>
      <c r="CU252" s="134"/>
      <c r="CV252" s="134"/>
      <c r="CW252" s="134"/>
      <c r="CX252" s="134"/>
      <c r="CY252" s="134"/>
      <c r="CZ252" s="134"/>
      <c r="DA252" s="134"/>
      <c r="DB252" s="134"/>
      <c r="DC252" s="134"/>
      <c r="DD252" s="134"/>
      <c r="DE252" s="134"/>
      <c r="DF252" s="134"/>
      <c r="DG252" s="134"/>
      <c r="DH252" s="134"/>
      <c r="DI252" s="134"/>
      <c r="DJ252" s="134"/>
      <c r="DK252" s="134"/>
      <c r="DL252" s="134"/>
      <c r="DM252" s="134"/>
      <c r="DN252" s="134"/>
      <c r="DO252" s="134"/>
      <c r="DP252" s="134"/>
      <c r="DQ252" s="134"/>
      <c r="DR252" s="134"/>
      <c r="DS252" s="134"/>
      <c r="DT252" s="134"/>
      <c r="DU252" s="134"/>
      <c r="DV252" s="134"/>
      <c r="DW252" s="134"/>
      <c r="DX252" s="134"/>
      <c r="DY252" s="134"/>
      <c r="DZ252" s="134"/>
      <c r="EA252" s="134"/>
      <c r="EB252" s="134"/>
      <c r="EC252" s="134"/>
      <c r="ED252" s="134"/>
      <c r="EE252" s="134"/>
      <c r="EF252" s="134"/>
      <c r="EG252" s="134"/>
      <c r="EH252" s="134"/>
      <c r="EI252" s="134"/>
      <c r="EJ252" s="134"/>
      <c r="EK252" s="134"/>
      <c r="EL252" s="134"/>
      <c r="EM252" s="134"/>
      <c r="EN252" s="134"/>
      <c r="EO252" s="134"/>
      <c r="EP252" s="134"/>
      <c r="EQ252" s="134"/>
      <c r="ER252" s="134"/>
      <c r="ES252" s="134"/>
      <c r="ET252" s="134"/>
      <c r="EU252" s="134"/>
      <c r="EV252" s="134"/>
      <c r="EW252" s="134"/>
      <c r="EX252" s="134"/>
      <c r="EY252" s="134"/>
      <c r="EZ252" s="134"/>
      <c r="FA252" s="134"/>
      <c r="FB252" s="134"/>
      <c r="FC252" s="134"/>
      <c r="FD252" s="134"/>
      <c r="FE252" s="134"/>
      <c r="FF252" s="134"/>
      <c r="FG252" s="134"/>
      <c r="FH252" s="134"/>
      <c r="FI252" s="134"/>
      <c r="FJ252" s="134"/>
      <c r="FK252" s="134"/>
      <c r="FL252" s="134"/>
      <c r="FM252" s="134"/>
      <c r="FN252" s="134"/>
      <c r="FO252" s="134"/>
      <c r="FP252" s="134"/>
      <c r="FQ252" s="134"/>
      <c r="FR252" s="134"/>
      <c r="FS252" s="134"/>
      <c r="FT252" s="134"/>
      <c r="FU252" s="134"/>
      <c r="FV252" s="134"/>
      <c r="FW252" s="134"/>
      <c r="FX252" s="134"/>
      <c r="FY252" s="134"/>
      <c r="FZ252" s="134"/>
      <c r="GA252" s="134"/>
      <c r="GB252" s="134"/>
      <c r="GC252" s="134"/>
      <c r="GD252" s="134"/>
      <c r="GE252" s="134"/>
      <c r="GF252" s="134"/>
      <c r="GG252" s="134"/>
      <c r="GH252" s="134"/>
      <c r="GI252" s="134"/>
      <c r="GJ252" s="134"/>
      <c r="GK252" s="134"/>
      <c r="GL252" s="134"/>
      <c r="GM252" s="134"/>
      <c r="GN252" s="134"/>
      <c r="GO252" s="134"/>
      <c r="GP252" s="134"/>
      <c r="GQ252" s="134"/>
      <c r="GR252" s="134"/>
      <c r="GS252" s="134"/>
      <c r="GT252" s="134"/>
      <c r="GU252" s="134"/>
      <c r="GV252" s="134"/>
      <c r="GW252" s="134"/>
      <c r="GX252" s="134"/>
      <c r="GY252" s="134"/>
      <c r="GZ252" s="134"/>
      <c r="HA252" s="134"/>
      <c r="HB252" s="134"/>
      <c r="HC252" s="134"/>
      <c r="HD252" s="134"/>
      <c r="HE252" s="134"/>
      <c r="HF252" s="134"/>
      <c r="HG252" s="134"/>
      <c r="HH252" s="134"/>
      <c r="HI252" s="134"/>
      <c r="HJ252" s="134"/>
      <c r="HK252" s="134"/>
      <c r="HL252" s="134"/>
      <c r="HM252" s="134"/>
      <c r="HN252" s="134"/>
      <c r="HO252" s="134"/>
      <c r="HP252" s="134"/>
      <c r="HQ252" s="134"/>
      <c r="HR252" s="134"/>
      <c r="HS252" s="134"/>
      <c r="HT252" s="134"/>
      <c r="HU252" s="134"/>
      <c r="HV252" s="134"/>
      <c r="HW252" s="134"/>
      <c r="HX252" s="134"/>
      <c r="HY252" s="134"/>
      <c r="HZ252" s="134"/>
      <c r="IA252" s="134"/>
      <c r="IB252" s="134"/>
      <c r="IC252" s="134"/>
      <c r="ID252" s="134"/>
      <c r="IE252" s="134"/>
      <c r="IF252" s="134"/>
      <c r="IG252" s="134"/>
      <c r="IH252" s="134"/>
      <c r="II252" s="134"/>
      <c r="IJ252" s="134"/>
      <c r="IK252" s="134"/>
      <c r="IL252" s="134"/>
      <c r="IM252" s="134"/>
      <c r="IN252" s="134"/>
      <c r="IO252" s="134"/>
      <c r="IP252" s="134"/>
      <c r="IQ252" s="134"/>
      <c r="IR252" s="134"/>
      <c r="IS252" s="134"/>
      <c r="IT252" s="134"/>
      <c r="IU252" s="134"/>
      <c r="IV252" s="134"/>
      <c r="IW252" s="134"/>
      <c r="IX252" s="134"/>
      <c r="IY252" s="134"/>
      <c r="IZ252" s="134"/>
      <c r="JA252" s="134"/>
      <c r="JB252" s="134"/>
      <c r="JC252" s="134"/>
      <c r="JD252" s="134"/>
      <c r="JE252" s="134"/>
      <c r="JF252" s="134"/>
      <c r="JG252" s="134"/>
      <c r="JH252" s="134"/>
      <c r="JI252" s="134"/>
      <c r="JJ252" s="134"/>
      <c r="JK252" s="134"/>
      <c r="JL252" s="134"/>
      <c r="JM252" s="134"/>
      <c r="JN252" s="134"/>
      <c r="JO252" s="134"/>
      <c r="JP252" s="134"/>
      <c r="JQ252" s="134"/>
      <c r="JR252" s="134"/>
      <c r="JS252" s="134"/>
      <c r="JT252" s="134"/>
      <c r="JU252" s="134"/>
      <c r="JV252" s="134"/>
      <c r="JW252" s="134"/>
      <c r="JX252" s="134"/>
      <c r="JY252" s="134"/>
      <c r="JZ252" s="134"/>
      <c r="KA252" s="134"/>
      <c r="KB252" s="134"/>
      <c r="KC252" s="134"/>
      <c r="KD252" s="134"/>
      <c r="KE252" s="134"/>
    </row>
    <row r="253" spans="1:291" s="156" customFormat="1" ht="35" customHeight="1">
      <c r="A253" s="42">
        <f>ROW()-2</f>
        <v>251</v>
      </c>
      <c r="B253" s="152" t="s">
        <v>2732</v>
      </c>
      <c r="C253" s="152" t="s">
        <v>3261</v>
      </c>
      <c r="D253" s="58" t="s">
        <v>3262</v>
      </c>
      <c r="E253" s="58" t="s">
        <v>3263</v>
      </c>
      <c r="F253" s="58" t="s">
        <v>3264</v>
      </c>
      <c r="G253" s="152" t="s">
        <v>34</v>
      </c>
      <c r="H253" s="152">
        <v>1</v>
      </c>
      <c r="I253" s="153">
        <v>0.35388888888888897</v>
      </c>
      <c r="J253" s="154">
        <v>44158</v>
      </c>
      <c r="K253" s="153" t="s">
        <v>20</v>
      </c>
      <c r="L253" s="152">
        <v>4.99</v>
      </c>
      <c r="M253" s="155"/>
    </row>
    <row r="254" spans="1:291" s="156" customFormat="1" ht="35" customHeight="1">
      <c r="A254" s="42">
        <f>ROW()-2</f>
        <v>252</v>
      </c>
      <c r="B254" s="152" t="s">
        <v>2732</v>
      </c>
      <c r="C254" s="152" t="s">
        <v>3265</v>
      </c>
      <c r="D254" s="58" t="s">
        <v>3269</v>
      </c>
      <c r="E254" s="58" t="s">
        <v>3270</v>
      </c>
      <c r="F254" s="58" t="s">
        <v>3268</v>
      </c>
      <c r="G254" s="152" t="s">
        <v>34</v>
      </c>
      <c r="H254" s="152">
        <v>1</v>
      </c>
      <c r="I254" s="153">
        <v>0.413333333333333</v>
      </c>
      <c r="J254" s="154">
        <v>43469</v>
      </c>
      <c r="K254" s="153" t="s">
        <v>20</v>
      </c>
      <c r="L254" s="152">
        <v>4.99</v>
      </c>
      <c r="M254" s="155"/>
    </row>
    <row r="255" spans="1:291" s="156" customFormat="1" ht="35" customHeight="1">
      <c r="A255" s="42">
        <f>ROW()-2</f>
        <v>253</v>
      </c>
      <c r="B255" s="152" t="s">
        <v>2732</v>
      </c>
      <c r="C255" s="152" t="s">
        <v>3265</v>
      </c>
      <c r="D255" s="58" t="s">
        <v>3297</v>
      </c>
      <c r="E255" s="58" t="s">
        <v>512</v>
      </c>
      <c r="F255" s="58" t="s">
        <v>223</v>
      </c>
      <c r="G255" s="152" t="s">
        <v>34</v>
      </c>
      <c r="H255" s="152">
        <v>1</v>
      </c>
      <c r="I255" s="153">
        <v>0.40916666666666701</v>
      </c>
      <c r="J255" s="154">
        <v>43469</v>
      </c>
      <c r="K255" s="153" t="s">
        <v>20</v>
      </c>
      <c r="L255" s="152">
        <v>4.99</v>
      </c>
      <c r="M255" s="155"/>
    </row>
    <row r="256" spans="1:291" s="156" customFormat="1" ht="35" customHeight="1">
      <c r="A256" s="42">
        <f>ROW()-2</f>
        <v>254</v>
      </c>
      <c r="B256" s="152" t="s">
        <v>2732</v>
      </c>
      <c r="C256" s="152" t="s">
        <v>3265</v>
      </c>
      <c r="D256" s="58" t="s">
        <v>3271</v>
      </c>
      <c r="E256" s="58" t="s">
        <v>3272</v>
      </c>
      <c r="F256" s="58" t="s">
        <v>3273</v>
      </c>
      <c r="G256" s="152" t="s">
        <v>34</v>
      </c>
      <c r="H256" s="152">
        <v>1</v>
      </c>
      <c r="I256" s="153">
        <v>0.38861111111111102</v>
      </c>
      <c r="J256" s="154">
        <v>43962</v>
      </c>
      <c r="K256" s="153" t="s">
        <v>20</v>
      </c>
      <c r="L256" s="152">
        <v>4.99</v>
      </c>
      <c r="M256" s="155"/>
    </row>
    <row r="257" spans="1:13" s="156" customFormat="1" ht="35" customHeight="1">
      <c r="A257" s="42">
        <f>ROW()-2</f>
        <v>255</v>
      </c>
      <c r="B257" s="152" t="s">
        <v>2732</v>
      </c>
      <c r="C257" s="152" t="s">
        <v>3265</v>
      </c>
      <c r="D257" s="58" t="s">
        <v>3274</v>
      </c>
      <c r="E257" s="58" t="s">
        <v>3275</v>
      </c>
      <c r="F257" s="58" t="s">
        <v>3276</v>
      </c>
      <c r="G257" s="152" t="s">
        <v>34</v>
      </c>
      <c r="H257" s="152">
        <v>1</v>
      </c>
      <c r="I257" s="153">
        <v>0.41861111111111099</v>
      </c>
      <c r="J257" s="154">
        <v>43962</v>
      </c>
      <c r="K257" s="153" t="s">
        <v>20</v>
      </c>
      <c r="L257" s="152">
        <v>4.99</v>
      </c>
      <c r="M257" s="155"/>
    </row>
    <row r="258" spans="1:13" s="156" customFormat="1" ht="35" customHeight="1">
      <c r="A258" s="42">
        <f>ROW()-2</f>
        <v>256</v>
      </c>
      <c r="B258" s="152" t="s">
        <v>2732</v>
      </c>
      <c r="C258" s="152" t="s">
        <v>3265</v>
      </c>
      <c r="D258" s="58" t="s">
        <v>3281</v>
      </c>
      <c r="E258" s="58" t="s">
        <v>3282</v>
      </c>
      <c r="F258" s="58" t="s">
        <v>3283</v>
      </c>
      <c r="G258" s="152" t="s">
        <v>34</v>
      </c>
      <c r="H258" s="152">
        <v>1</v>
      </c>
      <c r="I258" s="153">
        <v>0.49694444444444402</v>
      </c>
      <c r="J258" s="154">
        <v>43962</v>
      </c>
      <c r="K258" s="153" t="s">
        <v>20</v>
      </c>
      <c r="L258" s="152">
        <v>4.99</v>
      </c>
      <c r="M258" s="155"/>
    </row>
    <row r="259" spans="1:13" s="156" customFormat="1" ht="35" customHeight="1">
      <c r="A259" s="42">
        <f>ROW()-2</f>
        <v>257</v>
      </c>
      <c r="B259" s="152" t="s">
        <v>2732</v>
      </c>
      <c r="C259" s="152" t="s">
        <v>3265</v>
      </c>
      <c r="D259" s="58" t="s">
        <v>3284</v>
      </c>
      <c r="E259" s="58" t="s">
        <v>3285</v>
      </c>
      <c r="F259" s="58" t="s">
        <v>3038</v>
      </c>
      <c r="G259" s="152" t="s">
        <v>34</v>
      </c>
      <c r="H259" s="152">
        <v>1</v>
      </c>
      <c r="I259" s="153">
        <v>0.43222222222222201</v>
      </c>
      <c r="J259" s="154">
        <v>43962</v>
      </c>
      <c r="K259" s="153" t="s">
        <v>20</v>
      </c>
      <c r="L259" s="152">
        <v>4.99</v>
      </c>
      <c r="M259" s="155"/>
    </row>
    <row r="260" spans="1:13" s="156" customFormat="1" ht="35" customHeight="1">
      <c r="A260" s="42">
        <f>ROW()-2</f>
        <v>258</v>
      </c>
      <c r="B260" s="152" t="s">
        <v>2732</v>
      </c>
      <c r="C260" s="152" t="s">
        <v>3265</v>
      </c>
      <c r="D260" s="58" t="s">
        <v>3288</v>
      </c>
      <c r="E260" s="58" t="s">
        <v>3289</v>
      </c>
      <c r="F260" s="58" t="s">
        <v>3038</v>
      </c>
      <c r="G260" s="152" t="s">
        <v>34</v>
      </c>
      <c r="H260" s="152">
        <v>1</v>
      </c>
      <c r="I260" s="153">
        <v>0.391666666666667</v>
      </c>
      <c r="J260" s="154">
        <v>43962</v>
      </c>
      <c r="K260" s="153" t="s">
        <v>20</v>
      </c>
      <c r="L260" s="152">
        <v>4.99</v>
      </c>
      <c r="M260" s="155"/>
    </row>
    <row r="261" spans="1:13" s="156" customFormat="1" ht="35" customHeight="1">
      <c r="A261" s="42">
        <f>ROW()-2</f>
        <v>259</v>
      </c>
      <c r="B261" s="152" t="s">
        <v>2732</v>
      </c>
      <c r="C261" s="152" t="s">
        <v>3265</v>
      </c>
      <c r="D261" s="58" t="s">
        <v>3298</v>
      </c>
      <c r="E261" s="58" t="s">
        <v>3299</v>
      </c>
      <c r="F261" s="58" t="s">
        <v>3300</v>
      </c>
      <c r="G261" s="152" t="s">
        <v>34</v>
      </c>
      <c r="H261" s="152">
        <v>1</v>
      </c>
      <c r="I261" s="153">
        <v>0.36055555555555602</v>
      </c>
      <c r="J261" s="154">
        <v>43962</v>
      </c>
      <c r="K261" s="153" t="s">
        <v>20</v>
      </c>
      <c r="L261" s="152">
        <v>4.99</v>
      </c>
      <c r="M261" s="155"/>
    </row>
    <row r="262" spans="1:13" s="156" customFormat="1" ht="35" customHeight="1">
      <c r="A262" s="42">
        <f>ROW()-2</f>
        <v>260</v>
      </c>
      <c r="B262" s="152" t="s">
        <v>2732</v>
      </c>
      <c r="C262" s="152" t="s">
        <v>3265</v>
      </c>
      <c r="D262" s="58" t="s">
        <v>3309</v>
      </c>
      <c r="E262" s="58" t="s">
        <v>3310</v>
      </c>
      <c r="F262" s="58" t="s">
        <v>3311</v>
      </c>
      <c r="G262" s="152" t="s">
        <v>34</v>
      </c>
      <c r="H262" s="152">
        <v>1</v>
      </c>
      <c r="I262" s="153">
        <v>0.495</v>
      </c>
      <c r="J262" s="154">
        <v>43962</v>
      </c>
      <c r="K262" s="153" t="s">
        <v>20</v>
      </c>
      <c r="L262" s="152">
        <v>4.99</v>
      </c>
      <c r="M262" s="155"/>
    </row>
    <row r="263" spans="1:13" s="156" customFormat="1" ht="35" customHeight="1">
      <c r="A263" s="42">
        <f>ROW()-2</f>
        <v>261</v>
      </c>
      <c r="B263" s="152" t="s">
        <v>2732</v>
      </c>
      <c r="C263" s="152" t="s">
        <v>3265</v>
      </c>
      <c r="D263" s="58" t="s">
        <v>3312</v>
      </c>
      <c r="E263" s="58" t="s">
        <v>3289</v>
      </c>
      <c r="F263" s="58" t="s">
        <v>3038</v>
      </c>
      <c r="G263" s="152" t="s">
        <v>34</v>
      </c>
      <c r="H263" s="152">
        <v>1</v>
      </c>
      <c r="I263" s="153">
        <v>0.43138888888888899</v>
      </c>
      <c r="J263" s="154">
        <v>43962</v>
      </c>
      <c r="K263" s="153" t="s">
        <v>20</v>
      </c>
      <c r="L263" s="152">
        <v>4.99</v>
      </c>
      <c r="M263" s="155"/>
    </row>
    <row r="264" spans="1:13" s="156" customFormat="1" ht="35" customHeight="1">
      <c r="A264" s="42">
        <f>ROW()-2</f>
        <v>262</v>
      </c>
      <c r="B264" s="152" t="s">
        <v>2732</v>
      </c>
      <c r="C264" s="152" t="s">
        <v>3265</v>
      </c>
      <c r="D264" s="58" t="s">
        <v>3266</v>
      </c>
      <c r="E264" s="58" t="s">
        <v>3267</v>
      </c>
      <c r="F264" s="58" t="s">
        <v>3268</v>
      </c>
      <c r="G264" s="152" t="s">
        <v>34</v>
      </c>
      <c r="H264" s="152">
        <v>1</v>
      </c>
      <c r="I264" s="153">
        <v>0.476944444444444</v>
      </c>
      <c r="J264" s="154">
        <v>43978</v>
      </c>
      <c r="K264" s="153" t="s">
        <v>20</v>
      </c>
      <c r="L264" s="152">
        <v>4.99</v>
      </c>
      <c r="M264" s="155"/>
    </row>
    <row r="265" spans="1:13" s="156" customFormat="1" ht="35" customHeight="1">
      <c r="A265" s="42">
        <f>ROW()-2</f>
        <v>263</v>
      </c>
      <c r="B265" s="152" t="s">
        <v>2732</v>
      </c>
      <c r="C265" s="152" t="s">
        <v>3265</v>
      </c>
      <c r="D265" s="58" t="s">
        <v>3277</v>
      </c>
      <c r="E265" s="58" t="s">
        <v>3278</v>
      </c>
      <c r="F265" s="58" t="s">
        <v>3279</v>
      </c>
      <c r="G265" s="152" t="s">
        <v>34</v>
      </c>
      <c r="H265" s="152">
        <v>1</v>
      </c>
      <c r="I265" s="153">
        <v>0.55972222222222201</v>
      </c>
      <c r="J265" s="154">
        <v>43978</v>
      </c>
      <c r="K265" s="153" t="s">
        <v>20</v>
      </c>
      <c r="L265" s="152">
        <v>4.99</v>
      </c>
      <c r="M265" s="155"/>
    </row>
    <row r="266" spans="1:13" s="156" customFormat="1" ht="35" customHeight="1">
      <c r="A266" s="42">
        <f>ROW()-2</f>
        <v>264</v>
      </c>
      <c r="B266" s="152" t="s">
        <v>2732</v>
      </c>
      <c r="C266" s="152" t="s">
        <v>3265</v>
      </c>
      <c r="D266" s="58" t="s">
        <v>3280</v>
      </c>
      <c r="E266" s="58" t="s">
        <v>3267</v>
      </c>
      <c r="F266" s="58" t="s">
        <v>2843</v>
      </c>
      <c r="G266" s="152" t="s">
        <v>34</v>
      </c>
      <c r="H266" s="152">
        <v>1</v>
      </c>
      <c r="I266" s="153">
        <v>0.60499999999999998</v>
      </c>
      <c r="J266" s="154">
        <v>43978</v>
      </c>
      <c r="K266" s="153" t="s">
        <v>20</v>
      </c>
      <c r="L266" s="152">
        <v>4.99</v>
      </c>
      <c r="M266" s="155"/>
    </row>
    <row r="267" spans="1:13" s="156" customFormat="1" ht="35" customHeight="1">
      <c r="A267" s="42">
        <f>ROW()-2</f>
        <v>265</v>
      </c>
      <c r="B267" s="152" t="s">
        <v>2732</v>
      </c>
      <c r="C267" s="152" t="s">
        <v>3265</v>
      </c>
      <c r="D267" s="58" t="s">
        <v>3286</v>
      </c>
      <c r="E267" s="58" t="s">
        <v>3287</v>
      </c>
      <c r="F267" s="58" t="s">
        <v>3038</v>
      </c>
      <c r="G267" s="152" t="s">
        <v>34</v>
      </c>
      <c r="H267" s="152">
        <v>1</v>
      </c>
      <c r="I267" s="153">
        <v>0.50805555555555604</v>
      </c>
      <c r="J267" s="154">
        <v>43978</v>
      </c>
      <c r="K267" s="153" t="s">
        <v>20</v>
      </c>
      <c r="L267" s="152">
        <v>4.99</v>
      </c>
      <c r="M267" s="155"/>
    </row>
    <row r="268" spans="1:13" s="156" customFormat="1" ht="35" customHeight="1">
      <c r="A268" s="42">
        <f>ROW()-2</f>
        <v>266</v>
      </c>
      <c r="B268" s="152" t="s">
        <v>2732</v>
      </c>
      <c r="C268" s="152" t="s">
        <v>3265</v>
      </c>
      <c r="D268" s="58" t="s">
        <v>3290</v>
      </c>
      <c r="E268" s="58" t="s">
        <v>3291</v>
      </c>
      <c r="F268" s="58" t="s">
        <v>3038</v>
      </c>
      <c r="G268" s="152" t="s">
        <v>34</v>
      </c>
      <c r="H268" s="152">
        <v>1</v>
      </c>
      <c r="I268" s="153">
        <v>1.0358333333333301</v>
      </c>
      <c r="J268" s="154">
        <v>43978</v>
      </c>
      <c r="K268" s="153" t="s">
        <v>20</v>
      </c>
      <c r="L268" s="152">
        <v>4.99</v>
      </c>
      <c r="M268" s="155"/>
    </row>
    <row r="269" spans="1:13" s="156" customFormat="1" ht="35" customHeight="1">
      <c r="A269" s="42">
        <f>ROW()-2</f>
        <v>267</v>
      </c>
      <c r="B269" s="152" t="s">
        <v>2732</v>
      </c>
      <c r="C269" s="152" t="s">
        <v>3265</v>
      </c>
      <c r="D269" s="58" t="s">
        <v>3292</v>
      </c>
      <c r="E269" s="58" t="s">
        <v>3293</v>
      </c>
      <c r="F269" s="58" t="s">
        <v>2872</v>
      </c>
      <c r="G269" s="152" t="s">
        <v>34</v>
      </c>
      <c r="H269" s="152">
        <v>1</v>
      </c>
      <c r="I269" s="153">
        <v>0.35638888888888898</v>
      </c>
      <c r="J269" s="154">
        <v>43978</v>
      </c>
      <c r="K269" s="153" t="s">
        <v>20</v>
      </c>
      <c r="L269" s="152">
        <v>4.99</v>
      </c>
      <c r="M269" s="155"/>
    </row>
    <row r="270" spans="1:13" s="156" customFormat="1" ht="35" customHeight="1">
      <c r="A270" s="42">
        <f>ROW()-2</f>
        <v>268</v>
      </c>
      <c r="B270" s="152" t="s">
        <v>2732</v>
      </c>
      <c r="C270" s="152" t="s">
        <v>3265</v>
      </c>
      <c r="D270" s="58" t="s">
        <v>3294</v>
      </c>
      <c r="E270" s="58" t="s">
        <v>3295</v>
      </c>
      <c r="F270" s="58" t="s">
        <v>3296</v>
      </c>
      <c r="G270" s="152" t="s">
        <v>34</v>
      </c>
      <c r="H270" s="152">
        <v>1</v>
      </c>
      <c r="I270" s="153">
        <v>0.42027777777777803</v>
      </c>
      <c r="J270" s="154">
        <v>43978</v>
      </c>
      <c r="K270" s="153" t="s">
        <v>20</v>
      </c>
      <c r="L270" s="152">
        <v>4.99</v>
      </c>
      <c r="M270" s="155"/>
    </row>
    <row r="271" spans="1:13" s="156" customFormat="1" ht="35" customHeight="1">
      <c r="A271" s="42">
        <f>ROW()-2</f>
        <v>269</v>
      </c>
      <c r="B271" s="152" t="s">
        <v>2732</v>
      </c>
      <c r="C271" s="152" t="s">
        <v>3265</v>
      </c>
      <c r="D271" s="58" t="s">
        <v>3301</v>
      </c>
      <c r="E271" s="58" t="s">
        <v>3302</v>
      </c>
      <c r="F271" s="58" t="s">
        <v>3303</v>
      </c>
      <c r="G271" s="152" t="s">
        <v>34</v>
      </c>
      <c r="H271" s="152">
        <v>1</v>
      </c>
      <c r="I271" s="153">
        <v>0.473333333333333</v>
      </c>
      <c r="J271" s="154">
        <v>43978</v>
      </c>
      <c r="K271" s="153" t="s">
        <v>20</v>
      </c>
      <c r="L271" s="152">
        <v>4.99</v>
      </c>
      <c r="M271" s="155"/>
    </row>
    <row r="272" spans="1:13" s="156" customFormat="1" ht="35" customHeight="1">
      <c r="A272" s="42">
        <f>ROW()-2</f>
        <v>270</v>
      </c>
      <c r="B272" s="152" t="s">
        <v>2732</v>
      </c>
      <c r="C272" s="152" t="s">
        <v>3265</v>
      </c>
      <c r="D272" s="58" t="s">
        <v>3304</v>
      </c>
      <c r="E272" s="58" t="s">
        <v>3305</v>
      </c>
      <c r="F272" s="58" t="s">
        <v>3306</v>
      </c>
      <c r="G272" s="152" t="s">
        <v>34</v>
      </c>
      <c r="H272" s="152">
        <v>1</v>
      </c>
      <c r="I272" s="153">
        <v>0.53749999999999998</v>
      </c>
      <c r="J272" s="154">
        <v>43978</v>
      </c>
      <c r="K272" s="153" t="s">
        <v>20</v>
      </c>
      <c r="L272" s="152">
        <v>4.99</v>
      </c>
      <c r="M272" s="155"/>
    </row>
    <row r="273" spans="1:13" s="156" customFormat="1" ht="35" customHeight="1">
      <c r="A273" s="42">
        <f>ROW()-2</f>
        <v>271</v>
      </c>
      <c r="B273" s="152" t="s">
        <v>2732</v>
      </c>
      <c r="C273" s="152" t="s">
        <v>3265</v>
      </c>
      <c r="D273" s="58" t="s">
        <v>3307</v>
      </c>
      <c r="E273" s="58" t="s">
        <v>3308</v>
      </c>
      <c r="F273" s="58" t="s">
        <v>2916</v>
      </c>
      <c r="G273" s="152" t="s">
        <v>34</v>
      </c>
      <c r="H273" s="152">
        <v>1</v>
      </c>
      <c r="I273" s="153">
        <v>0.37361111111111101</v>
      </c>
      <c r="J273" s="154">
        <v>43978</v>
      </c>
      <c r="K273" s="153" t="s">
        <v>20</v>
      </c>
      <c r="L273" s="152">
        <v>4.99</v>
      </c>
      <c r="M273" s="155"/>
    </row>
    <row r="274" spans="1:13" s="156" customFormat="1" ht="35" customHeight="1">
      <c r="A274" s="42">
        <f>ROW()-2</f>
        <v>272</v>
      </c>
      <c r="B274" s="152" t="s">
        <v>2732</v>
      </c>
      <c r="C274" s="152" t="s">
        <v>3265</v>
      </c>
      <c r="D274" s="58" t="s">
        <v>3317</v>
      </c>
      <c r="E274" s="58" t="s">
        <v>3318</v>
      </c>
      <c r="F274" s="58" t="s">
        <v>3116</v>
      </c>
      <c r="G274" s="152" t="s">
        <v>34</v>
      </c>
      <c r="H274" s="152">
        <v>1</v>
      </c>
      <c r="I274" s="153">
        <v>0.41166666666666701</v>
      </c>
      <c r="J274" s="154">
        <v>43978</v>
      </c>
      <c r="K274" s="153" t="s">
        <v>20</v>
      </c>
      <c r="L274" s="152">
        <v>4.99</v>
      </c>
      <c r="M274" s="155"/>
    </row>
    <row r="275" spans="1:13" s="156" customFormat="1" ht="35" customHeight="1">
      <c r="A275" s="42">
        <f>ROW()-2</f>
        <v>273</v>
      </c>
      <c r="B275" s="152" t="s">
        <v>2732</v>
      </c>
      <c r="C275" s="152" t="s">
        <v>3265</v>
      </c>
      <c r="D275" s="58" t="s">
        <v>3324</v>
      </c>
      <c r="E275" s="58" t="s">
        <v>3325</v>
      </c>
      <c r="F275" s="58" t="s">
        <v>3326</v>
      </c>
      <c r="G275" s="152" t="s">
        <v>34</v>
      </c>
      <c r="H275" s="152">
        <v>1</v>
      </c>
      <c r="I275" s="153">
        <v>0.46916666666666701</v>
      </c>
      <c r="J275" s="154">
        <v>43978</v>
      </c>
      <c r="K275" s="153" t="s">
        <v>20</v>
      </c>
      <c r="L275" s="152">
        <v>4.99</v>
      </c>
      <c r="M275" s="155"/>
    </row>
    <row r="276" spans="1:13" s="156" customFormat="1" ht="35" customHeight="1">
      <c r="A276" s="42">
        <f>ROW()-2</f>
        <v>274</v>
      </c>
      <c r="B276" s="152" t="s">
        <v>2732</v>
      </c>
      <c r="C276" s="152" t="s">
        <v>3265</v>
      </c>
      <c r="D276" s="58" t="s">
        <v>3313</v>
      </c>
      <c r="E276" s="58" t="s">
        <v>3314</v>
      </c>
      <c r="F276" s="58" t="s">
        <v>1259</v>
      </c>
      <c r="G276" s="152" t="s">
        <v>34</v>
      </c>
      <c r="H276" s="152">
        <v>1</v>
      </c>
      <c r="I276" s="153">
        <v>0.35</v>
      </c>
      <c r="J276" s="154">
        <v>44004</v>
      </c>
      <c r="K276" s="153" t="s">
        <v>20</v>
      </c>
      <c r="L276" s="152">
        <v>4.99</v>
      </c>
      <c r="M276" s="155"/>
    </row>
    <row r="277" spans="1:13" s="156" customFormat="1" ht="35" customHeight="1">
      <c r="A277" s="42">
        <f>ROW()-2</f>
        <v>275</v>
      </c>
      <c r="B277" s="152" t="s">
        <v>2732</v>
      </c>
      <c r="C277" s="152" t="s">
        <v>3265</v>
      </c>
      <c r="D277" s="58" t="s">
        <v>3315</v>
      </c>
      <c r="E277" s="58" t="s">
        <v>3316</v>
      </c>
      <c r="F277" s="58" t="s">
        <v>3038</v>
      </c>
      <c r="G277" s="152" t="s">
        <v>34</v>
      </c>
      <c r="H277" s="152">
        <v>1</v>
      </c>
      <c r="I277" s="153">
        <v>0.4</v>
      </c>
      <c r="J277" s="154">
        <v>44004</v>
      </c>
      <c r="K277" s="153" t="s">
        <v>20</v>
      </c>
      <c r="L277" s="152">
        <v>4.99</v>
      </c>
      <c r="M277" s="155"/>
    </row>
    <row r="278" spans="1:13" s="156" customFormat="1" ht="35" customHeight="1">
      <c r="A278" s="42">
        <f>ROW()-2</f>
        <v>276</v>
      </c>
      <c r="B278" s="152" t="s">
        <v>2732</v>
      </c>
      <c r="C278" s="152" t="s">
        <v>3265</v>
      </c>
      <c r="D278" s="58" t="s">
        <v>3319</v>
      </c>
      <c r="E278" s="58" t="s">
        <v>3320</v>
      </c>
      <c r="F278" s="58" t="s">
        <v>3311</v>
      </c>
      <c r="G278" s="152" t="s">
        <v>34</v>
      </c>
      <c r="H278" s="152">
        <v>1</v>
      </c>
      <c r="I278" s="153">
        <v>0.61</v>
      </c>
      <c r="J278" s="154">
        <v>44011</v>
      </c>
      <c r="K278" s="153" t="s">
        <v>20</v>
      </c>
      <c r="L278" s="152">
        <v>4.99</v>
      </c>
      <c r="M278" s="155"/>
    </row>
    <row r="279" spans="1:13" s="156" customFormat="1" ht="35" customHeight="1">
      <c r="A279" s="42">
        <f>ROW()-2</f>
        <v>277</v>
      </c>
      <c r="B279" s="152" t="s">
        <v>2732</v>
      </c>
      <c r="C279" s="152" t="s">
        <v>3265</v>
      </c>
      <c r="D279" s="58" t="s">
        <v>3321</v>
      </c>
      <c r="E279" s="58" t="s">
        <v>3322</v>
      </c>
      <c r="F279" s="58" t="s">
        <v>3323</v>
      </c>
      <c r="G279" s="152" t="s">
        <v>34</v>
      </c>
      <c r="H279" s="152">
        <v>1</v>
      </c>
      <c r="I279" s="153">
        <v>0.18</v>
      </c>
      <c r="J279" s="154">
        <v>44011</v>
      </c>
      <c r="K279" s="153" t="s">
        <v>20</v>
      </c>
      <c r="L279" s="152">
        <v>4.99</v>
      </c>
      <c r="M279" s="155"/>
    </row>
    <row r="280" spans="1:13" s="156" customFormat="1" ht="35" customHeight="1">
      <c r="A280" s="42">
        <f>ROW()-2</f>
        <v>278</v>
      </c>
      <c r="B280" s="152" t="s">
        <v>2732</v>
      </c>
      <c r="C280" s="152" t="s">
        <v>3265</v>
      </c>
      <c r="D280" s="58" t="s">
        <v>3324</v>
      </c>
      <c r="E280" s="58" t="s">
        <v>3325</v>
      </c>
      <c r="F280" s="58" t="s">
        <v>3326</v>
      </c>
      <c r="G280" s="152" t="s">
        <v>34</v>
      </c>
      <c r="H280" s="152">
        <v>1</v>
      </c>
      <c r="I280" s="153">
        <v>0.18</v>
      </c>
      <c r="J280" s="154">
        <v>44011</v>
      </c>
      <c r="K280" s="153" t="s">
        <v>20</v>
      </c>
      <c r="L280" s="152">
        <v>4.99</v>
      </c>
      <c r="M280" s="155"/>
    </row>
    <row r="281" spans="1:13" s="156" customFormat="1" ht="35" customHeight="1">
      <c r="A281" s="42">
        <f>ROW()-2</f>
        <v>279</v>
      </c>
      <c r="B281" s="152" t="s">
        <v>2732</v>
      </c>
      <c r="C281" s="152" t="s">
        <v>3265</v>
      </c>
      <c r="D281" s="58" t="s">
        <v>3327</v>
      </c>
      <c r="E281" s="58" t="s">
        <v>3328</v>
      </c>
      <c r="F281" s="58" t="s">
        <v>2748</v>
      </c>
      <c r="G281" s="152" t="s">
        <v>34</v>
      </c>
      <c r="H281" s="152">
        <v>1</v>
      </c>
      <c r="I281" s="157">
        <v>0.43</v>
      </c>
      <c r="J281" s="154">
        <v>44102</v>
      </c>
      <c r="K281" s="153" t="s">
        <v>20</v>
      </c>
      <c r="L281" s="153">
        <v>4.99</v>
      </c>
      <c r="M281" s="155"/>
    </row>
    <row r="282" spans="1:13" s="156" customFormat="1" ht="35" customHeight="1">
      <c r="A282" s="42">
        <f>ROW()-2</f>
        <v>280</v>
      </c>
      <c r="B282" s="152" t="s">
        <v>2732</v>
      </c>
      <c r="C282" s="152" t="s">
        <v>3329</v>
      </c>
      <c r="D282" s="58" t="s">
        <v>3344</v>
      </c>
      <c r="E282" s="58" t="s">
        <v>3345</v>
      </c>
      <c r="F282" s="58" t="s">
        <v>3346</v>
      </c>
      <c r="G282" s="152" t="s">
        <v>34</v>
      </c>
      <c r="H282" s="152">
        <v>1</v>
      </c>
      <c r="I282" s="153">
        <v>0.531944444444444</v>
      </c>
      <c r="J282" s="154">
        <v>43962</v>
      </c>
      <c r="K282" s="153" t="s">
        <v>20</v>
      </c>
      <c r="L282" s="152">
        <v>4.99</v>
      </c>
      <c r="M282" s="155"/>
    </row>
    <row r="283" spans="1:13" s="156" customFormat="1" ht="35" customHeight="1">
      <c r="A283" s="42">
        <f>ROW()-2</f>
        <v>281</v>
      </c>
      <c r="B283" s="152" t="s">
        <v>2732</v>
      </c>
      <c r="C283" s="152" t="s">
        <v>3329</v>
      </c>
      <c r="D283" s="58" t="s">
        <v>3422</v>
      </c>
      <c r="E283" s="58" t="s">
        <v>3423</v>
      </c>
      <c r="F283" s="58" t="s">
        <v>3362</v>
      </c>
      <c r="G283" s="152" t="s">
        <v>34</v>
      </c>
      <c r="H283" s="152">
        <v>1</v>
      </c>
      <c r="I283" s="153">
        <v>0.48166666666666702</v>
      </c>
      <c r="J283" s="154">
        <v>43962</v>
      </c>
      <c r="K283" s="153" t="s">
        <v>20</v>
      </c>
      <c r="L283" s="152">
        <v>4.99</v>
      </c>
      <c r="M283" s="155"/>
    </row>
    <row r="284" spans="1:13" s="156" customFormat="1" ht="35" customHeight="1">
      <c r="A284" s="42">
        <f>ROW()-2</f>
        <v>282</v>
      </c>
      <c r="B284" s="152" t="s">
        <v>2732</v>
      </c>
      <c r="C284" s="152" t="s">
        <v>3329</v>
      </c>
      <c r="D284" s="58" t="s">
        <v>3426</v>
      </c>
      <c r="E284" s="58" t="s">
        <v>3427</v>
      </c>
      <c r="F284" s="58" t="s">
        <v>3428</v>
      </c>
      <c r="G284" s="152" t="s">
        <v>34</v>
      </c>
      <c r="H284" s="152">
        <v>1</v>
      </c>
      <c r="I284" s="153">
        <v>0.55222222222222195</v>
      </c>
      <c r="J284" s="154">
        <v>43962</v>
      </c>
      <c r="K284" s="153" t="s">
        <v>20</v>
      </c>
      <c r="L284" s="152">
        <v>4.99</v>
      </c>
      <c r="M284" s="155"/>
    </row>
    <row r="285" spans="1:13" s="156" customFormat="1" ht="35" customHeight="1">
      <c r="A285" s="42">
        <f>ROW()-2</f>
        <v>283</v>
      </c>
      <c r="B285" s="152" t="s">
        <v>2732</v>
      </c>
      <c r="C285" s="152" t="s">
        <v>3329</v>
      </c>
      <c r="D285" s="58" t="s">
        <v>3441</v>
      </c>
      <c r="E285" s="58" t="s">
        <v>3442</v>
      </c>
      <c r="F285" s="58" t="s">
        <v>2748</v>
      </c>
      <c r="G285" s="152" t="s">
        <v>34</v>
      </c>
      <c r="H285" s="152">
        <v>1</v>
      </c>
      <c r="I285" s="153">
        <v>0.33444444444444399</v>
      </c>
      <c r="J285" s="154">
        <v>43962</v>
      </c>
      <c r="K285" s="153" t="s">
        <v>20</v>
      </c>
      <c r="L285" s="152">
        <v>4.99</v>
      </c>
      <c r="M285" s="155"/>
    </row>
    <row r="286" spans="1:13" s="156" customFormat="1" ht="35" customHeight="1">
      <c r="A286" s="42">
        <f>ROW()-2</f>
        <v>284</v>
      </c>
      <c r="B286" s="152" t="s">
        <v>2732</v>
      </c>
      <c r="C286" s="152" t="s">
        <v>3329</v>
      </c>
      <c r="D286" s="58" t="s">
        <v>3443</v>
      </c>
      <c r="E286" s="58" t="s">
        <v>3444</v>
      </c>
      <c r="F286" s="58" t="s">
        <v>3445</v>
      </c>
      <c r="G286" s="152" t="s">
        <v>34</v>
      </c>
      <c r="H286" s="152">
        <v>1</v>
      </c>
      <c r="I286" s="153">
        <v>0.27750000000000002</v>
      </c>
      <c r="J286" s="154">
        <v>43962</v>
      </c>
      <c r="K286" s="153" t="s">
        <v>20</v>
      </c>
      <c r="L286" s="152">
        <v>4.99</v>
      </c>
      <c r="M286" s="155"/>
    </row>
    <row r="287" spans="1:13" s="156" customFormat="1" ht="35" customHeight="1">
      <c r="A287" s="42">
        <f>ROW()-2</f>
        <v>285</v>
      </c>
      <c r="B287" s="152" t="s">
        <v>2732</v>
      </c>
      <c r="C287" s="152" t="s">
        <v>3329</v>
      </c>
      <c r="D287" s="58" t="s">
        <v>3446</v>
      </c>
      <c r="E287" s="58" t="s">
        <v>3444</v>
      </c>
      <c r="F287" s="58" t="s">
        <v>3445</v>
      </c>
      <c r="G287" s="152" t="s">
        <v>34</v>
      </c>
      <c r="H287" s="152">
        <v>1</v>
      </c>
      <c r="I287" s="153">
        <v>0.517777777777778</v>
      </c>
      <c r="J287" s="154">
        <v>43962</v>
      </c>
      <c r="K287" s="153" t="s">
        <v>20</v>
      </c>
      <c r="L287" s="152">
        <v>4.99</v>
      </c>
      <c r="M287" s="155"/>
    </row>
    <row r="288" spans="1:13" s="156" customFormat="1" ht="35" customHeight="1">
      <c r="A288" s="42">
        <f>ROW()-2</f>
        <v>286</v>
      </c>
      <c r="B288" s="152" t="s">
        <v>2732</v>
      </c>
      <c r="C288" s="152" t="s">
        <v>3329</v>
      </c>
      <c r="D288" s="58" t="s">
        <v>3447</v>
      </c>
      <c r="E288" s="58" t="s">
        <v>3430</v>
      </c>
      <c r="F288" s="58" t="s">
        <v>3431</v>
      </c>
      <c r="G288" s="152" t="s">
        <v>34</v>
      </c>
      <c r="H288" s="152">
        <v>1</v>
      </c>
      <c r="I288" s="153">
        <v>0.50111111111111095</v>
      </c>
      <c r="J288" s="154">
        <v>43962</v>
      </c>
      <c r="K288" s="153" t="s">
        <v>20</v>
      </c>
      <c r="L288" s="152">
        <v>4.99</v>
      </c>
      <c r="M288" s="155"/>
    </row>
    <row r="289" spans="1:291" s="156" customFormat="1" ht="35" customHeight="1">
      <c r="A289" s="42">
        <f>ROW()-2</f>
        <v>287</v>
      </c>
      <c r="B289" s="152" t="s">
        <v>2732</v>
      </c>
      <c r="C289" s="152" t="s">
        <v>3329</v>
      </c>
      <c r="D289" s="58" t="s">
        <v>3448</v>
      </c>
      <c r="E289" s="58" t="s">
        <v>3449</v>
      </c>
      <c r="F289" s="58" t="s">
        <v>3431</v>
      </c>
      <c r="G289" s="152" t="s">
        <v>34</v>
      </c>
      <c r="H289" s="152">
        <v>1</v>
      </c>
      <c r="I289" s="153">
        <v>0.59638888888888897</v>
      </c>
      <c r="J289" s="154">
        <v>43962</v>
      </c>
      <c r="K289" s="153" t="s">
        <v>20</v>
      </c>
      <c r="L289" s="152">
        <v>4.99</v>
      </c>
      <c r="M289" s="155"/>
    </row>
    <row r="290" spans="1:291" s="156" customFormat="1" ht="35" customHeight="1">
      <c r="A290" s="42">
        <f>ROW()-2</f>
        <v>288</v>
      </c>
      <c r="B290" s="152" t="s">
        <v>2732</v>
      </c>
      <c r="C290" s="152" t="s">
        <v>3329</v>
      </c>
      <c r="D290" s="58" t="s">
        <v>3347</v>
      </c>
      <c r="E290" s="58" t="s">
        <v>3348</v>
      </c>
      <c r="F290" s="58" t="s">
        <v>3349</v>
      </c>
      <c r="G290" s="152" t="s">
        <v>34</v>
      </c>
      <c r="H290" s="152">
        <v>1</v>
      </c>
      <c r="I290" s="153">
        <v>0.66083333333333305</v>
      </c>
      <c r="J290" s="154">
        <v>43978</v>
      </c>
      <c r="K290" s="153" t="s">
        <v>20</v>
      </c>
      <c r="L290" s="152">
        <v>4.99</v>
      </c>
      <c r="M290" s="155"/>
    </row>
    <row r="291" spans="1:291" s="156" customFormat="1" ht="35" customHeight="1">
      <c r="A291" s="42">
        <f>ROW()-2</f>
        <v>289</v>
      </c>
      <c r="B291" s="152" t="s">
        <v>2732</v>
      </c>
      <c r="C291" s="152" t="s">
        <v>3329</v>
      </c>
      <c r="D291" s="58" t="s">
        <v>3350</v>
      </c>
      <c r="E291" s="58" t="s">
        <v>3351</v>
      </c>
      <c r="F291" s="58" t="s">
        <v>3352</v>
      </c>
      <c r="G291" s="152" t="s">
        <v>34</v>
      </c>
      <c r="H291" s="152">
        <v>1</v>
      </c>
      <c r="I291" s="153">
        <v>0.60805555555555602</v>
      </c>
      <c r="J291" s="154">
        <v>43978</v>
      </c>
      <c r="K291" s="153" t="s">
        <v>20</v>
      </c>
      <c r="L291" s="152">
        <v>4.99</v>
      </c>
      <c r="M291" s="155"/>
    </row>
    <row r="292" spans="1:291" s="156" customFormat="1" ht="35" customHeight="1">
      <c r="A292" s="42">
        <f>ROW()-2</f>
        <v>290</v>
      </c>
      <c r="B292" s="152" t="s">
        <v>2732</v>
      </c>
      <c r="C292" s="152" t="s">
        <v>3329</v>
      </c>
      <c r="D292" s="58" t="s">
        <v>3420</v>
      </c>
      <c r="E292" s="58" t="s">
        <v>3421</v>
      </c>
      <c r="F292" s="58" t="s">
        <v>2745</v>
      </c>
      <c r="G292" s="152" t="s">
        <v>34</v>
      </c>
      <c r="H292" s="152">
        <v>1</v>
      </c>
      <c r="I292" s="153">
        <v>0.34083333333333299</v>
      </c>
      <c r="J292" s="154">
        <v>43978</v>
      </c>
      <c r="K292" s="153" t="s">
        <v>20</v>
      </c>
      <c r="L292" s="152">
        <v>4.99</v>
      </c>
      <c r="M292" s="155"/>
    </row>
    <row r="293" spans="1:291" s="156" customFormat="1" ht="35" customHeight="1">
      <c r="A293" s="42">
        <f>ROW()-2</f>
        <v>291</v>
      </c>
      <c r="B293" s="152" t="s">
        <v>2732</v>
      </c>
      <c r="C293" s="152" t="s">
        <v>3329</v>
      </c>
      <c r="D293" s="58" t="s">
        <v>3424</v>
      </c>
      <c r="E293" s="58" t="s">
        <v>3425</v>
      </c>
      <c r="F293" s="58" t="s">
        <v>3038</v>
      </c>
      <c r="G293" s="152" t="s">
        <v>34</v>
      </c>
      <c r="H293" s="152">
        <v>1</v>
      </c>
      <c r="I293" s="153">
        <v>0.51361111111111102</v>
      </c>
      <c r="J293" s="154">
        <v>43978</v>
      </c>
      <c r="K293" s="153" t="s">
        <v>20</v>
      </c>
      <c r="L293" s="152">
        <v>4.99</v>
      </c>
      <c r="M293" s="155"/>
    </row>
    <row r="294" spans="1:291" s="156" customFormat="1" ht="35" customHeight="1">
      <c r="A294" s="42">
        <f>ROW()-2</f>
        <v>292</v>
      </c>
      <c r="B294" s="152" t="s">
        <v>2732</v>
      </c>
      <c r="C294" s="152" t="s">
        <v>3329</v>
      </c>
      <c r="D294" s="58" t="s">
        <v>3429</v>
      </c>
      <c r="E294" s="58" t="s">
        <v>3430</v>
      </c>
      <c r="F294" s="58" t="s">
        <v>3431</v>
      </c>
      <c r="G294" s="152" t="s">
        <v>34</v>
      </c>
      <c r="H294" s="152">
        <v>1</v>
      </c>
      <c r="I294" s="153">
        <v>0.46833333333333299</v>
      </c>
      <c r="J294" s="154">
        <v>43978</v>
      </c>
      <c r="K294" s="153" t="s">
        <v>20</v>
      </c>
      <c r="L294" s="152">
        <v>4.99</v>
      </c>
      <c r="M294" s="155"/>
    </row>
    <row r="295" spans="1:291" s="156" customFormat="1" ht="35" customHeight="1">
      <c r="A295" s="42">
        <f>ROW()-2</f>
        <v>293</v>
      </c>
      <c r="B295" s="152" t="s">
        <v>2732</v>
      </c>
      <c r="C295" s="152" t="s">
        <v>3329</v>
      </c>
      <c r="D295" s="58" t="s">
        <v>3438</v>
      </c>
      <c r="E295" s="58" t="s">
        <v>3439</v>
      </c>
      <c r="F295" s="58" t="s">
        <v>3440</v>
      </c>
      <c r="G295" s="152" t="s">
        <v>34</v>
      </c>
      <c r="H295" s="152">
        <v>1</v>
      </c>
      <c r="I295" s="153">
        <v>0.780555555555556</v>
      </c>
      <c r="J295" s="154">
        <v>43978</v>
      </c>
      <c r="K295" s="153" t="s">
        <v>20</v>
      </c>
      <c r="L295" s="152">
        <v>4.99</v>
      </c>
      <c r="M295" s="155"/>
    </row>
    <row r="296" spans="1:291" s="156" customFormat="1" ht="35" customHeight="1">
      <c r="A296" s="42">
        <f>ROW()-2</f>
        <v>294</v>
      </c>
      <c r="B296" s="152" t="s">
        <v>2732</v>
      </c>
      <c r="C296" s="152" t="s">
        <v>3329</v>
      </c>
      <c r="D296" s="58" t="s">
        <v>3492</v>
      </c>
      <c r="E296" s="58" t="s">
        <v>3493</v>
      </c>
      <c r="F296" s="58" t="s">
        <v>2948</v>
      </c>
      <c r="G296" s="152" t="s">
        <v>34</v>
      </c>
      <c r="H296" s="152">
        <v>1</v>
      </c>
      <c r="I296" s="153">
        <v>0.50083333333333302</v>
      </c>
      <c r="J296" s="154">
        <v>43978</v>
      </c>
      <c r="K296" s="153" t="s">
        <v>20</v>
      </c>
      <c r="L296" s="152">
        <v>4.99</v>
      </c>
      <c r="M296" s="155"/>
    </row>
    <row r="297" spans="1:291" s="156" customFormat="1" ht="35" customHeight="1">
      <c r="A297" s="42">
        <f>ROW()-2</f>
        <v>295</v>
      </c>
      <c r="B297" s="182" t="s">
        <v>2732</v>
      </c>
      <c r="C297" s="182" t="s">
        <v>3329</v>
      </c>
      <c r="D297" s="187" t="s">
        <v>5260</v>
      </c>
      <c r="E297" s="187" t="s">
        <v>5268</v>
      </c>
      <c r="F297" s="187" t="s">
        <v>4500</v>
      </c>
      <c r="G297" s="182" t="s">
        <v>34</v>
      </c>
      <c r="H297" s="182">
        <v>1</v>
      </c>
      <c r="I297" s="206">
        <v>0.5</v>
      </c>
      <c r="J297" s="209">
        <v>43978</v>
      </c>
      <c r="K297" s="206" t="s">
        <v>20</v>
      </c>
      <c r="L297" s="182">
        <v>4.99</v>
      </c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  <c r="BF297" s="136"/>
      <c r="BG297" s="136"/>
      <c r="BH297" s="136"/>
      <c r="BI297" s="136"/>
      <c r="BJ297" s="136"/>
      <c r="BK297" s="136"/>
      <c r="BL297" s="136"/>
      <c r="BM297" s="136"/>
      <c r="BN297" s="136"/>
      <c r="BO297" s="136"/>
      <c r="BP297" s="136"/>
      <c r="BQ297" s="136"/>
      <c r="BR297" s="136"/>
      <c r="BS297" s="136"/>
      <c r="BT297" s="136"/>
      <c r="BU297" s="136"/>
      <c r="BV297" s="136"/>
      <c r="BW297" s="136"/>
      <c r="BX297" s="136"/>
      <c r="BY297" s="136"/>
      <c r="BZ297" s="136"/>
      <c r="CA297" s="136"/>
      <c r="CB297" s="136"/>
      <c r="CC297" s="136"/>
      <c r="CD297" s="136"/>
      <c r="CE297" s="136"/>
      <c r="CF297" s="136"/>
      <c r="CG297" s="136"/>
      <c r="CH297" s="136"/>
      <c r="CI297" s="136"/>
      <c r="CJ297" s="136"/>
      <c r="CK297" s="136"/>
      <c r="CL297" s="136"/>
      <c r="CM297" s="136"/>
      <c r="CN297" s="136"/>
      <c r="CO297" s="136"/>
      <c r="CP297" s="136"/>
      <c r="CQ297" s="136"/>
      <c r="CR297" s="136"/>
      <c r="CS297" s="136"/>
      <c r="CT297" s="136"/>
      <c r="CU297" s="136"/>
      <c r="CV297" s="136"/>
      <c r="CW297" s="136"/>
      <c r="CX297" s="136"/>
      <c r="CY297" s="136"/>
      <c r="CZ297" s="136"/>
      <c r="DA297" s="136"/>
      <c r="DB297" s="136"/>
      <c r="DC297" s="136"/>
      <c r="DD297" s="136"/>
      <c r="DE297" s="136"/>
      <c r="DF297" s="136"/>
      <c r="DG297" s="136"/>
      <c r="DH297" s="136"/>
      <c r="DI297" s="136"/>
      <c r="DJ297" s="136"/>
      <c r="DK297" s="136"/>
      <c r="DL297" s="136"/>
      <c r="DM297" s="136"/>
      <c r="DN297" s="136"/>
      <c r="DO297" s="136"/>
      <c r="DP297" s="136"/>
      <c r="DQ297" s="136"/>
      <c r="DR297" s="136"/>
      <c r="DS297" s="136"/>
      <c r="DT297" s="136"/>
      <c r="DU297" s="136"/>
      <c r="DV297" s="136"/>
      <c r="DW297" s="136"/>
      <c r="DX297" s="136"/>
      <c r="DY297" s="136"/>
      <c r="DZ297" s="136"/>
      <c r="EA297" s="136"/>
      <c r="EB297" s="136"/>
      <c r="EC297" s="136"/>
      <c r="ED297" s="136"/>
      <c r="EE297" s="136"/>
      <c r="EF297" s="136"/>
      <c r="EG297" s="136"/>
      <c r="EH297" s="136"/>
      <c r="EI297" s="136"/>
      <c r="EJ297" s="136"/>
      <c r="EK297" s="136"/>
      <c r="EL297" s="136"/>
      <c r="EM297" s="136"/>
      <c r="EN297" s="136"/>
      <c r="EO297" s="136"/>
      <c r="EP297" s="136"/>
      <c r="EQ297" s="136"/>
      <c r="ER297" s="136"/>
      <c r="ES297" s="136"/>
      <c r="ET297" s="136"/>
      <c r="EU297" s="136"/>
      <c r="EV297" s="136"/>
      <c r="EW297" s="136"/>
      <c r="EX297" s="136"/>
      <c r="EY297" s="136"/>
      <c r="EZ297" s="136"/>
      <c r="FA297" s="136"/>
      <c r="FB297" s="136"/>
      <c r="FC297" s="136"/>
      <c r="FD297" s="136"/>
      <c r="FE297" s="136"/>
      <c r="FF297" s="136"/>
      <c r="FG297" s="136"/>
      <c r="FH297" s="136"/>
      <c r="FI297" s="136"/>
      <c r="FJ297" s="136"/>
      <c r="FK297" s="136"/>
      <c r="FL297" s="136"/>
      <c r="FM297" s="136"/>
      <c r="FN297" s="136"/>
      <c r="FO297" s="136"/>
      <c r="FP297" s="136"/>
      <c r="FQ297" s="136"/>
      <c r="FR297" s="136"/>
      <c r="FS297" s="136"/>
      <c r="FT297" s="136"/>
      <c r="FU297" s="136"/>
      <c r="FV297" s="136"/>
      <c r="FW297" s="136"/>
      <c r="FX297" s="136"/>
      <c r="FY297" s="136"/>
      <c r="FZ297" s="136"/>
      <c r="GA297" s="136"/>
      <c r="GB297" s="136"/>
      <c r="GC297" s="136"/>
      <c r="GD297" s="136"/>
      <c r="GE297" s="136"/>
      <c r="GF297" s="136"/>
      <c r="GG297" s="136"/>
      <c r="GH297" s="136"/>
      <c r="GI297" s="136"/>
      <c r="GJ297" s="136"/>
      <c r="GK297" s="136"/>
      <c r="GL297" s="136"/>
      <c r="GM297" s="136"/>
      <c r="GN297" s="136"/>
      <c r="GO297" s="136"/>
      <c r="GP297" s="136"/>
      <c r="GQ297" s="136"/>
      <c r="GR297" s="136"/>
      <c r="GS297" s="136"/>
      <c r="GT297" s="136"/>
      <c r="GU297" s="136"/>
      <c r="GV297" s="136"/>
      <c r="GW297" s="136"/>
      <c r="GX297" s="136"/>
      <c r="GY297" s="136"/>
      <c r="GZ297" s="136"/>
      <c r="HA297" s="136"/>
      <c r="HB297" s="136"/>
      <c r="HC297" s="136"/>
      <c r="HD297" s="136"/>
      <c r="HE297" s="136"/>
      <c r="HF297" s="136"/>
      <c r="HG297" s="136"/>
      <c r="HH297" s="136"/>
      <c r="HI297" s="136"/>
      <c r="HJ297" s="136"/>
      <c r="HK297" s="136"/>
      <c r="HL297" s="136"/>
      <c r="HM297" s="136"/>
      <c r="HN297" s="136"/>
      <c r="HO297" s="136"/>
      <c r="HP297" s="136"/>
      <c r="HQ297" s="136"/>
      <c r="HR297" s="136"/>
      <c r="HS297" s="136"/>
      <c r="HT297" s="136"/>
      <c r="HU297" s="136"/>
      <c r="HV297" s="136"/>
      <c r="HW297" s="136"/>
      <c r="HX297" s="136"/>
      <c r="HY297" s="136"/>
      <c r="HZ297" s="136"/>
      <c r="IA297" s="136"/>
      <c r="IB297" s="136"/>
      <c r="IC297" s="136"/>
      <c r="ID297" s="136"/>
      <c r="IE297" s="136"/>
      <c r="IF297" s="136"/>
      <c r="IG297" s="136"/>
      <c r="IH297" s="136"/>
      <c r="II297" s="136"/>
      <c r="IJ297" s="136"/>
      <c r="IK297" s="136"/>
      <c r="IL297" s="136"/>
      <c r="IM297" s="136"/>
      <c r="IN297" s="136"/>
      <c r="IO297" s="136"/>
      <c r="IP297" s="136"/>
      <c r="IQ297" s="136"/>
      <c r="IR297" s="136"/>
      <c r="IS297" s="136"/>
      <c r="IT297" s="136"/>
      <c r="IU297" s="136"/>
      <c r="IV297" s="136"/>
      <c r="IW297" s="136"/>
      <c r="IX297" s="136"/>
      <c r="IY297" s="136"/>
      <c r="IZ297" s="136"/>
      <c r="JA297" s="136"/>
      <c r="JB297" s="136"/>
      <c r="JC297" s="136"/>
      <c r="JD297" s="136"/>
      <c r="JE297" s="136"/>
      <c r="JF297" s="136"/>
      <c r="JG297" s="136"/>
      <c r="JH297" s="136"/>
      <c r="JI297" s="136"/>
      <c r="JJ297" s="136"/>
      <c r="JK297" s="136"/>
      <c r="JL297" s="136"/>
      <c r="JM297" s="136"/>
      <c r="JN297" s="136"/>
      <c r="JO297" s="136"/>
      <c r="JP297" s="136"/>
      <c r="JQ297" s="136"/>
      <c r="JR297" s="136"/>
      <c r="JS297" s="136"/>
      <c r="JT297" s="136"/>
      <c r="JU297" s="136"/>
      <c r="JV297" s="136"/>
      <c r="JW297" s="136"/>
      <c r="JX297" s="136"/>
      <c r="JY297" s="136"/>
      <c r="JZ297" s="136"/>
      <c r="KA297" s="136"/>
      <c r="KB297" s="136"/>
      <c r="KC297" s="136"/>
      <c r="KD297" s="136"/>
      <c r="KE297" s="136"/>
    </row>
    <row r="298" spans="1:291" s="156" customFormat="1" ht="35" customHeight="1">
      <c r="A298" s="42">
        <f>ROW()-2</f>
        <v>296</v>
      </c>
      <c r="B298" s="152" t="s">
        <v>2732</v>
      </c>
      <c r="C298" s="152" t="s">
        <v>3329</v>
      </c>
      <c r="D298" s="58" t="s">
        <v>3450</v>
      </c>
      <c r="E298" s="58" t="s">
        <v>3451</v>
      </c>
      <c r="F298" s="58" t="s">
        <v>3452</v>
      </c>
      <c r="G298" s="152" t="s">
        <v>34</v>
      </c>
      <c r="H298" s="152">
        <v>1</v>
      </c>
      <c r="I298" s="153">
        <v>0.9</v>
      </c>
      <c r="J298" s="154">
        <v>44011</v>
      </c>
      <c r="K298" s="153" t="s">
        <v>20</v>
      </c>
      <c r="L298" s="152">
        <v>4.99</v>
      </c>
      <c r="M298" s="155"/>
    </row>
    <row r="299" spans="1:291" s="156" customFormat="1" ht="35" customHeight="1">
      <c r="A299" s="42">
        <f>ROW()-2</f>
        <v>297</v>
      </c>
      <c r="B299" s="152" t="s">
        <v>2732</v>
      </c>
      <c r="C299" s="152" t="s">
        <v>3329</v>
      </c>
      <c r="D299" s="58" t="s">
        <v>3453</v>
      </c>
      <c r="E299" s="58" t="s">
        <v>3454</v>
      </c>
      <c r="F299" s="58" t="s">
        <v>3455</v>
      </c>
      <c r="G299" s="152" t="s">
        <v>34</v>
      </c>
      <c r="H299" s="152">
        <v>1</v>
      </c>
      <c r="I299" s="153">
        <v>0.36</v>
      </c>
      <c r="J299" s="154">
        <v>44011</v>
      </c>
      <c r="K299" s="153" t="s">
        <v>20</v>
      </c>
      <c r="L299" s="152">
        <v>4.99</v>
      </c>
      <c r="M299" s="155"/>
    </row>
    <row r="300" spans="1:291" s="156" customFormat="1" ht="35" customHeight="1">
      <c r="A300" s="42">
        <f>ROW()-2</f>
        <v>298</v>
      </c>
      <c r="B300" s="152" t="s">
        <v>2732</v>
      </c>
      <c r="C300" s="152" t="s">
        <v>3329</v>
      </c>
      <c r="D300" s="58" t="s">
        <v>5598</v>
      </c>
      <c r="E300" s="58" t="s">
        <v>3456</v>
      </c>
      <c r="F300" s="58" t="s">
        <v>3335</v>
      </c>
      <c r="G300" s="152" t="s">
        <v>34</v>
      </c>
      <c r="H300" s="152">
        <v>1</v>
      </c>
      <c r="I300" s="153">
        <v>0.56000000000000005</v>
      </c>
      <c r="J300" s="154">
        <v>44011</v>
      </c>
      <c r="K300" s="153" t="s">
        <v>20</v>
      </c>
      <c r="L300" s="152">
        <v>4.99</v>
      </c>
      <c r="M300" s="155"/>
    </row>
    <row r="301" spans="1:291" s="156" customFormat="1" ht="35" customHeight="1">
      <c r="A301" s="42">
        <f>ROW()-2</f>
        <v>299</v>
      </c>
      <c r="B301" s="152" t="s">
        <v>2732</v>
      </c>
      <c r="C301" s="152" t="s">
        <v>3329</v>
      </c>
      <c r="D301" s="58" t="s">
        <v>5599</v>
      </c>
      <c r="E301" s="58" t="s">
        <v>3456</v>
      </c>
      <c r="F301" s="58" t="s">
        <v>3335</v>
      </c>
      <c r="G301" s="152" t="s">
        <v>34</v>
      </c>
      <c r="H301" s="152">
        <v>1</v>
      </c>
      <c r="I301" s="153">
        <v>0.57999999999999996</v>
      </c>
      <c r="J301" s="154">
        <v>44011</v>
      </c>
      <c r="K301" s="153" t="s">
        <v>20</v>
      </c>
      <c r="L301" s="152">
        <v>4.99</v>
      </c>
      <c r="M301" s="155"/>
    </row>
    <row r="302" spans="1:291" s="156" customFormat="1" ht="35" customHeight="1">
      <c r="A302" s="42">
        <f>ROW()-2</f>
        <v>300</v>
      </c>
      <c r="B302" s="152" t="s">
        <v>2732</v>
      </c>
      <c r="C302" s="152" t="s">
        <v>3329</v>
      </c>
      <c r="D302" s="58" t="s">
        <v>3457</v>
      </c>
      <c r="E302" s="58" t="s">
        <v>3458</v>
      </c>
      <c r="F302" s="58" t="s">
        <v>3459</v>
      </c>
      <c r="G302" s="152" t="s">
        <v>34</v>
      </c>
      <c r="H302" s="152">
        <v>1</v>
      </c>
      <c r="I302" s="153">
        <v>0.5</v>
      </c>
      <c r="J302" s="154">
        <v>44011</v>
      </c>
      <c r="K302" s="153" t="s">
        <v>20</v>
      </c>
      <c r="L302" s="152">
        <v>4.99</v>
      </c>
      <c r="M302" s="155"/>
    </row>
    <row r="303" spans="1:291" s="156" customFormat="1" ht="35" customHeight="1">
      <c r="A303" s="42">
        <f>ROW()-2</f>
        <v>301</v>
      </c>
      <c r="B303" s="152" t="s">
        <v>2732</v>
      </c>
      <c r="C303" s="152" t="s">
        <v>3329</v>
      </c>
      <c r="D303" s="58" t="s">
        <v>5600</v>
      </c>
      <c r="E303" s="58" t="s">
        <v>3460</v>
      </c>
      <c r="F303" s="58" t="s">
        <v>3431</v>
      </c>
      <c r="G303" s="152" t="s">
        <v>34</v>
      </c>
      <c r="H303" s="152">
        <v>1</v>
      </c>
      <c r="I303" s="153">
        <v>0.52</v>
      </c>
      <c r="J303" s="154">
        <v>44011</v>
      </c>
      <c r="K303" s="153" t="s">
        <v>20</v>
      </c>
      <c r="L303" s="152">
        <v>4.99</v>
      </c>
      <c r="M303" s="155"/>
    </row>
    <row r="304" spans="1:291" s="156" customFormat="1" ht="35" customHeight="1">
      <c r="A304" s="42">
        <f>ROW()-2</f>
        <v>302</v>
      </c>
      <c r="B304" s="152" t="s">
        <v>2732</v>
      </c>
      <c r="C304" s="152" t="s">
        <v>3329</v>
      </c>
      <c r="D304" s="58" t="s">
        <v>5601</v>
      </c>
      <c r="E304" s="58" t="s">
        <v>3460</v>
      </c>
      <c r="F304" s="58" t="s">
        <v>3431</v>
      </c>
      <c r="G304" s="152" t="s">
        <v>34</v>
      </c>
      <c r="H304" s="152">
        <v>1</v>
      </c>
      <c r="I304" s="153">
        <v>0.6</v>
      </c>
      <c r="J304" s="154">
        <v>44011</v>
      </c>
      <c r="K304" s="153" t="s">
        <v>20</v>
      </c>
      <c r="L304" s="152">
        <v>4.99</v>
      </c>
      <c r="M304" s="155"/>
    </row>
    <row r="305" spans="1:13" s="156" customFormat="1" ht="35" customHeight="1">
      <c r="A305" s="42">
        <f>ROW()-2</f>
        <v>303</v>
      </c>
      <c r="B305" s="152" t="s">
        <v>2732</v>
      </c>
      <c r="C305" s="152" t="s">
        <v>3329</v>
      </c>
      <c r="D305" s="58" t="s">
        <v>3461</v>
      </c>
      <c r="E305" s="58" t="s">
        <v>3462</v>
      </c>
      <c r="F305" s="58" t="s">
        <v>3335</v>
      </c>
      <c r="G305" s="152" t="s">
        <v>34</v>
      </c>
      <c r="H305" s="152">
        <v>1</v>
      </c>
      <c r="I305" s="153">
        <v>0.5</v>
      </c>
      <c r="J305" s="154">
        <v>44011</v>
      </c>
      <c r="K305" s="153" t="s">
        <v>20</v>
      </c>
      <c r="L305" s="152">
        <v>4.99</v>
      </c>
      <c r="M305" s="155"/>
    </row>
    <row r="306" spans="1:13" s="156" customFormat="1" ht="35" customHeight="1">
      <c r="A306" s="42">
        <f>ROW()-2</f>
        <v>304</v>
      </c>
      <c r="B306" s="152" t="s">
        <v>2732</v>
      </c>
      <c r="C306" s="152" t="s">
        <v>3329</v>
      </c>
      <c r="D306" s="58" t="s">
        <v>5602</v>
      </c>
      <c r="E306" s="58" t="s">
        <v>3463</v>
      </c>
      <c r="F306" s="58" t="s">
        <v>3335</v>
      </c>
      <c r="G306" s="152" t="s">
        <v>34</v>
      </c>
      <c r="H306" s="152">
        <v>1</v>
      </c>
      <c r="I306" s="153">
        <v>0.5</v>
      </c>
      <c r="J306" s="154">
        <v>44011</v>
      </c>
      <c r="K306" s="153" t="s">
        <v>20</v>
      </c>
      <c r="L306" s="152">
        <v>4.99</v>
      </c>
      <c r="M306" s="155"/>
    </row>
    <row r="307" spans="1:13" s="156" customFormat="1" ht="35" customHeight="1">
      <c r="A307" s="42">
        <f>ROW()-2</f>
        <v>305</v>
      </c>
      <c r="B307" s="152" t="s">
        <v>2732</v>
      </c>
      <c r="C307" s="152" t="s">
        <v>3329</v>
      </c>
      <c r="D307" s="58" t="s">
        <v>5603</v>
      </c>
      <c r="E307" s="58" t="s">
        <v>3463</v>
      </c>
      <c r="F307" s="58" t="s">
        <v>3335</v>
      </c>
      <c r="G307" s="152" t="s">
        <v>34</v>
      </c>
      <c r="H307" s="152">
        <v>11</v>
      </c>
      <c r="I307" s="153">
        <v>6.05</v>
      </c>
      <c r="J307" s="154">
        <v>44032</v>
      </c>
      <c r="K307" s="153" t="s">
        <v>20</v>
      </c>
      <c r="L307" s="152">
        <v>5.99</v>
      </c>
      <c r="M307" s="155"/>
    </row>
    <row r="308" spans="1:13" s="156" customFormat="1" ht="35" customHeight="1">
      <c r="A308" s="42">
        <f>ROW()-2</f>
        <v>306</v>
      </c>
      <c r="B308" s="152" t="s">
        <v>2732</v>
      </c>
      <c r="C308" s="152" t="s">
        <v>3329</v>
      </c>
      <c r="D308" s="58" t="s">
        <v>3464</v>
      </c>
      <c r="E308" s="58" t="s">
        <v>130</v>
      </c>
      <c r="F308" s="58" t="s">
        <v>2948</v>
      </c>
      <c r="G308" s="152" t="s">
        <v>34</v>
      </c>
      <c r="H308" s="152">
        <v>4</v>
      </c>
      <c r="I308" s="153">
        <v>2.63</v>
      </c>
      <c r="J308" s="154">
        <v>44046</v>
      </c>
      <c r="K308" s="153" t="s">
        <v>20</v>
      </c>
      <c r="L308" s="152">
        <v>4.99</v>
      </c>
      <c r="M308" s="155"/>
    </row>
    <row r="309" spans="1:13" s="156" customFormat="1" ht="35" customHeight="1">
      <c r="A309" s="42">
        <f>ROW()-2</f>
        <v>307</v>
      </c>
      <c r="B309" s="152" t="s">
        <v>2732</v>
      </c>
      <c r="C309" s="152" t="s">
        <v>3329</v>
      </c>
      <c r="D309" s="58" t="s">
        <v>3465</v>
      </c>
      <c r="E309" s="58" t="s">
        <v>457</v>
      </c>
      <c r="F309" s="58" t="s">
        <v>2745</v>
      </c>
      <c r="G309" s="152" t="s">
        <v>34</v>
      </c>
      <c r="H309" s="152">
        <v>2</v>
      </c>
      <c r="I309" s="153">
        <v>74.3</v>
      </c>
      <c r="J309" s="154">
        <v>44046</v>
      </c>
      <c r="K309" s="153" t="s">
        <v>20</v>
      </c>
      <c r="L309" s="152">
        <v>4.99</v>
      </c>
      <c r="M309" s="155"/>
    </row>
    <row r="310" spans="1:13" s="156" customFormat="1" ht="35" customHeight="1">
      <c r="A310" s="42">
        <f>ROW()-2</f>
        <v>308</v>
      </c>
      <c r="B310" s="152" t="s">
        <v>2732</v>
      </c>
      <c r="C310" s="152" t="s">
        <v>3329</v>
      </c>
      <c r="D310" s="58" t="s">
        <v>3466</v>
      </c>
      <c r="E310" s="58" t="s">
        <v>3467</v>
      </c>
      <c r="F310" s="58" t="s">
        <v>2948</v>
      </c>
      <c r="G310" s="152" t="s">
        <v>34</v>
      </c>
      <c r="H310" s="152">
        <v>10</v>
      </c>
      <c r="I310" s="153">
        <v>6.4</v>
      </c>
      <c r="J310" s="154">
        <v>44046</v>
      </c>
      <c r="K310" s="153" t="s">
        <v>20</v>
      </c>
      <c r="L310" s="152">
        <v>4.99</v>
      </c>
      <c r="M310" s="155"/>
    </row>
    <row r="311" spans="1:13" s="156" customFormat="1" ht="35" customHeight="1">
      <c r="A311" s="42">
        <f>ROW()-2</f>
        <v>309</v>
      </c>
      <c r="B311" s="152" t="s">
        <v>2732</v>
      </c>
      <c r="C311" s="152" t="s">
        <v>3329</v>
      </c>
      <c r="D311" s="58" t="s">
        <v>3468</v>
      </c>
      <c r="E311" s="58" t="s">
        <v>3469</v>
      </c>
      <c r="F311" s="58" t="s">
        <v>2948</v>
      </c>
      <c r="G311" s="152" t="s">
        <v>34</v>
      </c>
      <c r="H311" s="152">
        <v>2</v>
      </c>
      <c r="I311" s="153">
        <v>1.08</v>
      </c>
      <c r="J311" s="154">
        <v>44046</v>
      </c>
      <c r="K311" s="153" t="s">
        <v>20</v>
      </c>
      <c r="L311" s="152">
        <v>4.99</v>
      </c>
      <c r="M311" s="155"/>
    </row>
    <row r="312" spans="1:13" s="156" customFormat="1" ht="35" customHeight="1">
      <c r="A312" s="42">
        <f>ROW()-2</f>
        <v>310</v>
      </c>
      <c r="B312" s="152" t="s">
        <v>2732</v>
      </c>
      <c r="C312" s="152" t="s">
        <v>3329</v>
      </c>
      <c r="D312" s="58" t="s">
        <v>3441</v>
      </c>
      <c r="E312" s="58" t="s">
        <v>3442</v>
      </c>
      <c r="F312" s="58" t="s">
        <v>2948</v>
      </c>
      <c r="G312" s="152" t="s">
        <v>34</v>
      </c>
      <c r="H312" s="152">
        <v>3</v>
      </c>
      <c r="I312" s="153">
        <v>0.9</v>
      </c>
      <c r="J312" s="154">
        <v>44053</v>
      </c>
      <c r="K312" s="153" t="s">
        <v>20</v>
      </c>
      <c r="L312" s="152">
        <v>4.99</v>
      </c>
      <c r="M312" s="155"/>
    </row>
    <row r="313" spans="1:13" s="156" customFormat="1" ht="35" customHeight="1">
      <c r="A313" s="42">
        <f>ROW()-2</f>
        <v>311</v>
      </c>
      <c r="B313" s="152" t="s">
        <v>2732</v>
      </c>
      <c r="C313" s="152" t="s">
        <v>3329</v>
      </c>
      <c r="D313" s="58" t="s">
        <v>3420</v>
      </c>
      <c r="E313" s="58" t="s">
        <v>3442</v>
      </c>
      <c r="F313" s="58" t="s">
        <v>2745</v>
      </c>
      <c r="G313" s="152" t="s">
        <v>34</v>
      </c>
      <c r="H313" s="152">
        <v>4</v>
      </c>
      <c r="I313" s="153">
        <v>2.46</v>
      </c>
      <c r="J313" s="154">
        <v>44060</v>
      </c>
      <c r="K313" s="153" t="s">
        <v>20</v>
      </c>
      <c r="L313" s="152">
        <v>4.99</v>
      </c>
    </row>
    <row r="314" spans="1:13" s="156" customFormat="1" ht="35" customHeight="1">
      <c r="A314" s="42">
        <f>ROW()-2</f>
        <v>312</v>
      </c>
      <c r="B314" s="152" t="s">
        <v>2732</v>
      </c>
      <c r="C314" s="152" t="s">
        <v>3329</v>
      </c>
      <c r="D314" s="58" t="s">
        <v>3470</v>
      </c>
      <c r="E314" s="58" t="s">
        <v>3471</v>
      </c>
      <c r="F314" s="58" t="s">
        <v>2745</v>
      </c>
      <c r="G314" s="152" t="s">
        <v>34</v>
      </c>
      <c r="H314" s="152">
        <v>11</v>
      </c>
      <c r="I314" s="153">
        <v>4.21</v>
      </c>
      <c r="J314" s="154">
        <v>44060</v>
      </c>
      <c r="K314" s="153" t="s">
        <v>20</v>
      </c>
      <c r="L314" s="152">
        <v>4.99</v>
      </c>
    </row>
    <row r="315" spans="1:13" s="156" customFormat="1" ht="35" customHeight="1">
      <c r="A315" s="42">
        <f>ROW()-2</f>
        <v>313</v>
      </c>
      <c r="B315" s="152" t="s">
        <v>2732</v>
      </c>
      <c r="C315" s="152" t="s">
        <v>3329</v>
      </c>
      <c r="D315" s="58" t="s">
        <v>3472</v>
      </c>
      <c r="E315" s="58" t="s">
        <v>3473</v>
      </c>
      <c r="F315" s="58" t="s">
        <v>2948</v>
      </c>
      <c r="G315" s="152" t="s">
        <v>34</v>
      </c>
      <c r="H315" s="152">
        <v>2</v>
      </c>
      <c r="I315" s="153">
        <v>1.21</v>
      </c>
      <c r="J315" s="154">
        <v>44060</v>
      </c>
      <c r="K315" s="153" t="s">
        <v>20</v>
      </c>
      <c r="L315" s="152">
        <v>4.99</v>
      </c>
    </row>
    <row r="316" spans="1:13" s="156" customFormat="1" ht="35" customHeight="1">
      <c r="A316" s="42">
        <f>ROW()-2</f>
        <v>314</v>
      </c>
      <c r="B316" s="152" t="s">
        <v>2732</v>
      </c>
      <c r="C316" s="152" t="s">
        <v>3329</v>
      </c>
      <c r="D316" s="58" t="s">
        <v>3474</v>
      </c>
      <c r="E316" s="58" t="s">
        <v>3475</v>
      </c>
      <c r="F316" s="58" t="s">
        <v>2948</v>
      </c>
      <c r="G316" s="152" t="s">
        <v>34</v>
      </c>
      <c r="H316" s="152">
        <v>5</v>
      </c>
      <c r="I316" s="153">
        <v>2.08</v>
      </c>
      <c r="J316" s="154">
        <v>44060</v>
      </c>
      <c r="K316" s="153" t="s">
        <v>20</v>
      </c>
      <c r="L316" s="152">
        <v>4.99</v>
      </c>
    </row>
    <row r="317" spans="1:13" s="156" customFormat="1" ht="35" customHeight="1">
      <c r="A317" s="42">
        <f>ROW()-2</f>
        <v>315</v>
      </c>
      <c r="B317" s="152" t="s">
        <v>2732</v>
      </c>
      <c r="C317" s="152" t="s">
        <v>3329</v>
      </c>
      <c r="D317" s="58" t="s">
        <v>3476</v>
      </c>
      <c r="E317" s="58" t="s">
        <v>3477</v>
      </c>
      <c r="F317" s="58" t="s">
        <v>2948</v>
      </c>
      <c r="G317" s="152" t="s">
        <v>34</v>
      </c>
      <c r="H317" s="152">
        <v>2</v>
      </c>
      <c r="I317" s="153">
        <v>0.91</v>
      </c>
      <c r="J317" s="154">
        <v>44060</v>
      </c>
      <c r="K317" s="153" t="s">
        <v>20</v>
      </c>
      <c r="L317" s="152">
        <v>4.99</v>
      </c>
    </row>
    <row r="318" spans="1:13" s="156" customFormat="1" ht="35" customHeight="1">
      <c r="A318" s="42">
        <f>ROW()-2</f>
        <v>316</v>
      </c>
      <c r="B318" s="152" t="s">
        <v>2732</v>
      </c>
      <c r="C318" s="152" t="s">
        <v>3329</v>
      </c>
      <c r="D318" s="58" t="s">
        <v>3478</v>
      </c>
      <c r="E318" s="58" t="s">
        <v>3479</v>
      </c>
      <c r="F318" s="58" t="s">
        <v>2948</v>
      </c>
      <c r="G318" s="152" t="s">
        <v>34</v>
      </c>
      <c r="H318" s="152">
        <v>7</v>
      </c>
      <c r="I318" s="153">
        <v>3.5</v>
      </c>
      <c r="J318" s="154">
        <v>44067</v>
      </c>
      <c r="K318" s="153" t="s">
        <v>20</v>
      </c>
      <c r="L318" s="152">
        <v>4.99</v>
      </c>
    </row>
    <row r="319" spans="1:13" s="156" customFormat="1" ht="35" customHeight="1">
      <c r="A319" s="42">
        <f>ROW()-2</f>
        <v>317</v>
      </c>
      <c r="B319" s="152" t="s">
        <v>2732</v>
      </c>
      <c r="C319" s="152" t="s">
        <v>3329</v>
      </c>
      <c r="D319" s="58" t="s">
        <v>3480</v>
      </c>
      <c r="E319" s="58" t="s">
        <v>3481</v>
      </c>
      <c r="F319" s="58" t="s">
        <v>2948</v>
      </c>
      <c r="G319" s="152" t="s">
        <v>34</v>
      </c>
      <c r="H319" s="152">
        <v>4</v>
      </c>
      <c r="I319" s="153">
        <v>2.67</v>
      </c>
      <c r="J319" s="154">
        <v>44067</v>
      </c>
      <c r="K319" s="153" t="s">
        <v>20</v>
      </c>
      <c r="L319" s="152">
        <v>4.99</v>
      </c>
    </row>
    <row r="320" spans="1:13" s="156" customFormat="1" ht="35" customHeight="1">
      <c r="A320" s="42">
        <f>ROW()-2</f>
        <v>318</v>
      </c>
      <c r="B320" s="152" t="s">
        <v>2732</v>
      </c>
      <c r="C320" s="152" t="s">
        <v>3329</v>
      </c>
      <c r="D320" s="58" t="s">
        <v>3482</v>
      </c>
      <c r="E320" s="58" t="s">
        <v>130</v>
      </c>
      <c r="F320" s="58" t="s">
        <v>2948</v>
      </c>
      <c r="G320" s="152" t="s">
        <v>34</v>
      </c>
      <c r="H320" s="152">
        <v>2</v>
      </c>
      <c r="I320" s="153">
        <v>0.95</v>
      </c>
      <c r="J320" s="154">
        <v>44074</v>
      </c>
      <c r="K320" s="153" t="s">
        <v>20</v>
      </c>
      <c r="L320" s="152">
        <v>4.99</v>
      </c>
    </row>
    <row r="321" spans="1:13" s="156" customFormat="1" ht="35" customHeight="1">
      <c r="A321" s="42">
        <f>ROW()-2</f>
        <v>319</v>
      </c>
      <c r="B321" s="152" t="s">
        <v>2732</v>
      </c>
      <c r="C321" s="152" t="s">
        <v>3329</v>
      </c>
      <c r="D321" s="58" t="s">
        <v>3453</v>
      </c>
      <c r="E321" s="58" t="s">
        <v>3483</v>
      </c>
      <c r="F321" s="58" t="s">
        <v>2948</v>
      </c>
      <c r="G321" s="152" t="s">
        <v>34</v>
      </c>
      <c r="H321" s="152">
        <v>3</v>
      </c>
      <c r="I321" s="153">
        <v>1.26</v>
      </c>
      <c r="J321" s="154">
        <v>44074</v>
      </c>
      <c r="K321" s="153" t="s">
        <v>20</v>
      </c>
      <c r="L321" s="152">
        <v>4.99</v>
      </c>
    </row>
    <row r="322" spans="1:13" s="156" customFormat="1" ht="35" customHeight="1">
      <c r="A322" s="42">
        <f>ROW()-2</f>
        <v>320</v>
      </c>
      <c r="B322" s="152" t="s">
        <v>2732</v>
      </c>
      <c r="C322" s="152" t="s">
        <v>3329</v>
      </c>
      <c r="D322" s="58" t="s">
        <v>3484</v>
      </c>
      <c r="E322" s="58" t="s">
        <v>3485</v>
      </c>
      <c r="F322" s="58" t="s">
        <v>2948</v>
      </c>
      <c r="G322" s="152" t="s">
        <v>34</v>
      </c>
      <c r="H322" s="152">
        <v>3</v>
      </c>
      <c r="I322" s="153">
        <v>1.4</v>
      </c>
      <c r="J322" s="154">
        <v>44074</v>
      </c>
      <c r="K322" s="153" t="s">
        <v>20</v>
      </c>
      <c r="L322" s="152">
        <v>4.99</v>
      </c>
      <c r="M322" s="155"/>
    </row>
    <row r="323" spans="1:13" s="156" customFormat="1" ht="35" customHeight="1">
      <c r="A323" s="42">
        <f>ROW()-2</f>
        <v>321</v>
      </c>
      <c r="B323" s="152" t="s">
        <v>2732</v>
      </c>
      <c r="C323" s="152" t="s">
        <v>3329</v>
      </c>
      <c r="D323" s="58" t="s">
        <v>3486</v>
      </c>
      <c r="E323" s="58" t="s">
        <v>3487</v>
      </c>
      <c r="F323" s="58" t="s">
        <v>2948</v>
      </c>
      <c r="G323" s="152" t="s">
        <v>34</v>
      </c>
      <c r="H323" s="152">
        <v>3</v>
      </c>
      <c r="I323" s="153">
        <v>1.1000000000000001</v>
      </c>
      <c r="J323" s="154">
        <v>44081</v>
      </c>
      <c r="K323" s="153" t="s">
        <v>20</v>
      </c>
      <c r="L323" s="152">
        <v>4.99</v>
      </c>
      <c r="M323" s="155"/>
    </row>
    <row r="324" spans="1:13" s="156" customFormat="1" ht="35" customHeight="1">
      <c r="A324" s="42">
        <f>ROW()-2</f>
        <v>322</v>
      </c>
      <c r="B324" s="152" t="s">
        <v>2732</v>
      </c>
      <c r="C324" s="152" t="s">
        <v>3329</v>
      </c>
      <c r="D324" s="58" t="s">
        <v>3488</v>
      </c>
      <c r="E324" s="58" t="s">
        <v>3489</v>
      </c>
      <c r="F324" s="58" t="s">
        <v>2948</v>
      </c>
      <c r="G324" s="152" t="s">
        <v>34</v>
      </c>
      <c r="H324" s="152">
        <v>8</v>
      </c>
      <c r="I324" s="153">
        <v>4.0199999999999996</v>
      </c>
      <c r="J324" s="154">
        <v>44081</v>
      </c>
      <c r="K324" s="153" t="s">
        <v>20</v>
      </c>
      <c r="L324" s="152">
        <v>4.99</v>
      </c>
      <c r="M324" s="155"/>
    </row>
    <row r="325" spans="1:13" s="156" customFormat="1" ht="35" customHeight="1">
      <c r="A325" s="42">
        <f>ROW()-2</f>
        <v>323</v>
      </c>
      <c r="B325" s="152" t="s">
        <v>2732</v>
      </c>
      <c r="C325" s="152" t="s">
        <v>3329</v>
      </c>
      <c r="D325" s="58" t="s">
        <v>3490</v>
      </c>
      <c r="E325" s="58" t="s">
        <v>3491</v>
      </c>
      <c r="F325" s="58" t="s">
        <v>2948</v>
      </c>
      <c r="G325" s="152" t="s">
        <v>34</v>
      </c>
      <c r="H325" s="152">
        <v>2</v>
      </c>
      <c r="I325" s="153">
        <v>1.2</v>
      </c>
      <c r="J325" s="154">
        <v>44081</v>
      </c>
      <c r="K325" s="153" t="s">
        <v>20</v>
      </c>
      <c r="L325" s="152">
        <v>4.99</v>
      </c>
      <c r="M325" s="155"/>
    </row>
    <row r="326" spans="1:13" s="156" customFormat="1" ht="35" customHeight="1">
      <c r="A326" s="42">
        <f>ROW()-2</f>
        <v>324</v>
      </c>
      <c r="B326" s="152" t="s">
        <v>2732</v>
      </c>
      <c r="C326" s="152" t="s">
        <v>3329</v>
      </c>
      <c r="D326" s="58" t="s">
        <v>3353</v>
      </c>
      <c r="E326" s="58" t="s">
        <v>3354</v>
      </c>
      <c r="F326" s="58" t="s">
        <v>2828</v>
      </c>
      <c r="G326" s="152" t="s">
        <v>34</v>
      </c>
      <c r="H326" s="152">
        <v>1</v>
      </c>
      <c r="I326" s="153">
        <v>0.55000000000000004</v>
      </c>
      <c r="J326" s="154">
        <v>44137</v>
      </c>
      <c r="K326" s="153" t="s">
        <v>20</v>
      </c>
      <c r="L326" s="152">
        <v>4.99</v>
      </c>
      <c r="M326" s="155"/>
    </row>
    <row r="327" spans="1:13" s="156" customFormat="1" ht="35" customHeight="1">
      <c r="A327" s="42">
        <f>ROW()-2</f>
        <v>325</v>
      </c>
      <c r="B327" s="152" t="s">
        <v>2732</v>
      </c>
      <c r="C327" s="152" t="s">
        <v>3329</v>
      </c>
      <c r="D327" s="58" t="s">
        <v>3355</v>
      </c>
      <c r="E327" s="58" t="s">
        <v>3356</v>
      </c>
      <c r="F327" s="58" t="s">
        <v>1259</v>
      </c>
      <c r="G327" s="152" t="s">
        <v>34</v>
      </c>
      <c r="H327" s="152">
        <v>1</v>
      </c>
      <c r="I327" s="153">
        <v>0.53</v>
      </c>
      <c r="J327" s="154">
        <v>44137</v>
      </c>
      <c r="K327" s="153" t="s">
        <v>20</v>
      </c>
      <c r="L327" s="152">
        <v>4.99</v>
      </c>
      <c r="M327" s="155"/>
    </row>
    <row r="328" spans="1:13" s="156" customFormat="1" ht="35" customHeight="1">
      <c r="A328" s="42">
        <f>ROW()-2</f>
        <v>326</v>
      </c>
      <c r="B328" s="152" t="s">
        <v>2732</v>
      </c>
      <c r="C328" s="152" t="s">
        <v>3329</v>
      </c>
      <c r="D328" s="58" t="s">
        <v>3357</v>
      </c>
      <c r="E328" s="58" t="s">
        <v>3358</v>
      </c>
      <c r="F328" s="58" t="s">
        <v>2905</v>
      </c>
      <c r="G328" s="152" t="s">
        <v>34</v>
      </c>
      <c r="H328" s="152">
        <v>1</v>
      </c>
      <c r="I328" s="153">
        <v>0.47</v>
      </c>
      <c r="J328" s="154">
        <v>44137</v>
      </c>
      <c r="K328" s="153" t="s">
        <v>20</v>
      </c>
      <c r="L328" s="152">
        <v>4.99</v>
      </c>
      <c r="M328" s="155"/>
    </row>
    <row r="329" spans="1:13" s="156" customFormat="1" ht="35" customHeight="1">
      <c r="A329" s="42">
        <f>ROW()-2</f>
        <v>327</v>
      </c>
      <c r="B329" s="152" t="s">
        <v>2732</v>
      </c>
      <c r="C329" s="152" t="s">
        <v>3329</v>
      </c>
      <c r="D329" s="58" t="s">
        <v>3359</v>
      </c>
      <c r="E329" s="58" t="s">
        <v>3358</v>
      </c>
      <c r="F329" s="58" t="s">
        <v>2905</v>
      </c>
      <c r="G329" s="152" t="s">
        <v>34</v>
      </c>
      <c r="H329" s="152">
        <v>1</v>
      </c>
      <c r="I329" s="153">
        <v>0.49</v>
      </c>
      <c r="J329" s="154">
        <v>44137</v>
      </c>
      <c r="K329" s="153" t="s">
        <v>20</v>
      </c>
      <c r="L329" s="152">
        <v>4.99</v>
      </c>
      <c r="M329" s="155"/>
    </row>
    <row r="330" spans="1:13" s="156" customFormat="1" ht="35" customHeight="1">
      <c r="A330" s="42">
        <f>ROW()-2</f>
        <v>328</v>
      </c>
      <c r="B330" s="152" t="s">
        <v>2732</v>
      </c>
      <c r="C330" s="152" t="s">
        <v>3329</v>
      </c>
      <c r="D330" s="58" t="s">
        <v>3360</v>
      </c>
      <c r="E330" s="58" t="s">
        <v>3361</v>
      </c>
      <c r="F330" s="58" t="s">
        <v>3362</v>
      </c>
      <c r="G330" s="152" t="s">
        <v>34</v>
      </c>
      <c r="H330" s="152">
        <v>1</v>
      </c>
      <c r="I330" s="153">
        <v>0.45</v>
      </c>
      <c r="J330" s="154">
        <v>44137</v>
      </c>
      <c r="K330" s="153" t="s">
        <v>20</v>
      </c>
      <c r="L330" s="152">
        <v>4.99</v>
      </c>
      <c r="M330" s="155"/>
    </row>
    <row r="331" spans="1:13" s="156" customFormat="1" ht="35" customHeight="1">
      <c r="A331" s="42">
        <f>ROW()-2</f>
        <v>329</v>
      </c>
      <c r="B331" s="152" t="s">
        <v>2732</v>
      </c>
      <c r="C331" s="152" t="s">
        <v>3329</v>
      </c>
      <c r="D331" s="58" t="s">
        <v>3363</v>
      </c>
      <c r="E331" s="58" t="s">
        <v>3364</v>
      </c>
      <c r="F331" s="58" t="s">
        <v>3362</v>
      </c>
      <c r="G331" s="152" t="s">
        <v>34</v>
      </c>
      <c r="H331" s="152">
        <v>1</v>
      </c>
      <c r="I331" s="153">
        <v>0.46</v>
      </c>
      <c r="J331" s="154">
        <v>44137</v>
      </c>
      <c r="K331" s="153" t="s">
        <v>20</v>
      </c>
      <c r="L331" s="152">
        <v>4.99</v>
      </c>
      <c r="M331" s="155"/>
    </row>
    <row r="332" spans="1:13" s="156" customFormat="1" ht="35" customHeight="1">
      <c r="A332" s="42">
        <f>ROW()-2</f>
        <v>330</v>
      </c>
      <c r="B332" s="152" t="s">
        <v>2732</v>
      </c>
      <c r="C332" s="152" t="s">
        <v>3329</v>
      </c>
      <c r="D332" s="58" t="s">
        <v>3365</v>
      </c>
      <c r="E332" s="58" t="s">
        <v>3364</v>
      </c>
      <c r="F332" s="58" t="s">
        <v>3362</v>
      </c>
      <c r="G332" s="152" t="s">
        <v>34</v>
      </c>
      <c r="H332" s="152">
        <v>1</v>
      </c>
      <c r="I332" s="153">
        <v>0.55000000000000004</v>
      </c>
      <c r="J332" s="154">
        <v>44137</v>
      </c>
      <c r="K332" s="153" t="s">
        <v>20</v>
      </c>
      <c r="L332" s="152">
        <v>4.99</v>
      </c>
      <c r="M332" s="155"/>
    </row>
    <row r="333" spans="1:13" s="156" customFormat="1" ht="35" customHeight="1">
      <c r="A333" s="42">
        <f>ROW()-2</f>
        <v>331</v>
      </c>
      <c r="B333" s="152" t="s">
        <v>2732</v>
      </c>
      <c r="C333" s="152" t="s">
        <v>3329</v>
      </c>
      <c r="D333" s="58" t="s">
        <v>3412</v>
      </c>
      <c r="E333" s="58" t="s">
        <v>3413</v>
      </c>
      <c r="F333" s="58" t="s">
        <v>3414</v>
      </c>
      <c r="G333" s="152" t="s">
        <v>34</v>
      </c>
      <c r="H333" s="152">
        <v>1</v>
      </c>
      <c r="I333" s="153">
        <v>0.27</v>
      </c>
      <c r="J333" s="154">
        <v>44137</v>
      </c>
      <c r="K333" s="153" t="s">
        <v>20</v>
      </c>
      <c r="L333" s="152">
        <v>4.99</v>
      </c>
      <c r="M333" s="155"/>
    </row>
    <row r="334" spans="1:13" s="156" customFormat="1" ht="35" customHeight="1">
      <c r="A334" s="42">
        <f>ROW()-2</f>
        <v>332</v>
      </c>
      <c r="B334" s="152" t="s">
        <v>2732</v>
      </c>
      <c r="C334" s="152" t="s">
        <v>3329</v>
      </c>
      <c r="D334" s="58" t="s">
        <v>3415</v>
      </c>
      <c r="E334" s="58" t="s">
        <v>3416</v>
      </c>
      <c r="F334" s="58" t="s">
        <v>3417</v>
      </c>
      <c r="G334" s="152" t="s">
        <v>34</v>
      </c>
      <c r="H334" s="152">
        <v>1</v>
      </c>
      <c r="I334" s="153">
        <v>0.56000000000000005</v>
      </c>
      <c r="J334" s="154">
        <v>44137</v>
      </c>
      <c r="K334" s="153" t="s">
        <v>20</v>
      </c>
      <c r="L334" s="152">
        <v>4.99</v>
      </c>
      <c r="M334" s="155"/>
    </row>
    <row r="335" spans="1:13" s="156" customFormat="1" ht="35" customHeight="1">
      <c r="A335" s="42">
        <f>ROW()-2</f>
        <v>333</v>
      </c>
      <c r="B335" s="152" t="s">
        <v>2732</v>
      </c>
      <c r="C335" s="152" t="s">
        <v>3329</v>
      </c>
      <c r="D335" s="58" t="s">
        <v>3418</v>
      </c>
      <c r="E335" s="58" t="s">
        <v>3419</v>
      </c>
      <c r="F335" s="58" t="s">
        <v>3380</v>
      </c>
      <c r="G335" s="152" t="s">
        <v>34</v>
      </c>
      <c r="H335" s="152">
        <v>1</v>
      </c>
      <c r="I335" s="153">
        <v>0.5</v>
      </c>
      <c r="J335" s="154">
        <v>44137</v>
      </c>
      <c r="K335" s="153" t="s">
        <v>20</v>
      </c>
      <c r="L335" s="152">
        <v>4.99</v>
      </c>
      <c r="M335" s="155"/>
    </row>
    <row r="336" spans="1:13" s="156" customFormat="1" ht="35" customHeight="1">
      <c r="A336" s="42">
        <f>ROW()-2</f>
        <v>334</v>
      </c>
      <c r="B336" s="152" t="s">
        <v>2732</v>
      </c>
      <c r="C336" s="152" t="s">
        <v>3329</v>
      </c>
      <c r="D336" s="58" t="s">
        <v>3366</v>
      </c>
      <c r="E336" s="58" t="s">
        <v>3367</v>
      </c>
      <c r="F336" s="58" t="s">
        <v>3368</v>
      </c>
      <c r="G336" s="152" t="s">
        <v>34</v>
      </c>
      <c r="H336" s="152">
        <v>1</v>
      </c>
      <c r="I336" s="153">
        <v>0.517777777777778</v>
      </c>
      <c r="J336" s="154">
        <v>44144</v>
      </c>
      <c r="K336" s="153" t="s">
        <v>20</v>
      </c>
      <c r="L336" s="152">
        <v>4.99</v>
      </c>
      <c r="M336" s="155"/>
    </row>
    <row r="337" spans="1:13" s="156" customFormat="1" ht="35" customHeight="1">
      <c r="A337" s="42">
        <f>ROW()-2</f>
        <v>335</v>
      </c>
      <c r="B337" s="152" t="s">
        <v>2732</v>
      </c>
      <c r="C337" s="152" t="s">
        <v>3329</v>
      </c>
      <c r="D337" s="58" t="s">
        <v>3369</v>
      </c>
      <c r="E337" s="58" t="s">
        <v>3370</v>
      </c>
      <c r="F337" s="58" t="s">
        <v>3371</v>
      </c>
      <c r="G337" s="152" t="s">
        <v>34</v>
      </c>
      <c r="H337" s="152">
        <v>1</v>
      </c>
      <c r="I337" s="153">
        <v>0.50111111111111095</v>
      </c>
      <c r="J337" s="154">
        <v>44144</v>
      </c>
      <c r="K337" s="153" t="s">
        <v>20</v>
      </c>
      <c r="L337" s="152">
        <v>4.99</v>
      </c>
      <c r="M337" s="155"/>
    </row>
    <row r="338" spans="1:13" s="156" customFormat="1" ht="35" customHeight="1">
      <c r="A338" s="42">
        <f>ROW()-2</f>
        <v>336</v>
      </c>
      <c r="B338" s="152" t="s">
        <v>2732</v>
      </c>
      <c r="C338" s="152" t="s">
        <v>3329</v>
      </c>
      <c r="D338" s="58" t="s">
        <v>3372</v>
      </c>
      <c r="E338" s="58" t="s">
        <v>3373</v>
      </c>
      <c r="F338" s="58" t="s">
        <v>3374</v>
      </c>
      <c r="G338" s="152" t="s">
        <v>34</v>
      </c>
      <c r="H338" s="152">
        <v>1</v>
      </c>
      <c r="I338" s="153">
        <v>0.59638888888888897</v>
      </c>
      <c r="J338" s="154">
        <v>44144</v>
      </c>
      <c r="K338" s="153" t="s">
        <v>20</v>
      </c>
      <c r="L338" s="152">
        <v>4.99</v>
      </c>
      <c r="M338" s="155"/>
    </row>
    <row r="339" spans="1:13" s="156" customFormat="1" ht="35" customHeight="1">
      <c r="A339" s="42">
        <f>ROW()-2</f>
        <v>337</v>
      </c>
      <c r="B339" s="152" t="s">
        <v>2732</v>
      </c>
      <c r="C339" s="152" t="s">
        <v>3329</v>
      </c>
      <c r="D339" s="58" t="s">
        <v>3375</v>
      </c>
      <c r="E339" s="58" t="s">
        <v>3376</v>
      </c>
      <c r="F339" s="58" t="s">
        <v>3377</v>
      </c>
      <c r="G339" s="152" t="s">
        <v>34</v>
      </c>
      <c r="H339" s="152">
        <v>1</v>
      </c>
      <c r="I339" s="153">
        <v>0.9</v>
      </c>
      <c r="J339" s="154">
        <v>44144</v>
      </c>
      <c r="K339" s="153" t="s">
        <v>20</v>
      </c>
      <c r="L339" s="152">
        <v>4.99</v>
      </c>
      <c r="M339" s="155"/>
    </row>
    <row r="340" spans="1:13" s="156" customFormat="1" ht="35" customHeight="1">
      <c r="A340" s="42">
        <f>ROW()-2</f>
        <v>338</v>
      </c>
      <c r="B340" s="152" t="s">
        <v>2732</v>
      </c>
      <c r="C340" s="152" t="s">
        <v>3329</v>
      </c>
      <c r="D340" s="58" t="s">
        <v>3378</v>
      </c>
      <c r="E340" s="58" t="s">
        <v>3379</v>
      </c>
      <c r="F340" s="58" t="s">
        <v>3380</v>
      </c>
      <c r="G340" s="152" t="s">
        <v>34</v>
      </c>
      <c r="H340" s="152">
        <v>1</v>
      </c>
      <c r="I340" s="153">
        <v>0.36</v>
      </c>
      <c r="J340" s="154">
        <v>44144</v>
      </c>
      <c r="K340" s="153" t="s">
        <v>20</v>
      </c>
      <c r="L340" s="152">
        <v>4.99</v>
      </c>
      <c r="M340" s="155"/>
    </row>
    <row r="341" spans="1:13" s="156" customFormat="1" ht="35" customHeight="1">
      <c r="A341" s="42">
        <f>ROW()-2</f>
        <v>339</v>
      </c>
      <c r="B341" s="152" t="s">
        <v>2732</v>
      </c>
      <c r="C341" s="152" t="s">
        <v>3329</v>
      </c>
      <c r="D341" s="58" t="s">
        <v>3390</v>
      </c>
      <c r="E341" s="58" t="s">
        <v>3364</v>
      </c>
      <c r="F341" s="58" t="s">
        <v>3380</v>
      </c>
      <c r="G341" s="152" t="s">
        <v>34</v>
      </c>
      <c r="H341" s="152">
        <v>1</v>
      </c>
      <c r="I341" s="153">
        <v>0.56000000000000005</v>
      </c>
      <c r="J341" s="154">
        <v>44144</v>
      </c>
      <c r="K341" s="153" t="s">
        <v>20</v>
      </c>
      <c r="L341" s="152">
        <v>4.99</v>
      </c>
      <c r="M341" s="155"/>
    </row>
    <row r="342" spans="1:13" s="156" customFormat="1" ht="35" customHeight="1">
      <c r="A342" s="42">
        <f>ROW()-2</f>
        <v>340</v>
      </c>
      <c r="B342" s="152" t="s">
        <v>2732</v>
      </c>
      <c r="C342" s="152" t="s">
        <v>3329</v>
      </c>
      <c r="D342" s="58" t="s">
        <v>3391</v>
      </c>
      <c r="E342" s="58" t="s">
        <v>3392</v>
      </c>
      <c r="F342" s="58" t="s">
        <v>3203</v>
      </c>
      <c r="G342" s="152" t="s">
        <v>34</v>
      </c>
      <c r="H342" s="152">
        <v>1</v>
      </c>
      <c r="I342" s="153">
        <v>0.57999999999999996</v>
      </c>
      <c r="J342" s="154">
        <v>44144</v>
      </c>
      <c r="K342" s="153" t="s">
        <v>20</v>
      </c>
      <c r="L342" s="152">
        <v>4.99</v>
      </c>
      <c r="M342" s="155"/>
    </row>
    <row r="343" spans="1:13" s="156" customFormat="1" ht="35" customHeight="1">
      <c r="A343" s="42">
        <f>ROW()-2</f>
        <v>341</v>
      </c>
      <c r="B343" s="152" t="s">
        <v>2732</v>
      </c>
      <c r="C343" s="152" t="s">
        <v>3329</v>
      </c>
      <c r="D343" s="58" t="s">
        <v>3393</v>
      </c>
      <c r="E343" s="58" t="s">
        <v>3394</v>
      </c>
      <c r="F343" s="58" t="s">
        <v>3395</v>
      </c>
      <c r="G343" s="152" t="s">
        <v>34</v>
      </c>
      <c r="H343" s="152">
        <v>1</v>
      </c>
      <c r="I343" s="153">
        <v>0.5</v>
      </c>
      <c r="J343" s="154">
        <v>44144</v>
      </c>
      <c r="K343" s="153" t="s">
        <v>20</v>
      </c>
      <c r="L343" s="152">
        <v>4.99</v>
      </c>
      <c r="M343" s="155"/>
    </row>
    <row r="344" spans="1:13" s="156" customFormat="1" ht="35" customHeight="1">
      <c r="A344" s="42">
        <f>ROW()-2</f>
        <v>342</v>
      </c>
      <c r="B344" s="152" t="s">
        <v>2732</v>
      </c>
      <c r="C344" s="152" t="s">
        <v>3329</v>
      </c>
      <c r="D344" s="58" t="s">
        <v>3396</v>
      </c>
      <c r="E344" s="58" t="s">
        <v>3397</v>
      </c>
      <c r="F344" s="58" t="s">
        <v>3371</v>
      </c>
      <c r="G344" s="152" t="s">
        <v>34</v>
      </c>
      <c r="H344" s="152">
        <v>1</v>
      </c>
      <c r="I344" s="153">
        <v>0.49</v>
      </c>
      <c r="J344" s="154">
        <v>44144</v>
      </c>
      <c r="K344" s="153" t="s">
        <v>20</v>
      </c>
      <c r="L344" s="152">
        <v>4.99</v>
      </c>
      <c r="M344" s="155"/>
    </row>
    <row r="345" spans="1:13" s="156" customFormat="1" ht="35" customHeight="1">
      <c r="A345" s="42">
        <f>ROW()-2</f>
        <v>343</v>
      </c>
      <c r="B345" s="152" t="s">
        <v>2732</v>
      </c>
      <c r="C345" s="152" t="s">
        <v>3329</v>
      </c>
      <c r="D345" s="58" t="s">
        <v>3398</v>
      </c>
      <c r="E345" s="58" t="s">
        <v>3399</v>
      </c>
      <c r="F345" s="58" t="s">
        <v>3380</v>
      </c>
      <c r="G345" s="152" t="s">
        <v>34</v>
      </c>
      <c r="H345" s="152">
        <v>1</v>
      </c>
      <c r="I345" s="153">
        <v>0.45</v>
      </c>
      <c r="J345" s="154">
        <v>44144</v>
      </c>
      <c r="K345" s="153" t="s">
        <v>20</v>
      </c>
      <c r="L345" s="152">
        <v>4.99</v>
      </c>
      <c r="M345" s="155"/>
    </row>
    <row r="346" spans="1:13" s="156" customFormat="1" ht="35" customHeight="1">
      <c r="A346" s="42">
        <f>ROW()-2</f>
        <v>344</v>
      </c>
      <c r="B346" s="152" t="s">
        <v>2732</v>
      </c>
      <c r="C346" s="152" t="s">
        <v>3329</v>
      </c>
      <c r="D346" s="58" t="s">
        <v>3400</v>
      </c>
      <c r="E346" s="58" t="s">
        <v>3401</v>
      </c>
      <c r="F346" s="58" t="s">
        <v>3402</v>
      </c>
      <c r="G346" s="152" t="s">
        <v>34</v>
      </c>
      <c r="H346" s="152">
        <v>1</v>
      </c>
      <c r="I346" s="153">
        <v>0.46</v>
      </c>
      <c r="J346" s="154">
        <v>44144</v>
      </c>
      <c r="K346" s="153" t="s">
        <v>20</v>
      </c>
      <c r="L346" s="152">
        <v>4.99</v>
      </c>
      <c r="M346" s="155"/>
    </row>
    <row r="347" spans="1:13" s="156" customFormat="1" ht="35" customHeight="1">
      <c r="A347" s="42">
        <f>ROW()-2</f>
        <v>345</v>
      </c>
      <c r="B347" s="152" t="s">
        <v>2732</v>
      </c>
      <c r="C347" s="152" t="s">
        <v>3329</v>
      </c>
      <c r="D347" s="58" t="s">
        <v>3403</v>
      </c>
      <c r="E347" s="58" t="s">
        <v>3404</v>
      </c>
      <c r="F347" s="58" t="s">
        <v>3380</v>
      </c>
      <c r="G347" s="152" t="s">
        <v>34</v>
      </c>
      <c r="H347" s="152">
        <v>1</v>
      </c>
      <c r="I347" s="153">
        <v>0.55000000000000004</v>
      </c>
      <c r="J347" s="154">
        <v>44144</v>
      </c>
      <c r="K347" s="153" t="s">
        <v>20</v>
      </c>
      <c r="L347" s="152">
        <v>4.99</v>
      </c>
      <c r="M347" s="155"/>
    </row>
    <row r="348" spans="1:13" s="156" customFormat="1" ht="35" customHeight="1">
      <c r="A348" s="42">
        <f>ROW()-2</f>
        <v>346</v>
      </c>
      <c r="B348" s="152" t="s">
        <v>2732</v>
      </c>
      <c r="C348" s="152" t="s">
        <v>3329</v>
      </c>
      <c r="D348" s="58" t="s">
        <v>3405</v>
      </c>
      <c r="E348" s="58" t="s">
        <v>3406</v>
      </c>
      <c r="F348" s="58" t="s">
        <v>3407</v>
      </c>
      <c r="G348" s="152" t="s">
        <v>34</v>
      </c>
      <c r="H348" s="152">
        <v>1</v>
      </c>
      <c r="I348" s="153">
        <v>0.46</v>
      </c>
      <c r="J348" s="154">
        <v>44144</v>
      </c>
      <c r="K348" s="153" t="s">
        <v>20</v>
      </c>
      <c r="L348" s="152">
        <v>4.99</v>
      </c>
      <c r="M348" s="155"/>
    </row>
    <row r="349" spans="1:13" s="156" customFormat="1" ht="35" customHeight="1">
      <c r="A349" s="42">
        <f>ROW()-2</f>
        <v>347</v>
      </c>
      <c r="B349" s="152" t="s">
        <v>2732</v>
      </c>
      <c r="C349" s="152" t="s">
        <v>3329</v>
      </c>
      <c r="D349" s="58" t="s">
        <v>3408</v>
      </c>
      <c r="E349" s="58" t="s">
        <v>3409</v>
      </c>
      <c r="F349" s="58" t="s">
        <v>1259</v>
      </c>
      <c r="G349" s="152" t="s">
        <v>34</v>
      </c>
      <c r="H349" s="152">
        <v>1</v>
      </c>
      <c r="I349" s="153">
        <v>0.44</v>
      </c>
      <c r="J349" s="154">
        <v>44144</v>
      </c>
      <c r="K349" s="153" t="s">
        <v>20</v>
      </c>
      <c r="L349" s="152">
        <v>4.99</v>
      </c>
      <c r="M349" s="155"/>
    </row>
    <row r="350" spans="1:13" s="156" customFormat="1" ht="35" customHeight="1">
      <c r="A350" s="42">
        <f>ROW()-2</f>
        <v>348</v>
      </c>
      <c r="B350" s="152" t="s">
        <v>2732</v>
      </c>
      <c r="C350" s="152" t="s">
        <v>3329</v>
      </c>
      <c r="D350" s="58" t="s">
        <v>3410</v>
      </c>
      <c r="E350" s="58" t="s">
        <v>3411</v>
      </c>
      <c r="F350" s="58" t="s">
        <v>3380</v>
      </c>
      <c r="G350" s="152" t="s">
        <v>34</v>
      </c>
      <c r="H350" s="152">
        <v>1</v>
      </c>
      <c r="I350" s="153">
        <v>0.67</v>
      </c>
      <c r="J350" s="154">
        <v>44144</v>
      </c>
      <c r="K350" s="153" t="s">
        <v>20</v>
      </c>
      <c r="L350" s="152">
        <v>4.99</v>
      </c>
      <c r="M350" s="155"/>
    </row>
    <row r="351" spans="1:13" s="156" customFormat="1" ht="35" customHeight="1">
      <c r="A351" s="42">
        <f>ROW()-2</f>
        <v>349</v>
      </c>
      <c r="B351" s="152" t="s">
        <v>2732</v>
      </c>
      <c r="C351" s="152" t="s">
        <v>3329</v>
      </c>
      <c r="D351" s="58" t="s">
        <v>3432</v>
      </c>
      <c r="E351" s="58" t="s">
        <v>3433</v>
      </c>
      <c r="F351" s="58" t="s">
        <v>3434</v>
      </c>
      <c r="G351" s="152" t="s">
        <v>34</v>
      </c>
      <c r="H351" s="152">
        <v>1</v>
      </c>
      <c r="I351" s="153">
        <v>0.34083333333333299</v>
      </c>
      <c r="J351" s="154">
        <v>44148</v>
      </c>
      <c r="K351" s="153" t="s">
        <v>20</v>
      </c>
      <c r="L351" s="152">
        <v>4.99</v>
      </c>
      <c r="M351" s="155"/>
    </row>
    <row r="352" spans="1:13" s="156" customFormat="1" ht="35" customHeight="1">
      <c r="A352" s="42">
        <f>ROW()-2</f>
        <v>350</v>
      </c>
      <c r="B352" s="152" t="s">
        <v>2732</v>
      </c>
      <c r="C352" s="152" t="s">
        <v>3329</v>
      </c>
      <c r="D352" s="58" t="s">
        <v>3435</v>
      </c>
      <c r="E352" s="58" t="s">
        <v>3331</v>
      </c>
      <c r="F352" s="58" t="s">
        <v>3332</v>
      </c>
      <c r="G352" s="152" t="s">
        <v>34</v>
      </c>
      <c r="H352" s="152">
        <v>1</v>
      </c>
      <c r="I352" s="153">
        <v>0.48166666666666702</v>
      </c>
      <c r="J352" s="154">
        <v>44148</v>
      </c>
      <c r="K352" s="153" t="s">
        <v>20</v>
      </c>
      <c r="L352" s="152">
        <v>4.99</v>
      </c>
      <c r="M352" s="155"/>
    </row>
    <row r="353" spans="1:291" s="156" customFormat="1" ht="35" customHeight="1">
      <c r="A353" s="42">
        <f>ROW()-2</f>
        <v>351</v>
      </c>
      <c r="B353" s="152" t="s">
        <v>2732</v>
      </c>
      <c r="C353" s="152" t="s">
        <v>3329</v>
      </c>
      <c r="D353" s="58" t="s">
        <v>3436</v>
      </c>
      <c r="E353" s="58" t="s">
        <v>3437</v>
      </c>
      <c r="F353" s="58" t="s">
        <v>2837</v>
      </c>
      <c r="G353" s="152" t="s">
        <v>34</v>
      </c>
      <c r="H353" s="152">
        <v>1</v>
      </c>
      <c r="I353" s="153">
        <v>0.51361111111111102</v>
      </c>
      <c r="J353" s="154">
        <v>44148</v>
      </c>
      <c r="K353" s="153" t="s">
        <v>20</v>
      </c>
      <c r="L353" s="152">
        <v>4.99</v>
      </c>
      <c r="M353" s="155"/>
    </row>
    <row r="354" spans="1:291" s="156" customFormat="1" ht="35" customHeight="1">
      <c r="A354" s="42">
        <f>ROW()-2</f>
        <v>352</v>
      </c>
      <c r="B354" s="152" t="s">
        <v>2732</v>
      </c>
      <c r="C354" s="152" t="s">
        <v>3329</v>
      </c>
      <c r="D354" s="58" t="s">
        <v>3341</v>
      </c>
      <c r="E354" s="58" t="s">
        <v>3342</v>
      </c>
      <c r="F354" s="58" t="s">
        <v>3343</v>
      </c>
      <c r="G354" s="152" t="s">
        <v>34</v>
      </c>
      <c r="H354" s="152">
        <v>1</v>
      </c>
      <c r="I354" s="153">
        <v>0.49</v>
      </c>
      <c r="J354" s="154">
        <v>44151</v>
      </c>
      <c r="K354" s="153" t="s">
        <v>20</v>
      </c>
      <c r="L354" s="152">
        <v>4.99</v>
      </c>
      <c r="M354" s="155"/>
    </row>
    <row r="355" spans="1:291" s="156" customFormat="1" ht="35" customHeight="1">
      <c r="A355" s="42">
        <f>ROW()-2</f>
        <v>353</v>
      </c>
      <c r="B355" s="152" t="s">
        <v>2732</v>
      </c>
      <c r="C355" s="152" t="s">
        <v>3329</v>
      </c>
      <c r="D355" s="58" t="s">
        <v>3330</v>
      </c>
      <c r="E355" s="58" t="s">
        <v>3331</v>
      </c>
      <c r="F355" s="58" t="s">
        <v>3332</v>
      </c>
      <c r="G355" s="152" t="s">
        <v>34</v>
      </c>
      <c r="H355" s="152">
        <v>1</v>
      </c>
      <c r="I355" s="153">
        <v>0.64472222222222197</v>
      </c>
      <c r="J355" s="154">
        <v>44158</v>
      </c>
      <c r="K355" s="153" t="s">
        <v>20</v>
      </c>
      <c r="L355" s="152">
        <v>4.99</v>
      </c>
      <c r="M355" s="155"/>
    </row>
    <row r="356" spans="1:291" s="156" customFormat="1" ht="35" customHeight="1">
      <c r="A356" s="42">
        <f>ROW()-2</f>
        <v>354</v>
      </c>
      <c r="B356" s="152" t="s">
        <v>2732</v>
      </c>
      <c r="C356" s="152" t="s">
        <v>3329</v>
      </c>
      <c r="D356" s="58" t="s">
        <v>3338</v>
      </c>
      <c r="E356" s="58" t="s">
        <v>3339</v>
      </c>
      <c r="F356" s="58" t="s">
        <v>3279</v>
      </c>
      <c r="G356" s="152" t="s">
        <v>34</v>
      </c>
      <c r="H356" s="152">
        <v>1</v>
      </c>
      <c r="I356" s="153">
        <v>0.40972222222222199</v>
      </c>
      <c r="J356" s="154">
        <v>44158</v>
      </c>
      <c r="K356" s="153" t="s">
        <v>20</v>
      </c>
      <c r="L356" s="152">
        <v>4.99</v>
      </c>
      <c r="M356" s="155"/>
    </row>
    <row r="357" spans="1:291" s="156" customFormat="1" ht="35" customHeight="1">
      <c r="A357" s="42">
        <f>ROW()-2</f>
        <v>355</v>
      </c>
      <c r="B357" s="152" t="s">
        <v>2732</v>
      </c>
      <c r="C357" s="152" t="s">
        <v>3329</v>
      </c>
      <c r="D357" s="58" t="s">
        <v>3340</v>
      </c>
      <c r="E357" s="58" t="s">
        <v>3331</v>
      </c>
      <c r="F357" s="58" t="s">
        <v>3332</v>
      </c>
      <c r="G357" s="152" t="s">
        <v>34</v>
      </c>
      <c r="H357" s="152">
        <v>1</v>
      </c>
      <c r="I357" s="153">
        <v>0.51</v>
      </c>
      <c r="J357" s="154">
        <v>44158</v>
      </c>
      <c r="K357" s="153" t="s">
        <v>20</v>
      </c>
      <c r="L357" s="152">
        <v>4.99</v>
      </c>
      <c r="M357" s="155"/>
    </row>
    <row r="358" spans="1:291" ht="35" customHeight="1">
      <c r="A358" s="42">
        <f>ROW()-2</f>
        <v>356</v>
      </c>
      <c r="B358" s="152" t="s">
        <v>2732</v>
      </c>
      <c r="C358" s="152" t="s">
        <v>3329</v>
      </c>
      <c r="D358" s="58" t="s">
        <v>3381</v>
      </c>
      <c r="E358" s="58" t="s">
        <v>3382</v>
      </c>
      <c r="F358" s="58" t="s">
        <v>3383</v>
      </c>
      <c r="G358" s="152" t="s">
        <v>34</v>
      </c>
      <c r="H358" s="152">
        <v>1</v>
      </c>
      <c r="I358" s="153">
        <v>0.517777777777778</v>
      </c>
      <c r="J358" s="154">
        <v>44158</v>
      </c>
      <c r="K358" s="153" t="s">
        <v>20</v>
      </c>
      <c r="L358" s="152">
        <v>4.99</v>
      </c>
      <c r="M358" s="155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  <c r="AA358" s="156"/>
      <c r="AB358" s="156"/>
      <c r="AC358" s="156"/>
      <c r="AD358" s="156"/>
      <c r="AE358" s="156"/>
      <c r="AF358" s="156"/>
      <c r="AG358" s="156"/>
      <c r="AH358" s="156"/>
      <c r="AI358" s="156"/>
      <c r="AJ358" s="156"/>
      <c r="AK358" s="156"/>
      <c r="AL358" s="156"/>
      <c r="AM358" s="156"/>
      <c r="AN358" s="156"/>
      <c r="AO358" s="156"/>
      <c r="AP358" s="156"/>
      <c r="AQ358" s="156"/>
      <c r="AR358" s="156"/>
      <c r="AS358" s="156"/>
      <c r="AT358" s="156"/>
      <c r="AU358" s="156"/>
      <c r="AV358" s="156"/>
      <c r="AW358" s="156"/>
      <c r="AX358" s="156"/>
      <c r="AY358" s="156"/>
      <c r="AZ358" s="156"/>
      <c r="BA358" s="156"/>
      <c r="BB358" s="156"/>
      <c r="BC358" s="156"/>
      <c r="BD358" s="156"/>
      <c r="BE358" s="156"/>
      <c r="BF358" s="156"/>
      <c r="BG358" s="156"/>
      <c r="BH358" s="156"/>
      <c r="BI358" s="156"/>
      <c r="BJ358" s="156"/>
      <c r="BK358" s="156"/>
      <c r="BL358" s="156"/>
      <c r="BM358" s="156"/>
      <c r="BN358" s="156"/>
      <c r="BO358" s="156"/>
      <c r="BP358" s="156"/>
      <c r="BQ358" s="156"/>
      <c r="BR358" s="156"/>
      <c r="BS358" s="156"/>
      <c r="BT358" s="156"/>
      <c r="BU358" s="156"/>
      <c r="BV358" s="156"/>
      <c r="BW358" s="156"/>
      <c r="BX358" s="156"/>
      <c r="BY358" s="156"/>
      <c r="BZ358" s="156"/>
      <c r="CA358" s="156"/>
      <c r="CB358" s="156"/>
      <c r="CC358" s="156"/>
      <c r="CD358" s="156"/>
      <c r="CE358" s="156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</row>
    <row r="359" spans="1:291" ht="35" customHeight="1">
      <c r="A359" s="42">
        <f>ROW()-2</f>
        <v>357</v>
      </c>
      <c r="B359" s="152" t="s">
        <v>2732</v>
      </c>
      <c r="C359" s="152" t="s">
        <v>3329</v>
      </c>
      <c r="D359" s="58" t="s">
        <v>3384</v>
      </c>
      <c r="E359" s="58" t="s">
        <v>3385</v>
      </c>
      <c r="F359" s="58" t="s">
        <v>3386</v>
      </c>
      <c r="G359" s="152" t="s">
        <v>34</v>
      </c>
      <c r="H359" s="152">
        <v>1</v>
      </c>
      <c r="I359" s="153">
        <v>0.50111111111111095</v>
      </c>
      <c r="J359" s="154">
        <v>44158</v>
      </c>
      <c r="K359" s="153" t="s">
        <v>20</v>
      </c>
      <c r="L359" s="152">
        <v>4.99</v>
      </c>
      <c r="M359" s="155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  <c r="AA359" s="156"/>
      <c r="AB359" s="156"/>
      <c r="AC359" s="156"/>
      <c r="AD359" s="156"/>
      <c r="AE359" s="156"/>
      <c r="AF359" s="156"/>
      <c r="AG359" s="156"/>
      <c r="AH359" s="156"/>
      <c r="AI359" s="156"/>
      <c r="AJ359" s="156"/>
      <c r="AK359" s="156"/>
      <c r="AL359" s="156"/>
      <c r="AM359" s="156"/>
      <c r="AN359" s="156"/>
      <c r="AO359" s="156"/>
      <c r="AP359" s="156"/>
      <c r="AQ359" s="156"/>
      <c r="AR359" s="156"/>
      <c r="AS359" s="156"/>
      <c r="AT359" s="156"/>
      <c r="AU359" s="156"/>
      <c r="AV359" s="156"/>
      <c r="AW359" s="156"/>
      <c r="AX359" s="156"/>
      <c r="AY359" s="156"/>
      <c r="AZ359" s="156"/>
      <c r="BA359" s="156"/>
      <c r="BB359" s="156"/>
      <c r="BC359" s="156"/>
      <c r="BD359" s="156"/>
      <c r="BE359" s="156"/>
      <c r="BF359" s="156"/>
      <c r="BG359" s="156"/>
      <c r="BH359" s="156"/>
      <c r="BI359" s="156"/>
      <c r="BJ359" s="156"/>
      <c r="BK359" s="156"/>
      <c r="BL359" s="156"/>
      <c r="BM359" s="156"/>
      <c r="BN359" s="156"/>
      <c r="BO359" s="156"/>
      <c r="BP359" s="156"/>
      <c r="BQ359" s="156"/>
      <c r="BR359" s="156"/>
      <c r="BS359" s="156"/>
      <c r="BT359" s="156"/>
      <c r="BU359" s="156"/>
      <c r="BV359" s="156"/>
      <c r="BW359" s="156"/>
      <c r="BX359" s="156"/>
      <c r="BY359" s="156"/>
      <c r="BZ359" s="156"/>
      <c r="CA359" s="156"/>
      <c r="CB359" s="156"/>
      <c r="CC359" s="156"/>
      <c r="CD359" s="156"/>
      <c r="CE359" s="156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</row>
    <row r="360" spans="1:291" ht="35" customHeight="1">
      <c r="A360" s="42">
        <f>ROW()-2</f>
        <v>358</v>
      </c>
      <c r="B360" s="152" t="s">
        <v>2732</v>
      </c>
      <c r="C360" s="152" t="s">
        <v>3329</v>
      </c>
      <c r="D360" s="58" t="s">
        <v>3387</v>
      </c>
      <c r="E360" s="58" t="s">
        <v>3388</v>
      </c>
      <c r="F360" s="58" t="s">
        <v>3389</v>
      </c>
      <c r="G360" s="152" t="s">
        <v>34</v>
      </c>
      <c r="H360" s="152">
        <v>1</v>
      </c>
      <c r="I360" s="153">
        <v>0.59638888888888897</v>
      </c>
      <c r="J360" s="154">
        <v>44158</v>
      </c>
      <c r="K360" s="153" t="s">
        <v>20</v>
      </c>
      <c r="L360" s="152">
        <v>4.99</v>
      </c>
      <c r="M360" s="155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  <c r="AA360" s="156"/>
      <c r="AB360" s="156"/>
      <c r="AC360" s="156"/>
      <c r="AD360" s="156"/>
      <c r="AE360" s="156"/>
      <c r="AF360" s="156"/>
      <c r="AG360" s="156"/>
      <c r="AH360" s="156"/>
      <c r="AI360" s="156"/>
      <c r="AJ360" s="156"/>
      <c r="AK360" s="156"/>
      <c r="AL360" s="156"/>
      <c r="AM360" s="156"/>
      <c r="AN360" s="156"/>
      <c r="AO360" s="156"/>
      <c r="AP360" s="156"/>
      <c r="AQ360" s="156"/>
      <c r="AR360" s="156"/>
      <c r="AS360" s="156"/>
      <c r="AT360" s="156"/>
      <c r="AU360" s="156"/>
      <c r="AV360" s="156"/>
      <c r="AW360" s="156"/>
      <c r="AX360" s="156"/>
      <c r="AY360" s="156"/>
      <c r="AZ360" s="156"/>
      <c r="BA360" s="156"/>
      <c r="BB360" s="156"/>
      <c r="BC360" s="156"/>
      <c r="BD360" s="156"/>
      <c r="BE360" s="156"/>
      <c r="BF360" s="156"/>
      <c r="BG360" s="156"/>
      <c r="BH360" s="156"/>
      <c r="BI360" s="156"/>
      <c r="BJ360" s="156"/>
      <c r="BK360" s="156"/>
      <c r="BL360" s="156"/>
      <c r="BM360" s="156"/>
      <c r="BN360" s="156"/>
      <c r="BO360" s="156"/>
      <c r="BP360" s="156"/>
      <c r="BQ360" s="156"/>
      <c r="BR360" s="156"/>
      <c r="BS360" s="156"/>
      <c r="BT360" s="156"/>
      <c r="BU360" s="156"/>
      <c r="BV360" s="156"/>
      <c r="BW360" s="156"/>
      <c r="BX360" s="156"/>
      <c r="BY360" s="156"/>
      <c r="BZ360" s="156"/>
      <c r="CA360" s="156"/>
      <c r="CB360" s="156"/>
      <c r="CC360" s="156"/>
      <c r="CD360" s="156"/>
      <c r="CE360" s="156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</row>
    <row r="361" spans="1:291" ht="35" customHeight="1">
      <c r="A361" s="42">
        <f>ROW()-2</f>
        <v>359</v>
      </c>
      <c r="B361" s="152" t="s">
        <v>2732</v>
      </c>
      <c r="C361" s="152" t="s">
        <v>3329</v>
      </c>
      <c r="D361" s="58" t="s">
        <v>3336</v>
      </c>
      <c r="E361" s="58" t="s">
        <v>3337</v>
      </c>
      <c r="F361" s="58" t="s">
        <v>3335</v>
      </c>
      <c r="G361" s="152" t="s">
        <v>34</v>
      </c>
      <c r="H361" s="152">
        <v>1</v>
      </c>
      <c r="I361" s="153">
        <v>0.51</v>
      </c>
      <c r="J361" s="154">
        <v>44193</v>
      </c>
      <c r="K361" s="153" t="s">
        <v>20</v>
      </c>
      <c r="L361" s="152">
        <v>4.99</v>
      </c>
      <c r="M361" s="155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  <c r="AA361" s="156"/>
      <c r="AB361" s="156"/>
      <c r="AC361" s="156"/>
      <c r="AD361" s="156"/>
      <c r="AE361" s="156"/>
      <c r="AF361" s="156"/>
      <c r="AG361" s="156"/>
      <c r="AH361" s="156"/>
      <c r="AI361" s="156"/>
      <c r="AJ361" s="156"/>
      <c r="AK361" s="156"/>
      <c r="AL361" s="156"/>
      <c r="AM361" s="156"/>
      <c r="AN361" s="156"/>
      <c r="AO361" s="156"/>
      <c r="AP361" s="156"/>
      <c r="AQ361" s="156"/>
      <c r="AR361" s="156"/>
      <c r="AS361" s="156"/>
      <c r="AT361" s="156"/>
      <c r="AU361" s="156"/>
      <c r="AV361" s="156"/>
      <c r="AW361" s="156"/>
      <c r="AX361" s="156"/>
      <c r="AY361" s="156"/>
      <c r="AZ361" s="156"/>
      <c r="BA361" s="156"/>
      <c r="BB361" s="156"/>
      <c r="BC361" s="156"/>
      <c r="BD361" s="156"/>
      <c r="BE361" s="156"/>
      <c r="BF361" s="156"/>
      <c r="BG361" s="156"/>
      <c r="BH361" s="156"/>
      <c r="BI361" s="156"/>
      <c r="BJ361" s="156"/>
      <c r="BK361" s="156"/>
      <c r="BL361" s="156"/>
      <c r="BM361" s="156"/>
      <c r="BN361" s="156"/>
      <c r="BO361" s="156"/>
      <c r="BP361" s="156"/>
      <c r="BQ361" s="156"/>
      <c r="BR361" s="156"/>
      <c r="BS361" s="156"/>
      <c r="BT361" s="156"/>
      <c r="BU361" s="156"/>
      <c r="BV361" s="156"/>
      <c r="BW361" s="156"/>
      <c r="BX361" s="156"/>
      <c r="BY361" s="156"/>
      <c r="BZ361" s="156"/>
      <c r="CA361" s="156"/>
      <c r="CB361" s="156"/>
      <c r="CC361" s="156"/>
      <c r="CD361" s="156"/>
      <c r="CE361" s="156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</row>
    <row r="362" spans="1:291" ht="35" customHeight="1">
      <c r="A362" s="42">
        <f>ROW()-2</f>
        <v>360</v>
      </c>
      <c r="B362" s="152" t="s">
        <v>2732</v>
      </c>
      <c r="C362" s="152" t="s">
        <v>3329</v>
      </c>
      <c r="D362" s="58" t="s">
        <v>3333</v>
      </c>
      <c r="E362" s="58" t="s">
        <v>3334</v>
      </c>
      <c r="F362" s="58" t="s">
        <v>3335</v>
      </c>
      <c r="G362" s="152" t="s">
        <v>34</v>
      </c>
      <c r="H362" s="152">
        <v>1</v>
      </c>
      <c r="I362" s="153">
        <v>0.51</v>
      </c>
      <c r="J362" s="154">
        <v>44207</v>
      </c>
      <c r="K362" s="153" t="s">
        <v>20</v>
      </c>
      <c r="L362" s="152">
        <v>4.99</v>
      </c>
      <c r="M362" s="155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  <c r="AA362" s="156"/>
      <c r="AB362" s="156"/>
      <c r="AC362" s="156"/>
      <c r="AD362" s="156"/>
      <c r="AE362" s="156"/>
      <c r="AF362" s="156"/>
      <c r="AG362" s="156"/>
      <c r="AH362" s="156"/>
      <c r="AI362" s="156"/>
      <c r="AJ362" s="156"/>
      <c r="AK362" s="156"/>
      <c r="AL362" s="156"/>
      <c r="AM362" s="156"/>
      <c r="AN362" s="156"/>
      <c r="AO362" s="156"/>
      <c r="AP362" s="156"/>
      <c r="AQ362" s="156"/>
      <c r="AR362" s="156"/>
      <c r="AS362" s="156"/>
      <c r="AT362" s="156"/>
      <c r="AU362" s="156"/>
      <c r="AV362" s="156"/>
      <c r="AW362" s="156"/>
      <c r="AX362" s="156"/>
      <c r="AY362" s="156"/>
      <c r="AZ362" s="156"/>
      <c r="BA362" s="156"/>
      <c r="BB362" s="156"/>
      <c r="BC362" s="156"/>
      <c r="BD362" s="156"/>
      <c r="BE362" s="156"/>
      <c r="BF362" s="156"/>
      <c r="BG362" s="156"/>
      <c r="BH362" s="156"/>
      <c r="BI362" s="156"/>
      <c r="BJ362" s="156"/>
      <c r="BK362" s="156"/>
      <c r="BL362" s="156"/>
      <c r="BM362" s="156"/>
      <c r="BN362" s="156"/>
      <c r="BO362" s="156"/>
      <c r="BP362" s="156"/>
      <c r="BQ362" s="156"/>
      <c r="BR362" s="156"/>
      <c r="BS362" s="156"/>
      <c r="BT362" s="156"/>
      <c r="BU362" s="156"/>
      <c r="BV362" s="156"/>
      <c r="BW362" s="156"/>
      <c r="BX362" s="156"/>
      <c r="BY362" s="156"/>
      <c r="BZ362" s="156"/>
      <c r="CA362" s="156"/>
      <c r="CB362" s="156"/>
      <c r="CC362" s="156"/>
      <c r="CD362" s="156"/>
      <c r="CE362" s="156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</row>
    <row r="363" spans="1:291" ht="35" customHeight="1">
      <c r="A363" s="42">
        <f>ROW()-2</f>
        <v>361</v>
      </c>
      <c r="B363" s="152" t="s">
        <v>2732</v>
      </c>
      <c r="C363" s="58" t="s">
        <v>3329</v>
      </c>
      <c r="D363" s="58" t="s">
        <v>3494</v>
      </c>
      <c r="E363" s="58" t="s">
        <v>3495</v>
      </c>
      <c r="F363" s="58" t="s">
        <v>3452</v>
      </c>
      <c r="G363" s="58" t="s">
        <v>34</v>
      </c>
      <c r="H363" s="152">
        <v>1</v>
      </c>
      <c r="I363" s="152">
        <v>0.4</v>
      </c>
      <c r="J363" s="59">
        <v>44221</v>
      </c>
      <c r="K363" s="58" t="s">
        <v>20</v>
      </c>
      <c r="L363" s="152">
        <v>4.99</v>
      </c>
      <c r="M363" s="155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6"/>
      <c r="AD363" s="156"/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6"/>
      <c r="AS363" s="156"/>
      <c r="AT363" s="156"/>
      <c r="AU363" s="156"/>
      <c r="AV363" s="156"/>
      <c r="AW363" s="156"/>
      <c r="AX363" s="156"/>
      <c r="AY363" s="156"/>
      <c r="AZ363" s="156"/>
      <c r="BA363" s="156"/>
      <c r="BB363" s="156"/>
      <c r="BC363" s="156"/>
      <c r="BD363" s="156"/>
      <c r="BE363" s="156"/>
      <c r="BF363" s="156"/>
      <c r="BG363" s="156"/>
      <c r="BH363" s="156"/>
      <c r="BI363" s="156"/>
      <c r="BJ363" s="156"/>
      <c r="BK363" s="156"/>
      <c r="BL363" s="156"/>
      <c r="BM363" s="156"/>
      <c r="BN363" s="156"/>
      <c r="BO363" s="156"/>
      <c r="BP363" s="156"/>
      <c r="BQ363" s="156"/>
      <c r="BR363" s="156"/>
      <c r="BS363" s="156"/>
      <c r="BT363" s="156"/>
      <c r="BU363" s="156"/>
      <c r="BV363" s="156"/>
      <c r="BW363" s="156"/>
      <c r="BX363" s="156"/>
      <c r="BY363" s="156"/>
      <c r="BZ363" s="156"/>
      <c r="CA363" s="156"/>
      <c r="CB363" s="156"/>
      <c r="CC363" s="156"/>
      <c r="CD363" s="156"/>
      <c r="CE363" s="156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</row>
    <row r="364" spans="1:291" ht="35" customHeight="1">
      <c r="A364" s="42">
        <f>ROW()-2</f>
        <v>362</v>
      </c>
      <c r="B364" s="42" t="s">
        <v>2732</v>
      </c>
      <c r="C364" s="43" t="s">
        <v>3329</v>
      </c>
      <c r="D364" s="43" t="s">
        <v>3496</v>
      </c>
      <c r="E364" s="43" t="s">
        <v>3497</v>
      </c>
      <c r="F364" s="43" t="s">
        <v>3452</v>
      </c>
      <c r="G364" s="43" t="s">
        <v>34</v>
      </c>
      <c r="H364" s="42">
        <v>1</v>
      </c>
      <c r="I364" s="42">
        <v>0.4</v>
      </c>
      <c r="J364" s="53">
        <v>44235</v>
      </c>
      <c r="K364" s="43" t="s">
        <v>20</v>
      </c>
      <c r="L364" s="42">
        <v>4.99</v>
      </c>
      <c r="M364" s="25"/>
    </row>
    <row r="365" spans="1:291" ht="35" customHeight="1">
      <c r="A365" s="42">
        <f>ROW()-2</f>
        <v>363</v>
      </c>
      <c r="B365" s="42" t="s">
        <v>2732</v>
      </c>
      <c r="C365" s="42" t="s">
        <v>3329</v>
      </c>
      <c r="D365" s="43" t="s">
        <v>3498</v>
      </c>
      <c r="E365" s="43" t="s">
        <v>3499</v>
      </c>
      <c r="F365" s="43" t="s">
        <v>3371</v>
      </c>
      <c r="G365" s="42" t="s">
        <v>34</v>
      </c>
      <c r="H365" s="42">
        <v>1</v>
      </c>
      <c r="I365" s="44">
        <v>0.5</v>
      </c>
      <c r="J365" s="45">
        <v>44249</v>
      </c>
      <c r="K365" s="44" t="s">
        <v>20</v>
      </c>
      <c r="L365" s="42">
        <v>4.99</v>
      </c>
      <c r="M365" s="25"/>
    </row>
    <row r="366" spans="1:291" ht="35" customHeight="1">
      <c r="A366" s="42">
        <f>ROW()-2</f>
        <v>364</v>
      </c>
      <c r="B366" s="42" t="s">
        <v>2732</v>
      </c>
      <c r="C366" s="42" t="s">
        <v>3329</v>
      </c>
      <c r="D366" s="43" t="s">
        <v>3500</v>
      </c>
      <c r="E366" s="128" t="s">
        <v>3501</v>
      </c>
      <c r="F366" s="128" t="s">
        <v>3335</v>
      </c>
      <c r="G366" s="42" t="s">
        <v>34</v>
      </c>
      <c r="H366" s="42">
        <v>1</v>
      </c>
      <c r="I366" s="44">
        <v>0.5</v>
      </c>
      <c r="J366" s="45">
        <v>44256</v>
      </c>
      <c r="K366" s="44" t="s">
        <v>20</v>
      </c>
      <c r="L366" s="42">
        <v>4.99</v>
      </c>
      <c r="M366" s="25"/>
    </row>
    <row r="367" spans="1:291" ht="35" customHeight="1">
      <c r="A367" s="42">
        <f>ROW()-2</f>
        <v>365</v>
      </c>
      <c r="B367" s="42" t="s">
        <v>2732</v>
      </c>
      <c r="C367" s="42" t="s">
        <v>3329</v>
      </c>
      <c r="D367" s="43" t="s">
        <v>3502</v>
      </c>
      <c r="E367" s="128" t="s">
        <v>3503</v>
      </c>
      <c r="F367" s="128" t="s">
        <v>3504</v>
      </c>
      <c r="G367" s="42" t="s">
        <v>34</v>
      </c>
      <c r="H367" s="42">
        <v>1</v>
      </c>
      <c r="I367" s="44">
        <v>0.5</v>
      </c>
      <c r="J367" s="45">
        <v>44263</v>
      </c>
      <c r="K367" s="44" t="s">
        <v>20</v>
      </c>
      <c r="L367" s="42">
        <v>4.99</v>
      </c>
      <c r="M367" s="25"/>
    </row>
    <row r="368" spans="1:291" ht="35" customHeight="1">
      <c r="A368" s="42">
        <f>ROW()-2</f>
        <v>366</v>
      </c>
      <c r="B368" s="42" t="s">
        <v>2732</v>
      </c>
      <c r="C368" s="42" t="s">
        <v>3329</v>
      </c>
      <c r="D368" s="43" t="s">
        <v>3505</v>
      </c>
      <c r="E368" s="128" t="s">
        <v>3506</v>
      </c>
      <c r="F368" s="128" t="s">
        <v>3335</v>
      </c>
      <c r="G368" s="42" t="s">
        <v>34</v>
      </c>
      <c r="H368" s="42">
        <v>1</v>
      </c>
      <c r="I368" s="44">
        <v>0.5</v>
      </c>
      <c r="J368" s="45">
        <v>44277</v>
      </c>
      <c r="K368" s="44" t="s">
        <v>20</v>
      </c>
      <c r="L368" s="42">
        <v>4.99</v>
      </c>
      <c r="M368" s="25"/>
    </row>
    <row r="369" spans="1:291" ht="35" customHeight="1">
      <c r="A369" s="42">
        <f>ROW()-2</f>
        <v>367</v>
      </c>
      <c r="B369" s="42" t="s">
        <v>2732</v>
      </c>
      <c r="C369" s="42" t="s">
        <v>3329</v>
      </c>
      <c r="D369" s="43" t="s">
        <v>3507</v>
      </c>
      <c r="E369" s="37" t="s">
        <v>3508</v>
      </c>
      <c r="F369" s="37" t="s">
        <v>3509</v>
      </c>
      <c r="G369" s="42" t="s">
        <v>34</v>
      </c>
      <c r="H369" s="42">
        <v>1</v>
      </c>
      <c r="I369" s="44">
        <v>0.56000000000000005</v>
      </c>
      <c r="J369" s="45">
        <v>44284</v>
      </c>
      <c r="K369" s="44" t="s">
        <v>20</v>
      </c>
      <c r="L369" s="42">
        <v>4.99</v>
      </c>
      <c r="M369" s="25"/>
    </row>
    <row r="370" spans="1:291" ht="35" customHeight="1">
      <c r="A370" s="42">
        <f>ROW()-2</f>
        <v>368</v>
      </c>
      <c r="B370" s="42" t="s">
        <v>2732</v>
      </c>
      <c r="C370" s="42" t="s">
        <v>3329</v>
      </c>
      <c r="D370" s="43" t="s">
        <v>3512</v>
      </c>
      <c r="E370" s="37" t="s">
        <v>3513</v>
      </c>
      <c r="F370" s="190" t="s">
        <v>3335</v>
      </c>
      <c r="G370" s="42" t="s">
        <v>34</v>
      </c>
      <c r="H370" s="42">
        <v>1</v>
      </c>
      <c r="I370" s="44">
        <v>0.7</v>
      </c>
      <c r="J370" s="45">
        <v>44292</v>
      </c>
      <c r="K370" s="44" t="s">
        <v>20</v>
      </c>
      <c r="L370" s="42">
        <v>4.99</v>
      </c>
      <c r="M370" s="25"/>
    </row>
    <row r="371" spans="1:291" ht="35" customHeight="1">
      <c r="A371" s="42">
        <f>ROW()-2</f>
        <v>369</v>
      </c>
      <c r="B371" s="42" t="s">
        <v>2732</v>
      </c>
      <c r="C371" s="42" t="s">
        <v>3329</v>
      </c>
      <c r="D371" s="43" t="s">
        <v>3510</v>
      </c>
      <c r="E371" s="37" t="s">
        <v>3511</v>
      </c>
      <c r="F371" s="272" t="s">
        <v>3511</v>
      </c>
      <c r="G371" s="42" t="s">
        <v>34</v>
      </c>
      <c r="H371" s="42">
        <v>1</v>
      </c>
      <c r="I371" s="44">
        <v>0.5</v>
      </c>
      <c r="J371" s="45">
        <v>44305</v>
      </c>
      <c r="K371" s="46" t="s">
        <v>20</v>
      </c>
      <c r="L371" s="47">
        <v>4.99</v>
      </c>
      <c r="M371" s="25"/>
    </row>
    <row r="372" spans="1:291" ht="35" customHeight="1">
      <c r="A372" s="42">
        <f>ROW()-2</f>
        <v>370</v>
      </c>
      <c r="B372" s="42" t="s">
        <v>2732</v>
      </c>
      <c r="C372" s="42" t="s">
        <v>3329</v>
      </c>
      <c r="D372" s="43" t="s">
        <v>3514</v>
      </c>
      <c r="E372" s="185" t="s">
        <v>3515</v>
      </c>
      <c r="F372" s="56" t="s">
        <v>3516</v>
      </c>
      <c r="G372" s="42" t="s">
        <v>34</v>
      </c>
      <c r="H372" s="42">
        <v>1</v>
      </c>
      <c r="I372" s="44">
        <v>0.56000000000000005</v>
      </c>
      <c r="J372" s="45">
        <v>44305</v>
      </c>
      <c r="K372" s="46" t="s">
        <v>20</v>
      </c>
      <c r="L372" s="47">
        <v>4.99</v>
      </c>
      <c r="M372" s="25"/>
    </row>
    <row r="373" spans="1:291" ht="35" customHeight="1">
      <c r="A373" s="42">
        <f>ROW()-2</f>
        <v>371</v>
      </c>
      <c r="B373" s="42" t="s">
        <v>2732</v>
      </c>
      <c r="C373" s="42" t="s">
        <v>3329</v>
      </c>
      <c r="D373" s="43" t="s">
        <v>3517</v>
      </c>
      <c r="E373" s="185" t="s">
        <v>3518</v>
      </c>
      <c r="F373" s="56" t="s">
        <v>3335</v>
      </c>
      <c r="G373" s="42" t="s">
        <v>34</v>
      </c>
      <c r="H373" s="42">
        <v>1</v>
      </c>
      <c r="I373" s="44">
        <v>0.56000000000000005</v>
      </c>
      <c r="J373" s="45">
        <v>44347</v>
      </c>
      <c r="K373" s="46" t="s">
        <v>20</v>
      </c>
      <c r="L373" s="47">
        <v>4.99</v>
      </c>
      <c r="M373" s="25"/>
    </row>
    <row r="374" spans="1:291" ht="35" customHeight="1">
      <c r="A374" s="42">
        <f>ROW()-2</f>
        <v>372</v>
      </c>
      <c r="B374" s="42" t="s">
        <v>2732</v>
      </c>
      <c r="C374" s="42" t="s">
        <v>3329</v>
      </c>
      <c r="D374" s="43" t="s">
        <v>3519</v>
      </c>
      <c r="E374" s="185" t="s">
        <v>3520</v>
      </c>
      <c r="F374" s="271" t="s">
        <v>3335</v>
      </c>
      <c r="G374" s="42" t="s">
        <v>34</v>
      </c>
      <c r="H374" s="42">
        <v>1</v>
      </c>
      <c r="I374" s="44">
        <v>0.56000000000000005</v>
      </c>
      <c r="J374" s="45">
        <v>44364</v>
      </c>
      <c r="K374" s="46" t="s">
        <v>20</v>
      </c>
      <c r="L374" s="47">
        <v>4.99</v>
      </c>
      <c r="M374" s="25"/>
    </row>
    <row r="375" spans="1:291" ht="35" customHeight="1">
      <c r="A375" s="42">
        <f>ROW()-2</f>
        <v>373</v>
      </c>
      <c r="B375" s="42" t="s">
        <v>2732</v>
      </c>
      <c r="C375" s="42" t="s">
        <v>3329</v>
      </c>
      <c r="D375" s="43" t="s">
        <v>3521</v>
      </c>
      <c r="E375" s="37" t="s">
        <v>3522</v>
      </c>
      <c r="F375" s="43" t="s">
        <v>3371</v>
      </c>
      <c r="G375" s="42" t="s">
        <v>34</v>
      </c>
      <c r="H375" s="42">
        <v>1</v>
      </c>
      <c r="I375" s="44">
        <v>0.5</v>
      </c>
      <c r="J375" s="45">
        <v>44375</v>
      </c>
      <c r="K375" s="46" t="s">
        <v>20</v>
      </c>
      <c r="L375" s="47">
        <v>4.99</v>
      </c>
      <c r="M375" s="25"/>
    </row>
    <row r="376" spans="1:291" ht="35" customHeight="1">
      <c r="A376" s="42">
        <f>ROW()-2</f>
        <v>374</v>
      </c>
      <c r="B376" s="42" t="s">
        <v>2732</v>
      </c>
      <c r="C376" s="42" t="s">
        <v>3329</v>
      </c>
      <c r="D376" s="43" t="s">
        <v>3523</v>
      </c>
      <c r="E376" s="37" t="s">
        <v>3524</v>
      </c>
      <c r="F376" s="57" t="s">
        <v>3335</v>
      </c>
      <c r="G376" s="42" t="s">
        <v>34</v>
      </c>
      <c r="H376" s="42">
        <v>1</v>
      </c>
      <c r="I376" s="44">
        <v>0.5</v>
      </c>
      <c r="J376" s="45">
        <v>44389</v>
      </c>
      <c r="K376" s="46" t="s">
        <v>20</v>
      </c>
      <c r="L376" s="47">
        <v>4.99</v>
      </c>
      <c r="M376" s="25"/>
    </row>
    <row r="377" spans="1:291" ht="35" customHeight="1">
      <c r="A377" s="42">
        <f>ROW()-2</f>
        <v>375</v>
      </c>
      <c r="B377" s="42" t="s">
        <v>2732</v>
      </c>
      <c r="C377" s="42" t="s">
        <v>3329</v>
      </c>
      <c r="D377" s="43" t="s">
        <v>3525</v>
      </c>
      <c r="E377" s="37" t="s">
        <v>3526</v>
      </c>
      <c r="F377" s="57" t="s">
        <v>3527</v>
      </c>
      <c r="G377" s="42" t="s">
        <v>34</v>
      </c>
      <c r="H377" s="42">
        <v>1</v>
      </c>
      <c r="I377" s="44">
        <v>0.5</v>
      </c>
      <c r="J377" s="45">
        <v>44431</v>
      </c>
      <c r="K377" s="46" t="s">
        <v>20</v>
      </c>
      <c r="L377" s="47">
        <v>4.99</v>
      </c>
      <c r="M377" s="32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  <c r="FS377" s="30"/>
      <c r="FT377" s="30"/>
      <c r="FU377" s="30"/>
      <c r="FV377" s="30"/>
      <c r="FW377" s="30"/>
      <c r="FX377" s="30"/>
      <c r="FY377" s="30"/>
      <c r="FZ377" s="30"/>
      <c r="GA377" s="30"/>
      <c r="GB377" s="30"/>
      <c r="GC377" s="30"/>
      <c r="GD377" s="30"/>
      <c r="GE377" s="30"/>
      <c r="GF377" s="30"/>
      <c r="GG377" s="30"/>
      <c r="GH377" s="30"/>
      <c r="GI377" s="30"/>
      <c r="GJ377" s="30"/>
      <c r="GK377" s="30"/>
      <c r="GL377" s="30"/>
      <c r="GM377" s="30"/>
      <c r="GN377" s="30"/>
      <c r="GO377" s="30"/>
      <c r="GP377" s="30"/>
      <c r="GQ377" s="30"/>
      <c r="GR377" s="30"/>
      <c r="GS377" s="30"/>
      <c r="GT377" s="30"/>
      <c r="GU377" s="30"/>
      <c r="GV377" s="30"/>
      <c r="GW377" s="30"/>
      <c r="GX377" s="30"/>
      <c r="GY377" s="30"/>
      <c r="GZ377" s="30"/>
      <c r="HA377" s="30"/>
      <c r="HB377" s="30"/>
      <c r="HC377" s="30"/>
      <c r="HD377" s="30"/>
      <c r="HE377" s="30"/>
      <c r="HF377" s="30"/>
      <c r="HG377" s="30"/>
      <c r="HH377" s="30"/>
      <c r="HI377" s="30"/>
      <c r="HJ377" s="30"/>
      <c r="HK377" s="30"/>
      <c r="HL377" s="30"/>
      <c r="HM377" s="30"/>
      <c r="HN377" s="30"/>
      <c r="HO377" s="30"/>
      <c r="HP377" s="30"/>
      <c r="HQ377" s="30"/>
      <c r="HR377" s="30"/>
      <c r="HS377" s="30"/>
      <c r="HT377" s="30"/>
      <c r="HU377" s="30"/>
      <c r="HV377" s="30"/>
      <c r="HW377" s="30"/>
      <c r="HX377" s="30"/>
      <c r="HY377" s="30"/>
      <c r="HZ377" s="30"/>
      <c r="IA377" s="30"/>
      <c r="IB377" s="30"/>
      <c r="IC377" s="30"/>
      <c r="ID377" s="30"/>
      <c r="IE377" s="30"/>
      <c r="IF377" s="30"/>
      <c r="IG377" s="30"/>
      <c r="IH377" s="30"/>
      <c r="II377" s="30"/>
      <c r="IJ377" s="30"/>
      <c r="IK377" s="30"/>
      <c r="IL377" s="30"/>
      <c r="IM377" s="30"/>
      <c r="IN377" s="30"/>
      <c r="IO377" s="30"/>
      <c r="IP377" s="30"/>
      <c r="IQ377" s="30"/>
      <c r="IR377" s="30"/>
      <c r="IS377" s="30"/>
      <c r="IT377" s="30"/>
      <c r="IU377" s="30"/>
      <c r="IV377" s="30"/>
      <c r="IW377" s="30"/>
      <c r="IX377" s="30"/>
      <c r="IY377" s="30"/>
      <c r="IZ377" s="30"/>
      <c r="JA377" s="30"/>
      <c r="JB377" s="30"/>
      <c r="JC377" s="30"/>
      <c r="JD377" s="30"/>
      <c r="JE377" s="30"/>
      <c r="JF377" s="30"/>
      <c r="JG377" s="30"/>
      <c r="JH377" s="30"/>
      <c r="JI377" s="30"/>
      <c r="JJ377" s="30"/>
      <c r="JK377" s="30"/>
      <c r="JL377" s="30"/>
      <c r="JM377" s="30"/>
      <c r="JN377" s="30"/>
      <c r="JO377" s="30"/>
      <c r="JP377" s="30"/>
      <c r="JQ377" s="30"/>
      <c r="JR377" s="30"/>
      <c r="JS377" s="30"/>
      <c r="JT377" s="30"/>
      <c r="JU377" s="30"/>
      <c r="JV377" s="30"/>
      <c r="JW377" s="30"/>
      <c r="JX377" s="30"/>
      <c r="JY377" s="30"/>
      <c r="JZ377" s="30"/>
      <c r="KA377" s="30"/>
      <c r="KB377" s="30"/>
      <c r="KC377" s="30"/>
      <c r="KD377" s="30"/>
      <c r="KE377" s="30"/>
    </row>
    <row r="378" spans="1:291" ht="35" customHeight="1">
      <c r="A378" s="42">
        <f>ROW()-2</f>
        <v>376</v>
      </c>
      <c r="B378" s="42" t="s">
        <v>2732</v>
      </c>
      <c r="C378" s="42" t="s">
        <v>3329</v>
      </c>
      <c r="D378" s="43" t="s">
        <v>3528</v>
      </c>
      <c r="E378" s="43" t="s">
        <v>3529</v>
      </c>
      <c r="F378" s="57" t="s">
        <v>3527</v>
      </c>
      <c r="G378" s="42" t="s">
        <v>3253</v>
      </c>
      <c r="H378" s="42">
        <v>1</v>
      </c>
      <c r="I378" s="44">
        <v>0.47</v>
      </c>
      <c r="J378" s="45">
        <v>44461</v>
      </c>
      <c r="K378" s="44" t="s">
        <v>20</v>
      </c>
      <c r="L378" s="42">
        <v>4.99</v>
      </c>
      <c r="M378" s="32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  <c r="FS378" s="30"/>
      <c r="FT378" s="30"/>
      <c r="FU378" s="30"/>
      <c r="FV378" s="30"/>
      <c r="FW378" s="30"/>
      <c r="FX378" s="30"/>
      <c r="FY378" s="30"/>
      <c r="FZ378" s="30"/>
      <c r="GA378" s="30"/>
      <c r="GB378" s="30"/>
      <c r="GC378" s="30"/>
      <c r="GD378" s="30"/>
      <c r="GE378" s="30"/>
      <c r="GF378" s="30"/>
      <c r="GG378" s="30"/>
      <c r="GH378" s="30"/>
      <c r="GI378" s="30"/>
      <c r="GJ378" s="30"/>
      <c r="GK378" s="30"/>
      <c r="GL378" s="30"/>
      <c r="GM378" s="30"/>
      <c r="GN378" s="30"/>
      <c r="GO378" s="30"/>
      <c r="GP378" s="30"/>
      <c r="GQ378" s="30"/>
      <c r="GR378" s="30"/>
      <c r="GS378" s="30"/>
      <c r="GT378" s="30"/>
      <c r="GU378" s="30"/>
      <c r="GV378" s="30"/>
      <c r="GW378" s="30"/>
      <c r="GX378" s="30"/>
      <c r="GY378" s="30"/>
      <c r="GZ378" s="30"/>
      <c r="HA378" s="30"/>
      <c r="HB378" s="30"/>
      <c r="HC378" s="30"/>
      <c r="HD378" s="30"/>
      <c r="HE378" s="30"/>
      <c r="HF378" s="30"/>
      <c r="HG378" s="30"/>
      <c r="HH378" s="30"/>
      <c r="HI378" s="30"/>
      <c r="HJ378" s="30"/>
      <c r="HK378" s="30"/>
      <c r="HL378" s="30"/>
      <c r="HM378" s="30"/>
      <c r="HN378" s="30"/>
      <c r="HO378" s="30"/>
      <c r="HP378" s="30"/>
      <c r="HQ378" s="30"/>
      <c r="HR378" s="30"/>
      <c r="HS378" s="30"/>
      <c r="HT378" s="30"/>
      <c r="HU378" s="30"/>
      <c r="HV378" s="30"/>
      <c r="HW378" s="30"/>
      <c r="HX378" s="30"/>
      <c r="HY378" s="30"/>
      <c r="HZ378" s="30"/>
      <c r="IA378" s="30"/>
      <c r="IB378" s="30"/>
      <c r="IC378" s="30"/>
      <c r="ID378" s="30"/>
      <c r="IE378" s="30"/>
      <c r="IF378" s="30"/>
      <c r="IG378" s="30"/>
      <c r="IH378" s="30"/>
      <c r="II378" s="30"/>
      <c r="IJ378" s="30"/>
      <c r="IK378" s="30"/>
      <c r="IL378" s="30"/>
      <c r="IM378" s="30"/>
      <c r="IN378" s="30"/>
      <c r="IO378" s="30"/>
      <c r="IP378" s="30"/>
      <c r="IQ378" s="30"/>
      <c r="IR378" s="30"/>
      <c r="IS378" s="30"/>
      <c r="IT378" s="30"/>
      <c r="IU378" s="30"/>
      <c r="IV378" s="30"/>
      <c r="IW378" s="30"/>
      <c r="IX378" s="30"/>
      <c r="IY378" s="30"/>
      <c r="IZ378" s="30"/>
      <c r="JA378" s="30"/>
      <c r="JB378" s="30"/>
      <c r="JC378" s="30"/>
      <c r="JD378" s="30"/>
      <c r="JE378" s="30"/>
      <c r="JF378" s="30"/>
      <c r="JG378" s="30"/>
      <c r="JH378" s="30"/>
      <c r="JI378" s="30"/>
      <c r="JJ378" s="30"/>
      <c r="JK378" s="30"/>
      <c r="JL378" s="30"/>
      <c r="JM378" s="30"/>
      <c r="JN378" s="30"/>
      <c r="JO378" s="30"/>
      <c r="JP378" s="30"/>
      <c r="JQ378" s="30"/>
      <c r="JR378" s="30"/>
      <c r="JS378" s="30"/>
      <c r="JT378" s="30"/>
      <c r="JU378" s="30"/>
      <c r="JV378" s="30"/>
      <c r="JW378" s="30"/>
      <c r="JX378" s="30"/>
      <c r="JY378" s="30"/>
      <c r="JZ378" s="30"/>
      <c r="KA378" s="30"/>
      <c r="KB378" s="30"/>
      <c r="KC378" s="30"/>
      <c r="KD378" s="30"/>
      <c r="KE378" s="30"/>
    </row>
    <row r="379" spans="1:291" ht="35" customHeight="1">
      <c r="A379" s="42">
        <f>ROW()-2</f>
        <v>377</v>
      </c>
      <c r="B379" s="42" t="s">
        <v>2732</v>
      </c>
      <c r="C379" s="42" t="s">
        <v>3329</v>
      </c>
      <c r="D379" s="43" t="s">
        <v>3530</v>
      </c>
      <c r="E379" s="43" t="s">
        <v>3531</v>
      </c>
      <c r="F379" s="57" t="s">
        <v>3532</v>
      </c>
      <c r="G379" s="42" t="s">
        <v>3253</v>
      </c>
      <c r="H379" s="42">
        <v>1</v>
      </c>
      <c r="I379" s="44">
        <v>0.5</v>
      </c>
      <c r="J379" s="45">
        <v>44488</v>
      </c>
      <c r="K379" s="44" t="s">
        <v>20</v>
      </c>
      <c r="L379" s="42">
        <v>4.99</v>
      </c>
      <c r="M379" s="32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  <c r="FS379" s="30"/>
      <c r="FT379" s="30"/>
      <c r="FU379" s="30"/>
      <c r="FV379" s="30"/>
      <c r="FW379" s="30"/>
      <c r="FX379" s="30"/>
      <c r="FY379" s="30"/>
      <c r="FZ379" s="30"/>
      <c r="GA379" s="30"/>
      <c r="GB379" s="30"/>
      <c r="GC379" s="30"/>
      <c r="GD379" s="30"/>
      <c r="GE379" s="30"/>
      <c r="GF379" s="30"/>
      <c r="GG379" s="30"/>
      <c r="GH379" s="30"/>
      <c r="GI379" s="30"/>
      <c r="GJ379" s="30"/>
      <c r="GK379" s="30"/>
      <c r="GL379" s="30"/>
      <c r="GM379" s="30"/>
      <c r="GN379" s="30"/>
      <c r="GO379" s="30"/>
      <c r="GP379" s="30"/>
      <c r="GQ379" s="30"/>
      <c r="GR379" s="30"/>
      <c r="GS379" s="30"/>
      <c r="GT379" s="30"/>
      <c r="GU379" s="30"/>
      <c r="GV379" s="30"/>
      <c r="GW379" s="30"/>
      <c r="GX379" s="30"/>
      <c r="GY379" s="30"/>
      <c r="GZ379" s="30"/>
      <c r="HA379" s="30"/>
      <c r="HB379" s="30"/>
      <c r="HC379" s="30"/>
      <c r="HD379" s="30"/>
      <c r="HE379" s="30"/>
      <c r="HF379" s="30"/>
      <c r="HG379" s="30"/>
      <c r="HH379" s="30"/>
      <c r="HI379" s="30"/>
      <c r="HJ379" s="30"/>
      <c r="HK379" s="30"/>
      <c r="HL379" s="30"/>
      <c r="HM379" s="30"/>
      <c r="HN379" s="30"/>
      <c r="HO379" s="30"/>
      <c r="HP379" s="30"/>
      <c r="HQ379" s="30"/>
      <c r="HR379" s="30"/>
      <c r="HS379" s="30"/>
      <c r="HT379" s="30"/>
      <c r="HU379" s="30"/>
      <c r="HV379" s="30"/>
      <c r="HW379" s="30"/>
      <c r="HX379" s="30"/>
      <c r="HY379" s="30"/>
      <c r="HZ379" s="30"/>
      <c r="IA379" s="30"/>
      <c r="IB379" s="30"/>
      <c r="IC379" s="30"/>
      <c r="ID379" s="30"/>
      <c r="IE379" s="30"/>
      <c r="IF379" s="30"/>
      <c r="IG379" s="30"/>
      <c r="IH379" s="30"/>
      <c r="II379" s="30"/>
      <c r="IJ379" s="30"/>
      <c r="IK379" s="30"/>
      <c r="IL379" s="30"/>
      <c r="IM379" s="30"/>
      <c r="IN379" s="30"/>
      <c r="IO379" s="30"/>
      <c r="IP379" s="30"/>
      <c r="IQ379" s="30"/>
      <c r="IR379" s="30"/>
      <c r="IS379" s="30"/>
      <c r="IT379" s="30"/>
      <c r="IU379" s="30"/>
      <c r="IV379" s="30"/>
      <c r="IW379" s="30"/>
      <c r="IX379" s="30"/>
      <c r="IY379" s="30"/>
      <c r="IZ379" s="30"/>
      <c r="JA379" s="30"/>
      <c r="JB379" s="30"/>
      <c r="JC379" s="30"/>
      <c r="JD379" s="30"/>
      <c r="JE379" s="30"/>
      <c r="JF379" s="30"/>
      <c r="JG379" s="30"/>
      <c r="JH379" s="30"/>
      <c r="JI379" s="30"/>
      <c r="JJ379" s="30"/>
      <c r="JK379" s="30"/>
      <c r="JL379" s="30"/>
      <c r="JM379" s="30"/>
      <c r="JN379" s="30"/>
      <c r="JO379" s="30"/>
      <c r="JP379" s="30"/>
      <c r="JQ379" s="30"/>
      <c r="JR379" s="30"/>
      <c r="JS379" s="30"/>
      <c r="JT379" s="30"/>
      <c r="JU379" s="30"/>
      <c r="JV379" s="30"/>
      <c r="JW379" s="30"/>
      <c r="JX379" s="30"/>
      <c r="JY379" s="30"/>
      <c r="JZ379" s="30"/>
      <c r="KA379" s="30"/>
      <c r="KB379" s="30"/>
      <c r="KC379" s="30"/>
      <c r="KD379" s="30"/>
      <c r="KE379" s="30"/>
    </row>
    <row r="380" spans="1:291" s="156" customFormat="1" ht="35" customHeight="1">
      <c r="A380" s="42">
        <f>ROW()-2</f>
        <v>378</v>
      </c>
      <c r="B380" s="42" t="s">
        <v>2732</v>
      </c>
      <c r="C380" s="42" t="s">
        <v>3329</v>
      </c>
      <c r="D380" s="43" t="s">
        <v>3533</v>
      </c>
      <c r="E380" s="43" t="s">
        <v>3534</v>
      </c>
      <c r="F380" s="57" t="s">
        <v>3535</v>
      </c>
      <c r="G380" s="42" t="s">
        <v>3253</v>
      </c>
      <c r="H380" s="42">
        <v>1</v>
      </c>
      <c r="I380" s="44">
        <v>0.5</v>
      </c>
      <c r="J380" s="45">
        <v>44501</v>
      </c>
      <c r="K380" s="44" t="s">
        <v>20</v>
      </c>
      <c r="L380" s="42">
        <v>4.99</v>
      </c>
      <c r="M380" s="32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  <c r="FS380" s="30"/>
      <c r="FT380" s="30"/>
      <c r="FU380" s="30"/>
      <c r="FV380" s="30"/>
      <c r="FW380" s="30"/>
      <c r="FX380" s="30"/>
      <c r="FY380" s="30"/>
      <c r="FZ380" s="30"/>
      <c r="GA380" s="30"/>
      <c r="GB380" s="30"/>
      <c r="GC380" s="30"/>
      <c r="GD380" s="30"/>
      <c r="GE380" s="30"/>
      <c r="GF380" s="30"/>
      <c r="GG380" s="30"/>
      <c r="GH380" s="30"/>
      <c r="GI380" s="30"/>
      <c r="GJ380" s="30"/>
      <c r="GK380" s="30"/>
      <c r="GL380" s="30"/>
      <c r="GM380" s="30"/>
      <c r="GN380" s="30"/>
      <c r="GO380" s="30"/>
      <c r="GP380" s="30"/>
      <c r="GQ380" s="30"/>
      <c r="GR380" s="30"/>
      <c r="GS380" s="30"/>
      <c r="GT380" s="30"/>
      <c r="GU380" s="30"/>
      <c r="GV380" s="30"/>
      <c r="GW380" s="30"/>
      <c r="GX380" s="30"/>
      <c r="GY380" s="30"/>
      <c r="GZ380" s="30"/>
      <c r="HA380" s="30"/>
      <c r="HB380" s="30"/>
      <c r="HC380" s="30"/>
      <c r="HD380" s="30"/>
      <c r="HE380" s="30"/>
      <c r="HF380" s="30"/>
      <c r="HG380" s="30"/>
      <c r="HH380" s="30"/>
      <c r="HI380" s="30"/>
      <c r="HJ380" s="30"/>
      <c r="HK380" s="30"/>
      <c r="HL380" s="30"/>
      <c r="HM380" s="30"/>
      <c r="HN380" s="30"/>
      <c r="HO380" s="30"/>
      <c r="HP380" s="30"/>
      <c r="HQ380" s="30"/>
      <c r="HR380" s="30"/>
      <c r="HS380" s="30"/>
      <c r="HT380" s="30"/>
      <c r="HU380" s="30"/>
      <c r="HV380" s="30"/>
      <c r="HW380" s="30"/>
      <c r="HX380" s="30"/>
      <c r="HY380" s="30"/>
      <c r="HZ380" s="30"/>
      <c r="IA380" s="30"/>
      <c r="IB380" s="30"/>
      <c r="IC380" s="30"/>
      <c r="ID380" s="30"/>
      <c r="IE380" s="30"/>
      <c r="IF380" s="30"/>
      <c r="IG380" s="30"/>
      <c r="IH380" s="30"/>
      <c r="II380" s="30"/>
      <c r="IJ380" s="30"/>
      <c r="IK380" s="30"/>
      <c r="IL380" s="30"/>
      <c r="IM380" s="30"/>
      <c r="IN380" s="30"/>
      <c r="IO380" s="30"/>
      <c r="IP380" s="30"/>
      <c r="IQ380" s="30"/>
      <c r="IR380" s="30"/>
      <c r="IS380" s="30"/>
      <c r="IT380" s="30"/>
      <c r="IU380" s="30"/>
      <c r="IV380" s="30"/>
      <c r="IW380" s="30"/>
      <c r="IX380" s="30"/>
      <c r="IY380" s="30"/>
      <c r="IZ380" s="30"/>
      <c r="JA380" s="30"/>
      <c r="JB380" s="30"/>
      <c r="JC380" s="30"/>
      <c r="JD380" s="30"/>
      <c r="JE380" s="30"/>
      <c r="JF380" s="30"/>
      <c r="JG380" s="30"/>
      <c r="JH380" s="30"/>
      <c r="JI380" s="30"/>
      <c r="JJ380" s="30"/>
      <c r="JK380" s="30"/>
      <c r="JL380" s="30"/>
      <c r="JM380" s="30"/>
      <c r="JN380" s="30"/>
      <c r="JO380" s="30"/>
      <c r="JP380" s="30"/>
      <c r="JQ380" s="30"/>
      <c r="JR380" s="30"/>
      <c r="JS380" s="30"/>
      <c r="JT380" s="30"/>
      <c r="JU380" s="30"/>
      <c r="JV380" s="30"/>
      <c r="JW380" s="30"/>
      <c r="JX380" s="30"/>
      <c r="JY380" s="30"/>
      <c r="JZ380" s="30"/>
      <c r="KA380" s="30"/>
      <c r="KB380" s="30"/>
      <c r="KC380" s="30"/>
      <c r="KD380" s="30"/>
      <c r="KE380" s="30"/>
    </row>
    <row r="381" spans="1:291" s="156" customFormat="1" ht="35" customHeight="1">
      <c r="A381" s="42">
        <f>ROW()-2</f>
        <v>379</v>
      </c>
      <c r="B381" s="42" t="s">
        <v>2732</v>
      </c>
      <c r="C381" s="42" t="s">
        <v>3329</v>
      </c>
      <c r="D381" s="43" t="s">
        <v>3536</v>
      </c>
      <c r="E381" s="43" t="s">
        <v>3537</v>
      </c>
      <c r="F381" s="57" t="s">
        <v>3527</v>
      </c>
      <c r="G381" s="42" t="s">
        <v>3253</v>
      </c>
      <c r="H381" s="42">
        <v>1</v>
      </c>
      <c r="I381" s="44">
        <v>0.49</v>
      </c>
      <c r="J381" s="45">
        <v>44508</v>
      </c>
      <c r="K381" s="44" t="s">
        <v>20</v>
      </c>
      <c r="L381" s="42">
        <v>4.99</v>
      </c>
      <c r="M381" s="32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  <c r="FS381" s="30"/>
      <c r="FT381" s="30"/>
      <c r="FU381" s="30"/>
      <c r="FV381" s="30"/>
      <c r="FW381" s="30"/>
      <c r="FX381" s="30"/>
      <c r="FY381" s="30"/>
      <c r="FZ381" s="30"/>
      <c r="GA381" s="30"/>
      <c r="GB381" s="30"/>
      <c r="GC381" s="30"/>
      <c r="GD381" s="30"/>
      <c r="GE381" s="30"/>
      <c r="GF381" s="30"/>
      <c r="GG381" s="30"/>
      <c r="GH381" s="30"/>
      <c r="GI381" s="30"/>
      <c r="GJ381" s="30"/>
      <c r="GK381" s="30"/>
      <c r="GL381" s="30"/>
      <c r="GM381" s="30"/>
      <c r="GN381" s="30"/>
      <c r="GO381" s="30"/>
      <c r="GP381" s="30"/>
      <c r="GQ381" s="30"/>
      <c r="GR381" s="30"/>
      <c r="GS381" s="30"/>
      <c r="GT381" s="30"/>
      <c r="GU381" s="30"/>
      <c r="GV381" s="30"/>
      <c r="GW381" s="30"/>
      <c r="GX381" s="30"/>
      <c r="GY381" s="30"/>
      <c r="GZ381" s="30"/>
      <c r="HA381" s="30"/>
      <c r="HB381" s="30"/>
      <c r="HC381" s="30"/>
      <c r="HD381" s="30"/>
      <c r="HE381" s="30"/>
      <c r="HF381" s="30"/>
      <c r="HG381" s="30"/>
      <c r="HH381" s="30"/>
      <c r="HI381" s="30"/>
      <c r="HJ381" s="30"/>
      <c r="HK381" s="30"/>
      <c r="HL381" s="30"/>
      <c r="HM381" s="30"/>
      <c r="HN381" s="30"/>
      <c r="HO381" s="30"/>
      <c r="HP381" s="30"/>
      <c r="HQ381" s="30"/>
      <c r="HR381" s="30"/>
      <c r="HS381" s="30"/>
      <c r="HT381" s="30"/>
      <c r="HU381" s="30"/>
      <c r="HV381" s="30"/>
      <c r="HW381" s="30"/>
      <c r="HX381" s="30"/>
      <c r="HY381" s="30"/>
      <c r="HZ381" s="30"/>
      <c r="IA381" s="30"/>
      <c r="IB381" s="30"/>
      <c r="IC381" s="30"/>
      <c r="ID381" s="30"/>
      <c r="IE381" s="30"/>
      <c r="IF381" s="30"/>
      <c r="IG381" s="30"/>
      <c r="IH381" s="30"/>
      <c r="II381" s="30"/>
      <c r="IJ381" s="30"/>
      <c r="IK381" s="30"/>
      <c r="IL381" s="30"/>
      <c r="IM381" s="30"/>
      <c r="IN381" s="30"/>
      <c r="IO381" s="30"/>
      <c r="IP381" s="30"/>
      <c r="IQ381" s="30"/>
      <c r="IR381" s="30"/>
      <c r="IS381" s="30"/>
      <c r="IT381" s="30"/>
      <c r="IU381" s="30"/>
      <c r="IV381" s="30"/>
      <c r="IW381" s="30"/>
      <c r="IX381" s="30"/>
      <c r="IY381" s="30"/>
      <c r="IZ381" s="30"/>
      <c r="JA381" s="30"/>
      <c r="JB381" s="30"/>
      <c r="JC381" s="30"/>
      <c r="JD381" s="30"/>
      <c r="JE381" s="30"/>
      <c r="JF381" s="30"/>
      <c r="JG381" s="30"/>
      <c r="JH381" s="30"/>
      <c r="JI381" s="30"/>
      <c r="JJ381" s="30"/>
      <c r="JK381" s="30"/>
      <c r="JL381" s="30"/>
      <c r="JM381" s="30"/>
      <c r="JN381" s="30"/>
      <c r="JO381" s="30"/>
      <c r="JP381" s="30"/>
      <c r="JQ381" s="30"/>
      <c r="JR381" s="30"/>
      <c r="JS381" s="30"/>
      <c r="JT381" s="30"/>
      <c r="JU381" s="30"/>
      <c r="JV381" s="30"/>
      <c r="JW381" s="30"/>
      <c r="JX381" s="30"/>
      <c r="JY381" s="30"/>
      <c r="JZ381" s="30"/>
      <c r="KA381" s="30"/>
      <c r="KB381" s="30"/>
      <c r="KC381" s="30"/>
      <c r="KD381" s="30"/>
      <c r="KE381" s="30"/>
    </row>
    <row r="382" spans="1:291" s="156" customFormat="1" ht="35" customHeight="1">
      <c r="A382" s="42">
        <f>ROW()-2</f>
        <v>380</v>
      </c>
      <c r="B382" s="42" t="s">
        <v>2732</v>
      </c>
      <c r="C382" s="42" t="s">
        <v>3329</v>
      </c>
      <c r="D382" s="43" t="s">
        <v>3538</v>
      </c>
      <c r="E382" s="43" t="s">
        <v>3539</v>
      </c>
      <c r="F382" s="57" t="s">
        <v>3527</v>
      </c>
      <c r="G382" s="42" t="s">
        <v>3253</v>
      </c>
      <c r="H382" s="42">
        <v>1</v>
      </c>
      <c r="I382" s="44">
        <v>0.49</v>
      </c>
      <c r="J382" s="45">
        <v>44543</v>
      </c>
      <c r="K382" s="44" t="s">
        <v>20</v>
      </c>
      <c r="L382" s="42">
        <v>4.99</v>
      </c>
      <c r="M382" s="32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  <c r="FS382" s="30"/>
      <c r="FT382" s="30"/>
      <c r="FU382" s="30"/>
      <c r="FV382" s="30"/>
      <c r="FW382" s="30"/>
      <c r="FX382" s="30"/>
      <c r="FY382" s="30"/>
      <c r="FZ382" s="30"/>
      <c r="GA382" s="30"/>
      <c r="GB382" s="30"/>
      <c r="GC382" s="30"/>
      <c r="GD382" s="30"/>
      <c r="GE382" s="30"/>
      <c r="GF382" s="30"/>
      <c r="GG382" s="30"/>
      <c r="GH382" s="30"/>
      <c r="GI382" s="30"/>
      <c r="GJ382" s="30"/>
      <c r="GK382" s="30"/>
      <c r="GL382" s="30"/>
      <c r="GM382" s="30"/>
      <c r="GN382" s="30"/>
      <c r="GO382" s="30"/>
      <c r="GP382" s="30"/>
      <c r="GQ382" s="30"/>
      <c r="GR382" s="30"/>
      <c r="GS382" s="30"/>
      <c r="GT382" s="30"/>
      <c r="GU382" s="30"/>
      <c r="GV382" s="30"/>
      <c r="GW382" s="30"/>
      <c r="GX382" s="30"/>
      <c r="GY382" s="30"/>
      <c r="GZ382" s="30"/>
      <c r="HA382" s="30"/>
      <c r="HB382" s="30"/>
      <c r="HC382" s="30"/>
      <c r="HD382" s="30"/>
      <c r="HE382" s="30"/>
      <c r="HF382" s="30"/>
      <c r="HG382" s="30"/>
      <c r="HH382" s="30"/>
      <c r="HI382" s="30"/>
      <c r="HJ382" s="30"/>
      <c r="HK382" s="30"/>
      <c r="HL382" s="30"/>
      <c r="HM382" s="30"/>
      <c r="HN382" s="30"/>
      <c r="HO382" s="30"/>
      <c r="HP382" s="30"/>
      <c r="HQ382" s="30"/>
      <c r="HR382" s="30"/>
      <c r="HS382" s="30"/>
      <c r="HT382" s="30"/>
      <c r="HU382" s="30"/>
      <c r="HV382" s="30"/>
      <c r="HW382" s="30"/>
      <c r="HX382" s="30"/>
      <c r="HY382" s="30"/>
      <c r="HZ382" s="30"/>
      <c r="IA382" s="30"/>
      <c r="IB382" s="30"/>
      <c r="IC382" s="30"/>
      <c r="ID382" s="30"/>
      <c r="IE382" s="30"/>
      <c r="IF382" s="30"/>
      <c r="IG382" s="30"/>
      <c r="IH382" s="30"/>
      <c r="II382" s="30"/>
      <c r="IJ382" s="30"/>
      <c r="IK382" s="30"/>
      <c r="IL382" s="30"/>
      <c r="IM382" s="30"/>
      <c r="IN382" s="30"/>
      <c r="IO382" s="30"/>
      <c r="IP382" s="30"/>
      <c r="IQ382" s="30"/>
      <c r="IR382" s="30"/>
      <c r="IS382" s="30"/>
      <c r="IT382" s="30"/>
      <c r="IU382" s="30"/>
      <c r="IV382" s="30"/>
      <c r="IW382" s="30"/>
      <c r="IX382" s="30"/>
      <c r="IY382" s="30"/>
      <c r="IZ382" s="30"/>
      <c r="JA382" s="30"/>
      <c r="JB382" s="30"/>
      <c r="JC382" s="30"/>
      <c r="JD382" s="30"/>
      <c r="JE382" s="30"/>
      <c r="JF382" s="30"/>
      <c r="JG382" s="30"/>
      <c r="JH382" s="30"/>
      <c r="JI382" s="30"/>
      <c r="JJ382" s="30"/>
      <c r="JK382" s="30"/>
      <c r="JL382" s="30"/>
      <c r="JM382" s="30"/>
      <c r="JN382" s="30"/>
      <c r="JO382" s="30"/>
      <c r="JP382" s="30"/>
      <c r="JQ382" s="30"/>
      <c r="JR382" s="30"/>
      <c r="JS382" s="30"/>
      <c r="JT382" s="30"/>
      <c r="JU382" s="30"/>
      <c r="JV382" s="30"/>
      <c r="JW382" s="30"/>
      <c r="JX382" s="30"/>
      <c r="JY382" s="30"/>
      <c r="JZ382" s="30"/>
      <c r="KA382" s="30"/>
      <c r="KB382" s="30"/>
      <c r="KC382" s="30"/>
      <c r="KD382" s="30"/>
      <c r="KE382" s="30"/>
    </row>
    <row r="383" spans="1:291" s="156" customFormat="1" ht="35" customHeight="1">
      <c r="A383" s="42">
        <f>ROW()-2</f>
        <v>381</v>
      </c>
      <c r="B383" s="42" t="s">
        <v>2732</v>
      </c>
      <c r="C383" s="42" t="s">
        <v>3329</v>
      </c>
      <c r="D383" s="43" t="s">
        <v>3540</v>
      </c>
      <c r="E383" s="43" t="s">
        <v>3541</v>
      </c>
      <c r="F383" s="57" t="s">
        <v>3542</v>
      </c>
      <c r="G383" s="42" t="s">
        <v>3253</v>
      </c>
      <c r="H383" s="42">
        <v>1</v>
      </c>
      <c r="I383" s="44">
        <v>0.49</v>
      </c>
      <c r="J383" s="45">
        <v>44565</v>
      </c>
      <c r="K383" s="44" t="s">
        <v>20</v>
      </c>
      <c r="L383" s="42">
        <v>4.99</v>
      </c>
      <c r="M383" s="32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  <c r="FS383" s="30"/>
      <c r="FT383" s="30"/>
      <c r="FU383" s="30"/>
      <c r="FV383" s="30"/>
      <c r="FW383" s="30"/>
      <c r="FX383" s="30"/>
      <c r="FY383" s="30"/>
      <c r="FZ383" s="30"/>
      <c r="GA383" s="30"/>
      <c r="GB383" s="30"/>
      <c r="GC383" s="30"/>
      <c r="GD383" s="30"/>
      <c r="GE383" s="30"/>
      <c r="GF383" s="30"/>
      <c r="GG383" s="30"/>
      <c r="GH383" s="30"/>
      <c r="GI383" s="30"/>
      <c r="GJ383" s="30"/>
      <c r="GK383" s="30"/>
      <c r="GL383" s="30"/>
      <c r="GM383" s="30"/>
      <c r="GN383" s="30"/>
      <c r="GO383" s="30"/>
      <c r="GP383" s="30"/>
      <c r="GQ383" s="30"/>
      <c r="GR383" s="30"/>
      <c r="GS383" s="30"/>
      <c r="GT383" s="30"/>
      <c r="GU383" s="30"/>
      <c r="GV383" s="30"/>
      <c r="GW383" s="30"/>
      <c r="GX383" s="30"/>
      <c r="GY383" s="30"/>
      <c r="GZ383" s="30"/>
      <c r="HA383" s="30"/>
      <c r="HB383" s="30"/>
      <c r="HC383" s="30"/>
      <c r="HD383" s="30"/>
      <c r="HE383" s="30"/>
      <c r="HF383" s="30"/>
      <c r="HG383" s="30"/>
      <c r="HH383" s="30"/>
      <c r="HI383" s="30"/>
      <c r="HJ383" s="30"/>
      <c r="HK383" s="30"/>
      <c r="HL383" s="30"/>
      <c r="HM383" s="30"/>
      <c r="HN383" s="30"/>
      <c r="HO383" s="30"/>
      <c r="HP383" s="30"/>
      <c r="HQ383" s="30"/>
      <c r="HR383" s="30"/>
      <c r="HS383" s="30"/>
      <c r="HT383" s="30"/>
      <c r="HU383" s="30"/>
      <c r="HV383" s="30"/>
      <c r="HW383" s="30"/>
      <c r="HX383" s="30"/>
      <c r="HY383" s="30"/>
      <c r="HZ383" s="30"/>
      <c r="IA383" s="30"/>
      <c r="IB383" s="30"/>
      <c r="IC383" s="30"/>
      <c r="ID383" s="30"/>
      <c r="IE383" s="30"/>
      <c r="IF383" s="30"/>
      <c r="IG383" s="30"/>
      <c r="IH383" s="30"/>
      <c r="II383" s="30"/>
      <c r="IJ383" s="30"/>
      <c r="IK383" s="30"/>
      <c r="IL383" s="30"/>
      <c r="IM383" s="30"/>
      <c r="IN383" s="30"/>
      <c r="IO383" s="30"/>
      <c r="IP383" s="30"/>
      <c r="IQ383" s="30"/>
      <c r="IR383" s="30"/>
      <c r="IS383" s="30"/>
      <c r="IT383" s="30"/>
      <c r="IU383" s="30"/>
      <c r="IV383" s="30"/>
      <c r="IW383" s="30"/>
      <c r="IX383" s="30"/>
      <c r="IY383" s="30"/>
      <c r="IZ383" s="30"/>
      <c r="JA383" s="30"/>
      <c r="JB383" s="30"/>
      <c r="JC383" s="30"/>
      <c r="JD383" s="30"/>
      <c r="JE383" s="30"/>
      <c r="JF383" s="30"/>
      <c r="JG383" s="30"/>
      <c r="JH383" s="30"/>
      <c r="JI383" s="30"/>
      <c r="JJ383" s="30"/>
      <c r="JK383" s="30"/>
      <c r="JL383" s="30"/>
      <c r="JM383" s="30"/>
      <c r="JN383" s="30"/>
      <c r="JO383" s="30"/>
      <c r="JP383" s="30"/>
      <c r="JQ383" s="30"/>
      <c r="JR383" s="30"/>
      <c r="JS383" s="30"/>
      <c r="JT383" s="30"/>
      <c r="JU383" s="30"/>
      <c r="JV383" s="30"/>
      <c r="JW383" s="30"/>
      <c r="JX383" s="30"/>
      <c r="JY383" s="30"/>
      <c r="JZ383" s="30"/>
      <c r="KA383" s="30"/>
      <c r="KB383" s="30"/>
      <c r="KC383" s="30"/>
      <c r="KD383" s="30"/>
      <c r="KE383" s="30"/>
    </row>
    <row r="384" spans="1:291" s="156" customFormat="1" ht="35" customHeight="1">
      <c r="A384" s="42">
        <f>ROW()-2</f>
        <v>382</v>
      </c>
      <c r="B384" s="42" t="s">
        <v>2732</v>
      </c>
      <c r="C384" s="42" t="s">
        <v>3329</v>
      </c>
      <c r="D384" s="43" t="s">
        <v>5142</v>
      </c>
      <c r="E384" s="43" t="s">
        <v>5144</v>
      </c>
      <c r="F384" s="43" t="s">
        <v>3335</v>
      </c>
      <c r="G384" s="42" t="s">
        <v>34</v>
      </c>
      <c r="H384" s="42">
        <v>1</v>
      </c>
      <c r="I384" s="44">
        <v>0.48</v>
      </c>
      <c r="J384" s="45">
        <v>44578</v>
      </c>
      <c r="K384" s="44" t="s">
        <v>20</v>
      </c>
      <c r="L384" s="42">
        <v>4.99</v>
      </c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  <c r="DT384" s="31"/>
      <c r="DU384" s="31"/>
      <c r="DV384" s="31"/>
      <c r="DW384" s="31"/>
      <c r="DX384" s="31"/>
      <c r="DY384" s="31"/>
      <c r="DZ384" s="31"/>
      <c r="EA384" s="31"/>
      <c r="EB384" s="31"/>
      <c r="EC384" s="31"/>
      <c r="ED384" s="31"/>
      <c r="EE384" s="31"/>
      <c r="EF384" s="31"/>
      <c r="EG384" s="31"/>
      <c r="EH384" s="31"/>
      <c r="EI384" s="31"/>
      <c r="EJ384" s="31"/>
      <c r="EK384" s="31"/>
      <c r="EL384" s="31"/>
      <c r="EM384" s="31"/>
      <c r="EN384" s="31"/>
      <c r="EO384" s="31"/>
      <c r="EP384" s="31"/>
      <c r="EQ384" s="31"/>
      <c r="ER384" s="31"/>
      <c r="ES384" s="31"/>
      <c r="ET384" s="31"/>
      <c r="EU384" s="31"/>
      <c r="EV384" s="31"/>
      <c r="EW384" s="31"/>
      <c r="EX384" s="31"/>
      <c r="EY384" s="31"/>
      <c r="EZ384" s="31"/>
      <c r="FA384" s="31"/>
      <c r="FB384" s="31"/>
      <c r="FC384" s="31"/>
      <c r="FD384" s="31"/>
      <c r="FE384" s="31"/>
      <c r="FF384" s="31"/>
      <c r="FG384" s="31"/>
      <c r="FH384" s="31"/>
      <c r="FI384" s="31"/>
      <c r="FJ384" s="31"/>
      <c r="FK384" s="31"/>
      <c r="FL384" s="31"/>
      <c r="FM384" s="31"/>
      <c r="FN384" s="31"/>
      <c r="FO384" s="31"/>
      <c r="FP384" s="31"/>
      <c r="FQ384" s="31"/>
      <c r="FR384" s="31"/>
      <c r="FS384" s="31"/>
      <c r="FT384" s="31"/>
      <c r="FU384" s="31"/>
      <c r="FV384" s="31"/>
      <c r="FW384" s="31"/>
      <c r="FX384" s="31"/>
      <c r="FY384" s="31"/>
      <c r="FZ384" s="31"/>
      <c r="GA384" s="31"/>
      <c r="GB384" s="31"/>
      <c r="GC384" s="31"/>
      <c r="GD384" s="31"/>
      <c r="GE384" s="31"/>
      <c r="GF384" s="31"/>
      <c r="GG384" s="31"/>
      <c r="GH384" s="31"/>
      <c r="GI384" s="31"/>
      <c r="GJ384" s="31"/>
      <c r="GK384" s="31"/>
      <c r="GL384" s="31"/>
      <c r="GM384" s="31"/>
      <c r="GN384" s="31"/>
      <c r="GO384" s="31"/>
      <c r="GP384" s="31"/>
      <c r="GQ384" s="31"/>
      <c r="GR384" s="31"/>
      <c r="GS384" s="31"/>
      <c r="GT384" s="31"/>
      <c r="GU384" s="31"/>
      <c r="GV384" s="31"/>
      <c r="GW384" s="31"/>
      <c r="GX384" s="31"/>
      <c r="GY384" s="31"/>
      <c r="GZ384" s="31"/>
      <c r="HA384" s="31"/>
      <c r="HB384" s="31"/>
      <c r="HC384" s="31"/>
      <c r="HD384" s="31"/>
      <c r="HE384" s="31"/>
      <c r="HF384" s="31"/>
      <c r="HG384" s="31"/>
      <c r="HH384" s="31"/>
      <c r="HI384" s="31"/>
      <c r="HJ384" s="31"/>
      <c r="HK384" s="31"/>
      <c r="HL384" s="31"/>
      <c r="HM384" s="31"/>
      <c r="HN384" s="31"/>
      <c r="HO384" s="31"/>
      <c r="HP384" s="31"/>
      <c r="HQ384" s="31"/>
      <c r="HR384" s="31"/>
      <c r="HS384" s="31"/>
      <c r="HT384" s="31"/>
      <c r="HU384" s="31"/>
      <c r="HV384" s="31"/>
      <c r="HW384" s="31"/>
      <c r="HX384" s="31"/>
      <c r="HY384" s="31"/>
      <c r="HZ384" s="31"/>
      <c r="IA384" s="31"/>
      <c r="IB384" s="31"/>
      <c r="IC384" s="31"/>
      <c r="ID384" s="31"/>
      <c r="IE384" s="31"/>
      <c r="IF384" s="31"/>
      <c r="IG384" s="31"/>
      <c r="IH384" s="31"/>
      <c r="II384" s="31"/>
      <c r="IJ384" s="31"/>
      <c r="IK384" s="31"/>
      <c r="IL384" s="31"/>
      <c r="IM384" s="31"/>
      <c r="IN384" s="31"/>
      <c r="IO384" s="31"/>
      <c r="IP384" s="31"/>
      <c r="IQ384" s="31"/>
      <c r="IR384" s="31"/>
      <c r="IS384" s="31"/>
      <c r="IT384" s="31"/>
      <c r="IU384" s="31"/>
      <c r="IV384" s="31"/>
      <c r="IW384" s="31"/>
      <c r="IX384" s="31"/>
      <c r="IY384" s="31"/>
      <c r="IZ384" s="31"/>
      <c r="JA384" s="31"/>
      <c r="JB384" s="31"/>
      <c r="JC384" s="31"/>
      <c r="JD384" s="31"/>
      <c r="JE384" s="31"/>
      <c r="JF384" s="31"/>
      <c r="JG384" s="31"/>
      <c r="JH384" s="31"/>
      <c r="JI384" s="31"/>
      <c r="JJ384" s="31"/>
      <c r="JK384" s="31"/>
      <c r="JL384" s="31"/>
      <c r="JM384" s="31"/>
      <c r="JN384" s="31"/>
      <c r="JO384" s="31"/>
      <c r="JP384" s="31"/>
      <c r="JQ384" s="31"/>
      <c r="JR384" s="31"/>
      <c r="JS384" s="31"/>
      <c r="JT384" s="31"/>
      <c r="JU384" s="31"/>
      <c r="JV384" s="31"/>
      <c r="JW384" s="31"/>
      <c r="JX384" s="31"/>
      <c r="JY384" s="31"/>
      <c r="JZ384" s="31"/>
      <c r="KA384" s="31"/>
      <c r="KB384" s="31"/>
      <c r="KC384" s="31"/>
      <c r="KD384" s="31"/>
      <c r="KE384" s="31"/>
    </row>
    <row r="385" spans="1:291" ht="35" customHeight="1">
      <c r="A385" s="42">
        <f>ROW()-2</f>
        <v>383</v>
      </c>
      <c r="B385" s="182" t="s">
        <v>5383</v>
      </c>
      <c r="C385" s="182" t="s">
        <v>5386</v>
      </c>
      <c r="D385" s="187" t="s">
        <v>5388</v>
      </c>
      <c r="E385" s="187" t="s">
        <v>5392</v>
      </c>
      <c r="F385" s="187" t="s">
        <v>5393</v>
      </c>
      <c r="G385" s="42" t="s">
        <v>3253</v>
      </c>
      <c r="H385" s="182">
        <v>1</v>
      </c>
      <c r="I385" s="206">
        <v>0.5</v>
      </c>
      <c r="J385" s="209">
        <v>44606</v>
      </c>
      <c r="K385" s="44" t="s">
        <v>5394</v>
      </c>
      <c r="L385" s="182">
        <v>4.99</v>
      </c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  <c r="FS385" s="30"/>
      <c r="FT385" s="30"/>
      <c r="FU385" s="30"/>
      <c r="FV385" s="30"/>
      <c r="FW385" s="30"/>
      <c r="FX385" s="30"/>
      <c r="FY385" s="30"/>
      <c r="FZ385" s="30"/>
      <c r="GA385" s="30"/>
      <c r="GB385" s="30"/>
      <c r="GC385" s="30"/>
      <c r="GD385" s="30"/>
      <c r="GE385" s="30"/>
      <c r="GF385" s="30"/>
      <c r="GG385" s="30"/>
      <c r="GH385" s="30"/>
      <c r="GI385" s="30"/>
      <c r="GJ385" s="30"/>
      <c r="GK385" s="30"/>
      <c r="GL385" s="30"/>
      <c r="GM385" s="30"/>
      <c r="GN385" s="30"/>
      <c r="GO385" s="30"/>
      <c r="GP385" s="30"/>
      <c r="GQ385" s="30"/>
      <c r="GR385" s="30"/>
      <c r="GS385" s="30"/>
      <c r="GT385" s="30"/>
      <c r="GU385" s="30"/>
      <c r="GV385" s="30"/>
      <c r="GW385" s="30"/>
      <c r="GX385" s="30"/>
      <c r="GY385" s="30"/>
      <c r="GZ385" s="30"/>
      <c r="HA385" s="30"/>
      <c r="HB385" s="30"/>
      <c r="HC385" s="30"/>
      <c r="HD385" s="30"/>
      <c r="HE385" s="30"/>
      <c r="HF385" s="30"/>
      <c r="HG385" s="30"/>
      <c r="HH385" s="30"/>
      <c r="HI385" s="30"/>
      <c r="HJ385" s="30"/>
      <c r="HK385" s="30"/>
      <c r="HL385" s="30"/>
      <c r="HM385" s="30"/>
      <c r="HN385" s="30"/>
      <c r="HO385" s="30"/>
      <c r="HP385" s="30"/>
      <c r="HQ385" s="30"/>
      <c r="HR385" s="30"/>
      <c r="HS385" s="30"/>
      <c r="HT385" s="30"/>
      <c r="HU385" s="30"/>
      <c r="HV385" s="30"/>
      <c r="HW385" s="30"/>
      <c r="HX385" s="30"/>
      <c r="HY385" s="30"/>
      <c r="HZ385" s="30"/>
      <c r="IA385" s="30"/>
      <c r="IB385" s="30"/>
      <c r="IC385" s="30"/>
      <c r="ID385" s="30"/>
      <c r="IE385" s="30"/>
      <c r="IF385" s="30"/>
      <c r="IG385" s="30"/>
      <c r="IH385" s="30"/>
      <c r="II385" s="30"/>
      <c r="IJ385" s="30"/>
      <c r="IK385" s="30"/>
      <c r="IL385" s="30"/>
      <c r="IM385" s="30"/>
      <c r="IN385" s="30"/>
      <c r="IO385" s="30"/>
      <c r="IP385" s="30"/>
      <c r="IQ385" s="30"/>
      <c r="IR385" s="30"/>
      <c r="IS385" s="30"/>
      <c r="IT385" s="30"/>
      <c r="IU385" s="30"/>
      <c r="IV385" s="30"/>
      <c r="IW385" s="30"/>
      <c r="IX385" s="30"/>
      <c r="IY385" s="30"/>
      <c r="IZ385" s="30"/>
      <c r="JA385" s="30"/>
      <c r="JB385" s="30"/>
      <c r="JC385" s="30"/>
      <c r="JD385" s="30"/>
      <c r="JE385" s="30"/>
      <c r="JF385" s="30"/>
      <c r="JG385" s="30"/>
      <c r="JH385" s="30"/>
      <c r="JI385" s="30"/>
      <c r="JJ385" s="30"/>
      <c r="JK385" s="30"/>
      <c r="JL385" s="30"/>
      <c r="JM385" s="30"/>
      <c r="JN385" s="30"/>
      <c r="JO385" s="30"/>
      <c r="JP385" s="30"/>
      <c r="JQ385" s="30"/>
      <c r="JR385" s="30"/>
      <c r="JS385" s="30"/>
      <c r="JT385" s="30"/>
      <c r="JU385" s="30"/>
      <c r="JV385" s="30"/>
      <c r="JW385" s="30"/>
      <c r="JX385" s="30"/>
      <c r="JY385" s="30"/>
      <c r="JZ385" s="30"/>
      <c r="KA385" s="30"/>
      <c r="KB385" s="30"/>
      <c r="KC385" s="30"/>
      <c r="KD385" s="30"/>
      <c r="KE385" s="30"/>
    </row>
    <row r="386" spans="1:291" ht="35" customHeight="1">
      <c r="A386" s="42">
        <f>ROW()-2</f>
        <v>384</v>
      </c>
      <c r="B386" s="152" t="s">
        <v>2732</v>
      </c>
      <c r="C386" s="152" t="s">
        <v>3543</v>
      </c>
      <c r="D386" s="58" t="s">
        <v>3559</v>
      </c>
      <c r="E386" s="58" t="s">
        <v>3560</v>
      </c>
      <c r="F386" s="58" t="s">
        <v>3561</v>
      </c>
      <c r="G386" s="152" t="s">
        <v>34</v>
      </c>
      <c r="H386" s="152">
        <v>1</v>
      </c>
      <c r="I386" s="153">
        <v>0.45722222222222197</v>
      </c>
      <c r="J386" s="154">
        <v>43962</v>
      </c>
      <c r="K386" s="153" t="s">
        <v>20</v>
      </c>
      <c r="L386" s="152">
        <v>4.99</v>
      </c>
      <c r="M386" s="155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  <c r="AA386" s="156"/>
      <c r="AB386" s="156"/>
      <c r="AC386" s="156"/>
      <c r="AD386" s="156"/>
      <c r="AE386" s="156"/>
      <c r="AF386" s="156"/>
      <c r="AG386" s="156"/>
      <c r="AH386" s="156"/>
      <c r="AI386" s="156"/>
      <c r="AJ386" s="156"/>
      <c r="AK386" s="156"/>
      <c r="AL386" s="156"/>
      <c r="AM386" s="156"/>
      <c r="AN386" s="156"/>
      <c r="AO386" s="156"/>
      <c r="AP386" s="156"/>
      <c r="AQ386" s="156"/>
      <c r="AR386" s="156"/>
      <c r="AS386" s="156"/>
      <c r="AT386" s="156"/>
      <c r="AU386" s="156"/>
      <c r="AV386" s="156"/>
      <c r="AW386" s="156"/>
      <c r="AX386" s="156"/>
      <c r="AY386" s="156"/>
      <c r="AZ386" s="156"/>
      <c r="BA386" s="156"/>
      <c r="BB386" s="156"/>
      <c r="BC386" s="156"/>
      <c r="BD386" s="156"/>
      <c r="BE386" s="156"/>
      <c r="BF386" s="156"/>
      <c r="BG386" s="156"/>
      <c r="BH386" s="156"/>
      <c r="BI386" s="156"/>
      <c r="BJ386" s="156"/>
      <c r="BK386" s="156"/>
      <c r="BL386" s="156"/>
      <c r="BM386" s="156"/>
      <c r="BN386" s="156"/>
      <c r="BO386" s="156"/>
      <c r="BP386" s="156"/>
      <c r="BQ386" s="156"/>
      <c r="BR386" s="156"/>
      <c r="BS386" s="156"/>
      <c r="BT386" s="156"/>
      <c r="BU386" s="156"/>
      <c r="BV386" s="156"/>
      <c r="BW386" s="156"/>
      <c r="BX386" s="156"/>
      <c r="BY386" s="156"/>
      <c r="BZ386" s="156"/>
      <c r="CA386" s="156"/>
      <c r="CB386" s="156"/>
      <c r="CC386" s="156"/>
      <c r="CD386" s="156"/>
      <c r="CE386" s="156"/>
      <c r="CF386" s="156"/>
      <c r="CG386" s="156"/>
      <c r="CH386" s="156"/>
      <c r="CI386" s="156"/>
      <c r="CJ386" s="156"/>
      <c r="CK386" s="156"/>
      <c r="CL386" s="156"/>
      <c r="CM386" s="156"/>
      <c r="CN386" s="156"/>
      <c r="CO386" s="156"/>
      <c r="CP386" s="156"/>
      <c r="CQ386" s="156"/>
      <c r="CR386" s="156"/>
      <c r="CS386" s="156"/>
      <c r="CT386" s="156"/>
      <c r="CU386" s="156"/>
      <c r="CV386" s="156"/>
      <c r="CW386" s="156"/>
      <c r="CX386" s="156"/>
      <c r="CY386" s="156"/>
      <c r="CZ386" s="156"/>
      <c r="DA386" s="156"/>
      <c r="DB386" s="156"/>
      <c r="DC386" s="156"/>
      <c r="DD386" s="156"/>
      <c r="DE386" s="156"/>
      <c r="DF386" s="156"/>
      <c r="DG386" s="156"/>
      <c r="DH386" s="156"/>
      <c r="DI386" s="156"/>
      <c r="DJ386" s="156"/>
      <c r="DK386" s="156"/>
      <c r="DL386" s="156"/>
      <c r="DM386" s="156"/>
      <c r="DN386" s="156"/>
      <c r="DO386" s="156"/>
      <c r="DP386" s="156"/>
      <c r="DQ386" s="156"/>
      <c r="DR386" s="156"/>
      <c r="DS386" s="156"/>
      <c r="DT386" s="156"/>
      <c r="DU386" s="156"/>
      <c r="DV386" s="156"/>
      <c r="DW386" s="156"/>
      <c r="DX386" s="156"/>
      <c r="DY386" s="156"/>
      <c r="DZ386" s="156"/>
      <c r="EA386" s="156"/>
      <c r="EB386" s="156"/>
      <c r="EC386" s="156"/>
      <c r="ED386" s="156"/>
      <c r="EE386" s="156"/>
      <c r="EF386" s="156"/>
      <c r="EG386" s="156"/>
      <c r="EH386" s="156"/>
      <c r="EI386" s="156"/>
      <c r="EJ386" s="156"/>
      <c r="EK386" s="156"/>
      <c r="EL386" s="156"/>
      <c r="EM386" s="156"/>
      <c r="EN386" s="156"/>
      <c r="EO386" s="156"/>
      <c r="EP386" s="156"/>
      <c r="EQ386" s="156"/>
      <c r="ER386" s="156"/>
      <c r="ES386" s="156"/>
      <c r="ET386" s="156"/>
      <c r="EU386" s="156"/>
      <c r="EV386" s="156"/>
      <c r="EW386" s="156"/>
      <c r="EX386" s="156"/>
      <c r="EY386" s="156"/>
      <c r="EZ386" s="156"/>
      <c r="FA386" s="156"/>
      <c r="FB386" s="156"/>
      <c r="FC386" s="156"/>
      <c r="FD386" s="156"/>
      <c r="FE386" s="156"/>
      <c r="FF386" s="156"/>
      <c r="FG386" s="156"/>
      <c r="FH386" s="156"/>
      <c r="FI386" s="156"/>
      <c r="FJ386" s="156"/>
      <c r="FK386" s="156"/>
      <c r="FL386" s="156"/>
      <c r="FM386" s="156"/>
      <c r="FN386" s="156"/>
      <c r="FO386" s="156"/>
      <c r="FP386" s="156"/>
      <c r="FQ386" s="156"/>
      <c r="FR386" s="156"/>
      <c r="FS386" s="156"/>
      <c r="FT386" s="156"/>
      <c r="FU386" s="156"/>
      <c r="FV386" s="156"/>
      <c r="FW386" s="156"/>
      <c r="FX386" s="156"/>
      <c r="FY386" s="156"/>
      <c r="FZ386" s="156"/>
      <c r="GA386" s="156"/>
      <c r="GB386" s="156"/>
      <c r="GC386" s="156"/>
      <c r="GD386" s="156"/>
      <c r="GE386" s="156"/>
      <c r="GF386" s="156"/>
      <c r="GG386" s="156"/>
      <c r="GH386" s="156"/>
      <c r="GI386" s="156"/>
      <c r="GJ386" s="156"/>
      <c r="GK386" s="156"/>
      <c r="GL386" s="156"/>
      <c r="GM386" s="156"/>
      <c r="GN386" s="156"/>
      <c r="GO386" s="156"/>
      <c r="GP386" s="156"/>
      <c r="GQ386" s="156"/>
      <c r="GR386" s="156"/>
      <c r="GS386" s="156"/>
      <c r="GT386" s="156"/>
      <c r="GU386" s="156"/>
      <c r="GV386" s="156"/>
      <c r="GW386" s="156"/>
      <c r="GX386" s="156"/>
      <c r="GY386" s="156"/>
      <c r="GZ386" s="156"/>
      <c r="HA386" s="156"/>
      <c r="HB386" s="156"/>
      <c r="HC386" s="156"/>
      <c r="HD386" s="156"/>
      <c r="HE386" s="156"/>
      <c r="HF386" s="156"/>
      <c r="HG386" s="156"/>
      <c r="HH386" s="156"/>
      <c r="HI386" s="156"/>
      <c r="HJ386" s="156"/>
      <c r="HK386" s="156"/>
      <c r="HL386" s="156"/>
      <c r="HM386" s="156"/>
      <c r="HN386" s="156"/>
      <c r="HO386" s="156"/>
      <c r="HP386" s="156"/>
      <c r="HQ386" s="156"/>
      <c r="HR386" s="156"/>
      <c r="HS386" s="156"/>
      <c r="HT386" s="156"/>
      <c r="HU386" s="156"/>
      <c r="HV386" s="156"/>
      <c r="HW386" s="156"/>
      <c r="HX386" s="156"/>
      <c r="HY386" s="156"/>
      <c r="HZ386" s="156"/>
      <c r="IA386" s="156"/>
      <c r="IB386" s="156"/>
      <c r="IC386" s="156"/>
      <c r="ID386" s="156"/>
      <c r="IE386" s="156"/>
      <c r="IF386" s="156"/>
      <c r="IG386" s="156"/>
      <c r="IH386" s="156"/>
      <c r="II386" s="156"/>
      <c r="IJ386" s="156"/>
      <c r="IK386" s="156"/>
      <c r="IL386" s="156"/>
      <c r="IM386" s="156"/>
      <c r="IN386" s="156"/>
      <c r="IO386" s="156"/>
      <c r="IP386" s="156"/>
      <c r="IQ386" s="156"/>
      <c r="IR386" s="156"/>
      <c r="IS386" s="156"/>
      <c r="IT386" s="156"/>
      <c r="IU386" s="156"/>
      <c r="IV386" s="156"/>
      <c r="IW386" s="156"/>
      <c r="IX386" s="156"/>
      <c r="IY386" s="156"/>
      <c r="IZ386" s="156"/>
      <c r="JA386" s="156"/>
      <c r="JB386" s="156"/>
      <c r="JC386" s="156"/>
      <c r="JD386" s="156"/>
      <c r="JE386" s="156"/>
      <c r="JF386" s="156"/>
      <c r="JG386" s="156"/>
      <c r="JH386" s="156"/>
      <c r="JI386" s="156"/>
      <c r="JJ386" s="156"/>
      <c r="JK386" s="156"/>
      <c r="JL386" s="156"/>
      <c r="JM386" s="156"/>
      <c r="JN386" s="156"/>
      <c r="JO386" s="156"/>
      <c r="JP386" s="156"/>
      <c r="JQ386" s="156"/>
      <c r="JR386" s="156"/>
      <c r="JS386" s="156"/>
      <c r="JT386" s="156"/>
      <c r="JU386" s="156"/>
      <c r="JV386" s="156"/>
      <c r="JW386" s="156"/>
      <c r="JX386" s="156"/>
      <c r="JY386" s="156"/>
      <c r="JZ386" s="156"/>
      <c r="KA386" s="156"/>
      <c r="KB386" s="156"/>
      <c r="KC386" s="156"/>
      <c r="KD386" s="156"/>
      <c r="KE386" s="156"/>
    </row>
    <row r="387" spans="1:291" ht="35" customHeight="1">
      <c r="A387" s="42">
        <f>ROW()-2</f>
        <v>385</v>
      </c>
      <c r="B387" s="42" t="s">
        <v>2732</v>
      </c>
      <c r="C387" s="42" t="s">
        <v>3543</v>
      </c>
      <c r="D387" s="43" t="s">
        <v>3546</v>
      </c>
      <c r="E387" s="43" t="s">
        <v>3547</v>
      </c>
      <c r="F387" s="43" t="s">
        <v>3548</v>
      </c>
      <c r="G387" s="42" t="s">
        <v>34</v>
      </c>
      <c r="H387" s="42">
        <v>1</v>
      </c>
      <c r="I387" s="44">
        <v>0.44083333333333302</v>
      </c>
      <c r="J387" s="45">
        <v>43962</v>
      </c>
      <c r="K387" s="44" t="s">
        <v>20</v>
      </c>
      <c r="L387" s="42">
        <v>4.99</v>
      </c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  <c r="FS387" s="30"/>
      <c r="FT387" s="30"/>
      <c r="FU387" s="30"/>
      <c r="FV387" s="30"/>
      <c r="FW387" s="30"/>
      <c r="FX387" s="30"/>
      <c r="FY387" s="30"/>
      <c r="FZ387" s="30"/>
      <c r="GA387" s="30"/>
      <c r="GB387" s="30"/>
      <c r="GC387" s="30"/>
      <c r="GD387" s="30"/>
      <c r="GE387" s="30"/>
      <c r="GF387" s="30"/>
      <c r="GG387" s="30"/>
      <c r="GH387" s="30"/>
      <c r="GI387" s="30"/>
      <c r="GJ387" s="30"/>
      <c r="GK387" s="30"/>
      <c r="GL387" s="30"/>
      <c r="GM387" s="30"/>
      <c r="GN387" s="30"/>
      <c r="GO387" s="30"/>
      <c r="GP387" s="30"/>
      <c r="GQ387" s="30"/>
      <c r="GR387" s="30"/>
      <c r="GS387" s="30"/>
      <c r="GT387" s="30"/>
      <c r="GU387" s="30"/>
      <c r="GV387" s="30"/>
      <c r="GW387" s="30"/>
      <c r="GX387" s="30"/>
      <c r="GY387" s="30"/>
      <c r="GZ387" s="30"/>
      <c r="HA387" s="30"/>
      <c r="HB387" s="30"/>
      <c r="HC387" s="30"/>
      <c r="HD387" s="30"/>
      <c r="HE387" s="30"/>
      <c r="HF387" s="30"/>
      <c r="HG387" s="30"/>
      <c r="HH387" s="30"/>
      <c r="HI387" s="30"/>
      <c r="HJ387" s="30"/>
      <c r="HK387" s="30"/>
      <c r="HL387" s="30"/>
      <c r="HM387" s="30"/>
      <c r="HN387" s="30"/>
      <c r="HO387" s="30"/>
      <c r="HP387" s="30"/>
      <c r="HQ387" s="30"/>
      <c r="HR387" s="30"/>
      <c r="HS387" s="30"/>
      <c r="HT387" s="30"/>
      <c r="HU387" s="30"/>
      <c r="HV387" s="30"/>
      <c r="HW387" s="30"/>
      <c r="HX387" s="30"/>
      <c r="HY387" s="30"/>
      <c r="HZ387" s="30"/>
      <c r="IA387" s="30"/>
      <c r="IB387" s="30"/>
      <c r="IC387" s="30"/>
      <c r="ID387" s="30"/>
      <c r="IE387" s="30"/>
      <c r="IF387" s="30"/>
      <c r="IG387" s="30"/>
      <c r="IH387" s="30"/>
      <c r="II387" s="30"/>
      <c r="IJ387" s="30"/>
      <c r="IK387" s="30"/>
      <c r="IL387" s="30"/>
      <c r="IM387" s="30"/>
      <c r="IN387" s="30"/>
      <c r="IO387" s="30"/>
      <c r="IP387" s="30"/>
      <c r="IQ387" s="30"/>
      <c r="IR387" s="30"/>
      <c r="IS387" s="30"/>
      <c r="IT387" s="30"/>
      <c r="IU387" s="30"/>
      <c r="IV387" s="30"/>
      <c r="IW387" s="30"/>
      <c r="IX387" s="30"/>
      <c r="IY387" s="30"/>
      <c r="IZ387" s="30"/>
      <c r="JA387" s="30"/>
      <c r="JB387" s="30"/>
      <c r="JC387" s="30"/>
      <c r="JD387" s="30"/>
      <c r="JE387" s="30"/>
      <c r="JF387" s="30"/>
      <c r="JG387" s="30"/>
      <c r="JH387" s="30"/>
      <c r="JI387" s="30"/>
      <c r="JJ387" s="30"/>
      <c r="JK387" s="30"/>
      <c r="JL387" s="30"/>
      <c r="JM387" s="30"/>
      <c r="JN387" s="30"/>
      <c r="JO387" s="30"/>
      <c r="JP387" s="30"/>
      <c r="JQ387" s="30"/>
      <c r="JR387" s="30"/>
      <c r="JS387" s="30"/>
      <c r="JT387" s="30"/>
      <c r="JU387" s="30"/>
      <c r="JV387" s="30"/>
      <c r="JW387" s="30"/>
      <c r="JX387" s="30"/>
      <c r="JY387" s="30"/>
      <c r="JZ387" s="30"/>
      <c r="KA387" s="30"/>
      <c r="KB387" s="30"/>
      <c r="KC387" s="30"/>
      <c r="KD387" s="30"/>
      <c r="KE387" s="30"/>
    </row>
    <row r="388" spans="1:291" ht="35" customHeight="1">
      <c r="A388" s="42">
        <f>ROW()-2</f>
        <v>386</v>
      </c>
      <c r="B388" s="42" t="s">
        <v>2732</v>
      </c>
      <c r="C388" s="42" t="s">
        <v>3543</v>
      </c>
      <c r="D388" s="43" t="s">
        <v>3544</v>
      </c>
      <c r="E388" s="43" t="s">
        <v>1468</v>
      </c>
      <c r="F388" s="43" t="s">
        <v>3545</v>
      </c>
      <c r="G388" s="42" t="s">
        <v>34</v>
      </c>
      <c r="H388" s="42">
        <v>1</v>
      </c>
      <c r="I388" s="44">
        <v>0.49333333333333301</v>
      </c>
      <c r="J388" s="45">
        <v>43978</v>
      </c>
      <c r="K388" s="46" t="s">
        <v>20</v>
      </c>
      <c r="L388" s="47">
        <v>4.99</v>
      </c>
    </row>
    <row r="389" spans="1:291" ht="35" customHeight="1">
      <c r="A389" s="42">
        <f>ROW()-2</f>
        <v>387</v>
      </c>
      <c r="B389" s="152" t="s">
        <v>2732</v>
      </c>
      <c r="C389" s="152" t="s">
        <v>3543</v>
      </c>
      <c r="D389" s="58" t="s">
        <v>3549</v>
      </c>
      <c r="E389" s="58" t="s">
        <v>3550</v>
      </c>
      <c r="F389" s="58" t="s">
        <v>2840</v>
      </c>
      <c r="G389" s="152" t="s">
        <v>34</v>
      </c>
      <c r="H389" s="152">
        <v>1</v>
      </c>
      <c r="I389" s="153">
        <v>0.54944444444444396</v>
      </c>
      <c r="J389" s="154">
        <v>43978</v>
      </c>
      <c r="K389" s="236" t="s">
        <v>20</v>
      </c>
      <c r="L389" s="242">
        <v>4.99</v>
      </c>
      <c r="M389" s="155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  <c r="AA389" s="156"/>
      <c r="AB389" s="156"/>
      <c r="AC389" s="156"/>
      <c r="AD389" s="156"/>
      <c r="AE389" s="156"/>
      <c r="AF389" s="156"/>
      <c r="AG389" s="156"/>
      <c r="AH389" s="156"/>
      <c r="AI389" s="156"/>
      <c r="AJ389" s="156"/>
      <c r="AK389" s="156"/>
      <c r="AL389" s="156"/>
      <c r="AM389" s="156"/>
      <c r="AN389" s="156"/>
      <c r="AO389" s="156"/>
      <c r="AP389" s="156"/>
      <c r="AQ389" s="156"/>
      <c r="AR389" s="156"/>
      <c r="AS389" s="156"/>
      <c r="AT389" s="156"/>
      <c r="AU389" s="156"/>
      <c r="AV389" s="156"/>
      <c r="AW389" s="156"/>
      <c r="AX389" s="156"/>
      <c r="AY389" s="156"/>
      <c r="AZ389" s="156"/>
      <c r="BA389" s="156"/>
      <c r="BB389" s="156"/>
      <c r="BC389" s="156"/>
      <c r="BD389" s="156"/>
      <c r="BE389" s="156"/>
      <c r="BF389" s="156"/>
      <c r="BG389" s="156"/>
      <c r="BH389" s="156"/>
      <c r="BI389" s="156"/>
      <c r="BJ389" s="156"/>
      <c r="BK389" s="156"/>
      <c r="BL389" s="156"/>
      <c r="BM389" s="156"/>
      <c r="BN389" s="156"/>
      <c r="BO389" s="156"/>
      <c r="BP389" s="156"/>
      <c r="BQ389" s="156"/>
      <c r="BR389" s="156"/>
      <c r="BS389" s="156"/>
      <c r="BT389" s="156"/>
      <c r="BU389" s="156"/>
      <c r="BV389" s="156"/>
      <c r="BW389" s="156"/>
      <c r="BX389" s="156"/>
      <c r="BY389" s="156"/>
      <c r="BZ389" s="156"/>
      <c r="CA389" s="156"/>
      <c r="CB389" s="156"/>
      <c r="CC389" s="156"/>
      <c r="CD389" s="156"/>
      <c r="CE389" s="156"/>
      <c r="CF389" s="156"/>
      <c r="CG389" s="156"/>
      <c r="CH389" s="156"/>
      <c r="CI389" s="156"/>
      <c r="CJ389" s="156"/>
      <c r="CK389" s="156"/>
      <c r="CL389" s="156"/>
      <c r="CM389" s="156"/>
      <c r="CN389" s="156"/>
      <c r="CO389" s="156"/>
      <c r="CP389" s="156"/>
      <c r="CQ389" s="156"/>
      <c r="CR389" s="156"/>
      <c r="CS389" s="156"/>
      <c r="CT389" s="156"/>
      <c r="CU389" s="156"/>
      <c r="CV389" s="156"/>
      <c r="CW389" s="156"/>
      <c r="CX389" s="156"/>
      <c r="CY389" s="156"/>
      <c r="CZ389" s="156"/>
      <c r="DA389" s="156"/>
      <c r="DB389" s="156"/>
      <c r="DC389" s="156"/>
      <c r="DD389" s="156"/>
      <c r="DE389" s="156"/>
      <c r="DF389" s="156"/>
      <c r="DG389" s="156"/>
      <c r="DH389" s="156"/>
      <c r="DI389" s="156"/>
      <c r="DJ389" s="156"/>
      <c r="DK389" s="156"/>
      <c r="DL389" s="156"/>
      <c r="DM389" s="156"/>
      <c r="DN389" s="156"/>
      <c r="DO389" s="156"/>
      <c r="DP389" s="156"/>
      <c r="DQ389" s="156"/>
      <c r="DR389" s="156"/>
      <c r="DS389" s="156"/>
      <c r="DT389" s="156"/>
      <c r="DU389" s="156"/>
      <c r="DV389" s="156"/>
      <c r="DW389" s="156"/>
      <c r="DX389" s="156"/>
      <c r="DY389" s="156"/>
      <c r="DZ389" s="156"/>
      <c r="EA389" s="156"/>
      <c r="EB389" s="156"/>
      <c r="EC389" s="156"/>
      <c r="ED389" s="156"/>
      <c r="EE389" s="156"/>
      <c r="EF389" s="156"/>
      <c r="EG389" s="156"/>
      <c r="EH389" s="156"/>
      <c r="EI389" s="156"/>
      <c r="EJ389" s="156"/>
      <c r="EK389" s="156"/>
      <c r="EL389" s="156"/>
      <c r="EM389" s="156"/>
      <c r="EN389" s="156"/>
      <c r="EO389" s="156"/>
      <c r="EP389" s="156"/>
      <c r="EQ389" s="156"/>
      <c r="ER389" s="156"/>
      <c r="ES389" s="156"/>
      <c r="ET389" s="156"/>
      <c r="EU389" s="156"/>
      <c r="EV389" s="156"/>
      <c r="EW389" s="156"/>
      <c r="EX389" s="156"/>
      <c r="EY389" s="156"/>
      <c r="EZ389" s="156"/>
      <c r="FA389" s="156"/>
      <c r="FB389" s="156"/>
      <c r="FC389" s="156"/>
      <c r="FD389" s="156"/>
      <c r="FE389" s="156"/>
      <c r="FF389" s="156"/>
      <c r="FG389" s="156"/>
      <c r="FH389" s="156"/>
      <c r="FI389" s="156"/>
      <c r="FJ389" s="156"/>
      <c r="FK389" s="156"/>
      <c r="FL389" s="156"/>
      <c r="FM389" s="156"/>
      <c r="FN389" s="156"/>
      <c r="FO389" s="156"/>
      <c r="FP389" s="156"/>
      <c r="FQ389" s="156"/>
      <c r="FR389" s="156"/>
      <c r="FS389" s="156"/>
      <c r="FT389" s="156"/>
      <c r="FU389" s="156"/>
      <c r="FV389" s="156"/>
      <c r="FW389" s="156"/>
      <c r="FX389" s="156"/>
      <c r="FY389" s="156"/>
      <c r="FZ389" s="156"/>
      <c r="GA389" s="156"/>
      <c r="GB389" s="156"/>
      <c r="GC389" s="156"/>
      <c r="GD389" s="156"/>
      <c r="GE389" s="156"/>
      <c r="GF389" s="156"/>
      <c r="GG389" s="156"/>
      <c r="GH389" s="156"/>
      <c r="GI389" s="156"/>
      <c r="GJ389" s="156"/>
      <c r="GK389" s="156"/>
      <c r="GL389" s="156"/>
      <c r="GM389" s="156"/>
      <c r="GN389" s="156"/>
      <c r="GO389" s="156"/>
      <c r="GP389" s="156"/>
      <c r="GQ389" s="156"/>
      <c r="GR389" s="156"/>
      <c r="GS389" s="156"/>
      <c r="GT389" s="156"/>
      <c r="GU389" s="156"/>
      <c r="GV389" s="156"/>
      <c r="GW389" s="156"/>
      <c r="GX389" s="156"/>
      <c r="GY389" s="156"/>
      <c r="GZ389" s="156"/>
      <c r="HA389" s="156"/>
      <c r="HB389" s="156"/>
      <c r="HC389" s="156"/>
      <c r="HD389" s="156"/>
      <c r="HE389" s="156"/>
      <c r="HF389" s="156"/>
      <c r="HG389" s="156"/>
      <c r="HH389" s="156"/>
      <c r="HI389" s="156"/>
      <c r="HJ389" s="156"/>
      <c r="HK389" s="156"/>
      <c r="HL389" s="156"/>
      <c r="HM389" s="156"/>
      <c r="HN389" s="156"/>
      <c r="HO389" s="156"/>
      <c r="HP389" s="156"/>
      <c r="HQ389" s="156"/>
      <c r="HR389" s="156"/>
      <c r="HS389" s="156"/>
      <c r="HT389" s="156"/>
      <c r="HU389" s="156"/>
      <c r="HV389" s="156"/>
      <c r="HW389" s="156"/>
      <c r="HX389" s="156"/>
      <c r="HY389" s="156"/>
      <c r="HZ389" s="156"/>
      <c r="IA389" s="156"/>
      <c r="IB389" s="156"/>
      <c r="IC389" s="156"/>
      <c r="ID389" s="156"/>
      <c r="IE389" s="156"/>
      <c r="IF389" s="156"/>
      <c r="IG389" s="156"/>
      <c r="IH389" s="156"/>
      <c r="II389" s="156"/>
      <c r="IJ389" s="156"/>
      <c r="IK389" s="156"/>
      <c r="IL389" s="156"/>
      <c r="IM389" s="156"/>
      <c r="IN389" s="156"/>
      <c r="IO389" s="156"/>
      <c r="IP389" s="156"/>
      <c r="IQ389" s="156"/>
      <c r="IR389" s="156"/>
      <c r="IS389" s="156"/>
      <c r="IT389" s="156"/>
      <c r="IU389" s="156"/>
      <c r="IV389" s="156"/>
      <c r="IW389" s="156"/>
      <c r="IX389" s="156"/>
      <c r="IY389" s="156"/>
      <c r="IZ389" s="156"/>
      <c r="JA389" s="156"/>
      <c r="JB389" s="156"/>
      <c r="JC389" s="156"/>
      <c r="JD389" s="156"/>
      <c r="JE389" s="156"/>
      <c r="JF389" s="156"/>
      <c r="JG389" s="156"/>
      <c r="JH389" s="156"/>
      <c r="JI389" s="156"/>
      <c r="JJ389" s="156"/>
      <c r="JK389" s="156"/>
      <c r="JL389" s="156"/>
      <c r="JM389" s="156"/>
      <c r="JN389" s="156"/>
      <c r="JO389" s="156"/>
      <c r="JP389" s="156"/>
      <c r="JQ389" s="156"/>
      <c r="JR389" s="156"/>
      <c r="JS389" s="156"/>
      <c r="JT389" s="156"/>
      <c r="JU389" s="156"/>
      <c r="JV389" s="156"/>
      <c r="JW389" s="156"/>
      <c r="JX389" s="156"/>
      <c r="JY389" s="156"/>
      <c r="JZ389" s="156"/>
      <c r="KA389" s="156"/>
      <c r="KB389" s="156"/>
      <c r="KC389" s="156"/>
      <c r="KD389" s="156"/>
      <c r="KE389" s="156"/>
    </row>
    <row r="390" spans="1:291" ht="35" customHeight="1">
      <c r="A390" s="42">
        <f>ROW()-2</f>
        <v>388</v>
      </c>
      <c r="B390" s="152" t="s">
        <v>2732</v>
      </c>
      <c r="C390" s="152" t="s">
        <v>3543</v>
      </c>
      <c r="D390" s="58" t="s">
        <v>3554</v>
      </c>
      <c r="E390" s="58" t="s">
        <v>3555</v>
      </c>
      <c r="F390" s="58" t="s">
        <v>3556</v>
      </c>
      <c r="G390" s="152" t="s">
        <v>34</v>
      </c>
      <c r="H390" s="152">
        <v>1</v>
      </c>
      <c r="I390" s="153">
        <v>0.28333333333333299</v>
      </c>
      <c r="J390" s="154">
        <v>43978</v>
      </c>
      <c r="K390" s="236" t="s">
        <v>20</v>
      </c>
      <c r="L390" s="242">
        <v>4.99</v>
      </c>
      <c r="M390" s="155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  <c r="AA390" s="156"/>
      <c r="AB390" s="156"/>
      <c r="AC390" s="156"/>
      <c r="AD390" s="156"/>
      <c r="AE390" s="156"/>
      <c r="AF390" s="156"/>
      <c r="AG390" s="156"/>
      <c r="AH390" s="156"/>
      <c r="AI390" s="156"/>
      <c r="AJ390" s="156"/>
      <c r="AK390" s="156"/>
      <c r="AL390" s="156"/>
      <c r="AM390" s="156"/>
      <c r="AN390" s="156"/>
      <c r="AO390" s="156"/>
      <c r="AP390" s="156"/>
      <c r="AQ390" s="156"/>
      <c r="AR390" s="156"/>
      <c r="AS390" s="156"/>
      <c r="AT390" s="156"/>
      <c r="AU390" s="156"/>
      <c r="AV390" s="156"/>
      <c r="AW390" s="156"/>
      <c r="AX390" s="156"/>
      <c r="AY390" s="156"/>
      <c r="AZ390" s="156"/>
      <c r="BA390" s="156"/>
      <c r="BB390" s="156"/>
      <c r="BC390" s="156"/>
      <c r="BD390" s="156"/>
      <c r="BE390" s="156"/>
      <c r="BF390" s="156"/>
      <c r="BG390" s="156"/>
      <c r="BH390" s="156"/>
      <c r="BI390" s="156"/>
      <c r="BJ390" s="156"/>
      <c r="BK390" s="156"/>
      <c r="BL390" s="156"/>
      <c r="BM390" s="156"/>
      <c r="BN390" s="156"/>
      <c r="BO390" s="156"/>
      <c r="BP390" s="156"/>
      <c r="BQ390" s="156"/>
      <c r="BR390" s="156"/>
      <c r="BS390" s="156"/>
      <c r="BT390" s="156"/>
      <c r="BU390" s="156"/>
      <c r="BV390" s="156"/>
      <c r="BW390" s="156"/>
      <c r="BX390" s="156"/>
      <c r="BY390" s="156"/>
      <c r="BZ390" s="156"/>
      <c r="CA390" s="156"/>
      <c r="CB390" s="156"/>
      <c r="CC390" s="156"/>
      <c r="CD390" s="156"/>
      <c r="CE390" s="156"/>
      <c r="CF390" s="156"/>
      <c r="CG390" s="156"/>
      <c r="CH390" s="156"/>
      <c r="CI390" s="156"/>
      <c r="CJ390" s="156"/>
      <c r="CK390" s="156"/>
      <c r="CL390" s="156"/>
      <c r="CM390" s="156"/>
      <c r="CN390" s="156"/>
      <c r="CO390" s="156"/>
      <c r="CP390" s="156"/>
      <c r="CQ390" s="156"/>
      <c r="CR390" s="156"/>
      <c r="CS390" s="156"/>
      <c r="CT390" s="156"/>
      <c r="CU390" s="156"/>
      <c r="CV390" s="156"/>
      <c r="CW390" s="156"/>
      <c r="CX390" s="156"/>
      <c r="CY390" s="156"/>
      <c r="CZ390" s="156"/>
      <c r="DA390" s="156"/>
      <c r="DB390" s="156"/>
      <c r="DC390" s="156"/>
      <c r="DD390" s="156"/>
      <c r="DE390" s="156"/>
      <c r="DF390" s="156"/>
      <c r="DG390" s="156"/>
      <c r="DH390" s="156"/>
      <c r="DI390" s="156"/>
      <c r="DJ390" s="156"/>
      <c r="DK390" s="156"/>
      <c r="DL390" s="156"/>
      <c r="DM390" s="156"/>
      <c r="DN390" s="156"/>
      <c r="DO390" s="156"/>
      <c r="DP390" s="156"/>
      <c r="DQ390" s="156"/>
      <c r="DR390" s="156"/>
      <c r="DS390" s="156"/>
      <c r="DT390" s="156"/>
      <c r="DU390" s="156"/>
      <c r="DV390" s="156"/>
      <c r="DW390" s="156"/>
      <c r="DX390" s="156"/>
      <c r="DY390" s="156"/>
      <c r="DZ390" s="156"/>
      <c r="EA390" s="156"/>
      <c r="EB390" s="156"/>
      <c r="EC390" s="156"/>
      <c r="ED390" s="156"/>
      <c r="EE390" s="156"/>
      <c r="EF390" s="156"/>
      <c r="EG390" s="156"/>
      <c r="EH390" s="156"/>
      <c r="EI390" s="156"/>
      <c r="EJ390" s="156"/>
      <c r="EK390" s="156"/>
      <c r="EL390" s="156"/>
      <c r="EM390" s="156"/>
      <c r="EN390" s="156"/>
      <c r="EO390" s="156"/>
      <c r="EP390" s="156"/>
      <c r="EQ390" s="156"/>
      <c r="ER390" s="156"/>
      <c r="ES390" s="156"/>
      <c r="ET390" s="156"/>
      <c r="EU390" s="156"/>
      <c r="EV390" s="156"/>
      <c r="EW390" s="156"/>
      <c r="EX390" s="156"/>
      <c r="EY390" s="156"/>
      <c r="EZ390" s="156"/>
      <c r="FA390" s="156"/>
      <c r="FB390" s="156"/>
      <c r="FC390" s="156"/>
      <c r="FD390" s="156"/>
      <c r="FE390" s="156"/>
      <c r="FF390" s="156"/>
      <c r="FG390" s="156"/>
      <c r="FH390" s="156"/>
      <c r="FI390" s="156"/>
      <c r="FJ390" s="156"/>
      <c r="FK390" s="156"/>
      <c r="FL390" s="156"/>
      <c r="FM390" s="156"/>
      <c r="FN390" s="156"/>
      <c r="FO390" s="156"/>
      <c r="FP390" s="156"/>
      <c r="FQ390" s="156"/>
      <c r="FR390" s="156"/>
      <c r="FS390" s="156"/>
      <c r="FT390" s="156"/>
      <c r="FU390" s="156"/>
      <c r="FV390" s="156"/>
      <c r="FW390" s="156"/>
      <c r="FX390" s="156"/>
      <c r="FY390" s="156"/>
      <c r="FZ390" s="156"/>
      <c r="GA390" s="156"/>
      <c r="GB390" s="156"/>
      <c r="GC390" s="156"/>
      <c r="GD390" s="156"/>
      <c r="GE390" s="156"/>
      <c r="GF390" s="156"/>
      <c r="GG390" s="156"/>
      <c r="GH390" s="156"/>
      <c r="GI390" s="156"/>
      <c r="GJ390" s="156"/>
      <c r="GK390" s="156"/>
      <c r="GL390" s="156"/>
      <c r="GM390" s="156"/>
      <c r="GN390" s="156"/>
      <c r="GO390" s="156"/>
      <c r="GP390" s="156"/>
      <c r="GQ390" s="156"/>
      <c r="GR390" s="156"/>
      <c r="GS390" s="156"/>
      <c r="GT390" s="156"/>
      <c r="GU390" s="156"/>
      <c r="GV390" s="156"/>
      <c r="GW390" s="156"/>
      <c r="GX390" s="156"/>
      <c r="GY390" s="156"/>
      <c r="GZ390" s="156"/>
      <c r="HA390" s="156"/>
      <c r="HB390" s="156"/>
      <c r="HC390" s="156"/>
      <c r="HD390" s="156"/>
      <c r="HE390" s="156"/>
      <c r="HF390" s="156"/>
      <c r="HG390" s="156"/>
      <c r="HH390" s="156"/>
      <c r="HI390" s="156"/>
      <c r="HJ390" s="156"/>
      <c r="HK390" s="156"/>
      <c r="HL390" s="156"/>
      <c r="HM390" s="156"/>
      <c r="HN390" s="156"/>
      <c r="HO390" s="156"/>
      <c r="HP390" s="156"/>
      <c r="HQ390" s="156"/>
      <c r="HR390" s="156"/>
      <c r="HS390" s="156"/>
      <c r="HT390" s="156"/>
      <c r="HU390" s="156"/>
      <c r="HV390" s="156"/>
      <c r="HW390" s="156"/>
      <c r="HX390" s="156"/>
      <c r="HY390" s="156"/>
      <c r="HZ390" s="156"/>
      <c r="IA390" s="156"/>
      <c r="IB390" s="156"/>
      <c r="IC390" s="156"/>
      <c r="ID390" s="156"/>
      <c r="IE390" s="156"/>
      <c r="IF390" s="156"/>
      <c r="IG390" s="156"/>
      <c r="IH390" s="156"/>
      <c r="II390" s="156"/>
      <c r="IJ390" s="156"/>
      <c r="IK390" s="156"/>
      <c r="IL390" s="156"/>
      <c r="IM390" s="156"/>
      <c r="IN390" s="156"/>
      <c r="IO390" s="156"/>
      <c r="IP390" s="156"/>
      <c r="IQ390" s="156"/>
      <c r="IR390" s="156"/>
      <c r="IS390" s="156"/>
      <c r="IT390" s="156"/>
      <c r="IU390" s="156"/>
      <c r="IV390" s="156"/>
      <c r="IW390" s="156"/>
      <c r="IX390" s="156"/>
      <c r="IY390" s="156"/>
      <c r="IZ390" s="156"/>
      <c r="JA390" s="156"/>
      <c r="JB390" s="156"/>
      <c r="JC390" s="156"/>
      <c r="JD390" s="156"/>
      <c r="JE390" s="156"/>
      <c r="JF390" s="156"/>
      <c r="JG390" s="156"/>
      <c r="JH390" s="156"/>
      <c r="JI390" s="156"/>
      <c r="JJ390" s="156"/>
      <c r="JK390" s="156"/>
      <c r="JL390" s="156"/>
      <c r="JM390" s="156"/>
      <c r="JN390" s="156"/>
      <c r="JO390" s="156"/>
      <c r="JP390" s="156"/>
      <c r="JQ390" s="156"/>
      <c r="JR390" s="156"/>
      <c r="JS390" s="156"/>
      <c r="JT390" s="156"/>
      <c r="JU390" s="156"/>
      <c r="JV390" s="156"/>
      <c r="JW390" s="156"/>
      <c r="JX390" s="156"/>
      <c r="JY390" s="156"/>
      <c r="JZ390" s="156"/>
      <c r="KA390" s="156"/>
      <c r="KB390" s="156"/>
      <c r="KC390" s="156"/>
      <c r="KD390" s="156"/>
      <c r="KE390" s="156"/>
    </row>
    <row r="391" spans="1:291" ht="35" customHeight="1">
      <c r="A391" s="42">
        <f>ROW()-2</f>
        <v>389</v>
      </c>
      <c r="B391" s="152" t="s">
        <v>2732</v>
      </c>
      <c r="C391" s="152" t="s">
        <v>3543</v>
      </c>
      <c r="D391" s="58" t="s">
        <v>3557</v>
      </c>
      <c r="E391" s="58" t="s">
        <v>3558</v>
      </c>
      <c r="F391" s="58" t="s">
        <v>275</v>
      </c>
      <c r="G391" s="152" t="s">
        <v>34</v>
      </c>
      <c r="H391" s="152">
        <v>1</v>
      </c>
      <c r="I391" s="153">
        <v>0.46250000000000002</v>
      </c>
      <c r="J391" s="154">
        <v>43978</v>
      </c>
      <c r="K391" s="236" t="s">
        <v>20</v>
      </c>
      <c r="L391" s="242">
        <v>4.99</v>
      </c>
      <c r="M391" s="155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  <c r="AA391" s="156"/>
      <c r="AB391" s="156"/>
      <c r="AC391" s="156"/>
      <c r="AD391" s="156"/>
      <c r="AE391" s="156"/>
      <c r="AF391" s="156"/>
      <c r="AG391" s="156"/>
      <c r="AH391" s="156"/>
      <c r="AI391" s="156"/>
      <c r="AJ391" s="156"/>
      <c r="AK391" s="156"/>
      <c r="AL391" s="156"/>
      <c r="AM391" s="156"/>
      <c r="AN391" s="156"/>
      <c r="AO391" s="156"/>
      <c r="AP391" s="156"/>
      <c r="AQ391" s="156"/>
      <c r="AR391" s="156"/>
      <c r="AS391" s="156"/>
      <c r="AT391" s="156"/>
      <c r="AU391" s="156"/>
      <c r="AV391" s="156"/>
      <c r="AW391" s="156"/>
      <c r="AX391" s="156"/>
      <c r="AY391" s="156"/>
      <c r="AZ391" s="156"/>
      <c r="BA391" s="156"/>
      <c r="BB391" s="156"/>
      <c r="BC391" s="156"/>
      <c r="BD391" s="156"/>
      <c r="BE391" s="156"/>
      <c r="BF391" s="156"/>
      <c r="BG391" s="156"/>
      <c r="BH391" s="156"/>
      <c r="BI391" s="156"/>
      <c r="BJ391" s="156"/>
      <c r="BK391" s="156"/>
      <c r="BL391" s="156"/>
      <c r="BM391" s="156"/>
      <c r="BN391" s="156"/>
      <c r="BO391" s="156"/>
      <c r="BP391" s="156"/>
      <c r="BQ391" s="156"/>
      <c r="BR391" s="156"/>
      <c r="BS391" s="156"/>
      <c r="BT391" s="156"/>
      <c r="BU391" s="156"/>
      <c r="BV391" s="156"/>
      <c r="BW391" s="156"/>
      <c r="BX391" s="156"/>
      <c r="BY391" s="156"/>
      <c r="BZ391" s="156"/>
      <c r="CA391" s="156"/>
      <c r="CB391" s="156"/>
      <c r="CC391" s="156"/>
      <c r="CD391" s="156"/>
      <c r="CE391" s="156"/>
      <c r="CF391" s="156"/>
      <c r="CG391" s="156"/>
      <c r="CH391" s="156"/>
      <c r="CI391" s="156"/>
      <c r="CJ391" s="156"/>
      <c r="CK391" s="156"/>
      <c r="CL391" s="156"/>
      <c r="CM391" s="156"/>
      <c r="CN391" s="156"/>
      <c r="CO391" s="156"/>
      <c r="CP391" s="156"/>
      <c r="CQ391" s="156"/>
      <c r="CR391" s="156"/>
      <c r="CS391" s="156"/>
      <c r="CT391" s="156"/>
      <c r="CU391" s="156"/>
      <c r="CV391" s="156"/>
      <c r="CW391" s="156"/>
      <c r="CX391" s="156"/>
      <c r="CY391" s="156"/>
      <c r="CZ391" s="156"/>
      <c r="DA391" s="156"/>
      <c r="DB391" s="156"/>
      <c r="DC391" s="156"/>
      <c r="DD391" s="156"/>
      <c r="DE391" s="156"/>
      <c r="DF391" s="156"/>
      <c r="DG391" s="156"/>
      <c r="DH391" s="156"/>
      <c r="DI391" s="156"/>
      <c r="DJ391" s="156"/>
      <c r="DK391" s="156"/>
      <c r="DL391" s="156"/>
      <c r="DM391" s="156"/>
      <c r="DN391" s="156"/>
      <c r="DO391" s="156"/>
      <c r="DP391" s="156"/>
      <c r="DQ391" s="156"/>
      <c r="DR391" s="156"/>
      <c r="DS391" s="156"/>
      <c r="DT391" s="156"/>
      <c r="DU391" s="156"/>
      <c r="DV391" s="156"/>
      <c r="DW391" s="156"/>
      <c r="DX391" s="156"/>
      <c r="DY391" s="156"/>
      <c r="DZ391" s="156"/>
      <c r="EA391" s="156"/>
      <c r="EB391" s="156"/>
      <c r="EC391" s="156"/>
      <c r="ED391" s="156"/>
      <c r="EE391" s="156"/>
      <c r="EF391" s="156"/>
      <c r="EG391" s="156"/>
      <c r="EH391" s="156"/>
      <c r="EI391" s="156"/>
      <c r="EJ391" s="156"/>
      <c r="EK391" s="156"/>
      <c r="EL391" s="156"/>
      <c r="EM391" s="156"/>
      <c r="EN391" s="156"/>
      <c r="EO391" s="156"/>
      <c r="EP391" s="156"/>
      <c r="EQ391" s="156"/>
      <c r="ER391" s="156"/>
      <c r="ES391" s="156"/>
      <c r="ET391" s="156"/>
      <c r="EU391" s="156"/>
      <c r="EV391" s="156"/>
      <c r="EW391" s="156"/>
      <c r="EX391" s="156"/>
      <c r="EY391" s="156"/>
      <c r="EZ391" s="156"/>
      <c r="FA391" s="156"/>
      <c r="FB391" s="156"/>
      <c r="FC391" s="156"/>
      <c r="FD391" s="156"/>
      <c r="FE391" s="156"/>
      <c r="FF391" s="156"/>
      <c r="FG391" s="156"/>
      <c r="FH391" s="156"/>
      <c r="FI391" s="156"/>
      <c r="FJ391" s="156"/>
      <c r="FK391" s="156"/>
      <c r="FL391" s="156"/>
      <c r="FM391" s="156"/>
      <c r="FN391" s="156"/>
      <c r="FO391" s="156"/>
      <c r="FP391" s="156"/>
      <c r="FQ391" s="156"/>
      <c r="FR391" s="156"/>
      <c r="FS391" s="156"/>
      <c r="FT391" s="156"/>
      <c r="FU391" s="156"/>
      <c r="FV391" s="156"/>
      <c r="FW391" s="156"/>
      <c r="FX391" s="156"/>
      <c r="FY391" s="156"/>
      <c r="FZ391" s="156"/>
      <c r="GA391" s="156"/>
      <c r="GB391" s="156"/>
      <c r="GC391" s="156"/>
      <c r="GD391" s="156"/>
      <c r="GE391" s="156"/>
      <c r="GF391" s="156"/>
      <c r="GG391" s="156"/>
      <c r="GH391" s="156"/>
      <c r="GI391" s="156"/>
      <c r="GJ391" s="156"/>
      <c r="GK391" s="156"/>
      <c r="GL391" s="156"/>
      <c r="GM391" s="156"/>
      <c r="GN391" s="156"/>
      <c r="GO391" s="156"/>
      <c r="GP391" s="156"/>
      <c r="GQ391" s="156"/>
      <c r="GR391" s="156"/>
      <c r="GS391" s="156"/>
      <c r="GT391" s="156"/>
      <c r="GU391" s="156"/>
      <c r="GV391" s="156"/>
      <c r="GW391" s="156"/>
      <c r="GX391" s="156"/>
      <c r="GY391" s="156"/>
      <c r="GZ391" s="156"/>
      <c r="HA391" s="156"/>
      <c r="HB391" s="156"/>
      <c r="HC391" s="156"/>
      <c r="HD391" s="156"/>
      <c r="HE391" s="156"/>
      <c r="HF391" s="156"/>
      <c r="HG391" s="156"/>
      <c r="HH391" s="156"/>
      <c r="HI391" s="156"/>
      <c r="HJ391" s="156"/>
      <c r="HK391" s="156"/>
      <c r="HL391" s="156"/>
      <c r="HM391" s="156"/>
      <c r="HN391" s="156"/>
      <c r="HO391" s="156"/>
      <c r="HP391" s="156"/>
      <c r="HQ391" s="156"/>
      <c r="HR391" s="156"/>
      <c r="HS391" s="156"/>
      <c r="HT391" s="156"/>
      <c r="HU391" s="156"/>
      <c r="HV391" s="156"/>
      <c r="HW391" s="156"/>
      <c r="HX391" s="156"/>
      <c r="HY391" s="156"/>
      <c r="HZ391" s="156"/>
      <c r="IA391" s="156"/>
      <c r="IB391" s="156"/>
      <c r="IC391" s="156"/>
      <c r="ID391" s="156"/>
      <c r="IE391" s="156"/>
      <c r="IF391" s="156"/>
      <c r="IG391" s="156"/>
      <c r="IH391" s="156"/>
      <c r="II391" s="156"/>
      <c r="IJ391" s="156"/>
      <c r="IK391" s="156"/>
      <c r="IL391" s="156"/>
      <c r="IM391" s="156"/>
      <c r="IN391" s="156"/>
      <c r="IO391" s="156"/>
      <c r="IP391" s="156"/>
      <c r="IQ391" s="156"/>
      <c r="IR391" s="156"/>
      <c r="IS391" s="156"/>
      <c r="IT391" s="156"/>
      <c r="IU391" s="156"/>
      <c r="IV391" s="156"/>
      <c r="IW391" s="156"/>
      <c r="IX391" s="156"/>
      <c r="IY391" s="156"/>
      <c r="IZ391" s="156"/>
      <c r="JA391" s="156"/>
      <c r="JB391" s="156"/>
      <c r="JC391" s="156"/>
      <c r="JD391" s="156"/>
      <c r="JE391" s="156"/>
      <c r="JF391" s="156"/>
      <c r="JG391" s="156"/>
      <c r="JH391" s="156"/>
      <c r="JI391" s="156"/>
      <c r="JJ391" s="156"/>
      <c r="JK391" s="156"/>
      <c r="JL391" s="156"/>
      <c r="JM391" s="156"/>
      <c r="JN391" s="156"/>
      <c r="JO391" s="156"/>
      <c r="JP391" s="156"/>
      <c r="JQ391" s="156"/>
      <c r="JR391" s="156"/>
      <c r="JS391" s="156"/>
      <c r="JT391" s="156"/>
      <c r="JU391" s="156"/>
      <c r="JV391" s="156"/>
      <c r="JW391" s="156"/>
      <c r="JX391" s="156"/>
      <c r="JY391" s="156"/>
      <c r="JZ391" s="156"/>
      <c r="KA391" s="156"/>
      <c r="KB391" s="156"/>
      <c r="KC391" s="156"/>
      <c r="KD391" s="156"/>
      <c r="KE391" s="156"/>
    </row>
    <row r="392" spans="1:291" s="156" customFormat="1" ht="35" customHeight="1">
      <c r="A392" s="42">
        <f>ROW()-2</f>
        <v>390</v>
      </c>
      <c r="B392" s="152" t="s">
        <v>2732</v>
      </c>
      <c r="C392" s="152" t="s">
        <v>3543</v>
      </c>
      <c r="D392" s="58" t="s">
        <v>3551</v>
      </c>
      <c r="E392" s="58" t="s">
        <v>3552</v>
      </c>
      <c r="F392" s="58" t="s">
        <v>3553</v>
      </c>
      <c r="G392" s="152" t="s">
        <v>34</v>
      </c>
      <c r="H392" s="152">
        <v>1</v>
      </c>
      <c r="I392" s="153">
        <v>0.47</v>
      </c>
      <c r="J392" s="154">
        <v>44151</v>
      </c>
      <c r="K392" s="153" t="s">
        <v>20</v>
      </c>
      <c r="L392" s="152">
        <v>4.99</v>
      </c>
      <c r="M392" s="155"/>
    </row>
    <row r="393" spans="1:291" s="156" customFormat="1" ht="35" customHeight="1">
      <c r="A393" s="42">
        <f>ROW()-2</f>
        <v>391</v>
      </c>
      <c r="B393" s="182" t="s">
        <v>2732</v>
      </c>
      <c r="C393" s="182" t="s">
        <v>3543</v>
      </c>
      <c r="D393" s="187" t="s">
        <v>5277</v>
      </c>
      <c r="E393" s="187" t="s">
        <v>5278</v>
      </c>
      <c r="F393" s="187" t="s">
        <v>3797</v>
      </c>
      <c r="G393" s="182" t="s">
        <v>34</v>
      </c>
      <c r="H393" s="182">
        <v>1</v>
      </c>
      <c r="I393" s="206">
        <v>19.139444444444443</v>
      </c>
      <c r="J393" s="209">
        <v>44162</v>
      </c>
      <c r="K393" s="206" t="s">
        <v>20</v>
      </c>
      <c r="L393" s="182">
        <v>4.99</v>
      </c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136"/>
      <c r="BD393" s="136"/>
      <c r="BE393" s="136"/>
      <c r="BF393" s="136"/>
      <c r="BG393" s="136"/>
      <c r="BH393" s="136"/>
      <c r="BI393" s="136"/>
      <c r="BJ393" s="136"/>
      <c r="BK393" s="136"/>
      <c r="BL393" s="136"/>
      <c r="BM393" s="136"/>
      <c r="BN393" s="136"/>
      <c r="BO393" s="136"/>
      <c r="BP393" s="136"/>
      <c r="BQ393" s="136"/>
      <c r="BR393" s="136"/>
      <c r="BS393" s="136"/>
      <c r="BT393" s="136"/>
      <c r="BU393" s="136"/>
      <c r="BV393" s="136"/>
      <c r="BW393" s="136"/>
      <c r="BX393" s="136"/>
      <c r="BY393" s="136"/>
      <c r="BZ393" s="136"/>
      <c r="CA393" s="136"/>
      <c r="CB393" s="136"/>
      <c r="CC393" s="136"/>
      <c r="CD393" s="136"/>
      <c r="CE393" s="136"/>
      <c r="CF393" s="136"/>
      <c r="CG393" s="136"/>
      <c r="CH393" s="136"/>
      <c r="CI393" s="136"/>
      <c r="CJ393" s="136"/>
      <c r="CK393" s="136"/>
      <c r="CL393" s="136"/>
      <c r="CM393" s="136"/>
      <c r="CN393" s="136"/>
      <c r="CO393" s="136"/>
      <c r="CP393" s="136"/>
      <c r="CQ393" s="136"/>
      <c r="CR393" s="136"/>
      <c r="CS393" s="136"/>
      <c r="CT393" s="136"/>
      <c r="CU393" s="136"/>
      <c r="CV393" s="136"/>
      <c r="CW393" s="136"/>
      <c r="CX393" s="136"/>
      <c r="CY393" s="136"/>
      <c r="CZ393" s="136"/>
      <c r="DA393" s="136"/>
      <c r="DB393" s="136"/>
      <c r="DC393" s="136"/>
      <c r="DD393" s="136"/>
      <c r="DE393" s="136"/>
      <c r="DF393" s="136"/>
      <c r="DG393" s="136"/>
      <c r="DH393" s="136"/>
      <c r="DI393" s="136"/>
      <c r="DJ393" s="136"/>
      <c r="DK393" s="136"/>
      <c r="DL393" s="136"/>
      <c r="DM393" s="136"/>
      <c r="DN393" s="136"/>
      <c r="DO393" s="136"/>
      <c r="DP393" s="136"/>
      <c r="DQ393" s="136"/>
      <c r="DR393" s="136"/>
      <c r="DS393" s="136"/>
      <c r="DT393" s="136"/>
      <c r="DU393" s="136"/>
      <c r="DV393" s="136"/>
      <c r="DW393" s="136"/>
      <c r="DX393" s="136"/>
      <c r="DY393" s="136"/>
      <c r="DZ393" s="136"/>
      <c r="EA393" s="136"/>
      <c r="EB393" s="136"/>
      <c r="EC393" s="136"/>
      <c r="ED393" s="136"/>
      <c r="EE393" s="136"/>
      <c r="EF393" s="136"/>
      <c r="EG393" s="136"/>
      <c r="EH393" s="136"/>
      <c r="EI393" s="136"/>
      <c r="EJ393" s="136"/>
      <c r="EK393" s="136"/>
      <c r="EL393" s="136"/>
      <c r="EM393" s="136"/>
      <c r="EN393" s="136"/>
      <c r="EO393" s="136"/>
      <c r="EP393" s="136"/>
      <c r="EQ393" s="136"/>
      <c r="ER393" s="136"/>
      <c r="ES393" s="136"/>
      <c r="ET393" s="136"/>
      <c r="EU393" s="136"/>
      <c r="EV393" s="136"/>
      <c r="EW393" s="136"/>
      <c r="EX393" s="136"/>
      <c r="EY393" s="136"/>
      <c r="EZ393" s="136"/>
      <c r="FA393" s="136"/>
      <c r="FB393" s="136"/>
      <c r="FC393" s="136"/>
      <c r="FD393" s="136"/>
      <c r="FE393" s="136"/>
      <c r="FF393" s="136"/>
      <c r="FG393" s="136"/>
      <c r="FH393" s="136"/>
      <c r="FI393" s="136"/>
      <c r="FJ393" s="136"/>
      <c r="FK393" s="136"/>
      <c r="FL393" s="136"/>
      <c r="FM393" s="136"/>
      <c r="FN393" s="136"/>
      <c r="FO393" s="136"/>
      <c r="FP393" s="136"/>
      <c r="FQ393" s="136"/>
      <c r="FR393" s="136"/>
      <c r="FS393" s="136"/>
      <c r="FT393" s="136"/>
      <c r="FU393" s="136"/>
      <c r="FV393" s="136"/>
      <c r="FW393" s="136"/>
      <c r="FX393" s="136"/>
      <c r="FY393" s="136"/>
      <c r="FZ393" s="136"/>
      <c r="GA393" s="136"/>
      <c r="GB393" s="136"/>
      <c r="GC393" s="136"/>
      <c r="GD393" s="136"/>
      <c r="GE393" s="136"/>
      <c r="GF393" s="136"/>
      <c r="GG393" s="136"/>
      <c r="GH393" s="136"/>
      <c r="GI393" s="136"/>
      <c r="GJ393" s="136"/>
      <c r="GK393" s="136"/>
      <c r="GL393" s="136"/>
      <c r="GM393" s="136"/>
      <c r="GN393" s="136"/>
      <c r="GO393" s="136"/>
      <c r="GP393" s="136"/>
      <c r="GQ393" s="136"/>
      <c r="GR393" s="136"/>
      <c r="GS393" s="136"/>
      <c r="GT393" s="136"/>
      <c r="GU393" s="136"/>
      <c r="GV393" s="136"/>
      <c r="GW393" s="136"/>
      <c r="GX393" s="136"/>
      <c r="GY393" s="136"/>
      <c r="GZ393" s="136"/>
      <c r="HA393" s="136"/>
      <c r="HB393" s="136"/>
      <c r="HC393" s="136"/>
      <c r="HD393" s="136"/>
      <c r="HE393" s="136"/>
      <c r="HF393" s="136"/>
      <c r="HG393" s="136"/>
      <c r="HH393" s="136"/>
      <c r="HI393" s="136"/>
      <c r="HJ393" s="136"/>
      <c r="HK393" s="136"/>
      <c r="HL393" s="136"/>
      <c r="HM393" s="136"/>
      <c r="HN393" s="136"/>
      <c r="HO393" s="136"/>
      <c r="HP393" s="136"/>
      <c r="HQ393" s="136"/>
      <c r="HR393" s="136"/>
      <c r="HS393" s="136"/>
      <c r="HT393" s="136"/>
      <c r="HU393" s="136"/>
      <c r="HV393" s="136"/>
      <c r="HW393" s="136"/>
      <c r="HX393" s="136"/>
      <c r="HY393" s="136"/>
      <c r="HZ393" s="136"/>
      <c r="IA393" s="136"/>
      <c r="IB393" s="136"/>
      <c r="IC393" s="136"/>
      <c r="ID393" s="136"/>
      <c r="IE393" s="136"/>
      <c r="IF393" s="136"/>
      <c r="IG393" s="136"/>
      <c r="IH393" s="136"/>
      <c r="II393" s="136"/>
      <c r="IJ393" s="136"/>
      <c r="IK393" s="136"/>
      <c r="IL393" s="136"/>
      <c r="IM393" s="136"/>
      <c r="IN393" s="136"/>
      <c r="IO393" s="136"/>
      <c r="IP393" s="136"/>
      <c r="IQ393" s="136"/>
      <c r="IR393" s="136"/>
      <c r="IS393" s="136"/>
      <c r="IT393" s="136"/>
      <c r="IU393" s="136"/>
      <c r="IV393" s="136"/>
      <c r="IW393" s="136"/>
      <c r="IX393" s="136"/>
      <c r="IY393" s="136"/>
      <c r="IZ393" s="136"/>
      <c r="JA393" s="136"/>
      <c r="JB393" s="136"/>
      <c r="JC393" s="136"/>
      <c r="JD393" s="136"/>
      <c r="JE393" s="136"/>
      <c r="JF393" s="136"/>
      <c r="JG393" s="136"/>
      <c r="JH393" s="136"/>
      <c r="JI393" s="136"/>
      <c r="JJ393" s="136"/>
      <c r="JK393" s="136"/>
      <c r="JL393" s="136"/>
      <c r="JM393" s="136"/>
      <c r="JN393" s="136"/>
      <c r="JO393" s="136"/>
      <c r="JP393" s="136"/>
      <c r="JQ393" s="136"/>
      <c r="JR393" s="136"/>
      <c r="JS393" s="136"/>
      <c r="JT393" s="136"/>
      <c r="JU393" s="136"/>
      <c r="JV393" s="136"/>
      <c r="JW393" s="136"/>
      <c r="JX393" s="136"/>
      <c r="JY393" s="136"/>
      <c r="JZ393" s="136"/>
      <c r="KA393" s="136"/>
      <c r="KB393" s="136"/>
      <c r="KC393" s="136"/>
      <c r="KD393" s="136"/>
      <c r="KE393" s="136"/>
    </row>
    <row r="394" spans="1:291" s="156" customFormat="1" ht="35" customHeight="1">
      <c r="A394" s="42">
        <f>ROW()-2</f>
        <v>392</v>
      </c>
      <c r="B394" s="42" t="s">
        <v>2732</v>
      </c>
      <c r="C394" s="42" t="s">
        <v>3543</v>
      </c>
      <c r="D394" s="43" t="s">
        <v>3562</v>
      </c>
      <c r="E394" s="43" t="s">
        <v>3563</v>
      </c>
      <c r="F394" s="43" t="s">
        <v>2840</v>
      </c>
      <c r="G394" s="42" t="s">
        <v>34</v>
      </c>
      <c r="H394" s="42">
        <v>1</v>
      </c>
      <c r="I394" s="44">
        <v>0.5</v>
      </c>
      <c r="J394" s="45">
        <v>44292</v>
      </c>
      <c r="K394" s="44" t="s">
        <v>20</v>
      </c>
      <c r="L394" s="42">
        <v>4.99</v>
      </c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  <c r="DT394" s="31"/>
      <c r="DU394" s="31"/>
      <c r="DV394" s="31"/>
      <c r="DW394" s="31"/>
      <c r="DX394" s="31"/>
      <c r="DY394" s="31"/>
      <c r="DZ394" s="31"/>
      <c r="EA394" s="31"/>
      <c r="EB394" s="31"/>
      <c r="EC394" s="31"/>
      <c r="ED394" s="31"/>
      <c r="EE394" s="31"/>
      <c r="EF394" s="31"/>
      <c r="EG394" s="31"/>
      <c r="EH394" s="31"/>
      <c r="EI394" s="31"/>
      <c r="EJ394" s="31"/>
      <c r="EK394" s="31"/>
      <c r="EL394" s="31"/>
      <c r="EM394" s="31"/>
      <c r="EN394" s="31"/>
      <c r="EO394" s="31"/>
      <c r="EP394" s="31"/>
      <c r="EQ394" s="31"/>
      <c r="ER394" s="31"/>
      <c r="ES394" s="31"/>
      <c r="ET394" s="31"/>
      <c r="EU394" s="31"/>
      <c r="EV394" s="31"/>
      <c r="EW394" s="31"/>
      <c r="EX394" s="31"/>
      <c r="EY394" s="31"/>
      <c r="EZ394" s="31"/>
      <c r="FA394" s="31"/>
      <c r="FB394" s="31"/>
      <c r="FC394" s="31"/>
      <c r="FD394" s="31"/>
      <c r="FE394" s="31"/>
      <c r="FF394" s="31"/>
      <c r="FG394" s="31"/>
      <c r="FH394" s="31"/>
      <c r="FI394" s="31"/>
      <c r="FJ394" s="31"/>
      <c r="FK394" s="31"/>
      <c r="FL394" s="31"/>
      <c r="FM394" s="31"/>
      <c r="FN394" s="31"/>
      <c r="FO394" s="31"/>
      <c r="FP394" s="31"/>
      <c r="FQ394" s="31"/>
      <c r="FR394" s="31"/>
      <c r="FS394" s="31"/>
      <c r="FT394" s="31"/>
      <c r="FU394" s="31"/>
      <c r="FV394" s="31"/>
      <c r="FW394" s="31"/>
      <c r="FX394" s="31"/>
      <c r="FY394" s="31"/>
      <c r="FZ394" s="31"/>
      <c r="GA394" s="31"/>
      <c r="GB394" s="31"/>
      <c r="GC394" s="31"/>
      <c r="GD394" s="31"/>
      <c r="GE394" s="31"/>
      <c r="GF394" s="31"/>
      <c r="GG394" s="31"/>
      <c r="GH394" s="31"/>
      <c r="GI394" s="31"/>
      <c r="GJ394" s="31"/>
      <c r="GK394" s="31"/>
      <c r="GL394" s="31"/>
      <c r="GM394" s="31"/>
      <c r="GN394" s="31"/>
      <c r="GO394" s="31"/>
      <c r="GP394" s="31"/>
      <c r="GQ394" s="31"/>
      <c r="GR394" s="31"/>
      <c r="GS394" s="31"/>
      <c r="GT394" s="31"/>
      <c r="GU394" s="31"/>
      <c r="GV394" s="31"/>
      <c r="GW394" s="31"/>
      <c r="GX394" s="31"/>
      <c r="GY394" s="31"/>
      <c r="GZ394" s="31"/>
      <c r="HA394" s="31"/>
      <c r="HB394" s="31"/>
      <c r="HC394" s="31"/>
      <c r="HD394" s="31"/>
      <c r="HE394" s="31"/>
      <c r="HF394" s="31"/>
      <c r="HG394" s="31"/>
      <c r="HH394" s="31"/>
      <c r="HI394" s="31"/>
      <c r="HJ394" s="31"/>
      <c r="HK394" s="31"/>
      <c r="HL394" s="31"/>
      <c r="HM394" s="31"/>
      <c r="HN394" s="31"/>
      <c r="HO394" s="31"/>
      <c r="HP394" s="31"/>
      <c r="HQ394" s="31"/>
      <c r="HR394" s="31"/>
      <c r="HS394" s="31"/>
      <c r="HT394" s="31"/>
      <c r="HU394" s="31"/>
      <c r="HV394" s="31"/>
      <c r="HW394" s="31"/>
      <c r="HX394" s="31"/>
      <c r="HY394" s="31"/>
      <c r="HZ394" s="31"/>
      <c r="IA394" s="31"/>
      <c r="IB394" s="31"/>
      <c r="IC394" s="31"/>
      <c r="ID394" s="31"/>
      <c r="IE394" s="31"/>
      <c r="IF394" s="31"/>
      <c r="IG394" s="31"/>
      <c r="IH394" s="31"/>
      <c r="II394" s="31"/>
      <c r="IJ394" s="31"/>
      <c r="IK394" s="31"/>
      <c r="IL394" s="31"/>
      <c r="IM394" s="31"/>
      <c r="IN394" s="31"/>
      <c r="IO394" s="31"/>
      <c r="IP394" s="31"/>
      <c r="IQ394" s="31"/>
      <c r="IR394" s="31"/>
      <c r="IS394" s="31"/>
      <c r="IT394" s="31"/>
      <c r="IU394" s="31"/>
      <c r="IV394" s="31"/>
      <c r="IW394" s="31"/>
      <c r="IX394" s="31"/>
      <c r="IY394" s="31"/>
      <c r="IZ394" s="31"/>
      <c r="JA394" s="31"/>
      <c r="JB394" s="31"/>
      <c r="JC394" s="31"/>
      <c r="JD394" s="31"/>
      <c r="JE394" s="31"/>
      <c r="JF394" s="31"/>
      <c r="JG394" s="31"/>
      <c r="JH394" s="31"/>
      <c r="JI394" s="31"/>
      <c r="JJ394" s="31"/>
      <c r="JK394" s="31"/>
      <c r="JL394" s="31"/>
      <c r="JM394" s="31"/>
      <c r="JN394" s="31"/>
      <c r="JO394" s="31"/>
      <c r="JP394" s="31"/>
      <c r="JQ394" s="31"/>
      <c r="JR394" s="31"/>
      <c r="JS394" s="31"/>
      <c r="JT394" s="31"/>
      <c r="JU394" s="31"/>
      <c r="JV394" s="31"/>
      <c r="JW394" s="31"/>
      <c r="JX394" s="31"/>
      <c r="JY394" s="31"/>
      <c r="JZ394" s="31"/>
      <c r="KA394" s="31"/>
      <c r="KB394" s="31"/>
      <c r="KC394" s="31"/>
      <c r="KD394" s="31"/>
      <c r="KE394" s="31"/>
    </row>
    <row r="395" spans="1:291" s="156" customFormat="1" ht="35" customHeight="1">
      <c r="A395" s="42">
        <f>ROW()-2</f>
        <v>393</v>
      </c>
      <c r="B395" s="42" t="s">
        <v>2732</v>
      </c>
      <c r="C395" s="42" t="s">
        <v>3543</v>
      </c>
      <c r="D395" s="43" t="s">
        <v>3564</v>
      </c>
      <c r="E395" s="43" t="s">
        <v>3565</v>
      </c>
      <c r="F395" s="43" t="s">
        <v>3566</v>
      </c>
      <c r="G395" s="42" t="s">
        <v>34</v>
      </c>
      <c r="H395" s="42">
        <v>1</v>
      </c>
      <c r="I395" s="44">
        <v>0.5</v>
      </c>
      <c r="J395" s="45">
        <v>44312</v>
      </c>
      <c r="K395" s="44" t="s">
        <v>20</v>
      </c>
      <c r="L395" s="42">
        <v>4.99</v>
      </c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  <c r="DT395" s="31"/>
      <c r="DU395" s="31"/>
      <c r="DV395" s="31"/>
      <c r="DW395" s="31"/>
      <c r="DX395" s="31"/>
      <c r="DY395" s="31"/>
      <c r="DZ395" s="31"/>
      <c r="EA395" s="31"/>
      <c r="EB395" s="31"/>
      <c r="EC395" s="31"/>
      <c r="ED395" s="31"/>
      <c r="EE395" s="31"/>
      <c r="EF395" s="31"/>
      <c r="EG395" s="31"/>
      <c r="EH395" s="31"/>
      <c r="EI395" s="31"/>
      <c r="EJ395" s="31"/>
      <c r="EK395" s="31"/>
      <c r="EL395" s="31"/>
      <c r="EM395" s="31"/>
      <c r="EN395" s="31"/>
      <c r="EO395" s="31"/>
      <c r="EP395" s="31"/>
      <c r="EQ395" s="31"/>
      <c r="ER395" s="31"/>
      <c r="ES395" s="31"/>
      <c r="ET395" s="31"/>
      <c r="EU395" s="31"/>
      <c r="EV395" s="31"/>
      <c r="EW395" s="31"/>
      <c r="EX395" s="31"/>
      <c r="EY395" s="31"/>
      <c r="EZ395" s="31"/>
      <c r="FA395" s="31"/>
      <c r="FB395" s="31"/>
      <c r="FC395" s="31"/>
      <c r="FD395" s="31"/>
      <c r="FE395" s="31"/>
      <c r="FF395" s="31"/>
      <c r="FG395" s="31"/>
      <c r="FH395" s="31"/>
      <c r="FI395" s="31"/>
      <c r="FJ395" s="31"/>
      <c r="FK395" s="31"/>
      <c r="FL395" s="31"/>
      <c r="FM395" s="31"/>
      <c r="FN395" s="31"/>
      <c r="FO395" s="31"/>
      <c r="FP395" s="31"/>
      <c r="FQ395" s="31"/>
      <c r="FR395" s="31"/>
      <c r="FS395" s="31"/>
      <c r="FT395" s="31"/>
      <c r="FU395" s="31"/>
      <c r="FV395" s="31"/>
      <c r="FW395" s="31"/>
      <c r="FX395" s="31"/>
      <c r="FY395" s="31"/>
      <c r="FZ395" s="31"/>
      <c r="GA395" s="31"/>
      <c r="GB395" s="31"/>
      <c r="GC395" s="31"/>
      <c r="GD395" s="31"/>
      <c r="GE395" s="31"/>
      <c r="GF395" s="31"/>
      <c r="GG395" s="31"/>
      <c r="GH395" s="31"/>
      <c r="GI395" s="31"/>
      <c r="GJ395" s="31"/>
      <c r="GK395" s="31"/>
      <c r="GL395" s="31"/>
      <c r="GM395" s="31"/>
      <c r="GN395" s="31"/>
      <c r="GO395" s="31"/>
      <c r="GP395" s="31"/>
      <c r="GQ395" s="31"/>
      <c r="GR395" s="31"/>
      <c r="GS395" s="31"/>
      <c r="GT395" s="31"/>
      <c r="GU395" s="31"/>
      <c r="GV395" s="31"/>
      <c r="GW395" s="31"/>
      <c r="GX395" s="31"/>
      <c r="GY395" s="31"/>
      <c r="GZ395" s="31"/>
      <c r="HA395" s="31"/>
      <c r="HB395" s="31"/>
      <c r="HC395" s="31"/>
      <c r="HD395" s="31"/>
      <c r="HE395" s="31"/>
      <c r="HF395" s="31"/>
      <c r="HG395" s="31"/>
      <c r="HH395" s="31"/>
      <c r="HI395" s="31"/>
      <c r="HJ395" s="31"/>
      <c r="HK395" s="31"/>
      <c r="HL395" s="31"/>
      <c r="HM395" s="31"/>
      <c r="HN395" s="31"/>
      <c r="HO395" s="31"/>
      <c r="HP395" s="31"/>
      <c r="HQ395" s="31"/>
      <c r="HR395" s="31"/>
      <c r="HS395" s="31"/>
      <c r="HT395" s="31"/>
      <c r="HU395" s="31"/>
      <c r="HV395" s="31"/>
      <c r="HW395" s="31"/>
      <c r="HX395" s="31"/>
      <c r="HY395" s="31"/>
      <c r="HZ395" s="31"/>
      <c r="IA395" s="31"/>
      <c r="IB395" s="31"/>
      <c r="IC395" s="31"/>
      <c r="ID395" s="31"/>
      <c r="IE395" s="31"/>
      <c r="IF395" s="31"/>
      <c r="IG395" s="31"/>
      <c r="IH395" s="31"/>
      <c r="II395" s="31"/>
      <c r="IJ395" s="31"/>
      <c r="IK395" s="31"/>
      <c r="IL395" s="31"/>
      <c r="IM395" s="31"/>
      <c r="IN395" s="31"/>
      <c r="IO395" s="31"/>
      <c r="IP395" s="31"/>
      <c r="IQ395" s="31"/>
      <c r="IR395" s="31"/>
      <c r="IS395" s="31"/>
      <c r="IT395" s="31"/>
      <c r="IU395" s="31"/>
      <c r="IV395" s="31"/>
      <c r="IW395" s="31"/>
      <c r="IX395" s="31"/>
      <c r="IY395" s="31"/>
      <c r="IZ395" s="31"/>
      <c r="JA395" s="31"/>
      <c r="JB395" s="31"/>
      <c r="JC395" s="31"/>
      <c r="JD395" s="31"/>
      <c r="JE395" s="31"/>
      <c r="JF395" s="31"/>
      <c r="JG395" s="31"/>
      <c r="JH395" s="31"/>
      <c r="JI395" s="31"/>
      <c r="JJ395" s="31"/>
      <c r="JK395" s="31"/>
      <c r="JL395" s="31"/>
      <c r="JM395" s="31"/>
      <c r="JN395" s="31"/>
      <c r="JO395" s="31"/>
      <c r="JP395" s="31"/>
      <c r="JQ395" s="31"/>
      <c r="JR395" s="31"/>
      <c r="JS395" s="31"/>
      <c r="JT395" s="31"/>
      <c r="JU395" s="31"/>
      <c r="JV395" s="31"/>
      <c r="JW395" s="31"/>
      <c r="JX395" s="31"/>
      <c r="JY395" s="31"/>
      <c r="JZ395" s="31"/>
      <c r="KA395" s="31"/>
      <c r="KB395" s="31"/>
      <c r="KC395" s="31"/>
      <c r="KD395" s="31"/>
      <c r="KE395" s="31"/>
    </row>
    <row r="396" spans="1:291" s="156" customFormat="1" ht="35" customHeight="1">
      <c r="A396" s="42">
        <f>ROW()-2</f>
        <v>394</v>
      </c>
      <c r="B396" s="42" t="s">
        <v>2732</v>
      </c>
      <c r="C396" s="42" t="s">
        <v>3543</v>
      </c>
      <c r="D396" s="43" t="s">
        <v>3567</v>
      </c>
      <c r="E396" s="43" t="s">
        <v>3568</v>
      </c>
      <c r="F396" s="43" t="s">
        <v>2840</v>
      </c>
      <c r="G396" s="42" t="s">
        <v>34</v>
      </c>
      <c r="H396" s="42">
        <v>1</v>
      </c>
      <c r="I396" s="44">
        <v>0.5</v>
      </c>
      <c r="J396" s="45">
        <v>44340</v>
      </c>
      <c r="K396" s="44" t="s">
        <v>20</v>
      </c>
      <c r="L396" s="42">
        <v>4.99</v>
      </c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1"/>
      <c r="DU396" s="31"/>
      <c r="DV396" s="31"/>
      <c r="DW396" s="31"/>
      <c r="DX396" s="31"/>
      <c r="DY396" s="31"/>
      <c r="DZ396" s="31"/>
      <c r="EA396" s="31"/>
      <c r="EB396" s="31"/>
      <c r="EC396" s="31"/>
      <c r="ED396" s="31"/>
      <c r="EE396" s="31"/>
      <c r="EF396" s="31"/>
      <c r="EG396" s="31"/>
      <c r="EH396" s="31"/>
      <c r="EI396" s="31"/>
      <c r="EJ396" s="31"/>
      <c r="EK396" s="31"/>
      <c r="EL396" s="31"/>
      <c r="EM396" s="31"/>
      <c r="EN396" s="31"/>
      <c r="EO396" s="31"/>
      <c r="EP396" s="31"/>
      <c r="EQ396" s="31"/>
      <c r="ER396" s="31"/>
      <c r="ES396" s="31"/>
      <c r="ET396" s="31"/>
      <c r="EU396" s="31"/>
      <c r="EV396" s="31"/>
      <c r="EW396" s="31"/>
      <c r="EX396" s="31"/>
      <c r="EY396" s="31"/>
      <c r="EZ396" s="31"/>
      <c r="FA396" s="31"/>
      <c r="FB396" s="31"/>
      <c r="FC396" s="31"/>
      <c r="FD396" s="31"/>
      <c r="FE396" s="31"/>
      <c r="FF396" s="31"/>
      <c r="FG396" s="31"/>
      <c r="FH396" s="31"/>
      <c r="FI396" s="31"/>
      <c r="FJ396" s="31"/>
      <c r="FK396" s="31"/>
      <c r="FL396" s="31"/>
      <c r="FM396" s="31"/>
      <c r="FN396" s="31"/>
      <c r="FO396" s="31"/>
      <c r="FP396" s="31"/>
      <c r="FQ396" s="31"/>
      <c r="FR396" s="31"/>
      <c r="FS396" s="31"/>
      <c r="FT396" s="31"/>
      <c r="FU396" s="31"/>
      <c r="FV396" s="31"/>
      <c r="FW396" s="31"/>
      <c r="FX396" s="31"/>
      <c r="FY396" s="31"/>
      <c r="FZ396" s="31"/>
      <c r="GA396" s="31"/>
      <c r="GB396" s="31"/>
      <c r="GC396" s="31"/>
      <c r="GD396" s="31"/>
      <c r="GE396" s="31"/>
      <c r="GF396" s="31"/>
      <c r="GG396" s="31"/>
      <c r="GH396" s="31"/>
      <c r="GI396" s="31"/>
      <c r="GJ396" s="31"/>
      <c r="GK396" s="31"/>
      <c r="GL396" s="31"/>
      <c r="GM396" s="31"/>
      <c r="GN396" s="31"/>
      <c r="GO396" s="31"/>
      <c r="GP396" s="31"/>
      <c r="GQ396" s="31"/>
      <c r="GR396" s="31"/>
      <c r="GS396" s="31"/>
      <c r="GT396" s="31"/>
      <c r="GU396" s="31"/>
      <c r="GV396" s="31"/>
      <c r="GW396" s="31"/>
      <c r="GX396" s="31"/>
      <c r="GY396" s="31"/>
      <c r="GZ396" s="31"/>
      <c r="HA396" s="31"/>
      <c r="HB396" s="31"/>
      <c r="HC396" s="31"/>
      <c r="HD396" s="31"/>
      <c r="HE396" s="31"/>
      <c r="HF396" s="31"/>
      <c r="HG396" s="31"/>
      <c r="HH396" s="31"/>
      <c r="HI396" s="31"/>
      <c r="HJ396" s="31"/>
      <c r="HK396" s="31"/>
      <c r="HL396" s="31"/>
      <c r="HM396" s="31"/>
      <c r="HN396" s="31"/>
      <c r="HO396" s="31"/>
      <c r="HP396" s="31"/>
      <c r="HQ396" s="31"/>
      <c r="HR396" s="31"/>
      <c r="HS396" s="31"/>
      <c r="HT396" s="31"/>
      <c r="HU396" s="31"/>
      <c r="HV396" s="31"/>
      <c r="HW396" s="31"/>
      <c r="HX396" s="31"/>
      <c r="HY396" s="31"/>
      <c r="HZ396" s="31"/>
      <c r="IA396" s="31"/>
      <c r="IB396" s="31"/>
      <c r="IC396" s="31"/>
      <c r="ID396" s="31"/>
      <c r="IE396" s="31"/>
      <c r="IF396" s="31"/>
      <c r="IG396" s="31"/>
      <c r="IH396" s="31"/>
      <c r="II396" s="31"/>
      <c r="IJ396" s="31"/>
      <c r="IK396" s="31"/>
      <c r="IL396" s="31"/>
      <c r="IM396" s="31"/>
      <c r="IN396" s="31"/>
      <c r="IO396" s="31"/>
      <c r="IP396" s="31"/>
      <c r="IQ396" s="31"/>
      <c r="IR396" s="31"/>
      <c r="IS396" s="31"/>
      <c r="IT396" s="31"/>
      <c r="IU396" s="31"/>
      <c r="IV396" s="31"/>
      <c r="IW396" s="31"/>
      <c r="IX396" s="31"/>
      <c r="IY396" s="31"/>
      <c r="IZ396" s="31"/>
      <c r="JA396" s="31"/>
      <c r="JB396" s="31"/>
      <c r="JC396" s="31"/>
      <c r="JD396" s="31"/>
      <c r="JE396" s="31"/>
      <c r="JF396" s="31"/>
      <c r="JG396" s="31"/>
      <c r="JH396" s="31"/>
      <c r="JI396" s="31"/>
      <c r="JJ396" s="31"/>
      <c r="JK396" s="31"/>
      <c r="JL396" s="31"/>
      <c r="JM396" s="31"/>
      <c r="JN396" s="31"/>
      <c r="JO396" s="31"/>
      <c r="JP396" s="31"/>
      <c r="JQ396" s="31"/>
      <c r="JR396" s="31"/>
      <c r="JS396" s="31"/>
      <c r="JT396" s="31"/>
      <c r="JU396" s="31"/>
      <c r="JV396" s="31"/>
      <c r="JW396" s="31"/>
      <c r="JX396" s="31"/>
      <c r="JY396" s="31"/>
      <c r="JZ396" s="31"/>
      <c r="KA396" s="31"/>
      <c r="KB396" s="31"/>
      <c r="KC396" s="31"/>
      <c r="KD396" s="31"/>
      <c r="KE396" s="31"/>
    </row>
    <row r="397" spans="1:291" s="156" customFormat="1" ht="35" customHeight="1">
      <c r="A397" s="42">
        <f>ROW()-2</f>
        <v>395</v>
      </c>
      <c r="B397" s="42" t="s">
        <v>2732</v>
      </c>
      <c r="C397" s="42" t="s">
        <v>3543</v>
      </c>
      <c r="D397" s="43" t="s">
        <v>3569</v>
      </c>
      <c r="E397" s="43" t="s">
        <v>3570</v>
      </c>
      <c r="F397" s="43" t="s">
        <v>2840</v>
      </c>
      <c r="G397" s="42" t="s">
        <v>34</v>
      </c>
      <c r="H397" s="42">
        <v>1</v>
      </c>
      <c r="I397" s="44">
        <v>0.5</v>
      </c>
      <c r="J397" s="45">
        <v>44431</v>
      </c>
      <c r="K397" s="44" t="s">
        <v>20</v>
      </c>
      <c r="L397" s="42">
        <v>4.99</v>
      </c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  <c r="FS397" s="30"/>
      <c r="FT397" s="30"/>
      <c r="FU397" s="30"/>
      <c r="FV397" s="30"/>
      <c r="FW397" s="30"/>
      <c r="FX397" s="30"/>
      <c r="FY397" s="30"/>
      <c r="FZ397" s="30"/>
      <c r="GA397" s="30"/>
      <c r="GB397" s="30"/>
      <c r="GC397" s="30"/>
      <c r="GD397" s="30"/>
      <c r="GE397" s="30"/>
      <c r="GF397" s="30"/>
      <c r="GG397" s="30"/>
      <c r="GH397" s="30"/>
      <c r="GI397" s="30"/>
      <c r="GJ397" s="30"/>
      <c r="GK397" s="30"/>
      <c r="GL397" s="30"/>
      <c r="GM397" s="30"/>
      <c r="GN397" s="30"/>
      <c r="GO397" s="30"/>
      <c r="GP397" s="30"/>
      <c r="GQ397" s="30"/>
      <c r="GR397" s="30"/>
      <c r="GS397" s="30"/>
      <c r="GT397" s="30"/>
      <c r="GU397" s="30"/>
      <c r="GV397" s="30"/>
      <c r="GW397" s="30"/>
      <c r="GX397" s="30"/>
      <c r="GY397" s="30"/>
      <c r="GZ397" s="30"/>
      <c r="HA397" s="30"/>
      <c r="HB397" s="30"/>
      <c r="HC397" s="30"/>
      <c r="HD397" s="30"/>
      <c r="HE397" s="30"/>
      <c r="HF397" s="30"/>
      <c r="HG397" s="30"/>
      <c r="HH397" s="30"/>
      <c r="HI397" s="30"/>
      <c r="HJ397" s="30"/>
      <c r="HK397" s="30"/>
      <c r="HL397" s="30"/>
      <c r="HM397" s="30"/>
      <c r="HN397" s="30"/>
      <c r="HO397" s="30"/>
      <c r="HP397" s="30"/>
      <c r="HQ397" s="30"/>
      <c r="HR397" s="30"/>
      <c r="HS397" s="30"/>
      <c r="HT397" s="30"/>
      <c r="HU397" s="30"/>
      <c r="HV397" s="30"/>
      <c r="HW397" s="30"/>
      <c r="HX397" s="30"/>
      <c r="HY397" s="30"/>
      <c r="HZ397" s="30"/>
      <c r="IA397" s="30"/>
      <c r="IB397" s="30"/>
      <c r="IC397" s="30"/>
      <c r="ID397" s="30"/>
      <c r="IE397" s="30"/>
      <c r="IF397" s="30"/>
      <c r="IG397" s="30"/>
      <c r="IH397" s="30"/>
      <c r="II397" s="30"/>
      <c r="IJ397" s="30"/>
      <c r="IK397" s="30"/>
      <c r="IL397" s="30"/>
      <c r="IM397" s="30"/>
      <c r="IN397" s="30"/>
      <c r="IO397" s="30"/>
      <c r="IP397" s="30"/>
      <c r="IQ397" s="30"/>
      <c r="IR397" s="30"/>
      <c r="IS397" s="30"/>
      <c r="IT397" s="30"/>
      <c r="IU397" s="30"/>
      <c r="IV397" s="30"/>
      <c r="IW397" s="30"/>
      <c r="IX397" s="30"/>
      <c r="IY397" s="30"/>
      <c r="IZ397" s="30"/>
      <c r="JA397" s="30"/>
      <c r="JB397" s="30"/>
      <c r="JC397" s="30"/>
      <c r="JD397" s="30"/>
      <c r="JE397" s="30"/>
      <c r="JF397" s="30"/>
      <c r="JG397" s="30"/>
      <c r="JH397" s="30"/>
      <c r="JI397" s="30"/>
      <c r="JJ397" s="30"/>
      <c r="JK397" s="30"/>
      <c r="JL397" s="30"/>
      <c r="JM397" s="30"/>
      <c r="JN397" s="30"/>
      <c r="JO397" s="30"/>
      <c r="JP397" s="30"/>
      <c r="JQ397" s="30"/>
      <c r="JR397" s="30"/>
      <c r="JS397" s="30"/>
      <c r="JT397" s="30"/>
      <c r="JU397" s="30"/>
      <c r="JV397" s="30"/>
      <c r="JW397" s="30"/>
      <c r="JX397" s="30"/>
      <c r="JY397" s="30"/>
      <c r="JZ397" s="30"/>
      <c r="KA397" s="30"/>
      <c r="KB397" s="30"/>
      <c r="KC397" s="30"/>
      <c r="KD397" s="30"/>
      <c r="KE397" s="30"/>
    </row>
    <row r="398" spans="1:291" s="156" customFormat="1" ht="35" customHeight="1">
      <c r="A398" s="42">
        <f>ROW()-2</f>
        <v>396</v>
      </c>
      <c r="B398" s="42" t="s">
        <v>2732</v>
      </c>
      <c r="C398" s="42" t="s">
        <v>3543</v>
      </c>
      <c r="D398" s="43" t="s">
        <v>3571</v>
      </c>
      <c r="E398" s="43" t="s">
        <v>3572</v>
      </c>
      <c r="F398" s="43" t="s">
        <v>3012</v>
      </c>
      <c r="G398" s="42" t="s">
        <v>34</v>
      </c>
      <c r="H398" s="42">
        <v>1</v>
      </c>
      <c r="I398" s="44">
        <v>0.5</v>
      </c>
      <c r="J398" s="45">
        <v>44536</v>
      </c>
      <c r="K398" s="44" t="s">
        <v>20</v>
      </c>
      <c r="L398" s="42">
        <v>4.99</v>
      </c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  <c r="FS398" s="30"/>
      <c r="FT398" s="30"/>
      <c r="FU398" s="30"/>
      <c r="FV398" s="30"/>
      <c r="FW398" s="30"/>
      <c r="FX398" s="30"/>
      <c r="FY398" s="30"/>
      <c r="FZ398" s="30"/>
      <c r="GA398" s="30"/>
      <c r="GB398" s="30"/>
      <c r="GC398" s="30"/>
      <c r="GD398" s="30"/>
      <c r="GE398" s="30"/>
      <c r="GF398" s="30"/>
      <c r="GG398" s="30"/>
      <c r="GH398" s="30"/>
      <c r="GI398" s="30"/>
      <c r="GJ398" s="30"/>
      <c r="GK398" s="30"/>
      <c r="GL398" s="30"/>
      <c r="GM398" s="30"/>
      <c r="GN398" s="30"/>
      <c r="GO398" s="30"/>
      <c r="GP398" s="30"/>
      <c r="GQ398" s="30"/>
      <c r="GR398" s="30"/>
      <c r="GS398" s="30"/>
      <c r="GT398" s="30"/>
      <c r="GU398" s="30"/>
      <c r="GV398" s="30"/>
      <c r="GW398" s="30"/>
      <c r="GX398" s="30"/>
      <c r="GY398" s="30"/>
      <c r="GZ398" s="30"/>
      <c r="HA398" s="30"/>
      <c r="HB398" s="30"/>
      <c r="HC398" s="30"/>
      <c r="HD398" s="30"/>
      <c r="HE398" s="30"/>
      <c r="HF398" s="30"/>
      <c r="HG398" s="30"/>
      <c r="HH398" s="30"/>
      <c r="HI398" s="30"/>
      <c r="HJ398" s="30"/>
      <c r="HK398" s="30"/>
      <c r="HL398" s="30"/>
      <c r="HM398" s="30"/>
      <c r="HN398" s="30"/>
      <c r="HO398" s="30"/>
      <c r="HP398" s="30"/>
      <c r="HQ398" s="30"/>
      <c r="HR398" s="30"/>
      <c r="HS398" s="30"/>
      <c r="HT398" s="30"/>
      <c r="HU398" s="30"/>
      <c r="HV398" s="30"/>
      <c r="HW398" s="30"/>
      <c r="HX398" s="30"/>
      <c r="HY398" s="30"/>
      <c r="HZ398" s="30"/>
      <c r="IA398" s="30"/>
      <c r="IB398" s="30"/>
      <c r="IC398" s="30"/>
      <c r="ID398" s="30"/>
      <c r="IE398" s="30"/>
      <c r="IF398" s="30"/>
      <c r="IG398" s="30"/>
      <c r="IH398" s="30"/>
      <c r="II398" s="30"/>
      <c r="IJ398" s="30"/>
      <c r="IK398" s="30"/>
      <c r="IL398" s="30"/>
      <c r="IM398" s="30"/>
      <c r="IN398" s="30"/>
      <c r="IO398" s="30"/>
      <c r="IP398" s="30"/>
      <c r="IQ398" s="30"/>
      <c r="IR398" s="30"/>
      <c r="IS398" s="30"/>
      <c r="IT398" s="30"/>
      <c r="IU398" s="30"/>
      <c r="IV398" s="30"/>
      <c r="IW398" s="30"/>
      <c r="IX398" s="30"/>
      <c r="IY398" s="30"/>
      <c r="IZ398" s="30"/>
      <c r="JA398" s="30"/>
      <c r="JB398" s="30"/>
      <c r="JC398" s="30"/>
      <c r="JD398" s="30"/>
      <c r="JE398" s="30"/>
      <c r="JF398" s="30"/>
      <c r="JG398" s="30"/>
      <c r="JH398" s="30"/>
      <c r="JI398" s="30"/>
      <c r="JJ398" s="30"/>
      <c r="JK398" s="30"/>
      <c r="JL398" s="30"/>
      <c r="JM398" s="30"/>
      <c r="JN398" s="30"/>
      <c r="JO398" s="30"/>
      <c r="JP398" s="30"/>
      <c r="JQ398" s="30"/>
      <c r="JR398" s="30"/>
      <c r="JS398" s="30"/>
      <c r="JT398" s="30"/>
      <c r="JU398" s="30"/>
      <c r="JV398" s="30"/>
      <c r="JW398" s="30"/>
      <c r="JX398" s="30"/>
      <c r="JY398" s="30"/>
      <c r="JZ398" s="30"/>
      <c r="KA398" s="30"/>
      <c r="KB398" s="30"/>
      <c r="KC398" s="30"/>
      <c r="KD398" s="30"/>
      <c r="KE398" s="30"/>
    </row>
    <row r="399" spans="1:291" s="156" customFormat="1" ht="35" customHeight="1">
      <c r="A399" s="42">
        <f>ROW()-2</f>
        <v>397</v>
      </c>
      <c r="B399" s="42" t="s">
        <v>2732</v>
      </c>
      <c r="C399" s="42" t="s">
        <v>3543</v>
      </c>
      <c r="D399" s="43" t="s">
        <v>3573</v>
      </c>
      <c r="E399" s="43" t="s">
        <v>3574</v>
      </c>
      <c r="F399" s="43" t="s">
        <v>3575</v>
      </c>
      <c r="G399" s="42" t="s">
        <v>34</v>
      </c>
      <c r="H399" s="42">
        <v>1</v>
      </c>
      <c r="I399" s="44">
        <v>0.49</v>
      </c>
      <c r="J399" s="45">
        <v>44551</v>
      </c>
      <c r="K399" s="44" t="s">
        <v>20</v>
      </c>
      <c r="L399" s="42">
        <v>4.99</v>
      </c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  <c r="FS399" s="30"/>
      <c r="FT399" s="30"/>
      <c r="FU399" s="30"/>
      <c r="FV399" s="30"/>
      <c r="FW399" s="30"/>
      <c r="FX399" s="30"/>
      <c r="FY399" s="30"/>
      <c r="FZ399" s="30"/>
      <c r="GA399" s="30"/>
      <c r="GB399" s="30"/>
      <c r="GC399" s="30"/>
      <c r="GD399" s="30"/>
      <c r="GE399" s="30"/>
      <c r="GF399" s="30"/>
      <c r="GG399" s="30"/>
      <c r="GH399" s="30"/>
      <c r="GI399" s="30"/>
      <c r="GJ399" s="30"/>
      <c r="GK399" s="30"/>
      <c r="GL399" s="30"/>
      <c r="GM399" s="30"/>
      <c r="GN399" s="30"/>
      <c r="GO399" s="30"/>
      <c r="GP399" s="30"/>
      <c r="GQ399" s="30"/>
      <c r="GR399" s="30"/>
      <c r="GS399" s="30"/>
      <c r="GT399" s="30"/>
      <c r="GU399" s="30"/>
      <c r="GV399" s="30"/>
      <c r="GW399" s="30"/>
      <c r="GX399" s="30"/>
      <c r="GY399" s="30"/>
      <c r="GZ399" s="30"/>
      <c r="HA399" s="30"/>
      <c r="HB399" s="30"/>
      <c r="HC399" s="30"/>
      <c r="HD399" s="30"/>
      <c r="HE399" s="30"/>
      <c r="HF399" s="30"/>
      <c r="HG399" s="30"/>
      <c r="HH399" s="30"/>
      <c r="HI399" s="30"/>
      <c r="HJ399" s="30"/>
      <c r="HK399" s="30"/>
      <c r="HL399" s="30"/>
      <c r="HM399" s="30"/>
      <c r="HN399" s="30"/>
      <c r="HO399" s="30"/>
      <c r="HP399" s="30"/>
      <c r="HQ399" s="30"/>
      <c r="HR399" s="30"/>
      <c r="HS399" s="30"/>
      <c r="HT399" s="30"/>
      <c r="HU399" s="30"/>
      <c r="HV399" s="30"/>
      <c r="HW399" s="30"/>
      <c r="HX399" s="30"/>
      <c r="HY399" s="30"/>
      <c r="HZ399" s="30"/>
      <c r="IA399" s="30"/>
      <c r="IB399" s="30"/>
      <c r="IC399" s="30"/>
      <c r="ID399" s="30"/>
      <c r="IE399" s="30"/>
      <c r="IF399" s="30"/>
      <c r="IG399" s="30"/>
      <c r="IH399" s="30"/>
      <c r="II399" s="30"/>
      <c r="IJ399" s="30"/>
      <c r="IK399" s="30"/>
      <c r="IL399" s="30"/>
      <c r="IM399" s="30"/>
      <c r="IN399" s="30"/>
      <c r="IO399" s="30"/>
      <c r="IP399" s="30"/>
      <c r="IQ399" s="30"/>
      <c r="IR399" s="30"/>
      <c r="IS399" s="30"/>
      <c r="IT399" s="30"/>
      <c r="IU399" s="30"/>
      <c r="IV399" s="30"/>
      <c r="IW399" s="30"/>
      <c r="IX399" s="30"/>
      <c r="IY399" s="30"/>
      <c r="IZ399" s="30"/>
      <c r="JA399" s="30"/>
      <c r="JB399" s="30"/>
      <c r="JC399" s="30"/>
      <c r="JD399" s="30"/>
      <c r="JE399" s="30"/>
      <c r="JF399" s="30"/>
      <c r="JG399" s="30"/>
      <c r="JH399" s="30"/>
      <c r="JI399" s="30"/>
      <c r="JJ399" s="30"/>
      <c r="JK399" s="30"/>
      <c r="JL399" s="30"/>
      <c r="JM399" s="30"/>
      <c r="JN399" s="30"/>
      <c r="JO399" s="30"/>
      <c r="JP399" s="30"/>
      <c r="JQ399" s="30"/>
      <c r="JR399" s="30"/>
      <c r="JS399" s="30"/>
      <c r="JT399" s="30"/>
      <c r="JU399" s="30"/>
      <c r="JV399" s="30"/>
      <c r="JW399" s="30"/>
      <c r="JX399" s="30"/>
      <c r="JY399" s="30"/>
      <c r="JZ399" s="30"/>
      <c r="KA399" s="30"/>
      <c r="KB399" s="30"/>
      <c r="KC399" s="30"/>
      <c r="KD399" s="30"/>
      <c r="KE399" s="30"/>
    </row>
    <row r="400" spans="1:291" s="156" customFormat="1" ht="35" customHeight="1">
      <c r="A400" s="42">
        <f>ROW()-2</f>
        <v>398</v>
      </c>
      <c r="B400" s="152" t="s">
        <v>2732</v>
      </c>
      <c r="C400" s="152" t="s">
        <v>3576</v>
      </c>
      <c r="D400" s="58" t="s">
        <v>3613</v>
      </c>
      <c r="E400" s="58" t="s">
        <v>3614</v>
      </c>
      <c r="F400" s="58" t="s">
        <v>3615</v>
      </c>
      <c r="G400" s="152" t="s">
        <v>34</v>
      </c>
      <c r="H400" s="152">
        <v>1</v>
      </c>
      <c r="I400" s="153">
        <v>0.33777777777777801</v>
      </c>
      <c r="J400" s="154">
        <v>43962</v>
      </c>
      <c r="K400" s="153" t="s">
        <v>20</v>
      </c>
      <c r="L400" s="152">
        <v>4.99</v>
      </c>
      <c r="M400" s="155"/>
    </row>
    <row r="401" spans="1:13" s="156" customFormat="1" ht="35" customHeight="1">
      <c r="A401" s="42">
        <f>ROW()-2</f>
        <v>399</v>
      </c>
      <c r="B401" s="152" t="s">
        <v>2732</v>
      </c>
      <c r="C401" s="152" t="s">
        <v>3576</v>
      </c>
      <c r="D401" s="58" t="s">
        <v>3616</v>
      </c>
      <c r="E401" s="58" t="s">
        <v>3617</v>
      </c>
      <c r="F401" s="58" t="s">
        <v>3140</v>
      </c>
      <c r="G401" s="152" t="s">
        <v>34</v>
      </c>
      <c r="H401" s="152">
        <v>1</v>
      </c>
      <c r="I401" s="153">
        <v>0.48361111111111099</v>
      </c>
      <c r="J401" s="154">
        <v>43978</v>
      </c>
      <c r="K401" s="153" t="s">
        <v>20</v>
      </c>
      <c r="L401" s="152">
        <v>4.99</v>
      </c>
      <c r="M401" s="155"/>
    </row>
    <row r="402" spans="1:13" s="156" customFormat="1" ht="35" customHeight="1">
      <c r="A402" s="42">
        <f>ROW()-2</f>
        <v>400</v>
      </c>
      <c r="B402" s="152" t="s">
        <v>2732</v>
      </c>
      <c r="C402" s="152" t="s">
        <v>3576</v>
      </c>
      <c r="D402" s="58" t="s">
        <v>3628</v>
      </c>
      <c r="E402" s="58" t="s">
        <v>3629</v>
      </c>
      <c r="F402" s="58" t="s">
        <v>3203</v>
      </c>
      <c r="G402" s="152" t="s">
        <v>34</v>
      </c>
      <c r="H402" s="152">
        <v>1</v>
      </c>
      <c r="I402" s="153">
        <v>0.36305555555555602</v>
      </c>
      <c r="J402" s="154">
        <v>43978</v>
      </c>
      <c r="K402" s="153" t="s">
        <v>20</v>
      </c>
      <c r="L402" s="152">
        <v>4.99</v>
      </c>
    </row>
    <row r="403" spans="1:13" s="156" customFormat="1" ht="35" customHeight="1">
      <c r="A403" s="42">
        <f>ROW()-2</f>
        <v>401</v>
      </c>
      <c r="B403" s="152" t="s">
        <v>2732</v>
      </c>
      <c r="C403" s="152" t="s">
        <v>3576</v>
      </c>
      <c r="D403" s="58" t="s">
        <v>3630</v>
      </c>
      <c r="E403" s="58" t="s">
        <v>3112</v>
      </c>
      <c r="F403" s="58" t="s">
        <v>3089</v>
      </c>
      <c r="G403" s="152" t="s">
        <v>34</v>
      </c>
      <c r="H403" s="152">
        <v>1</v>
      </c>
      <c r="I403" s="153">
        <v>0.45444444444444398</v>
      </c>
      <c r="J403" s="154">
        <v>43978</v>
      </c>
      <c r="K403" s="153" t="s">
        <v>20</v>
      </c>
      <c r="L403" s="152">
        <v>4.99</v>
      </c>
    </row>
    <row r="404" spans="1:13" s="156" customFormat="1" ht="35" customHeight="1">
      <c r="A404" s="42">
        <f>ROW()-2</f>
        <v>402</v>
      </c>
      <c r="B404" s="152" t="s">
        <v>2732</v>
      </c>
      <c r="C404" s="152" t="s">
        <v>3576</v>
      </c>
      <c r="D404" s="58" t="s">
        <v>3631</v>
      </c>
      <c r="E404" s="58" t="s">
        <v>3632</v>
      </c>
      <c r="F404" s="58" t="s">
        <v>3633</v>
      </c>
      <c r="G404" s="152" t="s">
        <v>34</v>
      </c>
      <c r="H404" s="152">
        <v>1</v>
      </c>
      <c r="I404" s="153">
        <v>0.45500000000000002</v>
      </c>
      <c r="J404" s="154">
        <v>43978</v>
      </c>
      <c r="K404" s="153" t="s">
        <v>20</v>
      </c>
      <c r="L404" s="152">
        <v>4.99</v>
      </c>
    </row>
    <row r="405" spans="1:13" s="156" customFormat="1" ht="35" customHeight="1">
      <c r="A405" s="42">
        <f>ROW()-2</f>
        <v>403</v>
      </c>
      <c r="B405" s="152" t="s">
        <v>2732</v>
      </c>
      <c r="C405" s="152" t="s">
        <v>3576</v>
      </c>
      <c r="D405" s="58" t="s">
        <v>3634</v>
      </c>
      <c r="E405" s="58" t="s">
        <v>3635</v>
      </c>
      <c r="F405" s="58" t="s">
        <v>3636</v>
      </c>
      <c r="G405" s="152" t="s">
        <v>34</v>
      </c>
      <c r="H405" s="152">
        <v>1</v>
      </c>
      <c r="I405" s="153">
        <v>0.38833333333333298</v>
      </c>
      <c r="J405" s="154">
        <v>43978</v>
      </c>
      <c r="K405" s="153" t="s">
        <v>20</v>
      </c>
      <c r="L405" s="152">
        <v>4.99</v>
      </c>
    </row>
    <row r="406" spans="1:13" s="156" customFormat="1" ht="35" customHeight="1">
      <c r="A406" s="42">
        <f>ROW()-2</f>
        <v>404</v>
      </c>
      <c r="B406" s="152" t="s">
        <v>2732</v>
      </c>
      <c r="C406" s="152" t="s">
        <v>3576</v>
      </c>
      <c r="D406" s="58" t="s">
        <v>3651</v>
      </c>
      <c r="E406" s="58" t="s">
        <v>3652</v>
      </c>
      <c r="F406" s="58" t="s">
        <v>3653</v>
      </c>
      <c r="G406" s="152" t="s">
        <v>34</v>
      </c>
      <c r="H406" s="152">
        <v>1</v>
      </c>
      <c r="I406" s="153">
        <v>0.37166666666666698</v>
      </c>
      <c r="J406" s="154">
        <v>43978</v>
      </c>
      <c r="K406" s="153" t="s">
        <v>20</v>
      </c>
      <c r="L406" s="152">
        <v>4.99</v>
      </c>
      <c r="M406" s="155"/>
    </row>
    <row r="407" spans="1:13" s="156" customFormat="1" ht="35" customHeight="1">
      <c r="A407" s="42">
        <f>ROW()-2</f>
        <v>405</v>
      </c>
      <c r="B407" s="152" t="s">
        <v>2732</v>
      </c>
      <c r="C407" s="152" t="s">
        <v>3576</v>
      </c>
      <c r="D407" s="58" t="s">
        <v>3654</v>
      </c>
      <c r="E407" s="58" t="s">
        <v>3655</v>
      </c>
      <c r="F407" s="58" t="s">
        <v>3656</v>
      </c>
      <c r="G407" s="152" t="s">
        <v>34</v>
      </c>
      <c r="H407" s="152">
        <v>1</v>
      </c>
      <c r="I407" s="153">
        <v>0.75583333333333302</v>
      </c>
      <c r="J407" s="154">
        <v>43978</v>
      </c>
      <c r="K407" s="153" t="s">
        <v>20</v>
      </c>
      <c r="L407" s="152">
        <v>4.99</v>
      </c>
      <c r="M407" s="155"/>
    </row>
    <row r="408" spans="1:13" s="156" customFormat="1" ht="35" customHeight="1">
      <c r="A408" s="42">
        <f>ROW()-2</f>
        <v>406</v>
      </c>
      <c r="B408" s="152" t="s">
        <v>2732</v>
      </c>
      <c r="C408" s="152" t="s">
        <v>3576</v>
      </c>
      <c r="D408" s="58" t="s">
        <v>3657</v>
      </c>
      <c r="E408" s="58" t="s">
        <v>3658</v>
      </c>
      <c r="F408" s="58" t="s">
        <v>2861</v>
      </c>
      <c r="G408" s="152" t="s">
        <v>34</v>
      </c>
      <c r="H408" s="152">
        <v>1</v>
      </c>
      <c r="I408" s="153">
        <v>0.54555555555555602</v>
      </c>
      <c r="J408" s="154">
        <v>43978</v>
      </c>
      <c r="K408" s="153" t="s">
        <v>20</v>
      </c>
      <c r="L408" s="152">
        <v>4.99</v>
      </c>
      <c r="M408" s="155"/>
    </row>
    <row r="409" spans="1:13" s="156" customFormat="1" ht="35" customHeight="1">
      <c r="A409" s="42">
        <f>ROW()-2</f>
        <v>407</v>
      </c>
      <c r="B409" s="152" t="s">
        <v>2732</v>
      </c>
      <c r="C409" s="152" t="s">
        <v>3576</v>
      </c>
      <c r="D409" s="58" t="s">
        <v>3659</v>
      </c>
      <c r="E409" s="58" t="s">
        <v>3660</v>
      </c>
      <c r="F409" s="58" t="s">
        <v>3661</v>
      </c>
      <c r="G409" s="152" t="s">
        <v>34</v>
      </c>
      <c r="H409" s="152">
        <v>1</v>
      </c>
      <c r="I409" s="153">
        <v>0.378888888888889</v>
      </c>
      <c r="J409" s="154">
        <v>43978</v>
      </c>
      <c r="K409" s="153" t="s">
        <v>20</v>
      </c>
      <c r="L409" s="152">
        <v>4.99</v>
      </c>
      <c r="M409" s="155"/>
    </row>
    <row r="410" spans="1:13" s="156" customFormat="1" ht="35" customHeight="1">
      <c r="A410" s="42">
        <f>ROW()-2</f>
        <v>408</v>
      </c>
      <c r="B410" s="152" t="s">
        <v>2732</v>
      </c>
      <c r="C410" s="152" t="s">
        <v>3576</v>
      </c>
      <c r="D410" s="58" t="s">
        <v>3662</v>
      </c>
      <c r="E410" s="58" t="s">
        <v>3660</v>
      </c>
      <c r="F410" s="58" t="s">
        <v>3661</v>
      </c>
      <c r="G410" s="152" t="s">
        <v>34</v>
      </c>
      <c r="H410" s="152">
        <v>1</v>
      </c>
      <c r="I410" s="153">
        <v>0.32444444444444398</v>
      </c>
      <c r="J410" s="154">
        <v>43978</v>
      </c>
      <c r="K410" s="153" t="s">
        <v>20</v>
      </c>
      <c r="L410" s="152">
        <v>4.99</v>
      </c>
      <c r="M410" s="155"/>
    </row>
    <row r="411" spans="1:13" s="156" customFormat="1" ht="35" customHeight="1">
      <c r="A411" s="42">
        <f>ROW()-2</f>
        <v>409</v>
      </c>
      <c r="B411" s="152" t="s">
        <v>2732</v>
      </c>
      <c r="C411" s="152" t="s">
        <v>3576</v>
      </c>
      <c r="D411" s="58" t="s">
        <v>3663</v>
      </c>
      <c r="E411" s="58" t="s">
        <v>3664</v>
      </c>
      <c r="F411" s="58" t="s">
        <v>3661</v>
      </c>
      <c r="G411" s="152" t="s">
        <v>34</v>
      </c>
      <c r="H411" s="152">
        <v>1</v>
      </c>
      <c r="I411" s="153">
        <v>0.65861111111111104</v>
      </c>
      <c r="J411" s="154">
        <v>43978</v>
      </c>
      <c r="K411" s="153" t="s">
        <v>20</v>
      </c>
      <c r="L411" s="152">
        <v>4.99</v>
      </c>
      <c r="M411" s="155"/>
    </row>
    <row r="412" spans="1:13" s="156" customFormat="1" ht="35" customHeight="1">
      <c r="A412" s="42">
        <f>ROW()-2</f>
        <v>410</v>
      </c>
      <c r="B412" s="152" t="s">
        <v>2732</v>
      </c>
      <c r="C412" s="152" t="s">
        <v>3576</v>
      </c>
      <c r="D412" s="58" t="s">
        <v>3665</v>
      </c>
      <c r="E412" s="58" t="s">
        <v>3666</v>
      </c>
      <c r="F412" s="58" t="s">
        <v>1908</v>
      </c>
      <c r="G412" s="152" t="s">
        <v>34</v>
      </c>
      <c r="H412" s="152">
        <v>1</v>
      </c>
      <c r="I412" s="153">
        <v>0.35138888888888897</v>
      </c>
      <c r="J412" s="154">
        <v>43978</v>
      </c>
      <c r="K412" s="153" t="s">
        <v>20</v>
      </c>
      <c r="L412" s="152">
        <v>4.99</v>
      </c>
      <c r="M412" s="155"/>
    </row>
    <row r="413" spans="1:13" s="156" customFormat="1" ht="35" customHeight="1">
      <c r="A413" s="42">
        <f>ROW()-2</f>
        <v>411</v>
      </c>
      <c r="B413" s="152" t="s">
        <v>2732</v>
      </c>
      <c r="C413" s="152" t="s">
        <v>3576</v>
      </c>
      <c r="D413" s="58" t="s">
        <v>3667</v>
      </c>
      <c r="E413" s="58" t="s">
        <v>3668</v>
      </c>
      <c r="F413" s="58" t="s">
        <v>3669</v>
      </c>
      <c r="G413" s="152" t="s">
        <v>34</v>
      </c>
      <c r="H413" s="152">
        <v>1</v>
      </c>
      <c r="I413" s="153">
        <v>0.404444444444444</v>
      </c>
      <c r="J413" s="154">
        <v>43978</v>
      </c>
      <c r="K413" s="153" t="s">
        <v>20</v>
      </c>
      <c r="L413" s="152">
        <v>4.99</v>
      </c>
      <c r="M413" s="155"/>
    </row>
    <row r="414" spans="1:13" s="156" customFormat="1" ht="35" customHeight="1">
      <c r="A414" s="42">
        <f>ROW()-2</f>
        <v>412</v>
      </c>
      <c r="B414" s="152" t="s">
        <v>2732</v>
      </c>
      <c r="C414" s="152" t="s">
        <v>3576</v>
      </c>
      <c r="D414" s="58" t="s">
        <v>3670</v>
      </c>
      <c r="E414" s="58" t="s">
        <v>3671</v>
      </c>
      <c r="F414" s="58" t="s">
        <v>3669</v>
      </c>
      <c r="G414" s="152" t="s">
        <v>34</v>
      </c>
      <c r="H414" s="152">
        <v>1</v>
      </c>
      <c r="I414" s="153">
        <v>0.40638888888888902</v>
      </c>
      <c r="J414" s="154">
        <v>43978</v>
      </c>
      <c r="K414" s="153" t="s">
        <v>20</v>
      </c>
      <c r="L414" s="152">
        <v>4.99</v>
      </c>
      <c r="M414" s="155"/>
    </row>
    <row r="415" spans="1:13" s="156" customFormat="1" ht="35" customHeight="1">
      <c r="A415" s="42">
        <f>ROW()-2</f>
        <v>413</v>
      </c>
      <c r="B415" s="152" t="s">
        <v>2732</v>
      </c>
      <c r="C415" s="152" t="s">
        <v>3576</v>
      </c>
      <c r="D415" s="58" t="s">
        <v>3672</v>
      </c>
      <c r="E415" s="58" t="s">
        <v>3673</v>
      </c>
      <c r="F415" s="58" t="s">
        <v>3669</v>
      </c>
      <c r="G415" s="152" t="s">
        <v>34</v>
      </c>
      <c r="H415" s="152">
        <v>1</v>
      </c>
      <c r="I415" s="153">
        <v>0.68166666666666698</v>
      </c>
      <c r="J415" s="154">
        <v>43978</v>
      </c>
      <c r="K415" s="153" t="s">
        <v>20</v>
      </c>
      <c r="L415" s="152">
        <v>4.99</v>
      </c>
      <c r="M415" s="155"/>
    </row>
    <row r="416" spans="1:13" s="156" customFormat="1" ht="35" customHeight="1">
      <c r="A416" s="42">
        <f>ROW()-2</f>
        <v>414</v>
      </c>
      <c r="B416" s="152" t="s">
        <v>2732</v>
      </c>
      <c r="C416" s="152" t="s">
        <v>3576</v>
      </c>
      <c r="D416" s="58" t="s">
        <v>3674</v>
      </c>
      <c r="E416" s="58" t="s">
        <v>3675</v>
      </c>
      <c r="F416" s="58" t="s">
        <v>619</v>
      </c>
      <c r="G416" s="152" t="s">
        <v>34</v>
      </c>
      <c r="H416" s="152">
        <v>1</v>
      </c>
      <c r="I416" s="153">
        <v>0.57611111111111102</v>
      </c>
      <c r="J416" s="154">
        <v>43978</v>
      </c>
      <c r="K416" s="153" t="s">
        <v>20</v>
      </c>
      <c r="L416" s="152">
        <v>4.99</v>
      </c>
      <c r="M416" s="155"/>
    </row>
    <row r="417" spans="1:291" s="156" customFormat="1" ht="35" customHeight="1">
      <c r="A417" s="42">
        <f>ROW()-2</f>
        <v>415</v>
      </c>
      <c r="B417" s="152" t="s">
        <v>2732</v>
      </c>
      <c r="C417" s="152" t="s">
        <v>3576</v>
      </c>
      <c r="D417" s="58" t="s">
        <v>3676</v>
      </c>
      <c r="E417" s="58" t="s">
        <v>3677</v>
      </c>
      <c r="F417" s="58" t="s">
        <v>619</v>
      </c>
      <c r="G417" s="152" t="s">
        <v>34</v>
      </c>
      <c r="H417" s="152">
        <v>1</v>
      </c>
      <c r="I417" s="153">
        <v>0.27444444444444399</v>
      </c>
      <c r="J417" s="154">
        <v>43978</v>
      </c>
      <c r="K417" s="153" t="s">
        <v>20</v>
      </c>
      <c r="L417" s="152">
        <v>4.99</v>
      </c>
      <c r="M417" s="155"/>
    </row>
    <row r="418" spans="1:291" s="156" customFormat="1" ht="35" customHeight="1">
      <c r="A418" s="42">
        <f>ROW()-2</f>
        <v>416</v>
      </c>
      <c r="B418" s="152" t="s">
        <v>2732</v>
      </c>
      <c r="C418" s="152" t="s">
        <v>3576</v>
      </c>
      <c r="D418" s="58" t="s">
        <v>3678</v>
      </c>
      <c r="E418" s="58" t="s">
        <v>3679</v>
      </c>
      <c r="F418" s="58" t="s">
        <v>3680</v>
      </c>
      <c r="G418" s="152" t="s">
        <v>34</v>
      </c>
      <c r="H418" s="152">
        <v>1</v>
      </c>
      <c r="I418" s="153">
        <v>0.46750000000000003</v>
      </c>
      <c r="J418" s="154">
        <v>43978</v>
      </c>
      <c r="K418" s="153" t="s">
        <v>20</v>
      </c>
      <c r="L418" s="152">
        <v>4.99</v>
      </c>
      <c r="M418" s="155"/>
    </row>
    <row r="419" spans="1:291" s="156" customFormat="1" ht="35" customHeight="1">
      <c r="A419" s="42">
        <f>ROW()-2</f>
        <v>417</v>
      </c>
      <c r="B419" s="152" t="s">
        <v>2732</v>
      </c>
      <c r="C419" s="152" t="s">
        <v>3576</v>
      </c>
      <c r="D419" s="58" t="s">
        <v>3681</v>
      </c>
      <c r="E419" s="58" t="s">
        <v>3682</v>
      </c>
      <c r="F419" s="58" t="s">
        <v>3683</v>
      </c>
      <c r="G419" s="152" t="s">
        <v>34</v>
      </c>
      <c r="H419" s="152">
        <v>1</v>
      </c>
      <c r="I419" s="153">
        <v>0.446388888888889</v>
      </c>
      <c r="J419" s="154">
        <v>43978</v>
      </c>
      <c r="K419" s="153" t="s">
        <v>20</v>
      </c>
      <c r="L419" s="152">
        <v>4.99</v>
      </c>
      <c r="M419" s="155"/>
    </row>
    <row r="420" spans="1:291" s="156" customFormat="1" ht="35" customHeight="1">
      <c r="A420" s="42">
        <f>ROW()-2</f>
        <v>418</v>
      </c>
      <c r="B420" s="152" t="s">
        <v>2732</v>
      </c>
      <c r="C420" s="152" t="s">
        <v>3576</v>
      </c>
      <c r="D420" s="58" t="s">
        <v>3684</v>
      </c>
      <c r="E420" s="58" t="s">
        <v>3685</v>
      </c>
      <c r="F420" s="58" t="s">
        <v>3686</v>
      </c>
      <c r="G420" s="152" t="s">
        <v>34</v>
      </c>
      <c r="H420" s="152">
        <v>1</v>
      </c>
      <c r="I420" s="153">
        <v>0.58416666666666694</v>
      </c>
      <c r="J420" s="154">
        <v>43978</v>
      </c>
      <c r="K420" s="153" t="s">
        <v>20</v>
      </c>
      <c r="L420" s="152">
        <v>4.99</v>
      </c>
      <c r="M420" s="155"/>
    </row>
    <row r="421" spans="1:291" s="156" customFormat="1" ht="35" customHeight="1">
      <c r="A421" s="42">
        <f>ROW()-2</f>
        <v>419</v>
      </c>
      <c r="B421" s="152" t="s">
        <v>2732</v>
      </c>
      <c r="C421" s="152" t="s">
        <v>3576</v>
      </c>
      <c r="D421" s="58" t="s">
        <v>3687</v>
      </c>
      <c r="E421" s="58" t="s">
        <v>3688</v>
      </c>
      <c r="F421" s="58" t="s">
        <v>3689</v>
      </c>
      <c r="G421" s="152" t="s">
        <v>34</v>
      </c>
      <c r="H421" s="152">
        <v>1</v>
      </c>
      <c r="I421" s="153">
        <v>0.41694444444444401</v>
      </c>
      <c r="J421" s="154">
        <v>43978</v>
      </c>
      <c r="K421" s="153" t="s">
        <v>20</v>
      </c>
      <c r="L421" s="152">
        <v>4.99</v>
      </c>
      <c r="M421" s="155"/>
    </row>
    <row r="422" spans="1:291" s="156" customFormat="1" ht="35" customHeight="1">
      <c r="A422" s="42">
        <f>ROW()-2</f>
        <v>420</v>
      </c>
      <c r="B422" s="152" t="s">
        <v>2732</v>
      </c>
      <c r="C422" s="152" t="s">
        <v>3576</v>
      </c>
      <c r="D422" s="58" t="s">
        <v>3690</v>
      </c>
      <c r="E422" s="58" t="s">
        <v>3688</v>
      </c>
      <c r="F422" s="58" t="s">
        <v>3689</v>
      </c>
      <c r="G422" s="152" t="s">
        <v>34</v>
      </c>
      <c r="H422" s="152">
        <v>1</v>
      </c>
      <c r="I422" s="153">
        <v>0.37166666666666698</v>
      </c>
      <c r="J422" s="154">
        <v>43978</v>
      </c>
      <c r="K422" s="153" t="s">
        <v>20</v>
      </c>
      <c r="L422" s="152">
        <v>4.99</v>
      </c>
      <c r="M422" s="155"/>
    </row>
    <row r="423" spans="1:291" s="156" customFormat="1" ht="35" customHeight="1">
      <c r="A423" s="42">
        <f>ROW()-2</f>
        <v>421</v>
      </c>
      <c r="B423" s="152" t="s">
        <v>2732</v>
      </c>
      <c r="C423" s="152" t="s">
        <v>3576</v>
      </c>
      <c r="D423" s="58" t="s">
        <v>3711</v>
      </c>
      <c r="E423" s="58" t="s">
        <v>3712</v>
      </c>
      <c r="F423" s="58" t="s">
        <v>2948</v>
      </c>
      <c r="G423" s="152" t="s">
        <v>34</v>
      </c>
      <c r="H423" s="152">
        <v>1</v>
      </c>
      <c r="I423" s="153">
        <v>0.46472222222222198</v>
      </c>
      <c r="J423" s="154">
        <v>43978</v>
      </c>
      <c r="K423" s="153" t="s">
        <v>20</v>
      </c>
      <c r="L423" s="152">
        <v>4.99</v>
      </c>
      <c r="M423" s="155"/>
    </row>
    <row r="424" spans="1:291" s="156" customFormat="1" ht="35" customHeight="1">
      <c r="A424" s="42">
        <f>ROW()-2</f>
        <v>422</v>
      </c>
      <c r="B424" s="182" t="s">
        <v>2732</v>
      </c>
      <c r="C424" s="182" t="s">
        <v>3576</v>
      </c>
      <c r="D424" s="187" t="s">
        <v>5266</v>
      </c>
      <c r="E424" s="187" t="s">
        <v>5267</v>
      </c>
      <c r="F424" s="187" t="s">
        <v>2804</v>
      </c>
      <c r="G424" s="182" t="s">
        <v>34</v>
      </c>
      <c r="H424" s="182">
        <v>1</v>
      </c>
      <c r="I424" s="206">
        <v>0.5</v>
      </c>
      <c r="J424" s="209">
        <v>43979</v>
      </c>
      <c r="K424" s="206" t="s">
        <v>20</v>
      </c>
      <c r="L424" s="182">
        <v>4.99</v>
      </c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136"/>
      <c r="BD424" s="136"/>
      <c r="BE424" s="136"/>
      <c r="BF424" s="136"/>
      <c r="BG424" s="136"/>
      <c r="BH424" s="136"/>
      <c r="BI424" s="136"/>
      <c r="BJ424" s="136"/>
      <c r="BK424" s="136"/>
      <c r="BL424" s="136"/>
      <c r="BM424" s="136"/>
      <c r="BN424" s="136"/>
      <c r="BO424" s="136"/>
      <c r="BP424" s="136"/>
      <c r="BQ424" s="136"/>
      <c r="BR424" s="136"/>
      <c r="BS424" s="136"/>
      <c r="BT424" s="136"/>
      <c r="BU424" s="136"/>
      <c r="BV424" s="136"/>
      <c r="BW424" s="136"/>
      <c r="BX424" s="136"/>
      <c r="BY424" s="136"/>
      <c r="BZ424" s="136"/>
      <c r="CA424" s="136"/>
      <c r="CB424" s="136"/>
      <c r="CC424" s="136"/>
      <c r="CD424" s="136"/>
      <c r="CE424" s="136"/>
      <c r="CF424" s="136"/>
      <c r="CG424" s="136"/>
      <c r="CH424" s="136"/>
      <c r="CI424" s="136"/>
      <c r="CJ424" s="136"/>
      <c r="CK424" s="136"/>
      <c r="CL424" s="136"/>
      <c r="CM424" s="136"/>
      <c r="CN424" s="136"/>
      <c r="CO424" s="136"/>
      <c r="CP424" s="136"/>
      <c r="CQ424" s="136"/>
      <c r="CR424" s="136"/>
      <c r="CS424" s="136"/>
      <c r="CT424" s="136"/>
      <c r="CU424" s="136"/>
      <c r="CV424" s="136"/>
      <c r="CW424" s="136"/>
      <c r="CX424" s="136"/>
      <c r="CY424" s="136"/>
      <c r="CZ424" s="136"/>
      <c r="DA424" s="136"/>
      <c r="DB424" s="136"/>
      <c r="DC424" s="136"/>
      <c r="DD424" s="136"/>
      <c r="DE424" s="136"/>
      <c r="DF424" s="136"/>
      <c r="DG424" s="136"/>
      <c r="DH424" s="136"/>
      <c r="DI424" s="136"/>
      <c r="DJ424" s="136"/>
      <c r="DK424" s="136"/>
      <c r="DL424" s="136"/>
      <c r="DM424" s="136"/>
      <c r="DN424" s="136"/>
      <c r="DO424" s="136"/>
      <c r="DP424" s="136"/>
      <c r="DQ424" s="136"/>
      <c r="DR424" s="136"/>
      <c r="DS424" s="136"/>
      <c r="DT424" s="136"/>
      <c r="DU424" s="136"/>
      <c r="DV424" s="136"/>
      <c r="DW424" s="136"/>
      <c r="DX424" s="136"/>
      <c r="DY424" s="136"/>
      <c r="DZ424" s="136"/>
      <c r="EA424" s="136"/>
      <c r="EB424" s="136"/>
      <c r="EC424" s="136"/>
      <c r="ED424" s="136"/>
      <c r="EE424" s="136"/>
      <c r="EF424" s="136"/>
      <c r="EG424" s="136"/>
      <c r="EH424" s="136"/>
      <c r="EI424" s="136"/>
      <c r="EJ424" s="136"/>
      <c r="EK424" s="136"/>
      <c r="EL424" s="136"/>
      <c r="EM424" s="136"/>
      <c r="EN424" s="136"/>
      <c r="EO424" s="136"/>
      <c r="EP424" s="136"/>
      <c r="EQ424" s="136"/>
      <c r="ER424" s="136"/>
      <c r="ES424" s="136"/>
      <c r="ET424" s="136"/>
      <c r="EU424" s="136"/>
      <c r="EV424" s="136"/>
      <c r="EW424" s="136"/>
      <c r="EX424" s="136"/>
      <c r="EY424" s="136"/>
      <c r="EZ424" s="136"/>
      <c r="FA424" s="136"/>
      <c r="FB424" s="136"/>
      <c r="FC424" s="136"/>
      <c r="FD424" s="136"/>
      <c r="FE424" s="136"/>
      <c r="FF424" s="136"/>
      <c r="FG424" s="136"/>
      <c r="FH424" s="136"/>
      <c r="FI424" s="136"/>
      <c r="FJ424" s="136"/>
      <c r="FK424" s="136"/>
      <c r="FL424" s="136"/>
      <c r="FM424" s="136"/>
      <c r="FN424" s="136"/>
      <c r="FO424" s="136"/>
      <c r="FP424" s="136"/>
      <c r="FQ424" s="136"/>
      <c r="FR424" s="136"/>
      <c r="FS424" s="136"/>
      <c r="FT424" s="136"/>
      <c r="FU424" s="136"/>
      <c r="FV424" s="136"/>
      <c r="FW424" s="136"/>
      <c r="FX424" s="136"/>
      <c r="FY424" s="136"/>
      <c r="FZ424" s="136"/>
      <c r="GA424" s="136"/>
      <c r="GB424" s="136"/>
      <c r="GC424" s="136"/>
      <c r="GD424" s="136"/>
      <c r="GE424" s="136"/>
      <c r="GF424" s="136"/>
      <c r="GG424" s="136"/>
      <c r="GH424" s="136"/>
      <c r="GI424" s="136"/>
      <c r="GJ424" s="136"/>
      <c r="GK424" s="136"/>
      <c r="GL424" s="136"/>
      <c r="GM424" s="136"/>
      <c r="GN424" s="136"/>
      <c r="GO424" s="136"/>
      <c r="GP424" s="136"/>
      <c r="GQ424" s="136"/>
      <c r="GR424" s="136"/>
      <c r="GS424" s="136"/>
      <c r="GT424" s="136"/>
      <c r="GU424" s="136"/>
      <c r="GV424" s="136"/>
      <c r="GW424" s="136"/>
      <c r="GX424" s="136"/>
      <c r="GY424" s="136"/>
      <c r="GZ424" s="136"/>
      <c r="HA424" s="136"/>
      <c r="HB424" s="136"/>
      <c r="HC424" s="136"/>
      <c r="HD424" s="136"/>
      <c r="HE424" s="136"/>
      <c r="HF424" s="136"/>
      <c r="HG424" s="136"/>
      <c r="HH424" s="136"/>
      <c r="HI424" s="136"/>
      <c r="HJ424" s="136"/>
      <c r="HK424" s="136"/>
      <c r="HL424" s="136"/>
      <c r="HM424" s="136"/>
      <c r="HN424" s="136"/>
      <c r="HO424" s="136"/>
      <c r="HP424" s="136"/>
      <c r="HQ424" s="136"/>
      <c r="HR424" s="136"/>
      <c r="HS424" s="136"/>
      <c r="HT424" s="136"/>
      <c r="HU424" s="136"/>
      <c r="HV424" s="136"/>
      <c r="HW424" s="136"/>
      <c r="HX424" s="136"/>
      <c r="HY424" s="136"/>
      <c r="HZ424" s="136"/>
      <c r="IA424" s="136"/>
      <c r="IB424" s="136"/>
      <c r="IC424" s="136"/>
      <c r="ID424" s="136"/>
      <c r="IE424" s="136"/>
      <c r="IF424" s="136"/>
      <c r="IG424" s="136"/>
      <c r="IH424" s="136"/>
      <c r="II424" s="136"/>
      <c r="IJ424" s="136"/>
      <c r="IK424" s="136"/>
      <c r="IL424" s="136"/>
      <c r="IM424" s="136"/>
      <c r="IN424" s="136"/>
      <c r="IO424" s="136"/>
      <c r="IP424" s="136"/>
      <c r="IQ424" s="136"/>
      <c r="IR424" s="136"/>
      <c r="IS424" s="136"/>
      <c r="IT424" s="136"/>
      <c r="IU424" s="136"/>
      <c r="IV424" s="136"/>
      <c r="IW424" s="136"/>
      <c r="IX424" s="136"/>
      <c r="IY424" s="136"/>
      <c r="IZ424" s="136"/>
      <c r="JA424" s="136"/>
      <c r="JB424" s="136"/>
      <c r="JC424" s="136"/>
      <c r="JD424" s="136"/>
      <c r="JE424" s="136"/>
      <c r="JF424" s="136"/>
      <c r="JG424" s="136"/>
      <c r="JH424" s="136"/>
      <c r="JI424" s="136"/>
      <c r="JJ424" s="136"/>
      <c r="JK424" s="136"/>
      <c r="JL424" s="136"/>
      <c r="JM424" s="136"/>
      <c r="JN424" s="136"/>
      <c r="JO424" s="136"/>
      <c r="JP424" s="136"/>
      <c r="JQ424" s="136"/>
      <c r="JR424" s="136"/>
      <c r="JS424" s="136"/>
      <c r="JT424" s="136"/>
      <c r="JU424" s="136"/>
      <c r="JV424" s="136"/>
      <c r="JW424" s="136"/>
      <c r="JX424" s="136"/>
      <c r="JY424" s="136"/>
      <c r="JZ424" s="136"/>
      <c r="KA424" s="136"/>
      <c r="KB424" s="136"/>
      <c r="KC424" s="136"/>
      <c r="KD424" s="136"/>
      <c r="KE424" s="136"/>
    </row>
    <row r="425" spans="1:291" s="156" customFormat="1" ht="35" customHeight="1">
      <c r="A425" s="42">
        <f>ROW()-2</f>
        <v>423</v>
      </c>
      <c r="B425" s="152" t="s">
        <v>2732</v>
      </c>
      <c r="C425" s="152" t="s">
        <v>3576</v>
      </c>
      <c r="D425" s="58" t="s">
        <v>3691</v>
      </c>
      <c r="E425" s="58" t="s">
        <v>3679</v>
      </c>
      <c r="F425" s="58" t="s">
        <v>3692</v>
      </c>
      <c r="G425" s="152" t="s">
        <v>34</v>
      </c>
      <c r="H425" s="152">
        <v>3</v>
      </c>
      <c r="I425" s="153">
        <v>0.85</v>
      </c>
      <c r="J425" s="154">
        <v>44011</v>
      </c>
      <c r="K425" s="153" t="s">
        <v>20</v>
      </c>
      <c r="L425" s="152">
        <v>4.99</v>
      </c>
      <c r="M425" s="155"/>
    </row>
    <row r="426" spans="1:291" s="156" customFormat="1" ht="35" customHeight="1">
      <c r="A426" s="42">
        <f>ROW()-2</f>
        <v>424</v>
      </c>
      <c r="B426" s="152" t="s">
        <v>2732</v>
      </c>
      <c r="C426" s="152" t="s">
        <v>3576</v>
      </c>
      <c r="D426" s="58" t="s">
        <v>3693</v>
      </c>
      <c r="E426" s="58" t="s">
        <v>3282</v>
      </c>
      <c r="F426" s="58" t="s">
        <v>3058</v>
      </c>
      <c r="G426" s="152" t="s">
        <v>34</v>
      </c>
      <c r="H426" s="152">
        <v>1</v>
      </c>
      <c r="I426" s="153">
        <v>0.3</v>
      </c>
      <c r="J426" s="154">
        <v>44011</v>
      </c>
      <c r="K426" s="153" t="s">
        <v>20</v>
      </c>
      <c r="L426" s="152">
        <v>4.99</v>
      </c>
      <c r="M426" s="155"/>
    </row>
    <row r="427" spans="1:291" s="156" customFormat="1" ht="35" customHeight="1">
      <c r="A427" s="42">
        <f>ROW()-2</f>
        <v>425</v>
      </c>
      <c r="B427" s="152" t="s">
        <v>2732</v>
      </c>
      <c r="C427" s="152" t="s">
        <v>3576</v>
      </c>
      <c r="D427" s="58" t="s">
        <v>3663</v>
      </c>
      <c r="E427" s="58" t="s">
        <v>3664</v>
      </c>
      <c r="F427" s="58" t="s">
        <v>3661</v>
      </c>
      <c r="G427" s="152" t="s">
        <v>34</v>
      </c>
      <c r="H427" s="152">
        <v>1</v>
      </c>
      <c r="I427" s="153">
        <v>0.41</v>
      </c>
      <c r="J427" s="154">
        <v>44011</v>
      </c>
      <c r="K427" s="153" t="s">
        <v>20</v>
      </c>
      <c r="L427" s="152">
        <v>4.99</v>
      </c>
      <c r="M427" s="155"/>
    </row>
    <row r="428" spans="1:291" s="156" customFormat="1" ht="35" customHeight="1">
      <c r="A428" s="42">
        <f>ROW()-2</f>
        <v>426</v>
      </c>
      <c r="B428" s="152" t="s">
        <v>2732</v>
      </c>
      <c r="C428" s="152" t="s">
        <v>3576</v>
      </c>
      <c r="D428" s="58" t="s">
        <v>3694</v>
      </c>
      <c r="E428" s="58" t="s">
        <v>3679</v>
      </c>
      <c r="F428" s="58" t="s">
        <v>3695</v>
      </c>
      <c r="G428" s="152" t="s">
        <v>34</v>
      </c>
      <c r="H428" s="152">
        <v>1</v>
      </c>
      <c r="I428" s="153">
        <v>0.41</v>
      </c>
      <c r="J428" s="154">
        <v>44018</v>
      </c>
      <c r="K428" s="153" t="s">
        <v>20</v>
      </c>
      <c r="L428" s="152">
        <v>4.99</v>
      </c>
      <c r="M428" s="155"/>
    </row>
    <row r="429" spans="1:291" s="156" customFormat="1" ht="35" customHeight="1">
      <c r="A429" s="42">
        <f>ROW()-2</f>
        <v>427</v>
      </c>
      <c r="B429" s="152" t="s">
        <v>2732</v>
      </c>
      <c r="C429" s="152" t="s">
        <v>3576</v>
      </c>
      <c r="D429" s="58" t="s">
        <v>3696</v>
      </c>
      <c r="E429" s="58" t="s">
        <v>3697</v>
      </c>
      <c r="F429" s="58" t="s">
        <v>3698</v>
      </c>
      <c r="G429" s="152" t="s">
        <v>34</v>
      </c>
      <c r="H429" s="58">
        <v>1</v>
      </c>
      <c r="I429" s="157">
        <v>0.45</v>
      </c>
      <c r="J429" s="154">
        <v>44025</v>
      </c>
      <c r="K429" s="153" t="s">
        <v>20</v>
      </c>
      <c r="L429" s="152">
        <v>4.99</v>
      </c>
      <c r="M429" s="155"/>
    </row>
    <row r="430" spans="1:291" s="156" customFormat="1" ht="35" customHeight="1">
      <c r="A430" s="42">
        <f>ROW()-2</f>
        <v>428</v>
      </c>
      <c r="B430" s="152" t="s">
        <v>2732</v>
      </c>
      <c r="C430" s="152" t="s">
        <v>3576</v>
      </c>
      <c r="D430" s="58" t="s">
        <v>3699</v>
      </c>
      <c r="E430" s="58" t="s">
        <v>3699</v>
      </c>
      <c r="F430" s="58" t="s">
        <v>3264</v>
      </c>
      <c r="G430" s="152" t="s">
        <v>34</v>
      </c>
      <c r="H430" s="58">
        <v>3</v>
      </c>
      <c r="I430" s="157">
        <v>1.28</v>
      </c>
      <c r="J430" s="154">
        <v>44039</v>
      </c>
      <c r="K430" s="153" t="s">
        <v>20</v>
      </c>
      <c r="L430" s="152">
        <v>4.99</v>
      </c>
      <c r="M430" s="155"/>
    </row>
    <row r="431" spans="1:291" s="156" customFormat="1" ht="35" customHeight="1">
      <c r="A431" s="42">
        <f>ROW()-2</f>
        <v>429</v>
      </c>
      <c r="B431" s="152" t="s">
        <v>2732</v>
      </c>
      <c r="C431" s="152" t="s">
        <v>3576</v>
      </c>
      <c r="D431" s="58" t="s">
        <v>3700</v>
      </c>
      <c r="E431" s="58" t="s">
        <v>3701</v>
      </c>
      <c r="F431" s="58" t="s">
        <v>2948</v>
      </c>
      <c r="G431" s="152" t="s">
        <v>34</v>
      </c>
      <c r="H431" s="58">
        <v>3</v>
      </c>
      <c r="I431" s="157">
        <v>1.67</v>
      </c>
      <c r="J431" s="154">
        <v>44039</v>
      </c>
      <c r="K431" s="153" t="s">
        <v>20</v>
      </c>
      <c r="L431" s="152">
        <v>4.99</v>
      </c>
      <c r="M431" s="155"/>
    </row>
    <row r="432" spans="1:291" s="156" customFormat="1" ht="35" customHeight="1">
      <c r="A432" s="42">
        <f>ROW()-2</f>
        <v>430</v>
      </c>
      <c r="B432" s="152" t="s">
        <v>2732</v>
      </c>
      <c r="C432" s="152" t="s">
        <v>3576</v>
      </c>
      <c r="D432" s="58" t="s">
        <v>3702</v>
      </c>
      <c r="E432" s="58" t="s">
        <v>3703</v>
      </c>
      <c r="F432" s="58" t="s">
        <v>2948</v>
      </c>
      <c r="G432" s="152" t="s">
        <v>34</v>
      </c>
      <c r="H432" s="152">
        <v>5</v>
      </c>
      <c r="I432" s="157">
        <v>2.34</v>
      </c>
      <c r="J432" s="154">
        <v>44046</v>
      </c>
      <c r="K432" s="153" t="s">
        <v>20</v>
      </c>
      <c r="L432" s="152">
        <v>4.99</v>
      </c>
      <c r="M432" s="155"/>
    </row>
    <row r="433" spans="1:13" s="156" customFormat="1" ht="35" customHeight="1">
      <c r="A433" s="42">
        <f>ROW()-2</f>
        <v>431</v>
      </c>
      <c r="B433" s="152" t="s">
        <v>2732</v>
      </c>
      <c r="C433" s="152" t="s">
        <v>3576</v>
      </c>
      <c r="D433" s="58" t="s">
        <v>3704</v>
      </c>
      <c r="E433" s="58" t="s">
        <v>3705</v>
      </c>
      <c r="F433" s="58" t="s">
        <v>2948</v>
      </c>
      <c r="G433" s="152" t="s">
        <v>34</v>
      </c>
      <c r="H433" s="152">
        <v>4</v>
      </c>
      <c r="I433" s="157">
        <v>1.97</v>
      </c>
      <c r="J433" s="154">
        <v>44046</v>
      </c>
      <c r="K433" s="153" t="s">
        <v>20</v>
      </c>
      <c r="L433" s="152">
        <v>4.99</v>
      </c>
      <c r="M433" s="155"/>
    </row>
    <row r="434" spans="1:13" s="156" customFormat="1" ht="35" customHeight="1">
      <c r="A434" s="42">
        <f>ROW()-2</f>
        <v>432</v>
      </c>
      <c r="B434" s="152" t="s">
        <v>2732</v>
      </c>
      <c r="C434" s="152" t="s">
        <v>3576</v>
      </c>
      <c r="D434" s="58" t="s">
        <v>3706</v>
      </c>
      <c r="E434" s="58" t="s">
        <v>3508</v>
      </c>
      <c r="F434" s="58" t="s">
        <v>2948</v>
      </c>
      <c r="G434" s="152" t="s">
        <v>34</v>
      </c>
      <c r="H434" s="152">
        <v>2</v>
      </c>
      <c r="I434" s="157">
        <v>0.8</v>
      </c>
      <c r="J434" s="154">
        <v>44053</v>
      </c>
      <c r="K434" s="153" t="s">
        <v>20</v>
      </c>
      <c r="L434" s="152">
        <v>4.99</v>
      </c>
      <c r="M434" s="155"/>
    </row>
    <row r="435" spans="1:13" s="156" customFormat="1" ht="35" customHeight="1">
      <c r="A435" s="42">
        <f>ROW()-2</f>
        <v>433</v>
      </c>
      <c r="B435" s="152" t="s">
        <v>2732</v>
      </c>
      <c r="C435" s="152" t="s">
        <v>3576</v>
      </c>
      <c r="D435" s="58" t="s">
        <v>3707</v>
      </c>
      <c r="E435" s="58" t="s">
        <v>3708</v>
      </c>
      <c r="F435" s="58" t="s">
        <v>2948</v>
      </c>
      <c r="G435" s="152" t="s">
        <v>34</v>
      </c>
      <c r="H435" s="152">
        <v>3</v>
      </c>
      <c r="I435" s="157">
        <v>0.9</v>
      </c>
      <c r="J435" s="154">
        <v>44081</v>
      </c>
      <c r="K435" s="153" t="s">
        <v>20</v>
      </c>
      <c r="L435" s="152">
        <v>4.99</v>
      </c>
      <c r="M435" s="155"/>
    </row>
    <row r="436" spans="1:13" s="156" customFormat="1" ht="35" customHeight="1">
      <c r="A436" s="42">
        <f>ROW()-2</f>
        <v>434</v>
      </c>
      <c r="B436" s="152" t="s">
        <v>2732</v>
      </c>
      <c r="C436" s="152" t="s">
        <v>3576</v>
      </c>
      <c r="D436" s="58" t="s">
        <v>3709</v>
      </c>
      <c r="E436" s="58" t="s">
        <v>3710</v>
      </c>
      <c r="F436" s="58" t="s">
        <v>2948</v>
      </c>
      <c r="G436" s="152" t="s">
        <v>34</v>
      </c>
      <c r="H436" s="152">
        <v>3</v>
      </c>
      <c r="I436" s="157">
        <v>1.75</v>
      </c>
      <c r="J436" s="154">
        <v>44081</v>
      </c>
      <c r="K436" s="153" t="s">
        <v>20</v>
      </c>
      <c r="L436" s="152">
        <v>4.99</v>
      </c>
      <c r="M436" s="155"/>
    </row>
    <row r="437" spans="1:13" s="156" customFormat="1" ht="35" customHeight="1">
      <c r="A437" s="42">
        <f>ROW()-2</f>
        <v>435</v>
      </c>
      <c r="B437" s="152" t="s">
        <v>2732</v>
      </c>
      <c r="C437" s="152" t="s">
        <v>3576</v>
      </c>
      <c r="D437" s="58" t="s">
        <v>3713</v>
      </c>
      <c r="E437" s="58" t="s">
        <v>3714</v>
      </c>
      <c r="F437" s="58" t="s">
        <v>3715</v>
      </c>
      <c r="G437" s="152" t="s">
        <v>34</v>
      </c>
      <c r="H437" s="152">
        <v>66</v>
      </c>
      <c r="I437" s="153">
        <v>11</v>
      </c>
      <c r="J437" s="154">
        <v>44102</v>
      </c>
      <c r="K437" s="153" t="s">
        <v>20</v>
      </c>
      <c r="L437" s="152">
        <v>59.9</v>
      </c>
      <c r="M437" s="155"/>
    </row>
    <row r="438" spans="1:13" s="156" customFormat="1" ht="35" customHeight="1">
      <c r="A438" s="42">
        <f>ROW()-2</f>
        <v>436</v>
      </c>
      <c r="B438" s="152" t="s">
        <v>2732</v>
      </c>
      <c r="C438" s="152" t="s">
        <v>3576</v>
      </c>
      <c r="D438" s="58" t="s">
        <v>3640</v>
      </c>
      <c r="E438" s="58" t="s">
        <v>3641</v>
      </c>
      <c r="F438" s="58" t="s">
        <v>3203</v>
      </c>
      <c r="G438" s="152" t="s">
        <v>34</v>
      </c>
      <c r="H438" s="152">
        <v>1</v>
      </c>
      <c r="I438" s="153">
        <v>0.42</v>
      </c>
      <c r="J438" s="154">
        <v>44130</v>
      </c>
      <c r="K438" s="153" t="s">
        <v>20</v>
      </c>
      <c r="L438" s="152">
        <v>4.99</v>
      </c>
      <c r="M438" s="155"/>
    </row>
    <row r="439" spans="1:13" s="156" customFormat="1" ht="35" customHeight="1">
      <c r="A439" s="42">
        <f>ROW()-2</f>
        <v>437</v>
      </c>
      <c r="B439" s="152" t="s">
        <v>2732</v>
      </c>
      <c r="C439" s="152" t="s">
        <v>3576</v>
      </c>
      <c r="D439" s="58" t="s">
        <v>3716</v>
      </c>
      <c r="E439" s="58" t="s">
        <v>3717</v>
      </c>
      <c r="F439" s="58" t="s">
        <v>3647</v>
      </c>
      <c r="G439" s="152" t="s">
        <v>34</v>
      </c>
      <c r="H439" s="152">
        <v>1</v>
      </c>
      <c r="I439" s="153">
        <v>0.49</v>
      </c>
      <c r="J439" s="154">
        <v>44137</v>
      </c>
      <c r="K439" s="153" t="s">
        <v>20</v>
      </c>
      <c r="L439" s="152">
        <v>4.99</v>
      </c>
      <c r="M439" s="155"/>
    </row>
    <row r="440" spans="1:13" s="156" customFormat="1" ht="35" customHeight="1">
      <c r="A440" s="42">
        <f>ROW()-2</f>
        <v>438</v>
      </c>
      <c r="B440" s="152" t="s">
        <v>2732</v>
      </c>
      <c r="C440" s="152" t="s">
        <v>3576</v>
      </c>
      <c r="D440" s="58" t="s">
        <v>3718</v>
      </c>
      <c r="E440" s="58" t="s">
        <v>3719</v>
      </c>
      <c r="F440" s="58" t="s">
        <v>3038</v>
      </c>
      <c r="G440" s="152" t="s">
        <v>34</v>
      </c>
      <c r="H440" s="152">
        <v>1</v>
      </c>
      <c r="I440" s="153">
        <v>0.43</v>
      </c>
      <c r="J440" s="154">
        <v>44137</v>
      </c>
      <c r="K440" s="153" t="s">
        <v>20</v>
      </c>
      <c r="L440" s="152">
        <v>4.99</v>
      </c>
      <c r="M440" s="155"/>
    </row>
    <row r="441" spans="1:13" s="156" customFormat="1" ht="35" customHeight="1">
      <c r="A441" s="42">
        <f>ROW()-2</f>
        <v>439</v>
      </c>
      <c r="B441" s="152" t="s">
        <v>2732</v>
      </c>
      <c r="C441" s="152" t="s">
        <v>3576</v>
      </c>
      <c r="D441" s="58" t="s">
        <v>3577</v>
      </c>
      <c r="E441" s="58" t="s">
        <v>3578</v>
      </c>
      <c r="F441" s="58" t="s">
        <v>3579</v>
      </c>
      <c r="G441" s="152" t="s">
        <v>34</v>
      </c>
      <c r="H441" s="152">
        <v>1</v>
      </c>
      <c r="I441" s="153">
        <v>0.38583333333333297</v>
      </c>
      <c r="J441" s="154">
        <v>44144</v>
      </c>
      <c r="K441" s="153" t="s">
        <v>20</v>
      </c>
      <c r="L441" s="152">
        <v>4.99</v>
      </c>
      <c r="M441" s="155"/>
    </row>
    <row r="442" spans="1:13" s="156" customFormat="1" ht="35" customHeight="1">
      <c r="A442" s="42">
        <f>ROW()-2</f>
        <v>440</v>
      </c>
      <c r="B442" s="152" t="s">
        <v>2732</v>
      </c>
      <c r="C442" s="152" t="s">
        <v>3576</v>
      </c>
      <c r="D442" s="58" t="s">
        <v>3587</v>
      </c>
      <c r="E442" s="58" t="s">
        <v>3588</v>
      </c>
      <c r="F442" s="58" t="s">
        <v>3589</v>
      </c>
      <c r="G442" s="152" t="s">
        <v>34</v>
      </c>
      <c r="H442" s="152">
        <v>1</v>
      </c>
      <c r="I442" s="153">
        <v>0.38</v>
      </c>
      <c r="J442" s="154">
        <v>44144</v>
      </c>
      <c r="K442" s="153" t="s">
        <v>20</v>
      </c>
      <c r="L442" s="152">
        <v>4.99</v>
      </c>
      <c r="M442" s="155"/>
    </row>
    <row r="443" spans="1:13" s="156" customFormat="1" ht="35" customHeight="1">
      <c r="A443" s="42">
        <f>ROW()-2</f>
        <v>441</v>
      </c>
      <c r="B443" s="152" t="s">
        <v>2732</v>
      </c>
      <c r="C443" s="152" t="s">
        <v>3576</v>
      </c>
      <c r="D443" s="58" t="s">
        <v>3590</v>
      </c>
      <c r="E443" s="58" t="s">
        <v>3591</v>
      </c>
      <c r="F443" s="58" t="s">
        <v>2739</v>
      </c>
      <c r="G443" s="152" t="s">
        <v>34</v>
      </c>
      <c r="H443" s="152">
        <v>1</v>
      </c>
      <c r="I443" s="153">
        <v>0.46</v>
      </c>
      <c r="J443" s="154">
        <v>44144</v>
      </c>
      <c r="K443" s="153" t="s">
        <v>20</v>
      </c>
      <c r="L443" s="152">
        <v>4.99</v>
      </c>
      <c r="M443" s="155"/>
    </row>
    <row r="444" spans="1:13" s="156" customFormat="1" ht="35" customHeight="1">
      <c r="A444" s="42">
        <f>ROW()-2</f>
        <v>442</v>
      </c>
      <c r="B444" s="152" t="s">
        <v>2732</v>
      </c>
      <c r="C444" s="152" t="s">
        <v>3576</v>
      </c>
      <c r="D444" s="58" t="s">
        <v>3592</v>
      </c>
      <c r="E444" s="58" t="s">
        <v>3593</v>
      </c>
      <c r="F444" s="58" t="s">
        <v>2739</v>
      </c>
      <c r="G444" s="152" t="s">
        <v>34</v>
      </c>
      <c r="H444" s="152">
        <v>1</v>
      </c>
      <c r="I444" s="153">
        <v>0.38</v>
      </c>
      <c r="J444" s="154">
        <v>44144</v>
      </c>
      <c r="K444" s="153" t="s">
        <v>20</v>
      </c>
      <c r="L444" s="152">
        <v>4.99</v>
      </c>
      <c r="M444" s="155"/>
    </row>
    <row r="445" spans="1:13" s="156" customFormat="1" ht="35" customHeight="1">
      <c r="A445" s="42">
        <f>ROW()-2</f>
        <v>443</v>
      </c>
      <c r="B445" s="152" t="s">
        <v>2732</v>
      </c>
      <c r="C445" s="152" t="s">
        <v>3576</v>
      </c>
      <c r="D445" s="58" t="s">
        <v>3594</v>
      </c>
      <c r="E445" s="58" t="s">
        <v>3595</v>
      </c>
      <c r="F445" s="58" t="s">
        <v>3589</v>
      </c>
      <c r="G445" s="152" t="s">
        <v>34</v>
      </c>
      <c r="H445" s="152">
        <v>1</v>
      </c>
      <c r="I445" s="153">
        <v>0.53</v>
      </c>
      <c r="J445" s="154">
        <v>44144</v>
      </c>
      <c r="K445" s="153" t="s">
        <v>20</v>
      </c>
      <c r="L445" s="152">
        <v>4.99</v>
      </c>
      <c r="M445" s="155"/>
    </row>
    <row r="446" spans="1:13" s="156" customFormat="1" ht="35" customHeight="1">
      <c r="A446" s="42">
        <f>ROW()-2</f>
        <v>444</v>
      </c>
      <c r="B446" s="152" t="s">
        <v>2732</v>
      </c>
      <c r="C446" s="152" t="s">
        <v>3576</v>
      </c>
      <c r="D446" s="58" t="s">
        <v>3596</v>
      </c>
      <c r="E446" s="58" t="s">
        <v>3597</v>
      </c>
      <c r="F446" s="58" t="s">
        <v>3579</v>
      </c>
      <c r="G446" s="152" t="s">
        <v>34</v>
      </c>
      <c r="H446" s="152">
        <v>1</v>
      </c>
      <c r="I446" s="153">
        <v>0.42</v>
      </c>
      <c r="J446" s="154">
        <v>44144</v>
      </c>
      <c r="K446" s="153" t="s">
        <v>20</v>
      </c>
      <c r="L446" s="152">
        <v>4.99</v>
      </c>
      <c r="M446" s="155"/>
    </row>
    <row r="447" spans="1:13" s="156" customFormat="1" ht="35" customHeight="1">
      <c r="A447" s="42">
        <f>ROW()-2</f>
        <v>445</v>
      </c>
      <c r="B447" s="152" t="s">
        <v>2732</v>
      </c>
      <c r="C447" s="152" t="s">
        <v>3576</v>
      </c>
      <c r="D447" s="58" t="s">
        <v>3598</v>
      </c>
      <c r="E447" s="58" t="s">
        <v>3599</v>
      </c>
      <c r="F447" s="58" t="s">
        <v>2739</v>
      </c>
      <c r="G447" s="152" t="s">
        <v>34</v>
      </c>
      <c r="H447" s="152">
        <v>1</v>
      </c>
      <c r="I447" s="153">
        <v>0.4</v>
      </c>
      <c r="J447" s="154">
        <v>44144</v>
      </c>
      <c r="K447" s="153" t="s">
        <v>20</v>
      </c>
      <c r="L447" s="152">
        <v>4.99</v>
      </c>
      <c r="M447" s="155"/>
    </row>
    <row r="448" spans="1:13" s="156" customFormat="1" ht="35" customHeight="1">
      <c r="A448" s="42">
        <f>ROW()-2</f>
        <v>446</v>
      </c>
      <c r="B448" s="152" t="s">
        <v>2732</v>
      </c>
      <c r="C448" s="152" t="s">
        <v>3576</v>
      </c>
      <c r="D448" s="58" t="s">
        <v>3600</v>
      </c>
      <c r="E448" s="58" t="s">
        <v>3601</v>
      </c>
      <c r="F448" s="58" t="s">
        <v>3589</v>
      </c>
      <c r="G448" s="152" t="s">
        <v>34</v>
      </c>
      <c r="H448" s="152">
        <v>1</v>
      </c>
      <c r="I448" s="153">
        <v>0.45</v>
      </c>
      <c r="J448" s="154">
        <v>44144</v>
      </c>
      <c r="K448" s="153" t="s">
        <v>20</v>
      </c>
      <c r="L448" s="152">
        <v>4.99</v>
      </c>
      <c r="M448" s="155"/>
    </row>
    <row r="449" spans="1:291" s="156" customFormat="1" ht="35" customHeight="1">
      <c r="A449" s="42">
        <f>ROW()-2</f>
        <v>447</v>
      </c>
      <c r="B449" s="152" t="s">
        <v>2732</v>
      </c>
      <c r="C449" s="152" t="s">
        <v>3576</v>
      </c>
      <c r="D449" s="58" t="s">
        <v>3602</v>
      </c>
      <c r="E449" s="58" t="s">
        <v>3603</v>
      </c>
      <c r="F449" s="58" t="s">
        <v>2739</v>
      </c>
      <c r="G449" s="152" t="s">
        <v>34</v>
      </c>
      <c r="H449" s="152">
        <v>1</v>
      </c>
      <c r="I449" s="153">
        <v>0.47</v>
      </c>
      <c r="J449" s="154">
        <v>44144</v>
      </c>
      <c r="K449" s="153" t="s">
        <v>20</v>
      </c>
      <c r="L449" s="152">
        <v>4.99</v>
      </c>
      <c r="M449" s="155"/>
    </row>
    <row r="450" spans="1:291" s="156" customFormat="1" ht="35" customHeight="1">
      <c r="A450" s="42">
        <f>ROW()-2</f>
        <v>448</v>
      </c>
      <c r="B450" s="152" t="s">
        <v>2732</v>
      </c>
      <c r="C450" s="152" t="s">
        <v>3576</v>
      </c>
      <c r="D450" s="58" t="s">
        <v>3618</v>
      </c>
      <c r="E450" s="58" t="s">
        <v>3619</v>
      </c>
      <c r="F450" s="58" t="s">
        <v>3589</v>
      </c>
      <c r="G450" s="152" t="s">
        <v>34</v>
      </c>
      <c r="H450" s="152">
        <v>1</v>
      </c>
      <c r="I450" s="153">
        <v>0.49</v>
      </c>
      <c r="J450" s="154">
        <v>44144</v>
      </c>
      <c r="K450" s="153" t="s">
        <v>20</v>
      </c>
      <c r="L450" s="152">
        <v>4.99</v>
      </c>
    </row>
    <row r="451" spans="1:291" s="156" customFormat="1" ht="35" customHeight="1">
      <c r="A451" s="42">
        <f>ROW()-2</f>
        <v>449</v>
      </c>
      <c r="B451" s="152" t="s">
        <v>2732</v>
      </c>
      <c r="C451" s="152" t="s">
        <v>3576</v>
      </c>
      <c r="D451" s="58" t="s">
        <v>3637</v>
      </c>
      <c r="E451" s="58" t="s">
        <v>3638</v>
      </c>
      <c r="F451" s="58" t="s">
        <v>3639</v>
      </c>
      <c r="G451" s="152" t="s">
        <v>34</v>
      </c>
      <c r="H451" s="152">
        <v>1</v>
      </c>
      <c r="I451" s="153">
        <v>0.45500000000000002</v>
      </c>
      <c r="J451" s="154">
        <v>44148</v>
      </c>
      <c r="K451" s="153" t="s">
        <v>20</v>
      </c>
      <c r="L451" s="152">
        <v>4.99</v>
      </c>
      <c r="M451" s="155"/>
    </row>
    <row r="452" spans="1:291" s="156" customFormat="1" ht="35" customHeight="1">
      <c r="A452" s="42">
        <f>ROW()-2</f>
        <v>450</v>
      </c>
      <c r="B452" s="152" t="s">
        <v>2732</v>
      </c>
      <c r="C452" s="152" t="s">
        <v>3576</v>
      </c>
      <c r="D452" s="58" t="s">
        <v>3604</v>
      </c>
      <c r="E452" s="58" t="s">
        <v>3605</v>
      </c>
      <c r="F452" s="58" t="s">
        <v>3380</v>
      </c>
      <c r="G452" s="152" t="s">
        <v>34</v>
      </c>
      <c r="H452" s="152">
        <v>1</v>
      </c>
      <c r="I452" s="153">
        <v>0.40972222222222199</v>
      </c>
      <c r="J452" s="154">
        <v>44151</v>
      </c>
      <c r="K452" s="153" t="s">
        <v>20</v>
      </c>
      <c r="L452" s="152">
        <v>4.99</v>
      </c>
      <c r="M452" s="155"/>
    </row>
    <row r="453" spans="1:291" s="156" customFormat="1" ht="35" customHeight="1">
      <c r="A453" s="42">
        <f>ROW()-2</f>
        <v>451</v>
      </c>
      <c r="B453" s="152" t="s">
        <v>2732</v>
      </c>
      <c r="C453" s="152" t="s">
        <v>3576</v>
      </c>
      <c r="D453" s="58" t="s">
        <v>3606</v>
      </c>
      <c r="E453" s="58" t="s">
        <v>3607</v>
      </c>
      <c r="F453" s="58" t="s">
        <v>3343</v>
      </c>
      <c r="G453" s="152" t="s">
        <v>34</v>
      </c>
      <c r="H453" s="152">
        <v>1</v>
      </c>
      <c r="I453" s="153">
        <v>0.89305555555555605</v>
      </c>
      <c r="J453" s="154">
        <v>44151</v>
      </c>
      <c r="K453" s="153" t="s">
        <v>20</v>
      </c>
      <c r="L453" s="152">
        <v>4.99</v>
      </c>
      <c r="M453" s="155"/>
    </row>
    <row r="454" spans="1:291" s="156" customFormat="1" ht="35" customHeight="1">
      <c r="A454" s="42">
        <f>ROW()-2</f>
        <v>452</v>
      </c>
      <c r="B454" s="152" t="s">
        <v>2732</v>
      </c>
      <c r="C454" s="152" t="s">
        <v>3576</v>
      </c>
      <c r="D454" s="58" t="s">
        <v>3608</v>
      </c>
      <c r="E454" s="58" t="s">
        <v>3609</v>
      </c>
      <c r="F454" s="58" t="s">
        <v>3610</v>
      </c>
      <c r="G454" s="152" t="s">
        <v>34</v>
      </c>
      <c r="H454" s="152">
        <v>1</v>
      </c>
      <c r="I454" s="153">
        <v>0.39972222222222198</v>
      </c>
      <c r="J454" s="154">
        <v>44151</v>
      </c>
      <c r="K454" s="153" t="s">
        <v>20</v>
      </c>
      <c r="L454" s="152">
        <v>4.99</v>
      </c>
      <c r="M454" s="155"/>
    </row>
    <row r="455" spans="1:291" s="156" customFormat="1" ht="35" customHeight="1">
      <c r="A455" s="42">
        <f>ROW()-2</f>
        <v>453</v>
      </c>
      <c r="B455" s="152" t="s">
        <v>2732</v>
      </c>
      <c r="C455" s="152" t="s">
        <v>3576</v>
      </c>
      <c r="D455" s="58" t="s">
        <v>3611</v>
      </c>
      <c r="E455" s="58" t="s">
        <v>3612</v>
      </c>
      <c r="F455" s="58" t="s">
        <v>3343</v>
      </c>
      <c r="G455" s="152" t="s">
        <v>34</v>
      </c>
      <c r="H455" s="152">
        <v>1</v>
      </c>
      <c r="I455" s="153">
        <v>0.4975</v>
      </c>
      <c r="J455" s="154">
        <v>44151</v>
      </c>
      <c r="K455" s="153" t="s">
        <v>20</v>
      </c>
      <c r="L455" s="152">
        <v>4.99</v>
      </c>
      <c r="M455" s="155"/>
    </row>
    <row r="456" spans="1:291" s="156" customFormat="1" ht="35" customHeight="1">
      <c r="A456" s="42">
        <f>ROW()-2</f>
        <v>454</v>
      </c>
      <c r="B456" s="152" t="s">
        <v>2732</v>
      </c>
      <c r="C456" s="152" t="s">
        <v>3576</v>
      </c>
      <c r="D456" s="58" t="s">
        <v>3620</v>
      </c>
      <c r="E456" s="58" t="s">
        <v>3621</v>
      </c>
      <c r="F456" s="58" t="s">
        <v>3579</v>
      </c>
      <c r="G456" s="152" t="s">
        <v>34</v>
      </c>
      <c r="H456" s="152">
        <v>1</v>
      </c>
      <c r="I456" s="153">
        <v>0.40972222222222199</v>
      </c>
      <c r="J456" s="154">
        <v>44151</v>
      </c>
      <c r="K456" s="153" t="s">
        <v>20</v>
      </c>
      <c r="L456" s="152">
        <v>4.99</v>
      </c>
      <c r="M456" s="155"/>
    </row>
    <row r="457" spans="1:291" s="156" customFormat="1" ht="35" customHeight="1">
      <c r="A457" s="42">
        <f>ROW()-2</f>
        <v>455</v>
      </c>
      <c r="B457" s="152" t="s">
        <v>2732</v>
      </c>
      <c r="C457" s="152" t="s">
        <v>3576</v>
      </c>
      <c r="D457" s="58" t="s">
        <v>3622</v>
      </c>
      <c r="E457" s="58" t="s">
        <v>3623</v>
      </c>
      <c r="F457" s="58" t="s">
        <v>3343</v>
      </c>
      <c r="G457" s="152" t="s">
        <v>34</v>
      </c>
      <c r="H457" s="152">
        <v>1</v>
      </c>
      <c r="I457" s="153">
        <v>0.75916666666666699</v>
      </c>
      <c r="J457" s="154">
        <v>44151</v>
      </c>
      <c r="K457" s="153" t="s">
        <v>20</v>
      </c>
      <c r="L457" s="152">
        <v>4.99</v>
      </c>
      <c r="M457" s="155"/>
    </row>
    <row r="458" spans="1:291" ht="35" customHeight="1">
      <c r="A458" s="42">
        <f>ROW()-2</f>
        <v>456</v>
      </c>
      <c r="B458" s="152" t="s">
        <v>2732</v>
      </c>
      <c r="C458" s="152" t="s">
        <v>3576</v>
      </c>
      <c r="D458" s="58" t="s">
        <v>3624</v>
      </c>
      <c r="E458" s="58" t="s">
        <v>3623</v>
      </c>
      <c r="F458" s="58" t="s">
        <v>3343</v>
      </c>
      <c r="G458" s="152" t="s">
        <v>34</v>
      </c>
      <c r="H458" s="152">
        <v>1</v>
      </c>
      <c r="I458" s="153">
        <v>0.81777777777777805</v>
      </c>
      <c r="J458" s="154">
        <v>44151</v>
      </c>
      <c r="K458" s="153" t="s">
        <v>20</v>
      </c>
      <c r="L458" s="152">
        <v>4.99</v>
      </c>
      <c r="M458" s="155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  <c r="AA458" s="156"/>
      <c r="AB458" s="156"/>
      <c r="AC458" s="156"/>
      <c r="AD458" s="156"/>
      <c r="AE458" s="156"/>
      <c r="AF458" s="156"/>
      <c r="AG458" s="156"/>
      <c r="AH458" s="156"/>
      <c r="AI458" s="156"/>
      <c r="AJ458" s="156"/>
      <c r="AK458" s="156"/>
      <c r="AL458" s="156"/>
      <c r="AM458" s="156"/>
      <c r="AN458" s="156"/>
      <c r="AO458" s="156"/>
      <c r="AP458" s="156"/>
      <c r="AQ458" s="156"/>
      <c r="AR458" s="156"/>
      <c r="AS458" s="156"/>
      <c r="AT458" s="156"/>
      <c r="AU458" s="156"/>
      <c r="AV458" s="156"/>
      <c r="AW458" s="156"/>
      <c r="AX458" s="156"/>
      <c r="AY458" s="156"/>
      <c r="AZ458" s="156"/>
      <c r="BA458" s="156"/>
      <c r="BB458" s="156"/>
      <c r="BC458" s="156"/>
      <c r="BD458" s="156"/>
      <c r="BE458" s="156"/>
      <c r="BF458" s="156"/>
      <c r="BG458" s="156"/>
      <c r="BH458" s="156"/>
      <c r="BI458" s="156"/>
      <c r="BJ458" s="156"/>
      <c r="BK458" s="156"/>
      <c r="BL458" s="156"/>
      <c r="BM458" s="156"/>
      <c r="BN458" s="156"/>
      <c r="BO458" s="156"/>
      <c r="BP458" s="156"/>
      <c r="BQ458" s="156"/>
      <c r="BR458" s="156"/>
      <c r="BS458" s="156"/>
      <c r="BT458" s="156"/>
      <c r="BU458" s="156"/>
      <c r="BV458" s="156"/>
      <c r="BW458" s="156"/>
      <c r="BX458" s="156"/>
      <c r="BY458" s="156"/>
      <c r="BZ458" s="156"/>
      <c r="CA458" s="156"/>
      <c r="CB458" s="156"/>
      <c r="CC458" s="156"/>
      <c r="CD458" s="156"/>
      <c r="CE458" s="156"/>
      <c r="CF458" s="156"/>
      <c r="CG458" s="156"/>
      <c r="CH458" s="156"/>
      <c r="CI458" s="156"/>
      <c r="CJ458" s="156"/>
      <c r="CK458" s="156"/>
      <c r="CL458" s="156"/>
      <c r="CM458" s="156"/>
      <c r="CN458" s="156"/>
      <c r="CO458" s="156"/>
      <c r="CP458" s="156"/>
      <c r="CQ458" s="156"/>
      <c r="CR458" s="156"/>
      <c r="CS458" s="156"/>
      <c r="CT458" s="156"/>
      <c r="CU458" s="156"/>
      <c r="CV458" s="156"/>
      <c r="CW458" s="156"/>
      <c r="CX458" s="156"/>
      <c r="CY458" s="156"/>
      <c r="CZ458" s="156"/>
      <c r="DA458" s="156"/>
      <c r="DB458" s="156"/>
      <c r="DC458" s="156"/>
      <c r="DD458" s="156"/>
      <c r="DE458" s="156"/>
      <c r="DF458" s="156"/>
      <c r="DG458" s="156"/>
      <c r="DH458" s="156"/>
      <c r="DI458" s="156"/>
      <c r="DJ458" s="156"/>
      <c r="DK458" s="156"/>
      <c r="DL458" s="156"/>
      <c r="DM458" s="156"/>
      <c r="DN458" s="156"/>
      <c r="DO458" s="156"/>
      <c r="DP458" s="156"/>
      <c r="DQ458" s="156"/>
      <c r="DR458" s="156"/>
      <c r="DS458" s="156"/>
      <c r="DT458" s="156"/>
      <c r="DU458" s="156"/>
      <c r="DV458" s="156"/>
      <c r="DW458" s="156"/>
      <c r="DX458" s="156"/>
      <c r="DY458" s="156"/>
      <c r="DZ458" s="156"/>
      <c r="EA458" s="156"/>
      <c r="EB458" s="156"/>
      <c r="EC458" s="156"/>
      <c r="ED458" s="156"/>
      <c r="EE458" s="156"/>
      <c r="EF458" s="156"/>
      <c r="EG458" s="156"/>
      <c r="EH458" s="156"/>
      <c r="EI458" s="156"/>
      <c r="EJ458" s="156"/>
      <c r="EK458" s="156"/>
      <c r="EL458" s="156"/>
      <c r="EM458" s="156"/>
      <c r="EN458" s="156"/>
      <c r="EO458" s="156"/>
      <c r="EP458" s="156"/>
      <c r="EQ458" s="156"/>
      <c r="ER458" s="156"/>
      <c r="ES458" s="156"/>
      <c r="ET458" s="156"/>
      <c r="EU458" s="156"/>
      <c r="EV458" s="156"/>
      <c r="EW458" s="156"/>
      <c r="EX458" s="156"/>
      <c r="EY458" s="156"/>
      <c r="EZ458" s="156"/>
      <c r="FA458" s="156"/>
      <c r="FB458" s="156"/>
      <c r="FC458" s="156"/>
      <c r="FD458" s="156"/>
      <c r="FE458" s="156"/>
      <c r="FF458" s="156"/>
      <c r="FG458" s="156"/>
      <c r="FH458" s="156"/>
      <c r="FI458" s="156"/>
      <c r="FJ458" s="156"/>
      <c r="FK458" s="156"/>
      <c r="FL458" s="156"/>
      <c r="FM458" s="156"/>
      <c r="FN458" s="156"/>
      <c r="FO458" s="156"/>
      <c r="FP458" s="156"/>
      <c r="FQ458" s="156"/>
      <c r="FR458" s="156"/>
      <c r="FS458" s="156"/>
      <c r="FT458" s="156"/>
      <c r="FU458" s="156"/>
      <c r="FV458" s="156"/>
      <c r="FW458" s="156"/>
      <c r="FX458" s="156"/>
      <c r="FY458" s="156"/>
      <c r="FZ458" s="156"/>
      <c r="GA458" s="156"/>
      <c r="GB458" s="156"/>
      <c r="GC458" s="156"/>
      <c r="GD458" s="156"/>
      <c r="GE458" s="156"/>
      <c r="GF458" s="156"/>
      <c r="GG458" s="156"/>
      <c r="GH458" s="156"/>
      <c r="GI458" s="156"/>
      <c r="GJ458" s="156"/>
      <c r="GK458" s="156"/>
      <c r="GL458" s="156"/>
      <c r="GM458" s="156"/>
      <c r="GN458" s="156"/>
      <c r="GO458" s="156"/>
      <c r="GP458" s="156"/>
      <c r="GQ458" s="156"/>
      <c r="GR458" s="156"/>
      <c r="GS458" s="156"/>
      <c r="GT458" s="156"/>
      <c r="GU458" s="156"/>
      <c r="GV458" s="156"/>
      <c r="GW458" s="156"/>
      <c r="GX458" s="156"/>
      <c r="GY458" s="156"/>
      <c r="GZ458" s="156"/>
      <c r="HA458" s="156"/>
      <c r="HB458" s="156"/>
      <c r="HC458" s="156"/>
      <c r="HD458" s="156"/>
      <c r="HE458" s="156"/>
      <c r="HF458" s="156"/>
      <c r="HG458" s="156"/>
      <c r="HH458" s="156"/>
      <c r="HI458" s="156"/>
      <c r="HJ458" s="156"/>
      <c r="HK458" s="156"/>
      <c r="HL458" s="156"/>
      <c r="HM458" s="156"/>
      <c r="HN458" s="156"/>
      <c r="HO458" s="156"/>
      <c r="HP458" s="156"/>
      <c r="HQ458" s="156"/>
      <c r="HR458" s="156"/>
      <c r="HS458" s="156"/>
      <c r="HT458" s="156"/>
      <c r="HU458" s="156"/>
      <c r="HV458" s="156"/>
      <c r="HW458" s="156"/>
      <c r="HX458" s="156"/>
      <c r="HY458" s="156"/>
      <c r="HZ458" s="156"/>
      <c r="IA458" s="156"/>
      <c r="IB458" s="156"/>
      <c r="IC458" s="156"/>
      <c r="ID458" s="156"/>
      <c r="IE458" s="156"/>
      <c r="IF458" s="156"/>
      <c r="IG458" s="156"/>
      <c r="IH458" s="156"/>
      <c r="II458" s="156"/>
      <c r="IJ458" s="156"/>
      <c r="IK458" s="156"/>
      <c r="IL458" s="156"/>
      <c r="IM458" s="156"/>
      <c r="IN458" s="156"/>
      <c r="IO458" s="156"/>
      <c r="IP458" s="156"/>
      <c r="IQ458" s="156"/>
      <c r="IR458" s="156"/>
      <c r="IS458" s="156"/>
      <c r="IT458" s="156"/>
      <c r="IU458" s="156"/>
      <c r="IV458" s="156"/>
      <c r="IW458" s="156"/>
      <c r="IX458" s="156"/>
      <c r="IY458" s="156"/>
      <c r="IZ458" s="156"/>
      <c r="JA458" s="156"/>
      <c r="JB458" s="156"/>
      <c r="JC458" s="156"/>
      <c r="JD458" s="156"/>
      <c r="JE458" s="156"/>
      <c r="JF458" s="156"/>
      <c r="JG458" s="156"/>
      <c r="JH458" s="156"/>
      <c r="JI458" s="156"/>
      <c r="JJ458" s="156"/>
      <c r="JK458" s="156"/>
      <c r="JL458" s="156"/>
      <c r="JM458" s="156"/>
      <c r="JN458" s="156"/>
      <c r="JO458" s="156"/>
      <c r="JP458" s="156"/>
      <c r="JQ458" s="156"/>
      <c r="JR458" s="156"/>
      <c r="JS458" s="156"/>
      <c r="JT458" s="156"/>
      <c r="JU458" s="156"/>
      <c r="JV458" s="156"/>
      <c r="JW458" s="156"/>
      <c r="JX458" s="156"/>
      <c r="JY458" s="156"/>
      <c r="JZ458" s="156"/>
      <c r="KA458" s="156"/>
      <c r="KB458" s="156"/>
      <c r="KC458" s="156"/>
      <c r="KD458" s="156"/>
      <c r="KE458" s="156"/>
    </row>
    <row r="459" spans="1:291" ht="35" customHeight="1">
      <c r="A459" s="42">
        <f>ROW()-2</f>
        <v>457</v>
      </c>
      <c r="B459" s="152" t="s">
        <v>2732</v>
      </c>
      <c r="C459" s="152" t="s">
        <v>3576</v>
      </c>
      <c r="D459" s="58" t="s">
        <v>3625</v>
      </c>
      <c r="E459" s="58" t="s">
        <v>3626</v>
      </c>
      <c r="F459" s="58" t="s">
        <v>3627</v>
      </c>
      <c r="G459" s="152" t="s">
        <v>34</v>
      </c>
      <c r="H459" s="152">
        <v>1</v>
      </c>
      <c r="I459" s="153">
        <v>0.49555555555555603</v>
      </c>
      <c r="J459" s="154">
        <v>44151</v>
      </c>
      <c r="K459" s="153" t="s">
        <v>20</v>
      </c>
      <c r="L459" s="152">
        <v>4.99</v>
      </c>
      <c r="M459" s="155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  <c r="AA459" s="156"/>
      <c r="AB459" s="156"/>
      <c r="AC459" s="156"/>
      <c r="AD459" s="156"/>
      <c r="AE459" s="156"/>
      <c r="AF459" s="156"/>
      <c r="AG459" s="156"/>
      <c r="AH459" s="156"/>
      <c r="AI459" s="156"/>
      <c r="AJ459" s="156"/>
      <c r="AK459" s="156"/>
      <c r="AL459" s="156"/>
      <c r="AM459" s="156"/>
      <c r="AN459" s="156"/>
      <c r="AO459" s="156"/>
      <c r="AP459" s="156"/>
      <c r="AQ459" s="156"/>
      <c r="AR459" s="156"/>
      <c r="AS459" s="156"/>
      <c r="AT459" s="156"/>
      <c r="AU459" s="156"/>
      <c r="AV459" s="156"/>
      <c r="AW459" s="156"/>
      <c r="AX459" s="156"/>
      <c r="AY459" s="156"/>
      <c r="AZ459" s="156"/>
      <c r="BA459" s="156"/>
      <c r="BB459" s="156"/>
      <c r="BC459" s="156"/>
      <c r="BD459" s="156"/>
      <c r="BE459" s="156"/>
      <c r="BF459" s="156"/>
      <c r="BG459" s="156"/>
      <c r="BH459" s="156"/>
      <c r="BI459" s="156"/>
      <c r="BJ459" s="156"/>
      <c r="BK459" s="156"/>
      <c r="BL459" s="156"/>
      <c r="BM459" s="156"/>
      <c r="BN459" s="156"/>
      <c r="BO459" s="156"/>
      <c r="BP459" s="156"/>
      <c r="BQ459" s="156"/>
      <c r="BR459" s="156"/>
      <c r="BS459" s="156"/>
      <c r="BT459" s="156"/>
      <c r="BU459" s="156"/>
      <c r="BV459" s="156"/>
      <c r="BW459" s="156"/>
      <c r="BX459" s="156"/>
      <c r="BY459" s="156"/>
      <c r="BZ459" s="156"/>
      <c r="CA459" s="156"/>
      <c r="CB459" s="156"/>
      <c r="CC459" s="156"/>
      <c r="CD459" s="156"/>
      <c r="CE459" s="156"/>
      <c r="CF459" s="156"/>
      <c r="CG459" s="156"/>
      <c r="CH459" s="156"/>
      <c r="CI459" s="156"/>
      <c r="CJ459" s="156"/>
      <c r="CK459" s="156"/>
      <c r="CL459" s="156"/>
      <c r="CM459" s="156"/>
      <c r="CN459" s="156"/>
      <c r="CO459" s="156"/>
      <c r="CP459" s="156"/>
      <c r="CQ459" s="156"/>
      <c r="CR459" s="156"/>
      <c r="CS459" s="156"/>
      <c r="CT459" s="156"/>
      <c r="CU459" s="156"/>
      <c r="CV459" s="156"/>
      <c r="CW459" s="156"/>
      <c r="CX459" s="156"/>
      <c r="CY459" s="156"/>
      <c r="CZ459" s="156"/>
      <c r="DA459" s="156"/>
      <c r="DB459" s="156"/>
      <c r="DC459" s="156"/>
      <c r="DD459" s="156"/>
      <c r="DE459" s="156"/>
      <c r="DF459" s="156"/>
      <c r="DG459" s="156"/>
      <c r="DH459" s="156"/>
      <c r="DI459" s="156"/>
      <c r="DJ459" s="156"/>
      <c r="DK459" s="156"/>
      <c r="DL459" s="156"/>
      <c r="DM459" s="156"/>
      <c r="DN459" s="156"/>
      <c r="DO459" s="156"/>
      <c r="DP459" s="156"/>
      <c r="DQ459" s="156"/>
      <c r="DR459" s="156"/>
      <c r="DS459" s="156"/>
      <c r="DT459" s="156"/>
      <c r="DU459" s="156"/>
      <c r="DV459" s="156"/>
      <c r="DW459" s="156"/>
      <c r="DX459" s="156"/>
      <c r="DY459" s="156"/>
      <c r="DZ459" s="156"/>
      <c r="EA459" s="156"/>
      <c r="EB459" s="156"/>
      <c r="EC459" s="156"/>
      <c r="ED459" s="156"/>
      <c r="EE459" s="156"/>
      <c r="EF459" s="156"/>
      <c r="EG459" s="156"/>
      <c r="EH459" s="156"/>
      <c r="EI459" s="156"/>
      <c r="EJ459" s="156"/>
      <c r="EK459" s="156"/>
      <c r="EL459" s="156"/>
      <c r="EM459" s="156"/>
      <c r="EN459" s="156"/>
      <c r="EO459" s="156"/>
      <c r="EP459" s="156"/>
      <c r="EQ459" s="156"/>
      <c r="ER459" s="156"/>
      <c r="ES459" s="156"/>
      <c r="ET459" s="156"/>
      <c r="EU459" s="156"/>
      <c r="EV459" s="156"/>
      <c r="EW459" s="156"/>
      <c r="EX459" s="156"/>
      <c r="EY459" s="156"/>
      <c r="EZ459" s="156"/>
      <c r="FA459" s="156"/>
      <c r="FB459" s="156"/>
      <c r="FC459" s="156"/>
      <c r="FD459" s="156"/>
      <c r="FE459" s="156"/>
      <c r="FF459" s="156"/>
      <c r="FG459" s="156"/>
      <c r="FH459" s="156"/>
      <c r="FI459" s="156"/>
      <c r="FJ459" s="156"/>
      <c r="FK459" s="156"/>
      <c r="FL459" s="156"/>
      <c r="FM459" s="156"/>
      <c r="FN459" s="156"/>
      <c r="FO459" s="156"/>
      <c r="FP459" s="156"/>
      <c r="FQ459" s="156"/>
      <c r="FR459" s="156"/>
      <c r="FS459" s="156"/>
      <c r="FT459" s="156"/>
      <c r="FU459" s="156"/>
      <c r="FV459" s="156"/>
      <c r="FW459" s="156"/>
      <c r="FX459" s="156"/>
      <c r="FY459" s="156"/>
      <c r="FZ459" s="156"/>
      <c r="GA459" s="156"/>
      <c r="GB459" s="156"/>
      <c r="GC459" s="156"/>
      <c r="GD459" s="156"/>
      <c r="GE459" s="156"/>
      <c r="GF459" s="156"/>
      <c r="GG459" s="156"/>
      <c r="GH459" s="156"/>
      <c r="GI459" s="156"/>
      <c r="GJ459" s="156"/>
      <c r="GK459" s="156"/>
      <c r="GL459" s="156"/>
      <c r="GM459" s="156"/>
      <c r="GN459" s="156"/>
      <c r="GO459" s="156"/>
      <c r="GP459" s="156"/>
      <c r="GQ459" s="156"/>
      <c r="GR459" s="156"/>
      <c r="GS459" s="156"/>
      <c r="GT459" s="156"/>
      <c r="GU459" s="156"/>
      <c r="GV459" s="156"/>
      <c r="GW459" s="156"/>
      <c r="GX459" s="156"/>
      <c r="GY459" s="156"/>
      <c r="GZ459" s="156"/>
      <c r="HA459" s="156"/>
      <c r="HB459" s="156"/>
      <c r="HC459" s="156"/>
      <c r="HD459" s="156"/>
      <c r="HE459" s="156"/>
      <c r="HF459" s="156"/>
      <c r="HG459" s="156"/>
      <c r="HH459" s="156"/>
      <c r="HI459" s="156"/>
      <c r="HJ459" s="156"/>
      <c r="HK459" s="156"/>
      <c r="HL459" s="156"/>
      <c r="HM459" s="156"/>
      <c r="HN459" s="156"/>
      <c r="HO459" s="156"/>
      <c r="HP459" s="156"/>
      <c r="HQ459" s="156"/>
      <c r="HR459" s="156"/>
      <c r="HS459" s="156"/>
      <c r="HT459" s="156"/>
      <c r="HU459" s="156"/>
      <c r="HV459" s="156"/>
      <c r="HW459" s="156"/>
      <c r="HX459" s="156"/>
      <c r="HY459" s="156"/>
      <c r="HZ459" s="156"/>
      <c r="IA459" s="156"/>
      <c r="IB459" s="156"/>
      <c r="IC459" s="156"/>
      <c r="ID459" s="156"/>
      <c r="IE459" s="156"/>
      <c r="IF459" s="156"/>
      <c r="IG459" s="156"/>
      <c r="IH459" s="156"/>
      <c r="II459" s="156"/>
      <c r="IJ459" s="156"/>
      <c r="IK459" s="156"/>
      <c r="IL459" s="156"/>
      <c r="IM459" s="156"/>
      <c r="IN459" s="156"/>
      <c r="IO459" s="156"/>
      <c r="IP459" s="156"/>
      <c r="IQ459" s="156"/>
      <c r="IR459" s="156"/>
      <c r="IS459" s="156"/>
      <c r="IT459" s="156"/>
      <c r="IU459" s="156"/>
      <c r="IV459" s="156"/>
      <c r="IW459" s="156"/>
      <c r="IX459" s="156"/>
      <c r="IY459" s="156"/>
      <c r="IZ459" s="156"/>
      <c r="JA459" s="156"/>
      <c r="JB459" s="156"/>
      <c r="JC459" s="156"/>
      <c r="JD459" s="156"/>
      <c r="JE459" s="156"/>
      <c r="JF459" s="156"/>
      <c r="JG459" s="156"/>
      <c r="JH459" s="156"/>
      <c r="JI459" s="156"/>
      <c r="JJ459" s="156"/>
      <c r="JK459" s="156"/>
      <c r="JL459" s="156"/>
      <c r="JM459" s="156"/>
      <c r="JN459" s="156"/>
      <c r="JO459" s="156"/>
      <c r="JP459" s="156"/>
      <c r="JQ459" s="156"/>
      <c r="JR459" s="156"/>
      <c r="JS459" s="156"/>
      <c r="JT459" s="156"/>
      <c r="JU459" s="156"/>
      <c r="JV459" s="156"/>
      <c r="JW459" s="156"/>
      <c r="JX459" s="156"/>
      <c r="JY459" s="156"/>
      <c r="JZ459" s="156"/>
      <c r="KA459" s="156"/>
      <c r="KB459" s="156"/>
      <c r="KC459" s="156"/>
      <c r="KD459" s="156"/>
      <c r="KE459" s="156"/>
    </row>
    <row r="460" spans="1:291" ht="35" customHeight="1">
      <c r="A460" s="42">
        <f>ROW()-2</f>
        <v>458</v>
      </c>
      <c r="B460" s="152" t="s">
        <v>2732</v>
      </c>
      <c r="C460" s="152" t="s">
        <v>3576</v>
      </c>
      <c r="D460" s="58" t="s">
        <v>3642</v>
      </c>
      <c r="E460" s="58" t="s">
        <v>3643</v>
      </c>
      <c r="F460" s="58" t="s">
        <v>3644</v>
      </c>
      <c r="G460" s="152" t="s">
        <v>34</v>
      </c>
      <c r="H460" s="152">
        <v>1</v>
      </c>
      <c r="I460" s="153">
        <v>0.36305555555555602</v>
      </c>
      <c r="J460" s="154">
        <v>44151</v>
      </c>
      <c r="K460" s="153" t="s">
        <v>20</v>
      </c>
      <c r="L460" s="152">
        <v>4.99</v>
      </c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  <c r="AA460" s="156"/>
      <c r="AB460" s="156"/>
      <c r="AC460" s="156"/>
      <c r="AD460" s="156"/>
      <c r="AE460" s="156"/>
      <c r="AF460" s="156"/>
      <c r="AG460" s="156"/>
      <c r="AH460" s="156"/>
      <c r="AI460" s="156"/>
      <c r="AJ460" s="156"/>
      <c r="AK460" s="156"/>
      <c r="AL460" s="156"/>
      <c r="AM460" s="156"/>
      <c r="AN460" s="156"/>
      <c r="AO460" s="156"/>
      <c r="AP460" s="156"/>
      <c r="AQ460" s="156"/>
      <c r="AR460" s="156"/>
      <c r="AS460" s="156"/>
      <c r="AT460" s="156"/>
      <c r="AU460" s="156"/>
      <c r="AV460" s="156"/>
      <c r="AW460" s="156"/>
      <c r="AX460" s="156"/>
      <c r="AY460" s="156"/>
      <c r="AZ460" s="156"/>
      <c r="BA460" s="156"/>
      <c r="BB460" s="156"/>
      <c r="BC460" s="156"/>
      <c r="BD460" s="156"/>
      <c r="BE460" s="156"/>
      <c r="BF460" s="156"/>
      <c r="BG460" s="156"/>
      <c r="BH460" s="156"/>
      <c r="BI460" s="156"/>
      <c r="BJ460" s="156"/>
      <c r="BK460" s="156"/>
      <c r="BL460" s="156"/>
      <c r="BM460" s="156"/>
      <c r="BN460" s="156"/>
      <c r="BO460" s="156"/>
      <c r="BP460" s="156"/>
      <c r="BQ460" s="156"/>
      <c r="BR460" s="156"/>
      <c r="BS460" s="156"/>
      <c r="BT460" s="156"/>
      <c r="BU460" s="156"/>
      <c r="BV460" s="156"/>
      <c r="BW460" s="156"/>
      <c r="BX460" s="156"/>
      <c r="BY460" s="156"/>
      <c r="BZ460" s="156"/>
      <c r="CA460" s="156"/>
      <c r="CB460" s="156"/>
      <c r="CC460" s="156"/>
      <c r="CD460" s="156"/>
      <c r="CE460" s="156"/>
      <c r="CF460" s="156"/>
      <c r="CG460" s="156"/>
      <c r="CH460" s="156"/>
      <c r="CI460" s="156"/>
      <c r="CJ460" s="156"/>
      <c r="CK460" s="156"/>
      <c r="CL460" s="156"/>
      <c r="CM460" s="156"/>
      <c r="CN460" s="156"/>
      <c r="CO460" s="156"/>
      <c r="CP460" s="156"/>
      <c r="CQ460" s="156"/>
      <c r="CR460" s="156"/>
      <c r="CS460" s="156"/>
      <c r="CT460" s="156"/>
      <c r="CU460" s="156"/>
      <c r="CV460" s="156"/>
      <c r="CW460" s="156"/>
      <c r="CX460" s="156"/>
      <c r="CY460" s="156"/>
      <c r="CZ460" s="156"/>
      <c r="DA460" s="156"/>
      <c r="DB460" s="156"/>
      <c r="DC460" s="156"/>
      <c r="DD460" s="156"/>
      <c r="DE460" s="156"/>
      <c r="DF460" s="156"/>
      <c r="DG460" s="156"/>
      <c r="DH460" s="156"/>
      <c r="DI460" s="156"/>
      <c r="DJ460" s="156"/>
      <c r="DK460" s="156"/>
      <c r="DL460" s="156"/>
      <c r="DM460" s="156"/>
      <c r="DN460" s="156"/>
      <c r="DO460" s="156"/>
      <c r="DP460" s="156"/>
      <c r="DQ460" s="156"/>
      <c r="DR460" s="156"/>
      <c r="DS460" s="156"/>
      <c r="DT460" s="156"/>
      <c r="DU460" s="156"/>
      <c r="DV460" s="156"/>
      <c r="DW460" s="156"/>
      <c r="DX460" s="156"/>
      <c r="DY460" s="156"/>
      <c r="DZ460" s="156"/>
      <c r="EA460" s="156"/>
      <c r="EB460" s="156"/>
      <c r="EC460" s="156"/>
      <c r="ED460" s="156"/>
      <c r="EE460" s="156"/>
      <c r="EF460" s="156"/>
      <c r="EG460" s="156"/>
      <c r="EH460" s="156"/>
      <c r="EI460" s="156"/>
      <c r="EJ460" s="156"/>
      <c r="EK460" s="156"/>
      <c r="EL460" s="156"/>
      <c r="EM460" s="156"/>
      <c r="EN460" s="156"/>
      <c r="EO460" s="156"/>
      <c r="EP460" s="156"/>
      <c r="EQ460" s="156"/>
      <c r="ER460" s="156"/>
      <c r="ES460" s="156"/>
      <c r="ET460" s="156"/>
      <c r="EU460" s="156"/>
      <c r="EV460" s="156"/>
      <c r="EW460" s="156"/>
      <c r="EX460" s="156"/>
      <c r="EY460" s="156"/>
      <c r="EZ460" s="156"/>
      <c r="FA460" s="156"/>
      <c r="FB460" s="156"/>
      <c r="FC460" s="156"/>
      <c r="FD460" s="156"/>
      <c r="FE460" s="156"/>
      <c r="FF460" s="156"/>
      <c r="FG460" s="156"/>
      <c r="FH460" s="156"/>
      <c r="FI460" s="156"/>
      <c r="FJ460" s="156"/>
      <c r="FK460" s="156"/>
      <c r="FL460" s="156"/>
      <c r="FM460" s="156"/>
      <c r="FN460" s="156"/>
      <c r="FO460" s="156"/>
      <c r="FP460" s="156"/>
      <c r="FQ460" s="156"/>
      <c r="FR460" s="156"/>
      <c r="FS460" s="156"/>
      <c r="FT460" s="156"/>
      <c r="FU460" s="156"/>
      <c r="FV460" s="156"/>
      <c r="FW460" s="156"/>
      <c r="FX460" s="156"/>
      <c r="FY460" s="156"/>
      <c r="FZ460" s="156"/>
      <c r="GA460" s="156"/>
      <c r="GB460" s="156"/>
      <c r="GC460" s="156"/>
      <c r="GD460" s="156"/>
      <c r="GE460" s="156"/>
      <c r="GF460" s="156"/>
      <c r="GG460" s="156"/>
      <c r="GH460" s="156"/>
      <c r="GI460" s="156"/>
      <c r="GJ460" s="156"/>
      <c r="GK460" s="156"/>
      <c r="GL460" s="156"/>
      <c r="GM460" s="156"/>
      <c r="GN460" s="156"/>
      <c r="GO460" s="156"/>
      <c r="GP460" s="156"/>
      <c r="GQ460" s="156"/>
      <c r="GR460" s="156"/>
      <c r="GS460" s="156"/>
      <c r="GT460" s="156"/>
      <c r="GU460" s="156"/>
      <c r="GV460" s="156"/>
      <c r="GW460" s="156"/>
      <c r="GX460" s="156"/>
      <c r="GY460" s="156"/>
      <c r="GZ460" s="156"/>
      <c r="HA460" s="156"/>
      <c r="HB460" s="156"/>
      <c r="HC460" s="156"/>
      <c r="HD460" s="156"/>
      <c r="HE460" s="156"/>
      <c r="HF460" s="156"/>
      <c r="HG460" s="156"/>
      <c r="HH460" s="156"/>
      <c r="HI460" s="156"/>
      <c r="HJ460" s="156"/>
      <c r="HK460" s="156"/>
      <c r="HL460" s="156"/>
      <c r="HM460" s="156"/>
      <c r="HN460" s="156"/>
      <c r="HO460" s="156"/>
      <c r="HP460" s="156"/>
      <c r="HQ460" s="156"/>
      <c r="HR460" s="156"/>
      <c r="HS460" s="156"/>
      <c r="HT460" s="156"/>
      <c r="HU460" s="156"/>
      <c r="HV460" s="156"/>
      <c r="HW460" s="156"/>
      <c r="HX460" s="156"/>
      <c r="HY460" s="156"/>
      <c r="HZ460" s="156"/>
      <c r="IA460" s="156"/>
      <c r="IB460" s="156"/>
      <c r="IC460" s="156"/>
      <c r="ID460" s="156"/>
      <c r="IE460" s="156"/>
      <c r="IF460" s="156"/>
      <c r="IG460" s="156"/>
      <c r="IH460" s="156"/>
      <c r="II460" s="156"/>
      <c r="IJ460" s="156"/>
      <c r="IK460" s="156"/>
      <c r="IL460" s="156"/>
      <c r="IM460" s="156"/>
      <c r="IN460" s="156"/>
      <c r="IO460" s="156"/>
      <c r="IP460" s="156"/>
      <c r="IQ460" s="156"/>
      <c r="IR460" s="156"/>
      <c r="IS460" s="156"/>
      <c r="IT460" s="156"/>
      <c r="IU460" s="156"/>
      <c r="IV460" s="156"/>
      <c r="IW460" s="156"/>
      <c r="IX460" s="156"/>
      <c r="IY460" s="156"/>
      <c r="IZ460" s="156"/>
      <c r="JA460" s="156"/>
      <c r="JB460" s="156"/>
      <c r="JC460" s="156"/>
      <c r="JD460" s="156"/>
      <c r="JE460" s="156"/>
      <c r="JF460" s="156"/>
      <c r="JG460" s="156"/>
      <c r="JH460" s="156"/>
      <c r="JI460" s="156"/>
      <c r="JJ460" s="156"/>
      <c r="JK460" s="156"/>
      <c r="JL460" s="156"/>
      <c r="JM460" s="156"/>
      <c r="JN460" s="156"/>
      <c r="JO460" s="156"/>
      <c r="JP460" s="156"/>
      <c r="JQ460" s="156"/>
      <c r="JR460" s="156"/>
      <c r="JS460" s="156"/>
      <c r="JT460" s="156"/>
      <c r="JU460" s="156"/>
      <c r="JV460" s="156"/>
      <c r="JW460" s="156"/>
      <c r="JX460" s="156"/>
      <c r="JY460" s="156"/>
      <c r="JZ460" s="156"/>
      <c r="KA460" s="156"/>
      <c r="KB460" s="156"/>
      <c r="KC460" s="156"/>
      <c r="KD460" s="156"/>
      <c r="KE460" s="156"/>
    </row>
    <row r="461" spans="1:291" ht="35" customHeight="1">
      <c r="A461" s="42">
        <f>ROW()-2</f>
        <v>459</v>
      </c>
      <c r="B461" s="152" t="s">
        <v>2732</v>
      </c>
      <c r="C461" s="152" t="s">
        <v>3576</v>
      </c>
      <c r="D461" s="58" t="s">
        <v>3645</v>
      </c>
      <c r="E461" s="58" t="s">
        <v>3646</v>
      </c>
      <c r="F461" s="58" t="s">
        <v>3647</v>
      </c>
      <c r="G461" s="152" t="s">
        <v>34</v>
      </c>
      <c r="H461" s="152">
        <v>1</v>
      </c>
      <c r="I461" s="153">
        <v>0.45444444444444398</v>
      </c>
      <c r="J461" s="154">
        <v>44151</v>
      </c>
      <c r="K461" s="236" t="s">
        <v>20</v>
      </c>
      <c r="L461" s="242">
        <v>4.99</v>
      </c>
      <c r="M461" s="155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  <c r="AA461" s="156"/>
      <c r="AB461" s="156"/>
      <c r="AC461" s="156"/>
      <c r="AD461" s="156"/>
      <c r="AE461" s="156"/>
      <c r="AF461" s="156"/>
      <c r="AG461" s="156"/>
      <c r="AH461" s="156"/>
      <c r="AI461" s="156"/>
      <c r="AJ461" s="156"/>
      <c r="AK461" s="156"/>
      <c r="AL461" s="156"/>
      <c r="AM461" s="156"/>
      <c r="AN461" s="156"/>
      <c r="AO461" s="156"/>
      <c r="AP461" s="156"/>
      <c r="AQ461" s="156"/>
      <c r="AR461" s="156"/>
      <c r="AS461" s="156"/>
      <c r="AT461" s="156"/>
      <c r="AU461" s="156"/>
      <c r="AV461" s="156"/>
      <c r="AW461" s="156"/>
      <c r="AX461" s="156"/>
      <c r="AY461" s="156"/>
      <c r="AZ461" s="156"/>
      <c r="BA461" s="156"/>
      <c r="BB461" s="156"/>
      <c r="BC461" s="156"/>
      <c r="BD461" s="156"/>
      <c r="BE461" s="156"/>
      <c r="BF461" s="156"/>
      <c r="BG461" s="156"/>
      <c r="BH461" s="156"/>
      <c r="BI461" s="156"/>
      <c r="BJ461" s="156"/>
      <c r="BK461" s="156"/>
      <c r="BL461" s="156"/>
      <c r="BM461" s="156"/>
      <c r="BN461" s="156"/>
      <c r="BO461" s="156"/>
      <c r="BP461" s="156"/>
      <c r="BQ461" s="156"/>
      <c r="BR461" s="156"/>
      <c r="BS461" s="156"/>
      <c r="BT461" s="156"/>
      <c r="BU461" s="156"/>
      <c r="BV461" s="156"/>
      <c r="BW461" s="156"/>
      <c r="BX461" s="156"/>
      <c r="BY461" s="156"/>
      <c r="BZ461" s="156"/>
      <c r="CA461" s="156"/>
      <c r="CB461" s="156"/>
      <c r="CC461" s="156"/>
      <c r="CD461" s="156"/>
      <c r="CE461" s="156"/>
      <c r="CF461" s="156"/>
      <c r="CG461" s="156"/>
      <c r="CH461" s="156"/>
      <c r="CI461" s="156"/>
      <c r="CJ461" s="156"/>
      <c r="CK461" s="156"/>
      <c r="CL461" s="156"/>
      <c r="CM461" s="156"/>
      <c r="CN461" s="156"/>
      <c r="CO461" s="156"/>
      <c r="CP461" s="156"/>
      <c r="CQ461" s="156"/>
      <c r="CR461" s="156"/>
      <c r="CS461" s="156"/>
      <c r="CT461" s="156"/>
      <c r="CU461" s="156"/>
      <c r="CV461" s="156"/>
      <c r="CW461" s="156"/>
      <c r="CX461" s="156"/>
      <c r="CY461" s="156"/>
      <c r="CZ461" s="156"/>
      <c r="DA461" s="156"/>
      <c r="DB461" s="156"/>
      <c r="DC461" s="156"/>
      <c r="DD461" s="156"/>
      <c r="DE461" s="156"/>
      <c r="DF461" s="156"/>
      <c r="DG461" s="156"/>
      <c r="DH461" s="156"/>
      <c r="DI461" s="156"/>
      <c r="DJ461" s="156"/>
      <c r="DK461" s="156"/>
      <c r="DL461" s="156"/>
      <c r="DM461" s="156"/>
      <c r="DN461" s="156"/>
      <c r="DO461" s="156"/>
      <c r="DP461" s="156"/>
      <c r="DQ461" s="156"/>
      <c r="DR461" s="156"/>
      <c r="DS461" s="156"/>
      <c r="DT461" s="156"/>
      <c r="DU461" s="156"/>
      <c r="DV461" s="156"/>
      <c r="DW461" s="156"/>
      <c r="DX461" s="156"/>
      <c r="DY461" s="156"/>
      <c r="DZ461" s="156"/>
      <c r="EA461" s="156"/>
      <c r="EB461" s="156"/>
      <c r="EC461" s="156"/>
      <c r="ED461" s="156"/>
      <c r="EE461" s="156"/>
      <c r="EF461" s="156"/>
      <c r="EG461" s="156"/>
      <c r="EH461" s="156"/>
      <c r="EI461" s="156"/>
      <c r="EJ461" s="156"/>
      <c r="EK461" s="156"/>
      <c r="EL461" s="156"/>
      <c r="EM461" s="156"/>
      <c r="EN461" s="156"/>
      <c r="EO461" s="156"/>
      <c r="EP461" s="156"/>
      <c r="EQ461" s="156"/>
      <c r="ER461" s="156"/>
      <c r="ES461" s="156"/>
      <c r="ET461" s="156"/>
      <c r="EU461" s="156"/>
      <c r="EV461" s="156"/>
      <c r="EW461" s="156"/>
      <c r="EX461" s="156"/>
      <c r="EY461" s="156"/>
      <c r="EZ461" s="156"/>
      <c r="FA461" s="156"/>
      <c r="FB461" s="156"/>
      <c r="FC461" s="156"/>
      <c r="FD461" s="156"/>
      <c r="FE461" s="156"/>
      <c r="FF461" s="156"/>
      <c r="FG461" s="156"/>
      <c r="FH461" s="156"/>
      <c r="FI461" s="156"/>
      <c r="FJ461" s="156"/>
      <c r="FK461" s="156"/>
      <c r="FL461" s="156"/>
      <c r="FM461" s="156"/>
      <c r="FN461" s="156"/>
      <c r="FO461" s="156"/>
      <c r="FP461" s="156"/>
      <c r="FQ461" s="156"/>
      <c r="FR461" s="156"/>
      <c r="FS461" s="156"/>
      <c r="FT461" s="156"/>
      <c r="FU461" s="156"/>
      <c r="FV461" s="156"/>
      <c r="FW461" s="156"/>
      <c r="FX461" s="156"/>
      <c r="FY461" s="156"/>
      <c r="FZ461" s="156"/>
      <c r="GA461" s="156"/>
      <c r="GB461" s="156"/>
      <c r="GC461" s="156"/>
      <c r="GD461" s="156"/>
      <c r="GE461" s="156"/>
      <c r="GF461" s="156"/>
      <c r="GG461" s="156"/>
      <c r="GH461" s="156"/>
      <c r="GI461" s="156"/>
      <c r="GJ461" s="156"/>
      <c r="GK461" s="156"/>
      <c r="GL461" s="156"/>
      <c r="GM461" s="156"/>
      <c r="GN461" s="156"/>
      <c r="GO461" s="156"/>
      <c r="GP461" s="156"/>
      <c r="GQ461" s="156"/>
      <c r="GR461" s="156"/>
      <c r="GS461" s="156"/>
      <c r="GT461" s="156"/>
      <c r="GU461" s="156"/>
      <c r="GV461" s="156"/>
      <c r="GW461" s="156"/>
      <c r="GX461" s="156"/>
      <c r="GY461" s="156"/>
      <c r="GZ461" s="156"/>
      <c r="HA461" s="156"/>
      <c r="HB461" s="156"/>
      <c r="HC461" s="156"/>
      <c r="HD461" s="156"/>
      <c r="HE461" s="156"/>
      <c r="HF461" s="156"/>
      <c r="HG461" s="156"/>
      <c r="HH461" s="156"/>
      <c r="HI461" s="156"/>
      <c r="HJ461" s="156"/>
      <c r="HK461" s="156"/>
      <c r="HL461" s="156"/>
      <c r="HM461" s="156"/>
      <c r="HN461" s="156"/>
      <c r="HO461" s="156"/>
      <c r="HP461" s="156"/>
      <c r="HQ461" s="156"/>
      <c r="HR461" s="156"/>
      <c r="HS461" s="156"/>
      <c r="HT461" s="156"/>
      <c r="HU461" s="156"/>
      <c r="HV461" s="156"/>
      <c r="HW461" s="156"/>
      <c r="HX461" s="156"/>
      <c r="HY461" s="156"/>
      <c r="HZ461" s="156"/>
      <c r="IA461" s="156"/>
      <c r="IB461" s="156"/>
      <c r="IC461" s="156"/>
      <c r="ID461" s="156"/>
      <c r="IE461" s="156"/>
      <c r="IF461" s="156"/>
      <c r="IG461" s="156"/>
      <c r="IH461" s="156"/>
      <c r="II461" s="156"/>
      <c r="IJ461" s="156"/>
      <c r="IK461" s="156"/>
      <c r="IL461" s="156"/>
      <c r="IM461" s="156"/>
      <c r="IN461" s="156"/>
      <c r="IO461" s="156"/>
      <c r="IP461" s="156"/>
      <c r="IQ461" s="156"/>
      <c r="IR461" s="156"/>
      <c r="IS461" s="156"/>
      <c r="IT461" s="156"/>
      <c r="IU461" s="156"/>
      <c r="IV461" s="156"/>
      <c r="IW461" s="156"/>
      <c r="IX461" s="156"/>
      <c r="IY461" s="156"/>
      <c r="IZ461" s="156"/>
      <c r="JA461" s="156"/>
      <c r="JB461" s="156"/>
      <c r="JC461" s="156"/>
      <c r="JD461" s="156"/>
      <c r="JE461" s="156"/>
      <c r="JF461" s="156"/>
      <c r="JG461" s="156"/>
      <c r="JH461" s="156"/>
      <c r="JI461" s="156"/>
      <c r="JJ461" s="156"/>
      <c r="JK461" s="156"/>
      <c r="JL461" s="156"/>
      <c r="JM461" s="156"/>
      <c r="JN461" s="156"/>
      <c r="JO461" s="156"/>
      <c r="JP461" s="156"/>
      <c r="JQ461" s="156"/>
      <c r="JR461" s="156"/>
      <c r="JS461" s="156"/>
      <c r="JT461" s="156"/>
      <c r="JU461" s="156"/>
      <c r="JV461" s="156"/>
      <c r="JW461" s="156"/>
      <c r="JX461" s="156"/>
      <c r="JY461" s="156"/>
      <c r="JZ461" s="156"/>
      <c r="KA461" s="156"/>
      <c r="KB461" s="156"/>
      <c r="KC461" s="156"/>
      <c r="KD461" s="156"/>
      <c r="KE461" s="156"/>
    </row>
    <row r="462" spans="1:291" ht="35" customHeight="1">
      <c r="A462" s="42">
        <f>ROW()-2</f>
        <v>460</v>
      </c>
      <c r="B462" s="152" t="s">
        <v>2732</v>
      </c>
      <c r="C462" s="152" t="s">
        <v>3576</v>
      </c>
      <c r="D462" s="58" t="s">
        <v>3648</v>
      </c>
      <c r="E462" s="58" t="s">
        <v>3649</v>
      </c>
      <c r="F462" s="58" t="s">
        <v>3650</v>
      </c>
      <c r="G462" s="152" t="s">
        <v>34</v>
      </c>
      <c r="H462" s="152">
        <v>1</v>
      </c>
      <c r="I462" s="153">
        <v>0.45500000000000002</v>
      </c>
      <c r="J462" s="154">
        <v>44151</v>
      </c>
      <c r="K462" s="236" t="s">
        <v>20</v>
      </c>
      <c r="L462" s="242">
        <v>4.99</v>
      </c>
      <c r="M462" s="155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  <c r="AA462" s="156"/>
      <c r="AB462" s="156"/>
      <c r="AC462" s="156"/>
      <c r="AD462" s="156"/>
      <c r="AE462" s="156"/>
      <c r="AF462" s="156"/>
      <c r="AG462" s="156"/>
      <c r="AH462" s="156"/>
      <c r="AI462" s="156"/>
      <c r="AJ462" s="156"/>
      <c r="AK462" s="156"/>
      <c r="AL462" s="156"/>
      <c r="AM462" s="156"/>
      <c r="AN462" s="156"/>
      <c r="AO462" s="156"/>
      <c r="AP462" s="156"/>
      <c r="AQ462" s="156"/>
      <c r="AR462" s="156"/>
      <c r="AS462" s="156"/>
      <c r="AT462" s="156"/>
      <c r="AU462" s="156"/>
      <c r="AV462" s="156"/>
      <c r="AW462" s="156"/>
      <c r="AX462" s="156"/>
      <c r="AY462" s="156"/>
      <c r="AZ462" s="156"/>
      <c r="BA462" s="156"/>
      <c r="BB462" s="156"/>
      <c r="BC462" s="156"/>
      <c r="BD462" s="156"/>
      <c r="BE462" s="156"/>
      <c r="BF462" s="156"/>
      <c r="BG462" s="156"/>
      <c r="BH462" s="156"/>
      <c r="BI462" s="156"/>
      <c r="BJ462" s="156"/>
      <c r="BK462" s="156"/>
      <c r="BL462" s="156"/>
      <c r="BM462" s="156"/>
      <c r="BN462" s="156"/>
      <c r="BO462" s="156"/>
      <c r="BP462" s="156"/>
      <c r="BQ462" s="156"/>
      <c r="BR462" s="156"/>
      <c r="BS462" s="156"/>
      <c r="BT462" s="156"/>
      <c r="BU462" s="156"/>
      <c r="BV462" s="156"/>
      <c r="BW462" s="156"/>
      <c r="BX462" s="156"/>
      <c r="BY462" s="156"/>
      <c r="BZ462" s="156"/>
      <c r="CA462" s="156"/>
      <c r="CB462" s="156"/>
      <c r="CC462" s="156"/>
      <c r="CD462" s="156"/>
      <c r="CE462" s="156"/>
      <c r="CF462" s="156"/>
      <c r="CG462" s="156"/>
      <c r="CH462" s="156"/>
      <c r="CI462" s="156"/>
      <c r="CJ462" s="156"/>
      <c r="CK462" s="156"/>
      <c r="CL462" s="156"/>
      <c r="CM462" s="156"/>
      <c r="CN462" s="156"/>
      <c r="CO462" s="156"/>
      <c r="CP462" s="156"/>
      <c r="CQ462" s="156"/>
      <c r="CR462" s="156"/>
      <c r="CS462" s="156"/>
      <c r="CT462" s="156"/>
      <c r="CU462" s="156"/>
      <c r="CV462" s="156"/>
      <c r="CW462" s="156"/>
      <c r="CX462" s="156"/>
      <c r="CY462" s="156"/>
      <c r="CZ462" s="156"/>
      <c r="DA462" s="156"/>
      <c r="DB462" s="156"/>
      <c r="DC462" s="156"/>
      <c r="DD462" s="156"/>
      <c r="DE462" s="156"/>
      <c r="DF462" s="156"/>
      <c r="DG462" s="156"/>
      <c r="DH462" s="156"/>
      <c r="DI462" s="156"/>
      <c r="DJ462" s="156"/>
      <c r="DK462" s="156"/>
      <c r="DL462" s="156"/>
      <c r="DM462" s="156"/>
      <c r="DN462" s="156"/>
      <c r="DO462" s="156"/>
      <c r="DP462" s="156"/>
      <c r="DQ462" s="156"/>
      <c r="DR462" s="156"/>
      <c r="DS462" s="156"/>
      <c r="DT462" s="156"/>
      <c r="DU462" s="156"/>
      <c r="DV462" s="156"/>
      <c r="DW462" s="156"/>
      <c r="DX462" s="156"/>
      <c r="DY462" s="156"/>
      <c r="DZ462" s="156"/>
      <c r="EA462" s="156"/>
      <c r="EB462" s="156"/>
      <c r="EC462" s="156"/>
      <c r="ED462" s="156"/>
      <c r="EE462" s="156"/>
      <c r="EF462" s="156"/>
      <c r="EG462" s="156"/>
      <c r="EH462" s="156"/>
      <c r="EI462" s="156"/>
      <c r="EJ462" s="156"/>
      <c r="EK462" s="156"/>
      <c r="EL462" s="156"/>
      <c r="EM462" s="156"/>
      <c r="EN462" s="156"/>
      <c r="EO462" s="156"/>
      <c r="EP462" s="156"/>
      <c r="EQ462" s="156"/>
      <c r="ER462" s="156"/>
      <c r="ES462" s="156"/>
      <c r="ET462" s="156"/>
      <c r="EU462" s="156"/>
      <c r="EV462" s="156"/>
      <c r="EW462" s="156"/>
      <c r="EX462" s="156"/>
      <c r="EY462" s="156"/>
      <c r="EZ462" s="156"/>
      <c r="FA462" s="156"/>
      <c r="FB462" s="156"/>
      <c r="FC462" s="156"/>
      <c r="FD462" s="156"/>
      <c r="FE462" s="156"/>
      <c r="FF462" s="156"/>
      <c r="FG462" s="156"/>
      <c r="FH462" s="156"/>
      <c r="FI462" s="156"/>
      <c r="FJ462" s="156"/>
      <c r="FK462" s="156"/>
      <c r="FL462" s="156"/>
      <c r="FM462" s="156"/>
      <c r="FN462" s="156"/>
      <c r="FO462" s="156"/>
      <c r="FP462" s="156"/>
      <c r="FQ462" s="156"/>
      <c r="FR462" s="156"/>
      <c r="FS462" s="156"/>
      <c r="FT462" s="156"/>
      <c r="FU462" s="156"/>
      <c r="FV462" s="156"/>
      <c r="FW462" s="156"/>
      <c r="FX462" s="156"/>
      <c r="FY462" s="156"/>
      <c r="FZ462" s="156"/>
      <c r="GA462" s="156"/>
      <c r="GB462" s="156"/>
      <c r="GC462" s="156"/>
      <c r="GD462" s="156"/>
      <c r="GE462" s="156"/>
      <c r="GF462" s="156"/>
      <c r="GG462" s="156"/>
      <c r="GH462" s="156"/>
      <c r="GI462" s="156"/>
      <c r="GJ462" s="156"/>
      <c r="GK462" s="156"/>
      <c r="GL462" s="156"/>
      <c r="GM462" s="156"/>
      <c r="GN462" s="156"/>
      <c r="GO462" s="156"/>
      <c r="GP462" s="156"/>
      <c r="GQ462" s="156"/>
      <c r="GR462" s="156"/>
      <c r="GS462" s="156"/>
      <c r="GT462" s="156"/>
      <c r="GU462" s="156"/>
      <c r="GV462" s="156"/>
      <c r="GW462" s="156"/>
      <c r="GX462" s="156"/>
      <c r="GY462" s="156"/>
      <c r="GZ462" s="156"/>
      <c r="HA462" s="156"/>
      <c r="HB462" s="156"/>
      <c r="HC462" s="156"/>
      <c r="HD462" s="156"/>
      <c r="HE462" s="156"/>
      <c r="HF462" s="156"/>
      <c r="HG462" s="156"/>
      <c r="HH462" s="156"/>
      <c r="HI462" s="156"/>
      <c r="HJ462" s="156"/>
      <c r="HK462" s="156"/>
      <c r="HL462" s="156"/>
      <c r="HM462" s="156"/>
      <c r="HN462" s="156"/>
      <c r="HO462" s="156"/>
      <c r="HP462" s="156"/>
      <c r="HQ462" s="156"/>
      <c r="HR462" s="156"/>
      <c r="HS462" s="156"/>
      <c r="HT462" s="156"/>
      <c r="HU462" s="156"/>
      <c r="HV462" s="156"/>
      <c r="HW462" s="156"/>
      <c r="HX462" s="156"/>
      <c r="HY462" s="156"/>
      <c r="HZ462" s="156"/>
      <c r="IA462" s="156"/>
      <c r="IB462" s="156"/>
      <c r="IC462" s="156"/>
      <c r="ID462" s="156"/>
      <c r="IE462" s="156"/>
      <c r="IF462" s="156"/>
      <c r="IG462" s="156"/>
      <c r="IH462" s="156"/>
      <c r="II462" s="156"/>
      <c r="IJ462" s="156"/>
      <c r="IK462" s="156"/>
      <c r="IL462" s="156"/>
      <c r="IM462" s="156"/>
      <c r="IN462" s="156"/>
      <c r="IO462" s="156"/>
      <c r="IP462" s="156"/>
      <c r="IQ462" s="156"/>
      <c r="IR462" s="156"/>
      <c r="IS462" s="156"/>
      <c r="IT462" s="156"/>
      <c r="IU462" s="156"/>
      <c r="IV462" s="156"/>
      <c r="IW462" s="156"/>
      <c r="IX462" s="156"/>
      <c r="IY462" s="156"/>
      <c r="IZ462" s="156"/>
      <c r="JA462" s="156"/>
      <c r="JB462" s="156"/>
      <c r="JC462" s="156"/>
      <c r="JD462" s="156"/>
      <c r="JE462" s="156"/>
      <c r="JF462" s="156"/>
      <c r="JG462" s="156"/>
      <c r="JH462" s="156"/>
      <c r="JI462" s="156"/>
      <c r="JJ462" s="156"/>
      <c r="JK462" s="156"/>
      <c r="JL462" s="156"/>
      <c r="JM462" s="156"/>
      <c r="JN462" s="156"/>
      <c r="JO462" s="156"/>
      <c r="JP462" s="156"/>
      <c r="JQ462" s="156"/>
      <c r="JR462" s="156"/>
      <c r="JS462" s="156"/>
      <c r="JT462" s="156"/>
      <c r="JU462" s="156"/>
      <c r="JV462" s="156"/>
      <c r="JW462" s="156"/>
      <c r="JX462" s="156"/>
      <c r="JY462" s="156"/>
      <c r="JZ462" s="156"/>
      <c r="KA462" s="156"/>
      <c r="KB462" s="156"/>
      <c r="KC462" s="156"/>
      <c r="KD462" s="156"/>
      <c r="KE462" s="156"/>
    </row>
    <row r="463" spans="1:291" ht="35" customHeight="1">
      <c r="A463" s="42">
        <f>ROW()-2</f>
        <v>461</v>
      </c>
      <c r="B463" s="152" t="s">
        <v>2732</v>
      </c>
      <c r="C463" s="152" t="s">
        <v>3576</v>
      </c>
      <c r="D463" s="58" t="s">
        <v>3582</v>
      </c>
      <c r="E463" s="58" t="s">
        <v>3583</v>
      </c>
      <c r="F463" s="58" t="s">
        <v>3452</v>
      </c>
      <c r="G463" s="152" t="s">
        <v>34</v>
      </c>
      <c r="H463" s="152">
        <v>1</v>
      </c>
      <c r="I463" s="153">
        <v>0.36</v>
      </c>
      <c r="J463" s="154">
        <v>44172</v>
      </c>
      <c r="K463" s="236" t="s">
        <v>20</v>
      </c>
      <c r="L463" s="242">
        <v>4.99</v>
      </c>
      <c r="M463" s="155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  <c r="AA463" s="156"/>
      <c r="AB463" s="156"/>
      <c r="AC463" s="156"/>
      <c r="AD463" s="156"/>
      <c r="AE463" s="156"/>
      <c r="AF463" s="156"/>
      <c r="AG463" s="156"/>
      <c r="AH463" s="156"/>
      <c r="AI463" s="156"/>
      <c r="AJ463" s="156"/>
      <c r="AK463" s="156"/>
      <c r="AL463" s="156"/>
      <c r="AM463" s="156"/>
      <c r="AN463" s="156"/>
      <c r="AO463" s="156"/>
      <c r="AP463" s="156"/>
      <c r="AQ463" s="156"/>
      <c r="AR463" s="156"/>
      <c r="AS463" s="156"/>
      <c r="AT463" s="156"/>
      <c r="AU463" s="156"/>
      <c r="AV463" s="156"/>
      <c r="AW463" s="156"/>
      <c r="AX463" s="156"/>
      <c r="AY463" s="156"/>
      <c r="AZ463" s="156"/>
      <c r="BA463" s="156"/>
      <c r="BB463" s="156"/>
      <c r="BC463" s="156"/>
      <c r="BD463" s="156"/>
      <c r="BE463" s="156"/>
      <c r="BF463" s="156"/>
      <c r="BG463" s="156"/>
      <c r="BH463" s="156"/>
      <c r="BI463" s="156"/>
      <c r="BJ463" s="156"/>
      <c r="BK463" s="156"/>
      <c r="BL463" s="156"/>
      <c r="BM463" s="156"/>
      <c r="BN463" s="156"/>
      <c r="BO463" s="156"/>
      <c r="BP463" s="156"/>
      <c r="BQ463" s="156"/>
      <c r="BR463" s="156"/>
      <c r="BS463" s="156"/>
      <c r="BT463" s="156"/>
      <c r="BU463" s="156"/>
      <c r="BV463" s="156"/>
      <c r="BW463" s="156"/>
      <c r="BX463" s="156"/>
      <c r="BY463" s="156"/>
      <c r="BZ463" s="156"/>
      <c r="CA463" s="156"/>
      <c r="CB463" s="156"/>
      <c r="CC463" s="156"/>
      <c r="CD463" s="156"/>
      <c r="CE463" s="156"/>
      <c r="CF463" s="156"/>
      <c r="CG463" s="156"/>
      <c r="CH463" s="156"/>
      <c r="CI463" s="156"/>
      <c r="CJ463" s="156"/>
      <c r="CK463" s="156"/>
      <c r="CL463" s="156"/>
      <c r="CM463" s="156"/>
      <c r="CN463" s="156"/>
      <c r="CO463" s="156"/>
      <c r="CP463" s="156"/>
      <c r="CQ463" s="156"/>
      <c r="CR463" s="156"/>
      <c r="CS463" s="156"/>
      <c r="CT463" s="156"/>
      <c r="CU463" s="156"/>
      <c r="CV463" s="156"/>
      <c r="CW463" s="156"/>
      <c r="CX463" s="156"/>
      <c r="CY463" s="156"/>
      <c r="CZ463" s="156"/>
      <c r="DA463" s="156"/>
      <c r="DB463" s="156"/>
      <c r="DC463" s="156"/>
      <c r="DD463" s="156"/>
      <c r="DE463" s="156"/>
      <c r="DF463" s="156"/>
      <c r="DG463" s="156"/>
      <c r="DH463" s="156"/>
      <c r="DI463" s="156"/>
      <c r="DJ463" s="156"/>
      <c r="DK463" s="156"/>
      <c r="DL463" s="156"/>
      <c r="DM463" s="156"/>
      <c r="DN463" s="156"/>
      <c r="DO463" s="156"/>
      <c r="DP463" s="156"/>
      <c r="DQ463" s="156"/>
      <c r="DR463" s="156"/>
      <c r="DS463" s="156"/>
      <c r="DT463" s="156"/>
      <c r="DU463" s="156"/>
      <c r="DV463" s="156"/>
      <c r="DW463" s="156"/>
      <c r="DX463" s="156"/>
      <c r="DY463" s="156"/>
      <c r="DZ463" s="156"/>
      <c r="EA463" s="156"/>
      <c r="EB463" s="156"/>
      <c r="EC463" s="156"/>
      <c r="ED463" s="156"/>
      <c r="EE463" s="156"/>
      <c r="EF463" s="156"/>
      <c r="EG463" s="156"/>
      <c r="EH463" s="156"/>
      <c r="EI463" s="156"/>
      <c r="EJ463" s="156"/>
      <c r="EK463" s="156"/>
      <c r="EL463" s="156"/>
      <c r="EM463" s="156"/>
      <c r="EN463" s="156"/>
      <c r="EO463" s="156"/>
      <c r="EP463" s="156"/>
      <c r="EQ463" s="156"/>
      <c r="ER463" s="156"/>
      <c r="ES463" s="156"/>
      <c r="ET463" s="156"/>
      <c r="EU463" s="156"/>
      <c r="EV463" s="156"/>
      <c r="EW463" s="156"/>
      <c r="EX463" s="156"/>
      <c r="EY463" s="156"/>
      <c r="EZ463" s="156"/>
      <c r="FA463" s="156"/>
      <c r="FB463" s="156"/>
      <c r="FC463" s="156"/>
      <c r="FD463" s="156"/>
      <c r="FE463" s="156"/>
      <c r="FF463" s="156"/>
      <c r="FG463" s="156"/>
      <c r="FH463" s="156"/>
      <c r="FI463" s="156"/>
      <c r="FJ463" s="156"/>
      <c r="FK463" s="156"/>
      <c r="FL463" s="156"/>
      <c r="FM463" s="156"/>
      <c r="FN463" s="156"/>
      <c r="FO463" s="156"/>
      <c r="FP463" s="156"/>
      <c r="FQ463" s="156"/>
      <c r="FR463" s="156"/>
      <c r="FS463" s="156"/>
      <c r="FT463" s="156"/>
      <c r="FU463" s="156"/>
      <c r="FV463" s="156"/>
      <c r="FW463" s="156"/>
      <c r="FX463" s="156"/>
      <c r="FY463" s="156"/>
      <c r="FZ463" s="156"/>
      <c r="GA463" s="156"/>
      <c r="GB463" s="156"/>
      <c r="GC463" s="156"/>
      <c r="GD463" s="156"/>
      <c r="GE463" s="156"/>
      <c r="GF463" s="156"/>
      <c r="GG463" s="156"/>
      <c r="GH463" s="156"/>
      <c r="GI463" s="156"/>
      <c r="GJ463" s="156"/>
      <c r="GK463" s="156"/>
      <c r="GL463" s="156"/>
      <c r="GM463" s="156"/>
      <c r="GN463" s="156"/>
      <c r="GO463" s="156"/>
      <c r="GP463" s="156"/>
      <c r="GQ463" s="156"/>
      <c r="GR463" s="156"/>
      <c r="GS463" s="156"/>
      <c r="GT463" s="156"/>
      <c r="GU463" s="156"/>
      <c r="GV463" s="156"/>
      <c r="GW463" s="156"/>
      <c r="GX463" s="156"/>
      <c r="GY463" s="156"/>
      <c r="GZ463" s="156"/>
      <c r="HA463" s="156"/>
      <c r="HB463" s="156"/>
      <c r="HC463" s="156"/>
      <c r="HD463" s="156"/>
      <c r="HE463" s="156"/>
      <c r="HF463" s="156"/>
      <c r="HG463" s="156"/>
      <c r="HH463" s="156"/>
      <c r="HI463" s="156"/>
      <c r="HJ463" s="156"/>
      <c r="HK463" s="156"/>
      <c r="HL463" s="156"/>
      <c r="HM463" s="156"/>
      <c r="HN463" s="156"/>
      <c r="HO463" s="156"/>
      <c r="HP463" s="156"/>
      <c r="HQ463" s="156"/>
      <c r="HR463" s="156"/>
      <c r="HS463" s="156"/>
      <c r="HT463" s="156"/>
      <c r="HU463" s="156"/>
      <c r="HV463" s="156"/>
      <c r="HW463" s="156"/>
      <c r="HX463" s="156"/>
      <c r="HY463" s="156"/>
      <c r="HZ463" s="156"/>
      <c r="IA463" s="156"/>
      <c r="IB463" s="156"/>
      <c r="IC463" s="156"/>
      <c r="ID463" s="156"/>
      <c r="IE463" s="156"/>
      <c r="IF463" s="156"/>
      <c r="IG463" s="156"/>
      <c r="IH463" s="156"/>
      <c r="II463" s="156"/>
      <c r="IJ463" s="156"/>
      <c r="IK463" s="156"/>
      <c r="IL463" s="156"/>
      <c r="IM463" s="156"/>
      <c r="IN463" s="156"/>
      <c r="IO463" s="156"/>
      <c r="IP463" s="156"/>
      <c r="IQ463" s="156"/>
      <c r="IR463" s="156"/>
      <c r="IS463" s="156"/>
      <c r="IT463" s="156"/>
      <c r="IU463" s="156"/>
      <c r="IV463" s="156"/>
      <c r="IW463" s="156"/>
      <c r="IX463" s="156"/>
      <c r="IY463" s="156"/>
      <c r="IZ463" s="156"/>
      <c r="JA463" s="156"/>
      <c r="JB463" s="156"/>
      <c r="JC463" s="156"/>
      <c r="JD463" s="156"/>
      <c r="JE463" s="156"/>
      <c r="JF463" s="156"/>
      <c r="JG463" s="156"/>
      <c r="JH463" s="156"/>
      <c r="JI463" s="156"/>
      <c r="JJ463" s="156"/>
      <c r="JK463" s="156"/>
      <c r="JL463" s="156"/>
      <c r="JM463" s="156"/>
      <c r="JN463" s="156"/>
      <c r="JO463" s="156"/>
      <c r="JP463" s="156"/>
      <c r="JQ463" s="156"/>
      <c r="JR463" s="156"/>
      <c r="JS463" s="156"/>
      <c r="JT463" s="156"/>
      <c r="JU463" s="156"/>
      <c r="JV463" s="156"/>
      <c r="JW463" s="156"/>
      <c r="JX463" s="156"/>
      <c r="JY463" s="156"/>
      <c r="JZ463" s="156"/>
      <c r="KA463" s="156"/>
      <c r="KB463" s="156"/>
      <c r="KC463" s="156"/>
      <c r="KD463" s="156"/>
      <c r="KE463" s="156"/>
    </row>
    <row r="464" spans="1:291" s="156" customFormat="1" ht="35" customHeight="1">
      <c r="A464" s="42">
        <f>ROW()-2</f>
        <v>462</v>
      </c>
      <c r="B464" s="152" t="s">
        <v>2732</v>
      </c>
      <c r="C464" s="152" t="s">
        <v>3576</v>
      </c>
      <c r="D464" s="58" t="s">
        <v>3584</v>
      </c>
      <c r="E464" s="58" t="s">
        <v>3583</v>
      </c>
      <c r="F464" s="58" t="s">
        <v>3452</v>
      </c>
      <c r="G464" s="152" t="s">
        <v>34</v>
      </c>
      <c r="H464" s="152">
        <v>1</v>
      </c>
      <c r="I464" s="153">
        <v>0.36</v>
      </c>
      <c r="J464" s="154">
        <v>44172</v>
      </c>
      <c r="K464" s="153" t="s">
        <v>20</v>
      </c>
      <c r="L464" s="152">
        <v>4.99</v>
      </c>
      <c r="M464" s="155"/>
    </row>
    <row r="465" spans="1:291" s="156" customFormat="1" ht="35" customHeight="1">
      <c r="A465" s="42">
        <f>ROW()-2</f>
        <v>463</v>
      </c>
      <c r="B465" s="152" t="s">
        <v>2732</v>
      </c>
      <c r="C465" s="152" t="s">
        <v>3576</v>
      </c>
      <c r="D465" s="58" t="s">
        <v>3585</v>
      </c>
      <c r="E465" s="58" t="s">
        <v>3586</v>
      </c>
      <c r="F465" s="58" t="s">
        <v>5140</v>
      </c>
      <c r="G465" s="152" t="s">
        <v>34</v>
      </c>
      <c r="H465" s="152">
        <v>1</v>
      </c>
      <c r="I465" s="153">
        <v>0.57999999999999996</v>
      </c>
      <c r="J465" s="154">
        <v>44172</v>
      </c>
      <c r="K465" s="153" t="s">
        <v>20</v>
      </c>
      <c r="L465" s="152">
        <v>4.99</v>
      </c>
      <c r="M465" s="155"/>
    </row>
    <row r="466" spans="1:291" s="156" customFormat="1" ht="35" customHeight="1">
      <c r="A466" s="42">
        <f>ROW()-2</f>
        <v>464</v>
      </c>
      <c r="B466" s="152" t="s">
        <v>2732</v>
      </c>
      <c r="C466" s="152" t="s">
        <v>3576</v>
      </c>
      <c r="D466" s="58" t="s">
        <v>3580</v>
      </c>
      <c r="E466" s="58" t="s">
        <v>3581</v>
      </c>
      <c r="F466" s="58" t="s">
        <v>3311</v>
      </c>
      <c r="G466" s="152" t="s">
        <v>34</v>
      </c>
      <c r="H466" s="152">
        <v>1</v>
      </c>
      <c r="I466" s="153">
        <v>0.51</v>
      </c>
      <c r="J466" s="154">
        <v>44186</v>
      </c>
      <c r="K466" s="153" t="s">
        <v>20</v>
      </c>
      <c r="L466" s="152">
        <v>4.99</v>
      </c>
      <c r="M466" s="155"/>
    </row>
    <row r="467" spans="1:291" s="156" customFormat="1" ht="35" customHeight="1">
      <c r="A467" s="42">
        <f>ROW()-2</f>
        <v>465</v>
      </c>
      <c r="B467" s="42" t="s">
        <v>2732</v>
      </c>
      <c r="C467" s="42" t="s">
        <v>3576</v>
      </c>
      <c r="D467" s="43" t="s">
        <v>3720</v>
      </c>
      <c r="E467" s="43" t="s">
        <v>3721</v>
      </c>
      <c r="F467" s="43" t="s">
        <v>3639</v>
      </c>
      <c r="G467" s="42" t="s">
        <v>34</v>
      </c>
      <c r="H467" s="42">
        <v>1</v>
      </c>
      <c r="I467" s="44">
        <v>0.45</v>
      </c>
      <c r="J467" s="45">
        <v>44333</v>
      </c>
      <c r="K467" s="44" t="s">
        <v>20</v>
      </c>
      <c r="L467" s="42">
        <v>4.99</v>
      </c>
      <c r="M467" s="25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  <c r="DI467" s="31"/>
      <c r="DJ467" s="31"/>
      <c r="DK467" s="31"/>
      <c r="DL467" s="31"/>
      <c r="DM467" s="31"/>
      <c r="DN467" s="31"/>
      <c r="DO467" s="31"/>
      <c r="DP467" s="31"/>
      <c r="DQ467" s="31"/>
      <c r="DR467" s="31"/>
      <c r="DS467" s="31"/>
      <c r="DT467" s="31"/>
      <c r="DU467" s="31"/>
      <c r="DV467" s="31"/>
      <c r="DW467" s="31"/>
      <c r="DX467" s="31"/>
      <c r="DY467" s="31"/>
      <c r="DZ467" s="31"/>
      <c r="EA467" s="31"/>
      <c r="EB467" s="31"/>
      <c r="EC467" s="31"/>
      <c r="ED467" s="31"/>
      <c r="EE467" s="31"/>
      <c r="EF467" s="31"/>
      <c r="EG467" s="31"/>
      <c r="EH467" s="31"/>
      <c r="EI467" s="31"/>
      <c r="EJ467" s="31"/>
      <c r="EK467" s="31"/>
      <c r="EL467" s="31"/>
      <c r="EM467" s="31"/>
      <c r="EN467" s="31"/>
      <c r="EO467" s="31"/>
      <c r="EP467" s="31"/>
      <c r="EQ467" s="31"/>
      <c r="ER467" s="31"/>
      <c r="ES467" s="31"/>
      <c r="ET467" s="31"/>
      <c r="EU467" s="31"/>
      <c r="EV467" s="31"/>
      <c r="EW467" s="31"/>
      <c r="EX467" s="31"/>
      <c r="EY467" s="31"/>
      <c r="EZ467" s="31"/>
      <c r="FA467" s="31"/>
      <c r="FB467" s="31"/>
      <c r="FC467" s="31"/>
      <c r="FD467" s="31"/>
      <c r="FE467" s="31"/>
      <c r="FF467" s="31"/>
      <c r="FG467" s="31"/>
      <c r="FH467" s="31"/>
      <c r="FI467" s="31"/>
      <c r="FJ467" s="31"/>
      <c r="FK467" s="31"/>
      <c r="FL467" s="31"/>
      <c r="FM467" s="31"/>
      <c r="FN467" s="31"/>
      <c r="FO467" s="31"/>
      <c r="FP467" s="31"/>
      <c r="FQ467" s="31"/>
      <c r="FR467" s="31"/>
      <c r="FS467" s="31"/>
      <c r="FT467" s="31"/>
      <c r="FU467" s="31"/>
      <c r="FV467" s="31"/>
      <c r="FW467" s="31"/>
      <c r="FX467" s="31"/>
      <c r="FY467" s="31"/>
      <c r="FZ467" s="31"/>
      <c r="GA467" s="31"/>
      <c r="GB467" s="31"/>
      <c r="GC467" s="31"/>
      <c r="GD467" s="31"/>
      <c r="GE467" s="31"/>
      <c r="GF467" s="31"/>
      <c r="GG467" s="31"/>
      <c r="GH467" s="31"/>
      <c r="GI467" s="31"/>
      <c r="GJ467" s="31"/>
      <c r="GK467" s="31"/>
      <c r="GL467" s="31"/>
      <c r="GM467" s="31"/>
      <c r="GN467" s="31"/>
      <c r="GO467" s="31"/>
      <c r="GP467" s="31"/>
      <c r="GQ467" s="31"/>
      <c r="GR467" s="31"/>
      <c r="GS467" s="31"/>
      <c r="GT467" s="31"/>
      <c r="GU467" s="31"/>
      <c r="GV467" s="31"/>
      <c r="GW467" s="31"/>
      <c r="GX467" s="31"/>
      <c r="GY467" s="31"/>
      <c r="GZ467" s="31"/>
      <c r="HA467" s="31"/>
      <c r="HB467" s="31"/>
      <c r="HC467" s="31"/>
      <c r="HD467" s="31"/>
      <c r="HE467" s="31"/>
      <c r="HF467" s="31"/>
      <c r="HG467" s="31"/>
      <c r="HH467" s="31"/>
      <c r="HI467" s="31"/>
      <c r="HJ467" s="31"/>
      <c r="HK467" s="31"/>
      <c r="HL467" s="31"/>
      <c r="HM467" s="31"/>
      <c r="HN467" s="31"/>
      <c r="HO467" s="31"/>
      <c r="HP467" s="31"/>
      <c r="HQ467" s="31"/>
      <c r="HR467" s="31"/>
      <c r="HS467" s="31"/>
      <c r="HT467" s="31"/>
      <c r="HU467" s="31"/>
      <c r="HV467" s="31"/>
      <c r="HW467" s="31"/>
      <c r="HX467" s="31"/>
      <c r="HY467" s="31"/>
      <c r="HZ467" s="31"/>
      <c r="IA467" s="31"/>
      <c r="IB467" s="31"/>
      <c r="IC467" s="31"/>
      <c r="ID467" s="31"/>
      <c r="IE467" s="31"/>
      <c r="IF467" s="31"/>
      <c r="IG467" s="31"/>
      <c r="IH467" s="31"/>
      <c r="II467" s="31"/>
      <c r="IJ467" s="31"/>
      <c r="IK467" s="31"/>
      <c r="IL467" s="31"/>
      <c r="IM467" s="31"/>
      <c r="IN467" s="31"/>
      <c r="IO467" s="31"/>
      <c r="IP467" s="31"/>
      <c r="IQ467" s="31"/>
      <c r="IR467" s="31"/>
      <c r="IS467" s="31"/>
      <c r="IT467" s="31"/>
      <c r="IU467" s="31"/>
      <c r="IV467" s="31"/>
      <c r="IW467" s="31"/>
      <c r="IX467" s="31"/>
      <c r="IY467" s="31"/>
      <c r="IZ467" s="31"/>
      <c r="JA467" s="31"/>
      <c r="JB467" s="31"/>
      <c r="JC467" s="31"/>
      <c r="JD467" s="31"/>
      <c r="JE467" s="31"/>
      <c r="JF467" s="31"/>
      <c r="JG467" s="31"/>
      <c r="JH467" s="31"/>
      <c r="JI467" s="31"/>
      <c r="JJ467" s="31"/>
      <c r="JK467" s="31"/>
      <c r="JL467" s="31"/>
      <c r="JM467" s="31"/>
      <c r="JN467" s="31"/>
      <c r="JO467" s="31"/>
      <c r="JP467" s="31"/>
      <c r="JQ467" s="31"/>
      <c r="JR467" s="31"/>
      <c r="JS467" s="31"/>
      <c r="JT467" s="31"/>
      <c r="JU467" s="31"/>
      <c r="JV467" s="31"/>
      <c r="JW467" s="31"/>
      <c r="JX467" s="31"/>
      <c r="JY467" s="31"/>
      <c r="JZ467" s="31"/>
      <c r="KA467" s="31"/>
      <c r="KB467" s="31"/>
      <c r="KC467" s="31"/>
      <c r="KD467" s="31"/>
      <c r="KE467" s="31"/>
    </row>
    <row r="468" spans="1:291" s="156" customFormat="1" ht="35" customHeight="1">
      <c r="A468" s="42">
        <f>ROW()-2</f>
        <v>466</v>
      </c>
      <c r="B468" s="42" t="s">
        <v>2732</v>
      </c>
      <c r="C468" s="42" t="s">
        <v>3576</v>
      </c>
      <c r="D468" s="43" t="s">
        <v>3724</v>
      </c>
      <c r="E468" s="43" t="s">
        <v>3725</v>
      </c>
      <c r="F468" s="43" t="s">
        <v>2739</v>
      </c>
      <c r="G468" s="42" t="s">
        <v>34</v>
      </c>
      <c r="H468" s="42">
        <v>1</v>
      </c>
      <c r="I468" s="44">
        <v>0.5</v>
      </c>
      <c r="J468" s="45">
        <v>44368</v>
      </c>
      <c r="K468" s="44" t="s">
        <v>20</v>
      </c>
      <c r="L468" s="42">
        <v>4.99</v>
      </c>
      <c r="M468" s="25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  <c r="DI468" s="31"/>
      <c r="DJ468" s="31"/>
      <c r="DK468" s="31"/>
      <c r="DL468" s="31"/>
      <c r="DM468" s="31"/>
      <c r="DN468" s="31"/>
      <c r="DO468" s="31"/>
      <c r="DP468" s="31"/>
      <c r="DQ468" s="31"/>
      <c r="DR468" s="31"/>
      <c r="DS468" s="31"/>
      <c r="DT468" s="31"/>
      <c r="DU468" s="31"/>
      <c r="DV468" s="31"/>
      <c r="DW468" s="31"/>
      <c r="DX468" s="31"/>
      <c r="DY468" s="31"/>
      <c r="DZ468" s="31"/>
      <c r="EA468" s="31"/>
      <c r="EB468" s="31"/>
      <c r="EC468" s="31"/>
      <c r="ED468" s="31"/>
      <c r="EE468" s="31"/>
      <c r="EF468" s="31"/>
      <c r="EG468" s="31"/>
      <c r="EH468" s="31"/>
      <c r="EI468" s="31"/>
      <c r="EJ468" s="31"/>
      <c r="EK468" s="31"/>
      <c r="EL468" s="31"/>
      <c r="EM468" s="31"/>
      <c r="EN468" s="31"/>
      <c r="EO468" s="31"/>
      <c r="EP468" s="31"/>
      <c r="EQ468" s="31"/>
      <c r="ER468" s="31"/>
      <c r="ES468" s="31"/>
      <c r="ET468" s="31"/>
      <c r="EU468" s="31"/>
      <c r="EV468" s="31"/>
      <c r="EW468" s="31"/>
      <c r="EX468" s="31"/>
      <c r="EY468" s="31"/>
      <c r="EZ468" s="31"/>
      <c r="FA468" s="31"/>
      <c r="FB468" s="31"/>
      <c r="FC468" s="31"/>
      <c r="FD468" s="31"/>
      <c r="FE468" s="31"/>
      <c r="FF468" s="31"/>
      <c r="FG468" s="31"/>
      <c r="FH468" s="31"/>
      <c r="FI468" s="31"/>
      <c r="FJ468" s="31"/>
      <c r="FK468" s="31"/>
      <c r="FL468" s="31"/>
      <c r="FM468" s="31"/>
      <c r="FN468" s="31"/>
      <c r="FO468" s="31"/>
      <c r="FP468" s="31"/>
      <c r="FQ468" s="31"/>
      <c r="FR468" s="31"/>
      <c r="FS468" s="31"/>
      <c r="FT468" s="31"/>
      <c r="FU468" s="31"/>
      <c r="FV468" s="31"/>
      <c r="FW468" s="31"/>
      <c r="FX468" s="31"/>
      <c r="FY468" s="31"/>
      <c r="FZ468" s="31"/>
      <c r="GA468" s="31"/>
      <c r="GB468" s="31"/>
      <c r="GC468" s="31"/>
      <c r="GD468" s="31"/>
      <c r="GE468" s="31"/>
      <c r="GF468" s="31"/>
      <c r="GG468" s="31"/>
      <c r="GH468" s="31"/>
      <c r="GI468" s="31"/>
      <c r="GJ468" s="31"/>
      <c r="GK468" s="31"/>
      <c r="GL468" s="31"/>
      <c r="GM468" s="31"/>
      <c r="GN468" s="31"/>
      <c r="GO468" s="31"/>
      <c r="GP468" s="31"/>
      <c r="GQ468" s="31"/>
      <c r="GR468" s="31"/>
      <c r="GS468" s="31"/>
      <c r="GT468" s="31"/>
      <c r="GU468" s="31"/>
      <c r="GV468" s="31"/>
      <c r="GW468" s="31"/>
      <c r="GX468" s="31"/>
      <c r="GY468" s="31"/>
      <c r="GZ468" s="31"/>
      <c r="HA468" s="31"/>
      <c r="HB468" s="31"/>
      <c r="HC468" s="31"/>
      <c r="HD468" s="31"/>
      <c r="HE468" s="31"/>
      <c r="HF468" s="31"/>
      <c r="HG468" s="31"/>
      <c r="HH468" s="31"/>
      <c r="HI468" s="31"/>
      <c r="HJ468" s="31"/>
      <c r="HK468" s="31"/>
      <c r="HL468" s="31"/>
      <c r="HM468" s="31"/>
      <c r="HN468" s="31"/>
      <c r="HO468" s="31"/>
      <c r="HP468" s="31"/>
      <c r="HQ468" s="31"/>
      <c r="HR468" s="31"/>
      <c r="HS468" s="31"/>
      <c r="HT468" s="31"/>
      <c r="HU468" s="31"/>
      <c r="HV468" s="31"/>
      <c r="HW468" s="31"/>
      <c r="HX468" s="31"/>
      <c r="HY468" s="31"/>
      <c r="HZ468" s="31"/>
      <c r="IA468" s="31"/>
      <c r="IB468" s="31"/>
      <c r="IC468" s="31"/>
      <c r="ID468" s="31"/>
      <c r="IE468" s="31"/>
      <c r="IF468" s="31"/>
      <c r="IG468" s="31"/>
      <c r="IH468" s="31"/>
      <c r="II468" s="31"/>
      <c r="IJ468" s="31"/>
      <c r="IK468" s="31"/>
      <c r="IL468" s="31"/>
      <c r="IM468" s="31"/>
      <c r="IN468" s="31"/>
      <c r="IO468" s="31"/>
      <c r="IP468" s="31"/>
      <c r="IQ468" s="31"/>
      <c r="IR468" s="31"/>
      <c r="IS468" s="31"/>
      <c r="IT468" s="31"/>
      <c r="IU468" s="31"/>
      <c r="IV468" s="31"/>
      <c r="IW468" s="31"/>
      <c r="IX468" s="31"/>
      <c r="IY468" s="31"/>
      <c r="IZ468" s="31"/>
      <c r="JA468" s="31"/>
      <c r="JB468" s="31"/>
      <c r="JC468" s="31"/>
      <c r="JD468" s="31"/>
      <c r="JE468" s="31"/>
      <c r="JF468" s="31"/>
      <c r="JG468" s="31"/>
      <c r="JH468" s="31"/>
      <c r="JI468" s="31"/>
      <c r="JJ468" s="31"/>
      <c r="JK468" s="31"/>
      <c r="JL468" s="31"/>
      <c r="JM468" s="31"/>
      <c r="JN468" s="31"/>
      <c r="JO468" s="31"/>
      <c r="JP468" s="31"/>
      <c r="JQ468" s="31"/>
      <c r="JR468" s="31"/>
      <c r="JS468" s="31"/>
      <c r="JT468" s="31"/>
      <c r="JU468" s="31"/>
      <c r="JV468" s="31"/>
      <c r="JW468" s="31"/>
      <c r="JX468" s="31"/>
      <c r="JY468" s="31"/>
      <c r="JZ468" s="31"/>
      <c r="KA468" s="31"/>
      <c r="KB468" s="31"/>
      <c r="KC468" s="31"/>
      <c r="KD468" s="31"/>
      <c r="KE468" s="31"/>
    </row>
    <row r="469" spans="1:291" s="156" customFormat="1" ht="35" customHeight="1">
      <c r="A469" s="42">
        <f>ROW()-2</f>
        <v>467</v>
      </c>
      <c r="B469" s="42" t="s">
        <v>2732</v>
      </c>
      <c r="C469" s="42" t="s">
        <v>3576</v>
      </c>
      <c r="D469" s="43" t="s">
        <v>3722</v>
      </c>
      <c r="E469" s="43" t="s">
        <v>3723</v>
      </c>
      <c r="F469" s="43" t="s">
        <v>3343</v>
      </c>
      <c r="G469" s="42" t="s">
        <v>34</v>
      </c>
      <c r="H469" s="42">
        <v>1</v>
      </c>
      <c r="I469" s="44">
        <v>0.5</v>
      </c>
      <c r="J469" s="45">
        <v>44368</v>
      </c>
      <c r="K469" s="44" t="s">
        <v>20</v>
      </c>
      <c r="L469" s="42">
        <v>4.99</v>
      </c>
      <c r="M469" s="25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1"/>
      <c r="DD469" s="31"/>
      <c r="DE469" s="31"/>
      <c r="DF469" s="31"/>
      <c r="DG469" s="31"/>
      <c r="DH469" s="31"/>
      <c r="DI469" s="31"/>
      <c r="DJ469" s="31"/>
      <c r="DK469" s="31"/>
      <c r="DL469" s="31"/>
      <c r="DM469" s="31"/>
      <c r="DN469" s="31"/>
      <c r="DO469" s="31"/>
      <c r="DP469" s="31"/>
      <c r="DQ469" s="31"/>
      <c r="DR469" s="31"/>
      <c r="DS469" s="31"/>
      <c r="DT469" s="31"/>
      <c r="DU469" s="31"/>
      <c r="DV469" s="31"/>
      <c r="DW469" s="31"/>
      <c r="DX469" s="31"/>
      <c r="DY469" s="31"/>
      <c r="DZ469" s="31"/>
      <c r="EA469" s="31"/>
      <c r="EB469" s="31"/>
      <c r="EC469" s="31"/>
      <c r="ED469" s="31"/>
      <c r="EE469" s="31"/>
      <c r="EF469" s="31"/>
      <c r="EG469" s="31"/>
      <c r="EH469" s="31"/>
      <c r="EI469" s="31"/>
      <c r="EJ469" s="31"/>
      <c r="EK469" s="31"/>
      <c r="EL469" s="31"/>
      <c r="EM469" s="31"/>
      <c r="EN469" s="31"/>
      <c r="EO469" s="31"/>
      <c r="EP469" s="31"/>
      <c r="EQ469" s="31"/>
      <c r="ER469" s="31"/>
      <c r="ES469" s="31"/>
      <c r="ET469" s="31"/>
      <c r="EU469" s="31"/>
      <c r="EV469" s="31"/>
      <c r="EW469" s="31"/>
      <c r="EX469" s="31"/>
      <c r="EY469" s="31"/>
      <c r="EZ469" s="31"/>
      <c r="FA469" s="31"/>
      <c r="FB469" s="31"/>
      <c r="FC469" s="31"/>
      <c r="FD469" s="31"/>
      <c r="FE469" s="31"/>
      <c r="FF469" s="31"/>
      <c r="FG469" s="31"/>
      <c r="FH469" s="31"/>
      <c r="FI469" s="31"/>
      <c r="FJ469" s="31"/>
      <c r="FK469" s="31"/>
      <c r="FL469" s="31"/>
      <c r="FM469" s="31"/>
      <c r="FN469" s="31"/>
      <c r="FO469" s="31"/>
      <c r="FP469" s="31"/>
      <c r="FQ469" s="31"/>
      <c r="FR469" s="31"/>
      <c r="FS469" s="31"/>
      <c r="FT469" s="31"/>
      <c r="FU469" s="31"/>
      <c r="FV469" s="31"/>
      <c r="FW469" s="31"/>
      <c r="FX469" s="31"/>
      <c r="FY469" s="31"/>
      <c r="FZ469" s="31"/>
      <c r="GA469" s="31"/>
      <c r="GB469" s="31"/>
      <c r="GC469" s="31"/>
      <c r="GD469" s="31"/>
      <c r="GE469" s="31"/>
      <c r="GF469" s="31"/>
      <c r="GG469" s="31"/>
      <c r="GH469" s="31"/>
      <c r="GI469" s="31"/>
      <c r="GJ469" s="31"/>
      <c r="GK469" s="31"/>
      <c r="GL469" s="31"/>
      <c r="GM469" s="31"/>
      <c r="GN469" s="31"/>
      <c r="GO469" s="31"/>
      <c r="GP469" s="31"/>
      <c r="GQ469" s="31"/>
      <c r="GR469" s="31"/>
      <c r="GS469" s="31"/>
      <c r="GT469" s="31"/>
      <c r="GU469" s="31"/>
      <c r="GV469" s="31"/>
      <c r="GW469" s="31"/>
      <c r="GX469" s="31"/>
      <c r="GY469" s="31"/>
      <c r="GZ469" s="31"/>
      <c r="HA469" s="31"/>
      <c r="HB469" s="31"/>
      <c r="HC469" s="31"/>
      <c r="HD469" s="31"/>
      <c r="HE469" s="31"/>
      <c r="HF469" s="31"/>
      <c r="HG469" s="31"/>
      <c r="HH469" s="31"/>
      <c r="HI469" s="31"/>
      <c r="HJ469" s="31"/>
      <c r="HK469" s="31"/>
      <c r="HL469" s="31"/>
      <c r="HM469" s="31"/>
      <c r="HN469" s="31"/>
      <c r="HO469" s="31"/>
      <c r="HP469" s="31"/>
      <c r="HQ469" s="31"/>
      <c r="HR469" s="31"/>
      <c r="HS469" s="31"/>
      <c r="HT469" s="31"/>
      <c r="HU469" s="31"/>
      <c r="HV469" s="31"/>
      <c r="HW469" s="31"/>
      <c r="HX469" s="31"/>
      <c r="HY469" s="31"/>
      <c r="HZ469" s="31"/>
      <c r="IA469" s="31"/>
      <c r="IB469" s="31"/>
      <c r="IC469" s="31"/>
      <c r="ID469" s="31"/>
      <c r="IE469" s="31"/>
      <c r="IF469" s="31"/>
      <c r="IG469" s="31"/>
      <c r="IH469" s="31"/>
      <c r="II469" s="31"/>
      <c r="IJ469" s="31"/>
      <c r="IK469" s="31"/>
      <c r="IL469" s="31"/>
      <c r="IM469" s="31"/>
      <c r="IN469" s="31"/>
      <c r="IO469" s="31"/>
      <c r="IP469" s="31"/>
      <c r="IQ469" s="31"/>
      <c r="IR469" s="31"/>
      <c r="IS469" s="31"/>
      <c r="IT469" s="31"/>
      <c r="IU469" s="31"/>
      <c r="IV469" s="31"/>
      <c r="IW469" s="31"/>
      <c r="IX469" s="31"/>
      <c r="IY469" s="31"/>
      <c r="IZ469" s="31"/>
      <c r="JA469" s="31"/>
      <c r="JB469" s="31"/>
      <c r="JC469" s="31"/>
      <c r="JD469" s="31"/>
      <c r="JE469" s="31"/>
      <c r="JF469" s="31"/>
      <c r="JG469" s="31"/>
      <c r="JH469" s="31"/>
      <c r="JI469" s="31"/>
      <c r="JJ469" s="31"/>
      <c r="JK469" s="31"/>
      <c r="JL469" s="31"/>
      <c r="JM469" s="31"/>
      <c r="JN469" s="31"/>
      <c r="JO469" s="31"/>
      <c r="JP469" s="31"/>
      <c r="JQ469" s="31"/>
      <c r="JR469" s="31"/>
      <c r="JS469" s="31"/>
      <c r="JT469" s="31"/>
      <c r="JU469" s="31"/>
      <c r="JV469" s="31"/>
      <c r="JW469" s="31"/>
      <c r="JX469" s="31"/>
      <c r="JY469" s="31"/>
      <c r="JZ469" s="31"/>
      <c r="KA469" s="31"/>
      <c r="KB469" s="31"/>
      <c r="KC469" s="31"/>
      <c r="KD469" s="31"/>
      <c r="KE469" s="31"/>
    </row>
    <row r="470" spans="1:291" s="156" customFormat="1" ht="35" customHeight="1">
      <c r="A470" s="42">
        <f>ROW()-2</f>
        <v>468</v>
      </c>
      <c r="B470" s="42" t="s">
        <v>2732</v>
      </c>
      <c r="C470" s="42" t="s">
        <v>3576</v>
      </c>
      <c r="D470" s="43" t="s">
        <v>3726</v>
      </c>
      <c r="E470" s="43" t="s">
        <v>3727</v>
      </c>
      <c r="F470" s="43" t="s">
        <v>3728</v>
      </c>
      <c r="G470" s="42" t="s">
        <v>34</v>
      </c>
      <c r="H470" s="42">
        <v>1</v>
      </c>
      <c r="I470" s="44">
        <v>0.45</v>
      </c>
      <c r="J470" s="45">
        <v>44445</v>
      </c>
      <c r="K470" s="44" t="s">
        <v>20</v>
      </c>
      <c r="L470" s="42">
        <v>4.99</v>
      </c>
      <c r="M470" s="32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  <c r="FS470" s="30"/>
      <c r="FT470" s="30"/>
      <c r="FU470" s="30"/>
      <c r="FV470" s="30"/>
      <c r="FW470" s="30"/>
      <c r="FX470" s="30"/>
      <c r="FY470" s="30"/>
      <c r="FZ470" s="30"/>
      <c r="GA470" s="30"/>
      <c r="GB470" s="30"/>
      <c r="GC470" s="30"/>
      <c r="GD470" s="30"/>
      <c r="GE470" s="30"/>
      <c r="GF470" s="30"/>
      <c r="GG470" s="30"/>
      <c r="GH470" s="30"/>
      <c r="GI470" s="30"/>
      <c r="GJ470" s="30"/>
      <c r="GK470" s="30"/>
      <c r="GL470" s="30"/>
      <c r="GM470" s="30"/>
      <c r="GN470" s="30"/>
      <c r="GO470" s="30"/>
      <c r="GP470" s="30"/>
      <c r="GQ470" s="30"/>
      <c r="GR470" s="30"/>
      <c r="GS470" s="30"/>
      <c r="GT470" s="30"/>
      <c r="GU470" s="30"/>
      <c r="GV470" s="30"/>
      <c r="GW470" s="30"/>
      <c r="GX470" s="30"/>
      <c r="GY470" s="30"/>
      <c r="GZ470" s="30"/>
      <c r="HA470" s="30"/>
      <c r="HB470" s="30"/>
      <c r="HC470" s="30"/>
      <c r="HD470" s="30"/>
      <c r="HE470" s="30"/>
      <c r="HF470" s="30"/>
      <c r="HG470" s="30"/>
      <c r="HH470" s="30"/>
      <c r="HI470" s="30"/>
      <c r="HJ470" s="30"/>
      <c r="HK470" s="30"/>
      <c r="HL470" s="30"/>
      <c r="HM470" s="30"/>
      <c r="HN470" s="30"/>
      <c r="HO470" s="30"/>
      <c r="HP470" s="30"/>
      <c r="HQ470" s="30"/>
      <c r="HR470" s="30"/>
      <c r="HS470" s="30"/>
      <c r="HT470" s="30"/>
      <c r="HU470" s="30"/>
      <c r="HV470" s="30"/>
      <c r="HW470" s="30"/>
      <c r="HX470" s="30"/>
      <c r="HY470" s="30"/>
      <c r="HZ470" s="30"/>
      <c r="IA470" s="30"/>
      <c r="IB470" s="30"/>
      <c r="IC470" s="30"/>
      <c r="ID470" s="30"/>
      <c r="IE470" s="30"/>
      <c r="IF470" s="30"/>
      <c r="IG470" s="30"/>
      <c r="IH470" s="30"/>
      <c r="II470" s="30"/>
      <c r="IJ470" s="30"/>
      <c r="IK470" s="30"/>
      <c r="IL470" s="30"/>
      <c r="IM470" s="30"/>
      <c r="IN470" s="30"/>
      <c r="IO470" s="30"/>
      <c r="IP470" s="30"/>
      <c r="IQ470" s="30"/>
      <c r="IR470" s="30"/>
      <c r="IS470" s="30"/>
      <c r="IT470" s="30"/>
      <c r="IU470" s="30"/>
      <c r="IV470" s="30"/>
      <c r="IW470" s="30"/>
      <c r="IX470" s="30"/>
      <c r="IY470" s="30"/>
      <c r="IZ470" s="30"/>
      <c r="JA470" s="30"/>
      <c r="JB470" s="30"/>
      <c r="JC470" s="30"/>
      <c r="JD470" s="30"/>
      <c r="JE470" s="30"/>
      <c r="JF470" s="30"/>
      <c r="JG470" s="30"/>
      <c r="JH470" s="30"/>
      <c r="JI470" s="30"/>
      <c r="JJ470" s="30"/>
      <c r="JK470" s="30"/>
      <c r="JL470" s="30"/>
      <c r="JM470" s="30"/>
      <c r="JN470" s="30"/>
      <c r="JO470" s="30"/>
      <c r="JP470" s="30"/>
      <c r="JQ470" s="30"/>
      <c r="JR470" s="30"/>
      <c r="JS470" s="30"/>
      <c r="JT470" s="30"/>
      <c r="JU470" s="30"/>
      <c r="JV470" s="30"/>
      <c r="JW470" s="30"/>
      <c r="JX470" s="30"/>
      <c r="JY470" s="30"/>
      <c r="JZ470" s="30"/>
      <c r="KA470" s="30"/>
      <c r="KB470" s="30"/>
      <c r="KC470" s="30"/>
      <c r="KD470" s="30"/>
      <c r="KE470" s="30"/>
    </row>
    <row r="471" spans="1:291" s="156" customFormat="1" ht="35" customHeight="1">
      <c r="A471" s="42">
        <f>ROW()-2</f>
        <v>469</v>
      </c>
      <c r="B471" s="42" t="s">
        <v>2732</v>
      </c>
      <c r="C471" s="42" t="s">
        <v>3576</v>
      </c>
      <c r="D471" s="43" t="s">
        <v>3729</v>
      </c>
      <c r="E471" s="43" t="s">
        <v>3730</v>
      </c>
      <c r="F471" s="43" t="s">
        <v>3731</v>
      </c>
      <c r="G471" s="42" t="s">
        <v>3253</v>
      </c>
      <c r="H471" s="42">
        <v>1</v>
      </c>
      <c r="I471" s="44">
        <v>0.5</v>
      </c>
      <c r="J471" s="45">
        <v>44466</v>
      </c>
      <c r="K471" s="44" t="s">
        <v>20</v>
      </c>
      <c r="L471" s="42">
        <v>4.99</v>
      </c>
      <c r="M471" s="32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  <c r="FS471" s="30"/>
      <c r="FT471" s="30"/>
      <c r="FU471" s="30"/>
      <c r="FV471" s="30"/>
      <c r="FW471" s="30"/>
      <c r="FX471" s="30"/>
      <c r="FY471" s="30"/>
      <c r="FZ471" s="30"/>
      <c r="GA471" s="30"/>
      <c r="GB471" s="30"/>
      <c r="GC471" s="30"/>
      <c r="GD471" s="30"/>
      <c r="GE471" s="30"/>
      <c r="GF471" s="30"/>
      <c r="GG471" s="30"/>
      <c r="GH471" s="30"/>
      <c r="GI471" s="30"/>
      <c r="GJ471" s="30"/>
      <c r="GK471" s="30"/>
      <c r="GL471" s="30"/>
      <c r="GM471" s="30"/>
      <c r="GN471" s="30"/>
      <c r="GO471" s="30"/>
      <c r="GP471" s="30"/>
      <c r="GQ471" s="30"/>
      <c r="GR471" s="30"/>
      <c r="GS471" s="30"/>
      <c r="GT471" s="30"/>
      <c r="GU471" s="30"/>
      <c r="GV471" s="30"/>
      <c r="GW471" s="30"/>
      <c r="GX471" s="30"/>
      <c r="GY471" s="30"/>
      <c r="GZ471" s="30"/>
      <c r="HA471" s="30"/>
      <c r="HB471" s="30"/>
      <c r="HC471" s="30"/>
      <c r="HD471" s="30"/>
      <c r="HE471" s="30"/>
      <c r="HF471" s="30"/>
      <c r="HG471" s="30"/>
      <c r="HH471" s="30"/>
      <c r="HI471" s="30"/>
      <c r="HJ471" s="30"/>
      <c r="HK471" s="30"/>
      <c r="HL471" s="30"/>
      <c r="HM471" s="30"/>
      <c r="HN471" s="30"/>
      <c r="HO471" s="30"/>
      <c r="HP471" s="30"/>
      <c r="HQ471" s="30"/>
      <c r="HR471" s="30"/>
      <c r="HS471" s="30"/>
      <c r="HT471" s="30"/>
      <c r="HU471" s="30"/>
      <c r="HV471" s="30"/>
      <c r="HW471" s="30"/>
      <c r="HX471" s="30"/>
      <c r="HY471" s="30"/>
      <c r="HZ471" s="30"/>
      <c r="IA471" s="30"/>
      <c r="IB471" s="30"/>
      <c r="IC471" s="30"/>
      <c r="ID471" s="30"/>
      <c r="IE471" s="30"/>
      <c r="IF471" s="30"/>
      <c r="IG471" s="30"/>
      <c r="IH471" s="30"/>
      <c r="II471" s="30"/>
      <c r="IJ471" s="30"/>
      <c r="IK471" s="30"/>
      <c r="IL471" s="30"/>
      <c r="IM471" s="30"/>
      <c r="IN471" s="30"/>
      <c r="IO471" s="30"/>
      <c r="IP471" s="30"/>
      <c r="IQ471" s="30"/>
      <c r="IR471" s="30"/>
      <c r="IS471" s="30"/>
      <c r="IT471" s="30"/>
      <c r="IU471" s="30"/>
      <c r="IV471" s="30"/>
      <c r="IW471" s="30"/>
      <c r="IX471" s="30"/>
      <c r="IY471" s="30"/>
      <c r="IZ471" s="30"/>
      <c r="JA471" s="30"/>
      <c r="JB471" s="30"/>
      <c r="JC471" s="30"/>
      <c r="JD471" s="30"/>
      <c r="JE471" s="30"/>
      <c r="JF471" s="30"/>
      <c r="JG471" s="30"/>
      <c r="JH471" s="30"/>
      <c r="JI471" s="30"/>
      <c r="JJ471" s="30"/>
      <c r="JK471" s="30"/>
      <c r="JL471" s="30"/>
      <c r="JM471" s="30"/>
      <c r="JN471" s="30"/>
      <c r="JO471" s="30"/>
      <c r="JP471" s="30"/>
      <c r="JQ471" s="30"/>
      <c r="JR471" s="30"/>
      <c r="JS471" s="30"/>
      <c r="JT471" s="30"/>
      <c r="JU471" s="30"/>
      <c r="JV471" s="30"/>
      <c r="JW471" s="30"/>
      <c r="JX471" s="30"/>
      <c r="JY471" s="30"/>
      <c r="JZ471" s="30"/>
      <c r="KA471" s="30"/>
      <c r="KB471" s="30"/>
      <c r="KC471" s="30"/>
      <c r="KD471" s="30"/>
      <c r="KE471" s="30"/>
    </row>
    <row r="472" spans="1:291" s="156" customFormat="1" ht="35" customHeight="1">
      <c r="A472" s="42">
        <f>ROW()-2</f>
        <v>470</v>
      </c>
      <c r="B472" s="42" t="s">
        <v>2732</v>
      </c>
      <c r="C472" s="42" t="s">
        <v>3576</v>
      </c>
      <c r="D472" s="43" t="s">
        <v>3732</v>
      </c>
      <c r="E472" s="43" t="s">
        <v>3733</v>
      </c>
      <c r="F472" s="43" t="s">
        <v>3734</v>
      </c>
      <c r="G472" s="42" t="s">
        <v>3253</v>
      </c>
      <c r="H472" s="42">
        <v>1</v>
      </c>
      <c r="I472" s="44">
        <v>0.5</v>
      </c>
      <c r="J472" s="45">
        <v>44509</v>
      </c>
      <c r="K472" s="44" t="s">
        <v>20</v>
      </c>
      <c r="L472" s="42">
        <v>4.99</v>
      </c>
      <c r="M472" s="32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  <c r="FS472" s="30"/>
      <c r="FT472" s="30"/>
      <c r="FU472" s="30"/>
      <c r="FV472" s="30"/>
      <c r="FW472" s="30"/>
      <c r="FX472" s="30"/>
      <c r="FY472" s="30"/>
      <c r="FZ472" s="30"/>
      <c r="GA472" s="30"/>
      <c r="GB472" s="30"/>
      <c r="GC472" s="30"/>
      <c r="GD472" s="30"/>
      <c r="GE472" s="30"/>
      <c r="GF472" s="30"/>
      <c r="GG472" s="30"/>
      <c r="GH472" s="30"/>
      <c r="GI472" s="30"/>
      <c r="GJ472" s="30"/>
      <c r="GK472" s="30"/>
      <c r="GL472" s="30"/>
      <c r="GM472" s="30"/>
      <c r="GN472" s="30"/>
      <c r="GO472" s="30"/>
      <c r="GP472" s="30"/>
      <c r="GQ472" s="30"/>
      <c r="GR472" s="30"/>
      <c r="GS472" s="30"/>
      <c r="GT472" s="30"/>
      <c r="GU472" s="30"/>
      <c r="GV472" s="30"/>
      <c r="GW472" s="30"/>
      <c r="GX472" s="30"/>
      <c r="GY472" s="30"/>
      <c r="GZ472" s="30"/>
      <c r="HA472" s="30"/>
      <c r="HB472" s="30"/>
      <c r="HC472" s="30"/>
      <c r="HD472" s="30"/>
      <c r="HE472" s="30"/>
      <c r="HF472" s="30"/>
      <c r="HG472" s="30"/>
      <c r="HH472" s="30"/>
      <c r="HI472" s="30"/>
      <c r="HJ472" s="30"/>
      <c r="HK472" s="30"/>
      <c r="HL472" s="30"/>
      <c r="HM472" s="30"/>
      <c r="HN472" s="30"/>
      <c r="HO472" s="30"/>
      <c r="HP472" s="30"/>
      <c r="HQ472" s="30"/>
      <c r="HR472" s="30"/>
      <c r="HS472" s="30"/>
      <c r="HT472" s="30"/>
      <c r="HU472" s="30"/>
      <c r="HV472" s="30"/>
      <c r="HW472" s="30"/>
      <c r="HX472" s="30"/>
      <c r="HY472" s="30"/>
      <c r="HZ472" s="30"/>
      <c r="IA472" s="30"/>
      <c r="IB472" s="30"/>
      <c r="IC472" s="30"/>
      <c r="ID472" s="30"/>
      <c r="IE472" s="30"/>
      <c r="IF472" s="30"/>
      <c r="IG472" s="30"/>
      <c r="IH472" s="30"/>
      <c r="II472" s="30"/>
      <c r="IJ472" s="30"/>
      <c r="IK472" s="30"/>
      <c r="IL472" s="30"/>
      <c r="IM472" s="30"/>
      <c r="IN472" s="30"/>
      <c r="IO472" s="30"/>
      <c r="IP472" s="30"/>
      <c r="IQ472" s="30"/>
      <c r="IR472" s="30"/>
      <c r="IS472" s="30"/>
      <c r="IT472" s="30"/>
      <c r="IU472" s="30"/>
      <c r="IV472" s="30"/>
      <c r="IW472" s="30"/>
      <c r="IX472" s="30"/>
      <c r="IY472" s="30"/>
      <c r="IZ472" s="30"/>
      <c r="JA472" s="30"/>
      <c r="JB472" s="30"/>
      <c r="JC472" s="30"/>
      <c r="JD472" s="30"/>
      <c r="JE472" s="30"/>
      <c r="JF472" s="30"/>
      <c r="JG472" s="30"/>
      <c r="JH472" s="30"/>
      <c r="JI472" s="30"/>
      <c r="JJ472" s="30"/>
      <c r="JK472" s="30"/>
      <c r="JL472" s="30"/>
      <c r="JM472" s="30"/>
      <c r="JN472" s="30"/>
      <c r="JO472" s="30"/>
      <c r="JP472" s="30"/>
      <c r="JQ472" s="30"/>
      <c r="JR472" s="30"/>
      <c r="JS472" s="30"/>
      <c r="JT472" s="30"/>
      <c r="JU472" s="30"/>
      <c r="JV472" s="30"/>
      <c r="JW472" s="30"/>
      <c r="JX472" s="30"/>
      <c r="JY472" s="30"/>
      <c r="JZ472" s="30"/>
      <c r="KA472" s="30"/>
      <c r="KB472" s="30"/>
      <c r="KC472" s="30"/>
      <c r="KD472" s="30"/>
      <c r="KE472" s="30"/>
    </row>
    <row r="473" spans="1:291" s="156" customFormat="1" ht="35" customHeight="1">
      <c r="A473" s="42">
        <f>ROW()-2</f>
        <v>471</v>
      </c>
      <c r="B473" s="152" t="s">
        <v>2732</v>
      </c>
      <c r="C473" s="152" t="s">
        <v>3576</v>
      </c>
      <c r="D473" s="58" t="s">
        <v>5158</v>
      </c>
      <c r="E473" s="58" t="s">
        <v>5160</v>
      </c>
      <c r="F473" s="58" t="s">
        <v>5162</v>
      </c>
      <c r="G473" s="152" t="s">
        <v>34</v>
      </c>
      <c r="H473" s="152">
        <v>1</v>
      </c>
      <c r="I473" s="153">
        <v>0.48</v>
      </c>
      <c r="J473" s="154">
        <v>44585</v>
      </c>
      <c r="K473" s="153" t="s">
        <v>20</v>
      </c>
      <c r="L473" s="152">
        <v>4.99</v>
      </c>
      <c r="M473" s="155"/>
    </row>
    <row r="474" spans="1:291" s="156" customFormat="1" ht="35" customHeight="1">
      <c r="A474" s="42">
        <f>ROW()-2</f>
        <v>472</v>
      </c>
      <c r="B474" s="152" t="s">
        <v>2732</v>
      </c>
      <c r="C474" s="152" t="s">
        <v>3735</v>
      </c>
      <c r="D474" s="58" t="s">
        <v>3805</v>
      </c>
      <c r="E474" s="58" t="s">
        <v>3806</v>
      </c>
      <c r="F474" s="58" t="s">
        <v>3273</v>
      </c>
      <c r="G474" s="152" t="s">
        <v>34</v>
      </c>
      <c r="H474" s="152">
        <v>1</v>
      </c>
      <c r="I474" s="153">
        <v>0.3725</v>
      </c>
      <c r="J474" s="154">
        <v>43483</v>
      </c>
      <c r="K474" s="153" t="s">
        <v>20</v>
      </c>
      <c r="L474" s="152">
        <v>4.99</v>
      </c>
      <c r="M474" s="155"/>
    </row>
    <row r="475" spans="1:291" s="156" customFormat="1" ht="35" customHeight="1">
      <c r="A475" s="42">
        <f>ROW()-2</f>
        <v>473</v>
      </c>
      <c r="B475" s="152" t="s">
        <v>2732</v>
      </c>
      <c r="C475" s="152" t="s">
        <v>3735</v>
      </c>
      <c r="D475" s="58" t="s">
        <v>3760</v>
      </c>
      <c r="E475" s="58" t="s">
        <v>3761</v>
      </c>
      <c r="F475" s="58" t="s">
        <v>3001</v>
      </c>
      <c r="G475" s="152" t="s">
        <v>34</v>
      </c>
      <c r="H475" s="152">
        <v>1</v>
      </c>
      <c r="I475" s="153">
        <v>0.45083333333333298</v>
      </c>
      <c r="J475" s="154">
        <v>43962</v>
      </c>
      <c r="K475" s="153" t="s">
        <v>20</v>
      </c>
      <c r="L475" s="152">
        <v>4.99</v>
      </c>
      <c r="M475" s="155"/>
    </row>
    <row r="476" spans="1:291" s="156" customFormat="1" ht="35" customHeight="1">
      <c r="A476" s="42">
        <f>ROW()-2</f>
        <v>474</v>
      </c>
      <c r="B476" s="152" t="s">
        <v>2732</v>
      </c>
      <c r="C476" s="152" t="s">
        <v>3735</v>
      </c>
      <c r="D476" s="58" t="s">
        <v>3829</v>
      </c>
      <c r="E476" s="58" t="s">
        <v>3830</v>
      </c>
      <c r="F476" s="58" t="s">
        <v>3242</v>
      </c>
      <c r="G476" s="152" t="s">
        <v>34</v>
      </c>
      <c r="H476" s="152">
        <v>1</v>
      </c>
      <c r="I476" s="153">
        <v>0.53</v>
      </c>
      <c r="J476" s="154">
        <v>43962</v>
      </c>
      <c r="K476" s="153" t="s">
        <v>20</v>
      </c>
      <c r="L476" s="152">
        <v>4.99</v>
      </c>
      <c r="M476" s="155"/>
    </row>
    <row r="477" spans="1:291" s="156" customFormat="1" ht="35" customHeight="1">
      <c r="A477" s="42">
        <f>ROW()-2</f>
        <v>475</v>
      </c>
      <c r="B477" s="152" t="s">
        <v>2732</v>
      </c>
      <c r="C477" s="152" t="s">
        <v>3735</v>
      </c>
      <c r="D477" s="58" t="s">
        <v>3816</v>
      </c>
      <c r="E477" s="58" t="s">
        <v>3814</v>
      </c>
      <c r="F477" s="58" t="s">
        <v>3815</v>
      </c>
      <c r="G477" s="152" t="s">
        <v>34</v>
      </c>
      <c r="H477" s="152">
        <v>1</v>
      </c>
      <c r="I477" s="153">
        <v>0.22</v>
      </c>
      <c r="J477" s="154">
        <v>43976</v>
      </c>
      <c r="K477" s="153" t="s">
        <v>20</v>
      </c>
      <c r="L477" s="152">
        <v>4.99</v>
      </c>
      <c r="M477" s="155"/>
    </row>
    <row r="478" spans="1:291" s="156" customFormat="1" ht="35" customHeight="1">
      <c r="A478" s="42">
        <f>ROW()-2</f>
        <v>476</v>
      </c>
      <c r="B478" s="152" t="s">
        <v>2732</v>
      </c>
      <c r="C478" s="152" t="s">
        <v>3735</v>
      </c>
      <c r="D478" s="58" t="s">
        <v>3754</v>
      </c>
      <c r="E478" s="58" t="s">
        <v>3755</v>
      </c>
      <c r="F478" s="58" t="s">
        <v>3756</v>
      </c>
      <c r="G478" s="152" t="s">
        <v>34</v>
      </c>
      <c r="H478" s="152">
        <v>1</v>
      </c>
      <c r="I478" s="153">
        <v>0.76527777777777795</v>
      </c>
      <c r="J478" s="154">
        <v>43978</v>
      </c>
      <c r="K478" s="153" t="s">
        <v>20</v>
      </c>
      <c r="L478" s="152">
        <v>4.99</v>
      </c>
      <c r="M478" s="155"/>
    </row>
    <row r="479" spans="1:291" s="156" customFormat="1" ht="35" customHeight="1">
      <c r="A479" s="42">
        <f>ROW()-2</f>
        <v>477</v>
      </c>
      <c r="B479" s="152" t="s">
        <v>2732</v>
      </c>
      <c r="C479" s="152" t="s">
        <v>3735</v>
      </c>
      <c r="D479" s="58" t="s">
        <v>3762</v>
      </c>
      <c r="E479" s="58" t="s">
        <v>3763</v>
      </c>
      <c r="F479" s="58" t="s">
        <v>3764</v>
      </c>
      <c r="G479" s="152" t="s">
        <v>34</v>
      </c>
      <c r="H479" s="152">
        <v>1</v>
      </c>
      <c r="I479" s="153">
        <v>0.64472222222222197</v>
      </c>
      <c r="J479" s="154">
        <v>43978</v>
      </c>
      <c r="K479" s="153" t="s">
        <v>20</v>
      </c>
      <c r="L479" s="152">
        <v>4.99</v>
      </c>
      <c r="M479" s="155"/>
    </row>
    <row r="480" spans="1:291" s="156" customFormat="1" ht="35" customHeight="1">
      <c r="A480" s="42">
        <f>ROW()-2</f>
        <v>478</v>
      </c>
      <c r="B480" s="152" t="s">
        <v>2732</v>
      </c>
      <c r="C480" s="152" t="s">
        <v>3735</v>
      </c>
      <c r="D480" s="58" t="s">
        <v>3807</v>
      </c>
      <c r="E480" s="58" t="s">
        <v>3808</v>
      </c>
      <c r="F480" s="58" t="s">
        <v>3809</v>
      </c>
      <c r="G480" s="152" t="s">
        <v>34</v>
      </c>
      <c r="H480" s="152">
        <v>1</v>
      </c>
      <c r="I480" s="153">
        <v>0.31611111111111101</v>
      </c>
      <c r="J480" s="154">
        <v>43978</v>
      </c>
      <c r="K480" s="153" t="s">
        <v>20</v>
      </c>
      <c r="L480" s="152">
        <v>4.99</v>
      </c>
      <c r="M480" s="155"/>
    </row>
    <row r="481" spans="1:291" s="156" customFormat="1" ht="35" customHeight="1">
      <c r="A481" s="42">
        <f>ROW()-2</f>
        <v>479</v>
      </c>
      <c r="B481" s="152" t="s">
        <v>2732</v>
      </c>
      <c r="C481" s="152" t="s">
        <v>3735</v>
      </c>
      <c r="D481" s="58" t="s">
        <v>3810</v>
      </c>
      <c r="E481" s="58" t="s">
        <v>3811</v>
      </c>
      <c r="F481" s="58" t="s">
        <v>3812</v>
      </c>
      <c r="G481" s="152" t="s">
        <v>34</v>
      </c>
      <c r="H481" s="152">
        <v>1</v>
      </c>
      <c r="I481" s="153">
        <v>0.31583333333333302</v>
      </c>
      <c r="J481" s="154">
        <v>43978</v>
      </c>
      <c r="K481" s="153" t="s">
        <v>20</v>
      </c>
      <c r="L481" s="152">
        <v>4.99</v>
      </c>
      <c r="M481" s="155"/>
    </row>
    <row r="482" spans="1:291" s="156" customFormat="1" ht="35" customHeight="1">
      <c r="A482" s="42">
        <f>ROW()-2</f>
        <v>480</v>
      </c>
      <c r="B482" s="152" t="s">
        <v>2732</v>
      </c>
      <c r="C482" s="152" t="s">
        <v>3735</v>
      </c>
      <c r="D482" s="58" t="s">
        <v>3813</v>
      </c>
      <c r="E482" s="58" t="s">
        <v>3814</v>
      </c>
      <c r="F482" s="58" t="s">
        <v>3815</v>
      </c>
      <c r="G482" s="152" t="s">
        <v>34</v>
      </c>
      <c r="H482" s="152">
        <v>1</v>
      </c>
      <c r="I482" s="153">
        <v>0.2</v>
      </c>
      <c r="J482" s="154">
        <v>43978</v>
      </c>
      <c r="K482" s="153" t="s">
        <v>20</v>
      </c>
      <c r="L482" s="152">
        <v>4.99</v>
      </c>
      <c r="M482" s="155"/>
    </row>
    <row r="483" spans="1:291" s="156" customFormat="1" ht="35" customHeight="1">
      <c r="A483" s="42">
        <f>ROW()-2</f>
        <v>481</v>
      </c>
      <c r="B483" s="152" t="s">
        <v>2732</v>
      </c>
      <c r="C483" s="152" t="s">
        <v>3735</v>
      </c>
      <c r="D483" s="58" t="s">
        <v>3817</v>
      </c>
      <c r="E483" s="58" t="s">
        <v>3818</v>
      </c>
      <c r="F483" s="58" t="s">
        <v>139</v>
      </c>
      <c r="G483" s="152" t="s">
        <v>34</v>
      </c>
      <c r="H483" s="152">
        <v>1</v>
      </c>
      <c r="I483" s="153">
        <v>0.52500000000000002</v>
      </c>
      <c r="J483" s="154">
        <v>43978</v>
      </c>
      <c r="K483" s="153" t="s">
        <v>20</v>
      </c>
      <c r="L483" s="152">
        <v>4.99</v>
      </c>
      <c r="M483" s="155"/>
    </row>
    <row r="484" spans="1:291" s="156" customFormat="1" ht="35" customHeight="1">
      <c r="A484" s="42">
        <f>ROW()-2</f>
        <v>482</v>
      </c>
      <c r="B484" s="152" t="s">
        <v>2732</v>
      </c>
      <c r="C484" s="152" t="s">
        <v>3735</v>
      </c>
      <c r="D484" s="58" t="s">
        <v>3819</v>
      </c>
      <c r="E484" s="58" t="s">
        <v>3820</v>
      </c>
      <c r="F484" s="58" t="s">
        <v>3821</v>
      </c>
      <c r="G484" s="152" t="s">
        <v>34</v>
      </c>
      <c r="H484" s="152">
        <v>1</v>
      </c>
      <c r="I484" s="153">
        <v>0.40972222222222199</v>
      </c>
      <c r="J484" s="154">
        <v>43978</v>
      </c>
      <c r="K484" s="153" t="s">
        <v>20</v>
      </c>
      <c r="L484" s="152">
        <v>4.99</v>
      </c>
      <c r="M484" s="155"/>
    </row>
    <row r="485" spans="1:291" s="156" customFormat="1" ht="35" customHeight="1">
      <c r="A485" s="42">
        <f>ROW()-2</f>
        <v>483</v>
      </c>
      <c r="B485" s="152" t="s">
        <v>2732</v>
      </c>
      <c r="C485" s="152" t="s">
        <v>3735</v>
      </c>
      <c r="D485" s="58" t="s">
        <v>3822</v>
      </c>
      <c r="E485" s="58" t="s">
        <v>3823</v>
      </c>
      <c r="F485" s="58" t="s">
        <v>2872</v>
      </c>
      <c r="G485" s="152" t="s">
        <v>34</v>
      </c>
      <c r="H485" s="152">
        <v>1</v>
      </c>
      <c r="I485" s="153">
        <v>0.74</v>
      </c>
      <c r="J485" s="154">
        <v>43978</v>
      </c>
      <c r="K485" s="153" t="s">
        <v>20</v>
      </c>
      <c r="L485" s="152">
        <v>4.99</v>
      </c>
      <c r="M485" s="155"/>
    </row>
    <row r="486" spans="1:291" s="156" customFormat="1" ht="35" customHeight="1">
      <c r="A486" s="42">
        <f>ROW()-2</f>
        <v>484</v>
      </c>
      <c r="B486" s="152" t="s">
        <v>2732</v>
      </c>
      <c r="C486" s="152" t="s">
        <v>3735</v>
      </c>
      <c r="D486" s="58" t="s">
        <v>3824</v>
      </c>
      <c r="E486" s="58" t="s">
        <v>3825</v>
      </c>
      <c r="F486" s="58" t="s">
        <v>2872</v>
      </c>
      <c r="G486" s="152" t="s">
        <v>34</v>
      </c>
      <c r="H486" s="152">
        <v>1</v>
      </c>
      <c r="I486" s="153">
        <v>0.89305555555555605</v>
      </c>
      <c r="J486" s="154">
        <v>43978</v>
      </c>
      <c r="K486" s="153" t="s">
        <v>20</v>
      </c>
      <c r="L486" s="152">
        <v>4.99</v>
      </c>
      <c r="M486" s="155"/>
    </row>
    <row r="487" spans="1:291" s="156" customFormat="1" ht="35" customHeight="1">
      <c r="A487" s="42">
        <f>ROW()-2</f>
        <v>485</v>
      </c>
      <c r="B487" s="152" t="s">
        <v>2732</v>
      </c>
      <c r="C487" s="152" t="s">
        <v>3735</v>
      </c>
      <c r="D487" s="58" t="s">
        <v>3826</v>
      </c>
      <c r="E487" s="58" t="s">
        <v>3827</v>
      </c>
      <c r="F487" s="58" t="s">
        <v>3828</v>
      </c>
      <c r="G487" s="152" t="s">
        <v>34</v>
      </c>
      <c r="H487" s="152">
        <v>1</v>
      </c>
      <c r="I487" s="153">
        <v>0.39972222222222198</v>
      </c>
      <c r="J487" s="154">
        <v>43978</v>
      </c>
      <c r="K487" s="153" t="s">
        <v>20</v>
      </c>
      <c r="L487" s="152">
        <v>4.99</v>
      </c>
      <c r="M487" s="155"/>
    </row>
    <row r="488" spans="1:291" s="156" customFormat="1" ht="35" customHeight="1">
      <c r="A488" s="42">
        <f>ROW()-2</f>
        <v>486</v>
      </c>
      <c r="B488" s="152" t="s">
        <v>2732</v>
      </c>
      <c r="C488" s="152" t="s">
        <v>3735</v>
      </c>
      <c r="D488" s="58" t="s">
        <v>3831</v>
      </c>
      <c r="E488" s="58" t="s">
        <v>3832</v>
      </c>
      <c r="F488" s="58" t="s">
        <v>3833</v>
      </c>
      <c r="G488" s="152" t="s">
        <v>34</v>
      </c>
      <c r="H488" s="152">
        <v>1</v>
      </c>
      <c r="I488" s="153">
        <v>0.4975</v>
      </c>
      <c r="J488" s="154">
        <v>43978</v>
      </c>
      <c r="K488" s="153" t="s">
        <v>20</v>
      </c>
      <c r="L488" s="152">
        <v>4.99</v>
      </c>
      <c r="M488" s="155"/>
    </row>
    <row r="489" spans="1:291" s="156" customFormat="1" ht="35" customHeight="1">
      <c r="A489" s="42">
        <f>ROW()-2</f>
        <v>487</v>
      </c>
      <c r="B489" s="152" t="s">
        <v>2732</v>
      </c>
      <c r="C489" s="152" t="s">
        <v>3735</v>
      </c>
      <c r="D489" s="58" t="s">
        <v>3834</v>
      </c>
      <c r="E489" s="58" t="s">
        <v>3289</v>
      </c>
      <c r="F489" s="58" t="s">
        <v>3835</v>
      </c>
      <c r="G489" s="152" t="s">
        <v>34</v>
      </c>
      <c r="H489" s="152">
        <v>1</v>
      </c>
      <c r="I489" s="153">
        <v>0.51472222222222197</v>
      </c>
      <c r="J489" s="154">
        <v>43978</v>
      </c>
      <c r="K489" s="153" t="s">
        <v>20</v>
      </c>
      <c r="L489" s="152">
        <v>4.99</v>
      </c>
      <c r="M489" s="155"/>
    </row>
    <row r="490" spans="1:291" s="156" customFormat="1" ht="35" customHeight="1">
      <c r="A490" s="42">
        <f>ROW()-2</f>
        <v>488</v>
      </c>
      <c r="B490" s="152" t="s">
        <v>2732</v>
      </c>
      <c r="C490" s="152" t="s">
        <v>3735</v>
      </c>
      <c r="D490" s="58" t="s">
        <v>3836</v>
      </c>
      <c r="E490" s="58" t="s">
        <v>3837</v>
      </c>
      <c r="F490" s="58" t="s">
        <v>3838</v>
      </c>
      <c r="G490" s="152" t="s">
        <v>34</v>
      </c>
      <c r="H490" s="152">
        <v>1</v>
      </c>
      <c r="I490" s="153">
        <v>0.4325</v>
      </c>
      <c r="J490" s="154">
        <v>43978</v>
      </c>
      <c r="K490" s="153" t="s">
        <v>20</v>
      </c>
      <c r="L490" s="152">
        <v>4.99</v>
      </c>
      <c r="M490" s="155"/>
    </row>
    <row r="491" spans="1:291" s="156" customFormat="1" ht="35" customHeight="1">
      <c r="A491" s="42">
        <f>ROW()-2</f>
        <v>489</v>
      </c>
      <c r="B491" s="152" t="s">
        <v>2732</v>
      </c>
      <c r="C491" s="152" t="s">
        <v>3735</v>
      </c>
      <c r="D491" s="58" t="s">
        <v>3852</v>
      </c>
      <c r="E491" s="58" t="s">
        <v>3871</v>
      </c>
      <c r="F491" s="58" t="s">
        <v>3833</v>
      </c>
      <c r="G491" s="152" t="s">
        <v>34</v>
      </c>
      <c r="H491" s="152">
        <v>1</v>
      </c>
      <c r="I491" s="153">
        <v>0.42</v>
      </c>
      <c r="J491" s="154">
        <v>43978</v>
      </c>
      <c r="K491" s="153" t="s">
        <v>20</v>
      </c>
      <c r="L491" s="152">
        <v>4.99</v>
      </c>
      <c r="M491" s="155"/>
    </row>
    <row r="492" spans="1:291" s="156" customFormat="1" ht="35" customHeight="1">
      <c r="A492" s="42">
        <f>ROW()-2</f>
        <v>490</v>
      </c>
      <c r="B492" s="152" t="s">
        <v>2732</v>
      </c>
      <c r="C492" s="152" t="s">
        <v>3735</v>
      </c>
      <c r="D492" s="58" t="s">
        <v>3854</v>
      </c>
      <c r="E492" s="58" t="s">
        <v>3855</v>
      </c>
      <c r="F492" s="58" t="s">
        <v>1179</v>
      </c>
      <c r="G492" s="152" t="s">
        <v>34</v>
      </c>
      <c r="H492" s="152">
        <v>1</v>
      </c>
      <c r="I492" s="153">
        <v>0.37722222222222201</v>
      </c>
      <c r="J492" s="154">
        <v>43978</v>
      </c>
      <c r="K492" s="153" t="s">
        <v>20</v>
      </c>
      <c r="L492" s="152">
        <v>4.99</v>
      </c>
      <c r="M492" s="155"/>
    </row>
    <row r="493" spans="1:291" s="156" customFormat="1" ht="35" customHeight="1">
      <c r="A493" s="42">
        <f>ROW()-2</f>
        <v>491</v>
      </c>
      <c r="B493" s="42" t="s">
        <v>2732</v>
      </c>
      <c r="C493" s="42" t="s">
        <v>3735</v>
      </c>
      <c r="D493" s="43" t="s">
        <v>3736</v>
      </c>
      <c r="E493" s="43" t="s">
        <v>3737</v>
      </c>
      <c r="F493" s="43" t="s">
        <v>2751</v>
      </c>
      <c r="G493" s="42" t="s">
        <v>34</v>
      </c>
      <c r="H493" s="42">
        <v>1</v>
      </c>
      <c r="I493" s="44">
        <v>0.71861111111111098</v>
      </c>
      <c r="J493" s="45">
        <v>43978</v>
      </c>
      <c r="K493" s="44" t="s">
        <v>20</v>
      </c>
      <c r="L493" s="42">
        <v>4.99</v>
      </c>
      <c r="M493" s="32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  <c r="FS493" s="30"/>
      <c r="FT493" s="30"/>
      <c r="FU493" s="30"/>
      <c r="FV493" s="30"/>
      <c r="FW493" s="30"/>
      <c r="FX493" s="30"/>
      <c r="FY493" s="30"/>
      <c r="FZ493" s="30"/>
      <c r="GA493" s="30"/>
      <c r="GB493" s="30"/>
      <c r="GC493" s="30"/>
      <c r="GD493" s="30"/>
      <c r="GE493" s="30"/>
      <c r="GF493" s="30"/>
      <c r="GG493" s="30"/>
      <c r="GH493" s="30"/>
      <c r="GI493" s="30"/>
      <c r="GJ493" s="30"/>
      <c r="GK493" s="30"/>
      <c r="GL493" s="30"/>
      <c r="GM493" s="30"/>
      <c r="GN493" s="30"/>
      <c r="GO493" s="30"/>
      <c r="GP493" s="30"/>
      <c r="GQ493" s="30"/>
      <c r="GR493" s="30"/>
      <c r="GS493" s="30"/>
      <c r="GT493" s="30"/>
      <c r="GU493" s="30"/>
      <c r="GV493" s="30"/>
      <c r="GW493" s="30"/>
      <c r="GX493" s="30"/>
      <c r="GY493" s="30"/>
      <c r="GZ493" s="30"/>
      <c r="HA493" s="30"/>
      <c r="HB493" s="30"/>
      <c r="HC493" s="30"/>
      <c r="HD493" s="30"/>
      <c r="HE493" s="30"/>
      <c r="HF493" s="30"/>
      <c r="HG493" s="30"/>
      <c r="HH493" s="30"/>
      <c r="HI493" s="30"/>
      <c r="HJ493" s="30"/>
      <c r="HK493" s="30"/>
      <c r="HL493" s="30"/>
      <c r="HM493" s="30"/>
      <c r="HN493" s="30"/>
      <c r="HO493" s="30"/>
      <c r="HP493" s="30"/>
      <c r="HQ493" s="30"/>
      <c r="HR493" s="30"/>
      <c r="HS493" s="30"/>
      <c r="HT493" s="30"/>
      <c r="HU493" s="30"/>
      <c r="HV493" s="30"/>
      <c r="HW493" s="30"/>
      <c r="HX493" s="30"/>
      <c r="HY493" s="30"/>
      <c r="HZ493" s="30"/>
      <c r="IA493" s="30"/>
      <c r="IB493" s="30"/>
      <c r="IC493" s="30"/>
      <c r="ID493" s="30"/>
      <c r="IE493" s="30"/>
      <c r="IF493" s="30"/>
      <c r="IG493" s="30"/>
      <c r="IH493" s="30"/>
      <c r="II493" s="30"/>
      <c r="IJ493" s="30"/>
      <c r="IK493" s="30"/>
      <c r="IL493" s="30"/>
      <c r="IM493" s="30"/>
      <c r="IN493" s="30"/>
      <c r="IO493" s="30"/>
      <c r="IP493" s="30"/>
      <c r="IQ493" s="30"/>
      <c r="IR493" s="30"/>
      <c r="IS493" s="30"/>
      <c r="IT493" s="30"/>
      <c r="IU493" s="30"/>
      <c r="IV493" s="30"/>
      <c r="IW493" s="30"/>
      <c r="IX493" s="30"/>
      <c r="IY493" s="30"/>
      <c r="IZ493" s="30"/>
      <c r="JA493" s="30"/>
      <c r="JB493" s="30"/>
      <c r="JC493" s="30"/>
      <c r="JD493" s="30"/>
      <c r="JE493" s="30"/>
      <c r="JF493" s="30"/>
      <c r="JG493" s="30"/>
      <c r="JH493" s="30"/>
      <c r="JI493" s="30"/>
      <c r="JJ493" s="30"/>
      <c r="JK493" s="30"/>
      <c r="JL493" s="30"/>
      <c r="JM493" s="30"/>
      <c r="JN493" s="30"/>
      <c r="JO493" s="30"/>
      <c r="JP493" s="30"/>
      <c r="JQ493" s="30"/>
      <c r="JR493" s="30"/>
      <c r="JS493" s="30"/>
      <c r="JT493" s="30"/>
      <c r="JU493" s="30"/>
      <c r="JV493" s="30"/>
      <c r="JW493" s="30"/>
      <c r="JX493" s="30"/>
      <c r="JY493" s="30"/>
      <c r="JZ493" s="30"/>
      <c r="KA493" s="30"/>
      <c r="KB493" s="30"/>
      <c r="KC493" s="30"/>
      <c r="KD493" s="30"/>
      <c r="KE493" s="30"/>
    </row>
    <row r="494" spans="1:291" s="156" customFormat="1" ht="35" customHeight="1">
      <c r="A494" s="42">
        <f>ROW()-2</f>
        <v>492</v>
      </c>
      <c r="B494" s="152" t="s">
        <v>2732</v>
      </c>
      <c r="C494" s="152" t="s">
        <v>3735</v>
      </c>
      <c r="D494" s="58" t="s">
        <v>3844</v>
      </c>
      <c r="E494" s="58" t="s">
        <v>3845</v>
      </c>
      <c r="F494" s="58" t="s">
        <v>3779</v>
      </c>
      <c r="G494" s="152" t="s">
        <v>34</v>
      </c>
      <c r="H494" s="152">
        <v>1</v>
      </c>
      <c r="I494" s="153">
        <v>0.51</v>
      </c>
      <c r="J494" s="154">
        <v>44011</v>
      </c>
      <c r="K494" s="153" t="s">
        <v>20</v>
      </c>
      <c r="L494" s="152">
        <v>4.99</v>
      </c>
      <c r="M494" s="155"/>
    </row>
    <row r="495" spans="1:291" s="156" customFormat="1" ht="35" customHeight="1">
      <c r="A495" s="42">
        <f>ROW()-2</f>
        <v>493</v>
      </c>
      <c r="B495" s="152" t="s">
        <v>2732</v>
      </c>
      <c r="C495" s="152" t="s">
        <v>3735</v>
      </c>
      <c r="D495" s="58" t="s">
        <v>3846</v>
      </c>
      <c r="E495" s="58" t="s">
        <v>3847</v>
      </c>
      <c r="F495" s="58" t="s">
        <v>3848</v>
      </c>
      <c r="G495" s="152" t="s">
        <v>34</v>
      </c>
      <c r="H495" s="152">
        <v>1</v>
      </c>
      <c r="I495" s="153">
        <v>0.32</v>
      </c>
      <c r="J495" s="154">
        <v>44011</v>
      </c>
      <c r="K495" s="153" t="s">
        <v>20</v>
      </c>
      <c r="L495" s="152">
        <v>4.99</v>
      </c>
      <c r="M495" s="155"/>
    </row>
    <row r="496" spans="1:291" s="156" customFormat="1" ht="35" customHeight="1">
      <c r="A496" s="42">
        <f>ROW()-2</f>
        <v>494</v>
      </c>
      <c r="B496" s="152" t="s">
        <v>2732</v>
      </c>
      <c r="C496" s="152" t="s">
        <v>3735</v>
      </c>
      <c r="D496" s="58" t="s">
        <v>3849</v>
      </c>
      <c r="E496" s="58" t="s">
        <v>3850</v>
      </c>
      <c r="F496" s="58" t="s">
        <v>3851</v>
      </c>
      <c r="G496" s="152" t="s">
        <v>34</v>
      </c>
      <c r="H496" s="152">
        <v>1</v>
      </c>
      <c r="I496" s="153">
        <v>0.35</v>
      </c>
      <c r="J496" s="154">
        <v>44011</v>
      </c>
      <c r="K496" s="153" t="s">
        <v>20</v>
      </c>
      <c r="L496" s="152">
        <v>4.99</v>
      </c>
      <c r="M496" s="155"/>
    </row>
    <row r="497" spans="1:13" s="156" customFormat="1" ht="35" customHeight="1">
      <c r="A497" s="42">
        <f>ROW()-2</f>
        <v>495</v>
      </c>
      <c r="B497" s="152" t="s">
        <v>2732</v>
      </c>
      <c r="C497" s="152" t="s">
        <v>3735</v>
      </c>
      <c r="D497" s="58" t="s">
        <v>3852</v>
      </c>
      <c r="E497" s="58" t="s">
        <v>3853</v>
      </c>
      <c r="F497" s="58" t="s">
        <v>2942</v>
      </c>
      <c r="G497" s="152" t="s">
        <v>34</v>
      </c>
      <c r="H497" s="152">
        <v>3</v>
      </c>
      <c r="I497" s="153">
        <v>1.1000000000000001</v>
      </c>
      <c r="J497" s="154">
        <v>44053</v>
      </c>
      <c r="K497" s="153" t="s">
        <v>20</v>
      </c>
      <c r="L497" s="152">
        <v>4.99</v>
      </c>
      <c r="M497" s="155"/>
    </row>
    <row r="498" spans="1:13" s="156" customFormat="1" ht="35" customHeight="1">
      <c r="A498" s="42">
        <f>ROW()-2</f>
        <v>496</v>
      </c>
      <c r="B498" s="152" t="s">
        <v>2732</v>
      </c>
      <c r="C498" s="152" t="s">
        <v>3735</v>
      </c>
      <c r="D498" s="58" t="s">
        <v>3854</v>
      </c>
      <c r="E498" s="58" t="s">
        <v>3855</v>
      </c>
      <c r="F498" s="58" t="s">
        <v>2745</v>
      </c>
      <c r="G498" s="152" t="s">
        <v>34</v>
      </c>
      <c r="H498" s="152">
        <v>4</v>
      </c>
      <c r="I498" s="153">
        <v>2.66</v>
      </c>
      <c r="J498" s="154">
        <v>44053</v>
      </c>
      <c r="K498" s="153" t="s">
        <v>20</v>
      </c>
      <c r="L498" s="152">
        <v>4.99</v>
      </c>
      <c r="M498" s="155"/>
    </row>
    <row r="499" spans="1:13" s="156" customFormat="1" ht="35" customHeight="1">
      <c r="A499" s="42">
        <f>ROW()-2</f>
        <v>497</v>
      </c>
      <c r="B499" s="152" t="s">
        <v>2732</v>
      </c>
      <c r="C499" s="152" t="s">
        <v>3735</v>
      </c>
      <c r="D499" s="58" t="s">
        <v>3858</v>
      </c>
      <c r="E499" s="58" t="s">
        <v>3859</v>
      </c>
      <c r="F499" s="58" t="s">
        <v>2948</v>
      </c>
      <c r="G499" s="152" t="s">
        <v>34</v>
      </c>
      <c r="H499" s="152">
        <v>2</v>
      </c>
      <c r="I499" s="153">
        <v>0.87</v>
      </c>
      <c r="J499" s="154">
        <v>44074</v>
      </c>
      <c r="K499" s="153" t="s">
        <v>20</v>
      </c>
      <c r="L499" s="152">
        <v>4.99</v>
      </c>
      <c r="M499" s="155"/>
    </row>
    <row r="500" spans="1:13" s="156" customFormat="1" ht="35" customHeight="1">
      <c r="A500" s="42">
        <f>ROW()-2</f>
        <v>498</v>
      </c>
      <c r="B500" s="152" t="s">
        <v>2732</v>
      </c>
      <c r="C500" s="152" t="s">
        <v>3735</v>
      </c>
      <c r="D500" s="58" t="s">
        <v>3860</v>
      </c>
      <c r="E500" s="58" t="s">
        <v>3861</v>
      </c>
      <c r="F500" s="58" t="s">
        <v>2745</v>
      </c>
      <c r="G500" s="152" t="s">
        <v>34</v>
      </c>
      <c r="H500" s="152">
        <v>2</v>
      </c>
      <c r="I500" s="153">
        <v>0.97</v>
      </c>
      <c r="J500" s="154">
        <v>44088</v>
      </c>
      <c r="K500" s="153" t="s">
        <v>20</v>
      </c>
      <c r="L500" s="152">
        <v>4.99</v>
      </c>
      <c r="M500" s="155"/>
    </row>
    <row r="501" spans="1:13" s="156" customFormat="1" ht="35" customHeight="1">
      <c r="A501" s="42">
        <f>ROW()-2</f>
        <v>499</v>
      </c>
      <c r="B501" s="152" t="s">
        <v>2732</v>
      </c>
      <c r="C501" s="152" t="s">
        <v>3735</v>
      </c>
      <c r="D501" s="58" t="s">
        <v>3872</v>
      </c>
      <c r="E501" s="58" t="s">
        <v>3873</v>
      </c>
      <c r="F501" s="58" t="s">
        <v>3332</v>
      </c>
      <c r="G501" s="152" t="s">
        <v>34</v>
      </c>
      <c r="H501" s="152">
        <v>1</v>
      </c>
      <c r="I501" s="157">
        <v>0.49</v>
      </c>
      <c r="J501" s="154">
        <v>44102</v>
      </c>
      <c r="K501" s="153" t="s">
        <v>20</v>
      </c>
      <c r="L501" s="153">
        <v>4.99</v>
      </c>
      <c r="M501" s="155"/>
    </row>
    <row r="502" spans="1:13" s="156" customFormat="1" ht="35" customHeight="1">
      <c r="A502" s="42">
        <f>ROW()-2</f>
        <v>500</v>
      </c>
      <c r="B502" s="152" t="s">
        <v>2732</v>
      </c>
      <c r="C502" s="152" t="s">
        <v>3735</v>
      </c>
      <c r="D502" s="58" t="s">
        <v>3867</v>
      </c>
      <c r="E502" s="58" t="s">
        <v>3868</v>
      </c>
      <c r="F502" s="58" t="s">
        <v>2751</v>
      </c>
      <c r="G502" s="152" t="s">
        <v>34</v>
      </c>
      <c r="H502" s="152">
        <v>1</v>
      </c>
      <c r="I502" s="153">
        <v>0.61</v>
      </c>
      <c r="J502" s="154">
        <v>44130</v>
      </c>
      <c r="K502" s="153" t="s">
        <v>20</v>
      </c>
      <c r="L502" s="152">
        <v>4.99</v>
      </c>
      <c r="M502" s="155"/>
    </row>
    <row r="503" spans="1:13" s="156" customFormat="1" ht="35" customHeight="1">
      <c r="A503" s="42">
        <f>ROW()-2</f>
        <v>501</v>
      </c>
      <c r="B503" s="152" t="s">
        <v>2732</v>
      </c>
      <c r="C503" s="152" t="s">
        <v>3735</v>
      </c>
      <c r="D503" s="58" t="s">
        <v>3869</v>
      </c>
      <c r="E503" s="58" t="s">
        <v>3870</v>
      </c>
      <c r="F503" s="58" t="s">
        <v>3647</v>
      </c>
      <c r="G503" s="152" t="s">
        <v>34</v>
      </c>
      <c r="H503" s="152">
        <v>1</v>
      </c>
      <c r="I503" s="153">
        <v>0.58299999999999996</v>
      </c>
      <c r="J503" s="154">
        <v>44137</v>
      </c>
      <c r="K503" s="153" t="s">
        <v>20</v>
      </c>
      <c r="L503" s="152">
        <v>4.99</v>
      </c>
      <c r="M503" s="155"/>
    </row>
    <row r="504" spans="1:13" s="156" customFormat="1" ht="35" customHeight="1">
      <c r="A504" s="42">
        <f>ROW()-2</f>
        <v>502</v>
      </c>
      <c r="B504" s="152" t="s">
        <v>2732</v>
      </c>
      <c r="C504" s="152" t="s">
        <v>3735</v>
      </c>
      <c r="D504" s="58" t="s">
        <v>3765</v>
      </c>
      <c r="E504" s="58" t="s">
        <v>3766</v>
      </c>
      <c r="F504" s="58" t="s">
        <v>2905</v>
      </c>
      <c r="G504" s="152" t="s">
        <v>34</v>
      </c>
      <c r="H504" s="152">
        <v>1</v>
      </c>
      <c r="I504" s="153">
        <v>0.53</v>
      </c>
      <c r="J504" s="154">
        <v>44151</v>
      </c>
      <c r="K504" s="153" t="s">
        <v>20</v>
      </c>
      <c r="L504" s="152">
        <v>4.99</v>
      </c>
      <c r="M504" s="155"/>
    </row>
    <row r="505" spans="1:13" s="156" customFormat="1" ht="35" customHeight="1">
      <c r="A505" s="42">
        <f>ROW()-2</f>
        <v>503</v>
      </c>
      <c r="B505" s="152" t="s">
        <v>2732</v>
      </c>
      <c r="C505" s="152" t="s">
        <v>3735</v>
      </c>
      <c r="D505" s="58" t="s">
        <v>3800</v>
      </c>
      <c r="E505" s="58" t="s">
        <v>3801</v>
      </c>
      <c r="F505" s="58" t="s">
        <v>2739</v>
      </c>
      <c r="G505" s="152" t="s">
        <v>34</v>
      </c>
      <c r="H505" s="152">
        <v>1</v>
      </c>
      <c r="I505" s="153">
        <v>0.47</v>
      </c>
      <c r="J505" s="154">
        <v>44151</v>
      </c>
      <c r="K505" s="153" t="s">
        <v>20</v>
      </c>
      <c r="L505" s="152">
        <v>4.99</v>
      </c>
      <c r="M505" s="155"/>
    </row>
    <row r="506" spans="1:13" s="156" customFormat="1" ht="35" customHeight="1">
      <c r="A506" s="42">
        <f>ROW()-2</f>
        <v>504</v>
      </c>
      <c r="B506" s="152" t="s">
        <v>2732</v>
      </c>
      <c r="C506" s="152" t="s">
        <v>3735</v>
      </c>
      <c r="D506" s="58" t="s">
        <v>3802</v>
      </c>
      <c r="E506" s="58" t="s">
        <v>3803</v>
      </c>
      <c r="F506" s="58" t="s">
        <v>3332</v>
      </c>
      <c r="G506" s="152" t="s">
        <v>34</v>
      </c>
      <c r="H506" s="152">
        <v>1</v>
      </c>
      <c r="I506" s="153">
        <v>0.53</v>
      </c>
      <c r="J506" s="154">
        <v>44151</v>
      </c>
      <c r="K506" s="153" t="s">
        <v>20</v>
      </c>
      <c r="L506" s="152">
        <v>4.99</v>
      </c>
      <c r="M506" s="155"/>
    </row>
    <row r="507" spans="1:13" s="156" customFormat="1" ht="35" customHeight="1">
      <c r="A507" s="42">
        <f>ROW()-2</f>
        <v>505</v>
      </c>
      <c r="B507" s="152" t="s">
        <v>2732</v>
      </c>
      <c r="C507" s="152" t="s">
        <v>3735</v>
      </c>
      <c r="D507" s="58" t="s">
        <v>3804</v>
      </c>
      <c r="E507" s="58" t="s">
        <v>452</v>
      </c>
      <c r="F507" s="58" t="s">
        <v>2736</v>
      </c>
      <c r="G507" s="152" t="s">
        <v>34</v>
      </c>
      <c r="H507" s="152">
        <v>1</v>
      </c>
      <c r="I507" s="153">
        <v>0.49</v>
      </c>
      <c r="J507" s="154">
        <v>44151</v>
      </c>
      <c r="K507" s="153" t="s">
        <v>20</v>
      </c>
      <c r="L507" s="152">
        <v>4.99</v>
      </c>
      <c r="M507" s="155"/>
    </row>
    <row r="508" spans="1:13" s="156" customFormat="1" ht="35" customHeight="1">
      <c r="A508" s="42">
        <f>ROW()-2</f>
        <v>506</v>
      </c>
      <c r="B508" s="152" t="s">
        <v>2732</v>
      </c>
      <c r="C508" s="152" t="s">
        <v>3735</v>
      </c>
      <c r="D508" s="58" t="s">
        <v>3767</v>
      </c>
      <c r="E508" s="58" t="s">
        <v>3768</v>
      </c>
      <c r="F508" s="58" t="s">
        <v>3414</v>
      </c>
      <c r="G508" s="152" t="s">
        <v>34</v>
      </c>
      <c r="H508" s="152">
        <v>1</v>
      </c>
      <c r="I508" s="153">
        <v>0.71861111111111098</v>
      </c>
      <c r="J508" s="154">
        <v>44158</v>
      </c>
      <c r="K508" s="153" t="s">
        <v>20</v>
      </c>
      <c r="L508" s="152">
        <v>4.99</v>
      </c>
      <c r="M508" s="155"/>
    </row>
    <row r="509" spans="1:13" s="156" customFormat="1" ht="35" customHeight="1">
      <c r="A509" s="42">
        <f>ROW()-2</f>
        <v>507</v>
      </c>
      <c r="B509" s="152" t="s">
        <v>2732</v>
      </c>
      <c r="C509" s="152" t="s">
        <v>3735</v>
      </c>
      <c r="D509" s="58" t="s">
        <v>3769</v>
      </c>
      <c r="E509" s="58" t="s">
        <v>3770</v>
      </c>
      <c r="F509" s="58" t="s">
        <v>3771</v>
      </c>
      <c r="G509" s="152" t="s">
        <v>34</v>
      </c>
      <c r="H509" s="152">
        <v>1</v>
      </c>
      <c r="I509" s="153">
        <v>0.37222222222222201</v>
      </c>
      <c r="J509" s="154">
        <v>44158</v>
      </c>
      <c r="K509" s="153" t="s">
        <v>20</v>
      </c>
      <c r="L509" s="152">
        <v>4.99</v>
      </c>
      <c r="M509" s="155"/>
    </row>
    <row r="510" spans="1:13" s="156" customFormat="1" ht="35" customHeight="1">
      <c r="A510" s="42">
        <f>ROW()-2</f>
        <v>508</v>
      </c>
      <c r="B510" s="152" t="s">
        <v>2732</v>
      </c>
      <c r="C510" s="152" t="s">
        <v>3735</v>
      </c>
      <c r="D510" s="58" t="s">
        <v>3772</v>
      </c>
      <c r="E510" s="58" t="s">
        <v>3773</v>
      </c>
      <c r="F510" s="58" t="s">
        <v>3774</v>
      </c>
      <c r="G510" s="152" t="s">
        <v>34</v>
      </c>
      <c r="H510" s="152">
        <v>1</v>
      </c>
      <c r="I510" s="153">
        <v>0.76527777777777795</v>
      </c>
      <c r="J510" s="154">
        <v>44158</v>
      </c>
      <c r="K510" s="153" t="s">
        <v>20</v>
      </c>
      <c r="L510" s="152">
        <v>4.99</v>
      </c>
      <c r="M510" s="155"/>
    </row>
    <row r="511" spans="1:13" s="156" customFormat="1" ht="35" customHeight="1">
      <c r="A511" s="42">
        <f>ROW()-2</f>
        <v>509</v>
      </c>
      <c r="B511" s="152" t="s">
        <v>2732</v>
      </c>
      <c r="C511" s="152" t="s">
        <v>3735</v>
      </c>
      <c r="D511" s="58" t="s">
        <v>3775</v>
      </c>
      <c r="E511" s="58" t="s">
        <v>3776</v>
      </c>
      <c r="F511" s="58" t="s">
        <v>3343</v>
      </c>
      <c r="G511" s="152" t="s">
        <v>34</v>
      </c>
      <c r="H511" s="152">
        <v>1</v>
      </c>
      <c r="I511" s="153">
        <v>0.45083333333333298</v>
      </c>
      <c r="J511" s="154">
        <v>44158</v>
      </c>
      <c r="K511" s="153" t="s">
        <v>20</v>
      </c>
      <c r="L511" s="152">
        <v>4.99</v>
      </c>
      <c r="M511" s="155"/>
    </row>
    <row r="512" spans="1:13" s="156" customFormat="1" ht="35" customHeight="1">
      <c r="A512" s="42">
        <f>ROW()-2</f>
        <v>510</v>
      </c>
      <c r="B512" s="152" t="s">
        <v>2732</v>
      </c>
      <c r="C512" s="152" t="s">
        <v>3735</v>
      </c>
      <c r="D512" s="58" t="s">
        <v>3777</v>
      </c>
      <c r="E512" s="58" t="s">
        <v>3778</v>
      </c>
      <c r="F512" s="58" t="s">
        <v>3779</v>
      </c>
      <c r="G512" s="152" t="s">
        <v>34</v>
      </c>
      <c r="H512" s="152">
        <v>1</v>
      </c>
      <c r="I512" s="153">
        <v>0.40972222222222199</v>
      </c>
      <c r="J512" s="154">
        <v>44158</v>
      </c>
      <c r="K512" s="153" t="s">
        <v>20</v>
      </c>
      <c r="L512" s="152">
        <v>4.99</v>
      </c>
      <c r="M512" s="155"/>
    </row>
    <row r="513" spans="1:291" s="156" customFormat="1" ht="35" customHeight="1">
      <c r="A513" s="42">
        <f>ROW()-2</f>
        <v>511</v>
      </c>
      <c r="B513" s="152" t="s">
        <v>2732</v>
      </c>
      <c r="C513" s="152" t="s">
        <v>3735</v>
      </c>
      <c r="D513" s="58" t="s">
        <v>3780</v>
      </c>
      <c r="E513" s="58" t="s">
        <v>3781</v>
      </c>
      <c r="F513" s="58" t="s">
        <v>3615</v>
      </c>
      <c r="G513" s="152" t="s">
        <v>34</v>
      </c>
      <c r="H513" s="152">
        <v>1</v>
      </c>
      <c r="I513" s="153">
        <v>0.74</v>
      </c>
      <c r="J513" s="154">
        <v>44158</v>
      </c>
      <c r="K513" s="153" t="s">
        <v>20</v>
      </c>
      <c r="L513" s="152">
        <v>4.99</v>
      </c>
      <c r="M513" s="155"/>
    </row>
    <row r="514" spans="1:291" s="156" customFormat="1" ht="35" customHeight="1">
      <c r="A514" s="42">
        <f>ROW()-2</f>
        <v>512</v>
      </c>
      <c r="B514" s="152" t="s">
        <v>2732</v>
      </c>
      <c r="C514" s="152" t="s">
        <v>3735</v>
      </c>
      <c r="D514" s="58" t="s">
        <v>3782</v>
      </c>
      <c r="E514" s="58" t="s">
        <v>3783</v>
      </c>
      <c r="F514" s="58" t="s">
        <v>3639</v>
      </c>
      <c r="G514" s="152" t="s">
        <v>34</v>
      </c>
      <c r="H514" s="152">
        <v>1</v>
      </c>
      <c r="I514" s="153">
        <v>0.71861111111111098</v>
      </c>
      <c r="J514" s="154">
        <v>44158</v>
      </c>
      <c r="K514" s="153" t="s">
        <v>20</v>
      </c>
      <c r="L514" s="152">
        <v>4.99</v>
      </c>
      <c r="M514" s="155"/>
    </row>
    <row r="515" spans="1:291" s="156" customFormat="1" ht="35" customHeight="1">
      <c r="A515" s="42">
        <f>ROW()-2</f>
        <v>513</v>
      </c>
      <c r="B515" s="152" t="s">
        <v>2732</v>
      </c>
      <c r="C515" s="152" t="s">
        <v>3735</v>
      </c>
      <c r="D515" s="58" t="s">
        <v>3784</v>
      </c>
      <c r="E515" s="58" t="s">
        <v>3785</v>
      </c>
      <c r="F515" s="58" t="s">
        <v>3698</v>
      </c>
      <c r="G515" s="152" t="s">
        <v>34</v>
      </c>
      <c r="H515" s="152">
        <v>1</v>
      </c>
      <c r="I515" s="153">
        <v>0.37222222222222201</v>
      </c>
      <c r="J515" s="154">
        <v>44158</v>
      </c>
      <c r="K515" s="153" t="s">
        <v>20</v>
      </c>
      <c r="L515" s="152">
        <v>4.99</v>
      </c>
      <c r="M515" s="155"/>
    </row>
    <row r="516" spans="1:291" s="156" customFormat="1" ht="35" customHeight="1">
      <c r="A516" s="42">
        <f>ROW()-2</f>
        <v>514</v>
      </c>
      <c r="B516" s="152" t="s">
        <v>2732</v>
      </c>
      <c r="C516" s="152" t="s">
        <v>3735</v>
      </c>
      <c r="D516" s="58" t="s">
        <v>3786</v>
      </c>
      <c r="E516" s="58" t="s">
        <v>3787</v>
      </c>
      <c r="F516" s="58" t="s">
        <v>3779</v>
      </c>
      <c r="G516" s="152" t="s">
        <v>34</v>
      </c>
      <c r="H516" s="152">
        <v>1</v>
      </c>
      <c r="I516" s="153">
        <v>0.76527777777777795</v>
      </c>
      <c r="J516" s="154">
        <v>44158</v>
      </c>
      <c r="K516" s="153" t="s">
        <v>20</v>
      </c>
      <c r="L516" s="152">
        <v>4.99</v>
      </c>
      <c r="M516" s="155"/>
    </row>
    <row r="517" spans="1:291" s="156" customFormat="1" ht="35" customHeight="1">
      <c r="A517" s="42">
        <f>ROW()-2</f>
        <v>515</v>
      </c>
      <c r="B517" s="152" t="s">
        <v>2732</v>
      </c>
      <c r="C517" s="152" t="s">
        <v>3735</v>
      </c>
      <c r="D517" s="58" t="s">
        <v>3788</v>
      </c>
      <c r="E517" s="58" t="s">
        <v>3789</v>
      </c>
      <c r="F517" s="58" t="s">
        <v>3790</v>
      </c>
      <c r="G517" s="152" t="s">
        <v>34</v>
      </c>
      <c r="H517" s="152">
        <v>1</v>
      </c>
      <c r="I517" s="153">
        <v>0.45083333333333298</v>
      </c>
      <c r="J517" s="154">
        <v>44158</v>
      </c>
      <c r="K517" s="153" t="s">
        <v>20</v>
      </c>
      <c r="L517" s="152">
        <v>4.99</v>
      </c>
      <c r="M517" s="155"/>
    </row>
    <row r="518" spans="1:291" s="156" customFormat="1" ht="35" customHeight="1">
      <c r="A518" s="42">
        <f>ROW()-2</f>
        <v>516</v>
      </c>
      <c r="B518" s="152" t="s">
        <v>2732</v>
      </c>
      <c r="C518" s="152" t="s">
        <v>3735</v>
      </c>
      <c r="D518" s="58" t="s">
        <v>3791</v>
      </c>
      <c r="E518" s="58" t="s">
        <v>3792</v>
      </c>
      <c r="F518" s="58" t="s">
        <v>3242</v>
      </c>
      <c r="G518" s="152" t="s">
        <v>34</v>
      </c>
      <c r="H518" s="152">
        <v>1</v>
      </c>
      <c r="I518" s="153">
        <v>0.35388888888888897</v>
      </c>
      <c r="J518" s="154">
        <v>44158</v>
      </c>
      <c r="K518" s="153" t="s">
        <v>20</v>
      </c>
      <c r="L518" s="152">
        <v>4.99</v>
      </c>
      <c r="M518" s="155"/>
    </row>
    <row r="519" spans="1:291" s="156" customFormat="1" ht="35" customHeight="1">
      <c r="A519" s="42">
        <f>ROW()-2</f>
        <v>517</v>
      </c>
      <c r="B519" s="152" t="s">
        <v>2732</v>
      </c>
      <c r="C519" s="152" t="s">
        <v>3735</v>
      </c>
      <c r="D519" s="58" t="s">
        <v>3793</v>
      </c>
      <c r="E519" s="58" t="s">
        <v>3794</v>
      </c>
      <c r="F519" s="58" t="s">
        <v>3335</v>
      </c>
      <c r="G519" s="152" t="s">
        <v>34</v>
      </c>
      <c r="H519" s="152">
        <v>1</v>
      </c>
      <c r="I519" s="153">
        <v>0.89305555555555605</v>
      </c>
      <c r="J519" s="154">
        <v>44158</v>
      </c>
      <c r="K519" s="153" t="s">
        <v>20</v>
      </c>
      <c r="L519" s="152">
        <v>4.99</v>
      </c>
      <c r="M519" s="155"/>
    </row>
    <row r="520" spans="1:291" s="156" customFormat="1" ht="35" customHeight="1">
      <c r="A520" s="42">
        <f>ROW()-2</f>
        <v>518</v>
      </c>
      <c r="B520" s="152" t="s">
        <v>2732</v>
      </c>
      <c r="C520" s="152" t="s">
        <v>3735</v>
      </c>
      <c r="D520" s="58" t="s">
        <v>3795</v>
      </c>
      <c r="E520" s="58" t="s">
        <v>3796</v>
      </c>
      <c r="F520" s="58" t="s">
        <v>3797</v>
      </c>
      <c r="G520" s="152" t="s">
        <v>34</v>
      </c>
      <c r="H520" s="152">
        <v>1</v>
      </c>
      <c r="I520" s="153">
        <v>0.53</v>
      </c>
      <c r="J520" s="154">
        <v>44158</v>
      </c>
      <c r="K520" s="153" t="s">
        <v>20</v>
      </c>
      <c r="L520" s="152">
        <v>4.99</v>
      </c>
      <c r="M520" s="155"/>
    </row>
    <row r="521" spans="1:291" s="156" customFormat="1" ht="35" customHeight="1">
      <c r="A521" s="42">
        <f>ROW()-2</f>
        <v>519</v>
      </c>
      <c r="B521" s="152" t="s">
        <v>2732</v>
      </c>
      <c r="C521" s="152" t="s">
        <v>3735</v>
      </c>
      <c r="D521" s="58" t="s">
        <v>3798</v>
      </c>
      <c r="E521" s="58" t="s">
        <v>3799</v>
      </c>
      <c r="F521" s="58" t="s">
        <v>3797</v>
      </c>
      <c r="G521" s="152" t="s">
        <v>34</v>
      </c>
      <c r="H521" s="152">
        <v>1</v>
      </c>
      <c r="I521" s="153">
        <v>0.49</v>
      </c>
      <c r="J521" s="154">
        <v>44158</v>
      </c>
      <c r="K521" s="153" t="s">
        <v>20</v>
      </c>
      <c r="L521" s="152">
        <v>4.99</v>
      </c>
      <c r="M521" s="155"/>
    </row>
    <row r="522" spans="1:291" s="156" customFormat="1" ht="35" customHeight="1">
      <c r="A522" s="42">
        <f>ROW()-2</f>
        <v>520</v>
      </c>
      <c r="B522" s="152" t="s">
        <v>2732</v>
      </c>
      <c r="C522" s="152" t="s">
        <v>3735</v>
      </c>
      <c r="D522" s="58" t="s">
        <v>3757</v>
      </c>
      <c r="E522" s="58" t="s">
        <v>3758</v>
      </c>
      <c r="F522" s="58" t="s">
        <v>3759</v>
      </c>
      <c r="G522" s="152" t="s">
        <v>34</v>
      </c>
      <c r="H522" s="152">
        <v>1</v>
      </c>
      <c r="I522" s="153">
        <v>0.52</v>
      </c>
      <c r="J522" s="154">
        <v>44165</v>
      </c>
      <c r="K522" s="153" t="s">
        <v>20</v>
      </c>
      <c r="L522" s="152">
        <v>4.99</v>
      </c>
      <c r="M522" s="155"/>
    </row>
    <row r="523" spans="1:291" s="156" customFormat="1" ht="35" customHeight="1">
      <c r="A523" s="42">
        <f>ROW()-2</f>
        <v>521</v>
      </c>
      <c r="B523" s="152" t="s">
        <v>2732</v>
      </c>
      <c r="C523" s="152" t="s">
        <v>3735</v>
      </c>
      <c r="D523" s="58" t="s">
        <v>3862</v>
      </c>
      <c r="E523" s="58" t="s">
        <v>3863</v>
      </c>
      <c r="F523" s="58" t="s">
        <v>3610</v>
      </c>
      <c r="G523" s="152" t="s">
        <v>34</v>
      </c>
      <c r="H523" s="152">
        <v>1</v>
      </c>
      <c r="I523" s="153">
        <v>0.46</v>
      </c>
      <c r="J523" s="154">
        <v>44165</v>
      </c>
      <c r="K523" s="153" t="s">
        <v>20</v>
      </c>
      <c r="L523" s="152">
        <v>4.99</v>
      </c>
      <c r="M523" s="155"/>
    </row>
    <row r="524" spans="1:291" s="156" customFormat="1" ht="35" customHeight="1">
      <c r="A524" s="42">
        <f>ROW()-2</f>
        <v>522</v>
      </c>
      <c r="B524" s="152" t="s">
        <v>2732</v>
      </c>
      <c r="C524" s="152" t="s">
        <v>3735</v>
      </c>
      <c r="D524" s="58" t="s">
        <v>3864</v>
      </c>
      <c r="E524" s="58" t="s">
        <v>3865</v>
      </c>
      <c r="F524" s="58" t="s">
        <v>3866</v>
      </c>
      <c r="G524" s="152" t="s">
        <v>34</v>
      </c>
      <c r="H524" s="152">
        <v>1</v>
      </c>
      <c r="I524" s="153">
        <v>0.52</v>
      </c>
      <c r="J524" s="154">
        <v>44165</v>
      </c>
      <c r="K524" s="153" t="s">
        <v>20</v>
      </c>
      <c r="L524" s="152">
        <v>4.99</v>
      </c>
      <c r="M524" s="155"/>
    </row>
    <row r="525" spans="1:291" s="158" customFormat="1" ht="35" customHeight="1">
      <c r="A525" s="42">
        <f>ROW()-2</f>
        <v>523</v>
      </c>
      <c r="B525" s="152" t="s">
        <v>2732</v>
      </c>
      <c r="C525" s="152" t="s">
        <v>3735</v>
      </c>
      <c r="D525" s="58" t="s">
        <v>3752</v>
      </c>
      <c r="E525" s="58" t="s">
        <v>3753</v>
      </c>
      <c r="F525" s="58" t="s">
        <v>2739</v>
      </c>
      <c r="G525" s="152" t="s">
        <v>34</v>
      </c>
      <c r="H525" s="152">
        <v>1</v>
      </c>
      <c r="I525" s="153">
        <v>0.45</v>
      </c>
      <c r="J525" s="154">
        <v>44172</v>
      </c>
      <c r="K525" s="153" t="s">
        <v>20</v>
      </c>
      <c r="L525" s="152">
        <v>4.99</v>
      </c>
      <c r="M525" s="155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  <c r="AA525" s="156"/>
      <c r="AB525" s="156"/>
      <c r="AC525" s="156"/>
      <c r="AD525" s="156"/>
      <c r="AE525" s="156"/>
      <c r="AF525" s="156"/>
      <c r="AG525" s="156"/>
      <c r="AH525" s="156"/>
      <c r="AI525" s="156"/>
      <c r="AJ525" s="156"/>
      <c r="AK525" s="156"/>
      <c r="AL525" s="156"/>
      <c r="AM525" s="156"/>
      <c r="AN525" s="156"/>
      <c r="AO525" s="156"/>
      <c r="AP525" s="156"/>
      <c r="AQ525" s="156"/>
      <c r="AR525" s="156"/>
      <c r="AS525" s="156"/>
      <c r="AT525" s="156"/>
      <c r="AU525" s="156"/>
      <c r="AV525" s="156"/>
      <c r="AW525" s="156"/>
      <c r="AX525" s="156"/>
      <c r="AY525" s="156"/>
      <c r="AZ525" s="156"/>
      <c r="BA525" s="156"/>
      <c r="BB525" s="156"/>
      <c r="BC525" s="156"/>
      <c r="BD525" s="156"/>
      <c r="BE525" s="156"/>
      <c r="BF525" s="156"/>
      <c r="BG525" s="156"/>
      <c r="BH525" s="156"/>
      <c r="BI525" s="156"/>
      <c r="BJ525" s="156"/>
      <c r="BK525" s="156"/>
      <c r="BL525" s="156"/>
      <c r="BM525" s="156"/>
      <c r="BN525" s="156"/>
      <c r="BO525" s="156"/>
      <c r="BP525" s="156"/>
      <c r="BQ525" s="156"/>
      <c r="BR525" s="156"/>
      <c r="BS525" s="156"/>
      <c r="BT525" s="156"/>
      <c r="BU525" s="156"/>
      <c r="BV525" s="156"/>
      <c r="BW525" s="156"/>
      <c r="BX525" s="156"/>
      <c r="BY525" s="156"/>
      <c r="BZ525" s="156"/>
      <c r="CA525" s="156"/>
      <c r="CB525" s="156"/>
      <c r="CC525" s="156"/>
      <c r="CD525" s="156"/>
      <c r="CE525" s="156"/>
      <c r="CF525" s="156"/>
      <c r="CG525" s="156"/>
      <c r="CH525" s="156"/>
      <c r="CI525" s="156"/>
      <c r="CJ525" s="156"/>
      <c r="CK525" s="156"/>
      <c r="CL525" s="156"/>
      <c r="CM525" s="156"/>
      <c r="CN525" s="156"/>
      <c r="CO525" s="156"/>
      <c r="CP525" s="156"/>
      <c r="CQ525" s="156"/>
      <c r="CR525" s="156"/>
      <c r="CS525" s="156"/>
      <c r="CT525" s="156"/>
      <c r="CU525" s="156"/>
      <c r="CV525" s="156"/>
      <c r="CW525" s="156"/>
      <c r="CX525" s="156"/>
      <c r="CY525" s="156"/>
      <c r="CZ525" s="156"/>
      <c r="DA525" s="156"/>
      <c r="DB525" s="156"/>
      <c r="DC525" s="156"/>
      <c r="DD525" s="156"/>
      <c r="DE525" s="156"/>
      <c r="DF525" s="156"/>
      <c r="DG525" s="156"/>
      <c r="DH525" s="156"/>
      <c r="DI525" s="156"/>
      <c r="DJ525" s="156"/>
      <c r="DK525" s="156"/>
      <c r="DL525" s="156"/>
      <c r="DM525" s="156"/>
      <c r="DN525" s="156"/>
      <c r="DO525" s="156"/>
      <c r="DP525" s="156"/>
      <c r="DQ525" s="156"/>
      <c r="DR525" s="156"/>
      <c r="DS525" s="156"/>
      <c r="DT525" s="156"/>
      <c r="DU525" s="156"/>
      <c r="DV525" s="156"/>
      <c r="DW525" s="156"/>
      <c r="DX525" s="156"/>
      <c r="DY525" s="156"/>
      <c r="DZ525" s="156"/>
      <c r="EA525" s="156"/>
      <c r="EB525" s="156"/>
      <c r="EC525" s="156"/>
      <c r="ED525" s="156"/>
      <c r="EE525" s="156"/>
      <c r="EF525" s="156"/>
      <c r="EG525" s="156"/>
      <c r="EH525" s="156"/>
      <c r="EI525" s="156"/>
      <c r="EJ525" s="156"/>
      <c r="EK525" s="156"/>
      <c r="EL525" s="156"/>
      <c r="EM525" s="156"/>
      <c r="EN525" s="156"/>
      <c r="EO525" s="156"/>
      <c r="EP525" s="156"/>
      <c r="EQ525" s="156"/>
      <c r="ER525" s="156"/>
      <c r="ES525" s="156"/>
      <c r="ET525" s="156"/>
      <c r="EU525" s="156"/>
      <c r="EV525" s="156"/>
      <c r="EW525" s="156"/>
      <c r="EX525" s="156"/>
      <c r="EY525" s="156"/>
      <c r="EZ525" s="156"/>
      <c r="FA525" s="156"/>
      <c r="FB525" s="156"/>
      <c r="FC525" s="156"/>
      <c r="FD525" s="156"/>
      <c r="FE525" s="156"/>
      <c r="FF525" s="156"/>
      <c r="FG525" s="156"/>
      <c r="FH525" s="156"/>
      <c r="FI525" s="156"/>
      <c r="FJ525" s="156"/>
      <c r="FK525" s="156"/>
      <c r="FL525" s="156"/>
      <c r="FM525" s="156"/>
      <c r="FN525" s="156"/>
      <c r="FO525" s="156"/>
      <c r="FP525" s="156"/>
      <c r="FQ525" s="156"/>
      <c r="FR525" s="156"/>
      <c r="FS525" s="156"/>
      <c r="FT525" s="156"/>
      <c r="FU525" s="156"/>
      <c r="FV525" s="156"/>
      <c r="FW525" s="156"/>
      <c r="FX525" s="156"/>
      <c r="FY525" s="156"/>
      <c r="FZ525" s="156"/>
      <c r="GA525" s="156"/>
      <c r="GB525" s="156"/>
      <c r="GC525" s="156"/>
      <c r="GD525" s="156"/>
      <c r="GE525" s="156"/>
      <c r="GF525" s="156"/>
      <c r="GG525" s="156"/>
      <c r="GH525" s="156"/>
      <c r="GI525" s="156"/>
      <c r="GJ525" s="156"/>
      <c r="GK525" s="156"/>
      <c r="GL525" s="156"/>
      <c r="GM525" s="156"/>
      <c r="GN525" s="156"/>
      <c r="GO525" s="156"/>
      <c r="GP525" s="156"/>
      <c r="GQ525" s="156"/>
      <c r="GR525" s="156"/>
      <c r="GS525" s="156"/>
      <c r="GT525" s="156"/>
      <c r="GU525" s="156"/>
      <c r="GV525" s="156"/>
      <c r="GW525" s="156"/>
      <c r="GX525" s="156"/>
      <c r="GY525" s="156"/>
      <c r="GZ525" s="156"/>
      <c r="HA525" s="156"/>
      <c r="HB525" s="156"/>
      <c r="HC525" s="156"/>
      <c r="HD525" s="156"/>
      <c r="HE525" s="156"/>
      <c r="HF525" s="156"/>
      <c r="HG525" s="156"/>
      <c r="HH525" s="156"/>
      <c r="HI525" s="156"/>
      <c r="HJ525" s="156"/>
      <c r="HK525" s="156"/>
      <c r="HL525" s="156"/>
      <c r="HM525" s="156"/>
      <c r="HN525" s="156"/>
      <c r="HO525" s="156"/>
      <c r="HP525" s="156"/>
      <c r="HQ525" s="156"/>
      <c r="HR525" s="156"/>
      <c r="HS525" s="156"/>
      <c r="HT525" s="156"/>
      <c r="HU525" s="156"/>
      <c r="HV525" s="156"/>
      <c r="HW525" s="156"/>
      <c r="HX525" s="156"/>
      <c r="HY525" s="156"/>
      <c r="HZ525" s="156"/>
      <c r="IA525" s="156"/>
      <c r="IB525" s="156"/>
      <c r="IC525" s="156"/>
      <c r="ID525" s="156"/>
      <c r="IE525" s="156"/>
      <c r="IF525" s="156"/>
      <c r="IG525" s="156"/>
      <c r="IH525" s="156"/>
      <c r="II525" s="156"/>
      <c r="IJ525" s="156"/>
      <c r="IK525" s="156"/>
      <c r="IL525" s="156"/>
      <c r="IM525" s="156"/>
      <c r="IN525" s="156"/>
      <c r="IO525" s="156"/>
      <c r="IP525" s="156"/>
      <c r="IQ525" s="156"/>
      <c r="IR525" s="156"/>
      <c r="IS525" s="156"/>
      <c r="IT525" s="156"/>
      <c r="IU525" s="156"/>
      <c r="IV525" s="156"/>
      <c r="IW525" s="156"/>
      <c r="IX525" s="156"/>
      <c r="IY525" s="156"/>
      <c r="IZ525" s="156"/>
      <c r="JA525" s="156"/>
      <c r="JB525" s="156"/>
      <c r="JC525" s="156"/>
      <c r="JD525" s="156"/>
      <c r="JE525" s="156"/>
      <c r="JF525" s="156"/>
      <c r="JG525" s="156"/>
      <c r="JH525" s="156"/>
      <c r="JI525" s="156"/>
      <c r="JJ525" s="156"/>
      <c r="JK525" s="156"/>
      <c r="JL525" s="156"/>
      <c r="JM525" s="156"/>
      <c r="JN525" s="156"/>
      <c r="JO525" s="156"/>
      <c r="JP525" s="156"/>
      <c r="JQ525" s="156"/>
      <c r="JR525" s="156"/>
      <c r="JS525" s="156"/>
      <c r="JT525" s="156"/>
      <c r="JU525" s="156"/>
      <c r="JV525" s="156"/>
      <c r="JW525" s="156"/>
      <c r="JX525" s="156"/>
      <c r="JY525" s="156"/>
      <c r="JZ525" s="156"/>
      <c r="KA525" s="156"/>
      <c r="KB525" s="156"/>
      <c r="KC525" s="156"/>
      <c r="KD525" s="156"/>
      <c r="KE525" s="156"/>
    </row>
    <row r="526" spans="1:291" s="158" customFormat="1" ht="35" customHeight="1">
      <c r="A526" s="42">
        <f>ROW()-2</f>
        <v>524</v>
      </c>
      <c r="B526" s="152" t="s">
        <v>2732</v>
      </c>
      <c r="C526" s="152" t="s">
        <v>3735</v>
      </c>
      <c r="D526" s="58" t="s">
        <v>3747</v>
      </c>
      <c r="E526" s="58" t="s">
        <v>3748</v>
      </c>
      <c r="F526" s="58" t="s">
        <v>2739</v>
      </c>
      <c r="G526" s="152" t="s">
        <v>34</v>
      </c>
      <c r="H526" s="152">
        <v>1</v>
      </c>
      <c r="I526" s="153">
        <v>0.51</v>
      </c>
      <c r="J526" s="154">
        <v>44179</v>
      </c>
      <c r="K526" s="153" t="s">
        <v>20</v>
      </c>
      <c r="L526" s="152">
        <v>4.99</v>
      </c>
      <c r="M526" s="155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  <c r="AA526" s="156"/>
      <c r="AB526" s="156"/>
      <c r="AC526" s="156"/>
      <c r="AD526" s="156"/>
      <c r="AE526" s="156"/>
      <c r="AF526" s="156"/>
      <c r="AG526" s="156"/>
      <c r="AH526" s="156"/>
      <c r="AI526" s="156"/>
      <c r="AJ526" s="156"/>
      <c r="AK526" s="156"/>
      <c r="AL526" s="156"/>
      <c r="AM526" s="156"/>
      <c r="AN526" s="156"/>
      <c r="AO526" s="156"/>
      <c r="AP526" s="156"/>
      <c r="AQ526" s="156"/>
      <c r="AR526" s="156"/>
      <c r="AS526" s="156"/>
      <c r="AT526" s="156"/>
      <c r="AU526" s="156"/>
      <c r="AV526" s="156"/>
      <c r="AW526" s="156"/>
      <c r="AX526" s="156"/>
      <c r="AY526" s="156"/>
      <c r="AZ526" s="156"/>
      <c r="BA526" s="156"/>
      <c r="BB526" s="156"/>
      <c r="BC526" s="156"/>
      <c r="BD526" s="156"/>
      <c r="BE526" s="156"/>
      <c r="BF526" s="156"/>
      <c r="BG526" s="156"/>
      <c r="BH526" s="156"/>
      <c r="BI526" s="156"/>
      <c r="BJ526" s="156"/>
      <c r="BK526" s="156"/>
      <c r="BL526" s="156"/>
      <c r="BM526" s="156"/>
      <c r="BN526" s="156"/>
      <c r="BO526" s="156"/>
      <c r="BP526" s="156"/>
      <c r="BQ526" s="156"/>
      <c r="BR526" s="156"/>
      <c r="BS526" s="156"/>
      <c r="BT526" s="156"/>
      <c r="BU526" s="156"/>
      <c r="BV526" s="156"/>
      <c r="BW526" s="156"/>
      <c r="BX526" s="156"/>
      <c r="BY526" s="156"/>
      <c r="BZ526" s="156"/>
      <c r="CA526" s="156"/>
      <c r="CB526" s="156"/>
      <c r="CC526" s="156"/>
      <c r="CD526" s="156"/>
      <c r="CE526" s="156"/>
      <c r="CF526" s="156"/>
      <c r="CG526" s="156"/>
      <c r="CH526" s="156"/>
      <c r="CI526" s="156"/>
      <c r="CJ526" s="156"/>
      <c r="CK526" s="156"/>
      <c r="CL526" s="156"/>
      <c r="CM526" s="156"/>
      <c r="CN526" s="156"/>
      <c r="CO526" s="156"/>
      <c r="CP526" s="156"/>
      <c r="CQ526" s="156"/>
      <c r="CR526" s="156"/>
      <c r="CS526" s="156"/>
      <c r="CT526" s="156"/>
      <c r="CU526" s="156"/>
      <c r="CV526" s="156"/>
      <c r="CW526" s="156"/>
      <c r="CX526" s="156"/>
      <c r="CY526" s="156"/>
      <c r="CZ526" s="156"/>
      <c r="DA526" s="156"/>
      <c r="DB526" s="156"/>
      <c r="DC526" s="156"/>
      <c r="DD526" s="156"/>
      <c r="DE526" s="156"/>
      <c r="DF526" s="156"/>
      <c r="DG526" s="156"/>
      <c r="DH526" s="156"/>
      <c r="DI526" s="156"/>
      <c r="DJ526" s="156"/>
      <c r="DK526" s="156"/>
      <c r="DL526" s="156"/>
      <c r="DM526" s="156"/>
      <c r="DN526" s="156"/>
      <c r="DO526" s="156"/>
      <c r="DP526" s="156"/>
      <c r="DQ526" s="156"/>
      <c r="DR526" s="156"/>
      <c r="DS526" s="156"/>
      <c r="DT526" s="156"/>
      <c r="DU526" s="156"/>
      <c r="DV526" s="156"/>
      <c r="DW526" s="156"/>
      <c r="DX526" s="156"/>
      <c r="DY526" s="156"/>
      <c r="DZ526" s="156"/>
      <c r="EA526" s="156"/>
      <c r="EB526" s="156"/>
      <c r="EC526" s="156"/>
      <c r="ED526" s="156"/>
      <c r="EE526" s="156"/>
      <c r="EF526" s="156"/>
      <c r="EG526" s="156"/>
      <c r="EH526" s="156"/>
      <c r="EI526" s="156"/>
      <c r="EJ526" s="156"/>
      <c r="EK526" s="156"/>
      <c r="EL526" s="156"/>
      <c r="EM526" s="156"/>
      <c r="EN526" s="156"/>
      <c r="EO526" s="156"/>
      <c r="EP526" s="156"/>
      <c r="EQ526" s="156"/>
      <c r="ER526" s="156"/>
      <c r="ES526" s="156"/>
      <c r="ET526" s="156"/>
      <c r="EU526" s="156"/>
      <c r="EV526" s="156"/>
      <c r="EW526" s="156"/>
      <c r="EX526" s="156"/>
      <c r="EY526" s="156"/>
      <c r="EZ526" s="156"/>
      <c r="FA526" s="156"/>
      <c r="FB526" s="156"/>
      <c r="FC526" s="156"/>
      <c r="FD526" s="156"/>
      <c r="FE526" s="156"/>
      <c r="FF526" s="156"/>
      <c r="FG526" s="156"/>
      <c r="FH526" s="156"/>
      <c r="FI526" s="156"/>
      <c r="FJ526" s="156"/>
      <c r="FK526" s="156"/>
      <c r="FL526" s="156"/>
      <c r="FM526" s="156"/>
      <c r="FN526" s="156"/>
      <c r="FO526" s="156"/>
      <c r="FP526" s="156"/>
      <c r="FQ526" s="156"/>
      <c r="FR526" s="156"/>
      <c r="FS526" s="156"/>
      <c r="FT526" s="156"/>
      <c r="FU526" s="156"/>
      <c r="FV526" s="156"/>
      <c r="FW526" s="156"/>
      <c r="FX526" s="156"/>
      <c r="FY526" s="156"/>
      <c r="FZ526" s="156"/>
      <c r="GA526" s="156"/>
      <c r="GB526" s="156"/>
      <c r="GC526" s="156"/>
      <c r="GD526" s="156"/>
      <c r="GE526" s="156"/>
      <c r="GF526" s="156"/>
      <c r="GG526" s="156"/>
      <c r="GH526" s="156"/>
      <c r="GI526" s="156"/>
      <c r="GJ526" s="156"/>
      <c r="GK526" s="156"/>
      <c r="GL526" s="156"/>
      <c r="GM526" s="156"/>
      <c r="GN526" s="156"/>
      <c r="GO526" s="156"/>
      <c r="GP526" s="156"/>
      <c r="GQ526" s="156"/>
      <c r="GR526" s="156"/>
      <c r="GS526" s="156"/>
      <c r="GT526" s="156"/>
      <c r="GU526" s="156"/>
      <c r="GV526" s="156"/>
      <c r="GW526" s="156"/>
      <c r="GX526" s="156"/>
      <c r="GY526" s="156"/>
      <c r="GZ526" s="156"/>
      <c r="HA526" s="156"/>
      <c r="HB526" s="156"/>
      <c r="HC526" s="156"/>
      <c r="HD526" s="156"/>
      <c r="HE526" s="156"/>
      <c r="HF526" s="156"/>
      <c r="HG526" s="156"/>
      <c r="HH526" s="156"/>
      <c r="HI526" s="156"/>
      <c r="HJ526" s="156"/>
      <c r="HK526" s="156"/>
      <c r="HL526" s="156"/>
      <c r="HM526" s="156"/>
      <c r="HN526" s="156"/>
      <c r="HO526" s="156"/>
      <c r="HP526" s="156"/>
      <c r="HQ526" s="156"/>
      <c r="HR526" s="156"/>
      <c r="HS526" s="156"/>
      <c r="HT526" s="156"/>
      <c r="HU526" s="156"/>
      <c r="HV526" s="156"/>
      <c r="HW526" s="156"/>
      <c r="HX526" s="156"/>
      <c r="HY526" s="156"/>
      <c r="HZ526" s="156"/>
      <c r="IA526" s="156"/>
      <c r="IB526" s="156"/>
      <c r="IC526" s="156"/>
      <c r="ID526" s="156"/>
      <c r="IE526" s="156"/>
      <c r="IF526" s="156"/>
      <c r="IG526" s="156"/>
      <c r="IH526" s="156"/>
      <c r="II526" s="156"/>
      <c r="IJ526" s="156"/>
      <c r="IK526" s="156"/>
      <c r="IL526" s="156"/>
      <c r="IM526" s="156"/>
      <c r="IN526" s="156"/>
      <c r="IO526" s="156"/>
      <c r="IP526" s="156"/>
      <c r="IQ526" s="156"/>
      <c r="IR526" s="156"/>
      <c r="IS526" s="156"/>
      <c r="IT526" s="156"/>
      <c r="IU526" s="156"/>
      <c r="IV526" s="156"/>
      <c r="IW526" s="156"/>
      <c r="IX526" s="156"/>
      <c r="IY526" s="156"/>
      <c r="IZ526" s="156"/>
      <c r="JA526" s="156"/>
      <c r="JB526" s="156"/>
      <c r="JC526" s="156"/>
      <c r="JD526" s="156"/>
      <c r="JE526" s="156"/>
      <c r="JF526" s="156"/>
      <c r="JG526" s="156"/>
      <c r="JH526" s="156"/>
      <c r="JI526" s="156"/>
      <c r="JJ526" s="156"/>
      <c r="JK526" s="156"/>
      <c r="JL526" s="156"/>
      <c r="JM526" s="156"/>
      <c r="JN526" s="156"/>
      <c r="JO526" s="156"/>
      <c r="JP526" s="156"/>
      <c r="JQ526" s="156"/>
      <c r="JR526" s="156"/>
      <c r="JS526" s="156"/>
      <c r="JT526" s="156"/>
      <c r="JU526" s="156"/>
      <c r="JV526" s="156"/>
      <c r="JW526" s="156"/>
      <c r="JX526" s="156"/>
      <c r="JY526" s="156"/>
      <c r="JZ526" s="156"/>
      <c r="KA526" s="156"/>
      <c r="KB526" s="156"/>
      <c r="KC526" s="156"/>
      <c r="KD526" s="156"/>
      <c r="KE526" s="156"/>
    </row>
    <row r="527" spans="1:291" customFormat="1" ht="35" customHeight="1">
      <c r="A527" s="42">
        <f>ROW()-2</f>
        <v>525</v>
      </c>
      <c r="B527" s="152" t="s">
        <v>2732</v>
      </c>
      <c r="C527" s="152" t="s">
        <v>3735</v>
      </c>
      <c r="D527" s="58" t="s">
        <v>3749</v>
      </c>
      <c r="E527" s="58" t="s">
        <v>3750</v>
      </c>
      <c r="F527" s="58" t="s">
        <v>3751</v>
      </c>
      <c r="G527" s="152" t="s">
        <v>34</v>
      </c>
      <c r="H527" s="152">
        <v>1</v>
      </c>
      <c r="I527" s="153">
        <v>0.43</v>
      </c>
      <c r="J527" s="154">
        <v>44179</v>
      </c>
      <c r="K527" s="153" t="s">
        <v>20</v>
      </c>
      <c r="L527" s="152">
        <v>4.99</v>
      </c>
      <c r="M527" s="155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  <c r="AA527" s="156"/>
      <c r="AB527" s="156"/>
      <c r="AC527" s="156"/>
      <c r="AD527" s="156"/>
      <c r="AE527" s="156"/>
      <c r="AF527" s="156"/>
      <c r="AG527" s="156"/>
      <c r="AH527" s="156"/>
      <c r="AI527" s="156"/>
      <c r="AJ527" s="156"/>
      <c r="AK527" s="156"/>
      <c r="AL527" s="156"/>
      <c r="AM527" s="156"/>
      <c r="AN527" s="156"/>
      <c r="AO527" s="156"/>
      <c r="AP527" s="156"/>
      <c r="AQ527" s="156"/>
      <c r="AR527" s="156"/>
      <c r="AS527" s="156"/>
      <c r="AT527" s="156"/>
      <c r="AU527" s="156"/>
      <c r="AV527" s="156"/>
      <c r="AW527" s="156"/>
      <c r="AX527" s="156"/>
      <c r="AY527" s="156"/>
      <c r="AZ527" s="156"/>
      <c r="BA527" s="156"/>
      <c r="BB527" s="156"/>
      <c r="BC527" s="156"/>
      <c r="BD527" s="156"/>
      <c r="BE527" s="156"/>
      <c r="BF527" s="156"/>
      <c r="BG527" s="156"/>
      <c r="BH527" s="156"/>
      <c r="BI527" s="156"/>
      <c r="BJ527" s="156"/>
      <c r="BK527" s="156"/>
      <c r="BL527" s="156"/>
      <c r="BM527" s="156"/>
      <c r="BN527" s="156"/>
      <c r="BO527" s="156"/>
      <c r="BP527" s="156"/>
      <c r="BQ527" s="156"/>
      <c r="BR527" s="156"/>
      <c r="BS527" s="156"/>
      <c r="BT527" s="156"/>
      <c r="BU527" s="156"/>
      <c r="BV527" s="156"/>
      <c r="BW527" s="156"/>
      <c r="BX527" s="156"/>
      <c r="BY527" s="156"/>
      <c r="BZ527" s="156"/>
      <c r="CA527" s="156"/>
      <c r="CB527" s="156"/>
      <c r="CC527" s="156"/>
      <c r="CD527" s="156"/>
      <c r="CE527" s="156"/>
      <c r="CF527" s="156"/>
      <c r="CG527" s="156"/>
      <c r="CH527" s="156"/>
      <c r="CI527" s="156"/>
      <c r="CJ527" s="156"/>
      <c r="CK527" s="156"/>
      <c r="CL527" s="156"/>
      <c r="CM527" s="156"/>
      <c r="CN527" s="156"/>
      <c r="CO527" s="156"/>
      <c r="CP527" s="156"/>
      <c r="CQ527" s="156"/>
      <c r="CR527" s="156"/>
      <c r="CS527" s="156"/>
      <c r="CT527" s="156"/>
      <c r="CU527" s="156"/>
      <c r="CV527" s="156"/>
      <c r="CW527" s="156"/>
      <c r="CX527" s="156"/>
      <c r="CY527" s="156"/>
      <c r="CZ527" s="156"/>
      <c r="DA527" s="156"/>
      <c r="DB527" s="156"/>
      <c r="DC527" s="156"/>
      <c r="DD527" s="156"/>
      <c r="DE527" s="156"/>
      <c r="DF527" s="156"/>
      <c r="DG527" s="156"/>
      <c r="DH527" s="156"/>
      <c r="DI527" s="156"/>
      <c r="DJ527" s="156"/>
      <c r="DK527" s="156"/>
      <c r="DL527" s="156"/>
      <c r="DM527" s="156"/>
      <c r="DN527" s="156"/>
      <c r="DO527" s="156"/>
      <c r="DP527" s="156"/>
      <c r="DQ527" s="156"/>
      <c r="DR527" s="156"/>
      <c r="DS527" s="156"/>
      <c r="DT527" s="156"/>
      <c r="DU527" s="156"/>
      <c r="DV527" s="156"/>
      <c r="DW527" s="156"/>
      <c r="DX527" s="156"/>
      <c r="DY527" s="156"/>
      <c r="DZ527" s="156"/>
      <c r="EA527" s="156"/>
      <c r="EB527" s="156"/>
      <c r="EC527" s="156"/>
      <c r="ED527" s="156"/>
      <c r="EE527" s="156"/>
      <c r="EF527" s="156"/>
      <c r="EG527" s="156"/>
      <c r="EH527" s="156"/>
      <c r="EI527" s="156"/>
      <c r="EJ527" s="156"/>
      <c r="EK527" s="156"/>
      <c r="EL527" s="156"/>
      <c r="EM527" s="156"/>
      <c r="EN527" s="156"/>
      <c r="EO527" s="156"/>
      <c r="EP527" s="156"/>
      <c r="EQ527" s="156"/>
      <c r="ER527" s="156"/>
      <c r="ES527" s="156"/>
      <c r="ET527" s="156"/>
      <c r="EU527" s="156"/>
      <c r="EV527" s="156"/>
      <c r="EW527" s="156"/>
      <c r="EX527" s="156"/>
      <c r="EY527" s="156"/>
      <c r="EZ527" s="156"/>
      <c r="FA527" s="156"/>
      <c r="FB527" s="156"/>
      <c r="FC527" s="156"/>
      <c r="FD527" s="156"/>
      <c r="FE527" s="156"/>
      <c r="FF527" s="156"/>
      <c r="FG527" s="156"/>
      <c r="FH527" s="156"/>
      <c r="FI527" s="156"/>
      <c r="FJ527" s="156"/>
      <c r="FK527" s="156"/>
      <c r="FL527" s="156"/>
      <c r="FM527" s="156"/>
      <c r="FN527" s="156"/>
      <c r="FO527" s="156"/>
      <c r="FP527" s="156"/>
      <c r="FQ527" s="156"/>
      <c r="FR527" s="156"/>
      <c r="FS527" s="156"/>
      <c r="FT527" s="156"/>
      <c r="FU527" s="156"/>
      <c r="FV527" s="156"/>
      <c r="FW527" s="156"/>
      <c r="FX527" s="156"/>
      <c r="FY527" s="156"/>
      <c r="FZ527" s="156"/>
      <c r="GA527" s="156"/>
      <c r="GB527" s="156"/>
      <c r="GC527" s="156"/>
      <c r="GD527" s="156"/>
      <c r="GE527" s="156"/>
      <c r="GF527" s="156"/>
      <c r="GG527" s="156"/>
      <c r="GH527" s="156"/>
      <c r="GI527" s="156"/>
      <c r="GJ527" s="156"/>
      <c r="GK527" s="156"/>
      <c r="GL527" s="156"/>
      <c r="GM527" s="156"/>
      <c r="GN527" s="156"/>
      <c r="GO527" s="156"/>
      <c r="GP527" s="156"/>
      <c r="GQ527" s="156"/>
      <c r="GR527" s="156"/>
      <c r="GS527" s="156"/>
      <c r="GT527" s="156"/>
      <c r="GU527" s="156"/>
      <c r="GV527" s="156"/>
      <c r="GW527" s="156"/>
      <c r="GX527" s="156"/>
      <c r="GY527" s="156"/>
      <c r="GZ527" s="156"/>
      <c r="HA527" s="156"/>
      <c r="HB527" s="156"/>
      <c r="HC527" s="156"/>
      <c r="HD527" s="156"/>
      <c r="HE527" s="156"/>
      <c r="HF527" s="156"/>
      <c r="HG527" s="156"/>
      <c r="HH527" s="156"/>
      <c r="HI527" s="156"/>
      <c r="HJ527" s="156"/>
      <c r="HK527" s="156"/>
      <c r="HL527" s="156"/>
      <c r="HM527" s="156"/>
      <c r="HN527" s="156"/>
      <c r="HO527" s="156"/>
      <c r="HP527" s="156"/>
      <c r="HQ527" s="156"/>
      <c r="HR527" s="156"/>
      <c r="HS527" s="156"/>
      <c r="HT527" s="156"/>
      <c r="HU527" s="156"/>
      <c r="HV527" s="156"/>
      <c r="HW527" s="156"/>
      <c r="HX527" s="156"/>
      <c r="HY527" s="156"/>
      <c r="HZ527" s="156"/>
      <c r="IA527" s="156"/>
      <c r="IB527" s="156"/>
      <c r="IC527" s="156"/>
      <c r="ID527" s="156"/>
      <c r="IE527" s="156"/>
      <c r="IF527" s="156"/>
      <c r="IG527" s="156"/>
      <c r="IH527" s="156"/>
      <c r="II527" s="156"/>
      <c r="IJ527" s="156"/>
      <c r="IK527" s="156"/>
      <c r="IL527" s="156"/>
      <c r="IM527" s="156"/>
      <c r="IN527" s="156"/>
      <c r="IO527" s="156"/>
      <c r="IP527" s="156"/>
      <c r="IQ527" s="156"/>
      <c r="IR527" s="156"/>
      <c r="IS527" s="156"/>
      <c r="IT527" s="156"/>
      <c r="IU527" s="156"/>
      <c r="IV527" s="156"/>
      <c r="IW527" s="156"/>
      <c r="IX527" s="156"/>
      <c r="IY527" s="156"/>
      <c r="IZ527" s="156"/>
      <c r="JA527" s="156"/>
      <c r="JB527" s="156"/>
      <c r="JC527" s="156"/>
      <c r="JD527" s="156"/>
      <c r="JE527" s="156"/>
      <c r="JF527" s="156"/>
      <c r="JG527" s="156"/>
      <c r="JH527" s="156"/>
      <c r="JI527" s="156"/>
      <c r="JJ527" s="156"/>
      <c r="JK527" s="156"/>
      <c r="JL527" s="156"/>
      <c r="JM527" s="156"/>
      <c r="JN527" s="156"/>
      <c r="JO527" s="156"/>
      <c r="JP527" s="156"/>
      <c r="JQ527" s="156"/>
      <c r="JR527" s="156"/>
      <c r="JS527" s="156"/>
      <c r="JT527" s="156"/>
      <c r="JU527" s="156"/>
      <c r="JV527" s="156"/>
      <c r="JW527" s="156"/>
      <c r="JX527" s="156"/>
      <c r="JY527" s="156"/>
      <c r="JZ527" s="156"/>
      <c r="KA527" s="156"/>
      <c r="KB527" s="156"/>
      <c r="KC527" s="156"/>
      <c r="KD527" s="156"/>
      <c r="KE527" s="156"/>
    </row>
    <row r="528" spans="1:291" customFormat="1" ht="35" customHeight="1">
      <c r="A528" s="42">
        <f>ROW()-2</f>
        <v>526</v>
      </c>
      <c r="B528" s="152" t="s">
        <v>2732</v>
      </c>
      <c r="C528" s="152" t="s">
        <v>3735</v>
      </c>
      <c r="D528" s="58" t="s">
        <v>3742</v>
      </c>
      <c r="E528" s="58" t="s">
        <v>3743</v>
      </c>
      <c r="F528" s="58" t="s">
        <v>2742</v>
      </c>
      <c r="G528" s="152" t="s">
        <v>34</v>
      </c>
      <c r="H528" s="152">
        <v>1</v>
      </c>
      <c r="I528" s="153">
        <v>0.46</v>
      </c>
      <c r="J528" s="154">
        <v>44186</v>
      </c>
      <c r="K528" s="153" t="s">
        <v>20</v>
      </c>
      <c r="L528" s="152">
        <v>4.99</v>
      </c>
      <c r="M528" s="155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  <c r="AA528" s="156"/>
      <c r="AB528" s="156"/>
      <c r="AC528" s="156"/>
      <c r="AD528" s="156"/>
      <c r="AE528" s="156"/>
      <c r="AF528" s="156"/>
      <c r="AG528" s="156"/>
      <c r="AH528" s="156"/>
      <c r="AI528" s="156"/>
      <c r="AJ528" s="156"/>
      <c r="AK528" s="156"/>
      <c r="AL528" s="156"/>
      <c r="AM528" s="156"/>
      <c r="AN528" s="156"/>
      <c r="AO528" s="156"/>
      <c r="AP528" s="156"/>
      <c r="AQ528" s="156"/>
      <c r="AR528" s="156"/>
      <c r="AS528" s="156"/>
      <c r="AT528" s="156"/>
      <c r="AU528" s="156"/>
      <c r="AV528" s="156"/>
      <c r="AW528" s="156"/>
      <c r="AX528" s="156"/>
      <c r="AY528" s="156"/>
      <c r="AZ528" s="156"/>
      <c r="BA528" s="156"/>
      <c r="BB528" s="156"/>
      <c r="BC528" s="156"/>
      <c r="BD528" s="156"/>
      <c r="BE528" s="156"/>
      <c r="BF528" s="156"/>
      <c r="BG528" s="156"/>
      <c r="BH528" s="156"/>
      <c r="BI528" s="156"/>
      <c r="BJ528" s="156"/>
      <c r="BK528" s="156"/>
      <c r="BL528" s="156"/>
      <c r="BM528" s="156"/>
      <c r="BN528" s="156"/>
      <c r="BO528" s="156"/>
      <c r="BP528" s="156"/>
      <c r="BQ528" s="156"/>
      <c r="BR528" s="156"/>
      <c r="BS528" s="156"/>
      <c r="BT528" s="156"/>
      <c r="BU528" s="156"/>
      <c r="BV528" s="156"/>
      <c r="BW528" s="156"/>
      <c r="BX528" s="156"/>
      <c r="BY528" s="156"/>
      <c r="BZ528" s="156"/>
      <c r="CA528" s="156"/>
      <c r="CB528" s="156"/>
      <c r="CC528" s="156"/>
      <c r="CD528" s="156"/>
      <c r="CE528" s="156"/>
      <c r="CF528" s="156"/>
      <c r="CG528" s="156"/>
      <c r="CH528" s="156"/>
      <c r="CI528" s="156"/>
      <c r="CJ528" s="156"/>
      <c r="CK528" s="156"/>
      <c r="CL528" s="156"/>
      <c r="CM528" s="156"/>
      <c r="CN528" s="156"/>
      <c r="CO528" s="156"/>
      <c r="CP528" s="156"/>
      <c r="CQ528" s="156"/>
      <c r="CR528" s="156"/>
      <c r="CS528" s="156"/>
      <c r="CT528" s="156"/>
      <c r="CU528" s="156"/>
      <c r="CV528" s="156"/>
      <c r="CW528" s="156"/>
      <c r="CX528" s="156"/>
      <c r="CY528" s="156"/>
      <c r="CZ528" s="156"/>
      <c r="DA528" s="156"/>
      <c r="DB528" s="156"/>
      <c r="DC528" s="156"/>
      <c r="DD528" s="156"/>
      <c r="DE528" s="156"/>
      <c r="DF528" s="156"/>
      <c r="DG528" s="156"/>
      <c r="DH528" s="156"/>
      <c r="DI528" s="156"/>
      <c r="DJ528" s="156"/>
      <c r="DK528" s="156"/>
      <c r="DL528" s="156"/>
      <c r="DM528" s="156"/>
      <c r="DN528" s="156"/>
      <c r="DO528" s="156"/>
      <c r="DP528" s="156"/>
      <c r="DQ528" s="156"/>
      <c r="DR528" s="156"/>
      <c r="DS528" s="156"/>
      <c r="DT528" s="156"/>
      <c r="DU528" s="156"/>
      <c r="DV528" s="156"/>
      <c r="DW528" s="156"/>
      <c r="DX528" s="156"/>
      <c r="DY528" s="156"/>
      <c r="DZ528" s="156"/>
      <c r="EA528" s="156"/>
      <c r="EB528" s="156"/>
      <c r="EC528" s="156"/>
      <c r="ED528" s="156"/>
      <c r="EE528" s="156"/>
      <c r="EF528" s="156"/>
      <c r="EG528" s="156"/>
      <c r="EH528" s="156"/>
      <c r="EI528" s="156"/>
      <c r="EJ528" s="156"/>
      <c r="EK528" s="156"/>
      <c r="EL528" s="156"/>
      <c r="EM528" s="156"/>
      <c r="EN528" s="156"/>
      <c r="EO528" s="156"/>
      <c r="EP528" s="156"/>
      <c r="EQ528" s="156"/>
      <c r="ER528" s="156"/>
      <c r="ES528" s="156"/>
      <c r="ET528" s="156"/>
      <c r="EU528" s="156"/>
      <c r="EV528" s="156"/>
      <c r="EW528" s="156"/>
      <c r="EX528" s="156"/>
      <c r="EY528" s="156"/>
      <c r="EZ528" s="156"/>
      <c r="FA528" s="156"/>
      <c r="FB528" s="156"/>
      <c r="FC528" s="156"/>
      <c r="FD528" s="156"/>
      <c r="FE528" s="156"/>
      <c r="FF528" s="156"/>
      <c r="FG528" s="156"/>
      <c r="FH528" s="156"/>
      <c r="FI528" s="156"/>
      <c r="FJ528" s="156"/>
      <c r="FK528" s="156"/>
      <c r="FL528" s="156"/>
      <c r="FM528" s="156"/>
      <c r="FN528" s="156"/>
      <c r="FO528" s="156"/>
      <c r="FP528" s="156"/>
      <c r="FQ528" s="156"/>
      <c r="FR528" s="156"/>
      <c r="FS528" s="156"/>
      <c r="FT528" s="156"/>
      <c r="FU528" s="156"/>
      <c r="FV528" s="156"/>
      <c r="FW528" s="156"/>
      <c r="FX528" s="156"/>
      <c r="FY528" s="156"/>
      <c r="FZ528" s="156"/>
      <c r="GA528" s="156"/>
      <c r="GB528" s="156"/>
      <c r="GC528" s="156"/>
      <c r="GD528" s="156"/>
      <c r="GE528" s="156"/>
      <c r="GF528" s="156"/>
      <c r="GG528" s="156"/>
      <c r="GH528" s="156"/>
      <c r="GI528" s="156"/>
      <c r="GJ528" s="156"/>
      <c r="GK528" s="156"/>
      <c r="GL528" s="156"/>
      <c r="GM528" s="156"/>
      <c r="GN528" s="156"/>
      <c r="GO528" s="156"/>
      <c r="GP528" s="156"/>
      <c r="GQ528" s="156"/>
      <c r="GR528" s="156"/>
      <c r="GS528" s="156"/>
      <c r="GT528" s="156"/>
      <c r="GU528" s="156"/>
      <c r="GV528" s="156"/>
      <c r="GW528" s="156"/>
      <c r="GX528" s="156"/>
      <c r="GY528" s="156"/>
      <c r="GZ528" s="156"/>
      <c r="HA528" s="156"/>
      <c r="HB528" s="156"/>
      <c r="HC528" s="156"/>
      <c r="HD528" s="156"/>
      <c r="HE528" s="156"/>
      <c r="HF528" s="156"/>
      <c r="HG528" s="156"/>
      <c r="HH528" s="156"/>
      <c r="HI528" s="156"/>
      <c r="HJ528" s="156"/>
      <c r="HK528" s="156"/>
      <c r="HL528" s="156"/>
      <c r="HM528" s="156"/>
      <c r="HN528" s="156"/>
      <c r="HO528" s="156"/>
      <c r="HP528" s="156"/>
      <c r="HQ528" s="156"/>
      <c r="HR528" s="156"/>
      <c r="HS528" s="156"/>
      <c r="HT528" s="156"/>
      <c r="HU528" s="156"/>
      <c r="HV528" s="156"/>
      <c r="HW528" s="156"/>
      <c r="HX528" s="156"/>
      <c r="HY528" s="156"/>
      <c r="HZ528" s="156"/>
      <c r="IA528" s="156"/>
      <c r="IB528" s="156"/>
      <c r="IC528" s="156"/>
      <c r="ID528" s="156"/>
      <c r="IE528" s="156"/>
      <c r="IF528" s="156"/>
      <c r="IG528" s="156"/>
      <c r="IH528" s="156"/>
      <c r="II528" s="156"/>
      <c r="IJ528" s="156"/>
      <c r="IK528" s="156"/>
      <c r="IL528" s="156"/>
      <c r="IM528" s="156"/>
      <c r="IN528" s="156"/>
      <c r="IO528" s="156"/>
      <c r="IP528" s="156"/>
      <c r="IQ528" s="156"/>
      <c r="IR528" s="156"/>
      <c r="IS528" s="156"/>
      <c r="IT528" s="156"/>
      <c r="IU528" s="156"/>
      <c r="IV528" s="156"/>
      <c r="IW528" s="156"/>
      <c r="IX528" s="156"/>
      <c r="IY528" s="156"/>
      <c r="IZ528" s="156"/>
      <c r="JA528" s="156"/>
      <c r="JB528" s="156"/>
      <c r="JC528" s="156"/>
      <c r="JD528" s="156"/>
      <c r="JE528" s="156"/>
      <c r="JF528" s="156"/>
      <c r="JG528" s="156"/>
      <c r="JH528" s="156"/>
      <c r="JI528" s="156"/>
      <c r="JJ528" s="156"/>
      <c r="JK528" s="156"/>
      <c r="JL528" s="156"/>
      <c r="JM528" s="156"/>
      <c r="JN528" s="156"/>
      <c r="JO528" s="156"/>
      <c r="JP528" s="156"/>
      <c r="JQ528" s="156"/>
      <c r="JR528" s="156"/>
      <c r="JS528" s="156"/>
      <c r="JT528" s="156"/>
      <c r="JU528" s="156"/>
      <c r="JV528" s="156"/>
      <c r="JW528" s="156"/>
      <c r="JX528" s="156"/>
      <c r="JY528" s="156"/>
      <c r="JZ528" s="156"/>
      <c r="KA528" s="156"/>
      <c r="KB528" s="156"/>
      <c r="KC528" s="156"/>
      <c r="KD528" s="156"/>
      <c r="KE528" s="156"/>
    </row>
    <row r="529" spans="1:291" customFormat="1" ht="35" customHeight="1">
      <c r="A529" s="42">
        <f>ROW()-2</f>
        <v>527</v>
      </c>
      <c r="B529" s="152" t="s">
        <v>2732</v>
      </c>
      <c r="C529" s="152" t="s">
        <v>3735</v>
      </c>
      <c r="D529" s="58" t="s">
        <v>3744</v>
      </c>
      <c r="E529" s="58" t="s">
        <v>3745</v>
      </c>
      <c r="F529" s="58" t="s">
        <v>3746</v>
      </c>
      <c r="G529" s="152" t="s">
        <v>34</v>
      </c>
      <c r="H529" s="152">
        <v>1</v>
      </c>
      <c r="I529" s="153">
        <v>0.5</v>
      </c>
      <c r="J529" s="154">
        <v>44186</v>
      </c>
      <c r="K529" s="153" t="s">
        <v>20</v>
      </c>
      <c r="L529" s="152">
        <v>4.99</v>
      </c>
      <c r="M529" s="155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  <c r="AA529" s="156"/>
      <c r="AB529" s="156"/>
      <c r="AC529" s="156"/>
      <c r="AD529" s="156"/>
      <c r="AE529" s="156"/>
      <c r="AF529" s="156"/>
      <c r="AG529" s="156"/>
      <c r="AH529" s="156"/>
      <c r="AI529" s="156"/>
      <c r="AJ529" s="156"/>
      <c r="AK529" s="156"/>
      <c r="AL529" s="156"/>
      <c r="AM529" s="156"/>
      <c r="AN529" s="156"/>
      <c r="AO529" s="156"/>
      <c r="AP529" s="156"/>
      <c r="AQ529" s="156"/>
      <c r="AR529" s="156"/>
      <c r="AS529" s="156"/>
      <c r="AT529" s="156"/>
      <c r="AU529" s="156"/>
      <c r="AV529" s="156"/>
      <c r="AW529" s="156"/>
      <c r="AX529" s="156"/>
      <c r="AY529" s="156"/>
      <c r="AZ529" s="156"/>
      <c r="BA529" s="156"/>
      <c r="BB529" s="156"/>
      <c r="BC529" s="156"/>
      <c r="BD529" s="156"/>
      <c r="BE529" s="156"/>
      <c r="BF529" s="156"/>
      <c r="BG529" s="156"/>
      <c r="BH529" s="156"/>
      <c r="BI529" s="156"/>
      <c r="BJ529" s="156"/>
      <c r="BK529" s="156"/>
      <c r="BL529" s="156"/>
      <c r="BM529" s="156"/>
      <c r="BN529" s="156"/>
      <c r="BO529" s="156"/>
      <c r="BP529" s="156"/>
      <c r="BQ529" s="156"/>
      <c r="BR529" s="156"/>
      <c r="BS529" s="156"/>
      <c r="BT529" s="156"/>
      <c r="BU529" s="156"/>
      <c r="BV529" s="156"/>
      <c r="BW529" s="156"/>
      <c r="BX529" s="156"/>
      <c r="BY529" s="156"/>
      <c r="BZ529" s="156"/>
      <c r="CA529" s="156"/>
      <c r="CB529" s="156"/>
      <c r="CC529" s="156"/>
      <c r="CD529" s="156"/>
      <c r="CE529" s="156"/>
      <c r="CF529" s="156"/>
      <c r="CG529" s="156"/>
      <c r="CH529" s="156"/>
      <c r="CI529" s="156"/>
      <c r="CJ529" s="156"/>
      <c r="CK529" s="156"/>
      <c r="CL529" s="156"/>
      <c r="CM529" s="156"/>
      <c r="CN529" s="156"/>
      <c r="CO529" s="156"/>
      <c r="CP529" s="156"/>
      <c r="CQ529" s="156"/>
      <c r="CR529" s="156"/>
      <c r="CS529" s="156"/>
      <c r="CT529" s="156"/>
      <c r="CU529" s="156"/>
      <c r="CV529" s="156"/>
      <c r="CW529" s="156"/>
      <c r="CX529" s="156"/>
      <c r="CY529" s="156"/>
      <c r="CZ529" s="156"/>
      <c r="DA529" s="156"/>
      <c r="DB529" s="156"/>
      <c r="DC529" s="156"/>
      <c r="DD529" s="156"/>
      <c r="DE529" s="156"/>
      <c r="DF529" s="156"/>
      <c r="DG529" s="156"/>
      <c r="DH529" s="156"/>
      <c r="DI529" s="156"/>
      <c r="DJ529" s="156"/>
      <c r="DK529" s="156"/>
      <c r="DL529" s="156"/>
      <c r="DM529" s="156"/>
      <c r="DN529" s="156"/>
      <c r="DO529" s="156"/>
      <c r="DP529" s="156"/>
      <c r="DQ529" s="156"/>
      <c r="DR529" s="156"/>
      <c r="DS529" s="156"/>
      <c r="DT529" s="156"/>
      <c r="DU529" s="156"/>
      <c r="DV529" s="156"/>
      <c r="DW529" s="156"/>
      <c r="DX529" s="156"/>
      <c r="DY529" s="156"/>
      <c r="DZ529" s="156"/>
      <c r="EA529" s="156"/>
      <c r="EB529" s="156"/>
      <c r="EC529" s="156"/>
      <c r="ED529" s="156"/>
      <c r="EE529" s="156"/>
      <c r="EF529" s="156"/>
      <c r="EG529" s="156"/>
      <c r="EH529" s="156"/>
      <c r="EI529" s="156"/>
      <c r="EJ529" s="156"/>
      <c r="EK529" s="156"/>
      <c r="EL529" s="156"/>
      <c r="EM529" s="156"/>
      <c r="EN529" s="156"/>
      <c r="EO529" s="156"/>
      <c r="EP529" s="156"/>
      <c r="EQ529" s="156"/>
      <c r="ER529" s="156"/>
      <c r="ES529" s="156"/>
      <c r="ET529" s="156"/>
      <c r="EU529" s="156"/>
      <c r="EV529" s="156"/>
      <c r="EW529" s="156"/>
      <c r="EX529" s="156"/>
      <c r="EY529" s="156"/>
      <c r="EZ529" s="156"/>
      <c r="FA529" s="156"/>
      <c r="FB529" s="156"/>
      <c r="FC529" s="156"/>
      <c r="FD529" s="156"/>
      <c r="FE529" s="156"/>
      <c r="FF529" s="156"/>
      <c r="FG529" s="156"/>
      <c r="FH529" s="156"/>
      <c r="FI529" s="156"/>
      <c r="FJ529" s="156"/>
      <c r="FK529" s="156"/>
      <c r="FL529" s="156"/>
      <c r="FM529" s="156"/>
      <c r="FN529" s="156"/>
      <c r="FO529" s="156"/>
      <c r="FP529" s="156"/>
      <c r="FQ529" s="156"/>
      <c r="FR529" s="156"/>
      <c r="FS529" s="156"/>
      <c r="FT529" s="156"/>
      <c r="FU529" s="156"/>
      <c r="FV529" s="156"/>
      <c r="FW529" s="156"/>
      <c r="FX529" s="156"/>
      <c r="FY529" s="156"/>
      <c r="FZ529" s="156"/>
      <c r="GA529" s="156"/>
      <c r="GB529" s="156"/>
      <c r="GC529" s="156"/>
      <c r="GD529" s="156"/>
      <c r="GE529" s="156"/>
      <c r="GF529" s="156"/>
      <c r="GG529" s="156"/>
      <c r="GH529" s="156"/>
      <c r="GI529" s="156"/>
      <c r="GJ529" s="156"/>
      <c r="GK529" s="156"/>
      <c r="GL529" s="156"/>
      <c r="GM529" s="156"/>
      <c r="GN529" s="156"/>
      <c r="GO529" s="156"/>
      <c r="GP529" s="156"/>
      <c r="GQ529" s="156"/>
      <c r="GR529" s="156"/>
      <c r="GS529" s="156"/>
      <c r="GT529" s="156"/>
      <c r="GU529" s="156"/>
      <c r="GV529" s="156"/>
      <c r="GW529" s="156"/>
      <c r="GX529" s="156"/>
      <c r="GY529" s="156"/>
      <c r="GZ529" s="156"/>
      <c r="HA529" s="156"/>
      <c r="HB529" s="156"/>
      <c r="HC529" s="156"/>
      <c r="HD529" s="156"/>
      <c r="HE529" s="156"/>
      <c r="HF529" s="156"/>
      <c r="HG529" s="156"/>
      <c r="HH529" s="156"/>
      <c r="HI529" s="156"/>
      <c r="HJ529" s="156"/>
      <c r="HK529" s="156"/>
      <c r="HL529" s="156"/>
      <c r="HM529" s="156"/>
      <c r="HN529" s="156"/>
      <c r="HO529" s="156"/>
      <c r="HP529" s="156"/>
      <c r="HQ529" s="156"/>
      <c r="HR529" s="156"/>
      <c r="HS529" s="156"/>
      <c r="HT529" s="156"/>
      <c r="HU529" s="156"/>
      <c r="HV529" s="156"/>
      <c r="HW529" s="156"/>
      <c r="HX529" s="156"/>
      <c r="HY529" s="156"/>
      <c r="HZ529" s="156"/>
      <c r="IA529" s="156"/>
      <c r="IB529" s="156"/>
      <c r="IC529" s="156"/>
      <c r="ID529" s="156"/>
      <c r="IE529" s="156"/>
      <c r="IF529" s="156"/>
      <c r="IG529" s="156"/>
      <c r="IH529" s="156"/>
      <c r="II529" s="156"/>
      <c r="IJ529" s="156"/>
      <c r="IK529" s="156"/>
      <c r="IL529" s="156"/>
      <c r="IM529" s="156"/>
      <c r="IN529" s="156"/>
      <c r="IO529" s="156"/>
      <c r="IP529" s="156"/>
      <c r="IQ529" s="156"/>
      <c r="IR529" s="156"/>
      <c r="IS529" s="156"/>
      <c r="IT529" s="156"/>
      <c r="IU529" s="156"/>
      <c r="IV529" s="156"/>
      <c r="IW529" s="156"/>
      <c r="IX529" s="156"/>
      <c r="IY529" s="156"/>
      <c r="IZ529" s="156"/>
      <c r="JA529" s="156"/>
      <c r="JB529" s="156"/>
      <c r="JC529" s="156"/>
      <c r="JD529" s="156"/>
      <c r="JE529" s="156"/>
      <c r="JF529" s="156"/>
      <c r="JG529" s="156"/>
      <c r="JH529" s="156"/>
      <c r="JI529" s="156"/>
      <c r="JJ529" s="156"/>
      <c r="JK529" s="156"/>
      <c r="JL529" s="156"/>
      <c r="JM529" s="156"/>
      <c r="JN529" s="156"/>
      <c r="JO529" s="156"/>
      <c r="JP529" s="156"/>
      <c r="JQ529" s="156"/>
      <c r="JR529" s="156"/>
      <c r="JS529" s="156"/>
      <c r="JT529" s="156"/>
      <c r="JU529" s="156"/>
      <c r="JV529" s="156"/>
      <c r="JW529" s="156"/>
      <c r="JX529" s="156"/>
      <c r="JY529" s="156"/>
      <c r="JZ529" s="156"/>
      <c r="KA529" s="156"/>
      <c r="KB529" s="156"/>
      <c r="KC529" s="156"/>
      <c r="KD529" s="156"/>
      <c r="KE529" s="156"/>
    </row>
    <row r="530" spans="1:291" ht="35" customHeight="1">
      <c r="A530" s="42">
        <f>ROW()-2</f>
        <v>528</v>
      </c>
      <c r="B530" s="152" t="s">
        <v>2732</v>
      </c>
      <c r="C530" s="152" t="s">
        <v>3735</v>
      </c>
      <c r="D530" s="58" t="s">
        <v>3738</v>
      </c>
      <c r="E530" s="58" t="s">
        <v>3739</v>
      </c>
      <c r="F530" s="58" t="s">
        <v>3740</v>
      </c>
      <c r="G530" s="152" t="s">
        <v>34</v>
      </c>
      <c r="H530" s="152">
        <v>1</v>
      </c>
      <c r="I530" s="153">
        <v>0.56000000000000005</v>
      </c>
      <c r="J530" s="154">
        <v>44193</v>
      </c>
      <c r="K530" s="153" t="s">
        <v>20</v>
      </c>
      <c r="L530" s="152">
        <v>4.99</v>
      </c>
      <c r="M530" s="155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  <c r="AA530" s="156"/>
      <c r="AB530" s="156"/>
      <c r="AC530" s="156"/>
      <c r="AD530" s="156"/>
      <c r="AE530" s="156"/>
      <c r="AF530" s="156"/>
      <c r="AG530" s="156"/>
      <c r="AH530" s="156"/>
      <c r="AI530" s="156"/>
      <c r="AJ530" s="156"/>
      <c r="AK530" s="156"/>
      <c r="AL530" s="156"/>
      <c r="AM530" s="156"/>
      <c r="AN530" s="156"/>
      <c r="AO530" s="156"/>
      <c r="AP530" s="156"/>
      <c r="AQ530" s="156"/>
      <c r="AR530" s="156"/>
      <c r="AS530" s="156"/>
      <c r="AT530" s="156"/>
      <c r="AU530" s="156"/>
      <c r="AV530" s="156"/>
      <c r="AW530" s="156"/>
      <c r="AX530" s="156"/>
      <c r="AY530" s="156"/>
      <c r="AZ530" s="156"/>
      <c r="BA530" s="156"/>
      <c r="BB530" s="156"/>
      <c r="BC530" s="156"/>
      <c r="BD530" s="156"/>
      <c r="BE530" s="156"/>
      <c r="BF530" s="156"/>
      <c r="BG530" s="156"/>
      <c r="BH530" s="156"/>
      <c r="BI530" s="156"/>
      <c r="BJ530" s="156"/>
      <c r="BK530" s="156"/>
      <c r="BL530" s="156"/>
      <c r="BM530" s="156"/>
      <c r="BN530" s="156"/>
      <c r="BO530" s="156"/>
      <c r="BP530" s="156"/>
      <c r="BQ530" s="156"/>
      <c r="BR530" s="156"/>
      <c r="BS530" s="156"/>
      <c r="BT530" s="156"/>
      <c r="BU530" s="156"/>
      <c r="BV530" s="156"/>
      <c r="BW530" s="156"/>
      <c r="BX530" s="156"/>
      <c r="BY530" s="156"/>
      <c r="BZ530" s="156"/>
      <c r="CA530" s="156"/>
      <c r="CB530" s="156"/>
      <c r="CC530" s="156"/>
      <c r="CD530" s="156"/>
      <c r="CE530" s="156"/>
      <c r="CF530" s="156"/>
      <c r="CG530" s="156"/>
      <c r="CH530" s="156"/>
      <c r="CI530" s="156"/>
      <c r="CJ530" s="156"/>
      <c r="CK530" s="156"/>
      <c r="CL530" s="156"/>
      <c r="CM530" s="156"/>
      <c r="CN530" s="156"/>
      <c r="CO530" s="156"/>
      <c r="CP530" s="156"/>
      <c r="CQ530" s="156"/>
      <c r="CR530" s="156"/>
      <c r="CS530" s="156"/>
      <c r="CT530" s="156"/>
      <c r="CU530" s="156"/>
      <c r="CV530" s="156"/>
      <c r="CW530" s="156"/>
      <c r="CX530" s="156"/>
      <c r="CY530" s="156"/>
      <c r="CZ530" s="156"/>
      <c r="DA530" s="156"/>
      <c r="DB530" s="156"/>
      <c r="DC530" s="156"/>
      <c r="DD530" s="156"/>
      <c r="DE530" s="156"/>
      <c r="DF530" s="156"/>
      <c r="DG530" s="156"/>
      <c r="DH530" s="156"/>
      <c r="DI530" s="156"/>
      <c r="DJ530" s="156"/>
      <c r="DK530" s="156"/>
      <c r="DL530" s="156"/>
      <c r="DM530" s="156"/>
      <c r="DN530" s="156"/>
      <c r="DO530" s="156"/>
      <c r="DP530" s="156"/>
      <c r="DQ530" s="156"/>
      <c r="DR530" s="156"/>
      <c r="DS530" s="156"/>
      <c r="DT530" s="156"/>
      <c r="DU530" s="156"/>
      <c r="DV530" s="156"/>
      <c r="DW530" s="156"/>
      <c r="DX530" s="156"/>
      <c r="DY530" s="156"/>
      <c r="DZ530" s="156"/>
      <c r="EA530" s="156"/>
      <c r="EB530" s="156"/>
      <c r="EC530" s="156"/>
      <c r="ED530" s="156"/>
      <c r="EE530" s="156"/>
      <c r="EF530" s="156"/>
      <c r="EG530" s="156"/>
      <c r="EH530" s="156"/>
      <c r="EI530" s="156"/>
      <c r="EJ530" s="156"/>
      <c r="EK530" s="156"/>
      <c r="EL530" s="156"/>
      <c r="EM530" s="156"/>
      <c r="EN530" s="156"/>
      <c r="EO530" s="156"/>
      <c r="EP530" s="156"/>
      <c r="EQ530" s="156"/>
      <c r="ER530" s="156"/>
      <c r="ES530" s="156"/>
      <c r="ET530" s="156"/>
      <c r="EU530" s="156"/>
      <c r="EV530" s="156"/>
      <c r="EW530" s="156"/>
      <c r="EX530" s="156"/>
      <c r="EY530" s="156"/>
      <c r="EZ530" s="156"/>
      <c r="FA530" s="156"/>
      <c r="FB530" s="156"/>
      <c r="FC530" s="156"/>
      <c r="FD530" s="156"/>
      <c r="FE530" s="156"/>
      <c r="FF530" s="156"/>
      <c r="FG530" s="156"/>
      <c r="FH530" s="156"/>
      <c r="FI530" s="156"/>
      <c r="FJ530" s="156"/>
      <c r="FK530" s="156"/>
      <c r="FL530" s="156"/>
      <c r="FM530" s="156"/>
      <c r="FN530" s="156"/>
      <c r="FO530" s="156"/>
      <c r="FP530" s="156"/>
      <c r="FQ530" s="156"/>
      <c r="FR530" s="156"/>
      <c r="FS530" s="156"/>
      <c r="FT530" s="156"/>
      <c r="FU530" s="156"/>
      <c r="FV530" s="156"/>
      <c r="FW530" s="156"/>
      <c r="FX530" s="156"/>
      <c r="FY530" s="156"/>
      <c r="FZ530" s="156"/>
      <c r="GA530" s="156"/>
      <c r="GB530" s="156"/>
      <c r="GC530" s="156"/>
      <c r="GD530" s="156"/>
      <c r="GE530" s="156"/>
      <c r="GF530" s="156"/>
      <c r="GG530" s="156"/>
      <c r="GH530" s="156"/>
      <c r="GI530" s="156"/>
      <c r="GJ530" s="156"/>
      <c r="GK530" s="156"/>
      <c r="GL530" s="156"/>
      <c r="GM530" s="156"/>
      <c r="GN530" s="156"/>
      <c r="GO530" s="156"/>
      <c r="GP530" s="156"/>
      <c r="GQ530" s="156"/>
      <c r="GR530" s="156"/>
      <c r="GS530" s="156"/>
      <c r="GT530" s="156"/>
      <c r="GU530" s="156"/>
      <c r="GV530" s="156"/>
      <c r="GW530" s="156"/>
      <c r="GX530" s="156"/>
      <c r="GY530" s="156"/>
      <c r="GZ530" s="156"/>
      <c r="HA530" s="156"/>
      <c r="HB530" s="156"/>
      <c r="HC530" s="156"/>
      <c r="HD530" s="156"/>
      <c r="HE530" s="156"/>
      <c r="HF530" s="156"/>
      <c r="HG530" s="156"/>
      <c r="HH530" s="156"/>
      <c r="HI530" s="156"/>
      <c r="HJ530" s="156"/>
      <c r="HK530" s="156"/>
      <c r="HL530" s="156"/>
      <c r="HM530" s="156"/>
      <c r="HN530" s="156"/>
      <c r="HO530" s="156"/>
      <c r="HP530" s="156"/>
      <c r="HQ530" s="156"/>
      <c r="HR530" s="156"/>
      <c r="HS530" s="156"/>
      <c r="HT530" s="156"/>
      <c r="HU530" s="156"/>
      <c r="HV530" s="156"/>
      <c r="HW530" s="156"/>
      <c r="HX530" s="156"/>
      <c r="HY530" s="156"/>
      <c r="HZ530" s="156"/>
      <c r="IA530" s="156"/>
      <c r="IB530" s="156"/>
      <c r="IC530" s="156"/>
      <c r="ID530" s="156"/>
      <c r="IE530" s="156"/>
      <c r="IF530" s="156"/>
      <c r="IG530" s="156"/>
      <c r="IH530" s="156"/>
      <c r="II530" s="156"/>
      <c r="IJ530" s="156"/>
      <c r="IK530" s="156"/>
      <c r="IL530" s="156"/>
      <c r="IM530" s="156"/>
      <c r="IN530" s="156"/>
      <c r="IO530" s="156"/>
      <c r="IP530" s="156"/>
      <c r="IQ530" s="156"/>
      <c r="IR530" s="156"/>
      <c r="IS530" s="156"/>
      <c r="IT530" s="156"/>
      <c r="IU530" s="156"/>
      <c r="IV530" s="156"/>
      <c r="IW530" s="156"/>
      <c r="IX530" s="156"/>
      <c r="IY530" s="156"/>
      <c r="IZ530" s="156"/>
      <c r="JA530" s="156"/>
      <c r="JB530" s="156"/>
      <c r="JC530" s="156"/>
      <c r="JD530" s="156"/>
      <c r="JE530" s="156"/>
      <c r="JF530" s="156"/>
      <c r="JG530" s="156"/>
      <c r="JH530" s="156"/>
      <c r="JI530" s="156"/>
      <c r="JJ530" s="156"/>
      <c r="JK530" s="156"/>
      <c r="JL530" s="156"/>
      <c r="JM530" s="156"/>
      <c r="JN530" s="156"/>
      <c r="JO530" s="156"/>
      <c r="JP530" s="156"/>
      <c r="JQ530" s="156"/>
      <c r="JR530" s="156"/>
      <c r="JS530" s="156"/>
      <c r="JT530" s="156"/>
      <c r="JU530" s="156"/>
      <c r="JV530" s="156"/>
      <c r="JW530" s="156"/>
      <c r="JX530" s="156"/>
      <c r="JY530" s="156"/>
      <c r="JZ530" s="156"/>
      <c r="KA530" s="156"/>
      <c r="KB530" s="156"/>
      <c r="KC530" s="156"/>
      <c r="KD530" s="156"/>
      <c r="KE530" s="156"/>
    </row>
    <row r="531" spans="1:291" ht="35" customHeight="1">
      <c r="A531" s="42">
        <f>ROW()-2</f>
        <v>529</v>
      </c>
      <c r="B531" s="152" t="s">
        <v>2732</v>
      </c>
      <c r="C531" s="152" t="s">
        <v>3735</v>
      </c>
      <c r="D531" s="58" t="s">
        <v>3112</v>
      </c>
      <c r="E531" s="58" t="s">
        <v>3741</v>
      </c>
      <c r="F531" s="58" t="s">
        <v>3452</v>
      </c>
      <c r="G531" s="152" t="s">
        <v>34</v>
      </c>
      <c r="H531" s="152">
        <v>1</v>
      </c>
      <c r="I531" s="153">
        <v>0.56000000000000005</v>
      </c>
      <c r="J531" s="154">
        <v>44193</v>
      </c>
      <c r="K531" s="153" t="s">
        <v>20</v>
      </c>
      <c r="L531" s="152">
        <v>4.99</v>
      </c>
      <c r="M531" s="155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  <c r="AA531" s="156"/>
      <c r="AB531" s="156"/>
      <c r="AC531" s="156"/>
      <c r="AD531" s="156"/>
      <c r="AE531" s="156"/>
      <c r="AF531" s="156"/>
      <c r="AG531" s="156"/>
      <c r="AH531" s="156"/>
      <c r="AI531" s="156"/>
      <c r="AJ531" s="156"/>
      <c r="AK531" s="156"/>
      <c r="AL531" s="156"/>
      <c r="AM531" s="156"/>
      <c r="AN531" s="156"/>
      <c r="AO531" s="156"/>
      <c r="AP531" s="156"/>
      <c r="AQ531" s="156"/>
      <c r="AR531" s="156"/>
      <c r="AS531" s="156"/>
      <c r="AT531" s="156"/>
      <c r="AU531" s="156"/>
      <c r="AV531" s="156"/>
      <c r="AW531" s="156"/>
      <c r="AX531" s="156"/>
      <c r="AY531" s="156"/>
      <c r="AZ531" s="156"/>
      <c r="BA531" s="156"/>
      <c r="BB531" s="156"/>
      <c r="BC531" s="156"/>
      <c r="BD531" s="156"/>
      <c r="BE531" s="156"/>
      <c r="BF531" s="156"/>
      <c r="BG531" s="156"/>
      <c r="BH531" s="156"/>
      <c r="BI531" s="156"/>
      <c r="BJ531" s="156"/>
      <c r="BK531" s="156"/>
      <c r="BL531" s="156"/>
      <c r="BM531" s="156"/>
      <c r="BN531" s="156"/>
      <c r="BO531" s="156"/>
      <c r="BP531" s="156"/>
      <c r="BQ531" s="156"/>
      <c r="BR531" s="156"/>
      <c r="BS531" s="156"/>
      <c r="BT531" s="156"/>
      <c r="BU531" s="156"/>
      <c r="BV531" s="156"/>
      <c r="BW531" s="156"/>
      <c r="BX531" s="156"/>
      <c r="BY531" s="156"/>
      <c r="BZ531" s="156"/>
      <c r="CA531" s="156"/>
      <c r="CB531" s="156"/>
      <c r="CC531" s="156"/>
      <c r="CD531" s="156"/>
      <c r="CE531" s="156"/>
      <c r="CF531" s="156"/>
      <c r="CG531" s="156"/>
      <c r="CH531" s="156"/>
      <c r="CI531" s="156"/>
      <c r="CJ531" s="156"/>
      <c r="CK531" s="156"/>
      <c r="CL531" s="156"/>
      <c r="CM531" s="156"/>
      <c r="CN531" s="156"/>
      <c r="CO531" s="156"/>
      <c r="CP531" s="156"/>
      <c r="CQ531" s="156"/>
      <c r="CR531" s="156"/>
      <c r="CS531" s="156"/>
      <c r="CT531" s="156"/>
      <c r="CU531" s="156"/>
      <c r="CV531" s="156"/>
      <c r="CW531" s="156"/>
      <c r="CX531" s="156"/>
      <c r="CY531" s="156"/>
      <c r="CZ531" s="156"/>
      <c r="DA531" s="156"/>
      <c r="DB531" s="156"/>
      <c r="DC531" s="156"/>
      <c r="DD531" s="156"/>
      <c r="DE531" s="156"/>
      <c r="DF531" s="156"/>
      <c r="DG531" s="156"/>
      <c r="DH531" s="156"/>
      <c r="DI531" s="156"/>
      <c r="DJ531" s="156"/>
      <c r="DK531" s="156"/>
      <c r="DL531" s="156"/>
      <c r="DM531" s="156"/>
      <c r="DN531" s="156"/>
      <c r="DO531" s="156"/>
      <c r="DP531" s="156"/>
      <c r="DQ531" s="156"/>
      <c r="DR531" s="156"/>
      <c r="DS531" s="156"/>
      <c r="DT531" s="156"/>
      <c r="DU531" s="156"/>
      <c r="DV531" s="156"/>
      <c r="DW531" s="156"/>
      <c r="DX531" s="156"/>
      <c r="DY531" s="156"/>
      <c r="DZ531" s="156"/>
      <c r="EA531" s="156"/>
      <c r="EB531" s="156"/>
      <c r="EC531" s="156"/>
      <c r="ED531" s="156"/>
      <c r="EE531" s="156"/>
      <c r="EF531" s="156"/>
      <c r="EG531" s="156"/>
      <c r="EH531" s="156"/>
      <c r="EI531" s="156"/>
      <c r="EJ531" s="156"/>
      <c r="EK531" s="156"/>
      <c r="EL531" s="156"/>
      <c r="EM531" s="156"/>
      <c r="EN531" s="156"/>
      <c r="EO531" s="156"/>
      <c r="EP531" s="156"/>
      <c r="EQ531" s="156"/>
      <c r="ER531" s="156"/>
      <c r="ES531" s="156"/>
      <c r="ET531" s="156"/>
      <c r="EU531" s="156"/>
      <c r="EV531" s="156"/>
      <c r="EW531" s="156"/>
      <c r="EX531" s="156"/>
      <c r="EY531" s="156"/>
      <c r="EZ531" s="156"/>
      <c r="FA531" s="156"/>
      <c r="FB531" s="156"/>
      <c r="FC531" s="156"/>
      <c r="FD531" s="156"/>
      <c r="FE531" s="156"/>
      <c r="FF531" s="156"/>
      <c r="FG531" s="156"/>
      <c r="FH531" s="156"/>
      <c r="FI531" s="156"/>
      <c r="FJ531" s="156"/>
      <c r="FK531" s="156"/>
      <c r="FL531" s="156"/>
      <c r="FM531" s="156"/>
      <c r="FN531" s="156"/>
      <c r="FO531" s="156"/>
      <c r="FP531" s="156"/>
      <c r="FQ531" s="156"/>
      <c r="FR531" s="156"/>
      <c r="FS531" s="156"/>
      <c r="FT531" s="156"/>
      <c r="FU531" s="156"/>
      <c r="FV531" s="156"/>
      <c r="FW531" s="156"/>
      <c r="FX531" s="156"/>
      <c r="FY531" s="156"/>
      <c r="FZ531" s="156"/>
      <c r="GA531" s="156"/>
      <c r="GB531" s="156"/>
      <c r="GC531" s="156"/>
      <c r="GD531" s="156"/>
      <c r="GE531" s="156"/>
      <c r="GF531" s="156"/>
      <c r="GG531" s="156"/>
      <c r="GH531" s="156"/>
      <c r="GI531" s="156"/>
      <c r="GJ531" s="156"/>
      <c r="GK531" s="156"/>
      <c r="GL531" s="156"/>
      <c r="GM531" s="156"/>
      <c r="GN531" s="156"/>
      <c r="GO531" s="156"/>
      <c r="GP531" s="156"/>
      <c r="GQ531" s="156"/>
      <c r="GR531" s="156"/>
      <c r="GS531" s="156"/>
      <c r="GT531" s="156"/>
      <c r="GU531" s="156"/>
      <c r="GV531" s="156"/>
      <c r="GW531" s="156"/>
      <c r="GX531" s="156"/>
      <c r="GY531" s="156"/>
      <c r="GZ531" s="156"/>
      <c r="HA531" s="156"/>
      <c r="HB531" s="156"/>
      <c r="HC531" s="156"/>
      <c r="HD531" s="156"/>
      <c r="HE531" s="156"/>
      <c r="HF531" s="156"/>
      <c r="HG531" s="156"/>
      <c r="HH531" s="156"/>
      <c r="HI531" s="156"/>
      <c r="HJ531" s="156"/>
      <c r="HK531" s="156"/>
      <c r="HL531" s="156"/>
      <c r="HM531" s="156"/>
      <c r="HN531" s="156"/>
      <c r="HO531" s="156"/>
      <c r="HP531" s="156"/>
      <c r="HQ531" s="156"/>
      <c r="HR531" s="156"/>
      <c r="HS531" s="156"/>
      <c r="HT531" s="156"/>
      <c r="HU531" s="156"/>
      <c r="HV531" s="156"/>
      <c r="HW531" s="156"/>
      <c r="HX531" s="156"/>
      <c r="HY531" s="156"/>
      <c r="HZ531" s="156"/>
      <c r="IA531" s="156"/>
      <c r="IB531" s="156"/>
      <c r="IC531" s="156"/>
      <c r="ID531" s="156"/>
      <c r="IE531" s="156"/>
      <c r="IF531" s="156"/>
      <c r="IG531" s="156"/>
      <c r="IH531" s="156"/>
      <c r="II531" s="156"/>
      <c r="IJ531" s="156"/>
      <c r="IK531" s="156"/>
      <c r="IL531" s="156"/>
      <c r="IM531" s="156"/>
      <c r="IN531" s="156"/>
      <c r="IO531" s="156"/>
      <c r="IP531" s="156"/>
      <c r="IQ531" s="156"/>
      <c r="IR531" s="156"/>
      <c r="IS531" s="156"/>
      <c r="IT531" s="156"/>
      <c r="IU531" s="156"/>
      <c r="IV531" s="156"/>
      <c r="IW531" s="156"/>
      <c r="IX531" s="156"/>
      <c r="IY531" s="156"/>
      <c r="IZ531" s="156"/>
      <c r="JA531" s="156"/>
      <c r="JB531" s="156"/>
      <c r="JC531" s="156"/>
      <c r="JD531" s="156"/>
      <c r="JE531" s="156"/>
      <c r="JF531" s="156"/>
      <c r="JG531" s="156"/>
      <c r="JH531" s="156"/>
      <c r="JI531" s="156"/>
      <c r="JJ531" s="156"/>
      <c r="JK531" s="156"/>
      <c r="JL531" s="156"/>
      <c r="JM531" s="156"/>
      <c r="JN531" s="156"/>
      <c r="JO531" s="156"/>
      <c r="JP531" s="156"/>
      <c r="JQ531" s="156"/>
      <c r="JR531" s="156"/>
      <c r="JS531" s="156"/>
      <c r="JT531" s="156"/>
      <c r="JU531" s="156"/>
      <c r="JV531" s="156"/>
      <c r="JW531" s="156"/>
      <c r="JX531" s="156"/>
      <c r="JY531" s="156"/>
      <c r="JZ531" s="156"/>
      <c r="KA531" s="156"/>
      <c r="KB531" s="156"/>
      <c r="KC531" s="156"/>
      <c r="KD531" s="156"/>
      <c r="KE531" s="156"/>
    </row>
    <row r="532" spans="1:291" ht="35" customHeight="1">
      <c r="A532" s="42">
        <f>ROW()-2</f>
        <v>530</v>
      </c>
      <c r="B532" s="152" t="s">
        <v>2732</v>
      </c>
      <c r="C532" s="152" t="s">
        <v>3735</v>
      </c>
      <c r="D532" s="58" t="s">
        <v>3856</v>
      </c>
      <c r="E532" s="58" t="s">
        <v>3857</v>
      </c>
      <c r="F532" s="58" t="s">
        <v>3452</v>
      </c>
      <c r="G532" s="152" t="s">
        <v>34</v>
      </c>
      <c r="H532" s="152">
        <v>1</v>
      </c>
      <c r="I532" s="153">
        <v>0.46</v>
      </c>
      <c r="J532" s="154">
        <v>44200</v>
      </c>
      <c r="K532" s="153" t="s">
        <v>20</v>
      </c>
      <c r="L532" s="152">
        <v>4.99</v>
      </c>
      <c r="M532" s="155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  <c r="AA532" s="156"/>
      <c r="AB532" s="156"/>
      <c r="AC532" s="156"/>
      <c r="AD532" s="156"/>
      <c r="AE532" s="156"/>
      <c r="AF532" s="156"/>
      <c r="AG532" s="156"/>
      <c r="AH532" s="156"/>
      <c r="AI532" s="156"/>
      <c r="AJ532" s="156"/>
      <c r="AK532" s="156"/>
      <c r="AL532" s="156"/>
      <c r="AM532" s="156"/>
      <c r="AN532" s="156"/>
      <c r="AO532" s="156"/>
      <c r="AP532" s="156"/>
      <c r="AQ532" s="156"/>
      <c r="AR532" s="156"/>
      <c r="AS532" s="156"/>
      <c r="AT532" s="156"/>
      <c r="AU532" s="156"/>
      <c r="AV532" s="156"/>
      <c r="AW532" s="156"/>
      <c r="AX532" s="156"/>
      <c r="AY532" s="156"/>
      <c r="AZ532" s="156"/>
      <c r="BA532" s="156"/>
      <c r="BB532" s="156"/>
      <c r="BC532" s="156"/>
      <c r="BD532" s="156"/>
      <c r="BE532" s="156"/>
      <c r="BF532" s="156"/>
      <c r="BG532" s="156"/>
      <c r="BH532" s="156"/>
      <c r="BI532" s="156"/>
      <c r="BJ532" s="156"/>
      <c r="BK532" s="156"/>
      <c r="BL532" s="156"/>
      <c r="BM532" s="156"/>
      <c r="BN532" s="156"/>
      <c r="BO532" s="156"/>
      <c r="BP532" s="156"/>
      <c r="BQ532" s="156"/>
      <c r="BR532" s="156"/>
      <c r="BS532" s="156"/>
      <c r="BT532" s="156"/>
      <c r="BU532" s="156"/>
      <c r="BV532" s="156"/>
      <c r="BW532" s="156"/>
      <c r="BX532" s="156"/>
      <c r="BY532" s="156"/>
      <c r="BZ532" s="156"/>
      <c r="CA532" s="156"/>
      <c r="CB532" s="156"/>
      <c r="CC532" s="156"/>
      <c r="CD532" s="156"/>
      <c r="CE532" s="156"/>
      <c r="CF532" s="156"/>
      <c r="CG532" s="156"/>
      <c r="CH532" s="156"/>
      <c r="CI532" s="156"/>
      <c r="CJ532" s="156"/>
      <c r="CK532" s="156"/>
      <c r="CL532" s="156"/>
      <c r="CM532" s="156"/>
      <c r="CN532" s="156"/>
      <c r="CO532" s="156"/>
      <c r="CP532" s="156"/>
      <c r="CQ532" s="156"/>
      <c r="CR532" s="156"/>
      <c r="CS532" s="156"/>
      <c r="CT532" s="156"/>
      <c r="CU532" s="156"/>
      <c r="CV532" s="156"/>
      <c r="CW532" s="156"/>
      <c r="CX532" s="156"/>
      <c r="CY532" s="156"/>
      <c r="CZ532" s="156"/>
      <c r="DA532" s="156"/>
      <c r="DB532" s="156"/>
      <c r="DC532" s="156"/>
      <c r="DD532" s="156"/>
      <c r="DE532" s="156"/>
      <c r="DF532" s="156"/>
      <c r="DG532" s="156"/>
      <c r="DH532" s="156"/>
      <c r="DI532" s="156"/>
      <c r="DJ532" s="156"/>
      <c r="DK532" s="156"/>
      <c r="DL532" s="156"/>
      <c r="DM532" s="156"/>
      <c r="DN532" s="156"/>
      <c r="DO532" s="156"/>
      <c r="DP532" s="156"/>
      <c r="DQ532" s="156"/>
      <c r="DR532" s="156"/>
      <c r="DS532" s="156"/>
      <c r="DT532" s="156"/>
      <c r="DU532" s="156"/>
      <c r="DV532" s="156"/>
      <c r="DW532" s="156"/>
      <c r="DX532" s="156"/>
      <c r="DY532" s="156"/>
      <c r="DZ532" s="156"/>
      <c r="EA532" s="156"/>
      <c r="EB532" s="156"/>
      <c r="EC532" s="156"/>
      <c r="ED532" s="156"/>
      <c r="EE532" s="156"/>
      <c r="EF532" s="156"/>
      <c r="EG532" s="156"/>
      <c r="EH532" s="156"/>
      <c r="EI532" s="156"/>
      <c r="EJ532" s="156"/>
      <c r="EK532" s="156"/>
      <c r="EL532" s="156"/>
      <c r="EM532" s="156"/>
      <c r="EN532" s="156"/>
      <c r="EO532" s="156"/>
      <c r="EP532" s="156"/>
      <c r="EQ532" s="156"/>
      <c r="ER532" s="156"/>
      <c r="ES532" s="156"/>
      <c r="ET532" s="156"/>
      <c r="EU532" s="156"/>
      <c r="EV532" s="156"/>
      <c r="EW532" s="156"/>
      <c r="EX532" s="156"/>
      <c r="EY532" s="156"/>
      <c r="EZ532" s="156"/>
      <c r="FA532" s="156"/>
      <c r="FB532" s="156"/>
      <c r="FC532" s="156"/>
      <c r="FD532" s="156"/>
      <c r="FE532" s="156"/>
      <c r="FF532" s="156"/>
      <c r="FG532" s="156"/>
      <c r="FH532" s="156"/>
      <c r="FI532" s="156"/>
      <c r="FJ532" s="156"/>
      <c r="FK532" s="156"/>
      <c r="FL532" s="156"/>
      <c r="FM532" s="156"/>
      <c r="FN532" s="156"/>
      <c r="FO532" s="156"/>
      <c r="FP532" s="156"/>
      <c r="FQ532" s="156"/>
      <c r="FR532" s="156"/>
      <c r="FS532" s="156"/>
      <c r="FT532" s="156"/>
      <c r="FU532" s="156"/>
      <c r="FV532" s="156"/>
      <c r="FW532" s="156"/>
      <c r="FX532" s="156"/>
      <c r="FY532" s="156"/>
      <c r="FZ532" s="156"/>
      <c r="GA532" s="156"/>
      <c r="GB532" s="156"/>
      <c r="GC532" s="156"/>
      <c r="GD532" s="156"/>
      <c r="GE532" s="156"/>
      <c r="GF532" s="156"/>
      <c r="GG532" s="156"/>
      <c r="GH532" s="156"/>
      <c r="GI532" s="156"/>
      <c r="GJ532" s="156"/>
      <c r="GK532" s="156"/>
      <c r="GL532" s="156"/>
      <c r="GM532" s="156"/>
      <c r="GN532" s="156"/>
      <c r="GO532" s="156"/>
      <c r="GP532" s="156"/>
      <c r="GQ532" s="156"/>
      <c r="GR532" s="156"/>
      <c r="GS532" s="156"/>
      <c r="GT532" s="156"/>
      <c r="GU532" s="156"/>
      <c r="GV532" s="156"/>
      <c r="GW532" s="156"/>
      <c r="GX532" s="156"/>
      <c r="GY532" s="156"/>
      <c r="GZ532" s="156"/>
      <c r="HA532" s="156"/>
      <c r="HB532" s="156"/>
      <c r="HC532" s="156"/>
      <c r="HD532" s="156"/>
      <c r="HE532" s="156"/>
      <c r="HF532" s="156"/>
      <c r="HG532" s="156"/>
      <c r="HH532" s="156"/>
      <c r="HI532" s="156"/>
      <c r="HJ532" s="156"/>
      <c r="HK532" s="156"/>
      <c r="HL532" s="156"/>
      <c r="HM532" s="156"/>
      <c r="HN532" s="156"/>
      <c r="HO532" s="156"/>
      <c r="HP532" s="156"/>
      <c r="HQ532" s="156"/>
      <c r="HR532" s="156"/>
      <c r="HS532" s="156"/>
      <c r="HT532" s="156"/>
      <c r="HU532" s="156"/>
      <c r="HV532" s="156"/>
      <c r="HW532" s="156"/>
      <c r="HX532" s="156"/>
      <c r="HY532" s="156"/>
      <c r="HZ532" s="156"/>
      <c r="IA532" s="156"/>
      <c r="IB532" s="156"/>
      <c r="IC532" s="156"/>
      <c r="ID532" s="156"/>
      <c r="IE532" s="156"/>
      <c r="IF532" s="156"/>
      <c r="IG532" s="156"/>
      <c r="IH532" s="156"/>
      <c r="II532" s="156"/>
      <c r="IJ532" s="156"/>
      <c r="IK532" s="156"/>
      <c r="IL532" s="156"/>
      <c r="IM532" s="156"/>
      <c r="IN532" s="156"/>
      <c r="IO532" s="156"/>
      <c r="IP532" s="156"/>
      <c r="IQ532" s="156"/>
      <c r="IR532" s="156"/>
      <c r="IS532" s="156"/>
      <c r="IT532" s="156"/>
      <c r="IU532" s="156"/>
      <c r="IV532" s="156"/>
      <c r="IW532" s="156"/>
      <c r="IX532" s="156"/>
      <c r="IY532" s="156"/>
      <c r="IZ532" s="156"/>
      <c r="JA532" s="156"/>
      <c r="JB532" s="156"/>
      <c r="JC532" s="156"/>
      <c r="JD532" s="156"/>
      <c r="JE532" s="156"/>
      <c r="JF532" s="156"/>
      <c r="JG532" s="156"/>
      <c r="JH532" s="156"/>
      <c r="JI532" s="156"/>
      <c r="JJ532" s="156"/>
      <c r="JK532" s="156"/>
      <c r="JL532" s="156"/>
      <c r="JM532" s="156"/>
      <c r="JN532" s="156"/>
      <c r="JO532" s="156"/>
      <c r="JP532" s="156"/>
      <c r="JQ532" s="156"/>
      <c r="JR532" s="156"/>
      <c r="JS532" s="156"/>
      <c r="JT532" s="156"/>
      <c r="JU532" s="156"/>
      <c r="JV532" s="156"/>
      <c r="JW532" s="156"/>
      <c r="JX532" s="156"/>
      <c r="JY532" s="156"/>
      <c r="JZ532" s="156"/>
      <c r="KA532" s="156"/>
      <c r="KB532" s="156"/>
      <c r="KC532" s="156"/>
      <c r="KD532" s="156"/>
      <c r="KE532" s="156"/>
    </row>
    <row r="533" spans="1:291" ht="35" customHeight="1">
      <c r="A533" s="42">
        <f>ROW()-2</f>
        <v>531</v>
      </c>
      <c r="B533" s="152" t="s">
        <v>2732</v>
      </c>
      <c r="C533" s="152" t="s">
        <v>3735</v>
      </c>
      <c r="D533" s="58" t="s">
        <v>3839</v>
      </c>
      <c r="E533" s="58" t="s">
        <v>3840</v>
      </c>
      <c r="F533" s="58" t="s">
        <v>3841</v>
      </c>
      <c r="G533" s="152" t="s">
        <v>34</v>
      </c>
      <c r="H533" s="152">
        <v>1</v>
      </c>
      <c r="I533" s="153">
        <v>0.32</v>
      </c>
      <c r="J533" s="154">
        <v>44207</v>
      </c>
      <c r="K533" s="153" t="s">
        <v>20</v>
      </c>
      <c r="L533" s="152">
        <v>4.99</v>
      </c>
      <c r="M533" s="155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  <c r="AA533" s="156"/>
      <c r="AB533" s="156"/>
      <c r="AC533" s="156"/>
      <c r="AD533" s="156"/>
      <c r="AE533" s="156"/>
      <c r="AF533" s="156"/>
      <c r="AG533" s="156"/>
      <c r="AH533" s="156"/>
      <c r="AI533" s="156"/>
      <c r="AJ533" s="156"/>
      <c r="AK533" s="156"/>
      <c r="AL533" s="156"/>
      <c r="AM533" s="156"/>
      <c r="AN533" s="156"/>
      <c r="AO533" s="156"/>
      <c r="AP533" s="156"/>
      <c r="AQ533" s="156"/>
      <c r="AR533" s="156"/>
      <c r="AS533" s="156"/>
      <c r="AT533" s="156"/>
      <c r="AU533" s="156"/>
      <c r="AV533" s="156"/>
      <c r="AW533" s="156"/>
      <c r="AX533" s="156"/>
      <c r="AY533" s="156"/>
      <c r="AZ533" s="156"/>
      <c r="BA533" s="156"/>
      <c r="BB533" s="156"/>
      <c r="BC533" s="156"/>
      <c r="BD533" s="156"/>
      <c r="BE533" s="156"/>
      <c r="BF533" s="156"/>
      <c r="BG533" s="156"/>
      <c r="BH533" s="156"/>
      <c r="BI533" s="156"/>
      <c r="BJ533" s="156"/>
      <c r="BK533" s="156"/>
      <c r="BL533" s="156"/>
      <c r="BM533" s="156"/>
      <c r="BN533" s="156"/>
      <c r="BO533" s="156"/>
      <c r="BP533" s="156"/>
      <c r="BQ533" s="156"/>
      <c r="BR533" s="156"/>
      <c r="BS533" s="156"/>
      <c r="BT533" s="156"/>
      <c r="BU533" s="156"/>
      <c r="BV533" s="156"/>
      <c r="BW533" s="156"/>
      <c r="BX533" s="156"/>
      <c r="BY533" s="156"/>
      <c r="BZ533" s="156"/>
      <c r="CA533" s="156"/>
      <c r="CB533" s="156"/>
      <c r="CC533" s="156"/>
      <c r="CD533" s="156"/>
      <c r="CE533" s="156"/>
      <c r="CF533" s="156"/>
      <c r="CG533" s="156"/>
      <c r="CH533" s="156"/>
      <c r="CI533" s="156"/>
      <c r="CJ533" s="156"/>
      <c r="CK533" s="156"/>
      <c r="CL533" s="156"/>
      <c r="CM533" s="156"/>
      <c r="CN533" s="156"/>
      <c r="CO533" s="156"/>
      <c r="CP533" s="156"/>
      <c r="CQ533" s="156"/>
      <c r="CR533" s="156"/>
      <c r="CS533" s="156"/>
      <c r="CT533" s="156"/>
      <c r="CU533" s="156"/>
      <c r="CV533" s="156"/>
      <c r="CW533" s="156"/>
      <c r="CX533" s="156"/>
      <c r="CY533" s="156"/>
      <c r="CZ533" s="156"/>
      <c r="DA533" s="156"/>
      <c r="DB533" s="156"/>
      <c r="DC533" s="156"/>
      <c r="DD533" s="156"/>
      <c r="DE533" s="156"/>
      <c r="DF533" s="156"/>
      <c r="DG533" s="156"/>
      <c r="DH533" s="156"/>
      <c r="DI533" s="156"/>
      <c r="DJ533" s="156"/>
      <c r="DK533" s="156"/>
      <c r="DL533" s="156"/>
      <c r="DM533" s="156"/>
      <c r="DN533" s="156"/>
      <c r="DO533" s="156"/>
      <c r="DP533" s="156"/>
      <c r="DQ533" s="156"/>
      <c r="DR533" s="156"/>
      <c r="DS533" s="156"/>
      <c r="DT533" s="156"/>
      <c r="DU533" s="156"/>
      <c r="DV533" s="156"/>
      <c r="DW533" s="156"/>
      <c r="DX533" s="156"/>
      <c r="DY533" s="156"/>
      <c r="DZ533" s="156"/>
      <c r="EA533" s="156"/>
      <c r="EB533" s="156"/>
      <c r="EC533" s="156"/>
      <c r="ED533" s="156"/>
      <c r="EE533" s="156"/>
      <c r="EF533" s="156"/>
      <c r="EG533" s="156"/>
      <c r="EH533" s="156"/>
      <c r="EI533" s="156"/>
      <c r="EJ533" s="156"/>
      <c r="EK533" s="156"/>
      <c r="EL533" s="156"/>
      <c r="EM533" s="156"/>
      <c r="EN533" s="156"/>
      <c r="EO533" s="156"/>
      <c r="EP533" s="156"/>
      <c r="EQ533" s="156"/>
      <c r="ER533" s="156"/>
      <c r="ES533" s="156"/>
      <c r="ET533" s="156"/>
      <c r="EU533" s="156"/>
      <c r="EV533" s="156"/>
      <c r="EW533" s="156"/>
      <c r="EX533" s="156"/>
      <c r="EY533" s="156"/>
      <c r="EZ533" s="156"/>
      <c r="FA533" s="156"/>
      <c r="FB533" s="156"/>
      <c r="FC533" s="156"/>
      <c r="FD533" s="156"/>
      <c r="FE533" s="156"/>
      <c r="FF533" s="156"/>
      <c r="FG533" s="156"/>
      <c r="FH533" s="156"/>
      <c r="FI533" s="156"/>
      <c r="FJ533" s="156"/>
      <c r="FK533" s="156"/>
      <c r="FL533" s="156"/>
      <c r="FM533" s="156"/>
      <c r="FN533" s="156"/>
      <c r="FO533" s="156"/>
      <c r="FP533" s="156"/>
      <c r="FQ533" s="156"/>
      <c r="FR533" s="156"/>
      <c r="FS533" s="156"/>
      <c r="FT533" s="156"/>
      <c r="FU533" s="156"/>
      <c r="FV533" s="156"/>
      <c r="FW533" s="156"/>
      <c r="FX533" s="156"/>
      <c r="FY533" s="156"/>
      <c r="FZ533" s="156"/>
      <c r="GA533" s="156"/>
      <c r="GB533" s="156"/>
      <c r="GC533" s="156"/>
      <c r="GD533" s="156"/>
      <c r="GE533" s="156"/>
      <c r="GF533" s="156"/>
      <c r="GG533" s="156"/>
      <c r="GH533" s="156"/>
      <c r="GI533" s="156"/>
      <c r="GJ533" s="156"/>
      <c r="GK533" s="156"/>
      <c r="GL533" s="156"/>
      <c r="GM533" s="156"/>
      <c r="GN533" s="156"/>
      <c r="GO533" s="156"/>
      <c r="GP533" s="156"/>
      <c r="GQ533" s="156"/>
      <c r="GR533" s="156"/>
      <c r="GS533" s="156"/>
      <c r="GT533" s="156"/>
      <c r="GU533" s="156"/>
      <c r="GV533" s="156"/>
      <c r="GW533" s="156"/>
      <c r="GX533" s="156"/>
      <c r="GY533" s="156"/>
      <c r="GZ533" s="156"/>
      <c r="HA533" s="156"/>
      <c r="HB533" s="156"/>
      <c r="HC533" s="156"/>
      <c r="HD533" s="156"/>
      <c r="HE533" s="156"/>
      <c r="HF533" s="156"/>
      <c r="HG533" s="156"/>
      <c r="HH533" s="156"/>
      <c r="HI533" s="156"/>
      <c r="HJ533" s="156"/>
      <c r="HK533" s="156"/>
      <c r="HL533" s="156"/>
      <c r="HM533" s="156"/>
      <c r="HN533" s="156"/>
      <c r="HO533" s="156"/>
      <c r="HP533" s="156"/>
      <c r="HQ533" s="156"/>
      <c r="HR533" s="156"/>
      <c r="HS533" s="156"/>
      <c r="HT533" s="156"/>
      <c r="HU533" s="156"/>
      <c r="HV533" s="156"/>
      <c r="HW533" s="156"/>
      <c r="HX533" s="156"/>
      <c r="HY533" s="156"/>
      <c r="HZ533" s="156"/>
      <c r="IA533" s="156"/>
      <c r="IB533" s="156"/>
      <c r="IC533" s="156"/>
      <c r="ID533" s="156"/>
      <c r="IE533" s="156"/>
      <c r="IF533" s="156"/>
      <c r="IG533" s="156"/>
      <c r="IH533" s="156"/>
      <c r="II533" s="156"/>
      <c r="IJ533" s="156"/>
      <c r="IK533" s="156"/>
      <c r="IL533" s="156"/>
      <c r="IM533" s="156"/>
      <c r="IN533" s="156"/>
      <c r="IO533" s="156"/>
      <c r="IP533" s="156"/>
      <c r="IQ533" s="156"/>
      <c r="IR533" s="156"/>
      <c r="IS533" s="156"/>
      <c r="IT533" s="156"/>
      <c r="IU533" s="156"/>
      <c r="IV533" s="156"/>
      <c r="IW533" s="156"/>
      <c r="IX533" s="156"/>
      <c r="IY533" s="156"/>
      <c r="IZ533" s="156"/>
      <c r="JA533" s="156"/>
      <c r="JB533" s="156"/>
      <c r="JC533" s="156"/>
      <c r="JD533" s="156"/>
      <c r="JE533" s="156"/>
      <c r="JF533" s="156"/>
      <c r="JG533" s="156"/>
      <c r="JH533" s="156"/>
      <c r="JI533" s="156"/>
      <c r="JJ533" s="156"/>
      <c r="JK533" s="156"/>
      <c r="JL533" s="156"/>
      <c r="JM533" s="156"/>
      <c r="JN533" s="156"/>
      <c r="JO533" s="156"/>
      <c r="JP533" s="156"/>
      <c r="JQ533" s="156"/>
      <c r="JR533" s="156"/>
      <c r="JS533" s="156"/>
      <c r="JT533" s="156"/>
      <c r="JU533" s="156"/>
      <c r="JV533" s="156"/>
      <c r="JW533" s="156"/>
      <c r="JX533" s="156"/>
      <c r="JY533" s="156"/>
      <c r="JZ533" s="156"/>
      <c r="KA533" s="156"/>
      <c r="KB533" s="156"/>
      <c r="KC533" s="156"/>
      <c r="KD533" s="156"/>
      <c r="KE533" s="156"/>
    </row>
    <row r="534" spans="1:291" ht="35" customHeight="1">
      <c r="A534" s="42">
        <f>ROW()-2</f>
        <v>532</v>
      </c>
      <c r="B534" s="152" t="s">
        <v>2732</v>
      </c>
      <c r="C534" s="152" t="s">
        <v>3735</v>
      </c>
      <c r="D534" s="58" t="s">
        <v>3842</v>
      </c>
      <c r="E534" s="58" t="s">
        <v>3843</v>
      </c>
      <c r="F534" s="58" t="s">
        <v>3343</v>
      </c>
      <c r="G534" s="152" t="s">
        <v>34</v>
      </c>
      <c r="H534" s="152">
        <v>1</v>
      </c>
      <c r="I534" s="153">
        <v>0.35</v>
      </c>
      <c r="J534" s="154">
        <v>44207</v>
      </c>
      <c r="K534" s="153" t="s">
        <v>20</v>
      </c>
      <c r="L534" s="152">
        <v>4.99</v>
      </c>
      <c r="M534" s="155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  <c r="AA534" s="156"/>
      <c r="AB534" s="156"/>
      <c r="AC534" s="156"/>
      <c r="AD534" s="156"/>
      <c r="AE534" s="156"/>
      <c r="AF534" s="156"/>
      <c r="AG534" s="156"/>
      <c r="AH534" s="156"/>
      <c r="AI534" s="156"/>
      <c r="AJ534" s="156"/>
      <c r="AK534" s="156"/>
      <c r="AL534" s="156"/>
      <c r="AM534" s="156"/>
      <c r="AN534" s="156"/>
      <c r="AO534" s="156"/>
      <c r="AP534" s="156"/>
      <c r="AQ534" s="156"/>
      <c r="AR534" s="156"/>
      <c r="AS534" s="156"/>
      <c r="AT534" s="156"/>
      <c r="AU534" s="156"/>
      <c r="AV534" s="156"/>
      <c r="AW534" s="156"/>
      <c r="AX534" s="156"/>
      <c r="AY534" s="156"/>
      <c r="AZ534" s="156"/>
      <c r="BA534" s="156"/>
      <c r="BB534" s="156"/>
      <c r="BC534" s="156"/>
      <c r="BD534" s="156"/>
      <c r="BE534" s="156"/>
      <c r="BF534" s="156"/>
      <c r="BG534" s="156"/>
      <c r="BH534" s="156"/>
      <c r="BI534" s="156"/>
      <c r="BJ534" s="156"/>
      <c r="BK534" s="156"/>
      <c r="BL534" s="156"/>
      <c r="BM534" s="156"/>
      <c r="BN534" s="156"/>
      <c r="BO534" s="156"/>
      <c r="BP534" s="156"/>
      <c r="BQ534" s="156"/>
      <c r="BR534" s="156"/>
      <c r="BS534" s="156"/>
      <c r="BT534" s="156"/>
      <c r="BU534" s="156"/>
      <c r="BV534" s="156"/>
      <c r="BW534" s="156"/>
      <c r="BX534" s="156"/>
      <c r="BY534" s="156"/>
      <c r="BZ534" s="156"/>
      <c r="CA534" s="156"/>
      <c r="CB534" s="156"/>
      <c r="CC534" s="156"/>
      <c r="CD534" s="156"/>
      <c r="CE534" s="156"/>
      <c r="CF534" s="156"/>
      <c r="CG534" s="156"/>
      <c r="CH534" s="156"/>
      <c r="CI534" s="156"/>
      <c r="CJ534" s="156"/>
      <c r="CK534" s="156"/>
      <c r="CL534" s="156"/>
      <c r="CM534" s="156"/>
      <c r="CN534" s="156"/>
      <c r="CO534" s="156"/>
      <c r="CP534" s="156"/>
      <c r="CQ534" s="156"/>
      <c r="CR534" s="156"/>
      <c r="CS534" s="156"/>
      <c r="CT534" s="156"/>
      <c r="CU534" s="156"/>
      <c r="CV534" s="156"/>
      <c r="CW534" s="156"/>
      <c r="CX534" s="156"/>
      <c r="CY534" s="156"/>
      <c r="CZ534" s="156"/>
      <c r="DA534" s="156"/>
      <c r="DB534" s="156"/>
      <c r="DC534" s="156"/>
      <c r="DD534" s="156"/>
      <c r="DE534" s="156"/>
      <c r="DF534" s="156"/>
      <c r="DG534" s="156"/>
      <c r="DH534" s="156"/>
      <c r="DI534" s="156"/>
      <c r="DJ534" s="156"/>
      <c r="DK534" s="156"/>
      <c r="DL534" s="156"/>
      <c r="DM534" s="156"/>
      <c r="DN534" s="156"/>
      <c r="DO534" s="156"/>
      <c r="DP534" s="156"/>
      <c r="DQ534" s="156"/>
      <c r="DR534" s="156"/>
      <c r="DS534" s="156"/>
      <c r="DT534" s="156"/>
      <c r="DU534" s="156"/>
      <c r="DV534" s="156"/>
      <c r="DW534" s="156"/>
      <c r="DX534" s="156"/>
      <c r="DY534" s="156"/>
      <c r="DZ534" s="156"/>
      <c r="EA534" s="156"/>
      <c r="EB534" s="156"/>
      <c r="EC534" s="156"/>
      <c r="ED534" s="156"/>
      <c r="EE534" s="156"/>
      <c r="EF534" s="156"/>
      <c r="EG534" s="156"/>
      <c r="EH534" s="156"/>
      <c r="EI534" s="156"/>
      <c r="EJ534" s="156"/>
      <c r="EK534" s="156"/>
      <c r="EL534" s="156"/>
      <c r="EM534" s="156"/>
      <c r="EN534" s="156"/>
      <c r="EO534" s="156"/>
      <c r="EP534" s="156"/>
      <c r="EQ534" s="156"/>
      <c r="ER534" s="156"/>
      <c r="ES534" s="156"/>
      <c r="ET534" s="156"/>
      <c r="EU534" s="156"/>
      <c r="EV534" s="156"/>
      <c r="EW534" s="156"/>
      <c r="EX534" s="156"/>
      <c r="EY534" s="156"/>
      <c r="EZ534" s="156"/>
      <c r="FA534" s="156"/>
      <c r="FB534" s="156"/>
      <c r="FC534" s="156"/>
      <c r="FD534" s="156"/>
      <c r="FE534" s="156"/>
      <c r="FF534" s="156"/>
      <c r="FG534" s="156"/>
      <c r="FH534" s="156"/>
      <c r="FI534" s="156"/>
      <c r="FJ534" s="156"/>
      <c r="FK534" s="156"/>
      <c r="FL534" s="156"/>
      <c r="FM534" s="156"/>
      <c r="FN534" s="156"/>
      <c r="FO534" s="156"/>
      <c r="FP534" s="156"/>
      <c r="FQ534" s="156"/>
      <c r="FR534" s="156"/>
      <c r="FS534" s="156"/>
      <c r="FT534" s="156"/>
      <c r="FU534" s="156"/>
      <c r="FV534" s="156"/>
      <c r="FW534" s="156"/>
      <c r="FX534" s="156"/>
      <c r="FY534" s="156"/>
      <c r="FZ534" s="156"/>
      <c r="GA534" s="156"/>
      <c r="GB534" s="156"/>
      <c r="GC534" s="156"/>
      <c r="GD534" s="156"/>
      <c r="GE534" s="156"/>
      <c r="GF534" s="156"/>
      <c r="GG534" s="156"/>
      <c r="GH534" s="156"/>
      <c r="GI534" s="156"/>
      <c r="GJ534" s="156"/>
      <c r="GK534" s="156"/>
      <c r="GL534" s="156"/>
      <c r="GM534" s="156"/>
      <c r="GN534" s="156"/>
      <c r="GO534" s="156"/>
      <c r="GP534" s="156"/>
      <c r="GQ534" s="156"/>
      <c r="GR534" s="156"/>
      <c r="GS534" s="156"/>
      <c r="GT534" s="156"/>
      <c r="GU534" s="156"/>
      <c r="GV534" s="156"/>
      <c r="GW534" s="156"/>
      <c r="GX534" s="156"/>
      <c r="GY534" s="156"/>
      <c r="GZ534" s="156"/>
      <c r="HA534" s="156"/>
      <c r="HB534" s="156"/>
      <c r="HC534" s="156"/>
      <c r="HD534" s="156"/>
      <c r="HE534" s="156"/>
      <c r="HF534" s="156"/>
      <c r="HG534" s="156"/>
      <c r="HH534" s="156"/>
      <c r="HI534" s="156"/>
      <c r="HJ534" s="156"/>
      <c r="HK534" s="156"/>
      <c r="HL534" s="156"/>
      <c r="HM534" s="156"/>
      <c r="HN534" s="156"/>
      <c r="HO534" s="156"/>
      <c r="HP534" s="156"/>
      <c r="HQ534" s="156"/>
      <c r="HR534" s="156"/>
      <c r="HS534" s="156"/>
      <c r="HT534" s="156"/>
      <c r="HU534" s="156"/>
      <c r="HV534" s="156"/>
      <c r="HW534" s="156"/>
      <c r="HX534" s="156"/>
      <c r="HY534" s="156"/>
      <c r="HZ534" s="156"/>
      <c r="IA534" s="156"/>
      <c r="IB534" s="156"/>
      <c r="IC534" s="156"/>
      <c r="ID534" s="156"/>
      <c r="IE534" s="156"/>
      <c r="IF534" s="156"/>
      <c r="IG534" s="156"/>
      <c r="IH534" s="156"/>
      <c r="II534" s="156"/>
      <c r="IJ534" s="156"/>
      <c r="IK534" s="156"/>
      <c r="IL534" s="156"/>
      <c r="IM534" s="156"/>
      <c r="IN534" s="156"/>
      <c r="IO534" s="156"/>
      <c r="IP534" s="156"/>
      <c r="IQ534" s="156"/>
      <c r="IR534" s="156"/>
      <c r="IS534" s="156"/>
      <c r="IT534" s="156"/>
      <c r="IU534" s="156"/>
      <c r="IV534" s="156"/>
      <c r="IW534" s="156"/>
      <c r="IX534" s="156"/>
      <c r="IY534" s="156"/>
      <c r="IZ534" s="156"/>
      <c r="JA534" s="156"/>
      <c r="JB534" s="156"/>
      <c r="JC534" s="156"/>
      <c r="JD534" s="156"/>
      <c r="JE534" s="156"/>
      <c r="JF534" s="156"/>
      <c r="JG534" s="156"/>
      <c r="JH534" s="156"/>
      <c r="JI534" s="156"/>
      <c r="JJ534" s="156"/>
      <c r="JK534" s="156"/>
      <c r="JL534" s="156"/>
      <c r="JM534" s="156"/>
      <c r="JN534" s="156"/>
      <c r="JO534" s="156"/>
      <c r="JP534" s="156"/>
      <c r="JQ534" s="156"/>
      <c r="JR534" s="156"/>
      <c r="JS534" s="156"/>
      <c r="JT534" s="156"/>
      <c r="JU534" s="156"/>
      <c r="JV534" s="156"/>
      <c r="JW534" s="156"/>
      <c r="JX534" s="156"/>
      <c r="JY534" s="156"/>
      <c r="JZ534" s="156"/>
      <c r="KA534" s="156"/>
      <c r="KB534" s="156"/>
      <c r="KC534" s="156"/>
      <c r="KD534" s="156"/>
      <c r="KE534" s="156"/>
    </row>
    <row r="535" spans="1:291" ht="35" customHeight="1">
      <c r="A535" s="42">
        <f>ROW()-2</f>
        <v>533</v>
      </c>
      <c r="B535" s="152" t="s">
        <v>2732</v>
      </c>
      <c r="C535" s="58" t="s">
        <v>3735</v>
      </c>
      <c r="D535" s="58" t="s">
        <v>3874</v>
      </c>
      <c r="E535" s="58" t="s">
        <v>3875</v>
      </c>
      <c r="F535" s="58" t="s">
        <v>2739</v>
      </c>
      <c r="G535" s="58" t="s">
        <v>34</v>
      </c>
      <c r="H535" s="58">
        <v>1</v>
      </c>
      <c r="I535" s="58">
        <v>0.5</v>
      </c>
      <c r="J535" s="50">
        <v>44214</v>
      </c>
      <c r="K535" s="58" t="s">
        <v>20</v>
      </c>
      <c r="L535" s="152">
        <v>4.99</v>
      </c>
      <c r="M535" s="155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  <c r="AH535" s="158"/>
      <c r="AI535" s="158"/>
      <c r="AJ535" s="158"/>
      <c r="AK535" s="158"/>
      <c r="AL535" s="158"/>
      <c r="AM535" s="158"/>
      <c r="AN535" s="158"/>
      <c r="AO535" s="158"/>
      <c r="AP535" s="158"/>
      <c r="AQ535" s="158"/>
      <c r="AR535" s="158"/>
      <c r="AS535" s="158"/>
      <c r="AT535" s="158"/>
      <c r="AU535" s="158"/>
      <c r="AV535" s="158"/>
      <c r="AW535" s="158"/>
      <c r="AX535" s="158"/>
      <c r="AY535" s="158"/>
      <c r="AZ535" s="158"/>
      <c r="BA535" s="158"/>
      <c r="BB535" s="158"/>
      <c r="BC535" s="158"/>
      <c r="BD535" s="158"/>
      <c r="BE535" s="158"/>
      <c r="BF535" s="158"/>
      <c r="BG535" s="158"/>
      <c r="BH535" s="158"/>
      <c r="BI535" s="158"/>
      <c r="BJ535" s="158"/>
      <c r="BK535" s="158"/>
      <c r="BL535" s="158"/>
      <c r="BM535" s="158"/>
      <c r="BN535" s="158"/>
      <c r="BO535" s="158"/>
      <c r="BP535" s="158"/>
      <c r="BQ535" s="158"/>
      <c r="BR535" s="158"/>
      <c r="BS535" s="158"/>
      <c r="BT535" s="158"/>
      <c r="BU535" s="158"/>
      <c r="BV535" s="158"/>
      <c r="BW535" s="158"/>
      <c r="BX535" s="158"/>
      <c r="BY535" s="158"/>
      <c r="BZ535" s="158"/>
      <c r="CA535" s="158"/>
      <c r="CB535" s="158"/>
      <c r="CC535" s="158"/>
      <c r="CD535" s="158"/>
      <c r="CE535" s="158"/>
      <c r="CF535" s="158"/>
      <c r="CG535" s="158"/>
      <c r="CH535" s="158"/>
      <c r="CI535" s="158"/>
      <c r="CJ535" s="158"/>
      <c r="CK535" s="158"/>
      <c r="CL535" s="158"/>
      <c r="CM535" s="158"/>
      <c r="CN535" s="158"/>
      <c r="CO535" s="158"/>
      <c r="CP535" s="158"/>
      <c r="CQ535" s="158"/>
      <c r="CR535" s="158"/>
      <c r="CS535" s="158"/>
      <c r="CT535" s="158"/>
      <c r="CU535" s="158"/>
      <c r="CV535" s="158"/>
      <c r="CW535" s="158"/>
      <c r="CX535" s="158"/>
      <c r="CY535" s="158"/>
      <c r="CZ535" s="158"/>
      <c r="DA535" s="158"/>
      <c r="DB535" s="158"/>
      <c r="DC535" s="158"/>
      <c r="DD535" s="158"/>
      <c r="DE535" s="158"/>
      <c r="DF535" s="158"/>
      <c r="DG535" s="158"/>
      <c r="DH535" s="158"/>
      <c r="DI535" s="158"/>
      <c r="DJ535" s="158"/>
      <c r="DK535" s="158"/>
      <c r="DL535" s="158"/>
      <c r="DM535" s="158"/>
      <c r="DN535" s="158"/>
      <c r="DO535" s="158"/>
      <c r="DP535" s="158"/>
      <c r="DQ535" s="158"/>
      <c r="DR535" s="158"/>
      <c r="DS535" s="158"/>
      <c r="DT535" s="158"/>
      <c r="DU535" s="158"/>
      <c r="DV535" s="158"/>
      <c r="DW535" s="158"/>
      <c r="DX535" s="158"/>
      <c r="DY535" s="158"/>
      <c r="DZ535" s="158"/>
      <c r="EA535" s="158"/>
      <c r="EB535" s="158"/>
      <c r="EC535" s="158"/>
      <c r="ED535" s="158"/>
      <c r="EE535" s="158"/>
      <c r="EF535" s="158"/>
      <c r="EG535" s="158"/>
      <c r="EH535" s="158"/>
      <c r="EI535" s="158"/>
      <c r="EJ535" s="158"/>
      <c r="EK535" s="158"/>
      <c r="EL535" s="158"/>
      <c r="EM535" s="158"/>
      <c r="EN535" s="158"/>
      <c r="EO535" s="158"/>
      <c r="EP535" s="158"/>
      <c r="EQ535" s="158"/>
      <c r="ER535" s="158"/>
      <c r="ES535" s="158"/>
      <c r="ET535" s="158"/>
      <c r="EU535" s="158"/>
      <c r="EV535" s="158"/>
      <c r="EW535" s="158"/>
      <c r="EX535" s="158"/>
      <c r="EY535" s="158"/>
      <c r="EZ535" s="158"/>
      <c r="FA535" s="158"/>
      <c r="FB535" s="158"/>
      <c r="FC535" s="158"/>
      <c r="FD535" s="158"/>
      <c r="FE535" s="158"/>
      <c r="FF535" s="158"/>
      <c r="FG535" s="158"/>
      <c r="FH535" s="158"/>
      <c r="FI535" s="158"/>
      <c r="FJ535" s="158"/>
      <c r="FK535" s="158"/>
      <c r="FL535" s="158"/>
      <c r="FM535" s="158"/>
      <c r="FN535" s="158"/>
      <c r="FO535" s="158"/>
      <c r="FP535" s="158"/>
      <c r="FQ535" s="158"/>
      <c r="FR535" s="158"/>
      <c r="FS535" s="158"/>
      <c r="FT535" s="158"/>
      <c r="FU535" s="158"/>
      <c r="FV535" s="158"/>
      <c r="FW535" s="158"/>
      <c r="FX535" s="158"/>
      <c r="FY535" s="158"/>
      <c r="FZ535" s="158"/>
      <c r="GA535" s="158"/>
      <c r="GB535" s="158"/>
      <c r="GC535" s="158"/>
      <c r="GD535" s="158"/>
      <c r="GE535" s="158"/>
      <c r="GF535" s="158"/>
      <c r="GG535" s="158"/>
      <c r="GH535" s="158"/>
      <c r="GI535" s="158"/>
      <c r="GJ535" s="158"/>
      <c r="GK535" s="158"/>
      <c r="GL535" s="158"/>
      <c r="GM535" s="158"/>
      <c r="GN535" s="158"/>
      <c r="GO535" s="158"/>
      <c r="GP535" s="158"/>
      <c r="GQ535" s="158"/>
      <c r="GR535" s="158"/>
      <c r="GS535" s="158"/>
      <c r="GT535" s="158"/>
      <c r="GU535" s="158"/>
      <c r="GV535" s="158"/>
      <c r="GW535" s="158"/>
      <c r="GX535" s="158"/>
      <c r="GY535" s="158"/>
      <c r="GZ535" s="158"/>
      <c r="HA535" s="158"/>
      <c r="HB535" s="158"/>
      <c r="HC535" s="158"/>
      <c r="HD535" s="158"/>
      <c r="HE535" s="158"/>
      <c r="HF535" s="158"/>
      <c r="HG535" s="158"/>
      <c r="HH535" s="158"/>
      <c r="HI535" s="158"/>
      <c r="HJ535" s="158"/>
      <c r="HK535" s="158"/>
      <c r="HL535" s="158"/>
      <c r="HM535" s="158"/>
      <c r="HN535" s="158"/>
      <c r="HO535" s="158"/>
      <c r="HP535" s="158"/>
      <c r="HQ535" s="158"/>
      <c r="HR535" s="158"/>
      <c r="HS535" s="158"/>
      <c r="HT535" s="158"/>
      <c r="HU535" s="158"/>
      <c r="HV535" s="158"/>
      <c r="HW535" s="158"/>
      <c r="HX535" s="158"/>
      <c r="HY535" s="158"/>
      <c r="HZ535" s="158"/>
      <c r="IA535" s="158"/>
      <c r="IB535" s="158"/>
      <c r="IC535" s="158"/>
      <c r="ID535" s="158"/>
      <c r="IE535" s="158"/>
      <c r="IF535" s="158"/>
      <c r="IG535" s="158"/>
      <c r="IH535" s="158"/>
      <c r="II535" s="158"/>
      <c r="IJ535" s="158"/>
      <c r="IK535" s="158"/>
      <c r="IL535" s="158"/>
      <c r="IM535" s="158"/>
      <c r="IN535" s="158"/>
      <c r="IO535" s="158"/>
      <c r="IP535" s="158"/>
      <c r="IQ535" s="158"/>
      <c r="IR535" s="158"/>
      <c r="IS535" s="158"/>
      <c r="IT535" s="158"/>
      <c r="IU535" s="158"/>
      <c r="IV535" s="158"/>
      <c r="IW535" s="158"/>
      <c r="IX535" s="158"/>
      <c r="IY535" s="158"/>
      <c r="IZ535" s="158"/>
      <c r="JA535" s="158"/>
      <c r="JB535" s="158"/>
      <c r="JC535" s="158"/>
      <c r="JD535" s="158"/>
      <c r="JE535" s="158"/>
      <c r="JF535" s="158"/>
      <c r="JG535" s="158"/>
      <c r="JH535" s="158"/>
      <c r="JI535" s="158"/>
      <c r="JJ535" s="158"/>
      <c r="JK535" s="158"/>
      <c r="JL535" s="158"/>
      <c r="JM535" s="158"/>
      <c r="JN535" s="158"/>
      <c r="JO535" s="158"/>
      <c r="JP535" s="158"/>
      <c r="JQ535" s="158"/>
      <c r="JR535" s="158"/>
      <c r="JS535" s="158"/>
      <c r="JT535" s="158"/>
      <c r="JU535" s="158"/>
      <c r="JV535" s="158"/>
      <c r="JW535" s="158"/>
      <c r="JX535" s="158"/>
      <c r="JY535" s="158"/>
      <c r="JZ535" s="158"/>
      <c r="KA535" s="158"/>
      <c r="KB535" s="158"/>
      <c r="KC535" s="158"/>
      <c r="KD535" s="158"/>
      <c r="KE535" s="158"/>
    </row>
    <row r="536" spans="1:291" ht="35" customHeight="1">
      <c r="A536" s="42">
        <f>ROW()-2</f>
        <v>534</v>
      </c>
      <c r="B536" s="152" t="s">
        <v>2732</v>
      </c>
      <c r="C536" s="58" t="s">
        <v>3735</v>
      </c>
      <c r="D536" s="58" t="s">
        <v>3876</v>
      </c>
      <c r="E536" s="58" t="s">
        <v>3877</v>
      </c>
      <c r="F536" s="58" t="s">
        <v>3615</v>
      </c>
      <c r="G536" s="58" t="s">
        <v>34</v>
      </c>
      <c r="H536" s="58">
        <v>1</v>
      </c>
      <c r="I536" s="58">
        <v>0.5</v>
      </c>
      <c r="J536" s="50">
        <v>44214</v>
      </c>
      <c r="K536" s="58" t="s">
        <v>20</v>
      </c>
      <c r="L536" s="152">
        <v>4.99</v>
      </c>
      <c r="M536" s="155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  <c r="AH536" s="158"/>
      <c r="AI536" s="158"/>
      <c r="AJ536" s="158"/>
      <c r="AK536" s="158"/>
      <c r="AL536" s="158"/>
      <c r="AM536" s="158"/>
      <c r="AN536" s="158"/>
      <c r="AO536" s="158"/>
      <c r="AP536" s="158"/>
      <c r="AQ536" s="158"/>
      <c r="AR536" s="158"/>
      <c r="AS536" s="158"/>
      <c r="AT536" s="158"/>
      <c r="AU536" s="158"/>
      <c r="AV536" s="158"/>
      <c r="AW536" s="158"/>
      <c r="AX536" s="158"/>
      <c r="AY536" s="158"/>
      <c r="AZ536" s="158"/>
      <c r="BA536" s="158"/>
      <c r="BB536" s="158"/>
      <c r="BC536" s="158"/>
      <c r="BD536" s="158"/>
      <c r="BE536" s="158"/>
      <c r="BF536" s="158"/>
      <c r="BG536" s="158"/>
      <c r="BH536" s="158"/>
      <c r="BI536" s="158"/>
      <c r="BJ536" s="158"/>
      <c r="BK536" s="158"/>
      <c r="BL536" s="158"/>
      <c r="BM536" s="158"/>
      <c r="BN536" s="158"/>
      <c r="BO536" s="158"/>
      <c r="BP536" s="158"/>
      <c r="BQ536" s="158"/>
      <c r="BR536" s="158"/>
      <c r="BS536" s="158"/>
      <c r="BT536" s="158"/>
      <c r="BU536" s="158"/>
      <c r="BV536" s="158"/>
      <c r="BW536" s="158"/>
      <c r="BX536" s="158"/>
      <c r="BY536" s="158"/>
      <c r="BZ536" s="158"/>
      <c r="CA536" s="158"/>
      <c r="CB536" s="158"/>
      <c r="CC536" s="158"/>
      <c r="CD536" s="158"/>
      <c r="CE536" s="158"/>
      <c r="CF536" s="158"/>
      <c r="CG536" s="158"/>
      <c r="CH536" s="158"/>
      <c r="CI536" s="158"/>
      <c r="CJ536" s="158"/>
      <c r="CK536" s="158"/>
      <c r="CL536" s="158"/>
      <c r="CM536" s="158"/>
      <c r="CN536" s="158"/>
      <c r="CO536" s="158"/>
      <c r="CP536" s="158"/>
      <c r="CQ536" s="158"/>
      <c r="CR536" s="158"/>
      <c r="CS536" s="158"/>
      <c r="CT536" s="158"/>
      <c r="CU536" s="158"/>
      <c r="CV536" s="158"/>
      <c r="CW536" s="158"/>
      <c r="CX536" s="158"/>
      <c r="CY536" s="158"/>
      <c r="CZ536" s="158"/>
      <c r="DA536" s="158"/>
      <c r="DB536" s="158"/>
      <c r="DC536" s="158"/>
      <c r="DD536" s="158"/>
      <c r="DE536" s="158"/>
      <c r="DF536" s="158"/>
      <c r="DG536" s="158"/>
      <c r="DH536" s="158"/>
      <c r="DI536" s="158"/>
      <c r="DJ536" s="158"/>
      <c r="DK536" s="158"/>
      <c r="DL536" s="158"/>
      <c r="DM536" s="158"/>
      <c r="DN536" s="158"/>
      <c r="DO536" s="158"/>
      <c r="DP536" s="158"/>
      <c r="DQ536" s="158"/>
      <c r="DR536" s="158"/>
      <c r="DS536" s="158"/>
      <c r="DT536" s="158"/>
      <c r="DU536" s="158"/>
      <c r="DV536" s="158"/>
      <c r="DW536" s="158"/>
      <c r="DX536" s="158"/>
      <c r="DY536" s="158"/>
      <c r="DZ536" s="158"/>
      <c r="EA536" s="158"/>
      <c r="EB536" s="158"/>
      <c r="EC536" s="158"/>
      <c r="ED536" s="158"/>
      <c r="EE536" s="158"/>
      <c r="EF536" s="158"/>
      <c r="EG536" s="158"/>
      <c r="EH536" s="158"/>
      <c r="EI536" s="158"/>
      <c r="EJ536" s="158"/>
      <c r="EK536" s="158"/>
      <c r="EL536" s="158"/>
      <c r="EM536" s="158"/>
      <c r="EN536" s="158"/>
      <c r="EO536" s="158"/>
      <c r="EP536" s="158"/>
      <c r="EQ536" s="158"/>
      <c r="ER536" s="158"/>
      <c r="ES536" s="158"/>
      <c r="ET536" s="158"/>
      <c r="EU536" s="158"/>
      <c r="EV536" s="158"/>
      <c r="EW536" s="158"/>
      <c r="EX536" s="158"/>
      <c r="EY536" s="158"/>
      <c r="EZ536" s="158"/>
      <c r="FA536" s="158"/>
      <c r="FB536" s="158"/>
      <c r="FC536" s="158"/>
      <c r="FD536" s="158"/>
      <c r="FE536" s="158"/>
      <c r="FF536" s="158"/>
      <c r="FG536" s="158"/>
      <c r="FH536" s="158"/>
      <c r="FI536" s="158"/>
      <c r="FJ536" s="158"/>
      <c r="FK536" s="158"/>
      <c r="FL536" s="158"/>
      <c r="FM536" s="158"/>
      <c r="FN536" s="158"/>
      <c r="FO536" s="158"/>
      <c r="FP536" s="158"/>
      <c r="FQ536" s="158"/>
      <c r="FR536" s="158"/>
      <c r="FS536" s="158"/>
      <c r="FT536" s="158"/>
      <c r="FU536" s="158"/>
      <c r="FV536" s="158"/>
      <c r="FW536" s="158"/>
      <c r="FX536" s="158"/>
      <c r="FY536" s="158"/>
      <c r="FZ536" s="158"/>
      <c r="GA536" s="158"/>
      <c r="GB536" s="158"/>
      <c r="GC536" s="158"/>
      <c r="GD536" s="158"/>
      <c r="GE536" s="158"/>
      <c r="GF536" s="158"/>
      <c r="GG536" s="158"/>
      <c r="GH536" s="158"/>
      <c r="GI536" s="158"/>
      <c r="GJ536" s="158"/>
      <c r="GK536" s="158"/>
      <c r="GL536" s="158"/>
      <c r="GM536" s="158"/>
      <c r="GN536" s="158"/>
      <c r="GO536" s="158"/>
      <c r="GP536" s="158"/>
      <c r="GQ536" s="158"/>
      <c r="GR536" s="158"/>
      <c r="GS536" s="158"/>
      <c r="GT536" s="158"/>
      <c r="GU536" s="158"/>
      <c r="GV536" s="158"/>
      <c r="GW536" s="158"/>
      <c r="GX536" s="158"/>
      <c r="GY536" s="158"/>
      <c r="GZ536" s="158"/>
      <c r="HA536" s="158"/>
      <c r="HB536" s="158"/>
      <c r="HC536" s="158"/>
      <c r="HD536" s="158"/>
      <c r="HE536" s="158"/>
      <c r="HF536" s="158"/>
      <c r="HG536" s="158"/>
      <c r="HH536" s="158"/>
      <c r="HI536" s="158"/>
      <c r="HJ536" s="158"/>
      <c r="HK536" s="158"/>
      <c r="HL536" s="158"/>
      <c r="HM536" s="158"/>
      <c r="HN536" s="158"/>
      <c r="HO536" s="158"/>
      <c r="HP536" s="158"/>
      <c r="HQ536" s="158"/>
      <c r="HR536" s="158"/>
      <c r="HS536" s="158"/>
      <c r="HT536" s="158"/>
      <c r="HU536" s="158"/>
      <c r="HV536" s="158"/>
      <c r="HW536" s="158"/>
      <c r="HX536" s="158"/>
      <c r="HY536" s="158"/>
      <c r="HZ536" s="158"/>
      <c r="IA536" s="158"/>
      <c r="IB536" s="158"/>
      <c r="IC536" s="158"/>
      <c r="ID536" s="158"/>
      <c r="IE536" s="158"/>
      <c r="IF536" s="158"/>
      <c r="IG536" s="158"/>
      <c r="IH536" s="158"/>
      <c r="II536" s="158"/>
      <c r="IJ536" s="158"/>
      <c r="IK536" s="158"/>
      <c r="IL536" s="158"/>
      <c r="IM536" s="158"/>
      <c r="IN536" s="158"/>
      <c r="IO536" s="158"/>
      <c r="IP536" s="158"/>
      <c r="IQ536" s="158"/>
      <c r="IR536" s="158"/>
      <c r="IS536" s="158"/>
      <c r="IT536" s="158"/>
      <c r="IU536" s="158"/>
      <c r="IV536" s="158"/>
      <c r="IW536" s="158"/>
      <c r="IX536" s="158"/>
      <c r="IY536" s="158"/>
      <c r="IZ536" s="158"/>
      <c r="JA536" s="158"/>
      <c r="JB536" s="158"/>
      <c r="JC536" s="158"/>
      <c r="JD536" s="158"/>
      <c r="JE536" s="158"/>
      <c r="JF536" s="158"/>
      <c r="JG536" s="158"/>
      <c r="JH536" s="158"/>
      <c r="JI536" s="158"/>
      <c r="JJ536" s="158"/>
      <c r="JK536" s="158"/>
      <c r="JL536" s="158"/>
      <c r="JM536" s="158"/>
      <c r="JN536" s="158"/>
      <c r="JO536" s="158"/>
      <c r="JP536" s="158"/>
      <c r="JQ536" s="158"/>
      <c r="JR536" s="158"/>
      <c r="JS536" s="158"/>
      <c r="JT536" s="158"/>
      <c r="JU536" s="158"/>
      <c r="JV536" s="158"/>
      <c r="JW536" s="158"/>
      <c r="JX536" s="158"/>
      <c r="JY536" s="158"/>
      <c r="JZ536" s="158"/>
      <c r="KA536" s="158"/>
      <c r="KB536" s="158"/>
      <c r="KC536" s="158"/>
      <c r="KD536" s="158"/>
      <c r="KE536" s="158"/>
    </row>
    <row r="537" spans="1:291" ht="35" customHeight="1">
      <c r="A537" s="42">
        <f>ROW()-2</f>
        <v>535</v>
      </c>
      <c r="B537" s="58" t="s">
        <v>2732</v>
      </c>
      <c r="C537" s="58" t="s">
        <v>3735</v>
      </c>
      <c r="D537" s="58" t="s">
        <v>3878</v>
      </c>
      <c r="E537" s="58" t="s">
        <v>3879</v>
      </c>
      <c r="F537" s="58" t="s">
        <v>3880</v>
      </c>
      <c r="G537" s="58" t="s">
        <v>34</v>
      </c>
      <c r="H537" s="58">
        <v>1</v>
      </c>
      <c r="I537" s="58">
        <v>0.5</v>
      </c>
      <c r="J537" s="59">
        <v>44228</v>
      </c>
      <c r="K537" s="58" t="s">
        <v>20</v>
      </c>
      <c r="L537" s="58">
        <v>4.99</v>
      </c>
      <c r="M537" s="25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</row>
    <row r="538" spans="1:291" ht="35" customHeight="1">
      <c r="A538" s="42">
        <f>ROW()-2</f>
        <v>536</v>
      </c>
      <c r="B538" s="58" t="s">
        <v>2732</v>
      </c>
      <c r="C538" s="58" t="s">
        <v>3735</v>
      </c>
      <c r="D538" s="58" t="s">
        <v>3881</v>
      </c>
      <c r="E538" s="58" t="s">
        <v>3882</v>
      </c>
      <c r="F538" s="58" t="s">
        <v>3311</v>
      </c>
      <c r="G538" s="58" t="s">
        <v>34</v>
      </c>
      <c r="H538" s="58">
        <v>1</v>
      </c>
      <c r="I538" s="58">
        <v>0.4</v>
      </c>
      <c r="J538" s="59">
        <v>44228</v>
      </c>
      <c r="K538" s="58" t="s">
        <v>20</v>
      </c>
      <c r="L538" s="58">
        <v>4.99</v>
      </c>
      <c r="M538" s="25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</row>
    <row r="539" spans="1:291" ht="35" customHeight="1">
      <c r="A539" s="42">
        <f>ROW()-2</f>
        <v>537</v>
      </c>
      <c r="B539" s="43" t="s">
        <v>2732</v>
      </c>
      <c r="C539" s="43" t="s">
        <v>3735</v>
      </c>
      <c r="D539" s="43" t="s">
        <v>3883</v>
      </c>
      <c r="E539" s="43" t="s">
        <v>3884</v>
      </c>
      <c r="F539" s="43" t="s">
        <v>3368</v>
      </c>
      <c r="G539" s="43" t="s">
        <v>34</v>
      </c>
      <c r="H539" s="43">
        <v>1</v>
      </c>
      <c r="I539" s="43">
        <v>0.4</v>
      </c>
      <c r="J539" s="53">
        <v>44235</v>
      </c>
      <c r="K539" s="43" t="s">
        <v>20</v>
      </c>
      <c r="L539" s="43">
        <v>4.99</v>
      </c>
      <c r="M539" s="25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</row>
    <row r="540" spans="1:291" ht="35" customHeight="1">
      <c r="A540" s="42">
        <f>ROW()-2</f>
        <v>538</v>
      </c>
      <c r="B540" s="43" t="s">
        <v>2732</v>
      </c>
      <c r="C540" s="43" t="s">
        <v>3735</v>
      </c>
      <c r="D540" s="43" t="s">
        <v>3885</v>
      </c>
      <c r="E540" s="43" t="s">
        <v>3886</v>
      </c>
      <c r="F540" s="43" t="s">
        <v>2739</v>
      </c>
      <c r="G540" s="43" t="s">
        <v>34</v>
      </c>
      <c r="H540" s="43">
        <v>1</v>
      </c>
      <c r="I540" s="43">
        <v>0.5</v>
      </c>
      <c r="J540" s="53">
        <v>44249</v>
      </c>
      <c r="K540" s="43" t="s">
        <v>20</v>
      </c>
      <c r="L540" s="43">
        <v>4.99</v>
      </c>
    </row>
    <row r="541" spans="1:291" ht="35" customHeight="1">
      <c r="A541" s="42">
        <f>ROW()-2</f>
        <v>539</v>
      </c>
      <c r="B541" s="43" t="s">
        <v>2732</v>
      </c>
      <c r="C541" s="43" t="s">
        <v>3735</v>
      </c>
      <c r="D541" s="43" t="s">
        <v>3887</v>
      </c>
      <c r="E541" s="43" t="s">
        <v>3888</v>
      </c>
      <c r="F541" s="43" t="s">
        <v>3889</v>
      </c>
      <c r="G541" s="43" t="s">
        <v>34</v>
      </c>
      <c r="H541" s="43">
        <v>1</v>
      </c>
      <c r="I541" s="43">
        <v>0.5</v>
      </c>
      <c r="J541" s="53">
        <v>44256</v>
      </c>
      <c r="K541" s="43" t="s">
        <v>20</v>
      </c>
      <c r="L541" s="43">
        <v>4.99</v>
      </c>
    </row>
    <row r="542" spans="1:291" ht="35" customHeight="1">
      <c r="A542" s="42">
        <f>ROW()-2</f>
        <v>540</v>
      </c>
      <c r="B542" s="43" t="s">
        <v>2732</v>
      </c>
      <c r="C542" s="43" t="s">
        <v>3735</v>
      </c>
      <c r="D542" s="43" t="s">
        <v>3890</v>
      </c>
      <c r="E542" s="43" t="s">
        <v>3891</v>
      </c>
      <c r="F542" s="43" t="s">
        <v>3892</v>
      </c>
      <c r="G542" s="43" t="s">
        <v>34</v>
      </c>
      <c r="H542" s="43">
        <v>1</v>
      </c>
      <c r="I542" s="43">
        <v>0.4</v>
      </c>
      <c r="J542" s="53">
        <v>44263</v>
      </c>
      <c r="K542" s="43" t="s">
        <v>20</v>
      </c>
      <c r="L542" s="43">
        <v>4.99</v>
      </c>
    </row>
    <row r="543" spans="1:291" ht="35" customHeight="1">
      <c r="A543" s="42">
        <f>ROW()-2</f>
        <v>541</v>
      </c>
      <c r="B543" s="43" t="s">
        <v>2732</v>
      </c>
      <c r="C543" s="43" t="s">
        <v>3735</v>
      </c>
      <c r="D543" s="43" t="s">
        <v>3893</v>
      </c>
      <c r="E543" s="43" t="s">
        <v>3894</v>
      </c>
      <c r="F543" s="43" t="s">
        <v>3892</v>
      </c>
      <c r="G543" s="43" t="s">
        <v>34</v>
      </c>
      <c r="H543" s="43">
        <v>1</v>
      </c>
      <c r="I543" s="43">
        <v>0.45</v>
      </c>
      <c r="J543" s="53">
        <v>44270</v>
      </c>
      <c r="K543" s="43" t="s">
        <v>20</v>
      </c>
      <c r="L543" s="43">
        <v>4.99</v>
      </c>
    </row>
    <row r="544" spans="1:291" ht="35" customHeight="1">
      <c r="A544" s="42">
        <f>ROW()-2</f>
        <v>542</v>
      </c>
      <c r="B544" s="43" t="s">
        <v>2732</v>
      </c>
      <c r="C544" s="43" t="s">
        <v>3735</v>
      </c>
      <c r="D544" s="43" t="s">
        <v>3895</v>
      </c>
      <c r="E544" s="43" t="s">
        <v>3896</v>
      </c>
      <c r="F544" s="43" t="s">
        <v>3615</v>
      </c>
      <c r="G544" s="43" t="s">
        <v>34</v>
      </c>
      <c r="H544" s="43">
        <v>1</v>
      </c>
      <c r="I544" s="43">
        <v>0.35</v>
      </c>
      <c r="J544" s="53">
        <v>44270</v>
      </c>
      <c r="K544" s="43" t="s">
        <v>20</v>
      </c>
      <c r="L544" s="43">
        <v>4.99</v>
      </c>
    </row>
    <row r="545" spans="1:291" ht="35" customHeight="1">
      <c r="A545" s="42">
        <f>ROW()-2</f>
        <v>543</v>
      </c>
      <c r="B545" s="43" t="s">
        <v>2732</v>
      </c>
      <c r="C545" s="43" t="s">
        <v>3735</v>
      </c>
      <c r="D545" s="43" t="s">
        <v>3897</v>
      </c>
      <c r="E545" s="43" t="s">
        <v>3898</v>
      </c>
      <c r="F545" s="43" t="s">
        <v>3610</v>
      </c>
      <c r="G545" s="43" t="s">
        <v>34</v>
      </c>
      <c r="H545" s="43">
        <v>1</v>
      </c>
      <c r="I545" s="43">
        <v>0.5</v>
      </c>
      <c r="J545" s="53">
        <v>44277</v>
      </c>
      <c r="K545" s="43" t="s">
        <v>20</v>
      </c>
      <c r="L545" s="43">
        <v>4.99</v>
      </c>
    </row>
    <row r="546" spans="1:291" ht="35" customHeight="1">
      <c r="A546" s="42">
        <f>ROW()-2</f>
        <v>544</v>
      </c>
      <c r="B546" s="43" t="s">
        <v>2732</v>
      </c>
      <c r="C546" s="43" t="s">
        <v>3735</v>
      </c>
      <c r="D546" s="43" t="s">
        <v>3899</v>
      </c>
      <c r="E546" s="43" t="s">
        <v>3900</v>
      </c>
      <c r="F546" s="43" t="s">
        <v>3343</v>
      </c>
      <c r="G546" s="43" t="s">
        <v>34</v>
      </c>
      <c r="H546" s="43">
        <v>1</v>
      </c>
      <c r="I546" s="43">
        <v>0.5</v>
      </c>
      <c r="J546" s="53">
        <v>44284</v>
      </c>
      <c r="K546" s="51" t="s">
        <v>20</v>
      </c>
      <c r="L546" s="62">
        <v>4.99</v>
      </c>
    </row>
    <row r="547" spans="1:291" ht="35" customHeight="1">
      <c r="A547" s="42">
        <f>ROW()-2</f>
        <v>545</v>
      </c>
      <c r="B547" s="43" t="s">
        <v>2732</v>
      </c>
      <c r="C547" s="43" t="s">
        <v>3735</v>
      </c>
      <c r="D547" s="43" t="s">
        <v>3901</v>
      </c>
      <c r="E547" s="43" t="s">
        <v>3902</v>
      </c>
      <c r="F547" s="43" t="s">
        <v>3038</v>
      </c>
      <c r="G547" s="43" t="s">
        <v>34</v>
      </c>
      <c r="H547" s="43">
        <v>1</v>
      </c>
      <c r="I547" s="43">
        <v>0.5</v>
      </c>
      <c r="J547" s="53">
        <v>44298</v>
      </c>
      <c r="K547" s="51" t="s">
        <v>20</v>
      </c>
      <c r="L547" s="62">
        <v>4.99</v>
      </c>
    </row>
    <row r="548" spans="1:291" ht="35" customHeight="1">
      <c r="A548" s="42">
        <f>ROW()-2</f>
        <v>546</v>
      </c>
      <c r="B548" s="43" t="s">
        <v>2732</v>
      </c>
      <c r="C548" s="43" t="s">
        <v>3735</v>
      </c>
      <c r="D548" s="43" t="s">
        <v>3903</v>
      </c>
      <c r="E548" s="43" t="s">
        <v>3904</v>
      </c>
      <c r="F548" s="43" t="s">
        <v>3905</v>
      </c>
      <c r="G548" s="43" t="s">
        <v>34</v>
      </c>
      <c r="H548" s="43">
        <v>1</v>
      </c>
      <c r="I548" s="43">
        <v>0.5</v>
      </c>
      <c r="J548" s="53">
        <v>44298</v>
      </c>
      <c r="K548" s="51" t="s">
        <v>20</v>
      </c>
      <c r="L548" s="62">
        <v>4.99</v>
      </c>
    </row>
    <row r="549" spans="1:291" ht="35" customHeight="1">
      <c r="A549" s="42">
        <f>ROW()-2</f>
        <v>547</v>
      </c>
      <c r="B549" s="43" t="s">
        <v>2732</v>
      </c>
      <c r="C549" s="43" t="s">
        <v>3735</v>
      </c>
      <c r="D549" s="43" t="s">
        <v>3906</v>
      </c>
      <c r="E549" s="43" t="s">
        <v>3907</v>
      </c>
      <c r="F549" s="43" t="s">
        <v>3610</v>
      </c>
      <c r="G549" s="43" t="s">
        <v>34</v>
      </c>
      <c r="H549" s="43">
        <v>1</v>
      </c>
      <c r="I549" s="43">
        <v>0.5</v>
      </c>
      <c r="J549" s="53">
        <v>44312</v>
      </c>
      <c r="K549" s="51" t="s">
        <v>20</v>
      </c>
      <c r="L549" s="62">
        <v>4.99</v>
      </c>
    </row>
    <row r="550" spans="1:291" ht="35" customHeight="1">
      <c r="A550" s="42">
        <f>ROW()-2</f>
        <v>548</v>
      </c>
      <c r="B550" s="43" t="s">
        <v>2732</v>
      </c>
      <c r="C550" s="43" t="s">
        <v>3735</v>
      </c>
      <c r="D550" s="43" t="s">
        <v>3908</v>
      </c>
      <c r="E550" s="43" t="s">
        <v>3909</v>
      </c>
      <c r="F550" s="43" t="s">
        <v>3910</v>
      </c>
      <c r="G550" s="43" t="s">
        <v>34</v>
      </c>
      <c r="H550" s="43">
        <v>1</v>
      </c>
      <c r="I550" s="43">
        <v>0.5</v>
      </c>
      <c r="J550" s="53">
        <v>44326</v>
      </c>
      <c r="K550" s="51" t="s">
        <v>20</v>
      </c>
      <c r="L550" s="62">
        <v>4.99</v>
      </c>
    </row>
    <row r="551" spans="1:291" ht="35" customHeight="1">
      <c r="A551" s="42">
        <f>ROW()-2</f>
        <v>549</v>
      </c>
      <c r="B551" s="43" t="s">
        <v>2732</v>
      </c>
      <c r="C551" s="43" t="s">
        <v>3735</v>
      </c>
      <c r="D551" s="43" t="s">
        <v>3911</v>
      </c>
      <c r="E551" s="43" t="s">
        <v>3912</v>
      </c>
      <c r="F551" s="43" t="s">
        <v>3880</v>
      </c>
      <c r="G551" s="43" t="s">
        <v>34</v>
      </c>
      <c r="H551" s="43">
        <v>1</v>
      </c>
      <c r="I551" s="43">
        <v>0.5</v>
      </c>
      <c r="J551" s="53">
        <v>44340</v>
      </c>
      <c r="K551" s="51" t="s">
        <v>20</v>
      </c>
      <c r="L551" s="62">
        <v>4.99</v>
      </c>
    </row>
    <row r="552" spans="1:291" ht="35" customHeight="1">
      <c r="A552" s="42">
        <f>ROW()-2</f>
        <v>550</v>
      </c>
      <c r="B552" s="43" t="s">
        <v>2732</v>
      </c>
      <c r="C552" s="43" t="s">
        <v>3735</v>
      </c>
      <c r="D552" s="43" t="s">
        <v>3913</v>
      </c>
      <c r="E552" s="43" t="s">
        <v>3914</v>
      </c>
      <c r="F552" s="43" t="s">
        <v>3915</v>
      </c>
      <c r="G552" s="43" t="s">
        <v>34</v>
      </c>
      <c r="H552" s="43">
        <v>1</v>
      </c>
      <c r="I552" s="43">
        <v>0.5</v>
      </c>
      <c r="J552" s="53">
        <v>44354</v>
      </c>
      <c r="K552" s="51" t="s">
        <v>20</v>
      </c>
      <c r="L552" s="62">
        <v>4.99</v>
      </c>
    </row>
    <row r="553" spans="1:291" ht="35" customHeight="1">
      <c r="A553" s="42">
        <f>ROW()-2</f>
        <v>551</v>
      </c>
      <c r="B553" s="43" t="s">
        <v>2732</v>
      </c>
      <c r="C553" s="43" t="s">
        <v>3735</v>
      </c>
      <c r="D553" s="43" t="s">
        <v>3916</v>
      </c>
      <c r="E553" s="43" t="s">
        <v>3917</v>
      </c>
      <c r="F553" s="43" t="s">
        <v>3332</v>
      </c>
      <c r="G553" s="43" t="s">
        <v>34</v>
      </c>
      <c r="H553" s="43">
        <v>1</v>
      </c>
      <c r="I553" s="43">
        <v>0.5</v>
      </c>
      <c r="J553" s="53">
        <v>44368</v>
      </c>
      <c r="K553" s="51" t="s">
        <v>20</v>
      </c>
      <c r="L553" s="62">
        <v>4.99</v>
      </c>
    </row>
    <row r="554" spans="1:291" ht="35" customHeight="1">
      <c r="A554" s="42">
        <f>ROW()-2</f>
        <v>552</v>
      </c>
      <c r="B554" s="43" t="s">
        <v>2732</v>
      </c>
      <c r="C554" s="43" t="s">
        <v>3735</v>
      </c>
      <c r="D554" s="43" t="s">
        <v>3918</v>
      </c>
      <c r="E554" s="43" t="s">
        <v>3919</v>
      </c>
      <c r="F554" s="43" t="s">
        <v>3920</v>
      </c>
      <c r="G554" s="43" t="s">
        <v>34</v>
      </c>
      <c r="H554" s="43">
        <v>1</v>
      </c>
      <c r="I554" s="43">
        <v>0.5</v>
      </c>
      <c r="J554" s="53">
        <v>44375</v>
      </c>
      <c r="K554" s="51" t="s">
        <v>20</v>
      </c>
      <c r="L554" s="62">
        <v>4.99</v>
      </c>
    </row>
    <row r="555" spans="1:291" ht="35" customHeight="1">
      <c r="A555" s="42">
        <f>ROW()-2</f>
        <v>553</v>
      </c>
      <c r="B555" s="43" t="s">
        <v>2732</v>
      </c>
      <c r="C555" s="43" t="s">
        <v>3735</v>
      </c>
      <c r="D555" s="43" t="s">
        <v>3921</v>
      </c>
      <c r="E555" s="43" t="s">
        <v>3922</v>
      </c>
      <c r="F555" s="43" t="s">
        <v>3038</v>
      </c>
      <c r="G555" s="43" t="s">
        <v>34</v>
      </c>
      <c r="H555" s="43">
        <v>1</v>
      </c>
      <c r="I555" s="43">
        <v>0.5</v>
      </c>
      <c r="J555" s="53">
        <v>44382</v>
      </c>
      <c r="K555" s="51" t="s">
        <v>20</v>
      </c>
      <c r="L555" s="62">
        <v>4.99</v>
      </c>
    </row>
    <row r="556" spans="1:291" ht="35" customHeight="1">
      <c r="A556" s="42">
        <f>ROW()-2</f>
        <v>554</v>
      </c>
      <c r="B556" s="43" t="s">
        <v>2640</v>
      </c>
      <c r="C556" s="43" t="s">
        <v>3923</v>
      </c>
      <c r="D556" s="43" t="s">
        <v>3924</v>
      </c>
      <c r="E556" s="43" t="s">
        <v>3925</v>
      </c>
      <c r="F556" s="43" t="s">
        <v>3926</v>
      </c>
      <c r="G556" s="43" t="s">
        <v>34</v>
      </c>
      <c r="H556" s="43">
        <v>1</v>
      </c>
      <c r="I556" s="43">
        <v>0.5</v>
      </c>
      <c r="J556" s="53">
        <v>44417</v>
      </c>
      <c r="K556" s="51" t="s">
        <v>20</v>
      </c>
      <c r="L556" s="62">
        <v>4.99</v>
      </c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  <c r="FS556" s="30"/>
      <c r="FT556" s="30"/>
      <c r="FU556" s="30"/>
      <c r="FV556" s="30"/>
      <c r="FW556" s="30"/>
      <c r="FX556" s="30"/>
      <c r="FY556" s="30"/>
      <c r="FZ556" s="30"/>
      <c r="GA556" s="30"/>
      <c r="GB556" s="30"/>
      <c r="GC556" s="30"/>
      <c r="GD556" s="30"/>
      <c r="GE556" s="30"/>
      <c r="GF556" s="30"/>
      <c r="GG556" s="30"/>
      <c r="GH556" s="30"/>
      <c r="GI556" s="30"/>
      <c r="GJ556" s="30"/>
      <c r="GK556" s="30"/>
      <c r="GL556" s="30"/>
      <c r="GM556" s="30"/>
      <c r="GN556" s="30"/>
      <c r="GO556" s="30"/>
      <c r="GP556" s="30"/>
      <c r="GQ556" s="30"/>
      <c r="GR556" s="30"/>
      <c r="GS556" s="30"/>
      <c r="GT556" s="30"/>
      <c r="GU556" s="30"/>
      <c r="GV556" s="30"/>
      <c r="GW556" s="30"/>
      <c r="GX556" s="30"/>
      <c r="GY556" s="30"/>
      <c r="GZ556" s="30"/>
      <c r="HA556" s="30"/>
      <c r="HB556" s="30"/>
      <c r="HC556" s="30"/>
      <c r="HD556" s="30"/>
      <c r="HE556" s="30"/>
      <c r="HF556" s="30"/>
      <c r="HG556" s="30"/>
      <c r="HH556" s="30"/>
      <c r="HI556" s="30"/>
      <c r="HJ556" s="30"/>
      <c r="HK556" s="30"/>
      <c r="HL556" s="30"/>
      <c r="HM556" s="30"/>
      <c r="HN556" s="30"/>
      <c r="HO556" s="30"/>
      <c r="HP556" s="30"/>
      <c r="HQ556" s="30"/>
      <c r="HR556" s="30"/>
      <c r="HS556" s="30"/>
      <c r="HT556" s="30"/>
      <c r="HU556" s="30"/>
      <c r="HV556" s="30"/>
      <c r="HW556" s="30"/>
      <c r="HX556" s="30"/>
      <c r="HY556" s="30"/>
      <c r="HZ556" s="30"/>
      <c r="IA556" s="30"/>
      <c r="IB556" s="30"/>
      <c r="IC556" s="30"/>
      <c r="ID556" s="30"/>
      <c r="IE556" s="30"/>
      <c r="IF556" s="30"/>
      <c r="IG556" s="30"/>
      <c r="IH556" s="30"/>
      <c r="II556" s="30"/>
      <c r="IJ556" s="30"/>
      <c r="IK556" s="30"/>
      <c r="IL556" s="30"/>
      <c r="IM556" s="30"/>
      <c r="IN556" s="30"/>
      <c r="IO556" s="30"/>
      <c r="IP556" s="30"/>
      <c r="IQ556" s="30"/>
      <c r="IR556" s="30"/>
      <c r="IS556" s="30"/>
      <c r="IT556" s="30"/>
      <c r="IU556" s="30"/>
      <c r="IV556" s="30"/>
      <c r="IW556" s="30"/>
      <c r="IX556" s="30"/>
      <c r="IY556" s="30"/>
      <c r="IZ556" s="30"/>
      <c r="JA556" s="30"/>
      <c r="JB556" s="30"/>
      <c r="JC556" s="30"/>
      <c r="JD556" s="30"/>
      <c r="JE556" s="30"/>
      <c r="JF556" s="30"/>
      <c r="JG556" s="30"/>
      <c r="JH556" s="30"/>
      <c r="JI556" s="30"/>
      <c r="JJ556" s="30"/>
      <c r="JK556" s="30"/>
      <c r="JL556" s="30"/>
      <c r="JM556" s="30"/>
      <c r="JN556" s="30"/>
      <c r="JO556" s="30"/>
      <c r="JP556" s="30"/>
      <c r="JQ556" s="30"/>
      <c r="JR556" s="30"/>
      <c r="JS556" s="30"/>
      <c r="JT556" s="30"/>
      <c r="JU556" s="30"/>
      <c r="JV556" s="30"/>
      <c r="JW556" s="30"/>
      <c r="JX556" s="30"/>
      <c r="JY556" s="30"/>
      <c r="JZ556" s="30"/>
      <c r="KA556" s="30"/>
      <c r="KB556" s="30"/>
      <c r="KC556" s="30"/>
      <c r="KD556" s="30"/>
      <c r="KE556" s="30"/>
    </row>
    <row r="557" spans="1:291" ht="35" customHeight="1">
      <c r="A557" s="42">
        <f>ROW()-2</f>
        <v>555</v>
      </c>
      <c r="B557" s="43" t="s">
        <v>2640</v>
      </c>
      <c r="C557" s="43" t="s">
        <v>3923</v>
      </c>
      <c r="D557" s="43" t="s">
        <v>3927</v>
      </c>
      <c r="E557" s="43" t="s">
        <v>3928</v>
      </c>
      <c r="F557" s="43" t="s">
        <v>3929</v>
      </c>
      <c r="G557" s="43" t="s">
        <v>34</v>
      </c>
      <c r="H557" s="43">
        <v>1</v>
      </c>
      <c r="I557" s="43">
        <v>0.5</v>
      </c>
      <c r="J557" s="53">
        <v>44417</v>
      </c>
      <c r="K557" s="43" t="s">
        <v>20</v>
      </c>
      <c r="L557" s="43">
        <v>4.99</v>
      </c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  <c r="FS557" s="30"/>
      <c r="FT557" s="30"/>
      <c r="FU557" s="30"/>
      <c r="FV557" s="30"/>
      <c r="FW557" s="30"/>
      <c r="FX557" s="30"/>
      <c r="FY557" s="30"/>
      <c r="FZ557" s="30"/>
      <c r="GA557" s="30"/>
      <c r="GB557" s="30"/>
      <c r="GC557" s="30"/>
      <c r="GD557" s="30"/>
      <c r="GE557" s="30"/>
      <c r="GF557" s="30"/>
      <c r="GG557" s="30"/>
      <c r="GH557" s="30"/>
      <c r="GI557" s="30"/>
      <c r="GJ557" s="30"/>
      <c r="GK557" s="30"/>
      <c r="GL557" s="30"/>
      <c r="GM557" s="30"/>
      <c r="GN557" s="30"/>
      <c r="GO557" s="30"/>
      <c r="GP557" s="30"/>
      <c r="GQ557" s="30"/>
      <c r="GR557" s="30"/>
      <c r="GS557" s="30"/>
      <c r="GT557" s="30"/>
      <c r="GU557" s="30"/>
      <c r="GV557" s="30"/>
      <c r="GW557" s="30"/>
      <c r="GX557" s="30"/>
      <c r="GY557" s="30"/>
      <c r="GZ557" s="30"/>
      <c r="HA557" s="30"/>
      <c r="HB557" s="30"/>
      <c r="HC557" s="30"/>
      <c r="HD557" s="30"/>
      <c r="HE557" s="30"/>
      <c r="HF557" s="30"/>
      <c r="HG557" s="30"/>
      <c r="HH557" s="30"/>
      <c r="HI557" s="30"/>
      <c r="HJ557" s="30"/>
      <c r="HK557" s="30"/>
      <c r="HL557" s="30"/>
      <c r="HM557" s="30"/>
      <c r="HN557" s="30"/>
      <c r="HO557" s="30"/>
      <c r="HP557" s="30"/>
      <c r="HQ557" s="30"/>
      <c r="HR557" s="30"/>
      <c r="HS557" s="30"/>
      <c r="HT557" s="30"/>
      <c r="HU557" s="30"/>
      <c r="HV557" s="30"/>
      <c r="HW557" s="30"/>
      <c r="HX557" s="30"/>
      <c r="HY557" s="30"/>
      <c r="HZ557" s="30"/>
      <c r="IA557" s="30"/>
      <c r="IB557" s="30"/>
      <c r="IC557" s="30"/>
      <c r="ID557" s="30"/>
      <c r="IE557" s="30"/>
      <c r="IF557" s="30"/>
      <c r="IG557" s="30"/>
      <c r="IH557" s="30"/>
      <c r="II557" s="30"/>
      <c r="IJ557" s="30"/>
      <c r="IK557" s="30"/>
      <c r="IL557" s="30"/>
      <c r="IM557" s="30"/>
      <c r="IN557" s="30"/>
      <c r="IO557" s="30"/>
      <c r="IP557" s="30"/>
      <c r="IQ557" s="30"/>
      <c r="IR557" s="30"/>
      <c r="IS557" s="30"/>
      <c r="IT557" s="30"/>
      <c r="IU557" s="30"/>
      <c r="IV557" s="30"/>
      <c r="IW557" s="30"/>
      <c r="IX557" s="30"/>
      <c r="IY557" s="30"/>
      <c r="IZ557" s="30"/>
      <c r="JA557" s="30"/>
      <c r="JB557" s="30"/>
      <c r="JC557" s="30"/>
      <c r="JD557" s="30"/>
      <c r="JE557" s="30"/>
      <c r="JF557" s="30"/>
      <c r="JG557" s="30"/>
      <c r="JH557" s="30"/>
      <c r="JI557" s="30"/>
      <c r="JJ557" s="30"/>
      <c r="JK557" s="30"/>
      <c r="JL557" s="30"/>
      <c r="JM557" s="30"/>
      <c r="JN557" s="30"/>
      <c r="JO557" s="30"/>
      <c r="JP557" s="30"/>
      <c r="JQ557" s="30"/>
      <c r="JR557" s="30"/>
      <c r="JS557" s="30"/>
      <c r="JT557" s="30"/>
      <c r="JU557" s="30"/>
      <c r="JV557" s="30"/>
      <c r="JW557" s="30"/>
      <c r="JX557" s="30"/>
      <c r="JY557" s="30"/>
      <c r="JZ557" s="30"/>
      <c r="KA557" s="30"/>
      <c r="KB557" s="30"/>
      <c r="KC557" s="30"/>
      <c r="KD557" s="30"/>
      <c r="KE557" s="30"/>
    </row>
    <row r="558" spans="1:291" s="156" customFormat="1" ht="35" customHeight="1">
      <c r="A558" s="42">
        <f>ROW()-2</f>
        <v>556</v>
      </c>
      <c r="B558" s="43" t="s">
        <v>2640</v>
      </c>
      <c r="C558" s="43" t="s">
        <v>3923</v>
      </c>
      <c r="D558" s="43" t="s">
        <v>3930</v>
      </c>
      <c r="E558" s="43" t="s">
        <v>3931</v>
      </c>
      <c r="F558" s="43" t="s">
        <v>3932</v>
      </c>
      <c r="G558" s="43" t="s">
        <v>34</v>
      </c>
      <c r="H558" s="43">
        <v>1</v>
      </c>
      <c r="I558" s="43">
        <v>0.45</v>
      </c>
      <c r="J558" s="53">
        <v>44424</v>
      </c>
      <c r="K558" s="43" t="s">
        <v>20</v>
      </c>
      <c r="L558" s="43">
        <v>4.99</v>
      </c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  <c r="FS558" s="30"/>
      <c r="FT558" s="30"/>
      <c r="FU558" s="30"/>
      <c r="FV558" s="30"/>
      <c r="FW558" s="30"/>
      <c r="FX558" s="30"/>
      <c r="FY558" s="30"/>
      <c r="FZ558" s="30"/>
      <c r="GA558" s="30"/>
      <c r="GB558" s="30"/>
      <c r="GC558" s="30"/>
      <c r="GD558" s="30"/>
      <c r="GE558" s="30"/>
      <c r="GF558" s="30"/>
      <c r="GG558" s="30"/>
      <c r="GH558" s="30"/>
      <c r="GI558" s="30"/>
      <c r="GJ558" s="30"/>
      <c r="GK558" s="30"/>
      <c r="GL558" s="30"/>
      <c r="GM558" s="30"/>
      <c r="GN558" s="30"/>
      <c r="GO558" s="30"/>
      <c r="GP558" s="30"/>
      <c r="GQ558" s="30"/>
      <c r="GR558" s="30"/>
      <c r="GS558" s="30"/>
      <c r="GT558" s="30"/>
      <c r="GU558" s="30"/>
      <c r="GV558" s="30"/>
      <c r="GW558" s="30"/>
      <c r="GX558" s="30"/>
      <c r="GY558" s="30"/>
      <c r="GZ558" s="30"/>
      <c r="HA558" s="30"/>
      <c r="HB558" s="30"/>
      <c r="HC558" s="30"/>
      <c r="HD558" s="30"/>
      <c r="HE558" s="30"/>
      <c r="HF558" s="30"/>
      <c r="HG558" s="30"/>
      <c r="HH558" s="30"/>
      <c r="HI558" s="30"/>
      <c r="HJ558" s="30"/>
      <c r="HK558" s="30"/>
      <c r="HL558" s="30"/>
      <c r="HM558" s="30"/>
      <c r="HN558" s="30"/>
      <c r="HO558" s="30"/>
      <c r="HP558" s="30"/>
      <c r="HQ558" s="30"/>
      <c r="HR558" s="30"/>
      <c r="HS558" s="30"/>
      <c r="HT558" s="30"/>
      <c r="HU558" s="30"/>
      <c r="HV558" s="30"/>
      <c r="HW558" s="30"/>
      <c r="HX558" s="30"/>
      <c r="HY558" s="30"/>
      <c r="HZ558" s="30"/>
      <c r="IA558" s="30"/>
      <c r="IB558" s="30"/>
      <c r="IC558" s="30"/>
      <c r="ID558" s="30"/>
      <c r="IE558" s="30"/>
      <c r="IF558" s="30"/>
      <c r="IG558" s="30"/>
      <c r="IH558" s="30"/>
      <c r="II558" s="30"/>
      <c r="IJ558" s="30"/>
      <c r="IK558" s="30"/>
      <c r="IL558" s="30"/>
      <c r="IM558" s="30"/>
      <c r="IN558" s="30"/>
      <c r="IO558" s="30"/>
      <c r="IP558" s="30"/>
      <c r="IQ558" s="30"/>
      <c r="IR558" s="30"/>
      <c r="IS558" s="30"/>
      <c r="IT558" s="30"/>
      <c r="IU558" s="30"/>
      <c r="IV558" s="30"/>
      <c r="IW558" s="30"/>
      <c r="IX558" s="30"/>
      <c r="IY558" s="30"/>
      <c r="IZ558" s="30"/>
      <c r="JA558" s="30"/>
      <c r="JB558" s="30"/>
      <c r="JC558" s="30"/>
      <c r="JD558" s="30"/>
      <c r="JE558" s="30"/>
      <c r="JF558" s="30"/>
      <c r="JG558" s="30"/>
      <c r="JH558" s="30"/>
      <c r="JI558" s="30"/>
      <c r="JJ558" s="30"/>
      <c r="JK558" s="30"/>
      <c r="JL558" s="30"/>
      <c r="JM558" s="30"/>
      <c r="JN558" s="30"/>
      <c r="JO558" s="30"/>
      <c r="JP558" s="30"/>
      <c r="JQ558" s="30"/>
      <c r="JR558" s="30"/>
      <c r="JS558" s="30"/>
      <c r="JT558" s="30"/>
      <c r="JU558" s="30"/>
      <c r="JV558" s="30"/>
      <c r="JW558" s="30"/>
      <c r="JX558" s="30"/>
      <c r="JY558" s="30"/>
      <c r="JZ558" s="30"/>
      <c r="KA558" s="30"/>
      <c r="KB558" s="30"/>
      <c r="KC558" s="30"/>
      <c r="KD558" s="30"/>
      <c r="KE558" s="30"/>
    </row>
    <row r="559" spans="1:291" s="156" customFormat="1" ht="35" customHeight="1">
      <c r="A559" s="42">
        <f>ROW()-2</f>
        <v>557</v>
      </c>
      <c r="B559" s="43" t="s">
        <v>2640</v>
      </c>
      <c r="C559" s="43" t="s">
        <v>3923</v>
      </c>
      <c r="D559" s="43" t="s">
        <v>3933</v>
      </c>
      <c r="E559" s="43" t="s">
        <v>3934</v>
      </c>
      <c r="F559" s="43" t="s">
        <v>3734</v>
      </c>
      <c r="G559" s="43" t="s">
        <v>34</v>
      </c>
      <c r="H559" s="43">
        <v>1</v>
      </c>
      <c r="I559" s="43">
        <v>0.5</v>
      </c>
      <c r="J559" s="53">
        <v>44438</v>
      </c>
      <c r="K559" s="43" t="s">
        <v>20</v>
      </c>
      <c r="L559" s="43">
        <v>4.99</v>
      </c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  <c r="FS559" s="30"/>
      <c r="FT559" s="30"/>
      <c r="FU559" s="30"/>
      <c r="FV559" s="30"/>
      <c r="FW559" s="30"/>
      <c r="FX559" s="30"/>
      <c r="FY559" s="30"/>
      <c r="FZ559" s="30"/>
      <c r="GA559" s="30"/>
      <c r="GB559" s="30"/>
      <c r="GC559" s="30"/>
      <c r="GD559" s="30"/>
      <c r="GE559" s="30"/>
      <c r="GF559" s="30"/>
      <c r="GG559" s="30"/>
      <c r="GH559" s="30"/>
      <c r="GI559" s="30"/>
      <c r="GJ559" s="30"/>
      <c r="GK559" s="30"/>
      <c r="GL559" s="30"/>
      <c r="GM559" s="30"/>
      <c r="GN559" s="30"/>
      <c r="GO559" s="30"/>
      <c r="GP559" s="30"/>
      <c r="GQ559" s="30"/>
      <c r="GR559" s="30"/>
      <c r="GS559" s="30"/>
      <c r="GT559" s="30"/>
      <c r="GU559" s="30"/>
      <c r="GV559" s="30"/>
      <c r="GW559" s="30"/>
      <c r="GX559" s="30"/>
      <c r="GY559" s="30"/>
      <c r="GZ559" s="30"/>
      <c r="HA559" s="30"/>
      <c r="HB559" s="30"/>
      <c r="HC559" s="30"/>
      <c r="HD559" s="30"/>
      <c r="HE559" s="30"/>
      <c r="HF559" s="30"/>
      <c r="HG559" s="30"/>
      <c r="HH559" s="30"/>
      <c r="HI559" s="30"/>
      <c r="HJ559" s="30"/>
      <c r="HK559" s="30"/>
      <c r="HL559" s="30"/>
      <c r="HM559" s="30"/>
      <c r="HN559" s="30"/>
      <c r="HO559" s="30"/>
      <c r="HP559" s="30"/>
      <c r="HQ559" s="30"/>
      <c r="HR559" s="30"/>
      <c r="HS559" s="30"/>
      <c r="HT559" s="30"/>
      <c r="HU559" s="30"/>
      <c r="HV559" s="30"/>
      <c r="HW559" s="30"/>
      <c r="HX559" s="30"/>
      <c r="HY559" s="30"/>
      <c r="HZ559" s="30"/>
      <c r="IA559" s="30"/>
      <c r="IB559" s="30"/>
      <c r="IC559" s="30"/>
      <c r="ID559" s="30"/>
      <c r="IE559" s="30"/>
      <c r="IF559" s="30"/>
      <c r="IG559" s="30"/>
      <c r="IH559" s="30"/>
      <c r="II559" s="30"/>
      <c r="IJ559" s="30"/>
      <c r="IK559" s="30"/>
      <c r="IL559" s="30"/>
      <c r="IM559" s="30"/>
      <c r="IN559" s="30"/>
      <c r="IO559" s="30"/>
      <c r="IP559" s="30"/>
      <c r="IQ559" s="30"/>
      <c r="IR559" s="30"/>
      <c r="IS559" s="30"/>
      <c r="IT559" s="30"/>
      <c r="IU559" s="30"/>
      <c r="IV559" s="30"/>
      <c r="IW559" s="30"/>
      <c r="IX559" s="30"/>
      <c r="IY559" s="30"/>
      <c r="IZ559" s="30"/>
      <c r="JA559" s="30"/>
      <c r="JB559" s="30"/>
      <c r="JC559" s="30"/>
      <c r="JD559" s="30"/>
      <c r="JE559" s="30"/>
      <c r="JF559" s="30"/>
      <c r="JG559" s="30"/>
      <c r="JH559" s="30"/>
      <c r="JI559" s="30"/>
      <c r="JJ559" s="30"/>
      <c r="JK559" s="30"/>
      <c r="JL559" s="30"/>
      <c r="JM559" s="30"/>
      <c r="JN559" s="30"/>
      <c r="JO559" s="30"/>
      <c r="JP559" s="30"/>
      <c r="JQ559" s="30"/>
      <c r="JR559" s="30"/>
      <c r="JS559" s="30"/>
      <c r="JT559" s="30"/>
      <c r="JU559" s="30"/>
      <c r="JV559" s="30"/>
      <c r="JW559" s="30"/>
      <c r="JX559" s="30"/>
      <c r="JY559" s="30"/>
      <c r="JZ559" s="30"/>
      <c r="KA559" s="30"/>
      <c r="KB559" s="30"/>
      <c r="KC559" s="30"/>
      <c r="KD559" s="30"/>
      <c r="KE559" s="30"/>
    </row>
    <row r="560" spans="1:291" s="156" customFormat="1" ht="35" customHeight="1">
      <c r="A560" s="42">
        <f>ROW()-2</f>
        <v>558</v>
      </c>
      <c r="B560" s="43" t="s">
        <v>2640</v>
      </c>
      <c r="C560" s="43" t="s">
        <v>3923</v>
      </c>
      <c r="D560" s="43" t="s">
        <v>3935</v>
      </c>
      <c r="E560" s="43" t="s">
        <v>3936</v>
      </c>
      <c r="F560" s="43" t="s">
        <v>3937</v>
      </c>
      <c r="G560" s="43" t="s">
        <v>34</v>
      </c>
      <c r="H560" s="43">
        <v>1</v>
      </c>
      <c r="I560" s="43">
        <v>0.5</v>
      </c>
      <c r="J560" s="53">
        <v>44445</v>
      </c>
      <c r="K560" s="43" t="s">
        <v>20</v>
      </c>
      <c r="L560" s="43">
        <v>4.99</v>
      </c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  <c r="FS560" s="30"/>
      <c r="FT560" s="30"/>
      <c r="FU560" s="30"/>
      <c r="FV560" s="30"/>
      <c r="FW560" s="30"/>
      <c r="FX560" s="30"/>
      <c r="FY560" s="30"/>
      <c r="FZ560" s="30"/>
      <c r="GA560" s="30"/>
      <c r="GB560" s="30"/>
      <c r="GC560" s="30"/>
      <c r="GD560" s="30"/>
      <c r="GE560" s="30"/>
      <c r="GF560" s="30"/>
      <c r="GG560" s="30"/>
      <c r="GH560" s="30"/>
      <c r="GI560" s="30"/>
      <c r="GJ560" s="30"/>
      <c r="GK560" s="30"/>
      <c r="GL560" s="30"/>
      <c r="GM560" s="30"/>
      <c r="GN560" s="30"/>
      <c r="GO560" s="30"/>
      <c r="GP560" s="30"/>
      <c r="GQ560" s="30"/>
      <c r="GR560" s="30"/>
      <c r="GS560" s="30"/>
      <c r="GT560" s="30"/>
      <c r="GU560" s="30"/>
      <c r="GV560" s="30"/>
      <c r="GW560" s="30"/>
      <c r="GX560" s="30"/>
      <c r="GY560" s="30"/>
      <c r="GZ560" s="30"/>
      <c r="HA560" s="30"/>
      <c r="HB560" s="30"/>
      <c r="HC560" s="30"/>
      <c r="HD560" s="30"/>
      <c r="HE560" s="30"/>
      <c r="HF560" s="30"/>
      <c r="HG560" s="30"/>
      <c r="HH560" s="30"/>
      <c r="HI560" s="30"/>
      <c r="HJ560" s="30"/>
      <c r="HK560" s="30"/>
      <c r="HL560" s="30"/>
      <c r="HM560" s="30"/>
      <c r="HN560" s="30"/>
      <c r="HO560" s="30"/>
      <c r="HP560" s="30"/>
      <c r="HQ560" s="30"/>
      <c r="HR560" s="30"/>
      <c r="HS560" s="30"/>
      <c r="HT560" s="30"/>
      <c r="HU560" s="30"/>
      <c r="HV560" s="30"/>
      <c r="HW560" s="30"/>
      <c r="HX560" s="30"/>
      <c r="HY560" s="30"/>
      <c r="HZ560" s="30"/>
      <c r="IA560" s="30"/>
      <c r="IB560" s="30"/>
      <c r="IC560" s="30"/>
      <c r="ID560" s="30"/>
      <c r="IE560" s="30"/>
      <c r="IF560" s="30"/>
      <c r="IG560" s="30"/>
      <c r="IH560" s="30"/>
      <c r="II560" s="30"/>
      <c r="IJ560" s="30"/>
      <c r="IK560" s="30"/>
      <c r="IL560" s="30"/>
      <c r="IM560" s="30"/>
      <c r="IN560" s="30"/>
      <c r="IO560" s="30"/>
      <c r="IP560" s="30"/>
      <c r="IQ560" s="30"/>
      <c r="IR560" s="30"/>
      <c r="IS560" s="30"/>
      <c r="IT560" s="30"/>
      <c r="IU560" s="30"/>
      <c r="IV560" s="30"/>
      <c r="IW560" s="30"/>
      <c r="IX560" s="30"/>
      <c r="IY560" s="30"/>
      <c r="IZ560" s="30"/>
      <c r="JA560" s="30"/>
      <c r="JB560" s="30"/>
      <c r="JC560" s="30"/>
      <c r="JD560" s="30"/>
      <c r="JE560" s="30"/>
      <c r="JF560" s="30"/>
      <c r="JG560" s="30"/>
      <c r="JH560" s="30"/>
      <c r="JI560" s="30"/>
      <c r="JJ560" s="30"/>
      <c r="JK560" s="30"/>
      <c r="JL560" s="30"/>
      <c r="JM560" s="30"/>
      <c r="JN560" s="30"/>
      <c r="JO560" s="30"/>
      <c r="JP560" s="30"/>
      <c r="JQ560" s="30"/>
      <c r="JR560" s="30"/>
      <c r="JS560" s="30"/>
      <c r="JT560" s="30"/>
      <c r="JU560" s="30"/>
      <c r="JV560" s="30"/>
      <c r="JW560" s="30"/>
      <c r="JX560" s="30"/>
      <c r="JY560" s="30"/>
      <c r="JZ560" s="30"/>
      <c r="KA560" s="30"/>
      <c r="KB560" s="30"/>
      <c r="KC560" s="30"/>
      <c r="KD560" s="30"/>
      <c r="KE560" s="30"/>
    </row>
    <row r="561" spans="1:291" s="156" customFormat="1" ht="35" customHeight="1">
      <c r="A561" s="42">
        <f>ROW()-2</f>
        <v>559</v>
      </c>
      <c r="B561" s="43" t="s">
        <v>2640</v>
      </c>
      <c r="C561" s="43" t="s">
        <v>3923</v>
      </c>
      <c r="D561" s="43" t="s">
        <v>3938</v>
      </c>
      <c r="E561" s="43" t="s">
        <v>3939</v>
      </c>
      <c r="F561" s="43" t="s">
        <v>3940</v>
      </c>
      <c r="G561" s="43" t="s">
        <v>34</v>
      </c>
      <c r="H561" s="43">
        <v>1</v>
      </c>
      <c r="I561" s="43">
        <v>0.5</v>
      </c>
      <c r="J561" s="53">
        <v>44452</v>
      </c>
      <c r="K561" s="43" t="s">
        <v>20</v>
      </c>
      <c r="L561" s="43">
        <v>4.99</v>
      </c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  <c r="FS561" s="30"/>
      <c r="FT561" s="30"/>
      <c r="FU561" s="30"/>
      <c r="FV561" s="30"/>
      <c r="FW561" s="30"/>
      <c r="FX561" s="30"/>
      <c r="FY561" s="30"/>
      <c r="FZ561" s="30"/>
      <c r="GA561" s="30"/>
      <c r="GB561" s="30"/>
      <c r="GC561" s="30"/>
      <c r="GD561" s="30"/>
      <c r="GE561" s="30"/>
      <c r="GF561" s="30"/>
      <c r="GG561" s="30"/>
      <c r="GH561" s="30"/>
      <c r="GI561" s="30"/>
      <c r="GJ561" s="30"/>
      <c r="GK561" s="30"/>
      <c r="GL561" s="30"/>
      <c r="GM561" s="30"/>
      <c r="GN561" s="30"/>
      <c r="GO561" s="30"/>
      <c r="GP561" s="30"/>
      <c r="GQ561" s="30"/>
      <c r="GR561" s="30"/>
      <c r="GS561" s="30"/>
      <c r="GT561" s="30"/>
      <c r="GU561" s="30"/>
      <c r="GV561" s="30"/>
      <c r="GW561" s="30"/>
      <c r="GX561" s="30"/>
      <c r="GY561" s="30"/>
      <c r="GZ561" s="30"/>
      <c r="HA561" s="30"/>
      <c r="HB561" s="30"/>
      <c r="HC561" s="30"/>
      <c r="HD561" s="30"/>
      <c r="HE561" s="30"/>
      <c r="HF561" s="30"/>
      <c r="HG561" s="30"/>
      <c r="HH561" s="30"/>
      <c r="HI561" s="30"/>
      <c r="HJ561" s="30"/>
      <c r="HK561" s="30"/>
      <c r="HL561" s="30"/>
      <c r="HM561" s="30"/>
      <c r="HN561" s="30"/>
      <c r="HO561" s="30"/>
      <c r="HP561" s="30"/>
      <c r="HQ561" s="30"/>
      <c r="HR561" s="30"/>
      <c r="HS561" s="30"/>
      <c r="HT561" s="30"/>
      <c r="HU561" s="30"/>
      <c r="HV561" s="30"/>
      <c r="HW561" s="30"/>
      <c r="HX561" s="30"/>
      <c r="HY561" s="30"/>
      <c r="HZ561" s="30"/>
      <c r="IA561" s="30"/>
      <c r="IB561" s="30"/>
      <c r="IC561" s="30"/>
      <c r="ID561" s="30"/>
      <c r="IE561" s="30"/>
      <c r="IF561" s="30"/>
      <c r="IG561" s="30"/>
      <c r="IH561" s="30"/>
      <c r="II561" s="30"/>
      <c r="IJ561" s="30"/>
      <c r="IK561" s="30"/>
      <c r="IL561" s="30"/>
      <c r="IM561" s="30"/>
      <c r="IN561" s="30"/>
      <c r="IO561" s="30"/>
      <c r="IP561" s="30"/>
      <c r="IQ561" s="30"/>
      <c r="IR561" s="30"/>
      <c r="IS561" s="30"/>
      <c r="IT561" s="30"/>
      <c r="IU561" s="30"/>
      <c r="IV561" s="30"/>
      <c r="IW561" s="30"/>
      <c r="IX561" s="30"/>
      <c r="IY561" s="30"/>
      <c r="IZ561" s="30"/>
      <c r="JA561" s="30"/>
      <c r="JB561" s="30"/>
      <c r="JC561" s="30"/>
      <c r="JD561" s="30"/>
      <c r="JE561" s="30"/>
      <c r="JF561" s="30"/>
      <c r="JG561" s="30"/>
      <c r="JH561" s="30"/>
      <c r="JI561" s="30"/>
      <c r="JJ561" s="30"/>
      <c r="JK561" s="30"/>
      <c r="JL561" s="30"/>
      <c r="JM561" s="30"/>
      <c r="JN561" s="30"/>
      <c r="JO561" s="30"/>
      <c r="JP561" s="30"/>
      <c r="JQ561" s="30"/>
      <c r="JR561" s="30"/>
      <c r="JS561" s="30"/>
      <c r="JT561" s="30"/>
      <c r="JU561" s="30"/>
      <c r="JV561" s="30"/>
      <c r="JW561" s="30"/>
      <c r="JX561" s="30"/>
      <c r="JY561" s="30"/>
      <c r="JZ561" s="30"/>
      <c r="KA561" s="30"/>
      <c r="KB561" s="30"/>
      <c r="KC561" s="30"/>
      <c r="KD561" s="30"/>
      <c r="KE561" s="30"/>
    </row>
    <row r="562" spans="1:291" s="156" customFormat="1" ht="35" customHeight="1">
      <c r="A562" s="42">
        <f>ROW()-2</f>
        <v>560</v>
      </c>
      <c r="B562" s="43" t="s">
        <v>2640</v>
      </c>
      <c r="C562" s="43" t="s">
        <v>3923</v>
      </c>
      <c r="D562" s="43" t="s">
        <v>3941</v>
      </c>
      <c r="E562" s="43" t="s">
        <v>3942</v>
      </c>
      <c r="F562" s="43" t="s">
        <v>3575</v>
      </c>
      <c r="G562" s="43" t="s">
        <v>3253</v>
      </c>
      <c r="H562" s="43">
        <v>1</v>
      </c>
      <c r="I562" s="43">
        <v>0.5</v>
      </c>
      <c r="J562" s="53">
        <v>44480</v>
      </c>
      <c r="K562" s="43" t="s">
        <v>20</v>
      </c>
      <c r="L562" s="43">
        <v>4.99</v>
      </c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  <c r="FS562" s="30"/>
      <c r="FT562" s="30"/>
      <c r="FU562" s="30"/>
      <c r="FV562" s="30"/>
      <c r="FW562" s="30"/>
      <c r="FX562" s="30"/>
      <c r="FY562" s="30"/>
      <c r="FZ562" s="30"/>
      <c r="GA562" s="30"/>
      <c r="GB562" s="30"/>
      <c r="GC562" s="30"/>
      <c r="GD562" s="30"/>
      <c r="GE562" s="30"/>
      <c r="GF562" s="30"/>
      <c r="GG562" s="30"/>
      <c r="GH562" s="30"/>
      <c r="GI562" s="30"/>
      <c r="GJ562" s="30"/>
      <c r="GK562" s="30"/>
      <c r="GL562" s="30"/>
      <c r="GM562" s="30"/>
      <c r="GN562" s="30"/>
      <c r="GO562" s="30"/>
      <c r="GP562" s="30"/>
      <c r="GQ562" s="30"/>
      <c r="GR562" s="30"/>
      <c r="GS562" s="30"/>
      <c r="GT562" s="30"/>
      <c r="GU562" s="30"/>
      <c r="GV562" s="30"/>
      <c r="GW562" s="30"/>
      <c r="GX562" s="30"/>
      <c r="GY562" s="30"/>
      <c r="GZ562" s="30"/>
      <c r="HA562" s="30"/>
      <c r="HB562" s="30"/>
      <c r="HC562" s="30"/>
      <c r="HD562" s="30"/>
      <c r="HE562" s="30"/>
      <c r="HF562" s="30"/>
      <c r="HG562" s="30"/>
      <c r="HH562" s="30"/>
      <c r="HI562" s="30"/>
      <c r="HJ562" s="30"/>
      <c r="HK562" s="30"/>
      <c r="HL562" s="30"/>
      <c r="HM562" s="30"/>
      <c r="HN562" s="30"/>
      <c r="HO562" s="30"/>
      <c r="HP562" s="30"/>
      <c r="HQ562" s="30"/>
      <c r="HR562" s="30"/>
      <c r="HS562" s="30"/>
      <c r="HT562" s="30"/>
      <c r="HU562" s="30"/>
      <c r="HV562" s="30"/>
      <c r="HW562" s="30"/>
      <c r="HX562" s="30"/>
      <c r="HY562" s="30"/>
      <c r="HZ562" s="30"/>
      <c r="IA562" s="30"/>
      <c r="IB562" s="30"/>
      <c r="IC562" s="30"/>
      <c r="ID562" s="30"/>
      <c r="IE562" s="30"/>
      <c r="IF562" s="30"/>
      <c r="IG562" s="30"/>
      <c r="IH562" s="30"/>
      <c r="II562" s="30"/>
      <c r="IJ562" s="30"/>
      <c r="IK562" s="30"/>
      <c r="IL562" s="30"/>
      <c r="IM562" s="30"/>
      <c r="IN562" s="30"/>
      <c r="IO562" s="30"/>
      <c r="IP562" s="30"/>
      <c r="IQ562" s="30"/>
      <c r="IR562" s="30"/>
      <c r="IS562" s="30"/>
      <c r="IT562" s="30"/>
      <c r="IU562" s="30"/>
      <c r="IV562" s="30"/>
      <c r="IW562" s="30"/>
      <c r="IX562" s="30"/>
      <c r="IY562" s="30"/>
      <c r="IZ562" s="30"/>
      <c r="JA562" s="30"/>
      <c r="JB562" s="30"/>
      <c r="JC562" s="30"/>
      <c r="JD562" s="30"/>
      <c r="JE562" s="30"/>
      <c r="JF562" s="30"/>
      <c r="JG562" s="30"/>
      <c r="JH562" s="30"/>
      <c r="JI562" s="30"/>
      <c r="JJ562" s="30"/>
      <c r="JK562" s="30"/>
      <c r="JL562" s="30"/>
      <c r="JM562" s="30"/>
      <c r="JN562" s="30"/>
      <c r="JO562" s="30"/>
      <c r="JP562" s="30"/>
      <c r="JQ562" s="30"/>
      <c r="JR562" s="30"/>
      <c r="JS562" s="30"/>
      <c r="JT562" s="30"/>
      <c r="JU562" s="30"/>
      <c r="JV562" s="30"/>
      <c r="JW562" s="30"/>
      <c r="JX562" s="30"/>
      <c r="JY562" s="30"/>
      <c r="JZ562" s="30"/>
      <c r="KA562" s="30"/>
      <c r="KB562" s="30"/>
      <c r="KC562" s="30"/>
      <c r="KD562" s="30"/>
      <c r="KE562" s="30"/>
    </row>
    <row r="563" spans="1:291" s="156" customFormat="1" ht="35" customHeight="1">
      <c r="A563" s="42">
        <f>ROW()-2</f>
        <v>561</v>
      </c>
      <c r="B563" s="43" t="s">
        <v>2640</v>
      </c>
      <c r="C563" s="43" t="s">
        <v>3923</v>
      </c>
      <c r="D563" s="43" t="s">
        <v>3943</v>
      </c>
      <c r="E563" s="43" t="s">
        <v>3944</v>
      </c>
      <c r="F563" s="43" t="s">
        <v>3945</v>
      </c>
      <c r="G563" s="43" t="s">
        <v>3253</v>
      </c>
      <c r="H563" s="43">
        <v>1</v>
      </c>
      <c r="I563" s="43">
        <v>0.5</v>
      </c>
      <c r="J563" s="53">
        <v>44501</v>
      </c>
      <c r="K563" s="43" t="s">
        <v>20</v>
      </c>
      <c r="L563" s="43">
        <v>4.99</v>
      </c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  <c r="FS563" s="30"/>
      <c r="FT563" s="30"/>
      <c r="FU563" s="30"/>
      <c r="FV563" s="30"/>
      <c r="FW563" s="30"/>
      <c r="FX563" s="30"/>
      <c r="FY563" s="30"/>
      <c r="FZ563" s="30"/>
      <c r="GA563" s="30"/>
      <c r="GB563" s="30"/>
      <c r="GC563" s="30"/>
      <c r="GD563" s="30"/>
      <c r="GE563" s="30"/>
      <c r="GF563" s="30"/>
      <c r="GG563" s="30"/>
      <c r="GH563" s="30"/>
      <c r="GI563" s="30"/>
      <c r="GJ563" s="30"/>
      <c r="GK563" s="30"/>
      <c r="GL563" s="30"/>
      <c r="GM563" s="30"/>
      <c r="GN563" s="30"/>
      <c r="GO563" s="30"/>
      <c r="GP563" s="30"/>
      <c r="GQ563" s="30"/>
      <c r="GR563" s="30"/>
      <c r="GS563" s="30"/>
      <c r="GT563" s="30"/>
      <c r="GU563" s="30"/>
      <c r="GV563" s="30"/>
      <c r="GW563" s="30"/>
      <c r="GX563" s="30"/>
      <c r="GY563" s="30"/>
      <c r="GZ563" s="30"/>
      <c r="HA563" s="30"/>
      <c r="HB563" s="30"/>
      <c r="HC563" s="30"/>
      <c r="HD563" s="30"/>
      <c r="HE563" s="30"/>
      <c r="HF563" s="30"/>
      <c r="HG563" s="30"/>
      <c r="HH563" s="30"/>
      <c r="HI563" s="30"/>
      <c r="HJ563" s="30"/>
      <c r="HK563" s="30"/>
      <c r="HL563" s="30"/>
      <c r="HM563" s="30"/>
      <c r="HN563" s="30"/>
      <c r="HO563" s="30"/>
      <c r="HP563" s="30"/>
      <c r="HQ563" s="30"/>
      <c r="HR563" s="30"/>
      <c r="HS563" s="30"/>
      <c r="HT563" s="30"/>
      <c r="HU563" s="30"/>
      <c r="HV563" s="30"/>
      <c r="HW563" s="30"/>
      <c r="HX563" s="30"/>
      <c r="HY563" s="30"/>
      <c r="HZ563" s="30"/>
      <c r="IA563" s="30"/>
      <c r="IB563" s="30"/>
      <c r="IC563" s="30"/>
      <c r="ID563" s="30"/>
      <c r="IE563" s="30"/>
      <c r="IF563" s="30"/>
      <c r="IG563" s="30"/>
      <c r="IH563" s="30"/>
      <c r="II563" s="30"/>
      <c r="IJ563" s="30"/>
      <c r="IK563" s="30"/>
      <c r="IL563" s="30"/>
      <c r="IM563" s="30"/>
      <c r="IN563" s="30"/>
      <c r="IO563" s="30"/>
      <c r="IP563" s="30"/>
      <c r="IQ563" s="30"/>
      <c r="IR563" s="30"/>
      <c r="IS563" s="30"/>
      <c r="IT563" s="30"/>
      <c r="IU563" s="30"/>
      <c r="IV563" s="30"/>
      <c r="IW563" s="30"/>
      <c r="IX563" s="30"/>
      <c r="IY563" s="30"/>
      <c r="IZ563" s="30"/>
      <c r="JA563" s="30"/>
      <c r="JB563" s="30"/>
      <c r="JC563" s="30"/>
      <c r="JD563" s="30"/>
      <c r="JE563" s="30"/>
      <c r="JF563" s="30"/>
      <c r="JG563" s="30"/>
      <c r="JH563" s="30"/>
      <c r="JI563" s="30"/>
      <c r="JJ563" s="30"/>
      <c r="JK563" s="30"/>
      <c r="JL563" s="30"/>
      <c r="JM563" s="30"/>
      <c r="JN563" s="30"/>
      <c r="JO563" s="30"/>
      <c r="JP563" s="30"/>
      <c r="JQ563" s="30"/>
      <c r="JR563" s="30"/>
      <c r="JS563" s="30"/>
      <c r="JT563" s="30"/>
      <c r="JU563" s="30"/>
      <c r="JV563" s="30"/>
      <c r="JW563" s="30"/>
      <c r="JX563" s="30"/>
      <c r="JY563" s="30"/>
      <c r="JZ563" s="30"/>
      <c r="KA563" s="30"/>
      <c r="KB563" s="30"/>
      <c r="KC563" s="30"/>
      <c r="KD563" s="30"/>
      <c r="KE563" s="30"/>
    </row>
    <row r="564" spans="1:291" s="156" customFormat="1" ht="35" customHeight="1">
      <c r="A564" s="42">
        <f>ROW()-2</f>
        <v>562</v>
      </c>
      <c r="B564" s="43" t="s">
        <v>2640</v>
      </c>
      <c r="C564" s="43" t="s">
        <v>3923</v>
      </c>
      <c r="D564" s="43" t="s">
        <v>3946</v>
      </c>
      <c r="E564" s="43" t="s">
        <v>3947</v>
      </c>
      <c r="F564" s="43" t="s">
        <v>3078</v>
      </c>
      <c r="G564" s="43" t="s">
        <v>3253</v>
      </c>
      <c r="H564" s="43">
        <v>1</v>
      </c>
      <c r="I564" s="43">
        <v>0.5</v>
      </c>
      <c r="J564" s="53">
        <v>44522</v>
      </c>
      <c r="K564" s="43" t="s">
        <v>20</v>
      </c>
      <c r="L564" s="43">
        <v>4.99</v>
      </c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  <c r="FS564" s="30"/>
      <c r="FT564" s="30"/>
      <c r="FU564" s="30"/>
      <c r="FV564" s="30"/>
      <c r="FW564" s="30"/>
      <c r="FX564" s="30"/>
      <c r="FY564" s="30"/>
      <c r="FZ564" s="30"/>
      <c r="GA564" s="30"/>
      <c r="GB564" s="30"/>
      <c r="GC564" s="30"/>
      <c r="GD564" s="30"/>
      <c r="GE564" s="30"/>
      <c r="GF564" s="30"/>
      <c r="GG564" s="30"/>
      <c r="GH564" s="30"/>
      <c r="GI564" s="30"/>
      <c r="GJ564" s="30"/>
      <c r="GK564" s="30"/>
      <c r="GL564" s="30"/>
      <c r="GM564" s="30"/>
      <c r="GN564" s="30"/>
      <c r="GO564" s="30"/>
      <c r="GP564" s="30"/>
      <c r="GQ564" s="30"/>
      <c r="GR564" s="30"/>
      <c r="GS564" s="30"/>
      <c r="GT564" s="30"/>
      <c r="GU564" s="30"/>
      <c r="GV564" s="30"/>
      <c r="GW564" s="30"/>
      <c r="GX564" s="30"/>
      <c r="GY564" s="30"/>
      <c r="GZ564" s="30"/>
      <c r="HA564" s="30"/>
      <c r="HB564" s="30"/>
      <c r="HC564" s="30"/>
      <c r="HD564" s="30"/>
      <c r="HE564" s="30"/>
      <c r="HF564" s="30"/>
      <c r="HG564" s="30"/>
      <c r="HH564" s="30"/>
      <c r="HI564" s="30"/>
      <c r="HJ564" s="30"/>
      <c r="HK564" s="30"/>
      <c r="HL564" s="30"/>
      <c r="HM564" s="30"/>
      <c r="HN564" s="30"/>
      <c r="HO564" s="30"/>
      <c r="HP564" s="30"/>
      <c r="HQ564" s="30"/>
      <c r="HR564" s="30"/>
      <c r="HS564" s="30"/>
      <c r="HT564" s="30"/>
      <c r="HU564" s="30"/>
      <c r="HV564" s="30"/>
      <c r="HW564" s="30"/>
      <c r="HX564" s="30"/>
      <c r="HY564" s="30"/>
      <c r="HZ564" s="30"/>
      <c r="IA564" s="30"/>
      <c r="IB564" s="30"/>
      <c r="IC564" s="30"/>
      <c r="ID564" s="30"/>
      <c r="IE564" s="30"/>
      <c r="IF564" s="30"/>
      <c r="IG564" s="30"/>
      <c r="IH564" s="30"/>
      <c r="II564" s="30"/>
      <c r="IJ564" s="30"/>
      <c r="IK564" s="30"/>
      <c r="IL564" s="30"/>
      <c r="IM564" s="30"/>
      <c r="IN564" s="30"/>
      <c r="IO564" s="30"/>
      <c r="IP564" s="30"/>
      <c r="IQ564" s="30"/>
      <c r="IR564" s="30"/>
      <c r="IS564" s="30"/>
      <c r="IT564" s="30"/>
      <c r="IU564" s="30"/>
      <c r="IV564" s="30"/>
      <c r="IW564" s="30"/>
      <c r="IX564" s="30"/>
      <c r="IY564" s="30"/>
      <c r="IZ564" s="30"/>
      <c r="JA564" s="30"/>
      <c r="JB564" s="30"/>
      <c r="JC564" s="30"/>
      <c r="JD564" s="30"/>
      <c r="JE564" s="30"/>
      <c r="JF564" s="30"/>
      <c r="JG564" s="30"/>
      <c r="JH564" s="30"/>
      <c r="JI564" s="30"/>
      <c r="JJ564" s="30"/>
      <c r="JK564" s="30"/>
      <c r="JL564" s="30"/>
      <c r="JM564" s="30"/>
      <c r="JN564" s="30"/>
      <c r="JO564" s="30"/>
      <c r="JP564" s="30"/>
      <c r="JQ564" s="30"/>
      <c r="JR564" s="30"/>
      <c r="JS564" s="30"/>
      <c r="JT564" s="30"/>
      <c r="JU564" s="30"/>
      <c r="JV564" s="30"/>
      <c r="JW564" s="30"/>
      <c r="JX564" s="30"/>
      <c r="JY564" s="30"/>
      <c r="JZ564" s="30"/>
      <c r="KA564" s="30"/>
      <c r="KB564" s="30"/>
      <c r="KC564" s="30"/>
      <c r="KD564" s="30"/>
      <c r="KE564" s="30"/>
    </row>
    <row r="565" spans="1:291" s="156" customFormat="1" ht="35" customHeight="1">
      <c r="A565" s="42">
        <f>ROW()-2</f>
        <v>563</v>
      </c>
      <c r="B565" s="43" t="s">
        <v>2640</v>
      </c>
      <c r="C565" s="43" t="s">
        <v>3923</v>
      </c>
      <c r="D565" s="43" t="s">
        <v>3948</v>
      </c>
      <c r="E565" s="43" t="s">
        <v>3949</v>
      </c>
      <c r="F565" s="43" t="s">
        <v>3940</v>
      </c>
      <c r="G565" s="43" t="s">
        <v>3253</v>
      </c>
      <c r="H565" s="43">
        <v>1</v>
      </c>
      <c r="I565" s="43">
        <v>0.5</v>
      </c>
      <c r="J565" s="53">
        <v>44529</v>
      </c>
      <c r="K565" s="43" t="s">
        <v>20</v>
      </c>
      <c r="L565" s="43">
        <v>4.99</v>
      </c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  <c r="FS565" s="30"/>
      <c r="FT565" s="30"/>
      <c r="FU565" s="30"/>
      <c r="FV565" s="30"/>
      <c r="FW565" s="30"/>
      <c r="FX565" s="30"/>
      <c r="FY565" s="30"/>
      <c r="FZ565" s="30"/>
      <c r="GA565" s="30"/>
      <c r="GB565" s="30"/>
      <c r="GC565" s="30"/>
      <c r="GD565" s="30"/>
      <c r="GE565" s="30"/>
      <c r="GF565" s="30"/>
      <c r="GG565" s="30"/>
      <c r="GH565" s="30"/>
      <c r="GI565" s="30"/>
      <c r="GJ565" s="30"/>
      <c r="GK565" s="30"/>
      <c r="GL565" s="30"/>
      <c r="GM565" s="30"/>
      <c r="GN565" s="30"/>
      <c r="GO565" s="30"/>
      <c r="GP565" s="30"/>
      <c r="GQ565" s="30"/>
      <c r="GR565" s="30"/>
      <c r="GS565" s="30"/>
      <c r="GT565" s="30"/>
      <c r="GU565" s="30"/>
      <c r="GV565" s="30"/>
      <c r="GW565" s="30"/>
      <c r="GX565" s="30"/>
      <c r="GY565" s="30"/>
      <c r="GZ565" s="30"/>
      <c r="HA565" s="30"/>
      <c r="HB565" s="30"/>
      <c r="HC565" s="30"/>
      <c r="HD565" s="30"/>
      <c r="HE565" s="30"/>
      <c r="HF565" s="30"/>
      <c r="HG565" s="30"/>
      <c r="HH565" s="30"/>
      <c r="HI565" s="30"/>
      <c r="HJ565" s="30"/>
      <c r="HK565" s="30"/>
      <c r="HL565" s="30"/>
      <c r="HM565" s="30"/>
      <c r="HN565" s="30"/>
      <c r="HO565" s="30"/>
      <c r="HP565" s="30"/>
      <c r="HQ565" s="30"/>
      <c r="HR565" s="30"/>
      <c r="HS565" s="30"/>
      <c r="HT565" s="30"/>
      <c r="HU565" s="30"/>
      <c r="HV565" s="30"/>
      <c r="HW565" s="30"/>
      <c r="HX565" s="30"/>
      <c r="HY565" s="30"/>
      <c r="HZ565" s="30"/>
      <c r="IA565" s="30"/>
      <c r="IB565" s="30"/>
      <c r="IC565" s="30"/>
      <c r="ID565" s="30"/>
      <c r="IE565" s="30"/>
      <c r="IF565" s="30"/>
      <c r="IG565" s="30"/>
      <c r="IH565" s="30"/>
      <c r="II565" s="30"/>
      <c r="IJ565" s="30"/>
      <c r="IK565" s="30"/>
      <c r="IL565" s="30"/>
      <c r="IM565" s="30"/>
      <c r="IN565" s="30"/>
      <c r="IO565" s="30"/>
      <c r="IP565" s="30"/>
      <c r="IQ565" s="30"/>
      <c r="IR565" s="30"/>
      <c r="IS565" s="30"/>
      <c r="IT565" s="30"/>
      <c r="IU565" s="30"/>
      <c r="IV565" s="30"/>
      <c r="IW565" s="30"/>
      <c r="IX565" s="30"/>
      <c r="IY565" s="30"/>
      <c r="IZ565" s="30"/>
      <c r="JA565" s="30"/>
      <c r="JB565" s="30"/>
      <c r="JC565" s="30"/>
      <c r="JD565" s="30"/>
      <c r="JE565" s="30"/>
      <c r="JF565" s="30"/>
      <c r="JG565" s="30"/>
      <c r="JH565" s="30"/>
      <c r="JI565" s="30"/>
      <c r="JJ565" s="30"/>
      <c r="JK565" s="30"/>
      <c r="JL565" s="30"/>
      <c r="JM565" s="30"/>
      <c r="JN565" s="30"/>
      <c r="JO565" s="30"/>
      <c r="JP565" s="30"/>
      <c r="JQ565" s="30"/>
      <c r="JR565" s="30"/>
      <c r="JS565" s="30"/>
      <c r="JT565" s="30"/>
      <c r="JU565" s="30"/>
      <c r="JV565" s="30"/>
      <c r="JW565" s="30"/>
      <c r="JX565" s="30"/>
      <c r="JY565" s="30"/>
      <c r="JZ565" s="30"/>
      <c r="KA565" s="30"/>
      <c r="KB565" s="30"/>
      <c r="KC565" s="30"/>
      <c r="KD565" s="30"/>
      <c r="KE565" s="30"/>
    </row>
    <row r="566" spans="1:291" s="156" customFormat="1" ht="35" customHeight="1">
      <c r="A566" s="42">
        <f>ROW()-2</f>
        <v>564</v>
      </c>
      <c r="B566" s="182" t="s">
        <v>5325</v>
      </c>
      <c r="C566" s="182" t="s">
        <v>5329</v>
      </c>
      <c r="D566" s="187" t="s">
        <v>5322</v>
      </c>
      <c r="E566" s="187" t="s">
        <v>5330</v>
      </c>
      <c r="F566" s="187" t="s">
        <v>5328</v>
      </c>
      <c r="G566" s="42" t="s">
        <v>3253</v>
      </c>
      <c r="H566" s="182">
        <v>1</v>
      </c>
      <c r="I566" s="206">
        <v>0.5</v>
      </c>
      <c r="J566" s="209">
        <v>44599</v>
      </c>
      <c r="K566" s="44" t="s">
        <v>20</v>
      </c>
      <c r="L566" s="182">
        <v>4.99</v>
      </c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  <c r="AF566" s="134"/>
      <c r="AG566" s="134"/>
      <c r="AH566" s="134"/>
      <c r="AI566" s="134"/>
      <c r="AJ566" s="134"/>
      <c r="AK566" s="134"/>
      <c r="AL566" s="134"/>
      <c r="AM566" s="134"/>
      <c r="AN566" s="134"/>
      <c r="AO566" s="134"/>
      <c r="AP566" s="134"/>
      <c r="AQ566" s="134"/>
      <c r="AR566" s="134"/>
      <c r="AS566" s="134"/>
      <c r="AT566" s="134"/>
      <c r="AU566" s="134"/>
      <c r="AV566" s="134"/>
      <c r="AW566" s="134"/>
      <c r="AX566" s="134"/>
      <c r="AY566" s="134"/>
      <c r="AZ566" s="134"/>
      <c r="BA566" s="134"/>
      <c r="BB566" s="134"/>
      <c r="BC566" s="134"/>
      <c r="BD566" s="134"/>
      <c r="BE566" s="134"/>
      <c r="BF566" s="134"/>
      <c r="BG566" s="134"/>
      <c r="BH566" s="134"/>
      <c r="BI566" s="134"/>
      <c r="BJ566" s="134"/>
      <c r="BK566" s="134"/>
      <c r="BL566" s="134"/>
      <c r="BM566" s="134"/>
      <c r="BN566" s="134"/>
      <c r="BO566" s="134"/>
      <c r="BP566" s="134"/>
      <c r="BQ566" s="134"/>
      <c r="BR566" s="134"/>
      <c r="BS566" s="134"/>
      <c r="BT566" s="134"/>
      <c r="BU566" s="134"/>
      <c r="BV566" s="134"/>
      <c r="BW566" s="134"/>
      <c r="BX566" s="134"/>
      <c r="BY566" s="134"/>
      <c r="BZ566" s="134"/>
      <c r="CA566" s="134"/>
      <c r="CB566" s="134"/>
      <c r="CC566" s="134"/>
      <c r="CD566" s="134"/>
      <c r="CE566" s="134"/>
      <c r="CF566" s="134"/>
      <c r="CG566" s="134"/>
      <c r="CH566" s="134"/>
      <c r="CI566" s="134"/>
      <c r="CJ566" s="134"/>
      <c r="CK566" s="134"/>
      <c r="CL566" s="134"/>
      <c r="CM566" s="134"/>
      <c r="CN566" s="134"/>
      <c r="CO566" s="134"/>
      <c r="CP566" s="134"/>
      <c r="CQ566" s="134"/>
      <c r="CR566" s="134"/>
      <c r="CS566" s="134"/>
      <c r="CT566" s="134"/>
      <c r="CU566" s="134"/>
      <c r="CV566" s="134"/>
      <c r="CW566" s="134"/>
      <c r="CX566" s="134"/>
      <c r="CY566" s="134"/>
      <c r="CZ566" s="134"/>
      <c r="DA566" s="134"/>
      <c r="DB566" s="134"/>
      <c r="DC566" s="134"/>
      <c r="DD566" s="134"/>
      <c r="DE566" s="134"/>
      <c r="DF566" s="134"/>
      <c r="DG566" s="134"/>
      <c r="DH566" s="134"/>
      <c r="DI566" s="134"/>
      <c r="DJ566" s="134"/>
      <c r="DK566" s="134"/>
      <c r="DL566" s="134"/>
      <c r="DM566" s="134"/>
      <c r="DN566" s="134"/>
      <c r="DO566" s="134"/>
      <c r="DP566" s="134"/>
      <c r="DQ566" s="134"/>
      <c r="DR566" s="134"/>
      <c r="DS566" s="134"/>
      <c r="DT566" s="134"/>
      <c r="DU566" s="134"/>
      <c r="DV566" s="134"/>
      <c r="DW566" s="134"/>
      <c r="DX566" s="134"/>
      <c r="DY566" s="134"/>
      <c r="DZ566" s="134"/>
      <c r="EA566" s="134"/>
      <c r="EB566" s="134"/>
      <c r="EC566" s="134"/>
      <c r="ED566" s="134"/>
      <c r="EE566" s="134"/>
      <c r="EF566" s="134"/>
      <c r="EG566" s="134"/>
      <c r="EH566" s="134"/>
      <c r="EI566" s="134"/>
      <c r="EJ566" s="134"/>
      <c r="EK566" s="134"/>
      <c r="EL566" s="134"/>
      <c r="EM566" s="134"/>
      <c r="EN566" s="134"/>
      <c r="EO566" s="134"/>
      <c r="EP566" s="134"/>
      <c r="EQ566" s="134"/>
      <c r="ER566" s="134"/>
      <c r="ES566" s="134"/>
      <c r="ET566" s="134"/>
      <c r="EU566" s="134"/>
      <c r="EV566" s="134"/>
      <c r="EW566" s="134"/>
      <c r="EX566" s="134"/>
      <c r="EY566" s="134"/>
      <c r="EZ566" s="134"/>
      <c r="FA566" s="134"/>
      <c r="FB566" s="134"/>
      <c r="FC566" s="134"/>
      <c r="FD566" s="134"/>
      <c r="FE566" s="134"/>
      <c r="FF566" s="134"/>
      <c r="FG566" s="134"/>
      <c r="FH566" s="134"/>
      <c r="FI566" s="134"/>
      <c r="FJ566" s="134"/>
      <c r="FK566" s="134"/>
      <c r="FL566" s="134"/>
      <c r="FM566" s="134"/>
      <c r="FN566" s="134"/>
      <c r="FO566" s="134"/>
      <c r="FP566" s="134"/>
      <c r="FQ566" s="134"/>
      <c r="FR566" s="134"/>
      <c r="FS566" s="134"/>
      <c r="FT566" s="134"/>
      <c r="FU566" s="134"/>
      <c r="FV566" s="134"/>
      <c r="FW566" s="134"/>
      <c r="FX566" s="134"/>
      <c r="FY566" s="134"/>
      <c r="FZ566" s="134"/>
      <c r="GA566" s="134"/>
      <c r="GB566" s="134"/>
      <c r="GC566" s="134"/>
      <c r="GD566" s="134"/>
      <c r="GE566" s="134"/>
      <c r="GF566" s="134"/>
      <c r="GG566" s="134"/>
      <c r="GH566" s="134"/>
      <c r="GI566" s="134"/>
      <c r="GJ566" s="134"/>
      <c r="GK566" s="134"/>
      <c r="GL566" s="134"/>
      <c r="GM566" s="134"/>
      <c r="GN566" s="134"/>
      <c r="GO566" s="134"/>
      <c r="GP566" s="134"/>
      <c r="GQ566" s="134"/>
      <c r="GR566" s="134"/>
      <c r="GS566" s="134"/>
      <c r="GT566" s="134"/>
      <c r="GU566" s="134"/>
      <c r="GV566" s="134"/>
      <c r="GW566" s="134"/>
      <c r="GX566" s="134"/>
      <c r="GY566" s="134"/>
      <c r="GZ566" s="134"/>
      <c r="HA566" s="134"/>
      <c r="HB566" s="134"/>
      <c r="HC566" s="134"/>
      <c r="HD566" s="134"/>
      <c r="HE566" s="134"/>
      <c r="HF566" s="134"/>
      <c r="HG566" s="134"/>
      <c r="HH566" s="134"/>
      <c r="HI566" s="134"/>
      <c r="HJ566" s="134"/>
      <c r="HK566" s="134"/>
      <c r="HL566" s="134"/>
      <c r="HM566" s="134"/>
      <c r="HN566" s="134"/>
      <c r="HO566" s="134"/>
      <c r="HP566" s="134"/>
      <c r="HQ566" s="134"/>
      <c r="HR566" s="134"/>
      <c r="HS566" s="134"/>
      <c r="HT566" s="134"/>
      <c r="HU566" s="134"/>
      <c r="HV566" s="134"/>
      <c r="HW566" s="134"/>
      <c r="HX566" s="134"/>
      <c r="HY566" s="134"/>
      <c r="HZ566" s="134"/>
      <c r="IA566" s="134"/>
      <c r="IB566" s="134"/>
      <c r="IC566" s="134"/>
      <c r="ID566" s="134"/>
      <c r="IE566" s="134"/>
      <c r="IF566" s="134"/>
      <c r="IG566" s="134"/>
      <c r="IH566" s="134"/>
      <c r="II566" s="134"/>
      <c r="IJ566" s="134"/>
      <c r="IK566" s="134"/>
      <c r="IL566" s="134"/>
      <c r="IM566" s="134"/>
      <c r="IN566" s="134"/>
      <c r="IO566" s="134"/>
      <c r="IP566" s="134"/>
      <c r="IQ566" s="134"/>
      <c r="IR566" s="134"/>
      <c r="IS566" s="134"/>
      <c r="IT566" s="134"/>
      <c r="IU566" s="134"/>
      <c r="IV566" s="134"/>
      <c r="IW566" s="134"/>
      <c r="IX566" s="134"/>
      <c r="IY566" s="134"/>
      <c r="IZ566" s="134"/>
      <c r="JA566" s="134"/>
      <c r="JB566" s="134"/>
      <c r="JC566" s="134"/>
      <c r="JD566" s="134"/>
      <c r="JE566" s="134"/>
      <c r="JF566" s="134"/>
      <c r="JG566" s="134"/>
      <c r="JH566" s="134"/>
      <c r="JI566" s="134"/>
      <c r="JJ566" s="134"/>
      <c r="JK566" s="134"/>
      <c r="JL566" s="134"/>
      <c r="JM566" s="134"/>
      <c r="JN566" s="134"/>
      <c r="JO566" s="134"/>
      <c r="JP566" s="134"/>
      <c r="JQ566" s="134"/>
      <c r="JR566" s="134"/>
      <c r="JS566" s="134"/>
      <c r="JT566" s="134"/>
      <c r="JU566" s="134"/>
      <c r="JV566" s="134"/>
      <c r="JW566" s="134"/>
      <c r="JX566" s="134"/>
      <c r="JY566" s="134"/>
      <c r="JZ566" s="134"/>
      <c r="KA566" s="134"/>
      <c r="KB566" s="134"/>
      <c r="KC566" s="134"/>
      <c r="KD566" s="134"/>
      <c r="KE566" s="134"/>
    </row>
    <row r="567" spans="1:291" s="156" customFormat="1" ht="35" customHeight="1">
      <c r="A567" s="42">
        <f>ROW()-2</f>
        <v>565</v>
      </c>
      <c r="B567" s="182" t="s">
        <v>5471</v>
      </c>
      <c r="C567" s="182" t="s">
        <v>5472</v>
      </c>
      <c r="D567" s="187" t="s">
        <v>5473</v>
      </c>
      <c r="E567" s="187" t="s">
        <v>5474</v>
      </c>
      <c r="F567" s="187" t="s">
        <v>5475</v>
      </c>
      <c r="G567" s="42" t="s">
        <v>3253</v>
      </c>
      <c r="H567" s="182">
        <v>1</v>
      </c>
      <c r="I567" s="206">
        <v>4.8</v>
      </c>
      <c r="J567" s="45">
        <v>44613</v>
      </c>
      <c r="K567" s="44" t="s">
        <v>20</v>
      </c>
      <c r="L567" s="182">
        <v>4.99</v>
      </c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  <c r="AF567" s="134"/>
      <c r="AG567" s="134"/>
      <c r="AH567" s="134"/>
      <c r="AI567" s="134"/>
      <c r="AJ567" s="134"/>
      <c r="AK567" s="134"/>
      <c r="AL567" s="134"/>
      <c r="AM567" s="134"/>
      <c r="AN567" s="134"/>
      <c r="AO567" s="134"/>
      <c r="AP567" s="134"/>
      <c r="AQ567" s="134"/>
      <c r="AR567" s="134"/>
      <c r="AS567" s="134"/>
      <c r="AT567" s="134"/>
      <c r="AU567" s="134"/>
      <c r="AV567" s="134"/>
      <c r="AW567" s="134"/>
      <c r="AX567" s="134"/>
      <c r="AY567" s="134"/>
      <c r="AZ567" s="134"/>
      <c r="BA567" s="134"/>
      <c r="BB567" s="134"/>
      <c r="BC567" s="134"/>
      <c r="BD567" s="134"/>
      <c r="BE567" s="134"/>
      <c r="BF567" s="134"/>
      <c r="BG567" s="134"/>
      <c r="BH567" s="134"/>
      <c r="BI567" s="134"/>
      <c r="BJ567" s="134"/>
      <c r="BK567" s="134"/>
      <c r="BL567" s="134"/>
      <c r="BM567" s="134"/>
      <c r="BN567" s="134"/>
      <c r="BO567" s="134"/>
      <c r="BP567" s="134"/>
      <c r="BQ567" s="134"/>
      <c r="BR567" s="134"/>
      <c r="BS567" s="134"/>
      <c r="BT567" s="134"/>
      <c r="BU567" s="134"/>
      <c r="BV567" s="134"/>
      <c r="BW567" s="134"/>
      <c r="BX567" s="134"/>
      <c r="BY567" s="134"/>
      <c r="BZ567" s="134"/>
      <c r="CA567" s="134"/>
      <c r="CB567" s="134"/>
      <c r="CC567" s="134"/>
      <c r="CD567" s="134"/>
      <c r="CE567" s="134"/>
      <c r="CF567" s="134"/>
      <c r="CG567" s="134"/>
      <c r="CH567" s="134"/>
      <c r="CI567" s="134"/>
      <c r="CJ567" s="134"/>
      <c r="CK567" s="134"/>
      <c r="CL567" s="134"/>
      <c r="CM567" s="134"/>
      <c r="CN567" s="134"/>
      <c r="CO567" s="134"/>
      <c r="CP567" s="134"/>
      <c r="CQ567" s="134"/>
      <c r="CR567" s="134"/>
      <c r="CS567" s="134"/>
      <c r="CT567" s="134"/>
      <c r="CU567" s="134"/>
      <c r="CV567" s="134"/>
      <c r="CW567" s="134"/>
      <c r="CX567" s="134"/>
      <c r="CY567" s="134"/>
      <c r="CZ567" s="134"/>
      <c r="DA567" s="134"/>
      <c r="DB567" s="134"/>
      <c r="DC567" s="134"/>
      <c r="DD567" s="134"/>
      <c r="DE567" s="134"/>
      <c r="DF567" s="134"/>
      <c r="DG567" s="134"/>
      <c r="DH567" s="134"/>
      <c r="DI567" s="134"/>
      <c r="DJ567" s="134"/>
      <c r="DK567" s="134"/>
      <c r="DL567" s="134"/>
      <c r="DM567" s="134"/>
      <c r="DN567" s="134"/>
      <c r="DO567" s="134"/>
      <c r="DP567" s="134"/>
      <c r="DQ567" s="134"/>
      <c r="DR567" s="134"/>
      <c r="DS567" s="134"/>
      <c r="DT567" s="134"/>
      <c r="DU567" s="134"/>
      <c r="DV567" s="134"/>
      <c r="DW567" s="134"/>
      <c r="DX567" s="134"/>
      <c r="DY567" s="134"/>
      <c r="DZ567" s="134"/>
      <c r="EA567" s="134"/>
      <c r="EB567" s="134"/>
      <c r="EC567" s="134"/>
      <c r="ED567" s="134"/>
      <c r="EE567" s="134"/>
      <c r="EF567" s="134"/>
      <c r="EG567" s="134"/>
      <c r="EH567" s="134"/>
      <c r="EI567" s="134"/>
      <c r="EJ567" s="134"/>
      <c r="EK567" s="134"/>
      <c r="EL567" s="134"/>
      <c r="EM567" s="134"/>
      <c r="EN567" s="134"/>
      <c r="EO567" s="134"/>
      <c r="EP567" s="134"/>
      <c r="EQ567" s="134"/>
      <c r="ER567" s="134"/>
      <c r="ES567" s="134"/>
      <c r="ET567" s="134"/>
      <c r="EU567" s="134"/>
      <c r="EV567" s="134"/>
      <c r="EW567" s="134"/>
      <c r="EX567" s="134"/>
      <c r="EY567" s="134"/>
      <c r="EZ567" s="134"/>
      <c r="FA567" s="134"/>
      <c r="FB567" s="134"/>
      <c r="FC567" s="134"/>
      <c r="FD567" s="134"/>
      <c r="FE567" s="134"/>
      <c r="FF567" s="134"/>
      <c r="FG567" s="134"/>
      <c r="FH567" s="134"/>
      <c r="FI567" s="134"/>
      <c r="FJ567" s="134"/>
      <c r="FK567" s="134"/>
      <c r="FL567" s="134"/>
      <c r="FM567" s="134"/>
      <c r="FN567" s="134"/>
      <c r="FO567" s="134"/>
      <c r="FP567" s="134"/>
      <c r="FQ567" s="134"/>
      <c r="FR567" s="134"/>
      <c r="FS567" s="134"/>
      <c r="FT567" s="134"/>
      <c r="FU567" s="134"/>
      <c r="FV567" s="134"/>
      <c r="FW567" s="134"/>
      <c r="FX567" s="134"/>
      <c r="FY567" s="134"/>
      <c r="FZ567" s="134"/>
      <c r="GA567" s="134"/>
      <c r="GB567" s="134"/>
      <c r="GC567" s="134"/>
      <c r="GD567" s="134"/>
      <c r="GE567" s="134"/>
      <c r="GF567" s="134"/>
      <c r="GG567" s="134"/>
      <c r="GH567" s="134"/>
      <c r="GI567" s="134"/>
      <c r="GJ567" s="134"/>
      <c r="GK567" s="134"/>
      <c r="GL567" s="134"/>
      <c r="GM567" s="134"/>
      <c r="GN567" s="134"/>
      <c r="GO567" s="134"/>
      <c r="GP567" s="134"/>
      <c r="GQ567" s="134"/>
      <c r="GR567" s="134"/>
      <c r="GS567" s="134"/>
      <c r="GT567" s="134"/>
      <c r="GU567" s="134"/>
      <c r="GV567" s="134"/>
      <c r="GW567" s="134"/>
      <c r="GX567" s="134"/>
      <c r="GY567" s="134"/>
      <c r="GZ567" s="134"/>
      <c r="HA567" s="134"/>
      <c r="HB567" s="134"/>
      <c r="HC567" s="134"/>
      <c r="HD567" s="134"/>
      <c r="HE567" s="134"/>
      <c r="HF567" s="134"/>
      <c r="HG567" s="134"/>
      <c r="HH567" s="134"/>
      <c r="HI567" s="134"/>
      <c r="HJ567" s="134"/>
      <c r="HK567" s="134"/>
      <c r="HL567" s="134"/>
      <c r="HM567" s="134"/>
      <c r="HN567" s="134"/>
      <c r="HO567" s="134"/>
      <c r="HP567" s="134"/>
      <c r="HQ567" s="134"/>
      <c r="HR567" s="134"/>
      <c r="HS567" s="134"/>
      <c r="HT567" s="134"/>
      <c r="HU567" s="134"/>
      <c r="HV567" s="134"/>
      <c r="HW567" s="134"/>
      <c r="HX567" s="134"/>
      <c r="HY567" s="134"/>
      <c r="HZ567" s="134"/>
      <c r="IA567" s="134"/>
      <c r="IB567" s="134"/>
      <c r="IC567" s="134"/>
      <c r="ID567" s="134"/>
      <c r="IE567" s="134"/>
      <c r="IF567" s="134"/>
      <c r="IG567" s="134"/>
      <c r="IH567" s="134"/>
      <c r="II567" s="134"/>
      <c r="IJ567" s="134"/>
      <c r="IK567" s="134"/>
      <c r="IL567" s="134"/>
      <c r="IM567" s="134"/>
      <c r="IN567" s="134"/>
      <c r="IO567" s="134"/>
      <c r="IP567" s="134"/>
      <c r="IQ567" s="134"/>
      <c r="IR567" s="134"/>
      <c r="IS567" s="134"/>
      <c r="IT567" s="134"/>
      <c r="IU567" s="134"/>
      <c r="IV567" s="134"/>
      <c r="IW567" s="134"/>
      <c r="IX567" s="134"/>
      <c r="IY567" s="134"/>
      <c r="IZ567" s="134"/>
      <c r="JA567" s="134"/>
      <c r="JB567" s="134"/>
      <c r="JC567" s="134"/>
      <c r="JD567" s="134"/>
      <c r="JE567" s="134"/>
      <c r="JF567" s="134"/>
      <c r="JG567" s="134"/>
      <c r="JH567" s="134"/>
      <c r="JI567" s="134"/>
      <c r="JJ567" s="134"/>
      <c r="JK567" s="134"/>
      <c r="JL567" s="134"/>
      <c r="JM567" s="134"/>
      <c r="JN567" s="134"/>
      <c r="JO567" s="134"/>
      <c r="JP567" s="134"/>
      <c r="JQ567" s="134"/>
      <c r="JR567" s="134"/>
      <c r="JS567" s="134"/>
      <c r="JT567" s="134"/>
      <c r="JU567" s="134"/>
      <c r="JV567" s="134"/>
      <c r="JW567" s="134"/>
      <c r="JX567" s="134"/>
      <c r="JY567" s="134"/>
      <c r="JZ567" s="134"/>
      <c r="KA567" s="134"/>
      <c r="KB567" s="134"/>
      <c r="KC567" s="134"/>
      <c r="KD567" s="134"/>
      <c r="KE567" s="134"/>
    </row>
    <row r="568" spans="1:291" s="156" customFormat="1" ht="35" customHeight="1">
      <c r="A568" s="42">
        <f>ROW()-2</f>
        <v>566</v>
      </c>
      <c r="B568" s="42" t="s">
        <v>5659</v>
      </c>
      <c r="C568" s="42" t="s">
        <v>5656</v>
      </c>
      <c r="D568" s="43" t="s">
        <v>5660</v>
      </c>
      <c r="E568" s="43" t="s">
        <v>5665</v>
      </c>
      <c r="F568" s="43" t="s">
        <v>5664</v>
      </c>
      <c r="G568" s="42" t="s">
        <v>5653</v>
      </c>
      <c r="H568" s="42">
        <v>1</v>
      </c>
      <c r="I568" s="44">
        <v>0.49</v>
      </c>
      <c r="J568" s="45">
        <v>44627</v>
      </c>
      <c r="K568" s="44" t="s">
        <v>5157</v>
      </c>
      <c r="L568" s="42">
        <v>4.99</v>
      </c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  <c r="CD568" s="32"/>
      <c r="CE568" s="32"/>
      <c r="CF568" s="32"/>
      <c r="CG568" s="32"/>
      <c r="CH568" s="32"/>
      <c r="CI568" s="32"/>
      <c r="CJ568" s="32"/>
      <c r="CK568" s="32"/>
      <c r="CL568" s="32"/>
      <c r="CM568" s="32"/>
      <c r="CN568" s="32"/>
      <c r="CO568" s="32"/>
      <c r="CP568" s="32"/>
      <c r="CQ568" s="32"/>
      <c r="CR568" s="32"/>
      <c r="CS568" s="32"/>
      <c r="CT568" s="32"/>
      <c r="CU568" s="32"/>
      <c r="CV568" s="32"/>
      <c r="CW568" s="32"/>
      <c r="CX568" s="32"/>
      <c r="CY568" s="32"/>
      <c r="CZ568" s="32"/>
      <c r="DA568" s="32"/>
      <c r="DB568" s="32"/>
      <c r="DC568" s="32"/>
      <c r="DD568" s="32"/>
      <c r="DE568" s="32"/>
      <c r="DF568" s="32"/>
      <c r="DG568" s="32"/>
      <c r="DH568" s="32"/>
      <c r="DI568" s="32"/>
      <c r="DJ568" s="32"/>
      <c r="DK568" s="32"/>
      <c r="DL568" s="32"/>
      <c r="DM568" s="32"/>
      <c r="DN568" s="32"/>
      <c r="DO568" s="32"/>
      <c r="DP568" s="32"/>
      <c r="DQ568" s="32"/>
      <c r="DR568" s="32"/>
      <c r="DS568" s="32"/>
      <c r="DT568" s="32"/>
      <c r="DU568" s="32"/>
      <c r="DV568" s="32"/>
      <c r="DW568" s="32"/>
      <c r="DX568" s="32"/>
      <c r="DY568" s="32"/>
      <c r="DZ568" s="32"/>
      <c r="EA568" s="32"/>
      <c r="EB568" s="32"/>
      <c r="EC568" s="32"/>
      <c r="ED568" s="32"/>
      <c r="EE568" s="32"/>
      <c r="EF568" s="32"/>
      <c r="EG568" s="32"/>
      <c r="EH568" s="32"/>
      <c r="EI568" s="32"/>
      <c r="EJ568" s="32"/>
      <c r="EK568" s="32"/>
      <c r="EL568" s="32"/>
      <c r="EM568" s="32"/>
      <c r="EN568" s="32"/>
      <c r="EO568" s="32"/>
      <c r="EP568" s="32"/>
      <c r="EQ568" s="32"/>
      <c r="ER568" s="32"/>
      <c r="ES568" s="32"/>
      <c r="ET568" s="32"/>
      <c r="EU568" s="32"/>
      <c r="EV568" s="32"/>
      <c r="EW568" s="32"/>
      <c r="EX568" s="32"/>
      <c r="EY568" s="32"/>
      <c r="EZ568" s="32"/>
      <c r="FA568" s="32"/>
      <c r="FB568" s="32"/>
      <c r="FC568" s="32"/>
      <c r="FD568" s="32"/>
      <c r="FE568" s="32"/>
      <c r="FF568" s="32"/>
      <c r="FG568" s="32"/>
      <c r="FH568" s="32"/>
      <c r="FI568" s="32"/>
      <c r="FJ568" s="32"/>
      <c r="FK568" s="32"/>
      <c r="FL568" s="32"/>
      <c r="FM568" s="32"/>
      <c r="FN568" s="32"/>
      <c r="FO568" s="32"/>
      <c r="FP568" s="32"/>
      <c r="FQ568" s="32"/>
      <c r="FR568" s="32"/>
      <c r="FS568" s="32"/>
      <c r="FT568" s="32"/>
      <c r="FU568" s="32"/>
      <c r="FV568" s="32"/>
      <c r="FW568" s="32"/>
      <c r="FX568" s="32"/>
      <c r="FY568" s="32"/>
      <c r="FZ568" s="32"/>
      <c r="GA568" s="32"/>
      <c r="GB568" s="32"/>
      <c r="GC568" s="32"/>
      <c r="GD568" s="32"/>
      <c r="GE568" s="32"/>
      <c r="GF568" s="32"/>
      <c r="GG568" s="32"/>
      <c r="GH568" s="32"/>
      <c r="GI568" s="32"/>
      <c r="GJ568" s="32"/>
      <c r="GK568" s="32"/>
      <c r="GL568" s="32"/>
      <c r="GM568" s="32"/>
      <c r="GN568" s="32"/>
      <c r="GO568" s="32"/>
      <c r="GP568" s="32"/>
      <c r="GQ568" s="32"/>
      <c r="GR568" s="32"/>
      <c r="GS568" s="32"/>
      <c r="GT568" s="32"/>
      <c r="GU568" s="32"/>
      <c r="GV568" s="32"/>
      <c r="GW568" s="32"/>
      <c r="GX568" s="32"/>
      <c r="GY568" s="32"/>
      <c r="GZ568" s="32"/>
      <c r="HA568" s="32"/>
      <c r="HB568" s="32"/>
      <c r="HC568" s="32"/>
      <c r="HD568" s="32"/>
      <c r="HE568" s="32"/>
      <c r="HF568" s="32"/>
      <c r="HG568" s="32"/>
      <c r="HH568" s="32"/>
      <c r="HI568" s="32"/>
      <c r="HJ568" s="32"/>
      <c r="HK568" s="32"/>
      <c r="HL568" s="32"/>
      <c r="HM568" s="32"/>
      <c r="HN568" s="32"/>
      <c r="HO568" s="32"/>
      <c r="HP568" s="32"/>
      <c r="HQ568" s="32"/>
      <c r="HR568" s="32"/>
      <c r="HS568" s="32"/>
      <c r="HT568" s="32"/>
      <c r="HU568" s="32"/>
      <c r="HV568" s="32"/>
      <c r="HW568" s="32"/>
      <c r="HX568" s="32"/>
      <c r="HY568" s="32"/>
      <c r="HZ568" s="32"/>
      <c r="IA568" s="32"/>
      <c r="IB568" s="32"/>
      <c r="IC568" s="32"/>
      <c r="ID568" s="32"/>
      <c r="IE568" s="32"/>
      <c r="IF568" s="32"/>
      <c r="IG568" s="32"/>
      <c r="IH568" s="32"/>
      <c r="II568" s="32"/>
      <c r="IJ568" s="32"/>
      <c r="IK568" s="32"/>
      <c r="IL568" s="32"/>
      <c r="IM568" s="32"/>
      <c r="IN568" s="32"/>
      <c r="IO568" s="32"/>
      <c r="IP568" s="32"/>
      <c r="IQ568" s="32"/>
      <c r="IR568" s="32"/>
      <c r="IS568" s="32"/>
      <c r="IT568" s="32"/>
      <c r="IU568" s="32"/>
      <c r="IV568" s="32"/>
      <c r="IW568" s="32"/>
      <c r="IX568" s="32"/>
      <c r="IY568" s="32"/>
      <c r="IZ568" s="32"/>
      <c r="JA568" s="32"/>
      <c r="JB568" s="32"/>
      <c r="JC568" s="32"/>
      <c r="JD568" s="32"/>
      <c r="JE568" s="32"/>
      <c r="JF568" s="32"/>
      <c r="JG568" s="32"/>
      <c r="JH568" s="32"/>
      <c r="JI568" s="32"/>
      <c r="JJ568" s="32"/>
      <c r="JK568" s="32"/>
      <c r="JL568" s="32"/>
      <c r="JM568" s="32"/>
      <c r="JN568" s="32"/>
      <c r="JO568" s="32"/>
      <c r="JP568" s="32"/>
      <c r="JQ568" s="32"/>
      <c r="JR568" s="32"/>
      <c r="JS568" s="32"/>
      <c r="JT568" s="32"/>
      <c r="JU568" s="32"/>
      <c r="JV568" s="32"/>
      <c r="JW568" s="32"/>
      <c r="JX568" s="32"/>
      <c r="JY568" s="32"/>
      <c r="JZ568" s="32"/>
      <c r="KA568" s="32"/>
      <c r="KB568" s="32"/>
      <c r="KC568" s="32"/>
      <c r="KD568" s="32"/>
      <c r="KE568" s="32"/>
    </row>
    <row r="569" spans="1:291" s="156" customFormat="1" ht="35" customHeight="1">
      <c r="A569" s="42">
        <f>ROW()-2</f>
        <v>567</v>
      </c>
      <c r="B569" s="310" t="s">
        <v>5694</v>
      </c>
      <c r="C569" s="310" t="s">
        <v>5696</v>
      </c>
      <c r="D569" s="311" t="s">
        <v>5699</v>
      </c>
      <c r="E569" s="311" t="s">
        <v>5700</v>
      </c>
      <c r="F569" s="311" t="s">
        <v>5704</v>
      </c>
      <c r="G569" s="312" t="s">
        <v>3253</v>
      </c>
      <c r="H569" s="310">
        <v>1</v>
      </c>
      <c r="I569" s="313">
        <v>0.49</v>
      </c>
      <c r="J569" s="317">
        <v>44634</v>
      </c>
      <c r="K569" s="313" t="s">
        <v>5691</v>
      </c>
      <c r="L569" s="310">
        <v>4.99</v>
      </c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  <c r="FS569" s="30"/>
      <c r="FT569" s="30"/>
      <c r="FU569" s="30"/>
      <c r="FV569" s="30"/>
      <c r="FW569" s="30"/>
      <c r="FX569" s="30"/>
      <c r="FY569" s="30"/>
      <c r="FZ569" s="30"/>
      <c r="GA569" s="30"/>
      <c r="GB569" s="30"/>
      <c r="GC569" s="30"/>
      <c r="GD569" s="30"/>
      <c r="GE569" s="30"/>
      <c r="GF569" s="30"/>
      <c r="GG569" s="30"/>
      <c r="GH569" s="30"/>
      <c r="GI569" s="30"/>
      <c r="GJ569" s="30"/>
      <c r="GK569" s="30"/>
      <c r="GL569" s="30"/>
      <c r="GM569" s="30"/>
      <c r="GN569" s="30"/>
      <c r="GO569" s="30"/>
      <c r="GP569" s="30"/>
      <c r="GQ569" s="30"/>
      <c r="GR569" s="30"/>
      <c r="GS569" s="30"/>
      <c r="GT569" s="30"/>
      <c r="GU569" s="30"/>
      <c r="GV569" s="30"/>
      <c r="GW569" s="30"/>
      <c r="GX569" s="30"/>
      <c r="GY569" s="30"/>
      <c r="GZ569" s="30"/>
      <c r="HA569" s="30"/>
      <c r="HB569" s="30"/>
      <c r="HC569" s="30"/>
      <c r="HD569" s="30"/>
      <c r="HE569" s="30"/>
      <c r="HF569" s="30"/>
      <c r="HG569" s="30"/>
      <c r="HH569" s="30"/>
      <c r="HI569" s="30"/>
      <c r="HJ569" s="30"/>
      <c r="HK569" s="30"/>
      <c r="HL569" s="30"/>
      <c r="HM569" s="30"/>
      <c r="HN569" s="30"/>
      <c r="HO569" s="30"/>
      <c r="HP569" s="30"/>
      <c r="HQ569" s="30"/>
      <c r="HR569" s="30"/>
      <c r="HS569" s="30"/>
      <c r="HT569" s="30"/>
      <c r="HU569" s="30"/>
      <c r="HV569" s="30"/>
      <c r="HW569" s="30"/>
      <c r="HX569" s="30"/>
      <c r="HY569" s="30"/>
      <c r="HZ569" s="30"/>
      <c r="IA569" s="30"/>
      <c r="IB569" s="30"/>
      <c r="IC569" s="30"/>
      <c r="ID569" s="30"/>
      <c r="IE569" s="30"/>
      <c r="IF569" s="30"/>
      <c r="IG569" s="30"/>
      <c r="IH569" s="30"/>
      <c r="II569" s="30"/>
      <c r="IJ569" s="30"/>
      <c r="IK569" s="30"/>
      <c r="IL569" s="30"/>
      <c r="IM569" s="30"/>
      <c r="IN569" s="30"/>
      <c r="IO569" s="30"/>
      <c r="IP569" s="30"/>
      <c r="IQ569" s="30"/>
      <c r="IR569" s="30"/>
      <c r="IS569" s="30"/>
      <c r="IT569" s="30"/>
      <c r="IU569" s="30"/>
      <c r="IV569" s="30"/>
      <c r="IW569" s="30"/>
      <c r="IX569" s="30"/>
      <c r="IY569" s="30"/>
      <c r="IZ569" s="30"/>
      <c r="JA569" s="30"/>
      <c r="JB569" s="30"/>
      <c r="JC569" s="30"/>
      <c r="JD569" s="30"/>
      <c r="JE569" s="30"/>
      <c r="JF569" s="30"/>
      <c r="JG569" s="30"/>
      <c r="JH569" s="30"/>
      <c r="JI569" s="30"/>
      <c r="JJ569" s="30"/>
      <c r="JK569" s="30"/>
      <c r="JL569" s="30"/>
      <c r="JM569" s="30"/>
      <c r="JN569" s="30"/>
      <c r="JO569" s="30"/>
      <c r="JP569" s="30"/>
      <c r="JQ569" s="30"/>
      <c r="JR569" s="30"/>
      <c r="JS569" s="30"/>
      <c r="JT569" s="30"/>
      <c r="JU569" s="30"/>
      <c r="JV569" s="30"/>
      <c r="JW569" s="30"/>
      <c r="JX569" s="30"/>
      <c r="JY569" s="30"/>
      <c r="JZ569" s="30"/>
      <c r="KA569" s="30"/>
      <c r="KB569" s="30"/>
      <c r="KC569" s="30"/>
      <c r="KD569" s="30"/>
      <c r="KE569" s="30"/>
    </row>
    <row r="570" spans="1:291" s="156" customFormat="1" ht="35" customHeight="1">
      <c r="A570" s="42">
        <f>ROW()-2</f>
        <v>568</v>
      </c>
      <c r="B570" s="42" t="s">
        <v>2732</v>
      </c>
      <c r="C570" s="42" t="s">
        <v>3950</v>
      </c>
      <c r="D570" s="43" t="s">
        <v>3976</v>
      </c>
      <c r="E570" s="43" t="s">
        <v>3977</v>
      </c>
      <c r="F570" s="43" t="s">
        <v>3978</v>
      </c>
      <c r="G570" s="42" t="s">
        <v>34</v>
      </c>
      <c r="H570" s="42">
        <v>1</v>
      </c>
      <c r="I570" s="44">
        <v>0.40527777777777801</v>
      </c>
      <c r="J570" s="45">
        <v>43962</v>
      </c>
      <c r="K570" s="44" t="s">
        <v>20</v>
      </c>
      <c r="L570" s="42">
        <v>4.99</v>
      </c>
      <c r="M570" s="25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  <c r="DC570" s="31"/>
      <c r="DD570" s="31"/>
      <c r="DE570" s="31"/>
      <c r="DF570" s="31"/>
      <c r="DG570" s="31"/>
      <c r="DH570" s="31"/>
      <c r="DI570" s="31"/>
      <c r="DJ570" s="31"/>
      <c r="DK570" s="31"/>
      <c r="DL570" s="31"/>
      <c r="DM570" s="31"/>
      <c r="DN570" s="31"/>
      <c r="DO570" s="31"/>
      <c r="DP570" s="31"/>
      <c r="DQ570" s="31"/>
      <c r="DR570" s="31"/>
      <c r="DS570" s="31"/>
      <c r="DT570" s="31"/>
      <c r="DU570" s="31"/>
      <c r="DV570" s="31"/>
      <c r="DW570" s="31"/>
      <c r="DX570" s="31"/>
      <c r="DY570" s="31"/>
      <c r="DZ570" s="31"/>
      <c r="EA570" s="31"/>
      <c r="EB570" s="31"/>
      <c r="EC570" s="31"/>
      <c r="ED570" s="31"/>
      <c r="EE570" s="31"/>
      <c r="EF570" s="31"/>
      <c r="EG570" s="31"/>
      <c r="EH570" s="31"/>
      <c r="EI570" s="31"/>
      <c r="EJ570" s="31"/>
      <c r="EK570" s="31"/>
      <c r="EL570" s="31"/>
      <c r="EM570" s="31"/>
      <c r="EN570" s="31"/>
      <c r="EO570" s="31"/>
      <c r="EP570" s="31"/>
      <c r="EQ570" s="31"/>
      <c r="ER570" s="31"/>
      <c r="ES570" s="31"/>
      <c r="ET570" s="31"/>
      <c r="EU570" s="31"/>
      <c r="EV570" s="31"/>
      <c r="EW570" s="31"/>
      <c r="EX570" s="31"/>
      <c r="EY570" s="31"/>
      <c r="EZ570" s="31"/>
      <c r="FA570" s="31"/>
      <c r="FB570" s="31"/>
      <c r="FC570" s="31"/>
      <c r="FD570" s="31"/>
      <c r="FE570" s="31"/>
      <c r="FF570" s="31"/>
      <c r="FG570" s="31"/>
      <c r="FH570" s="31"/>
      <c r="FI570" s="31"/>
      <c r="FJ570" s="31"/>
      <c r="FK570" s="31"/>
      <c r="FL570" s="31"/>
      <c r="FM570" s="31"/>
      <c r="FN570" s="31"/>
      <c r="FO570" s="31"/>
      <c r="FP570" s="31"/>
      <c r="FQ570" s="31"/>
      <c r="FR570" s="31"/>
      <c r="FS570" s="31"/>
      <c r="FT570" s="31"/>
      <c r="FU570" s="31"/>
      <c r="FV570" s="31"/>
      <c r="FW570" s="31"/>
      <c r="FX570" s="31"/>
      <c r="FY570" s="31"/>
      <c r="FZ570" s="31"/>
      <c r="GA570" s="31"/>
      <c r="GB570" s="31"/>
      <c r="GC570" s="31"/>
      <c r="GD570" s="31"/>
      <c r="GE570" s="31"/>
      <c r="GF570" s="31"/>
      <c r="GG570" s="31"/>
      <c r="GH570" s="31"/>
      <c r="GI570" s="31"/>
      <c r="GJ570" s="31"/>
      <c r="GK570" s="31"/>
      <c r="GL570" s="31"/>
      <c r="GM570" s="31"/>
      <c r="GN570" s="31"/>
      <c r="GO570" s="31"/>
      <c r="GP570" s="31"/>
      <c r="GQ570" s="31"/>
      <c r="GR570" s="31"/>
      <c r="GS570" s="31"/>
      <c r="GT570" s="31"/>
      <c r="GU570" s="31"/>
      <c r="GV570" s="31"/>
      <c r="GW570" s="31"/>
      <c r="GX570" s="31"/>
      <c r="GY570" s="31"/>
      <c r="GZ570" s="31"/>
      <c r="HA570" s="31"/>
      <c r="HB570" s="31"/>
      <c r="HC570" s="31"/>
      <c r="HD570" s="31"/>
      <c r="HE570" s="31"/>
      <c r="HF570" s="31"/>
      <c r="HG570" s="31"/>
      <c r="HH570" s="31"/>
      <c r="HI570" s="31"/>
      <c r="HJ570" s="31"/>
      <c r="HK570" s="31"/>
      <c r="HL570" s="31"/>
      <c r="HM570" s="31"/>
      <c r="HN570" s="31"/>
      <c r="HO570" s="31"/>
      <c r="HP570" s="31"/>
      <c r="HQ570" s="31"/>
      <c r="HR570" s="31"/>
      <c r="HS570" s="31"/>
      <c r="HT570" s="31"/>
      <c r="HU570" s="31"/>
      <c r="HV570" s="31"/>
      <c r="HW570" s="31"/>
      <c r="HX570" s="31"/>
      <c r="HY570" s="31"/>
      <c r="HZ570" s="31"/>
      <c r="IA570" s="31"/>
      <c r="IB570" s="31"/>
      <c r="IC570" s="31"/>
      <c r="ID570" s="31"/>
      <c r="IE570" s="31"/>
      <c r="IF570" s="31"/>
      <c r="IG570" s="31"/>
      <c r="IH570" s="31"/>
      <c r="II570" s="31"/>
      <c r="IJ570" s="31"/>
      <c r="IK570" s="31"/>
      <c r="IL570" s="31"/>
      <c r="IM570" s="31"/>
      <c r="IN570" s="31"/>
      <c r="IO570" s="31"/>
      <c r="IP570" s="31"/>
      <c r="IQ570" s="31"/>
      <c r="IR570" s="31"/>
      <c r="IS570" s="31"/>
      <c r="IT570" s="31"/>
      <c r="IU570" s="31"/>
      <c r="IV570" s="31"/>
      <c r="IW570" s="31"/>
      <c r="IX570" s="31"/>
      <c r="IY570" s="31"/>
      <c r="IZ570" s="31"/>
      <c r="JA570" s="31"/>
      <c r="JB570" s="31"/>
      <c r="JC570" s="31"/>
      <c r="JD570" s="31"/>
      <c r="JE570" s="31"/>
      <c r="JF570" s="31"/>
      <c r="JG570" s="31"/>
      <c r="JH570" s="31"/>
      <c r="JI570" s="31"/>
      <c r="JJ570" s="31"/>
      <c r="JK570" s="31"/>
      <c r="JL570" s="31"/>
      <c r="JM570" s="31"/>
      <c r="JN570" s="31"/>
      <c r="JO570" s="31"/>
      <c r="JP570" s="31"/>
      <c r="JQ570" s="31"/>
      <c r="JR570" s="31"/>
      <c r="JS570" s="31"/>
      <c r="JT570" s="31"/>
      <c r="JU570" s="31"/>
      <c r="JV570" s="31"/>
      <c r="JW570" s="31"/>
      <c r="JX570" s="31"/>
      <c r="JY570" s="31"/>
      <c r="JZ570" s="31"/>
      <c r="KA570" s="31"/>
      <c r="KB570" s="31"/>
      <c r="KC570" s="31"/>
      <c r="KD570" s="31"/>
      <c r="KE570" s="31"/>
    </row>
    <row r="571" spans="1:291" s="156" customFormat="1" ht="35" customHeight="1">
      <c r="A571" s="42">
        <f>ROW()-2</f>
        <v>569</v>
      </c>
      <c r="B571" s="152" t="s">
        <v>2732</v>
      </c>
      <c r="C571" s="152" t="s">
        <v>3950</v>
      </c>
      <c r="D571" s="58" t="s">
        <v>4035</v>
      </c>
      <c r="E571" s="58" t="s">
        <v>3267</v>
      </c>
      <c r="F571" s="58" t="s">
        <v>2840</v>
      </c>
      <c r="G571" s="152" t="s">
        <v>34</v>
      </c>
      <c r="H571" s="152">
        <v>1</v>
      </c>
      <c r="I571" s="153">
        <v>0.460555555555556</v>
      </c>
      <c r="J571" s="154">
        <v>43962</v>
      </c>
      <c r="K571" s="153" t="s">
        <v>20</v>
      </c>
      <c r="L571" s="152">
        <v>4.99</v>
      </c>
      <c r="M571" s="155"/>
    </row>
    <row r="572" spans="1:291" s="156" customFormat="1" ht="35" customHeight="1">
      <c r="A572" s="42">
        <f>ROW()-2</f>
        <v>570</v>
      </c>
      <c r="B572" s="152" t="s">
        <v>2732</v>
      </c>
      <c r="C572" s="152" t="s">
        <v>3950</v>
      </c>
      <c r="D572" s="58" t="s">
        <v>3979</v>
      </c>
      <c r="E572" s="58" t="s">
        <v>3980</v>
      </c>
      <c r="F572" s="58" t="s">
        <v>3140</v>
      </c>
      <c r="G572" s="152" t="s">
        <v>34</v>
      </c>
      <c r="H572" s="152">
        <v>1</v>
      </c>
      <c r="I572" s="153">
        <v>0.38583333333333297</v>
      </c>
      <c r="J572" s="154">
        <v>43978</v>
      </c>
      <c r="K572" s="153" t="s">
        <v>20</v>
      </c>
      <c r="L572" s="152">
        <v>4.99</v>
      </c>
      <c r="M572" s="155"/>
    </row>
    <row r="573" spans="1:291" s="156" customFormat="1" ht="35" customHeight="1">
      <c r="A573" s="42">
        <f>ROW()-2</f>
        <v>571</v>
      </c>
      <c r="B573" s="152" t="s">
        <v>2732</v>
      </c>
      <c r="C573" s="152" t="s">
        <v>3950</v>
      </c>
      <c r="D573" s="58" t="s">
        <v>4030</v>
      </c>
      <c r="E573" s="58" t="s">
        <v>4031</v>
      </c>
      <c r="F573" s="58" t="s">
        <v>4032</v>
      </c>
      <c r="G573" s="152" t="s">
        <v>34</v>
      </c>
      <c r="H573" s="152">
        <v>1</v>
      </c>
      <c r="I573" s="153">
        <v>0.41944444444444401</v>
      </c>
      <c r="J573" s="154">
        <v>43978</v>
      </c>
      <c r="K573" s="153" t="s">
        <v>20</v>
      </c>
      <c r="L573" s="152">
        <v>4.99</v>
      </c>
      <c r="M573" s="155"/>
    </row>
    <row r="574" spans="1:291" s="156" customFormat="1" ht="35" customHeight="1">
      <c r="A574" s="42">
        <f>ROW()-2</f>
        <v>572</v>
      </c>
      <c r="B574" s="152" t="s">
        <v>2732</v>
      </c>
      <c r="C574" s="152" t="s">
        <v>3950</v>
      </c>
      <c r="D574" s="58" t="s">
        <v>4033</v>
      </c>
      <c r="E574" s="58" t="s">
        <v>3272</v>
      </c>
      <c r="F574" s="58" t="s">
        <v>4034</v>
      </c>
      <c r="G574" s="152" t="s">
        <v>34</v>
      </c>
      <c r="H574" s="152">
        <v>1</v>
      </c>
      <c r="I574" s="153">
        <v>0.37222222222222201</v>
      </c>
      <c r="J574" s="154">
        <v>43978</v>
      </c>
      <c r="K574" s="153" t="s">
        <v>20</v>
      </c>
      <c r="L574" s="152">
        <v>4.99</v>
      </c>
      <c r="M574" s="155"/>
    </row>
    <row r="575" spans="1:291" s="156" customFormat="1" ht="35" customHeight="1">
      <c r="A575" s="42">
        <f>ROW()-2</f>
        <v>573</v>
      </c>
      <c r="B575" s="152" t="s">
        <v>2732</v>
      </c>
      <c r="C575" s="152" t="s">
        <v>3950</v>
      </c>
      <c r="D575" s="58" t="s">
        <v>3981</v>
      </c>
      <c r="E575" s="58" t="s">
        <v>3982</v>
      </c>
      <c r="F575" s="58" t="s">
        <v>3975</v>
      </c>
      <c r="G575" s="152" t="s">
        <v>34</v>
      </c>
      <c r="H575" s="152">
        <v>1</v>
      </c>
      <c r="I575" s="153">
        <v>0.38</v>
      </c>
      <c r="J575" s="154">
        <v>44004</v>
      </c>
      <c r="K575" s="153" t="s">
        <v>20</v>
      </c>
      <c r="L575" s="152">
        <v>4.99</v>
      </c>
      <c r="M575" s="155"/>
    </row>
    <row r="576" spans="1:291" s="156" customFormat="1" ht="35" customHeight="1">
      <c r="A576" s="42">
        <f>ROW()-2</f>
        <v>574</v>
      </c>
      <c r="B576" s="152" t="s">
        <v>2732</v>
      </c>
      <c r="C576" s="152" t="s">
        <v>3950</v>
      </c>
      <c r="D576" s="58" t="s">
        <v>4024</v>
      </c>
      <c r="E576" s="58" t="s">
        <v>4025</v>
      </c>
      <c r="F576" s="58" t="s">
        <v>2742</v>
      </c>
      <c r="G576" s="152" t="s">
        <v>34</v>
      </c>
      <c r="H576" s="152">
        <v>1</v>
      </c>
      <c r="I576" s="153">
        <v>0.47</v>
      </c>
      <c r="J576" s="154">
        <v>44004</v>
      </c>
      <c r="K576" s="153" t="s">
        <v>20</v>
      </c>
      <c r="L576" s="152">
        <v>4.99</v>
      </c>
      <c r="M576" s="155"/>
    </row>
    <row r="577" spans="1:13" s="156" customFormat="1" ht="35" customHeight="1">
      <c r="A577" s="42">
        <f>ROW()-2</f>
        <v>575</v>
      </c>
      <c r="B577" s="152" t="s">
        <v>2732</v>
      </c>
      <c r="C577" s="152" t="s">
        <v>3950</v>
      </c>
      <c r="D577" s="58" t="s">
        <v>4026</v>
      </c>
      <c r="E577" s="58" t="s">
        <v>4027</v>
      </c>
      <c r="F577" s="58" t="s">
        <v>3140</v>
      </c>
      <c r="G577" s="152" t="s">
        <v>34</v>
      </c>
      <c r="H577" s="152">
        <v>1</v>
      </c>
      <c r="I577" s="153">
        <v>0.5</v>
      </c>
      <c r="J577" s="154">
        <v>44004</v>
      </c>
      <c r="K577" s="153" t="s">
        <v>20</v>
      </c>
      <c r="L577" s="152">
        <v>4.99</v>
      </c>
      <c r="M577" s="155"/>
    </row>
    <row r="578" spans="1:13" s="156" customFormat="1" ht="35" customHeight="1">
      <c r="A578" s="42">
        <f>ROW()-2</f>
        <v>576</v>
      </c>
      <c r="B578" s="152" t="s">
        <v>2732</v>
      </c>
      <c r="C578" s="152" t="s">
        <v>3950</v>
      </c>
      <c r="D578" s="58" t="s">
        <v>4028</v>
      </c>
      <c r="E578" s="58" t="s">
        <v>4029</v>
      </c>
      <c r="F578" s="58" t="s">
        <v>2932</v>
      </c>
      <c r="G578" s="152" t="s">
        <v>34</v>
      </c>
      <c r="H578" s="152">
        <v>1</v>
      </c>
      <c r="I578" s="153">
        <v>0.35</v>
      </c>
      <c r="J578" s="154">
        <v>44004</v>
      </c>
      <c r="K578" s="153" t="s">
        <v>20</v>
      </c>
      <c r="L578" s="152">
        <v>4.99</v>
      </c>
      <c r="M578" s="155"/>
    </row>
    <row r="579" spans="1:13" s="156" customFormat="1" ht="35" customHeight="1">
      <c r="A579" s="42">
        <f>ROW()-2</f>
        <v>577</v>
      </c>
      <c r="B579" s="152" t="s">
        <v>2732</v>
      </c>
      <c r="C579" s="152" t="s">
        <v>3950</v>
      </c>
      <c r="D579" s="58" t="s">
        <v>4053</v>
      </c>
      <c r="E579" s="58" t="s">
        <v>4054</v>
      </c>
      <c r="F579" s="58" t="s">
        <v>1259</v>
      </c>
      <c r="G579" s="152" t="s">
        <v>34</v>
      </c>
      <c r="H579" s="152">
        <v>1</v>
      </c>
      <c r="I579" s="153">
        <v>0.3</v>
      </c>
      <c r="J579" s="154">
        <v>44004</v>
      </c>
      <c r="K579" s="153" t="s">
        <v>20</v>
      </c>
      <c r="L579" s="152">
        <v>4.99</v>
      </c>
      <c r="M579" s="155"/>
    </row>
    <row r="580" spans="1:13" s="156" customFormat="1" ht="35" customHeight="1">
      <c r="A580" s="42">
        <f>ROW()-2</f>
        <v>578</v>
      </c>
      <c r="B580" s="152" t="s">
        <v>2732</v>
      </c>
      <c r="C580" s="152" t="s">
        <v>3950</v>
      </c>
      <c r="D580" s="58" t="s">
        <v>4036</v>
      </c>
      <c r="E580" s="58" t="s">
        <v>4037</v>
      </c>
      <c r="F580" s="58" t="s">
        <v>4014</v>
      </c>
      <c r="G580" s="152" t="s">
        <v>34</v>
      </c>
      <c r="H580" s="152">
        <v>1</v>
      </c>
      <c r="I580" s="153">
        <v>0.4</v>
      </c>
      <c r="J580" s="154">
        <v>44011</v>
      </c>
      <c r="K580" s="153" t="s">
        <v>20</v>
      </c>
      <c r="L580" s="152">
        <v>4.99</v>
      </c>
      <c r="M580" s="155"/>
    </row>
    <row r="581" spans="1:13" s="156" customFormat="1" ht="35" customHeight="1">
      <c r="A581" s="42">
        <f>ROW()-2</f>
        <v>579</v>
      </c>
      <c r="B581" s="152" t="s">
        <v>2732</v>
      </c>
      <c r="C581" s="152" t="s">
        <v>3950</v>
      </c>
      <c r="D581" s="58" t="s">
        <v>4038</v>
      </c>
      <c r="E581" s="58" t="s">
        <v>4039</v>
      </c>
      <c r="F581" s="58" t="s">
        <v>2739</v>
      </c>
      <c r="G581" s="152" t="s">
        <v>34</v>
      </c>
      <c r="H581" s="152">
        <v>1</v>
      </c>
      <c r="I581" s="153">
        <v>0.51</v>
      </c>
      <c r="J581" s="154">
        <v>44011</v>
      </c>
      <c r="K581" s="153" t="s">
        <v>20</v>
      </c>
      <c r="L581" s="152">
        <v>4.99</v>
      </c>
      <c r="M581" s="155"/>
    </row>
    <row r="582" spans="1:13" s="156" customFormat="1" ht="35" customHeight="1">
      <c r="A582" s="42">
        <f>ROW()-2</f>
        <v>580</v>
      </c>
      <c r="B582" s="152" t="s">
        <v>2732</v>
      </c>
      <c r="C582" s="152" t="s">
        <v>3950</v>
      </c>
      <c r="D582" s="58" t="s">
        <v>4040</v>
      </c>
      <c r="E582" s="58" t="s">
        <v>4041</v>
      </c>
      <c r="F582" s="58" t="s">
        <v>2899</v>
      </c>
      <c r="G582" s="152" t="s">
        <v>34</v>
      </c>
      <c r="H582" s="152">
        <v>1</v>
      </c>
      <c r="I582" s="153">
        <v>0.32</v>
      </c>
      <c r="J582" s="154">
        <v>44011</v>
      </c>
      <c r="K582" s="153" t="s">
        <v>20</v>
      </c>
      <c r="L582" s="152">
        <v>4.99</v>
      </c>
      <c r="M582" s="155"/>
    </row>
    <row r="583" spans="1:13" s="156" customFormat="1" ht="35" customHeight="1">
      <c r="A583" s="42">
        <f>ROW()-2</f>
        <v>581</v>
      </c>
      <c r="B583" s="152" t="s">
        <v>2732</v>
      </c>
      <c r="C583" s="152" t="s">
        <v>3950</v>
      </c>
      <c r="D583" s="58" t="s">
        <v>3983</v>
      </c>
      <c r="E583" s="58" t="s">
        <v>3984</v>
      </c>
      <c r="F583" s="58" t="s">
        <v>3566</v>
      </c>
      <c r="G583" s="152" t="s">
        <v>34</v>
      </c>
      <c r="H583" s="152">
        <v>1</v>
      </c>
      <c r="I583" s="153">
        <v>0.46</v>
      </c>
      <c r="J583" s="154">
        <v>44123</v>
      </c>
      <c r="K583" s="153" t="s">
        <v>20</v>
      </c>
      <c r="L583" s="152">
        <v>4.99</v>
      </c>
      <c r="M583" s="155"/>
    </row>
    <row r="584" spans="1:13" s="156" customFormat="1" ht="35" customHeight="1">
      <c r="A584" s="42">
        <f>ROW()-2</f>
        <v>582</v>
      </c>
      <c r="B584" s="152" t="s">
        <v>2732</v>
      </c>
      <c r="C584" s="152" t="s">
        <v>3950</v>
      </c>
      <c r="D584" s="58" t="s">
        <v>3985</v>
      </c>
      <c r="E584" s="58" t="s">
        <v>3986</v>
      </c>
      <c r="F584" s="58" t="s">
        <v>3066</v>
      </c>
      <c r="G584" s="152" t="s">
        <v>34</v>
      </c>
      <c r="H584" s="152">
        <v>1</v>
      </c>
      <c r="I584" s="153">
        <v>0.38</v>
      </c>
      <c r="J584" s="154">
        <v>44123</v>
      </c>
      <c r="K584" s="153" t="s">
        <v>20</v>
      </c>
      <c r="L584" s="152">
        <v>4.99</v>
      </c>
      <c r="M584" s="155"/>
    </row>
    <row r="585" spans="1:13" s="156" customFormat="1" ht="35" customHeight="1">
      <c r="A585" s="42">
        <f>ROW()-2</f>
        <v>583</v>
      </c>
      <c r="B585" s="152" t="s">
        <v>2732</v>
      </c>
      <c r="C585" s="152" t="s">
        <v>3950</v>
      </c>
      <c r="D585" s="58" t="s">
        <v>3987</v>
      </c>
      <c r="E585" s="58" t="s">
        <v>3988</v>
      </c>
      <c r="F585" s="58" t="s">
        <v>3407</v>
      </c>
      <c r="G585" s="152" t="s">
        <v>34</v>
      </c>
      <c r="H585" s="152">
        <v>1</v>
      </c>
      <c r="I585" s="153">
        <v>0.38</v>
      </c>
      <c r="J585" s="154">
        <v>44123</v>
      </c>
      <c r="K585" s="153" t="s">
        <v>20</v>
      </c>
      <c r="L585" s="152">
        <v>4.99</v>
      </c>
      <c r="M585" s="155"/>
    </row>
    <row r="586" spans="1:13" s="156" customFormat="1" ht="35" customHeight="1">
      <c r="A586" s="42">
        <f>ROW()-2</f>
        <v>584</v>
      </c>
      <c r="B586" s="152" t="s">
        <v>2732</v>
      </c>
      <c r="C586" s="152" t="s">
        <v>3950</v>
      </c>
      <c r="D586" s="58" t="s">
        <v>3989</v>
      </c>
      <c r="E586" s="58" t="s">
        <v>3990</v>
      </c>
      <c r="F586" s="58" t="s">
        <v>2739</v>
      </c>
      <c r="G586" s="152" t="s">
        <v>34</v>
      </c>
      <c r="H586" s="152">
        <v>1</v>
      </c>
      <c r="I586" s="153">
        <v>0.38</v>
      </c>
      <c r="J586" s="154">
        <v>44123</v>
      </c>
      <c r="K586" s="153" t="s">
        <v>20</v>
      </c>
      <c r="L586" s="152">
        <v>4.99</v>
      </c>
      <c r="M586" s="155"/>
    </row>
    <row r="587" spans="1:13" s="156" customFormat="1" ht="35" customHeight="1">
      <c r="A587" s="42">
        <f>ROW()-2</f>
        <v>585</v>
      </c>
      <c r="B587" s="152" t="s">
        <v>2732</v>
      </c>
      <c r="C587" s="152" t="s">
        <v>3950</v>
      </c>
      <c r="D587" s="58" t="s">
        <v>3991</v>
      </c>
      <c r="E587" s="58" t="s">
        <v>3992</v>
      </c>
      <c r="F587" s="58" t="s">
        <v>3589</v>
      </c>
      <c r="G587" s="152" t="s">
        <v>34</v>
      </c>
      <c r="H587" s="152">
        <v>1</v>
      </c>
      <c r="I587" s="153">
        <v>0.43</v>
      </c>
      <c r="J587" s="154">
        <v>44123</v>
      </c>
      <c r="K587" s="153" t="s">
        <v>20</v>
      </c>
      <c r="L587" s="152">
        <v>4.99</v>
      </c>
      <c r="M587" s="155"/>
    </row>
    <row r="588" spans="1:13" s="156" customFormat="1" ht="35" customHeight="1">
      <c r="A588" s="42">
        <f>ROW()-2</f>
        <v>586</v>
      </c>
      <c r="B588" s="152" t="s">
        <v>2732</v>
      </c>
      <c r="C588" s="152" t="s">
        <v>3950</v>
      </c>
      <c r="D588" s="58" t="s">
        <v>4020</v>
      </c>
      <c r="E588" s="58" t="s">
        <v>4021</v>
      </c>
      <c r="F588" s="58" t="s">
        <v>3589</v>
      </c>
      <c r="G588" s="152" t="s">
        <v>34</v>
      </c>
      <c r="H588" s="152">
        <v>1</v>
      </c>
      <c r="I588" s="153">
        <v>0.43</v>
      </c>
      <c r="J588" s="154">
        <v>44123</v>
      </c>
      <c r="K588" s="153" t="s">
        <v>20</v>
      </c>
      <c r="L588" s="152">
        <v>4.99</v>
      </c>
      <c r="M588" s="155"/>
    </row>
    <row r="589" spans="1:13" s="156" customFormat="1" ht="35" customHeight="1">
      <c r="A589" s="42">
        <f>ROW()-2</f>
        <v>587</v>
      </c>
      <c r="B589" s="152" t="s">
        <v>2732</v>
      </c>
      <c r="C589" s="152" t="s">
        <v>3950</v>
      </c>
      <c r="D589" s="58" t="s">
        <v>4022</v>
      </c>
      <c r="E589" s="58" t="s">
        <v>4023</v>
      </c>
      <c r="F589" s="58" t="s">
        <v>2840</v>
      </c>
      <c r="G589" s="152" t="s">
        <v>34</v>
      </c>
      <c r="H589" s="152">
        <v>1</v>
      </c>
      <c r="I589" s="153">
        <v>0.35</v>
      </c>
      <c r="J589" s="154">
        <v>44123</v>
      </c>
      <c r="K589" s="153" t="s">
        <v>20</v>
      </c>
      <c r="L589" s="152">
        <v>4.99</v>
      </c>
      <c r="M589" s="155"/>
    </row>
    <row r="590" spans="1:13" s="156" customFormat="1" ht="35" customHeight="1">
      <c r="A590" s="42">
        <f>ROW()-2</f>
        <v>588</v>
      </c>
      <c r="B590" s="152" t="s">
        <v>2732</v>
      </c>
      <c r="C590" s="152" t="s">
        <v>3950</v>
      </c>
      <c r="D590" s="58" t="s">
        <v>3993</v>
      </c>
      <c r="E590" s="58" t="s">
        <v>3994</v>
      </c>
      <c r="F590" s="58" t="s">
        <v>3589</v>
      </c>
      <c r="G590" s="152" t="s">
        <v>34</v>
      </c>
      <c r="H590" s="152">
        <v>1</v>
      </c>
      <c r="I590" s="153">
        <v>0.33</v>
      </c>
      <c r="J590" s="154">
        <v>44130</v>
      </c>
      <c r="K590" s="153" t="s">
        <v>20</v>
      </c>
      <c r="L590" s="152">
        <v>4.99</v>
      </c>
      <c r="M590" s="155"/>
    </row>
    <row r="591" spans="1:13" s="156" customFormat="1" ht="35" customHeight="1">
      <c r="A591" s="42">
        <f>ROW()-2</f>
        <v>589</v>
      </c>
      <c r="B591" s="152" t="s">
        <v>2732</v>
      </c>
      <c r="C591" s="152" t="s">
        <v>3950</v>
      </c>
      <c r="D591" s="58" t="s">
        <v>3995</v>
      </c>
      <c r="E591" s="58" t="s">
        <v>3996</v>
      </c>
      <c r="F591" s="58" t="s">
        <v>2739</v>
      </c>
      <c r="G591" s="152" t="s">
        <v>34</v>
      </c>
      <c r="H591" s="152">
        <v>1</v>
      </c>
      <c r="I591" s="153">
        <v>0.43</v>
      </c>
      <c r="J591" s="154">
        <v>44130</v>
      </c>
      <c r="K591" s="153" t="s">
        <v>20</v>
      </c>
      <c r="L591" s="152">
        <v>4.99</v>
      </c>
      <c r="M591" s="155"/>
    </row>
    <row r="592" spans="1:13" s="156" customFormat="1" ht="35" customHeight="1">
      <c r="A592" s="42">
        <f>ROW()-2</f>
        <v>590</v>
      </c>
      <c r="B592" s="152" t="s">
        <v>2732</v>
      </c>
      <c r="C592" s="152" t="s">
        <v>3950</v>
      </c>
      <c r="D592" s="58" t="s">
        <v>3997</v>
      </c>
      <c r="E592" s="58" t="s">
        <v>3998</v>
      </c>
      <c r="F592" s="58" t="s">
        <v>3999</v>
      </c>
      <c r="G592" s="152" t="s">
        <v>34</v>
      </c>
      <c r="H592" s="152">
        <v>1</v>
      </c>
      <c r="I592" s="153">
        <v>0.41</v>
      </c>
      <c r="J592" s="154">
        <v>44130</v>
      </c>
      <c r="K592" s="153" t="s">
        <v>20</v>
      </c>
      <c r="L592" s="152">
        <v>4.99</v>
      </c>
      <c r="M592" s="155"/>
    </row>
    <row r="593" spans="1:291" s="156" customFormat="1" ht="35" customHeight="1">
      <c r="A593" s="42">
        <f>ROW()-2</f>
        <v>591</v>
      </c>
      <c r="B593" s="152" t="s">
        <v>2732</v>
      </c>
      <c r="C593" s="152" t="s">
        <v>3950</v>
      </c>
      <c r="D593" s="58" t="s">
        <v>4000</v>
      </c>
      <c r="E593" s="58" t="s">
        <v>4001</v>
      </c>
      <c r="F593" s="58" t="s">
        <v>2739</v>
      </c>
      <c r="G593" s="152" t="s">
        <v>34</v>
      </c>
      <c r="H593" s="152">
        <v>1</v>
      </c>
      <c r="I593" s="153">
        <v>0.21</v>
      </c>
      <c r="J593" s="154">
        <v>44130</v>
      </c>
      <c r="K593" s="153" t="s">
        <v>20</v>
      </c>
      <c r="L593" s="152">
        <v>4.99</v>
      </c>
      <c r="M593" s="155"/>
    </row>
    <row r="594" spans="1:291" s="156" customFormat="1" ht="35" customHeight="1">
      <c r="A594" s="42">
        <f>ROW()-2</f>
        <v>592</v>
      </c>
      <c r="B594" s="152" t="s">
        <v>2732</v>
      </c>
      <c r="C594" s="152" t="s">
        <v>3950</v>
      </c>
      <c r="D594" s="58" t="s">
        <v>4002</v>
      </c>
      <c r="E594" s="58" t="s">
        <v>4001</v>
      </c>
      <c r="F594" s="58" t="s">
        <v>2739</v>
      </c>
      <c r="G594" s="152" t="s">
        <v>34</v>
      </c>
      <c r="H594" s="152">
        <v>1</v>
      </c>
      <c r="I594" s="153">
        <v>0.21</v>
      </c>
      <c r="J594" s="154">
        <v>44130</v>
      </c>
      <c r="K594" s="153" t="s">
        <v>20</v>
      </c>
      <c r="L594" s="152">
        <v>4.99</v>
      </c>
    </row>
    <row r="595" spans="1:291" s="156" customFormat="1" ht="35" customHeight="1">
      <c r="A595" s="42">
        <f>ROW()-2</f>
        <v>593</v>
      </c>
      <c r="B595" s="152" t="s">
        <v>2732</v>
      </c>
      <c r="C595" s="152" t="s">
        <v>3950</v>
      </c>
      <c r="D595" s="58" t="s">
        <v>4003</v>
      </c>
      <c r="E595" s="58" t="s">
        <v>4004</v>
      </c>
      <c r="F595" s="58" t="s">
        <v>3589</v>
      </c>
      <c r="G595" s="152" t="s">
        <v>34</v>
      </c>
      <c r="H595" s="152">
        <v>1</v>
      </c>
      <c r="I595" s="153">
        <v>0.42</v>
      </c>
      <c r="J595" s="154">
        <v>44130</v>
      </c>
      <c r="K595" s="153" t="s">
        <v>20</v>
      </c>
      <c r="L595" s="152">
        <v>4.99</v>
      </c>
      <c r="M595" s="155"/>
    </row>
    <row r="596" spans="1:291" s="156" customFormat="1" ht="35" customHeight="1">
      <c r="A596" s="42">
        <f>ROW()-2</f>
        <v>594</v>
      </c>
      <c r="B596" s="152" t="s">
        <v>2732</v>
      </c>
      <c r="C596" s="152" t="s">
        <v>3950</v>
      </c>
      <c r="D596" s="58" t="s">
        <v>4005</v>
      </c>
      <c r="E596" s="58" t="s">
        <v>4006</v>
      </c>
      <c r="F596" s="58" t="s">
        <v>4007</v>
      </c>
      <c r="G596" s="152" t="s">
        <v>34</v>
      </c>
      <c r="H596" s="152">
        <v>1</v>
      </c>
      <c r="I596" s="153">
        <v>0.45</v>
      </c>
      <c r="J596" s="154">
        <v>44130</v>
      </c>
      <c r="K596" s="153" t="s">
        <v>20</v>
      </c>
      <c r="L596" s="152">
        <v>4.99</v>
      </c>
      <c r="M596" s="155"/>
    </row>
    <row r="597" spans="1:291" s="156" customFormat="1" ht="35" customHeight="1">
      <c r="A597" s="42">
        <f>ROW()-2</f>
        <v>595</v>
      </c>
      <c r="B597" s="152" t="s">
        <v>2732</v>
      </c>
      <c r="C597" s="152" t="s">
        <v>3950</v>
      </c>
      <c r="D597" s="58" t="s">
        <v>4008</v>
      </c>
      <c r="E597" s="58" t="s">
        <v>4009</v>
      </c>
      <c r="F597" s="58" t="s">
        <v>2840</v>
      </c>
      <c r="G597" s="152" t="s">
        <v>34</v>
      </c>
      <c r="H597" s="152">
        <v>1</v>
      </c>
      <c r="I597" s="153">
        <v>0.52</v>
      </c>
      <c r="J597" s="154">
        <v>44130</v>
      </c>
      <c r="K597" s="153" t="s">
        <v>20</v>
      </c>
      <c r="L597" s="152">
        <v>4.99</v>
      </c>
      <c r="M597" s="155"/>
    </row>
    <row r="598" spans="1:291" s="156" customFormat="1" ht="35" customHeight="1">
      <c r="A598" s="42">
        <f>ROW()-2</f>
        <v>596</v>
      </c>
      <c r="B598" s="152" t="s">
        <v>2732</v>
      </c>
      <c r="C598" s="152" t="s">
        <v>3950</v>
      </c>
      <c r="D598" s="58" t="s">
        <v>4010</v>
      </c>
      <c r="E598" s="58" t="s">
        <v>4011</v>
      </c>
      <c r="F598" s="58" t="s">
        <v>3566</v>
      </c>
      <c r="G598" s="152" t="s">
        <v>34</v>
      </c>
      <c r="H598" s="152">
        <v>1</v>
      </c>
      <c r="I598" s="153">
        <v>0.42</v>
      </c>
      <c r="J598" s="154">
        <v>44130</v>
      </c>
      <c r="K598" s="153" t="s">
        <v>20</v>
      </c>
      <c r="L598" s="152">
        <v>4.99</v>
      </c>
      <c r="M598" s="155"/>
    </row>
    <row r="599" spans="1:291" s="156" customFormat="1" ht="35" customHeight="1">
      <c r="A599" s="42">
        <f>ROW()-2</f>
        <v>597</v>
      </c>
      <c r="B599" s="152" t="s">
        <v>2732</v>
      </c>
      <c r="C599" s="152" t="s">
        <v>3950</v>
      </c>
      <c r="D599" s="58" t="s">
        <v>4012</v>
      </c>
      <c r="E599" s="58" t="s">
        <v>4013</v>
      </c>
      <c r="F599" s="58" t="s">
        <v>4014</v>
      </c>
      <c r="G599" s="152" t="s">
        <v>34</v>
      </c>
      <c r="H599" s="152">
        <v>1</v>
      </c>
      <c r="I599" s="153">
        <v>0.49</v>
      </c>
      <c r="J599" s="154">
        <v>44130</v>
      </c>
      <c r="K599" s="153" t="s">
        <v>20</v>
      </c>
      <c r="L599" s="152">
        <v>4.99</v>
      </c>
      <c r="M599" s="155"/>
    </row>
    <row r="600" spans="1:291" s="156" customFormat="1" ht="35" customHeight="1">
      <c r="A600" s="42">
        <f>ROW()-2</f>
        <v>598</v>
      </c>
      <c r="B600" s="152" t="s">
        <v>2732</v>
      </c>
      <c r="C600" s="152" t="s">
        <v>3950</v>
      </c>
      <c r="D600" s="58" t="s">
        <v>4015</v>
      </c>
      <c r="E600" s="58" t="s">
        <v>4016</v>
      </c>
      <c r="F600" s="58" t="s">
        <v>3452</v>
      </c>
      <c r="G600" s="152" t="s">
        <v>34</v>
      </c>
      <c r="H600" s="152">
        <v>1</v>
      </c>
      <c r="I600" s="153">
        <v>0.52</v>
      </c>
      <c r="J600" s="154">
        <v>44130</v>
      </c>
      <c r="K600" s="153" t="s">
        <v>20</v>
      </c>
      <c r="L600" s="152">
        <v>4.99</v>
      </c>
      <c r="M600" s="155"/>
    </row>
    <row r="601" spans="1:291" s="156" customFormat="1" ht="35" customHeight="1">
      <c r="A601" s="42">
        <f>ROW()-2</f>
        <v>599</v>
      </c>
      <c r="B601" s="152" t="s">
        <v>2732</v>
      </c>
      <c r="C601" s="152" t="s">
        <v>3950</v>
      </c>
      <c r="D601" s="58" t="s">
        <v>4017</v>
      </c>
      <c r="E601" s="58" t="s">
        <v>4018</v>
      </c>
      <c r="F601" s="58" t="s">
        <v>2739</v>
      </c>
      <c r="G601" s="152" t="s">
        <v>34</v>
      </c>
      <c r="H601" s="152">
        <v>1</v>
      </c>
      <c r="I601" s="153">
        <v>0.55000000000000004</v>
      </c>
      <c r="J601" s="154">
        <v>44130</v>
      </c>
      <c r="K601" s="153" t="s">
        <v>20</v>
      </c>
      <c r="L601" s="152">
        <v>4.99</v>
      </c>
      <c r="M601" s="155"/>
    </row>
    <row r="602" spans="1:291" s="156" customFormat="1" ht="35" customHeight="1">
      <c r="A602" s="42">
        <f>ROW()-2</f>
        <v>600</v>
      </c>
      <c r="B602" s="152" t="s">
        <v>2732</v>
      </c>
      <c r="C602" s="152" t="s">
        <v>3950</v>
      </c>
      <c r="D602" s="58" t="s">
        <v>4019</v>
      </c>
      <c r="E602" s="58" t="s">
        <v>3952</v>
      </c>
      <c r="F602" s="58" t="s">
        <v>2739</v>
      </c>
      <c r="G602" s="152" t="s">
        <v>34</v>
      </c>
      <c r="H602" s="152">
        <v>1</v>
      </c>
      <c r="I602" s="153">
        <v>0.51</v>
      </c>
      <c r="J602" s="154">
        <v>44130</v>
      </c>
      <c r="K602" s="153" t="s">
        <v>20</v>
      </c>
      <c r="L602" s="152">
        <v>4.99</v>
      </c>
      <c r="M602" s="155"/>
    </row>
    <row r="603" spans="1:291" s="156" customFormat="1" ht="35" customHeight="1">
      <c r="A603" s="42">
        <f>ROW()-2</f>
        <v>601</v>
      </c>
      <c r="B603" s="152" t="s">
        <v>2732</v>
      </c>
      <c r="C603" s="152" t="s">
        <v>3950</v>
      </c>
      <c r="D603" s="58" t="s">
        <v>3951</v>
      </c>
      <c r="E603" s="58" t="s">
        <v>3952</v>
      </c>
      <c r="F603" s="58" t="s">
        <v>3589</v>
      </c>
      <c r="G603" s="152" t="s">
        <v>34</v>
      </c>
      <c r="H603" s="152">
        <v>1</v>
      </c>
      <c r="I603" s="153">
        <v>0.52</v>
      </c>
      <c r="J603" s="154">
        <v>44137</v>
      </c>
      <c r="K603" s="153" t="s">
        <v>20</v>
      </c>
      <c r="L603" s="152">
        <v>4.99</v>
      </c>
      <c r="M603" s="155"/>
    </row>
    <row r="604" spans="1:291" s="156" customFormat="1" ht="35" customHeight="1">
      <c r="A604" s="42">
        <f>ROW()-2</f>
        <v>602</v>
      </c>
      <c r="B604" s="152" t="s">
        <v>2732</v>
      </c>
      <c r="C604" s="152" t="s">
        <v>3950</v>
      </c>
      <c r="D604" s="58" t="s">
        <v>3953</v>
      </c>
      <c r="E604" s="58" t="s">
        <v>3954</v>
      </c>
      <c r="F604" s="58" t="s">
        <v>3955</v>
      </c>
      <c r="G604" s="152" t="s">
        <v>34</v>
      </c>
      <c r="H604" s="152">
        <v>1</v>
      </c>
      <c r="I604" s="153">
        <v>0.53</v>
      </c>
      <c r="J604" s="154">
        <v>44137</v>
      </c>
      <c r="K604" s="153" t="s">
        <v>20</v>
      </c>
      <c r="L604" s="152">
        <v>4.99</v>
      </c>
      <c r="M604" s="155"/>
    </row>
    <row r="605" spans="1:291" s="156" customFormat="1" ht="35" customHeight="1">
      <c r="A605" s="42">
        <f>ROW()-2</f>
        <v>603</v>
      </c>
      <c r="B605" s="152" t="s">
        <v>2732</v>
      </c>
      <c r="C605" s="152" t="s">
        <v>3950</v>
      </c>
      <c r="D605" s="58" t="s">
        <v>3956</v>
      </c>
      <c r="E605" s="58" t="s">
        <v>3952</v>
      </c>
      <c r="F605" s="58" t="s">
        <v>3889</v>
      </c>
      <c r="G605" s="152" t="s">
        <v>34</v>
      </c>
      <c r="H605" s="152">
        <v>1</v>
      </c>
      <c r="I605" s="153">
        <v>0.42</v>
      </c>
      <c r="J605" s="154">
        <v>44137</v>
      </c>
      <c r="K605" s="153" t="s">
        <v>20</v>
      </c>
      <c r="L605" s="152">
        <v>4.99</v>
      </c>
      <c r="M605" s="155"/>
    </row>
    <row r="606" spans="1:291" s="156" customFormat="1" ht="35" customHeight="1">
      <c r="A606" s="42">
        <f>ROW()-2</f>
        <v>604</v>
      </c>
      <c r="B606" s="152" t="s">
        <v>2732</v>
      </c>
      <c r="C606" s="152" t="s">
        <v>3950</v>
      </c>
      <c r="D606" s="58" t="s">
        <v>3957</v>
      </c>
      <c r="E606" s="58" t="s">
        <v>3958</v>
      </c>
      <c r="F606" s="58" t="s">
        <v>3589</v>
      </c>
      <c r="G606" s="152" t="s">
        <v>34</v>
      </c>
      <c r="H606" s="152">
        <v>1</v>
      </c>
      <c r="I606" s="153">
        <v>0.4</v>
      </c>
      <c r="J606" s="154">
        <v>44137</v>
      </c>
      <c r="K606" s="153" t="s">
        <v>20</v>
      </c>
      <c r="L606" s="152">
        <v>4.99</v>
      </c>
      <c r="M606" s="155"/>
    </row>
    <row r="607" spans="1:291" ht="35" customHeight="1">
      <c r="A607" s="42">
        <f>ROW()-2</f>
        <v>605</v>
      </c>
      <c r="B607" s="152" t="s">
        <v>2732</v>
      </c>
      <c r="C607" s="152" t="s">
        <v>3950</v>
      </c>
      <c r="D607" s="58" t="s">
        <v>3968</v>
      </c>
      <c r="E607" s="58" t="s">
        <v>3969</v>
      </c>
      <c r="F607" s="58" t="s">
        <v>3880</v>
      </c>
      <c r="G607" s="152" t="s">
        <v>34</v>
      </c>
      <c r="H607" s="152">
        <v>1</v>
      </c>
      <c r="I607" s="153">
        <v>0.3</v>
      </c>
      <c r="J607" s="154">
        <v>44137</v>
      </c>
      <c r="K607" s="153" t="s">
        <v>20</v>
      </c>
      <c r="L607" s="152">
        <v>4.99</v>
      </c>
      <c r="M607" s="155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  <c r="AA607" s="156"/>
      <c r="AB607" s="156"/>
      <c r="AC607" s="156"/>
      <c r="AD607" s="156"/>
      <c r="AE607" s="156"/>
      <c r="AF607" s="156"/>
      <c r="AG607" s="156"/>
      <c r="AH607" s="156"/>
      <c r="AI607" s="156"/>
      <c r="AJ607" s="156"/>
      <c r="AK607" s="156"/>
      <c r="AL607" s="156"/>
      <c r="AM607" s="156"/>
      <c r="AN607" s="156"/>
      <c r="AO607" s="156"/>
      <c r="AP607" s="156"/>
      <c r="AQ607" s="156"/>
      <c r="AR607" s="156"/>
      <c r="AS607" s="156"/>
      <c r="AT607" s="156"/>
      <c r="AU607" s="156"/>
      <c r="AV607" s="156"/>
      <c r="AW607" s="156"/>
      <c r="AX607" s="156"/>
      <c r="AY607" s="156"/>
      <c r="AZ607" s="156"/>
      <c r="BA607" s="156"/>
      <c r="BB607" s="156"/>
      <c r="BC607" s="156"/>
      <c r="BD607" s="156"/>
      <c r="BE607" s="156"/>
      <c r="BF607" s="156"/>
      <c r="BG607" s="156"/>
      <c r="BH607" s="156"/>
      <c r="BI607" s="156"/>
      <c r="BJ607" s="156"/>
      <c r="BK607" s="156"/>
      <c r="BL607" s="156"/>
      <c r="BM607" s="156"/>
      <c r="BN607" s="156"/>
      <c r="BO607" s="156"/>
      <c r="BP607" s="156"/>
      <c r="BQ607" s="156"/>
      <c r="BR607" s="156"/>
      <c r="BS607" s="156"/>
      <c r="BT607" s="156"/>
      <c r="BU607" s="156"/>
      <c r="BV607" s="156"/>
      <c r="BW607" s="156"/>
      <c r="BX607" s="156"/>
      <c r="BY607" s="156"/>
      <c r="BZ607" s="156"/>
      <c r="CA607" s="156"/>
      <c r="CB607" s="156"/>
      <c r="CC607" s="156"/>
      <c r="CD607" s="156"/>
      <c r="CE607" s="156"/>
      <c r="CF607" s="156"/>
      <c r="CG607" s="156"/>
      <c r="CH607" s="156"/>
      <c r="CI607" s="156"/>
      <c r="CJ607" s="156"/>
      <c r="CK607" s="156"/>
      <c r="CL607" s="156"/>
      <c r="CM607" s="156"/>
      <c r="CN607" s="156"/>
      <c r="CO607" s="156"/>
      <c r="CP607" s="156"/>
      <c r="CQ607" s="156"/>
      <c r="CR607" s="156"/>
      <c r="CS607" s="156"/>
      <c r="CT607" s="156"/>
      <c r="CU607" s="156"/>
      <c r="CV607" s="156"/>
      <c r="CW607" s="156"/>
      <c r="CX607" s="156"/>
      <c r="CY607" s="156"/>
      <c r="CZ607" s="156"/>
      <c r="DA607" s="156"/>
      <c r="DB607" s="156"/>
      <c r="DC607" s="156"/>
      <c r="DD607" s="156"/>
      <c r="DE607" s="156"/>
      <c r="DF607" s="156"/>
      <c r="DG607" s="156"/>
      <c r="DH607" s="156"/>
      <c r="DI607" s="156"/>
      <c r="DJ607" s="156"/>
      <c r="DK607" s="156"/>
      <c r="DL607" s="156"/>
      <c r="DM607" s="156"/>
      <c r="DN607" s="156"/>
      <c r="DO607" s="156"/>
      <c r="DP607" s="156"/>
      <c r="DQ607" s="156"/>
      <c r="DR607" s="156"/>
      <c r="DS607" s="156"/>
      <c r="DT607" s="156"/>
      <c r="DU607" s="156"/>
      <c r="DV607" s="156"/>
      <c r="DW607" s="156"/>
      <c r="DX607" s="156"/>
      <c r="DY607" s="156"/>
      <c r="DZ607" s="156"/>
      <c r="EA607" s="156"/>
      <c r="EB607" s="156"/>
      <c r="EC607" s="156"/>
      <c r="ED607" s="156"/>
      <c r="EE607" s="156"/>
      <c r="EF607" s="156"/>
      <c r="EG607" s="156"/>
      <c r="EH607" s="156"/>
      <c r="EI607" s="156"/>
      <c r="EJ607" s="156"/>
      <c r="EK607" s="156"/>
      <c r="EL607" s="156"/>
      <c r="EM607" s="156"/>
      <c r="EN607" s="156"/>
      <c r="EO607" s="156"/>
      <c r="EP607" s="156"/>
      <c r="EQ607" s="156"/>
      <c r="ER607" s="156"/>
      <c r="ES607" s="156"/>
      <c r="ET607" s="156"/>
      <c r="EU607" s="156"/>
      <c r="EV607" s="156"/>
      <c r="EW607" s="156"/>
      <c r="EX607" s="156"/>
      <c r="EY607" s="156"/>
      <c r="EZ607" s="156"/>
      <c r="FA607" s="156"/>
      <c r="FB607" s="156"/>
      <c r="FC607" s="156"/>
      <c r="FD607" s="156"/>
      <c r="FE607" s="156"/>
      <c r="FF607" s="156"/>
      <c r="FG607" s="156"/>
      <c r="FH607" s="156"/>
      <c r="FI607" s="156"/>
      <c r="FJ607" s="156"/>
      <c r="FK607" s="156"/>
      <c r="FL607" s="156"/>
      <c r="FM607" s="156"/>
      <c r="FN607" s="156"/>
      <c r="FO607" s="156"/>
      <c r="FP607" s="156"/>
      <c r="FQ607" s="156"/>
      <c r="FR607" s="156"/>
      <c r="FS607" s="156"/>
      <c r="FT607" s="156"/>
      <c r="FU607" s="156"/>
      <c r="FV607" s="156"/>
      <c r="FW607" s="156"/>
      <c r="FX607" s="156"/>
      <c r="FY607" s="156"/>
      <c r="FZ607" s="156"/>
      <c r="GA607" s="156"/>
      <c r="GB607" s="156"/>
      <c r="GC607" s="156"/>
      <c r="GD607" s="156"/>
      <c r="GE607" s="156"/>
      <c r="GF607" s="156"/>
      <c r="GG607" s="156"/>
      <c r="GH607" s="156"/>
      <c r="GI607" s="156"/>
      <c r="GJ607" s="156"/>
      <c r="GK607" s="156"/>
      <c r="GL607" s="156"/>
      <c r="GM607" s="156"/>
      <c r="GN607" s="156"/>
      <c r="GO607" s="156"/>
      <c r="GP607" s="156"/>
      <c r="GQ607" s="156"/>
      <c r="GR607" s="156"/>
      <c r="GS607" s="156"/>
      <c r="GT607" s="156"/>
      <c r="GU607" s="156"/>
      <c r="GV607" s="156"/>
      <c r="GW607" s="156"/>
      <c r="GX607" s="156"/>
      <c r="GY607" s="156"/>
      <c r="GZ607" s="156"/>
      <c r="HA607" s="156"/>
      <c r="HB607" s="156"/>
      <c r="HC607" s="156"/>
      <c r="HD607" s="156"/>
      <c r="HE607" s="156"/>
      <c r="HF607" s="156"/>
      <c r="HG607" s="156"/>
      <c r="HH607" s="156"/>
      <c r="HI607" s="156"/>
      <c r="HJ607" s="156"/>
      <c r="HK607" s="156"/>
      <c r="HL607" s="156"/>
      <c r="HM607" s="156"/>
      <c r="HN607" s="156"/>
      <c r="HO607" s="156"/>
      <c r="HP607" s="156"/>
      <c r="HQ607" s="156"/>
      <c r="HR607" s="156"/>
      <c r="HS607" s="156"/>
      <c r="HT607" s="156"/>
      <c r="HU607" s="156"/>
      <c r="HV607" s="156"/>
      <c r="HW607" s="156"/>
      <c r="HX607" s="156"/>
      <c r="HY607" s="156"/>
      <c r="HZ607" s="156"/>
      <c r="IA607" s="156"/>
      <c r="IB607" s="156"/>
      <c r="IC607" s="156"/>
      <c r="ID607" s="156"/>
      <c r="IE607" s="156"/>
      <c r="IF607" s="156"/>
      <c r="IG607" s="156"/>
      <c r="IH607" s="156"/>
      <c r="II607" s="156"/>
      <c r="IJ607" s="156"/>
      <c r="IK607" s="156"/>
      <c r="IL607" s="156"/>
      <c r="IM607" s="156"/>
      <c r="IN607" s="156"/>
      <c r="IO607" s="156"/>
      <c r="IP607" s="156"/>
      <c r="IQ607" s="156"/>
      <c r="IR607" s="156"/>
      <c r="IS607" s="156"/>
      <c r="IT607" s="156"/>
      <c r="IU607" s="156"/>
      <c r="IV607" s="156"/>
      <c r="IW607" s="156"/>
      <c r="IX607" s="156"/>
      <c r="IY607" s="156"/>
      <c r="IZ607" s="156"/>
      <c r="JA607" s="156"/>
      <c r="JB607" s="156"/>
      <c r="JC607" s="156"/>
      <c r="JD607" s="156"/>
      <c r="JE607" s="156"/>
      <c r="JF607" s="156"/>
      <c r="JG607" s="156"/>
      <c r="JH607" s="156"/>
      <c r="JI607" s="156"/>
      <c r="JJ607" s="156"/>
      <c r="JK607" s="156"/>
      <c r="JL607" s="156"/>
      <c r="JM607" s="156"/>
      <c r="JN607" s="156"/>
      <c r="JO607" s="156"/>
      <c r="JP607" s="156"/>
      <c r="JQ607" s="156"/>
      <c r="JR607" s="156"/>
      <c r="JS607" s="156"/>
      <c r="JT607" s="156"/>
      <c r="JU607" s="156"/>
      <c r="JV607" s="156"/>
      <c r="JW607" s="156"/>
      <c r="JX607" s="156"/>
      <c r="JY607" s="156"/>
      <c r="JZ607" s="156"/>
      <c r="KA607" s="156"/>
      <c r="KB607" s="156"/>
      <c r="KC607" s="156"/>
      <c r="KD607" s="156"/>
      <c r="KE607" s="156"/>
    </row>
    <row r="608" spans="1:291" ht="35" customHeight="1">
      <c r="A608" s="42">
        <f>ROW()-2</f>
        <v>606</v>
      </c>
      <c r="B608" s="152" t="s">
        <v>2732</v>
      </c>
      <c r="C608" s="152" t="s">
        <v>3950</v>
      </c>
      <c r="D608" s="58" t="s">
        <v>3970</v>
      </c>
      <c r="E608" s="58" t="s">
        <v>3971</v>
      </c>
      <c r="F608" s="58" t="s">
        <v>2932</v>
      </c>
      <c r="G608" s="152" t="s">
        <v>34</v>
      </c>
      <c r="H608" s="152">
        <v>1</v>
      </c>
      <c r="I608" s="153">
        <v>0.47</v>
      </c>
      <c r="J608" s="154">
        <v>44137</v>
      </c>
      <c r="K608" s="153" t="s">
        <v>20</v>
      </c>
      <c r="L608" s="152">
        <v>4.99</v>
      </c>
      <c r="M608" s="155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  <c r="AA608" s="156"/>
      <c r="AB608" s="156"/>
      <c r="AC608" s="156"/>
      <c r="AD608" s="156"/>
      <c r="AE608" s="156"/>
      <c r="AF608" s="156"/>
      <c r="AG608" s="156"/>
      <c r="AH608" s="156"/>
      <c r="AI608" s="156"/>
      <c r="AJ608" s="156"/>
      <c r="AK608" s="156"/>
      <c r="AL608" s="156"/>
      <c r="AM608" s="156"/>
      <c r="AN608" s="156"/>
      <c r="AO608" s="156"/>
      <c r="AP608" s="156"/>
      <c r="AQ608" s="156"/>
      <c r="AR608" s="156"/>
      <c r="AS608" s="156"/>
      <c r="AT608" s="156"/>
      <c r="AU608" s="156"/>
      <c r="AV608" s="156"/>
      <c r="AW608" s="156"/>
      <c r="AX608" s="156"/>
      <c r="AY608" s="156"/>
      <c r="AZ608" s="156"/>
      <c r="BA608" s="156"/>
      <c r="BB608" s="156"/>
      <c r="BC608" s="156"/>
      <c r="BD608" s="156"/>
      <c r="BE608" s="156"/>
      <c r="BF608" s="156"/>
      <c r="BG608" s="156"/>
      <c r="BH608" s="156"/>
      <c r="BI608" s="156"/>
      <c r="BJ608" s="156"/>
      <c r="BK608" s="156"/>
      <c r="BL608" s="156"/>
      <c r="BM608" s="156"/>
      <c r="BN608" s="156"/>
      <c r="BO608" s="156"/>
      <c r="BP608" s="156"/>
      <c r="BQ608" s="156"/>
      <c r="BR608" s="156"/>
      <c r="BS608" s="156"/>
      <c r="BT608" s="156"/>
      <c r="BU608" s="156"/>
      <c r="BV608" s="156"/>
      <c r="BW608" s="156"/>
      <c r="BX608" s="156"/>
      <c r="BY608" s="156"/>
      <c r="BZ608" s="156"/>
      <c r="CA608" s="156"/>
      <c r="CB608" s="156"/>
      <c r="CC608" s="156"/>
      <c r="CD608" s="156"/>
      <c r="CE608" s="156"/>
      <c r="CF608" s="156"/>
      <c r="CG608" s="156"/>
      <c r="CH608" s="156"/>
      <c r="CI608" s="156"/>
      <c r="CJ608" s="156"/>
      <c r="CK608" s="156"/>
      <c r="CL608" s="156"/>
      <c r="CM608" s="156"/>
      <c r="CN608" s="156"/>
      <c r="CO608" s="156"/>
      <c r="CP608" s="156"/>
      <c r="CQ608" s="156"/>
      <c r="CR608" s="156"/>
      <c r="CS608" s="156"/>
      <c r="CT608" s="156"/>
      <c r="CU608" s="156"/>
      <c r="CV608" s="156"/>
      <c r="CW608" s="156"/>
      <c r="CX608" s="156"/>
      <c r="CY608" s="156"/>
      <c r="CZ608" s="156"/>
      <c r="DA608" s="156"/>
      <c r="DB608" s="156"/>
      <c r="DC608" s="156"/>
      <c r="DD608" s="156"/>
      <c r="DE608" s="156"/>
      <c r="DF608" s="156"/>
      <c r="DG608" s="156"/>
      <c r="DH608" s="156"/>
      <c r="DI608" s="156"/>
      <c r="DJ608" s="156"/>
      <c r="DK608" s="156"/>
      <c r="DL608" s="156"/>
      <c r="DM608" s="156"/>
      <c r="DN608" s="156"/>
      <c r="DO608" s="156"/>
      <c r="DP608" s="156"/>
      <c r="DQ608" s="156"/>
      <c r="DR608" s="156"/>
      <c r="DS608" s="156"/>
      <c r="DT608" s="156"/>
      <c r="DU608" s="156"/>
      <c r="DV608" s="156"/>
      <c r="DW608" s="156"/>
      <c r="DX608" s="156"/>
      <c r="DY608" s="156"/>
      <c r="DZ608" s="156"/>
      <c r="EA608" s="156"/>
      <c r="EB608" s="156"/>
      <c r="EC608" s="156"/>
      <c r="ED608" s="156"/>
      <c r="EE608" s="156"/>
      <c r="EF608" s="156"/>
      <c r="EG608" s="156"/>
      <c r="EH608" s="156"/>
      <c r="EI608" s="156"/>
      <c r="EJ608" s="156"/>
      <c r="EK608" s="156"/>
      <c r="EL608" s="156"/>
      <c r="EM608" s="156"/>
      <c r="EN608" s="156"/>
      <c r="EO608" s="156"/>
      <c r="EP608" s="156"/>
      <c r="EQ608" s="156"/>
      <c r="ER608" s="156"/>
      <c r="ES608" s="156"/>
      <c r="ET608" s="156"/>
      <c r="EU608" s="156"/>
      <c r="EV608" s="156"/>
      <c r="EW608" s="156"/>
      <c r="EX608" s="156"/>
      <c r="EY608" s="156"/>
      <c r="EZ608" s="156"/>
      <c r="FA608" s="156"/>
      <c r="FB608" s="156"/>
      <c r="FC608" s="156"/>
      <c r="FD608" s="156"/>
      <c r="FE608" s="156"/>
      <c r="FF608" s="156"/>
      <c r="FG608" s="156"/>
      <c r="FH608" s="156"/>
      <c r="FI608" s="156"/>
      <c r="FJ608" s="156"/>
      <c r="FK608" s="156"/>
      <c r="FL608" s="156"/>
      <c r="FM608" s="156"/>
      <c r="FN608" s="156"/>
      <c r="FO608" s="156"/>
      <c r="FP608" s="156"/>
      <c r="FQ608" s="156"/>
      <c r="FR608" s="156"/>
      <c r="FS608" s="156"/>
      <c r="FT608" s="156"/>
      <c r="FU608" s="156"/>
      <c r="FV608" s="156"/>
      <c r="FW608" s="156"/>
      <c r="FX608" s="156"/>
      <c r="FY608" s="156"/>
      <c r="FZ608" s="156"/>
      <c r="GA608" s="156"/>
      <c r="GB608" s="156"/>
      <c r="GC608" s="156"/>
      <c r="GD608" s="156"/>
      <c r="GE608" s="156"/>
      <c r="GF608" s="156"/>
      <c r="GG608" s="156"/>
      <c r="GH608" s="156"/>
      <c r="GI608" s="156"/>
      <c r="GJ608" s="156"/>
      <c r="GK608" s="156"/>
      <c r="GL608" s="156"/>
      <c r="GM608" s="156"/>
      <c r="GN608" s="156"/>
      <c r="GO608" s="156"/>
      <c r="GP608" s="156"/>
      <c r="GQ608" s="156"/>
      <c r="GR608" s="156"/>
      <c r="GS608" s="156"/>
      <c r="GT608" s="156"/>
      <c r="GU608" s="156"/>
      <c r="GV608" s="156"/>
      <c r="GW608" s="156"/>
      <c r="GX608" s="156"/>
      <c r="GY608" s="156"/>
      <c r="GZ608" s="156"/>
      <c r="HA608" s="156"/>
      <c r="HB608" s="156"/>
      <c r="HC608" s="156"/>
      <c r="HD608" s="156"/>
      <c r="HE608" s="156"/>
      <c r="HF608" s="156"/>
      <c r="HG608" s="156"/>
      <c r="HH608" s="156"/>
      <c r="HI608" s="156"/>
      <c r="HJ608" s="156"/>
      <c r="HK608" s="156"/>
      <c r="HL608" s="156"/>
      <c r="HM608" s="156"/>
      <c r="HN608" s="156"/>
      <c r="HO608" s="156"/>
      <c r="HP608" s="156"/>
      <c r="HQ608" s="156"/>
      <c r="HR608" s="156"/>
      <c r="HS608" s="156"/>
      <c r="HT608" s="156"/>
      <c r="HU608" s="156"/>
      <c r="HV608" s="156"/>
      <c r="HW608" s="156"/>
      <c r="HX608" s="156"/>
      <c r="HY608" s="156"/>
      <c r="HZ608" s="156"/>
      <c r="IA608" s="156"/>
      <c r="IB608" s="156"/>
      <c r="IC608" s="156"/>
      <c r="ID608" s="156"/>
      <c r="IE608" s="156"/>
      <c r="IF608" s="156"/>
      <c r="IG608" s="156"/>
      <c r="IH608" s="156"/>
      <c r="II608" s="156"/>
      <c r="IJ608" s="156"/>
      <c r="IK608" s="156"/>
      <c r="IL608" s="156"/>
      <c r="IM608" s="156"/>
      <c r="IN608" s="156"/>
      <c r="IO608" s="156"/>
      <c r="IP608" s="156"/>
      <c r="IQ608" s="156"/>
      <c r="IR608" s="156"/>
      <c r="IS608" s="156"/>
      <c r="IT608" s="156"/>
      <c r="IU608" s="156"/>
      <c r="IV608" s="156"/>
      <c r="IW608" s="156"/>
      <c r="IX608" s="156"/>
      <c r="IY608" s="156"/>
      <c r="IZ608" s="156"/>
      <c r="JA608" s="156"/>
      <c r="JB608" s="156"/>
      <c r="JC608" s="156"/>
      <c r="JD608" s="156"/>
      <c r="JE608" s="156"/>
      <c r="JF608" s="156"/>
      <c r="JG608" s="156"/>
      <c r="JH608" s="156"/>
      <c r="JI608" s="156"/>
      <c r="JJ608" s="156"/>
      <c r="JK608" s="156"/>
      <c r="JL608" s="156"/>
      <c r="JM608" s="156"/>
      <c r="JN608" s="156"/>
      <c r="JO608" s="156"/>
      <c r="JP608" s="156"/>
      <c r="JQ608" s="156"/>
      <c r="JR608" s="156"/>
      <c r="JS608" s="156"/>
      <c r="JT608" s="156"/>
      <c r="JU608" s="156"/>
      <c r="JV608" s="156"/>
      <c r="JW608" s="156"/>
      <c r="JX608" s="156"/>
      <c r="JY608" s="156"/>
      <c r="JZ608" s="156"/>
      <c r="KA608" s="156"/>
      <c r="KB608" s="156"/>
      <c r="KC608" s="156"/>
      <c r="KD608" s="156"/>
      <c r="KE608" s="156"/>
    </row>
    <row r="609" spans="1:291" ht="35" customHeight="1">
      <c r="A609" s="42">
        <f>ROW()-2</f>
        <v>607</v>
      </c>
      <c r="B609" s="152" t="s">
        <v>2732</v>
      </c>
      <c r="C609" s="152" t="s">
        <v>3950</v>
      </c>
      <c r="D609" s="58" t="s">
        <v>3972</v>
      </c>
      <c r="E609" s="58" t="s">
        <v>3952</v>
      </c>
      <c r="F609" s="58" t="s">
        <v>3589</v>
      </c>
      <c r="G609" s="152" t="s">
        <v>34</v>
      </c>
      <c r="H609" s="152">
        <v>1</v>
      </c>
      <c r="I609" s="153">
        <v>0.42</v>
      </c>
      <c r="J609" s="154">
        <v>44137</v>
      </c>
      <c r="K609" s="236" t="s">
        <v>20</v>
      </c>
      <c r="L609" s="242">
        <v>4.99</v>
      </c>
      <c r="M609" s="155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  <c r="AA609" s="156"/>
      <c r="AB609" s="156"/>
      <c r="AC609" s="156"/>
      <c r="AD609" s="156"/>
      <c r="AE609" s="156"/>
      <c r="AF609" s="156"/>
      <c r="AG609" s="156"/>
      <c r="AH609" s="156"/>
      <c r="AI609" s="156"/>
      <c r="AJ609" s="156"/>
      <c r="AK609" s="156"/>
      <c r="AL609" s="156"/>
      <c r="AM609" s="156"/>
      <c r="AN609" s="156"/>
      <c r="AO609" s="156"/>
      <c r="AP609" s="156"/>
      <c r="AQ609" s="156"/>
      <c r="AR609" s="156"/>
      <c r="AS609" s="156"/>
      <c r="AT609" s="156"/>
      <c r="AU609" s="156"/>
      <c r="AV609" s="156"/>
      <c r="AW609" s="156"/>
      <c r="AX609" s="156"/>
      <c r="AY609" s="156"/>
      <c r="AZ609" s="156"/>
      <c r="BA609" s="156"/>
      <c r="BB609" s="156"/>
      <c r="BC609" s="156"/>
      <c r="BD609" s="156"/>
      <c r="BE609" s="156"/>
      <c r="BF609" s="156"/>
      <c r="BG609" s="156"/>
      <c r="BH609" s="156"/>
      <c r="BI609" s="156"/>
      <c r="BJ609" s="156"/>
      <c r="BK609" s="156"/>
      <c r="BL609" s="156"/>
      <c r="BM609" s="156"/>
      <c r="BN609" s="156"/>
      <c r="BO609" s="156"/>
      <c r="BP609" s="156"/>
      <c r="BQ609" s="156"/>
      <c r="BR609" s="156"/>
      <c r="BS609" s="156"/>
      <c r="BT609" s="156"/>
      <c r="BU609" s="156"/>
      <c r="BV609" s="156"/>
      <c r="BW609" s="156"/>
      <c r="BX609" s="156"/>
      <c r="BY609" s="156"/>
      <c r="BZ609" s="156"/>
      <c r="CA609" s="156"/>
      <c r="CB609" s="156"/>
      <c r="CC609" s="156"/>
      <c r="CD609" s="156"/>
      <c r="CE609" s="156"/>
      <c r="CF609" s="156"/>
      <c r="CG609" s="156"/>
      <c r="CH609" s="156"/>
      <c r="CI609" s="156"/>
      <c r="CJ609" s="156"/>
      <c r="CK609" s="156"/>
      <c r="CL609" s="156"/>
      <c r="CM609" s="156"/>
      <c r="CN609" s="156"/>
      <c r="CO609" s="156"/>
      <c r="CP609" s="156"/>
      <c r="CQ609" s="156"/>
      <c r="CR609" s="156"/>
      <c r="CS609" s="156"/>
      <c r="CT609" s="156"/>
      <c r="CU609" s="156"/>
      <c r="CV609" s="156"/>
      <c r="CW609" s="156"/>
      <c r="CX609" s="156"/>
      <c r="CY609" s="156"/>
      <c r="CZ609" s="156"/>
      <c r="DA609" s="156"/>
      <c r="DB609" s="156"/>
      <c r="DC609" s="156"/>
      <c r="DD609" s="156"/>
      <c r="DE609" s="156"/>
      <c r="DF609" s="156"/>
      <c r="DG609" s="156"/>
      <c r="DH609" s="156"/>
      <c r="DI609" s="156"/>
      <c r="DJ609" s="156"/>
      <c r="DK609" s="156"/>
      <c r="DL609" s="156"/>
      <c r="DM609" s="156"/>
      <c r="DN609" s="156"/>
      <c r="DO609" s="156"/>
      <c r="DP609" s="156"/>
      <c r="DQ609" s="156"/>
      <c r="DR609" s="156"/>
      <c r="DS609" s="156"/>
      <c r="DT609" s="156"/>
      <c r="DU609" s="156"/>
      <c r="DV609" s="156"/>
      <c r="DW609" s="156"/>
      <c r="DX609" s="156"/>
      <c r="DY609" s="156"/>
      <c r="DZ609" s="156"/>
      <c r="EA609" s="156"/>
      <c r="EB609" s="156"/>
      <c r="EC609" s="156"/>
      <c r="ED609" s="156"/>
      <c r="EE609" s="156"/>
      <c r="EF609" s="156"/>
      <c r="EG609" s="156"/>
      <c r="EH609" s="156"/>
      <c r="EI609" s="156"/>
      <c r="EJ609" s="156"/>
      <c r="EK609" s="156"/>
      <c r="EL609" s="156"/>
      <c r="EM609" s="156"/>
      <c r="EN609" s="156"/>
      <c r="EO609" s="156"/>
      <c r="EP609" s="156"/>
      <c r="EQ609" s="156"/>
      <c r="ER609" s="156"/>
      <c r="ES609" s="156"/>
      <c r="ET609" s="156"/>
      <c r="EU609" s="156"/>
      <c r="EV609" s="156"/>
      <c r="EW609" s="156"/>
      <c r="EX609" s="156"/>
      <c r="EY609" s="156"/>
      <c r="EZ609" s="156"/>
      <c r="FA609" s="156"/>
      <c r="FB609" s="156"/>
      <c r="FC609" s="156"/>
      <c r="FD609" s="156"/>
      <c r="FE609" s="156"/>
      <c r="FF609" s="156"/>
      <c r="FG609" s="156"/>
      <c r="FH609" s="156"/>
      <c r="FI609" s="156"/>
      <c r="FJ609" s="156"/>
      <c r="FK609" s="156"/>
      <c r="FL609" s="156"/>
      <c r="FM609" s="156"/>
      <c r="FN609" s="156"/>
      <c r="FO609" s="156"/>
      <c r="FP609" s="156"/>
      <c r="FQ609" s="156"/>
      <c r="FR609" s="156"/>
      <c r="FS609" s="156"/>
      <c r="FT609" s="156"/>
      <c r="FU609" s="156"/>
      <c r="FV609" s="156"/>
      <c r="FW609" s="156"/>
      <c r="FX609" s="156"/>
      <c r="FY609" s="156"/>
      <c r="FZ609" s="156"/>
      <c r="GA609" s="156"/>
      <c r="GB609" s="156"/>
      <c r="GC609" s="156"/>
      <c r="GD609" s="156"/>
      <c r="GE609" s="156"/>
      <c r="GF609" s="156"/>
      <c r="GG609" s="156"/>
      <c r="GH609" s="156"/>
      <c r="GI609" s="156"/>
      <c r="GJ609" s="156"/>
      <c r="GK609" s="156"/>
      <c r="GL609" s="156"/>
      <c r="GM609" s="156"/>
      <c r="GN609" s="156"/>
      <c r="GO609" s="156"/>
      <c r="GP609" s="156"/>
      <c r="GQ609" s="156"/>
      <c r="GR609" s="156"/>
      <c r="GS609" s="156"/>
      <c r="GT609" s="156"/>
      <c r="GU609" s="156"/>
      <c r="GV609" s="156"/>
      <c r="GW609" s="156"/>
      <c r="GX609" s="156"/>
      <c r="GY609" s="156"/>
      <c r="GZ609" s="156"/>
      <c r="HA609" s="156"/>
      <c r="HB609" s="156"/>
      <c r="HC609" s="156"/>
      <c r="HD609" s="156"/>
      <c r="HE609" s="156"/>
      <c r="HF609" s="156"/>
      <c r="HG609" s="156"/>
      <c r="HH609" s="156"/>
      <c r="HI609" s="156"/>
      <c r="HJ609" s="156"/>
      <c r="HK609" s="156"/>
      <c r="HL609" s="156"/>
      <c r="HM609" s="156"/>
      <c r="HN609" s="156"/>
      <c r="HO609" s="156"/>
      <c r="HP609" s="156"/>
      <c r="HQ609" s="156"/>
      <c r="HR609" s="156"/>
      <c r="HS609" s="156"/>
      <c r="HT609" s="156"/>
      <c r="HU609" s="156"/>
      <c r="HV609" s="156"/>
      <c r="HW609" s="156"/>
      <c r="HX609" s="156"/>
      <c r="HY609" s="156"/>
      <c r="HZ609" s="156"/>
      <c r="IA609" s="156"/>
      <c r="IB609" s="156"/>
      <c r="IC609" s="156"/>
      <c r="ID609" s="156"/>
      <c r="IE609" s="156"/>
      <c r="IF609" s="156"/>
      <c r="IG609" s="156"/>
      <c r="IH609" s="156"/>
      <c r="II609" s="156"/>
      <c r="IJ609" s="156"/>
      <c r="IK609" s="156"/>
      <c r="IL609" s="156"/>
      <c r="IM609" s="156"/>
      <c r="IN609" s="156"/>
      <c r="IO609" s="156"/>
      <c r="IP609" s="156"/>
      <c r="IQ609" s="156"/>
      <c r="IR609" s="156"/>
      <c r="IS609" s="156"/>
      <c r="IT609" s="156"/>
      <c r="IU609" s="156"/>
      <c r="IV609" s="156"/>
      <c r="IW609" s="156"/>
      <c r="IX609" s="156"/>
      <c r="IY609" s="156"/>
      <c r="IZ609" s="156"/>
      <c r="JA609" s="156"/>
      <c r="JB609" s="156"/>
      <c r="JC609" s="156"/>
      <c r="JD609" s="156"/>
      <c r="JE609" s="156"/>
      <c r="JF609" s="156"/>
      <c r="JG609" s="156"/>
      <c r="JH609" s="156"/>
      <c r="JI609" s="156"/>
      <c r="JJ609" s="156"/>
      <c r="JK609" s="156"/>
      <c r="JL609" s="156"/>
      <c r="JM609" s="156"/>
      <c r="JN609" s="156"/>
      <c r="JO609" s="156"/>
      <c r="JP609" s="156"/>
      <c r="JQ609" s="156"/>
      <c r="JR609" s="156"/>
      <c r="JS609" s="156"/>
      <c r="JT609" s="156"/>
      <c r="JU609" s="156"/>
      <c r="JV609" s="156"/>
      <c r="JW609" s="156"/>
      <c r="JX609" s="156"/>
      <c r="JY609" s="156"/>
      <c r="JZ609" s="156"/>
      <c r="KA609" s="156"/>
      <c r="KB609" s="156"/>
      <c r="KC609" s="156"/>
      <c r="KD609" s="156"/>
      <c r="KE609" s="156"/>
    </row>
    <row r="610" spans="1:291" ht="35" customHeight="1">
      <c r="A610" s="42">
        <f>ROW()-2</f>
        <v>608</v>
      </c>
      <c r="B610" s="152" t="s">
        <v>2732</v>
      </c>
      <c r="C610" s="152" t="s">
        <v>3950</v>
      </c>
      <c r="D610" s="58" t="s">
        <v>3973</v>
      </c>
      <c r="E610" s="58" t="s">
        <v>3974</v>
      </c>
      <c r="F610" s="58" t="s">
        <v>3975</v>
      </c>
      <c r="G610" s="152" t="s">
        <v>34</v>
      </c>
      <c r="H610" s="152">
        <v>1</v>
      </c>
      <c r="I610" s="153">
        <v>0.33</v>
      </c>
      <c r="J610" s="154">
        <v>44137</v>
      </c>
      <c r="K610" s="236" t="s">
        <v>20</v>
      </c>
      <c r="L610" s="242">
        <v>4.99</v>
      </c>
      <c r="M610" s="155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  <c r="AA610" s="156"/>
      <c r="AB610" s="156"/>
      <c r="AC610" s="156"/>
      <c r="AD610" s="156"/>
      <c r="AE610" s="156"/>
      <c r="AF610" s="156"/>
      <c r="AG610" s="156"/>
      <c r="AH610" s="156"/>
      <c r="AI610" s="156"/>
      <c r="AJ610" s="156"/>
      <c r="AK610" s="156"/>
      <c r="AL610" s="156"/>
      <c r="AM610" s="156"/>
      <c r="AN610" s="156"/>
      <c r="AO610" s="156"/>
      <c r="AP610" s="156"/>
      <c r="AQ610" s="156"/>
      <c r="AR610" s="156"/>
      <c r="AS610" s="156"/>
      <c r="AT610" s="156"/>
      <c r="AU610" s="156"/>
      <c r="AV610" s="156"/>
      <c r="AW610" s="156"/>
      <c r="AX610" s="156"/>
      <c r="AY610" s="156"/>
      <c r="AZ610" s="156"/>
      <c r="BA610" s="156"/>
      <c r="BB610" s="156"/>
      <c r="BC610" s="156"/>
      <c r="BD610" s="156"/>
      <c r="BE610" s="156"/>
      <c r="BF610" s="156"/>
      <c r="BG610" s="156"/>
      <c r="BH610" s="156"/>
      <c r="BI610" s="156"/>
      <c r="BJ610" s="156"/>
      <c r="BK610" s="156"/>
      <c r="BL610" s="156"/>
      <c r="BM610" s="156"/>
      <c r="BN610" s="156"/>
      <c r="BO610" s="156"/>
      <c r="BP610" s="156"/>
      <c r="BQ610" s="156"/>
      <c r="BR610" s="156"/>
      <c r="BS610" s="156"/>
      <c r="BT610" s="156"/>
      <c r="BU610" s="156"/>
      <c r="BV610" s="156"/>
      <c r="BW610" s="156"/>
      <c r="BX610" s="156"/>
      <c r="BY610" s="156"/>
      <c r="BZ610" s="156"/>
      <c r="CA610" s="156"/>
      <c r="CB610" s="156"/>
      <c r="CC610" s="156"/>
      <c r="CD610" s="156"/>
      <c r="CE610" s="156"/>
      <c r="CF610" s="156"/>
      <c r="CG610" s="156"/>
      <c r="CH610" s="156"/>
      <c r="CI610" s="156"/>
      <c r="CJ610" s="156"/>
      <c r="CK610" s="156"/>
      <c r="CL610" s="156"/>
      <c r="CM610" s="156"/>
      <c r="CN610" s="156"/>
      <c r="CO610" s="156"/>
      <c r="CP610" s="156"/>
      <c r="CQ610" s="156"/>
      <c r="CR610" s="156"/>
      <c r="CS610" s="156"/>
      <c r="CT610" s="156"/>
      <c r="CU610" s="156"/>
      <c r="CV610" s="156"/>
      <c r="CW610" s="156"/>
      <c r="CX610" s="156"/>
      <c r="CY610" s="156"/>
      <c r="CZ610" s="156"/>
      <c r="DA610" s="156"/>
      <c r="DB610" s="156"/>
      <c r="DC610" s="156"/>
      <c r="DD610" s="156"/>
      <c r="DE610" s="156"/>
      <c r="DF610" s="156"/>
      <c r="DG610" s="156"/>
      <c r="DH610" s="156"/>
      <c r="DI610" s="156"/>
      <c r="DJ610" s="156"/>
      <c r="DK610" s="156"/>
      <c r="DL610" s="156"/>
      <c r="DM610" s="156"/>
      <c r="DN610" s="156"/>
      <c r="DO610" s="156"/>
      <c r="DP610" s="156"/>
      <c r="DQ610" s="156"/>
      <c r="DR610" s="156"/>
      <c r="DS610" s="156"/>
      <c r="DT610" s="156"/>
      <c r="DU610" s="156"/>
      <c r="DV610" s="156"/>
      <c r="DW610" s="156"/>
      <c r="DX610" s="156"/>
      <c r="DY610" s="156"/>
      <c r="DZ610" s="156"/>
      <c r="EA610" s="156"/>
      <c r="EB610" s="156"/>
      <c r="EC610" s="156"/>
      <c r="ED610" s="156"/>
      <c r="EE610" s="156"/>
      <c r="EF610" s="156"/>
      <c r="EG610" s="156"/>
      <c r="EH610" s="156"/>
      <c r="EI610" s="156"/>
      <c r="EJ610" s="156"/>
      <c r="EK610" s="156"/>
      <c r="EL610" s="156"/>
      <c r="EM610" s="156"/>
      <c r="EN610" s="156"/>
      <c r="EO610" s="156"/>
      <c r="EP610" s="156"/>
      <c r="EQ610" s="156"/>
      <c r="ER610" s="156"/>
      <c r="ES610" s="156"/>
      <c r="ET610" s="156"/>
      <c r="EU610" s="156"/>
      <c r="EV610" s="156"/>
      <c r="EW610" s="156"/>
      <c r="EX610" s="156"/>
      <c r="EY610" s="156"/>
      <c r="EZ610" s="156"/>
      <c r="FA610" s="156"/>
      <c r="FB610" s="156"/>
      <c r="FC610" s="156"/>
      <c r="FD610" s="156"/>
      <c r="FE610" s="156"/>
      <c r="FF610" s="156"/>
      <c r="FG610" s="156"/>
      <c r="FH610" s="156"/>
      <c r="FI610" s="156"/>
      <c r="FJ610" s="156"/>
      <c r="FK610" s="156"/>
      <c r="FL610" s="156"/>
      <c r="FM610" s="156"/>
      <c r="FN610" s="156"/>
      <c r="FO610" s="156"/>
      <c r="FP610" s="156"/>
      <c r="FQ610" s="156"/>
      <c r="FR610" s="156"/>
      <c r="FS610" s="156"/>
      <c r="FT610" s="156"/>
      <c r="FU610" s="156"/>
      <c r="FV610" s="156"/>
      <c r="FW610" s="156"/>
      <c r="FX610" s="156"/>
      <c r="FY610" s="156"/>
      <c r="FZ610" s="156"/>
      <c r="GA610" s="156"/>
      <c r="GB610" s="156"/>
      <c r="GC610" s="156"/>
      <c r="GD610" s="156"/>
      <c r="GE610" s="156"/>
      <c r="GF610" s="156"/>
      <c r="GG610" s="156"/>
      <c r="GH610" s="156"/>
      <c r="GI610" s="156"/>
      <c r="GJ610" s="156"/>
      <c r="GK610" s="156"/>
      <c r="GL610" s="156"/>
      <c r="GM610" s="156"/>
      <c r="GN610" s="156"/>
      <c r="GO610" s="156"/>
      <c r="GP610" s="156"/>
      <c r="GQ610" s="156"/>
      <c r="GR610" s="156"/>
      <c r="GS610" s="156"/>
      <c r="GT610" s="156"/>
      <c r="GU610" s="156"/>
      <c r="GV610" s="156"/>
      <c r="GW610" s="156"/>
      <c r="GX610" s="156"/>
      <c r="GY610" s="156"/>
      <c r="GZ610" s="156"/>
      <c r="HA610" s="156"/>
      <c r="HB610" s="156"/>
      <c r="HC610" s="156"/>
      <c r="HD610" s="156"/>
      <c r="HE610" s="156"/>
      <c r="HF610" s="156"/>
      <c r="HG610" s="156"/>
      <c r="HH610" s="156"/>
      <c r="HI610" s="156"/>
      <c r="HJ610" s="156"/>
      <c r="HK610" s="156"/>
      <c r="HL610" s="156"/>
      <c r="HM610" s="156"/>
      <c r="HN610" s="156"/>
      <c r="HO610" s="156"/>
      <c r="HP610" s="156"/>
      <c r="HQ610" s="156"/>
      <c r="HR610" s="156"/>
      <c r="HS610" s="156"/>
      <c r="HT610" s="156"/>
      <c r="HU610" s="156"/>
      <c r="HV610" s="156"/>
      <c r="HW610" s="156"/>
      <c r="HX610" s="156"/>
      <c r="HY610" s="156"/>
      <c r="HZ610" s="156"/>
      <c r="IA610" s="156"/>
      <c r="IB610" s="156"/>
      <c r="IC610" s="156"/>
      <c r="ID610" s="156"/>
      <c r="IE610" s="156"/>
      <c r="IF610" s="156"/>
      <c r="IG610" s="156"/>
      <c r="IH610" s="156"/>
      <c r="II610" s="156"/>
      <c r="IJ610" s="156"/>
      <c r="IK610" s="156"/>
      <c r="IL610" s="156"/>
      <c r="IM610" s="156"/>
      <c r="IN610" s="156"/>
      <c r="IO610" s="156"/>
      <c r="IP610" s="156"/>
      <c r="IQ610" s="156"/>
      <c r="IR610" s="156"/>
      <c r="IS610" s="156"/>
      <c r="IT610" s="156"/>
      <c r="IU610" s="156"/>
      <c r="IV610" s="156"/>
      <c r="IW610" s="156"/>
      <c r="IX610" s="156"/>
      <c r="IY610" s="156"/>
      <c r="IZ610" s="156"/>
      <c r="JA610" s="156"/>
      <c r="JB610" s="156"/>
      <c r="JC610" s="156"/>
      <c r="JD610" s="156"/>
      <c r="JE610" s="156"/>
      <c r="JF610" s="156"/>
      <c r="JG610" s="156"/>
      <c r="JH610" s="156"/>
      <c r="JI610" s="156"/>
      <c r="JJ610" s="156"/>
      <c r="JK610" s="156"/>
      <c r="JL610" s="156"/>
      <c r="JM610" s="156"/>
      <c r="JN610" s="156"/>
      <c r="JO610" s="156"/>
      <c r="JP610" s="156"/>
      <c r="JQ610" s="156"/>
      <c r="JR610" s="156"/>
      <c r="JS610" s="156"/>
      <c r="JT610" s="156"/>
      <c r="JU610" s="156"/>
      <c r="JV610" s="156"/>
      <c r="JW610" s="156"/>
      <c r="JX610" s="156"/>
      <c r="JY610" s="156"/>
      <c r="JZ610" s="156"/>
      <c r="KA610" s="156"/>
      <c r="KB610" s="156"/>
      <c r="KC610" s="156"/>
      <c r="KD610" s="156"/>
      <c r="KE610" s="156"/>
    </row>
    <row r="611" spans="1:291" s="156" customFormat="1" ht="35" customHeight="1">
      <c r="A611" s="42">
        <f>ROW()-2</f>
        <v>609</v>
      </c>
      <c r="B611" s="152" t="s">
        <v>2732</v>
      </c>
      <c r="C611" s="152" t="s">
        <v>3950</v>
      </c>
      <c r="D611" s="58" t="s">
        <v>4047</v>
      </c>
      <c r="E611" s="58" t="s">
        <v>4048</v>
      </c>
      <c r="F611" s="58" t="s">
        <v>4014</v>
      </c>
      <c r="G611" s="152" t="s">
        <v>34</v>
      </c>
      <c r="H611" s="152">
        <v>1</v>
      </c>
      <c r="I611" s="153">
        <v>0.47</v>
      </c>
      <c r="J611" s="154">
        <v>44137</v>
      </c>
      <c r="K611" s="153" t="s">
        <v>20</v>
      </c>
      <c r="L611" s="152">
        <v>4.99</v>
      </c>
      <c r="M611" s="155"/>
    </row>
    <row r="612" spans="1:291" s="156" customFormat="1" ht="35" customHeight="1">
      <c r="A612" s="42">
        <f>ROW()-2</f>
        <v>610</v>
      </c>
      <c r="B612" s="152" t="s">
        <v>2732</v>
      </c>
      <c r="C612" s="152" t="s">
        <v>3950</v>
      </c>
      <c r="D612" s="58" t="s">
        <v>4049</v>
      </c>
      <c r="E612" s="58" t="s">
        <v>4050</v>
      </c>
      <c r="F612" s="58" t="s">
        <v>3589</v>
      </c>
      <c r="G612" s="152" t="s">
        <v>34</v>
      </c>
      <c r="H612" s="152">
        <v>1</v>
      </c>
      <c r="I612" s="153">
        <v>0.47</v>
      </c>
      <c r="J612" s="154">
        <v>44137</v>
      </c>
      <c r="K612" s="153" t="s">
        <v>20</v>
      </c>
      <c r="L612" s="152">
        <v>4.99</v>
      </c>
      <c r="M612" s="155"/>
    </row>
    <row r="613" spans="1:291" s="156" customFormat="1" ht="35" customHeight="1">
      <c r="A613" s="42">
        <f>ROW()-2</f>
        <v>611</v>
      </c>
      <c r="B613" s="152" t="s">
        <v>2732</v>
      </c>
      <c r="C613" s="152" t="s">
        <v>3950</v>
      </c>
      <c r="D613" s="58" t="s">
        <v>4051</v>
      </c>
      <c r="E613" s="58" t="s">
        <v>4052</v>
      </c>
      <c r="F613" s="58" t="s">
        <v>2739</v>
      </c>
      <c r="G613" s="152" t="s">
        <v>34</v>
      </c>
      <c r="H613" s="152">
        <v>1</v>
      </c>
      <c r="I613" s="153">
        <v>0.49</v>
      </c>
      <c r="J613" s="154">
        <v>44137</v>
      </c>
      <c r="K613" s="153" t="s">
        <v>20</v>
      </c>
      <c r="L613" s="152">
        <v>4.99</v>
      </c>
      <c r="M613" s="155"/>
    </row>
    <row r="614" spans="1:291" s="156" customFormat="1" ht="35" customHeight="1">
      <c r="A614" s="42">
        <f>ROW()-2</f>
        <v>612</v>
      </c>
      <c r="B614" s="152" t="s">
        <v>2732</v>
      </c>
      <c r="C614" s="152" t="s">
        <v>3950</v>
      </c>
      <c r="D614" s="58" t="s">
        <v>3959</v>
      </c>
      <c r="E614" s="58" t="s">
        <v>3960</v>
      </c>
      <c r="F614" s="58" t="s">
        <v>3961</v>
      </c>
      <c r="G614" s="152" t="s">
        <v>34</v>
      </c>
      <c r="H614" s="152">
        <v>1</v>
      </c>
      <c r="I614" s="153">
        <v>0.47</v>
      </c>
      <c r="J614" s="154">
        <v>44144</v>
      </c>
      <c r="K614" s="153" t="s">
        <v>20</v>
      </c>
      <c r="L614" s="152">
        <v>4.99</v>
      </c>
      <c r="M614" s="155"/>
    </row>
    <row r="615" spans="1:291" s="156" customFormat="1" ht="35" customHeight="1">
      <c r="A615" s="42">
        <f>ROW()-2</f>
        <v>613</v>
      </c>
      <c r="B615" s="152" t="s">
        <v>2732</v>
      </c>
      <c r="C615" s="152" t="s">
        <v>3950</v>
      </c>
      <c r="D615" s="58" t="s">
        <v>3962</v>
      </c>
      <c r="E615" s="58" t="s">
        <v>3963</v>
      </c>
      <c r="F615" s="58" t="s">
        <v>3889</v>
      </c>
      <c r="G615" s="152" t="s">
        <v>34</v>
      </c>
      <c r="H615" s="152">
        <v>1</v>
      </c>
      <c r="I615" s="153">
        <v>0.42</v>
      </c>
      <c r="J615" s="154">
        <v>44144</v>
      </c>
      <c r="K615" s="153" t="s">
        <v>20</v>
      </c>
      <c r="L615" s="152">
        <v>4.99</v>
      </c>
      <c r="M615" s="155"/>
    </row>
    <row r="616" spans="1:291" s="156" customFormat="1" ht="35" customHeight="1">
      <c r="A616" s="42">
        <f>ROW()-2</f>
        <v>614</v>
      </c>
      <c r="B616" s="152" t="s">
        <v>2732</v>
      </c>
      <c r="C616" s="152" t="s">
        <v>3950</v>
      </c>
      <c r="D616" s="58" t="s">
        <v>3964</v>
      </c>
      <c r="E616" s="58" t="s">
        <v>3965</v>
      </c>
      <c r="F616" s="58" t="s">
        <v>3589</v>
      </c>
      <c r="G616" s="152" t="s">
        <v>34</v>
      </c>
      <c r="H616" s="152">
        <v>1</v>
      </c>
      <c r="I616" s="153">
        <v>0.33</v>
      </c>
      <c r="J616" s="154">
        <v>44144</v>
      </c>
      <c r="K616" s="153" t="s">
        <v>20</v>
      </c>
      <c r="L616" s="152">
        <v>4.99</v>
      </c>
      <c r="M616" s="155"/>
    </row>
    <row r="617" spans="1:291" s="156" customFormat="1" ht="35" customHeight="1">
      <c r="A617" s="42">
        <f>ROW()-2</f>
        <v>615</v>
      </c>
      <c r="B617" s="152" t="s">
        <v>2732</v>
      </c>
      <c r="C617" s="152" t="s">
        <v>3950</v>
      </c>
      <c r="D617" s="58" t="s">
        <v>3966</v>
      </c>
      <c r="E617" s="58" t="s">
        <v>3967</v>
      </c>
      <c r="F617" s="58" t="s">
        <v>3955</v>
      </c>
      <c r="G617" s="152" t="s">
        <v>34</v>
      </c>
      <c r="H617" s="152">
        <v>1</v>
      </c>
      <c r="I617" s="153">
        <v>0.40527777777777801</v>
      </c>
      <c r="J617" s="154">
        <v>44144</v>
      </c>
      <c r="K617" s="153" t="s">
        <v>20</v>
      </c>
      <c r="L617" s="152">
        <v>4.99</v>
      </c>
      <c r="M617" s="155"/>
    </row>
    <row r="618" spans="1:291" s="156" customFormat="1" ht="35" customHeight="1">
      <c r="A618" s="42">
        <f>ROW()-2</f>
        <v>616</v>
      </c>
      <c r="B618" s="152" t="s">
        <v>2732</v>
      </c>
      <c r="C618" s="152" t="s">
        <v>3950</v>
      </c>
      <c r="D618" s="58" t="s">
        <v>4044</v>
      </c>
      <c r="E618" s="58" t="s">
        <v>4045</v>
      </c>
      <c r="F618" s="58" t="s">
        <v>4046</v>
      </c>
      <c r="G618" s="152" t="s">
        <v>34</v>
      </c>
      <c r="H618" s="152">
        <v>1</v>
      </c>
      <c r="I618" s="153">
        <v>0.47</v>
      </c>
      <c r="J618" s="154">
        <v>44144</v>
      </c>
      <c r="K618" s="153" t="s">
        <v>20</v>
      </c>
      <c r="L618" s="152">
        <v>4.99</v>
      </c>
      <c r="M618" s="155"/>
    </row>
    <row r="619" spans="1:291" s="156" customFormat="1" ht="35" customHeight="1">
      <c r="A619" s="42">
        <f>ROW()-2</f>
        <v>617</v>
      </c>
      <c r="B619" s="152" t="s">
        <v>2732</v>
      </c>
      <c r="C619" s="152" t="s">
        <v>3950</v>
      </c>
      <c r="D619" s="58" t="s">
        <v>4042</v>
      </c>
      <c r="E619" s="58" t="s">
        <v>4043</v>
      </c>
      <c r="F619" s="58" t="s">
        <v>3343</v>
      </c>
      <c r="G619" s="152" t="s">
        <v>34</v>
      </c>
      <c r="H619" s="152">
        <v>1</v>
      </c>
      <c r="I619" s="153">
        <v>0.51</v>
      </c>
      <c r="J619" s="154">
        <v>44151</v>
      </c>
      <c r="K619" s="153" t="s">
        <v>20</v>
      </c>
      <c r="L619" s="152">
        <v>4.99</v>
      </c>
      <c r="M619" s="155"/>
    </row>
    <row r="620" spans="1:291" s="156" customFormat="1" ht="35" customHeight="1">
      <c r="A620" s="42">
        <f>ROW()-2</f>
        <v>618</v>
      </c>
      <c r="B620" s="182" t="s">
        <v>2732</v>
      </c>
      <c r="C620" s="182" t="s">
        <v>3950</v>
      </c>
      <c r="D620" s="187" t="s">
        <v>5274</v>
      </c>
      <c r="E620" s="187" t="s">
        <v>5275</v>
      </c>
      <c r="F620" s="187" t="s">
        <v>5276</v>
      </c>
      <c r="G620" s="182" t="s">
        <v>34</v>
      </c>
      <c r="H620" s="182">
        <v>1</v>
      </c>
      <c r="I620" s="206">
        <v>0</v>
      </c>
      <c r="J620" s="209">
        <v>44250</v>
      </c>
      <c r="K620" s="206" t="s">
        <v>20</v>
      </c>
      <c r="L620" s="182">
        <v>4.99</v>
      </c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  <c r="AX620" s="136"/>
      <c r="AY620" s="136"/>
      <c r="AZ620" s="136"/>
      <c r="BA620" s="136"/>
      <c r="BB620" s="136"/>
      <c r="BC620" s="136"/>
      <c r="BD620" s="136"/>
      <c r="BE620" s="136"/>
      <c r="BF620" s="136"/>
      <c r="BG620" s="136"/>
      <c r="BH620" s="136"/>
      <c r="BI620" s="136"/>
      <c r="BJ620" s="136"/>
      <c r="BK620" s="136"/>
      <c r="BL620" s="136"/>
      <c r="BM620" s="136"/>
      <c r="BN620" s="136"/>
      <c r="BO620" s="136"/>
      <c r="BP620" s="136"/>
      <c r="BQ620" s="136"/>
      <c r="BR620" s="136"/>
      <c r="BS620" s="136"/>
      <c r="BT620" s="136"/>
      <c r="BU620" s="136"/>
      <c r="BV620" s="136"/>
      <c r="BW620" s="136"/>
      <c r="BX620" s="136"/>
      <c r="BY620" s="136"/>
      <c r="BZ620" s="136"/>
      <c r="CA620" s="136"/>
      <c r="CB620" s="136"/>
      <c r="CC620" s="136"/>
      <c r="CD620" s="136"/>
      <c r="CE620" s="136"/>
      <c r="CF620" s="136"/>
      <c r="CG620" s="136"/>
      <c r="CH620" s="136"/>
      <c r="CI620" s="136"/>
      <c r="CJ620" s="136"/>
      <c r="CK620" s="136"/>
      <c r="CL620" s="136"/>
      <c r="CM620" s="136"/>
      <c r="CN620" s="136"/>
      <c r="CO620" s="136"/>
      <c r="CP620" s="136"/>
      <c r="CQ620" s="136"/>
      <c r="CR620" s="136"/>
      <c r="CS620" s="136"/>
      <c r="CT620" s="136"/>
      <c r="CU620" s="136"/>
      <c r="CV620" s="136"/>
      <c r="CW620" s="136"/>
      <c r="CX620" s="136"/>
      <c r="CY620" s="136"/>
      <c r="CZ620" s="136"/>
      <c r="DA620" s="136"/>
      <c r="DB620" s="136"/>
      <c r="DC620" s="136"/>
      <c r="DD620" s="136"/>
      <c r="DE620" s="136"/>
      <c r="DF620" s="136"/>
      <c r="DG620" s="136"/>
      <c r="DH620" s="136"/>
      <c r="DI620" s="136"/>
      <c r="DJ620" s="136"/>
      <c r="DK620" s="136"/>
      <c r="DL620" s="136"/>
      <c r="DM620" s="136"/>
      <c r="DN620" s="136"/>
      <c r="DO620" s="136"/>
      <c r="DP620" s="136"/>
      <c r="DQ620" s="136"/>
      <c r="DR620" s="136"/>
      <c r="DS620" s="136"/>
      <c r="DT620" s="136"/>
      <c r="DU620" s="136"/>
      <c r="DV620" s="136"/>
      <c r="DW620" s="136"/>
      <c r="DX620" s="136"/>
      <c r="DY620" s="136"/>
      <c r="DZ620" s="136"/>
      <c r="EA620" s="136"/>
      <c r="EB620" s="136"/>
      <c r="EC620" s="136"/>
      <c r="ED620" s="136"/>
      <c r="EE620" s="136"/>
      <c r="EF620" s="136"/>
      <c r="EG620" s="136"/>
      <c r="EH620" s="136"/>
      <c r="EI620" s="136"/>
      <c r="EJ620" s="136"/>
      <c r="EK620" s="136"/>
      <c r="EL620" s="136"/>
      <c r="EM620" s="136"/>
      <c r="EN620" s="136"/>
      <c r="EO620" s="136"/>
      <c r="EP620" s="136"/>
      <c r="EQ620" s="136"/>
      <c r="ER620" s="136"/>
      <c r="ES620" s="136"/>
      <c r="ET620" s="136"/>
      <c r="EU620" s="136"/>
      <c r="EV620" s="136"/>
      <c r="EW620" s="136"/>
      <c r="EX620" s="136"/>
      <c r="EY620" s="136"/>
      <c r="EZ620" s="136"/>
      <c r="FA620" s="136"/>
      <c r="FB620" s="136"/>
      <c r="FC620" s="136"/>
      <c r="FD620" s="136"/>
      <c r="FE620" s="136"/>
      <c r="FF620" s="136"/>
      <c r="FG620" s="136"/>
      <c r="FH620" s="136"/>
      <c r="FI620" s="136"/>
      <c r="FJ620" s="136"/>
      <c r="FK620" s="136"/>
      <c r="FL620" s="136"/>
      <c r="FM620" s="136"/>
      <c r="FN620" s="136"/>
      <c r="FO620" s="136"/>
      <c r="FP620" s="136"/>
      <c r="FQ620" s="136"/>
      <c r="FR620" s="136"/>
      <c r="FS620" s="136"/>
      <c r="FT620" s="136"/>
      <c r="FU620" s="136"/>
      <c r="FV620" s="136"/>
      <c r="FW620" s="136"/>
      <c r="FX620" s="136"/>
      <c r="FY620" s="136"/>
      <c r="FZ620" s="136"/>
      <c r="GA620" s="136"/>
      <c r="GB620" s="136"/>
      <c r="GC620" s="136"/>
      <c r="GD620" s="136"/>
      <c r="GE620" s="136"/>
      <c r="GF620" s="136"/>
      <c r="GG620" s="136"/>
      <c r="GH620" s="136"/>
      <c r="GI620" s="136"/>
      <c r="GJ620" s="136"/>
      <c r="GK620" s="136"/>
      <c r="GL620" s="136"/>
      <c r="GM620" s="136"/>
      <c r="GN620" s="136"/>
      <c r="GO620" s="136"/>
      <c r="GP620" s="136"/>
      <c r="GQ620" s="136"/>
      <c r="GR620" s="136"/>
      <c r="GS620" s="136"/>
      <c r="GT620" s="136"/>
      <c r="GU620" s="136"/>
      <c r="GV620" s="136"/>
      <c r="GW620" s="136"/>
      <c r="GX620" s="136"/>
      <c r="GY620" s="136"/>
      <c r="GZ620" s="136"/>
      <c r="HA620" s="136"/>
      <c r="HB620" s="136"/>
      <c r="HC620" s="136"/>
      <c r="HD620" s="136"/>
      <c r="HE620" s="136"/>
      <c r="HF620" s="136"/>
      <c r="HG620" s="136"/>
      <c r="HH620" s="136"/>
      <c r="HI620" s="136"/>
      <c r="HJ620" s="136"/>
      <c r="HK620" s="136"/>
      <c r="HL620" s="136"/>
      <c r="HM620" s="136"/>
      <c r="HN620" s="136"/>
      <c r="HO620" s="136"/>
      <c r="HP620" s="136"/>
      <c r="HQ620" s="136"/>
      <c r="HR620" s="136"/>
      <c r="HS620" s="136"/>
      <c r="HT620" s="136"/>
      <c r="HU620" s="136"/>
      <c r="HV620" s="136"/>
      <c r="HW620" s="136"/>
      <c r="HX620" s="136"/>
      <c r="HY620" s="136"/>
      <c r="HZ620" s="136"/>
      <c r="IA620" s="136"/>
      <c r="IB620" s="136"/>
      <c r="IC620" s="136"/>
      <c r="ID620" s="136"/>
      <c r="IE620" s="136"/>
      <c r="IF620" s="136"/>
      <c r="IG620" s="136"/>
      <c r="IH620" s="136"/>
      <c r="II620" s="136"/>
      <c r="IJ620" s="136"/>
      <c r="IK620" s="136"/>
      <c r="IL620" s="136"/>
      <c r="IM620" s="136"/>
      <c r="IN620" s="136"/>
      <c r="IO620" s="136"/>
      <c r="IP620" s="136"/>
      <c r="IQ620" s="136"/>
      <c r="IR620" s="136"/>
      <c r="IS620" s="136"/>
      <c r="IT620" s="136"/>
      <c r="IU620" s="136"/>
      <c r="IV620" s="136"/>
      <c r="IW620" s="136"/>
      <c r="IX620" s="136"/>
      <c r="IY620" s="136"/>
      <c r="IZ620" s="136"/>
      <c r="JA620" s="136"/>
      <c r="JB620" s="136"/>
      <c r="JC620" s="136"/>
      <c r="JD620" s="136"/>
      <c r="JE620" s="136"/>
      <c r="JF620" s="136"/>
      <c r="JG620" s="136"/>
      <c r="JH620" s="136"/>
      <c r="JI620" s="136"/>
      <c r="JJ620" s="136"/>
      <c r="JK620" s="136"/>
      <c r="JL620" s="136"/>
      <c r="JM620" s="136"/>
      <c r="JN620" s="136"/>
      <c r="JO620" s="136"/>
      <c r="JP620" s="136"/>
      <c r="JQ620" s="136"/>
      <c r="JR620" s="136"/>
      <c r="JS620" s="136"/>
      <c r="JT620" s="136"/>
      <c r="JU620" s="136"/>
      <c r="JV620" s="136"/>
      <c r="JW620" s="136"/>
      <c r="JX620" s="136"/>
      <c r="JY620" s="136"/>
      <c r="JZ620" s="136"/>
      <c r="KA620" s="136"/>
      <c r="KB620" s="136"/>
      <c r="KC620" s="136"/>
      <c r="KD620" s="136"/>
      <c r="KE620" s="136"/>
    </row>
    <row r="621" spans="1:291" s="156" customFormat="1" ht="35" customHeight="1">
      <c r="A621" s="42">
        <f>ROW()-2</f>
        <v>619</v>
      </c>
      <c r="B621" s="42" t="s">
        <v>2732</v>
      </c>
      <c r="C621" s="42" t="s">
        <v>3950</v>
      </c>
      <c r="D621" s="43" t="s">
        <v>4055</v>
      </c>
      <c r="E621" s="43" t="s">
        <v>4056</v>
      </c>
      <c r="F621" s="43" t="s">
        <v>3910</v>
      </c>
      <c r="G621" s="42" t="s">
        <v>34</v>
      </c>
      <c r="H621" s="42">
        <v>1</v>
      </c>
      <c r="I621" s="44">
        <v>0.5</v>
      </c>
      <c r="J621" s="45">
        <v>44333</v>
      </c>
      <c r="K621" s="44" t="s">
        <v>20</v>
      </c>
      <c r="L621" s="42">
        <v>4.99</v>
      </c>
      <c r="M621" s="25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  <c r="CX621" s="31"/>
      <c r="CY621" s="31"/>
      <c r="CZ621" s="31"/>
      <c r="DA621" s="31"/>
      <c r="DB621" s="31"/>
      <c r="DC621" s="31"/>
      <c r="DD621" s="31"/>
      <c r="DE621" s="31"/>
      <c r="DF621" s="31"/>
      <c r="DG621" s="31"/>
      <c r="DH621" s="31"/>
      <c r="DI621" s="31"/>
      <c r="DJ621" s="31"/>
      <c r="DK621" s="31"/>
      <c r="DL621" s="31"/>
      <c r="DM621" s="31"/>
      <c r="DN621" s="31"/>
      <c r="DO621" s="31"/>
      <c r="DP621" s="31"/>
      <c r="DQ621" s="31"/>
      <c r="DR621" s="31"/>
      <c r="DS621" s="31"/>
      <c r="DT621" s="31"/>
      <c r="DU621" s="31"/>
      <c r="DV621" s="31"/>
      <c r="DW621" s="31"/>
      <c r="DX621" s="31"/>
      <c r="DY621" s="31"/>
      <c r="DZ621" s="31"/>
      <c r="EA621" s="31"/>
      <c r="EB621" s="31"/>
      <c r="EC621" s="31"/>
      <c r="ED621" s="31"/>
      <c r="EE621" s="31"/>
      <c r="EF621" s="31"/>
      <c r="EG621" s="31"/>
      <c r="EH621" s="31"/>
      <c r="EI621" s="31"/>
      <c r="EJ621" s="31"/>
      <c r="EK621" s="31"/>
      <c r="EL621" s="31"/>
      <c r="EM621" s="31"/>
      <c r="EN621" s="31"/>
      <c r="EO621" s="31"/>
      <c r="EP621" s="31"/>
      <c r="EQ621" s="31"/>
      <c r="ER621" s="31"/>
      <c r="ES621" s="31"/>
      <c r="ET621" s="31"/>
      <c r="EU621" s="31"/>
      <c r="EV621" s="31"/>
      <c r="EW621" s="31"/>
      <c r="EX621" s="31"/>
      <c r="EY621" s="31"/>
      <c r="EZ621" s="31"/>
      <c r="FA621" s="31"/>
      <c r="FB621" s="31"/>
      <c r="FC621" s="31"/>
      <c r="FD621" s="31"/>
      <c r="FE621" s="31"/>
      <c r="FF621" s="31"/>
      <c r="FG621" s="31"/>
      <c r="FH621" s="31"/>
      <c r="FI621" s="31"/>
      <c r="FJ621" s="31"/>
      <c r="FK621" s="31"/>
      <c r="FL621" s="31"/>
      <c r="FM621" s="31"/>
      <c r="FN621" s="31"/>
      <c r="FO621" s="31"/>
      <c r="FP621" s="31"/>
      <c r="FQ621" s="31"/>
      <c r="FR621" s="31"/>
      <c r="FS621" s="31"/>
      <c r="FT621" s="31"/>
      <c r="FU621" s="31"/>
      <c r="FV621" s="31"/>
      <c r="FW621" s="31"/>
      <c r="FX621" s="31"/>
      <c r="FY621" s="31"/>
      <c r="FZ621" s="31"/>
      <c r="GA621" s="31"/>
      <c r="GB621" s="31"/>
      <c r="GC621" s="31"/>
      <c r="GD621" s="31"/>
      <c r="GE621" s="31"/>
      <c r="GF621" s="31"/>
      <c r="GG621" s="31"/>
      <c r="GH621" s="31"/>
      <c r="GI621" s="31"/>
      <c r="GJ621" s="31"/>
      <c r="GK621" s="31"/>
      <c r="GL621" s="31"/>
      <c r="GM621" s="31"/>
      <c r="GN621" s="31"/>
      <c r="GO621" s="31"/>
      <c r="GP621" s="31"/>
      <c r="GQ621" s="31"/>
      <c r="GR621" s="31"/>
      <c r="GS621" s="31"/>
      <c r="GT621" s="31"/>
      <c r="GU621" s="31"/>
      <c r="GV621" s="31"/>
      <c r="GW621" s="31"/>
      <c r="GX621" s="31"/>
      <c r="GY621" s="31"/>
      <c r="GZ621" s="31"/>
      <c r="HA621" s="31"/>
      <c r="HB621" s="31"/>
      <c r="HC621" s="31"/>
      <c r="HD621" s="31"/>
      <c r="HE621" s="31"/>
      <c r="HF621" s="31"/>
      <c r="HG621" s="31"/>
      <c r="HH621" s="31"/>
      <c r="HI621" s="31"/>
      <c r="HJ621" s="31"/>
      <c r="HK621" s="31"/>
      <c r="HL621" s="31"/>
      <c r="HM621" s="31"/>
      <c r="HN621" s="31"/>
      <c r="HO621" s="31"/>
      <c r="HP621" s="31"/>
      <c r="HQ621" s="31"/>
      <c r="HR621" s="31"/>
      <c r="HS621" s="31"/>
      <c r="HT621" s="31"/>
      <c r="HU621" s="31"/>
      <c r="HV621" s="31"/>
      <c r="HW621" s="31"/>
      <c r="HX621" s="31"/>
      <c r="HY621" s="31"/>
      <c r="HZ621" s="31"/>
      <c r="IA621" s="31"/>
      <c r="IB621" s="31"/>
      <c r="IC621" s="31"/>
      <c r="ID621" s="31"/>
      <c r="IE621" s="31"/>
      <c r="IF621" s="31"/>
      <c r="IG621" s="31"/>
      <c r="IH621" s="31"/>
      <c r="II621" s="31"/>
      <c r="IJ621" s="31"/>
      <c r="IK621" s="31"/>
      <c r="IL621" s="31"/>
      <c r="IM621" s="31"/>
      <c r="IN621" s="31"/>
      <c r="IO621" s="31"/>
      <c r="IP621" s="31"/>
      <c r="IQ621" s="31"/>
      <c r="IR621" s="31"/>
      <c r="IS621" s="31"/>
      <c r="IT621" s="31"/>
      <c r="IU621" s="31"/>
      <c r="IV621" s="31"/>
      <c r="IW621" s="31"/>
      <c r="IX621" s="31"/>
      <c r="IY621" s="31"/>
      <c r="IZ621" s="31"/>
      <c r="JA621" s="31"/>
      <c r="JB621" s="31"/>
      <c r="JC621" s="31"/>
      <c r="JD621" s="31"/>
      <c r="JE621" s="31"/>
      <c r="JF621" s="31"/>
      <c r="JG621" s="31"/>
      <c r="JH621" s="31"/>
      <c r="JI621" s="31"/>
      <c r="JJ621" s="31"/>
      <c r="JK621" s="31"/>
      <c r="JL621" s="31"/>
      <c r="JM621" s="31"/>
      <c r="JN621" s="31"/>
      <c r="JO621" s="31"/>
      <c r="JP621" s="31"/>
      <c r="JQ621" s="31"/>
      <c r="JR621" s="31"/>
      <c r="JS621" s="31"/>
      <c r="JT621" s="31"/>
      <c r="JU621" s="31"/>
      <c r="JV621" s="31"/>
      <c r="JW621" s="31"/>
      <c r="JX621" s="31"/>
      <c r="JY621" s="31"/>
      <c r="JZ621" s="31"/>
      <c r="KA621" s="31"/>
      <c r="KB621" s="31"/>
      <c r="KC621" s="31"/>
      <c r="KD621" s="31"/>
      <c r="KE621" s="31"/>
    </row>
    <row r="622" spans="1:291" s="156" customFormat="1" ht="35" customHeight="1">
      <c r="A622" s="42">
        <f>ROW()-2</f>
        <v>620</v>
      </c>
      <c r="B622" s="42" t="s">
        <v>2732</v>
      </c>
      <c r="C622" s="42" t="s">
        <v>3950</v>
      </c>
      <c r="D622" s="43" t="s">
        <v>4057</v>
      </c>
      <c r="E622" s="43" t="s">
        <v>4058</v>
      </c>
      <c r="F622" s="43" t="s">
        <v>3910</v>
      </c>
      <c r="G622" s="42" t="s">
        <v>34</v>
      </c>
      <c r="H622" s="42">
        <v>1</v>
      </c>
      <c r="I622" s="44">
        <v>0.5</v>
      </c>
      <c r="J622" s="45">
        <v>44382</v>
      </c>
      <c r="K622" s="44" t="s">
        <v>20</v>
      </c>
      <c r="L622" s="42">
        <v>4.99</v>
      </c>
      <c r="M622" s="25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  <c r="CX622" s="31"/>
      <c r="CY622" s="31"/>
      <c r="CZ622" s="31"/>
      <c r="DA622" s="31"/>
      <c r="DB622" s="31"/>
      <c r="DC622" s="31"/>
      <c r="DD622" s="31"/>
      <c r="DE622" s="31"/>
      <c r="DF622" s="31"/>
      <c r="DG622" s="31"/>
      <c r="DH622" s="31"/>
      <c r="DI622" s="31"/>
      <c r="DJ622" s="31"/>
      <c r="DK622" s="31"/>
      <c r="DL622" s="31"/>
      <c r="DM622" s="31"/>
      <c r="DN622" s="31"/>
      <c r="DO622" s="31"/>
      <c r="DP622" s="31"/>
      <c r="DQ622" s="31"/>
      <c r="DR622" s="31"/>
      <c r="DS622" s="31"/>
      <c r="DT622" s="31"/>
      <c r="DU622" s="31"/>
      <c r="DV622" s="31"/>
      <c r="DW622" s="31"/>
      <c r="DX622" s="31"/>
      <c r="DY622" s="31"/>
      <c r="DZ622" s="31"/>
      <c r="EA622" s="31"/>
      <c r="EB622" s="31"/>
      <c r="EC622" s="31"/>
      <c r="ED622" s="31"/>
      <c r="EE622" s="31"/>
      <c r="EF622" s="31"/>
      <c r="EG622" s="31"/>
      <c r="EH622" s="31"/>
      <c r="EI622" s="31"/>
      <c r="EJ622" s="31"/>
      <c r="EK622" s="31"/>
      <c r="EL622" s="31"/>
      <c r="EM622" s="31"/>
      <c r="EN622" s="31"/>
      <c r="EO622" s="31"/>
      <c r="EP622" s="31"/>
      <c r="EQ622" s="31"/>
      <c r="ER622" s="31"/>
      <c r="ES622" s="31"/>
      <c r="ET622" s="31"/>
      <c r="EU622" s="31"/>
      <c r="EV622" s="31"/>
      <c r="EW622" s="31"/>
      <c r="EX622" s="31"/>
      <c r="EY622" s="31"/>
      <c r="EZ622" s="31"/>
      <c r="FA622" s="31"/>
      <c r="FB622" s="31"/>
      <c r="FC622" s="31"/>
      <c r="FD622" s="31"/>
      <c r="FE622" s="31"/>
      <c r="FF622" s="31"/>
      <c r="FG622" s="31"/>
      <c r="FH622" s="31"/>
      <c r="FI622" s="31"/>
      <c r="FJ622" s="31"/>
      <c r="FK622" s="31"/>
      <c r="FL622" s="31"/>
      <c r="FM622" s="31"/>
      <c r="FN622" s="31"/>
      <c r="FO622" s="31"/>
      <c r="FP622" s="31"/>
      <c r="FQ622" s="31"/>
      <c r="FR622" s="31"/>
      <c r="FS622" s="31"/>
      <c r="FT622" s="31"/>
      <c r="FU622" s="31"/>
      <c r="FV622" s="31"/>
      <c r="FW622" s="31"/>
      <c r="FX622" s="31"/>
      <c r="FY622" s="31"/>
      <c r="FZ622" s="31"/>
      <c r="GA622" s="31"/>
      <c r="GB622" s="31"/>
      <c r="GC622" s="31"/>
      <c r="GD622" s="31"/>
      <c r="GE622" s="31"/>
      <c r="GF622" s="31"/>
      <c r="GG622" s="31"/>
      <c r="GH622" s="31"/>
      <c r="GI622" s="31"/>
      <c r="GJ622" s="31"/>
      <c r="GK622" s="31"/>
      <c r="GL622" s="31"/>
      <c r="GM622" s="31"/>
      <c r="GN622" s="31"/>
      <c r="GO622" s="31"/>
      <c r="GP622" s="31"/>
      <c r="GQ622" s="31"/>
      <c r="GR622" s="31"/>
      <c r="GS622" s="31"/>
      <c r="GT622" s="31"/>
      <c r="GU622" s="31"/>
      <c r="GV622" s="31"/>
      <c r="GW622" s="31"/>
      <c r="GX622" s="31"/>
      <c r="GY622" s="31"/>
      <c r="GZ622" s="31"/>
      <c r="HA622" s="31"/>
      <c r="HB622" s="31"/>
      <c r="HC622" s="31"/>
      <c r="HD622" s="31"/>
      <c r="HE622" s="31"/>
      <c r="HF622" s="31"/>
      <c r="HG622" s="31"/>
      <c r="HH622" s="31"/>
      <c r="HI622" s="31"/>
      <c r="HJ622" s="31"/>
      <c r="HK622" s="31"/>
      <c r="HL622" s="31"/>
      <c r="HM622" s="31"/>
      <c r="HN622" s="31"/>
      <c r="HO622" s="31"/>
      <c r="HP622" s="31"/>
      <c r="HQ622" s="31"/>
      <c r="HR622" s="31"/>
      <c r="HS622" s="31"/>
      <c r="HT622" s="31"/>
      <c r="HU622" s="31"/>
      <c r="HV622" s="31"/>
      <c r="HW622" s="31"/>
      <c r="HX622" s="31"/>
      <c r="HY622" s="31"/>
      <c r="HZ622" s="31"/>
      <c r="IA622" s="31"/>
      <c r="IB622" s="31"/>
      <c r="IC622" s="31"/>
      <c r="ID622" s="31"/>
      <c r="IE622" s="31"/>
      <c r="IF622" s="31"/>
      <c r="IG622" s="31"/>
      <c r="IH622" s="31"/>
      <c r="II622" s="31"/>
      <c r="IJ622" s="31"/>
      <c r="IK622" s="31"/>
      <c r="IL622" s="31"/>
      <c r="IM622" s="31"/>
      <c r="IN622" s="31"/>
      <c r="IO622" s="31"/>
      <c r="IP622" s="31"/>
      <c r="IQ622" s="31"/>
      <c r="IR622" s="31"/>
      <c r="IS622" s="31"/>
      <c r="IT622" s="31"/>
      <c r="IU622" s="31"/>
      <c r="IV622" s="31"/>
      <c r="IW622" s="31"/>
      <c r="IX622" s="31"/>
      <c r="IY622" s="31"/>
      <c r="IZ622" s="31"/>
      <c r="JA622" s="31"/>
      <c r="JB622" s="31"/>
      <c r="JC622" s="31"/>
      <c r="JD622" s="31"/>
      <c r="JE622" s="31"/>
      <c r="JF622" s="31"/>
      <c r="JG622" s="31"/>
      <c r="JH622" s="31"/>
      <c r="JI622" s="31"/>
      <c r="JJ622" s="31"/>
      <c r="JK622" s="31"/>
      <c r="JL622" s="31"/>
      <c r="JM622" s="31"/>
      <c r="JN622" s="31"/>
      <c r="JO622" s="31"/>
      <c r="JP622" s="31"/>
      <c r="JQ622" s="31"/>
      <c r="JR622" s="31"/>
      <c r="JS622" s="31"/>
      <c r="JT622" s="31"/>
      <c r="JU622" s="31"/>
      <c r="JV622" s="31"/>
      <c r="JW622" s="31"/>
      <c r="JX622" s="31"/>
      <c r="JY622" s="31"/>
      <c r="JZ622" s="31"/>
      <c r="KA622" s="31"/>
      <c r="KB622" s="31"/>
      <c r="KC622" s="31"/>
      <c r="KD622" s="31"/>
      <c r="KE622" s="31"/>
    </row>
    <row r="623" spans="1:291" s="156" customFormat="1" ht="35" customHeight="1">
      <c r="A623" s="42">
        <f>ROW()-2</f>
        <v>621</v>
      </c>
      <c r="B623" s="42" t="s">
        <v>2732</v>
      </c>
      <c r="C623" s="42" t="s">
        <v>3950</v>
      </c>
      <c r="D623" s="43" t="s">
        <v>4059</v>
      </c>
      <c r="E623" s="43" t="s">
        <v>4060</v>
      </c>
      <c r="F623" s="43" t="s">
        <v>4061</v>
      </c>
      <c r="G623" s="42" t="s">
        <v>3253</v>
      </c>
      <c r="H623" s="42">
        <v>1</v>
      </c>
      <c r="I623" s="44">
        <v>0.5</v>
      </c>
      <c r="J623" s="45">
        <v>44488</v>
      </c>
      <c r="K623" s="44" t="s">
        <v>20</v>
      </c>
      <c r="L623" s="42">
        <v>4.99</v>
      </c>
      <c r="M623" s="32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  <c r="FS623" s="30"/>
      <c r="FT623" s="30"/>
      <c r="FU623" s="30"/>
      <c r="FV623" s="30"/>
      <c r="FW623" s="30"/>
      <c r="FX623" s="30"/>
      <c r="FY623" s="30"/>
      <c r="FZ623" s="30"/>
      <c r="GA623" s="30"/>
      <c r="GB623" s="30"/>
      <c r="GC623" s="30"/>
      <c r="GD623" s="30"/>
      <c r="GE623" s="30"/>
      <c r="GF623" s="30"/>
      <c r="GG623" s="30"/>
      <c r="GH623" s="30"/>
      <c r="GI623" s="30"/>
      <c r="GJ623" s="30"/>
      <c r="GK623" s="30"/>
      <c r="GL623" s="30"/>
      <c r="GM623" s="30"/>
      <c r="GN623" s="30"/>
      <c r="GO623" s="30"/>
      <c r="GP623" s="30"/>
      <c r="GQ623" s="30"/>
      <c r="GR623" s="30"/>
      <c r="GS623" s="30"/>
      <c r="GT623" s="30"/>
      <c r="GU623" s="30"/>
      <c r="GV623" s="30"/>
      <c r="GW623" s="30"/>
      <c r="GX623" s="30"/>
      <c r="GY623" s="30"/>
      <c r="GZ623" s="30"/>
      <c r="HA623" s="30"/>
      <c r="HB623" s="30"/>
      <c r="HC623" s="30"/>
      <c r="HD623" s="30"/>
      <c r="HE623" s="30"/>
      <c r="HF623" s="30"/>
      <c r="HG623" s="30"/>
      <c r="HH623" s="30"/>
      <c r="HI623" s="30"/>
      <c r="HJ623" s="30"/>
      <c r="HK623" s="30"/>
      <c r="HL623" s="30"/>
      <c r="HM623" s="30"/>
      <c r="HN623" s="30"/>
      <c r="HO623" s="30"/>
      <c r="HP623" s="30"/>
      <c r="HQ623" s="30"/>
      <c r="HR623" s="30"/>
      <c r="HS623" s="30"/>
      <c r="HT623" s="30"/>
      <c r="HU623" s="30"/>
      <c r="HV623" s="30"/>
      <c r="HW623" s="30"/>
      <c r="HX623" s="30"/>
      <c r="HY623" s="30"/>
      <c r="HZ623" s="30"/>
      <c r="IA623" s="30"/>
      <c r="IB623" s="30"/>
      <c r="IC623" s="30"/>
      <c r="ID623" s="30"/>
      <c r="IE623" s="30"/>
      <c r="IF623" s="30"/>
      <c r="IG623" s="30"/>
      <c r="IH623" s="30"/>
      <c r="II623" s="30"/>
      <c r="IJ623" s="30"/>
      <c r="IK623" s="30"/>
      <c r="IL623" s="30"/>
      <c r="IM623" s="30"/>
      <c r="IN623" s="30"/>
      <c r="IO623" s="30"/>
      <c r="IP623" s="30"/>
      <c r="IQ623" s="30"/>
      <c r="IR623" s="30"/>
      <c r="IS623" s="30"/>
      <c r="IT623" s="30"/>
      <c r="IU623" s="30"/>
      <c r="IV623" s="30"/>
      <c r="IW623" s="30"/>
      <c r="IX623" s="30"/>
      <c r="IY623" s="30"/>
      <c r="IZ623" s="30"/>
      <c r="JA623" s="30"/>
      <c r="JB623" s="30"/>
      <c r="JC623" s="30"/>
      <c r="JD623" s="30"/>
      <c r="JE623" s="30"/>
      <c r="JF623" s="30"/>
      <c r="JG623" s="30"/>
      <c r="JH623" s="30"/>
      <c r="JI623" s="30"/>
      <c r="JJ623" s="30"/>
      <c r="JK623" s="30"/>
      <c r="JL623" s="30"/>
      <c r="JM623" s="30"/>
      <c r="JN623" s="30"/>
      <c r="JO623" s="30"/>
      <c r="JP623" s="30"/>
      <c r="JQ623" s="30"/>
      <c r="JR623" s="30"/>
      <c r="JS623" s="30"/>
      <c r="JT623" s="30"/>
      <c r="JU623" s="30"/>
      <c r="JV623" s="30"/>
      <c r="JW623" s="30"/>
      <c r="JX623" s="30"/>
      <c r="JY623" s="30"/>
      <c r="JZ623" s="30"/>
      <c r="KA623" s="30"/>
      <c r="KB623" s="30"/>
      <c r="KC623" s="30"/>
      <c r="KD623" s="30"/>
      <c r="KE623" s="30"/>
    </row>
    <row r="624" spans="1:291" s="156" customFormat="1" ht="35" customHeight="1">
      <c r="A624" s="42">
        <f>ROW()-2</f>
        <v>622</v>
      </c>
      <c r="B624" s="42" t="s">
        <v>2732</v>
      </c>
      <c r="C624" s="42" t="s">
        <v>3950</v>
      </c>
      <c r="D624" s="43" t="s">
        <v>4062</v>
      </c>
      <c r="E624" s="43" t="s">
        <v>4063</v>
      </c>
      <c r="F624" s="43" t="s">
        <v>3542</v>
      </c>
      <c r="G624" s="42" t="s">
        <v>3253</v>
      </c>
      <c r="H624" s="42">
        <v>1</v>
      </c>
      <c r="I624" s="44">
        <v>0.48</v>
      </c>
      <c r="J624" s="45">
        <v>44565</v>
      </c>
      <c r="K624" s="44" t="s">
        <v>20</v>
      </c>
      <c r="L624" s="42">
        <v>4.99</v>
      </c>
      <c r="M624" s="32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  <c r="FS624" s="30"/>
      <c r="FT624" s="30"/>
      <c r="FU624" s="30"/>
      <c r="FV624" s="30"/>
      <c r="FW624" s="30"/>
      <c r="FX624" s="30"/>
      <c r="FY624" s="30"/>
      <c r="FZ624" s="30"/>
      <c r="GA624" s="30"/>
      <c r="GB624" s="30"/>
      <c r="GC624" s="30"/>
      <c r="GD624" s="30"/>
      <c r="GE624" s="30"/>
      <c r="GF624" s="30"/>
      <c r="GG624" s="30"/>
      <c r="GH624" s="30"/>
      <c r="GI624" s="30"/>
      <c r="GJ624" s="30"/>
      <c r="GK624" s="30"/>
      <c r="GL624" s="30"/>
      <c r="GM624" s="30"/>
      <c r="GN624" s="30"/>
      <c r="GO624" s="30"/>
      <c r="GP624" s="30"/>
      <c r="GQ624" s="30"/>
      <c r="GR624" s="30"/>
      <c r="GS624" s="30"/>
      <c r="GT624" s="30"/>
      <c r="GU624" s="30"/>
      <c r="GV624" s="30"/>
      <c r="GW624" s="30"/>
      <c r="GX624" s="30"/>
      <c r="GY624" s="30"/>
      <c r="GZ624" s="30"/>
      <c r="HA624" s="30"/>
      <c r="HB624" s="30"/>
      <c r="HC624" s="30"/>
      <c r="HD624" s="30"/>
      <c r="HE624" s="30"/>
      <c r="HF624" s="30"/>
      <c r="HG624" s="30"/>
      <c r="HH624" s="30"/>
      <c r="HI624" s="30"/>
      <c r="HJ624" s="30"/>
      <c r="HK624" s="30"/>
      <c r="HL624" s="30"/>
      <c r="HM624" s="30"/>
      <c r="HN624" s="30"/>
      <c r="HO624" s="30"/>
      <c r="HP624" s="30"/>
      <c r="HQ624" s="30"/>
      <c r="HR624" s="30"/>
      <c r="HS624" s="30"/>
      <c r="HT624" s="30"/>
      <c r="HU624" s="30"/>
      <c r="HV624" s="30"/>
      <c r="HW624" s="30"/>
      <c r="HX624" s="30"/>
      <c r="HY624" s="30"/>
      <c r="HZ624" s="30"/>
      <c r="IA624" s="30"/>
      <c r="IB624" s="30"/>
      <c r="IC624" s="30"/>
      <c r="ID624" s="30"/>
      <c r="IE624" s="30"/>
      <c r="IF624" s="30"/>
      <c r="IG624" s="30"/>
      <c r="IH624" s="30"/>
      <c r="II624" s="30"/>
      <c r="IJ624" s="30"/>
      <c r="IK624" s="30"/>
      <c r="IL624" s="30"/>
      <c r="IM624" s="30"/>
      <c r="IN624" s="30"/>
      <c r="IO624" s="30"/>
      <c r="IP624" s="30"/>
      <c r="IQ624" s="30"/>
      <c r="IR624" s="30"/>
      <c r="IS624" s="30"/>
      <c r="IT624" s="30"/>
      <c r="IU624" s="30"/>
      <c r="IV624" s="30"/>
      <c r="IW624" s="30"/>
      <c r="IX624" s="30"/>
      <c r="IY624" s="30"/>
      <c r="IZ624" s="30"/>
      <c r="JA624" s="30"/>
      <c r="JB624" s="30"/>
      <c r="JC624" s="30"/>
      <c r="JD624" s="30"/>
      <c r="JE624" s="30"/>
      <c r="JF624" s="30"/>
      <c r="JG624" s="30"/>
      <c r="JH624" s="30"/>
      <c r="JI624" s="30"/>
      <c r="JJ624" s="30"/>
      <c r="JK624" s="30"/>
      <c r="JL624" s="30"/>
      <c r="JM624" s="30"/>
      <c r="JN624" s="30"/>
      <c r="JO624" s="30"/>
      <c r="JP624" s="30"/>
      <c r="JQ624" s="30"/>
      <c r="JR624" s="30"/>
      <c r="JS624" s="30"/>
      <c r="JT624" s="30"/>
      <c r="JU624" s="30"/>
      <c r="JV624" s="30"/>
      <c r="JW624" s="30"/>
      <c r="JX624" s="30"/>
      <c r="JY624" s="30"/>
      <c r="JZ624" s="30"/>
      <c r="KA624" s="30"/>
      <c r="KB624" s="30"/>
      <c r="KC624" s="30"/>
      <c r="KD624" s="30"/>
      <c r="KE624" s="30"/>
    </row>
    <row r="625" spans="1:291" s="156" customFormat="1" ht="35" customHeight="1">
      <c r="A625" s="42">
        <f>ROW()-2</f>
        <v>623</v>
      </c>
      <c r="B625" s="182" t="s">
        <v>5383</v>
      </c>
      <c r="C625" s="182" t="s">
        <v>5387</v>
      </c>
      <c r="D625" s="187" t="s">
        <v>5389</v>
      </c>
      <c r="E625" s="187" t="s">
        <v>5395</v>
      </c>
      <c r="F625" s="187" t="s">
        <v>5396</v>
      </c>
      <c r="G625" s="42" t="s">
        <v>3253</v>
      </c>
      <c r="H625" s="182">
        <v>1</v>
      </c>
      <c r="I625" s="206">
        <v>0.5</v>
      </c>
      <c r="J625" s="209">
        <v>44606</v>
      </c>
      <c r="K625" s="44" t="s">
        <v>5394</v>
      </c>
      <c r="L625" s="182">
        <v>4.99</v>
      </c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  <c r="FS625" s="30"/>
      <c r="FT625" s="30"/>
      <c r="FU625" s="30"/>
      <c r="FV625" s="30"/>
      <c r="FW625" s="30"/>
      <c r="FX625" s="30"/>
      <c r="FY625" s="30"/>
      <c r="FZ625" s="30"/>
      <c r="GA625" s="30"/>
      <c r="GB625" s="30"/>
      <c r="GC625" s="30"/>
      <c r="GD625" s="30"/>
      <c r="GE625" s="30"/>
      <c r="GF625" s="30"/>
      <c r="GG625" s="30"/>
      <c r="GH625" s="30"/>
      <c r="GI625" s="30"/>
      <c r="GJ625" s="30"/>
      <c r="GK625" s="30"/>
      <c r="GL625" s="30"/>
      <c r="GM625" s="30"/>
      <c r="GN625" s="30"/>
      <c r="GO625" s="30"/>
      <c r="GP625" s="30"/>
      <c r="GQ625" s="30"/>
      <c r="GR625" s="30"/>
      <c r="GS625" s="30"/>
      <c r="GT625" s="30"/>
      <c r="GU625" s="30"/>
      <c r="GV625" s="30"/>
      <c r="GW625" s="30"/>
      <c r="GX625" s="30"/>
      <c r="GY625" s="30"/>
      <c r="GZ625" s="30"/>
      <c r="HA625" s="30"/>
      <c r="HB625" s="30"/>
      <c r="HC625" s="30"/>
      <c r="HD625" s="30"/>
      <c r="HE625" s="30"/>
      <c r="HF625" s="30"/>
      <c r="HG625" s="30"/>
      <c r="HH625" s="30"/>
      <c r="HI625" s="30"/>
      <c r="HJ625" s="30"/>
      <c r="HK625" s="30"/>
      <c r="HL625" s="30"/>
      <c r="HM625" s="30"/>
      <c r="HN625" s="30"/>
      <c r="HO625" s="30"/>
      <c r="HP625" s="30"/>
      <c r="HQ625" s="30"/>
      <c r="HR625" s="30"/>
      <c r="HS625" s="30"/>
      <c r="HT625" s="30"/>
      <c r="HU625" s="30"/>
      <c r="HV625" s="30"/>
      <c r="HW625" s="30"/>
      <c r="HX625" s="30"/>
      <c r="HY625" s="30"/>
      <c r="HZ625" s="30"/>
      <c r="IA625" s="30"/>
      <c r="IB625" s="30"/>
      <c r="IC625" s="30"/>
      <c r="ID625" s="30"/>
      <c r="IE625" s="30"/>
      <c r="IF625" s="30"/>
      <c r="IG625" s="30"/>
      <c r="IH625" s="30"/>
      <c r="II625" s="30"/>
      <c r="IJ625" s="30"/>
      <c r="IK625" s="30"/>
      <c r="IL625" s="30"/>
      <c r="IM625" s="30"/>
      <c r="IN625" s="30"/>
      <c r="IO625" s="30"/>
      <c r="IP625" s="30"/>
      <c r="IQ625" s="30"/>
      <c r="IR625" s="30"/>
      <c r="IS625" s="30"/>
      <c r="IT625" s="30"/>
      <c r="IU625" s="30"/>
      <c r="IV625" s="30"/>
      <c r="IW625" s="30"/>
      <c r="IX625" s="30"/>
      <c r="IY625" s="30"/>
      <c r="IZ625" s="30"/>
      <c r="JA625" s="30"/>
      <c r="JB625" s="30"/>
      <c r="JC625" s="30"/>
      <c r="JD625" s="30"/>
      <c r="JE625" s="30"/>
      <c r="JF625" s="30"/>
      <c r="JG625" s="30"/>
      <c r="JH625" s="30"/>
      <c r="JI625" s="30"/>
      <c r="JJ625" s="30"/>
      <c r="JK625" s="30"/>
      <c r="JL625" s="30"/>
      <c r="JM625" s="30"/>
      <c r="JN625" s="30"/>
      <c r="JO625" s="30"/>
      <c r="JP625" s="30"/>
      <c r="JQ625" s="30"/>
      <c r="JR625" s="30"/>
      <c r="JS625" s="30"/>
      <c r="JT625" s="30"/>
      <c r="JU625" s="30"/>
      <c r="JV625" s="30"/>
      <c r="JW625" s="30"/>
      <c r="JX625" s="30"/>
      <c r="JY625" s="30"/>
      <c r="JZ625" s="30"/>
      <c r="KA625" s="30"/>
      <c r="KB625" s="30"/>
      <c r="KC625" s="30"/>
      <c r="KD625" s="30"/>
      <c r="KE625" s="30"/>
    </row>
    <row r="626" spans="1:291" s="156" customFormat="1" ht="35" customHeight="1">
      <c r="A626" s="42">
        <f>ROW()-2</f>
        <v>624</v>
      </c>
      <c r="B626" s="152" t="s">
        <v>2732</v>
      </c>
      <c r="C626" s="152" t="s">
        <v>4064</v>
      </c>
      <c r="D626" s="58" t="s">
        <v>4077</v>
      </c>
      <c r="E626" s="58" t="s">
        <v>4078</v>
      </c>
      <c r="F626" s="58" t="s">
        <v>4079</v>
      </c>
      <c r="G626" s="152" t="s">
        <v>34</v>
      </c>
      <c r="H626" s="152">
        <v>1</v>
      </c>
      <c r="I626" s="153">
        <v>0.49388888888888899</v>
      </c>
      <c r="J626" s="154">
        <v>43962</v>
      </c>
      <c r="K626" s="153" t="s">
        <v>20</v>
      </c>
      <c r="L626" s="152">
        <v>4.99</v>
      </c>
      <c r="M626" s="155"/>
    </row>
    <row r="627" spans="1:291" s="156" customFormat="1" ht="35" customHeight="1">
      <c r="A627" s="42">
        <f>ROW()-2</f>
        <v>625</v>
      </c>
      <c r="B627" s="152" t="s">
        <v>2732</v>
      </c>
      <c r="C627" s="152" t="s">
        <v>4064</v>
      </c>
      <c r="D627" s="58" t="s">
        <v>4080</v>
      </c>
      <c r="E627" s="58" t="s">
        <v>4081</v>
      </c>
      <c r="F627" s="58" t="s">
        <v>4082</v>
      </c>
      <c r="G627" s="152" t="s">
        <v>34</v>
      </c>
      <c r="H627" s="152">
        <v>1</v>
      </c>
      <c r="I627" s="153">
        <v>0.33111111111111102</v>
      </c>
      <c r="J627" s="154">
        <v>43962</v>
      </c>
      <c r="K627" s="153" t="s">
        <v>20</v>
      </c>
      <c r="L627" s="152">
        <v>4.99</v>
      </c>
      <c r="M627" s="155"/>
    </row>
    <row r="628" spans="1:291" s="156" customFormat="1" ht="35" customHeight="1">
      <c r="A628" s="42">
        <f>ROW()-2</f>
        <v>626</v>
      </c>
      <c r="B628" s="152" t="s">
        <v>2732</v>
      </c>
      <c r="C628" s="152" t="s">
        <v>4064</v>
      </c>
      <c r="D628" s="58" t="s">
        <v>4089</v>
      </c>
      <c r="E628" s="58" t="s">
        <v>4090</v>
      </c>
      <c r="F628" s="58" t="s">
        <v>4091</v>
      </c>
      <c r="G628" s="152" t="s">
        <v>34</v>
      </c>
      <c r="H628" s="152">
        <v>1</v>
      </c>
      <c r="I628" s="153">
        <v>0.42055555555555602</v>
      </c>
      <c r="J628" s="154">
        <v>43962</v>
      </c>
      <c r="K628" s="153" t="s">
        <v>20</v>
      </c>
      <c r="L628" s="152">
        <v>4.99</v>
      </c>
      <c r="M628" s="155"/>
    </row>
    <row r="629" spans="1:291" s="156" customFormat="1" ht="35" customHeight="1">
      <c r="A629" s="42">
        <f>ROW()-2</f>
        <v>627</v>
      </c>
      <c r="B629" s="152" t="s">
        <v>2732</v>
      </c>
      <c r="C629" s="152" t="s">
        <v>4064</v>
      </c>
      <c r="D629" s="58" t="s">
        <v>4109</v>
      </c>
      <c r="E629" s="58" t="s">
        <v>277</v>
      </c>
      <c r="F629" s="58" t="s">
        <v>4110</v>
      </c>
      <c r="G629" s="152" t="s">
        <v>34</v>
      </c>
      <c r="H629" s="152">
        <v>1</v>
      </c>
      <c r="I629" s="153">
        <v>0.38222222222222202</v>
      </c>
      <c r="J629" s="154">
        <v>43962</v>
      </c>
      <c r="K629" s="153" t="s">
        <v>20</v>
      </c>
      <c r="L629" s="152">
        <v>4.99</v>
      </c>
    </row>
    <row r="630" spans="1:291" s="156" customFormat="1" ht="35" customHeight="1">
      <c r="A630" s="42">
        <f>ROW()-2</f>
        <v>628</v>
      </c>
      <c r="B630" s="152" t="s">
        <v>2732</v>
      </c>
      <c r="C630" s="152" t="s">
        <v>4064</v>
      </c>
      <c r="D630" s="58" t="s">
        <v>4111</v>
      </c>
      <c r="E630" s="58" t="s">
        <v>277</v>
      </c>
      <c r="F630" s="58" t="s">
        <v>4110</v>
      </c>
      <c r="G630" s="152" t="s">
        <v>34</v>
      </c>
      <c r="H630" s="152">
        <v>1</v>
      </c>
      <c r="I630" s="153">
        <v>0.48138888888888898</v>
      </c>
      <c r="J630" s="154">
        <v>43962</v>
      </c>
      <c r="K630" s="153" t="s">
        <v>20</v>
      </c>
      <c r="L630" s="152">
        <v>4.99</v>
      </c>
    </row>
    <row r="631" spans="1:291" s="156" customFormat="1" ht="35" customHeight="1">
      <c r="A631" s="42">
        <f>ROW()-2</f>
        <v>629</v>
      </c>
      <c r="B631" s="152" t="s">
        <v>2732</v>
      </c>
      <c r="C631" s="152" t="s">
        <v>4064</v>
      </c>
      <c r="D631" s="58" t="s">
        <v>4112</v>
      </c>
      <c r="E631" s="58" t="s">
        <v>277</v>
      </c>
      <c r="F631" s="58" t="s">
        <v>4110</v>
      </c>
      <c r="G631" s="152" t="s">
        <v>34</v>
      </c>
      <c r="H631" s="152">
        <v>1</v>
      </c>
      <c r="I631" s="153">
        <v>0.74888888888888905</v>
      </c>
      <c r="J631" s="154">
        <v>43962</v>
      </c>
      <c r="K631" s="153" t="s">
        <v>20</v>
      </c>
      <c r="L631" s="152">
        <v>4.99</v>
      </c>
    </row>
    <row r="632" spans="1:291" s="156" customFormat="1" ht="35" customHeight="1">
      <c r="A632" s="42">
        <f>ROW()-2</f>
        <v>630</v>
      </c>
      <c r="B632" s="152" t="s">
        <v>2732</v>
      </c>
      <c r="C632" s="152" t="s">
        <v>4064</v>
      </c>
      <c r="D632" s="58" t="s">
        <v>4113</v>
      </c>
      <c r="E632" s="58" t="s">
        <v>4114</v>
      </c>
      <c r="F632" s="58" t="s">
        <v>3434</v>
      </c>
      <c r="G632" s="152" t="s">
        <v>34</v>
      </c>
      <c r="H632" s="152">
        <v>1</v>
      </c>
      <c r="I632" s="153">
        <v>0.51</v>
      </c>
      <c r="J632" s="154">
        <v>43962</v>
      </c>
      <c r="K632" s="153" t="s">
        <v>20</v>
      </c>
      <c r="L632" s="152">
        <v>4.99</v>
      </c>
    </row>
    <row r="633" spans="1:291" s="156" customFormat="1" ht="35" customHeight="1">
      <c r="A633" s="42">
        <f>ROW()-2</f>
        <v>631</v>
      </c>
      <c r="B633" s="152" t="s">
        <v>2732</v>
      </c>
      <c r="C633" s="152" t="s">
        <v>4064</v>
      </c>
      <c r="D633" s="58" t="s">
        <v>4065</v>
      </c>
      <c r="E633" s="58" t="s">
        <v>4066</v>
      </c>
      <c r="F633" s="58" t="s">
        <v>4067</v>
      </c>
      <c r="G633" s="152" t="s">
        <v>34</v>
      </c>
      <c r="H633" s="152">
        <v>1</v>
      </c>
      <c r="I633" s="153">
        <v>0.78666666666666696</v>
      </c>
      <c r="J633" s="154">
        <v>43978</v>
      </c>
      <c r="K633" s="153" t="s">
        <v>20</v>
      </c>
      <c r="L633" s="152">
        <v>4.99</v>
      </c>
      <c r="M633" s="155"/>
    </row>
    <row r="634" spans="1:291" s="156" customFormat="1" ht="35" customHeight="1">
      <c r="A634" s="42">
        <f>ROW()-2</f>
        <v>632</v>
      </c>
      <c r="B634" s="152" t="s">
        <v>2732</v>
      </c>
      <c r="C634" s="152" t="s">
        <v>4064</v>
      </c>
      <c r="D634" s="58" t="s">
        <v>4071</v>
      </c>
      <c r="E634" s="58" t="s">
        <v>4072</v>
      </c>
      <c r="F634" s="58" t="s">
        <v>4073</v>
      </c>
      <c r="G634" s="152" t="s">
        <v>34</v>
      </c>
      <c r="H634" s="152">
        <v>1</v>
      </c>
      <c r="I634" s="153">
        <v>0.68</v>
      </c>
      <c r="J634" s="154">
        <v>43978</v>
      </c>
      <c r="K634" s="153" t="s">
        <v>20</v>
      </c>
      <c r="L634" s="152">
        <v>4.99</v>
      </c>
      <c r="M634" s="155"/>
    </row>
    <row r="635" spans="1:291" s="156" customFormat="1" ht="35" customHeight="1">
      <c r="A635" s="42">
        <f>ROW()-2</f>
        <v>633</v>
      </c>
      <c r="B635" s="152" t="s">
        <v>2732</v>
      </c>
      <c r="C635" s="152" t="s">
        <v>4064</v>
      </c>
      <c r="D635" s="58" t="s">
        <v>4074</v>
      </c>
      <c r="E635" s="58" t="s">
        <v>4075</v>
      </c>
      <c r="F635" s="58" t="s">
        <v>4076</v>
      </c>
      <c r="G635" s="152" t="s">
        <v>34</v>
      </c>
      <c r="H635" s="152">
        <v>1</v>
      </c>
      <c r="I635" s="153">
        <v>0.36777777777777798</v>
      </c>
      <c r="J635" s="154">
        <v>43978</v>
      </c>
      <c r="K635" s="153" t="s">
        <v>20</v>
      </c>
      <c r="L635" s="152">
        <v>4.99</v>
      </c>
      <c r="M635" s="155"/>
    </row>
    <row r="636" spans="1:291" s="156" customFormat="1" ht="35" customHeight="1">
      <c r="A636" s="42">
        <f>ROW()-2</f>
        <v>634</v>
      </c>
      <c r="B636" s="152" t="s">
        <v>2732</v>
      </c>
      <c r="C636" s="152" t="s">
        <v>4064</v>
      </c>
      <c r="D636" s="58" t="s">
        <v>4083</v>
      </c>
      <c r="E636" s="58" t="s">
        <v>4084</v>
      </c>
      <c r="F636" s="58" t="s">
        <v>4085</v>
      </c>
      <c r="G636" s="152" t="s">
        <v>34</v>
      </c>
      <c r="H636" s="152">
        <v>1</v>
      </c>
      <c r="I636" s="153">
        <v>0.52138888888888901</v>
      </c>
      <c r="J636" s="154">
        <v>43978</v>
      </c>
      <c r="K636" s="153" t="s">
        <v>20</v>
      </c>
      <c r="L636" s="152">
        <v>4.99</v>
      </c>
      <c r="M636" s="155"/>
    </row>
    <row r="637" spans="1:291" s="156" customFormat="1" ht="35" customHeight="1">
      <c r="A637" s="42">
        <f>ROW()-2</f>
        <v>635</v>
      </c>
      <c r="B637" s="152" t="s">
        <v>2732</v>
      </c>
      <c r="C637" s="152" t="s">
        <v>4064</v>
      </c>
      <c r="D637" s="58" t="s">
        <v>4086</v>
      </c>
      <c r="E637" s="58" t="s">
        <v>4087</v>
      </c>
      <c r="F637" s="58" t="s">
        <v>4088</v>
      </c>
      <c r="G637" s="152" t="s">
        <v>34</v>
      </c>
      <c r="H637" s="152">
        <v>1</v>
      </c>
      <c r="I637" s="153">
        <v>0.38555555555555598</v>
      </c>
      <c r="J637" s="154">
        <v>43978</v>
      </c>
      <c r="K637" s="153" t="s">
        <v>20</v>
      </c>
      <c r="L637" s="152">
        <v>4.99</v>
      </c>
      <c r="M637" s="155"/>
    </row>
    <row r="638" spans="1:291" s="156" customFormat="1" ht="35" customHeight="1">
      <c r="A638" s="42">
        <f>ROW()-2</f>
        <v>636</v>
      </c>
      <c r="B638" s="152" t="s">
        <v>2732</v>
      </c>
      <c r="C638" s="152" t="s">
        <v>4064</v>
      </c>
      <c r="D638" s="58" t="s">
        <v>4092</v>
      </c>
      <c r="E638" s="58" t="s">
        <v>4093</v>
      </c>
      <c r="F638" s="58" t="s">
        <v>4094</v>
      </c>
      <c r="G638" s="152" t="s">
        <v>34</v>
      </c>
      <c r="H638" s="152">
        <v>1</v>
      </c>
      <c r="I638" s="153">
        <v>0.37083333333333302</v>
      </c>
      <c r="J638" s="154">
        <v>43978</v>
      </c>
      <c r="K638" s="153" t="s">
        <v>20</v>
      </c>
      <c r="L638" s="152">
        <v>4.99</v>
      </c>
      <c r="M638" s="155"/>
    </row>
    <row r="639" spans="1:291" s="156" customFormat="1" ht="35" customHeight="1">
      <c r="A639" s="42">
        <f>ROW()-2</f>
        <v>637</v>
      </c>
      <c r="B639" s="152" t="s">
        <v>2732</v>
      </c>
      <c r="C639" s="152" t="s">
        <v>4064</v>
      </c>
      <c r="D639" s="58" t="s">
        <v>4098</v>
      </c>
      <c r="E639" s="58" t="s">
        <v>4093</v>
      </c>
      <c r="F639" s="58" t="s">
        <v>4094</v>
      </c>
      <c r="G639" s="152" t="s">
        <v>34</v>
      </c>
      <c r="H639" s="152">
        <v>1</v>
      </c>
      <c r="I639" s="153">
        <v>0.465555555555556</v>
      </c>
      <c r="J639" s="154">
        <v>43978</v>
      </c>
      <c r="K639" s="153" t="s">
        <v>20</v>
      </c>
      <c r="L639" s="152">
        <v>4.99</v>
      </c>
      <c r="M639" s="155"/>
    </row>
    <row r="640" spans="1:291" s="156" customFormat="1" ht="35" customHeight="1">
      <c r="A640" s="42">
        <f>ROW()-2</f>
        <v>638</v>
      </c>
      <c r="B640" s="152" t="s">
        <v>2732</v>
      </c>
      <c r="C640" s="152" t="s">
        <v>4064</v>
      </c>
      <c r="D640" s="58" t="s">
        <v>4099</v>
      </c>
      <c r="E640" s="58" t="s">
        <v>4100</v>
      </c>
      <c r="F640" s="58" t="s">
        <v>4101</v>
      </c>
      <c r="G640" s="152" t="s">
        <v>34</v>
      </c>
      <c r="H640" s="152">
        <v>1</v>
      </c>
      <c r="I640" s="153">
        <v>0.70055555555555604</v>
      </c>
      <c r="J640" s="154">
        <v>43978</v>
      </c>
      <c r="K640" s="153" t="s">
        <v>20</v>
      </c>
      <c r="L640" s="152">
        <v>4.99</v>
      </c>
    </row>
    <row r="641" spans="1:291" s="156" customFormat="1" ht="35" customHeight="1">
      <c r="A641" s="42">
        <f>ROW()-2</f>
        <v>639</v>
      </c>
      <c r="B641" s="152" t="s">
        <v>2732</v>
      </c>
      <c r="C641" s="152" t="s">
        <v>4064</v>
      </c>
      <c r="D641" s="58" t="s">
        <v>4102</v>
      </c>
      <c r="E641" s="58" t="s">
        <v>4103</v>
      </c>
      <c r="F641" s="58" t="s">
        <v>2878</v>
      </c>
      <c r="G641" s="152" t="s">
        <v>34</v>
      </c>
      <c r="H641" s="152">
        <v>1</v>
      </c>
      <c r="I641" s="153">
        <v>0.52361111111111103</v>
      </c>
      <c r="J641" s="154">
        <v>43978</v>
      </c>
      <c r="K641" s="153" t="s">
        <v>20</v>
      </c>
      <c r="L641" s="152">
        <v>4.99</v>
      </c>
    </row>
    <row r="642" spans="1:291" s="156" customFormat="1" ht="35" customHeight="1">
      <c r="A642" s="42">
        <f>ROW()-2</f>
        <v>640</v>
      </c>
      <c r="B642" s="152" t="s">
        <v>2732</v>
      </c>
      <c r="C642" s="152" t="s">
        <v>4064</v>
      </c>
      <c r="D642" s="58" t="s">
        <v>4107</v>
      </c>
      <c r="E642" s="58" t="s">
        <v>4108</v>
      </c>
      <c r="F642" s="58" t="s">
        <v>619</v>
      </c>
      <c r="G642" s="152" t="s">
        <v>34</v>
      </c>
      <c r="H642" s="152">
        <v>1</v>
      </c>
      <c r="I642" s="153">
        <v>0.49583333333333302</v>
      </c>
      <c r="J642" s="154">
        <v>43978</v>
      </c>
      <c r="K642" s="153" t="s">
        <v>20</v>
      </c>
      <c r="L642" s="152">
        <v>4.99</v>
      </c>
    </row>
    <row r="643" spans="1:291" s="156" customFormat="1" ht="35" customHeight="1">
      <c r="A643" s="42">
        <f>ROW()-2</f>
        <v>641</v>
      </c>
      <c r="B643" s="152" t="s">
        <v>2732</v>
      </c>
      <c r="C643" s="152" t="s">
        <v>4064</v>
      </c>
      <c r="D643" s="58" t="s">
        <v>4115</v>
      </c>
      <c r="E643" s="58" t="s">
        <v>4116</v>
      </c>
      <c r="F643" s="58" t="s">
        <v>2948</v>
      </c>
      <c r="G643" s="152" t="s">
        <v>34</v>
      </c>
      <c r="H643" s="152">
        <v>2</v>
      </c>
      <c r="I643" s="153">
        <v>1.1000000000000001</v>
      </c>
      <c r="J643" s="154">
        <v>44025</v>
      </c>
      <c r="K643" s="153" t="s">
        <v>20</v>
      </c>
      <c r="L643" s="152">
        <v>4.99</v>
      </c>
    </row>
    <row r="644" spans="1:291" s="156" customFormat="1" ht="35" customHeight="1">
      <c r="A644" s="42">
        <f>ROW()-2</f>
        <v>642</v>
      </c>
      <c r="B644" s="152" t="s">
        <v>2732</v>
      </c>
      <c r="C644" s="152" t="s">
        <v>4064</v>
      </c>
      <c r="D644" s="152" t="s">
        <v>4117</v>
      </c>
      <c r="E644" s="58" t="s">
        <v>4118</v>
      </c>
      <c r="F644" s="58" t="s">
        <v>2948</v>
      </c>
      <c r="G644" s="152" t="s">
        <v>34</v>
      </c>
      <c r="H644" s="152">
        <v>3</v>
      </c>
      <c r="I644" s="153">
        <v>1.72</v>
      </c>
      <c r="J644" s="154">
        <v>44039</v>
      </c>
      <c r="K644" s="153" t="s">
        <v>20</v>
      </c>
      <c r="L644" s="152">
        <v>4.99</v>
      </c>
    </row>
    <row r="645" spans="1:291" s="156" customFormat="1" ht="35" customHeight="1">
      <c r="A645" s="42">
        <f>ROW()-2</f>
        <v>643</v>
      </c>
      <c r="B645" s="152" t="s">
        <v>2732</v>
      </c>
      <c r="C645" s="152" t="s">
        <v>4064</v>
      </c>
      <c r="D645" s="152" t="s">
        <v>4119</v>
      </c>
      <c r="E645" s="152" t="s">
        <v>4120</v>
      </c>
      <c r="F645" s="58" t="s">
        <v>2948</v>
      </c>
      <c r="G645" s="152" t="s">
        <v>34</v>
      </c>
      <c r="H645" s="152">
        <v>2</v>
      </c>
      <c r="I645" s="153">
        <v>1.32</v>
      </c>
      <c r="J645" s="154">
        <v>44053</v>
      </c>
      <c r="K645" s="153" t="s">
        <v>20</v>
      </c>
      <c r="L645" s="152">
        <v>4.99</v>
      </c>
    </row>
    <row r="646" spans="1:291" s="156" customFormat="1" ht="35" customHeight="1">
      <c r="A646" s="42">
        <f>ROW()-2</f>
        <v>644</v>
      </c>
      <c r="B646" s="152" t="s">
        <v>2732</v>
      </c>
      <c r="C646" s="152" t="s">
        <v>4064</v>
      </c>
      <c r="D646" s="152" t="s">
        <v>4121</v>
      </c>
      <c r="E646" s="152" t="s">
        <v>4122</v>
      </c>
      <c r="F646" s="58" t="s">
        <v>2948</v>
      </c>
      <c r="G646" s="152" t="s">
        <v>34</v>
      </c>
      <c r="H646" s="152">
        <v>2</v>
      </c>
      <c r="I646" s="153">
        <v>1.1200000000000001</v>
      </c>
      <c r="J646" s="154">
        <v>44067</v>
      </c>
      <c r="K646" s="153" t="s">
        <v>20</v>
      </c>
      <c r="L646" s="152">
        <v>4.99</v>
      </c>
    </row>
    <row r="647" spans="1:291" s="156" customFormat="1" ht="35" customHeight="1">
      <c r="A647" s="42">
        <f>ROW()-2</f>
        <v>645</v>
      </c>
      <c r="B647" s="152" t="s">
        <v>2732</v>
      </c>
      <c r="C647" s="152" t="s">
        <v>4064</v>
      </c>
      <c r="D647" s="152" t="s">
        <v>4077</v>
      </c>
      <c r="E647" s="152" t="s">
        <v>4078</v>
      </c>
      <c r="F647" s="58" t="s">
        <v>2948</v>
      </c>
      <c r="G647" s="152" t="s">
        <v>34</v>
      </c>
      <c r="H647" s="152">
        <v>2</v>
      </c>
      <c r="I647" s="153">
        <v>0.98</v>
      </c>
      <c r="J647" s="154">
        <v>44074</v>
      </c>
      <c r="K647" s="153" t="s">
        <v>20</v>
      </c>
      <c r="L647" s="152">
        <v>4.99</v>
      </c>
    </row>
    <row r="648" spans="1:291" s="156" customFormat="1" ht="35" customHeight="1">
      <c r="A648" s="42">
        <f>ROW()-2</f>
        <v>646</v>
      </c>
      <c r="B648" s="182" t="s">
        <v>2732</v>
      </c>
      <c r="C648" s="182" t="s">
        <v>4064</v>
      </c>
      <c r="D648" s="187" t="s">
        <v>5279</v>
      </c>
      <c r="E648" s="187" t="s">
        <v>5280</v>
      </c>
      <c r="F648" s="187" t="s">
        <v>5281</v>
      </c>
      <c r="G648" s="182" t="s">
        <v>34</v>
      </c>
      <c r="H648" s="182">
        <v>3</v>
      </c>
      <c r="I648" s="206">
        <v>1.5358333333333334</v>
      </c>
      <c r="J648" s="209">
        <v>44074</v>
      </c>
      <c r="K648" s="206" t="s">
        <v>20</v>
      </c>
      <c r="L648" s="182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136"/>
      <c r="AS648" s="136"/>
      <c r="AT648" s="136"/>
      <c r="AU648" s="136"/>
      <c r="AV648" s="136"/>
      <c r="AW648" s="136"/>
      <c r="AX648" s="136"/>
      <c r="AY648" s="136"/>
      <c r="AZ648" s="136"/>
      <c r="BA648" s="136"/>
      <c r="BB648" s="136"/>
      <c r="BC648" s="136"/>
      <c r="BD648" s="136"/>
      <c r="BE648" s="136"/>
      <c r="BF648" s="136"/>
      <c r="BG648" s="136"/>
      <c r="BH648" s="136"/>
      <c r="BI648" s="136"/>
      <c r="BJ648" s="136"/>
      <c r="BK648" s="136"/>
      <c r="BL648" s="136"/>
      <c r="BM648" s="136"/>
      <c r="BN648" s="136"/>
      <c r="BO648" s="136"/>
      <c r="BP648" s="136"/>
      <c r="BQ648" s="136"/>
      <c r="BR648" s="136"/>
      <c r="BS648" s="136"/>
      <c r="BT648" s="136"/>
      <c r="BU648" s="136"/>
      <c r="BV648" s="136"/>
      <c r="BW648" s="136"/>
      <c r="BX648" s="136"/>
      <c r="BY648" s="136"/>
      <c r="BZ648" s="136"/>
      <c r="CA648" s="136"/>
      <c r="CB648" s="136"/>
      <c r="CC648" s="136"/>
      <c r="CD648" s="136"/>
      <c r="CE648" s="136"/>
      <c r="CF648" s="136"/>
      <c r="CG648" s="136"/>
      <c r="CH648" s="136"/>
      <c r="CI648" s="136"/>
      <c r="CJ648" s="136"/>
      <c r="CK648" s="136"/>
      <c r="CL648" s="136"/>
      <c r="CM648" s="136"/>
      <c r="CN648" s="136"/>
      <c r="CO648" s="136"/>
      <c r="CP648" s="136"/>
      <c r="CQ648" s="136"/>
      <c r="CR648" s="136"/>
      <c r="CS648" s="136"/>
      <c r="CT648" s="136"/>
      <c r="CU648" s="136"/>
      <c r="CV648" s="136"/>
      <c r="CW648" s="136"/>
      <c r="CX648" s="136"/>
      <c r="CY648" s="136"/>
      <c r="CZ648" s="136"/>
      <c r="DA648" s="136"/>
      <c r="DB648" s="136"/>
      <c r="DC648" s="136"/>
      <c r="DD648" s="136"/>
      <c r="DE648" s="136"/>
      <c r="DF648" s="136"/>
      <c r="DG648" s="136"/>
      <c r="DH648" s="136"/>
      <c r="DI648" s="136"/>
      <c r="DJ648" s="136"/>
      <c r="DK648" s="136"/>
      <c r="DL648" s="136"/>
      <c r="DM648" s="136"/>
      <c r="DN648" s="136"/>
      <c r="DO648" s="136"/>
      <c r="DP648" s="136"/>
      <c r="DQ648" s="136"/>
      <c r="DR648" s="136"/>
      <c r="DS648" s="136"/>
      <c r="DT648" s="136"/>
      <c r="DU648" s="136"/>
      <c r="DV648" s="136"/>
      <c r="DW648" s="136"/>
      <c r="DX648" s="136"/>
      <c r="DY648" s="136"/>
      <c r="DZ648" s="136"/>
      <c r="EA648" s="136"/>
      <c r="EB648" s="136"/>
      <c r="EC648" s="136"/>
      <c r="ED648" s="136"/>
      <c r="EE648" s="136"/>
      <c r="EF648" s="136"/>
      <c r="EG648" s="136"/>
      <c r="EH648" s="136"/>
      <c r="EI648" s="136"/>
      <c r="EJ648" s="136"/>
      <c r="EK648" s="136"/>
      <c r="EL648" s="136"/>
      <c r="EM648" s="136"/>
      <c r="EN648" s="136"/>
      <c r="EO648" s="136"/>
      <c r="EP648" s="136"/>
      <c r="EQ648" s="136"/>
      <c r="ER648" s="136"/>
      <c r="ES648" s="136"/>
      <c r="ET648" s="136"/>
      <c r="EU648" s="136"/>
      <c r="EV648" s="136"/>
      <c r="EW648" s="136"/>
      <c r="EX648" s="136"/>
      <c r="EY648" s="136"/>
      <c r="EZ648" s="136"/>
      <c r="FA648" s="136"/>
      <c r="FB648" s="136"/>
      <c r="FC648" s="136"/>
      <c r="FD648" s="136"/>
      <c r="FE648" s="136"/>
      <c r="FF648" s="136"/>
      <c r="FG648" s="136"/>
      <c r="FH648" s="136"/>
      <c r="FI648" s="136"/>
      <c r="FJ648" s="136"/>
      <c r="FK648" s="136"/>
      <c r="FL648" s="136"/>
      <c r="FM648" s="136"/>
      <c r="FN648" s="136"/>
      <c r="FO648" s="136"/>
      <c r="FP648" s="136"/>
      <c r="FQ648" s="136"/>
      <c r="FR648" s="136"/>
      <c r="FS648" s="136"/>
      <c r="FT648" s="136"/>
      <c r="FU648" s="136"/>
      <c r="FV648" s="136"/>
      <c r="FW648" s="136"/>
      <c r="FX648" s="136"/>
      <c r="FY648" s="136"/>
      <c r="FZ648" s="136"/>
      <c r="GA648" s="136"/>
      <c r="GB648" s="136"/>
      <c r="GC648" s="136"/>
      <c r="GD648" s="136"/>
      <c r="GE648" s="136"/>
      <c r="GF648" s="136"/>
      <c r="GG648" s="136"/>
      <c r="GH648" s="136"/>
      <c r="GI648" s="136"/>
      <c r="GJ648" s="136"/>
      <c r="GK648" s="136"/>
      <c r="GL648" s="136"/>
      <c r="GM648" s="136"/>
      <c r="GN648" s="136"/>
      <c r="GO648" s="136"/>
      <c r="GP648" s="136"/>
      <c r="GQ648" s="136"/>
      <c r="GR648" s="136"/>
      <c r="GS648" s="136"/>
      <c r="GT648" s="136"/>
      <c r="GU648" s="136"/>
      <c r="GV648" s="136"/>
      <c r="GW648" s="136"/>
      <c r="GX648" s="136"/>
      <c r="GY648" s="136"/>
      <c r="GZ648" s="136"/>
      <c r="HA648" s="136"/>
      <c r="HB648" s="136"/>
      <c r="HC648" s="136"/>
      <c r="HD648" s="136"/>
      <c r="HE648" s="136"/>
      <c r="HF648" s="136"/>
      <c r="HG648" s="136"/>
      <c r="HH648" s="136"/>
      <c r="HI648" s="136"/>
      <c r="HJ648" s="136"/>
      <c r="HK648" s="136"/>
      <c r="HL648" s="136"/>
      <c r="HM648" s="136"/>
      <c r="HN648" s="136"/>
      <c r="HO648" s="136"/>
      <c r="HP648" s="136"/>
      <c r="HQ648" s="136"/>
      <c r="HR648" s="136"/>
      <c r="HS648" s="136"/>
      <c r="HT648" s="136"/>
      <c r="HU648" s="136"/>
      <c r="HV648" s="136"/>
      <c r="HW648" s="136"/>
      <c r="HX648" s="136"/>
      <c r="HY648" s="136"/>
      <c r="HZ648" s="136"/>
      <c r="IA648" s="136"/>
      <c r="IB648" s="136"/>
      <c r="IC648" s="136"/>
      <c r="ID648" s="136"/>
      <c r="IE648" s="136"/>
      <c r="IF648" s="136"/>
      <c r="IG648" s="136"/>
      <c r="IH648" s="136"/>
      <c r="II648" s="136"/>
      <c r="IJ648" s="136"/>
      <c r="IK648" s="136"/>
      <c r="IL648" s="136"/>
      <c r="IM648" s="136"/>
      <c r="IN648" s="136"/>
      <c r="IO648" s="136"/>
      <c r="IP648" s="136"/>
      <c r="IQ648" s="136"/>
      <c r="IR648" s="136"/>
      <c r="IS648" s="136"/>
      <c r="IT648" s="136"/>
      <c r="IU648" s="136"/>
      <c r="IV648" s="136"/>
      <c r="IW648" s="136"/>
      <c r="IX648" s="136"/>
      <c r="IY648" s="136"/>
      <c r="IZ648" s="136"/>
      <c r="JA648" s="136"/>
      <c r="JB648" s="136"/>
      <c r="JC648" s="136"/>
      <c r="JD648" s="136"/>
      <c r="JE648" s="136"/>
      <c r="JF648" s="136"/>
      <c r="JG648" s="136"/>
      <c r="JH648" s="136"/>
      <c r="JI648" s="136"/>
      <c r="JJ648" s="136"/>
      <c r="JK648" s="136"/>
      <c r="JL648" s="136"/>
      <c r="JM648" s="136"/>
      <c r="JN648" s="136"/>
      <c r="JO648" s="136"/>
      <c r="JP648" s="136"/>
      <c r="JQ648" s="136"/>
      <c r="JR648" s="136"/>
      <c r="JS648" s="136"/>
      <c r="JT648" s="136"/>
      <c r="JU648" s="136"/>
      <c r="JV648" s="136"/>
      <c r="JW648" s="136"/>
      <c r="JX648" s="136"/>
      <c r="JY648" s="136"/>
      <c r="JZ648" s="136"/>
      <c r="KA648" s="136"/>
      <c r="KB648" s="136"/>
      <c r="KC648" s="136"/>
      <c r="KD648" s="136"/>
      <c r="KE648" s="136"/>
    </row>
    <row r="649" spans="1:291" s="156" customFormat="1" ht="35" customHeight="1">
      <c r="A649" s="42">
        <f>ROW()-2</f>
        <v>647</v>
      </c>
      <c r="B649" s="152" t="s">
        <v>2732</v>
      </c>
      <c r="C649" s="152" t="s">
        <v>4064</v>
      </c>
      <c r="D649" s="152" t="s">
        <v>4123</v>
      </c>
      <c r="E649" s="152" t="s">
        <v>4124</v>
      </c>
      <c r="F649" s="152" t="s">
        <v>2948</v>
      </c>
      <c r="G649" s="152" t="s">
        <v>34</v>
      </c>
      <c r="H649" s="58">
        <v>2</v>
      </c>
      <c r="I649" s="153">
        <v>0.95</v>
      </c>
      <c r="J649" s="154">
        <v>44081</v>
      </c>
      <c r="K649" s="153" t="s">
        <v>20</v>
      </c>
      <c r="L649" s="152">
        <v>4.99</v>
      </c>
    </row>
    <row r="650" spans="1:291" ht="35" customHeight="1">
      <c r="A650" s="42">
        <f>ROW()-2</f>
        <v>648</v>
      </c>
      <c r="B650" s="152" t="s">
        <v>2732</v>
      </c>
      <c r="C650" s="152" t="s">
        <v>4064</v>
      </c>
      <c r="D650" s="152" t="s">
        <v>4130</v>
      </c>
      <c r="E650" s="152" t="s">
        <v>4072</v>
      </c>
      <c r="F650" s="152" t="s">
        <v>2948</v>
      </c>
      <c r="G650" s="152" t="s">
        <v>34</v>
      </c>
      <c r="H650" s="58">
        <v>2</v>
      </c>
      <c r="I650" s="153">
        <v>0.95</v>
      </c>
      <c r="J650" s="154">
        <v>44088</v>
      </c>
      <c r="K650" s="153" t="s">
        <v>20</v>
      </c>
      <c r="L650" s="152">
        <v>4.99</v>
      </c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  <c r="AA650" s="156"/>
      <c r="AB650" s="156"/>
      <c r="AC650" s="156"/>
      <c r="AD650" s="156"/>
      <c r="AE650" s="156"/>
      <c r="AF650" s="156"/>
      <c r="AG650" s="156"/>
      <c r="AH650" s="156"/>
      <c r="AI650" s="156"/>
      <c r="AJ650" s="156"/>
      <c r="AK650" s="156"/>
      <c r="AL650" s="156"/>
      <c r="AM650" s="156"/>
      <c r="AN650" s="156"/>
      <c r="AO650" s="156"/>
      <c r="AP650" s="156"/>
      <c r="AQ650" s="156"/>
      <c r="AR650" s="156"/>
      <c r="AS650" s="156"/>
      <c r="AT650" s="156"/>
      <c r="AU650" s="156"/>
      <c r="AV650" s="156"/>
      <c r="AW650" s="156"/>
      <c r="AX650" s="156"/>
      <c r="AY650" s="156"/>
      <c r="AZ650" s="156"/>
      <c r="BA650" s="156"/>
      <c r="BB650" s="156"/>
      <c r="BC650" s="156"/>
      <c r="BD650" s="156"/>
      <c r="BE650" s="156"/>
      <c r="BF650" s="156"/>
      <c r="BG650" s="156"/>
      <c r="BH650" s="156"/>
      <c r="BI650" s="156"/>
      <c r="BJ650" s="156"/>
      <c r="BK650" s="156"/>
      <c r="BL650" s="156"/>
      <c r="BM650" s="156"/>
      <c r="BN650" s="156"/>
      <c r="BO650" s="156"/>
      <c r="BP650" s="156"/>
      <c r="BQ650" s="156"/>
      <c r="BR650" s="156"/>
      <c r="BS650" s="156"/>
      <c r="BT650" s="156"/>
      <c r="BU650" s="156"/>
      <c r="BV650" s="156"/>
      <c r="BW650" s="156"/>
      <c r="BX650" s="156"/>
      <c r="BY650" s="156"/>
      <c r="BZ650" s="156"/>
      <c r="CA650" s="156"/>
      <c r="CB650" s="156"/>
      <c r="CC650" s="156"/>
      <c r="CD650" s="156"/>
      <c r="CE650" s="156"/>
      <c r="CF650" s="156"/>
      <c r="CG650" s="156"/>
      <c r="CH650" s="156"/>
      <c r="CI650" s="156"/>
      <c r="CJ650" s="156"/>
      <c r="CK650" s="156"/>
      <c r="CL650" s="156"/>
      <c r="CM650" s="156"/>
      <c r="CN650" s="156"/>
      <c r="CO650" s="156"/>
      <c r="CP650" s="156"/>
      <c r="CQ650" s="156"/>
      <c r="CR650" s="156"/>
      <c r="CS650" s="156"/>
      <c r="CT650" s="156"/>
      <c r="CU650" s="156"/>
      <c r="CV650" s="156"/>
      <c r="CW650" s="156"/>
      <c r="CX650" s="156"/>
      <c r="CY650" s="156"/>
      <c r="CZ650" s="156"/>
      <c r="DA650" s="156"/>
      <c r="DB650" s="156"/>
      <c r="DC650" s="156"/>
      <c r="DD650" s="156"/>
      <c r="DE650" s="156"/>
      <c r="DF650" s="156"/>
      <c r="DG650" s="156"/>
      <c r="DH650" s="156"/>
      <c r="DI650" s="156"/>
      <c r="DJ650" s="156"/>
      <c r="DK650" s="156"/>
      <c r="DL650" s="156"/>
      <c r="DM650" s="156"/>
      <c r="DN650" s="156"/>
      <c r="DO650" s="156"/>
      <c r="DP650" s="156"/>
      <c r="DQ650" s="156"/>
      <c r="DR650" s="156"/>
      <c r="DS650" s="156"/>
      <c r="DT650" s="156"/>
      <c r="DU650" s="156"/>
      <c r="DV650" s="156"/>
      <c r="DW650" s="156"/>
      <c r="DX650" s="156"/>
      <c r="DY650" s="156"/>
      <c r="DZ650" s="156"/>
      <c r="EA650" s="156"/>
      <c r="EB650" s="156"/>
      <c r="EC650" s="156"/>
      <c r="ED650" s="156"/>
      <c r="EE650" s="156"/>
      <c r="EF650" s="156"/>
      <c r="EG650" s="156"/>
      <c r="EH650" s="156"/>
      <c r="EI650" s="156"/>
      <c r="EJ650" s="156"/>
      <c r="EK650" s="156"/>
      <c r="EL650" s="156"/>
      <c r="EM650" s="156"/>
      <c r="EN650" s="156"/>
      <c r="EO650" s="156"/>
      <c r="EP650" s="156"/>
      <c r="EQ650" s="156"/>
      <c r="ER650" s="156"/>
      <c r="ES650" s="156"/>
      <c r="ET650" s="156"/>
      <c r="EU650" s="156"/>
      <c r="EV650" s="156"/>
      <c r="EW650" s="156"/>
      <c r="EX650" s="156"/>
      <c r="EY650" s="156"/>
      <c r="EZ650" s="156"/>
      <c r="FA650" s="156"/>
      <c r="FB650" s="156"/>
      <c r="FC650" s="156"/>
      <c r="FD650" s="156"/>
      <c r="FE650" s="156"/>
      <c r="FF650" s="156"/>
      <c r="FG650" s="156"/>
      <c r="FH650" s="156"/>
      <c r="FI650" s="156"/>
      <c r="FJ650" s="156"/>
      <c r="FK650" s="156"/>
      <c r="FL650" s="156"/>
      <c r="FM650" s="156"/>
      <c r="FN650" s="156"/>
      <c r="FO650" s="156"/>
      <c r="FP650" s="156"/>
      <c r="FQ650" s="156"/>
      <c r="FR650" s="156"/>
      <c r="FS650" s="156"/>
      <c r="FT650" s="156"/>
      <c r="FU650" s="156"/>
      <c r="FV650" s="156"/>
      <c r="FW650" s="156"/>
      <c r="FX650" s="156"/>
      <c r="FY650" s="156"/>
      <c r="FZ650" s="156"/>
      <c r="GA650" s="156"/>
      <c r="GB650" s="156"/>
      <c r="GC650" s="156"/>
      <c r="GD650" s="156"/>
      <c r="GE650" s="156"/>
      <c r="GF650" s="156"/>
      <c r="GG650" s="156"/>
      <c r="GH650" s="156"/>
      <c r="GI650" s="156"/>
      <c r="GJ650" s="156"/>
      <c r="GK650" s="156"/>
      <c r="GL650" s="156"/>
      <c r="GM650" s="156"/>
      <c r="GN650" s="156"/>
      <c r="GO650" s="156"/>
      <c r="GP650" s="156"/>
      <c r="GQ650" s="156"/>
      <c r="GR650" s="156"/>
      <c r="GS650" s="156"/>
      <c r="GT650" s="156"/>
      <c r="GU650" s="156"/>
      <c r="GV650" s="156"/>
      <c r="GW650" s="156"/>
      <c r="GX650" s="156"/>
      <c r="GY650" s="156"/>
      <c r="GZ650" s="156"/>
      <c r="HA650" s="156"/>
      <c r="HB650" s="156"/>
      <c r="HC650" s="156"/>
      <c r="HD650" s="156"/>
      <c r="HE650" s="156"/>
      <c r="HF650" s="156"/>
      <c r="HG650" s="156"/>
      <c r="HH650" s="156"/>
      <c r="HI650" s="156"/>
      <c r="HJ650" s="156"/>
      <c r="HK650" s="156"/>
      <c r="HL650" s="156"/>
      <c r="HM650" s="156"/>
      <c r="HN650" s="156"/>
      <c r="HO650" s="156"/>
      <c r="HP650" s="156"/>
      <c r="HQ650" s="156"/>
      <c r="HR650" s="156"/>
      <c r="HS650" s="156"/>
      <c r="HT650" s="156"/>
      <c r="HU650" s="156"/>
      <c r="HV650" s="156"/>
      <c r="HW650" s="156"/>
      <c r="HX650" s="156"/>
      <c r="HY650" s="156"/>
      <c r="HZ650" s="156"/>
      <c r="IA650" s="156"/>
      <c r="IB650" s="156"/>
      <c r="IC650" s="156"/>
      <c r="ID650" s="156"/>
      <c r="IE650" s="156"/>
      <c r="IF650" s="156"/>
      <c r="IG650" s="156"/>
      <c r="IH650" s="156"/>
      <c r="II650" s="156"/>
      <c r="IJ650" s="156"/>
      <c r="IK650" s="156"/>
      <c r="IL650" s="156"/>
      <c r="IM650" s="156"/>
      <c r="IN650" s="156"/>
      <c r="IO650" s="156"/>
      <c r="IP650" s="156"/>
      <c r="IQ650" s="156"/>
      <c r="IR650" s="156"/>
      <c r="IS650" s="156"/>
      <c r="IT650" s="156"/>
      <c r="IU650" s="156"/>
      <c r="IV650" s="156"/>
      <c r="IW650" s="156"/>
      <c r="IX650" s="156"/>
      <c r="IY650" s="156"/>
      <c r="IZ650" s="156"/>
      <c r="JA650" s="156"/>
      <c r="JB650" s="156"/>
      <c r="JC650" s="156"/>
      <c r="JD650" s="156"/>
      <c r="JE650" s="156"/>
      <c r="JF650" s="156"/>
      <c r="JG650" s="156"/>
      <c r="JH650" s="156"/>
      <c r="JI650" s="156"/>
      <c r="JJ650" s="156"/>
      <c r="JK650" s="156"/>
      <c r="JL650" s="156"/>
      <c r="JM650" s="156"/>
      <c r="JN650" s="156"/>
      <c r="JO650" s="156"/>
      <c r="JP650" s="156"/>
      <c r="JQ650" s="156"/>
      <c r="JR650" s="156"/>
      <c r="JS650" s="156"/>
      <c r="JT650" s="156"/>
      <c r="JU650" s="156"/>
      <c r="JV650" s="156"/>
      <c r="JW650" s="156"/>
      <c r="JX650" s="156"/>
      <c r="JY650" s="156"/>
      <c r="JZ650" s="156"/>
      <c r="KA650" s="156"/>
      <c r="KB650" s="156"/>
      <c r="KC650" s="156"/>
      <c r="KD650" s="156"/>
      <c r="KE650" s="156"/>
    </row>
    <row r="651" spans="1:291" ht="35" customHeight="1">
      <c r="A651" s="42">
        <f>ROW()-2</f>
        <v>649</v>
      </c>
      <c r="B651" s="152" t="s">
        <v>2732</v>
      </c>
      <c r="C651" s="152" t="s">
        <v>4064</v>
      </c>
      <c r="D651" s="152" t="s">
        <v>4131</v>
      </c>
      <c r="E651" s="152" t="s">
        <v>4132</v>
      </c>
      <c r="F651" s="152" t="s">
        <v>2948</v>
      </c>
      <c r="G651" s="152" t="s">
        <v>34</v>
      </c>
      <c r="H651" s="58">
        <v>2</v>
      </c>
      <c r="I651" s="153">
        <v>1.1399999999999999</v>
      </c>
      <c r="J651" s="154">
        <v>44088</v>
      </c>
      <c r="K651" s="153" t="s">
        <v>20</v>
      </c>
      <c r="L651" s="152">
        <v>4.99</v>
      </c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  <c r="AA651" s="156"/>
      <c r="AB651" s="156"/>
      <c r="AC651" s="156"/>
      <c r="AD651" s="156"/>
      <c r="AE651" s="156"/>
      <c r="AF651" s="156"/>
      <c r="AG651" s="156"/>
      <c r="AH651" s="156"/>
      <c r="AI651" s="156"/>
      <c r="AJ651" s="156"/>
      <c r="AK651" s="156"/>
      <c r="AL651" s="156"/>
      <c r="AM651" s="156"/>
      <c r="AN651" s="156"/>
      <c r="AO651" s="156"/>
      <c r="AP651" s="156"/>
      <c r="AQ651" s="156"/>
      <c r="AR651" s="156"/>
      <c r="AS651" s="156"/>
      <c r="AT651" s="156"/>
      <c r="AU651" s="156"/>
      <c r="AV651" s="156"/>
      <c r="AW651" s="156"/>
      <c r="AX651" s="156"/>
      <c r="AY651" s="156"/>
      <c r="AZ651" s="156"/>
      <c r="BA651" s="156"/>
      <c r="BB651" s="156"/>
      <c r="BC651" s="156"/>
      <c r="BD651" s="156"/>
      <c r="BE651" s="156"/>
      <c r="BF651" s="156"/>
      <c r="BG651" s="156"/>
      <c r="BH651" s="156"/>
      <c r="BI651" s="156"/>
      <c r="BJ651" s="156"/>
      <c r="BK651" s="156"/>
      <c r="BL651" s="156"/>
      <c r="BM651" s="156"/>
      <c r="BN651" s="156"/>
      <c r="BO651" s="156"/>
      <c r="BP651" s="156"/>
      <c r="BQ651" s="156"/>
      <c r="BR651" s="156"/>
      <c r="BS651" s="156"/>
      <c r="BT651" s="156"/>
      <c r="BU651" s="156"/>
      <c r="BV651" s="156"/>
      <c r="BW651" s="156"/>
      <c r="BX651" s="156"/>
      <c r="BY651" s="156"/>
      <c r="BZ651" s="156"/>
      <c r="CA651" s="156"/>
      <c r="CB651" s="156"/>
      <c r="CC651" s="156"/>
      <c r="CD651" s="156"/>
      <c r="CE651" s="156"/>
      <c r="CF651" s="156"/>
      <c r="CG651" s="156"/>
      <c r="CH651" s="156"/>
      <c r="CI651" s="156"/>
      <c r="CJ651" s="156"/>
      <c r="CK651" s="156"/>
      <c r="CL651" s="156"/>
      <c r="CM651" s="156"/>
      <c r="CN651" s="156"/>
      <c r="CO651" s="156"/>
      <c r="CP651" s="156"/>
      <c r="CQ651" s="156"/>
      <c r="CR651" s="156"/>
      <c r="CS651" s="156"/>
      <c r="CT651" s="156"/>
      <c r="CU651" s="156"/>
      <c r="CV651" s="156"/>
      <c r="CW651" s="156"/>
      <c r="CX651" s="156"/>
      <c r="CY651" s="156"/>
      <c r="CZ651" s="156"/>
      <c r="DA651" s="156"/>
      <c r="DB651" s="156"/>
      <c r="DC651" s="156"/>
      <c r="DD651" s="156"/>
      <c r="DE651" s="156"/>
      <c r="DF651" s="156"/>
      <c r="DG651" s="156"/>
      <c r="DH651" s="156"/>
      <c r="DI651" s="156"/>
      <c r="DJ651" s="156"/>
      <c r="DK651" s="156"/>
      <c r="DL651" s="156"/>
      <c r="DM651" s="156"/>
      <c r="DN651" s="156"/>
      <c r="DO651" s="156"/>
      <c r="DP651" s="156"/>
      <c r="DQ651" s="156"/>
      <c r="DR651" s="156"/>
      <c r="DS651" s="156"/>
      <c r="DT651" s="156"/>
      <c r="DU651" s="156"/>
      <c r="DV651" s="156"/>
      <c r="DW651" s="156"/>
      <c r="DX651" s="156"/>
      <c r="DY651" s="156"/>
      <c r="DZ651" s="156"/>
      <c r="EA651" s="156"/>
      <c r="EB651" s="156"/>
      <c r="EC651" s="156"/>
      <c r="ED651" s="156"/>
      <c r="EE651" s="156"/>
      <c r="EF651" s="156"/>
      <c r="EG651" s="156"/>
      <c r="EH651" s="156"/>
      <c r="EI651" s="156"/>
      <c r="EJ651" s="156"/>
      <c r="EK651" s="156"/>
      <c r="EL651" s="156"/>
      <c r="EM651" s="156"/>
      <c r="EN651" s="156"/>
      <c r="EO651" s="156"/>
      <c r="EP651" s="156"/>
      <c r="EQ651" s="156"/>
      <c r="ER651" s="156"/>
      <c r="ES651" s="156"/>
      <c r="ET651" s="156"/>
      <c r="EU651" s="156"/>
      <c r="EV651" s="156"/>
      <c r="EW651" s="156"/>
      <c r="EX651" s="156"/>
      <c r="EY651" s="156"/>
      <c r="EZ651" s="156"/>
      <c r="FA651" s="156"/>
      <c r="FB651" s="156"/>
      <c r="FC651" s="156"/>
      <c r="FD651" s="156"/>
      <c r="FE651" s="156"/>
      <c r="FF651" s="156"/>
      <c r="FG651" s="156"/>
      <c r="FH651" s="156"/>
      <c r="FI651" s="156"/>
      <c r="FJ651" s="156"/>
      <c r="FK651" s="156"/>
      <c r="FL651" s="156"/>
      <c r="FM651" s="156"/>
      <c r="FN651" s="156"/>
      <c r="FO651" s="156"/>
      <c r="FP651" s="156"/>
      <c r="FQ651" s="156"/>
      <c r="FR651" s="156"/>
      <c r="FS651" s="156"/>
      <c r="FT651" s="156"/>
      <c r="FU651" s="156"/>
      <c r="FV651" s="156"/>
      <c r="FW651" s="156"/>
      <c r="FX651" s="156"/>
      <c r="FY651" s="156"/>
      <c r="FZ651" s="156"/>
      <c r="GA651" s="156"/>
      <c r="GB651" s="156"/>
      <c r="GC651" s="156"/>
      <c r="GD651" s="156"/>
      <c r="GE651" s="156"/>
      <c r="GF651" s="156"/>
      <c r="GG651" s="156"/>
      <c r="GH651" s="156"/>
      <c r="GI651" s="156"/>
      <c r="GJ651" s="156"/>
      <c r="GK651" s="156"/>
      <c r="GL651" s="156"/>
      <c r="GM651" s="156"/>
      <c r="GN651" s="156"/>
      <c r="GO651" s="156"/>
      <c r="GP651" s="156"/>
      <c r="GQ651" s="156"/>
      <c r="GR651" s="156"/>
      <c r="GS651" s="156"/>
      <c r="GT651" s="156"/>
      <c r="GU651" s="156"/>
      <c r="GV651" s="156"/>
      <c r="GW651" s="156"/>
      <c r="GX651" s="156"/>
      <c r="GY651" s="156"/>
      <c r="GZ651" s="156"/>
      <c r="HA651" s="156"/>
      <c r="HB651" s="156"/>
      <c r="HC651" s="156"/>
      <c r="HD651" s="156"/>
      <c r="HE651" s="156"/>
      <c r="HF651" s="156"/>
      <c r="HG651" s="156"/>
      <c r="HH651" s="156"/>
      <c r="HI651" s="156"/>
      <c r="HJ651" s="156"/>
      <c r="HK651" s="156"/>
      <c r="HL651" s="156"/>
      <c r="HM651" s="156"/>
      <c r="HN651" s="156"/>
      <c r="HO651" s="156"/>
      <c r="HP651" s="156"/>
      <c r="HQ651" s="156"/>
      <c r="HR651" s="156"/>
      <c r="HS651" s="156"/>
      <c r="HT651" s="156"/>
      <c r="HU651" s="156"/>
      <c r="HV651" s="156"/>
      <c r="HW651" s="156"/>
      <c r="HX651" s="156"/>
      <c r="HY651" s="156"/>
      <c r="HZ651" s="156"/>
      <c r="IA651" s="156"/>
      <c r="IB651" s="156"/>
      <c r="IC651" s="156"/>
      <c r="ID651" s="156"/>
      <c r="IE651" s="156"/>
      <c r="IF651" s="156"/>
      <c r="IG651" s="156"/>
      <c r="IH651" s="156"/>
      <c r="II651" s="156"/>
      <c r="IJ651" s="156"/>
      <c r="IK651" s="156"/>
      <c r="IL651" s="156"/>
      <c r="IM651" s="156"/>
      <c r="IN651" s="156"/>
      <c r="IO651" s="156"/>
      <c r="IP651" s="156"/>
      <c r="IQ651" s="156"/>
      <c r="IR651" s="156"/>
      <c r="IS651" s="156"/>
      <c r="IT651" s="156"/>
      <c r="IU651" s="156"/>
      <c r="IV651" s="156"/>
      <c r="IW651" s="156"/>
      <c r="IX651" s="156"/>
      <c r="IY651" s="156"/>
      <c r="IZ651" s="156"/>
      <c r="JA651" s="156"/>
      <c r="JB651" s="156"/>
      <c r="JC651" s="156"/>
      <c r="JD651" s="156"/>
      <c r="JE651" s="156"/>
      <c r="JF651" s="156"/>
      <c r="JG651" s="156"/>
      <c r="JH651" s="156"/>
      <c r="JI651" s="156"/>
      <c r="JJ651" s="156"/>
      <c r="JK651" s="156"/>
      <c r="JL651" s="156"/>
      <c r="JM651" s="156"/>
      <c r="JN651" s="156"/>
      <c r="JO651" s="156"/>
      <c r="JP651" s="156"/>
      <c r="JQ651" s="156"/>
      <c r="JR651" s="156"/>
      <c r="JS651" s="156"/>
      <c r="JT651" s="156"/>
      <c r="JU651" s="156"/>
      <c r="JV651" s="156"/>
      <c r="JW651" s="156"/>
      <c r="JX651" s="156"/>
      <c r="JY651" s="156"/>
      <c r="JZ651" s="156"/>
      <c r="KA651" s="156"/>
      <c r="KB651" s="156"/>
      <c r="KC651" s="156"/>
      <c r="KD651" s="156"/>
      <c r="KE651" s="156"/>
    </row>
    <row r="652" spans="1:291" ht="35" customHeight="1">
      <c r="A652" s="42">
        <f>ROW()-2</f>
        <v>650</v>
      </c>
      <c r="B652" s="152" t="s">
        <v>2732</v>
      </c>
      <c r="C652" s="152" t="s">
        <v>4064</v>
      </c>
      <c r="D652" s="152" t="s">
        <v>4133</v>
      </c>
      <c r="E652" s="152" t="s">
        <v>4134</v>
      </c>
      <c r="F652" s="152" t="s">
        <v>2948</v>
      </c>
      <c r="G652" s="152" t="s">
        <v>34</v>
      </c>
      <c r="H652" s="58">
        <v>1</v>
      </c>
      <c r="I652" s="153">
        <v>0.5</v>
      </c>
      <c r="J652" s="154">
        <v>44088</v>
      </c>
      <c r="K652" s="153" t="s">
        <v>30</v>
      </c>
      <c r="L652" s="152">
        <v>4.99</v>
      </c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  <c r="AA652" s="156"/>
      <c r="AB652" s="156"/>
      <c r="AC652" s="156"/>
      <c r="AD652" s="156"/>
      <c r="AE652" s="156"/>
      <c r="AF652" s="156"/>
      <c r="AG652" s="156"/>
      <c r="AH652" s="156"/>
      <c r="AI652" s="156"/>
      <c r="AJ652" s="156"/>
      <c r="AK652" s="156"/>
      <c r="AL652" s="156"/>
      <c r="AM652" s="156"/>
      <c r="AN652" s="156"/>
      <c r="AO652" s="156"/>
      <c r="AP652" s="156"/>
      <c r="AQ652" s="156"/>
      <c r="AR652" s="156"/>
      <c r="AS652" s="156"/>
      <c r="AT652" s="156"/>
      <c r="AU652" s="156"/>
      <c r="AV652" s="156"/>
      <c r="AW652" s="156"/>
      <c r="AX652" s="156"/>
      <c r="AY652" s="156"/>
      <c r="AZ652" s="156"/>
      <c r="BA652" s="156"/>
      <c r="BB652" s="156"/>
      <c r="BC652" s="156"/>
      <c r="BD652" s="156"/>
      <c r="BE652" s="156"/>
      <c r="BF652" s="156"/>
      <c r="BG652" s="156"/>
      <c r="BH652" s="156"/>
      <c r="BI652" s="156"/>
      <c r="BJ652" s="156"/>
      <c r="BK652" s="156"/>
      <c r="BL652" s="156"/>
      <c r="BM652" s="156"/>
      <c r="BN652" s="156"/>
      <c r="BO652" s="156"/>
      <c r="BP652" s="156"/>
      <c r="BQ652" s="156"/>
      <c r="BR652" s="156"/>
      <c r="BS652" s="156"/>
      <c r="BT652" s="156"/>
      <c r="BU652" s="156"/>
      <c r="BV652" s="156"/>
      <c r="BW652" s="156"/>
      <c r="BX652" s="156"/>
      <c r="BY652" s="156"/>
      <c r="BZ652" s="156"/>
      <c r="CA652" s="156"/>
      <c r="CB652" s="156"/>
      <c r="CC652" s="156"/>
      <c r="CD652" s="156"/>
      <c r="CE652" s="156"/>
      <c r="CF652" s="156"/>
      <c r="CG652" s="156"/>
      <c r="CH652" s="156"/>
      <c r="CI652" s="156"/>
      <c r="CJ652" s="156"/>
      <c r="CK652" s="156"/>
      <c r="CL652" s="156"/>
      <c r="CM652" s="156"/>
      <c r="CN652" s="156"/>
      <c r="CO652" s="156"/>
      <c r="CP652" s="156"/>
      <c r="CQ652" s="156"/>
      <c r="CR652" s="156"/>
      <c r="CS652" s="156"/>
      <c r="CT652" s="156"/>
      <c r="CU652" s="156"/>
      <c r="CV652" s="156"/>
      <c r="CW652" s="156"/>
      <c r="CX652" s="156"/>
      <c r="CY652" s="156"/>
      <c r="CZ652" s="156"/>
      <c r="DA652" s="156"/>
      <c r="DB652" s="156"/>
      <c r="DC652" s="156"/>
      <c r="DD652" s="156"/>
      <c r="DE652" s="156"/>
      <c r="DF652" s="156"/>
      <c r="DG652" s="156"/>
      <c r="DH652" s="156"/>
      <c r="DI652" s="156"/>
      <c r="DJ652" s="156"/>
      <c r="DK652" s="156"/>
      <c r="DL652" s="156"/>
      <c r="DM652" s="156"/>
      <c r="DN652" s="156"/>
      <c r="DO652" s="156"/>
      <c r="DP652" s="156"/>
      <c r="DQ652" s="156"/>
      <c r="DR652" s="156"/>
      <c r="DS652" s="156"/>
      <c r="DT652" s="156"/>
      <c r="DU652" s="156"/>
      <c r="DV652" s="156"/>
      <c r="DW652" s="156"/>
      <c r="DX652" s="156"/>
      <c r="DY652" s="156"/>
      <c r="DZ652" s="156"/>
      <c r="EA652" s="156"/>
      <c r="EB652" s="156"/>
      <c r="EC652" s="156"/>
      <c r="ED652" s="156"/>
      <c r="EE652" s="156"/>
      <c r="EF652" s="156"/>
      <c r="EG652" s="156"/>
      <c r="EH652" s="156"/>
      <c r="EI652" s="156"/>
      <c r="EJ652" s="156"/>
      <c r="EK652" s="156"/>
      <c r="EL652" s="156"/>
      <c r="EM652" s="156"/>
      <c r="EN652" s="156"/>
      <c r="EO652" s="156"/>
      <c r="EP652" s="156"/>
      <c r="EQ652" s="156"/>
      <c r="ER652" s="156"/>
      <c r="ES652" s="156"/>
      <c r="ET652" s="156"/>
      <c r="EU652" s="156"/>
      <c r="EV652" s="156"/>
      <c r="EW652" s="156"/>
      <c r="EX652" s="156"/>
      <c r="EY652" s="156"/>
      <c r="EZ652" s="156"/>
      <c r="FA652" s="156"/>
      <c r="FB652" s="156"/>
      <c r="FC652" s="156"/>
      <c r="FD652" s="156"/>
      <c r="FE652" s="156"/>
      <c r="FF652" s="156"/>
      <c r="FG652" s="156"/>
      <c r="FH652" s="156"/>
      <c r="FI652" s="156"/>
      <c r="FJ652" s="156"/>
      <c r="FK652" s="156"/>
      <c r="FL652" s="156"/>
      <c r="FM652" s="156"/>
      <c r="FN652" s="156"/>
      <c r="FO652" s="156"/>
      <c r="FP652" s="156"/>
      <c r="FQ652" s="156"/>
      <c r="FR652" s="156"/>
      <c r="FS652" s="156"/>
      <c r="FT652" s="156"/>
      <c r="FU652" s="156"/>
      <c r="FV652" s="156"/>
      <c r="FW652" s="156"/>
      <c r="FX652" s="156"/>
      <c r="FY652" s="156"/>
      <c r="FZ652" s="156"/>
      <c r="GA652" s="156"/>
      <c r="GB652" s="156"/>
      <c r="GC652" s="156"/>
      <c r="GD652" s="156"/>
      <c r="GE652" s="156"/>
      <c r="GF652" s="156"/>
      <c r="GG652" s="156"/>
      <c r="GH652" s="156"/>
      <c r="GI652" s="156"/>
      <c r="GJ652" s="156"/>
      <c r="GK652" s="156"/>
      <c r="GL652" s="156"/>
      <c r="GM652" s="156"/>
      <c r="GN652" s="156"/>
      <c r="GO652" s="156"/>
      <c r="GP652" s="156"/>
      <c r="GQ652" s="156"/>
      <c r="GR652" s="156"/>
      <c r="GS652" s="156"/>
      <c r="GT652" s="156"/>
      <c r="GU652" s="156"/>
      <c r="GV652" s="156"/>
      <c r="GW652" s="156"/>
      <c r="GX652" s="156"/>
      <c r="GY652" s="156"/>
      <c r="GZ652" s="156"/>
      <c r="HA652" s="156"/>
      <c r="HB652" s="156"/>
      <c r="HC652" s="156"/>
      <c r="HD652" s="156"/>
      <c r="HE652" s="156"/>
      <c r="HF652" s="156"/>
      <c r="HG652" s="156"/>
      <c r="HH652" s="156"/>
      <c r="HI652" s="156"/>
      <c r="HJ652" s="156"/>
      <c r="HK652" s="156"/>
      <c r="HL652" s="156"/>
      <c r="HM652" s="156"/>
      <c r="HN652" s="156"/>
      <c r="HO652" s="156"/>
      <c r="HP652" s="156"/>
      <c r="HQ652" s="156"/>
      <c r="HR652" s="156"/>
      <c r="HS652" s="156"/>
      <c r="HT652" s="156"/>
      <c r="HU652" s="156"/>
      <c r="HV652" s="156"/>
      <c r="HW652" s="156"/>
      <c r="HX652" s="156"/>
      <c r="HY652" s="156"/>
      <c r="HZ652" s="156"/>
      <c r="IA652" s="156"/>
      <c r="IB652" s="156"/>
      <c r="IC652" s="156"/>
      <c r="ID652" s="156"/>
      <c r="IE652" s="156"/>
      <c r="IF652" s="156"/>
      <c r="IG652" s="156"/>
      <c r="IH652" s="156"/>
      <c r="II652" s="156"/>
      <c r="IJ652" s="156"/>
      <c r="IK652" s="156"/>
      <c r="IL652" s="156"/>
      <c r="IM652" s="156"/>
      <c r="IN652" s="156"/>
      <c r="IO652" s="156"/>
      <c r="IP652" s="156"/>
      <c r="IQ652" s="156"/>
      <c r="IR652" s="156"/>
      <c r="IS652" s="156"/>
      <c r="IT652" s="156"/>
      <c r="IU652" s="156"/>
      <c r="IV652" s="156"/>
      <c r="IW652" s="156"/>
      <c r="IX652" s="156"/>
      <c r="IY652" s="156"/>
      <c r="IZ652" s="156"/>
      <c r="JA652" s="156"/>
      <c r="JB652" s="156"/>
      <c r="JC652" s="156"/>
      <c r="JD652" s="156"/>
      <c r="JE652" s="156"/>
      <c r="JF652" s="156"/>
      <c r="JG652" s="156"/>
      <c r="JH652" s="156"/>
      <c r="JI652" s="156"/>
      <c r="JJ652" s="156"/>
      <c r="JK652" s="156"/>
      <c r="JL652" s="156"/>
      <c r="JM652" s="156"/>
      <c r="JN652" s="156"/>
      <c r="JO652" s="156"/>
      <c r="JP652" s="156"/>
      <c r="JQ652" s="156"/>
      <c r="JR652" s="156"/>
      <c r="JS652" s="156"/>
      <c r="JT652" s="156"/>
      <c r="JU652" s="156"/>
      <c r="JV652" s="156"/>
      <c r="JW652" s="156"/>
      <c r="JX652" s="156"/>
      <c r="JY652" s="156"/>
      <c r="JZ652" s="156"/>
      <c r="KA652" s="156"/>
      <c r="KB652" s="156"/>
      <c r="KC652" s="156"/>
      <c r="KD652" s="156"/>
      <c r="KE652" s="156"/>
    </row>
    <row r="653" spans="1:291" ht="35" customHeight="1">
      <c r="A653" s="42">
        <f>ROW()-2</f>
        <v>651</v>
      </c>
      <c r="B653" s="152" t="s">
        <v>2732</v>
      </c>
      <c r="C653" s="152" t="s">
        <v>4064</v>
      </c>
      <c r="D653" s="152" t="s">
        <v>4135</v>
      </c>
      <c r="E653" s="152" t="s">
        <v>3406</v>
      </c>
      <c r="F653" s="152" t="s">
        <v>2948</v>
      </c>
      <c r="G653" s="152" t="s">
        <v>34</v>
      </c>
      <c r="H653" s="58">
        <v>2</v>
      </c>
      <c r="I653" s="153">
        <v>1.1200000000000001</v>
      </c>
      <c r="J653" s="154">
        <v>44088</v>
      </c>
      <c r="K653" s="236" t="s">
        <v>20</v>
      </c>
      <c r="L653" s="242">
        <v>4.99</v>
      </c>
      <c r="M653" s="155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  <c r="AA653" s="156"/>
      <c r="AB653" s="156"/>
      <c r="AC653" s="156"/>
      <c r="AD653" s="156"/>
      <c r="AE653" s="156"/>
      <c r="AF653" s="156"/>
      <c r="AG653" s="156"/>
      <c r="AH653" s="156"/>
      <c r="AI653" s="156"/>
      <c r="AJ653" s="156"/>
      <c r="AK653" s="156"/>
      <c r="AL653" s="156"/>
      <c r="AM653" s="156"/>
      <c r="AN653" s="156"/>
      <c r="AO653" s="156"/>
      <c r="AP653" s="156"/>
      <c r="AQ653" s="156"/>
      <c r="AR653" s="156"/>
      <c r="AS653" s="156"/>
      <c r="AT653" s="156"/>
      <c r="AU653" s="156"/>
      <c r="AV653" s="156"/>
      <c r="AW653" s="156"/>
      <c r="AX653" s="156"/>
      <c r="AY653" s="156"/>
      <c r="AZ653" s="156"/>
      <c r="BA653" s="156"/>
      <c r="BB653" s="156"/>
      <c r="BC653" s="156"/>
      <c r="BD653" s="156"/>
      <c r="BE653" s="156"/>
      <c r="BF653" s="156"/>
      <c r="BG653" s="156"/>
      <c r="BH653" s="156"/>
      <c r="BI653" s="156"/>
      <c r="BJ653" s="156"/>
      <c r="BK653" s="156"/>
      <c r="BL653" s="156"/>
      <c r="BM653" s="156"/>
      <c r="BN653" s="156"/>
      <c r="BO653" s="156"/>
      <c r="BP653" s="156"/>
      <c r="BQ653" s="156"/>
      <c r="BR653" s="156"/>
      <c r="BS653" s="156"/>
      <c r="BT653" s="156"/>
      <c r="BU653" s="156"/>
      <c r="BV653" s="156"/>
      <c r="BW653" s="156"/>
      <c r="BX653" s="156"/>
      <c r="BY653" s="156"/>
      <c r="BZ653" s="156"/>
      <c r="CA653" s="156"/>
      <c r="CB653" s="156"/>
      <c r="CC653" s="156"/>
      <c r="CD653" s="156"/>
      <c r="CE653" s="156"/>
      <c r="CF653" s="156"/>
      <c r="CG653" s="156"/>
      <c r="CH653" s="156"/>
      <c r="CI653" s="156"/>
      <c r="CJ653" s="156"/>
      <c r="CK653" s="156"/>
      <c r="CL653" s="156"/>
      <c r="CM653" s="156"/>
      <c r="CN653" s="156"/>
      <c r="CO653" s="156"/>
      <c r="CP653" s="156"/>
      <c r="CQ653" s="156"/>
      <c r="CR653" s="156"/>
      <c r="CS653" s="156"/>
      <c r="CT653" s="156"/>
      <c r="CU653" s="156"/>
      <c r="CV653" s="156"/>
      <c r="CW653" s="156"/>
      <c r="CX653" s="156"/>
      <c r="CY653" s="156"/>
      <c r="CZ653" s="156"/>
      <c r="DA653" s="156"/>
      <c r="DB653" s="156"/>
      <c r="DC653" s="156"/>
      <c r="DD653" s="156"/>
      <c r="DE653" s="156"/>
      <c r="DF653" s="156"/>
      <c r="DG653" s="156"/>
      <c r="DH653" s="156"/>
      <c r="DI653" s="156"/>
      <c r="DJ653" s="156"/>
      <c r="DK653" s="156"/>
      <c r="DL653" s="156"/>
      <c r="DM653" s="156"/>
      <c r="DN653" s="156"/>
      <c r="DO653" s="156"/>
      <c r="DP653" s="156"/>
      <c r="DQ653" s="156"/>
      <c r="DR653" s="156"/>
      <c r="DS653" s="156"/>
      <c r="DT653" s="156"/>
      <c r="DU653" s="156"/>
      <c r="DV653" s="156"/>
      <c r="DW653" s="156"/>
      <c r="DX653" s="156"/>
      <c r="DY653" s="156"/>
      <c r="DZ653" s="156"/>
      <c r="EA653" s="156"/>
      <c r="EB653" s="156"/>
      <c r="EC653" s="156"/>
      <c r="ED653" s="156"/>
      <c r="EE653" s="156"/>
      <c r="EF653" s="156"/>
      <c r="EG653" s="156"/>
      <c r="EH653" s="156"/>
      <c r="EI653" s="156"/>
      <c r="EJ653" s="156"/>
      <c r="EK653" s="156"/>
      <c r="EL653" s="156"/>
      <c r="EM653" s="156"/>
      <c r="EN653" s="156"/>
      <c r="EO653" s="156"/>
      <c r="EP653" s="156"/>
      <c r="EQ653" s="156"/>
      <c r="ER653" s="156"/>
      <c r="ES653" s="156"/>
      <c r="ET653" s="156"/>
      <c r="EU653" s="156"/>
      <c r="EV653" s="156"/>
      <c r="EW653" s="156"/>
      <c r="EX653" s="156"/>
      <c r="EY653" s="156"/>
      <c r="EZ653" s="156"/>
      <c r="FA653" s="156"/>
      <c r="FB653" s="156"/>
      <c r="FC653" s="156"/>
      <c r="FD653" s="156"/>
      <c r="FE653" s="156"/>
      <c r="FF653" s="156"/>
      <c r="FG653" s="156"/>
      <c r="FH653" s="156"/>
      <c r="FI653" s="156"/>
      <c r="FJ653" s="156"/>
      <c r="FK653" s="156"/>
      <c r="FL653" s="156"/>
      <c r="FM653" s="156"/>
      <c r="FN653" s="156"/>
      <c r="FO653" s="156"/>
      <c r="FP653" s="156"/>
      <c r="FQ653" s="156"/>
      <c r="FR653" s="156"/>
      <c r="FS653" s="156"/>
      <c r="FT653" s="156"/>
      <c r="FU653" s="156"/>
      <c r="FV653" s="156"/>
      <c r="FW653" s="156"/>
      <c r="FX653" s="156"/>
      <c r="FY653" s="156"/>
      <c r="FZ653" s="156"/>
      <c r="GA653" s="156"/>
      <c r="GB653" s="156"/>
      <c r="GC653" s="156"/>
      <c r="GD653" s="156"/>
      <c r="GE653" s="156"/>
      <c r="GF653" s="156"/>
      <c r="GG653" s="156"/>
      <c r="GH653" s="156"/>
      <c r="GI653" s="156"/>
      <c r="GJ653" s="156"/>
      <c r="GK653" s="156"/>
      <c r="GL653" s="156"/>
      <c r="GM653" s="156"/>
      <c r="GN653" s="156"/>
      <c r="GO653" s="156"/>
      <c r="GP653" s="156"/>
      <c r="GQ653" s="156"/>
      <c r="GR653" s="156"/>
      <c r="GS653" s="156"/>
      <c r="GT653" s="156"/>
      <c r="GU653" s="156"/>
      <c r="GV653" s="156"/>
      <c r="GW653" s="156"/>
      <c r="GX653" s="156"/>
      <c r="GY653" s="156"/>
      <c r="GZ653" s="156"/>
      <c r="HA653" s="156"/>
      <c r="HB653" s="156"/>
      <c r="HC653" s="156"/>
      <c r="HD653" s="156"/>
      <c r="HE653" s="156"/>
      <c r="HF653" s="156"/>
      <c r="HG653" s="156"/>
      <c r="HH653" s="156"/>
      <c r="HI653" s="156"/>
      <c r="HJ653" s="156"/>
      <c r="HK653" s="156"/>
      <c r="HL653" s="156"/>
      <c r="HM653" s="156"/>
      <c r="HN653" s="156"/>
      <c r="HO653" s="156"/>
      <c r="HP653" s="156"/>
      <c r="HQ653" s="156"/>
      <c r="HR653" s="156"/>
      <c r="HS653" s="156"/>
      <c r="HT653" s="156"/>
      <c r="HU653" s="156"/>
      <c r="HV653" s="156"/>
      <c r="HW653" s="156"/>
      <c r="HX653" s="156"/>
      <c r="HY653" s="156"/>
      <c r="HZ653" s="156"/>
      <c r="IA653" s="156"/>
      <c r="IB653" s="156"/>
      <c r="IC653" s="156"/>
      <c r="ID653" s="156"/>
      <c r="IE653" s="156"/>
      <c r="IF653" s="156"/>
      <c r="IG653" s="156"/>
      <c r="IH653" s="156"/>
      <c r="II653" s="156"/>
      <c r="IJ653" s="156"/>
      <c r="IK653" s="156"/>
      <c r="IL653" s="156"/>
      <c r="IM653" s="156"/>
      <c r="IN653" s="156"/>
      <c r="IO653" s="156"/>
      <c r="IP653" s="156"/>
      <c r="IQ653" s="156"/>
      <c r="IR653" s="156"/>
      <c r="IS653" s="156"/>
      <c r="IT653" s="156"/>
      <c r="IU653" s="156"/>
      <c r="IV653" s="156"/>
      <c r="IW653" s="156"/>
      <c r="IX653" s="156"/>
      <c r="IY653" s="156"/>
      <c r="IZ653" s="156"/>
      <c r="JA653" s="156"/>
      <c r="JB653" s="156"/>
      <c r="JC653" s="156"/>
      <c r="JD653" s="156"/>
      <c r="JE653" s="156"/>
      <c r="JF653" s="156"/>
      <c r="JG653" s="156"/>
      <c r="JH653" s="156"/>
      <c r="JI653" s="156"/>
      <c r="JJ653" s="156"/>
      <c r="JK653" s="156"/>
      <c r="JL653" s="156"/>
      <c r="JM653" s="156"/>
      <c r="JN653" s="156"/>
      <c r="JO653" s="156"/>
      <c r="JP653" s="156"/>
      <c r="JQ653" s="156"/>
      <c r="JR653" s="156"/>
      <c r="JS653" s="156"/>
      <c r="JT653" s="156"/>
      <c r="JU653" s="156"/>
      <c r="JV653" s="156"/>
      <c r="JW653" s="156"/>
      <c r="JX653" s="156"/>
      <c r="JY653" s="156"/>
      <c r="JZ653" s="156"/>
      <c r="KA653" s="156"/>
      <c r="KB653" s="156"/>
      <c r="KC653" s="156"/>
      <c r="KD653" s="156"/>
      <c r="KE653" s="156"/>
    </row>
    <row r="654" spans="1:291" ht="35" customHeight="1">
      <c r="A654" s="42">
        <f>ROW()-2</f>
        <v>652</v>
      </c>
      <c r="B654" s="152" t="s">
        <v>2732</v>
      </c>
      <c r="C654" s="152" t="s">
        <v>4064</v>
      </c>
      <c r="D654" s="152" t="s">
        <v>4136</v>
      </c>
      <c r="E654" s="152" t="s">
        <v>3406</v>
      </c>
      <c r="F654" s="152" t="s">
        <v>2948</v>
      </c>
      <c r="G654" s="152" t="s">
        <v>34</v>
      </c>
      <c r="H654" s="58">
        <v>1</v>
      </c>
      <c r="I654" s="153">
        <v>0.62</v>
      </c>
      <c r="J654" s="154">
        <v>44088</v>
      </c>
      <c r="K654" s="236" t="s">
        <v>30</v>
      </c>
      <c r="L654" s="242">
        <v>4.99</v>
      </c>
      <c r="M654" s="155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  <c r="AA654" s="156"/>
      <c r="AB654" s="156"/>
      <c r="AC654" s="156"/>
      <c r="AD654" s="156"/>
      <c r="AE654" s="156"/>
      <c r="AF654" s="156"/>
      <c r="AG654" s="156"/>
      <c r="AH654" s="156"/>
      <c r="AI654" s="156"/>
      <c r="AJ654" s="156"/>
      <c r="AK654" s="156"/>
      <c r="AL654" s="156"/>
      <c r="AM654" s="156"/>
      <c r="AN654" s="156"/>
      <c r="AO654" s="156"/>
      <c r="AP654" s="156"/>
      <c r="AQ654" s="156"/>
      <c r="AR654" s="156"/>
      <c r="AS654" s="156"/>
      <c r="AT654" s="156"/>
      <c r="AU654" s="156"/>
      <c r="AV654" s="156"/>
      <c r="AW654" s="156"/>
      <c r="AX654" s="156"/>
      <c r="AY654" s="156"/>
      <c r="AZ654" s="156"/>
      <c r="BA654" s="156"/>
      <c r="BB654" s="156"/>
      <c r="BC654" s="156"/>
      <c r="BD654" s="156"/>
      <c r="BE654" s="156"/>
      <c r="BF654" s="156"/>
      <c r="BG654" s="156"/>
      <c r="BH654" s="156"/>
      <c r="BI654" s="156"/>
      <c r="BJ654" s="156"/>
      <c r="BK654" s="156"/>
      <c r="BL654" s="156"/>
      <c r="BM654" s="156"/>
      <c r="BN654" s="156"/>
      <c r="BO654" s="156"/>
      <c r="BP654" s="156"/>
      <c r="BQ654" s="156"/>
      <c r="BR654" s="156"/>
      <c r="BS654" s="156"/>
      <c r="BT654" s="156"/>
      <c r="BU654" s="156"/>
      <c r="BV654" s="156"/>
      <c r="BW654" s="156"/>
      <c r="BX654" s="156"/>
      <c r="BY654" s="156"/>
      <c r="BZ654" s="156"/>
      <c r="CA654" s="156"/>
      <c r="CB654" s="156"/>
      <c r="CC654" s="156"/>
      <c r="CD654" s="156"/>
      <c r="CE654" s="156"/>
      <c r="CF654" s="156"/>
      <c r="CG654" s="156"/>
      <c r="CH654" s="156"/>
      <c r="CI654" s="156"/>
      <c r="CJ654" s="156"/>
      <c r="CK654" s="156"/>
      <c r="CL654" s="156"/>
      <c r="CM654" s="156"/>
      <c r="CN654" s="156"/>
      <c r="CO654" s="156"/>
      <c r="CP654" s="156"/>
      <c r="CQ654" s="156"/>
      <c r="CR654" s="156"/>
      <c r="CS654" s="156"/>
      <c r="CT654" s="156"/>
      <c r="CU654" s="156"/>
      <c r="CV654" s="156"/>
      <c r="CW654" s="156"/>
      <c r="CX654" s="156"/>
      <c r="CY654" s="156"/>
      <c r="CZ654" s="156"/>
      <c r="DA654" s="156"/>
      <c r="DB654" s="156"/>
      <c r="DC654" s="156"/>
      <c r="DD654" s="156"/>
      <c r="DE654" s="156"/>
      <c r="DF654" s="156"/>
      <c r="DG654" s="156"/>
      <c r="DH654" s="156"/>
      <c r="DI654" s="156"/>
      <c r="DJ654" s="156"/>
      <c r="DK654" s="156"/>
      <c r="DL654" s="156"/>
      <c r="DM654" s="156"/>
      <c r="DN654" s="156"/>
      <c r="DO654" s="156"/>
      <c r="DP654" s="156"/>
      <c r="DQ654" s="156"/>
      <c r="DR654" s="156"/>
      <c r="DS654" s="156"/>
      <c r="DT654" s="156"/>
      <c r="DU654" s="156"/>
      <c r="DV654" s="156"/>
      <c r="DW654" s="156"/>
      <c r="DX654" s="156"/>
      <c r="DY654" s="156"/>
      <c r="DZ654" s="156"/>
      <c r="EA654" s="156"/>
      <c r="EB654" s="156"/>
      <c r="EC654" s="156"/>
      <c r="ED654" s="156"/>
      <c r="EE654" s="156"/>
      <c r="EF654" s="156"/>
      <c r="EG654" s="156"/>
      <c r="EH654" s="156"/>
      <c r="EI654" s="156"/>
      <c r="EJ654" s="156"/>
      <c r="EK654" s="156"/>
      <c r="EL654" s="156"/>
      <c r="EM654" s="156"/>
      <c r="EN654" s="156"/>
      <c r="EO654" s="156"/>
      <c r="EP654" s="156"/>
      <c r="EQ654" s="156"/>
      <c r="ER654" s="156"/>
      <c r="ES654" s="156"/>
      <c r="ET654" s="156"/>
      <c r="EU654" s="156"/>
      <c r="EV654" s="156"/>
      <c r="EW654" s="156"/>
      <c r="EX654" s="156"/>
      <c r="EY654" s="156"/>
      <c r="EZ654" s="156"/>
      <c r="FA654" s="156"/>
      <c r="FB654" s="156"/>
      <c r="FC654" s="156"/>
      <c r="FD654" s="156"/>
      <c r="FE654" s="156"/>
      <c r="FF654" s="156"/>
      <c r="FG654" s="156"/>
      <c r="FH654" s="156"/>
      <c r="FI654" s="156"/>
      <c r="FJ654" s="156"/>
      <c r="FK654" s="156"/>
      <c r="FL654" s="156"/>
      <c r="FM654" s="156"/>
      <c r="FN654" s="156"/>
      <c r="FO654" s="156"/>
      <c r="FP654" s="156"/>
      <c r="FQ654" s="156"/>
      <c r="FR654" s="156"/>
      <c r="FS654" s="156"/>
      <c r="FT654" s="156"/>
      <c r="FU654" s="156"/>
      <c r="FV654" s="156"/>
      <c r="FW654" s="156"/>
      <c r="FX654" s="156"/>
      <c r="FY654" s="156"/>
      <c r="FZ654" s="156"/>
      <c r="GA654" s="156"/>
      <c r="GB654" s="156"/>
      <c r="GC654" s="156"/>
      <c r="GD654" s="156"/>
      <c r="GE654" s="156"/>
      <c r="GF654" s="156"/>
      <c r="GG654" s="156"/>
      <c r="GH654" s="156"/>
      <c r="GI654" s="156"/>
      <c r="GJ654" s="156"/>
      <c r="GK654" s="156"/>
      <c r="GL654" s="156"/>
      <c r="GM654" s="156"/>
      <c r="GN654" s="156"/>
      <c r="GO654" s="156"/>
      <c r="GP654" s="156"/>
      <c r="GQ654" s="156"/>
      <c r="GR654" s="156"/>
      <c r="GS654" s="156"/>
      <c r="GT654" s="156"/>
      <c r="GU654" s="156"/>
      <c r="GV654" s="156"/>
      <c r="GW654" s="156"/>
      <c r="GX654" s="156"/>
      <c r="GY654" s="156"/>
      <c r="GZ654" s="156"/>
      <c r="HA654" s="156"/>
      <c r="HB654" s="156"/>
      <c r="HC654" s="156"/>
      <c r="HD654" s="156"/>
      <c r="HE654" s="156"/>
      <c r="HF654" s="156"/>
      <c r="HG654" s="156"/>
      <c r="HH654" s="156"/>
      <c r="HI654" s="156"/>
      <c r="HJ654" s="156"/>
      <c r="HK654" s="156"/>
      <c r="HL654" s="156"/>
      <c r="HM654" s="156"/>
      <c r="HN654" s="156"/>
      <c r="HO654" s="156"/>
      <c r="HP654" s="156"/>
      <c r="HQ654" s="156"/>
      <c r="HR654" s="156"/>
      <c r="HS654" s="156"/>
      <c r="HT654" s="156"/>
      <c r="HU654" s="156"/>
      <c r="HV654" s="156"/>
      <c r="HW654" s="156"/>
      <c r="HX654" s="156"/>
      <c r="HY654" s="156"/>
      <c r="HZ654" s="156"/>
      <c r="IA654" s="156"/>
      <c r="IB654" s="156"/>
      <c r="IC654" s="156"/>
      <c r="ID654" s="156"/>
      <c r="IE654" s="156"/>
      <c r="IF654" s="156"/>
      <c r="IG654" s="156"/>
      <c r="IH654" s="156"/>
      <c r="II654" s="156"/>
      <c r="IJ654" s="156"/>
      <c r="IK654" s="156"/>
      <c r="IL654" s="156"/>
      <c r="IM654" s="156"/>
      <c r="IN654" s="156"/>
      <c r="IO654" s="156"/>
      <c r="IP654" s="156"/>
      <c r="IQ654" s="156"/>
      <c r="IR654" s="156"/>
      <c r="IS654" s="156"/>
      <c r="IT654" s="156"/>
      <c r="IU654" s="156"/>
      <c r="IV654" s="156"/>
      <c r="IW654" s="156"/>
      <c r="IX654" s="156"/>
      <c r="IY654" s="156"/>
      <c r="IZ654" s="156"/>
      <c r="JA654" s="156"/>
      <c r="JB654" s="156"/>
      <c r="JC654" s="156"/>
      <c r="JD654" s="156"/>
      <c r="JE654" s="156"/>
      <c r="JF654" s="156"/>
      <c r="JG654" s="156"/>
      <c r="JH654" s="156"/>
      <c r="JI654" s="156"/>
      <c r="JJ654" s="156"/>
      <c r="JK654" s="156"/>
      <c r="JL654" s="156"/>
      <c r="JM654" s="156"/>
      <c r="JN654" s="156"/>
      <c r="JO654" s="156"/>
      <c r="JP654" s="156"/>
      <c r="JQ654" s="156"/>
      <c r="JR654" s="156"/>
      <c r="JS654" s="156"/>
      <c r="JT654" s="156"/>
      <c r="JU654" s="156"/>
      <c r="JV654" s="156"/>
      <c r="JW654" s="156"/>
      <c r="JX654" s="156"/>
      <c r="JY654" s="156"/>
      <c r="JZ654" s="156"/>
      <c r="KA654" s="156"/>
      <c r="KB654" s="156"/>
      <c r="KC654" s="156"/>
      <c r="KD654" s="156"/>
      <c r="KE654" s="156"/>
    </row>
    <row r="655" spans="1:291" ht="35" customHeight="1">
      <c r="A655" s="42">
        <f>ROW()-2</f>
        <v>653</v>
      </c>
      <c r="B655" s="152" t="s">
        <v>2732</v>
      </c>
      <c r="C655" s="152" t="s">
        <v>4064</v>
      </c>
      <c r="D655" s="152" t="s">
        <v>4137</v>
      </c>
      <c r="E655" s="152" t="s">
        <v>3083</v>
      </c>
      <c r="F655" s="152" t="s">
        <v>830</v>
      </c>
      <c r="G655" s="152" t="s">
        <v>34</v>
      </c>
      <c r="H655" s="58">
        <v>2</v>
      </c>
      <c r="I655" s="153">
        <v>0.66</v>
      </c>
      <c r="J655" s="154">
        <v>44088</v>
      </c>
      <c r="K655" s="236" t="s">
        <v>20</v>
      </c>
      <c r="L655" s="242">
        <v>4.99</v>
      </c>
      <c r="M655" s="155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  <c r="AA655" s="156"/>
      <c r="AB655" s="156"/>
      <c r="AC655" s="156"/>
      <c r="AD655" s="156"/>
      <c r="AE655" s="156"/>
      <c r="AF655" s="156"/>
      <c r="AG655" s="156"/>
      <c r="AH655" s="156"/>
      <c r="AI655" s="156"/>
      <c r="AJ655" s="156"/>
      <c r="AK655" s="156"/>
      <c r="AL655" s="156"/>
      <c r="AM655" s="156"/>
      <c r="AN655" s="156"/>
      <c r="AO655" s="156"/>
      <c r="AP655" s="156"/>
      <c r="AQ655" s="156"/>
      <c r="AR655" s="156"/>
      <c r="AS655" s="156"/>
      <c r="AT655" s="156"/>
      <c r="AU655" s="156"/>
      <c r="AV655" s="156"/>
      <c r="AW655" s="156"/>
      <c r="AX655" s="156"/>
      <c r="AY655" s="156"/>
      <c r="AZ655" s="156"/>
      <c r="BA655" s="156"/>
      <c r="BB655" s="156"/>
      <c r="BC655" s="156"/>
      <c r="BD655" s="156"/>
      <c r="BE655" s="156"/>
      <c r="BF655" s="156"/>
      <c r="BG655" s="156"/>
      <c r="BH655" s="156"/>
      <c r="BI655" s="156"/>
      <c r="BJ655" s="156"/>
      <c r="BK655" s="156"/>
      <c r="BL655" s="156"/>
      <c r="BM655" s="156"/>
      <c r="BN655" s="156"/>
      <c r="BO655" s="156"/>
      <c r="BP655" s="156"/>
      <c r="BQ655" s="156"/>
      <c r="BR655" s="156"/>
      <c r="BS655" s="156"/>
      <c r="BT655" s="156"/>
      <c r="BU655" s="156"/>
      <c r="BV655" s="156"/>
      <c r="BW655" s="156"/>
      <c r="BX655" s="156"/>
      <c r="BY655" s="156"/>
      <c r="BZ655" s="156"/>
      <c r="CA655" s="156"/>
      <c r="CB655" s="156"/>
      <c r="CC655" s="156"/>
      <c r="CD655" s="156"/>
      <c r="CE655" s="156"/>
      <c r="CF655" s="156"/>
      <c r="CG655" s="156"/>
      <c r="CH655" s="156"/>
      <c r="CI655" s="156"/>
      <c r="CJ655" s="156"/>
      <c r="CK655" s="156"/>
      <c r="CL655" s="156"/>
      <c r="CM655" s="156"/>
      <c r="CN655" s="156"/>
      <c r="CO655" s="156"/>
      <c r="CP655" s="156"/>
      <c r="CQ655" s="156"/>
      <c r="CR655" s="156"/>
      <c r="CS655" s="156"/>
      <c r="CT655" s="156"/>
      <c r="CU655" s="156"/>
      <c r="CV655" s="156"/>
      <c r="CW655" s="156"/>
      <c r="CX655" s="156"/>
      <c r="CY655" s="156"/>
      <c r="CZ655" s="156"/>
      <c r="DA655" s="156"/>
      <c r="DB655" s="156"/>
      <c r="DC655" s="156"/>
      <c r="DD655" s="156"/>
      <c r="DE655" s="156"/>
      <c r="DF655" s="156"/>
      <c r="DG655" s="156"/>
      <c r="DH655" s="156"/>
      <c r="DI655" s="156"/>
      <c r="DJ655" s="156"/>
      <c r="DK655" s="156"/>
      <c r="DL655" s="156"/>
      <c r="DM655" s="156"/>
      <c r="DN655" s="156"/>
      <c r="DO655" s="156"/>
      <c r="DP655" s="156"/>
      <c r="DQ655" s="156"/>
      <c r="DR655" s="156"/>
      <c r="DS655" s="156"/>
      <c r="DT655" s="156"/>
      <c r="DU655" s="156"/>
      <c r="DV655" s="156"/>
      <c r="DW655" s="156"/>
      <c r="DX655" s="156"/>
      <c r="DY655" s="156"/>
      <c r="DZ655" s="156"/>
      <c r="EA655" s="156"/>
      <c r="EB655" s="156"/>
      <c r="EC655" s="156"/>
      <c r="ED655" s="156"/>
      <c r="EE655" s="156"/>
      <c r="EF655" s="156"/>
      <c r="EG655" s="156"/>
      <c r="EH655" s="156"/>
      <c r="EI655" s="156"/>
      <c r="EJ655" s="156"/>
      <c r="EK655" s="156"/>
      <c r="EL655" s="156"/>
      <c r="EM655" s="156"/>
      <c r="EN655" s="156"/>
      <c r="EO655" s="156"/>
      <c r="EP655" s="156"/>
      <c r="EQ655" s="156"/>
      <c r="ER655" s="156"/>
      <c r="ES655" s="156"/>
      <c r="ET655" s="156"/>
      <c r="EU655" s="156"/>
      <c r="EV655" s="156"/>
      <c r="EW655" s="156"/>
      <c r="EX655" s="156"/>
      <c r="EY655" s="156"/>
      <c r="EZ655" s="156"/>
      <c r="FA655" s="156"/>
      <c r="FB655" s="156"/>
      <c r="FC655" s="156"/>
      <c r="FD655" s="156"/>
      <c r="FE655" s="156"/>
      <c r="FF655" s="156"/>
      <c r="FG655" s="156"/>
      <c r="FH655" s="156"/>
      <c r="FI655" s="156"/>
      <c r="FJ655" s="156"/>
      <c r="FK655" s="156"/>
      <c r="FL655" s="156"/>
      <c r="FM655" s="156"/>
      <c r="FN655" s="156"/>
      <c r="FO655" s="156"/>
      <c r="FP655" s="156"/>
      <c r="FQ655" s="156"/>
      <c r="FR655" s="156"/>
      <c r="FS655" s="156"/>
      <c r="FT655" s="156"/>
      <c r="FU655" s="156"/>
      <c r="FV655" s="156"/>
      <c r="FW655" s="156"/>
      <c r="FX655" s="156"/>
      <c r="FY655" s="156"/>
      <c r="FZ655" s="156"/>
      <c r="GA655" s="156"/>
      <c r="GB655" s="156"/>
      <c r="GC655" s="156"/>
      <c r="GD655" s="156"/>
      <c r="GE655" s="156"/>
      <c r="GF655" s="156"/>
      <c r="GG655" s="156"/>
      <c r="GH655" s="156"/>
      <c r="GI655" s="156"/>
      <c r="GJ655" s="156"/>
      <c r="GK655" s="156"/>
      <c r="GL655" s="156"/>
      <c r="GM655" s="156"/>
      <c r="GN655" s="156"/>
      <c r="GO655" s="156"/>
      <c r="GP655" s="156"/>
      <c r="GQ655" s="156"/>
      <c r="GR655" s="156"/>
      <c r="GS655" s="156"/>
      <c r="GT655" s="156"/>
      <c r="GU655" s="156"/>
      <c r="GV655" s="156"/>
      <c r="GW655" s="156"/>
      <c r="GX655" s="156"/>
      <c r="GY655" s="156"/>
      <c r="GZ655" s="156"/>
      <c r="HA655" s="156"/>
      <c r="HB655" s="156"/>
      <c r="HC655" s="156"/>
      <c r="HD655" s="156"/>
      <c r="HE655" s="156"/>
      <c r="HF655" s="156"/>
      <c r="HG655" s="156"/>
      <c r="HH655" s="156"/>
      <c r="HI655" s="156"/>
      <c r="HJ655" s="156"/>
      <c r="HK655" s="156"/>
      <c r="HL655" s="156"/>
      <c r="HM655" s="156"/>
      <c r="HN655" s="156"/>
      <c r="HO655" s="156"/>
      <c r="HP655" s="156"/>
      <c r="HQ655" s="156"/>
      <c r="HR655" s="156"/>
      <c r="HS655" s="156"/>
      <c r="HT655" s="156"/>
      <c r="HU655" s="156"/>
      <c r="HV655" s="156"/>
      <c r="HW655" s="156"/>
      <c r="HX655" s="156"/>
      <c r="HY655" s="156"/>
      <c r="HZ655" s="156"/>
      <c r="IA655" s="156"/>
      <c r="IB655" s="156"/>
      <c r="IC655" s="156"/>
      <c r="ID655" s="156"/>
      <c r="IE655" s="156"/>
      <c r="IF655" s="156"/>
      <c r="IG655" s="156"/>
      <c r="IH655" s="156"/>
      <c r="II655" s="156"/>
      <c r="IJ655" s="156"/>
      <c r="IK655" s="156"/>
      <c r="IL655" s="156"/>
      <c r="IM655" s="156"/>
      <c r="IN655" s="156"/>
      <c r="IO655" s="156"/>
      <c r="IP655" s="156"/>
      <c r="IQ655" s="156"/>
      <c r="IR655" s="156"/>
      <c r="IS655" s="156"/>
      <c r="IT655" s="156"/>
      <c r="IU655" s="156"/>
      <c r="IV655" s="156"/>
      <c r="IW655" s="156"/>
      <c r="IX655" s="156"/>
      <c r="IY655" s="156"/>
      <c r="IZ655" s="156"/>
      <c r="JA655" s="156"/>
      <c r="JB655" s="156"/>
      <c r="JC655" s="156"/>
      <c r="JD655" s="156"/>
      <c r="JE655" s="156"/>
      <c r="JF655" s="156"/>
      <c r="JG655" s="156"/>
      <c r="JH655" s="156"/>
      <c r="JI655" s="156"/>
      <c r="JJ655" s="156"/>
      <c r="JK655" s="156"/>
      <c r="JL655" s="156"/>
      <c r="JM655" s="156"/>
      <c r="JN655" s="156"/>
      <c r="JO655" s="156"/>
      <c r="JP655" s="156"/>
      <c r="JQ655" s="156"/>
      <c r="JR655" s="156"/>
      <c r="JS655" s="156"/>
      <c r="JT655" s="156"/>
      <c r="JU655" s="156"/>
      <c r="JV655" s="156"/>
      <c r="JW655" s="156"/>
      <c r="JX655" s="156"/>
      <c r="JY655" s="156"/>
      <c r="JZ655" s="156"/>
      <c r="KA655" s="156"/>
      <c r="KB655" s="156"/>
      <c r="KC655" s="156"/>
      <c r="KD655" s="156"/>
      <c r="KE655" s="156"/>
    </row>
    <row r="656" spans="1:291" s="156" customFormat="1" ht="35" customHeight="1">
      <c r="A656" s="42">
        <f>ROW()-2</f>
        <v>654</v>
      </c>
      <c r="B656" s="152" t="s">
        <v>2732</v>
      </c>
      <c r="C656" s="152" t="s">
        <v>4064</v>
      </c>
      <c r="D656" s="58" t="s">
        <v>4138</v>
      </c>
      <c r="E656" s="58" t="s">
        <v>3282</v>
      </c>
      <c r="F656" s="58" t="s">
        <v>4139</v>
      </c>
      <c r="G656" s="152" t="s">
        <v>34</v>
      </c>
      <c r="H656" s="152">
        <v>1</v>
      </c>
      <c r="I656" s="157">
        <v>0.6</v>
      </c>
      <c r="J656" s="154">
        <v>44102</v>
      </c>
      <c r="K656" s="153" t="s">
        <v>20</v>
      </c>
      <c r="L656" s="153">
        <v>4.99</v>
      </c>
      <c r="M656" s="155"/>
    </row>
    <row r="657" spans="1:291" s="156" customFormat="1" ht="35" customHeight="1">
      <c r="A657" s="42">
        <f>ROW()-2</f>
        <v>655</v>
      </c>
      <c r="B657" s="152" t="s">
        <v>2732</v>
      </c>
      <c r="C657" s="152" t="s">
        <v>4064</v>
      </c>
      <c r="D657" s="58" t="s">
        <v>4140</v>
      </c>
      <c r="E657" s="58" t="s">
        <v>4141</v>
      </c>
      <c r="F657" s="58" t="s">
        <v>4139</v>
      </c>
      <c r="G657" s="152" t="s">
        <v>34</v>
      </c>
      <c r="H657" s="152">
        <v>1</v>
      </c>
      <c r="I657" s="157">
        <v>0.61</v>
      </c>
      <c r="J657" s="154">
        <v>44102</v>
      </c>
      <c r="K657" s="153" t="s">
        <v>20</v>
      </c>
      <c r="L657" s="153">
        <v>4.99</v>
      </c>
      <c r="M657" s="155"/>
    </row>
    <row r="658" spans="1:291" s="156" customFormat="1" ht="35" customHeight="1">
      <c r="A658" s="42">
        <f>ROW()-2</f>
        <v>656</v>
      </c>
      <c r="B658" s="152" t="s">
        <v>2732</v>
      </c>
      <c r="C658" s="152" t="s">
        <v>4064</v>
      </c>
      <c r="D658" s="58" t="s">
        <v>4104</v>
      </c>
      <c r="E658" s="58" t="s">
        <v>4105</v>
      </c>
      <c r="F658" s="58" t="s">
        <v>4106</v>
      </c>
      <c r="G658" s="152" t="s">
        <v>34</v>
      </c>
      <c r="H658" s="152">
        <v>1</v>
      </c>
      <c r="I658" s="153">
        <v>0.49</v>
      </c>
      <c r="J658" s="154">
        <v>44123</v>
      </c>
      <c r="K658" s="153" t="s">
        <v>20</v>
      </c>
      <c r="L658" s="152">
        <v>4.99</v>
      </c>
      <c r="M658" s="155"/>
    </row>
    <row r="659" spans="1:291" s="156" customFormat="1" ht="35" customHeight="1">
      <c r="A659" s="42">
        <f>ROW()-2</f>
        <v>657</v>
      </c>
      <c r="B659" s="152" t="s">
        <v>2732</v>
      </c>
      <c r="C659" s="152" t="s">
        <v>4064</v>
      </c>
      <c r="D659" s="58" t="s">
        <v>4095</v>
      </c>
      <c r="E659" s="58" t="s">
        <v>4096</v>
      </c>
      <c r="F659" s="58" t="s">
        <v>3647</v>
      </c>
      <c r="G659" s="152" t="s">
        <v>34</v>
      </c>
      <c r="H659" s="152">
        <v>1</v>
      </c>
      <c r="I659" s="153">
        <v>0.21</v>
      </c>
      <c r="J659" s="154">
        <v>44130</v>
      </c>
      <c r="K659" s="153" t="s">
        <v>20</v>
      </c>
      <c r="L659" s="152">
        <v>4.99</v>
      </c>
      <c r="M659" s="155"/>
    </row>
    <row r="660" spans="1:291" s="156" customFormat="1" ht="35" customHeight="1">
      <c r="A660" s="42">
        <f>ROW()-2</f>
        <v>658</v>
      </c>
      <c r="B660" s="152" t="s">
        <v>2732</v>
      </c>
      <c r="C660" s="152" t="s">
        <v>4064</v>
      </c>
      <c r="D660" s="58" t="s">
        <v>4097</v>
      </c>
      <c r="E660" s="58" t="s">
        <v>4096</v>
      </c>
      <c r="F660" s="58" t="s">
        <v>3647</v>
      </c>
      <c r="G660" s="152" t="s">
        <v>34</v>
      </c>
      <c r="H660" s="152">
        <v>1</v>
      </c>
      <c r="I660" s="153">
        <v>0.21</v>
      </c>
      <c r="J660" s="154">
        <v>44130</v>
      </c>
      <c r="K660" s="153" t="s">
        <v>20</v>
      </c>
      <c r="L660" s="152">
        <v>4.99</v>
      </c>
      <c r="M660" s="155"/>
    </row>
    <row r="661" spans="1:291" s="156" customFormat="1" ht="35" customHeight="1">
      <c r="A661" s="42">
        <f>ROW()-2</f>
        <v>659</v>
      </c>
      <c r="B661" s="152" t="s">
        <v>2732</v>
      </c>
      <c r="C661" s="152" t="s">
        <v>4064</v>
      </c>
      <c r="D661" s="58" t="s">
        <v>4125</v>
      </c>
      <c r="E661" s="58" t="s">
        <v>4126</v>
      </c>
      <c r="F661" s="58" t="s">
        <v>3335</v>
      </c>
      <c r="G661" s="152" t="s">
        <v>34</v>
      </c>
      <c r="H661" s="152">
        <v>2</v>
      </c>
      <c r="I661" s="153">
        <v>0.67</v>
      </c>
      <c r="J661" s="154">
        <v>44151</v>
      </c>
      <c r="K661" s="153" t="s">
        <v>20</v>
      </c>
      <c r="L661" s="152">
        <v>4.99</v>
      </c>
      <c r="M661" s="155"/>
    </row>
    <row r="662" spans="1:291" s="156" customFormat="1" ht="35" customHeight="1">
      <c r="A662" s="42">
        <f>ROW()-2</f>
        <v>660</v>
      </c>
      <c r="B662" s="152" t="s">
        <v>2732</v>
      </c>
      <c r="C662" s="152" t="s">
        <v>4064</v>
      </c>
      <c r="D662" s="58" t="s">
        <v>4127</v>
      </c>
      <c r="E662" s="58" t="s">
        <v>4128</v>
      </c>
      <c r="F662" s="58" t="s">
        <v>4129</v>
      </c>
      <c r="G662" s="152" t="s">
        <v>34</v>
      </c>
      <c r="H662" s="152">
        <v>2</v>
      </c>
      <c r="I662" s="153">
        <v>0.42</v>
      </c>
      <c r="J662" s="154">
        <v>44151</v>
      </c>
      <c r="K662" s="153" t="s">
        <v>20</v>
      </c>
      <c r="L662" s="152">
        <v>4.99</v>
      </c>
      <c r="M662" s="155"/>
    </row>
    <row r="663" spans="1:291" s="156" customFormat="1" ht="35" customHeight="1">
      <c r="A663" s="42">
        <f>ROW()-2</f>
        <v>661</v>
      </c>
      <c r="B663" s="152" t="s">
        <v>2732</v>
      </c>
      <c r="C663" s="152" t="s">
        <v>4064</v>
      </c>
      <c r="D663" s="58" t="s">
        <v>4068</v>
      </c>
      <c r="E663" s="58" t="s">
        <v>4069</v>
      </c>
      <c r="F663" s="58" t="s">
        <v>4070</v>
      </c>
      <c r="G663" s="152" t="s">
        <v>34</v>
      </c>
      <c r="H663" s="152">
        <v>1</v>
      </c>
      <c r="I663" s="153">
        <v>0.78666666666666696</v>
      </c>
      <c r="J663" s="154">
        <v>44200</v>
      </c>
      <c r="K663" s="153" t="s">
        <v>20</v>
      </c>
      <c r="L663" s="152">
        <v>4.99</v>
      </c>
      <c r="M663" s="155"/>
    </row>
    <row r="664" spans="1:291" s="156" customFormat="1" ht="35" customHeight="1">
      <c r="A664" s="42">
        <f>ROW()-2</f>
        <v>662</v>
      </c>
      <c r="B664" s="152" t="s">
        <v>2732</v>
      </c>
      <c r="C664" s="58" t="s">
        <v>4064</v>
      </c>
      <c r="D664" s="58" t="s">
        <v>4142</v>
      </c>
      <c r="E664" s="58" t="s">
        <v>4143</v>
      </c>
      <c r="F664" s="58" t="s">
        <v>4082</v>
      </c>
      <c r="G664" s="58" t="s">
        <v>34</v>
      </c>
      <c r="H664" s="152">
        <v>1</v>
      </c>
      <c r="I664" s="152">
        <v>0.5</v>
      </c>
      <c r="J664" s="59">
        <v>44221</v>
      </c>
      <c r="K664" s="58" t="s">
        <v>20</v>
      </c>
      <c r="L664" s="152">
        <v>4.99</v>
      </c>
      <c r="M664" s="155"/>
    </row>
    <row r="665" spans="1:291" s="156" customFormat="1" ht="35" customHeight="1">
      <c r="A665" s="42">
        <f>ROW()-2</f>
        <v>663</v>
      </c>
      <c r="B665" s="152" t="s">
        <v>2732</v>
      </c>
      <c r="C665" s="58" t="s">
        <v>4064</v>
      </c>
      <c r="D665" s="58" t="s">
        <v>4144</v>
      </c>
      <c r="E665" s="58" t="s">
        <v>4145</v>
      </c>
      <c r="F665" s="58" t="s">
        <v>4146</v>
      </c>
      <c r="G665" s="58" t="s">
        <v>34</v>
      </c>
      <c r="H665" s="152">
        <v>1</v>
      </c>
      <c r="I665" s="152">
        <v>0.5</v>
      </c>
      <c r="J665" s="59">
        <v>44221</v>
      </c>
      <c r="K665" s="58" t="s">
        <v>20</v>
      </c>
      <c r="L665" s="152">
        <v>4.99</v>
      </c>
      <c r="M665" s="155"/>
    </row>
    <row r="666" spans="1:291" s="156" customFormat="1" ht="35" customHeight="1">
      <c r="A666" s="42">
        <f>ROW()-2</f>
        <v>664</v>
      </c>
      <c r="B666" s="42" t="s">
        <v>2732</v>
      </c>
      <c r="C666" s="42" t="s">
        <v>4064</v>
      </c>
      <c r="D666" s="43" t="s">
        <v>4147</v>
      </c>
      <c r="E666" s="42" t="s">
        <v>4148</v>
      </c>
      <c r="F666" s="42" t="s">
        <v>4079</v>
      </c>
      <c r="G666" s="42" t="s">
        <v>34</v>
      </c>
      <c r="H666" s="42">
        <v>1</v>
      </c>
      <c r="I666" s="42">
        <v>0.6</v>
      </c>
      <c r="J666" s="45">
        <v>44235</v>
      </c>
      <c r="K666" s="42" t="s">
        <v>20</v>
      </c>
      <c r="L666" s="42">
        <v>4.99</v>
      </c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  <c r="CX666" s="31"/>
      <c r="CY666" s="31"/>
      <c r="CZ666" s="31"/>
      <c r="DA666" s="31"/>
      <c r="DB666" s="31"/>
      <c r="DC666" s="31"/>
      <c r="DD666" s="31"/>
      <c r="DE666" s="31"/>
      <c r="DF666" s="31"/>
      <c r="DG666" s="31"/>
      <c r="DH666" s="31"/>
      <c r="DI666" s="31"/>
      <c r="DJ666" s="31"/>
      <c r="DK666" s="31"/>
      <c r="DL666" s="31"/>
      <c r="DM666" s="31"/>
      <c r="DN666" s="31"/>
      <c r="DO666" s="31"/>
      <c r="DP666" s="31"/>
      <c r="DQ666" s="31"/>
      <c r="DR666" s="31"/>
      <c r="DS666" s="31"/>
      <c r="DT666" s="31"/>
      <c r="DU666" s="31"/>
      <c r="DV666" s="31"/>
      <c r="DW666" s="31"/>
      <c r="DX666" s="31"/>
      <c r="DY666" s="31"/>
      <c r="DZ666" s="31"/>
      <c r="EA666" s="31"/>
      <c r="EB666" s="31"/>
      <c r="EC666" s="31"/>
      <c r="ED666" s="31"/>
      <c r="EE666" s="31"/>
      <c r="EF666" s="31"/>
      <c r="EG666" s="31"/>
      <c r="EH666" s="31"/>
      <c r="EI666" s="31"/>
      <c r="EJ666" s="31"/>
      <c r="EK666" s="31"/>
      <c r="EL666" s="31"/>
      <c r="EM666" s="31"/>
      <c r="EN666" s="31"/>
      <c r="EO666" s="31"/>
      <c r="EP666" s="31"/>
      <c r="EQ666" s="31"/>
      <c r="ER666" s="31"/>
      <c r="ES666" s="31"/>
      <c r="ET666" s="31"/>
      <c r="EU666" s="31"/>
      <c r="EV666" s="31"/>
      <c r="EW666" s="31"/>
      <c r="EX666" s="31"/>
      <c r="EY666" s="31"/>
      <c r="EZ666" s="31"/>
      <c r="FA666" s="31"/>
      <c r="FB666" s="31"/>
      <c r="FC666" s="31"/>
      <c r="FD666" s="31"/>
      <c r="FE666" s="31"/>
      <c r="FF666" s="31"/>
      <c r="FG666" s="31"/>
      <c r="FH666" s="31"/>
      <c r="FI666" s="31"/>
      <c r="FJ666" s="31"/>
      <c r="FK666" s="31"/>
      <c r="FL666" s="31"/>
      <c r="FM666" s="31"/>
      <c r="FN666" s="31"/>
      <c r="FO666" s="31"/>
      <c r="FP666" s="31"/>
      <c r="FQ666" s="31"/>
      <c r="FR666" s="31"/>
      <c r="FS666" s="31"/>
      <c r="FT666" s="31"/>
      <c r="FU666" s="31"/>
      <c r="FV666" s="31"/>
      <c r="FW666" s="31"/>
      <c r="FX666" s="31"/>
      <c r="FY666" s="31"/>
      <c r="FZ666" s="31"/>
      <c r="GA666" s="31"/>
      <c r="GB666" s="31"/>
      <c r="GC666" s="31"/>
      <c r="GD666" s="31"/>
      <c r="GE666" s="31"/>
      <c r="GF666" s="31"/>
      <c r="GG666" s="31"/>
      <c r="GH666" s="31"/>
      <c r="GI666" s="31"/>
      <c r="GJ666" s="31"/>
      <c r="GK666" s="31"/>
      <c r="GL666" s="31"/>
      <c r="GM666" s="31"/>
      <c r="GN666" s="31"/>
      <c r="GO666" s="31"/>
      <c r="GP666" s="31"/>
      <c r="GQ666" s="31"/>
      <c r="GR666" s="31"/>
      <c r="GS666" s="31"/>
      <c r="GT666" s="31"/>
      <c r="GU666" s="31"/>
      <c r="GV666" s="31"/>
      <c r="GW666" s="31"/>
      <c r="GX666" s="31"/>
      <c r="GY666" s="31"/>
      <c r="GZ666" s="31"/>
      <c r="HA666" s="31"/>
      <c r="HB666" s="31"/>
      <c r="HC666" s="31"/>
      <c r="HD666" s="31"/>
      <c r="HE666" s="31"/>
      <c r="HF666" s="31"/>
      <c r="HG666" s="31"/>
      <c r="HH666" s="31"/>
      <c r="HI666" s="31"/>
      <c r="HJ666" s="31"/>
      <c r="HK666" s="31"/>
      <c r="HL666" s="31"/>
      <c r="HM666" s="31"/>
      <c r="HN666" s="31"/>
      <c r="HO666" s="31"/>
      <c r="HP666" s="31"/>
      <c r="HQ666" s="31"/>
      <c r="HR666" s="31"/>
      <c r="HS666" s="31"/>
      <c r="HT666" s="31"/>
      <c r="HU666" s="31"/>
      <c r="HV666" s="31"/>
      <c r="HW666" s="31"/>
      <c r="HX666" s="31"/>
      <c r="HY666" s="31"/>
      <c r="HZ666" s="31"/>
      <c r="IA666" s="31"/>
      <c r="IB666" s="31"/>
      <c r="IC666" s="31"/>
      <c r="ID666" s="31"/>
      <c r="IE666" s="31"/>
      <c r="IF666" s="31"/>
      <c r="IG666" s="31"/>
      <c r="IH666" s="31"/>
      <c r="II666" s="31"/>
      <c r="IJ666" s="31"/>
      <c r="IK666" s="31"/>
      <c r="IL666" s="31"/>
      <c r="IM666" s="31"/>
      <c r="IN666" s="31"/>
      <c r="IO666" s="31"/>
      <c r="IP666" s="31"/>
      <c r="IQ666" s="31"/>
      <c r="IR666" s="31"/>
      <c r="IS666" s="31"/>
      <c r="IT666" s="31"/>
      <c r="IU666" s="31"/>
      <c r="IV666" s="31"/>
      <c r="IW666" s="31"/>
      <c r="IX666" s="31"/>
      <c r="IY666" s="31"/>
      <c r="IZ666" s="31"/>
      <c r="JA666" s="31"/>
      <c r="JB666" s="31"/>
      <c r="JC666" s="31"/>
      <c r="JD666" s="31"/>
      <c r="JE666" s="31"/>
      <c r="JF666" s="31"/>
      <c r="JG666" s="31"/>
      <c r="JH666" s="31"/>
      <c r="JI666" s="31"/>
      <c r="JJ666" s="31"/>
      <c r="JK666" s="31"/>
      <c r="JL666" s="31"/>
      <c r="JM666" s="31"/>
      <c r="JN666" s="31"/>
      <c r="JO666" s="31"/>
      <c r="JP666" s="31"/>
      <c r="JQ666" s="31"/>
      <c r="JR666" s="31"/>
      <c r="JS666" s="31"/>
      <c r="JT666" s="31"/>
      <c r="JU666" s="31"/>
      <c r="JV666" s="31"/>
      <c r="JW666" s="31"/>
      <c r="JX666" s="31"/>
      <c r="JY666" s="31"/>
      <c r="JZ666" s="31"/>
      <c r="KA666" s="31"/>
      <c r="KB666" s="31"/>
      <c r="KC666" s="31"/>
      <c r="KD666" s="31"/>
      <c r="KE666" s="31"/>
    </row>
    <row r="667" spans="1:291" s="156" customFormat="1" ht="35" customHeight="1">
      <c r="A667" s="42">
        <f>ROW()-2</f>
        <v>665</v>
      </c>
      <c r="B667" s="42" t="s">
        <v>2732</v>
      </c>
      <c r="C667" s="43" t="s">
        <v>4064</v>
      </c>
      <c r="D667" s="43" t="s">
        <v>4149</v>
      </c>
      <c r="E667" s="43" t="s">
        <v>4150</v>
      </c>
      <c r="F667" s="43" t="s">
        <v>4151</v>
      </c>
      <c r="G667" s="43" t="s">
        <v>34</v>
      </c>
      <c r="H667" s="42">
        <v>1</v>
      </c>
      <c r="I667" s="42">
        <v>0.5</v>
      </c>
      <c r="J667" s="53">
        <v>44249</v>
      </c>
      <c r="K667" s="43" t="s">
        <v>20</v>
      </c>
      <c r="L667" s="42">
        <v>4.99</v>
      </c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  <c r="CX667" s="31"/>
      <c r="CY667" s="31"/>
      <c r="CZ667" s="31"/>
      <c r="DA667" s="31"/>
      <c r="DB667" s="31"/>
      <c r="DC667" s="31"/>
      <c r="DD667" s="31"/>
      <c r="DE667" s="31"/>
      <c r="DF667" s="31"/>
      <c r="DG667" s="31"/>
      <c r="DH667" s="31"/>
      <c r="DI667" s="31"/>
      <c r="DJ667" s="31"/>
      <c r="DK667" s="31"/>
      <c r="DL667" s="31"/>
      <c r="DM667" s="31"/>
      <c r="DN667" s="31"/>
      <c r="DO667" s="31"/>
      <c r="DP667" s="31"/>
      <c r="DQ667" s="31"/>
      <c r="DR667" s="31"/>
      <c r="DS667" s="31"/>
      <c r="DT667" s="31"/>
      <c r="DU667" s="31"/>
      <c r="DV667" s="31"/>
      <c r="DW667" s="31"/>
      <c r="DX667" s="31"/>
      <c r="DY667" s="31"/>
      <c r="DZ667" s="31"/>
      <c r="EA667" s="31"/>
      <c r="EB667" s="31"/>
      <c r="EC667" s="31"/>
      <c r="ED667" s="31"/>
      <c r="EE667" s="31"/>
      <c r="EF667" s="31"/>
      <c r="EG667" s="31"/>
      <c r="EH667" s="31"/>
      <c r="EI667" s="31"/>
      <c r="EJ667" s="31"/>
      <c r="EK667" s="31"/>
      <c r="EL667" s="31"/>
      <c r="EM667" s="31"/>
      <c r="EN667" s="31"/>
      <c r="EO667" s="31"/>
      <c r="EP667" s="31"/>
      <c r="EQ667" s="31"/>
      <c r="ER667" s="31"/>
      <c r="ES667" s="31"/>
      <c r="ET667" s="31"/>
      <c r="EU667" s="31"/>
      <c r="EV667" s="31"/>
      <c r="EW667" s="31"/>
      <c r="EX667" s="31"/>
      <c r="EY667" s="31"/>
      <c r="EZ667" s="31"/>
      <c r="FA667" s="31"/>
      <c r="FB667" s="31"/>
      <c r="FC667" s="31"/>
      <c r="FD667" s="31"/>
      <c r="FE667" s="31"/>
      <c r="FF667" s="31"/>
      <c r="FG667" s="31"/>
      <c r="FH667" s="31"/>
      <c r="FI667" s="31"/>
      <c r="FJ667" s="31"/>
      <c r="FK667" s="31"/>
      <c r="FL667" s="31"/>
      <c r="FM667" s="31"/>
      <c r="FN667" s="31"/>
      <c r="FO667" s="31"/>
      <c r="FP667" s="31"/>
      <c r="FQ667" s="31"/>
      <c r="FR667" s="31"/>
      <c r="FS667" s="31"/>
      <c r="FT667" s="31"/>
      <c r="FU667" s="31"/>
      <c r="FV667" s="31"/>
      <c r="FW667" s="31"/>
      <c r="FX667" s="31"/>
      <c r="FY667" s="31"/>
      <c r="FZ667" s="31"/>
      <c r="GA667" s="31"/>
      <c r="GB667" s="31"/>
      <c r="GC667" s="31"/>
      <c r="GD667" s="31"/>
      <c r="GE667" s="31"/>
      <c r="GF667" s="31"/>
      <c r="GG667" s="31"/>
      <c r="GH667" s="31"/>
      <c r="GI667" s="31"/>
      <c r="GJ667" s="31"/>
      <c r="GK667" s="31"/>
      <c r="GL667" s="31"/>
      <c r="GM667" s="31"/>
      <c r="GN667" s="31"/>
      <c r="GO667" s="31"/>
      <c r="GP667" s="31"/>
      <c r="GQ667" s="31"/>
      <c r="GR667" s="31"/>
      <c r="GS667" s="31"/>
      <c r="GT667" s="31"/>
      <c r="GU667" s="31"/>
      <c r="GV667" s="31"/>
      <c r="GW667" s="31"/>
      <c r="GX667" s="31"/>
      <c r="GY667" s="31"/>
      <c r="GZ667" s="31"/>
      <c r="HA667" s="31"/>
      <c r="HB667" s="31"/>
      <c r="HC667" s="31"/>
      <c r="HD667" s="31"/>
      <c r="HE667" s="31"/>
      <c r="HF667" s="31"/>
      <c r="HG667" s="31"/>
      <c r="HH667" s="31"/>
      <c r="HI667" s="31"/>
      <c r="HJ667" s="31"/>
      <c r="HK667" s="31"/>
      <c r="HL667" s="31"/>
      <c r="HM667" s="31"/>
      <c r="HN667" s="31"/>
      <c r="HO667" s="31"/>
      <c r="HP667" s="31"/>
      <c r="HQ667" s="31"/>
      <c r="HR667" s="31"/>
      <c r="HS667" s="31"/>
      <c r="HT667" s="31"/>
      <c r="HU667" s="31"/>
      <c r="HV667" s="31"/>
      <c r="HW667" s="31"/>
      <c r="HX667" s="31"/>
      <c r="HY667" s="31"/>
      <c r="HZ667" s="31"/>
      <c r="IA667" s="31"/>
      <c r="IB667" s="31"/>
      <c r="IC667" s="31"/>
      <c r="ID667" s="31"/>
      <c r="IE667" s="31"/>
      <c r="IF667" s="31"/>
      <c r="IG667" s="31"/>
      <c r="IH667" s="31"/>
      <c r="II667" s="31"/>
      <c r="IJ667" s="31"/>
      <c r="IK667" s="31"/>
      <c r="IL667" s="31"/>
      <c r="IM667" s="31"/>
      <c r="IN667" s="31"/>
      <c r="IO667" s="31"/>
      <c r="IP667" s="31"/>
      <c r="IQ667" s="31"/>
      <c r="IR667" s="31"/>
      <c r="IS667" s="31"/>
      <c r="IT667" s="31"/>
      <c r="IU667" s="31"/>
      <c r="IV667" s="31"/>
      <c r="IW667" s="31"/>
      <c r="IX667" s="31"/>
      <c r="IY667" s="31"/>
      <c r="IZ667" s="31"/>
      <c r="JA667" s="31"/>
      <c r="JB667" s="31"/>
      <c r="JC667" s="31"/>
      <c r="JD667" s="31"/>
      <c r="JE667" s="31"/>
      <c r="JF667" s="31"/>
      <c r="JG667" s="31"/>
      <c r="JH667" s="31"/>
      <c r="JI667" s="31"/>
      <c r="JJ667" s="31"/>
      <c r="JK667" s="31"/>
      <c r="JL667" s="31"/>
      <c r="JM667" s="31"/>
      <c r="JN667" s="31"/>
      <c r="JO667" s="31"/>
      <c r="JP667" s="31"/>
      <c r="JQ667" s="31"/>
      <c r="JR667" s="31"/>
      <c r="JS667" s="31"/>
      <c r="JT667" s="31"/>
      <c r="JU667" s="31"/>
      <c r="JV667" s="31"/>
      <c r="JW667" s="31"/>
      <c r="JX667" s="31"/>
      <c r="JY667" s="31"/>
      <c r="JZ667" s="31"/>
      <c r="KA667" s="31"/>
      <c r="KB667" s="31"/>
      <c r="KC667" s="31"/>
      <c r="KD667" s="31"/>
      <c r="KE667" s="31"/>
    </row>
    <row r="668" spans="1:291" s="156" customFormat="1" ht="35" customHeight="1">
      <c r="A668" s="42">
        <f>ROW()-2</f>
        <v>666</v>
      </c>
      <c r="B668" s="42" t="s">
        <v>2732</v>
      </c>
      <c r="C668" s="43" t="s">
        <v>4064</v>
      </c>
      <c r="D668" s="43" t="s">
        <v>4152</v>
      </c>
      <c r="E668" s="43" t="s">
        <v>4153</v>
      </c>
      <c r="F668" s="43" t="s">
        <v>4154</v>
      </c>
      <c r="G668" s="43" t="s">
        <v>34</v>
      </c>
      <c r="H668" s="42">
        <v>1</v>
      </c>
      <c r="I668" s="42">
        <v>0.5</v>
      </c>
      <c r="J668" s="53">
        <v>44362</v>
      </c>
      <c r="K668" s="43" t="s">
        <v>20</v>
      </c>
      <c r="L668" s="42">
        <v>4.99</v>
      </c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  <c r="CX668" s="31"/>
      <c r="CY668" s="31"/>
      <c r="CZ668" s="31"/>
      <c r="DA668" s="31"/>
      <c r="DB668" s="31"/>
      <c r="DC668" s="31"/>
      <c r="DD668" s="31"/>
      <c r="DE668" s="31"/>
      <c r="DF668" s="31"/>
      <c r="DG668" s="31"/>
      <c r="DH668" s="31"/>
      <c r="DI668" s="31"/>
      <c r="DJ668" s="31"/>
      <c r="DK668" s="31"/>
      <c r="DL668" s="31"/>
      <c r="DM668" s="31"/>
      <c r="DN668" s="31"/>
      <c r="DO668" s="31"/>
      <c r="DP668" s="31"/>
      <c r="DQ668" s="31"/>
      <c r="DR668" s="31"/>
      <c r="DS668" s="31"/>
      <c r="DT668" s="31"/>
      <c r="DU668" s="31"/>
      <c r="DV668" s="31"/>
      <c r="DW668" s="31"/>
      <c r="DX668" s="31"/>
      <c r="DY668" s="31"/>
      <c r="DZ668" s="31"/>
      <c r="EA668" s="31"/>
      <c r="EB668" s="31"/>
      <c r="EC668" s="31"/>
      <c r="ED668" s="31"/>
      <c r="EE668" s="31"/>
      <c r="EF668" s="31"/>
      <c r="EG668" s="31"/>
      <c r="EH668" s="31"/>
      <c r="EI668" s="31"/>
      <c r="EJ668" s="31"/>
      <c r="EK668" s="31"/>
      <c r="EL668" s="31"/>
      <c r="EM668" s="31"/>
      <c r="EN668" s="31"/>
      <c r="EO668" s="31"/>
      <c r="EP668" s="31"/>
      <c r="EQ668" s="31"/>
      <c r="ER668" s="31"/>
      <c r="ES668" s="31"/>
      <c r="ET668" s="31"/>
      <c r="EU668" s="31"/>
      <c r="EV668" s="31"/>
      <c r="EW668" s="31"/>
      <c r="EX668" s="31"/>
      <c r="EY668" s="31"/>
      <c r="EZ668" s="31"/>
      <c r="FA668" s="31"/>
      <c r="FB668" s="31"/>
      <c r="FC668" s="31"/>
      <c r="FD668" s="31"/>
      <c r="FE668" s="31"/>
      <c r="FF668" s="31"/>
      <c r="FG668" s="31"/>
      <c r="FH668" s="31"/>
      <c r="FI668" s="31"/>
      <c r="FJ668" s="31"/>
      <c r="FK668" s="31"/>
      <c r="FL668" s="31"/>
      <c r="FM668" s="31"/>
      <c r="FN668" s="31"/>
      <c r="FO668" s="31"/>
      <c r="FP668" s="31"/>
      <c r="FQ668" s="31"/>
      <c r="FR668" s="31"/>
      <c r="FS668" s="31"/>
      <c r="FT668" s="31"/>
      <c r="FU668" s="31"/>
      <c r="FV668" s="31"/>
      <c r="FW668" s="31"/>
      <c r="FX668" s="31"/>
      <c r="FY668" s="31"/>
      <c r="FZ668" s="31"/>
      <c r="GA668" s="31"/>
      <c r="GB668" s="31"/>
      <c r="GC668" s="31"/>
      <c r="GD668" s="31"/>
      <c r="GE668" s="31"/>
      <c r="GF668" s="31"/>
      <c r="GG668" s="31"/>
      <c r="GH668" s="31"/>
      <c r="GI668" s="31"/>
      <c r="GJ668" s="31"/>
      <c r="GK668" s="31"/>
      <c r="GL668" s="31"/>
      <c r="GM668" s="31"/>
      <c r="GN668" s="31"/>
      <c r="GO668" s="31"/>
      <c r="GP668" s="31"/>
      <c r="GQ668" s="31"/>
      <c r="GR668" s="31"/>
      <c r="GS668" s="31"/>
      <c r="GT668" s="31"/>
      <c r="GU668" s="31"/>
      <c r="GV668" s="31"/>
      <c r="GW668" s="31"/>
      <c r="GX668" s="31"/>
      <c r="GY668" s="31"/>
      <c r="GZ668" s="31"/>
      <c r="HA668" s="31"/>
      <c r="HB668" s="31"/>
      <c r="HC668" s="31"/>
      <c r="HD668" s="31"/>
      <c r="HE668" s="31"/>
      <c r="HF668" s="31"/>
      <c r="HG668" s="31"/>
      <c r="HH668" s="31"/>
      <c r="HI668" s="31"/>
      <c r="HJ668" s="31"/>
      <c r="HK668" s="31"/>
      <c r="HL668" s="31"/>
      <c r="HM668" s="31"/>
      <c r="HN668" s="31"/>
      <c r="HO668" s="31"/>
      <c r="HP668" s="31"/>
      <c r="HQ668" s="31"/>
      <c r="HR668" s="31"/>
      <c r="HS668" s="31"/>
      <c r="HT668" s="31"/>
      <c r="HU668" s="31"/>
      <c r="HV668" s="31"/>
      <c r="HW668" s="31"/>
      <c r="HX668" s="31"/>
      <c r="HY668" s="31"/>
      <c r="HZ668" s="31"/>
      <c r="IA668" s="31"/>
      <c r="IB668" s="31"/>
      <c r="IC668" s="31"/>
      <c r="ID668" s="31"/>
      <c r="IE668" s="31"/>
      <c r="IF668" s="31"/>
      <c r="IG668" s="31"/>
      <c r="IH668" s="31"/>
      <c r="II668" s="31"/>
      <c r="IJ668" s="31"/>
      <c r="IK668" s="31"/>
      <c r="IL668" s="31"/>
      <c r="IM668" s="31"/>
      <c r="IN668" s="31"/>
      <c r="IO668" s="31"/>
      <c r="IP668" s="31"/>
      <c r="IQ668" s="31"/>
      <c r="IR668" s="31"/>
      <c r="IS668" s="31"/>
      <c r="IT668" s="31"/>
      <c r="IU668" s="31"/>
      <c r="IV668" s="31"/>
      <c r="IW668" s="31"/>
      <c r="IX668" s="31"/>
      <c r="IY668" s="31"/>
      <c r="IZ668" s="31"/>
      <c r="JA668" s="31"/>
      <c r="JB668" s="31"/>
      <c r="JC668" s="31"/>
      <c r="JD668" s="31"/>
      <c r="JE668" s="31"/>
      <c r="JF668" s="31"/>
      <c r="JG668" s="31"/>
      <c r="JH668" s="31"/>
      <c r="JI668" s="31"/>
      <c r="JJ668" s="31"/>
      <c r="JK668" s="31"/>
      <c r="JL668" s="31"/>
      <c r="JM668" s="31"/>
      <c r="JN668" s="31"/>
      <c r="JO668" s="31"/>
      <c r="JP668" s="31"/>
      <c r="JQ668" s="31"/>
      <c r="JR668" s="31"/>
      <c r="JS668" s="31"/>
      <c r="JT668" s="31"/>
      <c r="JU668" s="31"/>
      <c r="JV668" s="31"/>
      <c r="JW668" s="31"/>
      <c r="JX668" s="31"/>
      <c r="JY668" s="31"/>
      <c r="JZ668" s="31"/>
      <c r="KA668" s="31"/>
      <c r="KB668" s="31"/>
      <c r="KC668" s="31"/>
      <c r="KD668" s="31"/>
      <c r="KE668" s="31"/>
    </row>
    <row r="669" spans="1:291" s="156" customFormat="1" ht="35" customHeight="1">
      <c r="A669" s="42">
        <f>ROW()-2</f>
        <v>667</v>
      </c>
      <c r="B669" s="42" t="s">
        <v>2732</v>
      </c>
      <c r="C669" s="43" t="s">
        <v>4064</v>
      </c>
      <c r="D669" s="43" t="s">
        <v>4155</v>
      </c>
      <c r="E669" s="43" t="s">
        <v>4069</v>
      </c>
      <c r="F669" s="43" t="s">
        <v>4156</v>
      </c>
      <c r="G669" s="43" t="s">
        <v>34</v>
      </c>
      <c r="H669" s="42">
        <v>1</v>
      </c>
      <c r="I669" s="42">
        <v>0.5</v>
      </c>
      <c r="J669" s="53">
        <v>44396</v>
      </c>
      <c r="K669" s="43" t="s">
        <v>20</v>
      </c>
      <c r="L669" s="42">
        <v>4.99</v>
      </c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  <c r="FS669" s="30"/>
      <c r="FT669" s="30"/>
      <c r="FU669" s="30"/>
      <c r="FV669" s="30"/>
      <c r="FW669" s="30"/>
      <c r="FX669" s="30"/>
      <c r="FY669" s="30"/>
      <c r="FZ669" s="30"/>
      <c r="GA669" s="30"/>
      <c r="GB669" s="30"/>
      <c r="GC669" s="30"/>
      <c r="GD669" s="30"/>
      <c r="GE669" s="30"/>
      <c r="GF669" s="30"/>
      <c r="GG669" s="30"/>
      <c r="GH669" s="30"/>
      <c r="GI669" s="30"/>
      <c r="GJ669" s="30"/>
      <c r="GK669" s="30"/>
      <c r="GL669" s="30"/>
      <c r="GM669" s="30"/>
      <c r="GN669" s="30"/>
      <c r="GO669" s="30"/>
      <c r="GP669" s="30"/>
      <c r="GQ669" s="30"/>
      <c r="GR669" s="30"/>
      <c r="GS669" s="30"/>
      <c r="GT669" s="30"/>
      <c r="GU669" s="30"/>
      <c r="GV669" s="30"/>
      <c r="GW669" s="30"/>
      <c r="GX669" s="30"/>
      <c r="GY669" s="30"/>
      <c r="GZ669" s="30"/>
      <c r="HA669" s="30"/>
      <c r="HB669" s="30"/>
      <c r="HC669" s="30"/>
      <c r="HD669" s="30"/>
      <c r="HE669" s="30"/>
      <c r="HF669" s="30"/>
      <c r="HG669" s="30"/>
      <c r="HH669" s="30"/>
      <c r="HI669" s="30"/>
      <c r="HJ669" s="30"/>
      <c r="HK669" s="30"/>
      <c r="HL669" s="30"/>
      <c r="HM669" s="30"/>
      <c r="HN669" s="30"/>
      <c r="HO669" s="30"/>
      <c r="HP669" s="30"/>
      <c r="HQ669" s="30"/>
      <c r="HR669" s="30"/>
      <c r="HS669" s="30"/>
      <c r="HT669" s="30"/>
      <c r="HU669" s="30"/>
      <c r="HV669" s="30"/>
      <c r="HW669" s="30"/>
      <c r="HX669" s="30"/>
      <c r="HY669" s="30"/>
      <c r="HZ669" s="30"/>
      <c r="IA669" s="30"/>
      <c r="IB669" s="30"/>
      <c r="IC669" s="30"/>
      <c r="ID669" s="30"/>
      <c r="IE669" s="30"/>
      <c r="IF669" s="30"/>
      <c r="IG669" s="30"/>
      <c r="IH669" s="30"/>
      <c r="II669" s="30"/>
      <c r="IJ669" s="30"/>
      <c r="IK669" s="30"/>
      <c r="IL669" s="30"/>
      <c r="IM669" s="30"/>
      <c r="IN669" s="30"/>
      <c r="IO669" s="30"/>
      <c r="IP669" s="30"/>
      <c r="IQ669" s="30"/>
      <c r="IR669" s="30"/>
      <c r="IS669" s="30"/>
      <c r="IT669" s="30"/>
      <c r="IU669" s="30"/>
      <c r="IV669" s="30"/>
      <c r="IW669" s="30"/>
      <c r="IX669" s="30"/>
      <c r="IY669" s="30"/>
      <c r="IZ669" s="30"/>
      <c r="JA669" s="30"/>
      <c r="JB669" s="30"/>
      <c r="JC669" s="30"/>
      <c r="JD669" s="30"/>
      <c r="JE669" s="30"/>
      <c r="JF669" s="30"/>
      <c r="JG669" s="30"/>
      <c r="JH669" s="30"/>
      <c r="JI669" s="30"/>
      <c r="JJ669" s="30"/>
      <c r="JK669" s="30"/>
      <c r="JL669" s="30"/>
      <c r="JM669" s="30"/>
      <c r="JN669" s="30"/>
      <c r="JO669" s="30"/>
      <c r="JP669" s="30"/>
      <c r="JQ669" s="30"/>
      <c r="JR669" s="30"/>
      <c r="JS669" s="30"/>
      <c r="JT669" s="30"/>
      <c r="JU669" s="30"/>
      <c r="JV669" s="30"/>
      <c r="JW669" s="30"/>
      <c r="JX669" s="30"/>
      <c r="JY669" s="30"/>
      <c r="JZ669" s="30"/>
      <c r="KA669" s="30"/>
      <c r="KB669" s="30"/>
      <c r="KC669" s="30"/>
      <c r="KD669" s="30"/>
      <c r="KE669" s="30"/>
    </row>
    <row r="670" spans="1:291" s="156" customFormat="1" ht="35" customHeight="1">
      <c r="A670" s="42">
        <f>ROW()-2</f>
        <v>668</v>
      </c>
      <c r="B670" s="42" t="s">
        <v>2732</v>
      </c>
      <c r="C670" s="43" t="s">
        <v>4064</v>
      </c>
      <c r="D670" s="43" t="s">
        <v>4157</v>
      </c>
      <c r="E670" s="43" t="s">
        <v>4158</v>
      </c>
      <c r="F670" s="43" t="s">
        <v>4159</v>
      </c>
      <c r="G670" s="43" t="s">
        <v>34</v>
      </c>
      <c r="H670" s="42">
        <v>1</v>
      </c>
      <c r="I670" s="42">
        <v>0.42</v>
      </c>
      <c r="J670" s="53">
        <v>44438</v>
      </c>
      <c r="K670" s="43" t="s">
        <v>20</v>
      </c>
      <c r="L670" s="42">
        <v>4.99</v>
      </c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  <c r="FS670" s="30"/>
      <c r="FT670" s="30"/>
      <c r="FU670" s="30"/>
      <c r="FV670" s="30"/>
      <c r="FW670" s="30"/>
      <c r="FX670" s="30"/>
      <c r="FY670" s="30"/>
      <c r="FZ670" s="30"/>
      <c r="GA670" s="30"/>
      <c r="GB670" s="30"/>
      <c r="GC670" s="30"/>
      <c r="GD670" s="30"/>
      <c r="GE670" s="30"/>
      <c r="GF670" s="30"/>
      <c r="GG670" s="30"/>
      <c r="GH670" s="30"/>
      <c r="GI670" s="30"/>
      <c r="GJ670" s="30"/>
      <c r="GK670" s="30"/>
      <c r="GL670" s="30"/>
      <c r="GM670" s="30"/>
      <c r="GN670" s="30"/>
      <c r="GO670" s="30"/>
      <c r="GP670" s="30"/>
      <c r="GQ670" s="30"/>
      <c r="GR670" s="30"/>
      <c r="GS670" s="30"/>
      <c r="GT670" s="30"/>
      <c r="GU670" s="30"/>
      <c r="GV670" s="30"/>
      <c r="GW670" s="30"/>
      <c r="GX670" s="30"/>
      <c r="GY670" s="30"/>
      <c r="GZ670" s="30"/>
      <c r="HA670" s="30"/>
      <c r="HB670" s="30"/>
      <c r="HC670" s="30"/>
      <c r="HD670" s="30"/>
      <c r="HE670" s="30"/>
      <c r="HF670" s="30"/>
      <c r="HG670" s="30"/>
      <c r="HH670" s="30"/>
      <c r="HI670" s="30"/>
      <c r="HJ670" s="30"/>
      <c r="HK670" s="30"/>
      <c r="HL670" s="30"/>
      <c r="HM670" s="30"/>
      <c r="HN670" s="30"/>
      <c r="HO670" s="30"/>
      <c r="HP670" s="30"/>
      <c r="HQ670" s="30"/>
      <c r="HR670" s="30"/>
      <c r="HS670" s="30"/>
      <c r="HT670" s="30"/>
      <c r="HU670" s="30"/>
      <c r="HV670" s="30"/>
      <c r="HW670" s="30"/>
      <c r="HX670" s="30"/>
      <c r="HY670" s="30"/>
      <c r="HZ670" s="30"/>
      <c r="IA670" s="30"/>
      <c r="IB670" s="30"/>
      <c r="IC670" s="30"/>
      <c r="ID670" s="30"/>
      <c r="IE670" s="30"/>
      <c r="IF670" s="30"/>
      <c r="IG670" s="30"/>
      <c r="IH670" s="30"/>
      <c r="II670" s="30"/>
      <c r="IJ670" s="30"/>
      <c r="IK670" s="30"/>
      <c r="IL670" s="30"/>
      <c r="IM670" s="30"/>
      <c r="IN670" s="30"/>
      <c r="IO670" s="30"/>
      <c r="IP670" s="30"/>
      <c r="IQ670" s="30"/>
      <c r="IR670" s="30"/>
      <c r="IS670" s="30"/>
      <c r="IT670" s="30"/>
      <c r="IU670" s="30"/>
      <c r="IV670" s="30"/>
      <c r="IW670" s="30"/>
      <c r="IX670" s="30"/>
      <c r="IY670" s="30"/>
      <c r="IZ670" s="30"/>
      <c r="JA670" s="30"/>
      <c r="JB670" s="30"/>
      <c r="JC670" s="30"/>
      <c r="JD670" s="30"/>
      <c r="JE670" s="30"/>
      <c r="JF670" s="30"/>
      <c r="JG670" s="30"/>
      <c r="JH670" s="30"/>
      <c r="JI670" s="30"/>
      <c r="JJ670" s="30"/>
      <c r="JK670" s="30"/>
      <c r="JL670" s="30"/>
      <c r="JM670" s="30"/>
      <c r="JN670" s="30"/>
      <c r="JO670" s="30"/>
      <c r="JP670" s="30"/>
      <c r="JQ670" s="30"/>
      <c r="JR670" s="30"/>
      <c r="JS670" s="30"/>
      <c r="JT670" s="30"/>
      <c r="JU670" s="30"/>
      <c r="JV670" s="30"/>
      <c r="JW670" s="30"/>
      <c r="JX670" s="30"/>
      <c r="JY670" s="30"/>
      <c r="JZ670" s="30"/>
      <c r="KA670" s="30"/>
      <c r="KB670" s="30"/>
      <c r="KC670" s="30"/>
      <c r="KD670" s="30"/>
      <c r="KE670" s="30"/>
    </row>
    <row r="671" spans="1:291" s="156" customFormat="1" ht="35" customHeight="1">
      <c r="A671" s="42">
        <f>ROW()-2</f>
        <v>669</v>
      </c>
      <c r="B671" s="42" t="s">
        <v>2732</v>
      </c>
      <c r="C671" s="43" t="s">
        <v>4064</v>
      </c>
      <c r="D671" s="43" t="s">
        <v>4160</v>
      </c>
      <c r="E671" s="43" t="s">
        <v>4161</v>
      </c>
      <c r="F671" s="43" t="s">
        <v>4162</v>
      </c>
      <c r="G671" s="43" t="s">
        <v>34</v>
      </c>
      <c r="H671" s="42">
        <v>1</v>
      </c>
      <c r="I671" s="42">
        <v>0.42</v>
      </c>
      <c r="J671" s="53">
        <v>44571</v>
      </c>
      <c r="K671" s="43" t="s">
        <v>20</v>
      </c>
      <c r="L671" s="42">
        <v>4.99</v>
      </c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  <c r="FS671" s="30"/>
      <c r="FT671" s="30"/>
      <c r="FU671" s="30"/>
      <c r="FV671" s="30"/>
      <c r="FW671" s="30"/>
      <c r="FX671" s="30"/>
      <c r="FY671" s="30"/>
      <c r="FZ671" s="30"/>
      <c r="GA671" s="30"/>
      <c r="GB671" s="30"/>
      <c r="GC671" s="30"/>
      <c r="GD671" s="30"/>
      <c r="GE671" s="30"/>
      <c r="GF671" s="30"/>
      <c r="GG671" s="30"/>
      <c r="GH671" s="30"/>
      <c r="GI671" s="30"/>
      <c r="GJ671" s="30"/>
      <c r="GK671" s="30"/>
      <c r="GL671" s="30"/>
      <c r="GM671" s="30"/>
      <c r="GN671" s="30"/>
      <c r="GO671" s="30"/>
      <c r="GP671" s="30"/>
      <c r="GQ671" s="30"/>
      <c r="GR671" s="30"/>
      <c r="GS671" s="30"/>
      <c r="GT671" s="30"/>
      <c r="GU671" s="30"/>
      <c r="GV671" s="30"/>
      <c r="GW671" s="30"/>
      <c r="GX671" s="30"/>
      <c r="GY671" s="30"/>
      <c r="GZ671" s="30"/>
      <c r="HA671" s="30"/>
      <c r="HB671" s="30"/>
      <c r="HC671" s="30"/>
      <c r="HD671" s="30"/>
      <c r="HE671" s="30"/>
      <c r="HF671" s="30"/>
      <c r="HG671" s="30"/>
      <c r="HH671" s="30"/>
      <c r="HI671" s="30"/>
      <c r="HJ671" s="30"/>
      <c r="HK671" s="30"/>
      <c r="HL671" s="30"/>
      <c r="HM671" s="30"/>
      <c r="HN671" s="30"/>
      <c r="HO671" s="30"/>
      <c r="HP671" s="30"/>
      <c r="HQ671" s="30"/>
      <c r="HR671" s="30"/>
      <c r="HS671" s="30"/>
      <c r="HT671" s="30"/>
      <c r="HU671" s="30"/>
      <c r="HV671" s="30"/>
      <c r="HW671" s="30"/>
      <c r="HX671" s="30"/>
      <c r="HY671" s="30"/>
      <c r="HZ671" s="30"/>
      <c r="IA671" s="30"/>
      <c r="IB671" s="30"/>
      <c r="IC671" s="30"/>
      <c r="ID671" s="30"/>
      <c r="IE671" s="30"/>
      <c r="IF671" s="30"/>
      <c r="IG671" s="30"/>
      <c r="IH671" s="30"/>
      <c r="II671" s="30"/>
      <c r="IJ671" s="30"/>
      <c r="IK671" s="30"/>
      <c r="IL671" s="30"/>
      <c r="IM671" s="30"/>
      <c r="IN671" s="30"/>
      <c r="IO671" s="30"/>
      <c r="IP671" s="30"/>
      <c r="IQ671" s="30"/>
      <c r="IR671" s="30"/>
      <c r="IS671" s="30"/>
      <c r="IT671" s="30"/>
      <c r="IU671" s="30"/>
      <c r="IV671" s="30"/>
      <c r="IW671" s="30"/>
      <c r="IX671" s="30"/>
      <c r="IY671" s="30"/>
      <c r="IZ671" s="30"/>
      <c r="JA671" s="30"/>
      <c r="JB671" s="30"/>
      <c r="JC671" s="30"/>
      <c r="JD671" s="30"/>
      <c r="JE671" s="30"/>
      <c r="JF671" s="30"/>
      <c r="JG671" s="30"/>
      <c r="JH671" s="30"/>
      <c r="JI671" s="30"/>
      <c r="JJ671" s="30"/>
      <c r="JK671" s="30"/>
      <c r="JL671" s="30"/>
      <c r="JM671" s="30"/>
      <c r="JN671" s="30"/>
      <c r="JO671" s="30"/>
      <c r="JP671" s="30"/>
      <c r="JQ671" s="30"/>
      <c r="JR671" s="30"/>
      <c r="JS671" s="30"/>
      <c r="JT671" s="30"/>
      <c r="JU671" s="30"/>
      <c r="JV671" s="30"/>
      <c r="JW671" s="30"/>
      <c r="JX671" s="30"/>
      <c r="JY671" s="30"/>
      <c r="JZ671" s="30"/>
      <c r="KA671" s="30"/>
      <c r="KB671" s="30"/>
      <c r="KC671" s="30"/>
      <c r="KD671" s="30"/>
      <c r="KE671" s="30"/>
    </row>
    <row r="672" spans="1:291" s="156" customFormat="1" ht="35" customHeight="1">
      <c r="A672" s="42">
        <f>ROW()-2</f>
        <v>670</v>
      </c>
      <c r="B672" s="152" t="s">
        <v>2732</v>
      </c>
      <c r="C672" s="152" t="s">
        <v>4163</v>
      </c>
      <c r="D672" s="58" t="s">
        <v>4164</v>
      </c>
      <c r="E672" s="58" t="s">
        <v>4165</v>
      </c>
      <c r="F672" s="58" t="s">
        <v>3140</v>
      </c>
      <c r="G672" s="152" t="s">
        <v>34</v>
      </c>
      <c r="H672" s="152">
        <v>1</v>
      </c>
      <c r="I672" s="153">
        <v>0.42333333333333301</v>
      </c>
      <c r="J672" s="154">
        <v>43483</v>
      </c>
      <c r="K672" s="153" t="s">
        <v>20</v>
      </c>
      <c r="L672" s="152">
        <v>4.99</v>
      </c>
      <c r="M672" s="155"/>
    </row>
    <row r="673" spans="1:13" s="156" customFormat="1" ht="35" customHeight="1">
      <c r="A673" s="42">
        <f>ROW()-2</f>
        <v>671</v>
      </c>
      <c r="B673" s="152" t="s">
        <v>2732</v>
      </c>
      <c r="C673" s="152" t="s">
        <v>4163</v>
      </c>
      <c r="D673" s="58" t="s">
        <v>4244</v>
      </c>
      <c r="E673" s="58" t="s">
        <v>4245</v>
      </c>
      <c r="F673" s="58" t="s">
        <v>4246</v>
      </c>
      <c r="G673" s="152" t="s">
        <v>34</v>
      </c>
      <c r="H673" s="152">
        <v>1</v>
      </c>
      <c r="I673" s="153">
        <v>0.34722222222222199</v>
      </c>
      <c r="J673" s="154">
        <v>43775</v>
      </c>
      <c r="K673" s="153" t="s">
        <v>20</v>
      </c>
      <c r="L673" s="152">
        <v>4.99</v>
      </c>
    </row>
    <row r="674" spans="1:13" s="156" customFormat="1" ht="35" customHeight="1">
      <c r="A674" s="42">
        <f>ROW()-2</f>
        <v>672</v>
      </c>
      <c r="B674" s="152" t="s">
        <v>2732</v>
      </c>
      <c r="C674" s="152" t="s">
        <v>4163</v>
      </c>
      <c r="D674" s="58" t="s">
        <v>4238</v>
      </c>
      <c r="E674" s="58" t="s">
        <v>4239</v>
      </c>
      <c r="F674" s="58" t="s">
        <v>3455</v>
      </c>
      <c r="G674" s="152" t="s">
        <v>34</v>
      </c>
      <c r="H674" s="152">
        <v>1</v>
      </c>
      <c r="I674" s="153">
        <v>0.862222222222222</v>
      </c>
      <c r="J674" s="154">
        <v>43920</v>
      </c>
      <c r="K674" s="153" t="s">
        <v>20</v>
      </c>
      <c r="L674" s="152">
        <v>4.99</v>
      </c>
    </row>
    <row r="675" spans="1:13" s="156" customFormat="1" ht="35" customHeight="1">
      <c r="A675" s="42">
        <f>ROW()-2</f>
        <v>673</v>
      </c>
      <c r="B675" s="152" t="s">
        <v>2732</v>
      </c>
      <c r="C675" s="152" t="s">
        <v>4163</v>
      </c>
      <c r="D675" s="58" t="s">
        <v>4225</v>
      </c>
      <c r="E675" s="58" t="s">
        <v>4226</v>
      </c>
      <c r="F675" s="58" t="s">
        <v>3589</v>
      </c>
      <c r="G675" s="152" t="s">
        <v>34</v>
      </c>
      <c r="H675" s="152">
        <v>1</v>
      </c>
      <c r="I675" s="153">
        <v>0.41138888888888903</v>
      </c>
      <c r="J675" s="154">
        <v>43962</v>
      </c>
      <c r="K675" s="153" t="s">
        <v>20</v>
      </c>
      <c r="L675" s="152">
        <v>4.99</v>
      </c>
    </row>
    <row r="676" spans="1:13" s="156" customFormat="1" ht="35" customHeight="1">
      <c r="A676" s="42">
        <f>ROW()-2</f>
        <v>674</v>
      </c>
      <c r="B676" s="152" t="s">
        <v>2732</v>
      </c>
      <c r="C676" s="152" t="s">
        <v>4163</v>
      </c>
      <c r="D676" s="58" t="s">
        <v>4234</v>
      </c>
      <c r="E676" s="58" t="s">
        <v>4235</v>
      </c>
      <c r="F676" s="58" t="s">
        <v>3639</v>
      </c>
      <c r="G676" s="152" t="s">
        <v>34</v>
      </c>
      <c r="H676" s="152">
        <v>1</v>
      </c>
      <c r="I676" s="153">
        <v>0.32166666666666699</v>
      </c>
      <c r="J676" s="154">
        <v>43962</v>
      </c>
      <c r="K676" s="153" t="s">
        <v>20</v>
      </c>
      <c r="L676" s="152">
        <v>4.99</v>
      </c>
    </row>
    <row r="677" spans="1:13" s="156" customFormat="1" ht="35" customHeight="1">
      <c r="A677" s="42">
        <f>ROW()-2</f>
        <v>675</v>
      </c>
      <c r="B677" s="152" t="s">
        <v>2732</v>
      </c>
      <c r="C677" s="152" t="s">
        <v>4163</v>
      </c>
      <c r="D677" s="58" t="s">
        <v>4236</v>
      </c>
      <c r="E677" s="58" t="s">
        <v>4237</v>
      </c>
      <c r="F677" s="58" t="s">
        <v>2932</v>
      </c>
      <c r="G677" s="152" t="s">
        <v>34</v>
      </c>
      <c r="H677" s="152">
        <v>1</v>
      </c>
      <c r="I677" s="153">
        <v>0.39777777777777801</v>
      </c>
      <c r="J677" s="154">
        <v>43962</v>
      </c>
      <c r="K677" s="153" t="s">
        <v>20</v>
      </c>
      <c r="L677" s="152">
        <v>4.99</v>
      </c>
    </row>
    <row r="678" spans="1:13" s="156" customFormat="1" ht="35" customHeight="1">
      <c r="A678" s="42">
        <f>ROW()-2</f>
        <v>676</v>
      </c>
      <c r="B678" s="152" t="s">
        <v>2732</v>
      </c>
      <c r="C678" s="152" t="s">
        <v>4163</v>
      </c>
      <c r="D678" s="58" t="s">
        <v>4248</v>
      </c>
      <c r="E678" s="58" t="s">
        <v>4249</v>
      </c>
      <c r="F678" s="58" t="s">
        <v>191</v>
      </c>
      <c r="G678" s="152" t="s">
        <v>34</v>
      </c>
      <c r="H678" s="152">
        <v>1</v>
      </c>
      <c r="I678" s="153">
        <v>0.27138888888888901</v>
      </c>
      <c r="J678" s="154">
        <v>43962</v>
      </c>
      <c r="K678" s="153" t="s">
        <v>20</v>
      </c>
      <c r="L678" s="152">
        <v>4.99</v>
      </c>
    </row>
    <row r="679" spans="1:13" s="156" customFormat="1" ht="35" customHeight="1">
      <c r="A679" s="42">
        <f>ROW()-2</f>
        <v>677</v>
      </c>
      <c r="B679" s="152" t="s">
        <v>2732</v>
      </c>
      <c r="C679" s="152" t="s">
        <v>4163</v>
      </c>
      <c r="D679" s="58" t="s">
        <v>4282</v>
      </c>
      <c r="E679" s="58" t="s">
        <v>4283</v>
      </c>
      <c r="F679" s="58" t="s">
        <v>3759</v>
      </c>
      <c r="G679" s="152" t="s">
        <v>34</v>
      </c>
      <c r="H679" s="152">
        <v>1</v>
      </c>
      <c r="I679" s="153">
        <v>0.392777777777778</v>
      </c>
      <c r="J679" s="154">
        <v>43962</v>
      </c>
      <c r="K679" s="153" t="s">
        <v>20</v>
      </c>
      <c r="L679" s="152">
        <v>4.99</v>
      </c>
    </row>
    <row r="680" spans="1:13" s="156" customFormat="1" ht="35" customHeight="1">
      <c r="A680" s="42">
        <f>ROW()-2</f>
        <v>678</v>
      </c>
      <c r="B680" s="152" t="s">
        <v>2732</v>
      </c>
      <c r="C680" s="152" t="s">
        <v>4163</v>
      </c>
      <c r="D680" s="58" t="s">
        <v>4284</v>
      </c>
      <c r="E680" s="58" t="s">
        <v>4285</v>
      </c>
      <c r="F680" s="58" t="s">
        <v>2739</v>
      </c>
      <c r="G680" s="152" t="s">
        <v>34</v>
      </c>
      <c r="H680" s="152">
        <v>1</v>
      </c>
      <c r="I680" s="153">
        <v>0.50722222222222202</v>
      </c>
      <c r="J680" s="154">
        <v>43962</v>
      </c>
      <c r="K680" s="153" t="s">
        <v>20</v>
      </c>
      <c r="L680" s="152">
        <v>4.99</v>
      </c>
    </row>
    <row r="681" spans="1:13" s="156" customFormat="1" ht="35" customHeight="1">
      <c r="A681" s="42">
        <f>ROW()-2</f>
        <v>679</v>
      </c>
      <c r="B681" s="152" t="s">
        <v>2732</v>
      </c>
      <c r="C681" s="152" t="s">
        <v>4163</v>
      </c>
      <c r="D681" s="58" t="s">
        <v>4286</v>
      </c>
      <c r="E681" s="58" t="s">
        <v>4287</v>
      </c>
      <c r="F681" s="58" t="s">
        <v>2739</v>
      </c>
      <c r="G681" s="152" t="s">
        <v>34</v>
      </c>
      <c r="H681" s="152">
        <v>1</v>
      </c>
      <c r="I681" s="153">
        <v>0.50916666666666699</v>
      </c>
      <c r="J681" s="154">
        <v>43962</v>
      </c>
      <c r="K681" s="153" t="s">
        <v>20</v>
      </c>
      <c r="L681" s="152">
        <v>4.99</v>
      </c>
    </row>
    <row r="682" spans="1:13" s="156" customFormat="1" ht="35" customHeight="1">
      <c r="A682" s="42">
        <f>ROW()-2</f>
        <v>680</v>
      </c>
      <c r="B682" s="152" t="s">
        <v>2732</v>
      </c>
      <c r="C682" s="152" t="s">
        <v>4163</v>
      </c>
      <c r="D682" s="58" t="s">
        <v>4228</v>
      </c>
      <c r="E682" s="58" t="s">
        <v>3990</v>
      </c>
      <c r="F682" s="58" t="s">
        <v>3589</v>
      </c>
      <c r="G682" s="152" t="s">
        <v>34</v>
      </c>
      <c r="H682" s="152">
        <v>1</v>
      </c>
      <c r="I682" s="153">
        <v>0.22</v>
      </c>
      <c r="J682" s="154">
        <v>43976</v>
      </c>
      <c r="K682" s="153" t="s">
        <v>20</v>
      </c>
      <c r="L682" s="152">
        <v>4.99</v>
      </c>
    </row>
    <row r="683" spans="1:13" s="156" customFormat="1" ht="35" customHeight="1">
      <c r="A683" s="42">
        <f>ROW()-2</f>
        <v>681</v>
      </c>
      <c r="B683" s="152" t="s">
        <v>2732</v>
      </c>
      <c r="C683" s="152" t="s">
        <v>4163</v>
      </c>
      <c r="D683" s="58" t="s">
        <v>4181</v>
      </c>
      <c r="E683" s="58" t="s">
        <v>4182</v>
      </c>
      <c r="F683" s="58" t="s">
        <v>2773</v>
      </c>
      <c r="G683" s="152" t="s">
        <v>34</v>
      </c>
      <c r="H683" s="152">
        <v>1</v>
      </c>
      <c r="I683" s="153">
        <v>0.37222222222222201</v>
      </c>
      <c r="J683" s="154">
        <v>43978</v>
      </c>
      <c r="K683" s="153" t="s">
        <v>20</v>
      </c>
      <c r="L683" s="152">
        <v>4.99</v>
      </c>
      <c r="M683" s="155"/>
    </row>
    <row r="684" spans="1:13" s="156" customFormat="1" ht="35" customHeight="1">
      <c r="A684" s="42">
        <f>ROW()-2</f>
        <v>682</v>
      </c>
      <c r="B684" s="152" t="s">
        <v>2732</v>
      </c>
      <c r="C684" s="152" t="s">
        <v>4163</v>
      </c>
      <c r="D684" s="58" t="s">
        <v>4206</v>
      </c>
      <c r="E684" s="58" t="s">
        <v>4207</v>
      </c>
      <c r="F684" s="58" t="s">
        <v>4208</v>
      </c>
      <c r="G684" s="152" t="s">
        <v>34</v>
      </c>
      <c r="H684" s="152">
        <v>1</v>
      </c>
      <c r="I684" s="153">
        <v>0.48277777777777803</v>
      </c>
      <c r="J684" s="154">
        <v>43978</v>
      </c>
      <c r="K684" s="153" t="s">
        <v>20</v>
      </c>
      <c r="L684" s="152">
        <v>4.99</v>
      </c>
    </row>
    <row r="685" spans="1:13" s="156" customFormat="1" ht="35" customHeight="1">
      <c r="A685" s="42">
        <f>ROW()-2</f>
        <v>683</v>
      </c>
      <c r="B685" s="152" t="s">
        <v>2732</v>
      </c>
      <c r="C685" s="152" t="s">
        <v>4163</v>
      </c>
      <c r="D685" s="58" t="s">
        <v>4209</v>
      </c>
      <c r="E685" s="58" t="s">
        <v>4210</v>
      </c>
      <c r="F685" s="58" t="s">
        <v>4211</v>
      </c>
      <c r="G685" s="152" t="s">
        <v>34</v>
      </c>
      <c r="H685" s="152">
        <v>1</v>
      </c>
      <c r="I685" s="153">
        <v>0.359722222222222</v>
      </c>
      <c r="J685" s="154">
        <v>43978</v>
      </c>
      <c r="K685" s="153" t="s">
        <v>20</v>
      </c>
      <c r="L685" s="152">
        <v>4.99</v>
      </c>
    </row>
    <row r="686" spans="1:13" s="156" customFormat="1" ht="35" customHeight="1">
      <c r="A686" s="42">
        <f>ROW()-2</f>
        <v>684</v>
      </c>
      <c r="B686" s="152" t="s">
        <v>2732</v>
      </c>
      <c r="C686" s="152" t="s">
        <v>4163</v>
      </c>
      <c r="D686" s="58" t="s">
        <v>4212</v>
      </c>
      <c r="E686" s="58" t="s">
        <v>4213</v>
      </c>
      <c r="F686" s="58" t="s">
        <v>4214</v>
      </c>
      <c r="G686" s="152" t="s">
        <v>34</v>
      </c>
      <c r="H686" s="152">
        <v>1</v>
      </c>
      <c r="I686" s="153">
        <v>0.51500000000000001</v>
      </c>
      <c r="J686" s="154">
        <v>43978</v>
      </c>
      <c r="K686" s="153" t="s">
        <v>20</v>
      </c>
      <c r="L686" s="152">
        <v>4.99</v>
      </c>
    </row>
    <row r="687" spans="1:13" s="156" customFormat="1" ht="35" customHeight="1">
      <c r="A687" s="42">
        <f>ROW()-2</f>
        <v>685</v>
      </c>
      <c r="B687" s="152" t="s">
        <v>2732</v>
      </c>
      <c r="C687" s="152" t="s">
        <v>4163</v>
      </c>
      <c r="D687" s="58" t="s">
        <v>4215</v>
      </c>
      <c r="E687" s="58" t="s">
        <v>4216</v>
      </c>
      <c r="F687" s="58" t="s">
        <v>4214</v>
      </c>
      <c r="G687" s="152" t="s">
        <v>34</v>
      </c>
      <c r="H687" s="152">
        <v>1</v>
      </c>
      <c r="I687" s="153">
        <v>0.50527777777777805</v>
      </c>
      <c r="J687" s="154">
        <v>43978</v>
      </c>
      <c r="K687" s="153" t="s">
        <v>20</v>
      </c>
      <c r="L687" s="152">
        <v>4.99</v>
      </c>
    </row>
    <row r="688" spans="1:13" s="156" customFormat="1" ht="35" customHeight="1">
      <c r="A688" s="42">
        <f>ROW()-2</f>
        <v>686</v>
      </c>
      <c r="B688" s="152" t="s">
        <v>2732</v>
      </c>
      <c r="C688" s="152" t="s">
        <v>4163</v>
      </c>
      <c r="D688" s="58" t="s">
        <v>4217</v>
      </c>
      <c r="E688" s="58" t="s">
        <v>4218</v>
      </c>
      <c r="F688" s="58" t="s">
        <v>4219</v>
      </c>
      <c r="G688" s="152" t="s">
        <v>34</v>
      </c>
      <c r="H688" s="152">
        <v>1</v>
      </c>
      <c r="I688" s="153">
        <v>1.0019444444444401</v>
      </c>
      <c r="J688" s="154">
        <v>43978</v>
      </c>
      <c r="K688" s="153" t="s">
        <v>20</v>
      </c>
      <c r="L688" s="152">
        <v>4.99</v>
      </c>
    </row>
    <row r="689" spans="1:12" s="156" customFormat="1" ht="35" customHeight="1">
      <c r="A689" s="42">
        <f>ROW()-2</f>
        <v>687</v>
      </c>
      <c r="B689" s="152" t="s">
        <v>2732</v>
      </c>
      <c r="C689" s="152" t="s">
        <v>4163</v>
      </c>
      <c r="D689" s="58" t="s">
        <v>4220</v>
      </c>
      <c r="E689" s="58" t="s">
        <v>4221</v>
      </c>
      <c r="F689" s="58" t="s">
        <v>3905</v>
      </c>
      <c r="G689" s="152" t="s">
        <v>34</v>
      </c>
      <c r="H689" s="152">
        <v>1</v>
      </c>
      <c r="I689" s="153">
        <v>0.43305555555555603</v>
      </c>
      <c r="J689" s="154">
        <v>43978</v>
      </c>
      <c r="K689" s="153" t="s">
        <v>20</v>
      </c>
      <c r="L689" s="152">
        <v>4.99</v>
      </c>
    </row>
    <row r="690" spans="1:12" s="156" customFormat="1" ht="35" customHeight="1">
      <c r="A690" s="42">
        <f>ROW()-2</f>
        <v>688</v>
      </c>
      <c r="B690" s="152" t="s">
        <v>2732</v>
      </c>
      <c r="C690" s="152" t="s">
        <v>4163</v>
      </c>
      <c r="D690" s="58" t="s">
        <v>4222</v>
      </c>
      <c r="E690" s="58" t="s">
        <v>4223</v>
      </c>
      <c r="F690" s="58" t="s">
        <v>4224</v>
      </c>
      <c r="G690" s="152" t="s">
        <v>34</v>
      </c>
      <c r="H690" s="152">
        <v>1</v>
      </c>
      <c r="I690" s="153">
        <v>0.70833333333333304</v>
      </c>
      <c r="J690" s="154">
        <v>43978</v>
      </c>
      <c r="K690" s="153" t="s">
        <v>20</v>
      </c>
      <c r="L690" s="152">
        <v>4.99</v>
      </c>
    </row>
    <row r="691" spans="1:12" s="156" customFormat="1" ht="35" customHeight="1">
      <c r="A691" s="42">
        <f>ROW()-2</f>
        <v>689</v>
      </c>
      <c r="B691" s="152" t="s">
        <v>2732</v>
      </c>
      <c r="C691" s="152" t="s">
        <v>4163</v>
      </c>
      <c r="D691" s="58" t="s">
        <v>4227</v>
      </c>
      <c r="E691" s="58" t="s">
        <v>3990</v>
      </c>
      <c r="F691" s="58" t="s">
        <v>3589</v>
      </c>
      <c r="G691" s="152" t="s">
        <v>34</v>
      </c>
      <c r="H691" s="152">
        <v>1</v>
      </c>
      <c r="I691" s="153">
        <v>0.22</v>
      </c>
      <c r="J691" s="154">
        <v>43978</v>
      </c>
      <c r="K691" s="153" t="s">
        <v>20</v>
      </c>
      <c r="L691" s="152">
        <v>4.99</v>
      </c>
    </row>
    <row r="692" spans="1:12" s="156" customFormat="1" ht="35" customHeight="1">
      <c r="A692" s="42">
        <f>ROW()-2</f>
        <v>690</v>
      </c>
      <c r="B692" s="152" t="s">
        <v>2732</v>
      </c>
      <c r="C692" s="152" t="s">
        <v>4163</v>
      </c>
      <c r="D692" s="58" t="s">
        <v>4229</v>
      </c>
      <c r="E692" s="58" t="s">
        <v>4230</v>
      </c>
      <c r="F692" s="58" t="s">
        <v>1179</v>
      </c>
      <c r="G692" s="152" t="s">
        <v>34</v>
      </c>
      <c r="H692" s="152">
        <v>1</v>
      </c>
      <c r="I692" s="153">
        <v>0.55000000000000004</v>
      </c>
      <c r="J692" s="154">
        <v>43978</v>
      </c>
      <c r="K692" s="153" t="s">
        <v>20</v>
      </c>
      <c r="L692" s="152">
        <v>4.99</v>
      </c>
    </row>
    <row r="693" spans="1:12" s="156" customFormat="1" ht="35" customHeight="1">
      <c r="A693" s="42">
        <f>ROW()-2</f>
        <v>691</v>
      </c>
      <c r="B693" s="152" t="s">
        <v>2732</v>
      </c>
      <c r="C693" s="152" t="s">
        <v>4163</v>
      </c>
      <c r="D693" s="58" t="s">
        <v>4231</v>
      </c>
      <c r="E693" s="58" t="s">
        <v>3588</v>
      </c>
      <c r="F693" s="58" t="s">
        <v>3389</v>
      </c>
      <c r="G693" s="152" t="s">
        <v>34</v>
      </c>
      <c r="H693" s="152">
        <v>1</v>
      </c>
      <c r="I693" s="153">
        <v>0.32583333333333298</v>
      </c>
      <c r="J693" s="154">
        <v>43978</v>
      </c>
      <c r="K693" s="153" t="s">
        <v>20</v>
      </c>
      <c r="L693" s="152">
        <v>4.99</v>
      </c>
    </row>
    <row r="694" spans="1:12" s="156" customFormat="1" ht="35" customHeight="1">
      <c r="A694" s="42">
        <f>ROW()-2</f>
        <v>692</v>
      </c>
      <c r="B694" s="152" t="s">
        <v>2732</v>
      </c>
      <c r="C694" s="152" t="s">
        <v>4163</v>
      </c>
      <c r="D694" s="58" t="s">
        <v>4232</v>
      </c>
      <c r="E694" s="58" t="s">
        <v>4233</v>
      </c>
      <c r="F694" s="58" t="s">
        <v>3332</v>
      </c>
      <c r="G694" s="152" t="s">
        <v>34</v>
      </c>
      <c r="H694" s="152">
        <v>1</v>
      </c>
      <c r="I694" s="153">
        <v>0.44861111111111102</v>
      </c>
      <c r="J694" s="154">
        <v>43978</v>
      </c>
      <c r="K694" s="153" t="s">
        <v>20</v>
      </c>
      <c r="L694" s="152">
        <v>4.99</v>
      </c>
    </row>
    <row r="695" spans="1:12" s="156" customFormat="1" ht="35" customHeight="1">
      <c r="A695" s="42">
        <f>ROW()-2</f>
        <v>693</v>
      </c>
      <c r="B695" s="152" t="s">
        <v>2732</v>
      </c>
      <c r="C695" s="152" t="s">
        <v>4163</v>
      </c>
      <c r="D695" s="58" t="s">
        <v>4240</v>
      </c>
      <c r="E695" s="58" t="s">
        <v>4241</v>
      </c>
      <c r="F695" s="58" t="s">
        <v>2861</v>
      </c>
      <c r="G695" s="152" t="s">
        <v>34</v>
      </c>
      <c r="H695" s="152">
        <v>1</v>
      </c>
      <c r="I695" s="153">
        <v>0.57055555555555604</v>
      </c>
      <c r="J695" s="154">
        <v>43978</v>
      </c>
      <c r="K695" s="153" t="s">
        <v>20</v>
      </c>
      <c r="L695" s="152">
        <v>4.99</v>
      </c>
    </row>
    <row r="696" spans="1:12" s="156" customFormat="1" ht="35" customHeight="1">
      <c r="A696" s="42">
        <f>ROW()-2</f>
        <v>694</v>
      </c>
      <c r="B696" s="152" t="s">
        <v>2732</v>
      </c>
      <c r="C696" s="152" t="s">
        <v>4163</v>
      </c>
      <c r="D696" s="58" t="s">
        <v>4242</v>
      </c>
      <c r="E696" s="58" t="s">
        <v>2896</v>
      </c>
      <c r="F696" s="58" t="s">
        <v>4243</v>
      </c>
      <c r="G696" s="152" t="s">
        <v>34</v>
      </c>
      <c r="H696" s="152">
        <v>1</v>
      </c>
      <c r="I696" s="153">
        <v>0.40972222222222199</v>
      </c>
      <c r="J696" s="154">
        <v>43978</v>
      </c>
      <c r="K696" s="153" t="s">
        <v>20</v>
      </c>
      <c r="L696" s="152">
        <v>4.99</v>
      </c>
    </row>
    <row r="697" spans="1:12" s="156" customFormat="1" ht="35" customHeight="1">
      <c r="A697" s="42">
        <f>ROW()-2</f>
        <v>695</v>
      </c>
      <c r="B697" s="152" t="s">
        <v>2732</v>
      </c>
      <c r="C697" s="152" t="s">
        <v>4163</v>
      </c>
      <c r="D697" s="58" t="s">
        <v>4192</v>
      </c>
      <c r="E697" s="58" t="s">
        <v>3342</v>
      </c>
      <c r="F697" s="58" t="s">
        <v>4247</v>
      </c>
      <c r="G697" s="152" t="s">
        <v>34</v>
      </c>
      <c r="H697" s="152">
        <v>1</v>
      </c>
      <c r="I697" s="153">
        <v>0.43055555555555602</v>
      </c>
      <c r="J697" s="154">
        <v>43978</v>
      </c>
      <c r="K697" s="153" t="s">
        <v>20</v>
      </c>
      <c r="L697" s="152">
        <v>4.99</v>
      </c>
    </row>
    <row r="698" spans="1:12" s="156" customFormat="1" ht="35" customHeight="1">
      <c r="A698" s="42">
        <f>ROW()-2</f>
        <v>696</v>
      </c>
      <c r="B698" s="152" t="s">
        <v>2732</v>
      </c>
      <c r="C698" s="152" t="s">
        <v>4163</v>
      </c>
      <c r="D698" s="58" t="s">
        <v>4276</v>
      </c>
      <c r="E698" s="58" t="s">
        <v>4277</v>
      </c>
      <c r="F698" s="58" t="s">
        <v>3242</v>
      </c>
      <c r="G698" s="152" t="s">
        <v>34</v>
      </c>
      <c r="H698" s="152">
        <v>1</v>
      </c>
      <c r="I698" s="153">
        <v>0.44166666666666698</v>
      </c>
      <c r="J698" s="154">
        <v>43978</v>
      </c>
      <c r="K698" s="153" t="s">
        <v>20</v>
      </c>
      <c r="L698" s="152">
        <v>4.99</v>
      </c>
    </row>
    <row r="699" spans="1:12" s="156" customFormat="1" ht="35" customHeight="1">
      <c r="A699" s="42">
        <f>ROW()-2</f>
        <v>697</v>
      </c>
      <c r="B699" s="152" t="s">
        <v>2732</v>
      </c>
      <c r="C699" s="152" t="s">
        <v>4163</v>
      </c>
      <c r="D699" s="58" t="s">
        <v>4278</v>
      </c>
      <c r="E699" s="58" t="s">
        <v>4279</v>
      </c>
      <c r="F699" s="58" t="s">
        <v>3086</v>
      </c>
      <c r="G699" s="152" t="s">
        <v>34</v>
      </c>
      <c r="H699" s="152">
        <v>1</v>
      </c>
      <c r="I699" s="153">
        <v>0.57694444444444404</v>
      </c>
      <c r="J699" s="154">
        <v>43978</v>
      </c>
      <c r="K699" s="153" t="s">
        <v>20</v>
      </c>
      <c r="L699" s="152">
        <v>4.99</v>
      </c>
    </row>
    <row r="700" spans="1:12" s="156" customFormat="1" ht="35" customHeight="1">
      <c r="A700" s="42">
        <f>ROW()-2</f>
        <v>698</v>
      </c>
      <c r="B700" s="152" t="s">
        <v>2732</v>
      </c>
      <c r="C700" s="152" t="s">
        <v>4163</v>
      </c>
      <c r="D700" s="58" t="s">
        <v>4280</v>
      </c>
      <c r="E700" s="58" t="s">
        <v>4281</v>
      </c>
      <c r="F700" s="58" t="s">
        <v>2916</v>
      </c>
      <c r="G700" s="152" t="s">
        <v>34</v>
      </c>
      <c r="H700" s="152">
        <v>1</v>
      </c>
      <c r="I700" s="153">
        <v>0.35277777777777802</v>
      </c>
      <c r="J700" s="154">
        <v>43978</v>
      </c>
      <c r="K700" s="153" t="s">
        <v>20</v>
      </c>
      <c r="L700" s="152">
        <v>4.99</v>
      </c>
    </row>
    <row r="701" spans="1:12" s="156" customFormat="1" ht="35" customHeight="1">
      <c r="A701" s="42">
        <f>ROW()-2</f>
        <v>699</v>
      </c>
      <c r="B701" s="152" t="s">
        <v>2732</v>
      </c>
      <c r="C701" s="152" t="s">
        <v>4163</v>
      </c>
      <c r="D701" s="58" t="s">
        <v>4310</v>
      </c>
      <c r="E701" s="58" t="s">
        <v>512</v>
      </c>
      <c r="F701" s="58" t="s">
        <v>4311</v>
      </c>
      <c r="G701" s="152" t="s">
        <v>34</v>
      </c>
      <c r="H701" s="152">
        <v>1</v>
      </c>
      <c r="I701" s="153">
        <v>0.45833333333333298</v>
      </c>
      <c r="J701" s="154">
        <v>43978</v>
      </c>
      <c r="K701" s="153" t="s">
        <v>20</v>
      </c>
      <c r="L701" s="152">
        <v>4.99</v>
      </c>
    </row>
    <row r="702" spans="1:12" s="156" customFormat="1" ht="35" customHeight="1">
      <c r="A702" s="42">
        <f>ROW()-2</f>
        <v>700</v>
      </c>
      <c r="B702" s="152" t="s">
        <v>2732</v>
      </c>
      <c r="C702" s="152" t="s">
        <v>4163</v>
      </c>
      <c r="D702" s="58" t="s">
        <v>4288</v>
      </c>
      <c r="E702" s="58" t="s">
        <v>4289</v>
      </c>
      <c r="F702" s="58" t="s">
        <v>4290</v>
      </c>
      <c r="G702" s="152" t="s">
        <v>34</v>
      </c>
      <c r="H702" s="152">
        <v>1</v>
      </c>
      <c r="I702" s="153">
        <v>0.38</v>
      </c>
      <c r="J702" s="154">
        <v>44004</v>
      </c>
      <c r="K702" s="153" t="s">
        <v>20</v>
      </c>
      <c r="L702" s="152">
        <v>4.99</v>
      </c>
    </row>
    <row r="703" spans="1:12" s="156" customFormat="1" ht="35" customHeight="1">
      <c r="A703" s="42">
        <f>ROW()-2</f>
        <v>701</v>
      </c>
      <c r="B703" s="152" t="s">
        <v>2732</v>
      </c>
      <c r="C703" s="152" t="s">
        <v>4163</v>
      </c>
      <c r="D703" s="58" t="s">
        <v>4291</v>
      </c>
      <c r="E703" s="58" t="s">
        <v>4292</v>
      </c>
      <c r="F703" s="58" t="s">
        <v>2739</v>
      </c>
      <c r="G703" s="152" t="s">
        <v>34</v>
      </c>
      <c r="H703" s="152">
        <v>1</v>
      </c>
      <c r="I703" s="153">
        <v>0.53</v>
      </c>
      <c r="J703" s="154">
        <v>44004</v>
      </c>
      <c r="K703" s="153" t="s">
        <v>20</v>
      </c>
      <c r="L703" s="152">
        <v>4.99</v>
      </c>
    </row>
    <row r="704" spans="1:12" s="156" customFormat="1" ht="35" customHeight="1">
      <c r="A704" s="42">
        <f>ROW()-2</f>
        <v>702</v>
      </c>
      <c r="B704" s="152" t="s">
        <v>2732</v>
      </c>
      <c r="C704" s="152" t="s">
        <v>4163</v>
      </c>
      <c r="D704" s="58" t="s">
        <v>4293</v>
      </c>
      <c r="E704" s="58" t="s">
        <v>4294</v>
      </c>
      <c r="F704" s="58" t="s">
        <v>4295</v>
      </c>
      <c r="G704" s="152" t="s">
        <v>34</v>
      </c>
      <c r="H704" s="152">
        <v>1</v>
      </c>
      <c r="I704" s="153">
        <v>0.35</v>
      </c>
      <c r="J704" s="154">
        <v>44004</v>
      </c>
      <c r="K704" s="153" t="s">
        <v>20</v>
      </c>
      <c r="L704" s="152">
        <v>4.99</v>
      </c>
    </row>
    <row r="705" spans="1:13" s="156" customFormat="1" ht="35" customHeight="1">
      <c r="A705" s="42">
        <f>ROW()-2</f>
        <v>703</v>
      </c>
      <c r="B705" s="152" t="s">
        <v>2732</v>
      </c>
      <c r="C705" s="152" t="s">
        <v>4163</v>
      </c>
      <c r="D705" s="58" t="s">
        <v>4296</v>
      </c>
      <c r="E705" s="58" t="s">
        <v>4297</v>
      </c>
      <c r="F705" s="58" t="s">
        <v>4298</v>
      </c>
      <c r="G705" s="152" t="s">
        <v>34</v>
      </c>
      <c r="H705" s="152">
        <v>1</v>
      </c>
      <c r="I705" s="153">
        <v>0.35</v>
      </c>
      <c r="J705" s="154">
        <v>44004</v>
      </c>
      <c r="K705" s="153" t="s">
        <v>20</v>
      </c>
      <c r="L705" s="152">
        <v>4.99</v>
      </c>
    </row>
    <row r="706" spans="1:13" s="156" customFormat="1" ht="35" customHeight="1">
      <c r="A706" s="42">
        <f>ROW()-2</f>
        <v>704</v>
      </c>
      <c r="B706" s="152" t="s">
        <v>2732</v>
      </c>
      <c r="C706" s="152" t="s">
        <v>4163</v>
      </c>
      <c r="D706" s="58" t="s">
        <v>4299</v>
      </c>
      <c r="E706" s="58" t="s">
        <v>4300</v>
      </c>
      <c r="F706" s="58" t="s">
        <v>4014</v>
      </c>
      <c r="G706" s="152" t="s">
        <v>34</v>
      </c>
      <c r="H706" s="152">
        <v>1</v>
      </c>
      <c r="I706" s="153">
        <v>0.4</v>
      </c>
      <c r="J706" s="154">
        <v>44004</v>
      </c>
      <c r="K706" s="153" t="s">
        <v>20</v>
      </c>
      <c r="L706" s="152">
        <v>4.99</v>
      </c>
    </row>
    <row r="707" spans="1:13" s="156" customFormat="1" ht="35" customHeight="1">
      <c r="A707" s="42">
        <f>ROW()-2</f>
        <v>705</v>
      </c>
      <c r="B707" s="152" t="s">
        <v>2732</v>
      </c>
      <c r="C707" s="152" t="s">
        <v>4163</v>
      </c>
      <c r="D707" s="58" t="s">
        <v>4301</v>
      </c>
      <c r="E707" s="58" t="s">
        <v>4302</v>
      </c>
      <c r="F707" s="58" t="s">
        <v>3889</v>
      </c>
      <c r="G707" s="152" t="s">
        <v>34</v>
      </c>
      <c r="H707" s="152">
        <v>1</v>
      </c>
      <c r="I707" s="153">
        <v>0.48</v>
      </c>
      <c r="J707" s="154">
        <v>44004</v>
      </c>
      <c r="K707" s="153" t="s">
        <v>20</v>
      </c>
      <c r="L707" s="152">
        <v>4.99</v>
      </c>
    </row>
    <row r="708" spans="1:13" s="156" customFormat="1" ht="35" customHeight="1">
      <c r="A708" s="42">
        <f>ROW()-2</f>
        <v>706</v>
      </c>
      <c r="B708" s="152" t="s">
        <v>2732</v>
      </c>
      <c r="C708" s="152" t="s">
        <v>4163</v>
      </c>
      <c r="D708" s="58" t="s">
        <v>4303</v>
      </c>
      <c r="E708" s="58" t="s">
        <v>4304</v>
      </c>
      <c r="F708" s="58" t="s">
        <v>4214</v>
      </c>
      <c r="G708" s="152" t="s">
        <v>34</v>
      </c>
      <c r="H708" s="152">
        <v>1</v>
      </c>
      <c r="I708" s="153">
        <v>0.42</v>
      </c>
      <c r="J708" s="154">
        <v>44004</v>
      </c>
      <c r="K708" s="153" t="s">
        <v>20</v>
      </c>
      <c r="L708" s="152">
        <v>4.99</v>
      </c>
    </row>
    <row r="709" spans="1:13" s="156" customFormat="1" ht="35" customHeight="1">
      <c r="A709" s="42">
        <f>ROW()-2</f>
        <v>707</v>
      </c>
      <c r="B709" s="152" t="s">
        <v>2732</v>
      </c>
      <c r="C709" s="152" t="s">
        <v>4163</v>
      </c>
      <c r="D709" s="58" t="s">
        <v>4305</v>
      </c>
      <c r="E709" s="58" t="s">
        <v>4306</v>
      </c>
      <c r="F709" s="58" t="s">
        <v>2899</v>
      </c>
      <c r="G709" s="152" t="s">
        <v>34</v>
      </c>
      <c r="H709" s="152">
        <v>1</v>
      </c>
      <c r="I709" s="153">
        <v>0.28000000000000003</v>
      </c>
      <c r="J709" s="154">
        <v>44004</v>
      </c>
      <c r="K709" s="153" t="s">
        <v>20</v>
      </c>
      <c r="L709" s="152">
        <v>4.99</v>
      </c>
    </row>
    <row r="710" spans="1:13" s="156" customFormat="1" ht="35" customHeight="1">
      <c r="A710" s="42">
        <f>ROW()-2</f>
        <v>708</v>
      </c>
      <c r="B710" s="152" t="s">
        <v>2732</v>
      </c>
      <c r="C710" s="152" t="s">
        <v>4163</v>
      </c>
      <c r="D710" s="58" t="s">
        <v>4192</v>
      </c>
      <c r="E710" s="58" t="s">
        <v>3342</v>
      </c>
      <c r="F710" s="58" t="s">
        <v>2942</v>
      </c>
      <c r="G710" s="152" t="s">
        <v>34</v>
      </c>
      <c r="H710" s="152">
        <v>3</v>
      </c>
      <c r="I710" s="153">
        <v>1.2</v>
      </c>
      <c r="J710" s="154">
        <v>44053</v>
      </c>
      <c r="K710" s="153" t="s">
        <v>20</v>
      </c>
      <c r="L710" s="152">
        <v>4.99</v>
      </c>
      <c r="M710" s="155"/>
    </row>
    <row r="711" spans="1:13" s="156" customFormat="1" ht="35" customHeight="1">
      <c r="A711" s="42">
        <f>ROW()-2</f>
        <v>709</v>
      </c>
      <c r="B711" s="152" t="s">
        <v>2732</v>
      </c>
      <c r="C711" s="152" t="s">
        <v>4163</v>
      </c>
      <c r="D711" s="58" t="s">
        <v>4307</v>
      </c>
      <c r="E711" s="58" t="s">
        <v>2889</v>
      </c>
      <c r="F711" s="58" t="s">
        <v>2745</v>
      </c>
      <c r="G711" s="152" t="s">
        <v>34</v>
      </c>
      <c r="H711" s="152">
        <v>3</v>
      </c>
      <c r="I711" s="153">
        <v>1.21</v>
      </c>
      <c r="J711" s="154">
        <v>44081</v>
      </c>
      <c r="K711" s="153" t="s">
        <v>20</v>
      </c>
      <c r="L711" s="152">
        <v>4.99</v>
      </c>
    </row>
    <row r="712" spans="1:13" s="156" customFormat="1" ht="35" customHeight="1">
      <c r="A712" s="42">
        <f>ROW()-2</f>
        <v>710</v>
      </c>
      <c r="B712" s="152" t="s">
        <v>2732</v>
      </c>
      <c r="C712" s="152" t="s">
        <v>4163</v>
      </c>
      <c r="D712" s="58" t="s">
        <v>4197</v>
      </c>
      <c r="E712" s="58" t="s">
        <v>4198</v>
      </c>
      <c r="F712" s="58" t="s">
        <v>4199</v>
      </c>
      <c r="G712" s="152" t="s">
        <v>34</v>
      </c>
      <c r="H712" s="152">
        <v>1</v>
      </c>
      <c r="I712" s="153">
        <v>0.37</v>
      </c>
      <c r="J712" s="154">
        <v>44116</v>
      </c>
      <c r="K712" s="153" t="s">
        <v>20</v>
      </c>
      <c r="L712" s="152">
        <v>4.99</v>
      </c>
    </row>
    <row r="713" spans="1:13" s="156" customFormat="1" ht="35" customHeight="1">
      <c r="A713" s="42">
        <f>ROW()-2</f>
        <v>711</v>
      </c>
      <c r="B713" s="152" t="s">
        <v>2732</v>
      </c>
      <c r="C713" s="152" t="s">
        <v>4163</v>
      </c>
      <c r="D713" s="58" t="s">
        <v>4193</v>
      </c>
      <c r="E713" s="58" t="s">
        <v>4194</v>
      </c>
      <c r="F713" s="58" t="s">
        <v>3955</v>
      </c>
      <c r="G713" s="152" t="s">
        <v>34</v>
      </c>
      <c r="H713" s="152">
        <v>1</v>
      </c>
      <c r="I713" s="153">
        <v>0.43</v>
      </c>
      <c r="J713" s="154">
        <v>44123</v>
      </c>
      <c r="K713" s="153" t="s">
        <v>20</v>
      </c>
      <c r="L713" s="152">
        <v>4.99</v>
      </c>
      <c r="M713" s="155"/>
    </row>
    <row r="714" spans="1:13" s="156" customFormat="1" ht="35" customHeight="1">
      <c r="A714" s="42">
        <f>ROW()-2</f>
        <v>712</v>
      </c>
      <c r="B714" s="152" t="s">
        <v>2732</v>
      </c>
      <c r="C714" s="152" t="s">
        <v>4163</v>
      </c>
      <c r="D714" s="58" t="s">
        <v>4250</v>
      </c>
      <c r="E714" s="58" t="s">
        <v>4251</v>
      </c>
      <c r="F714" s="58" t="s">
        <v>4014</v>
      </c>
      <c r="G714" s="152" t="s">
        <v>34</v>
      </c>
      <c r="H714" s="152">
        <v>1</v>
      </c>
      <c r="I714" s="153">
        <v>0.48</v>
      </c>
      <c r="J714" s="154">
        <v>44123</v>
      </c>
      <c r="K714" s="153" t="s">
        <v>20</v>
      </c>
      <c r="L714" s="152">
        <v>4.99</v>
      </c>
    </row>
    <row r="715" spans="1:13" s="156" customFormat="1" ht="35" customHeight="1">
      <c r="A715" s="42">
        <f>ROW()-2</f>
        <v>713</v>
      </c>
      <c r="B715" s="152" t="s">
        <v>2732</v>
      </c>
      <c r="C715" s="152" t="s">
        <v>4163</v>
      </c>
      <c r="D715" s="58" t="s">
        <v>4252</v>
      </c>
      <c r="E715" s="58" t="s">
        <v>4253</v>
      </c>
      <c r="F715" s="58" t="s">
        <v>3889</v>
      </c>
      <c r="G715" s="152" t="s">
        <v>34</v>
      </c>
      <c r="H715" s="152">
        <v>1</v>
      </c>
      <c r="I715" s="153">
        <v>0.46</v>
      </c>
      <c r="J715" s="154">
        <v>44123</v>
      </c>
      <c r="K715" s="153" t="s">
        <v>20</v>
      </c>
      <c r="L715" s="152">
        <v>4.99</v>
      </c>
    </row>
    <row r="716" spans="1:13" s="156" customFormat="1" ht="35" customHeight="1">
      <c r="A716" s="42">
        <f>ROW()-2</f>
        <v>714</v>
      </c>
      <c r="B716" s="152" t="s">
        <v>2732</v>
      </c>
      <c r="C716" s="152" t="s">
        <v>4163</v>
      </c>
      <c r="D716" s="58" t="s">
        <v>4254</v>
      </c>
      <c r="E716" s="58" t="s">
        <v>4255</v>
      </c>
      <c r="F716" s="58" t="s">
        <v>2739</v>
      </c>
      <c r="G716" s="152" t="s">
        <v>34</v>
      </c>
      <c r="H716" s="152">
        <v>1</v>
      </c>
      <c r="I716" s="153">
        <v>0.46</v>
      </c>
      <c r="J716" s="154">
        <v>44123</v>
      </c>
      <c r="K716" s="153" t="s">
        <v>20</v>
      </c>
      <c r="L716" s="152">
        <v>4.99</v>
      </c>
    </row>
    <row r="717" spans="1:13" s="156" customFormat="1" ht="35" customHeight="1">
      <c r="A717" s="42">
        <f>ROW()-2</f>
        <v>715</v>
      </c>
      <c r="B717" s="152" t="s">
        <v>2732</v>
      </c>
      <c r="C717" s="152" t="s">
        <v>4163</v>
      </c>
      <c r="D717" s="58" t="s">
        <v>4256</v>
      </c>
      <c r="E717" s="58" t="s">
        <v>4257</v>
      </c>
      <c r="F717" s="58" t="s">
        <v>2739</v>
      </c>
      <c r="G717" s="152" t="s">
        <v>34</v>
      </c>
      <c r="H717" s="152">
        <v>1</v>
      </c>
      <c r="I717" s="153">
        <v>0.41</v>
      </c>
      <c r="J717" s="154">
        <v>44123</v>
      </c>
      <c r="K717" s="153" t="s">
        <v>20</v>
      </c>
      <c r="L717" s="152">
        <v>4.99</v>
      </c>
    </row>
    <row r="718" spans="1:13" s="156" customFormat="1" ht="35" customHeight="1">
      <c r="A718" s="42">
        <f>ROW()-2</f>
        <v>716</v>
      </c>
      <c r="B718" s="152" t="s">
        <v>2732</v>
      </c>
      <c r="C718" s="152" t="s">
        <v>4163</v>
      </c>
      <c r="D718" s="58" t="s">
        <v>4258</v>
      </c>
      <c r="E718" s="58" t="s">
        <v>4259</v>
      </c>
      <c r="F718" s="58" t="s">
        <v>4260</v>
      </c>
      <c r="G718" s="152" t="s">
        <v>34</v>
      </c>
      <c r="H718" s="152">
        <v>1</v>
      </c>
      <c r="I718" s="153">
        <v>0.38</v>
      </c>
      <c r="J718" s="154">
        <v>44123</v>
      </c>
      <c r="K718" s="153" t="s">
        <v>20</v>
      </c>
      <c r="L718" s="152">
        <v>4.99</v>
      </c>
    </row>
    <row r="719" spans="1:13" s="156" customFormat="1" ht="35" customHeight="1">
      <c r="A719" s="42">
        <f>ROW()-2</f>
        <v>717</v>
      </c>
      <c r="B719" s="152" t="s">
        <v>2732</v>
      </c>
      <c r="C719" s="152" t="s">
        <v>4163</v>
      </c>
      <c r="D719" s="58" t="s">
        <v>4261</v>
      </c>
      <c r="E719" s="58" t="s">
        <v>4262</v>
      </c>
      <c r="F719" s="58" t="s">
        <v>2840</v>
      </c>
      <c r="G719" s="152" t="s">
        <v>34</v>
      </c>
      <c r="H719" s="152">
        <v>1</v>
      </c>
      <c r="I719" s="153">
        <v>0.38</v>
      </c>
      <c r="J719" s="154">
        <v>44123</v>
      </c>
      <c r="K719" s="153" t="s">
        <v>20</v>
      </c>
      <c r="L719" s="152">
        <v>4.99</v>
      </c>
    </row>
    <row r="720" spans="1:13" s="156" customFormat="1" ht="35" customHeight="1">
      <c r="A720" s="42">
        <f>ROW()-2</f>
        <v>718</v>
      </c>
      <c r="B720" s="152" t="s">
        <v>2732</v>
      </c>
      <c r="C720" s="152" t="s">
        <v>4163</v>
      </c>
      <c r="D720" s="58" t="s">
        <v>4267</v>
      </c>
      <c r="E720" s="58" t="s">
        <v>4268</v>
      </c>
      <c r="F720" s="58" t="s">
        <v>2919</v>
      </c>
      <c r="G720" s="152" t="s">
        <v>34</v>
      </c>
      <c r="H720" s="152">
        <v>1</v>
      </c>
      <c r="I720" s="153">
        <v>0.41</v>
      </c>
      <c r="J720" s="154">
        <v>44123</v>
      </c>
      <c r="K720" s="153" t="s">
        <v>20</v>
      </c>
      <c r="L720" s="152">
        <v>4.99</v>
      </c>
    </row>
    <row r="721" spans="1:291" s="156" customFormat="1" ht="35" customHeight="1">
      <c r="A721" s="42">
        <f>ROW()-2</f>
        <v>719</v>
      </c>
      <c r="B721" s="152" t="s">
        <v>2732</v>
      </c>
      <c r="C721" s="152" t="s">
        <v>4163</v>
      </c>
      <c r="D721" s="58" t="s">
        <v>4274</v>
      </c>
      <c r="E721" s="58" t="s">
        <v>4275</v>
      </c>
      <c r="F721" s="58" t="s">
        <v>2739</v>
      </c>
      <c r="G721" s="152" t="s">
        <v>34</v>
      </c>
      <c r="H721" s="152">
        <v>1</v>
      </c>
      <c r="I721" s="153">
        <v>0.42</v>
      </c>
      <c r="J721" s="154">
        <v>44123</v>
      </c>
      <c r="K721" s="153" t="s">
        <v>20</v>
      </c>
      <c r="L721" s="152">
        <v>4.99</v>
      </c>
    </row>
    <row r="722" spans="1:291" s="156" customFormat="1" ht="35" customHeight="1">
      <c r="A722" s="42">
        <f>ROW()-2</f>
        <v>720</v>
      </c>
      <c r="B722" s="152" t="s">
        <v>2732</v>
      </c>
      <c r="C722" s="152" t="s">
        <v>4163</v>
      </c>
      <c r="D722" s="58" t="s">
        <v>4176</v>
      </c>
      <c r="E722" s="58" t="s">
        <v>4177</v>
      </c>
      <c r="F722" s="58" t="s">
        <v>4032</v>
      </c>
      <c r="G722" s="152" t="s">
        <v>34</v>
      </c>
      <c r="H722" s="152">
        <v>1</v>
      </c>
      <c r="I722" s="153">
        <v>0.21</v>
      </c>
      <c r="J722" s="154">
        <v>44130</v>
      </c>
      <c r="K722" s="153" t="s">
        <v>20</v>
      </c>
      <c r="L722" s="152">
        <v>4.99</v>
      </c>
      <c r="M722" s="155"/>
    </row>
    <row r="723" spans="1:291" s="156" customFormat="1" ht="35" customHeight="1">
      <c r="A723" s="42">
        <f>ROW()-2</f>
        <v>721</v>
      </c>
      <c r="B723" s="152" t="s">
        <v>2732</v>
      </c>
      <c r="C723" s="152" t="s">
        <v>4163</v>
      </c>
      <c r="D723" s="58" t="s">
        <v>4178</v>
      </c>
      <c r="E723" s="58" t="s">
        <v>4177</v>
      </c>
      <c r="F723" s="58" t="s">
        <v>4032</v>
      </c>
      <c r="G723" s="152" t="s">
        <v>34</v>
      </c>
      <c r="H723" s="152">
        <v>1</v>
      </c>
      <c r="I723" s="153">
        <v>0.21</v>
      </c>
      <c r="J723" s="154">
        <v>44130</v>
      </c>
      <c r="K723" s="153" t="s">
        <v>20</v>
      </c>
      <c r="L723" s="152">
        <v>4.99</v>
      </c>
      <c r="M723" s="155"/>
    </row>
    <row r="724" spans="1:291" s="156" customFormat="1" ht="35" customHeight="1">
      <c r="A724" s="42">
        <f>ROW()-2</f>
        <v>722</v>
      </c>
      <c r="B724" s="152" t="s">
        <v>2732</v>
      </c>
      <c r="C724" s="152" t="s">
        <v>4163</v>
      </c>
      <c r="D724" s="58" t="s">
        <v>4179</v>
      </c>
      <c r="E724" s="58" t="s">
        <v>4180</v>
      </c>
      <c r="F724" s="58" t="s">
        <v>3759</v>
      </c>
      <c r="G724" s="152" t="s">
        <v>34</v>
      </c>
      <c r="H724" s="152">
        <v>1</v>
      </c>
      <c r="I724" s="153">
        <v>0.54</v>
      </c>
      <c r="J724" s="154">
        <v>44130</v>
      </c>
      <c r="K724" s="153" t="s">
        <v>20</v>
      </c>
      <c r="L724" s="152">
        <v>4.99</v>
      </c>
      <c r="M724" s="155"/>
    </row>
    <row r="725" spans="1:291" s="156" customFormat="1" ht="35" customHeight="1">
      <c r="A725" s="42">
        <f>ROW()-2</f>
        <v>723</v>
      </c>
      <c r="B725" s="152" t="s">
        <v>2732</v>
      </c>
      <c r="C725" s="152" t="s">
        <v>4163</v>
      </c>
      <c r="D725" s="58" t="s">
        <v>4263</v>
      </c>
      <c r="E725" s="58" t="s">
        <v>4264</v>
      </c>
      <c r="F725" s="58" t="s">
        <v>3889</v>
      </c>
      <c r="G725" s="152" t="s">
        <v>34</v>
      </c>
      <c r="H725" s="152">
        <v>1</v>
      </c>
      <c r="I725" s="153">
        <v>0.51</v>
      </c>
      <c r="J725" s="154">
        <v>44130</v>
      </c>
      <c r="K725" s="153" t="s">
        <v>20</v>
      </c>
      <c r="L725" s="152">
        <v>4.99</v>
      </c>
    </row>
    <row r="726" spans="1:291" s="156" customFormat="1" ht="35" customHeight="1">
      <c r="A726" s="42">
        <f>ROW()-2</f>
        <v>724</v>
      </c>
      <c r="B726" s="152" t="s">
        <v>2732</v>
      </c>
      <c r="C726" s="152" t="s">
        <v>4163</v>
      </c>
      <c r="D726" s="58" t="s">
        <v>4265</v>
      </c>
      <c r="E726" s="58" t="s">
        <v>4266</v>
      </c>
      <c r="F726" s="58" t="s">
        <v>3889</v>
      </c>
      <c r="G726" s="152" t="s">
        <v>34</v>
      </c>
      <c r="H726" s="152">
        <v>1</v>
      </c>
      <c r="I726" s="153">
        <v>0.28999999999999998</v>
      </c>
      <c r="J726" s="154">
        <v>44130</v>
      </c>
      <c r="K726" s="153" t="s">
        <v>20</v>
      </c>
      <c r="L726" s="152">
        <v>4.99</v>
      </c>
    </row>
    <row r="727" spans="1:291" s="156" customFormat="1" ht="35" customHeight="1">
      <c r="A727" s="42">
        <f>ROW()-2</f>
        <v>725</v>
      </c>
      <c r="B727" s="152" t="s">
        <v>2732</v>
      </c>
      <c r="C727" s="152" t="s">
        <v>4163</v>
      </c>
      <c r="D727" s="58" t="s">
        <v>4308</v>
      </c>
      <c r="E727" s="58" t="s">
        <v>4309</v>
      </c>
      <c r="F727" s="58" t="s">
        <v>3434</v>
      </c>
      <c r="G727" s="152" t="s">
        <v>34</v>
      </c>
      <c r="H727" s="152">
        <v>1</v>
      </c>
      <c r="I727" s="153">
        <v>0.38</v>
      </c>
      <c r="J727" s="154">
        <v>44130</v>
      </c>
      <c r="K727" s="153" t="s">
        <v>20</v>
      </c>
      <c r="L727" s="152">
        <v>4.99</v>
      </c>
    </row>
    <row r="728" spans="1:291" s="156" customFormat="1" ht="35" customHeight="1">
      <c r="A728" s="42">
        <f>ROW()-2</f>
        <v>726</v>
      </c>
      <c r="B728" s="152" t="s">
        <v>2732</v>
      </c>
      <c r="C728" s="152" t="s">
        <v>4163</v>
      </c>
      <c r="D728" s="58" t="s">
        <v>4314</v>
      </c>
      <c r="E728" s="58" t="s">
        <v>4315</v>
      </c>
      <c r="F728" s="58" t="s">
        <v>2739</v>
      </c>
      <c r="G728" s="152" t="s">
        <v>34</v>
      </c>
      <c r="H728" s="152">
        <v>1</v>
      </c>
      <c r="I728" s="153">
        <v>0.47</v>
      </c>
      <c r="J728" s="154">
        <v>44130</v>
      </c>
      <c r="K728" s="153" t="s">
        <v>20</v>
      </c>
      <c r="L728" s="152">
        <v>4.99</v>
      </c>
    </row>
    <row r="729" spans="1:291" s="156" customFormat="1" ht="35" customHeight="1">
      <c r="A729" s="42">
        <f>ROW()-2</f>
        <v>727</v>
      </c>
      <c r="B729" s="152" t="s">
        <v>2732</v>
      </c>
      <c r="C729" s="152" t="s">
        <v>4163</v>
      </c>
      <c r="D729" s="58" t="s">
        <v>4200</v>
      </c>
      <c r="E729" s="58" t="s">
        <v>4201</v>
      </c>
      <c r="F729" s="58" t="s">
        <v>3889</v>
      </c>
      <c r="G729" s="152" t="s">
        <v>34</v>
      </c>
      <c r="H729" s="152">
        <v>1</v>
      </c>
      <c r="I729" s="153">
        <v>0.4</v>
      </c>
      <c r="J729" s="154">
        <v>44137</v>
      </c>
      <c r="K729" s="153" t="s">
        <v>20</v>
      </c>
      <c r="L729" s="152">
        <v>4.99</v>
      </c>
    </row>
    <row r="730" spans="1:291" s="156" customFormat="1" ht="35" customHeight="1">
      <c r="A730" s="42">
        <f>ROW()-2</f>
        <v>728</v>
      </c>
      <c r="B730" s="152" t="s">
        <v>2732</v>
      </c>
      <c r="C730" s="152" t="s">
        <v>4163</v>
      </c>
      <c r="D730" s="58" t="s">
        <v>4202</v>
      </c>
      <c r="E730" s="58" t="s">
        <v>4203</v>
      </c>
      <c r="F730" s="58" t="s">
        <v>4014</v>
      </c>
      <c r="G730" s="152" t="s">
        <v>34</v>
      </c>
      <c r="H730" s="152">
        <v>1</v>
      </c>
      <c r="I730" s="153">
        <v>0.49</v>
      </c>
      <c r="J730" s="154">
        <v>44137</v>
      </c>
      <c r="K730" s="153" t="s">
        <v>20</v>
      </c>
      <c r="L730" s="152">
        <v>4.99</v>
      </c>
    </row>
    <row r="731" spans="1:291" ht="35" customHeight="1">
      <c r="A731" s="42">
        <f>ROW()-2</f>
        <v>729</v>
      </c>
      <c r="B731" s="152" t="s">
        <v>2732</v>
      </c>
      <c r="C731" s="152" t="s">
        <v>4163</v>
      </c>
      <c r="D731" s="58" t="s">
        <v>4204</v>
      </c>
      <c r="E731" s="58" t="s">
        <v>4205</v>
      </c>
      <c r="F731" s="58" t="s">
        <v>3889</v>
      </c>
      <c r="G731" s="152" t="s">
        <v>34</v>
      </c>
      <c r="H731" s="152">
        <v>1</v>
      </c>
      <c r="I731" s="153">
        <v>0.45</v>
      </c>
      <c r="J731" s="154">
        <v>44137</v>
      </c>
      <c r="K731" s="153" t="s">
        <v>20</v>
      </c>
      <c r="L731" s="152">
        <v>4.99</v>
      </c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  <c r="AA731" s="156"/>
      <c r="AB731" s="156"/>
      <c r="AC731" s="156"/>
      <c r="AD731" s="156"/>
      <c r="AE731" s="156"/>
      <c r="AF731" s="156"/>
      <c r="AG731" s="156"/>
      <c r="AH731" s="156"/>
      <c r="AI731" s="156"/>
      <c r="AJ731" s="156"/>
      <c r="AK731" s="156"/>
      <c r="AL731" s="156"/>
      <c r="AM731" s="156"/>
      <c r="AN731" s="156"/>
      <c r="AO731" s="156"/>
      <c r="AP731" s="156"/>
      <c r="AQ731" s="156"/>
      <c r="AR731" s="156"/>
      <c r="AS731" s="156"/>
      <c r="AT731" s="156"/>
      <c r="AU731" s="156"/>
      <c r="AV731" s="156"/>
      <c r="AW731" s="156"/>
      <c r="AX731" s="156"/>
      <c r="AY731" s="156"/>
      <c r="AZ731" s="156"/>
      <c r="BA731" s="156"/>
      <c r="BB731" s="156"/>
      <c r="BC731" s="156"/>
      <c r="BD731" s="156"/>
      <c r="BE731" s="156"/>
      <c r="BF731" s="156"/>
      <c r="BG731" s="156"/>
      <c r="BH731" s="156"/>
      <c r="BI731" s="156"/>
      <c r="BJ731" s="156"/>
      <c r="BK731" s="156"/>
      <c r="BL731" s="156"/>
      <c r="BM731" s="156"/>
      <c r="BN731" s="156"/>
      <c r="BO731" s="156"/>
      <c r="BP731" s="156"/>
      <c r="BQ731" s="156"/>
      <c r="BR731" s="156"/>
      <c r="BS731" s="156"/>
      <c r="BT731" s="156"/>
      <c r="BU731" s="156"/>
      <c r="BV731" s="156"/>
      <c r="BW731" s="156"/>
      <c r="BX731" s="156"/>
      <c r="BY731" s="156"/>
      <c r="BZ731" s="156"/>
      <c r="CA731" s="156"/>
      <c r="CB731" s="156"/>
      <c r="CC731" s="156"/>
      <c r="CD731" s="156"/>
      <c r="CE731" s="156"/>
      <c r="CF731" s="156"/>
      <c r="CG731" s="156"/>
      <c r="CH731" s="156"/>
      <c r="CI731" s="156"/>
      <c r="CJ731" s="156"/>
      <c r="CK731" s="156"/>
      <c r="CL731" s="156"/>
      <c r="CM731" s="156"/>
      <c r="CN731" s="156"/>
      <c r="CO731" s="156"/>
      <c r="CP731" s="156"/>
      <c r="CQ731" s="156"/>
      <c r="CR731" s="156"/>
      <c r="CS731" s="156"/>
      <c r="CT731" s="156"/>
      <c r="CU731" s="156"/>
      <c r="CV731" s="156"/>
      <c r="CW731" s="156"/>
      <c r="CX731" s="156"/>
      <c r="CY731" s="156"/>
      <c r="CZ731" s="156"/>
      <c r="DA731" s="156"/>
      <c r="DB731" s="156"/>
      <c r="DC731" s="156"/>
      <c r="DD731" s="156"/>
      <c r="DE731" s="156"/>
      <c r="DF731" s="156"/>
      <c r="DG731" s="156"/>
      <c r="DH731" s="156"/>
      <c r="DI731" s="156"/>
      <c r="DJ731" s="156"/>
      <c r="DK731" s="156"/>
      <c r="DL731" s="156"/>
      <c r="DM731" s="156"/>
      <c r="DN731" s="156"/>
      <c r="DO731" s="156"/>
      <c r="DP731" s="156"/>
      <c r="DQ731" s="156"/>
      <c r="DR731" s="156"/>
      <c r="DS731" s="156"/>
      <c r="DT731" s="156"/>
      <c r="DU731" s="156"/>
      <c r="DV731" s="156"/>
      <c r="DW731" s="156"/>
      <c r="DX731" s="156"/>
      <c r="DY731" s="156"/>
      <c r="DZ731" s="156"/>
      <c r="EA731" s="156"/>
      <c r="EB731" s="156"/>
      <c r="EC731" s="156"/>
      <c r="ED731" s="156"/>
      <c r="EE731" s="156"/>
      <c r="EF731" s="156"/>
      <c r="EG731" s="156"/>
      <c r="EH731" s="156"/>
      <c r="EI731" s="156"/>
      <c r="EJ731" s="156"/>
      <c r="EK731" s="156"/>
      <c r="EL731" s="156"/>
      <c r="EM731" s="156"/>
      <c r="EN731" s="156"/>
      <c r="EO731" s="156"/>
      <c r="EP731" s="156"/>
      <c r="EQ731" s="156"/>
      <c r="ER731" s="156"/>
      <c r="ES731" s="156"/>
      <c r="ET731" s="156"/>
      <c r="EU731" s="156"/>
      <c r="EV731" s="156"/>
      <c r="EW731" s="156"/>
      <c r="EX731" s="156"/>
      <c r="EY731" s="156"/>
      <c r="EZ731" s="156"/>
      <c r="FA731" s="156"/>
      <c r="FB731" s="156"/>
      <c r="FC731" s="156"/>
      <c r="FD731" s="156"/>
      <c r="FE731" s="156"/>
      <c r="FF731" s="156"/>
      <c r="FG731" s="156"/>
      <c r="FH731" s="156"/>
      <c r="FI731" s="156"/>
      <c r="FJ731" s="156"/>
      <c r="FK731" s="156"/>
      <c r="FL731" s="156"/>
      <c r="FM731" s="156"/>
      <c r="FN731" s="156"/>
      <c r="FO731" s="156"/>
      <c r="FP731" s="156"/>
      <c r="FQ731" s="156"/>
      <c r="FR731" s="156"/>
      <c r="FS731" s="156"/>
      <c r="FT731" s="156"/>
      <c r="FU731" s="156"/>
      <c r="FV731" s="156"/>
      <c r="FW731" s="156"/>
      <c r="FX731" s="156"/>
      <c r="FY731" s="156"/>
      <c r="FZ731" s="156"/>
      <c r="GA731" s="156"/>
      <c r="GB731" s="156"/>
      <c r="GC731" s="156"/>
      <c r="GD731" s="156"/>
      <c r="GE731" s="156"/>
      <c r="GF731" s="156"/>
      <c r="GG731" s="156"/>
      <c r="GH731" s="156"/>
      <c r="GI731" s="156"/>
      <c r="GJ731" s="156"/>
      <c r="GK731" s="156"/>
      <c r="GL731" s="156"/>
      <c r="GM731" s="156"/>
      <c r="GN731" s="156"/>
      <c r="GO731" s="156"/>
      <c r="GP731" s="156"/>
      <c r="GQ731" s="156"/>
      <c r="GR731" s="156"/>
      <c r="GS731" s="156"/>
      <c r="GT731" s="156"/>
      <c r="GU731" s="156"/>
      <c r="GV731" s="156"/>
      <c r="GW731" s="156"/>
      <c r="GX731" s="156"/>
      <c r="GY731" s="156"/>
      <c r="GZ731" s="156"/>
      <c r="HA731" s="156"/>
      <c r="HB731" s="156"/>
      <c r="HC731" s="156"/>
      <c r="HD731" s="156"/>
      <c r="HE731" s="156"/>
      <c r="HF731" s="156"/>
      <c r="HG731" s="156"/>
      <c r="HH731" s="156"/>
      <c r="HI731" s="156"/>
      <c r="HJ731" s="156"/>
      <c r="HK731" s="156"/>
      <c r="HL731" s="156"/>
      <c r="HM731" s="156"/>
      <c r="HN731" s="156"/>
      <c r="HO731" s="156"/>
      <c r="HP731" s="156"/>
      <c r="HQ731" s="156"/>
      <c r="HR731" s="156"/>
      <c r="HS731" s="156"/>
      <c r="HT731" s="156"/>
      <c r="HU731" s="156"/>
      <c r="HV731" s="156"/>
      <c r="HW731" s="156"/>
      <c r="HX731" s="156"/>
      <c r="HY731" s="156"/>
      <c r="HZ731" s="156"/>
      <c r="IA731" s="156"/>
      <c r="IB731" s="156"/>
      <c r="IC731" s="156"/>
      <c r="ID731" s="156"/>
      <c r="IE731" s="156"/>
      <c r="IF731" s="156"/>
      <c r="IG731" s="156"/>
      <c r="IH731" s="156"/>
      <c r="II731" s="156"/>
      <c r="IJ731" s="156"/>
      <c r="IK731" s="156"/>
      <c r="IL731" s="156"/>
      <c r="IM731" s="156"/>
      <c r="IN731" s="156"/>
      <c r="IO731" s="156"/>
      <c r="IP731" s="156"/>
      <c r="IQ731" s="156"/>
      <c r="IR731" s="156"/>
      <c r="IS731" s="156"/>
      <c r="IT731" s="156"/>
      <c r="IU731" s="156"/>
      <c r="IV731" s="156"/>
      <c r="IW731" s="156"/>
      <c r="IX731" s="156"/>
      <c r="IY731" s="156"/>
      <c r="IZ731" s="156"/>
      <c r="JA731" s="156"/>
      <c r="JB731" s="156"/>
      <c r="JC731" s="156"/>
      <c r="JD731" s="156"/>
      <c r="JE731" s="156"/>
      <c r="JF731" s="156"/>
      <c r="JG731" s="156"/>
      <c r="JH731" s="156"/>
      <c r="JI731" s="156"/>
      <c r="JJ731" s="156"/>
      <c r="JK731" s="156"/>
      <c r="JL731" s="156"/>
      <c r="JM731" s="156"/>
      <c r="JN731" s="156"/>
      <c r="JO731" s="156"/>
      <c r="JP731" s="156"/>
      <c r="JQ731" s="156"/>
      <c r="JR731" s="156"/>
      <c r="JS731" s="156"/>
      <c r="JT731" s="156"/>
      <c r="JU731" s="156"/>
      <c r="JV731" s="156"/>
      <c r="JW731" s="156"/>
      <c r="JX731" s="156"/>
      <c r="JY731" s="156"/>
      <c r="JZ731" s="156"/>
      <c r="KA731" s="156"/>
      <c r="KB731" s="156"/>
      <c r="KC731" s="156"/>
      <c r="KD731" s="156"/>
      <c r="KE731" s="156"/>
    </row>
    <row r="732" spans="1:291" ht="35" customHeight="1">
      <c r="A732" s="42">
        <f>ROW()-2</f>
        <v>730</v>
      </c>
      <c r="B732" s="159" t="s">
        <v>2732</v>
      </c>
      <c r="C732" s="152" t="s">
        <v>4163</v>
      </c>
      <c r="D732" s="58" t="s">
        <v>4183</v>
      </c>
      <c r="E732" s="60" t="s">
        <v>4184</v>
      </c>
      <c r="F732" s="66" t="s">
        <v>4185</v>
      </c>
      <c r="G732" s="221" t="s">
        <v>34</v>
      </c>
      <c r="H732" s="224">
        <v>1</v>
      </c>
      <c r="I732" s="153">
        <v>0.74</v>
      </c>
      <c r="J732" s="231">
        <v>44151</v>
      </c>
      <c r="K732" s="238" t="s">
        <v>20</v>
      </c>
      <c r="L732" s="159">
        <v>4.99</v>
      </c>
      <c r="M732" s="155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  <c r="AA732" s="156"/>
      <c r="AB732" s="156"/>
      <c r="AC732" s="156"/>
      <c r="AD732" s="156"/>
      <c r="AE732" s="156"/>
      <c r="AF732" s="156"/>
      <c r="AG732" s="156"/>
      <c r="AH732" s="156"/>
      <c r="AI732" s="156"/>
      <c r="AJ732" s="156"/>
      <c r="AK732" s="156"/>
      <c r="AL732" s="156"/>
      <c r="AM732" s="156"/>
      <c r="AN732" s="156"/>
      <c r="AO732" s="156"/>
      <c r="AP732" s="156"/>
      <c r="AQ732" s="156"/>
      <c r="AR732" s="156"/>
      <c r="AS732" s="156"/>
      <c r="AT732" s="156"/>
      <c r="AU732" s="156"/>
      <c r="AV732" s="156"/>
      <c r="AW732" s="156"/>
      <c r="AX732" s="156"/>
      <c r="AY732" s="156"/>
      <c r="AZ732" s="156"/>
      <c r="BA732" s="156"/>
      <c r="BB732" s="156"/>
      <c r="BC732" s="156"/>
      <c r="BD732" s="156"/>
      <c r="BE732" s="156"/>
      <c r="BF732" s="156"/>
      <c r="BG732" s="156"/>
      <c r="BH732" s="156"/>
      <c r="BI732" s="156"/>
      <c r="BJ732" s="156"/>
      <c r="BK732" s="156"/>
      <c r="BL732" s="156"/>
      <c r="BM732" s="156"/>
      <c r="BN732" s="156"/>
      <c r="BO732" s="156"/>
      <c r="BP732" s="156"/>
      <c r="BQ732" s="156"/>
      <c r="BR732" s="156"/>
      <c r="BS732" s="156"/>
      <c r="BT732" s="156"/>
      <c r="BU732" s="156"/>
      <c r="BV732" s="156"/>
      <c r="BW732" s="156"/>
      <c r="BX732" s="156"/>
      <c r="BY732" s="156"/>
      <c r="BZ732" s="156"/>
      <c r="CA732" s="156"/>
      <c r="CB732" s="156"/>
      <c r="CC732" s="156"/>
      <c r="CD732" s="156"/>
      <c r="CE732" s="156"/>
      <c r="CF732" s="156"/>
      <c r="CG732" s="156"/>
      <c r="CH732" s="156"/>
      <c r="CI732" s="156"/>
      <c r="CJ732" s="156"/>
      <c r="CK732" s="156"/>
      <c r="CL732" s="156"/>
      <c r="CM732" s="156"/>
      <c r="CN732" s="156"/>
      <c r="CO732" s="156"/>
      <c r="CP732" s="156"/>
      <c r="CQ732" s="156"/>
      <c r="CR732" s="156"/>
      <c r="CS732" s="156"/>
      <c r="CT732" s="156"/>
      <c r="CU732" s="156"/>
      <c r="CV732" s="156"/>
      <c r="CW732" s="156"/>
      <c r="CX732" s="156"/>
      <c r="CY732" s="156"/>
      <c r="CZ732" s="156"/>
      <c r="DA732" s="156"/>
      <c r="DB732" s="156"/>
      <c r="DC732" s="156"/>
      <c r="DD732" s="156"/>
      <c r="DE732" s="156"/>
      <c r="DF732" s="156"/>
      <c r="DG732" s="156"/>
      <c r="DH732" s="156"/>
      <c r="DI732" s="156"/>
      <c r="DJ732" s="156"/>
      <c r="DK732" s="156"/>
      <c r="DL732" s="156"/>
      <c r="DM732" s="156"/>
      <c r="DN732" s="156"/>
      <c r="DO732" s="156"/>
      <c r="DP732" s="156"/>
      <c r="DQ732" s="156"/>
      <c r="DR732" s="156"/>
      <c r="DS732" s="156"/>
      <c r="DT732" s="156"/>
      <c r="DU732" s="156"/>
      <c r="DV732" s="156"/>
      <c r="DW732" s="156"/>
      <c r="DX732" s="156"/>
      <c r="DY732" s="156"/>
      <c r="DZ732" s="156"/>
      <c r="EA732" s="156"/>
      <c r="EB732" s="156"/>
      <c r="EC732" s="156"/>
      <c r="ED732" s="156"/>
      <c r="EE732" s="156"/>
      <c r="EF732" s="156"/>
      <c r="EG732" s="156"/>
      <c r="EH732" s="156"/>
      <c r="EI732" s="156"/>
      <c r="EJ732" s="156"/>
      <c r="EK732" s="156"/>
      <c r="EL732" s="156"/>
      <c r="EM732" s="156"/>
      <c r="EN732" s="156"/>
      <c r="EO732" s="156"/>
      <c r="EP732" s="156"/>
      <c r="EQ732" s="156"/>
      <c r="ER732" s="156"/>
      <c r="ES732" s="156"/>
      <c r="ET732" s="156"/>
      <c r="EU732" s="156"/>
      <c r="EV732" s="156"/>
      <c r="EW732" s="156"/>
      <c r="EX732" s="156"/>
      <c r="EY732" s="156"/>
      <c r="EZ732" s="156"/>
      <c r="FA732" s="156"/>
      <c r="FB732" s="156"/>
      <c r="FC732" s="156"/>
      <c r="FD732" s="156"/>
      <c r="FE732" s="156"/>
      <c r="FF732" s="156"/>
      <c r="FG732" s="156"/>
      <c r="FH732" s="156"/>
      <c r="FI732" s="156"/>
      <c r="FJ732" s="156"/>
      <c r="FK732" s="156"/>
      <c r="FL732" s="156"/>
      <c r="FM732" s="156"/>
      <c r="FN732" s="156"/>
      <c r="FO732" s="156"/>
      <c r="FP732" s="156"/>
      <c r="FQ732" s="156"/>
      <c r="FR732" s="156"/>
      <c r="FS732" s="156"/>
      <c r="FT732" s="156"/>
      <c r="FU732" s="156"/>
      <c r="FV732" s="156"/>
      <c r="FW732" s="156"/>
      <c r="FX732" s="156"/>
      <c r="FY732" s="156"/>
      <c r="FZ732" s="156"/>
      <c r="GA732" s="156"/>
      <c r="GB732" s="156"/>
      <c r="GC732" s="156"/>
      <c r="GD732" s="156"/>
      <c r="GE732" s="156"/>
      <c r="GF732" s="156"/>
      <c r="GG732" s="156"/>
      <c r="GH732" s="156"/>
      <c r="GI732" s="156"/>
      <c r="GJ732" s="156"/>
      <c r="GK732" s="156"/>
      <c r="GL732" s="156"/>
      <c r="GM732" s="156"/>
      <c r="GN732" s="156"/>
      <c r="GO732" s="156"/>
      <c r="GP732" s="156"/>
      <c r="GQ732" s="156"/>
      <c r="GR732" s="156"/>
      <c r="GS732" s="156"/>
      <c r="GT732" s="156"/>
      <c r="GU732" s="156"/>
      <c r="GV732" s="156"/>
      <c r="GW732" s="156"/>
      <c r="GX732" s="156"/>
      <c r="GY732" s="156"/>
      <c r="GZ732" s="156"/>
      <c r="HA732" s="156"/>
      <c r="HB732" s="156"/>
      <c r="HC732" s="156"/>
      <c r="HD732" s="156"/>
      <c r="HE732" s="156"/>
      <c r="HF732" s="156"/>
      <c r="HG732" s="156"/>
      <c r="HH732" s="156"/>
      <c r="HI732" s="156"/>
      <c r="HJ732" s="156"/>
      <c r="HK732" s="156"/>
      <c r="HL732" s="156"/>
      <c r="HM732" s="156"/>
      <c r="HN732" s="156"/>
      <c r="HO732" s="156"/>
      <c r="HP732" s="156"/>
      <c r="HQ732" s="156"/>
      <c r="HR732" s="156"/>
      <c r="HS732" s="156"/>
      <c r="HT732" s="156"/>
      <c r="HU732" s="156"/>
      <c r="HV732" s="156"/>
      <c r="HW732" s="156"/>
      <c r="HX732" s="156"/>
      <c r="HY732" s="156"/>
      <c r="HZ732" s="156"/>
      <c r="IA732" s="156"/>
      <c r="IB732" s="156"/>
      <c r="IC732" s="156"/>
      <c r="ID732" s="156"/>
      <c r="IE732" s="156"/>
      <c r="IF732" s="156"/>
      <c r="IG732" s="156"/>
      <c r="IH732" s="156"/>
      <c r="II732" s="156"/>
      <c r="IJ732" s="156"/>
      <c r="IK732" s="156"/>
      <c r="IL732" s="156"/>
      <c r="IM732" s="156"/>
      <c r="IN732" s="156"/>
      <c r="IO732" s="156"/>
      <c r="IP732" s="156"/>
      <c r="IQ732" s="156"/>
      <c r="IR732" s="156"/>
      <c r="IS732" s="156"/>
      <c r="IT732" s="156"/>
      <c r="IU732" s="156"/>
      <c r="IV732" s="156"/>
      <c r="IW732" s="156"/>
      <c r="IX732" s="156"/>
      <c r="IY732" s="156"/>
      <c r="IZ732" s="156"/>
      <c r="JA732" s="156"/>
      <c r="JB732" s="156"/>
      <c r="JC732" s="156"/>
      <c r="JD732" s="156"/>
      <c r="JE732" s="156"/>
      <c r="JF732" s="156"/>
      <c r="JG732" s="156"/>
      <c r="JH732" s="156"/>
      <c r="JI732" s="156"/>
      <c r="JJ732" s="156"/>
      <c r="JK732" s="156"/>
      <c r="JL732" s="156"/>
      <c r="JM732" s="156"/>
      <c r="JN732" s="156"/>
      <c r="JO732" s="156"/>
      <c r="JP732" s="156"/>
      <c r="JQ732" s="156"/>
      <c r="JR732" s="156"/>
      <c r="JS732" s="156"/>
      <c r="JT732" s="156"/>
      <c r="JU732" s="156"/>
      <c r="JV732" s="156"/>
      <c r="JW732" s="156"/>
      <c r="JX732" s="156"/>
      <c r="JY732" s="156"/>
      <c r="JZ732" s="156"/>
      <c r="KA732" s="156"/>
      <c r="KB732" s="156"/>
      <c r="KC732" s="156"/>
      <c r="KD732" s="156"/>
      <c r="KE732" s="156"/>
    </row>
    <row r="733" spans="1:291" ht="35" customHeight="1">
      <c r="A733" s="42">
        <f>ROW()-2</f>
        <v>731</v>
      </c>
      <c r="B733" s="159" t="s">
        <v>2732</v>
      </c>
      <c r="C733" s="152" t="s">
        <v>4163</v>
      </c>
      <c r="D733" s="58" t="s">
        <v>4190</v>
      </c>
      <c r="E733" s="60" t="s">
        <v>4191</v>
      </c>
      <c r="F733" s="66" t="s">
        <v>3343</v>
      </c>
      <c r="G733" s="221" t="s">
        <v>34</v>
      </c>
      <c r="H733" s="224">
        <v>1</v>
      </c>
      <c r="I733" s="160">
        <v>0.4</v>
      </c>
      <c r="J733" s="232">
        <v>44151</v>
      </c>
      <c r="K733" s="238" t="s">
        <v>20</v>
      </c>
      <c r="L733" s="159">
        <v>4.99</v>
      </c>
      <c r="M733" s="155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  <c r="AA733" s="156"/>
      <c r="AB733" s="156"/>
      <c r="AC733" s="156"/>
      <c r="AD733" s="156"/>
      <c r="AE733" s="156"/>
      <c r="AF733" s="156"/>
      <c r="AG733" s="156"/>
      <c r="AH733" s="156"/>
      <c r="AI733" s="156"/>
      <c r="AJ733" s="156"/>
      <c r="AK733" s="156"/>
      <c r="AL733" s="156"/>
      <c r="AM733" s="156"/>
      <c r="AN733" s="156"/>
      <c r="AO733" s="156"/>
      <c r="AP733" s="156"/>
      <c r="AQ733" s="156"/>
      <c r="AR733" s="156"/>
      <c r="AS733" s="156"/>
      <c r="AT733" s="156"/>
      <c r="AU733" s="156"/>
      <c r="AV733" s="156"/>
      <c r="AW733" s="156"/>
      <c r="AX733" s="156"/>
      <c r="AY733" s="156"/>
      <c r="AZ733" s="156"/>
      <c r="BA733" s="156"/>
      <c r="BB733" s="156"/>
      <c r="BC733" s="156"/>
      <c r="BD733" s="156"/>
      <c r="BE733" s="156"/>
      <c r="BF733" s="156"/>
      <c r="BG733" s="156"/>
      <c r="BH733" s="156"/>
      <c r="BI733" s="156"/>
      <c r="BJ733" s="156"/>
      <c r="BK733" s="156"/>
      <c r="BL733" s="156"/>
      <c r="BM733" s="156"/>
      <c r="BN733" s="156"/>
      <c r="BO733" s="156"/>
      <c r="BP733" s="156"/>
      <c r="BQ733" s="156"/>
      <c r="BR733" s="156"/>
      <c r="BS733" s="156"/>
      <c r="BT733" s="156"/>
      <c r="BU733" s="156"/>
      <c r="BV733" s="156"/>
      <c r="BW733" s="156"/>
      <c r="BX733" s="156"/>
      <c r="BY733" s="156"/>
      <c r="BZ733" s="156"/>
      <c r="CA733" s="156"/>
      <c r="CB733" s="156"/>
      <c r="CC733" s="156"/>
      <c r="CD733" s="156"/>
      <c r="CE733" s="156"/>
      <c r="CF733" s="156"/>
      <c r="CG733" s="156"/>
      <c r="CH733" s="156"/>
      <c r="CI733" s="156"/>
      <c r="CJ733" s="156"/>
      <c r="CK733" s="156"/>
      <c r="CL733" s="156"/>
      <c r="CM733" s="156"/>
      <c r="CN733" s="156"/>
      <c r="CO733" s="156"/>
      <c r="CP733" s="156"/>
      <c r="CQ733" s="156"/>
      <c r="CR733" s="156"/>
      <c r="CS733" s="156"/>
      <c r="CT733" s="156"/>
      <c r="CU733" s="156"/>
      <c r="CV733" s="156"/>
      <c r="CW733" s="156"/>
      <c r="CX733" s="156"/>
      <c r="CY733" s="156"/>
      <c r="CZ733" s="156"/>
      <c r="DA733" s="156"/>
      <c r="DB733" s="156"/>
      <c r="DC733" s="156"/>
      <c r="DD733" s="156"/>
      <c r="DE733" s="156"/>
      <c r="DF733" s="156"/>
      <c r="DG733" s="156"/>
      <c r="DH733" s="156"/>
      <c r="DI733" s="156"/>
      <c r="DJ733" s="156"/>
      <c r="DK733" s="156"/>
      <c r="DL733" s="156"/>
      <c r="DM733" s="156"/>
      <c r="DN733" s="156"/>
      <c r="DO733" s="156"/>
      <c r="DP733" s="156"/>
      <c r="DQ733" s="156"/>
      <c r="DR733" s="156"/>
      <c r="DS733" s="156"/>
      <c r="DT733" s="156"/>
      <c r="DU733" s="156"/>
      <c r="DV733" s="156"/>
      <c r="DW733" s="156"/>
      <c r="DX733" s="156"/>
      <c r="DY733" s="156"/>
      <c r="DZ733" s="156"/>
      <c r="EA733" s="156"/>
      <c r="EB733" s="156"/>
      <c r="EC733" s="156"/>
      <c r="ED733" s="156"/>
      <c r="EE733" s="156"/>
      <c r="EF733" s="156"/>
      <c r="EG733" s="156"/>
      <c r="EH733" s="156"/>
      <c r="EI733" s="156"/>
      <c r="EJ733" s="156"/>
      <c r="EK733" s="156"/>
      <c r="EL733" s="156"/>
      <c r="EM733" s="156"/>
      <c r="EN733" s="156"/>
      <c r="EO733" s="156"/>
      <c r="EP733" s="156"/>
      <c r="EQ733" s="156"/>
      <c r="ER733" s="156"/>
      <c r="ES733" s="156"/>
      <c r="ET733" s="156"/>
      <c r="EU733" s="156"/>
      <c r="EV733" s="156"/>
      <c r="EW733" s="156"/>
      <c r="EX733" s="156"/>
      <c r="EY733" s="156"/>
      <c r="EZ733" s="156"/>
      <c r="FA733" s="156"/>
      <c r="FB733" s="156"/>
      <c r="FC733" s="156"/>
      <c r="FD733" s="156"/>
      <c r="FE733" s="156"/>
      <c r="FF733" s="156"/>
      <c r="FG733" s="156"/>
      <c r="FH733" s="156"/>
      <c r="FI733" s="156"/>
      <c r="FJ733" s="156"/>
      <c r="FK733" s="156"/>
      <c r="FL733" s="156"/>
      <c r="FM733" s="156"/>
      <c r="FN733" s="156"/>
      <c r="FO733" s="156"/>
      <c r="FP733" s="156"/>
      <c r="FQ733" s="156"/>
      <c r="FR733" s="156"/>
      <c r="FS733" s="156"/>
      <c r="FT733" s="156"/>
      <c r="FU733" s="156"/>
      <c r="FV733" s="156"/>
      <c r="FW733" s="156"/>
      <c r="FX733" s="156"/>
      <c r="FY733" s="156"/>
      <c r="FZ733" s="156"/>
      <c r="GA733" s="156"/>
      <c r="GB733" s="156"/>
      <c r="GC733" s="156"/>
      <c r="GD733" s="156"/>
      <c r="GE733" s="156"/>
      <c r="GF733" s="156"/>
      <c r="GG733" s="156"/>
      <c r="GH733" s="156"/>
      <c r="GI733" s="156"/>
      <c r="GJ733" s="156"/>
      <c r="GK733" s="156"/>
      <c r="GL733" s="156"/>
      <c r="GM733" s="156"/>
      <c r="GN733" s="156"/>
      <c r="GO733" s="156"/>
      <c r="GP733" s="156"/>
      <c r="GQ733" s="156"/>
      <c r="GR733" s="156"/>
      <c r="GS733" s="156"/>
      <c r="GT733" s="156"/>
      <c r="GU733" s="156"/>
      <c r="GV733" s="156"/>
      <c r="GW733" s="156"/>
      <c r="GX733" s="156"/>
      <c r="GY733" s="156"/>
      <c r="GZ733" s="156"/>
      <c r="HA733" s="156"/>
      <c r="HB733" s="156"/>
      <c r="HC733" s="156"/>
      <c r="HD733" s="156"/>
      <c r="HE733" s="156"/>
      <c r="HF733" s="156"/>
      <c r="HG733" s="156"/>
      <c r="HH733" s="156"/>
      <c r="HI733" s="156"/>
      <c r="HJ733" s="156"/>
      <c r="HK733" s="156"/>
      <c r="HL733" s="156"/>
      <c r="HM733" s="156"/>
      <c r="HN733" s="156"/>
      <c r="HO733" s="156"/>
      <c r="HP733" s="156"/>
      <c r="HQ733" s="156"/>
      <c r="HR733" s="156"/>
      <c r="HS733" s="156"/>
      <c r="HT733" s="156"/>
      <c r="HU733" s="156"/>
      <c r="HV733" s="156"/>
      <c r="HW733" s="156"/>
      <c r="HX733" s="156"/>
      <c r="HY733" s="156"/>
      <c r="HZ733" s="156"/>
      <c r="IA733" s="156"/>
      <c r="IB733" s="156"/>
      <c r="IC733" s="156"/>
      <c r="ID733" s="156"/>
      <c r="IE733" s="156"/>
      <c r="IF733" s="156"/>
      <c r="IG733" s="156"/>
      <c r="IH733" s="156"/>
      <c r="II733" s="156"/>
      <c r="IJ733" s="156"/>
      <c r="IK733" s="156"/>
      <c r="IL733" s="156"/>
      <c r="IM733" s="156"/>
      <c r="IN733" s="156"/>
      <c r="IO733" s="156"/>
      <c r="IP733" s="156"/>
      <c r="IQ733" s="156"/>
      <c r="IR733" s="156"/>
      <c r="IS733" s="156"/>
      <c r="IT733" s="156"/>
      <c r="IU733" s="156"/>
      <c r="IV733" s="156"/>
      <c r="IW733" s="156"/>
      <c r="IX733" s="156"/>
      <c r="IY733" s="156"/>
      <c r="IZ733" s="156"/>
      <c r="JA733" s="156"/>
      <c r="JB733" s="156"/>
      <c r="JC733" s="156"/>
      <c r="JD733" s="156"/>
      <c r="JE733" s="156"/>
      <c r="JF733" s="156"/>
      <c r="JG733" s="156"/>
      <c r="JH733" s="156"/>
      <c r="JI733" s="156"/>
      <c r="JJ733" s="156"/>
      <c r="JK733" s="156"/>
      <c r="JL733" s="156"/>
      <c r="JM733" s="156"/>
      <c r="JN733" s="156"/>
      <c r="JO733" s="156"/>
      <c r="JP733" s="156"/>
      <c r="JQ733" s="156"/>
      <c r="JR733" s="156"/>
      <c r="JS733" s="156"/>
      <c r="JT733" s="156"/>
      <c r="JU733" s="156"/>
      <c r="JV733" s="156"/>
      <c r="JW733" s="156"/>
      <c r="JX733" s="156"/>
      <c r="JY733" s="156"/>
      <c r="JZ733" s="156"/>
      <c r="KA733" s="156"/>
      <c r="KB733" s="156"/>
      <c r="KC733" s="156"/>
      <c r="KD733" s="156"/>
      <c r="KE733" s="156"/>
    </row>
    <row r="734" spans="1:291" ht="35" customHeight="1">
      <c r="A734" s="42">
        <f>ROW()-2</f>
        <v>732</v>
      </c>
      <c r="B734" s="159" t="s">
        <v>2732</v>
      </c>
      <c r="C734" s="152" t="s">
        <v>4163</v>
      </c>
      <c r="D734" s="58" t="s">
        <v>4269</v>
      </c>
      <c r="E734" s="60" t="s">
        <v>4270</v>
      </c>
      <c r="F734" s="66" t="s">
        <v>3108</v>
      </c>
      <c r="G734" s="221" t="s">
        <v>34</v>
      </c>
      <c r="H734" s="224">
        <v>1</v>
      </c>
      <c r="I734" s="153">
        <v>0.44166666666666698</v>
      </c>
      <c r="J734" s="232">
        <v>44151</v>
      </c>
      <c r="K734" s="238" t="s">
        <v>20</v>
      </c>
      <c r="L734" s="159">
        <v>4.99</v>
      </c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  <c r="AA734" s="156"/>
      <c r="AB734" s="156"/>
      <c r="AC734" s="156"/>
      <c r="AD734" s="156"/>
      <c r="AE734" s="156"/>
      <c r="AF734" s="156"/>
      <c r="AG734" s="156"/>
      <c r="AH734" s="156"/>
      <c r="AI734" s="156"/>
      <c r="AJ734" s="156"/>
      <c r="AK734" s="156"/>
      <c r="AL734" s="156"/>
      <c r="AM734" s="156"/>
      <c r="AN734" s="156"/>
      <c r="AO734" s="156"/>
      <c r="AP734" s="156"/>
      <c r="AQ734" s="156"/>
      <c r="AR734" s="156"/>
      <c r="AS734" s="156"/>
      <c r="AT734" s="156"/>
      <c r="AU734" s="156"/>
      <c r="AV734" s="156"/>
      <c r="AW734" s="156"/>
      <c r="AX734" s="156"/>
      <c r="AY734" s="156"/>
      <c r="AZ734" s="156"/>
      <c r="BA734" s="156"/>
      <c r="BB734" s="156"/>
      <c r="BC734" s="156"/>
      <c r="BD734" s="156"/>
      <c r="BE734" s="156"/>
      <c r="BF734" s="156"/>
      <c r="BG734" s="156"/>
      <c r="BH734" s="156"/>
      <c r="BI734" s="156"/>
      <c r="BJ734" s="156"/>
      <c r="BK734" s="156"/>
      <c r="BL734" s="156"/>
      <c r="BM734" s="156"/>
      <c r="BN734" s="156"/>
      <c r="BO734" s="156"/>
      <c r="BP734" s="156"/>
      <c r="BQ734" s="156"/>
      <c r="BR734" s="156"/>
      <c r="BS734" s="156"/>
      <c r="BT734" s="156"/>
      <c r="BU734" s="156"/>
      <c r="BV734" s="156"/>
      <c r="BW734" s="156"/>
      <c r="BX734" s="156"/>
      <c r="BY734" s="156"/>
      <c r="BZ734" s="156"/>
      <c r="CA734" s="156"/>
      <c r="CB734" s="156"/>
      <c r="CC734" s="156"/>
      <c r="CD734" s="156"/>
      <c r="CE734" s="156"/>
      <c r="CF734" s="156"/>
      <c r="CG734" s="156"/>
      <c r="CH734" s="156"/>
      <c r="CI734" s="156"/>
      <c r="CJ734" s="156"/>
      <c r="CK734" s="156"/>
      <c r="CL734" s="156"/>
      <c r="CM734" s="156"/>
      <c r="CN734" s="156"/>
      <c r="CO734" s="156"/>
      <c r="CP734" s="156"/>
      <c r="CQ734" s="156"/>
      <c r="CR734" s="156"/>
      <c r="CS734" s="156"/>
      <c r="CT734" s="156"/>
      <c r="CU734" s="156"/>
      <c r="CV734" s="156"/>
      <c r="CW734" s="156"/>
      <c r="CX734" s="156"/>
      <c r="CY734" s="156"/>
      <c r="CZ734" s="156"/>
      <c r="DA734" s="156"/>
      <c r="DB734" s="156"/>
      <c r="DC734" s="156"/>
      <c r="DD734" s="156"/>
      <c r="DE734" s="156"/>
      <c r="DF734" s="156"/>
      <c r="DG734" s="156"/>
      <c r="DH734" s="156"/>
      <c r="DI734" s="156"/>
      <c r="DJ734" s="156"/>
      <c r="DK734" s="156"/>
      <c r="DL734" s="156"/>
      <c r="DM734" s="156"/>
      <c r="DN734" s="156"/>
      <c r="DO734" s="156"/>
      <c r="DP734" s="156"/>
      <c r="DQ734" s="156"/>
      <c r="DR734" s="156"/>
      <c r="DS734" s="156"/>
      <c r="DT734" s="156"/>
      <c r="DU734" s="156"/>
      <c r="DV734" s="156"/>
      <c r="DW734" s="156"/>
      <c r="DX734" s="156"/>
      <c r="DY734" s="156"/>
      <c r="DZ734" s="156"/>
      <c r="EA734" s="156"/>
      <c r="EB734" s="156"/>
      <c r="EC734" s="156"/>
      <c r="ED734" s="156"/>
      <c r="EE734" s="156"/>
      <c r="EF734" s="156"/>
      <c r="EG734" s="156"/>
      <c r="EH734" s="156"/>
      <c r="EI734" s="156"/>
      <c r="EJ734" s="156"/>
      <c r="EK734" s="156"/>
      <c r="EL734" s="156"/>
      <c r="EM734" s="156"/>
      <c r="EN734" s="156"/>
      <c r="EO734" s="156"/>
      <c r="EP734" s="156"/>
      <c r="EQ734" s="156"/>
      <c r="ER734" s="156"/>
      <c r="ES734" s="156"/>
      <c r="ET734" s="156"/>
      <c r="EU734" s="156"/>
      <c r="EV734" s="156"/>
      <c r="EW734" s="156"/>
      <c r="EX734" s="156"/>
      <c r="EY734" s="156"/>
      <c r="EZ734" s="156"/>
      <c r="FA734" s="156"/>
      <c r="FB734" s="156"/>
      <c r="FC734" s="156"/>
      <c r="FD734" s="156"/>
      <c r="FE734" s="156"/>
      <c r="FF734" s="156"/>
      <c r="FG734" s="156"/>
      <c r="FH734" s="156"/>
      <c r="FI734" s="156"/>
      <c r="FJ734" s="156"/>
      <c r="FK734" s="156"/>
      <c r="FL734" s="156"/>
      <c r="FM734" s="156"/>
      <c r="FN734" s="156"/>
      <c r="FO734" s="156"/>
      <c r="FP734" s="156"/>
      <c r="FQ734" s="156"/>
      <c r="FR734" s="156"/>
      <c r="FS734" s="156"/>
      <c r="FT734" s="156"/>
      <c r="FU734" s="156"/>
      <c r="FV734" s="156"/>
      <c r="FW734" s="156"/>
      <c r="FX734" s="156"/>
      <c r="FY734" s="156"/>
      <c r="FZ734" s="156"/>
      <c r="GA734" s="156"/>
      <c r="GB734" s="156"/>
      <c r="GC734" s="156"/>
      <c r="GD734" s="156"/>
      <c r="GE734" s="156"/>
      <c r="GF734" s="156"/>
      <c r="GG734" s="156"/>
      <c r="GH734" s="156"/>
      <c r="GI734" s="156"/>
      <c r="GJ734" s="156"/>
      <c r="GK734" s="156"/>
      <c r="GL734" s="156"/>
      <c r="GM734" s="156"/>
      <c r="GN734" s="156"/>
      <c r="GO734" s="156"/>
      <c r="GP734" s="156"/>
      <c r="GQ734" s="156"/>
      <c r="GR734" s="156"/>
      <c r="GS734" s="156"/>
      <c r="GT734" s="156"/>
      <c r="GU734" s="156"/>
      <c r="GV734" s="156"/>
      <c r="GW734" s="156"/>
      <c r="GX734" s="156"/>
      <c r="GY734" s="156"/>
      <c r="GZ734" s="156"/>
      <c r="HA734" s="156"/>
      <c r="HB734" s="156"/>
      <c r="HC734" s="156"/>
      <c r="HD734" s="156"/>
      <c r="HE734" s="156"/>
      <c r="HF734" s="156"/>
      <c r="HG734" s="156"/>
      <c r="HH734" s="156"/>
      <c r="HI734" s="156"/>
      <c r="HJ734" s="156"/>
      <c r="HK734" s="156"/>
      <c r="HL734" s="156"/>
      <c r="HM734" s="156"/>
      <c r="HN734" s="156"/>
      <c r="HO734" s="156"/>
      <c r="HP734" s="156"/>
      <c r="HQ734" s="156"/>
      <c r="HR734" s="156"/>
      <c r="HS734" s="156"/>
      <c r="HT734" s="156"/>
      <c r="HU734" s="156"/>
      <c r="HV734" s="156"/>
      <c r="HW734" s="156"/>
      <c r="HX734" s="156"/>
      <c r="HY734" s="156"/>
      <c r="HZ734" s="156"/>
      <c r="IA734" s="156"/>
      <c r="IB734" s="156"/>
      <c r="IC734" s="156"/>
      <c r="ID734" s="156"/>
      <c r="IE734" s="156"/>
      <c r="IF734" s="156"/>
      <c r="IG734" s="156"/>
      <c r="IH734" s="156"/>
      <c r="II734" s="156"/>
      <c r="IJ734" s="156"/>
      <c r="IK734" s="156"/>
      <c r="IL734" s="156"/>
      <c r="IM734" s="156"/>
      <c r="IN734" s="156"/>
      <c r="IO734" s="156"/>
      <c r="IP734" s="156"/>
      <c r="IQ734" s="156"/>
      <c r="IR734" s="156"/>
      <c r="IS734" s="156"/>
      <c r="IT734" s="156"/>
      <c r="IU734" s="156"/>
      <c r="IV734" s="156"/>
      <c r="IW734" s="156"/>
      <c r="IX734" s="156"/>
      <c r="IY734" s="156"/>
      <c r="IZ734" s="156"/>
      <c r="JA734" s="156"/>
      <c r="JB734" s="156"/>
      <c r="JC734" s="156"/>
      <c r="JD734" s="156"/>
      <c r="JE734" s="156"/>
      <c r="JF734" s="156"/>
      <c r="JG734" s="156"/>
      <c r="JH734" s="156"/>
      <c r="JI734" s="156"/>
      <c r="JJ734" s="156"/>
      <c r="JK734" s="156"/>
      <c r="JL734" s="156"/>
      <c r="JM734" s="156"/>
      <c r="JN734" s="156"/>
      <c r="JO734" s="156"/>
      <c r="JP734" s="156"/>
      <c r="JQ734" s="156"/>
      <c r="JR734" s="156"/>
      <c r="JS734" s="156"/>
      <c r="JT734" s="156"/>
      <c r="JU734" s="156"/>
      <c r="JV734" s="156"/>
      <c r="JW734" s="156"/>
      <c r="JX734" s="156"/>
      <c r="JY734" s="156"/>
      <c r="JZ734" s="156"/>
      <c r="KA734" s="156"/>
      <c r="KB734" s="156"/>
      <c r="KC734" s="156"/>
      <c r="KD734" s="156"/>
      <c r="KE734" s="156"/>
    </row>
    <row r="735" spans="1:291" ht="35" customHeight="1">
      <c r="A735" s="42">
        <f>ROW()-2</f>
        <v>733</v>
      </c>
      <c r="B735" s="159" t="s">
        <v>2732</v>
      </c>
      <c r="C735" s="152" t="s">
        <v>4163</v>
      </c>
      <c r="D735" s="58" t="s">
        <v>4271</v>
      </c>
      <c r="E735" s="60" t="s">
        <v>4272</v>
      </c>
      <c r="F735" s="216" t="s">
        <v>1259</v>
      </c>
      <c r="G735" s="221" t="s">
        <v>34</v>
      </c>
      <c r="H735" s="224">
        <v>1</v>
      </c>
      <c r="I735" s="153">
        <v>0.43388888888888899</v>
      </c>
      <c r="J735" s="235">
        <v>44151</v>
      </c>
      <c r="K735" s="238" t="s">
        <v>20</v>
      </c>
      <c r="L735" s="159">
        <v>4.99</v>
      </c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  <c r="AA735" s="156"/>
      <c r="AB735" s="156"/>
      <c r="AC735" s="156"/>
      <c r="AD735" s="156"/>
      <c r="AE735" s="156"/>
      <c r="AF735" s="156"/>
      <c r="AG735" s="156"/>
      <c r="AH735" s="156"/>
      <c r="AI735" s="156"/>
      <c r="AJ735" s="156"/>
      <c r="AK735" s="156"/>
      <c r="AL735" s="156"/>
      <c r="AM735" s="156"/>
      <c r="AN735" s="156"/>
      <c r="AO735" s="156"/>
      <c r="AP735" s="156"/>
      <c r="AQ735" s="156"/>
      <c r="AR735" s="156"/>
      <c r="AS735" s="156"/>
      <c r="AT735" s="156"/>
      <c r="AU735" s="156"/>
      <c r="AV735" s="156"/>
      <c r="AW735" s="156"/>
      <c r="AX735" s="156"/>
      <c r="AY735" s="156"/>
      <c r="AZ735" s="156"/>
      <c r="BA735" s="156"/>
      <c r="BB735" s="156"/>
      <c r="BC735" s="156"/>
      <c r="BD735" s="156"/>
      <c r="BE735" s="156"/>
      <c r="BF735" s="156"/>
      <c r="BG735" s="156"/>
      <c r="BH735" s="156"/>
      <c r="BI735" s="156"/>
      <c r="BJ735" s="156"/>
      <c r="BK735" s="156"/>
      <c r="BL735" s="156"/>
      <c r="BM735" s="156"/>
      <c r="BN735" s="156"/>
      <c r="BO735" s="156"/>
      <c r="BP735" s="156"/>
      <c r="BQ735" s="156"/>
      <c r="BR735" s="156"/>
      <c r="BS735" s="156"/>
      <c r="BT735" s="156"/>
      <c r="BU735" s="156"/>
      <c r="BV735" s="156"/>
      <c r="BW735" s="156"/>
      <c r="BX735" s="156"/>
      <c r="BY735" s="156"/>
      <c r="BZ735" s="156"/>
      <c r="CA735" s="156"/>
      <c r="CB735" s="156"/>
      <c r="CC735" s="156"/>
      <c r="CD735" s="156"/>
      <c r="CE735" s="156"/>
      <c r="CF735" s="156"/>
      <c r="CG735" s="156"/>
      <c r="CH735" s="156"/>
      <c r="CI735" s="156"/>
      <c r="CJ735" s="156"/>
      <c r="CK735" s="156"/>
      <c r="CL735" s="156"/>
      <c r="CM735" s="156"/>
      <c r="CN735" s="156"/>
      <c r="CO735" s="156"/>
      <c r="CP735" s="156"/>
      <c r="CQ735" s="156"/>
      <c r="CR735" s="156"/>
      <c r="CS735" s="156"/>
      <c r="CT735" s="156"/>
      <c r="CU735" s="156"/>
      <c r="CV735" s="156"/>
      <c r="CW735" s="156"/>
      <c r="CX735" s="156"/>
      <c r="CY735" s="156"/>
      <c r="CZ735" s="156"/>
      <c r="DA735" s="156"/>
      <c r="DB735" s="156"/>
      <c r="DC735" s="156"/>
      <c r="DD735" s="156"/>
      <c r="DE735" s="156"/>
      <c r="DF735" s="156"/>
      <c r="DG735" s="156"/>
      <c r="DH735" s="156"/>
      <c r="DI735" s="156"/>
      <c r="DJ735" s="156"/>
      <c r="DK735" s="156"/>
      <c r="DL735" s="156"/>
      <c r="DM735" s="156"/>
      <c r="DN735" s="156"/>
      <c r="DO735" s="156"/>
      <c r="DP735" s="156"/>
      <c r="DQ735" s="156"/>
      <c r="DR735" s="156"/>
      <c r="DS735" s="156"/>
      <c r="DT735" s="156"/>
      <c r="DU735" s="156"/>
      <c r="DV735" s="156"/>
      <c r="DW735" s="156"/>
      <c r="DX735" s="156"/>
      <c r="DY735" s="156"/>
      <c r="DZ735" s="156"/>
      <c r="EA735" s="156"/>
      <c r="EB735" s="156"/>
      <c r="EC735" s="156"/>
      <c r="ED735" s="156"/>
      <c r="EE735" s="156"/>
      <c r="EF735" s="156"/>
      <c r="EG735" s="156"/>
      <c r="EH735" s="156"/>
      <c r="EI735" s="156"/>
      <c r="EJ735" s="156"/>
      <c r="EK735" s="156"/>
      <c r="EL735" s="156"/>
      <c r="EM735" s="156"/>
      <c r="EN735" s="156"/>
      <c r="EO735" s="156"/>
      <c r="EP735" s="156"/>
      <c r="EQ735" s="156"/>
      <c r="ER735" s="156"/>
      <c r="ES735" s="156"/>
      <c r="ET735" s="156"/>
      <c r="EU735" s="156"/>
      <c r="EV735" s="156"/>
      <c r="EW735" s="156"/>
      <c r="EX735" s="156"/>
      <c r="EY735" s="156"/>
      <c r="EZ735" s="156"/>
      <c r="FA735" s="156"/>
      <c r="FB735" s="156"/>
      <c r="FC735" s="156"/>
      <c r="FD735" s="156"/>
      <c r="FE735" s="156"/>
      <c r="FF735" s="156"/>
      <c r="FG735" s="156"/>
      <c r="FH735" s="156"/>
      <c r="FI735" s="156"/>
      <c r="FJ735" s="156"/>
      <c r="FK735" s="156"/>
      <c r="FL735" s="156"/>
      <c r="FM735" s="156"/>
      <c r="FN735" s="156"/>
      <c r="FO735" s="156"/>
      <c r="FP735" s="156"/>
      <c r="FQ735" s="156"/>
      <c r="FR735" s="156"/>
      <c r="FS735" s="156"/>
      <c r="FT735" s="156"/>
      <c r="FU735" s="156"/>
      <c r="FV735" s="156"/>
      <c r="FW735" s="156"/>
      <c r="FX735" s="156"/>
      <c r="FY735" s="156"/>
      <c r="FZ735" s="156"/>
      <c r="GA735" s="156"/>
      <c r="GB735" s="156"/>
      <c r="GC735" s="156"/>
      <c r="GD735" s="156"/>
      <c r="GE735" s="156"/>
      <c r="GF735" s="156"/>
      <c r="GG735" s="156"/>
      <c r="GH735" s="156"/>
      <c r="GI735" s="156"/>
      <c r="GJ735" s="156"/>
      <c r="GK735" s="156"/>
      <c r="GL735" s="156"/>
      <c r="GM735" s="156"/>
      <c r="GN735" s="156"/>
      <c r="GO735" s="156"/>
      <c r="GP735" s="156"/>
      <c r="GQ735" s="156"/>
      <c r="GR735" s="156"/>
      <c r="GS735" s="156"/>
      <c r="GT735" s="156"/>
      <c r="GU735" s="156"/>
      <c r="GV735" s="156"/>
      <c r="GW735" s="156"/>
      <c r="GX735" s="156"/>
      <c r="GY735" s="156"/>
      <c r="GZ735" s="156"/>
      <c r="HA735" s="156"/>
      <c r="HB735" s="156"/>
      <c r="HC735" s="156"/>
      <c r="HD735" s="156"/>
      <c r="HE735" s="156"/>
      <c r="HF735" s="156"/>
      <c r="HG735" s="156"/>
      <c r="HH735" s="156"/>
      <c r="HI735" s="156"/>
      <c r="HJ735" s="156"/>
      <c r="HK735" s="156"/>
      <c r="HL735" s="156"/>
      <c r="HM735" s="156"/>
      <c r="HN735" s="156"/>
      <c r="HO735" s="156"/>
      <c r="HP735" s="156"/>
      <c r="HQ735" s="156"/>
      <c r="HR735" s="156"/>
      <c r="HS735" s="156"/>
      <c r="HT735" s="156"/>
      <c r="HU735" s="156"/>
      <c r="HV735" s="156"/>
      <c r="HW735" s="156"/>
      <c r="HX735" s="156"/>
      <c r="HY735" s="156"/>
      <c r="HZ735" s="156"/>
      <c r="IA735" s="156"/>
      <c r="IB735" s="156"/>
      <c r="IC735" s="156"/>
      <c r="ID735" s="156"/>
      <c r="IE735" s="156"/>
      <c r="IF735" s="156"/>
      <c r="IG735" s="156"/>
      <c r="IH735" s="156"/>
      <c r="II735" s="156"/>
      <c r="IJ735" s="156"/>
      <c r="IK735" s="156"/>
      <c r="IL735" s="156"/>
      <c r="IM735" s="156"/>
      <c r="IN735" s="156"/>
      <c r="IO735" s="156"/>
      <c r="IP735" s="156"/>
      <c r="IQ735" s="156"/>
      <c r="IR735" s="156"/>
      <c r="IS735" s="156"/>
      <c r="IT735" s="156"/>
      <c r="IU735" s="156"/>
      <c r="IV735" s="156"/>
      <c r="IW735" s="156"/>
      <c r="IX735" s="156"/>
      <c r="IY735" s="156"/>
      <c r="IZ735" s="156"/>
      <c r="JA735" s="156"/>
      <c r="JB735" s="156"/>
      <c r="JC735" s="156"/>
      <c r="JD735" s="156"/>
      <c r="JE735" s="156"/>
      <c r="JF735" s="156"/>
      <c r="JG735" s="156"/>
      <c r="JH735" s="156"/>
      <c r="JI735" s="156"/>
      <c r="JJ735" s="156"/>
      <c r="JK735" s="156"/>
      <c r="JL735" s="156"/>
      <c r="JM735" s="156"/>
      <c r="JN735" s="156"/>
      <c r="JO735" s="156"/>
      <c r="JP735" s="156"/>
      <c r="JQ735" s="156"/>
      <c r="JR735" s="156"/>
      <c r="JS735" s="156"/>
      <c r="JT735" s="156"/>
      <c r="JU735" s="156"/>
      <c r="JV735" s="156"/>
      <c r="JW735" s="156"/>
      <c r="JX735" s="156"/>
      <c r="JY735" s="156"/>
      <c r="JZ735" s="156"/>
      <c r="KA735" s="156"/>
      <c r="KB735" s="156"/>
      <c r="KC735" s="156"/>
      <c r="KD735" s="156"/>
      <c r="KE735" s="156"/>
    </row>
    <row r="736" spans="1:291" ht="35" customHeight="1">
      <c r="A736" s="42">
        <f>ROW()-2</f>
        <v>734</v>
      </c>
      <c r="B736" s="159" t="s">
        <v>2732</v>
      </c>
      <c r="C736" s="152" t="s">
        <v>4163</v>
      </c>
      <c r="D736" s="58" t="s">
        <v>4273</v>
      </c>
      <c r="E736" s="60" t="s">
        <v>4272</v>
      </c>
      <c r="F736" s="216" t="s">
        <v>1259</v>
      </c>
      <c r="G736" s="221" t="s">
        <v>34</v>
      </c>
      <c r="H736" s="224">
        <v>1</v>
      </c>
      <c r="I736" s="153">
        <v>0.441388888888889</v>
      </c>
      <c r="J736" s="235">
        <v>44151</v>
      </c>
      <c r="K736" s="238" t="s">
        <v>20</v>
      </c>
      <c r="L736" s="159">
        <v>4.99</v>
      </c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  <c r="AA736" s="156"/>
      <c r="AB736" s="156"/>
      <c r="AC736" s="156"/>
      <c r="AD736" s="156"/>
      <c r="AE736" s="156"/>
      <c r="AF736" s="156"/>
      <c r="AG736" s="156"/>
      <c r="AH736" s="156"/>
      <c r="AI736" s="156"/>
      <c r="AJ736" s="156"/>
      <c r="AK736" s="156"/>
      <c r="AL736" s="156"/>
      <c r="AM736" s="156"/>
      <c r="AN736" s="156"/>
      <c r="AO736" s="156"/>
      <c r="AP736" s="156"/>
      <c r="AQ736" s="156"/>
      <c r="AR736" s="156"/>
      <c r="AS736" s="156"/>
      <c r="AT736" s="156"/>
      <c r="AU736" s="156"/>
      <c r="AV736" s="156"/>
      <c r="AW736" s="156"/>
      <c r="AX736" s="156"/>
      <c r="AY736" s="156"/>
      <c r="AZ736" s="156"/>
      <c r="BA736" s="156"/>
      <c r="BB736" s="156"/>
      <c r="BC736" s="156"/>
      <c r="BD736" s="156"/>
      <c r="BE736" s="156"/>
      <c r="BF736" s="156"/>
      <c r="BG736" s="156"/>
      <c r="BH736" s="156"/>
      <c r="BI736" s="156"/>
      <c r="BJ736" s="156"/>
      <c r="BK736" s="156"/>
      <c r="BL736" s="156"/>
      <c r="BM736" s="156"/>
      <c r="BN736" s="156"/>
      <c r="BO736" s="156"/>
      <c r="BP736" s="156"/>
      <c r="BQ736" s="156"/>
      <c r="BR736" s="156"/>
      <c r="BS736" s="156"/>
      <c r="BT736" s="156"/>
      <c r="BU736" s="156"/>
      <c r="BV736" s="156"/>
      <c r="BW736" s="156"/>
      <c r="BX736" s="156"/>
      <c r="BY736" s="156"/>
      <c r="BZ736" s="156"/>
      <c r="CA736" s="156"/>
      <c r="CB736" s="156"/>
      <c r="CC736" s="156"/>
      <c r="CD736" s="156"/>
      <c r="CE736" s="156"/>
      <c r="CF736" s="156"/>
      <c r="CG736" s="156"/>
      <c r="CH736" s="156"/>
      <c r="CI736" s="156"/>
      <c r="CJ736" s="156"/>
      <c r="CK736" s="156"/>
      <c r="CL736" s="156"/>
      <c r="CM736" s="156"/>
      <c r="CN736" s="156"/>
      <c r="CO736" s="156"/>
      <c r="CP736" s="156"/>
      <c r="CQ736" s="156"/>
      <c r="CR736" s="156"/>
      <c r="CS736" s="156"/>
      <c r="CT736" s="156"/>
      <c r="CU736" s="156"/>
      <c r="CV736" s="156"/>
      <c r="CW736" s="156"/>
      <c r="CX736" s="156"/>
      <c r="CY736" s="156"/>
      <c r="CZ736" s="156"/>
      <c r="DA736" s="156"/>
      <c r="DB736" s="156"/>
      <c r="DC736" s="156"/>
      <c r="DD736" s="156"/>
      <c r="DE736" s="156"/>
      <c r="DF736" s="156"/>
      <c r="DG736" s="156"/>
      <c r="DH736" s="156"/>
      <c r="DI736" s="156"/>
      <c r="DJ736" s="156"/>
      <c r="DK736" s="156"/>
      <c r="DL736" s="156"/>
      <c r="DM736" s="156"/>
      <c r="DN736" s="156"/>
      <c r="DO736" s="156"/>
      <c r="DP736" s="156"/>
      <c r="DQ736" s="156"/>
      <c r="DR736" s="156"/>
      <c r="DS736" s="156"/>
      <c r="DT736" s="156"/>
      <c r="DU736" s="156"/>
      <c r="DV736" s="156"/>
      <c r="DW736" s="156"/>
      <c r="DX736" s="156"/>
      <c r="DY736" s="156"/>
      <c r="DZ736" s="156"/>
      <c r="EA736" s="156"/>
      <c r="EB736" s="156"/>
      <c r="EC736" s="156"/>
      <c r="ED736" s="156"/>
      <c r="EE736" s="156"/>
      <c r="EF736" s="156"/>
      <c r="EG736" s="156"/>
      <c r="EH736" s="156"/>
      <c r="EI736" s="156"/>
      <c r="EJ736" s="156"/>
      <c r="EK736" s="156"/>
      <c r="EL736" s="156"/>
      <c r="EM736" s="156"/>
      <c r="EN736" s="156"/>
      <c r="EO736" s="156"/>
      <c r="EP736" s="156"/>
      <c r="EQ736" s="156"/>
      <c r="ER736" s="156"/>
      <c r="ES736" s="156"/>
      <c r="ET736" s="156"/>
      <c r="EU736" s="156"/>
      <c r="EV736" s="156"/>
      <c r="EW736" s="156"/>
      <c r="EX736" s="156"/>
      <c r="EY736" s="156"/>
      <c r="EZ736" s="156"/>
      <c r="FA736" s="156"/>
      <c r="FB736" s="156"/>
      <c r="FC736" s="156"/>
      <c r="FD736" s="156"/>
      <c r="FE736" s="156"/>
      <c r="FF736" s="156"/>
      <c r="FG736" s="156"/>
      <c r="FH736" s="156"/>
      <c r="FI736" s="156"/>
      <c r="FJ736" s="156"/>
      <c r="FK736" s="156"/>
      <c r="FL736" s="156"/>
      <c r="FM736" s="156"/>
      <c r="FN736" s="156"/>
      <c r="FO736" s="156"/>
      <c r="FP736" s="156"/>
      <c r="FQ736" s="156"/>
      <c r="FR736" s="156"/>
      <c r="FS736" s="156"/>
      <c r="FT736" s="156"/>
      <c r="FU736" s="156"/>
      <c r="FV736" s="156"/>
      <c r="FW736" s="156"/>
      <c r="FX736" s="156"/>
      <c r="FY736" s="156"/>
      <c r="FZ736" s="156"/>
      <c r="GA736" s="156"/>
      <c r="GB736" s="156"/>
      <c r="GC736" s="156"/>
      <c r="GD736" s="156"/>
      <c r="GE736" s="156"/>
      <c r="GF736" s="156"/>
      <c r="GG736" s="156"/>
      <c r="GH736" s="156"/>
      <c r="GI736" s="156"/>
      <c r="GJ736" s="156"/>
      <c r="GK736" s="156"/>
      <c r="GL736" s="156"/>
      <c r="GM736" s="156"/>
      <c r="GN736" s="156"/>
      <c r="GO736" s="156"/>
      <c r="GP736" s="156"/>
      <c r="GQ736" s="156"/>
      <c r="GR736" s="156"/>
      <c r="GS736" s="156"/>
      <c r="GT736" s="156"/>
      <c r="GU736" s="156"/>
      <c r="GV736" s="156"/>
      <c r="GW736" s="156"/>
      <c r="GX736" s="156"/>
      <c r="GY736" s="156"/>
      <c r="GZ736" s="156"/>
      <c r="HA736" s="156"/>
      <c r="HB736" s="156"/>
      <c r="HC736" s="156"/>
      <c r="HD736" s="156"/>
      <c r="HE736" s="156"/>
      <c r="HF736" s="156"/>
      <c r="HG736" s="156"/>
      <c r="HH736" s="156"/>
      <c r="HI736" s="156"/>
      <c r="HJ736" s="156"/>
      <c r="HK736" s="156"/>
      <c r="HL736" s="156"/>
      <c r="HM736" s="156"/>
      <c r="HN736" s="156"/>
      <c r="HO736" s="156"/>
      <c r="HP736" s="156"/>
      <c r="HQ736" s="156"/>
      <c r="HR736" s="156"/>
      <c r="HS736" s="156"/>
      <c r="HT736" s="156"/>
      <c r="HU736" s="156"/>
      <c r="HV736" s="156"/>
      <c r="HW736" s="156"/>
      <c r="HX736" s="156"/>
      <c r="HY736" s="156"/>
      <c r="HZ736" s="156"/>
      <c r="IA736" s="156"/>
      <c r="IB736" s="156"/>
      <c r="IC736" s="156"/>
      <c r="ID736" s="156"/>
      <c r="IE736" s="156"/>
      <c r="IF736" s="156"/>
      <c r="IG736" s="156"/>
      <c r="IH736" s="156"/>
      <c r="II736" s="156"/>
      <c r="IJ736" s="156"/>
      <c r="IK736" s="156"/>
      <c r="IL736" s="156"/>
      <c r="IM736" s="156"/>
      <c r="IN736" s="156"/>
      <c r="IO736" s="156"/>
      <c r="IP736" s="156"/>
      <c r="IQ736" s="156"/>
      <c r="IR736" s="156"/>
      <c r="IS736" s="156"/>
      <c r="IT736" s="156"/>
      <c r="IU736" s="156"/>
      <c r="IV736" s="156"/>
      <c r="IW736" s="156"/>
      <c r="IX736" s="156"/>
      <c r="IY736" s="156"/>
      <c r="IZ736" s="156"/>
      <c r="JA736" s="156"/>
      <c r="JB736" s="156"/>
      <c r="JC736" s="156"/>
      <c r="JD736" s="156"/>
      <c r="JE736" s="156"/>
      <c r="JF736" s="156"/>
      <c r="JG736" s="156"/>
      <c r="JH736" s="156"/>
      <c r="JI736" s="156"/>
      <c r="JJ736" s="156"/>
      <c r="JK736" s="156"/>
      <c r="JL736" s="156"/>
      <c r="JM736" s="156"/>
      <c r="JN736" s="156"/>
      <c r="JO736" s="156"/>
      <c r="JP736" s="156"/>
      <c r="JQ736" s="156"/>
      <c r="JR736" s="156"/>
      <c r="JS736" s="156"/>
      <c r="JT736" s="156"/>
      <c r="JU736" s="156"/>
      <c r="JV736" s="156"/>
      <c r="JW736" s="156"/>
      <c r="JX736" s="156"/>
      <c r="JY736" s="156"/>
      <c r="JZ736" s="156"/>
      <c r="KA736" s="156"/>
      <c r="KB736" s="156"/>
      <c r="KC736" s="156"/>
      <c r="KD736" s="156"/>
      <c r="KE736" s="156"/>
    </row>
    <row r="737" spans="1:291" ht="35" customHeight="1">
      <c r="A737" s="42">
        <f>ROW()-2</f>
        <v>735</v>
      </c>
      <c r="B737" s="159" t="s">
        <v>2732</v>
      </c>
      <c r="C737" s="152" t="s">
        <v>4163</v>
      </c>
      <c r="D737" s="58" t="s">
        <v>4186</v>
      </c>
      <c r="E737" s="60" t="s">
        <v>4187</v>
      </c>
      <c r="F737" s="58" t="s">
        <v>3889</v>
      </c>
      <c r="G737" s="152" t="s">
        <v>34</v>
      </c>
      <c r="H737" s="152">
        <v>1</v>
      </c>
      <c r="I737" s="226">
        <v>0.74</v>
      </c>
      <c r="J737" s="230">
        <v>44158</v>
      </c>
      <c r="K737" s="237" t="s">
        <v>20</v>
      </c>
      <c r="L737" s="243">
        <v>4.99</v>
      </c>
      <c r="M737" s="155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  <c r="AA737" s="156"/>
      <c r="AB737" s="156"/>
      <c r="AC737" s="156"/>
      <c r="AD737" s="156"/>
      <c r="AE737" s="156"/>
      <c r="AF737" s="156"/>
      <c r="AG737" s="156"/>
      <c r="AH737" s="156"/>
      <c r="AI737" s="156"/>
      <c r="AJ737" s="156"/>
      <c r="AK737" s="156"/>
      <c r="AL737" s="156"/>
      <c r="AM737" s="156"/>
      <c r="AN737" s="156"/>
      <c r="AO737" s="156"/>
      <c r="AP737" s="156"/>
      <c r="AQ737" s="156"/>
      <c r="AR737" s="156"/>
      <c r="AS737" s="156"/>
      <c r="AT737" s="156"/>
      <c r="AU737" s="156"/>
      <c r="AV737" s="156"/>
      <c r="AW737" s="156"/>
      <c r="AX737" s="156"/>
      <c r="AY737" s="156"/>
      <c r="AZ737" s="156"/>
      <c r="BA737" s="156"/>
      <c r="BB737" s="156"/>
      <c r="BC737" s="156"/>
      <c r="BD737" s="156"/>
      <c r="BE737" s="156"/>
      <c r="BF737" s="156"/>
      <c r="BG737" s="156"/>
      <c r="BH737" s="156"/>
      <c r="BI737" s="156"/>
      <c r="BJ737" s="156"/>
      <c r="BK737" s="156"/>
      <c r="BL737" s="156"/>
      <c r="BM737" s="156"/>
      <c r="BN737" s="156"/>
      <c r="BO737" s="156"/>
      <c r="BP737" s="156"/>
      <c r="BQ737" s="156"/>
      <c r="BR737" s="156"/>
      <c r="BS737" s="156"/>
      <c r="BT737" s="156"/>
      <c r="BU737" s="156"/>
      <c r="BV737" s="156"/>
      <c r="BW737" s="156"/>
      <c r="BX737" s="156"/>
      <c r="BY737" s="156"/>
      <c r="BZ737" s="156"/>
      <c r="CA737" s="156"/>
      <c r="CB737" s="156"/>
      <c r="CC737" s="156"/>
      <c r="CD737" s="156"/>
      <c r="CE737" s="156"/>
      <c r="CF737" s="156"/>
      <c r="CG737" s="156"/>
      <c r="CH737" s="156"/>
      <c r="CI737" s="156"/>
      <c r="CJ737" s="156"/>
      <c r="CK737" s="156"/>
      <c r="CL737" s="156"/>
      <c r="CM737" s="156"/>
      <c r="CN737" s="156"/>
      <c r="CO737" s="156"/>
      <c r="CP737" s="156"/>
      <c r="CQ737" s="156"/>
      <c r="CR737" s="156"/>
      <c r="CS737" s="156"/>
      <c r="CT737" s="156"/>
      <c r="CU737" s="156"/>
      <c r="CV737" s="156"/>
      <c r="CW737" s="156"/>
      <c r="CX737" s="156"/>
      <c r="CY737" s="156"/>
      <c r="CZ737" s="156"/>
      <c r="DA737" s="156"/>
      <c r="DB737" s="156"/>
      <c r="DC737" s="156"/>
      <c r="DD737" s="156"/>
      <c r="DE737" s="156"/>
      <c r="DF737" s="156"/>
      <c r="DG737" s="156"/>
      <c r="DH737" s="156"/>
      <c r="DI737" s="156"/>
      <c r="DJ737" s="156"/>
      <c r="DK737" s="156"/>
      <c r="DL737" s="156"/>
      <c r="DM737" s="156"/>
      <c r="DN737" s="156"/>
      <c r="DO737" s="156"/>
      <c r="DP737" s="156"/>
      <c r="DQ737" s="156"/>
      <c r="DR737" s="156"/>
      <c r="DS737" s="156"/>
      <c r="DT737" s="156"/>
      <c r="DU737" s="156"/>
      <c r="DV737" s="156"/>
      <c r="DW737" s="156"/>
      <c r="DX737" s="156"/>
      <c r="DY737" s="156"/>
      <c r="DZ737" s="156"/>
      <c r="EA737" s="156"/>
      <c r="EB737" s="156"/>
      <c r="EC737" s="156"/>
      <c r="ED737" s="156"/>
      <c r="EE737" s="156"/>
      <c r="EF737" s="156"/>
      <c r="EG737" s="156"/>
      <c r="EH737" s="156"/>
      <c r="EI737" s="156"/>
      <c r="EJ737" s="156"/>
      <c r="EK737" s="156"/>
      <c r="EL737" s="156"/>
      <c r="EM737" s="156"/>
      <c r="EN737" s="156"/>
      <c r="EO737" s="156"/>
      <c r="EP737" s="156"/>
      <c r="EQ737" s="156"/>
      <c r="ER737" s="156"/>
      <c r="ES737" s="156"/>
      <c r="ET737" s="156"/>
      <c r="EU737" s="156"/>
      <c r="EV737" s="156"/>
      <c r="EW737" s="156"/>
      <c r="EX737" s="156"/>
      <c r="EY737" s="156"/>
      <c r="EZ737" s="156"/>
      <c r="FA737" s="156"/>
      <c r="FB737" s="156"/>
      <c r="FC737" s="156"/>
      <c r="FD737" s="156"/>
      <c r="FE737" s="156"/>
      <c r="FF737" s="156"/>
      <c r="FG737" s="156"/>
      <c r="FH737" s="156"/>
      <c r="FI737" s="156"/>
      <c r="FJ737" s="156"/>
      <c r="FK737" s="156"/>
      <c r="FL737" s="156"/>
      <c r="FM737" s="156"/>
      <c r="FN737" s="156"/>
      <c r="FO737" s="156"/>
      <c r="FP737" s="156"/>
      <c r="FQ737" s="156"/>
      <c r="FR737" s="156"/>
      <c r="FS737" s="156"/>
      <c r="FT737" s="156"/>
      <c r="FU737" s="156"/>
      <c r="FV737" s="156"/>
      <c r="FW737" s="156"/>
      <c r="FX737" s="156"/>
      <c r="FY737" s="156"/>
      <c r="FZ737" s="156"/>
      <c r="GA737" s="156"/>
      <c r="GB737" s="156"/>
      <c r="GC737" s="156"/>
      <c r="GD737" s="156"/>
      <c r="GE737" s="156"/>
      <c r="GF737" s="156"/>
      <c r="GG737" s="156"/>
      <c r="GH737" s="156"/>
      <c r="GI737" s="156"/>
      <c r="GJ737" s="156"/>
      <c r="GK737" s="156"/>
      <c r="GL737" s="156"/>
      <c r="GM737" s="156"/>
      <c r="GN737" s="156"/>
      <c r="GO737" s="156"/>
      <c r="GP737" s="156"/>
      <c r="GQ737" s="156"/>
      <c r="GR737" s="156"/>
      <c r="GS737" s="156"/>
      <c r="GT737" s="156"/>
      <c r="GU737" s="156"/>
      <c r="GV737" s="156"/>
      <c r="GW737" s="156"/>
      <c r="GX737" s="156"/>
      <c r="GY737" s="156"/>
      <c r="GZ737" s="156"/>
      <c r="HA737" s="156"/>
      <c r="HB737" s="156"/>
      <c r="HC737" s="156"/>
      <c r="HD737" s="156"/>
      <c r="HE737" s="156"/>
      <c r="HF737" s="156"/>
      <c r="HG737" s="156"/>
      <c r="HH737" s="156"/>
      <c r="HI737" s="156"/>
      <c r="HJ737" s="156"/>
      <c r="HK737" s="156"/>
      <c r="HL737" s="156"/>
      <c r="HM737" s="156"/>
      <c r="HN737" s="156"/>
      <c r="HO737" s="156"/>
      <c r="HP737" s="156"/>
      <c r="HQ737" s="156"/>
      <c r="HR737" s="156"/>
      <c r="HS737" s="156"/>
      <c r="HT737" s="156"/>
      <c r="HU737" s="156"/>
      <c r="HV737" s="156"/>
      <c r="HW737" s="156"/>
      <c r="HX737" s="156"/>
      <c r="HY737" s="156"/>
      <c r="HZ737" s="156"/>
      <c r="IA737" s="156"/>
      <c r="IB737" s="156"/>
      <c r="IC737" s="156"/>
      <c r="ID737" s="156"/>
      <c r="IE737" s="156"/>
      <c r="IF737" s="156"/>
      <c r="IG737" s="156"/>
      <c r="IH737" s="156"/>
      <c r="II737" s="156"/>
      <c r="IJ737" s="156"/>
      <c r="IK737" s="156"/>
      <c r="IL737" s="156"/>
      <c r="IM737" s="156"/>
      <c r="IN737" s="156"/>
      <c r="IO737" s="156"/>
      <c r="IP737" s="156"/>
      <c r="IQ737" s="156"/>
      <c r="IR737" s="156"/>
      <c r="IS737" s="156"/>
      <c r="IT737" s="156"/>
      <c r="IU737" s="156"/>
      <c r="IV737" s="156"/>
      <c r="IW737" s="156"/>
      <c r="IX737" s="156"/>
      <c r="IY737" s="156"/>
      <c r="IZ737" s="156"/>
      <c r="JA737" s="156"/>
      <c r="JB737" s="156"/>
      <c r="JC737" s="156"/>
      <c r="JD737" s="156"/>
      <c r="JE737" s="156"/>
      <c r="JF737" s="156"/>
      <c r="JG737" s="156"/>
      <c r="JH737" s="156"/>
      <c r="JI737" s="156"/>
      <c r="JJ737" s="156"/>
      <c r="JK737" s="156"/>
      <c r="JL737" s="156"/>
      <c r="JM737" s="156"/>
      <c r="JN737" s="156"/>
      <c r="JO737" s="156"/>
      <c r="JP737" s="156"/>
      <c r="JQ737" s="156"/>
      <c r="JR737" s="156"/>
      <c r="JS737" s="156"/>
      <c r="JT737" s="156"/>
      <c r="JU737" s="156"/>
      <c r="JV737" s="156"/>
      <c r="JW737" s="156"/>
      <c r="JX737" s="156"/>
      <c r="JY737" s="156"/>
      <c r="JZ737" s="156"/>
      <c r="KA737" s="156"/>
      <c r="KB737" s="156"/>
      <c r="KC737" s="156"/>
      <c r="KD737" s="156"/>
      <c r="KE737" s="156"/>
    </row>
    <row r="738" spans="1:291" ht="35" customHeight="1">
      <c r="A738" s="42">
        <f>ROW()-2</f>
        <v>736</v>
      </c>
      <c r="B738" s="159" t="s">
        <v>2732</v>
      </c>
      <c r="C738" s="152" t="s">
        <v>4163</v>
      </c>
      <c r="D738" s="58" t="s">
        <v>4188</v>
      </c>
      <c r="E738" s="60" t="s">
        <v>3588</v>
      </c>
      <c r="F738" s="58" t="s">
        <v>3905</v>
      </c>
      <c r="G738" s="152" t="s">
        <v>34</v>
      </c>
      <c r="H738" s="152">
        <v>1</v>
      </c>
      <c r="I738" s="226">
        <v>0.3725</v>
      </c>
      <c r="J738" s="230">
        <v>44158</v>
      </c>
      <c r="K738" s="237" t="s">
        <v>20</v>
      </c>
      <c r="L738" s="243">
        <v>4.99</v>
      </c>
      <c r="M738" s="155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  <c r="AA738" s="156"/>
      <c r="AB738" s="156"/>
      <c r="AC738" s="156"/>
      <c r="AD738" s="156"/>
      <c r="AE738" s="156"/>
      <c r="AF738" s="156"/>
      <c r="AG738" s="156"/>
      <c r="AH738" s="156"/>
      <c r="AI738" s="156"/>
      <c r="AJ738" s="156"/>
      <c r="AK738" s="156"/>
      <c r="AL738" s="156"/>
      <c r="AM738" s="156"/>
      <c r="AN738" s="156"/>
      <c r="AO738" s="156"/>
      <c r="AP738" s="156"/>
      <c r="AQ738" s="156"/>
      <c r="AR738" s="156"/>
      <c r="AS738" s="156"/>
      <c r="AT738" s="156"/>
      <c r="AU738" s="156"/>
      <c r="AV738" s="156"/>
      <c r="AW738" s="156"/>
      <c r="AX738" s="156"/>
      <c r="AY738" s="156"/>
      <c r="AZ738" s="156"/>
      <c r="BA738" s="156"/>
      <c r="BB738" s="156"/>
      <c r="BC738" s="156"/>
      <c r="BD738" s="156"/>
      <c r="BE738" s="156"/>
      <c r="BF738" s="156"/>
      <c r="BG738" s="156"/>
      <c r="BH738" s="156"/>
      <c r="BI738" s="156"/>
      <c r="BJ738" s="156"/>
      <c r="BK738" s="156"/>
      <c r="BL738" s="156"/>
      <c r="BM738" s="156"/>
      <c r="BN738" s="156"/>
      <c r="BO738" s="156"/>
      <c r="BP738" s="156"/>
      <c r="BQ738" s="156"/>
      <c r="BR738" s="156"/>
      <c r="BS738" s="156"/>
      <c r="BT738" s="156"/>
      <c r="BU738" s="156"/>
      <c r="BV738" s="156"/>
      <c r="BW738" s="156"/>
      <c r="BX738" s="156"/>
      <c r="BY738" s="156"/>
      <c r="BZ738" s="156"/>
      <c r="CA738" s="156"/>
      <c r="CB738" s="156"/>
      <c r="CC738" s="156"/>
      <c r="CD738" s="156"/>
      <c r="CE738" s="156"/>
      <c r="CF738" s="156"/>
      <c r="CG738" s="156"/>
      <c r="CH738" s="156"/>
      <c r="CI738" s="156"/>
      <c r="CJ738" s="156"/>
      <c r="CK738" s="156"/>
      <c r="CL738" s="156"/>
      <c r="CM738" s="156"/>
      <c r="CN738" s="156"/>
      <c r="CO738" s="156"/>
      <c r="CP738" s="156"/>
      <c r="CQ738" s="156"/>
      <c r="CR738" s="156"/>
      <c r="CS738" s="156"/>
      <c r="CT738" s="156"/>
      <c r="CU738" s="156"/>
      <c r="CV738" s="156"/>
      <c r="CW738" s="156"/>
      <c r="CX738" s="156"/>
      <c r="CY738" s="156"/>
      <c r="CZ738" s="156"/>
      <c r="DA738" s="156"/>
      <c r="DB738" s="156"/>
      <c r="DC738" s="156"/>
      <c r="DD738" s="156"/>
      <c r="DE738" s="156"/>
      <c r="DF738" s="156"/>
      <c r="DG738" s="156"/>
      <c r="DH738" s="156"/>
      <c r="DI738" s="156"/>
      <c r="DJ738" s="156"/>
      <c r="DK738" s="156"/>
      <c r="DL738" s="156"/>
      <c r="DM738" s="156"/>
      <c r="DN738" s="156"/>
      <c r="DO738" s="156"/>
      <c r="DP738" s="156"/>
      <c r="DQ738" s="156"/>
      <c r="DR738" s="156"/>
      <c r="DS738" s="156"/>
      <c r="DT738" s="156"/>
      <c r="DU738" s="156"/>
      <c r="DV738" s="156"/>
      <c r="DW738" s="156"/>
      <c r="DX738" s="156"/>
      <c r="DY738" s="156"/>
      <c r="DZ738" s="156"/>
      <c r="EA738" s="156"/>
      <c r="EB738" s="156"/>
      <c r="EC738" s="156"/>
      <c r="ED738" s="156"/>
      <c r="EE738" s="156"/>
      <c r="EF738" s="156"/>
      <c r="EG738" s="156"/>
      <c r="EH738" s="156"/>
      <c r="EI738" s="156"/>
      <c r="EJ738" s="156"/>
      <c r="EK738" s="156"/>
      <c r="EL738" s="156"/>
      <c r="EM738" s="156"/>
      <c r="EN738" s="156"/>
      <c r="EO738" s="156"/>
      <c r="EP738" s="156"/>
      <c r="EQ738" s="156"/>
      <c r="ER738" s="156"/>
      <c r="ES738" s="156"/>
      <c r="ET738" s="156"/>
      <c r="EU738" s="156"/>
      <c r="EV738" s="156"/>
      <c r="EW738" s="156"/>
      <c r="EX738" s="156"/>
      <c r="EY738" s="156"/>
      <c r="EZ738" s="156"/>
      <c r="FA738" s="156"/>
      <c r="FB738" s="156"/>
      <c r="FC738" s="156"/>
      <c r="FD738" s="156"/>
      <c r="FE738" s="156"/>
      <c r="FF738" s="156"/>
      <c r="FG738" s="156"/>
      <c r="FH738" s="156"/>
      <c r="FI738" s="156"/>
      <c r="FJ738" s="156"/>
      <c r="FK738" s="156"/>
      <c r="FL738" s="156"/>
      <c r="FM738" s="156"/>
      <c r="FN738" s="156"/>
      <c r="FO738" s="156"/>
      <c r="FP738" s="156"/>
      <c r="FQ738" s="156"/>
      <c r="FR738" s="156"/>
      <c r="FS738" s="156"/>
      <c r="FT738" s="156"/>
      <c r="FU738" s="156"/>
      <c r="FV738" s="156"/>
      <c r="FW738" s="156"/>
      <c r="FX738" s="156"/>
      <c r="FY738" s="156"/>
      <c r="FZ738" s="156"/>
      <c r="GA738" s="156"/>
      <c r="GB738" s="156"/>
      <c r="GC738" s="156"/>
      <c r="GD738" s="156"/>
      <c r="GE738" s="156"/>
      <c r="GF738" s="156"/>
      <c r="GG738" s="156"/>
      <c r="GH738" s="156"/>
      <c r="GI738" s="156"/>
      <c r="GJ738" s="156"/>
      <c r="GK738" s="156"/>
      <c r="GL738" s="156"/>
      <c r="GM738" s="156"/>
      <c r="GN738" s="156"/>
      <c r="GO738" s="156"/>
      <c r="GP738" s="156"/>
      <c r="GQ738" s="156"/>
      <c r="GR738" s="156"/>
      <c r="GS738" s="156"/>
      <c r="GT738" s="156"/>
      <c r="GU738" s="156"/>
      <c r="GV738" s="156"/>
      <c r="GW738" s="156"/>
      <c r="GX738" s="156"/>
      <c r="GY738" s="156"/>
      <c r="GZ738" s="156"/>
      <c r="HA738" s="156"/>
      <c r="HB738" s="156"/>
      <c r="HC738" s="156"/>
      <c r="HD738" s="156"/>
      <c r="HE738" s="156"/>
      <c r="HF738" s="156"/>
      <c r="HG738" s="156"/>
      <c r="HH738" s="156"/>
      <c r="HI738" s="156"/>
      <c r="HJ738" s="156"/>
      <c r="HK738" s="156"/>
      <c r="HL738" s="156"/>
      <c r="HM738" s="156"/>
      <c r="HN738" s="156"/>
      <c r="HO738" s="156"/>
      <c r="HP738" s="156"/>
      <c r="HQ738" s="156"/>
      <c r="HR738" s="156"/>
      <c r="HS738" s="156"/>
      <c r="HT738" s="156"/>
      <c r="HU738" s="156"/>
      <c r="HV738" s="156"/>
      <c r="HW738" s="156"/>
      <c r="HX738" s="156"/>
      <c r="HY738" s="156"/>
      <c r="HZ738" s="156"/>
      <c r="IA738" s="156"/>
      <c r="IB738" s="156"/>
      <c r="IC738" s="156"/>
      <c r="ID738" s="156"/>
      <c r="IE738" s="156"/>
      <c r="IF738" s="156"/>
      <c r="IG738" s="156"/>
      <c r="IH738" s="156"/>
      <c r="II738" s="156"/>
      <c r="IJ738" s="156"/>
      <c r="IK738" s="156"/>
      <c r="IL738" s="156"/>
      <c r="IM738" s="156"/>
      <c r="IN738" s="156"/>
      <c r="IO738" s="156"/>
      <c r="IP738" s="156"/>
      <c r="IQ738" s="156"/>
      <c r="IR738" s="156"/>
      <c r="IS738" s="156"/>
      <c r="IT738" s="156"/>
      <c r="IU738" s="156"/>
      <c r="IV738" s="156"/>
      <c r="IW738" s="156"/>
      <c r="IX738" s="156"/>
      <c r="IY738" s="156"/>
      <c r="IZ738" s="156"/>
      <c r="JA738" s="156"/>
      <c r="JB738" s="156"/>
      <c r="JC738" s="156"/>
      <c r="JD738" s="156"/>
      <c r="JE738" s="156"/>
      <c r="JF738" s="156"/>
      <c r="JG738" s="156"/>
      <c r="JH738" s="156"/>
      <c r="JI738" s="156"/>
      <c r="JJ738" s="156"/>
      <c r="JK738" s="156"/>
      <c r="JL738" s="156"/>
      <c r="JM738" s="156"/>
      <c r="JN738" s="156"/>
      <c r="JO738" s="156"/>
      <c r="JP738" s="156"/>
      <c r="JQ738" s="156"/>
      <c r="JR738" s="156"/>
      <c r="JS738" s="156"/>
      <c r="JT738" s="156"/>
      <c r="JU738" s="156"/>
      <c r="JV738" s="156"/>
      <c r="JW738" s="156"/>
      <c r="JX738" s="156"/>
      <c r="JY738" s="156"/>
      <c r="JZ738" s="156"/>
      <c r="KA738" s="156"/>
      <c r="KB738" s="156"/>
      <c r="KC738" s="156"/>
      <c r="KD738" s="156"/>
      <c r="KE738" s="156"/>
    </row>
    <row r="739" spans="1:291" ht="35" customHeight="1">
      <c r="A739" s="42">
        <f>ROW()-2</f>
        <v>737</v>
      </c>
      <c r="B739" s="152" t="s">
        <v>2732</v>
      </c>
      <c r="C739" s="152" t="s">
        <v>4163</v>
      </c>
      <c r="D739" s="58" t="s">
        <v>4189</v>
      </c>
      <c r="E739" s="58" t="s">
        <v>3588</v>
      </c>
      <c r="F739" s="58" t="s">
        <v>3905</v>
      </c>
      <c r="G739" s="152" t="s">
        <v>34</v>
      </c>
      <c r="H739" s="152">
        <v>1</v>
      </c>
      <c r="I739" s="153">
        <v>0.74</v>
      </c>
      <c r="J739" s="154">
        <v>44158</v>
      </c>
      <c r="K739" s="236" t="s">
        <v>20</v>
      </c>
      <c r="L739" s="242">
        <v>4.99</v>
      </c>
      <c r="M739" s="155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  <c r="AA739" s="156"/>
      <c r="AB739" s="156"/>
      <c r="AC739" s="156"/>
      <c r="AD739" s="156"/>
      <c r="AE739" s="156"/>
      <c r="AF739" s="156"/>
      <c r="AG739" s="156"/>
      <c r="AH739" s="156"/>
      <c r="AI739" s="156"/>
      <c r="AJ739" s="156"/>
      <c r="AK739" s="156"/>
      <c r="AL739" s="156"/>
      <c r="AM739" s="156"/>
      <c r="AN739" s="156"/>
      <c r="AO739" s="156"/>
      <c r="AP739" s="156"/>
      <c r="AQ739" s="156"/>
      <c r="AR739" s="156"/>
      <c r="AS739" s="156"/>
      <c r="AT739" s="156"/>
      <c r="AU739" s="156"/>
      <c r="AV739" s="156"/>
      <c r="AW739" s="156"/>
      <c r="AX739" s="156"/>
      <c r="AY739" s="156"/>
      <c r="AZ739" s="156"/>
      <c r="BA739" s="156"/>
      <c r="BB739" s="156"/>
      <c r="BC739" s="156"/>
      <c r="BD739" s="156"/>
      <c r="BE739" s="156"/>
      <c r="BF739" s="156"/>
      <c r="BG739" s="156"/>
      <c r="BH739" s="156"/>
      <c r="BI739" s="156"/>
      <c r="BJ739" s="156"/>
      <c r="BK739" s="156"/>
      <c r="BL739" s="156"/>
      <c r="BM739" s="156"/>
      <c r="BN739" s="156"/>
      <c r="BO739" s="156"/>
      <c r="BP739" s="156"/>
      <c r="BQ739" s="156"/>
      <c r="BR739" s="156"/>
      <c r="BS739" s="156"/>
      <c r="BT739" s="156"/>
      <c r="BU739" s="156"/>
      <c r="BV739" s="156"/>
      <c r="BW739" s="156"/>
      <c r="BX739" s="156"/>
      <c r="BY739" s="156"/>
      <c r="BZ739" s="156"/>
      <c r="CA739" s="156"/>
      <c r="CB739" s="156"/>
      <c r="CC739" s="156"/>
      <c r="CD739" s="156"/>
      <c r="CE739" s="156"/>
      <c r="CF739" s="156"/>
      <c r="CG739" s="156"/>
      <c r="CH739" s="156"/>
      <c r="CI739" s="156"/>
      <c r="CJ739" s="156"/>
      <c r="CK739" s="156"/>
      <c r="CL739" s="156"/>
      <c r="CM739" s="156"/>
      <c r="CN739" s="156"/>
      <c r="CO739" s="156"/>
      <c r="CP739" s="156"/>
      <c r="CQ739" s="156"/>
      <c r="CR739" s="156"/>
      <c r="CS739" s="156"/>
      <c r="CT739" s="156"/>
      <c r="CU739" s="156"/>
      <c r="CV739" s="156"/>
      <c r="CW739" s="156"/>
      <c r="CX739" s="156"/>
      <c r="CY739" s="156"/>
      <c r="CZ739" s="156"/>
      <c r="DA739" s="156"/>
      <c r="DB739" s="156"/>
      <c r="DC739" s="156"/>
      <c r="DD739" s="156"/>
      <c r="DE739" s="156"/>
      <c r="DF739" s="156"/>
      <c r="DG739" s="156"/>
      <c r="DH739" s="156"/>
      <c r="DI739" s="156"/>
      <c r="DJ739" s="156"/>
      <c r="DK739" s="156"/>
      <c r="DL739" s="156"/>
      <c r="DM739" s="156"/>
      <c r="DN739" s="156"/>
      <c r="DO739" s="156"/>
      <c r="DP739" s="156"/>
      <c r="DQ739" s="156"/>
      <c r="DR739" s="156"/>
      <c r="DS739" s="156"/>
      <c r="DT739" s="156"/>
      <c r="DU739" s="156"/>
      <c r="DV739" s="156"/>
      <c r="DW739" s="156"/>
      <c r="DX739" s="156"/>
      <c r="DY739" s="156"/>
      <c r="DZ739" s="156"/>
      <c r="EA739" s="156"/>
      <c r="EB739" s="156"/>
      <c r="EC739" s="156"/>
      <c r="ED739" s="156"/>
      <c r="EE739" s="156"/>
      <c r="EF739" s="156"/>
      <c r="EG739" s="156"/>
      <c r="EH739" s="156"/>
      <c r="EI739" s="156"/>
      <c r="EJ739" s="156"/>
      <c r="EK739" s="156"/>
      <c r="EL739" s="156"/>
      <c r="EM739" s="156"/>
      <c r="EN739" s="156"/>
      <c r="EO739" s="156"/>
      <c r="EP739" s="156"/>
      <c r="EQ739" s="156"/>
      <c r="ER739" s="156"/>
      <c r="ES739" s="156"/>
      <c r="ET739" s="156"/>
      <c r="EU739" s="156"/>
      <c r="EV739" s="156"/>
      <c r="EW739" s="156"/>
      <c r="EX739" s="156"/>
      <c r="EY739" s="156"/>
      <c r="EZ739" s="156"/>
      <c r="FA739" s="156"/>
      <c r="FB739" s="156"/>
      <c r="FC739" s="156"/>
      <c r="FD739" s="156"/>
      <c r="FE739" s="156"/>
      <c r="FF739" s="156"/>
      <c r="FG739" s="156"/>
      <c r="FH739" s="156"/>
      <c r="FI739" s="156"/>
      <c r="FJ739" s="156"/>
      <c r="FK739" s="156"/>
      <c r="FL739" s="156"/>
      <c r="FM739" s="156"/>
      <c r="FN739" s="156"/>
      <c r="FO739" s="156"/>
      <c r="FP739" s="156"/>
      <c r="FQ739" s="156"/>
      <c r="FR739" s="156"/>
      <c r="FS739" s="156"/>
      <c r="FT739" s="156"/>
      <c r="FU739" s="156"/>
      <c r="FV739" s="156"/>
      <c r="FW739" s="156"/>
      <c r="FX739" s="156"/>
      <c r="FY739" s="156"/>
      <c r="FZ739" s="156"/>
      <c r="GA739" s="156"/>
      <c r="GB739" s="156"/>
      <c r="GC739" s="156"/>
      <c r="GD739" s="156"/>
      <c r="GE739" s="156"/>
      <c r="GF739" s="156"/>
      <c r="GG739" s="156"/>
      <c r="GH739" s="156"/>
      <c r="GI739" s="156"/>
      <c r="GJ739" s="156"/>
      <c r="GK739" s="156"/>
      <c r="GL739" s="156"/>
      <c r="GM739" s="156"/>
      <c r="GN739" s="156"/>
      <c r="GO739" s="156"/>
      <c r="GP739" s="156"/>
      <c r="GQ739" s="156"/>
      <c r="GR739" s="156"/>
      <c r="GS739" s="156"/>
      <c r="GT739" s="156"/>
      <c r="GU739" s="156"/>
      <c r="GV739" s="156"/>
      <c r="GW739" s="156"/>
      <c r="GX739" s="156"/>
      <c r="GY739" s="156"/>
      <c r="GZ739" s="156"/>
      <c r="HA739" s="156"/>
      <c r="HB739" s="156"/>
      <c r="HC739" s="156"/>
      <c r="HD739" s="156"/>
      <c r="HE739" s="156"/>
      <c r="HF739" s="156"/>
      <c r="HG739" s="156"/>
      <c r="HH739" s="156"/>
      <c r="HI739" s="156"/>
      <c r="HJ739" s="156"/>
      <c r="HK739" s="156"/>
      <c r="HL739" s="156"/>
      <c r="HM739" s="156"/>
      <c r="HN739" s="156"/>
      <c r="HO739" s="156"/>
      <c r="HP739" s="156"/>
      <c r="HQ739" s="156"/>
      <c r="HR739" s="156"/>
      <c r="HS739" s="156"/>
      <c r="HT739" s="156"/>
      <c r="HU739" s="156"/>
      <c r="HV739" s="156"/>
      <c r="HW739" s="156"/>
      <c r="HX739" s="156"/>
      <c r="HY739" s="156"/>
      <c r="HZ739" s="156"/>
      <c r="IA739" s="156"/>
      <c r="IB739" s="156"/>
      <c r="IC739" s="156"/>
      <c r="ID739" s="156"/>
      <c r="IE739" s="156"/>
      <c r="IF739" s="156"/>
      <c r="IG739" s="156"/>
      <c r="IH739" s="156"/>
      <c r="II739" s="156"/>
      <c r="IJ739" s="156"/>
      <c r="IK739" s="156"/>
      <c r="IL739" s="156"/>
      <c r="IM739" s="156"/>
      <c r="IN739" s="156"/>
      <c r="IO739" s="156"/>
      <c r="IP739" s="156"/>
      <c r="IQ739" s="156"/>
      <c r="IR739" s="156"/>
      <c r="IS739" s="156"/>
      <c r="IT739" s="156"/>
      <c r="IU739" s="156"/>
      <c r="IV739" s="156"/>
      <c r="IW739" s="156"/>
      <c r="IX739" s="156"/>
      <c r="IY739" s="156"/>
      <c r="IZ739" s="156"/>
      <c r="JA739" s="156"/>
      <c r="JB739" s="156"/>
      <c r="JC739" s="156"/>
      <c r="JD739" s="156"/>
      <c r="JE739" s="156"/>
      <c r="JF739" s="156"/>
      <c r="JG739" s="156"/>
      <c r="JH739" s="156"/>
      <c r="JI739" s="156"/>
      <c r="JJ739" s="156"/>
      <c r="JK739" s="156"/>
      <c r="JL739" s="156"/>
      <c r="JM739" s="156"/>
      <c r="JN739" s="156"/>
      <c r="JO739" s="156"/>
      <c r="JP739" s="156"/>
      <c r="JQ739" s="156"/>
      <c r="JR739" s="156"/>
      <c r="JS739" s="156"/>
      <c r="JT739" s="156"/>
      <c r="JU739" s="156"/>
      <c r="JV739" s="156"/>
      <c r="JW739" s="156"/>
      <c r="JX739" s="156"/>
      <c r="JY739" s="156"/>
      <c r="JZ739" s="156"/>
      <c r="KA739" s="156"/>
      <c r="KB739" s="156"/>
      <c r="KC739" s="156"/>
      <c r="KD739" s="156"/>
      <c r="KE739" s="156"/>
    </row>
    <row r="740" spans="1:291" ht="35" customHeight="1">
      <c r="A740" s="42">
        <f>ROW()-2</f>
        <v>738</v>
      </c>
      <c r="B740" s="152" t="s">
        <v>2732</v>
      </c>
      <c r="C740" s="152" t="s">
        <v>4163</v>
      </c>
      <c r="D740" s="58" t="s">
        <v>4195</v>
      </c>
      <c r="E740" s="60" t="s">
        <v>4196</v>
      </c>
      <c r="F740" s="58" t="s">
        <v>3880</v>
      </c>
      <c r="G740" s="152" t="s">
        <v>34</v>
      </c>
      <c r="H740" s="152">
        <v>1</v>
      </c>
      <c r="I740" s="226">
        <v>0.52</v>
      </c>
      <c r="J740" s="230">
        <v>44165</v>
      </c>
      <c r="K740" s="236" t="s">
        <v>20</v>
      </c>
      <c r="L740" s="242">
        <v>4.99</v>
      </c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  <c r="AA740" s="156"/>
      <c r="AB740" s="156"/>
      <c r="AC740" s="156"/>
      <c r="AD740" s="156"/>
      <c r="AE740" s="156"/>
      <c r="AF740" s="156"/>
      <c r="AG740" s="156"/>
      <c r="AH740" s="156"/>
      <c r="AI740" s="156"/>
      <c r="AJ740" s="156"/>
      <c r="AK740" s="156"/>
      <c r="AL740" s="156"/>
      <c r="AM740" s="156"/>
      <c r="AN740" s="156"/>
      <c r="AO740" s="156"/>
      <c r="AP740" s="156"/>
      <c r="AQ740" s="156"/>
      <c r="AR740" s="156"/>
      <c r="AS740" s="156"/>
      <c r="AT740" s="156"/>
      <c r="AU740" s="156"/>
      <c r="AV740" s="156"/>
      <c r="AW740" s="156"/>
      <c r="AX740" s="156"/>
      <c r="AY740" s="156"/>
      <c r="AZ740" s="156"/>
      <c r="BA740" s="156"/>
      <c r="BB740" s="156"/>
      <c r="BC740" s="156"/>
      <c r="BD740" s="156"/>
      <c r="BE740" s="156"/>
      <c r="BF740" s="156"/>
      <c r="BG740" s="156"/>
      <c r="BH740" s="156"/>
      <c r="BI740" s="156"/>
      <c r="BJ740" s="156"/>
      <c r="BK740" s="156"/>
      <c r="BL740" s="156"/>
      <c r="BM740" s="156"/>
      <c r="BN740" s="156"/>
      <c r="BO740" s="156"/>
      <c r="BP740" s="156"/>
      <c r="BQ740" s="156"/>
      <c r="BR740" s="156"/>
      <c r="BS740" s="156"/>
      <c r="BT740" s="156"/>
      <c r="BU740" s="156"/>
      <c r="BV740" s="156"/>
      <c r="BW740" s="156"/>
      <c r="BX740" s="156"/>
      <c r="BY740" s="156"/>
      <c r="BZ740" s="156"/>
      <c r="CA740" s="156"/>
      <c r="CB740" s="156"/>
      <c r="CC740" s="156"/>
      <c r="CD740" s="156"/>
      <c r="CE740" s="156"/>
      <c r="CF740" s="156"/>
      <c r="CG740" s="156"/>
      <c r="CH740" s="156"/>
      <c r="CI740" s="156"/>
      <c r="CJ740" s="156"/>
      <c r="CK740" s="156"/>
      <c r="CL740" s="156"/>
      <c r="CM740" s="156"/>
      <c r="CN740" s="156"/>
      <c r="CO740" s="156"/>
      <c r="CP740" s="156"/>
      <c r="CQ740" s="156"/>
      <c r="CR740" s="156"/>
      <c r="CS740" s="156"/>
      <c r="CT740" s="156"/>
      <c r="CU740" s="156"/>
      <c r="CV740" s="156"/>
      <c r="CW740" s="156"/>
      <c r="CX740" s="156"/>
      <c r="CY740" s="156"/>
      <c r="CZ740" s="156"/>
      <c r="DA740" s="156"/>
      <c r="DB740" s="156"/>
      <c r="DC740" s="156"/>
      <c r="DD740" s="156"/>
      <c r="DE740" s="156"/>
      <c r="DF740" s="156"/>
      <c r="DG740" s="156"/>
      <c r="DH740" s="156"/>
      <c r="DI740" s="156"/>
      <c r="DJ740" s="156"/>
      <c r="DK740" s="156"/>
      <c r="DL740" s="156"/>
      <c r="DM740" s="156"/>
      <c r="DN740" s="156"/>
      <c r="DO740" s="156"/>
      <c r="DP740" s="156"/>
      <c r="DQ740" s="156"/>
      <c r="DR740" s="156"/>
      <c r="DS740" s="156"/>
      <c r="DT740" s="156"/>
      <c r="DU740" s="156"/>
      <c r="DV740" s="156"/>
      <c r="DW740" s="156"/>
      <c r="DX740" s="156"/>
      <c r="DY740" s="156"/>
      <c r="DZ740" s="156"/>
      <c r="EA740" s="156"/>
      <c r="EB740" s="156"/>
      <c r="EC740" s="156"/>
      <c r="ED740" s="156"/>
      <c r="EE740" s="156"/>
      <c r="EF740" s="156"/>
      <c r="EG740" s="156"/>
      <c r="EH740" s="156"/>
      <c r="EI740" s="156"/>
      <c r="EJ740" s="156"/>
      <c r="EK740" s="156"/>
      <c r="EL740" s="156"/>
      <c r="EM740" s="156"/>
      <c r="EN740" s="156"/>
      <c r="EO740" s="156"/>
      <c r="EP740" s="156"/>
      <c r="EQ740" s="156"/>
      <c r="ER740" s="156"/>
      <c r="ES740" s="156"/>
      <c r="ET740" s="156"/>
      <c r="EU740" s="156"/>
      <c r="EV740" s="156"/>
      <c r="EW740" s="156"/>
      <c r="EX740" s="156"/>
      <c r="EY740" s="156"/>
      <c r="EZ740" s="156"/>
      <c r="FA740" s="156"/>
      <c r="FB740" s="156"/>
      <c r="FC740" s="156"/>
      <c r="FD740" s="156"/>
      <c r="FE740" s="156"/>
      <c r="FF740" s="156"/>
      <c r="FG740" s="156"/>
      <c r="FH740" s="156"/>
      <c r="FI740" s="156"/>
      <c r="FJ740" s="156"/>
      <c r="FK740" s="156"/>
      <c r="FL740" s="156"/>
      <c r="FM740" s="156"/>
      <c r="FN740" s="156"/>
      <c r="FO740" s="156"/>
      <c r="FP740" s="156"/>
      <c r="FQ740" s="156"/>
      <c r="FR740" s="156"/>
      <c r="FS740" s="156"/>
      <c r="FT740" s="156"/>
      <c r="FU740" s="156"/>
      <c r="FV740" s="156"/>
      <c r="FW740" s="156"/>
      <c r="FX740" s="156"/>
      <c r="FY740" s="156"/>
      <c r="FZ740" s="156"/>
      <c r="GA740" s="156"/>
      <c r="GB740" s="156"/>
      <c r="GC740" s="156"/>
      <c r="GD740" s="156"/>
      <c r="GE740" s="156"/>
      <c r="GF740" s="156"/>
      <c r="GG740" s="156"/>
      <c r="GH740" s="156"/>
      <c r="GI740" s="156"/>
      <c r="GJ740" s="156"/>
      <c r="GK740" s="156"/>
      <c r="GL740" s="156"/>
      <c r="GM740" s="156"/>
      <c r="GN740" s="156"/>
      <c r="GO740" s="156"/>
      <c r="GP740" s="156"/>
      <c r="GQ740" s="156"/>
      <c r="GR740" s="156"/>
      <c r="GS740" s="156"/>
      <c r="GT740" s="156"/>
      <c r="GU740" s="156"/>
      <c r="GV740" s="156"/>
      <c r="GW740" s="156"/>
      <c r="GX740" s="156"/>
      <c r="GY740" s="156"/>
      <c r="GZ740" s="156"/>
      <c r="HA740" s="156"/>
      <c r="HB740" s="156"/>
      <c r="HC740" s="156"/>
      <c r="HD740" s="156"/>
      <c r="HE740" s="156"/>
      <c r="HF740" s="156"/>
      <c r="HG740" s="156"/>
      <c r="HH740" s="156"/>
      <c r="HI740" s="156"/>
      <c r="HJ740" s="156"/>
      <c r="HK740" s="156"/>
      <c r="HL740" s="156"/>
      <c r="HM740" s="156"/>
      <c r="HN740" s="156"/>
      <c r="HO740" s="156"/>
      <c r="HP740" s="156"/>
      <c r="HQ740" s="156"/>
      <c r="HR740" s="156"/>
      <c r="HS740" s="156"/>
      <c r="HT740" s="156"/>
      <c r="HU740" s="156"/>
      <c r="HV740" s="156"/>
      <c r="HW740" s="156"/>
      <c r="HX740" s="156"/>
      <c r="HY740" s="156"/>
      <c r="HZ740" s="156"/>
      <c r="IA740" s="156"/>
      <c r="IB740" s="156"/>
      <c r="IC740" s="156"/>
      <c r="ID740" s="156"/>
      <c r="IE740" s="156"/>
      <c r="IF740" s="156"/>
      <c r="IG740" s="156"/>
      <c r="IH740" s="156"/>
      <c r="II740" s="156"/>
      <c r="IJ740" s="156"/>
      <c r="IK740" s="156"/>
      <c r="IL740" s="156"/>
      <c r="IM740" s="156"/>
      <c r="IN740" s="156"/>
      <c r="IO740" s="156"/>
      <c r="IP740" s="156"/>
      <c r="IQ740" s="156"/>
      <c r="IR740" s="156"/>
      <c r="IS740" s="156"/>
      <c r="IT740" s="156"/>
      <c r="IU740" s="156"/>
      <c r="IV740" s="156"/>
      <c r="IW740" s="156"/>
      <c r="IX740" s="156"/>
      <c r="IY740" s="156"/>
      <c r="IZ740" s="156"/>
      <c r="JA740" s="156"/>
      <c r="JB740" s="156"/>
      <c r="JC740" s="156"/>
      <c r="JD740" s="156"/>
      <c r="JE740" s="156"/>
      <c r="JF740" s="156"/>
      <c r="JG740" s="156"/>
      <c r="JH740" s="156"/>
      <c r="JI740" s="156"/>
      <c r="JJ740" s="156"/>
      <c r="JK740" s="156"/>
      <c r="JL740" s="156"/>
      <c r="JM740" s="156"/>
      <c r="JN740" s="156"/>
      <c r="JO740" s="156"/>
      <c r="JP740" s="156"/>
      <c r="JQ740" s="156"/>
      <c r="JR740" s="156"/>
      <c r="JS740" s="156"/>
      <c r="JT740" s="156"/>
      <c r="JU740" s="156"/>
      <c r="JV740" s="156"/>
      <c r="JW740" s="156"/>
      <c r="JX740" s="156"/>
      <c r="JY740" s="156"/>
      <c r="JZ740" s="156"/>
      <c r="KA740" s="156"/>
      <c r="KB740" s="156"/>
      <c r="KC740" s="156"/>
      <c r="KD740" s="156"/>
      <c r="KE740" s="156"/>
    </row>
    <row r="741" spans="1:291" ht="35" customHeight="1">
      <c r="A741" s="42">
        <f>ROW()-2</f>
        <v>739</v>
      </c>
      <c r="B741" s="152" t="s">
        <v>2732</v>
      </c>
      <c r="C741" s="152" t="s">
        <v>4163</v>
      </c>
      <c r="D741" s="58" t="s">
        <v>4312</v>
      </c>
      <c r="E741" s="60" t="s">
        <v>4313</v>
      </c>
      <c r="F741" s="58" t="s">
        <v>4014</v>
      </c>
      <c r="G741" s="152" t="s">
        <v>34</v>
      </c>
      <c r="H741" s="152">
        <v>1</v>
      </c>
      <c r="I741" s="226">
        <v>0.51</v>
      </c>
      <c r="J741" s="230">
        <v>44169</v>
      </c>
      <c r="K741" s="236" t="s">
        <v>20</v>
      </c>
      <c r="L741" s="242">
        <v>4.99</v>
      </c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  <c r="AA741" s="156"/>
      <c r="AB741" s="156"/>
      <c r="AC741" s="156"/>
      <c r="AD741" s="156"/>
      <c r="AE741" s="156"/>
      <c r="AF741" s="156"/>
      <c r="AG741" s="156"/>
      <c r="AH741" s="156"/>
      <c r="AI741" s="156"/>
      <c r="AJ741" s="156"/>
      <c r="AK741" s="156"/>
      <c r="AL741" s="156"/>
      <c r="AM741" s="156"/>
      <c r="AN741" s="156"/>
      <c r="AO741" s="156"/>
      <c r="AP741" s="156"/>
      <c r="AQ741" s="156"/>
      <c r="AR741" s="156"/>
      <c r="AS741" s="156"/>
      <c r="AT741" s="156"/>
      <c r="AU741" s="156"/>
      <c r="AV741" s="156"/>
      <c r="AW741" s="156"/>
      <c r="AX741" s="156"/>
      <c r="AY741" s="156"/>
      <c r="AZ741" s="156"/>
      <c r="BA741" s="156"/>
      <c r="BB741" s="156"/>
      <c r="BC741" s="156"/>
      <c r="BD741" s="156"/>
      <c r="BE741" s="156"/>
      <c r="BF741" s="156"/>
      <c r="BG741" s="156"/>
      <c r="BH741" s="156"/>
      <c r="BI741" s="156"/>
      <c r="BJ741" s="156"/>
      <c r="BK741" s="156"/>
      <c r="BL741" s="156"/>
      <c r="BM741" s="156"/>
      <c r="BN741" s="156"/>
      <c r="BO741" s="156"/>
      <c r="BP741" s="156"/>
      <c r="BQ741" s="156"/>
      <c r="BR741" s="156"/>
      <c r="BS741" s="156"/>
      <c r="BT741" s="156"/>
      <c r="BU741" s="156"/>
      <c r="BV741" s="156"/>
      <c r="BW741" s="156"/>
      <c r="BX741" s="156"/>
      <c r="BY741" s="156"/>
      <c r="BZ741" s="156"/>
      <c r="CA741" s="156"/>
      <c r="CB741" s="156"/>
      <c r="CC741" s="156"/>
      <c r="CD741" s="156"/>
      <c r="CE741" s="156"/>
      <c r="CF741" s="156"/>
      <c r="CG741" s="156"/>
      <c r="CH741" s="156"/>
      <c r="CI741" s="156"/>
      <c r="CJ741" s="156"/>
      <c r="CK741" s="156"/>
      <c r="CL741" s="156"/>
      <c r="CM741" s="156"/>
      <c r="CN741" s="156"/>
      <c r="CO741" s="156"/>
      <c r="CP741" s="156"/>
      <c r="CQ741" s="156"/>
      <c r="CR741" s="156"/>
      <c r="CS741" s="156"/>
      <c r="CT741" s="156"/>
      <c r="CU741" s="156"/>
      <c r="CV741" s="156"/>
      <c r="CW741" s="156"/>
      <c r="CX741" s="156"/>
      <c r="CY741" s="156"/>
      <c r="CZ741" s="156"/>
      <c r="DA741" s="156"/>
      <c r="DB741" s="156"/>
      <c r="DC741" s="156"/>
      <c r="DD741" s="156"/>
      <c r="DE741" s="156"/>
      <c r="DF741" s="156"/>
      <c r="DG741" s="156"/>
      <c r="DH741" s="156"/>
      <c r="DI741" s="156"/>
      <c r="DJ741" s="156"/>
      <c r="DK741" s="156"/>
      <c r="DL741" s="156"/>
      <c r="DM741" s="156"/>
      <c r="DN741" s="156"/>
      <c r="DO741" s="156"/>
      <c r="DP741" s="156"/>
      <c r="DQ741" s="156"/>
      <c r="DR741" s="156"/>
      <c r="DS741" s="156"/>
      <c r="DT741" s="156"/>
      <c r="DU741" s="156"/>
      <c r="DV741" s="156"/>
      <c r="DW741" s="156"/>
      <c r="DX741" s="156"/>
      <c r="DY741" s="156"/>
      <c r="DZ741" s="156"/>
      <c r="EA741" s="156"/>
      <c r="EB741" s="156"/>
      <c r="EC741" s="156"/>
      <c r="ED741" s="156"/>
      <c r="EE741" s="156"/>
      <c r="EF741" s="156"/>
      <c r="EG741" s="156"/>
      <c r="EH741" s="156"/>
      <c r="EI741" s="156"/>
      <c r="EJ741" s="156"/>
      <c r="EK741" s="156"/>
      <c r="EL741" s="156"/>
      <c r="EM741" s="156"/>
      <c r="EN741" s="156"/>
      <c r="EO741" s="156"/>
      <c r="EP741" s="156"/>
      <c r="EQ741" s="156"/>
      <c r="ER741" s="156"/>
      <c r="ES741" s="156"/>
      <c r="ET741" s="156"/>
      <c r="EU741" s="156"/>
      <c r="EV741" s="156"/>
      <c r="EW741" s="156"/>
      <c r="EX741" s="156"/>
      <c r="EY741" s="156"/>
      <c r="EZ741" s="156"/>
      <c r="FA741" s="156"/>
      <c r="FB741" s="156"/>
      <c r="FC741" s="156"/>
      <c r="FD741" s="156"/>
      <c r="FE741" s="156"/>
      <c r="FF741" s="156"/>
      <c r="FG741" s="156"/>
      <c r="FH741" s="156"/>
      <c r="FI741" s="156"/>
      <c r="FJ741" s="156"/>
      <c r="FK741" s="156"/>
      <c r="FL741" s="156"/>
      <c r="FM741" s="156"/>
      <c r="FN741" s="156"/>
      <c r="FO741" s="156"/>
      <c r="FP741" s="156"/>
      <c r="FQ741" s="156"/>
      <c r="FR741" s="156"/>
      <c r="FS741" s="156"/>
      <c r="FT741" s="156"/>
      <c r="FU741" s="156"/>
      <c r="FV741" s="156"/>
      <c r="FW741" s="156"/>
      <c r="FX741" s="156"/>
      <c r="FY741" s="156"/>
      <c r="FZ741" s="156"/>
      <c r="GA741" s="156"/>
      <c r="GB741" s="156"/>
      <c r="GC741" s="156"/>
      <c r="GD741" s="156"/>
      <c r="GE741" s="156"/>
      <c r="GF741" s="156"/>
      <c r="GG741" s="156"/>
      <c r="GH741" s="156"/>
      <c r="GI741" s="156"/>
      <c r="GJ741" s="156"/>
      <c r="GK741" s="156"/>
      <c r="GL741" s="156"/>
      <c r="GM741" s="156"/>
      <c r="GN741" s="156"/>
      <c r="GO741" s="156"/>
      <c r="GP741" s="156"/>
      <c r="GQ741" s="156"/>
      <c r="GR741" s="156"/>
      <c r="GS741" s="156"/>
      <c r="GT741" s="156"/>
      <c r="GU741" s="156"/>
      <c r="GV741" s="156"/>
      <c r="GW741" s="156"/>
      <c r="GX741" s="156"/>
      <c r="GY741" s="156"/>
      <c r="GZ741" s="156"/>
      <c r="HA741" s="156"/>
      <c r="HB741" s="156"/>
      <c r="HC741" s="156"/>
      <c r="HD741" s="156"/>
      <c r="HE741" s="156"/>
      <c r="HF741" s="156"/>
      <c r="HG741" s="156"/>
      <c r="HH741" s="156"/>
      <c r="HI741" s="156"/>
      <c r="HJ741" s="156"/>
      <c r="HK741" s="156"/>
      <c r="HL741" s="156"/>
      <c r="HM741" s="156"/>
      <c r="HN741" s="156"/>
      <c r="HO741" s="156"/>
      <c r="HP741" s="156"/>
      <c r="HQ741" s="156"/>
      <c r="HR741" s="156"/>
      <c r="HS741" s="156"/>
      <c r="HT741" s="156"/>
      <c r="HU741" s="156"/>
      <c r="HV741" s="156"/>
      <c r="HW741" s="156"/>
      <c r="HX741" s="156"/>
      <c r="HY741" s="156"/>
      <c r="HZ741" s="156"/>
      <c r="IA741" s="156"/>
      <c r="IB741" s="156"/>
      <c r="IC741" s="156"/>
      <c r="ID741" s="156"/>
      <c r="IE741" s="156"/>
      <c r="IF741" s="156"/>
      <c r="IG741" s="156"/>
      <c r="IH741" s="156"/>
      <c r="II741" s="156"/>
      <c r="IJ741" s="156"/>
      <c r="IK741" s="156"/>
      <c r="IL741" s="156"/>
      <c r="IM741" s="156"/>
      <c r="IN741" s="156"/>
      <c r="IO741" s="156"/>
      <c r="IP741" s="156"/>
      <c r="IQ741" s="156"/>
      <c r="IR741" s="156"/>
      <c r="IS741" s="156"/>
      <c r="IT741" s="156"/>
      <c r="IU741" s="156"/>
      <c r="IV741" s="156"/>
      <c r="IW741" s="156"/>
      <c r="IX741" s="156"/>
      <c r="IY741" s="156"/>
      <c r="IZ741" s="156"/>
      <c r="JA741" s="156"/>
      <c r="JB741" s="156"/>
      <c r="JC741" s="156"/>
      <c r="JD741" s="156"/>
      <c r="JE741" s="156"/>
      <c r="JF741" s="156"/>
      <c r="JG741" s="156"/>
      <c r="JH741" s="156"/>
      <c r="JI741" s="156"/>
      <c r="JJ741" s="156"/>
      <c r="JK741" s="156"/>
      <c r="JL741" s="156"/>
      <c r="JM741" s="156"/>
      <c r="JN741" s="156"/>
      <c r="JO741" s="156"/>
      <c r="JP741" s="156"/>
      <c r="JQ741" s="156"/>
      <c r="JR741" s="156"/>
      <c r="JS741" s="156"/>
      <c r="JT741" s="156"/>
      <c r="JU741" s="156"/>
      <c r="JV741" s="156"/>
      <c r="JW741" s="156"/>
      <c r="JX741" s="156"/>
      <c r="JY741" s="156"/>
      <c r="JZ741" s="156"/>
      <c r="KA741" s="156"/>
      <c r="KB741" s="156"/>
      <c r="KC741" s="156"/>
      <c r="KD741" s="156"/>
      <c r="KE741" s="156"/>
    </row>
    <row r="742" spans="1:291" ht="35" customHeight="1">
      <c r="A742" s="42">
        <f>ROW()-2</f>
        <v>740</v>
      </c>
      <c r="B742" s="152" t="s">
        <v>2732</v>
      </c>
      <c r="C742" s="152" t="s">
        <v>4163</v>
      </c>
      <c r="D742" s="58" t="s">
        <v>4172</v>
      </c>
      <c r="E742" s="60" t="s">
        <v>4173</v>
      </c>
      <c r="F742" s="58" t="s">
        <v>2739</v>
      </c>
      <c r="G742" s="152" t="s">
        <v>34</v>
      </c>
      <c r="H742" s="152">
        <v>1</v>
      </c>
      <c r="I742" s="226">
        <v>0.47</v>
      </c>
      <c r="J742" s="230">
        <v>44179</v>
      </c>
      <c r="K742" s="236" t="s">
        <v>20</v>
      </c>
      <c r="L742" s="242">
        <v>4.99</v>
      </c>
      <c r="M742" s="155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  <c r="AA742" s="156"/>
      <c r="AB742" s="156"/>
      <c r="AC742" s="156"/>
      <c r="AD742" s="156"/>
      <c r="AE742" s="156"/>
      <c r="AF742" s="156"/>
      <c r="AG742" s="156"/>
      <c r="AH742" s="156"/>
      <c r="AI742" s="156"/>
      <c r="AJ742" s="156"/>
      <c r="AK742" s="156"/>
      <c r="AL742" s="156"/>
      <c r="AM742" s="156"/>
      <c r="AN742" s="156"/>
      <c r="AO742" s="156"/>
      <c r="AP742" s="156"/>
      <c r="AQ742" s="156"/>
      <c r="AR742" s="156"/>
      <c r="AS742" s="156"/>
      <c r="AT742" s="156"/>
      <c r="AU742" s="156"/>
      <c r="AV742" s="156"/>
      <c r="AW742" s="156"/>
      <c r="AX742" s="156"/>
      <c r="AY742" s="156"/>
      <c r="AZ742" s="156"/>
      <c r="BA742" s="156"/>
      <c r="BB742" s="156"/>
      <c r="BC742" s="156"/>
      <c r="BD742" s="156"/>
      <c r="BE742" s="156"/>
      <c r="BF742" s="156"/>
      <c r="BG742" s="156"/>
      <c r="BH742" s="156"/>
      <c r="BI742" s="156"/>
      <c r="BJ742" s="156"/>
      <c r="BK742" s="156"/>
      <c r="BL742" s="156"/>
      <c r="BM742" s="156"/>
      <c r="BN742" s="156"/>
      <c r="BO742" s="156"/>
      <c r="BP742" s="156"/>
      <c r="BQ742" s="156"/>
      <c r="BR742" s="156"/>
      <c r="BS742" s="156"/>
      <c r="BT742" s="156"/>
      <c r="BU742" s="156"/>
      <c r="BV742" s="156"/>
      <c r="BW742" s="156"/>
      <c r="BX742" s="156"/>
      <c r="BY742" s="156"/>
      <c r="BZ742" s="156"/>
      <c r="CA742" s="156"/>
      <c r="CB742" s="156"/>
      <c r="CC742" s="156"/>
      <c r="CD742" s="156"/>
      <c r="CE742" s="156"/>
      <c r="CF742" s="156"/>
      <c r="CG742" s="156"/>
      <c r="CH742" s="156"/>
      <c r="CI742" s="156"/>
      <c r="CJ742" s="156"/>
      <c r="CK742" s="156"/>
      <c r="CL742" s="156"/>
      <c r="CM742" s="156"/>
      <c r="CN742" s="156"/>
      <c r="CO742" s="156"/>
      <c r="CP742" s="156"/>
      <c r="CQ742" s="156"/>
      <c r="CR742" s="156"/>
      <c r="CS742" s="156"/>
      <c r="CT742" s="156"/>
      <c r="CU742" s="156"/>
      <c r="CV742" s="156"/>
      <c r="CW742" s="156"/>
      <c r="CX742" s="156"/>
      <c r="CY742" s="156"/>
      <c r="CZ742" s="156"/>
      <c r="DA742" s="156"/>
      <c r="DB742" s="156"/>
      <c r="DC742" s="156"/>
      <c r="DD742" s="156"/>
      <c r="DE742" s="156"/>
      <c r="DF742" s="156"/>
      <c r="DG742" s="156"/>
      <c r="DH742" s="156"/>
      <c r="DI742" s="156"/>
      <c r="DJ742" s="156"/>
      <c r="DK742" s="156"/>
      <c r="DL742" s="156"/>
      <c r="DM742" s="156"/>
      <c r="DN742" s="156"/>
      <c r="DO742" s="156"/>
      <c r="DP742" s="156"/>
      <c r="DQ742" s="156"/>
      <c r="DR742" s="156"/>
      <c r="DS742" s="156"/>
      <c r="DT742" s="156"/>
      <c r="DU742" s="156"/>
      <c r="DV742" s="156"/>
      <c r="DW742" s="156"/>
      <c r="DX742" s="156"/>
      <c r="DY742" s="156"/>
      <c r="DZ742" s="156"/>
      <c r="EA742" s="156"/>
      <c r="EB742" s="156"/>
      <c r="EC742" s="156"/>
      <c r="ED742" s="156"/>
      <c r="EE742" s="156"/>
      <c r="EF742" s="156"/>
      <c r="EG742" s="156"/>
      <c r="EH742" s="156"/>
      <c r="EI742" s="156"/>
      <c r="EJ742" s="156"/>
      <c r="EK742" s="156"/>
      <c r="EL742" s="156"/>
      <c r="EM742" s="156"/>
      <c r="EN742" s="156"/>
      <c r="EO742" s="156"/>
      <c r="EP742" s="156"/>
      <c r="EQ742" s="156"/>
      <c r="ER742" s="156"/>
      <c r="ES742" s="156"/>
      <c r="ET742" s="156"/>
      <c r="EU742" s="156"/>
      <c r="EV742" s="156"/>
      <c r="EW742" s="156"/>
      <c r="EX742" s="156"/>
      <c r="EY742" s="156"/>
      <c r="EZ742" s="156"/>
      <c r="FA742" s="156"/>
      <c r="FB742" s="156"/>
      <c r="FC742" s="156"/>
      <c r="FD742" s="156"/>
      <c r="FE742" s="156"/>
      <c r="FF742" s="156"/>
      <c r="FG742" s="156"/>
      <c r="FH742" s="156"/>
      <c r="FI742" s="156"/>
      <c r="FJ742" s="156"/>
      <c r="FK742" s="156"/>
      <c r="FL742" s="156"/>
      <c r="FM742" s="156"/>
      <c r="FN742" s="156"/>
      <c r="FO742" s="156"/>
      <c r="FP742" s="156"/>
      <c r="FQ742" s="156"/>
      <c r="FR742" s="156"/>
      <c r="FS742" s="156"/>
      <c r="FT742" s="156"/>
      <c r="FU742" s="156"/>
      <c r="FV742" s="156"/>
      <c r="FW742" s="156"/>
      <c r="FX742" s="156"/>
      <c r="FY742" s="156"/>
      <c r="FZ742" s="156"/>
      <c r="GA742" s="156"/>
      <c r="GB742" s="156"/>
      <c r="GC742" s="156"/>
      <c r="GD742" s="156"/>
      <c r="GE742" s="156"/>
      <c r="GF742" s="156"/>
      <c r="GG742" s="156"/>
      <c r="GH742" s="156"/>
      <c r="GI742" s="156"/>
      <c r="GJ742" s="156"/>
      <c r="GK742" s="156"/>
      <c r="GL742" s="156"/>
      <c r="GM742" s="156"/>
      <c r="GN742" s="156"/>
      <c r="GO742" s="156"/>
      <c r="GP742" s="156"/>
      <c r="GQ742" s="156"/>
      <c r="GR742" s="156"/>
      <c r="GS742" s="156"/>
      <c r="GT742" s="156"/>
      <c r="GU742" s="156"/>
      <c r="GV742" s="156"/>
      <c r="GW742" s="156"/>
      <c r="GX742" s="156"/>
      <c r="GY742" s="156"/>
      <c r="GZ742" s="156"/>
      <c r="HA742" s="156"/>
      <c r="HB742" s="156"/>
      <c r="HC742" s="156"/>
      <c r="HD742" s="156"/>
      <c r="HE742" s="156"/>
      <c r="HF742" s="156"/>
      <c r="HG742" s="156"/>
      <c r="HH742" s="156"/>
      <c r="HI742" s="156"/>
      <c r="HJ742" s="156"/>
      <c r="HK742" s="156"/>
      <c r="HL742" s="156"/>
      <c r="HM742" s="156"/>
      <c r="HN742" s="156"/>
      <c r="HO742" s="156"/>
      <c r="HP742" s="156"/>
      <c r="HQ742" s="156"/>
      <c r="HR742" s="156"/>
      <c r="HS742" s="156"/>
      <c r="HT742" s="156"/>
      <c r="HU742" s="156"/>
      <c r="HV742" s="156"/>
      <c r="HW742" s="156"/>
      <c r="HX742" s="156"/>
      <c r="HY742" s="156"/>
      <c r="HZ742" s="156"/>
      <c r="IA742" s="156"/>
      <c r="IB742" s="156"/>
      <c r="IC742" s="156"/>
      <c r="ID742" s="156"/>
      <c r="IE742" s="156"/>
      <c r="IF742" s="156"/>
      <c r="IG742" s="156"/>
      <c r="IH742" s="156"/>
      <c r="II742" s="156"/>
      <c r="IJ742" s="156"/>
      <c r="IK742" s="156"/>
      <c r="IL742" s="156"/>
      <c r="IM742" s="156"/>
      <c r="IN742" s="156"/>
      <c r="IO742" s="156"/>
      <c r="IP742" s="156"/>
      <c r="IQ742" s="156"/>
      <c r="IR742" s="156"/>
      <c r="IS742" s="156"/>
      <c r="IT742" s="156"/>
      <c r="IU742" s="156"/>
      <c r="IV742" s="156"/>
      <c r="IW742" s="156"/>
      <c r="IX742" s="156"/>
      <c r="IY742" s="156"/>
      <c r="IZ742" s="156"/>
      <c r="JA742" s="156"/>
      <c r="JB742" s="156"/>
      <c r="JC742" s="156"/>
      <c r="JD742" s="156"/>
      <c r="JE742" s="156"/>
      <c r="JF742" s="156"/>
      <c r="JG742" s="156"/>
      <c r="JH742" s="156"/>
      <c r="JI742" s="156"/>
      <c r="JJ742" s="156"/>
      <c r="JK742" s="156"/>
      <c r="JL742" s="156"/>
      <c r="JM742" s="156"/>
      <c r="JN742" s="156"/>
      <c r="JO742" s="156"/>
      <c r="JP742" s="156"/>
      <c r="JQ742" s="156"/>
      <c r="JR742" s="156"/>
      <c r="JS742" s="156"/>
      <c r="JT742" s="156"/>
      <c r="JU742" s="156"/>
      <c r="JV742" s="156"/>
      <c r="JW742" s="156"/>
      <c r="JX742" s="156"/>
      <c r="JY742" s="156"/>
      <c r="JZ742" s="156"/>
      <c r="KA742" s="156"/>
      <c r="KB742" s="156"/>
      <c r="KC742" s="156"/>
      <c r="KD742" s="156"/>
      <c r="KE742" s="156"/>
    </row>
    <row r="743" spans="1:291" ht="35" customHeight="1">
      <c r="A743" s="42">
        <f>ROW()-2</f>
        <v>741</v>
      </c>
      <c r="B743" s="152" t="s">
        <v>2732</v>
      </c>
      <c r="C743" s="152" t="s">
        <v>4163</v>
      </c>
      <c r="D743" s="58" t="s">
        <v>4174</v>
      </c>
      <c r="E743" s="60" t="s">
        <v>4175</v>
      </c>
      <c r="F743" s="58" t="s">
        <v>4014</v>
      </c>
      <c r="G743" s="152" t="s">
        <v>34</v>
      </c>
      <c r="H743" s="152">
        <v>1</v>
      </c>
      <c r="I743" s="226">
        <v>0.47</v>
      </c>
      <c r="J743" s="230">
        <v>44179</v>
      </c>
      <c r="K743" s="236" t="s">
        <v>20</v>
      </c>
      <c r="L743" s="242">
        <v>4.99</v>
      </c>
      <c r="M743" s="155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  <c r="AA743" s="156"/>
      <c r="AB743" s="156"/>
      <c r="AC743" s="156"/>
      <c r="AD743" s="156"/>
      <c r="AE743" s="156"/>
      <c r="AF743" s="156"/>
      <c r="AG743" s="156"/>
      <c r="AH743" s="156"/>
      <c r="AI743" s="156"/>
      <c r="AJ743" s="156"/>
      <c r="AK743" s="156"/>
      <c r="AL743" s="156"/>
      <c r="AM743" s="156"/>
      <c r="AN743" s="156"/>
      <c r="AO743" s="156"/>
      <c r="AP743" s="156"/>
      <c r="AQ743" s="156"/>
      <c r="AR743" s="156"/>
      <c r="AS743" s="156"/>
      <c r="AT743" s="156"/>
      <c r="AU743" s="156"/>
      <c r="AV743" s="156"/>
      <c r="AW743" s="156"/>
      <c r="AX743" s="156"/>
      <c r="AY743" s="156"/>
      <c r="AZ743" s="156"/>
      <c r="BA743" s="156"/>
      <c r="BB743" s="156"/>
      <c r="BC743" s="156"/>
      <c r="BD743" s="156"/>
      <c r="BE743" s="156"/>
      <c r="BF743" s="156"/>
      <c r="BG743" s="156"/>
      <c r="BH743" s="156"/>
      <c r="BI743" s="156"/>
      <c r="BJ743" s="156"/>
      <c r="BK743" s="156"/>
      <c r="BL743" s="156"/>
      <c r="BM743" s="156"/>
      <c r="BN743" s="156"/>
      <c r="BO743" s="156"/>
      <c r="BP743" s="156"/>
      <c r="BQ743" s="156"/>
      <c r="BR743" s="156"/>
      <c r="BS743" s="156"/>
      <c r="BT743" s="156"/>
      <c r="BU743" s="156"/>
      <c r="BV743" s="156"/>
      <c r="BW743" s="156"/>
      <c r="BX743" s="156"/>
      <c r="BY743" s="156"/>
      <c r="BZ743" s="156"/>
      <c r="CA743" s="156"/>
      <c r="CB743" s="156"/>
      <c r="CC743" s="156"/>
      <c r="CD743" s="156"/>
      <c r="CE743" s="156"/>
      <c r="CF743" s="156"/>
      <c r="CG743" s="156"/>
      <c r="CH743" s="156"/>
      <c r="CI743" s="156"/>
      <c r="CJ743" s="156"/>
      <c r="CK743" s="156"/>
      <c r="CL743" s="156"/>
      <c r="CM743" s="156"/>
      <c r="CN743" s="156"/>
      <c r="CO743" s="156"/>
      <c r="CP743" s="156"/>
      <c r="CQ743" s="156"/>
      <c r="CR743" s="156"/>
      <c r="CS743" s="156"/>
      <c r="CT743" s="156"/>
      <c r="CU743" s="156"/>
      <c r="CV743" s="156"/>
      <c r="CW743" s="156"/>
      <c r="CX743" s="156"/>
      <c r="CY743" s="156"/>
      <c r="CZ743" s="156"/>
      <c r="DA743" s="156"/>
      <c r="DB743" s="156"/>
      <c r="DC743" s="156"/>
      <c r="DD743" s="156"/>
      <c r="DE743" s="156"/>
      <c r="DF743" s="156"/>
      <c r="DG743" s="156"/>
      <c r="DH743" s="156"/>
      <c r="DI743" s="156"/>
      <c r="DJ743" s="156"/>
      <c r="DK743" s="156"/>
      <c r="DL743" s="156"/>
      <c r="DM743" s="156"/>
      <c r="DN743" s="156"/>
      <c r="DO743" s="156"/>
      <c r="DP743" s="156"/>
      <c r="DQ743" s="156"/>
      <c r="DR743" s="156"/>
      <c r="DS743" s="156"/>
      <c r="DT743" s="156"/>
      <c r="DU743" s="156"/>
      <c r="DV743" s="156"/>
      <c r="DW743" s="156"/>
      <c r="DX743" s="156"/>
      <c r="DY743" s="156"/>
      <c r="DZ743" s="156"/>
      <c r="EA743" s="156"/>
      <c r="EB743" s="156"/>
      <c r="EC743" s="156"/>
      <c r="ED743" s="156"/>
      <c r="EE743" s="156"/>
      <c r="EF743" s="156"/>
      <c r="EG743" s="156"/>
      <c r="EH743" s="156"/>
      <c r="EI743" s="156"/>
      <c r="EJ743" s="156"/>
      <c r="EK743" s="156"/>
      <c r="EL743" s="156"/>
      <c r="EM743" s="156"/>
      <c r="EN743" s="156"/>
      <c r="EO743" s="156"/>
      <c r="EP743" s="156"/>
      <c r="EQ743" s="156"/>
      <c r="ER743" s="156"/>
      <c r="ES743" s="156"/>
      <c r="ET743" s="156"/>
      <c r="EU743" s="156"/>
      <c r="EV743" s="156"/>
      <c r="EW743" s="156"/>
      <c r="EX743" s="156"/>
      <c r="EY743" s="156"/>
      <c r="EZ743" s="156"/>
      <c r="FA743" s="156"/>
      <c r="FB743" s="156"/>
      <c r="FC743" s="156"/>
      <c r="FD743" s="156"/>
      <c r="FE743" s="156"/>
      <c r="FF743" s="156"/>
      <c r="FG743" s="156"/>
      <c r="FH743" s="156"/>
      <c r="FI743" s="156"/>
      <c r="FJ743" s="156"/>
      <c r="FK743" s="156"/>
      <c r="FL743" s="156"/>
      <c r="FM743" s="156"/>
      <c r="FN743" s="156"/>
      <c r="FO743" s="156"/>
      <c r="FP743" s="156"/>
      <c r="FQ743" s="156"/>
      <c r="FR743" s="156"/>
      <c r="FS743" s="156"/>
      <c r="FT743" s="156"/>
      <c r="FU743" s="156"/>
      <c r="FV743" s="156"/>
      <c r="FW743" s="156"/>
      <c r="FX743" s="156"/>
      <c r="FY743" s="156"/>
      <c r="FZ743" s="156"/>
      <c r="GA743" s="156"/>
      <c r="GB743" s="156"/>
      <c r="GC743" s="156"/>
      <c r="GD743" s="156"/>
      <c r="GE743" s="156"/>
      <c r="GF743" s="156"/>
      <c r="GG743" s="156"/>
      <c r="GH743" s="156"/>
      <c r="GI743" s="156"/>
      <c r="GJ743" s="156"/>
      <c r="GK743" s="156"/>
      <c r="GL743" s="156"/>
      <c r="GM743" s="156"/>
      <c r="GN743" s="156"/>
      <c r="GO743" s="156"/>
      <c r="GP743" s="156"/>
      <c r="GQ743" s="156"/>
      <c r="GR743" s="156"/>
      <c r="GS743" s="156"/>
      <c r="GT743" s="156"/>
      <c r="GU743" s="156"/>
      <c r="GV743" s="156"/>
      <c r="GW743" s="156"/>
      <c r="GX743" s="156"/>
      <c r="GY743" s="156"/>
      <c r="GZ743" s="156"/>
      <c r="HA743" s="156"/>
      <c r="HB743" s="156"/>
      <c r="HC743" s="156"/>
      <c r="HD743" s="156"/>
      <c r="HE743" s="156"/>
      <c r="HF743" s="156"/>
      <c r="HG743" s="156"/>
      <c r="HH743" s="156"/>
      <c r="HI743" s="156"/>
      <c r="HJ743" s="156"/>
      <c r="HK743" s="156"/>
      <c r="HL743" s="156"/>
      <c r="HM743" s="156"/>
      <c r="HN743" s="156"/>
      <c r="HO743" s="156"/>
      <c r="HP743" s="156"/>
      <c r="HQ743" s="156"/>
      <c r="HR743" s="156"/>
      <c r="HS743" s="156"/>
      <c r="HT743" s="156"/>
      <c r="HU743" s="156"/>
      <c r="HV743" s="156"/>
      <c r="HW743" s="156"/>
      <c r="HX743" s="156"/>
      <c r="HY743" s="156"/>
      <c r="HZ743" s="156"/>
      <c r="IA743" s="156"/>
      <c r="IB743" s="156"/>
      <c r="IC743" s="156"/>
      <c r="ID743" s="156"/>
      <c r="IE743" s="156"/>
      <c r="IF743" s="156"/>
      <c r="IG743" s="156"/>
      <c r="IH743" s="156"/>
      <c r="II743" s="156"/>
      <c r="IJ743" s="156"/>
      <c r="IK743" s="156"/>
      <c r="IL743" s="156"/>
      <c r="IM743" s="156"/>
      <c r="IN743" s="156"/>
      <c r="IO743" s="156"/>
      <c r="IP743" s="156"/>
      <c r="IQ743" s="156"/>
      <c r="IR743" s="156"/>
      <c r="IS743" s="156"/>
      <c r="IT743" s="156"/>
      <c r="IU743" s="156"/>
      <c r="IV743" s="156"/>
      <c r="IW743" s="156"/>
      <c r="IX743" s="156"/>
      <c r="IY743" s="156"/>
      <c r="IZ743" s="156"/>
      <c r="JA743" s="156"/>
      <c r="JB743" s="156"/>
      <c r="JC743" s="156"/>
      <c r="JD743" s="156"/>
      <c r="JE743" s="156"/>
      <c r="JF743" s="156"/>
      <c r="JG743" s="156"/>
      <c r="JH743" s="156"/>
      <c r="JI743" s="156"/>
      <c r="JJ743" s="156"/>
      <c r="JK743" s="156"/>
      <c r="JL743" s="156"/>
      <c r="JM743" s="156"/>
      <c r="JN743" s="156"/>
      <c r="JO743" s="156"/>
      <c r="JP743" s="156"/>
      <c r="JQ743" s="156"/>
      <c r="JR743" s="156"/>
      <c r="JS743" s="156"/>
      <c r="JT743" s="156"/>
      <c r="JU743" s="156"/>
      <c r="JV743" s="156"/>
      <c r="JW743" s="156"/>
      <c r="JX743" s="156"/>
      <c r="JY743" s="156"/>
      <c r="JZ743" s="156"/>
      <c r="KA743" s="156"/>
      <c r="KB743" s="156"/>
      <c r="KC743" s="156"/>
      <c r="KD743" s="156"/>
      <c r="KE743" s="156"/>
    </row>
    <row r="744" spans="1:291" s="156" customFormat="1" ht="35" customHeight="1">
      <c r="A744" s="42">
        <f>ROW()-2</f>
        <v>742</v>
      </c>
      <c r="B744" s="152" t="s">
        <v>2732</v>
      </c>
      <c r="C744" s="152" t="s">
        <v>4163</v>
      </c>
      <c r="D744" s="58" t="s">
        <v>4170</v>
      </c>
      <c r="E744" s="58" t="s">
        <v>4171</v>
      </c>
      <c r="F744" s="58" t="s">
        <v>3889</v>
      </c>
      <c r="G744" s="152" t="s">
        <v>34</v>
      </c>
      <c r="H744" s="152">
        <v>1</v>
      </c>
      <c r="I744" s="153">
        <v>0.45</v>
      </c>
      <c r="J744" s="154">
        <v>44186</v>
      </c>
      <c r="K744" s="153" t="s">
        <v>20</v>
      </c>
      <c r="L744" s="152">
        <v>4.99</v>
      </c>
      <c r="M744" s="155"/>
    </row>
    <row r="745" spans="1:291" s="156" customFormat="1" ht="35" customHeight="1">
      <c r="A745" s="42">
        <f>ROW()-2</f>
        <v>743</v>
      </c>
      <c r="B745" s="152" t="s">
        <v>2732</v>
      </c>
      <c r="C745" s="152" t="s">
        <v>4163</v>
      </c>
      <c r="D745" s="58" t="s">
        <v>4168</v>
      </c>
      <c r="E745" s="58" t="s">
        <v>4169</v>
      </c>
      <c r="F745" s="58" t="s">
        <v>3889</v>
      </c>
      <c r="G745" s="152" t="s">
        <v>34</v>
      </c>
      <c r="H745" s="152">
        <v>1</v>
      </c>
      <c r="I745" s="153">
        <v>0.42333333333333301</v>
      </c>
      <c r="J745" s="154">
        <v>44193</v>
      </c>
      <c r="K745" s="153" t="s">
        <v>20</v>
      </c>
      <c r="L745" s="152">
        <v>4.99</v>
      </c>
      <c r="M745" s="155"/>
    </row>
    <row r="746" spans="1:291" s="156" customFormat="1" ht="35" customHeight="1">
      <c r="A746" s="42">
        <f>ROW()-2</f>
        <v>744</v>
      </c>
      <c r="B746" s="152" t="s">
        <v>2732</v>
      </c>
      <c r="C746" s="152" t="s">
        <v>4163</v>
      </c>
      <c r="D746" s="58" t="s">
        <v>4166</v>
      </c>
      <c r="E746" s="58" t="s">
        <v>4167</v>
      </c>
      <c r="F746" s="58" t="s">
        <v>3889</v>
      </c>
      <c r="G746" s="152" t="s">
        <v>34</v>
      </c>
      <c r="H746" s="152">
        <v>2</v>
      </c>
      <c r="I746" s="153">
        <v>0.44</v>
      </c>
      <c r="J746" s="154">
        <v>44200</v>
      </c>
      <c r="K746" s="153" t="s">
        <v>20</v>
      </c>
      <c r="L746" s="152">
        <v>4.99</v>
      </c>
      <c r="M746" s="155"/>
    </row>
    <row r="747" spans="1:291" s="156" customFormat="1" ht="35" customHeight="1">
      <c r="A747" s="42">
        <f>ROW()-2</f>
        <v>745</v>
      </c>
      <c r="B747" s="58" t="s">
        <v>2732</v>
      </c>
      <c r="C747" s="58" t="s">
        <v>4163</v>
      </c>
      <c r="D747" s="58" t="s">
        <v>4316</v>
      </c>
      <c r="E747" s="58" t="s">
        <v>4317</v>
      </c>
      <c r="F747" s="58" t="s">
        <v>2739</v>
      </c>
      <c r="G747" s="58" t="s">
        <v>34</v>
      </c>
      <c r="H747" s="58">
        <v>1</v>
      </c>
      <c r="I747" s="58">
        <v>0.5</v>
      </c>
      <c r="J747" s="59">
        <v>44228</v>
      </c>
      <c r="K747" s="58" t="s">
        <v>20</v>
      </c>
      <c r="L747" s="58">
        <v>4.99</v>
      </c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  <c r="DC747" s="31"/>
      <c r="DD747" s="31"/>
      <c r="DE747" s="31"/>
      <c r="DF747" s="31"/>
      <c r="DG747" s="31"/>
      <c r="DH747" s="31"/>
      <c r="DI747" s="31"/>
      <c r="DJ747" s="31"/>
      <c r="DK747" s="31"/>
      <c r="DL747" s="31"/>
      <c r="DM747" s="31"/>
      <c r="DN747" s="31"/>
      <c r="DO747" s="31"/>
      <c r="DP747" s="31"/>
      <c r="DQ747" s="31"/>
      <c r="DR747" s="31"/>
      <c r="DS747" s="31"/>
      <c r="DT747" s="31"/>
      <c r="DU747" s="31"/>
      <c r="DV747" s="31"/>
      <c r="DW747" s="31"/>
      <c r="DX747" s="31"/>
      <c r="DY747" s="31"/>
      <c r="DZ747" s="31"/>
      <c r="EA747" s="31"/>
      <c r="EB747" s="31"/>
      <c r="EC747" s="31"/>
      <c r="ED747" s="31"/>
      <c r="EE747" s="31"/>
      <c r="EF747" s="31"/>
      <c r="EG747" s="31"/>
      <c r="EH747" s="31"/>
      <c r="EI747" s="31"/>
      <c r="EJ747" s="31"/>
      <c r="EK747" s="31"/>
      <c r="EL747" s="31"/>
      <c r="EM747" s="31"/>
      <c r="EN747" s="31"/>
      <c r="EO747" s="31"/>
      <c r="EP747" s="31"/>
      <c r="EQ747" s="31"/>
      <c r="ER747" s="31"/>
      <c r="ES747" s="31"/>
      <c r="ET747" s="31"/>
      <c r="EU747" s="31"/>
      <c r="EV747" s="31"/>
      <c r="EW747" s="31"/>
      <c r="EX747" s="31"/>
      <c r="EY747" s="31"/>
      <c r="EZ747" s="31"/>
      <c r="FA747" s="31"/>
      <c r="FB747" s="31"/>
      <c r="FC747" s="31"/>
      <c r="FD747" s="31"/>
      <c r="FE747" s="31"/>
      <c r="FF747" s="31"/>
      <c r="FG747" s="31"/>
      <c r="FH747" s="31"/>
      <c r="FI747" s="31"/>
      <c r="FJ747" s="31"/>
      <c r="FK747" s="31"/>
      <c r="FL747" s="31"/>
      <c r="FM747" s="31"/>
      <c r="FN747" s="31"/>
      <c r="FO747" s="31"/>
      <c r="FP747" s="31"/>
      <c r="FQ747" s="31"/>
      <c r="FR747" s="31"/>
      <c r="FS747" s="31"/>
      <c r="FT747" s="31"/>
      <c r="FU747" s="31"/>
      <c r="FV747" s="31"/>
      <c r="FW747" s="31"/>
      <c r="FX747" s="31"/>
      <c r="FY747" s="31"/>
      <c r="FZ747" s="31"/>
      <c r="GA747" s="31"/>
      <c r="GB747" s="31"/>
      <c r="GC747" s="31"/>
      <c r="GD747" s="31"/>
      <c r="GE747" s="31"/>
      <c r="GF747" s="31"/>
      <c r="GG747" s="31"/>
      <c r="GH747" s="31"/>
      <c r="GI747" s="31"/>
      <c r="GJ747" s="31"/>
      <c r="GK747" s="31"/>
      <c r="GL747" s="31"/>
      <c r="GM747" s="31"/>
      <c r="GN747" s="31"/>
      <c r="GO747" s="31"/>
      <c r="GP747" s="31"/>
      <c r="GQ747" s="31"/>
      <c r="GR747" s="31"/>
      <c r="GS747" s="31"/>
      <c r="GT747" s="31"/>
      <c r="GU747" s="31"/>
      <c r="GV747" s="31"/>
      <c r="GW747" s="31"/>
      <c r="GX747" s="31"/>
      <c r="GY747" s="31"/>
      <c r="GZ747" s="31"/>
      <c r="HA747" s="31"/>
      <c r="HB747" s="31"/>
      <c r="HC747" s="31"/>
      <c r="HD747" s="31"/>
      <c r="HE747" s="31"/>
      <c r="HF747" s="31"/>
      <c r="HG747" s="31"/>
      <c r="HH747" s="31"/>
      <c r="HI747" s="31"/>
      <c r="HJ747" s="31"/>
      <c r="HK747" s="31"/>
      <c r="HL747" s="31"/>
      <c r="HM747" s="31"/>
      <c r="HN747" s="31"/>
      <c r="HO747" s="31"/>
      <c r="HP747" s="31"/>
      <c r="HQ747" s="31"/>
      <c r="HR747" s="31"/>
      <c r="HS747" s="31"/>
      <c r="HT747" s="31"/>
      <c r="HU747" s="31"/>
      <c r="HV747" s="31"/>
      <c r="HW747" s="31"/>
      <c r="HX747" s="31"/>
      <c r="HY747" s="31"/>
      <c r="HZ747" s="31"/>
      <c r="IA747" s="31"/>
      <c r="IB747" s="31"/>
      <c r="IC747" s="31"/>
      <c r="ID747" s="31"/>
      <c r="IE747" s="31"/>
      <c r="IF747" s="31"/>
      <c r="IG747" s="31"/>
      <c r="IH747" s="31"/>
      <c r="II747" s="31"/>
      <c r="IJ747" s="31"/>
      <c r="IK747" s="31"/>
      <c r="IL747" s="31"/>
      <c r="IM747" s="31"/>
      <c r="IN747" s="31"/>
      <c r="IO747" s="31"/>
      <c r="IP747" s="31"/>
      <c r="IQ747" s="31"/>
      <c r="IR747" s="31"/>
      <c r="IS747" s="31"/>
      <c r="IT747" s="31"/>
      <c r="IU747" s="31"/>
      <c r="IV747" s="31"/>
      <c r="IW747" s="31"/>
      <c r="IX747" s="31"/>
      <c r="IY747" s="31"/>
      <c r="IZ747" s="31"/>
      <c r="JA747" s="31"/>
      <c r="JB747" s="31"/>
      <c r="JC747" s="31"/>
      <c r="JD747" s="31"/>
      <c r="JE747" s="31"/>
      <c r="JF747" s="31"/>
      <c r="JG747" s="31"/>
      <c r="JH747" s="31"/>
      <c r="JI747" s="31"/>
      <c r="JJ747" s="31"/>
      <c r="JK747" s="31"/>
      <c r="JL747" s="31"/>
      <c r="JM747" s="31"/>
      <c r="JN747" s="31"/>
      <c r="JO747" s="31"/>
      <c r="JP747" s="31"/>
      <c r="JQ747" s="31"/>
      <c r="JR747" s="31"/>
      <c r="JS747" s="31"/>
      <c r="JT747" s="31"/>
      <c r="JU747" s="31"/>
      <c r="JV747" s="31"/>
      <c r="JW747" s="31"/>
      <c r="JX747" s="31"/>
      <c r="JY747" s="31"/>
      <c r="JZ747" s="31"/>
      <c r="KA747" s="31"/>
      <c r="KB747" s="31"/>
      <c r="KC747" s="31"/>
      <c r="KD747" s="31"/>
      <c r="KE747" s="31"/>
    </row>
    <row r="748" spans="1:291" s="156" customFormat="1" ht="35" customHeight="1">
      <c r="A748" s="42">
        <f>ROW()-2</f>
        <v>746</v>
      </c>
      <c r="B748" s="43" t="s">
        <v>2732</v>
      </c>
      <c r="C748" s="43" t="s">
        <v>4163</v>
      </c>
      <c r="D748" s="43" t="s">
        <v>4318</v>
      </c>
      <c r="E748" s="43" t="s">
        <v>4319</v>
      </c>
      <c r="F748" s="43" t="s">
        <v>3880</v>
      </c>
      <c r="G748" s="43" t="s">
        <v>34</v>
      </c>
      <c r="H748" s="43">
        <v>1</v>
      </c>
      <c r="I748" s="43">
        <v>0.5</v>
      </c>
      <c r="J748" s="53">
        <v>44256</v>
      </c>
      <c r="K748" s="43" t="s">
        <v>20</v>
      </c>
      <c r="L748" s="43">
        <v>4.99</v>
      </c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  <c r="CX748" s="31"/>
      <c r="CY748" s="31"/>
      <c r="CZ748" s="31"/>
      <c r="DA748" s="31"/>
      <c r="DB748" s="31"/>
      <c r="DC748" s="31"/>
      <c r="DD748" s="31"/>
      <c r="DE748" s="31"/>
      <c r="DF748" s="31"/>
      <c r="DG748" s="31"/>
      <c r="DH748" s="31"/>
      <c r="DI748" s="31"/>
      <c r="DJ748" s="31"/>
      <c r="DK748" s="31"/>
      <c r="DL748" s="31"/>
      <c r="DM748" s="31"/>
      <c r="DN748" s="31"/>
      <c r="DO748" s="31"/>
      <c r="DP748" s="31"/>
      <c r="DQ748" s="31"/>
      <c r="DR748" s="31"/>
      <c r="DS748" s="31"/>
      <c r="DT748" s="31"/>
      <c r="DU748" s="31"/>
      <c r="DV748" s="31"/>
      <c r="DW748" s="31"/>
      <c r="DX748" s="31"/>
      <c r="DY748" s="31"/>
      <c r="DZ748" s="31"/>
      <c r="EA748" s="31"/>
      <c r="EB748" s="31"/>
      <c r="EC748" s="31"/>
      <c r="ED748" s="31"/>
      <c r="EE748" s="31"/>
      <c r="EF748" s="31"/>
      <c r="EG748" s="31"/>
      <c r="EH748" s="31"/>
      <c r="EI748" s="31"/>
      <c r="EJ748" s="31"/>
      <c r="EK748" s="31"/>
      <c r="EL748" s="31"/>
      <c r="EM748" s="31"/>
      <c r="EN748" s="31"/>
      <c r="EO748" s="31"/>
      <c r="EP748" s="31"/>
      <c r="EQ748" s="31"/>
      <c r="ER748" s="31"/>
      <c r="ES748" s="31"/>
      <c r="ET748" s="31"/>
      <c r="EU748" s="31"/>
      <c r="EV748" s="31"/>
      <c r="EW748" s="31"/>
      <c r="EX748" s="31"/>
      <c r="EY748" s="31"/>
      <c r="EZ748" s="31"/>
      <c r="FA748" s="31"/>
      <c r="FB748" s="31"/>
      <c r="FC748" s="31"/>
      <c r="FD748" s="31"/>
      <c r="FE748" s="31"/>
      <c r="FF748" s="31"/>
      <c r="FG748" s="31"/>
      <c r="FH748" s="31"/>
      <c r="FI748" s="31"/>
      <c r="FJ748" s="31"/>
      <c r="FK748" s="31"/>
      <c r="FL748" s="31"/>
      <c r="FM748" s="31"/>
      <c r="FN748" s="31"/>
      <c r="FO748" s="31"/>
      <c r="FP748" s="31"/>
      <c r="FQ748" s="31"/>
      <c r="FR748" s="31"/>
      <c r="FS748" s="31"/>
      <c r="FT748" s="31"/>
      <c r="FU748" s="31"/>
      <c r="FV748" s="31"/>
      <c r="FW748" s="31"/>
      <c r="FX748" s="31"/>
      <c r="FY748" s="31"/>
      <c r="FZ748" s="31"/>
      <c r="GA748" s="31"/>
      <c r="GB748" s="31"/>
      <c r="GC748" s="31"/>
      <c r="GD748" s="31"/>
      <c r="GE748" s="31"/>
      <c r="GF748" s="31"/>
      <c r="GG748" s="31"/>
      <c r="GH748" s="31"/>
      <c r="GI748" s="31"/>
      <c r="GJ748" s="31"/>
      <c r="GK748" s="31"/>
      <c r="GL748" s="31"/>
      <c r="GM748" s="31"/>
      <c r="GN748" s="31"/>
      <c r="GO748" s="31"/>
      <c r="GP748" s="31"/>
      <c r="GQ748" s="31"/>
      <c r="GR748" s="31"/>
      <c r="GS748" s="31"/>
      <c r="GT748" s="31"/>
      <c r="GU748" s="31"/>
      <c r="GV748" s="31"/>
      <c r="GW748" s="31"/>
      <c r="GX748" s="31"/>
      <c r="GY748" s="31"/>
      <c r="GZ748" s="31"/>
      <c r="HA748" s="31"/>
      <c r="HB748" s="31"/>
      <c r="HC748" s="31"/>
      <c r="HD748" s="31"/>
      <c r="HE748" s="31"/>
      <c r="HF748" s="31"/>
      <c r="HG748" s="31"/>
      <c r="HH748" s="31"/>
      <c r="HI748" s="31"/>
      <c r="HJ748" s="31"/>
      <c r="HK748" s="31"/>
      <c r="HL748" s="31"/>
      <c r="HM748" s="31"/>
      <c r="HN748" s="31"/>
      <c r="HO748" s="31"/>
      <c r="HP748" s="31"/>
      <c r="HQ748" s="31"/>
      <c r="HR748" s="31"/>
      <c r="HS748" s="31"/>
      <c r="HT748" s="31"/>
      <c r="HU748" s="31"/>
      <c r="HV748" s="31"/>
      <c r="HW748" s="31"/>
      <c r="HX748" s="31"/>
      <c r="HY748" s="31"/>
      <c r="HZ748" s="31"/>
      <c r="IA748" s="31"/>
      <c r="IB748" s="31"/>
      <c r="IC748" s="31"/>
      <c r="ID748" s="31"/>
      <c r="IE748" s="31"/>
      <c r="IF748" s="31"/>
      <c r="IG748" s="31"/>
      <c r="IH748" s="31"/>
      <c r="II748" s="31"/>
      <c r="IJ748" s="31"/>
      <c r="IK748" s="31"/>
      <c r="IL748" s="31"/>
      <c r="IM748" s="31"/>
      <c r="IN748" s="31"/>
      <c r="IO748" s="31"/>
      <c r="IP748" s="31"/>
      <c r="IQ748" s="31"/>
      <c r="IR748" s="31"/>
      <c r="IS748" s="31"/>
      <c r="IT748" s="31"/>
      <c r="IU748" s="31"/>
      <c r="IV748" s="31"/>
      <c r="IW748" s="31"/>
      <c r="IX748" s="31"/>
      <c r="IY748" s="31"/>
      <c r="IZ748" s="31"/>
      <c r="JA748" s="31"/>
      <c r="JB748" s="31"/>
      <c r="JC748" s="31"/>
      <c r="JD748" s="31"/>
      <c r="JE748" s="31"/>
      <c r="JF748" s="31"/>
      <c r="JG748" s="31"/>
      <c r="JH748" s="31"/>
      <c r="JI748" s="31"/>
      <c r="JJ748" s="31"/>
      <c r="JK748" s="31"/>
      <c r="JL748" s="31"/>
      <c r="JM748" s="31"/>
      <c r="JN748" s="31"/>
      <c r="JO748" s="31"/>
      <c r="JP748" s="31"/>
      <c r="JQ748" s="31"/>
      <c r="JR748" s="31"/>
      <c r="JS748" s="31"/>
      <c r="JT748" s="31"/>
      <c r="JU748" s="31"/>
      <c r="JV748" s="31"/>
      <c r="JW748" s="31"/>
      <c r="JX748" s="31"/>
      <c r="JY748" s="31"/>
      <c r="JZ748" s="31"/>
      <c r="KA748" s="31"/>
      <c r="KB748" s="31"/>
      <c r="KC748" s="31"/>
      <c r="KD748" s="31"/>
      <c r="KE748" s="31"/>
    </row>
    <row r="749" spans="1:291" s="156" customFormat="1" ht="35" customHeight="1">
      <c r="A749" s="42">
        <f>ROW()-2</f>
        <v>747</v>
      </c>
      <c r="B749" s="43" t="s">
        <v>2732</v>
      </c>
      <c r="C749" s="43" t="s">
        <v>4163</v>
      </c>
      <c r="D749" s="43" t="s">
        <v>4320</v>
      </c>
      <c r="E749" s="43" t="s">
        <v>4321</v>
      </c>
      <c r="F749" s="43" t="s">
        <v>2739</v>
      </c>
      <c r="G749" s="43" t="s">
        <v>34</v>
      </c>
      <c r="H749" s="43">
        <v>1</v>
      </c>
      <c r="I749" s="43">
        <v>0.56000000000000005</v>
      </c>
      <c r="J749" s="53">
        <v>44270</v>
      </c>
      <c r="K749" s="43" t="s">
        <v>20</v>
      </c>
      <c r="L749" s="43">
        <v>4.99</v>
      </c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  <c r="DC749" s="31"/>
      <c r="DD749" s="31"/>
      <c r="DE749" s="31"/>
      <c r="DF749" s="31"/>
      <c r="DG749" s="31"/>
      <c r="DH749" s="31"/>
      <c r="DI749" s="31"/>
      <c r="DJ749" s="31"/>
      <c r="DK749" s="31"/>
      <c r="DL749" s="31"/>
      <c r="DM749" s="31"/>
      <c r="DN749" s="31"/>
      <c r="DO749" s="31"/>
      <c r="DP749" s="31"/>
      <c r="DQ749" s="31"/>
      <c r="DR749" s="31"/>
      <c r="DS749" s="31"/>
      <c r="DT749" s="31"/>
      <c r="DU749" s="31"/>
      <c r="DV749" s="31"/>
      <c r="DW749" s="31"/>
      <c r="DX749" s="31"/>
      <c r="DY749" s="31"/>
      <c r="DZ749" s="31"/>
      <c r="EA749" s="31"/>
      <c r="EB749" s="31"/>
      <c r="EC749" s="31"/>
      <c r="ED749" s="31"/>
      <c r="EE749" s="31"/>
      <c r="EF749" s="31"/>
      <c r="EG749" s="31"/>
      <c r="EH749" s="31"/>
      <c r="EI749" s="31"/>
      <c r="EJ749" s="31"/>
      <c r="EK749" s="31"/>
      <c r="EL749" s="31"/>
      <c r="EM749" s="31"/>
      <c r="EN749" s="31"/>
      <c r="EO749" s="31"/>
      <c r="EP749" s="31"/>
      <c r="EQ749" s="31"/>
      <c r="ER749" s="31"/>
      <c r="ES749" s="31"/>
      <c r="ET749" s="31"/>
      <c r="EU749" s="31"/>
      <c r="EV749" s="31"/>
      <c r="EW749" s="31"/>
      <c r="EX749" s="31"/>
      <c r="EY749" s="31"/>
      <c r="EZ749" s="31"/>
      <c r="FA749" s="31"/>
      <c r="FB749" s="31"/>
      <c r="FC749" s="31"/>
      <c r="FD749" s="31"/>
      <c r="FE749" s="31"/>
      <c r="FF749" s="31"/>
      <c r="FG749" s="31"/>
      <c r="FH749" s="31"/>
      <c r="FI749" s="31"/>
      <c r="FJ749" s="31"/>
      <c r="FK749" s="31"/>
      <c r="FL749" s="31"/>
      <c r="FM749" s="31"/>
      <c r="FN749" s="31"/>
      <c r="FO749" s="31"/>
      <c r="FP749" s="31"/>
      <c r="FQ749" s="31"/>
      <c r="FR749" s="31"/>
      <c r="FS749" s="31"/>
      <c r="FT749" s="31"/>
      <c r="FU749" s="31"/>
      <c r="FV749" s="31"/>
      <c r="FW749" s="31"/>
      <c r="FX749" s="31"/>
      <c r="FY749" s="31"/>
      <c r="FZ749" s="31"/>
      <c r="GA749" s="31"/>
      <c r="GB749" s="31"/>
      <c r="GC749" s="31"/>
      <c r="GD749" s="31"/>
      <c r="GE749" s="31"/>
      <c r="GF749" s="31"/>
      <c r="GG749" s="31"/>
      <c r="GH749" s="31"/>
      <c r="GI749" s="31"/>
      <c r="GJ749" s="31"/>
      <c r="GK749" s="31"/>
      <c r="GL749" s="31"/>
      <c r="GM749" s="31"/>
      <c r="GN749" s="31"/>
      <c r="GO749" s="31"/>
      <c r="GP749" s="31"/>
      <c r="GQ749" s="31"/>
      <c r="GR749" s="31"/>
      <c r="GS749" s="31"/>
      <c r="GT749" s="31"/>
      <c r="GU749" s="31"/>
      <c r="GV749" s="31"/>
      <c r="GW749" s="31"/>
      <c r="GX749" s="31"/>
      <c r="GY749" s="31"/>
      <c r="GZ749" s="31"/>
      <c r="HA749" s="31"/>
      <c r="HB749" s="31"/>
      <c r="HC749" s="31"/>
      <c r="HD749" s="31"/>
      <c r="HE749" s="31"/>
      <c r="HF749" s="31"/>
      <c r="HG749" s="31"/>
      <c r="HH749" s="31"/>
      <c r="HI749" s="31"/>
      <c r="HJ749" s="31"/>
      <c r="HK749" s="31"/>
      <c r="HL749" s="31"/>
      <c r="HM749" s="31"/>
      <c r="HN749" s="31"/>
      <c r="HO749" s="31"/>
      <c r="HP749" s="31"/>
      <c r="HQ749" s="31"/>
      <c r="HR749" s="31"/>
      <c r="HS749" s="31"/>
      <c r="HT749" s="31"/>
      <c r="HU749" s="31"/>
      <c r="HV749" s="31"/>
      <c r="HW749" s="31"/>
      <c r="HX749" s="31"/>
      <c r="HY749" s="31"/>
      <c r="HZ749" s="31"/>
      <c r="IA749" s="31"/>
      <c r="IB749" s="31"/>
      <c r="IC749" s="31"/>
      <c r="ID749" s="31"/>
      <c r="IE749" s="31"/>
      <c r="IF749" s="31"/>
      <c r="IG749" s="31"/>
      <c r="IH749" s="31"/>
      <c r="II749" s="31"/>
      <c r="IJ749" s="31"/>
      <c r="IK749" s="31"/>
      <c r="IL749" s="31"/>
      <c r="IM749" s="31"/>
      <c r="IN749" s="31"/>
      <c r="IO749" s="31"/>
      <c r="IP749" s="31"/>
      <c r="IQ749" s="31"/>
      <c r="IR749" s="31"/>
      <c r="IS749" s="31"/>
      <c r="IT749" s="31"/>
      <c r="IU749" s="31"/>
      <c r="IV749" s="31"/>
      <c r="IW749" s="31"/>
      <c r="IX749" s="31"/>
      <c r="IY749" s="31"/>
      <c r="IZ749" s="31"/>
      <c r="JA749" s="31"/>
      <c r="JB749" s="31"/>
      <c r="JC749" s="31"/>
      <c r="JD749" s="31"/>
      <c r="JE749" s="31"/>
      <c r="JF749" s="31"/>
      <c r="JG749" s="31"/>
      <c r="JH749" s="31"/>
      <c r="JI749" s="31"/>
      <c r="JJ749" s="31"/>
      <c r="JK749" s="31"/>
      <c r="JL749" s="31"/>
      <c r="JM749" s="31"/>
      <c r="JN749" s="31"/>
      <c r="JO749" s="31"/>
      <c r="JP749" s="31"/>
      <c r="JQ749" s="31"/>
      <c r="JR749" s="31"/>
      <c r="JS749" s="31"/>
      <c r="JT749" s="31"/>
      <c r="JU749" s="31"/>
      <c r="JV749" s="31"/>
      <c r="JW749" s="31"/>
      <c r="JX749" s="31"/>
      <c r="JY749" s="31"/>
      <c r="JZ749" s="31"/>
      <c r="KA749" s="31"/>
      <c r="KB749" s="31"/>
      <c r="KC749" s="31"/>
      <c r="KD749" s="31"/>
      <c r="KE749" s="31"/>
    </row>
    <row r="750" spans="1:291" s="156" customFormat="1" ht="35" customHeight="1">
      <c r="A750" s="42">
        <f>ROW()-2</f>
        <v>748</v>
      </c>
      <c r="B750" s="43" t="s">
        <v>2732</v>
      </c>
      <c r="C750" s="43" t="s">
        <v>4163</v>
      </c>
      <c r="D750" s="43" t="s">
        <v>4322</v>
      </c>
      <c r="E750" s="43" t="s">
        <v>4323</v>
      </c>
      <c r="F750" s="43" t="s">
        <v>4324</v>
      </c>
      <c r="G750" s="43" t="s">
        <v>34</v>
      </c>
      <c r="H750" s="43">
        <v>1</v>
      </c>
      <c r="I750" s="43">
        <v>0.5</v>
      </c>
      <c r="J750" s="53">
        <v>44277</v>
      </c>
      <c r="K750" s="43" t="s">
        <v>20</v>
      </c>
      <c r="L750" s="43">
        <v>4.99</v>
      </c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  <c r="CX750" s="31"/>
      <c r="CY750" s="31"/>
      <c r="CZ750" s="31"/>
      <c r="DA750" s="31"/>
      <c r="DB750" s="31"/>
      <c r="DC750" s="31"/>
      <c r="DD750" s="31"/>
      <c r="DE750" s="31"/>
      <c r="DF750" s="31"/>
      <c r="DG750" s="31"/>
      <c r="DH750" s="31"/>
      <c r="DI750" s="31"/>
      <c r="DJ750" s="31"/>
      <c r="DK750" s="31"/>
      <c r="DL750" s="31"/>
      <c r="DM750" s="31"/>
      <c r="DN750" s="31"/>
      <c r="DO750" s="31"/>
      <c r="DP750" s="31"/>
      <c r="DQ750" s="31"/>
      <c r="DR750" s="31"/>
      <c r="DS750" s="31"/>
      <c r="DT750" s="31"/>
      <c r="DU750" s="31"/>
      <c r="DV750" s="31"/>
      <c r="DW750" s="31"/>
      <c r="DX750" s="31"/>
      <c r="DY750" s="31"/>
      <c r="DZ750" s="31"/>
      <c r="EA750" s="31"/>
      <c r="EB750" s="31"/>
      <c r="EC750" s="31"/>
      <c r="ED750" s="31"/>
      <c r="EE750" s="31"/>
      <c r="EF750" s="31"/>
      <c r="EG750" s="31"/>
      <c r="EH750" s="31"/>
      <c r="EI750" s="31"/>
      <c r="EJ750" s="31"/>
      <c r="EK750" s="31"/>
      <c r="EL750" s="31"/>
      <c r="EM750" s="31"/>
      <c r="EN750" s="31"/>
      <c r="EO750" s="31"/>
      <c r="EP750" s="31"/>
      <c r="EQ750" s="31"/>
      <c r="ER750" s="31"/>
      <c r="ES750" s="31"/>
      <c r="ET750" s="31"/>
      <c r="EU750" s="31"/>
      <c r="EV750" s="31"/>
      <c r="EW750" s="31"/>
      <c r="EX750" s="31"/>
      <c r="EY750" s="31"/>
      <c r="EZ750" s="31"/>
      <c r="FA750" s="31"/>
      <c r="FB750" s="31"/>
      <c r="FC750" s="31"/>
      <c r="FD750" s="31"/>
      <c r="FE750" s="31"/>
      <c r="FF750" s="31"/>
      <c r="FG750" s="31"/>
      <c r="FH750" s="31"/>
      <c r="FI750" s="31"/>
      <c r="FJ750" s="31"/>
      <c r="FK750" s="31"/>
      <c r="FL750" s="31"/>
      <c r="FM750" s="31"/>
      <c r="FN750" s="31"/>
      <c r="FO750" s="31"/>
      <c r="FP750" s="31"/>
      <c r="FQ750" s="31"/>
      <c r="FR750" s="31"/>
      <c r="FS750" s="31"/>
      <c r="FT750" s="31"/>
      <c r="FU750" s="31"/>
      <c r="FV750" s="31"/>
      <c r="FW750" s="31"/>
      <c r="FX750" s="31"/>
      <c r="FY750" s="31"/>
      <c r="FZ750" s="31"/>
      <c r="GA750" s="31"/>
      <c r="GB750" s="31"/>
      <c r="GC750" s="31"/>
      <c r="GD750" s="31"/>
      <c r="GE750" s="31"/>
      <c r="GF750" s="31"/>
      <c r="GG750" s="31"/>
      <c r="GH750" s="31"/>
      <c r="GI750" s="31"/>
      <c r="GJ750" s="31"/>
      <c r="GK750" s="31"/>
      <c r="GL750" s="31"/>
      <c r="GM750" s="31"/>
      <c r="GN750" s="31"/>
      <c r="GO750" s="31"/>
      <c r="GP750" s="31"/>
      <c r="GQ750" s="31"/>
      <c r="GR750" s="31"/>
      <c r="GS750" s="31"/>
      <c r="GT750" s="31"/>
      <c r="GU750" s="31"/>
      <c r="GV750" s="31"/>
      <c r="GW750" s="31"/>
      <c r="GX750" s="31"/>
      <c r="GY750" s="31"/>
      <c r="GZ750" s="31"/>
      <c r="HA750" s="31"/>
      <c r="HB750" s="31"/>
      <c r="HC750" s="31"/>
      <c r="HD750" s="31"/>
      <c r="HE750" s="31"/>
      <c r="HF750" s="31"/>
      <c r="HG750" s="31"/>
      <c r="HH750" s="31"/>
      <c r="HI750" s="31"/>
      <c r="HJ750" s="31"/>
      <c r="HK750" s="31"/>
      <c r="HL750" s="31"/>
      <c r="HM750" s="31"/>
      <c r="HN750" s="31"/>
      <c r="HO750" s="31"/>
      <c r="HP750" s="31"/>
      <c r="HQ750" s="31"/>
      <c r="HR750" s="31"/>
      <c r="HS750" s="31"/>
      <c r="HT750" s="31"/>
      <c r="HU750" s="31"/>
      <c r="HV750" s="31"/>
      <c r="HW750" s="31"/>
      <c r="HX750" s="31"/>
      <c r="HY750" s="31"/>
      <c r="HZ750" s="31"/>
      <c r="IA750" s="31"/>
      <c r="IB750" s="31"/>
      <c r="IC750" s="31"/>
      <c r="ID750" s="31"/>
      <c r="IE750" s="31"/>
      <c r="IF750" s="31"/>
      <c r="IG750" s="31"/>
      <c r="IH750" s="31"/>
      <c r="II750" s="31"/>
      <c r="IJ750" s="31"/>
      <c r="IK750" s="31"/>
      <c r="IL750" s="31"/>
      <c r="IM750" s="31"/>
      <c r="IN750" s="31"/>
      <c r="IO750" s="31"/>
      <c r="IP750" s="31"/>
      <c r="IQ750" s="31"/>
      <c r="IR750" s="31"/>
      <c r="IS750" s="31"/>
      <c r="IT750" s="31"/>
      <c r="IU750" s="31"/>
      <c r="IV750" s="31"/>
      <c r="IW750" s="31"/>
      <c r="IX750" s="31"/>
      <c r="IY750" s="31"/>
      <c r="IZ750" s="31"/>
      <c r="JA750" s="31"/>
      <c r="JB750" s="31"/>
      <c r="JC750" s="31"/>
      <c r="JD750" s="31"/>
      <c r="JE750" s="31"/>
      <c r="JF750" s="31"/>
      <c r="JG750" s="31"/>
      <c r="JH750" s="31"/>
      <c r="JI750" s="31"/>
      <c r="JJ750" s="31"/>
      <c r="JK750" s="31"/>
      <c r="JL750" s="31"/>
      <c r="JM750" s="31"/>
      <c r="JN750" s="31"/>
      <c r="JO750" s="31"/>
      <c r="JP750" s="31"/>
      <c r="JQ750" s="31"/>
      <c r="JR750" s="31"/>
      <c r="JS750" s="31"/>
      <c r="JT750" s="31"/>
      <c r="JU750" s="31"/>
      <c r="JV750" s="31"/>
      <c r="JW750" s="31"/>
      <c r="JX750" s="31"/>
      <c r="JY750" s="31"/>
      <c r="JZ750" s="31"/>
      <c r="KA750" s="31"/>
      <c r="KB750" s="31"/>
      <c r="KC750" s="31"/>
      <c r="KD750" s="31"/>
      <c r="KE750" s="31"/>
    </row>
    <row r="751" spans="1:291" s="156" customFormat="1" ht="35" customHeight="1">
      <c r="A751" s="42">
        <f>ROW()-2</f>
        <v>749</v>
      </c>
      <c r="B751" s="43" t="s">
        <v>2732</v>
      </c>
      <c r="C751" s="43" t="s">
        <v>4163</v>
      </c>
      <c r="D751" s="43" t="s">
        <v>4325</v>
      </c>
      <c r="E751" s="43" t="s">
        <v>4326</v>
      </c>
      <c r="F751" s="43" t="s">
        <v>2739</v>
      </c>
      <c r="G751" s="43" t="s">
        <v>34</v>
      </c>
      <c r="H751" s="43">
        <v>1</v>
      </c>
      <c r="I751" s="43">
        <v>0.5</v>
      </c>
      <c r="J751" s="53">
        <v>44347</v>
      </c>
      <c r="K751" s="43" t="s">
        <v>20</v>
      </c>
      <c r="L751" s="43">
        <v>4.99</v>
      </c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  <c r="DC751" s="31"/>
      <c r="DD751" s="31"/>
      <c r="DE751" s="31"/>
      <c r="DF751" s="31"/>
      <c r="DG751" s="31"/>
      <c r="DH751" s="31"/>
      <c r="DI751" s="31"/>
      <c r="DJ751" s="31"/>
      <c r="DK751" s="31"/>
      <c r="DL751" s="31"/>
      <c r="DM751" s="31"/>
      <c r="DN751" s="31"/>
      <c r="DO751" s="31"/>
      <c r="DP751" s="31"/>
      <c r="DQ751" s="31"/>
      <c r="DR751" s="31"/>
      <c r="DS751" s="31"/>
      <c r="DT751" s="31"/>
      <c r="DU751" s="31"/>
      <c r="DV751" s="31"/>
      <c r="DW751" s="31"/>
      <c r="DX751" s="31"/>
      <c r="DY751" s="31"/>
      <c r="DZ751" s="31"/>
      <c r="EA751" s="31"/>
      <c r="EB751" s="31"/>
      <c r="EC751" s="31"/>
      <c r="ED751" s="31"/>
      <c r="EE751" s="31"/>
      <c r="EF751" s="31"/>
      <c r="EG751" s="31"/>
      <c r="EH751" s="31"/>
      <c r="EI751" s="31"/>
      <c r="EJ751" s="31"/>
      <c r="EK751" s="31"/>
      <c r="EL751" s="31"/>
      <c r="EM751" s="31"/>
      <c r="EN751" s="31"/>
      <c r="EO751" s="31"/>
      <c r="EP751" s="31"/>
      <c r="EQ751" s="31"/>
      <c r="ER751" s="31"/>
      <c r="ES751" s="31"/>
      <c r="ET751" s="31"/>
      <c r="EU751" s="31"/>
      <c r="EV751" s="31"/>
      <c r="EW751" s="31"/>
      <c r="EX751" s="31"/>
      <c r="EY751" s="31"/>
      <c r="EZ751" s="31"/>
      <c r="FA751" s="31"/>
      <c r="FB751" s="31"/>
      <c r="FC751" s="31"/>
      <c r="FD751" s="31"/>
      <c r="FE751" s="31"/>
      <c r="FF751" s="31"/>
      <c r="FG751" s="31"/>
      <c r="FH751" s="31"/>
      <c r="FI751" s="31"/>
      <c r="FJ751" s="31"/>
      <c r="FK751" s="31"/>
      <c r="FL751" s="31"/>
      <c r="FM751" s="31"/>
      <c r="FN751" s="31"/>
      <c r="FO751" s="31"/>
      <c r="FP751" s="31"/>
      <c r="FQ751" s="31"/>
      <c r="FR751" s="31"/>
      <c r="FS751" s="31"/>
      <c r="FT751" s="31"/>
      <c r="FU751" s="31"/>
      <c r="FV751" s="31"/>
      <c r="FW751" s="31"/>
      <c r="FX751" s="31"/>
      <c r="FY751" s="31"/>
      <c r="FZ751" s="31"/>
      <c r="GA751" s="31"/>
      <c r="GB751" s="31"/>
      <c r="GC751" s="31"/>
      <c r="GD751" s="31"/>
      <c r="GE751" s="31"/>
      <c r="GF751" s="31"/>
      <c r="GG751" s="31"/>
      <c r="GH751" s="31"/>
      <c r="GI751" s="31"/>
      <c r="GJ751" s="31"/>
      <c r="GK751" s="31"/>
      <c r="GL751" s="31"/>
      <c r="GM751" s="31"/>
      <c r="GN751" s="31"/>
      <c r="GO751" s="31"/>
      <c r="GP751" s="31"/>
      <c r="GQ751" s="31"/>
      <c r="GR751" s="31"/>
      <c r="GS751" s="31"/>
      <c r="GT751" s="31"/>
      <c r="GU751" s="31"/>
      <c r="GV751" s="31"/>
      <c r="GW751" s="31"/>
      <c r="GX751" s="31"/>
      <c r="GY751" s="31"/>
      <c r="GZ751" s="31"/>
      <c r="HA751" s="31"/>
      <c r="HB751" s="31"/>
      <c r="HC751" s="31"/>
      <c r="HD751" s="31"/>
      <c r="HE751" s="31"/>
      <c r="HF751" s="31"/>
      <c r="HG751" s="31"/>
      <c r="HH751" s="31"/>
      <c r="HI751" s="31"/>
      <c r="HJ751" s="31"/>
      <c r="HK751" s="31"/>
      <c r="HL751" s="31"/>
      <c r="HM751" s="31"/>
      <c r="HN751" s="31"/>
      <c r="HO751" s="31"/>
      <c r="HP751" s="31"/>
      <c r="HQ751" s="31"/>
      <c r="HR751" s="31"/>
      <c r="HS751" s="31"/>
      <c r="HT751" s="31"/>
      <c r="HU751" s="31"/>
      <c r="HV751" s="31"/>
      <c r="HW751" s="31"/>
      <c r="HX751" s="31"/>
      <c r="HY751" s="31"/>
      <c r="HZ751" s="31"/>
      <c r="IA751" s="31"/>
      <c r="IB751" s="31"/>
      <c r="IC751" s="31"/>
      <c r="ID751" s="31"/>
      <c r="IE751" s="31"/>
      <c r="IF751" s="31"/>
      <c r="IG751" s="31"/>
      <c r="IH751" s="31"/>
      <c r="II751" s="31"/>
      <c r="IJ751" s="31"/>
      <c r="IK751" s="31"/>
      <c r="IL751" s="31"/>
      <c r="IM751" s="31"/>
      <c r="IN751" s="31"/>
      <c r="IO751" s="31"/>
      <c r="IP751" s="31"/>
      <c r="IQ751" s="31"/>
      <c r="IR751" s="31"/>
      <c r="IS751" s="31"/>
      <c r="IT751" s="31"/>
      <c r="IU751" s="31"/>
      <c r="IV751" s="31"/>
      <c r="IW751" s="31"/>
      <c r="IX751" s="31"/>
      <c r="IY751" s="31"/>
      <c r="IZ751" s="31"/>
      <c r="JA751" s="31"/>
      <c r="JB751" s="31"/>
      <c r="JC751" s="31"/>
      <c r="JD751" s="31"/>
      <c r="JE751" s="31"/>
      <c r="JF751" s="31"/>
      <c r="JG751" s="31"/>
      <c r="JH751" s="31"/>
      <c r="JI751" s="31"/>
      <c r="JJ751" s="31"/>
      <c r="JK751" s="31"/>
      <c r="JL751" s="31"/>
      <c r="JM751" s="31"/>
      <c r="JN751" s="31"/>
      <c r="JO751" s="31"/>
      <c r="JP751" s="31"/>
      <c r="JQ751" s="31"/>
      <c r="JR751" s="31"/>
      <c r="JS751" s="31"/>
      <c r="JT751" s="31"/>
      <c r="JU751" s="31"/>
      <c r="JV751" s="31"/>
      <c r="JW751" s="31"/>
      <c r="JX751" s="31"/>
      <c r="JY751" s="31"/>
      <c r="JZ751" s="31"/>
      <c r="KA751" s="31"/>
      <c r="KB751" s="31"/>
      <c r="KC751" s="31"/>
      <c r="KD751" s="31"/>
      <c r="KE751" s="31"/>
    </row>
    <row r="752" spans="1:291" s="156" customFormat="1" ht="35" customHeight="1">
      <c r="A752" s="42">
        <f>ROW()-2</f>
        <v>750</v>
      </c>
      <c r="B752" s="43" t="s">
        <v>2732</v>
      </c>
      <c r="C752" s="43" t="s">
        <v>4163</v>
      </c>
      <c r="D752" s="43" t="s">
        <v>4327</v>
      </c>
      <c r="E752" s="43" t="s">
        <v>5141</v>
      </c>
      <c r="F752" s="43" t="s">
        <v>3258</v>
      </c>
      <c r="G752" s="43" t="s">
        <v>34</v>
      </c>
      <c r="H752" s="43">
        <v>1</v>
      </c>
      <c r="I752" s="43">
        <v>0.5</v>
      </c>
      <c r="J752" s="53">
        <v>44424</v>
      </c>
      <c r="K752" s="43" t="s">
        <v>20</v>
      </c>
      <c r="L752" s="43">
        <v>4.99</v>
      </c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  <c r="CX752" s="31"/>
      <c r="CY752" s="31"/>
      <c r="CZ752" s="31"/>
      <c r="DA752" s="31"/>
      <c r="DB752" s="31"/>
      <c r="DC752" s="31"/>
      <c r="DD752" s="31"/>
      <c r="DE752" s="31"/>
      <c r="DF752" s="31"/>
      <c r="DG752" s="31"/>
      <c r="DH752" s="31"/>
      <c r="DI752" s="31"/>
      <c r="DJ752" s="31"/>
      <c r="DK752" s="31"/>
      <c r="DL752" s="31"/>
      <c r="DM752" s="31"/>
      <c r="DN752" s="31"/>
      <c r="DO752" s="31"/>
      <c r="DP752" s="31"/>
      <c r="DQ752" s="31"/>
      <c r="DR752" s="31"/>
      <c r="DS752" s="31"/>
      <c r="DT752" s="31"/>
      <c r="DU752" s="31"/>
      <c r="DV752" s="31"/>
      <c r="DW752" s="31"/>
      <c r="DX752" s="31"/>
      <c r="DY752" s="31"/>
      <c r="DZ752" s="31"/>
      <c r="EA752" s="31"/>
      <c r="EB752" s="31"/>
      <c r="EC752" s="31"/>
      <c r="ED752" s="31"/>
      <c r="EE752" s="31"/>
      <c r="EF752" s="31"/>
      <c r="EG752" s="31"/>
      <c r="EH752" s="31"/>
      <c r="EI752" s="31"/>
      <c r="EJ752" s="31"/>
      <c r="EK752" s="31"/>
      <c r="EL752" s="31"/>
      <c r="EM752" s="31"/>
      <c r="EN752" s="31"/>
      <c r="EO752" s="31"/>
      <c r="EP752" s="31"/>
      <c r="EQ752" s="31"/>
      <c r="ER752" s="31"/>
      <c r="ES752" s="31"/>
      <c r="ET752" s="31"/>
      <c r="EU752" s="31"/>
      <c r="EV752" s="31"/>
      <c r="EW752" s="31"/>
      <c r="EX752" s="31"/>
      <c r="EY752" s="31"/>
      <c r="EZ752" s="31"/>
      <c r="FA752" s="31"/>
      <c r="FB752" s="31"/>
      <c r="FC752" s="31"/>
      <c r="FD752" s="31"/>
      <c r="FE752" s="31"/>
      <c r="FF752" s="31"/>
      <c r="FG752" s="31"/>
      <c r="FH752" s="31"/>
      <c r="FI752" s="31"/>
      <c r="FJ752" s="31"/>
      <c r="FK752" s="31"/>
      <c r="FL752" s="31"/>
      <c r="FM752" s="31"/>
      <c r="FN752" s="31"/>
      <c r="FO752" s="31"/>
      <c r="FP752" s="31"/>
      <c r="FQ752" s="31"/>
      <c r="FR752" s="31"/>
      <c r="FS752" s="31"/>
      <c r="FT752" s="31"/>
      <c r="FU752" s="31"/>
      <c r="FV752" s="31"/>
      <c r="FW752" s="31"/>
      <c r="FX752" s="31"/>
      <c r="FY752" s="31"/>
      <c r="FZ752" s="31"/>
      <c r="GA752" s="31"/>
      <c r="GB752" s="31"/>
      <c r="GC752" s="31"/>
      <c r="GD752" s="31"/>
      <c r="GE752" s="31"/>
      <c r="GF752" s="31"/>
      <c r="GG752" s="31"/>
      <c r="GH752" s="31"/>
      <c r="GI752" s="31"/>
      <c r="GJ752" s="31"/>
      <c r="GK752" s="31"/>
      <c r="GL752" s="31"/>
      <c r="GM752" s="31"/>
      <c r="GN752" s="31"/>
      <c r="GO752" s="31"/>
      <c r="GP752" s="31"/>
      <c r="GQ752" s="31"/>
      <c r="GR752" s="31"/>
      <c r="GS752" s="31"/>
      <c r="GT752" s="31"/>
      <c r="GU752" s="31"/>
      <c r="GV752" s="31"/>
      <c r="GW752" s="31"/>
      <c r="GX752" s="31"/>
      <c r="GY752" s="31"/>
      <c r="GZ752" s="31"/>
      <c r="HA752" s="31"/>
      <c r="HB752" s="31"/>
      <c r="HC752" s="31"/>
      <c r="HD752" s="31"/>
      <c r="HE752" s="31"/>
      <c r="HF752" s="31"/>
      <c r="HG752" s="31"/>
      <c r="HH752" s="31"/>
      <c r="HI752" s="31"/>
      <c r="HJ752" s="31"/>
      <c r="HK752" s="31"/>
      <c r="HL752" s="31"/>
      <c r="HM752" s="31"/>
      <c r="HN752" s="31"/>
      <c r="HO752" s="31"/>
      <c r="HP752" s="31"/>
      <c r="HQ752" s="31"/>
      <c r="HR752" s="31"/>
      <c r="HS752" s="31"/>
      <c r="HT752" s="31"/>
      <c r="HU752" s="31"/>
      <c r="HV752" s="31"/>
      <c r="HW752" s="31"/>
      <c r="HX752" s="31"/>
      <c r="HY752" s="31"/>
      <c r="HZ752" s="31"/>
      <c r="IA752" s="31"/>
      <c r="IB752" s="31"/>
      <c r="IC752" s="31"/>
      <c r="ID752" s="31"/>
      <c r="IE752" s="31"/>
      <c r="IF752" s="31"/>
      <c r="IG752" s="31"/>
      <c r="IH752" s="31"/>
      <c r="II752" s="31"/>
      <c r="IJ752" s="31"/>
      <c r="IK752" s="31"/>
      <c r="IL752" s="31"/>
      <c r="IM752" s="31"/>
      <c r="IN752" s="31"/>
      <c r="IO752" s="31"/>
      <c r="IP752" s="31"/>
      <c r="IQ752" s="31"/>
      <c r="IR752" s="31"/>
      <c r="IS752" s="31"/>
      <c r="IT752" s="31"/>
      <c r="IU752" s="31"/>
      <c r="IV752" s="31"/>
      <c r="IW752" s="31"/>
      <c r="IX752" s="31"/>
      <c r="IY752" s="31"/>
      <c r="IZ752" s="31"/>
      <c r="JA752" s="31"/>
      <c r="JB752" s="31"/>
      <c r="JC752" s="31"/>
      <c r="JD752" s="31"/>
      <c r="JE752" s="31"/>
      <c r="JF752" s="31"/>
      <c r="JG752" s="31"/>
      <c r="JH752" s="31"/>
      <c r="JI752" s="31"/>
      <c r="JJ752" s="31"/>
      <c r="JK752" s="31"/>
      <c r="JL752" s="31"/>
      <c r="JM752" s="31"/>
      <c r="JN752" s="31"/>
      <c r="JO752" s="31"/>
      <c r="JP752" s="31"/>
      <c r="JQ752" s="31"/>
      <c r="JR752" s="31"/>
      <c r="JS752" s="31"/>
      <c r="JT752" s="31"/>
      <c r="JU752" s="31"/>
      <c r="JV752" s="31"/>
      <c r="JW752" s="31"/>
      <c r="JX752" s="31"/>
      <c r="JY752" s="31"/>
      <c r="JZ752" s="31"/>
      <c r="KA752" s="31"/>
      <c r="KB752" s="31"/>
      <c r="KC752" s="31"/>
      <c r="KD752" s="31"/>
      <c r="KE752" s="31"/>
    </row>
    <row r="753" spans="1:291" s="156" customFormat="1" ht="35" customHeight="1">
      <c r="A753" s="42">
        <f>ROW()-2</f>
        <v>751</v>
      </c>
      <c r="B753" s="43" t="s">
        <v>2732</v>
      </c>
      <c r="C753" s="43" t="s">
        <v>4163</v>
      </c>
      <c r="D753" s="43" t="s">
        <v>4329</v>
      </c>
      <c r="E753" s="43" t="s">
        <v>4330</v>
      </c>
      <c r="F753" s="43" t="s">
        <v>3258</v>
      </c>
      <c r="G753" s="43" t="s">
        <v>3253</v>
      </c>
      <c r="H753" s="43">
        <v>1</v>
      </c>
      <c r="I753" s="43">
        <v>0.5</v>
      </c>
      <c r="J753" s="53">
        <v>44431</v>
      </c>
      <c r="K753" s="43" t="s">
        <v>20</v>
      </c>
      <c r="L753" s="43">
        <v>4.99</v>
      </c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  <c r="FS753" s="30"/>
      <c r="FT753" s="30"/>
      <c r="FU753" s="30"/>
      <c r="FV753" s="30"/>
      <c r="FW753" s="30"/>
      <c r="FX753" s="30"/>
      <c r="FY753" s="30"/>
      <c r="FZ753" s="30"/>
      <c r="GA753" s="30"/>
      <c r="GB753" s="30"/>
      <c r="GC753" s="30"/>
      <c r="GD753" s="30"/>
      <c r="GE753" s="30"/>
      <c r="GF753" s="30"/>
      <c r="GG753" s="30"/>
      <c r="GH753" s="30"/>
      <c r="GI753" s="30"/>
      <c r="GJ753" s="30"/>
      <c r="GK753" s="30"/>
      <c r="GL753" s="30"/>
      <c r="GM753" s="30"/>
      <c r="GN753" s="30"/>
      <c r="GO753" s="30"/>
      <c r="GP753" s="30"/>
      <c r="GQ753" s="30"/>
      <c r="GR753" s="30"/>
      <c r="GS753" s="30"/>
      <c r="GT753" s="30"/>
      <c r="GU753" s="30"/>
      <c r="GV753" s="30"/>
      <c r="GW753" s="30"/>
      <c r="GX753" s="30"/>
      <c r="GY753" s="30"/>
      <c r="GZ753" s="30"/>
      <c r="HA753" s="30"/>
      <c r="HB753" s="30"/>
      <c r="HC753" s="30"/>
      <c r="HD753" s="30"/>
      <c r="HE753" s="30"/>
      <c r="HF753" s="30"/>
      <c r="HG753" s="30"/>
      <c r="HH753" s="30"/>
      <c r="HI753" s="30"/>
      <c r="HJ753" s="30"/>
      <c r="HK753" s="30"/>
      <c r="HL753" s="30"/>
      <c r="HM753" s="30"/>
      <c r="HN753" s="30"/>
      <c r="HO753" s="30"/>
      <c r="HP753" s="30"/>
      <c r="HQ753" s="30"/>
      <c r="HR753" s="30"/>
      <c r="HS753" s="30"/>
      <c r="HT753" s="30"/>
      <c r="HU753" s="30"/>
      <c r="HV753" s="30"/>
      <c r="HW753" s="30"/>
      <c r="HX753" s="30"/>
      <c r="HY753" s="30"/>
      <c r="HZ753" s="30"/>
      <c r="IA753" s="30"/>
      <c r="IB753" s="30"/>
      <c r="IC753" s="30"/>
      <c r="ID753" s="30"/>
      <c r="IE753" s="30"/>
      <c r="IF753" s="30"/>
      <c r="IG753" s="30"/>
      <c r="IH753" s="30"/>
      <c r="II753" s="30"/>
      <c r="IJ753" s="30"/>
      <c r="IK753" s="30"/>
      <c r="IL753" s="30"/>
      <c r="IM753" s="30"/>
      <c r="IN753" s="30"/>
      <c r="IO753" s="30"/>
      <c r="IP753" s="30"/>
      <c r="IQ753" s="30"/>
      <c r="IR753" s="30"/>
      <c r="IS753" s="30"/>
      <c r="IT753" s="30"/>
      <c r="IU753" s="30"/>
      <c r="IV753" s="30"/>
      <c r="IW753" s="30"/>
      <c r="IX753" s="30"/>
      <c r="IY753" s="30"/>
      <c r="IZ753" s="30"/>
      <c r="JA753" s="30"/>
      <c r="JB753" s="30"/>
      <c r="JC753" s="30"/>
      <c r="JD753" s="30"/>
      <c r="JE753" s="30"/>
      <c r="JF753" s="30"/>
      <c r="JG753" s="30"/>
      <c r="JH753" s="30"/>
      <c r="JI753" s="30"/>
      <c r="JJ753" s="30"/>
      <c r="JK753" s="30"/>
      <c r="JL753" s="30"/>
      <c r="JM753" s="30"/>
      <c r="JN753" s="30"/>
      <c r="JO753" s="30"/>
      <c r="JP753" s="30"/>
      <c r="JQ753" s="30"/>
      <c r="JR753" s="30"/>
      <c r="JS753" s="30"/>
      <c r="JT753" s="30"/>
      <c r="JU753" s="30"/>
      <c r="JV753" s="30"/>
      <c r="JW753" s="30"/>
      <c r="JX753" s="30"/>
      <c r="JY753" s="30"/>
      <c r="JZ753" s="30"/>
      <c r="KA753" s="30"/>
      <c r="KB753" s="30"/>
      <c r="KC753" s="30"/>
      <c r="KD753" s="30"/>
      <c r="KE753" s="30"/>
    </row>
    <row r="754" spans="1:291" s="156" customFormat="1" ht="35" customHeight="1">
      <c r="A754" s="42">
        <f>ROW()-2</f>
        <v>752</v>
      </c>
      <c r="B754" s="43" t="s">
        <v>2732</v>
      </c>
      <c r="C754" s="43" t="s">
        <v>4163</v>
      </c>
      <c r="D754" s="43" t="s">
        <v>4331</v>
      </c>
      <c r="E754" s="43" t="s">
        <v>4332</v>
      </c>
      <c r="F754" s="43" t="s">
        <v>4333</v>
      </c>
      <c r="G754" s="43" t="s">
        <v>3253</v>
      </c>
      <c r="H754" s="43">
        <v>1</v>
      </c>
      <c r="I754" s="43">
        <v>0.48</v>
      </c>
      <c r="J754" s="53">
        <v>44452</v>
      </c>
      <c r="K754" s="43" t="s">
        <v>20</v>
      </c>
      <c r="L754" s="43">
        <v>4.99</v>
      </c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  <c r="FS754" s="30"/>
      <c r="FT754" s="30"/>
      <c r="FU754" s="30"/>
      <c r="FV754" s="30"/>
      <c r="FW754" s="30"/>
      <c r="FX754" s="30"/>
      <c r="FY754" s="30"/>
      <c r="FZ754" s="30"/>
      <c r="GA754" s="30"/>
      <c r="GB754" s="30"/>
      <c r="GC754" s="30"/>
      <c r="GD754" s="30"/>
      <c r="GE754" s="30"/>
      <c r="GF754" s="30"/>
      <c r="GG754" s="30"/>
      <c r="GH754" s="30"/>
      <c r="GI754" s="30"/>
      <c r="GJ754" s="30"/>
      <c r="GK754" s="30"/>
      <c r="GL754" s="30"/>
      <c r="GM754" s="30"/>
      <c r="GN754" s="30"/>
      <c r="GO754" s="30"/>
      <c r="GP754" s="30"/>
      <c r="GQ754" s="30"/>
      <c r="GR754" s="30"/>
      <c r="GS754" s="30"/>
      <c r="GT754" s="30"/>
      <c r="GU754" s="30"/>
      <c r="GV754" s="30"/>
      <c r="GW754" s="30"/>
      <c r="GX754" s="30"/>
      <c r="GY754" s="30"/>
      <c r="GZ754" s="30"/>
      <c r="HA754" s="30"/>
      <c r="HB754" s="30"/>
      <c r="HC754" s="30"/>
      <c r="HD754" s="30"/>
      <c r="HE754" s="30"/>
      <c r="HF754" s="30"/>
      <c r="HG754" s="30"/>
      <c r="HH754" s="30"/>
      <c r="HI754" s="30"/>
      <c r="HJ754" s="30"/>
      <c r="HK754" s="30"/>
      <c r="HL754" s="30"/>
      <c r="HM754" s="30"/>
      <c r="HN754" s="30"/>
      <c r="HO754" s="30"/>
      <c r="HP754" s="30"/>
      <c r="HQ754" s="30"/>
      <c r="HR754" s="30"/>
      <c r="HS754" s="30"/>
      <c r="HT754" s="30"/>
      <c r="HU754" s="30"/>
      <c r="HV754" s="30"/>
      <c r="HW754" s="30"/>
      <c r="HX754" s="30"/>
      <c r="HY754" s="30"/>
      <c r="HZ754" s="30"/>
      <c r="IA754" s="30"/>
      <c r="IB754" s="30"/>
      <c r="IC754" s="30"/>
      <c r="ID754" s="30"/>
      <c r="IE754" s="30"/>
      <c r="IF754" s="30"/>
      <c r="IG754" s="30"/>
      <c r="IH754" s="30"/>
      <c r="II754" s="30"/>
      <c r="IJ754" s="30"/>
      <c r="IK754" s="30"/>
      <c r="IL754" s="30"/>
      <c r="IM754" s="30"/>
      <c r="IN754" s="30"/>
      <c r="IO754" s="30"/>
      <c r="IP754" s="30"/>
      <c r="IQ754" s="30"/>
      <c r="IR754" s="30"/>
      <c r="IS754" s="30"/>
      <c r="IT754" s="30"/>
      <c r="IU754" s="30"/>
      <c r="IV754" s="30"/>
      <c r="IW754" s="30"/>
      <c r="IX754" s="30"/>
      <c r="IY754" s="30"/>
      <c r="IZ754" s="30"/>
      <c r="JA754" s="30"/>
      <c r="JB754" s="30"/>
      <c r="JC754" s="30"/>
      <c r="JD754" s="30"/>
      <c r="JE754" s="30"/>
      <c r="JF754" s="30"/>
      <c r="JG754" s="30"/>
      <c r="JH754" s="30"/>
      <c r="JI754" s="30"/>
      <c r="JJ754" s="30"/>
      <c r="JK754" s="30"/>
      <c r="JL754" s="30"/>
      <c r="JM754" s="30"/>
      <c r="JN754" s="30"/>
      <c r="JO754" s="30"/>
      <c r="JP754" s="30"/>
      <c r="JQ754" s="30"/>
      <c r="JR754" s="30"/>
      <c r="JS754" s="30"/>
      <c r="JT754" s="30"/>
      <c r="JU754" s="30"/>
      <c r="JV754" s="30"/>
      <c r="JW754" s="30"/>
      <c r="JX754" s="30"/>
      <c r="JY754" s="30"/>
      <c r="JZ754" s="30"/>
      <c r="KA754" s="30"/>
      <c r="KB754" s="30"/>
      <c r="KC754" s="30"/>
      <c r="KD754" s="30"/>
      <c r="KE754" s="30"/>
    </row>
    <row r="755" spans="1:291" s="156" customFormat="1" ht="35" customHeight="1">
      <c r="A755" s="42">
        <f>ROW()-2</f>
        <v>753</v>
      </c>
      <c r="B755" s="42" t="s">
        <v>2732</v>
      </c>
      <c r="C755" s="43" t="s">
        <v>4334</v>
      </c>
      <c r="D755" s="43" t="s">
        <v>4335</v>
      </c>
      <c r="E755" s="43" t="s">
        <v>4336</v>
      </c>
      <c r="F755" s="43" t="s">
        <v>3940</v>
      </c>
      <c r="G755" s="43" t="s">
        <v>34</v>
      </c>
      <c r="H755" s="42">
        <v>1</v>
      </c>
      <c r="I755" s="42">
        <v>0.5</v>
      </c>
      <c r="J755" s="53">
        <v>44480</v>
      </c>
      <c r="K755" s="43" t="s">
        <v>20</v>
      </c>
      <c r="L755" s="42">
        <v>4.99</v>
      </c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  <c r="FS755" s="30"/>
      <c r="FT755" s="30"/>
      <c r="FU755" s="30"/>
      <c r="FV755" s="30"/>
      <c r="FW755" s="30"/>
      <c r="FX755" s="30"/>
      <c r="FY755" s="30"/>
      <c r="FZ755" s="30"/>
      <c r="GA755" s="30"/>
      <c r="GB755" s="30"/>
      <c r="GC755" s="30"/>
      <c r="GD755" s="30"/>
      <c r="GE755" s="30"/>
      <c r="GF755" s="30"/>
      <c r="GG755" s="30"/>
      <c r="GH755" s="30"/>
      <c r="GI755" s="30"/>
      <c r="GJ755" s="30"/>
      <c r="GK755" s="30"/>
      <c r="GL755" s="30"/>
      <c r="GM755" s="30"/>
      <c r="GN755" s="30"/>
      <c r="GO755" s="30"/>
      <c r="GP755" s="30"/>
      <c r="GQ755" s="30"/>
      <c r="GR755" s="30"/>
      <c r="GS755" s="30"/>
      <c r="GT755" s="30"/>
      <c r="GU755" s="30"/>
      <c r="GV755" s="30"/>
      <c r="GW755" s="30"/>
      <c r="GX755" s="30"/>
      <c r="GY755" s="30"/>
      <c r="GZ755" s="30"/>
      <c r="HA755" s="30"/>
      <c r="HB755" s="30"/>
      <c r="HC755" s="30"/>
      <c r="HD755" s="30"/>
      <c r="HE755" s="30"/>
      <c r="HF755" s="30"/>
      <c r="HG755" s="30"/>
      <c r="HH755" s="30"/>
      <c r="HI755" s="30"/>
      <c r="HJ755" s="30"/>
      <c r="HK755" s="30"/>
      <c r="HL755" s="30"/>
      <c r="HM755" s="30"/>
      <c r="HN755" s="30"/>
      <c r="HO755" s="30"/>
      <c r="HP755" s="30"/>
      <c r="HQ755" s="30"/>
      <c r="HR755" s="30"/>
      <c r="HS755" s="30"/>
      <c r="HT755" s="30"/>
      <c r="HU755" s="30"/>
      <c r="HV755" s="30"/>
      <c r="HW755" s="30"/>
      <c r="HX755" s="30"/>
      <c r="HY755" s="30"/>
      <c r="HZ755" s="30"/>
      <c r="IA755" s="30"/>
      <c r="IB755" s="30"/>
      <c r="IC755" s="30"/>
      <c r="ID755" s="30"/>
      <c r="IE755" s="30"/>
      <c r="IF755" s="30"/>
      <c r="IG755" s="30"/>
      <c r="IH755" s="30"/>
      <c r="II755" s="30"/>
      <c r="IJ755" s="30"/>
      <c r="IK755" s="30"/>
      <c r="IL755" s="30"/>
      <c r="IM755" s="30"/>
      <c r="IN755" s="30"/>
      <c r="IO755" s="30"/>
      <c r="IP755" s="30"/>
      <c r="IQ755" s="30"/>
      <c r="IR755" s="30"/>
      <c r="IS755" s="30"/>
      <c r="IT755" s="30"/>
      <c r="IU755" s="30"/>
      <c r="IV755" s="30"/>
      <c r="IW755" s="30"/>
      <c r="IX755" s="30"/>
      <c r="IY755" s="30"/>
      <c r="IZ755" s="30"/>
      <c r="JA755" s="30"/>
      <c r="JB755" s="30"/>
      <c r="JC755" s="30"/>
      <c r="JD755" s="30"/>
      <c r="JE755" s="30"/>
      <c r="JF755" s="30"/>
      <c r="JG755" s="30"/>
      <c r="JH755" s="30"/>
      <c r="JI755" s="30"/>
      <c r="JJ755" s="30"/>
      <c r="JK755" s="30"/>
      <c r="JL755" s="30"/>
      <c r="JM755" s="30"/>
      <c r="JN755" s="30"/>
      <c r="JO755" s="30"/>
      <c r="JP755" s="30"/>
      <c r="JQ755" s="30"/>
      <c r="JR755" s="30"/>
      <c r="JS755" s="30"/>
      <c r="JT755" s="30"/>
      <c r="JU755" s="30"/>
      <c r="JV755" s="30"/>
      <c r="JW755" s="30"/>
      <c r="JX755" s="30"/>
      <c r="JY755" s="30"/>
      <c r="JZ755" s="30"/>
      <c r="KA755" s="30"/>
      <c r="KB755" s="30"/>
      <c r="KC755" s="30"/>
      <c r="KD755" s="30"/>
      <c r="KE755" s="30"/>
    </row>
    <row r="756" spans="1:291" s="156" customFormat="1" ht="35" customHeight="1">
      <c r="A756" s="42">
        <f>ROW()-2</f>
        <v>754</v>
      </c>
      <c r="B756" s="42" t="s">
        <v>2732</v>
      </c>
      <c r="C756" s="43" t="s">
        <v>4334</v>
      </c>
      <c r="D756" s="43" t="s">
        <v>4337</v>
      </c>
      <c r="E756" s="43" t="s">
        <v>4338</v>
      </c>
      <c r="F756" s="43" t="s">
        <v>3258</v>
      </c>
      <c r="G756" s="43" t="s">
        <v>34</v>
      </c>
      <c r="H756" s="42">
        <v>1</v>
      </c>
      <c r="I756" s="42">
        <v>0.5</v>
      </c>
      <c r="J756" s="53">
        <v>44494</v>
      </c>
      <c r="K756" s="43" t="s">
        <v>20</v>
      </c>
      <c r="L756" s="42">
        <v>4.99</v>
      </c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  <c r="FS756" s="30"/>
      <c r="FT756" s="30"/>
      <c r="FU756" s="30"/>
      <c r="FV756" s="30"/>
      <c r="FW756" s="30"/>
      <c r="FX756" s="30"/>
      <c r="FY756" s="30"/>
      <c r="FZ756" s="30"/>
      <c r="GA756" s="30"/>
      <c r="GB756" s="30"/>
      <c r="GC756" s="30"/>
      <c r="GD756" s="30"/>
      <c r="GE756" s="30"/>
      <c r="GF756" s="30"/>
      <c r="GG756" s="30"/>
      <c r="GH756" s="30"/>
      <c r="GI756" s="30"/>
      <c r="GJ756" s="30"/>
      <c r="GK756" s="30"/>
      <c r="GL756" s="30"/>
      <c r="GM756" s="30"/>
      <c r="GN756" s="30"/>
      <c r="GO756" s="30"/>
      <c r="GP756" s="30"/>
      <c r="GQ756" s="30"/>
      <c r="GR756" s="30"/>
      <c r="GS756" s="30"/>
      <c r="GT756" s="30"/>
      <c r="GU756" s="30"/>
      <c r="GV756" s="30"/>
      <c r="GW756" s="30"/>
      <c r="GX756" s="30"/>
      <c r="GY756" s="30"/>
      <c r="GZ756" s="30"/>
      <c r="HA756" s="30"/>
      <c r="HB756" s="30"/>
      <c r="HC756" s="30"/>
      <c r="HD756" s="30"/>
      <c r="HE756" s="30"/>
      <c r="HF756" s="30"/>
      <c r="HG756" s="30"/>
      <c r="HH756" s="30"/>
      <c r="HI756" s="30"/>
      <c r="HJ756" s="30"/>
      <c r="HK756" s="30"/>
      <c r="HL756" s="30"/>
      <c r="HM756" s="30"/>
      <c r="HN756" s="30"/>
      <c r="HO756" s="30"/>
      <c r="HP756" s="30"/>
      <c r="HQ756" s="30"/>
      <c r="HR756" s="30"/>
      <c r="HS756" s="30"/>
      <c r="HT756" s="30"/>
      <c r="HU756" s="30"/>
      <c r="HV756" s="30"/>
      <c r="HW756" s="30"/>
      <c r="HX756" s="30"/>
      <c r="HY756" s="30"/>
      <c r="HZ756" s="30"/>
      <c r="IA756" s="30"/>
      <c r="IB756" s="30"/>
      <c r="IC756" s="30"/>
      <c r="ID756" s="30"/>
      <c r="IE756" s="30"/>
      <c r="IF756" s="30"/>
      <c r="IG756" s="30"/>
      <c r="IH756" s="30"/>
      <c r="II756" s="30"/>
      <c r="IJ756" s="30"/>
      <c r="IK756" s="30"/>
      <c r="IL756" s="30"/>
      <c r="IM756" s="30"/>
      <c r="IN756" s="30"/>
      <c r="IO756" s="30"/>
      <c r="IP756" s="30"/>
      <c r="IQ756" s="30"/>
      <c r="IR756" s="30"/>
      <c r="IS756" s="30"/>
      <c r="IT756" s="30"/>
      <c r="IU756" s="30"/>
      <c r="IV756" s="30"/>
      <c r="IW756" s="30"/>
      <c r="IX756" s="30"/>
      <c r="IY756" s="30"/>
      <c r="IZ756" s="30"/>
      <c r="JA756" s="30"/>
      <c r="JB756" s="30"/>
      <c r="JC756" s="30"/>
      <c r="JD756" s="30"/>
      <c r="JE756" s="30"/>
      <c r="JF756" s="30"/>
      <c r="JG756" s="30"/>
      <c r="JH756" s="30"/>
      <c r="JI756" s="30"/>
      <c r="JJ756" s="30"/>
      <c r="JK756" s="30"/>
      <c r="JL756" s="30"/>
      <c r="JM756" s="30"/>
      <c r="JN756" s="30"/>
      <c r="JO756" s="30"/>
      <c r="JP756" s="30"/>
      <c r="JQ756" s="30"/>
      <c r="JR756" s="30"/>
      <c r="JS756" s="30"/>
      <c r="JT756" s="30"/>
      <c r="JU756" s="30"/>
      <c r="JV756" s="30"/>
      <c r="JW756" s="30"/>
      <c r="JX756" s="30"/>
      <c r="JY756" s="30"/>
      <c r="JZ756" s="30"/>
      <c r="KA756" s="30"/>
      <c r="KB756" s="30"/>
      <c r="KC756" s="30"/>
      <c r="KD756" s="30"/>
      <c r="KE756" s="30"/>
    </row>
    <row r="757" spans="1:291" s="156" customFormat="1" ht="35" customHeight="1">
      <c r="A757" s="42">
        <f>ROW()-2</f>
        <v>755</v>
      </c>
      <c r="B757" s="42" t="s">
        <v>2732</v>
      </c>
      <c r="C757" s="43" t="s">
        <v>4334</v>
      </c>
      <c r="D757" s="43" t="s">
        <v>4339</v>
      </c>
      <c r="E757" s="43" t="s">
        <v>4340</v>
      </c>
      <c r="F757" s="43" t="s">
        <v>3258</v>
      </c>
      <c r="G757" s="43" t="s">
        <v>34</v>
      </c>
      <c r="H757" s="42">
        <v>1</v>
      </c>
      <c r="I757" s="42">
        <v>0.5</v>
      </c>
      <c r="J757" s="53">
        <v>44515</v>
      </c>
      <c r="K757" s="43" t="s">
        <v>20</v>
      </c>
      <c r="L757" s="42">
        <v>4.99</v>
      </c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  <c r="FS757" s="30"/>
      <c r="FT757" s="30"/>
      <c r="FU757" s="30"/>
      <c r="FV757" s="30"/>
      <c r="FW757" s="30"/>
      <c r="FX757" s="30"/>
      <c r="FY757" s="30"/>
      <c r="FZ757" s="30"/>
      <c r="GA757" s="30"/>
      <c r="GB757" s="30"/>
      <c r="GC757" s="30"/>
      <c r="GD757" s="30"/>
      <c r="GE757" s="30"/>
      <c r="GF757" s="30"/>
      <c r="GG757" s="30"/>
      <c r="GH757" s="30"/>
      <c r="GI757" s="30"/>
      <c r="GJ757" s="30"/>
      <c r="GK757" s="30"/>
      <c r="GL757" s="30"/>
      <c r="GM757" s="30"/>
      <c r="GN757" s="30"/>
      <c r="GO757" s="30"/>
      <c r="GP757" s="30"/>
      <c r="GQ757" s="30"/>
      <c r="GR757" s="30"/>
      <c r="GS757" s="30"/>
      <c r="GT757" s="30"/>
      <c r="GU757" s="30"/>
      <c r="GV757" s="30"/>
      <c r="GW757" s="30"/>
      <c r="GX757" s="30"/>
      <c r="GY757" s="30"/>
      <c r="GZ757" s="30"/>
      <c r="HA757" s="30"/>
      <c r="HB757" s="30"/>
      <c r="HC757" s="30"/>
      <c r="HD757" s="30"/>
      <c r="HE757" s="30"/>
      <c r="HF757" s="30"/>
      <c r="HG757" s="30"/>
      <c r="HH757" s="30"/>
      <c r="HI757" s="30"/>
      <c r="HJ757" s="30"/>
      <c r="HK757" s="30"/>
      <c r="HL757" s="30"/>
      <c r="HM757" s="30"/>
      <c r="HN757" s="30"/>
      <c r="HO757" s="30"/>
      <c r="HP757" s="30"/>
      <c r="HQ757" s="30"/>
      <c r="HR757" s="30"/>
      <c r="HS757" s="30"/>
      <c r="HT757" s="30"/>
      <c r="HU757" s="30"/>
      <c r="HV757" s="30"/>
      <c r="HW757" s="30"/>
      <c r="HX757" s="30"/>
      <c r="HY757" s="30"/>
      <c r="HZ757" s="30"/>
      <c r="IA757" s="30"/>
      <c r="IB757" s="30"/>
      <c r="IC757" s="30"/>
      <c r="ID757" s="30"/>
      <c r="IE757" s="30"/>
      <c r="IF757" s="30"/>
      <c r="IG757" s="30"/>
      <c r="IH757" s="30"/>
      <c r="II757" s="30"/>
      <c r="IJ757" s="30"/>
      <c r="IK757" s="30"/>
      <c r="IL757" s="30"/>
      <c r="IM757" s="30"/>
      <c r="IN757" s="30"/>
      <c r="IO757" s="30"/>
      <c r="IP757" s="30"/>
      <c r="IQ757" s="30"/>
      <c r="IR757" s="30"/>
      <c r="IS757" s="30"/>
      <c r="IT757" s="30"/>
      <c r="IU757" s="30"/>
      <c r="IV757" s="30"/>
      <c r="IW757" s="30"/>
      <c r="IX757" s="30"/>
      <c r="IY757" s="30"/>
      <c r="IZ757" s="30"/>
      <c r="JA757" s="30"/>
      <c r="JB757" s="30"/>
      <c r="JC757" s="30"/>
      <c r="JD757" s="30"/>
      <c r="JE757" s="30"/>
      <c r="JF757" s="30"/>
      <c r="JG757" s="30"/>
      <c r="JH757" s="30"/>
      <c r="JI757" s="30"/>
      <c r="JJ757" s="30"/>
      <c r="JK757" s="30"/>
      <c r="JL757" s="30"/>
      <c r="JM757" s="30"/>
      <c r="JN757" s="30"/>
      <c r="JO757" s="30"/>
      <c r="JP757" s="30"/>
      <c r="JQ757" s="30"/>
      <c r="JR757" s="30"/>
      <c r="JS757" s="30"/>
      <c r="JT757" s="30"/>
      <c r="JU757" s="30"/>
      <c r="JV757" s="30"/>
      <c r="JW757" s="30"/>
      <c r="JX757" s="30"/>
      <c r="JY757" s="30"/>
      <c r="JZ757" s="30"/>
      <c r="KA757" s="30"/>
      <c r="KB757" s="30"/>
      <c r="KC757" s="30"/>
      <c r="KD757" s="30"/>
      <c r="KE757" s="30"/>
    </row>
    <row r="758" spans="1:291" s="156" customFormat="1" ht="35" customHeight="1">
      <c r="A758" s="42">
        <f>ROW()-2</f>
        <v>756</v>
      </c>
      <c r="B758" s="42" t="s">
        <v>2732</v>
      </c>
      <c r="C758" s="43" t="s">
        <v>4334</v>
      </c>
      <c r="D758" s="43" t="s">
        <v>4343</v>
      </c>
      <c r="E758" s="43" t="s">
        <v>4344</v>
      </c>
      <c r="F758" s="43" t="s">
        <v>3258</v>
      </c>
      <c r="G758" s="43" t="s">
        <v>34</v>
      </c>
      <c r="H758" s="42">
        <v>1</v>
      </c>
      <c r="I758" s="42">
        <v>0.5</v>
      </c>
      <c r="J758" s="53">
        <v>44558</v>
      </c>
      <c r="K758" s="43" t="s">
        <v>20</v>
      </c>
      <c r="L758" s="42">
        <v>4.99</v>
      </c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  <c r="FS758" s="30"/>
      <c r="FT758" s="30"/>
      <c r="FU758" s="30"/>
      <c r="FV758" s="30"/>
      <c r="FW758" s="30"/>
      <c r="FX758" s="30"/>
      <c r="FY758" s="30"/>
      <c r="FZ758" s="30"/>
      <c r="GA758" s="30"/>
      <c r="GB758" s="30"/>
      <c r="GC758" s="30"/>
      <c r="GD758" s="30"/>
      <c r="GE758" s="30"/>
      <c r="GF758" s="30"/>
      <c r="GG758" s="30"/>
      <c r="GH758" s="30"/>
      <c r="GI758" s="30"/>
      <c r="GJ758" s="30"/>
      <c r="GK758" s="30"/>
      <c r="GL758" s="30"/>
      <c r="GM758" s="30"/>
      <c r="GN758" s="30"/>
      <c r="GO758" s="30"/>
      <c r="GP758" s="30"/>
      <c r="GQ758" s="30"/>
      <c r="GR758" s="30"/>
      <c r="GS758" s="30"/>
      <c r="GT758" s="30"/>
      <c r="GU758" s="30"/>
      <c r="GV758" s="30"/>
      <c r="GW758" s="30"/>
      <c r="GX758" s="30"/>
      <c r="GY758" s="30"/>
      <c r="GZ758" s="30"/>
      <c r="HA758" s="30"/>
      <c r="HB758" s="30"/>
      <c r="HC758" s="30"/>
      <c r="HD758" s="30"/>
      <c r="HE758" s="30"/>
      <c r="HF758" s="30"/>
      <c r="HG758" s="30"/>
      <c r="HH758" s="30"/>
      <c r="HI758" s="30"/>
      <c r="HJ758" s="30"/>
      <c r="HK758" s="30"/>
      <c r="HL758" s="30"/>
      <c r="HM758" s="30"/>
      <c r="HN758" s="30"/>
      <c r="HO758" s="30"/>
      <c r="HP758" s="30"/>
      <c r="HQ758" s="30"/>
      <c r="HR758" s="30"/>
      <c r="HS758" s="30"/>
      <c r="HT758" s="30"/>
      <c r="HU758" s="30"/>
      <c r="HV758" s="30"/>
      <c r="HW758" s="30"/>
      <c r="HX758" s="30"/>
      <c r="HY758" s="30"/>
      <c r="HZ758" s="30"/>
      <c r="IA758" s="30"/>
      <c r="IB758" s="30"/>
      <c r="IC758" s="30"/>
      <c r="ID758" s="30"/>
      <c r="IE758" s="30"/>
      <c r="IF758" s="30"/>
      <c r="IG758" s="30"/>
      <c r="IH758" s="30"/>
      <c r="II758" s="30"/>
      <c r="IJ758" s="30"/>
      <c r="IK758" s="30"/>
      <c r="IL758" s="30"/>
      <c r="IM758" s="30"/>
      <c r="IN758" s="30"/>
      <c r="IO758" s="30"/>
      <c r="IP758" s="30"/>
      <c r="IQ758" s="30"/>
      <c r="IR758" s="30"/>
      <c r="IS758" s="30"/>
      <c r="IT758" s="30"/>
      <c r="IU758" s="30"/>
      <c r="IV758" s="30"/>
      <c r="IW758" s="30"/>
      <c r="IX758" s="30"/>
      <c r="IY758" s="30"/>
      <c r="IZ758" s="30"/>
      <c r="JA758" s="30"/>
      <c r="JB758" s="30"/>
      <c r="JC758" s="30"/>
      <c r="JD758" s="30"/>
      <c r="JE758" s="30"/>
      <c r="JF758" s="30"/>
      <c r="JG758" s="30"/>
      <c r="JH758" s="30"/>
      <c r="JI758" s="30"/>
      <c r="JJ758" s="30"/>
      <c r="JK758" s="30"/>
      <c r="JL758" s="30"/>
      <c r="JM758" s="30"/>
      <c r="JN758" s="30"/>
      <c r="JO758" s="30"/>
      <c r="JP758" s="30"/>
      <c r="JQ758" s="30"/>
      <c r="JR758" s="30"/>
      <c r="JS758" s="30"/>
      <c r="JT758" s="30"/>
      <c r="JU758" s="30"/>
      <c r="JV758" s="30"/>
      <c r="JW758" s="30"/>
      <c r="JX758" s="30"/>
      <c r="JY758" s="30"/>
      <c r="JZ758" s="30"/>
      <c r="KA758" s="30"/>
      <c r="KB758" s="30"/>
      <c r="KC758" s="30"/>
      <c r="KD758" s="30"/>
      <c r="KE758" s="30"/>
    </row>
    <row r="759" spans="1:291" s="156" customFormat="1" ht="35" customHeight="1">
      <c r="A759" s="42">
        <f>ROW()-2</f>
        <v>757</v>
      </c>
      <c r="B759" s="182" t="s">
        <v>5471</v>
      </c>
      <c r="C759" s="182" t="s">
        <v>5476</v>
      </c>
      <c r="D759" s="187" t="s">
        <v>5477</v>
      </c>
      <c r="E759" s="187" t="s">
        <v>5479</v>
      </c>
      <c r="F759" s="187" t="s">
        <v>5478</v>
      </c>
      <c r="G759" s="42" t="s">
        <v>3253</v>
      </c>
      <c r="H759" s="182">
        <v>1</v>
      </c>
      <c r="I759" s="206">
        <v>4.8</v>
      </c>
      <c r="J759" s="45">
        <v>44613</v>
      </c>
      <c r="K759" s="44" t="s">
        <v>20</v>
      </c>
      <c r="L759" s="182">
        <v>4.99</v>
      </c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  <c r="FS759" s="30"/>
      <c r="FT759" s="30"/>
      <c r="FU759" s="30"/>
      <c r="FV759" s="30"/>
      <c r="FW759" s="30"/>
      <c r="FX759" s="30"/>
      <c r="FY759" s="30"/>
      <c r="FZ759" s="30"/>
      <c r="GA759" s="30"/>
      <c r="GB759" s="30"/>
      <c r="GC759" s="30"/>
      <c r="GD759" s="30"/>
      <c r="GE759" s="30"/>
      <c r="GF759" s="30"/>
      <c r="GG759" s="30"/>
      <c r="GH759" s="30"/>
      <c r="GI759" s="30"/>
      <c r="GJ759" s="30"/>
      <c r="GK759" s="30"/>
      <c r="GL759" s="30"/>
      <c r="GM759" s="30"/>
      <c r="GN759" s="30"/>
      <c r="GO759" s="30"/>
      <c r="GP759" s="30"/>
      <c r="GQ759" s="30"/>
      <c r="GR759" s="30"/>
      <c r="GS759" s="30"/>
      <c r="GT759" s="30"/>
      <c r="GU759" s="30"/>
      <c r="GV759" s="30"/>
      <c r="GW759" s="30"/>
      <c r="GX759" s="30"/>
      <c r="GY759" s="30"/>
      <c r="GZ759" s="30"/>
      <c r="HA759" s="30"/>
      <c r="HB759" s="30"/>
      <c r="HC759" s="30"/>
      <c r="HD759" s="30"/>
      <c r="HE759" s="30"/>
      <c r="HF759" s="30"/>
      <c r="HG759" s="30"/>
      <c r="HH759" s="30"/>
      <c r="HI759" s="30"/>
      <c r="HJ759" s="30"/>
      <c r="HK759" s="30"/>
      <c r="HL759" s="30"/>
      <c r="HM759" s="30"/>
      <c r="HN759" s="30"/>
      <c r="HO759" s="30"/>
      <c r="HP759" s="30"/>
      <c r="HQ759" s="30"/>
      <c r="HR759" s="30"/>
      <c r="HS759" s="30"/>
      <c r="HT759" s="30"/>
      <c r="HU759" s="30"/>
      <c r="HV759" s="30"/>
      <c r="HW759" s="30"/>
      <c r="HX759" s="30"/>
      <c r="HY759" s="30"/>
      <c r="HZ759" s="30"/>
      <c r="IA759" s="30"/>
      <c r="IB759" s="30"/>
      <c r="IC759" s="30"/>
      <c r="ID759" s="30"/>
      <c r="IE759" s="30"/>
      <c r="IF759" s="30"/>
      <c r="IG759" s="30"/>
      <c r="IH759" s="30"/>
      <c r="II759" s="30"/>
      <c r="IJ759" s="30"/>
      <c r="IK759" s="30"/>
      <c r="IL759" s="30"/>
      <c r="IM759" s="30"/>
      <c r="IN759" s="30"/>
      <c r="IO759" s="30"/>
      <c r="IP759" s="30"/>
      <c r="IQ759" s="30"/>
      <c r="IR759" s="30"/>
      <c r="IS759" s="30"/>
      <c r="IT759" s="30"/>
      <c r="IU759" s="30"/>
      <c r="IV759" s="30"/>
      <c r="IW759" s="30"/>
      <c r="IX759" s="30"/>
      <c r="IY759" s="30"/>
      <c r="IZ759" s="30"/>
      <c r="JA759" s="30"/>
      <c r="JB759" s="30"/>
      <c r="JC759" s="30"/>
      <c r="JD759" s="30"/>
      <c r="JE759" s="30"/>
      <c r="JF759" s="30"/>
      <c r="JG759" s="30"/>
      <c r="JH759" s="30"/>
      <c r="JI759" s="30"/>
      <c r="JJ759" s="30"/>
      <c r="JK759" s="30"/>
      <c r="JL759" s="30"/>
      <c r="JM759" s="30"/>
      <c r="JN759" s="30"/>
      <c r="JO759" s="30"/>
      <c r="JP759" s="30"/>
      <c r="JQ759" s="30"/>
      <c r="JR759" s="30"/>
      <c r="JS759" s="30"/>
      <c r="JT759" s="30"/>
      <c r="JU759" s="30"/>
      <c r="JV759" s="30"/>
      <c r="JW759" s="30"/>
      <c r="JX759" s="30"/>
      <c r="JY759" s="30"/>
      <c r="JZ759" s="30"/>
      <c r="KA759" s="30"/>
      <c r="KB759" s="30"/>
      <c r="KC759" s="30"/>
      <c r="KD759" s="30"/>
      <c r="KE759" s="30"/>
    </row>
    <row r="760" spans="1:291" s="156" customFormat="1" ht="35" customHeight="1">
      <c r="A760" s="42">
        <f>ROW()-2</f>
        <v>758</v>
      </c>
      <c r="B760" s="182" t="s">
        <v>5629</v>
      </c>
      <c r="C760" s="182" t="s">
        <v>4163</v>
      </c>
      <c r="D760" s="187" t="s">
        <v>5625</v>
      </c>
      <c r="E760" s="270" t="s">
        <v>5627</v>
      </c>
      <c r="F760" s="270" t="s">
        <v>5628</v>
      </c>
      <c r="G760" s="42" t="s">
        <v>3253</v>
      </c>
      <c r="H760" s="182">
        <v>1</v>
      </c>
      <c r="I760" s="206">
        <v>0.5</v>
      </c>
      <c r="J760" s="209">
        <v>44620</v>
      </c>
      <c r="K760" s="206" t="s">
        <v>5157</v>
      </c>
      <c r="L760" s="182">
        <v>4.9000000000000004</v>
      </c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  <c r="FS760" s="30"/>
      <c r="FT760" s="30"/>
      <c r="FU760" s="30"/>
      <c r="FV760" s="30"/>
      <c r="FW760" s="30"/>
      <c r="FX760" s="30"/>
      <c r="FY760" s="30"/>
      <c r="FZ760" s="30"/>
      <c r="GA760" s="30"/>
      <c r="GB760" s="30"/>
      <c r="GC760" s="30"/>
      <c r="GD760" s="30"/>
      <c r="GE760" s="30"/>
      <c r="GF760" s="30"/>
      <c r="GG760" s="30"/>
      <c r="GH760" s="30"/>
      <c r="GI760" s="30"/>
      <c r="GJ760" s="30"/>
      <c r="GK760" s="30"/>
      <c r="GL760" s="30"/>
      <c r="GM760" s="30"/>
      <c r="GN760" s="30"/>
      <c r="GO760" s="30"/>
      <c r="GP760" s="30"/>
      <c r="GQ760" s="30"/>
      <c r="GR760" s="30"/>
      <c r="GS760" s="30"/>
      <c r="GT760" s="30"/>
      <c r="GU760" s="30"/>
      <c r="GV760" s="30"/>
      <c r="GW760" s="30"/>
      <c r="GX760" s="30"/>
      <c r="GY760" s="30"/>
      <c r="GZ760" s="30"/>
      <c r="HA760" s="30"/>
      <c r="HB760" s="30"/>
      <c r="HC760" s="30"/>
      <c r="HD760" s="30"/>
      <c r="HE760" s="30"/>
      <c r="HF760" s="30"/>
      <c r="HG760" s="30"/>
      <c r="HH760" s="30"/>
      <c r="HI760" s="30"/>
      <c r="HJ760" s="30"/>
      <c r="HK760" s="30"/>
      <c r="HL760" s="30"/>
      <c r="HM760" s="30"/>
      <c r="HN760" s="30"/>
      <c r="HO760" s="30"/>
      <c r="HP760" s="30"/>
      <c r="HQ760" s="30"/>
      <c r="HR760" s="30"/>
      <c r="HS760" s="30"/>
      <c r="HT760" s="30"/>
      <c r="HU760" s="30"/>
      <c r="HV760" s="30"/>
      <c r="HW760" s="30"/>
      <c r="HX760" s="30"/>
      <c r="HY760" s="30"/>
      <c r="HZ760" s="30"/>
      <c r="IA760" s="30"/>
      <c r="IB760" s="30"/>
      <c r="IC760" s="30"/>
      <c r="ID760" s="30"/>
      <c r="IE760" s="30"/>
      <c r="IF760" s="30"/>
      <c r="IG760" s="30"/>
      <c r="IH760" s="30"/>
      <c r="II760" s="30"/>
      <c r="IJ760" s="30"/>
      <c r="IK760" s="30"/>
      <c r="IL760" s="30"/>
      <c r="IM760" s="30"/>
      <c r="IN760" s="30"/>
      <c r="IO760" s="30"/>
      <c r="IP760" s="30"/>
      <c r="IQ760" s="30"/>
      <c r="IR760" s="30"/>
      <c r="IS760" s="30"/>
      <c r="IT760" s="30"/>
      <c r="IU760" s="30"/>
      <c r="IV760" s="30"/>
      <c r="IW760" s="30"/>
      <c r="IX760" s="30"/>
      <c r="IY760" s="30"/>
      <c r="IZ760" s="30"/>
      <c r="JA760" s="30"/>
      <c r="JB760" s="30"/>
      <c r="JC760" s="30"/>
      <c r="JD760" s="30"/>
      <c r="JE760" s="30"/>
      <c r="JF760" s="30"/>
      <c r="JG760" s="30"/>
      <c r="JH760" s="30"/>
      <c r="JI760" s="30"/>
      <c r="JJ760" s="30"/>
      <c r="JK760" s="30"/>
      <c r="JL760" s="30"/>
      <c r="JM760" s="30"/>
      <c r="JN760" s="30"/>
      <c r="JO760" s="30"/>
      <c r="JP760" s="30"/>
      <c r="JQ760" s="30"/>
      <c r="JR760" s="30"/>
      <c r="JS760" s="30"/>
      <c r="JT760" s="30"/>
      <c r="JU760" s="30"/>
      <c r="JV760" s="30"/>
      <c r="JW760" s="30"/>
      <c r="JX760" s="30"/>
      <c r="JY760" s="30"/>
      <c r="JZ760" s="30"/>
      <c r="KA760" s="30"/>
      <c r="KB760" s="30"/>
      <c r="KC760" s="30"/>
      <c r="KD760" s="30"/>
      <c r="KE760" s="30"/>
    </row>
    <row r="761" spans="1:291" s="156" customFormat="1" ht="35" customHeight="1">
      <c r="A761" s="42">
        <f>ROW()-2</f>
        <v>759</v>
      </c>
      <c r="B761" s="42" t="s">
        <v>2732</v>
      </c>
      <c r="C761" s="43" t="s">
        <v>4334</v>
      </c>
      <c r="D761" s="43" t="s">
        <v>4341</v>
      </c>
      <c r="E761" s="43" t="s">
        <v>4332</v>
      </c>
      <c r="F761" s="43" t="s">
        <v>3926</v>
      </c>
      <c r="G761" s="43" t="s">
        <v>34</v>
      </c>
      <c r="H761" s="42">
        <v>1</v>
      </c>
      <c r="I761" s="42">
        <v>0.5</v>
      </c>
      <c r="J761" s="53" t="s">
        <v>4342</v>
      </c>
      <c r="K761" s="43" t="s">
        <v>20</v>
      </c>
      <c r="L761" s="42">
        <v>4.99</v>
      </c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  <c r="FS761" s="30"/>
      <c r="FT761" s="30"/>
      <c r="FU761" s="30"/>
      <c r="FV761" s="30"/>
      <c r="FW761" s="30"/>
      <c r="FX761" s="30"/>
      <c r="FY761" s="30"/>
      <c r="FZ761" s="30"/>
      <c r="GA761" s="30"/>
      <c r="GB761" s="30"/>
      <c r="GC761" s="30"/>
      <c r="GD761" s="30"/>
      <c r="GE761" s="30"/>
      <c r="GF761" s="30"/>
      <c r="GG761" s="30"/>
      <c r="GH761" s="30"/>
      <c r="GI761" s="30"/>
      <c r="GJ761" s="30"/>
      <c r="GK761" s="30"/>
      <c r="GL761" s="30"/>
      <c r="GM761" s="30"/>
      <c r="GN761" s="30"/>
      <c r="GO761" s="30"/>
      <c r="GP761" s="30"/>
      <c r="GQ761" s="30"/>
      <c r="GR761" s="30"/>
      <c r="GS761" s="30"/>
      <c r="GT761" s="30"/>
      <c r="GU761" s="30"/>
      <c r="GV761" s="30"/>
      <c r="GW761" s="30"/>
      <c r="GX761" s="30"/>
      <c r="GY761" s="30"/>
      <c r="GZ761" s="30"/>
      <c r="HA761" s="30"/>
      <c r="HB761" s="30"/>
      <c r="HC761" s="30"/>
      <c r="HD761" s="30"/>
      <c r="HE761" s="30"/>
      <c r="HF761" s="30"/>
      <c r="HG761" s="30"/>
      <c r="HH761" s="30"/>
      <c r="HI761" s="30"/>
      <c r="HJ761" s="30"/>
      <c r="HK761" s="30"/>
      <c r="HL761" s="30"/>
      <c r="HM761" s="30"/>
      <c r="HN761" s="30"/>
      <c r="HO761" s="30"/>
      <c r="HP761" s="30"/>
      <c r="HQ761" s="30"/>
      <c r="HR761" s="30"/>
      <c r="HS761" s="30"/>
      <c r="HT761" s="30"/>
      <c r="HU761" s="30"/>
      <c r="HV761" s="30"/>
      <c r="HW761" s="30"/>
      <c r="HX761" s="30"/>
      <c r="HY761" s="30"/>
      <c r="HZ761" s="30"/>
      <c r="IA761" s="30"/>
      <c r="IB761" s="30"/>
      <c r="IC761" s="30"/>
      <c r="ID761" s="30"/>
      <c r="IE761" s="30"/>
      <c r="IF761" s="30"/>
      <c r="IG761" s="30"/>
      <c r="IH761" s="30"/>
      <c r="II761" s="30"/>
      <c r="IJ761" s="30"/>
      <c r="IK761" s="30"/>
      <c r="IL761" s="30"/>
      <c r="IM761" s="30"/>
      <c r="IN761" s="30"/>
      <c r="IO761" s="30"/>
      <c r="IP761" s="30"/>
      <c r="IQ761" s="30"/>
      <c r="IR761" s="30"/>
      <c r="IS761" s="30"/>
      <c r="IT761" s="30"/>
      <c r="IU761" s="30"/>
      <c r="IV761" s="30"/>
      <c r="IW761" s="30"/>
      <c r="IX761" s="30"/>
      <c r="IY761" s="30"/>
      <c r="IZ761" s="30"/>
      <c r="JA761" s="30"/>
      <c r="JB761" s="30"/>
      <c r="JC761" s="30"/>
      <c r="JD761" s="30"/>
      <c r="JE761" s="30"/>
      <c r="JF761" s="30"/>
      <c r="JG761" s="30"/>
      <c r="JH761" s="30"/>
      <c r="JI761" s="30"/>
      <c r="JJ761" s="30"/>
      <c r="JK761" s="30"/>
      <c r="JL761" s="30"/>
      <c r="JM761" s="30"/>
      <c r="JN761" s="30"/>
      <c r="JO761" s="30"/>
      <c r="JP761" s="30"/>
      <c r="JQ761" s="30"/>
      <c r="JR761" s="30"/>
      <c r="JS761" s="30"/>
      <c r="JT761" s="30"/>
      <c r="JU761" s="30"/>
      <c r="JV761" s="30"/>
      <c r="JW761" s="30"/>
      <c r="JX761" s="30"/>
      <c r="JY761" s="30"/>
      <c r="JZ761" s="30"/>
      <c r="KA761" s="30"/>
      <c r="KB761" s="30"/>
      <c r="KC761" s="30"/>
      <c r="KD761" s="30"/>
      <c r="KE761" s="30"/>
    </row>
    <row r="762" spans="1:291" s="156" customFormat="1" ht="35" customHeight="1">
      <c r="A762" s="42">
        <f>ROW()-2</f>
        <v>760</v>
      </c>
      <c r="B762" s="152" t="s">
        <v>2732</v>
      </c>
      <c r="C762" s="152" t="s">
        <v>4345</v>
      </c>
      <c r="D762" s="58" t="s">
        <v>4435</v>
      </c>
      <c r="E762" s="58" t="s">
        <v>4436</v>
      </c>
      <c r="F762" s="58" t="s">
        <v>2739</v>
      </c>
      <c r="G762" s="152" t="s">
        <v>34</v>
      </c>
      <c r="H762" s="152">
        <v>1</v>
      </c>
      <c r="I762" s="153">
        <v>0.46722222222222198</v>
      </c>
      <c r="J762" s="154">
        <v>43962</v>
      </c>
      <c r="K762" s="153" t="s">
        <v>20</v>
      </c>
      <c r="L762" s="152">
        <v>4.99</v>
      </c>
    </row>
    <row r="763" spans="1:291" s="156" customFormat="1" ht="35" customHeight="1">
      <c r="A763" s="42">
        <f>ROW()-2</f>
        <v>761</v>
      </c>
      <c r="B763" s="152" t="s">
        <v>2732</v>
      </c>
      <c r="C763" s="152" t="s">
        <v>4345</v>
      </c>
      <c r="D763" s="58" t="s">
        <v>4372</v>
      </c>
      <c r="E763" s="58" t="s">
        <v>4373</v>
      </c>
      <c r="F763" s="58" t="s">
        <v>4374</v>
      </c>
      <c r="G763" s="152" t="s">
        <v>34</v>
      </c>
      <c r="H763" s="152">
        <v>1</v>
      </c>
      <c r="I763" s="153">
        <v>0.302222222222222</v>
      </c>
      <c r="J763" s="154">
        <v>43962</v>
      </c>
      <c r="K763" s="153" t="s">
        <v>20</v>
      </c>
      <c r="L763" s="152">
        <v>4.99</v>
      </c>
    </row>
    <row r="764" spans="1:291" s="156" customFormat="1" ht="35" customHeight="1">
      <c r="A764" s="42">
        <f>ROW()-2</f>
        <v>762</v>
      </c>
      <c r="B764" s="152" t="s">
        <v>2732</v>
      </c>
      <c r="C764" s="152" t="s">
        <v>4345</v>
      </c>
      <c r="D764" s="58" t="s">
        <v>4397</v>
      </c>
      <c r="E764" s="58" t="s">
        <v>4398</v>
      </c>
      <c r="F764" s="58" t="s">
        <v>4399</v>
      </c>
      <c r="G764" s="152" t="s">
        <v>34</v>
      </c>
      <c r="H764" s="152">
        <v>1</v>
      </c>
      <c r="I764" s="153">
        <v>0.43777777777777799</v>
      </c>
      <c r="J764" s="154">
        <v>43962</v>
      </c>
      <c r="K764" s="153" t="s">
        <v>20</v>
      </c>
      <c r="L764" s="152">
        <v>4.99</v>
      </c>
    </row>
    <row r="765" spans="1:291" s="156" customFormat="1" ht="35" customHeight="1">
      <c r="A765" s="42">
        <f>ROW()-2</f>
        <v>763</v>
      </c>
      <c r="B765" s="152" t="s">
        <v>2732</v>
      </c>
      <c r="C765" s="152" t="s">
        <v>4345</v>
      </c>
      <c r="D765" s="58" t="s">
        <v>4432</v>
      </c>
      <c r="E765" s="58" t="s">
        <v>4433</v>
      </c>
      <c r="F765" s="58" t="s">
        <v>4434</v>
      </c>
      <c r="G765" s="152" t="s">
        <v>34</v>
      </c>
      <c r="H765" s="152">
        <v>1</v>
      </c>
      <c r="I765" s="153">
        <v>0.39861111111111103</v>
      </c>
      <c r="J765" s="154">
        <v>43962</v>
      </c>
      <c r="K765" s="153" t="s">
        <v>20</v>
      </c>
      <c r="L765" s="152">
        <v>4.99</v>
      </c>
    </row>
    <row r="766" spans="1:291" s="156" customFormat="1" ht="35" customHeight="1">
      <c r="A766" s="42">
        <f>ROW()-2</f>
        <v>764</v>
      </c>
      <c r="B766" s="152" t="s">
        <v>2732</v>
      </c>
      <c r="C766" s="152" t="s">
        <v>4345</v>
      </c>
      <c r="D766" s="58" t="s">
        <v>4501</v>
      </c>
      <c r="E766" s="58" t="s">
        <v>4502</v>
      </c>
      <c r="F766" s="58" t="s">
        <v>3961</v>
      </c>
      <c r="G766" s="152" t="s">
        <v>34</v>
      </c>
      <c r="H766" s="152">
        <v>1</v>
      </c>
      <c r="I766" s="153">
        <v>0.48055555555555601</v>
      </c>
      <c r="J766" s="154">
        <v>43962</v>
      </c>
      <c r="K766" s="153" t="s">
        <v>20</v>
      </c>
      <c r="L766" s="152">
        <v>4.99</v>
      </c>
    </row>
    <row r="767" spans="1:291" s="156" customFormat="1" ht="35" customHeight="1">
      <c r="A767" s="42">
        <f>ROW()-2</f>
        <v>765</v>
      </c>
      <c r="B767" s="152" t="s">
        <v>2732</v>
      </c>
      <c r="C767" s="152" t="s">
        <v>4345</v>
      </c>
      <c r="D767" s="58" t="s">
        <v>4524</v>
      </c>
      <c r="E767" s="58" t="s">
        <v>4525</v>
      </c>
      <c r="F767" s="58" t="s">
        <v>2840</v>
      </c>
      <c r="G767" s="152" t="s">
        <v>34</v>
      </c>
      <c r="H767" s="152">
        <v>1</v>
      </c>
      <c r="I767" s="153">
        <v>0.43277777777777798</v>
      </c>
      <c r="J767" s="154">
        <v>43962</v>
      </c>
      <c r="K767" s="153" t="s">
        <v>20</v>
      </c>
      <c r="L767" s="152">
        <v>4.99</v>
      </c>
    </row>
    <row r="768" spans="1:291" s="156" customFormat="1" ht="35" customHeight="1">
      <c r="A768" s="42">
        <f>ROW()-2</f>
        <v>766</v>
      </c>
      <c r="B768" s="152" t="s">
        <v>2732</v>
      </c>
      <c r="C768" s="152" t="s">
        <v>4345</v>
      </c>
      <c r="D768" s="58" t="s">
        <v>4541</v>
      </c>
      <c r="E768" s="58" t="s">
        <v>4302</v>
      </c>
      <c r="F768" s="58" t="s">
        <v>2739</v>
      </c>
      <c r="G768" s="152" t="s">
        <v>34</v>
      </c>
      <c r="H768" s="152">
        <v>1</v>
      </c>
      <c r="I768" s="153">
        <v>0.44083333333333302</v>
      </c>
      <c r="J768" s="154">
        <v>43962</v>
      </c>
      <c r="K768" s="153" t="s">
        <v>20</v>
      </c>
      <c r="L768" s="152">
        <v>4.99</v>
      </c>
    </row>
    <row r="769" spans="1:12" s="156" customFormat="1" ht="35" customHeight="1">
      <c r="A769" s="42">
        <f>ROW()-2</f>
        <v>767</v>
      </c>
      <c r="B769" s="152" t="s">
        <v>2732</v>
      </c>
      <c r="C769" s="152" t="s">
        <v>4345</v>
      </c>
      <c r="D769" s="58" t="s">
        <v>4557</v>
      </c>
      <c r="E769" s="58" t="s">
        <v>4249</v>
      </c>
      <c r="F769" s="58" t="s">
        <v>191</v>
      </c>
      <c r="G769" s="152" t="s">
        <v>34</v>
      </c>
      <c r="H769" s="152">
        <v>1</v>
      </c>
      <c r="I769" s="153">
        <v>0.42333333333333301</v>
      </c>
      <c r="J769" s="154">
        <v>43962</v>
      </c>
      <c r="K769" s="153" t="s">
        <v>20</v>
      </c>
      <c r="L769" s="152">
        <v>4.99</v>
      </c>
    </row>
    <row r="770" spans="1:12" s="156" customFormat="1" ht="35" customHeight="1">
      <c r="A770" s="42">
        <f>ROW()-2</f>
        <v>768</v>
      </c>
      <c r="B770" s="152" t="s">
        <v>2732</v>
      </c>
      <c r="C770" s="152" t="s">
        <v>4345</v>
      </c>
      <c r="D770" s="58" t="s">
        <v>4346</v>
      </c>
      <c r="E770" s="58" t="s">
        <v>4347</v>
      </c>
      <c r="F770" s="58" t="s">
        <v>3203</v>
      </c>
      <c r="G770" s="152" t="s">
        <v>34</v>
      </c>
      <c r="H770" s="152">
        <v>1</v>
      </c>
      <c r="I770" s="153">
        <v>0.37333333333333302</v>
      </c>
      <c r="J770" s="154">
        <v>43978</v>
      </c>
      <c r="K770" s="153" t="s">
        <v>20</v>
      </c>
      <c r="L770" s="152">
        <v>4.99</v>
      </c>
    </row>
    <row r="771" spans="1:12" s="156" customFormat="1" ht="35" customHeight="1">
      <c r="A771" s="42">
        <f>ROW()-2</f>
        <v>769</v>
      </c>
      <c r="B771" s="152" t="s">
        <v>2732</v>
      </c>
      <c r="C771" s="152" t="s">
        <v>4345</v>
      </c>
      <c r="D771" s="58" t="s">
        <v>4348</v>
      </c>
      <c r="E771" s="58" t="s">
        <v>4349</v>
      </c>
      <c r="F771" s="58" t="s">
        <v>2742</v>
      </c>
      <c r="G771" s="152" t="s">
        <v>34</v>
      </c>
      <c r="H771" s="152">
        <v>1</v>
      </c>
      <c r="I771" s="153">
        <v>0.55472222222222201</v>
      </c>
      <c r="J771" s="154">
        <v>43978</v>
      </c>
      <c r="K771" s="153" t="s">
        <v>20</v>
      </c>
      <c r="L771" s="152">
        <v>4.99</v>
      </c>
    </row>
    <row r="772" spans="1:12" s="156" customFormat="1" ht="35" customHeight="1">
      <c r="A772" s="42">
        <f>ROW()-2</f>
        <v>770</v>
      </c>
      <c r="B772" s="152" t="s">
        <v>2732</v>
      </c>
      <c r="C772" s="152" t="s">
        <v>4345</v>
      </c>
      <c r="D772" s="58" t="s">
        <v>4350</v>
      </c>
      <c r="E772" s="58" t="s">
        <v>56</v>
      </c>
      <c r="F772" s="58" t="s">
        <v>56</v>
      </c>
      <c r="G772" s="152" t="s">
        <v>34</v>
      </c>
      <c r="H772" s="152">
        <v>1</v>
      </c>
      <c r="I772" s="153">
        <v>0.45500000000000002</v>
      </c>
      <c r="J772" s="154">
        <v>43978</v>
      </c>
      <c r="K772" s="153" t="s">
        <v>20</v>
      </c>
      <c r="L772" s="152">
        <v>4.99</v>
      </c>
    </row>
    <row r="773" spans="1:12" s="156" customFormat="1" ht="35" customHeight="1">
      <c r="A773" s="42">
        <f>ROW()-2</f>
        <v>771</v>
      </c>
      <c r="B773" s="152" t="s">
        <v>2732</v>
      </c>
      <c r="C773" s="152" t="s">
        <v>4345</v>
      </c>
      <c r="D773" s="58" t="s">
        <v>4364</v>
      </c>
      <c r="E773" s="58" t="s">
        <v>4365</v>
      </c>
      <c r="F773" s="58" t="s">
        <v>3026</v>
      </c>
      <c r="G773" s="152" t="s">
        <v>34</v>
      </c>
      <c r="H773" s="152">
        <v>1</v>
      </c>
      <c r="I773" s="153">
        <v>0.52333333333333298</v>
      </c>
      <c r="J773" s="154">
        <v>43978</v>
      </c>
      <c r="K773" s="153" t="s">
        <v>20</v>
      </c>
      <c r="L773" s="152">
        <v>4.99</v>
      </c>
    </row>
    <row r="774" spans="1:12" s="156" customFormat="1" ht="35" customHeight="1">
      <c r="A774" s="42">
        <f>ROW()-2</f>
        <v>772</v>
      </c>
      <c r="B774" s="152" t="s">
        <v>2732</v>
      </c>
      <c r="C774" s="152" t="s">
        <v>4345</v>
      </c>
      <c r="D774" s="58" t="s">
        <v>4366</v>
      </c>
      <c r="E774" s="58" t="s">
        <v>3091</v>
      </c>
      <c r="F774" s="58" t="s">
        <v>807</v>
      </c>
      <c r="G774" s="152" t="s">
        <v>34</v>
      </c>
      <c r="H774" s="152">
        <v>1</v>
      </c>
      <c r="I774" s="153">
        <v>0.81833333333333302</v>
      </c>
      <c r="J774" s="154">
        <v>43978</v>
      </c>
      <c r="K774" s="153" t="s">
        <v>20</v>
      </c>
      <c r="L774" s="152">
        <v>4.99</v>
      </c>
    </row>
    <row r="775" spans="1:12" s="156" customFormat="1" ht="35" customHeight="1">
      <c r="A775" s="42">
        <f>ROW()-2</f>
        <v>773</v>
      </c>
      <c r="B775" s="152" t="s">
        <v>2732</v>
      </c>
      <c r="C775" s="152" t="s">
        <v>4345</v>
      </c>
      <c r="D775" s="58" t="s">
        <v>4367</v>
      </c>
      <c r="E775" s="58" t="s">
        <v>4368</v>
      </c>
      <c r="F775" s="58" t="s">
        <v>2804</v>
      </c>
      <c r="G775" s="152" t="s">
        <v>34</v>
      </c>
      <c r="H775" s="152">
        <v>1</v>
      </c>
      <c r="I775" s="153">
        <v>0.52500000000000002</v>
      </c>
      <c r="J775" s="154">
        <v>43978</v>
      </c>
      <c r="K775" s="153" t="s">
        <v>20</v>
      </c>
      <c r="L775" s="152">
        <v>4.99</v>
      </c>
    </row>
    <row r="776" spans="1:12" s="156" customFormat="1" ht="35" customHeight="1">
      <c r="A776" s="42">
        <f>ROW()-2</f>
        <v>774</v>
      </c>
      <c r="B776" s="152" t="s">
        <v>2732</v>
      </c>
      <c r="C776" s="152" t="s">
        <v>4345</v>
      </c>
      <c r="D776" s="58" t="s">
        <v>4369</v>
      </c>
      <c r="E776" s="58" t="s">
        <v>4370</v>
      </c>
      <c r="F776" s="58" t="s">
        <v>4371</v>
      </c>
      <c r="G776" s="152" t="s">
        <v>34</v>
      </c>
      <c r="H776" s="152">
        <v>1</v>
      </c>
      <c r="I776" s="153">
        <v>0.41388888888888897</v>
      </c>
      <c r="J776" s="154">
        <v>43978</v>
      </c>
      <c r="K776" s="153" t="s">
        <v>20</v>
      </c>
      <c r="L776" s="152">
        <v>4.99</v>
      </c>
    </row>
    <row r="777" spans="1:12" s="156" customFormat="1" ht="35" customHeight="1">
      <c r="A777" s="42">
        <f>ROW()-2</f>
        <v>775</v>
      </c>
      <c r="B777" s="152" t="s">
        <v>2732</v>
      </c>
      <c r="C777" s="152" t="s">
        <v>4345</v>
      </c>
      <c r="D777" s="58" t="s">
        <v>4375</v>
      </c>
      <c r="E777" s="58" t="s">
        <v>4376</v>
      </c>
      <c r="F777" s="58" t="s">
        <v>2932</v>
      </c>
      <c r="G777" s="152" t="s">
        <v>34</v>
      </c>
      <c r="H777" s="152">
        <v>1</v>
      </c>
      <c r="I777" s="153">
        <v>0.44472222222222202</v>
      </c>
      <c r="J777" s="154">
        <v>43978</v>
      </c>
      <c r="K777" s="153" t="s">
        <v>20</v>
      </c>
      <c r="L777" s="152">
        <v>4.99</v>
      </c>
    </row>
    <row r="778" spans="1:12" s="156" customFormat="1" ht="35" customHeight="1">
      <c r="A778" s="42">
        <f>ROW()-2</f>
        <v>776</v>
      </c>
      <c r="B778" s="152" t="s">
        <v>2732</v>
      </c>
      <c r="C778" s="152" t="s">
        <v>4345</v>
      </c>
      <c r="D778" s="58" t="s">
        <v>4377</v>
      </c>
      <c r="E778" s="58" t="s">
        <v>4378</v>
      </c>
      <c r="F778" s="58" t="s">
        <v>3135</v>
      </c>
      <c r="G778" s="152" t="s">
        <v>34</v>
      </c>
      <c r="H778" s="152">
        <v>1</v>
      </c>
      <c r="I778" s="153">
        <v>0.58472222222222203</v>
      </c>
      <c r="J778" s="154">
        <v>43978</v>
      </c>
      <c r="K778" s="153" t="s">
        <v>20</v>
      </c>
      <c r="L778" s="152">
        <v>4.99</v>
      </c>
    </row>
    <row r="779" spans="1:12" s="156" customFormat="1" ht="35" customHeight="1">
      <c r="A779" s="42">
        <f>ROW()-2</f>
        <v>777</v>
      </c>
      <c r="B779" s="152" t="s">
        <v>2732</v>
      </c>
      <c r="C779" s="152" t="s">
        <v>4345</v>
      </c>
      <c r="D779" s="58" t="s">
        <v>4379</v>
      </c>
      <c r="E779" s="58" t="s">
        <v>4380</v>
      </c>
      <c r="F779" s="58" t="s">
        <v>3135</v>
      </c>
      <c r="G779" s="152" t="s">
        <v>34</v>
      </c>
      <c r="H779" s="152">
        <v>1</v>
      </c>
      <c r="I779" s="153">
        <v>0.65416666666666701</v>
      </c>
      <c r="J779" s="154">
        <v>43978</v>
      </c>
      <c r="K779" s="153" t="s">
        <v>20</v>
      </c>
      <c r="L779" s="152">
        <v>4.99</v>
      </c>
    </row>
    <row r="780" spans="1:12" s="156" customFormat="1" ht="35" customHeight="1">
      <c r="A780" s="42">
        <f>ROW()-2</f>
        <v>778</v>
      </c>
      <c r="B780" s="152" t="s">
        <v>2732</v>
      </c>
      <c r="C780" s="152" t="s">
        <v>4345</v>
      </c>
      <c r="D780" s="58" t="s">
        <v>2549</v>
      </c>
      <c r="E780" s="58" t="s">
        <v>4385</v>
      </c>
      <c r="F780" s="58" t="s">
        <v>3140</v>
      </c>
      <c r="G780" s="152" t="s">
        <v>34</v>
      </c>
      <c r="H780" s="152">
        <v>1</v>
      </c>
      <c r="I780" s="153">
        <v>0.44916666666666699</v>
      </c>
      <c r="J780" s="154">
        <v>43978</v>
      </c>
      <c r="K780" s="153" t="s">
        <v>20</v>
      </c>
      <c r="L780" s="152">
        <v>4.99</v>
      </c>
    </row>
    <row r="781" spans="1:12" s="156" customFormat="1" ht="35" customHeight="1">
      <c r="A781" s="42">
        <f>ROW()-2</f>
        <v>779</v>
      </c>
      <c r="B781" s="152" t="s">
        <v>2732</v>
      </c>
      <c r="C781" s="152" t="s">
        <v>4345</v>
      </c>
      <c r="D781" s="58" t="s">
        <v>4386</v>
      </c>
      <c r="E781" s="58" t="s">
        <v>4387</v>
      </c>
      <c r="F781" s="58" t="s">
        <v>4388</v>
      </c>
      <c r="G781" s="152" t="s">
        <v>34</v>
      </c>
      <c r="H781" s="152">
        <v>1</v>
      </c>
      <c r="I781" s="153">
        <v>0.50722222222222202</v>
      </c>
      <c r="J781" s="154">
        <v>43978</v>
      </c>
      <c r="K781" s="153" t="s">
        <v>20</v>
      </c>
      <c r="L781" s="152">
        <v>4.99</v>
      </c>
    </row>
    <row r="782" spans="1:12" s="156" customFormat="1" ht="35" customHeight="1">
      <c r="A782" s="42">
        <f>ROW()-2</f>
        <v>780</v>
      </c>
      <c r="B782" s="152" t="s">
        <v>2732</v>
      </c>
      <c r="C782" s="152" t="s">
        <v>4345</v>
      </c>
      <c r="D782" s="58" t="s">
        <v>4389</v>
      </c>
      <c r="E782" s="58" t="s">
        <v>4390</v>
      </c>
      <c r="F782" s="58" t="s">
        <v>4391</v>
      </c>
      <c r="G782" s="152" t="s">
        <v>34</v>
      </c>
      <c r="H782" s="152">
        <v>1</v>
      </c>
      <c r="I782" s="153">
        <v>0.50166666666666704</v>
      </c>
      <c r="J782" s="154">
        <v>43978</v>
      </c>
      <c r="K782" s="153" t="s">
        <v>20</v>
      </c>
      <c r="L782" s="152">
        <v>4.99</v>
      </c>
    </row>
    <row r="783" spans="1:12" s="156" customFormat="1" ht="35" customHeight="1">
      <c r="A783" s="42">
        <f>ROW()-2</f>
        <v>781</v>
      </c>
      <c r="B783" s="152" t="s">
        <v>2732</v>
      </c>
      <c r="C783" s="152" t="s">
        <v>4345</v>
      </c>
      <c r="D783" s="58" t="s">
        <v>4392</v>
      </c>
      <c r="E783" s="58" t="s">
        <v>4393</v>
      </c>
      <c r="F783" s="58" t="s">
        <v>4394</v>
      </c>
      <c r="G783" s="152" t="s">
        <v>34</v>
      </c>
      <c r="H783" s="152">
        <v>1</v>
      </c>
      <c r="I783" s="153">
        <v>0.54222222222222205</v>
      </c>
      <c r="J783" s="154">
        <v>43978</v>
      </c>
      <c r="K783" s="153" t="s">
        <v>20</v>
      </c>
      <c r="L783" s="152">
        <v>4.99</v>
      </c>
    </row>
    <row r="784" spans="1:12" s="156" customFormat="1" ht="35" customHeight="1">
      <c r="A784" s="42">
        <f>ROW()-2</f>
        <v>782</v>
      </c>
      <c r="B784" s="152" t="s">
        <v>2732</v>
      </c>
      <c r="C784" s="152" t="s">
        <v>4345</v>
      </c>
      <c r="D784" s="58" t="s">
        <v>4395</v>
      </c>
      <c r="E784" s="58" t="s">
        <v>4396</v>
      </c>
      <c r="F784" s="58" t="s">
        <v>2864</v>
      </c>
      <c r="G784" s="152" t="s">
        <v>34</v>
      </c>
      <c r="H784" s="152">
        <v>1</v>
      </c>
      <c r="I784" s="153">
        <v>0.69</v>
      </c>
      <c r="J784" s="154">
        <v>43978</v>
      </c>
      <c r="K784" s="153" t="s">
        <v>20</v>
      </c>
      <c r="L784" s="152">
        <v>4.99</v>
      </c>
    </row>
    <row r="785" spans="1:12" s="156" customFormat="1" ht="35" customHeight="1">
      <c r="A785" s="42">
        <f>ROW()-2</f>
        <v>783</v>
      </c>
      <c r="B785" s="152" t="s">
        <v>2732</v>
      </c>
      <c r="C785" s="152" t="s">
        <v>4345</v>
      </c>
      <c r="D785" s="58" t="s">
        <v>4400</v>
      </c>
      <c r="E785" s="58" t="s">
        <v>4401</v>
      </c>
      <c r="F785" s="58" t="s">
        <v>2872</v>
      </c>
      <c r="G785" s="152" t="s">
        <v>34</v>
      </c>
      <c r="H785" s="152">
        <v>1</v>
      </c>
      <c r="I785" s="153">
        <v>0.84055555555555495</v>
      </c>
      <c r="J785" s="154">
        <v>43978</v>
      </c>
      <c r="K785" s="153" t="s">
        <v>20</v>
      </c>
      <c r="L785" s="152">
        <v>4.99</v>
      </c>
    </row>
    <row r="786" spans="1:12" s="156" customFormat="1" ht="35" customHeight="1">
      <c r="A786" s="42">
        <f>ROW()-2</f>
        <v>784</v>
      </c>
      <c r="B786" s="152" t="s">
        <v>2732</v>
      </c>
      <c r="C786" s="152" t="s">
        <v>4345</v>
      </c>
      <c r="D786" s="58" t="s">
        <v>4402</v>
      </c>
      <c r="E786" s="58" t="s">
        <v>4403</v>
      </c>
      <c r="F786" s="58" t="s">
        <v>4404</v>
      </c>
      <c r="G786" s="152" t="s">
        <v>34</v>
      </c>
      <c r="H786" s="152">
        <v>1</v>
      </c>
      <c r="I786" s="153">
        <v>0.49472222222222201</v>
      </c>
      <c r="J786" s="154">
        <v>43978</v>
      </c>
      <c r="K786" s="153" t="s">
        <v>20</v>
      </c>
      <c r="L786" s="152">
        <v>4.99</v>
      </c>
    </row>
    <row r="787" spans="1:12" s="156" customFormat="1" ht="35" customHeight="1">
      <c r="A787" s="42">
        <f>ROW()-2</f>
        <v>785</v>
      </c>
      <c r="B787" s="152" t="s">
        <v>2732</v>
      </c>
      <c r="C787" s="152" t="s">
        <v>4345</v>
      </c>
      <c r="D787" s="58" t="s">
        <v>4405</v>
      </c>
      <c r="E787" s="58" t="s">
        <v>4406</v>
      </c>
      <c r="F787" s="58" t="s">
        <v>2878</v>
      </c>
      <c r="G787" s="152" t="s">
        <v>34</v>
      </c>
      <c r="H787" s="152">
        <v>1</v>
      </c>
      <c r="I787" s="153">
        <v>0.50027777777777804</v>
      </c>
      <c r="J787" s="154">
        <v>43978</v>
      </c>
      <c r="K787" s="153" t="s">
        <v>20</v>
      </c>
      <c r="L787" s="152">
        <v>4.99</v>
      </c>
    </row>
    <row r="788" spans="1:12" s="156" customFormat="1" ht="35" customHeight="1">
      <c r="A788" s="42">
        <f>ROW()-2</f>
        <v>786</v>
      </c>
      <c r="B788" s="152" t="s">
        <v>2732</v>
      </c>
      <c r="C788" s="152" t="s">
        <v>4345</v>
      </c>
      <c r="D788" s="58" t="s">
        <v>4409</v>
      </c>
      <c r="E788" s="58" t="s">
        <v>4410</v>
      </c>
      <c r="F788" s="58" t="s">
        <v>4411</v>
      </c>
      <c r="G788" s="152" t="s">
        <v>34</v>
      </c>
      <c r="H788" s="152">
        <v>1</v>
      </c>
      <c r="I788" s="153">
        <v>0.483333333333333</v>
      </c>
      <c r="J788" s="154">
        <v>43978</v>
      </c>
      <c r="K788" s="153" t="s">
        <v>20</v>
      </c>
      <c r="L788" s="152">
        <v>4.99</v>
      </c>
    </row>
    <row r="789" spans="1:12" s="156" customFormat="1" ht="35" customHeight="1">
      <c r="A789" s="42">
        <f>ROW()-2</f>
        <v>787</v>
      </c>
      <c r="B789" s="152" t="s">
        <v>2732</v>
      </c>
      <c r="C789" s="152" t="s">
        <v>4345</v>
      </c>
      <c r="D789" s="58" t="s">
        <v>4412</v>
      </c>
      <c r="E789" s="58" t="s">
        <v>4413</v>
      </c>
      <c r="F789" s="58" t="s">
        <v>191</v>
      </c>
      <c r="G789" s="152" t="s">
        <v>34</v>
      </c>
      <c r="H789" s="152">
        <v>1</v>
      </c>
      <c r="I789" s="153">
        <v>0.76444444444444404</v>
      </c>
      <c r="J789" s="154">
        <v>43978</v>
      </c>
      <c r="K789" s="153" t="s">
        <v>20</v>
      </c>
      <c r="L789" s="152">
        <v>4.99</v>
      </c>
    </row>
    <row r="790" spans="1:12" s="156" customFormat="1" ht="35" customHeight="1">
      <c r="A790" s="42">
        <f>ROW()-2</f>
        <v>788</v>
      </c>
      <c r="B790" s="152" t="s">
        <v>2732</v>
      </c>
      <c r="C790" s="152" t="s">
        <v>4345</v>
      </c>
      <c r="D790" s="58" t="s">
        <v>4414</v>
      </c>
      <c r="E790" s="58" t="s">
        <v>4415</v>
      </c>
      <c r="F790" s="58" t="s">
        <v>191</v>
      </c>
      <c r="G790" s="152" t="s">
        <v>34</v>
      </c>
      <c r="H790" s="152">
        <v>1</v>
      </c>
      <c r="I790" s="153">
        <v>0.44444444444444398</v>
      </c>
      <c r="J790" s="154">
        <v>43978</v>
      </c>
      <c r="K790" s="153" t="s">
        <v>20</v>
      </c>
      <c r="L790" s="152">
        <v>4.99</v>
      </c>
    </row>
    <row r="791" spans="1:12" s="156" customFormat="1" ht="35" customHeight="1">
      <c r="A791" s="42">
        <f>ROW()-2</f>
        <v>789</v>
      </c>
      <c r="B791" s="152" t="s">
        <v>2732</v>
      </c>
      <c r="C791" s="152" t="s">
        <v>4345</v>
      </c>
      <c r="D791" s="58" t="s">
        <v>4416</v>
      </c>
      <c r="E791" s="58" t="s">
        <v>4417</v>
      </c>
      <c r="F791" s="58" t="s">
        <v>191</v>
      </c>
      <c r="G791" s="152" t="s">
        <v>34</v>
      </c>
      <c r="H791" s="152">
        <v>1</v>
      </c>
      <c r="I791" s="153">
        <v>0.77138888888888901</v>
      </c>
      <c r="J791" s="154">
        <v>43978</v>
      </c>
      <c r="K791" s="153" t="s">
        <v>20</v>
      </c>
      <c r="L791" s="152">
        <v>4.99</v>
      </c>
    </row>
    <row r="792" spans="1:12" s="156" customFormat="1" ht="35" customHeight="1">
      <c r="A792" s="42">
        <f>ROW()-2</f>
        <v>790</v>
      </c>
      <c r="B792" s="152" t="s">
        <v>2732</v>
      </c>
      <c r="C792" s="152" t="s">
        <v>4345</v>
      </c>
      <c r="D792" s="58" t="s">
        <v>4418</v>
      </c>
      <c r="E792" s="58" t="s">
        <v>4419</v>
      </c>
      <c r="F792" s="58" t="s">
        <v>2899</v>
      </c>
      <c r="G792" s="152" t="s">
        <v>34</v>
      </c>
      <c r="H792" s="152">
        <v>1</v>
      </c>
      <c r="I792" s="153">
        <v>0.19611111111111099</v>
      </c>
      <c r="J792" s="154">
        <v>43978</v>
      </c>
      <c r="K792" s="153" t="s">
        <v>20</v>
      </c>
      <c r="L792" s="152">
        <v>4.99</v>
      </c>
    </row>
    <row r="793" spans="1:12" s="156" customFormat="1" ht="35" customHeight="1">
      <c r="A793" s="42">
        <f>ROW()-2</f>
        <v>791</v>
      </c>
      <c r="B793" s="152" t="s">
        <v>2732</v>
      </c>
      <c r="C793" s="152" t="s">
        <v>4345</v>
      </c>
      <c r="D793" s="58" t="s">
        <v>4420</v>
      </c>
      <c r="E793" s="58" t="s">
        <v>4419</v>
      </c>
      <c r="F793" s="58" t="s">
        <v>2899</v>
      </c>
      <c r="G793" s="152" t="s">
        <v>34</v>
      </c>
      <c r="H793" s="152">
        <v>1</v>
      </c>
      <c r="I793" s="153">
        <v>0.179166666666667</v>
      </c>
      <c r="J793" s="154">
        <v>43978</v>
      </c>
      <c r="K793" s="153" t="s">
        <v>20</v>
      </c>
      <c r="L793" s="152">
        <v>4.99</v>
      </c>
    </row>
    <row r="794" spans="1:12" s="156" customFormat="1" ht="35" customHeight="1">
      <c r="A794" s="42">
        <f>ROW()-2</f>
        <v>792</v>
      </c>
      <c r="B794" s="152" t="s">
        <v>2732</v>
      </c>
      <c r="C794" s="152" t="s">
        <v>4345</v>
      </c>
      <c r="D794" s="58" t="s">
        <v>4421</v>
      </c>
      <c r="E794" s="58" t="s">
        <v>4422</v>
      </c>
      <c r="F794" s="58" t="s">
        <v>2899</v>
      </c>
      <c r="G794" s="152" t="s">
        <v>34</v>
      </c>
      <c r="H794" s="152">
        <v>1</v>
      </c>
      <c r="I794" s="153">
        <v>0.21027777777777801</v>
      </c>
      <c r="J794" s="154">
        <v>43978</v>
      </c>
      <c r="K794" s="153" t="s">
        <v>20</v>
      </c>
      <c r="L794" s="152">
        <v>4.99</v>
      </c>
    </row>
    <row r="795" spans="1:12" s="156" customFormat="1" ht="35" customHeight="1">
      <c r="A795" s="42">
        <f>ROW()-2</f>
        <v>793</v>
      </c>
      <c r="B795" s="152" t="s">
        <v>2732</v>
      </c>
      <c r="C795" s="152" t="s">
        <v>4345</v>
      </c>
      <c r="D795" s="58" t="s">
        <v>4423</v>
      </c>
      <c r="E795" s="58" t="s">
        <v>4422</v>
      </c>
      <c r="F795" s="58" t="s">
        <v>2899</v>
      </c>
      <c r="G795" s="152" t="s">
        <v>34</v>
      </c>
      <c r="H795" s="152">
        <v>1</v>
      </c>
      <c r="I795" s="153">
        <v>0.1925</v>
      </c>
      <c r="J795" s="154">
        <v>43978</v>
      </c>
      <c r="K795" s="153" t="s">
        <v>20</v>
      </c>
      <c r="L795" s="152">
        <v>4.99</v>
      </c>
    </row>
    <row r="796" spans="1:12" s="156" customFormat="1" ht="35" customHeight="1">
      <c r="A796" s="42">
        <f>ROW()-2</f>
        <v>794</v>
      </c>
      <c r="B796" s="152" t="s">
        <v>2732</v>
      </c>
      <c r="C796" s="152" t="s">
        <v>4345</v>
      </c>
      <c r="D796" s="58" t="s">
        <v>4424</v>
      </c>
      <c r="E796" s="58" t="s">
        <v>4425</v>
      </c>
      <c r="F796" s="58" t="s">
        <v>4426</v>
      </c>
      <c r="G796" s="152" t="s">
        <v>34</v>
      </c>
      <c r="H796" s="152">
        <v>1</v>
      </c>
      <c r="I796" s="153">
        <v>0.31861111111111101</v>
      </c>
      <c r="J796" s="154">
        <v>43978</v>
      </c>
      <c r="K796" s="153" t="s">
        <v>20</v>
      </c>
      <c r="L796" s="152">
        <v>4.99</v>
      </c>
    </row>
    <row r="797" spans="1:12" s="156" customFormat="1" ht="35" customHeight="1">
      <c r="A797" s="42">
        <f>ROW()-2</f>
        <v>795</v>
      </c>
      <c r="B797" s="152" t="s">
        <v>2732</v>
      </c>
      <c r="C797" s="152" t="s">
        <v>4345</v>
      </c>
      <c r="D797" s="58" t="s">
        <v>4427</v>
      </c>
      <c r="E797" s="58" t="s">
        <v>4428</v>
      </c>
      <c r="F797" s="58" t="s">
        <v>2919</v>
      </c>
      <c r="G797" s="152" t="s">
        <v>34</v>
      </c>
      <c r="H797" s="152">
        <v>1</v>
      </c>
      <c r="I797" s="153">
        <v>0.50611111111111096</v>
      </c>
      <c r="J797" s="154">
        <v>43978</v>
      </c>
      <c r="K797" s="153" t="s">
        <v>20</v>
      </c>
      <c r="L797" s="152">
        <v>4.99</v>
      </c>
    </row>
    <row r="798" spans="1:12" s="156" customFormat="1" ht="35" customHeight="1">
      <c r="A798" s="42">
        <f>ROW()-2</f>
        <v>796</v>
      </c>
      <c r="B798" s="152" t="s">
        <v>2732</v>
      </c>
      <c r="C798" s="152" t="s">
        <v>4345</v>
      </c>
      <c r="D798" s="58" t="s">
        <v>4429</v>
      </c>
      <c r="E798" s="58" t="s">
        <v>4430</v>
      </c>
      <c r="F798" s="58" t="s">
        <v>4431</v>
      </c>
      <c r="G798" s="152" t="s">
        <v>34</v>
      </c>
      <c r="H798" s="152">
        <v>1</v>
      </c>
      <c r="I798" s="153">
        <v>0.25083333333333302</v>
      </c>
      <c r="J798" s="154">
        <v>43978</v>
      </c>
      <c r="K798" s="153" t="s">
        <v>20</v>
      </c>
      <c r="L798" s="152">
        <v>4.99</v>
      </c>
    </row>
    <row r="799" spans="1:12" s="156" customFormat="1" ht="35" customHeight="1">
      <c r="A799" s="42">
        <f>ROW()-2</f>
        <v>797</v>
      </c>
      <c r="B799" s="152" t="s">
        <v>2732</v>
      </c>
      <c r="C799" s="152" t="s">
        <v>4345</v>
      </c>
      <c r="D799" s="58" t="s">
        <v>4498</v>
      </c>
      <c r="E799" s="58" t="s">
        <v>4499</v>
      </c>
      <c r="F799" s="58" t="s">
        <v>4500</v>
      </c>
      <c r="G799" s="152" t="s">
        <v>34</v>
      </c>
      <c r="H799" s="152">
        <v>1</v>
      </c>
      <c r="I799" s="153">
        <v>0.35388888888888897</v>
      </c>
      <c r="J799" s="154">
        <v>43978</v>
      </c>
      <c r="K799" s="153" t="s">
        <v>20</v>
      </c>
      <c r="L799" s="152">
        <v>4.99</v>
      </c>
    </row>
    <row r="800" spans="1:12" s="156" customFormat="1" ht="35" customHeight="1">
      <c r="A800" s="42">
        <f>ROW()-2</f>
        <v>798</v>
      </c>
      <c r="B800" s="152" t="s">
        <v>2732</v>
      </c>
      <c r="C800" s="152" t="s">
        <v>4345</v>
      </c>
      <c r="D800" s="58" t="s">
        <v>4503</v>
      </c>
      <c r="E800" s="58" t="s">
        <v>4349</v>
      </c>
      <c r="F800" s="58" t="s">
        <v>4504</v>
      </c>
      <c r="G800" s="152" t="s">
        <v>34</v>
      </c>
      <c r="H800" s="152">
        <v>1</v>
      </c>
      <c r="I800" s="153">
        <v>0.55694444444444402</v>
      </c>
      <c r="J800" s="154">
        <v>43978</v>
      </c>
      <c r="K800" s="153" t="s">
        <v>20</v>
      </c>
      <c r="L800" s="152">
        <v>4.99</v>
      </c>
    </row>
    <row r="801" spans="1:12" s="156" customFormat="1" ht="35" customHeight="1">
      <c r="A801" s="42">
        <f>ROW()-2</f>
        <v>799</v>
      </c>
      <c r="B801" s="152" t="s">
        <v>2732</v>
      </c>
      <c r="C801" s="152" t="s">
        <v>4345</v>
      </c>
      <c r="D801" s="58" t="s">
        <v>4505</v>
      </c>
      <c r="E801" s="58" t="s">
        <v>4349</v>
      </c>
      <c r="F801" s="58" t="s">
        <v>4504</v>
      </c>
      <c r="G801" s="152" t="s">
        <v>34</v>
      </c>
      <c r="H801" s="152">
        <v>1</v>
      </c>
      <c r="I801" s="153">
        <v>0.28388888888888902</v>
      </c>
      <c r="J801" s="154">
        <v>43978</v>
      </c>
      <c r="K801" s="153" t="s">
        <v>20</v>
      </c>
      <c r="L801" s="152">
        <v>4.99</v>
      </c>
    </row>
    <row r="802" spans="1:12" s="156" customFormat="1" ht="35" customHeight="1">
      <c r="A802" s="42">
        <f>ROW()-2</f>
        <v>800</v>
      </c>
      <c r="B802" s="152" t="s">
        <v>2732</v>
      </c>
      <c r="C802" s="152" t="s">
        <v>4345</v>
      </c>
      <c r="D802" s="58" t="s">
        <v>4506</v>
      </c>
      <c r="E802" s="58" t="s">
        <v>4507</v>
      </c>
      <c r="F802" s="58" t="s">
        <v>4508</v>
      </c>
      <c r="G802" s="152" t="s">
        <v>34</v>
      </c>
      <c r="H802" s="152">
        <v>1</v>
      </c>
      <c r="I802" s="153">
        <v>0.65777777777777802</v>
      </c>
      <c r="J802" s="154">
        <v>43978</v>
      </c>
      <c r="K802" s="153" t="s">
        <v>20</v>
      </c>
      <c r="L802" s="152">
        <v>4.99</v>
      </c>
    </row>
    <row r="803" spans="1:12" s="156" customFormat="1" ht="35" customHeight="1">
      <c r="A803" s="42">
        <f>ROW()-2</f>
        <v>801</v>
      </c>
      <c r="B803" s="152" t="s">
        <v>2732</v>
      </c>
      <c r="C803" s="152" t="s">
        <v>4345</v>
      </c>
      <c r="D803" s="58" t="s">
        <v>4509</v>
      </c>
      <c r="E803" s="58" t="s">
        <v>3632</v>
      </c>
      <c r="F803" s="58" t="s">
        <v>3203</v>
      </c>
      <c r="G803" s="152" t="s">
        <v>34</v>
      </c>
      <c r="H803" s="152">
        <v>1</v>
      </c>
      <c r="I803" s="153">
        <v>0.35611111111111099</v>
      </c>
      <c r="J803" s="154">
        <v>43978</v>
      </c>
      <c r="K803" s="153" t="s">
        <v>20</v>
      </c>
      <c r="L803" s="152">
        <v>4.99</v>
      </c>
    </row>
    <row r="804" spans="1:12" s="156" customFormat="1" ht="35" customHeight="1">
      <c r="A804" s="42">
        <f>ROW()-2</f>
        <v>802</v>
      </c>
      <c r="B804" s="152" t="s">
        <v>2732</v>
      </c>
      <c r="C804" s="152" t="s">
        <v>4345</v>
      </c>
      <c r="D804" s="58" t="s">
        <v>4510</v>
      </c>
      <c r="E804" s="58" t="s">
        <v>4511</v>
      </c>
      <c r="F804" s="58" t="s">
        <v>2773</v>
      </c>
      <c r="G804" s="152" t="s">
        <v>34</v>
      </c>
      <c r="H804" s="152">
        <v>1</v>
      </c>
      <c r="I804" s="153">
        <v>0.42749999999999999</v>
      </c>
      <c r="J804" s="154">
        <v>43978</v>
      </c>
      <c r="K804" s="153" t="s">
        <v>20</v>
      </c>
      <c r="L804" s="152">
        <v>4.99</v>
      </c>
    </row>
    <row r="805" spans="1:12" s="156" customFormat="1" ht="35" customHeight="1">
      <c r="A805" s="42">
        <f>ROW()-2</f>
        <v>803</v>
      </c>
      <c r="B805" s="152" t="s">
        <v>2732</v>
      </c>
      <c r="C805" s="152" t="s">
        <v>4345</v>
      </c>
      <c r="D805" s="58" t="s">
        <v>4512</v>
      </c>
      <c r="E805" s="58" t="s">
        <v>4513</v>
      </c>
      <c r="F805" s="58" t="s">
        <v>2773</v>
      </c>
      <c r="G805" s="152" t="s">
        <v>34</v>
      </c>
      <c r="H805" s="152">
        <v>1</v>
      </c>
      <c r="I805" s="153">
        <v>0.39194444444444398</v>
      </c>
      <c r="J805" s="154">
        <v>43978</v>
      </c>
      <c r="K805" s="153" t="s">
        <v>20</v>
      </c>
      <c r="L805" s="152">
        <v>4.99</v>
      </c>
    </row>
    <row r="806" spans="1:12" s="156" customFormat="1" ht="35" customHeight="1">
      <c r="A806" s="42">
        <f>ROW()-2</f>
        <v>804</v>
      </c>
      <c r="B806" s="152" t="s">
        <v>2732</v>
      </c>
      <c r="C806" s="152" t="s">
        <v>4345</v>
      </c>
      <c r="D806" s="58" t="s">
        <v>4514</v>
      </c>
      <c r="E806" s="58" t="s">
        <v>4515</v>
      </c>
      <c r="F806" s="58" t="s">
        <v>4516</v>
      </c>
      <c r="G806" s="152" t="s">
        <v>34</v>
      </c>
      <c r="H806" s="152">
        <v>1</v>
      </c>
      <c r="I806" s="153">
        <v>0.42277777777777797</v>
      </c>
      <c r="J806" s="154">
        <v>43978</v>
      </c>
      <c r="K806" s="153" t="s">
        <v>20</v>
      </c>
      <c r="L806" s="152">
        <v>4.99</v>
      </c>
    </row>
    <row r="807" spans="1:12" s="156" customFormat="1" ht="35" customHeight="1">
      <c r="A807" s="42">
        <f>ROW()-2</f>
        <v>805</v>
      </c>
      <c r="B807" s="152" t="s">
        <v>2732</v>
      </c>
      <c r="C807" s="152" t="s">
        <v>4345</v>
      </c>
      <c r="D807" s="58" t="s">
        <v>4517</v>
      </c>
      <c r="E807" s="58" t="s">
        <v>4518</v>
      </c>
      <c r="F807" s="58" t="s">
        <v>417</v>
      </c>
      <c r="G807" s="152" t="s">
        <v>34</v>
      </c>
      <c r="H807" s="152">
        <v>1</v>
      </c>
      <c r="I807" s="153">
        <v>0.77055555555555599</v>
      </c>
      <c r="J807" s="154">
        <v>43978</v>
      </c>
      <c r="K807" s="153" t="s">
        <v>20</v>
      </c>
      <c r="L807" s="152">
        <v>4.99</v>
      </c>
    </row>
    <row r="808" spans="1:12" s="156" customFormat="1" ht="35" customHeight="1">
      <c r="A808" s="42">
        <f>ROW()-2</f>
        <v>806</v>
      </c>
      <c r="B808" s="152" t="s">
        <v>2732</v>
      </c>
      <c r="C808" s="152" t="s">
        <v>4345</v>
      </c>
      <c r="D808" s="58" t="s">
        <v>4519</v>
      </c>
      <c r="E808" s="58" t="s">
        <v>4520</v>
      </c>
      <c r="F808" s="58" t="s">
        <v>3579</v>
      </c>
      <c r="G808" s="152" t="s">
        <v>34</v>
      </c>
      <c r="H808" s="152">
        <v>1</v>
      </c>
      <c r="I808" s="153">
        <v>0.55222222222222195</v>
      </c>
      <c r="J808" s="154">
        <v>43978</v>
      </c>
      <c r="K808" s="153" t="s">
        <v>20</v>
      </c>
      <c r="L808" s="152">
        <v>4.99</v>
      </c>
    </row>
    <row r="809" spans="1:12" s="156" customFormat="1" ht="35" customHeight="1">
      <c r="A809" s="42">
        <f>ROW()-2</f>
        <v>807</v>
      </c>
      <c r="B809" s="152" t="s">
        <v>2732</v>
      </c>
      <c r="C809" s="152" t="s">
        <v>4345</v>
      </c>
      <c r="D809" s="58" t="s">
        <v>4521</v>
      </c>
      <c r="E809" s="58" t="s">
        <v>4520</v>
      </c>
      <c r="F809" s="58" t="s">
        <v>3579</v>
      </c>
      <c r="G809" s="152" t="s">
        <v>34</v>
      </c>
      <c r="H809" s="152">
        <v>1</v>
      </c>
      <c r="I809" s="153">
        <v>0.36638888888888899</v>
      </c>
      <c r="J809" s="154">
        <v>43978</v>
      </c>
      <c r="K809" s="153" t="s">
        <v>20</v>
      </c>
      <c r="L809" s="152">
        <v>4.99</v>
      </c>
    </row>
    <row r="810" spans="1:12" s="156" customFormat="1" ht="35" customHeight="1">
      <c r="A810" s="42">
        <f>ROW()-2</f>
        <v>808</v>
      </c>
      <c r="B810" s="152" t="s">
        <v>2732</v>
      </c>
      <c r="C810" s="152" t="s">
        <v>4345</v>
      </c>
      <c r="D810" s="58" t="s">
        <v>4522</v>
      </c>
      <c r="E810" s="58" t="s">
        <v>4523</v>
      </c>
      <c r="F810" s="58" t="s">
        <v>3809</v>
      </c>
      <c r="G810" s="152" t="s">
        <v>34</v>
      </c>
      <c r="H810" s="152">
        <v>1</v>
      </c>
      <c r="I810" s="153">
        <v>0.46972222222222199</v>
      </c>
      <c r="J810" s="154">
        <v>43978</v>
      </c>
      <c r="K810" s="153" t="s">
        <v>20</v>
      </c>
      <c r="L810" s="152">
        <v>4.99</v>
      </c>
    </row>
    <row r="811" spans="1:12" s="156" customFormat="1" ht="35" customHeight="1">
      <c r="A811" s="42">
        <f>ROW()-2</f>
        <v>809</v>
      </c>
      <c r="B811" s="152" t="s">
        <v>2732</v>
      </c>
      <c r="C811" s="152" t="s">
        <v>4345</v>
      </c>
      <c r="D811" s="58" t="s">
        <v>4526</v>
      </c>
      <c r="E811" s="58" t="s">
        <v>4527</v>
      </c>
      <c r="F811" s="58" t="s">
        <v>2840</v>
      </c>
      <c r="G811" s="152" t="s">
        <v>34</v>
      </c>
      <c r="H811" s="152">
        <v>1</v>
      </c>
      <c r="I811" s="153">
        <v>0.43194444444444402</v>
      </c>
      <c r="J811" s="154">
        <v>43978</v>
      </c>
      <c r="K811" s="153" t="s">
        <v>20</v>
      </c>
      <c r="L811" s="152">
        <v>4.99</v>
      </c>
    </row>
    <row r="812" spans="1:12" s="156" customFormat="1" ht="35" customHeight="1">
      <c r="A812" s="42">
        <f>ROW()-2</f>
        <v>810</v>
      </c>
      <c r="B812" s="152" t="s">
        <v>2732</v>
      </c>
      <c r="C812" s="152" t="s">
        <v>4345</v>
      </c>
      <c r="D812" s="58" t="s">
        <v>4528</v>
      </c>
      <c r="E812" s="58" t="s">
        <v>4529</v>
      </c>
      <c r="F812" s="58" t="s">
        <v>2804</v>
      </c>
      <c r="G812" s="152" t="s">
        <v>34</v>
      </c>
      <c r="H812" s="152">
        <v>1</v>
      </c>
      <c r="I812" s="153">
        <v>0.56944444444444398</v>
      </c>
      <c r="J812" s="154">
        <v>43978</v>
      </c>
      <c r="K812" s="153" t="s">
        <v>20</v>
      </c>
      <c r="L812" s="152">
        <v>4.99</v>
      </c>
    </row>
    <row r="813" spans="1:12" s="156" customFormat="1" ht="35" customHeight="1">
      <c r="A813" s="42">
        <f>ROW()-2</f>
        <v>811</v>
      </c>
      <c r="B813" s="152" t="s">
        <v>2732</v>
      </c>
      <c r="C813" s="152" t="s">
        <v>4345</v>
      </c>
      <c r="D813" s="58" t="s">
        <v>4530</v>
      </c>
      <c r="E813" s="58" t="s">
        <v>4531</v>
      </c>
      <c r="F813" s="58" t="s">
        <v>2804</v>
      </c>
      <c r="G813" s="152" t="s">
        <v>34</v>
      </c>
      <c r="H813" s="152">
        <v>1</v>
      </c>
      <c r="I813" s="153">
        <v>0.51555555555555599</v>
      </c>
      <c r="J813" s="154">
        <v>43978</v>
      </c>
      <c r="K813" s="153" t="s">
        <v>20</v>
      </c>
      <c r="L813" s="152">
        <v>4.99</v>
      </c>
    </row>
    <row r="814" spans="1:12" s="156" customFormat="1" ht="35" customHeight="1">
      <c r="A814" s="42">
        <f>ROW()-2</f>
        <v>812</v>
      </c>
      <c r="B814" s="152" t="s">
        <v>2732</v>
      </c>
      <c r="C814" s="152" t="s">
        <v>4345</v>
      </c>
      <c r="D814" s="58" t="s">
        <v>4532</v>
      </c>
      <c r="E814" s="58" t="s">
        <v>4533</v>
      </c>
      <c r="F814" s="58" t="s">
        <v>3615</v>
      </c>
      <c r="G814" s="152" t="s">
        <v>34</v>
      </c>
      <c r="H814" s="152">
        <v>1</v>
      </c>
      <c r="I814" s="153">
        <v>0.396666666666667</v>
      </c>
      <c r="J814" s="154">
        <v>43978</v>
      </c>
      <c r="K814" s="153" t="s">
        <v>20</v>
      </c>
      <c r="L814" s="152">
        <v>4.99</v>
      </c>
    </row>
    <row r="815" spans="1:12" s="156" customFormat="1" ht="35" customHeight="1">
      <c r="A815" s="42">
        <f>ROW()-2</f>
        <v>813</v>
      </c>
      <c r="B815" s="152" t="s">
        <v>2732</v>
      </c>
      <c r="C815" s="152" t="s">
        <v>4345</v>
      </c>
      <c r="D815" s="58" t="s">
        <v>4534</v>
      </c>
      <c r="E815" s="58" t="s">
        <v>4535</v>
      </c>
      <c r="F815" s="58" t="s">
        <v>4536</v>
      </c>
      <c r="G815" s="152" t="s">
        <v>34</v>
      </c>
      <c r="H815" s="152">
        <v>1</v>
      </c>
      <c r="I815" s="153">
        <v>0.31805555555555598</v>
      </c>
      <c r="J815" s="154">
        <v>43978</v>
      </c>
      <c r="K815" s="153" t="s">
        <v>20</v>
      </c>
      <c r="L815" s="152">
        <v>4.99</v>
      </c>
    </row>
    <row r="816" spans="1:12" s="156" customFormat="1" ht="35" customHeight="1">
      <c r="A816" s="42">
        <f>ROW()-2</f>
        <v>814</v>
      </c>
      <c r="B816" s="152" t="s">
        <v>2732</v>
      </c>
      <c r="C816" s="152" t="s">
        <v>4345</v>
      </c>
      <c r="D816" s="58" t="s">
        <v>4537</v>
      </c>
      <c r="E816" s="58" t="s">
        <v>4538</v>
      </c>
      <c r="F816" s="58" t="s">
        <v>4224</v>
      </c>
      <c r="G816" s="152" t="s">
        <v>34</v>
      </c>
      <c r="H816" s="152">
        <v>1</v>
      </c>
      <c r="I816" s="153">
        <v>0.75083333333333302</v>
      </c>
      <c r="J816" s="154">
        <v>43978</v>
      </c>
      <c r="K816" s="153" t="s">
        <v>20</v>
      </c>
      <c r="L816" s="152">
        <v>4.99</v>
      </c>
    </row>
    <row r="817" spans="1:291" s="156" customFormat="1" ht="35" customHeight="1">
      <c r="A817" s="42">
        <f>ROW()-2</f>
        <v>815</v>
      </c>
      <c r="B817" s="152" t="s">
        <v>2732</v>
      </c>
      <c r="C817" s="152" t="s">
        <v>4345</v>
      </c>
      <c r="D817" s="58" t="s">
        <v>4539</v>
      </c>
      <c r="E817" s="58" t="s">
        <v>4540</v>
      </c>
      <c r="F817" s="58" t="s">
        <v>3978</v>
      </c>
      <c r="G817" s="159" t="s">
        <v>34</v>
      </c>
      <c r="H817" s="159">
        <v>1</v>
      </c>
      <c r="I817" s="160">
        <v>0.496111111111111</v>
      </c>
      <c r="J817" s="161">
        <v>43978</v>
      </c>
      <c r="K817" s="160" t="s">
        <v>20</v>
      </c>
      <c r="L817" s="159">
        <v>4.99</v>
      </c>
    </row>
    <row r="818" spans="1:291" s="156" customFormat="1" ht="35" customHeight="1">
      <c r="A818" s="42">
        <f>ROW()-2</f>
        <v>816</v>
      </c>
      <c r="B818" s="152" t="s">
        <v>2732</v>
      </c>
      <c r="C818" s="152" t="s">
        <v>4345</v>
      </c>
      <c r="D818" s="58" t="s">
        <v>4542</v>
      </c>
      <c r="E818" s="58" t="s">
        <v>4543</v>
      </c>
      <c r="F818" s="58" t="s">
        <v>4544</v>
      </c>
      <c r="G818" s="152" t="s">
        <v>34</v>
      </c>
      <c r="H818" s="152">
        <v>1</v>
      </c>
      <c r="I818" s="153">
        <v>0.87388888888888905</v>
      </c>
      <c r="J818" s="154">
        <v>43978</v>
      </c>
      <c r="K818" s="153" t="s">
        <v>20</v>
      </c>
      <c r="L818" s="152">
        <v>4.99</v>
      </c>
    </row>
    <row r="819" spans="1:291" s="156" customFormat="1" ht="35" customHeight="1">
      <c r="A819" s="42">
        <f>ROW()-2</f>
        <v>817</v>
      </c>
      <c r="B819" s="152" t="s">
        <v>2732</v>
      </c>
      <c r="C819" s="152" t="s">
        <v>4345</v>
      </c>
      <c r="D819" s="58" t="s">
        <v>4545</v>
      </c>
      <c r="E819" s="58" t="s">
        <v>4546</v>
      </c>
      <c r="F819" s="58" t="s">
        <v>3955</v>
      </c>
      <c r="G819" s="152" t="s">
        <v>34</v>
      </c>
      <c r="H819" s="152">
        <v>1</v>
      </c>
      <c r="I819" s="153">
        <v>0.48277777777777803</v>
      </c>
      <c r="J819" s="154">
        <v>43978</v>
      </c>
      <c r="K819" s="153" t="s">
        <v>20</v>
      </c>
      <c r="L819" s="152">
        <v>4.99</v>
      </c>
    </row>
    <row r="820" spans="1:291" s="156" customFormat="1" ht="35" customHeight="1">
      <c r="A820" s="42">
        <f>ROW()-2</f>
        <v>818</v>
      </c>
      <c r="B820" s="152" t="s">
        <v>2732</v>
      </c>
      <c r="C820" s="152" t="s">
        <v>4345</v>
      </c>
      <c r="D820" s="58" t="s">
        <v>1693</v>
      </c>
      <c r="E820" s="58" t="s">
        <v>4547</v>
      </c>
      <c r="F820" s="58" t="s">
        <v>959</v>
      </c>
      <c r="G820" s="152" t="s">
        <v>34</v>
      </c>
      <c r="H820" s="152">
        <v>1</v>
      </c>
      <c r="I820" s="153">
        <v>0.44833333333333297</v>
      </c>
      <c r="J820" s="154">
        <v>43978</v>
      </c>
      <c r="K820" s="153" t="s">
        <v>20</v>
      </c>
      <c r="L820" s="152">
        <v>4.99</v>
      </c>
    </row>
    <row r="821" spans="1:291" s="156" customFormat="1" ht="35" customHeight="1">
      <c r="A821" s="42">
        <f>ROW()-2</f>
        <v>819</v>
      </c>
      <c r="B821" s="152" t="s">
        <v>2732</v>
      </c>
      <c r="C821" s="152" t="s">
        <v>4345</v>
      </c>
      <c r="D821" s="58" t="s">
        <v>4548</v>
      </c>
      <c r="E821" s="58" t="s">
        <v>4549</v>
      </c>
      <c r="F821" s="58" t="s">
        <v>2864</v>
      </c>
      <c r="G821" s="152" t="s">
        <v>34</v>
      </c>
      <c r="H821" s="152">
        <v>1</v>
      </c>
      <c r="I821" s="153">
        <v>0.75916666666666699</v>
      </c>
      <c r="J821" s="154">
        <v>43978</v>
      </c>
      <c r="K821" s="153" t="s">
        <v>20</v>
      </c>
      <c r="L821" s="152">
        <v>4.99</v>
      </c>
    </row>
    <row r="822" spans="1:291" s="156" customFormat="1" ht="35" customHeight="1">
      <c r="A822" s="42">
        <f>ROW()-2</f>
        <v>820</v>
      </c>
      <c r="B822" s="152" t="s">
        <v>2732</v>
      </c>
      <c r="C822" s="152" t="s">
        <v>4345</v>
      </c>
      <c r="D822" s="58" t="s">
        <v>4550</v>
      </c>
      <c r="E822" s="58" t="s">
        <v>4551</v>
      </c>
      <c r="F822" s="58" t="s">
        <v>2872</v>
      </c>
      <c r="G822" s="152" t="s">
        <v>34</v>
      </c>
      <c r="H822" s="152">
        <v>1</v>
      </c>
      <c r="I822" s="153">
        <v>0.81777777777777805</v>
      </c>
      <c r="J822" s="154">
        <v>43978</v>
      </c>
      <c r="K822" s="153" t="s">
        <v>20</v>
      </c>
      <c r="L822" s="152">
        <v>4.99</v>
      </c>
    </row>
    <row r="823" spans="1:291" s="156" customFormat="1" ht="35" customHeight="1">
      <c r="A823" s="42">
        <f>ROW()-2</f>
        <v>821</v>
      </c>
      <c r="B823" s="152" t="s">
        <v>2732</v>
      </c>
      <c r="C823" s="152" t="s">
        <v>4345</v>
      </c>
      <c r="D823" s="58" t="s">
        <v>4552</v>
      </c>
      <c r="E823" s="58" t="s">
        <v>3404</v>
      </c>
      <c r="F823" s="58" t="s">
        <v>2878</v>
      </c>
      <c r="G823" s="152" t="s">
        <v>34</v>
      </c>
      <c r="H823" s="152">
        <v>1</v>
      </c>
      <c r="I823" s="153">
        <v>0.49555555555555603</v>
      </c>
      <c r="J823" s="154">
        <v>43978</v>
      </c>
      <c r="K823" s="153" t="s">
        <v>20</v>
      </c>
      <c r="L823" s="152">
        <v>4.99</v>
      </c>
    </row>
    <row r="824" spans="1:291" s="156" customFormat="1" ht="35" customHeight="1">
      <c r="A824" s="42">
        <f>ROW()-2</f>
        <v>822</v>
      </c>
      <c r="B824" s="152" t="s">
        <v>2732</v>
      </c>
      <c r="C824" s="152" t="s">
        <v>4345</v>
      </c>
      <c r="D824" s="58" t="s">
        <v>4553</v>
      </c>
      <c r="E824" s="58" t="s">
        <v>4359</v>
      </c>
      <c r="F824" s="58" t="s">
        <v>292</v>
      </c>
      <c r="G824" s="152" t="s">
        <v>34</v>
      </c>
      <c r="H824" s="152">
        <v>1</v>
      </c>
      <c r="I824" s="153">
        <v>0.46611111111111098</v>
      </c>
      <c r="J824" s="154">
        <v>43978</v>
      </c>
      <c r="K824" s="153" t="s">
        <v>20</v>
      </c>
      <c r="L824" s="152">
        <v>4.99</v>
      </c>
    </row>
    <row r="825" spans="1:291" s="156" customFormat="1" ht="35" customHeight="1">
      <c r="A825" s="42">
        <f>ROW()-2</f>
        <v>823</v>
      </c>
      <c r="B825" s="152" t="s">
        <v>2732</v>
      </c>
      <c r="C825" s="152" t="s">
        <v>4345</v>
      </c>
      <c r="D825" s="58" t="s">
        <v>4554</v>
      </c>
      <c r="E825" s="58" t="s">
        <v>4555</v>
      </c>
      <c r="F825" s="58" t="s">
        <v>4556</v>
      </c>
      <c r="G825" s="152" t="s">
        <v>34</v>
      </c>
      <c r="H825" s="152">
        <v>1</v>
      </c>
      <c r="I825" s="153">
        <v>0.33527777777777801</v>
      </c>
      <c r="J825" s="154">
        <v>43978</v>
      </c>
      <c r="K825" s="153" t="s">
        <v>20</v>
      </c>
      <c r="L825" s="152">
        <v>4.99</v>
      </c>
    </row>
    <row r="826" spans="1:291" s="156" customFormat="1" ht="35" customHeight="1">
      <c r="A826" s="42">
        <f>ROW()-2</f>
        <v>824</v>
      </c>
      <c r="B826" s="152" t="s">
        <v>2732</v>
      </c>
      <c r="C826" s="152" t="s">
        <v>4345</v>
      </c>
      <c r="D826" s="58" t="s">
        <v>4558</v>
      </c>
      <c r="E826" s="58" t="s">
        <v>4559</v>
      </c>
      <c r="F826" s="58" t="s">
        <v>619</v>
      </c>
      <c r="G826" s="152" t="s">
        <v>34</v>
      </c>
      <c r="H826" s="152">
        <v>1</v>
      </c>
      <c r="I826" s="153">
        <v>0.59694444444444394</v>
      </c>
      <c r="J826" s="154">
        <v>43978</v>
      </c>
      <c r="K826" s="153" t="s">
        <v>20</v>
      </c>
      <c r="L826" s="152">
        <v>4.99</v>
      </c>
    </row>
    <row r="827" spans="1:291" s="156" customFormat="1" ht="35" customHeight="1">
      <c r="A827" s="42">
        <f>ROW()-2</f>
        <v>825</v>
      </c>
      <c r="B827" s="152" t="s">
        <v>2732</v>
      </c>
      <c r="C827" s="152" t="s">
        <v>4345</v>
      </c>
      <c r="D827" s="58" t="s">
        <v>4560</v>
      </c>
      <c r="E827" s="58" t="s">
        <v>4561</v>
      </c>
      <c r="F827" s="58" t="s">
        <v>4562</v>
      </c>
      <c r="G827" s="152" t="s">
        <v>34</v>
      </c>
      <c r="H827" s="152">
        <v>1</v>
      </c>
      <c r="I827" s="153">
        <v>0.463055555555556</v>
      </c>
      <c r="J827" s="154">
        <v>43978</v>
      </c>
      <c r="K827" s="153" t="s">
        <v>20</v>
      </c>
      <c r="L827" s="152">
        <v>4.99</v>
      </c>
    </row>
    <row r="828" spans="1:291" s="156" customFormat="1" ht="35" customHeight="1">
      <c r="A828" s="42">
        <f>ROW()-2</f>
        <v>826</v>
      </c>
      <c r="B828" s="65" t="s">
        <v>2732</v>
      </c>
      <c r="C828" s="42" t="s">
        <v>4345</v>
      </c>
      <c r="D828" s="64" t="s">
        <v>4563</v>
      </c>
      <c r="E828" s="64" t="s">
        <v>4564</v>
      </c>
      <c r="F828" s="64" t="s">
        <v>3163</v>
      </c>
      <c r="G828" s="65" t="s">
        <v>34</v>
      </c>
      <c r="H828" s="42">
        <v>1</v>
      </c>
      <c r="I828" s="44">
        <v>0.618611111111111</v>
      </c>
      <c r="J828" s="72">
        <v>43978</v>
      </c>
      <c r="K828" s="71" t="s">
        <v>20</v>
      </c>
      <c r="L828" s="65">
        <v>4.99</v>
      </c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  <c r="CX828" s="31"/>
      <c r="CY828" s="31"/>
      <c r="CZ828" s="31"/>
      <c r="DA828" s="31"/>
      <c r="DB828" s="31"/>
      <c r="DC828" s="31"/>
      <c r="DD828" s="31"/>
      <c r="DE828" s="31"/>
      <c r="DF828" s="31"/>
      <c r="DG828" s="31"/>
      <c r="DH828" s="31"/>
      <c r="DI828" s="31"/>
      <c r="DJ828" s="31"/>
      <c r="DK828" s="31"/>
      <c r="DL828" s="31"/>
      <c r="DM828" s="31"/>
      <c r="DN828" s="31"/>
      <c r="DO828" s="31"/>
      <c r="DP828" s="31"/>
      <c r="DQ828" s="31"/>
      <c r="DR828" s="31"/>
      <c r="DS828" s="31"/>
      <c r="DT828" s="31"/>
      <c r="DU828" s="31"/>
      <c r="DV828" s="31"/>
      <c r="DW828" s="31"/>
      <c r="DX828" s="31"/>
      <c r="DY828" s="31"/>
      <c r="DZ828" s="31"/>
      <c r="EA828" s="31"/>
      <c r="EB828" s="31"/>
      <c r="EC828" s="31"/>
      <c r="ED828" s="31"/>
      <c r="EE828" s="31"/>
      <c r="EF828" s="31"/>
      <c r="EG828" s="31"/>
      <c r="EH828" s="31"/>
      <c r="EI828" s="31"/>
      <c r="EJ828" s="31"/>
      <c r="EK828" s="31"/>
      <c r="EL828" s="31"/>
      <c r="EM828" s="31"/>
      <c r="EN828" s="31"/>
      <c r="EO828" s="31"/>
      <c r="EP828" s="31"/>
      <c r="EQ828" s="31"/>
      <c r="ER828" s="31"/>
      <c r="ES828" s="31"/>
      <c r="ET828" s="31"/>
      <c r="EU828" s="31"/>
      <c r="EV828" s="31"/>
      <c r="EW828" s="31"/>
      <c r="EX828" s="31"/>
      <c r="EY828" s="31"/>
      <c r="EZ828" s="31"/>
      <c r="FA828" s="31"/>
      <c r="FB828" s="31"/>
      <c r="FC828" s="31"/>
      <c r="FD828" s="31"/>
      <c r="FE828" s="31"/>
      <c r="FF828" s="31"/>
      <c r="FG828" s="31"/>
      <c r="FH828" s="31"/>
      <c r="FI828" s="31"/>
      <c r="FJ828" s="31"/>
      <c r="FK828" s="31"/>
      <c r="FL828" s="31"/>
      <c r="FM828" s="31"/>
      <c r="FN828" s="31"/>
      <c r="FO828" s="31"/>
      <c r="FP828" s="31"/>
      <c r="FQ828" s="31"/>
      <c r="FR828" s="31"/>
      <c r="FS828" s="31"/>
      <c r="FT828" s="31"/>
      <c r="FU828" s="31"/>
      <c r="FV828" s="31"/>
      <c r="FW828" s="31"/>
      <c r="FX828" s="31"/>
      <c r="FY828" s="31"/>
      <c r="FZ828" s="31"/>
      <c r="GA828" s="31"/>
      <c r="GB828" s="31"/>
      <c r="GC828" s="31"/>
      <c r="GD828" s="31"/>
      <c r="GE828" s="31"/>
      <c r="GF828" s="31"/>
      <c r="GG828" s="31"/>
      <c r="GH828" s="31"/>
      <c r="GI828" s="31"/>
      <c r="GJ828" s="31"/>
      <c r="GK828" s="31"/>
      <c r="GL828" s="31"/>
      <c r="GM828" s="31"/>
      <c r="GN828" s="31"/>
      <c r="GO828" s="31"/>
      <c r="GP828" s="31"/>
      <c r="GQ828" s="31"/>
      <c r="GR828" s="31"/>
      <c r="GS828" s="31"/>
      <c r="GT828" s="31"/>
      <c r="GU828" s="31"/>
      <c r="GV828" s="31"/>
      <c r="GW828" s="31"/>
      <c r="GX828" s="31"/>
      <c r="GY828" s="31"/>
      <c r="GZ828" s="31"/>
      <c r="HA828" s="31"/>
      <c r="HB828" s="31"/>
      <c r="HC828" s="31"/>
      <c r="HD828" s="31"/>
      <c r="HE828" s="31"/>
      <c r="HF828" s="31"/>
      <c r="HG828" s="31"/>
      <c r="HH828" s="31"/>
      <c r="HI828" s="31"/>
      <c r="HJ828" s="31"/>
      <c r="HK828" s="31"/>
      <c r="HL828" s="31"/>
      <c r="HM828" s="31"/>
      <c r="HN828" s="31"/>
      <c r="HO828" s="31"/>
      <c r="HP828" s="31"/>
      <c r="HQ828" s="31"/>
      <c r="HR828" s="31"/>
      <c r="HS828" s="31"/>
      <c r="HT828" s="31"/>
      <c r="HU828" s="31"/>
      <c r="HV828" s="31"/>
      <c r="HW828" s="31"/>
      <c r="HX828" s="31"/>
      <c r="HY828" s="31"/>
      <c r="HZ828" s="31"/>
      <c r="IA828" s="31"/>
      <c r="IB828" s="31"/>
      <c r="IC828" s="31"/>
      <c r="ID828" s="31"/>
      <c r="IE828" s="31"/>
      <c r="IF828" s="31"/>
      <c r="IG828" s="31"/>
      <c r="IH828" s="31"/>
      <c r="II828" s="31"/>
      <c r="IJ828" s="31"/>
      <c r="IK828" s="31"/>
      <c r="IL828" s="31"/>
      <c r="IM828" s="31"/>
      <c r="IN828" s="31"/>
      <c r="IO828" s="31"/>
      <c r="IP828" s="31"/>
      <c r="IQ828" s="31"/>
      <c r="IR828" s="31"/>
      <c r="IS828" s="31"/>
      <c r="IT828" s="31"/>
      <c r="IU828" s="31"/>
      <c r="IV828" s="31"/>
      <c r="IW828" s="31"/>
      <c r="IX828" s="31"/>
      <c r="IY828" s="31"/>
      <c r="IZ828" s="31"/>
      <c r="JA828" s="31"/>
      <c r="JB828" s="31"/>
      <c r="JC828" s="31"/>
      <c r="JD828" s="31"/>
      <c r="JE828" s="31"/>
      <c r="JF828" s="31"/>
      <c r="JG828" s="31"/>
      <c r="JH828" s="31"/>
      <c r="JI828" s="31"/>
      <c r="JJ828" s="31"/>
      <c r="JK828" s="31"/>
      <c r="JL828" s="31"/>
      <c r="JM828" s="31"/>
      <c r="JN828" s="31"/>
      <c r="JO828" s="31"/>
      <c r="JP828" s="31"/>
      <c r="JQ828" s="31"/>
      <c r="JR828" s="31"/>
      <c r="JS828" s="31"/>
      <c r="JT828" s="31"/>
      <c r="JU828" s="31"/>
      <c r="JV828" s="31"/>
      <c r="JW828" s="31"/>
      <c r="JX828" s="31"/>
      <c r="JY828" s="31"/>
      <c r="JZ828" s="31"/>
      <c r="KA828" s="31"/>
      <c r="KB828" s="31"/>
      <c r="KC828" s="31"/>
      <c r="KD828" s="31"/>
      <c r="KE828" s="31"/>
    </row>
    <row r="829" spans="1:291" s="156" customFormat="1" ht="35" customHeight="1">
      <c r="A829" s="42">
        <f>ROW()-2</f>
        <v>827</v>
      </c>
      <c r="B829" s="65" t="s">
        <v>2732</v>
      </c>
      <c r="C829" s="42" t="s">
        <v>4345</v>
      </c>
      <c r="D829" s="43" t="s">
        <v>4565</v>
      </c>
      <c r="E829" s="43" t="s">
        <v>4566</v>
      </c>
      <c r="F829" s="43" t="s">
        <v>3163</v>
      </c>
      <c r="G829" s="65" t="s">
        <v>34</v>
      </c>
      <c r="H829" s="42">
        <v>1</v>
      </c>
      <c r="I829" s="44">
        <v>0.60472222222222205</v>
      </c>
      <c r="J829" s="72">
        <v>43978</v>
      </c>
      <c r="K829" s="71" t="s">
        <v>20</v>
      </c>
      <c r="L829" s="65">
        <v>4.99</v>
      </c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  <c r="CX829" s="31"/>
      <c r="CY829" s="31"/>
      <c r="CZ829" s="31"/>
      <c r="DA829" s="31"/>
      <c r="DB829" s="31"/>
      <c r="DC829" s="31"/>
      <c r="DD829" s="31"/>
      <c r="DE829" s="31"/>
      <c r="DF829" s="31"/>
      <c r="DG829" s="31"/>
      <c r="DH829" s="31"/>
      <c r="DI829" s="31"/>
      <c r="DJ829" s="31"/>
      <c r="DK829" s="31"/>
      <c r="DL829" s="31"/>
      <c r="DM829" s="31"/>
      <c r="DN829" s="31"/>
      <c r="DO829" s="31"/>
      <c r="DP829" s="31"/>
      <c r="DQ829" s="31"/>
      <c r="DR829" s="31"/>
      <c r="DS829" s="31"/>
      <c r="DT829" s="31"/>
      <c r="DU829" s="31"/>
      <c r="DV829" s="31"/>
      <c r="DW829" s="31"/>
      <c r="DX829" s="31"/>
      <c r="DY829" s="31"/>
      <c r="DZ829" s="31"/>
      <c r="EA829" s="31"/>
      <c r="EB829" s="31"/>
      <c r="EC829" s="31"/>
      <c r="ED829" s="31"/>
      <c r="EE829" s="31"/>
      <c r="EF829" s="31"/>
      <c r="EG829" s="31"/>
      <c r="EH829" s="31"/>
      <c r="EI829" s="31"/>
      <c r="EJ829" s="31"/>
      <c r="EK829" s="31"/>
      <c r="EL829" s="31"/>
      <c r="EM829" s="31"/>
      <c r="EN829" s="31"/>
      <c r="EO829" s="31"/>
      <c r="EP829" s="31"/>
      <c r="EQ829" s="31"/>
      <c r="ER829" s="31"/>
      <c r="ES829" s="31"/>
      <c r="ET829" s="31"/>
      <c r="EU829" s="31"/>
      <c r="EV829" s="31"/>
      <c r="EW829" s="31"/>
      <c r="EX829" s="31"/>
      <c r="EY829" s="31"/>
      <c r="EZ829" s="31"/>
      <c r="FA829" s="31"/>
      <c r="FB829" s="31"/>
      <c r="FC829" s="31"/>
      <c r="FD829" s="31"/>
      <c r="FE829" s="31"/>
      <c r="FF829" s="31"/>
      <c r="FG829" s="31"/>
      <c r="FH829" s="31"/>
      <c r="FI829" s="31"/>
      <c r="FJ829" s="31"/>
      <c r="FK829" s="31"/>
      <c r="FL829" s="31"/>
      <c r="FM829" s="31"/>
      <c r="FN829" s="31"/>
      <c r="FO829" s="31"/>
      <c r="FP829" s="31"/>
      <c r="FQ829" s="31"/>
      <c r="FR829" s="31"/>
      <c r="FS829" s="31"/>
      <c r="FT829" s="31"/>
      <c r="FU829" s="31"/>
      <c r="FV829" s="31"/>
      <c r="FW829" s="31"/>
      <c r="FX829" s="31"/>
      <c r="FY829" s="31"/>
      <c r="FZ829" s="31"/>
      <c r="GA829" s="31"/>
      <c r="GB829" s="31"/>
      <c r="GC829" s="31"/>
      <c r="GD829" s="31"/>
      <c r="GE829" s="31"/>
      <c r="GF829" s="31"/>
      <c r="GG829" s="31"/>
      <c r="GH829" s="31"/>
      <c r="GI829" s="31"/>
      <c r="GJ829" s="31"/>
      <c r="GK829" s="31"/>
      <c r="GL829" s="31"/>
      <c r="GM829" s="31"/>
      <c r="GN829" s="31"/>
      <c r="GO829" s="31"/>
      <c r="GP829" s="31"/>
      <c r="GQ829" s="31"/>
      <c r="GR829" s="31"/>
      <c r="GS829" s="31"/>
      <c r="GT829" s="31"/>
      <c r="GU829" s="31"/>
      <c r="GV829" s="31"/>
      <c r="GW829" s="31"/>
      <c r="GX829" s="31"/>
      <c r="GY829" s="31"/>
      <c r="GZ829" s="31"/>
      <c r="HA829" s="31"/>
      <c r="HB829" s="31"/>
      <c r="HC829" s="31"/>
      <c r="HD829" s="31"/>
      <c r="HE829" s="31"/>
      <c r="HF829" s="31"/>
      <c r="HG829" s="31"/>
      <c r="HH829" s="31"/>
      <c r="HI829" s="31"/>
      <c r="HJ829" s="31"/>
      <c r="HK829" s="31"/>
      <c r="HL829" s="31"/>
      <c r="HM829" s="31"/>
      <c r="HN829" s="31"/>
      <c r="HO829" s="31"/>
      <c r="HP829" s="31"/>
      <c r="HQ829" s="31"/>
      <c r="HR829" s="31"/>
      <c r="HS829" s="31"/>
      <c r="HT829" s="31"/>
      <c r="HU829" s="31"/>
      <c r="HV829" s="31"/>
      <c r="HW829" s="31"/>
      <c r="HX829" s="31"/>
      <c r="HY829" s="31"/>
      <c r="HZ829" s="31"/>
      <c r="IA829" s="31"/>
      <c r="IB829" s="31"/>
      <c r="IC829" s="31"/>
      <c r="ID829" s="31"/>
      <c r="IE829" s="31"/>
      <c r="IF829" s="31"/>
      <c r="IG829" s="31"/>
      <c r="IH829" s="31"/>
      <c r="II829" s="31"/>
      <c r="IJ829" s="31"/>
      <c r="IK829" s="31"/>
      <c r="IL829" s="31"/>
      <c r="IM829" s="31"/>
      <c r="IN829" s="31"/>
      <c r="IO829" s="31"/>
      <c r="IP829" s="31"/>
      <c r="IQ829" s="31"/>
      <c r="IR829" s="31"/>
      <c r="IS829" s="31"/>
      <c r="IT829" s="31"/>
      <c r="IU829" s="31"/>
      <c r="IV829" s="31"/>
      <c r="IW829" s="31"/>
      <c r="IX829" s="31"/>
      <c r="IY829" s="31"/>
      <c r="IZ829" s="31"/>
      <c r="JA829" s="31"/>
      <c r="JB829" s="31"/>
      <c r="JC829" s="31"/>
      <c r="JD829" s="31"/>
      <c r="JE829" s="31"/>
      <c r="JF829" s="31"/>
      <c r="JG829" s="31"/>
      <c r="JH829" s="31"/>
      <c r="JI829" s="31"/>
      <c r="JJ829" s="31"/>
      <c r="JK829" s="31"/>
      <c r="JL829" s="31"/>
      <c r="JM829" s="31"/>
      <c r="JN829" s="31"/>
      <c r="JO829" s="31"/>
      <c r="JP829" s="31"/>
      <c r="JQ829" s="31"/>
      <c r="JR829" s="31"/>
      <c r="JS829" s="31"/>
      <c r="JT829" s="31"/>
      <c r="JU829" s="31"/>
      <c r="JV829" s="31"/>
      <c r="JW829" s="31"/>
      <c r="JX829" s="31"/>
      <c r="JY829" s="31"/>
      <c r="JZ829" s="31"/>
      <c r="KA829" s="31"/>
      <c r="KB829" s="31"/>
      <c r="KC829" s="31"/>
      <c r="KD829" s="31"/>
      <c r="KE829" s="31"/>
    </row>
    <row r="830" spans="1:291" s="156" customFormat="1" ht="35" customHeight="1">
      <c r="A830" s="42">
        <f>ROW()-2</f>
        <v>828</v>
      </c>
      <c r="B830" s="65" t="s">
        <v>2732</v>
      </c>
      <c r="C830" s="42" t="s">
        <v>4345</v>
      </c>
      <c r="D830" s="64" t="s">
        <v>4567</v>
      </c>
      <c r="E830" s="64" t="s">
        <v>4568</v>
      </c>
      <c r="F830" s="64" t="s">
        <v>3242</v>
      </c>
      <c r="G830" s="65" t="s">
        <v>34</v>
      </c>
      <c r="H830" s="42">
        <v>1</v>
      </c>
      <c r="I830" s="44">
        <v>0.33472222222222198</v>
      </c>
      <c r="J830" s="72">
        <v>43978</v>
      </c>
      <c r="K830" s="71" t="s">
        <v>20</v>
      </c>
      <c r="L830" s="65">
        <v>4.99</v>
      </c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  <c r="CX830" s="31"/>
      <c r="CY830" s="31"/>
      <c r="CZ830" s="31"/>
      <c r="DA830" s="31"/>
      <c r="DB830" s="31"/>
      <c r="DC830" s="31"/>
      <c r="DD830" s="31"/>
      <c r="DE830" s="31"/>
      <c r="DF830" s="31"/>
      <c r="DG830" s="31"/>
      <c r="DH830" s="31"/>
      <c r="DI830" s="31"/>
      <c r="DJ830" s="31"/>
      <c r="DK830" s="31"/>
      <c r="DL830" s="31"/>
      <c r="DM830" s="31"/>
      <c r="DN830" s="31"/>
      <c r="DO830" s="31"/>
      <c r="DP830" s="31"/>
      <c r="DQ830" s="31"/>
      <c r="DR830" s="31"/>
      <c r="DS830" s="31"/>
      <c r="DT830" s="31"/>
      <c r="DU830" s="31"/>
      <c r="DV830" s="31"/>
      <c r="DW830" s="31"/>
      <c r="DX830" s="31"/>
      <c r="DY830" s="31"/>
      <c r="DZ830" s="31"/>
      <c r="EA830" s="31"/>
      <c r="EB830" s="31"/>
      <c r="EC830" s="31"/>
      <c r="ED830" s="31"/>
      <c r="EE830" s="31"/>
      <c r="EF830" s="31"/>
      <c r="EG830" s="31"/>
      <c r="EH830" s="31"/>
      <c r="EI830" s="31"/>
      <c r="EJ830" s="31"/>
      <c r="EK830" s="31"/>
      <c r="EL830" s="31"/>
      <c r="EM830" s="31"/>
      <c r="EN830" s="31"/>
      <c r="EO830" s="31"/>
      <c r="EP830" s="31"/>
      <c r="EQ830" s="31"/>
      <c r="ER830" s="31"/>
      <c r="ES830" s="31"/>
      <c r="ET830" s="31"/>
      <c r="EU830" s="31"/>
      <c r="EV830" s="31"/>
      <c r="EW830" s="31"/>
      <c r="EX830" s="31"/>
      <c r="EY830" s="31"/>
      <c r="EZ830" s="31"/>
      <c r="FA830" s="31"/>
      <c r="FB830" s="31"/>
      <c r="FC830" s="31"/>
      <c r="FD830" s="31"/>
      <c r="FE830" s="31"/>
      <c r="FF830" s="31"/>
      <c r="FG830" s="31"/>
      <c r="FH830" s="31"/>
      <c r="FI830" s="31"/>
      <c r="FJ830" s="31"/>
      <c r="FK830" s="31"/>
      <c r="FL830" s="31"/>
      <c r="FM830" s="31"/>
      <c r="FN830" s="31"/>
      <c r="FO830" s="31"/>
      <c r="FP830" s="31"/>
      <c r="FQ830" s="31"/>
      <c r="FR830" s="31"/>
      <c r="FS830" s="31"/>
      <c r="FT830" s="31"/>
      <c r="FU830" s="31"/>
      <c r="FV830" s="31"/>
      <c r="FW830" s="31"/>
      <c r="FX830" s="31"/>
      <c r="FY830" s="31"/>
      <c r="FZ830" s="31"/>
      <c r="GA830" s="31"/>
      <c r="GB830" s="31"/>
      <c r="GC830" s="31"/>
      <c r="GD830" s="31"/>
      <c r="GE830" s="31"/>
      <c r="GF830" s="31"/>
      <c r="GG830" s="31"/>
      <c r="GH830" s="31"/>
      <c r="GI830" s="31"/>
      <c r="GJ830" s="31"/>
      <c r="GK830" s="31"/>
      <c r="GL830" s="31"/>
      <c r="GM830" s="31"/>
      <c r="GN830" s="31"/>
      <c r="GO830" s="31"/>
      <c r="GP830" s="31"/>
      <c r="GQ830" s="31"/>
      <c r="GR830" s="31"/>
      <c r="GS830" s="31"/>
      <c r="GT830" s="31"/>
      <c r="GU830" s="31"/>
      <c r="GV830" s="31"/>
      <c r="GW830" s="31"/>
      <c r="GX830" s="31"/>
      <c r="GY830" s="31"/>
      <c r="GZ830" s="31"/>
      <c r="HA830" s="31"/>
      <c r="HB830" s="31"/>
      <c r="HC830" s="31"/>
      <c r="HD830" s="31"/>
      <c r="HE830" s="31"/>
      <c r="HF830" s="31"/>
      <c r="HG830" s="31"/>
      <c r="HH830" s="31"/>
      <c r="HI830" s="31"/>
      <c r="HJ830" s="31"/>
      <c r="HK830" s="31"/>
      <c r="HL830" s="31"/>
      <c r="HM830" s="31"/>
      <c r="HN830" s="31"/>
      <c r="HO830" s="31"/>
      <c r="HP830" s="31"/>
      <c r="HQ830" s="31"/>
      <c r="HR830" s="31"/>
      <c r="HS830" s="31"/>
      <c r="HT830" s="31"/>
      <c r="HU830" s="31"/>
      <c r="HV830" s="31"/>
      <c r="HW830" s="31"/>
      <c r="HX830" s="31"/>
      <c r="HY830" s="31"/>
      <c r="HZ830" s="31"/>
      <c r="IA830" s="31"/>
      <c r="IB830" s="31"/>
      <c r="IC830" s="31"/>
      <c r="ID830" s="31"/>
      <c r="IE830" s="31"/>
      <c r="IF830" s="31"/>
      <c r="IG830" s="31"/>
      <c r="IH830" s="31"/>
      <c r="II830" s="31"/>
      <c r="IJ830" s="31"/>
      <c r="IK830" s="31"/>
      <c r="IL830" s="31"/>
      <c r="IM830" s="31"/>
      <c r="IN830" s="31"/>
      <c r="IO830" s="31"/>
      <c r="IP830" s="31"/>
      <c r="IQ830" s="31"/>
      <c r="IR830" s="31"/>
      <c r="IS830" s="31"/>
      <c r="IT830" s="31"/>
      <c r="IU830" s="31"/>
      <c r="IV830" s="31"/>
      <c r="IW830" s="31"/>
      <c r="IX830" s="31"/>
      <c r="IY830" s="31"/>
      <c r="IZ830" s="31"/>
      <c r="JA830" s="31"/>
      <c r="JB830" s="31"/>
      <c r="JC830" s="31"/>
      <c r="JD830" s="31"/>
      <c r="JE830" s="31"/>
      <c r="JF830" s="31"/>
      <c r="JG830" s="31"/>
      <c r="JH830" s="31"/>
      <c r="JI830" s="31"/>
      <c r="JJ830" s="31"/>
      <c r="JK830" s="31"/>
      <c r="JL830" s="31"/>
      <c r="JM830" s="31"/>
      <c r="JN830" s="31"/>
      <c r="JO830" s="31"/>
      <c r="JP830" s="31"/>
      <c r="JQ830" s="31"/>
      <c r="JR830" s="31"/>
      <c r="JS830" s="31"/>
      <c r="JT830" s="31"/>
      <c r="JU830" s="31"/>
      <c r="JV830" s="31"/>
      <c r="JW830" s="31"/>
      <c r="JX830" s="31"/>
      <c r="JY830" s="31"/>
      <c r="JZ830" s="31"/>
      <c r="KA830" s="31"/>
      <c r="KB830" s="31"/>
      <c r="KC830" s="31"/>
      <c r="KD830" s="31"/>
      <c r="KE830" s="31"/>
    </row>
    <row r="831" spans="1:291" s="156" customFormat="1" ht="35" customHeight="1">
      <c r="A831" s="42">
        <f>ROW()-2</f>
        <v>829</v>
      </c>
      <c r="B831" s="65" t="s">
        <v>2732</v>
      </c>
      <c r="C831" s="42" t="s">
        <v>4345</v>
      </c>
      <c r="D831" s="43" t="s">
        <v>4569</v>
      </c>
      <c r="E831" s="43" t="s">
        <v>4570</v>
      </c>
      <c r="F831" s="43" t="s">
        <v>532</v>
      </c>
      <c r="G831" s="65" t="s">
        <v>34</v>
      </c>
      <c r="H831" s="42">
        <v>1</v>
      </c>
      <c r="I831" s="44">
        <v>0.43388888888888899</v>
      </c>
      <c r="J831" s="72">
        <v>43978</v>
      </c>
      <c r="K831" s="71" t="s">
        <v>20</v>
      </c>
      <c r="L831" s="65">
        <v>4.99</v>
      </c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  <c r="CX831" s="31"/>
      <c r="CY831" s="31"/>
      <c r="CZ831" s="31"/>
      <c r="DA831" s="31"/>
      <c r="DB831" s="31"/>
      <c r="DC831" s="31"/>
      <c r="DD831" s="31"/>
      <c r="DE831" s="31"/>
      <c r="DF831" s="31"/>
      <c r="DG831" s="31"/>
      <c r="DH831" s="31"/>
      <c r="DI831" s="31"/>
      <c r="DJ831" s="31"/>
      <c r="DK831" s="31"/>
      <c r="DL831" s="31"/>
      <c r="DM831" s="31"/>
      <c r="DN831" s="31"/>
      <c r="DO831" s="31"/>
      <c r="DP831" s="31"/>
      <c r="DQ831" s="31"/>
      <c r="DR831" s="31"/>
      <c r="DS831" s="31"/>
      <c r="DT831" s="31"/>
      <c r="DU831" s="31"/>
      <c r="DV831" s="31"/>
      <c r="DW831" s="31"/>
      <c r="DX831" s="31"/>
      <c r="DY831" s="31"/>
      <c r="DZ831" s="31"/>
      <c r="EA831" s="31"/>
      <c r="EB831" s="31"/>
      <c r="EC831" s="31"/>
      <c r="ED831" s="31"/>
      <c r="EE831" s="31"/>
      <c r="EF831" s="31"/>
      <c r="EG831" s="31"/>
      <c r="EH831" s="31"/>
      <c r="EI831" s="31"/>
      <c r="EJ831" s="31"/>
      <c r="EK831" s="31"/>
      <c r="EL831" s="31"/>
      <c r="EM831" s="31"/>
      <c r="EN831" s="31"/>
      <c r="EO831" s="31"/>
      <c r="EP831" s="31"/>
      <c r="EQ831" s="31"/>
      <c r="ER831" s="31"/>
      <c r="ES831" s="31"/>
      <c r="ET831" s="31"/>
      <c r="EU831" s="31"/>
      <c r="EV831" s="31"/>
      <c r="EW831" s="31"/>
      <c r="EX831" s="31"/>
      <c r="EY831" s="31"/>
      <c r="EZ831" s="31"/>
      <c r="FA831" s="31"/>
      <c r="FB831" s="31"/>
      <c r="FC831" s="31"/>
      <c r="FD831" s="31"/>
      <c r="FE831" s="31"/>
      <c r="FF831" s="31"/>
      <c r="FG831" s="31"/>
      <c r="FH831" s="31"/>
      <c r="FI831" s="31"/>
      <c r="FJ831" s="31"/>
      <c r="FK831" s="31"/>
      <c r="FL831" s="31"/>
      <c r="FM831" s="31"/>
      <c r="FN831" s="31"/>
      <c r="FO831" s="31"/>
      <c r="FP831" s="31"/>
      <c r="FQ831" s="31"/>
      <c r="FR831" s="31"/>
      <c r="FS831" s="31"/>
      <c r="FT831" s="31"/>
      <c r="FU831" s="31"/>
      <c r="FV831" s="31"/>
      <c r="FW831" s="31"/>
      <c r="FX831" s="31"/>
      <c r="FY831" s="31"/>
      <c r="FZ831" s="31"/>
      <c r="GA831" s="31"/>
      <c r="GB831" s="31"/>
      <c r="GC831" s="31"/>
      <c r="GD831" s="31"/>
      <c r="GE831" s="31"/>
      <c r="GF831" s="31"/>
      <c r="GG831" s="31"/>
      <c r="GH831" s="31"/>
      <c r="GI831" s="31"/>
      <c r="GJ831" s="31"/>
      <c r="GK831" s="31"/>
      <c r="GL831" s="31"/>
      <c r="GM831" s="31"/>
      <c r="GN831" s="31"/>
      <c r="GO831" s="31"/>
      <c r="GP831" s="31"/>
      <c r="GQ831" s="31"/>
      <c r="GR831" s="31"/>
      <c r="GS831" s="31"/>
      <c r="GT831" s="31"/>
      <c r="GU831" s="31"/>
      <c r="GV831" s="31"/>
      <c r="GW831" s="31"/>
      <c r="GX831" s="31"/>
      <c r="GY831" s="31"/>
      <c r="GZ831" s="31"/>
      <c r="HA831" s="31"/>
      <c r="HB831" s="31"/>
      <c r="HC831" s="31"/>
      <c r="HD831" s="31"/>
      <c r="HE831" s="31"/>
      <c r="HF831" s="31"/>
      <c r="HG831" s="31"/>
      <c r="HH831" s="31"/>
      <c r="HI831" s="31"/>
      <c r="HJ831" s="31"/>
      <c r="HK831" s="31"/>
      <c r="HL831" s="31"/>
      <c r="HM831" s="31"/>
      <c r="HN831" s="31"/>
      <c r="HO831" s="31"/>
      <c r="HP831" s="31"/>
      <c r="HQ831" s="31"/>
      <c r="HR831" s="31"/>
      <c r="HS831" s="31"/>
      <c r="HT831" s="31"/>
      <c r="HU831" s="31"/>
      <c r="HV831" s="31"/>
      <c r="HW831" s="31"/>
      <c r="HX831" s="31"/>
      <c r="HY831" s="31"/>
      <c r="HZ831" s="31"/>
      <c r="IA831" s="31"/>
      <c r="IB831" s="31"/>
      <c r="IC831" s="31"/>
      <c r="ID831" s="31"/>
      <c r="IE831" s="31"/>
      <c r="IF831" s="31"/>
      <c r="IG831" s="31"/>
      <c r="IH831" s="31"/>
      <c r="II831" s="31"/>
      <c r="IJ831" s="31"/>
      <c r="IK831" s="31"/>
      <c r="IL831" s="31"/>
      <c r="IM831" s="31"/>
      <c r="IN831" s="31"/>
      <c r="IO831" s="31"/>
      <c r="IP831" s="31"/>
      <c r="IQ831" s="31"/>
      <c r="IR831" s="31"/>
      <c r="IS831" s="31"/>
      <c r="IT831" s="31"/>
      <c r="IU831" s="31"/>
      <c r="IV831" s="31"/>
      <c r="IW831" s="31"/>
      <c r="IX831" s="31"/>
      <c r="IY831" s="31"/>
      <c r="IZ831" s="31"/>
      <c r="JA831" s="31"/>
      <c r="JB831" s="31"/>
      <c r="JC831" s="31"/>
      <c r="JD831" s="31"/>
      <c r="JE831" s="31"/>
      <c r="JF831" s="31"/>
      <c r="JG831" s="31"/>
      <c r="JH831" s="31"/>
      <c r="JI831" s="31"/>
      <c r="JJ831" s="31"/>
      <c r="JK831" s="31"/>
      <c r="JL831" s="31"/>
      <c r="JM831" s="31"/>
      <c r="JN831" s="31"/>
      <c r="JO831" s="31"/>
      <c r="JP831" s="31"/>
      <c r="JQ831" s="31"/>
      <c r="JR831" s="31"/>
      <c r="JS831" s="31"/>
      <c r="JT831" s="31"/>
      <c r="JU831" s="31"/>
      <c r="JV831" s="31"/>
      <c r="JW831" s="31"/>
      <c r="JX831" s="31"/>
      <c r="JY831" s="31"/>
      <c r="JZ831" s="31"/>
      <c r="KA831" s="31"/>
      <c r="KB831" s="31"/>
      <c r="KC831" s="31"/>
      <c r="KD831" s="31"/>
      <c r="KE831" s="31"/>
    </row>
    <row r="832" spans="1:291" s="156" customFormat="1" ht="35" customHeight="1">
      <c r="A832" s="42">
        <f>ROW()-2</f>
        <v>830</v>
      </c>
      <c r="B832" s="65" t="s">
        <v>2732</v>
      </c>
      <c r="C832" s="42" t="s">
        <v>4345</v>
      </c>
      <c r="D832" s="64" t="s">
        <v>4571</v>
      </c>
      <c r="E832" s="64" t="s">
        <v>4572</v>
      </c>
      <c r="F832" s="64" t="s">
        <v>3889</v>
      </c>
      <c r="G832" s="65" t="s">
        <v>34</v>
      </c>
      <c r="H832" s="42">
        <v>1</v>
      </c>
      <c r="I832" s="44">
        <v>0.441388888888889</v>
      </c>
      <c r="J832" s="72">
        <v>43978</v>
      </c>
      <c r="K832" s="71" t="s">
        <v>20</v>
      </c>
      <c r="L832" s="65">
        <v>4.99</v>
      </c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  <c r="CX832" s="31"/>
      <c r="CY832" s="31"/>
      <c r="CZ832" s="31"/>
      <c r="DA832" s="31"/>
      <c r="DB832" s="31"/>
      <c r="DC832" s="31"/>
      <c r="DD832" s="31"/>
      <c r="DE832" s="31"/>
      <c r="DF832" s="31"/>
      <c r="DG832" s="31"/>
      <c r="DH832" s="31"/>
      <c r="DI832" s="31"/>
      <c r="DJ832" s="31"/>
      <c r="DK832" s="31"/>
      <c r="DL832" s="31"/>
      <c r="DM832" s="31"/>
      <c r="DN832" s="31"/>
      <c r="DO832" s="31"/>
      <c r="DP832" s="31"/>
      <c r="DQ832" s="31"/>
      <c r="DR832" s="31"/>
      <c r="DS832" s="31"/>
      <c r="DT832" s="31"/>
      <c r="DU832" s="31"/>
      <c r="DV832" s="31"/>
      <c r="DW832" s="31"/>
      <c r="DX832" s="31"/>
      <c r="DY832" s="31"/>
      <c r="DZ832" s="31"/>
      <c r="EA832" s="31"/>
      <c r="EB832" s="31"/>
      <c r="EC832" s="31"/>
      <c r="ED832" s="31"/>
      <c r="EE832" s="31"/>
      <c r="EF832" s="31"/>
      <c r="EG832" s="31"/>
      <c r="EH832" s="31"/>
      <c r="EI832" s="31"/>
      <c r="EJ832" s="31"/>
      <c r="EK832" s="31"/>
      <c r="EL832" s="31"/>
      <c r="EM832" s="31"/>
      <c r="EN832" s="31"/>
      <c r="EO832" s="31"/>
      <c r="EP832" s="31"/>
      <c r="EQ832" s="31"/>
      <c r="ER832" s="31"/>
      <c r="ES832" s="31"/>
      <c r="ET832" s="31"/>
      <c r="EU832" s="31"/>
      <c r="EV832" s="31"/>
      <c r="EW832" s="31"/>
      <c r="EX832" s="31"/>
      <c r="EY832" s="31"/>
      <c r="EZ832" s="31"/>
      <c r="FA832" s="31"/>
      <c r="FB832" s="31"/>
      <c r="FC832" s="31"/>
      <c r="FD832" s="31"/>
      <c r="FE832" s="31"/>
      <c r="FF832" s="31"/>
      <c r="FG832" s="31"/>
      <c r="FH832" s="31"/>
      <c r="FI832" s="31"/>
      <c r="FJ832" s="31"/>
      <c r="FK832" s="31"/>
      <c r="FL832" s="31"/>
      <c r="FM832" s="31"/>
      <c r="FN832" s="31"/>
      <c r="FO832" s="31"/>
      <c r="FP832" s="31"/>
      <c r="FQ832" s="31"/>
      <c r="FR832" s="31"/>
      <c r="FS832" s="31"/>
      <c r="FT832" s="31"/>
      <c r="FU832" s="31"/>
      <c r="FV832" s="31"/>
      <c r="FW832" s="31"/>
      <c r="FX832" s="31"/>
      <c r="FY832" s="31"/>
      <c r="FZ832" s="31"/>
      <c r="GA832" s="31"/>
      <c r="GB832" s="31"/>
      <c r="GC832" s="31"/>
      <c r="GD832" s="31"/>
      <c r="GE832" s="31"/>
      <c r="GF832" s="31"/>
      <c r="GG832" s="31"/>
      <c r="GH832" s="31"/>
      <c r="GI832" s="31"/>
      <c r="GJ832" s="31"/>
      <c r="GK832" s="31"/>
      <c r="GL832" s="31"/>
      <c r="GM832" s="31"/>
      <c r="GN832" s="31"/>
      <c r="GO832" s="31"/>
      <c r="GP832" s="31"/>
      <c r="GQ832" s="31"/>
      <c r="GR832" s="31"/>
      <c r="GS832" s="31"/>
      <c r="GT832" s="31"/>
      <c r="GU832" s="31"/>
      <c r="GV832" s="31"/>
      <c r="GW832" s="31"/>
      <c r="GX832" s="31"/>
      <c r="GY832" s="31"/>
      <c r="GZ832" s="31"/>
      <c r="HA832" s="31"/>
      <c r="HB832" s="31"/>
      <c r="HC832" s="31"/>
      <c r="HD832" s="31"/>
      <c r="HE832" s="31"/>
      <c r="HF832" s="31"/>
      <c r="HG832" s="31"/>
      <c r="HH832" s="31"/>
      <c r="HI832" s="31"/>
      <c r="HJ832" s="31"/>
      <c r="HK832" s="31"/>
      <c r="HL832" s="31"/>
      <c r="HM832" s="31"/>
      <c r="HN832" s="31"/>
      <c r="HO832" s="31"/>
      <c r="HP832" s="31"/>
      <c r="HQ832" s="31"/>
      <c r="HR832" s="31"/>
      <c r="HS832" s="31"/>
      <c r="HT832" s="31"/>
      <c r="HU832" s="31"/>
      <c r="HV832" s="31"/>
      <c r="HW832" s="31"/>
      <c r="HX832" s="31"/>
      <c r="HY832" s="31"/>
      <c r="HZ832" s="31"/>
      <c r="IA832" s="31"/>
      <c r="IB832" s="31"/>
      <c r="IC832" s="31"/>
      <c r="ID832" s="31"/>
      <c r="IE832" s="31"/>
      <c r="IF832" s="31"/>
      <c r="IG832" s="31"/>
      <c r="IH832" s="31"/>
      <c r="II832" s="31"/>
      <c r="IJ832" s="31"/>
      <c r="IK832" s="31"/>
      <c r="IL832" s="31"/>
      <c r="IM832" s="31"/>
      <c r="IN832" s="31"/>
      <c r="IO832" s="31"/>
      <c r="IP832" s="31"/>
      <c r="IQ832" s="31"/>
      <c r="IR832" s="31"/>
      <c r="IS832" s="31"/>
      <c r="IT832" s="31"/>
      <c r="IU832" s="31"/>
      <c r="IV832" s="31"/>
      <c r="IW832" s="31"/>
      <c r="IX832" s="31"/>
      <c r="IY832" s="31"/>
      <c r="IZ832" s="31"/>
      <c r="JA832" s="31"/>
      <c r="JB832" s="31"/>
      <c r="JC832" s="31"/>
      <c r="JD832" s="31"/>
      <c r="JE832" s="31"/>
      <c r="JF832" s="31"/>
      <c r="JG832" s="31"/>
      <c r="JH832" s="31"/>
      <c r="JI832" s="31"/>
      <c r="JJ832" s="31"/>
      <c r="JK832" s="31"/>
      <c r="JL832" s="31"/>
      <c r="JM832" s="31"/>
      <c r="JN832" s="31"/>
      <c r="JO832" s="31"/>
      <c r="JP832" s="31"/>
      <c r="JQ832" s="31"/>
      <c r="JR832" s="31"/>
      <c r="JS832" s="31"/>
      <c r="JT832" s="31"/>
      <c r="JU832" s="31"/>
      <c r="JV832" s="31"/>
      <c r="JW832" s="31"/>
      <c r="JX832" s="31"/>
      <c r="JY832" s="31"/>
      <c r="JZ832" s="31"/>
      <c r="KA832" s="31"/>
      <c r="KB832" s="31"/>
      <c r="KC832" s="31"/>
      <c r="KD832" s="31"/>
      <c r="KE832" s="31"/>
    </row>
    <row r="833" spans="1:291" s="156" customFormat="1" ht="35" customHeight="1">
      <c r="A833" s="42">
        <f>ROW()-2</f>
        <v>831</v>
      </c>
      <c r="B833" s="65" t="s">
        <v>2732</v>
      </c>
      <c r="C833" s="42" t="s">
        <v>4345</v>
      </c>
      <c r="D833" s="43" t="s">
        <v>4573</v>
      </c>
      <c r="E833" s="43" t="s">
        <v>4574</v>
      </c>
      <c r="F833" s="43" t="s">
        <v>4575</v>
      </c>
      <c r="G833" s="65" t="s">
        <v>34</v>
      </c>
      <c r="H833" s="42">
        <v>1</v>
      </c>
      <c r="I833" s="44">
        <v>0.52222222222222203</v>
      </c>
      <c r="J833" s="72">
        <v>43978</v>
      </c>
      <c r="K833" s="71" t="s">
        <v>20</v>
      </c>
      <c r="L833" s="65">
        <v>4.99</v>
      </c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  <c r="DC833" s="31"/>
      <c r="DD833" s="31"/>
      <c r="DE833" s="31"/>
      <c r="DF833" s="31"/>
      <c r="DG833" s="31"/>
      <c r="DH833" s="31"/>
      <c r="DI833" s="31"/>
      <c r="DJ833" s="31"/>
      <c r="DK833" s="31"/>
      <c r="DL833" s="31"/>
      <c r="DM833" s="31"/>
      <c r="DN833" s="31"/>
      <c r="DO833" s="31"/>
      <c r="DP833" s="31"/>
      <c r="DQ833" s="31"/>
      <c r="DR833" s="31"/>
      <c r="DS833" s="31"/>
      <c r="DT833" s="31"/>
      <c r="DU833" s="31"/>
      <c r="DV833" s="31"/>
      <c r="DW833" s="31"/>
      <c r="DX833" s="31"/>
      <c r="DY833" s="31"/>
      <c r="DZ833" s="31"/>
      <c r="EA833" s="31"/>
      <c r="EB833" s="31"/>
      <c r="EC833" s="31"/>
      <c r="ED833" s="31"/>
      <c r="EE833" s="31"/>
      <c r="EF833" s="31"/>
      <c r="EG833" s="31"/>
      <c r="EH833" s="31"/>
      <c r="EI833" s="31"/>
      <c r="EJ833" s="31"/>
      <c r="EK833" s="31"/>
      <c r="EL833" s="31"/>
      <c r="EM833" s="31"/>
      <c r="EN833" s="31"/>
      <c r="EO833" s="31"/>
      <c r="EP833" s="31"/>
      <c r="EQ833" s="31"/>
      <c r="ER833" s="31"/>
      <c r="ES833" s="31"/>
      <c r="ET833" s="31"/>
      <c r="EU833" s="31"/>
      <c r="EV833" s="31"/>
      <c r="EW833" s="31"/>
      <c r="EX833" s="31"/>
      <c r="EY833" s="31"/>
      <c r="EZ833" s="31"/>
      <c r="FA833" s="31"/>
      <c r="FB833" s="31"/>
      <c r="FC833" s="31"/>
      <c r="FD833" s="31"/>
      <c r="FE833" s="31"/>
      <c r="FF833" s="31"/>
      <c r="FG833" s="31"/>
      <c r="FH833" s="31"/>
      <c r="FI833" s="31"/>
      <c r="FJ833" s="31"/>
      <c r="FK833" s="31"/>
      <c r="FL833" s="31"/>
      <c r="FM833" s="31"/>
      <c r="FN833" s="31"/>
      <c r="FO833" s="31"/>
      <c r="FP833" s="31"/>
      <c r="FQ833" s="31"/>
      <c r="FR833" s="31"/>
      <c r="FS833" s="31"/>
      <c r="FT833" s="31"/>
      <c r="FU833" s="31"/>
      <c r="FV833" s="31"/>
      <c r="FW833" s="31"/>
      <c r="FX833" s="31"/>
      <c r="FY833" s="31"/>
      <c r="FZ833" s="31"/>
      <c r="GA833" s="31"/>
      <c r="GB833" s="31"/>
      <c r="GC833" s="31"/>
      <c r="GD833" s="31"/>
      <c r="GE833" s="31"/>
      <c r="GF833" s="31"/>
      <c r="GG833" s="31"/>
      <c r="GH833" s="31"/>
      <c r="GI833" s="31"/>
      <c r="GJ833" s="31"/>
      <c r="GK833" s="31"/>
      <c r="GL833" s="31"/>
      <c r="GM833" s="31"/>
      <c r="GN833" s="31"/>
      <c r="GO833" s="31"/>
      <c r="GP833" s="31"/>
      <c r="GQ833" s="31"/>
      <c r="GR833" s="31"/>
      <c r="GS833" s="31"/>
      <c r="GT833" s="31"/>
      <c r="GU833" s="31"/>
      <c r="GV833" s="31"/>
      <c r="GW833" s="31"/>
      <c r="GX833" s="31"/>
      <c r="GY833" s="31"/>
      <c r="GZ833" s="31"/>
      <c r="HA833" s="31"/>
      <c r="HB833" s="31"/>
      <c r="HC833" s="31"/>
      <c r="HD833" s="31"/>
      <c r="HE833" s="31"/>
      <c r="HF833" s="31"/>
      <c r="HG833" s="31"/>
      <c r="HH833" s="31"/>
      <c r="HI833" s="31"/>
      <c r="HJ833" s="31"/>
      <c r="HK833" s="31"/>
      <c r="HL833" s="31"/>
      <c r="HM833" s="31"/>
      <c r="HN833" s="31"/>
      <c r="HO833" s="31"/>
      <c r="HP833" s="31"/>
      <c r="HQ833" s="31"/>
      <c r="HR833" s="31"/>
      <c r="HS833" s="31"/>
      <c r="HT833" s="31"/>
      <c r="HU833" s="31"/>
      <c r="HV833" s="31"/>
      <c r="HW833" s="31"/>
      <c r="HX833" s="31"/>
      <c r="HY833" s="31"/>
      <c r="HZ833" s="31"/>
      <c r="IA833" s="31"/>
      <c r="IB833" s="31"/>
      <c r="IC833" s="31"/>
      <c r="ID833" s="31"/>
      <c r="IE833" s="31"/>
      <c r="IF833" s="31"/>
      <c r="IG833" s="31"/>
      <c r="IH833" s="31"/>
      <c r="II833" s="31"/>
      <c r="IJ833" s="31"/>
      <c r="IK833" s="31"/>
      <c r="IL833" s="31"/>
      <c r="IM833" s="31"/>
      <c r="IN833" s="31"/>
      <c r="IO833" s="31"/>
      <c r="IP833" s="31"/>
      <c r="IQ833" s="31"/>
      <c r="IR833" s="31"/>
      <c r="IS833" s="31"/>
      <c r="IT833" s="31"/>
      <c r="IU833" s="31"/>
      <c r="IV833" s="31"/>
      <c r="IW833" s="31"/>
      <c r="IX833" s="31"/>
      <c r="IY833" s="31"/>
      <c r="IZ833" s="31"/>
      <c r="JA833" s="31"/>
      <c r="JB833" s="31"/>
      <c r="JC833" s="31"/>
      <c r="JD833" s="31"/>
      <c r="JE833" s="31"/>
      <c r="JF833" s="31"/>
      <c r="JG833" s="31"/>
      <c r="JH833" s="31"/>
      <c r="JI833" s="31"/>
      <c r="JJ833" s="31"/>
      <c r="JK833" s="31"/>
      <c r="JL833" s="31"/>
      <c r="JM833" s="31"/>
      <c r="JN833" s="31"/>
      <c r="JO833" s="31"/>
      <c r="JP833" s="31"/>
      <c r="JQ833" s="31"/>
      <c r="JR833" s="31"/>
      <c r="JS833" s="31"/>
      <c r="JT833" s="31"/>
      <c r="JU833" s="31"/>
      <c r="JV833" s="31"/>
      <c r="JW833" s="31"/>
      <c r="JX833" s="31"/>
      <c r="JY833" s="31"/>
      <c r="JZ833" s="31"/>
      <c r="KA833" s="31"/>
      <c r="KB833" s="31"/>
      <c r="KC833" s="31"/>
      <c r="KD833" s="31"/>
      <c r="KE833" s="31"/>
    </row>
    <row r="834" spans="1:291" s="156" customFormat="1" ht="35" customHeight="1">
      <c r="A834" s="42">
        <f>ROW()-2</f>
        <v>832</v>
      </c>
      <c r="B834" s="65" t="s">
        <v>2732</v>
      </c>
      <c r="C834" s="42" t="s">
        <v>4345</v>
      </c>
      <c r="D834" s="64" t="s">
        <v>4576</v>
      </c>
      <c r="E834" s="64" t="s">
        <v>4577</v>
      </c>
      <c r="F834" s="64" t="s">
        <v>4578</v>
      </c>
      <c r="G834" s="65" t="s">
        <v>34</v>
      </c>
      <c r="H834" s="42">
        <v>1</v>
      </c>
      <c r="I834" s="44">
        <v>0.54555555555555602</v>
      </c>
      <c r="J834" s="72">
        <v>43978</v>
      </c>
      <c r="K834" s="71" t="s">
        <v>20</v>
      </c>
      <c r="L834" s="65">
        <v>4.99</v>
      </c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  <c r="CX834" s="31"/>
      <c r="CY834" s="31"/>
      <c r="CZ834" s="31"/>
      <c r="DA834" s="31"/>
      <c r="DB834" s="31"/>
      <c r="DC834" s="31"/>
      <c r="DD834" s="31"/>
      <c r="DE834" s="31"/>
      <c r="DF834" s="31"/>
      <c r="DG834" s="31"/>
      <c r="DH834" s="31"/>
      <c r="DI834" s="31"/>
      <c r="DJ834" s="31"/>
      <c r="DK834" s="31"/>
      <c r="DL834" s="31"/>
      <c r="DM834" s="31"/>
      <c r="DN834" s="31"/>
      <c r="DO834" s="31"/>
      <c r="DP834" s="31"/>
      <c r="DQ834" s="31"/>
      <c r="DR834" s="31"/>
      <c r="DS834" s="31"/>
      <c r="DT834" s="31"/>
      <c r="DU834" s="31"/>
      <c r="DV834" s="31"/>
      <c r="DW834" s="31"/>
      <c r="DX834" s="31"/>
      <c r="DY834" s="31"/>
      <c r="DZ834" s="31"/>
      <c r="EA834" s="31"/>
      <c r="EB834" s="31"/>
      <c r="EC834" s="31"/>
      <c r="ED834" s="31"/>
      <c r="EE834" s="31"/>
      <c r="EF834" s="31"/>
      <c r="EG834" s="31"/>
      <c r="EH834" s="31"/>
      <c r="EI834" s="31"/>
      <c r="EJ834" s="31"/>
      <c r="EK834" s="31"/>
      <c r="EL834" s="31"/>
      <c r="EM834" s="31"/>
      <c r="EN834" s="31"/>
      <c r="EO834" s="31"/>
      <c r="EP834" s="31"/>
      <c r="EQ834" s="31"/>
      <c r="ER834" s="31"/>
      <c r="ES834" s="31"/>
      <c r="ET834" s="31"/>
      <c r="EU834" s="31"/>
      <c r="EV834" s="31"/>
      <c r="EW834" s="31"/>
      <c r="EX834" s="31"/>
      <c r="EY834" s="31"/>
      <c r="EZ834" s="31"/>
      <c r="FA834" s="31"/>
      <c r="FB834" s="31"/>
      <c r="FC834" s="31"/>
      <c r="FD834" s="31"/>
      <c r="FE834" s="31"/>
      <c r="FF834" s="31"/>
      <c r="FG834" s="31"/>
      <c r="FH834" s="31"/>
      <c r="FI834" s="31"/>
      <c r="FJ834" s="31"/>
      <c r="FK834" s="31"/>
      <c r="FL834" s="31"/>
      <c r="FM834" s="31"/>
      <c r="FN834" s="31"/>
      <c r="FO834" s="31"/>
      <c r="FP834" s="31"/>
      <c r="FQ834" s="31"/>
      <c r="FR834" s="31"/>
      <c r="FS834" s="31"/>
      <c r="FT834" s="31"/>
      <c r="FU834" s="31"/>
      <c r="FV834" s="31"/>
      <c r="FW834" s="31"/>
      <c r="FX834" s="31"/>
      <c r="FY834" s="31"/>
      <c r="FZ834" s="31"/>
      <c r="GA834" s="31"/>
      <c r="GB834" s="31"/>
      <c r="GC834" s="31"/>
      <c r="GD834" s="31"/>
      <c r="GE834" s="31"/>
      <c r="GF834" s="31"/>
      <c r="GG834" s="31"/>
      <c r="GH834" s="31"/>
      <c r="GI834" s="31"/>
      <c r="GJ834" s="31"/>
      <c r="GK834" s="31"/>
      <c r="GL834" s="31"/>
      <c r="GM834" s="31"/>
      <c r="GN834" s="31"/>
      <c r="GO834" s="31"/>
      <c r="GP834" s="31"/>
      <c r="GQ834" s="31"/>
      <c r="GR834" s="31"/>
      <c r="GS834" s="31"/>
      <c r="GT834" s="31"/>
      <c r="GU834" s="31"/>
      <c r="GV834" s="31"/>
      <c r="GW834" s="31"/>
      <c r="GX834" s="31"/>
      <c r="GY834" s="31"/>
      <c r="GZ834" s="31"/>
      <c r="HA834" s="31"/>
      <c r="HB834" s="31"/>
      <c r="HC834" s="31"/>
      <c r="HD834" s="31"/>
      <c r="HE834" s="31"/>
      <c r="HF834" s="31"/>
      <c r="HG834" s="31"/>
      <c r="HH834" s="31"/>
      <c r="HI834" s="31"/>
      <c r="HJ834" s="31"/>
      <c r="HK834" s="31"/>
      <c r="HL834" s="31"/>
      <c r="HM834" s="31"/>
      <c r="HN834" s="31"/>
      <c r="HO834" s="31"/>
      <c r="HP834" s="31"/>
      <c r="HQ834" s="31"/>
      <c r="HR834" s="31"/>
      <c r="HS834" s="31"/>
      <c r="HT834" s="31"/>
      <c r="HU834" s="31"/>
      <c r="HV834" s="31"/>
      <c r="HW834" s="31"/>
      <c r="HX834" s="31"/>
      <c r="HY834" s="31"/>
      <c r="HZ834" s="31"/>
      <c r="IA834" s="31"/>
      <c r="IB834" s="31"/>
      <c r="IC834" s="31"/>
      <c r="ID834" s="31"/>
      <c r="IE834" s="31"/>
      <c r="IF834" s="31"/>
      <c r="IG834" s="31"/>
      <c r="IH834" s="31"/>
      <c r="II834" s="31"/>
      <c r="IJ834" s="31"/>
      <c r="IK834" s="31"/>
      <c r="IL834" s="31"/>
      <c r="IM834" s="31"/>
      <c r="IN834" s="31"/>
      <c r="IO834" s="31"/>
      <c r="IP834" s="31"/>
      <c r="IQ834" s="31"/>
      <c r="IR834" s="31"/>
      <c r="IS834" s="31"/>
      <c r="IT834" s="31"/>
      <c r="IU834" s="31"/>
      <c r="IV834" s="31"/>
      <c r="IW834" s="31"/>
      <c r="IX834" s="31"/>
      <c r="IY834" s="31"/>
      <c r="IZ834" s="31"/>
      <c r="JA834" s="31"/>
      <c r="JB834" s="31"/>
      <c r="JC834" s="31"/>
      <c r="JD834" s="31"/>
      <c r="JE834" s="31"/>
      <c r="JF834" s="31"/>
      <c r="JG834" s="31"/>
      <c r="JH834" s="31"/>
      <c r="JI834" s="31"/>
      <c r="JJ834" s="31"/>
      <c r="JK834" s="31"/>
      <c r="JL834" s="31"/>
      <c r="JM834" s="31"/>
      <c r="JN834" s="31"/>
      <c r="JO834" s="31"/>
      <c r="JP834" s="31"/>
      <c r="JQ834" s="31"/>
      <c r="JR834" s="31"/>
      <c r="JS834" s="31"/>
      <c r="JT834" s="31"/>
      <c r="JU834" s="31"/>
      <c r="JV834" s="31"/>
      <c r="JW834" s="31"/>
      <c r="JX834" s="31"/>
      <c r="JY834" s="31"/>
      <c r="JZ834" s="31"/>
      <c r="KA834" s="31"/>
      <c r="KB834" s="31"/>
      <c r="KC834" s="31"/>
      <c r="KD834" s="31"/>
      <c r="KE834" s="31"/>
    </row>
    <row r="835" spans="1:291" s="156" customFormat="1" ht="35" customHeight="1">
      <c r="A835" s="42">
        <f>ROW()-2</f>
        <v>833</v>
      </c>
      <c r="B835" s="65" t="s">
        <v>2732</v>
      </c>
      <c r="C835" s="42" t="s">
        <v>4345</v>
      </c>
      <c r="D835" s="43" t="s">
        <v>3109</v>
      </c>
      <c r="E835" s="43" t="s">
        <v>3110</v>
      </c>
      <c r="F835" s="43" t="s">
        <v>3026</v>
      </c>
      <c r="G835" s="65" t="s">
        <v>34</v>
      </c>
      <c r="H835" s="42">
        <v>1</v>
      </c>
      <c r="I835" s="44">
        <v>0.54416666666666702</v>
      </c>
      <c r="J835" s="72">
        <v>43978</v>
      </c>
      <c r="K835" s="71" t="s">
        <v>20</v>
      </c>
      <c r="L835" s="65">
        <v>4.99</v>
      </c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  <c r="CX835" s="31"/>
      <c r="CY835" s="31"/>
      <c r="CZ835" s="31"/>
      <c r="DA835" s="31"/>
      <c r="DB835" s="31"/>
      <c r="DC835" s="31"/>
      <c r="DD835" s="31"/>
      <c r="DE835" s="31"/>
      <c r="DF835" s="31"/>
      <c r="DG835" s="31"/>
      <c r="DH835" s="31"/>
      <c r="DI835" s="31"/>
      <c r="DJ835" s="31"/>
      <c r="DK835" s="31"/>
      <c r="DL835" s="31"/>
      <c r="DM835" s="31"/>
      <c r="DN835" s="31"/>
      <c r="DO835" s="31"/>
      <c r="DP835" s="31"/>
      <c r="DQ835" s="31"/>
      <c r="DR835" s="31"/>
      <c r="DS835" s="31"/>
      <c r="DT835" s="31"/>
      <c r="DU835" s="31"/>
      <c r="DV835" s="31"/>
      <c r="DW835" s="31"/>
      <c r="DX835" s="31"/>
      <c r="DY835" s="31"/>
      <c r="DZ835" s="31"/>
      <c r="EA835" s="31"/>
      <c r="EB835" s="31"/>
      <c r="EC835" s="31"/>
      <c r="ED835" s="31"/>
      <c r="EE835" s="31"/>
      <c r="EF835" s="31"/>
      <c r="EG835" s="31"/>
      <c r="EH835" s="31"/>
      <c r="EI835" s="31"/>
      <c r="EJ835" s="31"/>
      <c r="EK835" s="31"/>
      <c r="EL835" s="31"/>
      <c r="EM835" s="31"/>
      <c r="EN835" s="31"/>
      <c r="EO835" s="31"/>
      <c r="EP835" s="31"/>
      <c r="EQ835" s="31"/>
      <c r="ER835" s="31"/>
      <c r="ES835" s="31"/>
      <c r="ET835" s="31"/>
      <c r="EU835" s="31"/>
      <c r="EV835" s="31"/>
      <c r="EW835" s="31"/>
      <c r="EX835" s="31"/>
      <c r="EY835" s="31"/>
      <c r="EZ835" s="31"/>
      <c r="FA835" s="31"/>
      <c r="FB835" s="31"/>
      <c r="FC835" s="31"/>
      <c r="FD835" s="31"/>
      <c r="FE835" s="31"/>
      <c r="FF835" s="31"/>
      <c r="FG835" s="31"/>
      <c r="FH835" s="31"/>
      <c r="FI835" s="31"/>
      <c r="FJ835" s="31"/>
      <c r="FK835" s="31"/>
      <c r="FL835" s="31"/>
      <c r="FM835" s="31"/>
      <c r="FN835" s="31"/>
      <c r="FO835" s="31"/>
      <c r="FP835" s="31"/>
      <c r="FQ835" s="31"/>
      <c r="FR835" s="31"/>
      <c r="FS835" s="31"/>
      <c r="FT835" s="31"/>
      <c r="FU835" s="31"/>
      <c r="FV835" s="31"/>
      <c r="FW835" s="31"/>
      <c r="FX835" s="31"/>
      <c r="FY835" s="31"/>
      <c r="FZ835" s="31"/>
      <c r="GA835" s="31"/>
      <c r="GB835" s="31"/>
      <c r="GC835" s="31"/>
      <c r="GD835" s="31"/>
      <c r="GE835" s="31"/>
      <c r="GF835" s="31"/>
      <c r="GG835" s="31"/>
      <c r="GH835" s="31"/>
      <c r="GI835" s="31"/>
      <c r="GJ835" s="31"/>
      <c r="GK835" s="31"/>
      <c r="GL835" s="31"/>
      <c r="GM835" s="31"/>
      <c r="GN835" s="31"/>
      <c r="GO835" s="31"/>
      <c r="GP835" s="31"/>
      <c r="GQ835" s="31"/>
      <c r="GR835" s="31"/>
      <c r="GS835" s="31"/>
      <c r="GT835" s="31"/>
      <c r="GU835" s="31"/>
      <c r="GV835" s="31"/>
      <c r="GW835" s="31"/>
      <c r="GX835" s="31"/>
      <c r="GY835" s="31"/>
      <c r="GZ835" s="31"/>
      <c r="HA835" s="31"/>
      <c r="HB835" s="31"/>
      <c r="HC835" s="31"/>
      <c r="HD835" s="31"/>
      <c r="HE835" s="31"/>
      <c r="HF835" s="31"/>
      <c r="HG835" s="31"/>
      <c r="HH835" s="31"/>
      <c r="HI835" s="31"/>
      <c r="HJ835" s="31"/>
      <c r="HK835" s="31"/>
      <c r="HL835" s="31"/>
      <c r="HM835" s="31"/>
      <c r="HN835" s="31"/>
      <c r="HO835" s="31"/>
      <c r="HP835" s="31"/>
      <c r="HQ835" s="31"/>
      <c r="HR835" s="31"/>
      <c r="HS835" s="31"/>
      <c r="HT835" s="31"/>
      <c r="HU835" s="31"/>
      <c r="HV835" s="31"/>
      <c r="HW835" s="31"/>
      <c r="HX835" s="31"/>
      <c r="HY835" s="31"/>
      <c r="HZ835" s="31"/>
      <c r="IA835" s="31"/>
      <c r="IB835" s="31"/>
      <c r="IC835" s="31"/>
      <c r="ID835" s="31"/>
      <c r="IE835" s="31"/>
      <c r="IF835" s="31"/>
      <c r="IG835" s="31"/>
      <c r="IH835" s="31"/>
      <c r="II835" s="31"/>
      <c r="IJ835" s="31"/>
      <c r="IK835" s="31"/>
      <c r="IL835" s="31"/>
      <c r="IM835" s="31"/>
      <c r="IN835" s="31"/>
      <c r="IO835" s="31"/>
      <c r="IP835" s="31"/>
      <c r="IQ835" s="31"/>
      <c r="IR835" s="31"/>
      <c r="IS835" s="31"/>
      <c r="IT835" s="31"/>
      <c r="IU835" s="31"/>
      <c r="IV835" s="31"/>
      <c r="IW835" s="31"/>
      <c r="IX835" s="31"/>
      <c r="IY835" s="31"/>
      <c r="IZ835" s="31"/>
      <c r="JA835" s="31"/>
      <c r="JB835" s="31"/>
      <c r="JC835" s="31"/>
      <c r="JD835" s="31"/>
      <c r="JE835" s="31"/>
      <c r="JF835" s="31"/>
      <c r="JG835" s="31"/>
      <c r="JH835" s="31"/>
      <c r="JI835" s="31"/>
      <c r="JJ835" s="31"/>
      <c r="JK835" s="31"/>
      <c r="JL835" s="31"/>
      <c r="JM835" s="31"/>
      <c r="JN835" s="31"/>
      <c r="JO835" s="31"/>
      <c r="JP835" s="31"/>
      <c r="JQ835" s="31"/>
      <c r="JR835" s="31"/>
      <c r="JS835" s="31"/>
      <c r="JT835" s="31"/>
      <c r="JU835" s="31"/>
      <c r="JV835" s="31"/>
      <c r="JW835" s="31"/>
      <c r="JX835" s="31"/>
      <c r="JY835" s="31"/>
      <c r="JZ835" s="31"/>
      <c r="KA835" s="31"/>
      <c r="KB835" s="31"/>
      <c r="KC835" s="31"/>
      <c r="KD835" s="31"/>
      <c r="KE835" s="31"/>
    </row>
    <row r="836" spans="1:291" s="156" customFormat="1" ht="35" customHeight="1">
      <c r="A836" s="42">
        <f>ROW()-2</f>
        <v>834</v>
      </c>
      <c r="B836" s="213" t="s">
        <v>2732</v>
      </c>
      <c r="C836" s="182" t="s">
        <v>4345</v>
      </c>
      <c r="D836" s="218" t="s">
        <v>5262</v>
      </c>
      <c r="E836" s="218" t="s">
        <v>5263</v>
      </c>
      <c r="F836" s="218" t="s">
        <v>3368</v>
      </c>
      <c r="G836" s="213" t="s">
        <v>34</v>
      </c>
      <c r="H836" s="182">
        <v>1</v>
      </c>
      <c r="I836" s="206">
        <v>0.48</v>
      </c>
      <c r="J836" s="234">
        <v>43978</v>
      </c>
      <c r="K836" s="240" t="s">
        <v>20</v>
      </c>
      <c r="L836" s="213">
        <v>4.99</v>
      </c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  <c r="AW836" s="136"/>
      <c r="AX836" s="136"/>
      <c r="AY836" s="136"/>
      <c r="AZ836" s="136"/>
      <c r="BA836" s="136"/>
      <c r="BB836" s="136"/>
      <c r="BC836" s="136"/>
      <c r="BD836" s="136"/>
      <c r="BE836" s="136"/>
      <c r="BF836" s="136"/>
      <c r="BG836" s="136"/>
      <c r="BH836" s="136"/>
      <c r="BI836" s="136"/>
      <c r="BJ836" s="136"/>
      <c r="BK836" s="136"/>
      <c r="BL836" s="136"/>
      <c r="BM836" s="136"/>
      <c r="BN836" s="136"/>
      <c r="BO836" s="136"/>
      <c r="BP836" s="136"/>
      <c r="BQ836" s="136"/>
      <c r="BR836" s="136"/>
      <c r="BS836" s="136"/>
      <c r="BT836" s="136"/>
      <c r="BU836" s="136"/>
      <c r="BV836" s="136"/>
      <c r="BW836" s="136"/>
      <c r="BX836" s="136"/>
      <c r="BY836" s="136"/>
      <c r="BZ836" s="136"/>
      <c r="CA836" s="136"/>
      <c r="CB836" s="136"/>
      <c r="CC836" s="136"/>
      <c r="CD836" s="136"/>
      <c r="CE836" s="136"/>
      <c r="CF836" s="136"/>
      <c r="CG836" s="136"/>
      <c r="CH836" s="136"/>
      <c r="CI836" s="136"/>
      <c r="CJ836" s="136"/>
      <c r="CK836" s="136"/>
      <c r="CL836" s="136"/>
      <c r="CM836" s="136"/>
      <c r="CN836" s="136"/>
      <c r="CO836" s="136"/>
      <c r="CP836" s="136"/>
      <c r="CQ836" s="136"/>
      <c r="CR836" s="136"/>
      <c r="CS836" s="136"/>
      <c r="CT836" s="136"/>
      <c r="CU836" s="136"/>
      <c r="CV836" s="136"/>
      <c r="CW836" s="136"/>
      <c r="CX836" s="136"/>
      <c r="CY836" s="136"/>
      <c r="CZ836" s="136"/>
      <c r="DA836" s="136"/>
      <c r="DB836" s="136"/>
      <c r="DC836" s="136"/>
      <c r="DD836" s="136"/>
      <c r="DE836" s="136"/>
      <c r="DF836" s="136"/>
      <c r="DG836" s="136"/>
      <c r="DH836" s="136"/>
      <c r="DI836" s="136"/>
      <c r="DJ836" s="136"/>
      <c r="DK836" s="136"/>
      <c r="DL836" s="136"/>
      <c r="DM836" s="136"/>
      <c r="DN836" s="136"/>
      <c r="DO836" s="136"/>
      <c r="DP836" s="136"/>
      <c r="DQ836" s="136"/>
      <c r="DR836" s="136"/>
      <c r="DS836" s="136"/>
      <c r="DT836" s="136"/>
      <c r="DU836" s="136"/>
      <c r="DV836" s="136"/>
      <c r="DW836" s="136"/>
      <c r="DX836" s="136"/>
      <c r="DY836" s="136"/>
      <c r="DZ836" s="136"/>
      <c r="EA836" s="136"/>
      <c r="EB836" s="136"/>
      <c r="EC836" s="136"/>
      <c r="ED836" s="136"/>
      <c r="EE836" s="136"/>
      <c r="EF836" s="136"/>
      <c r="EG836" s="136"/>
      <c r="EH836" s="136"/>
      <c r="EI836" s="136"/>
      <c r="EJ836" s="136"/>
      <c r="EK836" s="136"/>
      <c r="EL836" s="136"/>
      <c r="EM836" s="136"/>
      <c r="EN836" s="136"/>
      <c r="EO836" s="136"/>
      <c r="EP836" s="136"/>
      <c r="EQ836" s="136"/>
      <c r="ER836" s="136"/>
      <c r="ES836" s="136"/>
      <c r="ET836" s="136"/>
      <c r="EU836" s="136"/>
      <c r="EV836" s="136"/>
      <c r="EW836" s="136"/>
      <c r="EX836" s="136"/>
      <c r="EY836" s="136"/>
      <c r="EZ836" s="136"/>
      <c r="FA836" s="136"/>
      <c r="FB836" s="136"/>
      <c r="FC836" s="136"/>
      <c r="FD836" s="136"/>
      <c r="FE836" s="136"/>
      <c r="FF836" s="136"/>
      <c r="FG836" s="136"/>
      <c r="FH836" s="136"/>
      <c r="FI836" s="136"/>
      <c r="FJ836" s="136"/>
      <c r="FK836" s="136"/>
      <c r="FL836" s="136"/>
      <c r="FM836" s="136"/>
      <c r="FN836" s="136"/>
      <c r="FO836" s="136"/>
      <c r="FP836" s="136"/>
      <c r="FQ836" s="136"/>
      <c r="FR836" s="136"/>
      <c r="FS836" s="136"/>
      <c r="FT836" s="136"/>
      <c r="FU836" s="136"/>
      <c r="FV836" s="136"/>
      <c r="FW836" s="136"/>
      <c r="FX836" s="136"/>
      <c r="FY836" s="136"/>
      <c r="FZ836" s="136"/>
      <c r="GA836" s="136"/>
      <c r="GB836" s="136"/>
      <c r="GC836" s="136"/>
      <c r="GD836" s="136"/>
      <c r="GE836" s="136"/>
      <c r="GF836" s="136"/>
      <c r="GG836" s="136"/>
      <c r="GH836" s="136"/>
      <c r="GI836" s="136"/>
      <c r="GJ836" s="136"/>
      <c r="GK836" s="136"/>
      <c r="GL836" s="136"/>
      <c r="GM836" s="136"/>
      <c r="GN836" s="136"/>
      <c r="GO836" s="136"/>
      <c r="GP836" s="136"/>
      <c r="GQ836" s="136"/>
      <c r="GR836" s="136"/>
      <c r="GS836" s="136"/>
      <c r="GT836" s="136"/>
      <c r="GU836" s="136"/>
      <c r="GV836" s="136"/>
      <c r="GW836" s="136"/>
      <c r="GX836" s="136"/>
      <c r="GY836" s="136"/>
      <c r="GZ836" s="136"/>
      <c r="HA836" s="136"/>
      <c r="HB836" s="136"/>
      <c r="HC836" s="136"/>
      <c r="HD836" s="136"/>
      <c r="HE836" s="136"/>
      <c r="HF836" s="136"/>
      <c r="HG836" s="136"/>
      <c r="HH836" s="136"/>
      <c r="HI836" s="136"/>
      <c r="HJ836" s="136"/>
      <c r="HK836" s="136"/>
      <c r="HL836" s="136"/>
      <c r="HM836" s="136"/>
      <c r="HN836" s="136"/>
      <c r="HO836" s="136"/>
      <c r="HP836" s="136"/>
      <c r="HQ836" s="136"/>
      <c r="HR836" s="136"/>
      <c r="HS836" s="136"/>
      <c r="HT836" s="136"/>
      <c r="HU836" s="136"/>
      <c r="HV836" s="136"/>
      <c r="HW836" s="136"/>
      <c r="HX836" s="136"/>
      <c r="HY836" s="136"/>
      <c r="HZ836" s="136"/>
      <c r="IA836" s="136"/>
      <c r="IB836" s="136"/>
      <c r="IC836" s="136"/>
      <c r="ID836" s="136"/>
      <c r="IE836" s="136"/>
      <c r="IF836" s="136"/>
      <c r="IG836" s="136"/>
      <c r="IH836" s="136"/>
      <c r="II836" s="136"/>
      <c r="IJ836" s="136"/>
      <c r="IK836" s="136"/>
      <c r="IL836" s="136"/>
      <c r="IM836" s="136"/>
      <c r="IN836" s="136"/>
      <c r="IO836" s="136"/>
      <c r="IP836" s="136"/>
      <c r="IQ836" s="136"/>
      <c r="IR836" s="136"/>
      <c r="IS836" s="136"/>
      <c r="IT836" s="136"/>
      <c r="IU836" s="136"/>
      <c r="IV836" s="136"/>
      <c r="IW836" s="136"/>
      <c r="IX836" s="136"/>
      <c r="IY836" s="136"/>
      <c r="IZ836" s="136"/>
      <c r="JA836" s="136"/>
      <c r="JB836" s="136"/>
      <c r="JC836" s="136"/>
      <c r="JD836" s="136"/>
      <c r="JE836" s="136"/>
      <c r="JF836" s="136"/>
      <c r="JG836" s="136"/>
      <c r="JH836" s="136"/>
      <c r="JI836" s="136"/>
      <c r="JJ836" s="136"/>
      <c r="JK836" s="136"/>
      <c r="JL836" s="136"/>
      <c r="JM836" s="136"/>
      <c r="JN836" s="136"/>
      <c r="JO836" s="136"/>
      <c r="JP836" s="136"/>
      <c r="JQ836" s="136"/>
      <c r="JR836" s="136"/>
      <c r="JS836" s="136"/>
      <c r="JT836" s="136"/>
      <c r="JU836" s="136"/>
      <c r="JV836" s="136"/>
      <c r="JW836" s="136"/>
      <c r="JX836" s="136"/>
      <c r="JY836" s="136"/>
      <c r="JZ836" s="136"/>
      <c r="KA836" s="136"/>
      <c r="KB836" s="136"/>
      <c r="KC836" s="136"/>
      <c r="KD836" s="136"/>
      <c r="KE836" s="136"/>
    </row>
    <row r="837" spans="1:291" s="156" customFormat="1" ht="35" customHeight="1">
      <c r="A837" s="42">
        <f>ROW()-2</f>
        <v>835</v>
      </c>
      <c r="B837" s="213" t="s">
        <v>2732</v>
      </c>
      <c r="C837" s="182" t="s">
        <v>4345</v>
      </c>
      <c r="D837" s="187" t="s">
        <v>5264</v>
      </c>
      <c r="E837" s="187" t="s">
        <v>5265</v>
      </c>
      <c r="F837" s="187" t="s">
        <v>5176</v>
      </c>
      <c r="G837" s="213" t="s">
        <v>34</v>
      </c>
      <c r="H837" s="182">
        <v>1</v>
      </c>
      <c r="I837" s="206">
        <v>0.5</v>
      </c>
      <c r="J837" s="234">
        <v>43978</v>
      </c>
      <c r="K837" s="240" t="s">
        <v>20</v>
      </c>
      <c r="L837" s="213">
        <v>4.99</v>
      </c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136"/>
      <c r="AQ837" s="136"/>
      <c r="AR837" s="136"/>
      <c r="AS837" s="136"/>
      <c r="AT837" s="136"/>
      <c r="AU837" s="136"/>
      <c r="AV837" s="136"/>
      <c r="AW837" s="136"/>
      <c r="AX837" s="136"/>
      <c r="AY837" s="136"/>
      <c r="AZ837" s="136"/>
      <c r="BA837" s="136"/>
      <c r="BB837" s="136"/>
      <c r="BC837" s="136"/>
      <c r="BD837" s="136"/>
      <c r="BE837" s="136"/>
      <c r="BF837" s="136"/>
      <c r="BG837" s="136"/>
      <c r="BH837" s="136"/>
      <c r="BI837" s="136"/>
      <c r="BJ837" s="136"/>
      <c r="BK837" s="136"/>
      <c r="BL837" s="136"/>
      <c r="BM837" s="136"/>
      <c r="BN837" s="136"/>
      <c r="BO837" s="136"/>
      <c r="BP837" s="136"/>
      <c r="BQ837" s="136"/>
      <c r="BR837" s="136"/>
      <c r="BS837" s="136"/>
      <c r="BT837" s="136"/>
      <c r="BU837" s="136"/>
      <c r="BV837" s="136"/>
      <c r="BW837" s="136"/>
      <c r="BX837" s="136"/>
      <c r="BY837" s="136"/>
      <c r="BZ837" s="136"/>
      <c r="CA837" s="136"/>
      <c r="CB837" s="136"/>
      <c r="CC837" s="136"/>
      <c r="CD837" s="136"/>
      <c r="CE837" s="136"/>
      <c r="CF837" s="136"/>
      <c r="CG837" s="136"/>
      <c r="CH837" s="136"/>
      <c r="CI837" s="136"/>
      <c r="CJ837" s="136"/>
      <c r="CK837" s="136"/>
      <c r="CL837" s="136"/>
      <c r="CM837" s="136"/>
      <c r="CN837" s="136"/>
      <c r="CO837" s="136"/>
      <c r="CP837" s="136"/>
      <c r="CQ837" s="136"/>
      <c r="CR837" s="136"/>
      <c r="CS837" s="136"/>
      <c r="CT837" s="136"/>
      <c r="CU837" s="136"/>
      <c r="CV837" s="136"/>
      <c r="CW837" s="136"/>
      <c r="CX837" s="136"/>
      <c r="CY837" s="136"/>
      <c r="CZ837" s="136"/>
      <c r="DA837" s="136"/>
      <c r="DB837" s="136"/>
      <c r="DC837" s="136"/>
      <c r="DD837" s="136"/>
      <c r="DE837" s="136"/>
      <c r="DF837" s="136"/>
      <c r="DG837" s="136"/>
      <c r="DH837" s="136"/>
      <c r="DI837" s="136"/>
      <c r="DJ837" s="136"/>
      <c r="DK837" s="136"/>
      <c r="DL837" s="136"/>
      <c r="DM837" s="136"/>
      <c r="DN837" s="136"/>
      <c r="DO837" s="136"/>
      <c r="DP837" s="136"/>
      <c r="DQ837" s="136"/>
      <c r="DR837" s="136"/>
      <c r="DS837" s="136"/>
      <c r="DT837" s="136"/>
      <c r="DU837" s="136"/>
      <c r="DV837" s="136"/>
      <c r="DW837" s="136"/>
      <c r="DX837" s="136"/>
      <c r="DY837" s="136"/>
      <c r="DZ837" s="136"/>
      <c r="EA837" s="136"/>
      <c r="EB837" s="136"/>
      <c r="EC837" s="136"/>
      <c r="ED837" s="136"/>
      <c r="EE837" s="136"/>
      <c r="EF837" s="136"/>
      <c r="EG837" s="136"/>
      <c r="EH837" s="136"/>
      <c r="EI837" s="136"/>
      <c r="EJ837" s="136"/>
      <c r="EK837" s="136"/>
      <c r="EL837" s="136"/>
      <c r="EM837" s="136"/>
      <c r="EN837" s="136"/>
      <c r="EO837" s="136"/>
      <c r="EP837" s="136"/>
      <c r="EQ837" s="136"/>
      <c r="ER837" s="136"/>
      <c r="ES837" s="136"/>
      <c r="ET837" s="136"/>
      <c r="EU837" s="136"/>
      <c r="EV837" s="136"/>
      <c r="EW837" s="136"/>
      <c r="EX837" s="136"/>
      <c r="EY837" s="136"/>
      <c r="EZ837" s="136"/>
      <c r="FA837" s="136"/>
      <c r="FB837" s="136"/>
      <c r="FC837" s="136"/>
      <c r="FD837" s="136"/>
      <c r="FE837" s="136"/>
      <c r="FF837" s="136"/>
      <c r="FG837" s="136"/>
      <c r="FH837" s="136"/>
      <c r="FI837" s="136"/>
      <c r="FJ837" s="136"/>
      <c r="FK837" s="136"/>
      <c r="FL837" s="136"/>
      <c r="FM837" s="136"/>
      <c r="FN837" s="136"/>
      <c r="FO837" s="136"/>
      <c r="FP837" s="136"/>
      <c r="FQ837" s="136"/>
      <c r="FR837" s="136"/>
      <c r="FS837" s="136"/>
      <c r="FT837" s="136"/>
      <c r="FU837" s="136"/>
      <c r="FV837" s="136"/>
      <c r="FW837" s="136"/>
      <c r="FX837" s="136"/>
      <c r="FY837" s="136"/>
      <c r="FZ837" s="136"/>
      <c r="GA837" s="136"/>
      <c r="GB837" s="136"/>
      <c r="GC837" s="136"/>
      <c r="GD837" s="136"/>
      <c r="GE837" s="136"/>
      <c r="GF837" s="136"/>
      <c r="GG837" s="136"/>
      <c r="GH837" s="136"/>
      <c r="GI837" s="136"/>
      <c r="GJ837" s="136"/>
      <c r="GK837" s="136"/>
      <c r="GL837" s="136"/>
      <c r="GM837" s="136"/>
      <c r="GN837" s="136"/>
      <c r="GO837" s="136"/>
      <c r="GP837" s="136"/>
      <c r="GQ837" s="136"/>
      <c r="GR837" s="136"/>
      <c r="GS837" s="136"/>
      <c r="GT837" s="136"/>
      <c r="GU837" s="136"/>
      <c r="GV837" s="136"/>
      <c r="GW837" s="136"/>
      <c r="GX837" s="136"/>
      <c r="GY837" s="136"/>
      <c r="GZ837" s="136"/>
      <c r="HA837" s="136"/>
      <c r="HB837" s="136"/>
      <c r="HC837" s="136"/>
      <c r="HD837" s="136"/>
      <c r="HE837" s="136"/>
      <c r="HF837" s="136"/>
      <c r="HG837" s="136"/>
      <c r="HH837" s="136"/>
      <c r="HI837" s="136"/>
      <c r="HJ837" s="136"/>
      <c r="HK837" s="136"/>
      <c r="HL837" s="136"/>
      <c r="HM837" s="136"/>
      <c r="HN837" s="136"/>
      <c r="HO837" s="136"/>
      <c r="HP837" s="136"/>
      <c r="HQ837" s="136"/>
      <c r="HR837" s="136"/>
      <c r="HS837" s="136"/>
      <c r="HT837" s="136"/>
      <c r="HU837" s="136"/>
      <c r="HV837" s="136"/>
      <c r="HW837" s="136"/>
      <c r="HX837" s="136"/>
      <c r="HY837" s="136"/>
      <c r="HZ837" s="136"/>
      <c r="IA837" s="136"/>
      <c r="IB837" s="136"/>
      <c r="IC837" s="136"/>
      <c r="ID837" s="136"/>
      <c r="IE837" s="136"/>
      <c r="IF837" s="136"/>
      <c r="IG837" s="136"/>
      <c r="IH837" s="136"/>
      <c r="II837" s="136"/>
      <c r="IJ837" s="136"/>
      <c r="IK837" s="136"/>
      <c r="IL837" s="136"/>
      <c r="IM837" s="136"/>
      <c r="IN837" s="136"/>
      <c r="IO837" s="136"/>
      <c r="IP837" s="136"/>
      <c r="IQ837" s="136"/>
      <c r="IR837" s="136"/>
      <c r="IS837" s="136"/>
      <c r="IT837" s="136"/>
      <c r="IU837" s="136"/>
      <c r="IV837" s="136"/>
      <c r="IW837" s="136"/>
      <c r="IX837" s="136"/>
      <c r="IY837" s="136"/>
      <c r="IZ837" s="136"/>
      <c r="JA837" s="136"/>
      <c r="JB837" s="136"/>
      <c r="JC837" s="136"/>
      <c r="JD837" s="136"/>
      <c r="JE837" s="136"/>
      <c r="JF837" s="136"/>
      <c r="JG837" s="136"/>
      <c r="JH837" s="136"/>
      <c r="JI837" s="136"/>
      <c r="JJ837" s="136"/>
      <c r="JK837" s="136"/>
      <c r="JL837" s="136"/>
      <c r="JM837" s="136"/>
      <c r="JN837" s="136"/>
      <c r="JO837" s="136"/>
      <c r="JP837" s="136"/>
      <c r="JQ837" s="136"/>
      <c r="JR837" s="136"/>
      <c r="JS837" s="136"/>
      <c r="JT837" s="136"/>
      <c r="JU837" s="136"/>
      <c r="JV837" s="136"/>
      <c r="JW837" s="136"/>
      <c r="JX837" s="136"/>
      <c r="JY837" s="136"/>
      <c r="JZ837" s="136"/>
      <c r="KA837" s="136"/>
      <c r="KB837" s="136"/>
      <c r="KC837" s="136"/>
      <c r="KD837" s="136"/>
      <c r="KE837" s="136"/>
    </row>
    <row r="838" spans="1:291" s="156" customFormat="1" ht="35" customHeight="1">
      <c r="A838" s="42">
        <f>ROW()-2</f>
        <v>836</v>
      </c>
      <c r="B838" s="159" t="s">
        <v>2732</v>
      </c>
      <c r="C838" s="152" t="s">
        <v>4345</v>
      </c>
      <c r="D838" s="162" t="s">
        <v>4465</v>
      </c>
      <c r="E838" s="162" t="s">
        <v>4466</v>
      </c>
      <c r="F838" s="162" t="s">
        <v>3116</v>
      </c>
      <c r="G838" s="159" t="s">
        <v>34</v>
      </c>
      <c r="H838" s="152">
        <v>1</v>
      </c>
      <c r="I838" s="153">
        <v>0.4</v>
      </c>
      <c r="J838" s="161">
        <v>43983</v>
      </c>
      <c r="K838" s="160" t="s">
        <v>20</v>
      </c>
      <c r="L838" s="159">
        <v>4.99</v>
      </c>
    </row>
    <row r="839" spans="1:291" s="156" customFormat="1" ht="35" customHeight="1">
      <c r="A839" s="42">
        <f>ROW()-2</f>
        <v>837</v>
      </c>
      <c r="B839" s="159" t="s">
        <v>2732</v>
      </c>
      <c r="C839" s="152" t="s">
        <v>4345</v>
      </c>
      <c r="D839" s="58" t="s">
        <v>4467</v>
      </c>
      <c r="E839" s="58" t="s">
        <v>4468</v>
      </c>
      <c r="F839" s="58" t="s">
        <v>2840</v>
      </c>
      <c r="G839" s="159" t="s">
        <v>34</v>
      </c>
      <c r="H839" s="152">
        <v>1</v>
      </c>
      <c r="I839" s="153">
        <v>0.46</v>
      </c>
      <c r="J839" s="161">
        <v>43997</v>
      </c>
      <c r="K839" s="160" t="s">
        <v>20</v>
      </c>
      <c r="L839" s="159">
        <v>4.99</v>
      </c>
    </row>
    <row r="840" spans="1:291" s="156" customFormat="1" ht="35" customHeight="1">
      <c r="A840" s="42">
        <f>ROW()-2</f>
        <v>838</v>
      </c>
      <c r="B840" s="159" t="s">
        <v>2732</v>
      </c>
      <c r="C840" s="152" t="s">
        <v>4345</v>
      </c>
      <c r="D840" s="162" t="s">
        <v>4469</v>
      </c>
      <c r="E840" s="162" t="s">
        <v>4470</v>
      </c>
      <c r="F840" s="162" t="s">
        <v>4471</v>
      </c>
      <c r="G840" s="159" t="s">
        <v>34</v>
      </c>
      <c r="H840" s="152">
        <v>1</v>
      </c>
      <c r="I840" s="153">
        <v>0.38</v>
      </c>
      <c r="J840" s="161">
        <v>44004</v>
      </c>
      <c r="K840" s="160" t="s">
        <v>20</v>
      </c>
      <c r="L840" s="159">
        <v>4.99</v>
      </c>
    </row>
    <row r="841" spans="1:291" s="156" customFormat="1" ht="35" customHeight="1">
      <c r="A841" s="42">
        <f>ROW()-2</f>
        <v>839</v>
      </c>
      <c r="B841" s="159" t="s">
        <v>2732</v>
      </c>
      <c r="C841" s="152" t="s">
        <v>4345</v>
      </c>
      <c r="D841" s="58" t="s">
        <v>4472</v>
      </c>
      <c r="E841" s="58" t="s">
        <v>4473</v>
      </c>
      <c r="F841" s="58" t="s">
        <v>4399</v>
      </c>
      <c r="G841" s="159" t="s">
        <v>34</v>
      </c>
      <c r="H841" s="152">
        <v>1</v>
      </c>
      <c r="I841" s="153">
        <v>0.32</v>
      </c>
      <c r="J841" s="161">
        <v>44004</v>
      </c>
      <c r="K841" s="160" t="s">
        <v>20</v>
      </c>
      <c r="L841" s="159">
        <v>4.99</v>
      </c>
    </row>
    <row r="842" spans="1:291" s="156" customFormat="1" ht="35" customHeight="1">
      <c r="A842" s="42">
        <f>ROW()-2</f>
        <v>840</v>
      </c>
      <c r="B842" s="159" t="s">
        <v>2732</v>
      </c>
      <c r="C842" s="152" t="s">
        <v>4345</v>
      </c>
      <c r="D842" s="162" t="s">
        <v>4474</v>
      </c>
      <c r="E842" s="162" t="s">
        <v>3293</v>
      </c>
      <c r="F842" s="162" t="s">
        <v>4444</v>
      </c>
      <c r="G842" s="159" t="s">
        <v>34</v>
      </c>
      <c r="H842" s="152">
        <v>1</v>
      </c>
      <c r="I842" s="153">
        <v>0.3</v>
      </c>
      <c r="J842" s="161">
        <v>44004</v>
      </c>
      <c r="K842" s="160" t="s">
        <v>20</v>
      </c>
      <c r="L842" s="159">
        <v>4.99</v>
      </c>
    </row>
    <row r="843" spans="1:291" s="156" customFormat="1" ht="35" customHeight="1">
      <c r="A843" s="42">
        <f>ROW()-2</f>
        <v>841</v>
      </c>
      <c r="B843" s="159" t="s">
        <v>2732</v>
      </c>
      <c r="C843" s="152" t="s">
        <v>4345</v>
      </c>
      <c r="D843" s="58" t="s">
        <v>4475</v>
      </c>
      <c r="E843" s="58" t="s">
        <v>4473</v>
      </c>
      <c r="F843" s="58" t="s">
        <v>4476</v>
      </c>
      <c r="G843" s="159" t="s">
        <v>34</v>
      </c>
      <c r="H843" s="152">
        <v>1</v>
      </c>
      <c r="I843" s="153">
        <v>0.31</v>
      </c>
      <c r="J843" s="161">
        <v>44004</v>
      </c>
      <c r="K843" s="160" t="s">
        <v>20</v>
      </c>
      <c r="L843" s="159">
        <v>4.99</v>
      </c>
    </row>
    <row r="844" spans="1:291" s="156" customFormat="1" ht="35" customHeight="1">
      <c r="A844" s="42">
        <f>ROW()-2</f>
        <v>842</v>
      </c>
      <c r="B844" s="159" t="s">
        <v>2732</v>
      </c>
      <c r="C844" s="152" t="s">
        <v>4345</v>
      </c>
      <c r="D844" s="162" t="s">
        <v>4477</v>
      </c>
      <c r="E844" s="162" t="s">
        <v>4478</v>
      </c>
      <c r="F844" s="162" t="s">
        <v>3548</v>
      </c>
      <c r="G844" s="159" t="s">
        <v>34</v>
      </c>
      <c r="H844" s="152">
        <v>1</v>
      </c>
      <c r="I844" s="153">
        <v>0.53</v>
      </c>
      <c r="J844" s="161">
        <v>44004</v>
      </c>
      <c r="K844" s="160" t="s">
        <v>20</v>
      </c>
      <c r="L844" s="159">
        <v>4.99</v>
      </c>
    </row>
    <row r="845" spans="1:291" s="156" customFormat="1" ht="35" customHeight="1">
      <c r="A845" s="42">
        <f>ROW()-2</f>
        <v>843</v>
      </c>
      <c r="B845" s="159" t="s">
        <v>2732</v>
      </c>
      <c r="C845" s="152" t="s">
        <v>4345</v>
      </c>
      <c r="D845" s="58" t="s">
        <v>4479</v>
      </c>
      <c r="E845" s="58" t="s">
        <v>4480</v>
      </c>
      <c r="F845" s="58" t="s">
        <v>3206</v>
      </c>
      <c r="G845" s="159" t="s">
        <v>34</v>
      </c>
      <c r="H845" s="152">
        <v>1</v>
      </c>
      <c r="I845" s="153">
        <v>0.3</v>
      </c>
      <c r="J845" s="161">
        <v>44004</v>
      </c>
      <c r="K845" s="160" t="s">
        <v>20</v>
      </c>
      <c r="L845" s="159">
        <v>4.99</v>
      </c>
    </row>
    <row r="846" spans="1:291" s="156" customFormat="1" ht="35" customHeight="1">
      <c r="A846" s="42">
        <f>ROW()-2</f>
        <v>844</v>
      </c>
      <c r="B846" s="159" t="s">
        <v>2732</v>
      </c>
      <c r="C846" s="152" t="s">
        <v>4345</v>
      </c>
      <c r="D846" s="162" t="s">
        <v>4481</v>
      </c>
      <c r="E846" s="162" t="s">
        <v>4482</v>
      </c>
      <c r="F846" s="162" t="s">
        <v>2739</v>
      </c>
      <c r="G846" s="159" t="s">
        <v>34</v>
      </c>
      <c r="H846" s="152">
        <v>1</v>
      </c>
      <c r="I846" s="153">
        <v>0.46</v>
      </c>
      <c r="J846" s="161">
        <v>44004</v>
      </c>
      <c r="K846" s="160" t="s">
        <v>20</v>
      </c>
      <c r="L846" s="159">
        <v>4.99</v>
      </c>
    </row>
    <row r="847" spans="1:291" s="156" customFormat="1" ht="35" customHeight="1">
      <c r="A847" s="42">
        <f>ROW()-2</f>
        <v>845</v>
      </c>
      <c r="B847" s="159" t="s">
        <v>2732</v>
      </c>
      <c r="C847" s="152" t="s">
        <v>4345</v>
      </c>
      <c r="D847" s="58" t="s">
        <v>4483</v>
      </c>
      <c r="E847" s="58" t="s">
        <v>4484</v>
      </c>
      <c r="F847" s="58" t="s">
        <v>2840</v>
      </c>
      <c r="G847" s="159" t="s">
        <v>34</v>
      </c>
      <c r="H847" s="152">
        <v>1</v>
      </c>
      <c r="I847" s="153">
        <v>0.41</v>
      </c>
      <c r="J847" s="161">
        <v>44004</v>
      </c>
      <c r="K847" s="160" t="s">
        <v>20</v>
      </c>
      <c r="L847" s="159">
        <v>4.99</v>
      </c>
    </row>
    <row r="848" spans="1:291" s="156" customFormat="1" ht="35" customHeight="1">
      <c r="A848" s="42">
        <f>ROW()-2</f>
        <v>846</v>
      </c>
      <c r="B848" s="159" t="s">
        <v>2732</v>
      </c>
      <c r="C848" s="152" t="s">
        <v>4345</v>
      </c>
      <c r="D848" s="162" t="s">
        <v>4485</v>
      </c>
      <c r="E848" s="162" t="s">
        <v>4486</v>
      </c>
      <c r="F848" s="162" t="s">
        <v>2899</v>
      </c>
      <c r="G848" s="159" t="s">
        <v>34</v>
      </c>
      <c r="H848" s="152">
        <v>1</v>
      </c>
      <c r="I848" s="153">
        <v>0.31</v>
      </c>
      <c r="J848" s="161">
        <v>44004</v>
      </c>
      <c r="K848" s="160" t="s">
        <v>20</v>
      </c>
      <c r="L848" s="159">
        <v>4.99</v>
      </c>
    </row>
    <row r="849" spans="1:291" s="156" customFormat="1" ht="35" customHeight="1">
      <c r="A849" s="42">
        <f>ROW()-2</f>
        <v>847</v>
      </c>
      <c r="B849" s="159" t="s">
        <v>2732</v>
      </c>
      <c r="C849" s="152" t="s">
        <v>4345</v>
      </c>
      <c r="D849" s="58" t="s">
        <v>4487</v>
      </c>
      <c r="E849" s="58" t="s">
        <v>4425</v>
      </c>
      <c r="F849" s="58" t="s">
        <v>2739</v>
      </c>
      <c r="G849" s="159" t="s">
        <v>34</v>
      </c>
      <c r="H849" s="152">
        <v>1</v>
      </c>
      <c r="I849" s="153">
        <v>0.41</v>
      </c>
      <c r="J849" s="161">
        <v>44004</v>
      </c>
      <c r="K849" s="160" t="s">
        <v>20</v>
      </c>
      <c r="L849" s="159">
        <v>4.99</v>
      </c>
    </row>
    <row r="850" spans="1:291" ht="35" customHeight="1">
      <c r="A850" s="42">
        <f>ROW()-2</f>
        <v>848</v>
      </c>
      <c r="B850" s="159" t="s">
        <v>2732</v>
      </c>
      <c r="C850" s="152" t="s">
        <v>4345</v>
      </c>
      <c r="D850" s="162" t="s">
        <v>4488</v>
      </c>
      <c r="E850" s="162" t="s">
        <v>4489</v>
      </c>
      <c r="F850" s="162" t="s">
        <v>4434</v>
      </c>
      <c r="G850" s="159" t="s">
        <v>34</v>
      </c>
      <c r="H850" s="152">
        <v>1</v>
      </c>
      <c r="I850" s="153">
        <v>0.52</v>
      </c>
      <c r="J850" s="161">
        <v>44004</v>
      </c>
      <c r="K850" s="160" t="s">
        <v>20</v>
      </c>
      <c r="L850" s="159">
        <v>4.99</v>
      </c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  <c r="AA850" s="156"/>
      <c r="AB850" s="156"/>
      <c r="AC850" s="156"/>
      <c r="AD850" s="156"/>
      <c r="AE850" s="156"/>
      <c r="AF850" s="156"/>
      <c r="AG850" s="156"/>
      <c r="AH850" s="156"/>
      <c r="AI850" s="156"/>
      <c r="AJ850" s="156"/>
      <c r="AK850" s="156"/>
      <c r="AL850" s="156"/>
      <c r="AM850" s="156"/>
      <c r="AN850" s="156"/>
      <c r="AO850" s="156"/>
      <c r="AP850" s="156"/>
      <c r="AQ850" s="156"/>
      <c r="AR850" s="156"/>
      <c r="AS850" s="156"/>
      <c r="AT850" s="156"/>
      <c r="AU850" s="156"/>
      <c r="AV850" s="156"/>
      <c r="AW850" s="156"/>
      <c r="AX850" s="156"/>
      <c r="AY850" s="156"/>
      <c r="AZ850" s="156"/>
      <c r="BA850" s="156"/>
      <c r="BB850" s="156"/>
      <c r="BC850" s="156"/>
      <c r="BD850" s="156"/>
      <c r="BE850" s="156"/>
      <c r="BF850" s="156"/>
      <c r="BG850" s="156"/>
      <c r="BH850" s="156"/>
      <c r="BI850" s="156"/>
      <c r="BJ850" s="156"/>
      <c r="BK850" s="156"/>
      <c r="BL850" s="156"/>
      <c r="BM850" s="156"/>
      <c r="BN850" s="156"/>
      <c r="BO850" s="156"/>
      <c r="BP850" s="156"/>
      <c r="BQ850" s="156"/>
      <c r="BR850" s="156"/>
      <c r="BS850" s="156"/>
      <c r="BT850" s="156"/>
      <c r="BU850" s="156"/>
      <c r="BV850" s="156"/>
      <c r="BW850" s="156"/>
      <c r="BX850" s="156"/>
      <c r="BY850" s="156"/>
      <c r="BZ850" s="156"/>
      <c r="CA850" s="156"/>
      <c r="CB850" s="156"/>
      <c r="CC850" s="156"/>
      <c r="CD850" s="156"/>
      <c r="CE850" s="156"/>
      <c r="CF850" s="156"/>
      <c r="CG850" s="156"/>
      <c r="CH850" s="156"/>
      <c r="CI850" s="156"/>
      <c r="CJ850" s="156"/>
      <c r="CK850" s="156"/>
      <c r="CL850" s="156"/>
      <c r="CM850" s="156"/>
      <c r="CN850" s="156"/>
      <c r="CO850" s="156"/>
      <c r="CP850" s="156"/>
      <c r="CQ850" s="156"/>
      <c r="CR850" s="156"/>
      <c r="CS850" s="156"/>
      <c r="CT850" s="156"/>
      <c r="CU850" s="156"/>
      <c r="CV850" s="156"/>
      <c r="CW850" s="156"/>
      <c r="CX850" s="156"/>
      <c r="CY850" s="156"/>
      <c r="CZ850" s="156"/>
      <c r="DA850" s="156"/>
      <c r="DB850" s="156"/>
      <c r="DC850" s="156"/>
      <c r="DD850" s="156"/>
      <c r="DE850" s="156"/>
      <c r="DF850" s="156"/>
      <c r="DG850" s="156"/>
      <c r="DH850" s="156"/>
      <c r="DI850" s="156"/>
      <c r="DJ850" s="156"/>
      <c r="DK850" s="156"/>
      <c r="DL850" s="156"/>
      <c r="DM850" s="156"/>
      <c r="DN850" s="156"/>
      <c r="DO850" s="156"/>
      <c r="DP850" s="156"/>
      <c r="DQ850" s="156"/>
      <c r="DR850" s="156"/>
      <c r="DS850" s="156"/>
      <c r="DT850" s="156"/>
      <c r="DU850" s="156"/>
      <c r="DV850" s="156"/>
      <c r="DW850" s="156"/>
      <c r="DX850" s="156"/>
      <c r="DY850" s="156"/>
      <c r="DZ850" s="156"/>
      <c r="EA850" s="156"/>
      <c r="EB850" s="156"/>
      <c r="EC850" s="156"/>
      <c r="ED850" s="156"/>
      <c r="EE850" s="156"/>
      <c r="EF850" s="156"/>
      <c r="EG850" s="156"/>
      <c r="EH850" s="156"/>
      <c r="EI850" s="156"/>
      <c r="EJ850" s="156"/>
      <c r="EK850" s="156"/>
      <c r="EL850" s="156"/>
      <c r="EM850" s="156"/>
      <c r="EN850" s="156"/>
      <c r="EO850" s="156"/>
      <c r="EP850" s="156"/>
      <c r="EQ850" s="156"/>
      <c r="ER850" s="156"/>
      <c r="ES850" s="156"/>
      <c r="ET850" s="156"/>
      <c r="EU850" s="156"/>
      <c r="EV850" s="156"/>
      <c r="EW850" s="156"/>
      <c r="EX850" s="156"/>
      <c r="EY850" s="156"/>
      <c r="EZ850" s="156"/>
      <c r="FA850" s="156"/>
      <c r="FB850" s="156"/>
      <c r="FC850" s="156"/>
      <c r="FD850" s="156"/>
      <c r="FE850" s="156"/>
      <c r="FF850" s="156"/>
      <c r="FG850" s="156"/>
      <c r="FH850" s="156"/>
      <c r="FI850" s="156"/>
      <c r="FJ850" s="156"/>
      <c r="FK850" s="156"/>
      <c r="FL850" s="156"/>
      <c r="FM850" s="156"/>
      <c r="FN850" s="156"/>
      <c r="FO850" s="156"/>
      <c r="FP850" s="156"/>
      <c r="FQ850" s="156"/>
      <c r="FR850" s="156"/>
      <c r="FS850" s="156"/>
      <c r="FT850" s="156"/>
      <c r="FU850" s="156"/>
      <c r="FV850" s="156"/>
      <c r="FW850" s="156"/>
      <c r="FX850" s="156"/>
      <c r="FY850" s="156"/>
      <c r="FZ850" s="156"/>
      <c r="GA850" s="156"/>
      <c r="GB850" s="156"/>
      <c r="GC850" s="156"/>
      <c r="GD850" s="156"/>
      <c r="GE850" s="156"/>
      <c r="GF850" s="156"/>
      <c r="GG850" s="156"/>
      <c r="GH850" s="156"/>
      <c r="GI850" s="156"/>
      <c r="GJ850" s="156"/>
      <c r="GK850" s="156"/>
      <c r="GL850" s="156"/>
      <c r="GM850" s="156"/>
      <c r="GN850" s="156"/>
      <c r="GO850" s="156"/>
      <c r="GP850" s="156"/>
      <c r="GQ850" s="156"/>
      <c r="GR850" s="156"/>
      <c r="GS850" s="156"/>
      <c r="GT850" s="156"/>
      <c r="GU850" s="156"/>
      <c r="GV850" s="156"/>
      <c r="GW850" s="156"/>
      <c r="GX850" s="156"/>
      <c r="GY850" s="156"/>
      <c r="GZ850" s="156"/>
      <c r="HA850" s="156"/>
      <c r="HB850" s="156"/>
      <c r="HC850" s="156"/>
      <c r="HD850" s="156"/>
      <c r="HE850" s="156"/>
      <c r="HF850" s="156"/>
      <c r="HG850" s="156"/>
      <c r="HH850" s="156"/>
      <c r="HI850" s="156"/>
      <c r="HJ850" s="156"/>
      <c r="HK850" s="156"/>
      <c r="HL850" s="156"/>
      <c r="HM850" s="156"/>
      <c r="HN850" s="156"/>
      <c r="HO850" s="156"/>
      <c r="HP850" s="156"/>
      <c r="HQ850" s="156"/>
      <c r="HR850" s="156"/>
      <c r="HS850" s="156"/>
      <c r="HT850" s="156"/>
      <c r="HU850" s="156"/>
      <c r="HV850" s="156"/>
      <c r="HW850" s="156"/>
      <c r="HX850" s="156"/>
      <c r="HY850" s="156"/>
      <c r="HZ850" s="156"/>
      <c r="IA850" s="156"/>
      <c r="IB850" s="156"/>
      <c r="IC850" s="156"/>
      <c r="ID850" s="156"/>
      <c r="IE850" s="156"/>
      <c r="IF850" s="156"/>
      <c r="IG850" s="156"/>
      <c r="IH850" s="156"/>
      <c r="II850" s="156"/>
      <c r="IJ850" s="156"/>
      <c r="IK850" s="156"/>
      <c r="IL850" s="156"/>
      <c r="IM850" s="156"/>
      <c r="IN850" s="156"/>
      <c r="IO850" s="156"/>
      <c r="IP850" s="156"/>
      <c r="IQ850" s="156"/>
      <c r="IR850" s="156"/>
      <c r="IS850" s="156"/>
      <c r="IT850" s="156"/>
      <c r="IU850" s="156"/>
      <c r="IV850" s="156"/>
      <c r="IW850" s="156"/>
      <c r="IX850" s="156"/>
      <c r="IY850" s="156"/>
      <c r="IZ850" s="156"/>
      <c r="JA850" s="156"/>
      <c r="JB850" s="156"/>
      <c r="JC850" s="156"/>
      <c r="JD850" s="156"/>
      <c r="JE850" s="156"/>
      <c r="JF850" s="156"/>
      <c r="JG850" s="156"/>
      <c r="JH850" s="156"/>
      <c r="JI850" s="156"/>
      <c r="JJ850" s="156"/>
      <c r="JK850" s="156"/>
      <c r="JL850" s="156"/>
      <c r="JM850" s="156"/>
      <c r="JN850" s="156"/>
      <c r="JO850" s="156"/>
      <c r="JP850" s="156"/>
      <c r="JQ850" s="156"/>
      <c r="JR850" s="156"/>
      <c r="JS850" s="156"/>
      <c r="JT850" s="156"/>
      <c r="JU850" s="156"/>
      <c r="JV850" s="156"/>
      <c r="JW850" s="156"/>
      <c r="JX850" s="156"/>
      <c r="JY850" s="156"/>
      <c r="JZ850" s="156"/>
      <c r="KA850" s="156"/>
      <c r="KB850" s="156"/>
      <c r="KC850" s="156"/>
      <c r="KD850" s="156"/>
      <c r="KE850" s="156"/>
    </row>
    <row r="851" spans="1:291" ht="35" customHeight="1">
      <c r="A851" s="42">
        <f>ROW()-2</f>
        <v>849</v>
      </c>
      <c r="B851" s="65" t="s">
        <v>2732</v>
      </c>
      <c r="C851" s="42" t="s">
        <v>4345</v>
      </c>
      <c r="D851" s="43" t="s">
        <v>3197</v>
      </c>
      <c r="E851" s="43" t="s">
        <v>3198</v>
      </c>
      <c r="F851" s="43" t="s">
        <v>3199</v>
      </c>
      <c r="G851" s="65" t="s">
        <v>34</v>
      </c>
      <c r="H851" s="42">
        <v>1</v>
      </c>
      <c r="I851" s="49">
        <v>0.38</v>
      </c>
      <c r="J851" s="72">
        <v>44004</v>
      </c>
      <c r="K851" s="71" t="s">
        <v>20</v>
      </c>
      <c r="L851" s="65">
        <v>4.99</v>
      </c>
    </row>
    <row r="852" spans="1:291" ht="35" customHeight="1">
      <c r="A852" s="42">
        <f>ROW()-2</f>
        <v>850</v>
      </c>
      <c r="B852" s="159" t="s">
        <v>2732</v>
      </c>
      <c r="C852" s="152" t="s">
        <v>4345</v>
      </c>
      <c r="D852" s="162" t="s">
        <v>3109</v>
      </c>
      <c r="E852" s="162" t="s">
        <v>4490</v>
      </c>
      <c r="F852" s="162" t="s">
        <v>4491</v>
      </c>
      <c r="G852" s="159" t="s">
        <v>34</v>
      </c>
      <c r="H852" s="152">
        <v>11</v>
      </c>
      <c r="I852" s="153">
        <v>1.83</v>
      </c>
      <c r="J852" s="161">
        <v>44032</v>
      </c>
      <c r="K852" s="160" t="s">
        <v>20</v>
      </c>
      <c r="L852" s="159">
        <v>4.99</v>
      </c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  <c r="AA852" s="156"/>
      <c r="AB852" s="156"/>
      <c r="AC852" s="156"/>
      <c r="AD852" s="156"/>
      <c r="AE852" s="156"/>
      <c r="AF852" s="156"/>
      <c r="AG852" s="156"/>
      <c r="AH852" s="156"/>
      <c r="AI852" s="156"/>
      <c r="AJ852" s="156"/>
      <c r="AK852" s="156"/>
      <c r="AL852" s="156"/>
      <c r="AM852" s="156"/>
      <c r="AN852" s="156"/>
      <c r="AO852" s="156"/>
      <c r="AP852" s="156"/>
      <c r="AQ852" s="156"/>
      <c r="AR852" s="156"/>
      <c r="AS852" s="156"/>
      <c r="AT852" s="156"/>
      <c r="AU852" s="156"/>
      <c r="AV852" s="156"/>
      <c r="AW852" s="156"/>
      <c r="AX852" s="156"/>
      <c r="AY852" s="156"/>
      <c r="AZ852" s="156"/>
      <c r="BA852" s="156"/>
      <c r="BB852" s="156"/>
      <c r="BC852" s="156"/>
      <c r="BD852" s="156"/>
      <c r="BE852" s="156"/>
      <c r="BF852" s="156"/>
      <c r="BG852" s="156"/>
      <c r="BH852" s="156"/>
      <c r="BI852" s="156"/>
      <c r="BJ852" s="156"/>
      <c r="BK852" s="156"/>
      <c r="BL852" s="156"/>
      <c r="BM852" s="156"/>
      <c r="BN852" s="156"/>
      <c r="BO852" s="156"/>
      <c r="BP852" s="156"/>
      <c r="BQ852" s="156"/>
      <c r="BR852" s="156"/>
      <c r="BS852" s="156"/>
      <c r="BT852" s="156"/>
      <c r="BU852" s="156"/>
      <c r="BV852" s="156"/>
      <c r="BW852" s="156"/>
      <c r="BX852" s="156"/>
      <c r="BY852" s="156"/>
      <c r="BZ852" s="156"/>
      <c r="CA852" s="156"/>
      <c r="CB852" s="156"/>
      <c r="CC852" s="156"/>
      <c r="CD852" s="156"/>
      <c r="CE852" s="156"/>
      <c r="CF852" s="156"/>
      <c r="CG852" s="156"/>
      <c r="CH852" s="156"/>
      <c r="CI852" s="156"/>
      <c r="CJ852" s="156"/>
      <c r="CK852" s="156"/>
      <c r="CL852" s="156"/>
      <c r="CM852" s="156"/>
      <c r="CN852" s="156"/>
      <c r="CO852" s="156"/>
      <c r="CP852" s="156"/>
      <c r="CQ852" s="156"/>
      <c r="CR852" s="156"/>
      <c r="CS852" s="156"/>
      <c r="CT852" s="156"/>
      <c r="CU852" s="156"/>
      <c r="CV852" s="156"/>
      <c r="CW852" s="156"/>
      <c r="CX852" s="156"/>
      <c r="CY852" s="156"/>
      <c r="CZ852" s="156"/>
      <c r="DA852" s="156"/>
      <c r="DB852" s="156"/>
      <c r="DC852" s="156"/>
      <c r="DD852" s="156"/>
      <c r="DE852" s="156"/>
      <c r="DF852" s="156"/>
      <c r="DG852" s="156"/>
      <c r="DH852" s="156"/>
      <c r="DI852" s="156"/>
      <c r="DJ852" s="156"/>
      <c r="DK852" s="156"/>
      <c r="DL852" s="156"/>
      <c r="DM852" s="156"/>
      <c r="DN852" s="156"/>
      <c r="DO852" s="156"/>
      <c r="DP852" s="156"/>
      <c r="DQ852" s="156"/>
      <c r="DR852" s="156"/>
      <c r="DS852" s="156"/>
      <c r="DT852" s="156"/>
      <c r="DU852" s="156"/>
      <c r="DV852" s="156"/>
      <c r="DW852" s="156"/>
      <c r="DX852" s="156"/>
      <c r="DY852" s="156"/>
      <c r="DZ852" s="156"/>
      <c r="EA852" s="156"/>
      <c r="EB852" s="156"/>
      <c r="EC852" s="156"/>
      <c r="ED852" s="156"/>
      <c r="EE852" s="156"/>
      <c r="EF852" s="156"/>
      <c r="EG852" s="156"/>
      <c r="EH852" s="156"/>
      <c r="EI852" s="156"/>
      <c r="EJ852" s="156"/>
      <c r="EK852" s="156"/>
      <c r="EL852" s="156"/>
      <c r="EM852" s="156"/>
      <c r="EN852" s="156"/>
      <c r="EO852" s="156"/>
      <c r="EP852" s="156"/>
      <c r="EQ852" s="156"/>
      <c r="ER852" s="156"/>
      <c r="ES852" s="156"/>
      <c r="ET852" s="156"/>
      <c r="EU852" s="156"/>
      <c r="EV852" s="156"/>
      <c r="EW852" s="156"/>
      <c r="EX852" s="156"/>
      <c r="EY852" s="156"/>
      <c r="EZ852" s="156"/>
      <c r="FA852" s="156"/>
      <c r="FB852" s="156"/>
      <c r="FC852" s="156"/>
      <c r="FD852" s="156"/>
      <c r="FE852" s="156"/>
      <c r="FF852" s="156"/>
      <c r="FG852" s="156"/>
      <c r="FH852" s="156"/>
      <c r="FI852" s="156"/>
      <c r="FJ852" s="156"/>
      <c r="FK852" s="156"/>
      <c r="FL852" s="156"/>
      <c r="FM852" s="156"/>
      <c r="FN852" s="156"/>
      <c r="FO852" s="156"/>
      <c r="FP852" s="156"/>
      <c r="FQ852" s="156"/>
      <c r="FR852" s="156"/>
      <c r="FS852" s="156"/>
      <c r="FT852" s="156"/>
      <c r="FU852" s="156"/>
      <c r="FV852" s="156"/>
      <c r="FW852" s="156"/>
      <c r="FX852" s="156"/>
      <c r="FY852" s="156"/>
      <c r="FZ852" s="156"/>
      <c r="GA852" s="156"/>
      <c r="GB852" s="156"/>
      <c r="GC852" s="156"/>
      <c r="GD852" s="156"/>
      <c r="GE852" s="156"/>
      <c r="GF852" s="156"/>
      <c r="GG852" s="156"/>
      <c r="GH852" s="156"/>
      <c r="GI852" s="156"/>
      <c r="GJ852" s="156"/>
      <c r="GK852" s="156"/>
      <c r="GL852" s="156"/>
      <c r="GM852" s="156"/>
      <c r="GN852" s="156"/>
      <c r="GO852" s="156"/>
      <c r="GP852" s="156"/>
      <c r="GQ852" s="156"/>
      <c r="GR852" s="156"/>
      <c r="GS852" s="156"/>
      <c r="GT852" s="156"/>
      <c r="GU852" s="156"/>
      <c r="GV852" s="156"/>
      <c r="GW852" s="156"/>
      <c r="GX852" s="156"/>
      <c r="GY852" s="156"/>
      <c r="GZ852" s="156"/>
      <c r="HA852" s="156"/>
      <c r="HB852" s="156"/>
      <c r="HC852" s="156"/>
      <c r="HD852" s="156"/>
      <c r="HE852" s="156"/>
      <c r="HF852" s="156"/>
      <c r="HG852" s="156"/>
      <c r="HH852" s="156"/>
      <c r="HI852" s="156"/>
      <c r="HJ852" s="156"/>
      <c r="HK852" s="156"/>
      <c r="HL852" s="156"/>
      <c r="HM852" s="156"/>
      <c r="HN852" s="156"/>
      <c r="HO852" s="156"/>
      <c r="HP852" s="156"/>
      <c r="HQ852" s="156"/>
      <c r="HR852" s="156"/>
      <c r="HS852" s="156"/>
      <c r="HT852" s="156"/>
      <c r="HU852" s="156"/>
      <c r="HV852" s="156"/>
      <c r="HW852" s="156"/>
      <c r="HX852" s="156"/>
      <c r="HY852" s="156"/>
      <c r="HZ852" s="156"/>
      <c r="IA852" s="156"/>
      <c r="IB852" s="156"/>
      <c r="IC852" s="156"/>
      <c r="ID852" s="156"/>
      <c r="IE852" s="156"/>
      <c r="IF852" s="156"/>
      <c r="IG852" s="156"/>
      <c r="IH852" s="156"/>
      <c r="II852" s="156"/>
      <c r="IJ852" s="156"/>
      <c r="IK852" s="156"/>
      <c r="IL852" s="156"/>
      <c r="IM852" s="156"/>
      <c r="IN852" s="156"/>
      <c r="IO852" s="156"/>
      <c r="IP852" s="156"/>
      <c r="IQ852" s="156"/>
      <c r="IR852" s="156"/>
      <c r="IS852" s="156"/>
      <c r="IT852" s="156"/>
      <c r="IU852" s="156"/>
      <c r="IV852" s="156"/>
      <c r="IW852" s="156"/>
      <c r="IX852" s="156"/>
      <c r="IY852" s="156"/>
      <c r="IZ852" s="156"/>
      <c r="JA852" s="156"/>
      <c r="JB852" s="156"/>
      <c r="JC852" s="156"/>
      <c r="JD852" s="156"/>
      <c r="JE852" s="156"/>
      <c r="JF852" s="156"/>
      <c r="JG852" s="156"/>
      <c r="JH852" s="156"/>
      <c r="JI852" s="156"/>
      <c r="JJ852" s="156"/>
      <c r="JK852" s="156"/>
      <c r="JL852" s="156"/>
      <c r="JM852" s="156"/>
      <c r="JN852" s="156"/>
      <c r="JO852" s="156"/>
      <c r="JP852" s="156"/>
      <c r="JQ852" s="156"/>
      <c r="JR852" s="156"/>
      <c r="JS852" s="156"/>
      <c r="JT852" s="156"/>
      <c r="JU852" s="156"/>
      <c r="JV852" s="156"/>
      <c r="JW852" s="156"/>
      <c r="JX852" s="156"/>
      <c r="JY852" s="156"/>
      <c r="JZ852" s="156"/>
      <c r="KA852" s="156"/>
      <c r="KB852" s="156"/>
      <c r="KC852" s="156"/>
      <c r="KD852" s="156"/>
      <c r="KE852" s="156"/>
    </row>
    <row r="853" spans="1:291" ht="35" customHeight="1">
      <c r="A853" s="42">
        <f>ROW()-2</f>
        <v>851</v>
      </c>
      <c r="B853" s="159" t="s">
        <v>2732</v>
      </c>
      <c r="C853" s="152" t="s">
        <v>4345</v>
      </c>
      <c r="D853" s="58" t="s">
        <v>3197</v>
      </c>
      <c r="E853" s="58" t="s">
        <v>4490</v>
      </c>
      <c r="F853" s="58" t="s">
        <v>4491</v>
      </c>
      <c r="G853" s="159" t="s">
        <v>34</v>
      </c>
      <c r="H853" s="152">
        <v>6</v>
      </c>
      <c r="I853" s="153">
        <v>1.1100000000000001</v>
      </c>
      <c r="J853" s="161">
        <v>44032</v>
      </c>
      <c r="K853" s="160" t="s">
        <v>20</v>
      </c>
      <c r="L853" s="159">
        <v>4.99</v>
      </c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  <c r="AA853" s="156"/>
      <c r="AB853" s="156"/>
      <c r="AC853" s="156"/>
      <c r="AD853" s="156"/>
      <c r="AE853" s="156"/>
      <c r="AF853" s="156"/>
      <c r="AG853" s="156"/>
      <c r="AH853" s="156"/>
      <c r="AI853" s="156"/>
      <c r="AJ853" s="156"/>
      <c r="AK853" s="156"/>
      <c r="AL853" s="156"/>
      <c r="AM853" s="156"/>
      <c r="AN853" s="156"/>
      <c r="AO853" s="156"/>
      <c r="AP853" s="156"/>
      <c r="AQ853" s="156"/>
      <c r="AR853" s="156"/>
      <c r="AS853" s="156"/>
      <c r="AT853" s="156"/>
      <c r="AU853" s="156"/>
      <c r="AV853" s="156"/>
      <c r="AW853" s="156"/>
      <c r="AX853" s="156"/>
      <c r="AY853" s="156"/>
      <c r="AZ853" s="156"/>
      <c r="BA853" s="156"/>
      <c r="BB853" s="156"/>
      <c r="BC853" s="156"/>
      <c r="BD853" s="156"/>
      <c r="BE853" s="156"/>
      <c r="BF853" s="156"/>
      <c r="BG853" s="156"/>
      <c r="BH853" s="156"/>
      <c r="BI853" s="156"/>
      <c r="BJ853" s="156"/>
      <c r="BK853" s="156"/>
      <c r="BL853" s="156"/>
      <c r="BM853" s="156"/>
      <c r="BN853" s="156"/>
      <c r="BO853" s="156"/>
      <c r="BP853" s="156"/>
      <c r="BQ853" s="156"/>
      <c r="BR853" s="156"/>
      <c r="BS853" s="156"/>
      <c r="BT853" s="156"/>
      <c r="BU853" s="156"/>
      <c r="BV853" s="156"/>
      <c r="BW853" s="156"/>
      <c r="BX853" s="156"/>
      <c r="BY853" s="156"/>
      <c r="BZ853" s="156"/>
      <c r="CA853" s="156"/>
      <c r="CB853" s="156"/>
      <c r="CC853" s="156"/>
      <c r="CD853" s="156"/>
      <c r="CE853" s="156"/>
      <c r="CF853" s="156"/>
      <c r="CG853" s="156"/>
      <c r="CH853" s="156"/>
      <c r="CI853" s="156"/>
      <c r="CJ853" s="156"/>
      <c r="CK853" s="156"/>
      <c r="CL853" s="156"/>
      <c r="CM853" s="156"/>
      <c r="CN853" s="156"/>
      <c r="CO853" s="156"/>
      <c r="CP853" s="156"/>
      <c r="CQ853" s="156"/>
      <c r="CR853" s="156"/>
      <c r="CS853" s="156"/>
      <c r="CT853" s="156"/>
      <c r="CU853" s="156"/>
      <c r="CV853" s="156"/>
      <c r="CW853" s="156"/>
      <c r="CX853" s="156"/>
      <c r="CY853" s="156"/>
      <c r="CZ853" s="156"/>
      <c r="DA853" s="156"/>
      <c r="DB853" s="156"/>
      <c r="DC853" s="156"/>
      <c r="DD853" s="156"/>
      <c r="DE853" s="156"/>
      <c r="DF853" s="156"/>
      <c r="DG853" s="156"/>
      <c r="DH853" s="156"/>
      <c r="DI853" s="156"/>
      <c r="DJ853" s="156"/>
      <c r="DK853" s="156"/>
      <c r="DL853" s="156"/>
      <c r="DM853" s="156"/>
      <c r="DN853" s="156"/>
      <c r="DO853" s="156"/>
      <c r="DP853" s="156"/>
      <c r="DQ853" s="156"/>
      <c r="DR853" s="156"/>
      <c r="DS853" s="156"/>
      <c r="DT853" s="156"/>
      <c r="DU853" s="156"/>
      <c r="DV853" s="156"/>
      <c r="DW853" s="156"/>
      <c r="DX853" s="156"/>
      <c r="DY853" s="156"/>
      <c r="DZ853" s="156"/>
      <c r="EA853" s="156"/>
      <c r="EB853" s="156"/>
      <c r="EC853" s="156"/>
      <c r="ED853" s="156"/>
      <c r="EE853" s="156"/>
      <c r="EF853" s="156"/>
      <c r="EG853" s="156"/>
      <c r="EH853" s="156"/>
      <c r="EI853" s="156"/>
      <c r="EJ853" s="156"/>
      <c r="EK853" s="156"/>
      <c r="EL853" s="156"/>
      <c r="EM853" s="156"/>
      <c r="EN853" s="156"/>
      <c r="EO853" s="156"/>
      <c r="EP853" s="156"/>
      <c r="EQ853" s="156"/>
      <c r="ER853" s="156"/>
      <c r="ES853" s="156"/>
      <c r="ET853" s="156"/>
      <c r="EU853" s="156"/>
      <c r="EV853" s="156"/>
      <c r="EW853" s="156"/>
      <c r="EX853" s="156"/>
      <c r="EY853" s="156"/>
      <c r="EZ853" s="156"/>
      <c r="FA853" s="156"/>
      <c r="FB853" s="156"/>
      <c r="FC853" s="156"/>
      <c r="FD853" s="156"/>
      <c r="FE853" s="156"/>
      <c r="FF853" s="156"/>
      <c r="FG853" s="156"/>
      <c r="FH853" s="156"/>
      <c r="FI853" s="156"/>
      <c r="FJ853" s="156"/>
      <c r="FK853" s="156"/>
      <c r="FL853" s="156"/>
      <c r="FM853" s="156"/>
      <c r="FN853" s="156"/>
      <c r="FO853" s="156"/>
      <c r="FP853" s="156"/>
      <c r="FQ853" s="156"/>
      <c r="FR853" s="156"/>
      <c r="FS853" s="156"/>
      <c r="FT853" s="156"/>
      <c r="FU853" s="156"/>
      <c r="FV853" s="156"/>
      <c r="FW853" s="156"/>
      <c r="FX853" s="156"/>
      <c r="FY853" s="156"/>
      <c r="FZ853" s="156"/>
      <c r="GA853" s="156"/>
      <c r="GB853" s="156"/>
      <c r="GC853" s="156"/>
      <c r="GD853" s="156"/>
      <c r="GE853" s="156"/>
      <c r="GF853" s="156"/>
      <c r="GG853" s="156"/>
      <c r="GH853" s="156"/>
      <c r="GI853" s="156"/>
      <c r="GJ853" s="156"/>
      <c r="GK853" s="156"/>
      <c r="GL853" s="156"/>
      <c r="GM853" s="156"/>
      <c r="GN853" s="156"/>
      <c r="GO853" s="156"/>
      <c r="GP853" s="156"/>
      <c r="GQ853" s="156"/>
      <c r="GR853" s="156"/>
      <c r="GS853" s="156"/>
      <c r="GT853" s="156"/>
      <c r="GU853" s="156"/>
      <c r="GV853" s="156"/>
      <c r="GW853" s="156"/>
      <c r="GX853" s="156"/>
      <c r="GY853" s="156"/>
      <c r="GZ853" s="156"/>
      <c r="HA853" s="156"/>
      <c r="HB853" s="156"/>
      <c r="HC853" s="156"/>
      <c r="HD853" s="156"/>
      <c r="HE853" s="156"/>
      <c r="HF853" s="156"/>
      <c r="HG853" s="156"/>
      <c r="HH853" s="156"/>
      <c r="HI853" s="156"/>
      <c r="HJ853" s="156"/>
      <c r="HK853" s="156"/>
      <c r="HL853" s="156"/>
      <c r="HM853" s="156"/>
      <c r="HN853" s="156"/>
      <c r="HO853" s="156"/>
      <c r="HP853" s="156"/>
      <c r="HQ853" s="156"/>
      <c r="HR853" s="156"/>
      <c r="HS853" s="156"/>
      <c r="HT853" s="156"/>
      <c r="HU853" s="156"/>
      <c r="HV853" s="156"/>
      <c r="HW853" s="156"/>
      <c r="HX853" s="156"/>
      <c r="HY853" s="156"/>
      <c r="HZ853" s="156"/>
      <c r="IA853" s="156"/>
      <c r="IB853" s="156"/>
      <c r="IC853" s="156"/>
      <c r="ID853" s="156"/>
      <c r="IE853" s="156"/>
      <c r="IF853" s="156"/>
      <c r="IG853" s="156"/>
      <c r="IH853" s="156"/>
      <c r="II853" s="156"/>
      <c r="IJ853" s="156"/>
      <c r="IK853" s="156"/>
      <c r="IL853" s="156"/>
      <c r="IM853" s="156"/>
      <c r="IN853" s="156"/>
      <c r="IO853" s="156"/>
      <c r="IP853" s="156"/>
      <c r="IQ853" s="156"/>
      <c r="IR853" s="156"/>
      <c r="IS853" s="156"/>
      <c r="IT853" s="156"/>
      <c r="IU853" s="156"/>
      <c r="IV853" s="156"/>
      <c r="IW853" s="156"/>
      <c r="IX853" s="156"/>
      <c r="IY853" s="156"/>
      <c r="IZ853" s="156"/>
      <c r="JA853" s="156"/>
      <c r="JB853" s="156"/>
      <c r="JC853" s="156"/>
      <c r="JD853" s="156"/>
      <c r="JE853" s="156"/>
      <c r="JF853" s="156"/>
      <c r="JG853" s="156"/>
      <c r="JH853" s="156"/>
      <c r="JI853" s="156"/>
      <c r="JJ853" s="156"/>
      <c r="JK853" s="156"/>
      <c r="JL853" s="156"/>
      <c r="JM853" s="156"/>
      <c r="JN853" s="156"/>
      <c r="JO853" s="156"/>
      <c r="JP853" s="156"/>
      <c r="JQ853" s="156"/>
      <c r="JR853" s="156"/>
      <c r="JS853" s="156"/>
      <c r="JT853" s="156"/>
      <c r="JU853" s="156"/>
      <c r="JV853" s="156"/>
      <c r="JW853" s="156"/>
      <c r="JX853" s="156"/>
      <c r="JY853" s="156"/>
      <c r="JZ853" s="156"/>
      <c r="KA853" s="156"/>
      <c r="KB853" s="156"/>
      <c r="KC853" s="156"/>
      <c r="KD853" s="156"/>
      <c r="KE853" s="156"/>
    </row>
    <row r="854" spans="1:291" ht="35" customHeight="1">
      <c r="A854" s="42">
        <f>ROW()-2</f>
        <v>852</v>
      </c>
      <c r="B854" s="159" t="s">
        <v>2732</v>
      </c>
      <c r="C854" s="152" t="s">
        <v>4345</v>
      </c>
      <c r="D854" s="162" t="s">
        <v>4492</v>
      </c>
      <c r="E854" s="162" t="s">
        <v>4490</v>
      </c>
      <c r="F854" s="162" t="s">
        <v>4491</v>
      </c>
      <c r="G854" s="159" t="s">
        <v>34</v>
      </c>
      <c r="H854" s="152">
        <v>8</v>
      </c>
      <c r="I854" s="153">
        <v>1.62</v>
      </c>
      <c r="J854" s="161">
        <v>44032</v>
      </c>
      <c r="K854" s="160" t="s">
        <v>20</v>
      </c>
      <c r="L854" s="159">
        <v>4.99</v>
      </c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  <c r="AA854" s="156"/>
      <c r="AB854" s="156"/>
      <c r="AC854" s="156"/>
      <c r="AD854" s="156"/>
      <c r="AE854" s="156"/>
      <c r="AF854" s="156"/>
      <c r="AG854" s="156"/>
      <c r="AH854" s="156"/>
      <c r="AI854" s="156"/>
      <c r="AJ854" s="156"/>
      <c r="AK854" s="156"/>
      <c r="AL854" s="156"/>
      <c r="AM854" s="156"/>
      <c r="AN854" s="156"/>
      <c r="AO854" s="156"/>
      <c r="AP854" s="156"/>
      <c r="AQ854" s="156"/>
      <c r="AR854" s="156"/>
      <c r="AS854" s="156"/>
      <c r="AT854" s="156"/>
      <c r="AU854" s="156"/>
      <c r="AV854" s="156"/>
      <c r="AW854" s="156"/>
      <c r="AX854" s="156"/>
      <c r="AY854" s="156"/>
      <c r="AZ854" s="156"/>
      <c r="BA854" s="156"/>
      <c r="BB854" s="156"/>
      <c r="BC854" s="156"/>
      <c r="BD854" s="156"/>
      <c r="BE854" s="156"/>
      <c r="BF854" s="156"/>
      <c r="BG854" s="156"/>
      <c r="BH854" s="156"/>
      <c r="BI854" s="156"/>
      <c r="BJ854" s="156"/>
      <c r="BK854" s="156"/>
      <c r="BL854" s="156"/>
      <c r="BM854" s="156"/>
      <c r="BN854" s="156"/>
      <c r="BO854" s="156"/>
      <c r="BP854" s="156"/>
      <c r="BQ854" s="156"/>
      <c r="BR854" s="156"/>
      <c r="BS854" s="156"/>
      <c r="BT854" s="156"/>
      <c r="BU854" s="156"/>
      <c r="BV854" s="156"/>
      <c r="BW854" s="156"/>
      <c r="BX854" s="156"/>
      <c r="BY854" s="156"/>
      <c r="BZ854" s="156"/>
      <c r="CA854" s="156"/>
      <c r="CB854" s="156"/>
      <c r="CC854" s="156"/>
      <c r="CD854" s="156"/>
      <c r="CE854" s="156"/>
      <c r="CF854" s="156"/>
      <c r="CG854" s="156"/>
      <c r="CH854" s="156"/>
      <c r="CI854" s="156"/>
      <c r="CJ854" s="156"/>
      <c r="CK854" s="156"/>
      <c r="CL854" s="156"/>
      <c r="CM854" s="156"/>
      <c r="CN854" s="156"/>
      <c r="CO854" s="156"/>
      <c r="CP854" s="156"/>
      <c r="CQ854" s="156"/>
      <c r="CR854" s="156"/>
      <c r="CS854" s="156"/>
      <c r="CT854" s="156"/>
      <c r="CU854" s="156"/>
      <c r="CV854" s="156"/>
      <c r="CW854" s="156"/>
      <c r="CX854" s="156"/>
      <c r="CY854" s="156"/>
      <c r="CZ854" s="156"/>
      <c r="DA854" s="156"/>
      <c r="DB854" s="156"/>
      <c r="DC854" s="156"/>
      <c r="DD854" s="156"/>
      <c r="DE854" s="156"/>
      <c r="DF854" s="156"/>
      <c r="DG854" s="156"/>
      <c r="DH854" s="156"/>
      <c r="DI854" s="156"/>
      <c r="DJ854" s="156"/>
      <c r="DK854" s="156"/>
      <c r="DL854" s="156"/>
      <c r="DM854" s="156"/>
      <c r="DN854" s="156"/>
      <c r="DO854" s="156"/>
      <c r="DP854" s="156"/>
      <c r="DQ854" s="156"/>
      <c r="DR854" s="156"/>
      <c r="DS854" s="156"/>
      <c r="DT854" s="156"/>
      <c r="DU854" s="156"/>
      <c r="DV854" s="156"/>
      <c r="DW854" s="156"/>
      <c r="DX854" s="156"/>
      <c r="DY854" s="156"/>
      <c r="DZ854" s="156"/>
      <c r="EA854" s="156"/>
      <c r="EB854" s="156"/>
      <c r="EC854" s="156"/>
      <c r="ED854" s="156"/>
      <c r="EE854" s="156"/>
      <c r="EF854" s="156"/>
      <c r="EG854" s="156"/>
      <c r="EH854" s="156"/>
      <c r="EI854" s="156"/>
      <c r="EJ854" s="156"/>
      <c r="EK854" s="156"/>
      <c r="EL854" s="156"/>
      <c r="EM854" s="156"/>
      <c r="EN854" s="156"/>
      <c r="EO854" s="156"/>
      <c r="EP854" s="156"/>
      <c r="EQ854" s="156"/>
      <c r="ER854" s="156"/>
      <c r="ES854" s="156"/>
      <c r="ET854" s="156"/>
      <c r="EU854" s="156"/>
      <c r="EV854" s="156"/>
      <c r="EW854" s="156"/>
      <c r="EX854" s="156"/>
      <c r="EY854" s="156"/>
      <c r="EZ854" s="156"/>
      <c r="FA854" s="156"/>
      <c r="FB854" s="156"/>
      <c r="FC854" s="156"/>
      <c r="FD854" s="156"/>
      <c r="FE854" s="156"/>
      <c r="FF854" s="156"/>
      <c r="FG854" s="156"/>
      <c r="FH854" s="156"/>
      <c r="FI854" s="156"/>
      <c r="FJ854" s="156"/>
      <c r="FK854" s="156"/>
      <c r="FL854" s="156"/>
      <c r="FM854" s="156"/>
      <c r="FN854" s="156"/>
      <c r="FO854" s="156"/>
      <c r="FP854" s="156"/>
      <c r="FQ854" s="156"/>
      <c r="FR854" s="156"/>
      <c r="FS854" s="156"/>
      <c r="FT854" s="156"/>
      <c r="FU854" s="156"/>
      <c r="FV854" s="156"/>
      <c r="FW854" s="156"/>
      <c r="FX854" s="156"/>
      <c r="FY854" s="156"/>
      <c r="FZ854" s="156"/>
      <c r="GA854" s="156"/>
      <c r="GB854" s="156"/>
      <c r="GC854" s="156"/>
      <c r="GD854" s="156"/>
      <c r="GE854" s="156"/>
      <c r="GF854" s="156"/>
      <c r="GG854" s="156"/>
      <c r="GH854" s="156"/>
      <c r="GI854" s="156"/>
      <c r="GJ854" s="156"/>
      <c r="GK854" s="156"/>
      <c r="GL854" s="156"/>
      <c r="GM854" s="156"/>
      <c r="GN854" s="156"/>
      <c r="GO854" s="156"/>
      <c r="GP854" s="156"/>
      <c r="GQ854" s="156"/>
      <c r="GR854" s="156"/>
      <c r="GS854" s="156"/>
      <c r="GT854" s="156"/>
      <c r="GU854" s="156"/>
      <c r="GV854" s="156"/>
      <c r="GW854" s="156"/>
      <c r="GX854" s="156"/>
      <c r="GY854" s="156"/>
      <c r="GZ854" s="156"/>
      <c r="HA854" s="156"/>
      <c r="HB854" s="156"/>
      <c r="HC854" s="156"/>
      <c r="HD854" s="156"/>
      <c r="HE854" s="156"/>
      <c r="HF854" s="156"/>
      <c r="HG854" s="156"/>
      <c r="HH854" s="156"/>
      <c r="HI854" s="156"/>
      <c r="HJ854" s="156"/>
      <c r="HK854" s="156"/>
      <c r="HL854" s="156"/>
      <c r="HM854" s="156"/>
      <c r="HN854" s="156"/>
      <c r="HO854" s="156"/>
      <c r="HP854" s="156"/>
      <c r="HQ854" s="156"/>
      <c r="HR854" s="156"/>
      <c r="HS854" s="156"/>
      <c r="HT854" s="156"/>
      <c r="HU854" s="156"/>
      <c r="HV854" s="156"/>
      <c r="HW854" s="156"/>
      <c r="HX854" s="156"/>
      <c r="HY854" s="156"/>
      <c r="HZ854" s="156"/>
      <c r="IA854" s="156"/>
      <c r="IB854" s="156"/>
      <c r="IC854" s="156"/>
      <c r="ID854" s="156"/>
      <c r="IE854" s="156"/>
      <c r="IF854" s="156"/>
      <c r="IG854" s="156"/>
      <c r="IH854" s="156"/>
      <c r="II854" s="156"/>
      <c r="IJ854" s="156"/>
      <c r="IK854" s="156"/>
      <c r="IL854" s="156"/>
      <c r="IM854" s="156"/>
      <c r="IN854" s="156"/>
      <c r="IO854" s="156"/>
      <c r="IP854" s="156"/>
      <c r="IQ854" s="156"/>
      <c r="IR854" s="156"/>
      <c r="IS854" s="156"/>
      <c r="IT854" s="156"/>
      <c r="IU854" s="156"/>
      <c r="IV854" s="156"/>
      <c r="IW854" s="156"/>
      <c r="IX854" s="156"/>
      <c r="IY854" s="156"/>
      <c r="IZ854" s="156"/>
      <c r="JA854" s="156"/>
      <c r="JB854" s="156"/>
      <c r="JC854" s="156"/>
      <c r="JD854" s="156"/>
      <c r="JE854" s="156"/>
      <c r="JF854" s="156"/>
      <c r="JG854" s="156"/>
      <c r="JH854" s="156"/>
      <c r="JI854" s="156"/>
      <c r="JJ854" s="156"/>
      <c r="JK854" s="156"/>
      <c r="JL854" s="156"/>
      <c r="JM854" s="156"/>
      <c r="JN854" s="156"/>
      <c r="JO854" s="156"/>
      <c r="JP854" s="156"/>
      <c r="JQ854" s="156"/>
      <c r="JR854" s="156"/>
      <c r="JS854" s="156"/>
      <c r="JT854" s="156"/>
      <c r="JU854" s="156"/>
      <c r="JV854" s="156"/>
      <c r="JW854" s="156"/>
      <c r="JX854" s="156"/>
      <c r="JY854" s="156"/>
      <c r="JZ854" s="156"/>
      <c r="KA854" s="156"/>
      <c r="KB854" s="156"/>
      <c r="KC854" s="156"/>
      <c r="KD854" s="156"/>
      <c r="KE854" s="156"/>
    </row>
    <row r="855" spans="1:291" ht="35" customHeight="1">
      <c r="A855" s="42">
        <f>ROW()-2</f>
        <v>853</v>
      </c>
      <c r="B855" s="159" t="s">
        <v>2732</v>
      </c>
      <c r="C855" s="152" t="s">
        <v>4345</v>
      </c>
      <c r="D855" s="58" t="s">
        <v>4493</v>
      </c>
      <c r="E855" s="58" t="s">
        <v>4490</v>
      </c>
      <c r="F855" s="58" t="s">
        <v>4491</v>
      </c>
      <c r="G855" s="159" t="s">
        <v>34</v>
      </c>
      <c r="H855" s="152">
        <v>10</v>
      </c>
      <c r="I855" s="153">
        <v>1.67</v>
      </c>
      <c r="J855" s="161">
        <v>44032</v>
      </c>
      <c r="K855" s="160" t="s">
        <v>20</v>
      </c>
      <c r="L855" s="159">
        <v>4.99</v>
      </c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  <c r="AA855" s="156"/>
      <c r="AB855" s="156"/>
      <c r="AC855" s="156"/>
      <c r="AD855" s="156"/>
      <c r="AE855" s="156"/>
      <c r="AF855" s="156"/>
      <c r="AG855" s="156"/>
      <c r="AH855" s="156"/>
      <c r="AI855" s="156"/>
      <c r="AJ855" s="156"/>
      <c r="AK855" s="156"/>
      <c r="AL855" s="156"/>
      <c r="AM855" s="156"/>
      <c r="AN855" s="156"/>
      <c r="AO855" s="156"/>
      <c r="AP855" s="156"/>
      <c r="AQ855" s="156"/>
      <c r="AR855" s="156"/>
      <c r="AS855" s="156"/>
      <c r="AT855" s="156"/>
      <c r="AU855" s="156"/>
      <c r="AV855" s="156"/>
      <c r="AW855" s="156"/>
      <c r="AX855" s="156"/>
      <c r="AY855" s="156"/>
      <c r="AZ855" s="156"/>
      <c r="BA855" s="156"/>
      <c r="BB855" s="156"/>
      <c r="BC855" s="156"/>
      <c r="BD855" s="156"/>
      <c r="BE855" s="156"/>
      <c r="BF855" s="156"/>
      <c r="BG855" s="156"/>
      <c r="BH855" s="156"/>
      <c r="BI855" s="156"/>
      <c r="BJ855" s="156"/>
      <c r="BK855" s="156"/>
      <c r="BL855" s="156"/>
      <c r="BM855" s="156"/>
      <c r="BN855" s="156"/>
      <c r="BO855" s="156"/>
      <c r="BP855" s="156"/>
      <c r="BQ855" s="156"/>
      <c r="BR855" s="156"/>
      <c r="BS855" s="156"/>
      <c r="BT855" s="156"/>
      <c r="BU855" s="156"/>
      <c r="BV855" s="156"/>
      <c r="BW855" s="156"/>
      <c r="BX855" s="156"/>
      <c r="BY855" s="156"/>
      <c r="BZ855" s="156"/>
      <c r="CA855" s="156"/>
      <c r="CB855" s="156"/>
      <c r="CC855" s="156"/>
      <c r="CD855" s="156"/>
      <c r="CE855" s="156"/>
      <c r="CF855" s="156"/>
      <c r="CG855" s="156"/>
      <c r="CH855" s="156"/>
      <c r="CI855" s="156"/>
      <c r="CJ855" s="156"/>
      <c r="CK855" s="156"/>
      <c r="CL855" s="156"/>
      <c r="CM855" s="156"/>
      <c r="CN855" s="156"/>
      <c r="CO855" s="156"/>
      <c r="CP855" s="156"/>
      <c r="CQ855" s="156"/>
      <c r="CR855" s="156"/>
      <c r="CS855" s="156"/>
      <c r="CT855" s="156"/>
      <c r="CU855" s="156"/>
      <c r="CV855" s="156"/>
      <c r="CW855" s="156"/>
      <c r="CX855" s="156"/>
      <c r="CY855" s="156"/>
      <c r="CZ855" s="156"/>
      <c r="DA855" s="156"/>
      <c r="DB855" s="156"/>
      <c r="DC855" s="156"/>
      <c r="DD855" s="156"/>
      <c r="DE855" s="156"/>
      <c r="DF855" s="156"/>
      <c r="DG855" s="156"/>
      <c r="DH855" s="156"/>
      <c r="DI855" s="156"/>
      <c r="DJ855" s="156"/>
      <c r="DK855" s="156"/>
      <c r="DL855" s="156"/>
      <c r="DM855" s="156"/>
      <c r="DN855" s="156"/>
      <c r="DO855" s="156"/>
      <c r="DP855" s="156"/>
      <c r="DQ855" s="156"/>
      <c r="DR855" s="156"/>
      <c r="DS855" s="156"/>
      <c r="DT855" s="156"/>
      <c r="DU855" s="156"/>
      <c r="DV855" s="156"/>
      <c r="DW855" s="156"/>
      <c r="DX855" s="156"/>
      <c r="DY855" s="156"/>
      <c r="DZ855" s="156"/>
      <c r="EA855" s="156"/>
      <c r="EB855" s="156"/>
      <c r="EC855" s="156"/>
      <c r="ED855" s="156"/>
      <c r="EE855" s="156"/>
      <c r="EF855" s="156"/>
      <c r="EG855" s="156"/>
      <c r="EH855" s="156"/>
      <c r="EI855" s="156"/>
      <c r="EJ855" s="156"/>
      <c r="EK855" s="156"/>
      <c r="EL855" s="156"/>
      <c r="EM855" s="156"/>
      <c r="EN855" s="156"/>
      <c r="EO855" s="156"/>
      <c r="EP855" s="156"/>
      <c r="EQ855" s="156"/>
      <c r="ER855" s="156"/>
      <c r="ES855" s="156"/>
      <c r="ET855" s="156"/>
      <c r="EU855" s="156"/>
      <c r="EV855" s="156"/>
      <c r="EW855" s="156"/>
      <c r="EX855" s="156"/>
      <c r="EY855" s="156"/>
      <c r="EZ855" s="156"/>
      <c r="FA855" s="156"/>
      <c r="FB855" s="156"/>
      <c r="FC855" s="156"/>
      <c r="FD855" s="156"/>
      <c r="FE855" s="156"/>
      <c r="FF855" s="156"/>
      <c r="FG855" s="156"/>
      <c r="FH855" s="156"/>
      <c r="FI855" s="156"/>
      <c r="FJ855" s="156"/>
      <c r="FK855" s="156"/>
      <c r="FL855" s="156"/>
      <c r="FM855" s="156"/>
      <c r="FN855" s="156"/>
      <c r="FO855" s="156"/>
      <c r="FP855" s="156"/>
      <c r="FQ855" s="156"/>
      <c r="FR855" s="156"/>
      <c r="FS855" s="156"/>
      <c r="FT855" s="156"/>
      <c r="FU855" s="156"/>
      <c r="FV855" s="156"/>
      <c r="FW855" s="156"/>
      <c r="FX855" s="156"/>
      <c r="FY855" s="156"/>
      <c r="FZ855" s="156"/>
      <c r="GA855" s="156"/>
      <c r="GB855" s="156"/>
      <c r="GC855" s="156"/>
      <c r="GD855" s="156"/>
      <c r="GE855" s="156"/>
      <c r="GF855" s="156"/>
      <c r="GG855" s="156"/>
      <c r="GH855" s="156"/>
      <c r="GI855" s="156"/>
      <c r="GJ855" s="156"/>
      <c r="GK855" s="156"/>
      <c r="GL855" s="156"/>
      <c r="GM855" s="156"/>
      <c r="GN855" s="156"/>
      <c r="GO855" s="156"/>
      <c r="GP855" s="156"/>
      <c r="GQ855" s="156"/>
      <c r="GR855" s="156"/>
      <c r="GS855" s="156"/>
      <c r="GT855" s="156"/>
      <c r="GU855" s="156"/>
      <c r="GV855" s="156"/>
      <c r="GW855" s="156"/>
      <c r="GX855" s="156"/>
      <c r="GY855" s="156"/>
      <c r="GZ855" s="156"/>
      <c r="HA855" s="156"/>
      <c r="HB855" s="156"/>
      <c r="HC855" s="156"/>
      <c r="HD855" s="156"/>
      <c r="HE855" s="156"/>
      <c r="HF855" s="156"/>
      <c r="HG855" s="156"/>
      <c r="HH855" s="156"/>
      <c r="HI855" s="156"/>
      <c r="HJ855" s="156"/>
      <c r="HK855" s="156"/>
      <c r="HL855" s="156"/>
      <c r="HM855" s="156"/>
      <c r="HN855" s="156"/>
      <c r="HO855" s="156"/>
      <c r="HP855" s="156"/>
      <c r="HQ855" s="156"/>
      <c r="HR855" s="156"/>
      <c r="HS855" s="156"/>
      <c r="HT855" s="156"/>
      <c r="HU855" s="156"/>
      <c r="HV855" s="156"/>
      <c r="HW855" s="156"/>
      <c r="HX855" s="156"/>
      <c r="HY855" s="156"/>
      <c r="HZ855" s="156"/>
      <c r="IA855" s="156"/>
      <c r="IB855" s="156"/>
      <c r="IC855" s="156"/>
      <c r="ID855" s="156"/>
      <c r="IE855" s="156"/>
      <c r="IF855" s="156"/>
      <c r="IG855" s="156"/>
      <c r="IH855" s="156"/>
      <c r="II855" s="156"/>
      <c r="IJ855" s="156"/>
      <c r="IK855" s="156"/>
      <c r="IL855" s="156"/>
      <c r="IM855" s="156"/>
      <c r="IN855" s="156"/>
      <c r="IO855" s="156"/>
      <c r="IP855" s="156"/>
      <c r="IQ855" s="156"/>
      <c r="IR855" s="156"/>
      <c r="IS855" s="156"/>
      <c r="IT855" s="156"/>
      <c r="IU855" s="156"/>
      <c r="IV855" s="156"/>
      <c r="IW855" s="156"/>
      <c r="IX855" s="156"/>
      <c r="IY855" s="156"/>
      <c r="IZ855" s="156"/>
      <c r="JA855" s="156"/>
      <c r="JB855" s="156"/>
      <c r="JC855" s="156"/>
      <c r="JD855" s="156"/>
      <c r="JE855" s="156"/>
      <c r="JF855" s="156"/>
      <c r="JG855" s="156"/>
      <c r="JH855" s="156"/>
      <c r="JI855" s="156"/>
      <c r="JJ855" s="156"/>
      <c r="JK855" s="156"/>
      <c r="JL855" s="156"/>
      <c r="JM855" s="156"/>
      <c r="JN855" s="156"/>
      <c r="JO855" s="156"/>
      <c r="JP855" s="156"/>
      <c r="JQ855" s="156"/>
      <c r="JR855" s="156"/>
      <c r="JS855" s="156"/>
      <c r="JT855" s="156"/>
      <c r="JU855" s="156"/>
      <c r="JV855" s="156"/>
      <c r="JW855" s="156"/>
      <c r="JX855" s="156"/>
      <c r="JY855" s="156"/>
      <c r="JZ855" s="156"/>
      <c r="KA855" s="156"/>
      <c r="KB855" s="156"/>
      <c r="KC855" s="156"/>
      <c r="KD855" s="156"/>
      <c r="KE855" s="156"/>
    </row>
    <row r="856" spans="1:291" ht="35" customHeight="1">
      <c r="A856" s="42">
        <f>ROW()-2</f>
        <v>854</v>
      </c>
      <c r="B856" s="213" t="s">
        <v>2732</v>
      </c>
      <c r="C856" s="182" t="s">
        <v>4345</v>
      </c>
      <c r="D856" s="218" t="s">
        <v>5272</v>
      </c>
      <c r="E856" s="218" t="s">
        <v>4428</v>
      </c>
      <c r="F856" s="218" t="s">
        <v>2919</v>
      </c>
      <c r="G856" s="213" t="s">
        <v>34</v>
      </c>
      <c r="H856" s="182">
        <v>1</v>
      </c>
      <c r="I856" s="206">
        <v>0.11194444444444444</v>
      </c>
      <c r="J856" s="234">
        <v>44035</v>
      </c>
      <c r="K856" s="240" t="s">
        <v>20</v>
      </c>
      <c r="L856" s="213">
        <v>4.99</v>
      </c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136"/>
      <c r="AS856" s="136"/>
      <c r="AT856" s="136"/>
      <c r="AU856" s="136"/>
      <c r="AV856" s="136"/>
      <c r="AW856" s="136"/>
      <c r="AX856" s="136"/>
      <c r="AY856" s="136"/>
      <c r="AZ856" s="136"/>
      <c r="BA856" s="136"/>
      <c r="BB856" s="136"/>
      <c r="BC856" s="136"/>
      <c r="BD856" s="136"/>
      <c r="BE856" s="136"/>
      <c r="BF856" s="136"/>
      <c r="BG856" s="136"/>
      <c r="BH856" s="136"/>
      <c r="BI856" s="136"/>
      <c r="BJ856" s="136"/>
      <c r="BK856" s="136"/>
      <c r="BL856" s="136"/>
      <c r="BM856" s="136"/>
      <c r="BN856" s="136"/>
      <c r="BO856" s="136"/>
      <c r="BP856" s="136"/>
      <c r="BQ856" s="136"/>
      <c r="BR856" s="136"/>
      <c r="BS856" s="136"/>
      <c r="BT856" s="136"/>
      <c r="BU856" s="136"/>
      <c r="BV856" s="136"/>
      <c r="BW856" s="136"/>
      <c r="BX856" s="136"/>
      <c r="BY856" s="136"/>
      <c r="BZ856" s="136"/>
      <c r="CA856" s="136"/>
      <c r="CB856" s="136"/>
      <c r="CC856" s="136"/>
      <c r="CD856" s="136"/>
      <c r="CE856" s="136"/>
      <c r="CF856" s="136"/>
      <c r="CG856" s="136"/>
      <c r="CH856" s="136"/>
      <c r="CI856" s="136"/>
      <c r="CJ856" s="136"/>
      <c r="CK856" s="136"/>
      <c r="CL856" s="136"/>
      <c r="CM856" s="136"/>
      <c r="CN856" s="136"/>
      <c r="CO856" s="136"/>
      <c r="CP856" s="136"/>
      <c r="CQ856" s="136"/>
      <c r="CR856" s="136"/>
      <c r="CS856" s="136"/>
      <c r="CT856" s="136"/>
      <c r="CU856" s="136"/>
      <c r="CV856" s="136"/>
      <c r="CW856" s="136"/>
      <c r="CX856" s="136"/>
      <c r="CY856" s="136"/>
      <c r="CZ856" s="136"/>
      <c r="DA856" s="136"/>
      <c r="DB856" s="136"/>
      <c r="DC856" s="136"/>
      <c r="DD856" s="136"/>
      <c r="DE856" s="136"/>
      <c r="DF856" s="136"/>
      <c r="DG856" s="136"/>
      <c r="DH856" s="136"/>
      <c r="DI856" s="136"/>
      <c r="DJ856" s="136"/>
      <c r="DK856" s="136"/>
      <c r="DL856" s="136"/>
      <c r="DM856" s="136"/>
      <c r="DN856" s="136"/>
      <c r="DO856" s="136"/>
      <c r="DP856" s="136"/>
      <c r="DQ856" s="136"/>
      <c r="DR856" s="136"/>
      <c r="DS856" s="136"/>
      <c r="DT856" s="136"/>
      <c r="DU856" s="136"/>
      <c r="DV856" s="136"/>
      <c r="DW856" s="136"/>
      <c r="DX856" s="136"/>
      <c r="DY856" s="136"/>
      <c r="DZ856" s="136"/>
      <c r="EA856" s="136"/>
      <c r="EB856" s="136"/>
      <c r="EC856" s="136"/>
      <c r="ED856" s="136"/>
      <c r="EE856" s="136"/>
      <c r="EF856" s="136"/>
      <c r="EG856" s="136"/>
      <c r="EH856" s="136"/>
      <c r="EI856" s="136"/>
      <c r="EJ856" s="136"/>
      <c r="EK856" s="136"/>
      <c r="EL856" s="136"/>
      <c r="EM856" s="136"/>
      <c r="EN856" s="136"/>
      <c r="EO856" s="136"/>
      <c r="EP856" s="136"/>
      <c r="EQ856" s="136"/>
      <c r="ER856" s="136"/>
      <c r="ES856" s="136"/>
      <c r="ET856" s="136"/>
      <c r="EU856" s="136"/>
      <c r="EV856" s="136"/>
      <c r="EW856" s="136"/>
      <c r="EX856" s="136"/>
      <c r="EY856" s="136"/>
      <c r="EZ856" s="136"/>
      <c r="FA856" s="136"/>
      <c r="FB856" s="136"/>
      <c r="FC856" s="136"/>
      <c r="FD856" s="136"/>
      <c r="FE856" s="136"/>
      <c r="FF856" s="136"/>
      <c r="FG856" s="136"/>
      <c r="FH856" s="136"/>
      <c r="FI856" s="136"/>
      <c r="FJ856" s="136"/>
      <c r="FK856" s="136"/>
      <c r="FL856" s="136"/>
      <c r="FM856" s="136"/>
      <c r="FN856" s="136"/>
      <c r="FO856" s="136"/>
      <c r="FP856" s="136"/>
      <c r="FQ856" s="136"/>
      <c r="FR856" s="136"/>
      <c r="FS856" s="136"/>
      <c r="FT856" s="136"/>
      <c r="FU856" s="136"/>
      <c r="FV856" s="136"/>
      <c r="FW856" s="136"/>
      <c r="FX856" s="136"/>
      <c r="FY856" s="136"/>
      <c r="FZ856" s="136"/>
      <c r="GA856" s="136"/>
      <c r="GB856" s="136"/>
      <c r="GC856" s="136"/>
      <c r="GD856" s="136"/>
      <c r="GE856" s="136"/>
      <c r="GF856" s="136"/>
      <c r="GG856" s="136"/>
      <c r="GH856" s="136"/>
      <c r="GI856" s="136"/>
      <c r="GJ856" s="136"/>
      <c r="GK856" s="136"/>
      <c r="GL856" s="136"/>
      <c r="GM856" s="136"/>
      <c r="GN856" s="136"/>
      <c r="GO856" s="136"/>
      <c r="GP856" s="136"/>
      <c r="GQ856" s="136"/>
      <c r="GR856" s="136"/>
      <c r="GS856" s="136"/>
      <c r="GT856" s="136"/>
      <c r="GU856" s="136"/>
      <c r="GV856" s="136"/>
      <c r="GW856" s="136"/>
      <c r="GX856" s="136"/>
      <c r="GY856" s="136"/>
      <c r="GZ856" s="136"/>
      <c r="HA856" s="136"/>
      <c r="HB856" s="136"/>
      <c r="HC856" s="136"/>
      <c r="HD856" s="136"/>
      <c r="HE856" s="136"/>
      <c r="HF856" s="136"/>
      <c r="HG856" s="136"/>
      <c r="HH856" s="136"/>
      <c r="HI856" s="136"/>
      <c r="HJ856" s="136"/>
      <c r="HK856" s="136"/>
      <c r="HL856" s="136"/>
      <c r="HM856" s="136"/>
      <c r="HN856" s="136"/>
      <c r="HO856" s="136"/>
      <c r="HP856" s="136"/>
      <c r="HQ856" s="136"/>
      <c r="HR856" s="136"/>
      <c r="HS856" s="136"/>
      <c r="HT856" s="136"/>
      <c r="HU856" s="136"/>
      <c r="HV856" s="136"/>
      <c r="HW856" s="136"/>
      <c r="HX856" s="136"/>
      <c r="HY856" s="136"/>
      <c r="HZ856" s="136"/>
      <c r="IA856" s="136"/>
      <c r="IB856" s="136"/>
      <c r="IC856" s="136"/>
      <c r="ID856" s="136"/>
      <c r="IE856" s="136"/>
      <c r="IF856" s="136"/>
      <c r="IG856" s="136"/>
      <c r="IH856" s="136"/>
      <c r="II856" s="136"/>
      <c r="IJ856" s="136"/>
      <c r="IK856" s="136"/>
      <c r="IL856" s="136"/>
      <c r="IM856" s="136"/>
      <c r="IN856" s="136"/>
      <c r="IO856" s="136"/>
      <c r="IP856" s="136"/>
      <c r="IQ856" s="136"/>
      <c r="IR856" s="136"/>
      <c r="IS856" s="136"/>
      <c r="IT856" s="136"/>
      <c r="IU856" s="136"/>
      <c r="IV856" s="136"/>
      <c r="IW856" s="136"/>
      <c r="IX856" s="136"/>
      <c r="IY856" s="136"/>
      <c r="IZ856" s="136"/>
      <c r="JA856" s="136"/>
      <c r="JB856" s="136"/>
      <c r="JC856" s="136"/>
      <c r="JD856" s="136"/>
      <c r="JE856" s="136"/>
      <c r="JF856" s="136"/>
      <c r="JG856" s="136"/>
      <c r="JH856" s="136"/>
      <c r="JI856" s="136"/>
      <c r="JJ856" s="136"/>
      <c r="JK856" s="136"/>
      <c r="JL856" s="136"/>
      <c r="JM856" s="136"/>
      <c r="JN856" s="136"/>
      <c r="JO856" s="136"/>
      <c r="JP856" s="136"/>
      <c r="JQ856" s="136"/>
      <c r="JR856" s="136"/>
      <c r="JS856" s="136"/>
      <c r="JT856" s="136"/>
      <c r="JU856" s="136"/>
      <c r="JV856" s="136"/>
      <c r="JW856" s="136"/>
      <c r="JX856" s="136"/>
      <c r="JY856" s="136"/>
      <c r="JZ856" s="136"/>
      <c r="KA856" s="136"/>
      <c r="KB856" s="136"/>
      <c r="KC856" s="136"/>
      <c r="KD856" s="136"/>
      <c r="KE856" s="136"/>
    </row>
    <row r="857" spans="1:291" ht="35" customHeight="1">
      <c r="A857" s="42">
        <f>ROW()-2</f>
        <v>855</v>
      </c>
      <c r="B857" s="159" t="s">
        <v>2732</v>
      </c>
      <c r="C857" s="152" t="s">
        <v>4345</v>
      </c>
      <c r="D857" s="58" t="s">
        <v>4494</v>
      </c>
      <c r="E857" s="58" t="s">
        <v>4495</v>
      </c>
      <c r="F857" s="58" t="s">
        <v>2742</v>
      </c>
      <c r="G857" s="159" t="s">
        <v>34</v>
      </c>
      <c r="H857" s="152">
        <v>1</v>
      </c>
      <c r="I857" s="153">
        <v>0.41</v>
      </c>
      <c r="J857" s="161">
        <v>44095</v>
      </c>
      <c r="K857" s="160" t="s">
        <v>20</v>
      </c>
      <c r="L857" s="159">
        <v>4.99</v>
      </c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  <c r="AA857" s="156"/>
      <c r="AB857" s="156"/>
      <c r="AC857" s="156"/>
      <c r="AD857" s="156"/>
      <c r="AE857" s="156"/>
      <c r="AF857" s="156"/>
      <c r="AG857" s="156"/>
      <c r="AH857" s="156"/>
      <c r="AI857" s="156"/>
      <c r="AJ857" s="156"/>
      <c r="AK857" s="156"/>
      <c r="AL857" s="156"/>
      <c r="AM857" s="156"/>
      <c r="AN857" s="156"/>
      <c r="AO857" s="156"/>
      <c r="AP857" s="156"/>
      <c r="AQ857" s="156"/>
      <c r="AR857" s="156"/>
      <c r="AS857" s="156"/>
      <c r="AT857" s="156"/>
      <c r="AU857" s="156"/>
      <c r="AV857" s="156"/>
      <c r="AW857" s="156"/>
      <c r="AX857" s="156"/>
      <c r="AY857" s="156"/>
      <c r="AZ857" s="156"/>
      <c r="BA857" s="156"/>
      <c r="BB857" s="156"/>
      <c r="BC857" s="156"/>
      <c r="BD857" s="156"/>
      <c r="BE857" s="156"/>
      <c r="BF857" s="156"/>
      <c r="BG857" s="156"/>
      <c r="BH857" s="156"/>
      <c r="BI857" s="156"/>
      <c r="BJ857" s="156"/>
      <c r="BK857" s="156"/>
      <c r="BL857" s="156"/>
      <c r="BM857" s="156"/>
      <c r="BN857" s="156"/>
      <c r="BO857" s="156"/>
      <c r="BP857" s="156"/>
      <c r="BQ857" s="156"/>
      <c r="BR857" s="156"/>
      <c r="BS857" s="156"/>
      <c r="BT857" s="156"/>
      <c r="BU857" s="156"/>
      <c r="BV857" s="156"/>
      <c r="BW857" s="156"/>
      <c r="BX857" s="156"/>
      <c r="BY857" s="156"/>
      <c r="BZ857" s="156"/>
      <c r="CA857" s="156"/>
      <c r="CB857" s="156"/>
      <c r="CC857" s="156"/>
      <c r="CD857" s="156"/>
      <c r="CE857" s="156"/>
      <c r="CF857" s="156"/>
      <c r="CG857" s="156"/>
      <c r="CH857" s="156"/>
      <c r="CI857" s="156"/>
      <c r="CJ857" s="156"/>
      <c r="CK857" s="156"/>
      <c r="CL857" s="156"/>
      <c r="CM857" s="156"/>
      <c r="CN857" s="156"/>
      <c r="CO857" s="156"/>
      <c r="CP857" s="156"/>
      <c r="CQ857" s="156"/>
      <c r="CR857" s="156"/>
      <c r="CS857" s="156"/>
      <c r="CT857" s="156"/>
      <c r="CU857" s="156"/>
      <c r="CV857" s="156"/>
      <c r="CW857" s="156"/>
      <c r="CX857" s="156"/>
      <c r="CY857" s="156"/>
      <c r="CZ857" s="156"/>
      <c r="DA857" s="156"/>
      <c r="DB857" s="156"/>
      <c r="DC857" s="156"/>
      <c r="DD857" s="156"/>
      <c r="DE857" s="156"/>
      <c r="DF857" s="156"/>
      <c r="DG857" s="156"/>
      <c r="DH857" s="156"/>
      <c r="DI857" s="156"/>
      <c r="DJ857" s="156"/>
      <c r="DK857" s="156"/>
      <c r="DL857" s="156"/>
      <c r="DM857" s="156"/>
      <c r="DN857" s="156"/>
      <c r="DO857" s="156"/>
      <c r="DP857" s="156"/>
      <c r="DQ857" s="156"/>
      <c r="DR857" s="156"/>
      <c r="DS857" s="156"/>
      <c r="DT857" s="156"/>
      <c r="DU857" s="156"/>
      <c r="DV857" s="156"/>
      <c r="DW857" s="156"/>
      <c r="DX857" s="156"/>
      <c r="DY857" s="156"/>
      <c r="DZ857" s="156"/>
      <c r="EA857" s="156"/>
      <c r="EB857" s="156"/>
      <c r="EC857" s="156"/>
      <c r="ED857" s="156"/>
      <c r="EE857" s="156"/>
      <c r="EF857" s="156"/>
      <c r="EG857" s="156"/>
      <c r="EH857" s="156"/>
      <c r="EI857" s="156"/>
      <c r="EJ857" s="156"/>
      <c r="EK857" s="156"/>
      <c r="EL857" s="156"/>
      <c r="EM857" s="156"/>
      <c r="EN857" s="156"/>
      <c r="EO857" s="156"/>
      <c r="EP857" s="156"/>
      <c r="EQ857" s="156"/>
      <c r="ER857" s="156"/>
      <c r="ES857" s="156"/>
      <c r="ET857" s="156"/>
      <c r="EU857" s="156"/>
      <c r="EV857" s="156"/>
      <c r="EW857" s="156"/>
      <c r="EX857" s="156"/>
      <c r="EY857" s="156"/>
      <c r="EZ857" s="156"/>
      <c r="FA857" s="156"/>
      <c r="FB857" s="156"/>
      <c r="FC857" s="156"/>
      <c r="FD857" s="156"/>
      <c r="FE857" s="156"/>
      <c r="FF857" s="156"/>
      <c r="FG857" s="156"/>
      <c r="FH857" s="156"/>
      <c r="FI857" s="156"/>
      <c r="FJ857" s="156"/>
      <c r="FK857" s="156"/>
      <c r="FL857" s="156"/>
      <c r="FM857" s="156"/>
      <c r="FN857" s="156"/>
      <c r="FO857" s="156"/>
      <c r="FP857" s="156"/>
      <c r="FQ857" s="156"/>
      <c r="FR857" s="156"/>
      <c r="FS857" s="156"/>
      <c r="FT857" s="156"/>
      <c r="FU857" s="156"/>
      <c r="FV857" s="156"/>
      <c r="FW857" s="156"/>
      <c r="FX857" s="156"/>
      <c r="FY857" s="156"/>
      <c r="FZ857" s="156"/>
      <c r="GA857" s="156"/>
      <c r="GB857" s="156"/>
      <c r="GC857" s="156"/>
      <c r="GD857" s="156"/>
      <c r="GE857" s="156"/>
      <c r="GF857" s="156"/>
      <c r="GG857" s="156"/>
      <c r="GH857" s="156"/>
      <c r="GI857" s="156"/>
      <c r="GJ857" s="156"/>
      <c r="GK857" s="156"/>
      <c r="GL857" s="156"/>
      <c r="GM857" s="156"/>
      <c r="GN857" s="156"/>
      <c r="GO857" s="156"/>
      <c r="GP857" s="156"/>
      <c r="GQ857" s="156"/>
      <c r="GR857" s="156"/>
      <c r="GS857" s="156"/>
      <c r="GT857" s="156"/>
      <c r="GU857" s="156"/>
      <c r="GV857" s="156"/>
      <c r="GW857" s="156"/>
      <c r="GX857" s="156"/>
      <c r="GY857" s="156"/>
      <c r="GZ857" s="156"/>
      <c r="HA857" s="156"/>
      <c r="HB857" s="156"/>
      <c r="HC857" s="156"/>
      <c r="HD857" s="156"/>
      <c r="HE857" s="156"/>
      <c r="HF857" s="156"/>
      <c r="HG857" s="156"/>
      <c r="HH857" s="156"/>
      <c r="HI857" s="156"/>
      <c r="HJ857" s="156"/>
      <c r="HK857" s="156"/>
      <c r="HL857" s="156"/>
      <c r="HM857" s="156"/>
      <c r="HN857" s="156"/>
      <c r="HO857" s="156"/>
      <c r="HP857" s="156"/>
      <c r="HQ857" s="156"/>
      <c r="HR857" s="156"/>
      <c r="HS857" s="156"/>
      <c r="HT857" s="156"/>
      <c r="HU857" s="156"/>
      <c r="HV857" s="156"/>
      <c r="HW857" s="156"/>
      <c r="HX857" s="156"/>
      <c r="HY857" s="156"/>
      <c r="HZ857" s="156"/>
      <c r="IA857" s="156"/>
      <c r="IB857" s="156"/>
      <c r="IC857" s="156"/>
      <c r="ID857" s="156"/>
      <c r="IE857" s="156"/>
      <c r="IF857" s="156"/>
      <c r="IG857" s="156"/>
      <c r="IH857" s="156"/>
      <c r="II857" s="156"/>
      <c r="IJ857" s="156"/>
      <c r="IK857" s="156"/>
      <c r="IL857" s="156"/>
      <c r="IM857" s="156"/>
      <c r="IN857" s="156"/>
      <c r="IO857" s="156"/>
      <c r="IP857" s="156"/>
      <c r="IQ857" s="156"/>
      <c r="IR857" s="156"/>
      <c r="IS857" s="156"/>
      <c r="IT857" s="156"/>
      <c r="IU857" s="156"/>
      <c r="IV857" s="156"/>
      <c r="IW857" s="156"/>
      <c r="IX857" s="156"/>
      <c r="IY857" s="156"/>
      <c r="IZ857" s="156"/>
      <c r="JA857" s="156"/>
      <c r="JB857" s="156"/>
      <c r="JC857" s="156"/>
      <c r="JD857" s="156"/>
      <c r="JE857" s="156"/>
      <c r="JF857" s="156"/>
      <c r="JG857" s="156"/>
      <c r="JH857" s="156"/>
      <c r="JI857" s="156"/>
      <c r="JJ857" s="156"/>
      <c r="JK857" s="156"/>
      <c r="JL857" s="156"/>
      <c r="JM857" s="156"/>
      <c r="JN857" s="156"/>
      <c r="JO857" s="156"/>
      <c r="JP857" s="156"/>
      <c r="JQ857" s="156"/>
      <c r="JR857" s="156"/>
      <c r="JS857" s="156"/>
      <c r="JT857" s="156"/>
      <c r="JU857" s="156"/>
      <c r="JV857" s="156"/>
      <c r="JW857" s="156"/>
      <c r="JX857" s="156"/>
      <c r="JY857" s="156"/>
      <c r="JZ857" s="156"/>
      <c r="KA857" s="156"/>
      <c r="KB857" s="156"/>
      <c r="KC857" s="156"/>
      <c r="KD857" s="156"/>
      <c r="KE857" s="156"/>
    </row>
    <row r="858" spans="1:291" ht="35" customHeight="1">
      <c r="A858" s="42">
        <f>ROW()-2</f>
        <v>856</v>
      </c>
      <c r="B858" s="159" t="s">
        <v>2732</v>
      </c>
      <c r="C858" s="152" t="s">
        <v>4345</v>
      </c>
      <c r="D858" s="162" t="s">
        <v>4496</v>
      </c>
      <c r="E858" s="162" t="s">
        <v>4497</v>
      </c>
      <c r="F858" s="162" t="s">
        <v>3239</v>
      </c>
      <c r="G858" s="159" t="s">
        <v>34</v>
      </c>
      <c r="H858" s="152">
        <v>1</v>
      </c>
      <c r="I858" s="153">
        <v>0.49</v>
      </c>
      <c r="J858" s="161">
        <v>44095</v>
      </c>
      <c r="K858" s="160" t="s">
        <v>20</v>
      </c>
      <c r="L858" s="159">
        <v>4.99</v>
      </c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  <c r="AA858" s="156"/>
      <c r="AB858" s="156"/>
      <c r="AC858" s="156"/>
      <c r="AD858" s="156"/>
      <c r="AE858" s="156"/>
      <c r="AF858" s="156"/>
      <c r="AG858" s="156"/>
      <c r="AH858" s="156"/>
      <c r="AI858" s="156"/>
      <c r="AJ858" s="156"/>
      <c r="AK858" s="156"/>
      <c r="AL858" s="156"/>
      <c r="AM858" s="156"/>
      <c r="AN858" s="156"/>
      <c r="AO858" s="156"/>
      <c r="AP858" s="156"/>
      <c r="AQ858" s="156"/>
      <c r="AR858" s="156"/>
      <c r="AS858" s="156"/>
      <c r="AT858" s="156"/>
      <c r="AU858" s="156"/>
      <c r="AV858" s="156"/>
      <c r="AW858" s="156"/>
      <c r="AX858" s="156"/>
      <c r="AY858" s="156"/>
      <c r="AZ858" s="156"/>
      <c r="BA858" s="156"/>
      <c r="BB858" s="156"/>
      <c r="BC858" s="156"/>
      <c r="BD858" s="156"/>
      <c r="BE858" s="156"/>
      <c r="BF858" s="156"/>
      <c r="BG858" s="156"/>
      <c r="BH858" s="156"/>
      <c r="BI858" s="156"/>
      <c r="BJ858" s="156"/>
      <c r="BK858" s="156"/>
      <c r="BL858" s="156"/>
      <c r="BM858" s="156"/>
      <c r="BN858" s="156"/>
      <c r="BO858" s="156"/>
      <c r="BP858" s="156"/>
      <c r="BQ858" s="156"/>
      <c r="BR858" s="156"/>
      <c r="BS858" s="156"/>
      <c r="BT858" s="156"/>
      <c r="BU858" s="156"/>
      <c r="BV858" s="156"/>
      <c r="BW858" s="156"/>
      <c r="BX858" s="156"/>
      <c r="BY858" s="156"/>
      <c r="BZ858" s="156"/>
      <c r="CA858" s="156"/>
      <c r="CB858" s="156"/>
      <c r="CC858" s="156"/>
      <c r="CD858" s="156"/>
      <c r="CE858" s="156"/>
      <c r="CF858" s="156"/>
      <c r="CG858" s="156"/>
      <c r="CH858" s="156"/>
      <c r="CI858" s="156"/>
      <c r="CJ858" s="156"/>
      <c r="CK858" s="156"/>
      <c r="CL858" s="156"/>
      <c r="CM858" s="156"/>
      <c r="CN858" s="156"/>
      <c r="CO858" s="156"/>
      <c r="CP858" s="156"/>
      <c r="CQ858" s="156"/>
      <c r="CR858" s="156"/>
      <c r="CS858" s="156"/>
      <c r="CT858" s="156"/>
      <c r="CU858" s="156"/>
      <c r="CV858" s="156"/>
      <c r="CW858" s="156"/>
      <c r="CX858" s="156"/>
      <c r="CY858" s="156"/>
      <c r="CZ858" s="156"/>
      <c r="DA858" s="156"/>
      <c r="DB858" s="156"/>
      <c r="DC858" s="156"/>
      <c r="DD858" s="156"/>
      <c r="DE858" s="156"/>
      <c r="DF858" s="156"/>
      <c r="DG858" s="156"/>
      <c r="DH858" s="156"/>
      <c r="DI858" s="156"/>
      <c r="DJ858" s="156"/>
      <c r="DK858" s="156"/>
      <c r="DL858" s="156"/>
      <c r="DM858" s="156"/>
      <c r="DN858" s="156"/>
      <c r="DO858" s="156"/>
      <c r="DP858" s="156"/>
      <c r="DQ858" s="156"/>
      <c r="DR858" s="156"/>
      <c r="DS858" s="156"/>
      <c r="DT858" s="156"/>
      <c r="DU858" s="156"/>
      <c r="DV858" s="156"/>
      <c r="DW858" s="156"/>
      <c r="DX858" s="156"/>
      <c r="DY858" s="156"/>
      <c r="DZ858" s="156"/>
      <c r="EA858" s="156"/>
      <c r="EB858" s="156"/>
      <c r="EC858" s="156"/>
      <c r="ED858" s="156"/>
      <c r="EE858" s="156"/>
      <c r="EF858" s="156"/>
      <c r="EG858" s="156"/>
      <c r="EH858" s="156"/>
      <c r="EI858" s="156"/>
      <c r="EJ858" s="156"/>
      <c r="EK858" s="156"/>
      <c r="EL858" s="156"/>
      <c r="EM858" s="156"/>
      <c r="EN858" s="156"/>
      <c r="EO858" s="156"/>
      <c r="EP858" s="156"/>
      <c r="EQ858" s="156"/>
      <c r="ER858" s="156"/>
      <c r="ES858" s="156"/>
      <c r="ET858" s="156"/>
      <c r="EU858" s="156"/>
      <c r="EV858" s="156"/>
      <c r="EW858" s="156"/>
      <c r="EX858" s="156"/>
      <c r="EY858" s="156"/>
      <c r="EZ858" s="156"/>
      <c r="FA858" s="156"/>
      <c r="FB858" s="156"/>
      <c r="FC858" s="156"/>
      <c r="FD858" s="156"/>
      <c r="FE858" s="156"/>
      <c r="FF858" s="156"/>
      <c r="FG858" s="156"/>
      <c r="FH858" s="156"/>
      <c r="FI858" s="156"/>
      <c r="FJ858" s="156"/>
      <c r="FK858" s="156"/>
      <c r="FL858" s="156"/>
      <c r="FM858" s="156"/>
      <c r="FN858" s="156"/>
      <c r="FO858" s="156"/>
      <c r="FP858" s="156"/>
      <c r="FQ858" s="156"/>
      <c r="FR858" s="156"/>
      <c r="FS858" s="156"/>
      <c r="FT858" s="156"/>
      <c r="FU858" s="156"/>
      <c r="FV858" s="156"/>
      <c r="FW858" s="156"/>
      <c r="FX858" s="156"/>
      <c r="FY858" s="156"/>
      <c r="FZ858" s="156"/>
      <c r="GA858" s="156"/>
      <c r="GB858" s="156"/>
      <c r="GC858" s="156"/>
      <c r="GD858" s="156"/>
      <c r="GE858" s="156"/>
      <c r="GF858" s="156"/>
      <c r="GG858" s="156"/>
      <c r="GH858" s="156"/>
      <c r="GI858" s="156"/>
      <c r="GJ858" s="156"/>
      <c r="GK858" s="156"/>
      <c r="GL858" s="156"/>
      <c r="GM858" s="156"/>
      <c r="GN858" s="156"/>
      <c r="GO858" s="156"/>
      <c r="GP858" s="156"/>
      <c r="GQ858" s="156"/>
      <c r="GR858" s="156"/>
      <c r="GS858" s="156"/>
      <c r="GT858" s="156"/>
      <c r="GU858" s="156"/>
      <c r="GV858" s="156"/>
      <c r="GW858" s="156"/>
      <c r="GX858" s="156"/>
      <c r="GY858" s="156"/>
      <c r="GZ858" s="156"/>
      <c r="HA858" s="156"/>
      <c r="HB858" s="156"/>
      <c r="HC858" s="156"/>
      <c r="HD858" s="156"/>
      <c r="HE858" s="156"/>
      <c r="HF858" s="156"/>
      <c r="HG858" s="156"/>
      <c r="HH858" s="156"/>
      <c r="HI858" s="156"/>
      <c r="HJ858" s="156"/>
      <c r="HK858" s="156"/>
      <c r="HL858" s="156"/>
      <c r="HM858" s="156"/>
      <c r="HN858" s="156"/>
      <c r="HO858" s="156"/>
      <c r="HP858" s="156"/>
      <c r="HQ858" s="156"/>
      <c r="HR858" s="156"/>
      <c r="HS858" s="156"/>
      <c r="HT858" s="156"/>
      <c r="HU858" s="156"/>
      <c r="HV858" s="156"/>
      <c r="HW858" s="156"/>
      <c r="HX858" s="156"/>
      <c r="HY858" s="156"/>
      <c r="HZ858" s="156"/>
      <c r="IA858" s="156"/>
      <c r="IB858" s="156"/>
      <c r="IC858" s="156"/>
      <c r="ID858" s="156"/>
      <c r="IE858" s="156"/>
      <c r="IF858" s="156"/>
      <c r="IG858" s="156"/>
      <c r="IH858" s="156"/>
      <c r="II858" s="156"/>
      <c r="IJ858" s="156"/>
      <c r="IK858" s="156"/>
      <c r="IL858" s="156"/>
      <c r="IM858" s="156"/>
      <c r="IN858" s="156"/>
      <c r="IO858" s="156"/>
      <c r="IP858" s="156"/>
      <c r="IQ858" s="156"/>
      <c r="IR858" s="156"/>
      <c r="IS858" s="156"/>
      <c r="IT858" s="156"/>
      <c r="IU858" s="156"/>
      <c r="IV858" s="156"/>
      <c r="IW858" s="156"/>
      <c r="IX858" s="156"/>
      <c r="IY858" s="156"/>
      <c r="IZ858" s="156"/>
      <c r="JA858" s="156"/>
      <c r="JB858" s="156"/>
      <c r="JC858" s="156"/>
      <c r="JD858" s="156"/>
      <c r="JE858" s="156"/>
      <c r="JF858" s="156"/>
      <c r="JG858" s="156"/>
      <c r="JH858" s="156"/>
      <c r="JI858" s="156"/>
      <c r="JJ858" s="156"/>
      <c r="JK858" s="156"/>
      <c r="JL858" s="156"/>
      <c r="JM858" s="156"/>
      <c r="JN858" s="156"/>
      <c r="JO858" s="156"/>
      <c r="JP858" s="156"/>
      <c r="JQ858" s="156"/>
      <c r="JR858" s="156"/>
      <c r="JS858" s="156"/>
      <c r="JT858" s="156"/>
      <c r="JU858" s="156"/>
      <c r="JV858" s="156"/>
      <c r="JW858" s="156"/>
      <c r="JX858" s="156"/>
      <c r="JY858" s="156"/>
      <c r="JZ858" s="156"/>
      <c r="KA858" s="156"/>
      <c r="KB858" s="156"/>
      <c r="KC858" s="156"/>
      <c r="KD858" s="156"/>
      <c r="KE858" s="156"/>
    </row>
    <row r="859" spans="1:291" ht="35" customHeight="1">
      <c r="A859" s="42">
        <f>ROW()-2</f>
        <v>857</v>
      </c>
      <c r="B859" s="65" t="s">
        <v>2732</v>
      </c>
      <c r="C859" s="42" t="s">
        <v>4345</v>
      </c>
      <c r="D859" s="43" t="s">
        <v>4579</v>
      </c>
      <c r="E859" s="43" t="s">
        <v>4580</v>
      </c>
      <c r="F859" s="43" t="s">
        <v>3889</v>
      </c>
      <c r="G859" s="87" t="s">
        <v>34</v>
      </c>
      <c r="H859" s="42">
        <v>1</v>
      </c>
      <c r="I859" s="49">
        <v>0.4</v>
      </c>
      <c r="J859" s="72">
        <v>44102</v>
      </c>
      <c r="K859" s="71" t="s">
        <v>20</v>
      </c>
      <c r="L859" s="71">
        <v>4.99</v>
      </c>
    </row>
    <row r="860" spans="1:291" ht="35" customHeight="1">
      <c r="A860" s="42">
        <f>ROW()-2</f>
        <v>858</v>
      </c>
      <c r="B860" s="212" t="s">
        <v>2732</v>
      </c>
      <c r="C860" s="212" t="s">
        <v>4345</v>
      </c>
      <c r="D860" s="217" t="s">
        <v>4381</v>
      </c>
      <c r="E860" s="220" t="s">
        <v>4382</v>
      </c>
      <c r="F860" s="220" t="s">
        <v>3219</v>
      </c>
      <c r="G860" s="222" t="s">
        <v>34</v>
      </c>
      <c r="H860" s="212">
        <v>1</v>
      </c>
      <c r="I860" s="228">
        <v>0.41</v>
      </c>
      <c r="J860" s="233">
        <v>44116</v>
      </c>
      <c r="K860" s="239" t="s">
        <v>20</v>
      </c>
      <c r="L860" s="244">
        <v>4.99</v>
      </c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  <c r="AA860" s="156"/>
      <c r="AB860" s="156"/>
      <c r="AC860" s="156"/>
      <c r="AD860" s="156"/>
      <c r="AE860" s="156"/>
      <c r="AF860" s="156"/>
      <c r="AG860" s="156"/>
      <c r="AH860" s="156"/>
      <c r="AI860" s="156"/>
      <c r="AJ860" s="156"/>
      <c r="AK860" s="156"/>
      <c r="AL860" s="156"/>
      <c r="AM860" s="156"/>
      <c r="AN860" s="156"/>
      <c r="AO860" s="156"/>
      <c r="AP860" s="156"/>
      <c r="AQ860" s="156"/>
      <c r="AR860" s="156"/>
      <c r="AS860" s="156"/>
      <c r="AT860" s="156"/>
      <c r="AU860" s="156"/>
      <c r="AV860" s="156"/>
      <c r="AW860" s="156"/>
      <c r="AX860" s="156"/>
      <c r="AY860" s="156"/>
      <c r="AZ860" s="156"/>
      <c r="BA860" s="156"/>
      <c r="BB860" s="156"/>
      <c r="BC860" s="156"/>
      <c r="BD860" s="156"/>
      <c r="BE860" s="156"/>
      <c r="BF860" s="156"/>
      <c r="BG860" s="156"/>
      <c r="BH860" s="156"/>
      <c r="BI860" s="156"/>
      <c r="BJ860" s="156"/>
      <c r="BK860" s="156"/>
      <c r="BL860" s="156"/>
      <c r="BM860" s="156"/>
      <c r="BN860" s="156"/>
      <c r="BO860" s="156"/>
      <c r="BP860" s="156"/>
      <c r="BQ860" s="156"/>
      <c r="BR860" s="156"/>
      <c r="BS860" s="156"/>
      <c r="BT860" s="156"/>
      <c r="BU860" s="156"/>
      <c r="BV860" s="156"/>
      <c r="BW860" s="156"/>
      <c r="BX860" s="156"/>
      <c r="BY860" s="156"/>
      <c r="BZ860" s="156"/>
      <c r="CA860" s="156"/>
      <c r="CB860" s="156"/>
      <c r="CC860" s="156"/>
      <c r="CD860" s="156"/>
      <c r="CE860" s="156"/>
      <c r="CF860" s="156"/>
      <c r="CG860" s="156"/>
      <c r="CH860" s="156"/>
      <c r="CI860" s="156"/>
      <c r="CJ860" s="156"/>
      <c r="CK860" s="156"/>
      <c r="CL860" s="156"/>
      <c r="CM860" s="156"/>
      <c r="CN860" s="156"/>
      <c r="CO860" s="156"/>
      <c r="CP860" s="156"/>
      <c r="CQ860" s="156"/>
      <c r="CR860" s="156"/>
      <c r="CS860" s="156"/>
      <c r="CT860" s="156"/>
      <c r="CU860" s="156"/>
      <c r="CV860" s="156"/>
      <c r="CW860" s="156"/>
      <c r="CX860" s="156"/>
      <c r="CY860" s="156"/>
      <c r="CZ860" s="156"/>
      <c r="DA860" s="156"/>
      <c r="DB860" s="156"/>
      <c r="DC860" s="156"/>
      <c r="DD860" s="156"/>
      <c r="DE860" s="156"/>
      <c r="DF860" s="156"/>
      <c r="DG860" s="156"/>
      <c r="DH860" s="156"/>
      <c r="DI860" s="156"/>
      <c r="DJ860" s="156"/>
      <c r="DK860" s="156"/>
      <c r="DL860" s="156"/>
      <c r="DM860" s="156"/>
      <c r="DN860" s="156"/>
      <c r="DO860" s="156"/>
      <c r="DP860" s="156"/>
      <c r="DQ860" s="156"/>
      <c r="DR860" s="156"/>
      <c r="DS860" s="156"/>
      <c r="DT860" s="156"/>
      <c r="DU860" s="156"/>
      <c r="DV860" s="156"/>
      <c r="DW860" s="156"/>
      <c r="DX860" s="156"/>
      <c r="DY860" s="156"/>
      <c r="DZ860" s="156"/>
      <c r="EA860" s="156"/>
      <c r="EB860" s="156"/>
      <c r="EC860" s="156"/>
      <c r="ED860" s="156"/>
      <c r="EE860" s="156"/>
      <c r="EF860" s="156"/>
      <c r="EG860" s="156"/>
      <c r="EH860" s="156"/>
      <c r="EI860" s="156"/>
      <c r="EJ860" s="156"/>
      <c r="EK860" s="156"/>
      <c r="EL860" s="156"/>
      <c r="EM860" s="156"/>
      <c r="EN860" s="156"/>
      <c r="EO860" s="156"/>
      <c r="EP860" s="156"/>
      <c r="EQ860" s="156"/>
      <c r="ER860" s="156"/>
      <c r="ES860" s="156"/>
      <c r="ET860" s="156"/>
      <c r="EU860" s="156"/>
      <c r="EV860" s="156"/>
      <c r="EW860" s="156"/>
      <c r="EX860" s="156"/>
      <c r="EY860" s="156"/>
      <c r="EZ860" s="156"/>
      <c r="FA860" s="156"/>
      <c r="FB860" s="156"/>
      <c r="FC860" s="156"/>
      <c r="FD860" s="156"/>
      <c r="FE860" s="156"/>
      <c r="FF860" s="156"/>
      <c r="FG860" s="156"/>
      <c r="FH860" s="156"/>
      <c r="FI860" s="156"/>
      <c r="FJ860" s="156"/>
      <c r="FK860" s="156"/>
      <c r="FL860" s="156"/>
      <c r="FM860" s="156"/>
      <c r="FN860" s="156"/>
      <c r="FO860" s="156"/>
      <c r="FP860" s="156"/>
      <c r="FQ860" s="156"/>
      <c r="FR860" s="156"/>
      <c r="FS860" s="156"/>
      <c r="FT860" s="156"/>
      <c r="FU860" s="156"/>
      <c r="FV860" s="156"/>
      <c r="FW860" s="156"/>
      <c r="FX860" s="156"/>
      <c r="FY860" s="156"/>
      <c r="FZ860" s="156"/>
      <c r="GA860" s="156"/>
      <c r="GB860" s="156"/>
      <c r="GC860" s="156"/>
      <c r="GD860" s="156"/>
      <c r="GE860" s="156"/>
      <c r="GF860" s="156"/>
      <c r="GG860" s="156"/>
      <c r="GH860" s="156"/>
      <c r="GI860" s="156"/>
      <c r="GJ860" s="156"/>
      <c r="GK860" s="156"/>
      <c r="GL860" s="156"/>
      <c r="GM860" s="156"/>
      <c r="GN860" s="156"/>
      <c r="GO860" s="156"/>
      <c r="GP860" s="156"/>
      <c r="GQ860" s="156"/>
      <c r="GR860" s="156"/>
      <c r="GS860" s="156"/>
      <c r="GT860" s="156"/>
      <c r="GU860" s="156"/>
      <c r="GV860" s="156"/>
      <c r="GW860" s="156"/>
      <c r="GX860" s="156"/>
      <c r="GY860" s="156"/>
      <c r="GZ860" s="156"/>
      <c r="HA860" s="156"/>
      <c r="HB860" s="156"/>
      <c r="HC860" s="156"/>
      <c r="HD860" s="156"/>
      <c r="HE860" s="156"/>
      <c r="HF860" s="156"/>
      <c r="HG860" s="156"/>
      <c r="HH860" s="156"/>
      <c r="HI860" s="156"/>
      <c r="HJ860" s="156"/>
      <c r="HK860" s="156"/>
      <c r="HL860" s="156"/>
      <c r="HM860" s="156"/>
      <c r="HN860" s="156"/>
      <c r="HO860" s="156"/>
      <c r="HP860" s="156"/>
      <c r="HQ860" s="156"/>
      <c r="HR860" s="156"/>
      <c r="HS860" s="156"/>
      <c r="HT860" s="156"/>
      <c r="HU860" s="156"/>
      <c r="HV860" s="156"/>
      <c r="HW860" s="156"/>
      <c r="HX860" s="156"/>
      <c r="HY860" s="156"/>
      <c r="HZ860" s="156"/>
      <c r="IA860" s="156"/>
      <c r="IB860" s="156"/>
      <c r="IC860" s="156"/>
      <c r="ID860" s="156"/>
      <c r="IE860" s="156"/>
      <c r="IF860" s="156"/>
      <c r="IG860" s="156"/>
      <c r="IH860" s="156"/>
      <c r="II860" s="156"/>
      <c r="IJ860" s="156"/>
      <c r="IK860" s="156"/>
      <c r="IL860" s="156"/>
      <c r="IM860" s="156"/>
      <c r="IN860" s="156"/>
      <c r="IO860" s="156"/>
      <c r="IP860" s="156"/>
      <c r="IQ860" s="156"/>
      <c r="IR860" s="156"/>
      <c r="IS860" s="156"/>
      <c r="IT860" s="156"/>
      <c r="IU860" s="156"/>
      <c r="IV860" s="156"/>
      <c r="IW860" s="156"/>
      <c r="IX860" s="156"/>
      <c r="IY860" s="156"/>
      <c r="IZ860" s="156"/>
      <c r="JA860" s="156"/>
      <c r="JB860" s="156"/>
      <c r="JC860" s="156"/>
      <c r="JD860" s="156"/>
      <c r="JE860" s="156"/>
      <c r="JF860" s="156"/>
      <c r="JG860" s="156"/>
      <c r="JH860" s="156"/>
      <c r="JI860" s="156"/>
      <c r="JJ860" s="156"/>
      <c r="JK860" s="156"/>
      <c r="JL860" s="156"/>
      <c r="JM860" s="156"/>
      <c r="JN860" s="156"/>
      <c r="JO860" s="156"/>
      <c r="JP860" s="156"/>
      <c r="JQ860" s="156"/>
      <c r="JR860" s="156"/>
      <c r="JS860" s="156"/>
      <c r="JT860" s="156"/>
      <c r="JU860" s="156"/>
      <c r="JV860" s="156"/>
      <c r="JW860" s="156"/>
      <c r="JX860" s="156"/>
      <c r="JY860" s="156"/>
      <c r="JZ860" s="156"/>
      <c r="KA860" s="156"/>
      <c r="KB860" s="156"/>
      <c r="KC860" s="156"/>
      <c r="KD860" s="156"/>
      <c r="KE860" s="156"/>
    </row>
    <row r="861" spans="1:291" ht="35" customHeight="1">
      <c r="A861" s="42">
        <f>ROW()-2</f>
        <v>859</v>
      </c>
      <c r="B861" s="214" t="s">
        <v>2732</v>
      </c>
      <c r="C861" s="215" t="s">
        <v>4345</v>
      </c>
      <c r="D861" s="219" t="s">
        <v>4383</v>
      </c>
      <c r="E861" s="58" t="s">
        <v>4384</v>
      </c>
      <c r="F861" s="58" t="s">
        <v>3866</v>
      </c>
      <c r="G861" s="223" t="s">
        <v>34</v>
      </c>
      <c r="H861" s="223">
        <v>1</v>
      </c>
      <c r="I861" s="153">
        <v>0.41</v>
      </c>
      <c r="J861" s="154">
        <v>44116</v>
      </c>
      <c r="K861" s="241" t="s">
        <v>20</v>
      </c>
      <c r="L861" s="245">
        <v>4.99</v>
      </c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  <c r="AA861" s="156"/>
      <c r="AB861" s="156"/>
      <c r="AC861" s="156"/>
      <c r="AD861" s="156"/>
      <c r="AE861" s="156"/>
      <c r="AF861" s="156"/>
      <c r="AG861" s="156"/>
      <c r="AH861" s="156"/>
      <c r="AI861" s="156"/>
      <c r="AJ861" s="156"/>
      <c r="AK861" s="156"/>
      <c r="AL861" s="156"/>
      <c r="AM861" s="156"/>
      <c r="AN861" s="156"/>
      <c r="AO861" s="156"/>
      <c r="AP861" s="156"/>
      <c r="AQ861" s="156"/>
      <c r="AR861" s="156"/>
      <c r="AS861" s="156"/>
      <c r="AT861" s="156"/>
      <c r="AU861" s="156"/>
      <c r="AV861" s="156"/>
      <c r="AW861" s="156"/>
      <c r="AX861" s="156"/>
      <c r="AY861" s="156"/>
      <c r="AZ861" s="156"/>
      <c r="BA861" s="156"/>
      <c r="BB861" s="156"/>
      <c r="BC861" s="156"/>
      <c r="BD861" s="156"/>
      <c r="BE861" s="156"/>
      <c r="BF861" s="156"/>
      <c r="BG861" s="156"/>
      <c r="BH861" s="156"/>
      <c r="BI861" s="156"/>
      <c r="BJ861" s="156"/>
      <c r="BK861" s="156"/>
      <c r="BL861" s="156"/>
      <c r="BM861" s="156"/>
      <c r="BN861" s="156"/>
      <c r="BO861" s="156"/>
      <c r="BP861" s="156"/>
      <c r="BQ861" s="156"/>
      <c r="BR861" s="156"/>
      <c r="BS861" s="156"/>
      <c r="BT861" s="156"/>
      <c r="BU861" s="156"/>
      <c r="BV861" s="156"/>
      <c r="BW861" s="156"/>
      <c r="BX861" s="156"/>
      <c r="BY861" s="156"/>
      <c r="BZ861" s="156"/>
      <c r="CA861" s="156"/>
      <c r="CB861" s="156"/>
      <c r="CC861" s="156"/>
      <c r="CD861" s="156"/>
      <c r="CE861" s="156"/>
      <c r="CF861" s="156"/>
      <c r="CG861" s="156"/>
      <c r="CH861" s="156"/>
      <c r="CI861" s="156"/>
      <c r="CJ861" s="156"/>
      <c r="CK861" s="156"/>
      <c r="CL861" s="156"/>
      <c r="CM861" s="156"/>
      <c r="CN861" s="156"/>
      <c r="CO861" s="156"/>
      <c r="CP861" s="156"/>
      <c r="CQ861" s="156"/>
      <c r="CR861" s="156"/>
      <c r="CS861" s="156"/>
      <c r="CT861" s="156"/>
      <c r="CU861" s="156"/>
      <c r="CV861" s="156"/>
      <c r="CW861" s="156"/>
      <c r="CX861" s="156"/>
      <c r="CY861" s="156"/>
      <c r="CZ861" s="156"/>
      <c r="DA861" s="156"/>
      <c r="DB861" s="156"/>
      <c r="DC861" s="156"/>
      <c r="DD861" s="156"/>
      <c r="DE861" s="156"/>
      <c r="DF861" s="156"/>
      <c r="DG861" s="156"/>
      <c r="DH861" s="156"/>
      <c r="DI861" s="156"/>
      <c r="DJ861" s="156"/>
      <c r="DK861" s="156"/>
      <c r="DL861" s="156"/>
      <c r="DM861" s="156"/>
      <c r="DN861" s="156"/>
      <c r="DO861" s="156"/>
      <c r="DP861" s="156"/>
      <c r="DQ861" s="156"/>
      <c r="DR861" s="156"/>
      <c r="DS861" s="156"/>
      <c r="DT861" s="156"/>
      <c r="DU861" s="156"/>
      <c r="DV861" s="156"/>
      <c r="DW861" s="156"/>
      <c r="DX861" s="156"/>
      <c r="DY861" s="156"/>
      <c r="DZ861" s="156"/>
      <c r="EA861" s="156"/>
      <c r="EB861" s="156"/>
      <c r="EC861" s="156"/>
      <c r="ED861" s="156"/>
      <c r="EE861" s="156"/>
      <c r="EF861" s="156"/>
      <c r="EG861" s="156"/>
      <c r="EH861" s="156"/>
      <c r="EI861" s="156"/>
      <c r="EJ861" s="156"/>
      <c r="EK861" s="156"/>
      <c r="EL861" s="156"/>
      <c r="EM861" s="156"/>
      <c r="EN861" s="156"/>
      <c r="EO861" s="156"/>
      <c r="EP861" s="156"/>
      <c r="EQ861" s="156"/>
      <c r="ER861" s="156"/>
      <c r="ES861" s="156"/>
      <c r="ET861" s="156"/>
      <c r="EU861" s="156"/>
      <c r="EV861" s="156"/>
      <c r="EW861" s="156"/>
      <c r="EX861" s="156"/>
      <c r="EY861" s="156"/>
      <c r="EZ861" s="156"/>
      <c r="FA861" s="156"/>
      <c r="FB861" s="156"/>
      <c r="FC861" s="156"/>
      <c r="FD861" s="156"/>
      <c r="FE861" s="156"/>
      <c r="FF861" s="156"/>
      <c r="FG861" s="156"/>
      <c r="FH861" s="156"/>
      <c r="FI861" s="156"/>
      <c r="FJ861" s="156"/>
      <c r="FK861" s="156"/>
      <c r="FL861" s="156"/>
      <c r="FM861" s="156"/>
      <c r="FN861" s="156"/>
      <c r="FO861" s="156"/>
      <c r="FP861" s="156"/>
      <c r="FQ861" s="156"/>
      <c r="FR861" s="156"/>
      <c r="FS861" s="156"/>
      <c r="FT861" s="156"/>
      <c r="FU861" s="156"/>
      <c r="FV861" s="156"/>
      <c r="FW861" s="156"/>
      <c r="FX861" s="156"/>
      <c r="FY861" s="156"/>
      <c r="FZ861" s="156"/>
      <c r="GA861" s="156"/>
      <c r="GB861" s="156"/>
      <c r="GC861" s="156"/>
      <c r="GD861" s="156"/>
      <c r="GE861" s="156"/>
      <c r="GF861" s="156"/>
      <c r="GG861" s="156"/>
      <c r="GH861" s="156"/>
      <c r="GI861" s="156"/>
      <c r="GJ861" s="156"/>
      <c r="GK861" s="156"/>
      <c r="GL861" s="156"/>
      <c r="GM861" s="156"/>
      <c r="GN861" s="156"/>
      <c r="GO861" s="156"/>
      <c r="GP861" s="156"/>
      <c r="GQ861" s="156"/>
      <c r="GR861" s="156"/>
      <c r="GS861" s="156"/>
      <c r="GT861" s="156"/>
      <c r="GU861" s="156"/>
      <c r="GV861" s="156"/>
      <c r="GW861" s="156"/>
      <c r="GX861" s="156"/>
      <c r="GY861" s="156"/>
      <c r="GZ861" s="156"/>
      <c r="HA861" s="156"/>
      <c r="HB861" s="156"/>
      <c r="HC861" s="156"/>
      <c r="HD861" s="156"/>
      <c r="HE861" s="156"/>
      <c r="HF861" s="156"/>
      <c r="HG861" s="156"/>
      <c r="HH861" s="156"/>
      <c r="HI861" s="156"/>
      <c r="HJ861" s="156"/>
      <c r="HK861" s="156"/>
      <c r="HL861" s="156"/>
      <c r="HM861" s="156"/>
      <c r="HN861" s="156"/>
      <c r="HO861" s="156"/>
      <c r="HP861" s="156"/>
      <c r="HQ861" s="156"/>
      <c r="HR861" s="156"/>
      <c r="HS861" s="156"/>
      <c r="HT861" s="156"/>
      <c r="HU861" s="156"/>
      <c r="HV861" s="156"/>
      <c r="HW861" s="156"/>
      <c r="HX861" s="156"/>
      <c r="HY861" s="156"/>
      <c r="HZ861" s="156"/>
      <c r="IA861" s="156"/>
      <c r="IB861" s="156"/>
      <c r="IC861" s="156"/>
      <c r="ID861" s="156"/>
      <c r="IE861" s="156"/>
      <c r="IF861" s="156"/>
      <c r="IG861" s="156"/>
      <c r="IH861" s="156"/>
      <c r="II861" s="156"/>
      <c r="IJ861" s="156"/>
      <c r="IK861" s="156"/>
      <c r="IL861" s="156"/>
      <c r="IM861" s="156"/>
      <c r="IN861" s="156"/>
      <c r="IO861" s="156"/>
      <c r="IP861" s="156"/>
      <c r="IQ861" s="156"/>
      <c r="IR861" s="156"/>
      <c r="IS861" s="156"/>
      <c r="IT861" s="156"/>
      <c r="IU861" s="156"/>
      <c r="IV861" s="156"/>
      <c r="IW861" s="156"/>
      <c r="IX861" s="156"/>
      <c r="IY861" s="156"/>
      <c r="IZ861" s="156"/>
      <c r="JA861" s="156"/>
      <c r="JB861" s="156"/>
      <c r="JC861" s="156"/>
      <c r="JD861" s="156"/>
      <c r="JE861" s="156"/>
      <c r="JF861" s="156"/>
      <c r="JG861" s="156"/>
      <c r="JH861" s="156"/>
      <c r="JI861" s="156"/>
      <c r="JJ861" s="156"/>
      <c r="JK861" s="156"/>
      <c r="JL861" s="156"/>
      <c r="JM861" s="156"/>
      <c r="JN861" s="156"/>
      <c r="JO861" s="156"/>
      <c r="JP861" s="156"/>
      <c r="JQ861" s="156"/>
      <c r="JR861" s="156"/>
      <c r="JS861" s="156"/>
      <c r="JT861" s="156"/>
      <c r="JU861" s="156"/>
      <c r="JV861" s="156"/>
      <c r="JW861" s="156"/>
      <c r="JX861" s="156"/>
      <c r="JY861" s="156"/>
      <c r="JZ861" s="156"/>
      <c r="KA861" s="156"/>
      <c r="KB861" s="156"/>
      <c r="KC861" s="156"/>
      <c r="KD861" s="156"/>
      <c r="KE861" s="156"/>
    </row>
    <row r="862" spans="1:291" s="136" customFormat="1" ht="35" customHeight="1">
      <c r="A862" s="42">
        <f>ROW()-2</f>
        <v>860</v>
      </c>
      <c r="B862" s="21" t="s">
        <v>2732</v>
      </c>
      <c r="C862" s="21" t="s">
        <v>4345</v>
      </c>
      <c r="D862" s="216" t="s">
        <v>4437</v>
      </c>
      <c r="E862" s="216" t="s">
        <v>4438</v>
      </c>
      <c r="F862" s="216" t="s">
        <v>3889</v>
      </c>
      <c r="G862" s="21" t="s">
        <v>34</v>
      </c>
      <c r="H862" s="21">
        <v>1</v>
      </c>
      <c r="I862" s="225">
        <v>0.38</v>
      </c>
      <c r="J862" s="229">
        <v>44123</v>
      </c>
      <c r="K862" s="225" t="s">
        <v>20</v>
      </c>
      <c r="L862" s="21">
        <v>4.99</v>
      </c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  <c r="AA862" s="156"/>
      <c r="AB862" s="156"/>
      <c r="AC862" s="156"/>
      <c r="AD862" s="156"/>
      <c r="AE862" s="156"/>
      <c r="AF862" s="156"/>
      <c r="AG862" s="156"/>
      <c r="AH862" s="156"/>
      <c r="AI862" s="156"/>
      <c r="AJ862" s="156"/>
      <c r="AK862" s="156"/>
      <c r="AL862" s="156"/>
      <c r="AM862" s="156"/>
      <c r="AN862" s="156"/>
      <c r="AO862" s="156"/>
      <c r="AP862" s="156"/>
      <c r="AQ862" s="156"/>
      <c r="AR862" s="156"/>
      <c r="AS862" s="156"/>
      <c r="AT862" s="156"/>
      <c r="AU862" s="156"/>
      <c r="AV862" s="156"/>
      <c r="AW862" s="156"/>
      <c r="AX862" s="156"/>
      <c r="AY862" s="156"/>
      <c r="AZ862" s="156"/>
      <c r="BA862" s="156"/>
      <c r="BB862" s="156"/>
      <c r="BC862" s="156"/>
      <c r="BD862" s="156"/>
      <c r="BE862" s="156"/>
      <c r="BF862" s="156"/>
      <c r="BG862" s="156"/>
      <c r="BH862" s="156"/>
      <c r="BI862" s="156"/>
      <c r="BJ862" s="156"/>
      <c r="BK862" s="156"/>
      <c r="BL862" s="156"/>
      <c r="BM862" s="156"/>
      <c r="BN862" s="156"/>
      <c r="BO862" s="156"/>
      <c r="BP862" s="156"/>
      <c r="BQ862" s="156"/>
      <c r="BR862" s="156"/>
      <c r="BS862" s="156"/>
      <c r="BT862" s="156"/>
      <c r="BU862" s="156"/>
      <c r="BV862" s="156"/>
      <c r="BW862" s="156"/>
      <c r="BX862" s="156"/>
      <c r="BY862" s="156"/>
      <c r="BZ862" s="156"/>
      <c r="CA862" s="156"/>
      <c r="CB862" s="156"/>
      <c r="CC862" s="156"/>
      <c r="CD862" s="156"/>
      <c r="CE862" s="156"/>
      <c r="CF862" s="156"/>
      <c r="CG862" s="156"/>
      <c r="CH862" s="156"/>
      <c r="CI862" s="156"/>
      <c r="CJ862" s="156"/>
      <c r="CK862" s="156"/>
      <c r="CL862" s="156"/>
      <c r="CM862" s="156"/>
      <c r="CN862" s="156"/>
      <c r="CO862" s="156"/>
      <c r="CP862" s="156"/>
      <c r="CQ862" s="156"/>
      <c r="CR862" s="156"/>
      <c r="CS862" s="156"/>
      <c r="CT862" s="156"/>
      <c r="CU862" s="156"/>
      <c r="CV862" s="156"/>
      <c r="CW862" s="156"/>
      <c r="CX862" s="156"/>
      <c r="CY862" s="156"/>
      <c r="CZ862" s="156"/>
      <c r="DA862" s="156"/>
      <c r="DB862" s="156"/>
      <c r="DC862" s="156"/>
      <c r="DD862" s="156"/>
      <c r="DE862" s="156"/>
      <c r="DF862" s="156"/>
      <c r="DG862" s="156"/>
      <c r="DH862" s="156"/>
      <c r="DI862" s="156"/>
      <c r="DJ862" s="156"/>
      <c r="DK862" s="156"/>
      <c r="DL862" s="156"/>
      <c r="DM862" s="156"/>
      <c r="DN862" s="156"/>
      <c r="DO862" s="156"/>
      <c r="DP862" s="156"/>
      <c r="DQ862" s="156"/>
      <c r="DR862" s="156"/>
      <c r="DS862" s="156"/>
      <c r="DT862" s="156"/>
      <c r="DU862" s="156"/>
      <c r="DV862" s="156"/>
      <c r="DW862" s="156"/>
      <c r="DX862" s="156"/>
      <c r="DY862" s="156"/>
      <c r="DZ862" s="156"/>
      <c r="EA862" s="156"/>
      <c r="EB862" s="156"/>
      <c r="EC862" s="156"/>
      <c r="ED862" s="156"/>
      <c r="EE862" s="156"/>
      <c r="EF862" s="156"/>
      <c r="EG862" s="156"/>
      <c r="EH862" s="156"/>
      <c r="EI862" s="156"/>
      <c r="EJ862" s="156"/>
      <c r="EK862" s="156"/>
      <c r="EL862" s="156"/>
      <c r="EM862" s="156"/>
      <c r="EN862" s="156"/>
      <c r="EO862" s="156"/>
      <c r="EP862" s="156"/>
      <c r="EQ862" s="156"/>
      <c r="ER862" s="156"/>
      <c r="ES862" s="156"/>
      <c r="ET862" s="156"/>
      <c r="EU862" s="156"/>
      <c r="EV862" s="156"/>
      <c r="EW862" s="156"/>
      <c r="EX862" s="156"/>
      <c r="EY862" s="156"/>
      <c r="EZ862" s="156"/>
      <c r="FA862" s="156"/>
      <c r="FB862" s="156"/>
      <c r="FC862" s="156"/>
      <c r="FD862" s="156"/>
      <c r="FE862" s="156"/>
      <c r="FF862" s="156"/>
      <c r="FG862" s="156"/>
      <c r="FH862" s="156"/>
      <c r="FI862" s="156"/>
      <c r="FJ862" s="156"/>
      <c r="FK862" s="156"/>
      <c r="FL862" s="156"/>
      <c r="FM862" s="156"/>
      <c r="FN862" s="156"/>
      <c r="FO862" s="156"/>
      <c r="FP862" s="156"/>
      <c r="FQ862" s="156"/>
      <c r="FR862" s="156"/>
      <c r="FS862" s="156"/>
      <c r="FT862" s="156"/>
      <c r="FU862" s="156"/>
      <c r="FV862" s="156"/>
      <c r="FW862" s="156"/>
      <c r="FX862" s="156"/>
      <c r="FY862" s="156"/>
      <c r="FZ862" s="156"/>
      <c r="GA862" s="156"/>
      <c r="GB862" s="156"/>
      <c r="GC862" s="156"/>
      <c r="GD862" s="156"/>
      <c r="GE862" s="156"/>
      <c r="GF862" s="156"/>
      <c r="GG862" s="156"/>
      <c r="GH862" s="156"/>
      <c r="GI862" s="156"/>
      <c r="GJ862" s="156"/>
      <c r="GK862" s="156"/>
      <c r="GL862" s="156"/>
      <c r="GM862" s="156"/>
      <c r="GN862" s="156"/>
      <c r="GO862" s="156"/>
      <c r="GP862" s="156"/>
      <c r="GQ862" s="156"/>
      <c r="GR862" s="156"/>
      <c r="GS862" s="156"/>
      <c r="GT862" s="156"/>
      <c r="GU862" s="156"/>
      <c r="GV862" s="156"/>
      <c r="GW862" s="156"/>
      <c r="GX862" s="156"/>
      <c r="GY862" s="156"/>
      <c r="GZ862" s="156"/>
      <c r="HA862" s="156"/>
      <c r="HB862" s="156"/>
      <c r="HC862" s="156"/>
      <c r="HD862" s="156"/>
      <c r="HE862" s="156"/>
      <c r="HF862" s="156"/>
      <c r="HG862" s="156"/>
      <c r="HH862" s="156"/>
      <c r="HI862" s="156"/>
      <c r="HJ862" s="156"/>
      <c r="HK862" s="156"/>
      <c r="HL862" s="156"/>
      <c r="HM862" s="156"/>
      <c r="HN862" s="156"/>
      <c r="HO862" s="156"/>
      <c r="HP862" s="156"/>
      <c r="HQ862" s="156"/>
      <c r="HR862" s="156"/>
      <c r="HS862" s="156"/>
      <c r="HT862" s="156"/>
      <c r="HU862" s="156"/>
      <c r="HV862" s="156"/>
      <c r="HW862" s="156"/>
      <c r="HX862" s="156"/>
      <c r="HY862" s="156"/>
      <c r="HZ862" s="156"/>
      <c r="IA862" s="156"/>
      <c r="IB862" s="156"/>
      <c r="IC862" s="156"/>
      <c r="ID862" s="156"/>
      <c r="IE862" s="156"/>
      <c r="IF862" s="156"/>
      <c r="IG862" s="156"/>
      <c r="IH862" s="156"/>
      <c r="II862" s="156"/>
      <c r="IJ862" s="156"/>
      <c r="IK862" s="156"/>
      <c r="IL862" s="156"/>
      <c r="IM862" s="156"/>
      <c r="IN862" s="156"/>
      <c r="IO862" s="156"/>
      <c r="IP862" s="156"/>
      <c r="IQ862" s="156"/>
      <c r="IR862" s="156"/>
      <c r="IS862" s="156"/>
      <c r="IT862" s="156"/>
      <c r="IU862" s="156"/>
      <c r="IV862" s="156"/>
      <c r="IW862" s="156"/>
      <c r="IX862" s="156"/>
      <c r="IY862" s="156"/>
      <c r="IZ862" s="156"/>
      <c r="JA862" s="156"/>
      <c r="JB862" s="156"/>
      <c r="JC862" s="156"/>
      <c r="JD862" s="156"/>
      <c r="JE862" s="156"/>
      <c r="JF862" s="156"/>
      <c r="JG862" s="156"/>
      <c r="JH862" s="156"/>
      <c r="JI862" s="156"/>
      <c r="JJ862" s="156"/>
      <c r="JK862" s="156"/>
      <c r="JL862" s="156"/>
      <c r="JM862" s="156"/>
      <c r="JN862" s="156"/>
      <c r="JO862" s="156"/>
      <c r="JP862" s="156"/>
      <c r="JQ862" s="156"/>
      <c r="JR862" s="156"/>
      <c r="JS862" s="156"/>
      <c r="JT862" s="156"/>
      <c r="JU862" s="156"/>
      <c r="JV862" s="156"/>
      <c r="JW862" s="156"/>
      <c r="JX862" s="156"/>
      <c r="JY862" s="156"/>
      <c r="JZ862" s="156"/>
      <c r="KA862" s="156"/>
      <c r="KB862" s="156"/>
      <c r="KC862" s="156"/>
      <c r="KD862" s="156"/>
      <c r="KE862" s="156"/>
    </row>
    <row r="863" spans="1:291" s="136" customFormat="1" ht="35" customHeight="1">
      <c r="A863" s="42">
        <f>ROW()-2</f>
        <v>861</v>
      </c>
      <c r="B863" s="21" t="s">
        <v>2732</v>
      </c>
      <c r="C863" s="21" t="s">
        <v>4345</v>
      </c>
      <c r="D863" s="216" t="s">
        <v>4439</v>
      </c>
      <c r="E863" s="216" t="s">
        <v>4440</v>
      </c>
      <c r="F863" s="216" t="s">
        <v>4441</v>
      </c>
      <c r="G863" s="21" t="s">
        <v>34</v>
      </c>
      <c r="H863" s="21">
        <v>1</v>
      </c>
      <c r="I863" s="225">
        <v>0.35</v>
      </c>
      <c r="J863" s="229">
        <v>44123</v>
      </c>
      <c r="K863" s="225" t="s">
        <v>20</v>
      </c>
      <c r="L863" s="21">
        <v>4.99</v>
      </c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  <c r="AA863" s="156"/>
      <c r="AB863" s="156"/>
      <c r="AC863" s="156"/>
      <c r="AD863" s="156"/>
      <c r="AE863" s="156"/>
      <c r="AF863" s="156"/>
      <c r="AG863" s="156"/>
      <c r="AH863" s="156"/>
      <c r="AI863" s="156"/>
      <c r="AJ863" s="156"/>
      <c r="AK863" s="156"/>
      <c r="AL863" s="156"/>
      <c r="AM863" s="156"/>
      <c r="AN863" s="156"/>
      <c r="AO863" s="156"/>
      <c r="AP863" s="156"/>
      <c r="AQ863" s="156"/>
      <c r="AR863" s="156"/>
      <c r="AS863" s="156"/>
      <c r="AT863" s="156"/>
      <c r="AU863" s="156"/>
      <c r="AV863" s="156"/>
      <c r="AW863" s="156"/>
      <c r="AX863" s="156"/>
      <c r="AY863" s="156"/>
      <c r="AZ863" s="156"/>
      <c r="BA863" s="156"/>
      <c r="BB863" s="156"/>
      <c r="BC863" s="156"/>
      <c r="BD863" s="156"/>
      <c r="BE863" s="156"/>
      <c r="BF863" s="156"/>
      <c r="BG863" s="156"/>
      <c r="BH863" s="156"/>
      <c r="BI863" s="156"/>
      <c r="BJ863" s="156"/>
      <c r="BK863" s="156"/>
      <c r="BL863" s="156"/>
      <c r="BM863" s="156"/>
      <c r="BN863" s="156"/>
      <c r="BO863" s="156"/>
      <c r="BP863" s="156"/>
      <c r="BQ863" s="156"/>
      <c r="BR863" s="156"/>
      <c r="BS863" s="156"/>
      <c r="BT863" s="156"/>
      <c r="BU863" s="156"/>
      <c r="BV863" s="156"/>
      <c r="BW863" s="156"/>
      <c r="BX863" s="156"/>
      <c r="BY863" s="156"/>
      <c r="BZ863" s="156"/>
      <c r="CA863" s="156"/>
      <c r="CB863" s="156"/>
      <c r="CC863" s="156"/>
      <c r="CD863" s="156"/>
      <c r="CE863" s="156"/>
      <c r="CF863" s="156"/>
      <c r="CG863" s="156"/>
      <c r="CH863" s="156"/>
      <c r="CI863" s="156"/>
      <c r="CJ863" s="156"/>
      <c r="CK863" s="156"/>
      <c r="CL863" s="156"/>
      <c r="CM863" s="156"/>
      <c r="CN863" s="156"/>
      <c r="CO863" s="156"/>
      <c r="CP863" s="156"/>
      <c r="CQ863" s="156"/>
      <c r="CR863" s="156"/>
      <c r="CS863" s="156"/>
      <c r="CT863" s="156"/>
      <c r="CU863" s="156"/>
      <c r="CV863" s="156"/>
      <c r="CW863" s="156"/>
      <c r="CX863" s="156"/>
      <c r="CY863" s="156"/>
      <c r="CZ863" s="156"/>
      <c r="DA863" s="156"/>
      <c r="DB863" s="156"/>
      <c r="DC863" s="156"/>
      <c r="DD863" s="156"/>
      <c r="DE863" s="156"/>
      <c r="DF863" s="156"/>
      <c r="DG863" s="156"/>
      <c r="DH863" s="156"/>
      <c r="DI863" s="156"/>
      <c r="DJ863" s="156"/>
      <c r="DK863" s="156"/>
      <c r="DL863" s="156"/>
      <c r="DM863" s="156"/>
      <c r="DN863" s="156"/>
      <c r="DO863" s="156"/>
      <c r="DP863" s="156"/>
      <c r="DQ863" s="156"/>
      <c r="DR863" s="156"/>
      <c r="DS863" s="156"/>
      <c r="DT863" s="156"/>
      <c r="DU863" s="156"/>
      <c r="DV863" s="156"/>
      <c r="DW863" s="156"/>
      <c r="DX863" s="156"/>
      <c r="DY863" s="156"/>
      <c r="DZ863" s="156"/>
      <c r="EA863" s="156"/>
      <c r="EB863" s="156"/>
      <c r="EC863" s="156"/>
      <c r="ED863" s="156"/>
      <c r="EE863" s="156"/>
      <c r="EF863" s="156"/>
      <c r="EG863" s="156"/>
      <c r="EH863" s="156"/>
      <c r="EI863" s="156"/>
      <c r="EJ863" s="156"/>
      <c r="EK863" s="156"/>
      <c r="EL863" s="156"/>
      <c r="EM863" s="156"/>
      <c r="EN863" s="156"/>
      <c r="EO863" s="156"/>
      <c r="EP863" s="156"/>
      <c r="EQ863" s="156"/>
      <c r="ER863" s="156"/>
      <c r="ES863" s="156"/>
      <c r="ET863" s="156"/>
      <c r="EU863" s="156"/>
      <c r="EV863" s="156"/>
      <c r="EW863" s="156"/>
      <c r="EX863" s="156"/>
      <c r="EY863" s="156"/>
      <c r="EZ863" s="156"/>
      <c r="FA863" s="156"/>
      <c r="FB863" s="156"/>
      <c r="FC863" s="156"/>
      <c r="FD863" s="156"/>
      <c r="FE863" s="156"/>
      <c r="FF863" s="156"/>
      <c r="FG863" s="156"/>
      <c r="FH863" s="156"/>
      <c r="FI863" s="156"/>
      <c r="FJ863" s="156"/>
      <c r="FK863" s="156"/>
      <c r="FL863" s="156"/>
      <c r="FM863" s="156"/>
      <c r="FN863" s="156"/>
      <c r="FO863" s="156"/>
      <c r="FP863" s="156"/>
      <c r="FQ863" s="156"/>
      <c r="FR863" s="156"/>
      <c r="FS863" s="156"/>
      <c r="FT863" s="156"/>
      <c r="FU863" s="156"/>
      <c r="FV863" s="156"/>
      <c r="FW863" s="156"/>
      <c r="FX863" s="156"/>
      <c r="FY863" s="156"/>
      <c r="FZ863" s="156"/>
      <c r="GA863" s="156"/>
      <c r="GB863" s="156"/>
      <c r="GC863" s="156"/>
      <c r="GD863" s="156"/>
      <c r="GE863" s="156"/>
      <c r="GF863" s="156"/>
      <c r="GG863" s="156"/>
      <c r="GH863" s="156"/>
      <c r="GI863" s="156"/>
      <c r="GJ863" s="156"/>
      <c r="GK863" s="156"/>
      <c r="GL863" s="156"/>
      <c r="GM863" s="156"/>
      <c r="GN863" s="156"/>
      <c r="GO863" s="156"/>
      <c r="GP863" s="156"/>
      <c r="GQ863" s="156"/>
      <c r="GR863" s="156"/>
      <c r="GS863" s="156"/>
      <c r="GT863" s="156"/>
      <c r="GU863" s="156"/>
      <c r="GV863" s="156"/>
      <c r="GW863" s="156"/>
      <c r="GX863" s="156"/>
      <c r="GY863" s="156"/>
      <c r="GZ863" s="156"/>
      <c r="HA863" s="156"/>
      <c r="HB863" s="156"/>
      <c r="HC863" s="156"/>
      <c r="HD863" s="156"/>
      <c r="HE863" s="156"/>
      <c r="HF863" s="156"/>
      <c r="HG863" s="156"/>
      <c r="HH863" s="156"/>
      <c r="HI863" s="156"/>
      <c r="HJ863" s="156"/>
      <c r="HK863" s="156"/>
      <c r="HL863" s="156"/>
      <c r="HM863" s="156"/>
      <c r="HN863" s="156"/>
      <c r="HO863" s="156"/>
      <c r="HP863" s="156"/>
      <c r="HQ863" s="156"/>
      <c r="HR863" s="156"/>
      <c r="HS863" s="156"/>
      <c r="HT863" s="156"/>
      <c r="HU863" s="156"/>
      <c r="HV863" s="156"/>
      <c r="HW863" s="156"/>
      <c r="HX863" s="156"/>
      <c r="HY863" s="156"/>
      <c r="HZ863" s="156"/>
      <c r="IA863" s="156"/>
      <c r="IB863" s="156"/>
      <c r="IC863" s="156"/>
      <c r="ID863" s="156"/>
      <c r="IE863" s="156"/>
      <c r="IF863" s="156"/>
      <c r="IG863" s="156"/>
      <c r="IH863" s="156"/>
      <c r="II863" s="156"/>
      <c r="IJ863" s="156"/>
      <c r="IK863" s="156"/>
      <c r="IL863" s="156"/>
      <c r="IM863" s="156"/>
      <c r="IN863" s="156"/>
      <c r="IO863" s="156"/>
      <c r="IP863" s="156"/>
      <c r="IQ863" s="156"/>
      <c r="IR863" s="156"/>
      <c r="IS863" s="156"/>
      <c r="IT863" s="156"/>
      <c r="IU863" s="156"/>
      <c r="IV863" s="156"/>
      <c r="IW863" s="156"/>
      <c r="IX863" s="156"/>
      <c r="IY863" s="156"/>
      <c r="IZ863" s="156"/>
      <c r="JA863" s="156"/>
      <c r="JB863" s="156"/>
      <c r="JC863" s="156"/>
      <c r="JD863" s="156"/>
      <c r="JE863" s="156"/>
      <c r="JF863" s="156"/>
      <c r="JG863" s="156"/>
      <c r="JH863" s="156"/>
      <c r="JI863" s="156"/>
      <c r="JJ863" s="156"/>
      <c r="JK863" s="156"/>
      <c r="JL863" s="156"/>
      <c r="JM863" s="156"/>
      <c r="JN863" s="156"/>
      <c r="JO863" s="156"/>
      <c r="JP863" s="156"/>
      <c r="JQ863" s="156"/>
      <c r="JR863" s="156"/>
      <c r="JS863" s="156"/>
      <c r="JT863" s="156"/>
      <c r="JU863" s="156"/>
      <c r="JV863" s="156"/>
      <c r="JW863" s="156"/>
      <c r="JX863" s="156"/>
      <c r="JY863" s="156"/>
      <c r="JZ863" s="156"/>
      <c r="KA863" s="156"/>
      <c r="KB863" s="156"/>
      <c r="KC863" s="156"/>
      <c r="KD863" s="156"/>
      <c r="KE863" s="156"/>
    </row>
    <row r="864" spans="1:291" s="136" customFormat="1" ht="35" customHeight="1">
      <c r="A864" s="42">
        <f>ROW()-2</f>
        <v>862</v>
      </c>
      <c r="B864" s="21" t="s">
        <v>2732</v>
      </c>
      <c r="C864" s="21" t="s">
        <v>4345</v>
      </c>
      <c r="D864" s="216" t="s">
        <v>4442</v>
      </c>
      <c r="E864" s="216" t="s">
        <v>4443</v>
      </c>
      <c r="F864" s="216" t="s">
        <v>4444</v>
      </c>
      <c r="G864" s="21" t="s">
        <v>34</v>
      </c>
      <c r="H864" s="21">
        <v>1</v>
      </c>
      <c r="I864" s="225">
        <v>0.31</v>
      </c>
      <c r="J864" s="229">
        <v>44123</v>
      </c>
      <c r="K864" s="225" t="s">
        <v>20</v>
      </c>
      <c r="L864" s="21">
        <v>4.99</v>
      </c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  <c r="AA864" s="156"/>
      <c r="AB864" s="156"/>
      <c r="AC864" s="156"/>
      <c r="AD864" s="156"/>
      <c r="AE864" s="156"/>
      <c r="AF864" s="156"/>
      <c r="AG864" s="156"/>
      <c r="AH864" s="156"/>
      <c r="AI864" s="156"/>
      <c r="AJ864" s="156"/>
      <c r="AK864" s="156"/>
      <c r="AL864" s="156"/>
      <c r="AM864" s="156"/>
      <c r="AN864" s="156"/>
      <c r="AO864" s="156"/>
      <c r="AP864" s="156"/>
      <c r="AQ864" s="156"/>
      <c r="AR864" s="156"/>
      <c r="AS864" s="156"/>
      <c r="AT864" s="156"/>
      <c r="AU864" s="156"/>
      <c r="AV864" s="156"/>
      <c r="AW864" s="156"/>
      <c r="AX864" s="156"/>
      <c r="AY864" s="156"/>
      <c r="AZ864" s="156"/>
      <c r="BA864" s="156"/>
      <c r="BB864" s="156"/>
      <c r="BC864" s="156"/>
      <c r="BD864" s="156"/>
      <c r="BE864" s="156"/>
      <c r="BF864" s="156"/>
      <c r="BG864" s="156"/>
      <c r="BH864" s="156"/>
      <c r="BI864" s="156"/>
      <c r="BJ864" s="156"/>
      <c r="BK864" s="156"/>
      <c r="BL864" s="156"/>
      <c r="BM864" s="156"/>
      <c r="BN864" s="156"/>
      <c r="BO864" s="156"/>
      <c r="BP864" s="156"/>
      <c r="BQ864" s="156"/>
      <c r="BR864" s="156"/>
      <c r="BS864" s="156"/>
      <c r="BT864" s="156"/>
      <c r="BU864" s="156"/>
      <c r="BV864" s="156"/>
      <c r="BW864" s="156"/>
      <c r="BX864" s="156"/>
      <c r="BY864" s="156"/>
      <c r="BZ864" s="156"/>
      <c r="CA864" s="156"/>
      <c r="CB864" s="156"/>
      <c r="CC864" s="156"/>
      <c r="CD864" s="156"/>
      <c r="CE864" s="156"/>
      <c r="CF864" s="156"/>
      <c r="CG864" s="156"/>
      <c r="CH864" s="156"/>
      <c r="CI864" s="156"/>
      <c r="CJ864" s="156"/>
      <c r="CK864" s="156"/>
      <c r="CL864" s="156"/>
      <c r="CM864" s="156"/>
      <c r="CN864" s="156"/>
      <c r="CO864" s="156"/>
      <c r="CP864" s="156"/>
      <c r="CQ864" s="156"/>
      <c r="CR864" s="156"/>
      <c r="CS864" s="156"/>
      <c r="CT864" s="156"/>
      <c r="CU864" s="156"/>
      <c r="CV864" s="156"/>
      <c r="CW864" s="156"/>
      <c r="CX864" s="156"/>
      <c r="CY864" s="156"/>
      <c r="CZ864" s="156"/>
      <c r="DA864" s="156"/>
      <c r="DB864" s="156"/>
      <c r="DC864" s="156"/>
      <c r="DD864" s="156"/>
      <c r="DE864" s="156"/>
      <c r="DF864" s="156"/>
      <c r="DG864" s="156"/>
      <c r="DH864" s="156"/>
      <c r="DI864" s="156"/>
      <c r="DJ864" s="156"/>
      <c r="DK864" s="156"/>
      <c r="DL864" s="156"/>
      <c r="DM864" s="156"/>
      <c r="DN864" s="156"/>
      <c r="DO864" s="156"/>
      <c r="DP864" s="156"/>
      <c r="DQ864" s="156"/>
      <c r="DR864" s="156"/>
      <c r="DS864" s="156"/>
      <c r="DT864" s="156"/>
      <c r="DU864" s="156"/>
      <c r="DV864" s="156"/>
      <c r="DW864" s="156"/>
      <c r="DX864" s="156"/>
      <c r="DY864" s="156"/>
      <c r="DZ864" s="156"/>
      <c r="EA864" s="156"/>
      <c r="EB864" s="156"/>
      <c r="EC864" s="156"/>
      <c r="ED864" s="156"/>
      <c r="EE864" s="156"/>
      <c r="EF864" s="156"/>
      <c r="EG864" s="156"/>
      <c r="EH864" s="156"/>
      <c r="EI864" s="156"/>
      <c r="EJ864" s="156"/>
      <c r="EK864" s="156"/>
      <c r="EL864" s="156"/>
      <c r="EM864" s="156"/>
      <c r="EN864" s="156"/>
      <c r="EO864" s="156"/>
      <c r="EP864" s="156"/>
      <c r="EQ864" s="156"/>
      <c r="ER864" s="156"/>
      <c r="ES864" s="156"/>
      <c r="ET864" s="156"/>
      <c r="EU864" s="156"/>
      <c r="EV864" s="156"/>
      <c r="EW864" s="156"/>
      <c r="EX864" s="156"/>
      <c r="EY864" s="156"/>
      <c r="EZ864" s="156"/>
      <c r="FA864" s="156"/>
      <c r="FB864" s="156"/>
      <c r="FC864" s="156"/>
      <c r="FD864" s="156"/>
      <c r="FE864" s="156"/>
      <c r="FF864" s="156"/>
      <c r="FG864" s="156"/>
      <c r="FH864" s="156"/>
      <c r="FI864" s="156"/>
      <c r="FJ864" s="156"/>
      <c r="FK864" s="156"/>
      <c r="FL864" s="156"/>
      <c r="FM864" s="156"/>
      <c r="FN864" s="156"/>
      <c r="FO864" s="156"/>
      <c r="FP864" s="156"/>
      <c r="FQ864" s="156"/>
      <c r="FR864" s="156"/>
      <c r="FS864" s="156"/>
      <c r="FT864" s="156"/>
      <c r="FU864" s="156"/>
      <c r="FV864" s="156"/>
      <c r="FW864" s="156"/>
      <c r="FX864" s="156"/>
      <c r="FY864" s="156"/>
      <c r="FZ864" s="156"/>
      <c r="GA864" s="156"/>
      <c r="GB864" s="156"/>
      <c r="GC864" s="156"/>
      <c r="GD864" s="156"/>
      <c r="GE864" s="156"/>
      <c r="GF864" s="156"/>
      <c r="GG864" s="156"/>
      <c r="GH864" s="156"/>
      <c r="GI864" s="156"/>
      <c r="GJ864" s="156"/>
      <c r="GK864" s="156"/>
      <c r="GL864" s="156"/>
      <c r="GM864" s="156"/>
      <c r="GN864" s="156"/>
      <c r="GO864" s="156"/>
      <c r="GP864" s="156"/>
      <c r="GQ864" s="156"/>
      <c r="GR864" s="156"/>
      <c r="GS864" s="156"/>
      <c r="GT864" s="156"/>
      <c r="GU864" s="156"/>
      <c r="GV864" s="156"/>
      <c r="GW864" s="156"/>
      <c r="GX864" s="156"/>
      <c r="GY864" s="156"/>
      <c r="GZ864" s="156"/>
      <c r="HA864" s="156"/>
      <c r="HB864" s="156"/>
      <c r="HC864" s="156"/>
      <c r="HD864" s="156"/>
      <c r="HE864" s="156"/>
      <c r="HF864" s="156"/>
      <c r="HG864" s="156"/>
      <c r="HH864" s="156"/>
      <c r="HI864" s="156"/>
      <c r="HJ864" s="156"/>
      <c r="HK864" s="156"/>
      <c r="HL864" s="156"/>
      <c r="HM864" s="156"/>
      <c r="HN864" s="156"/>
      <c r="HO864" s="156"/>
      <c r="HP864" s="156"/>
      <c r="HQ864" s="156"/>
      <c r="HR864" s="156"/>
      <c r="HS864" s="156"/>
      <c r="HT864" s="156"/>
      <c r="HU864" s="156"/>
      <c r="HV864" s="156"/>
      <c r="HW864" s="156"/>
      <c r="HX864" s="156"/>
      <c r="HY864" s="156"/>
      <c r="HZ864" s="156"/>
      <c r="IA864" s="156"/>
      <c r="IB864" s="156"/>
      <c r="IC864" s="156"/>
      <c r="ID864" s="156"/>
      <c r="IE864" s="156"/>
      <c r="IF864" s="156"/>
      <c r="IG864" s="156"/>
      <c r="IH864" s="156"/>
      <c r="II864" s="156"/>
      <c r="IJ864" s="156"/>
      <c r="IK864" s="156"/>
      <c r="IL864" s="156"/>
      <c r="IM864" s="156"/>
      <c r="IN864" s="156"/>
      <c r="IO864" s="156"/>
      <c r="IP864" s="156"/>
      <c r="IQ864" s="156"/>
      <c r="IR864" s="156"/>
      <c r="IS864" s="156"/>
      <c r="IT864" s="156"/>
      <c r="IU864" s="156"/>
      <c r="IV864" s="156"/>
      <c r="IW864" s="156"/>
      <c r="IX864" s="156"/>
      <c r="IY864" s="156"/>
      <c r="IZ864" s="156"/>
      <c r="JA864" s="156"/>
      <c r="JB864" s="156"/>
      <c r="JC864" s="156"/>
      <c r="JD864" s="156"/>
      <c r="JE864" s="156"/>
      <c r="JF864" s="156"/>
      <c r="JG864" s="156"/>
      <c r="JH864" s="156"/>
      <c r="JI864" s="156"/>
      <c r="JJ864" s="156"/>
      <c r="JK864" s="156"/>
      <c r="JL864" s="156"/>
      <c r="JM864" s="156"/>
      <c r="JN864" s="156"/>
      <c r="JO864" s="156"/>
      <c r="JP864" s="156"/>
      <c r="JQ864" s="156"/>
      <c r="JR864" s="156"/>
      <c r="JS864" s="156"/>
      <c r="JT864" s="156"/>
      <c r="JU864" s="156"/>
      <c r="JV864" s="156"/>
      <c r="JW864" s="156"/>
      <c r="JX864" s="156"/>
      <c r="JY864" s="156"/>
      <c r="JZ864" s="156"/>
      <c r="KA864" s="156"/>
      <c r="KB864" s="156"/>
      <c r="KC864" s="156"/>
      <c r="KD864" s="156"/>
      <c r="KE864" s="156"/>
    </row>
    <row r="865" spans="1:291" s="136" customFormat="1" ht="35" customHeight="1">
      <c r="A865" s="42">
        <f>ROW()-2</f>
        <v>863</v>
      </c>
      <c r="B865" s="21" t="s">
        <v>2732</v>
      </c>
      <c r="C865" s="21" t="s">
        <v>4345</v>
      </c>
      <c r="D865" s="216" t="s">
        <v>4445</v>
      </c>
      <c r="E865" s="216" t="s">
        <v>4446</v>
      </c>
      <c r="F865" s="216" t="s">
        <v>1259</v>
      </c>
      <c r="G865" s="21" t="s">
        <v>34</v>
      </c>
      <c r="H865" s="21">
        <v>1</v>
      </c>
      <c r="I865" s="225">
        <v>0.44</v>
      </c>
      <c r="J865" s="229">
        <v>44123</v>
      </c>
      <c r="K865" s="225" t="s">
        <v>20</v>
      </c>
      <c r="L865" s="21">
        <v>4.99</v>
      </c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  <c r="AA865" s="156"/>
      <c r="AB865" s="156"/>
      <c r="AC865" s="156"/>
      <c r="AD865" s="156"/>
      <c r="AE865" s="156"/>
      <c r="AF865" s="156"/>
      <c r="AG865" s="156"/>
      <c r="AH865" s="156"/>
      <c r="AI865" s="156"/>
      <c r="AJ865" s="156"/>
      <c r="AK865" s="156"/>
      <c r="AL865" s="156"/>
      <c r="AM865" s="156"/>
      <c r="AN865" s="156"/>
      <c r="AO865" s="156"/>
      <c r="AP865" s="156"/>
      <c r="AQ865" s="156"/>
      <c r="AR865" s="156"/>
      <c r="AS865" s="156"/>
      <c r="AT865" s="156"/>
      <c r="AU865" s="156"/>
      <c r="AV865" s="156"/>
      <c r="AW865" s="156"/>
      <c r="AX865" s="156"/>
      <c r="AY865" s="156"/>
      <c r="AZ865" s="156"/>
      <c r="BA865" s="156"/>
      <c r="BB865" s="156"/>
      <c r="BC865" s="156"/>
      <c r="BD865" s="156"/>
      <c r="BE865" s="156"/>
      <c r="BF865" s="156"/>
      <c r="BG865" s="156"/>
      <c r="BH865" s="156"/>
      <c r="BI865" s="156"/>
      <c r="BJ865" s="156"/>
      <c r="BK865" s="156"/>
      <c r="BL865" s="156"/>
      <c r="BM865" s="156"/>
      <c r="BN865" s="156"/>
      <c r="BO865" s="156"/>
      <c r="BP865" s="156"/>
      <c r="BQ865" s="156"/>
      <c r="BR865" s="156"/>
      <c r="BS865" s="156"/>
      <c r="BT865" s="156"/>
      <c r="BU865" s="156"/>
      <c r="BV865" s="156"/>
      <c r="BW865" s="156"/>
      <c r="BX865" s="156"/>
      <c r="BY865" s="156"/>
      <c r="BZ865" s="156"/>
      <c r="CA865" s="156"/>
      <c r="CB865" s="156"/>
      <c r="CC865" s="156"/>
      <c r="CD865" s="156"/>
      <c r="CE865" s="156"/>
      <c r="CF865" s="156"/>
      <c r="CG865" s="156"/>
      <c r="CH865" s="156"/>
      <c r="CI865" s="156"/>
      <c r="CJ865" s="156"/>
      <c r="CK865" s="156"/>
      <c r="CL865" s="156"/>
      <c r="CM865" s="156"/>
      <c r="CN865" s="156"/>
      <c r="CO865" s="156"/>
      <c r="CP865" s="156"/>
      <c r="CQ865" s="156"/>
      <c r="CR865" s="156"/>
      <c r="CS865" s="156"/>
      <c r="CT865" s="156"/>
      <c r="CU865" s="156"/>
      <c r="CV865" s="156"/>
      <c r="CW865" s="156"/>
      <c r="CX865" s="156"/>
      <c r="CY865" s="156"/>
      <c r="CZ865" s="156"/>
      <c r="DA865" s="156"/>
      <c r="DB865" s="156"/>
      <c r="DC865" s="156"/>
      <c r="DD865" s="156"/>
      <c r="DE865" s="156"/>
      <c r="DF865" s="156"/>
      <c r="DG865" s="156"/>
      <c r="DH865" s="156"/>
      <c r="DI865" s="156"/>
      <c r="DJ865" s="156"/>
      <c r="DK865" s="156"/>
      <c r="DL865" s="156"/>
      <c r="DM865" s="156"/>
      <c r="DN865" s="156"/>
      <c r="DO865" s="156"/>
      <c r="DP865" s="156"/>
      <c r="DQ865" s="156"/>
      <c r="DR865" s="156"/>
      <c r="DS865" s="156"/>
      <c r="DT865" s="156"/>
      <c r="DU865" s="156"/>
      <c r="DV865" s="156"/>
      <c r="DW865" s="156"/>
      <c r="DX865" s="156"/>
      <c r="DY865" s="156"/>
      <c r="DZ865" s="156"/>
      <c r="EA865" s="156"/>
      <c r="EB865" s="156"/>
      <c r="EC865" s="156"/>
      <c r="ED865" s="156"/>
      <c r="EE865" s="156"/>
      <c r="EF865" s="156"/>
      <c r="EG865" s="156"/>
      <c r="EH865" s="156"/>
      <c r="EI865" s="156"/>
      <c r="EJ865" s="156"/>
      <c r="EK865" s="156"/>
      <c r="EL865" s="156"/>
      <c r="EM865" s="156"/>
      <c r="EN865" s="156"/>
      <c r="EO865" s="156"/>
      <c r="EP865" s="156"/>
      <c r="EQ865" s="156"/>
      <c r="ER865" s="156"/>
      <c r="ES865" s="156"/>
      <c r="ET865" s="156"/>
      <c r="EU865" s="156"/>
      <c r="EV865" s="156"/>
      <c r="EW865" s="156"/>
      <c r="EX865" s="156"/>
      <c r="EY865" s="156"/>
      <c r="EZ865" s="156"/>
      <c r="FA865" s="156"/>
      <c r="FB865" s="156"/>
      <c r="FC865" s="156"/>
      <c r="FD865" s="156"/>
      <c r="FE865" s="156"/>
      <c r="FF865" s="156"/>
      <c r="FG865" s="156"/>
      <c r="FH865" s="156"/>
      <c r="FI865" s="156"/>
      <c r="FJ865" s="156"/>
      <c r="FK865" s="156"/>
      <c r="FL865" s="156"/>
      <c r="FM865" s="156"/>
      <c r="FN865" s="156"/>
      <c r="FO865" s="156"/>
      <c r="FP865" s="156"/>
      <c r="FQ865" s="156"/>
      <c r="FR865" s="156"/>
      <c r="FS865" s="156"/>
      <c r="FT865" s="156"/>
      <c r="FU865" s="156"/>
      <c r="FV865" s="156"/>
      <c r="FW865" s="156"/>
      <c r="FX865" s="156"/>
      <c r="FY865" s="156"/>
      <c r="FZ865" s="156"/>
      <c r="GA865" s="156"/>
      <c r="GB865" s="156"/>
      <c r="GC865" s="156"/>
      <c r="GD865" s="156"/>
      <c r="GE865" s="156"/>
      <c r="GF865" s="156"/>
      <c r="GG865" s="156"/>
      <c r="GH865" s="156"/>
      <c r="GI865" s="156"/>
      <c r="GJ865" s="156"/>
      <c r="GK865" s="156"/>
      <c r="GL865" s="156"/>
      <c r="GM865" s="156"/>
      <c r="GN865" s="156"/>
      <c r="GO865" s="156"/>
      <c r="GP865" s="156"/>
      <c r="GQ865" s="156"/>
      <c r="GR865" s="156"/>
      <c r="GS865" s="156"/>
      <c r="GT865" s="156"/>
      <c r="GU865" s="156"/>
      <c r="GV865" s="156"/>
      <c r="GW865" s="156"/>
      <c r="GX865" s="156"/>
      <c r="GY865" s="156"/>
      <c r="GZ865" s="156"/>
      <c r="HA865" s="156"/>
      <c r="HB865" s="156"/>
      <c r="HC865" s="156"/>
      <c r="HD865" s="156"/>
      <c r="HE865" s="156"/>
      <c r="HF865" s="156"/>
      <c r="HG865" s="156"/>
      <c r="HH865" s="156"/>
      <c r="HI865" s="156"/>
      <c r="HJ865" s="156"/>
      <c r="HK865" s="156"/>
      <c r="HL865" s="156"/>
      <c r="HM865" s="156"/>
      <c r="HN865" s="156"/>
      <c r="HO865" s="156"/>
      <c r="HP865" s="156"/>
      <c r="HQ865" s="156"/>
      <c r="HR865" s="156"/>
      <c r="HS865" s="156"/>
      <c r="HT865" s="156"/>
      <c r="HU865" s="156"/>
      <c r="HV865" s="156"/>
      <c r="HW865" s="156"/>
      <c r="HX865" s="156"/>
      <c r="HY865" s="156"/>
      <c r="HZ865" s="156"/>
      <c r="IA865" s="156"/>
      <c r="IB865" s="156"/>
      <c r="IC865" s="156"/>
      <c r="ID865" s="156"/>
      <c r="IE865" s="156"/>
      <c r="IF865" s="156"/>
      <c r="IG865" s="156"/>
      <c r="IH865" s="156"/>
      <c r="II865" s="156"/>
      <c r="IJ865" s="156"/>
      <c r="IK865" s="156"/>
      <c r="IL865" s="156"/>
      <c r="IM865" s="156"/>
      <c r="IN865" s="156"/>
      <c r="IO865" s="156"/>
      <c r="IP865" s="156"/>
      <c r="IQ865" s="156"/>
      <c r="IR865" s="156"/>
      <c r="IS865" s="156"/>
      <c r="IT865" s="156"/>
      <c r="IU865" s="156"/>
      <c r="IV865" s="156"/>
      <c r="IW865" s="156"/>
      <c r="IX865" s="156"/>
      <c r="IY865" s="156"/>
      <c r="IZ865" s="156"/>
      <c r="JA865" s="156"/>
      <c r="JB865" s="156"/>
      <c r="JC865" s="156"/>
      <c r="JD865" s="156"/>
      <c r="JE865" s="156"/>
      <c r="JF865" s="156"/>
      <c r="JG865" s="156"/>
      <c r="JH865" s="156"/>
      <c r="JI865" s="156"/>
      <c r="JJ865" s="156"/>
      <c r="JK865" s="156"/>
      <c r="JL865" s="156"/>
      <c r="JM865" s="156"/>
      <c r="JN865" s="156"/>
      <c r="JO865" s="156"/>
      <c r="JP865" s="156"/>
      <c r="JQ865" s="156"/>
      <c r="JR865" s="156"/>
      <c r="JS865" s="156"/>
      <c r="JT865" s="156"/>
      <c r="JU865" s="156"/>
      <c r="JV865" s="156"/>
      <c r="JW865" s="156"/>
      <c r="JX865" s="156"/>
      <c r="JY865" s="156"/>
      <c r="JZ865" s="156"/>
      <c r="KA865" s="156"/>
      <c r="KB865" s="156"/>
      <c r="KC865" s="156"/>
      <c r="KD865" s="156"/>
      <c r="KE865" s="156"/>
    </row>
    <row r="866" spans="1:291" s="136" customFormat="1" ht="35" customHeight="1">
      <c r="A866" s="42">
        <f>ROW()-2</f>
        <v>864</v>
      </c>
      <c r="B866" s="21" t="s">
        <v>2732</v>
      </c>
      <c r="C866" s="21" t="s">
        <v>4345</v>
      </c>
      <c r="D866" s="216" t="s">
        <v>4447</v>
      </c>
      <c r="E866" s="216" t="s">
        <v>4448</v>
      </c>
      <c r="F866" s="216" t="s">
        <v>2899</v>
      </c>
      <c r="G866" s="21" t="s">
        <v>34</v>
      </c>
      <c r="H866" s="21">
        <v>1</v>
      </c>
      <c r="I866" s="225">
        <v>0.33</v>
      </c>
      <c r="J866" s="229">
        <v>44123</v>
      </c>
      <c r="K866" s="225" t="s">
        <v>20</v>
      </c>
      <c r="L866" s="21">
        <v>4.99</v>
      </c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  <c r="AA866" s="156"/>
      <c r="AB866" s="156"/>
      <c r="AC866" s="156"/>
      <c r="AD866" s="156"/>
      <c r="AE866" s="156"/>
      <c r="AF866" s="156"/>
      <c r="AG866" s="156"/>
      <c r="AH866" s="156"/>
      <c r="AI866" s="156"/>
      <c r="AJ866" s="156"/>
      <c r="AK866" s="156"/>
      <c r="AL866" s="156"/>
      <c r="AM866" s="156"/>
      <c r="AN866" s="156"/>
      <c r="AO866" s="156"/>
      <c r="AP866" s="156"/>
      <c r="AQ866" s="156"/>
      <c r="AR866" s="156"/>
      <c r="AS866" s="156"/>
      <c r="AT866" s="156"/>
      <c r="AU866" s="156"/>
      <c r="AV866" s="156"/>
      <c r="AW866" s="156"/>
      <c r="AX866" s="156"/>
      <c r="AY866" s="156"/>
      <c r="AZ866" s="156"/>
      <c r="BA866" s="156"/>
      <c r="BB866" s="156"/>
      <c r="BC866" s="156"/>
      <c r="BD866" s="156"/>
      <c r="BE866" s="156"/>
      <c r="BF866" s="156"/>
      <c r="BG866" s="156"/>
      <c r="BH866" s="156"/>
      <c r="BI866" s="156"/>
      <c r="BJ866" s="156"/>
      <c r="BK866" s="156"/>
      <c r="BL866" s="156"/>
      <c r="BM866" s="156"/>
      <c r="BN866" s="156"/>
      <c r="BO866" s="156"/>
      <c r="BP866" s="156"/>
      <c r="BQ866" s="156"/>
      <c r="BR866" s="156"/>
      <c r="BS866" s="156"/>
      <c r="BT866" s="156"/>
      <c r="BU866" s="156"/>
      <c r="BV866" s="156"/>
      <c r="BW866" s="156"/>
      <c r="BX866" s="156"/>
      <c r="BY866" s="156"/>
      <c r="BZ866" s="156"/>
      <c r="CA866" s="156"/>
      <c r="CB866" s="156"/>
      <c r="CC866" s="156"/>
      <c r="CD866" s="156"/>
      <c r="CE866" s="156"/>
      <c r="CF866" s="156"/>
      <c r="CG866" s="156"/>
      <c r="CH866" s="156"/>
      <c r="CI866" s="156"/>
      <c r="CJ866" s="156"/>
      <c r="CK866" s="156"/>
      <c r="CL866" s="156"/>
      <c r="CM866" s="156"/>
      <c r="CN866" s="156"/>
      <c r="CO866" s="156"/>
      <c r="CP866" s="156"/>
      <c r="CQ866" s="156"/>
      <c r="CR866" s="156"/>
      <c r="CS866" s="156"/>
      <c r="CT866" s="156"/>
      <c r="CU866" s="156"/>
      <c r="CV866" s="156"/>
      <c r="CW866" s="156"/>
      <c r="CX866" s="156"/>
      <c r="CY866" s="156"/>
      <c r="CZ866" s="156"/>
      <c r="DA866" s="156"/>
      <c r="DB866" s="156"/>
      <c r="DC866" s="156"/>
      <c r="DD866" s="156"/>
      <c r="DE866" s="156"/>
      <c r="DF866" s="156"/>
      <c r="DG866" s="156"/>
      <c r="DH866" s="156"/>
      <c r="DI866" s="156"/>
      <c r="DJ866" s="156"/>
      <c r="DK866" s="156"/>
      <c r="DL866" s="156"/>
      <c r="DM866" s="156"/>
      <c r="DN866" s="156"/>
      <c r="DO866" s="156"/>
      <c r="DP866" s="156"/>
      <c r="DQ866" s="156"/>
      <c r="DR866" s="156"/>
      <c r="DS866" s="156"/>
      <c r="DT866" s="156"/>
      <c r="DU866" s="156"/>
      <c r="DV866" s="156"/>
      <c r="DW866" s="156"/>
      <c r="DX866" s="156"/>
      <c r="DY866" s="156"/>
      <c r="DZ866" s="156"/>
      <c r="EA866" s="156"/>
      <c r="EB866" s="156"/>
      <c r="EC866" s="156"/>
      <c r="ED866" s="156"/>
      <c r="EE866" s="156"/>
      <c r="EF866" s="156"/>
      <c r="EG866" s="156"/>
      <c r="EH866" s="156"/>
      <c r="EI866" s="156"/>
      <c r="EJ866" s="156"/>
      <c r="EK866" s="156"/>
      <c r="EL866" s="156"/>
      <c r="EM866" s="156"/>
      <c r="EN866" s="156"/>
      <c r="EO866" s="156"/>
      <c r="EP866" s="156"/>
      <c r="EQ866" s="156"/>
      <c r="ER866" s="156"/>
      <c r="ES866" s="156"/>
      <c r="ET866" s="156"/>
      <c r="EU866" s="156"/>
      <c r="EV866" s="156"/>
      <c r="EW866" s="156"/>
      <c r="EX866" s="156"/>
      <c r="EY866" s="156"/>
      <c r="EZ866" s="156"/>
      <c r="FA866" s="156"/>
      <c r="FB866" s="156"/>
      <c r="FC866" s="156"/>
      <c r="FD866" s="156"/>
      <c r="FE866" s="156"/>
      <c r="FF866" s="156"/>
      <c r="FG866" s="156"/>
      <c r="FH866" s="156"/>
      <c r="FI866" s="156"/>
      <c r="FJ866" s="156"/>
      <c r="FK866" s="156"/>
      <c r="FL866" s="156"/>
      <c r="FM866" s="156"/>
      <c r="FN866" s="156"/>
      <c r="FO866" s="156"/>
      <c r="FP866" s="156"/>
      <c r="FQ866" s="156"/>
      <c r="FR866" s="156"/>
      <c r="FS866" s="156"/>
      <c r="FT866" s="156"/>
      <c r="FU866" s="156"/>
      <c r="FV866" s="156"/>
      <c r="FW866" s="156"/>
      <c r="FX866" s="156"/>
      <c r="FY866" s="156"/>
      <c r="FZ866" s="156"/>
      <c r="GA866" s="156"/>
      <c r="GB866" s="156"/>
      <c r="GC866" s="156"/>
      <c r="GD866" s="156"/>
      <c r="GE866" s="156"/>
      <c r="GF866" s="156"/>
      <c r="GG866" s="156"/>
      <c r="GH866" s="156"/>
      <c r="GI866" s="156"/>
      <c r="GJ866" s="156"/>
      <c r="GK866" s="156"/>
      <c r="GL866" s="156"/>
      <c r="GM866" s="156"/>
      <c r="GN866" s="156"/>
      <c r="GO866" s="156"/>
      <c r="GP866" s="156"/>
      <c r="GQ866" s="156"/>
      <c r="GR866" s="156"/>
      <c r="GS866" s="156"/>
      <c r="GT866" s="156"/>
      <c r="GU866" s="156"/>
      <c r="GV866" s="156"/>
      <c r="GW866" s="156"/>
      <c r="GX866" s="156"/>
      <c r="GY866" s="156"/>
      <c r="GZ866" s="156"/>
      <c r="HA866" s="156"/>
      <c r="HB866" s="156"/>
      <c r="HC866" s="156"/>
      <c r="HD866" s="156"/>
      <c r="HE866" s="156"/>
      <c r="HF866" s="156"/>
      <c r="HG866" s="156"/>
      <c r="HH866" s="156"/>
      <c r="HI866" s="156"/>
      <c r="HJ866" s="156"/>
      <c r="HK866" s="156"/>
      <c r="HL866" s="156"/>
      <c r="HM866" s="156"/>
      <c r="HN866" s="156"/>
      <c r="HO866" s="156"/>
      <c r="HP866" s="156"/>
      <c r="HQ866" s="156"/>
      <c r="HR866" s="156"/>
      <c r="HS866" s="156"/>
      <c r="HT866" s="156"/>
      <c r="HU866" s="156"/>
      <c r="HV866" s="156"/>
      <c r="HW866" s="156"/>
      <c r="HX866" s="156"/>
      <c r="HY866" s="156"/>
      <c r="HZ866" s="156"/>
      <c r="IA866" s="156"/>
      <c r="IB866" s="156"/>
      <c r="IC866" s="156"/>
      <c r="ID866" s="156"/>
      <c r="IE866" s="156"/>
      <c r="IF866" s="156"/>
      <c r="IG866" s="156"/>
      <c r="IH866" s="156"/>
      <c r="II866" s="156"/>
      <c r="IJ866" s="156"/>
      <c r="IK866" s="156"/>
      <c r="IL866" s="156"/>
      <c r="IM866" s="156"/>
      <c r="IN866" s="156"/>
      <c r="IO866" s="156"/>
      <c r="IP866" s="156"/>
      <c r="IQ866" s="156"/>
      <c r="IR866" s="156"/>
      <c r="IS866" s="156"/>
      <c r="IT866" s="156"/>
      <c r="IU866" s="156"/>
      <c r="IV866" s="156"/>
      <c r="IW866" s="156"/>
      <c r="IX866" s="156"/>
      <c r="IY866" s="156"/>
      <c r="IZ866" s="156"/>
      <c r="JA866" s="156"/>
      <c r="JB866" s="156"/>
      <c r="JC866" s="156"/>
      <c r="JD866" s="156"/>
      <c r="JE866" s="156"/>
      <c r="JF866" s="156"/>
      <c r="JG866" s="156"/>
      <c r="JH866" s="156"/>
      <c r="JI866" s="156"/>
      <c r="JJ866" s="156"/>
      <c r="JK866" s="156"/>
      <c r="JL866" s="156"/>
      <c r="JM866" s="156"/>
      <c r="JN866" s="156"/>
      <c r="JO866" s="156"/>
      <c r="JP866" s="156"/>
      <c r="JQ866" s="156"/>
      <c r="JR866" s="156"/>
      <c r="JS866" s="156"/>
      <c r="JT866" s="156"/>
      <c r="JU866" s="156"/>
      <c r="JV866" s="156"/>
      <c r="JW866" s="156"/>
      <c r="JX866" s="156"/>
      <c r="JY866" s="156"/>
      <c r="JZ866" s="156"/>
      <c r="KA866" s="156"/>
      <c r="KB866" s="156"/>
      <c r="KC866" s="156"/>
      <c r="KD866" s="156"/>
      <c r="KE866" s="156"/>
    </row>
    <row r="867" spans="1:291" s="136" customFormat="1" ht="35" customHeight="1">
      <c r="A867" s="42">
        <f>ROW()-2</f>
        <v>865</v>
      </c>
      <c r="B867" s="21" t="s">
        <v>2732</v>
      </c>
      <c r="C867" s="21" t="s">
        <v>4345</v>
      </c>
      <c r="D867" s="216" t="s">
        <v>4449</v>
      </c>
      <c r="E867" s="216" t="s">
        <v>4450</v>
      </c>
      <c r="F867" s="216" t="s">
        <v>4451</v>
      </c>
      <c r="G867" s="21" t="s">
        <v>34</v>
      </c>
      <c r="H867" s="21">
        <v>1</v>
      </c>
      <c r="I867" s="225">
        <v>0.45</v>
      </c>
      <c r="J867" s="229">
        <v>44123</v>
      </c>
      <c r="K867" s="225" t="s">
        <v>20</v>
      </c>
      <c r="L867" s="21">
        <v>4.99</v>
      </c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  <c r="AA867" s="156"/>
      <c r="AB867" s="156"/>
      <c r="AC867" s="156"/>
      <c r="AD867" s="156"/>
      <c r="AE867" s="156"/>
      <c r="AF867" s="156"/>
      <c r="AG867" s="156"/>
      <c r="AH867" s="156"/>
      <c r="AI867" s="156"/>
      <c r="AJ867" s="156"/>
      <c r="AK867" s="156"/>
      <c r="AL867" s="156"/>
      <c r="AM867" s="156"/>
      <c r="AN867" s="156"/>
      <c r="AO867" s="156"/>
      <c r="AP867" s="156"/>
      <c r="AQ867" s="156"/>
      <c r="AR867" s="156"/>
      <c r="AS867" s="156"/>
      <c r="AT867" s="156"/>
      <c r="AU867" s="156"/>
      <c r="AV867" s="156"/>
      <c r="AW867" s="156"/>
      <c r="AX867" s="156"/>
      <c r="AY867" s="156"/>
      <c r="AZ867" s="156"/>
      <c r="BA867" s="156"/>
      <c r="BB867" s="156"/>
      <c r="BC867" s="156"/>
      <c r="BD867" s="156"/>
      <c r="BE867" s="156"/>
      <c r="BF867" s="156"/>
      <c r="BG867" s="156"/>
      <c r="BH867" s="156"/>
      <c r="BI867" s="156"/>
      <c r="BJ867" s="156"/>
      <c r="BK867" s="156"/>
      <c r="BL867" s="156"/>
      <c r="BM867" s="156"/>
      <c r="BN867" s="156"/>
      <c r="BO867" s="156"/>
      <c r="BP867" s="156"/>
      <c r="BQ867" s="156"/>
      <c r="BR867" s="156"/>
      <c r="BS867" s="156"/>
      <c r="BT867" s="156"/>
      <c r="BU867" s="156"/>
      <c r="BV867" s="156"/>
      <c r="BW867" s="156"/>
      <c r="BX867" s="156"/>
      <c r="BY867" s="156"/>
      <c r="BZ867" s="156"/>
      <c r="CA867" s="156"/>
      <c r="CB867" s="156"/>
      <c r="CC867" s="156"/>
      <c r="CD867" s="156"/>
      <c r="CE867" s="156"/>
      <c r="CF867" s="156"/>
      <c r="CG867" s="156"/>
      <c r="CH867" s="156"/>
      <c r="CI867" s="156"/>
      <c r="CJ867" s="156"/>
      <c r="CK867" s="156"/>
      <c r="CL867" s="156"/>
      <c r="CM867" s="156"/>
      <c r="CN867" s="156"/>
      <c r="CO867" s="156"/>
      <c r="CP867" s="156"/>
      <c r="CQ867" s="156"/>
      <c r="CR867" s="156"/>
      <c r="CS867" s="156"/>
      <c r="CT867" s="156"/>
      <c r="CU867" s="156"/>
      <c r="CV867" s="156"/>
      <c r="CW867" s="156"/>
      <c r="CX867" s="156"/>
      <c r="CY867" s="156"/>
      <c r="CZ867" s="156"/>
      <c r="DA867" s="156"/>
      <c r="DB867" s="156"/>
      <c r="DC867" s="156"/>
      <c r="DD867" s="156"/>
      <c r="DE867" s="156"/>
      <c r="DF867" s="156"/>
      <c r="DG867" s="156"/>
      <c r="DH867" s="156"/>
      <c r="DI867" s="156"/>
      <c r="DJ867" s="156"/>
      <c r="DK867" s="156"/>
      <c r="DL867" s="156"/>
      <c r="DM867" s="156"/>
      <c r="DN867" s="156"/>
      <c r="DO867" s="156"/>
      <c r="DP867" s="156"/>
      <c r="DQ867" s="156"/>
      <c r="DR867" s="156"/>
      <c r="DS867" s="156"/>
      <c r="DT867" s="156"/>
      <c r="DU867" s="156"/>
      <c r="DV867" s="156"/>
      <c r="DW867" s="156"/>
      <c r="DX867" s="156"/>
      <c r="DY867" s="156"/>
      <c r="DZ867" s="156"/>
      <c r="EA867" s="156"/>
      <c r="EB867" s="156"/>
      <c r="EC867" s="156"/>
      <c r="ED867" s="156"/>
      <c r="EE867" s="156"/>
      <c r="EF867" s="156"/>
      <c r="EG867" s="156"/>
      <c r="EH867" s="156"/>
      <c r="EI867" s="156"/>
      <c r="EJ867" s="156"/>
      <c r="EK867" s="156"/>
      <c r="EL867" s="156"/>
      <c r="EM867" s="156"/>
      <c r="EN867" s="156"/>
      <c r="EO867" s="156"/>
      <c r="EP867" s="156"/>
      <c r="EQ867" s="156"/>
      <c r="ER867" s="156"/>
      <c r="ES867" s="156"/>
      <c r="ET867" s="156"/>
      <c r="EU867" s="156"/>
      <c r="EV867" s="156"/>
      <c r="EW867" s="156"/>
      <c r="EX867" s="156"/>
      <c r="EY867" s="156"/>
      <c r="EZ867" s="156"/>
      <c r="FA867" s="156"/>
      <c r="FB867" s="156"/>
      <c r="FC867" s="156"/>
      <c r="FD867" s="156"/>
      <c r="FE867" s="156"/>
      <c r="FF867" s="156"/>
      <c r="FG867" s="156"/>
      <c r="FH867" s="156"/>
      <c r="FI867" s="156"/>
      <c r="FJ867" s="156"/>
      <c r="FK867" s="156"/>
      <c r="FL867" s="156"/>
      <c r="FM867" s="156"/>
      <c r="FN867" s="156"/>
      <c r="FO867" s="156"/>
      <c r="FP867" s="156"/>
      <c r="FQ867" s="156"/>
      <c r="FR867" s="156"/>
      <c r="FS867" s="156"/>
      <c r="FT867" s="156"/>
      <c r="FU867" s="156"/>
      <c r="FV867" s="156"/>
      <c r="FW867" s="156"/>
      <c r="FX867" s="156"/>
      <c r="FY867" s="156"/>
      <c r="FZ867" s="156"/>
      <c r="GA867" s="156"/>
      <c r="GB867" s="156"/>
      <c r="GC867" s="156"/>
      <c r="GD867" s="156"/>
      <c r="GE867" s="156"/>
      <c r="GF867" s="156"/>
      <c r="GG867" s="156"/>
      <c r="GH867" s="156"/>
      <c r="GI867" s="156"/>
      <c r="GJ867" s="156"/>
      <c r="GK867" s="156"/>
      <c r="GL867" s="156"/>
      <c r="GM867" s="156"/>
      <c r="GN867" s="156"/>
      <c r="GO867" s="156"/>
      <c r="GP867" s="156"/>
      <c r="GQ867" s="156"/>
      <c r="GR867" s="156"/>
      <c r="GS867" s="156"/>
      <c r="GT867" s="156"/>
      <c r="GU867" s="156"/>
      <c r="GV867" s="156"/>
      <c r="GW867" s="156"/>
      <c r="GX867" s="156"/>
      <c r="GY867" s="156"/>
      <c r="GZ867" s="156"/>
      <c r="HA867" s="156"/>
      <c r="HB867" s="156"/>
      <c r="HC867" s="156"/>
      <c r="HD867" s="156"/>
      <c r="HE867" s="156"/>
      <c r="HF867" s="156"/>
      <c r="HG867" s="156"/>
      <c r="HH867" s="156"/>
      <c r="HI867" s="156"/>
      <c r="HJ867" s="156"/>
      <c r="HK867" s="156"/>
      <c r="HL867" s="156"/>
      <c r="HM867" s="156"/>
      <c r="HN867" s="156"/>
      <c r="HO867" s="156"/>
      <c r="HP867" s="156"/>
      <c r="HQ867" s="156"/>
      <c r="HR867" s="156"/>
      <c r="HS867" s="156"/>
      <c r="HT867" s="156"/>
      <c r="HU867" s="156"/>
      <c r="HV867" s="156"/>
      <c r="HW867" s="156"/>
      <c r="HX867" s="156"/>
      <c r="HY867" s="156"/>
      <c r="HZ867" s="156"/>
      <c r="IA867" s="156"/>
      <c r="IB867" s="156"/>
      <c r="IC867" s="156"/>
      <c r="ID867" s="156"/>
      <c r="IE867" s="156"/>
      <c r="IF867" s="156"/>
      <c r="IG867" s="156"/>
      <c r="IH867" s="156"/>
      <c r="II867" s="156"/>
      <c r="IJ867" s="156"/>
      <c r="IK867" s="156"/>
      <c r="IL867" s="156"/>
      <c r="IM867" s="156"/>
      <c r="IN867" s="156"/>
      <c r="IO867" s="156"/>
      <c r="IP867" s="156"/>
      <c r="IQ867" s="156"/>
      <c r="IR867" s="156"/>
      <c r="IS867" s="156"/>
      <c r="IT867" s="156"/>
      <c r="IU867" s="156"/>
      <c r="IV867" s="156"/>
      <c r="IW867" s="156"/>
      <c r="IX867" s="156"/>
      <c r="IY867" s="156"/>
      <c r="IZ867" s="156"/>
      <c r="JA867" s="156"/>
      <c r="JB867" s="156"/>
      <c r="JC867" s="156"/>
      <c r="JD867" s="156"/>
      <c r="JE867" s="156"/>
      <c r="JF867" s="156"/>
      <c r="JG867" s="156"/>
      <c r="JH867" s="156"/>
      <c r="JI867" s="156"/>
      <c r="JJ867" s="156"/>
      <c r="JK867" s="156"/>
      <c r="JL867" s="156"/>
      <c r="JM867" s="156"/>
      <c r="JN867" s="156"/>
      <c r="JO867" s="156"/>
      <c r="JP867" s="156"/>
      <c r="JQ867" s="156"/>
      <c r="JR867" s="156"/>
      <c r="JS867" s="156"/>
      <c r="JT867" s="156"/>
      <c r="JU867" s="156"/>
      <c r="JV867" s="156"/>
      <c r="JW867" s="156"/>
      <c r="JX867" s="156"/>
      <c r="JY867" s="156"/>
      <c r="JZ867" s="156"/>
      <c r="KA867" s="156"/>
      <c r="KB867" s="156"/>
      <c r="KC867" s="156"/>
      <c r="KD867" s="156"/>
      <c r="KE867" s="156"/>
    </row>
    <row r="868" spans="1:291" s="136" customFormat="1" ht="35" customHeight="1">
      <c r="A868" s="42">
        <f>ROW()-2</f>
        <v>866</v>
      </c>
      <c r="B868" s="21" t="s">
        <v>2732</v>
      </c>
      <c r="C868" s="21" t="s">
        <v>4345</v>
      </c>
      <c r="D868" s="216" t="s">
        <v>4452</v>
      </c>
      <c r="E868" s="216" t="s">
        <v>4453</v>
      </c>
      <c r="F868" s="216" t="s">
        <v>2742</v>
      </c>
      <c r="G868" s="21" t="s">
        <v>34</v>
      </c>
      <c r="H868" s="21">
        <v>1</v>
      </c>
      <c r="I868" s="225">
        <v>0.46</v>
      </c>
      <c r="J868" s="229">
        <v>44123</v>
      </c>
      <c r="K868" s="225" t="s">
        <v>20</v>
      </c>
      <c r="L868" s="21">
        <v>4.99</v>
      </c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  <c r="AA868" s="156"/>
      <c r="AB868" s="156"/>
      <c r="AC868" s="156"/>
      <c r="AD868" s="156"/>
      <c r="AE868" s="156"/>
      <c r="AF868" s="156"/>
      <c r="AG868" s="156"/>
      <c r="AH868" s="156"/>
      <c r="AI868" s="156"/>
      <c r="AJ868" s="156"/>
      <c r="AK868" s="156"/>
      <c r="AL868" s="156"/>
      <c r="AM868" s="156"/>
      <c r="AN868" s="156"/>
      <c r="AO868" s="156"/>
      <c r="AP868" s="156"/>
      <c r="AQ868" s="156"/>
      <c r="AR868" s="156"/>
      <c r="AS868" s="156"/>
      <c r="AT868" s="156"/>
      <c r="AU868" s="156"/>
      <c r="AV868" s="156"/>
      <c r="AW868" s="156"/>
      <c r="AX868" s="156"/>
      <c r="AY868" s="156"/>
      <c r="AZ868" s="156"/>
      <c r="BA868" s="156"/>
      <c r="BB868" s="156"/>
      <c r="BC868" s="156"/>
      <c r="BD868" s="156"/>
      <c r="BE868" s="156"/>
      <c r="BF868" s="156"/>
      <c r="BG868" s="156"/>
      <c r="BH868" s="156"/>
      <c r="BI868" s="156"/>
      <c r="BJ868" s="156"/>
      <c r="BK868" s="156"/>
      <c r="BL868" s="156"/>
      <c r="BM868" s="156"/>
      <c r="BN868" s="156"/>
      <c r="BO868" s="156"/>
      <c r="BP868" s="156"/>
      <c r="BQ868" s="156"/>
      <c r="BR868" s="156"/>
      <c r="BS868" s="156"/>
      <c r="BT868" s="156"/>
      <c r="BU868" s="156"/>
      <c r="BV868" s="156"/>
      <c r="BW868" s="156"/>
      <c r="BX868" s="156"/>
      <c r="BY868" s="156"/>
      <c r="BZ868" s="156"/>
      <c r="CA868" s="156"/>
      <c r="CB868" s="156"/>
      <c r="CC868" s="156"/>
      <c r="CD868" s="156"/>
      <c r="CE868" s="156"/>
      <c r="CF868" s="156"/>
      <c r="CG868" s="156"/>
      <c r="CH868" s="156"/>
      <c r="CI868" s="156"/>
      <c r="CJ868" s="156"/>
      <c r="CK868" s="156"/>
      <c r="CL868" s="156"/>
      <c r="CM868" s="156"/>
      <c r="CN868" s="156"/>
      <c r="CO868" s="156"/>
      <c r="CP868" s="156"/>
      <c r="CQ868" s="156"/>
      <c r="CR868" s="156"/>
      <c r="CS868" s="156"/>
      <c r="CT868" s="156"/>
      <c r="CU868" s="156"/>
      <c r="CV868" s="156"/>
      <c r="CW868" s="156"/>
      <c r="CX868" s="156"/>
      <c r="CY868" s="156"/>
      <c r="CZ868" s="156"/>
      <c r="DA868" s="156"/>
      <c r="DB868" s="156"/>
      <c r="DC868" s="156"/>
      <c r="DD868" s="156"/>
      <c r="DE868" s="156"/>
      <c r="DF868" s="156"/>
      <c r="DG868" s="156"/>
      <c r="DH868" s="156"/>
      <c r="DI868" s="156"/>
      <c r="DJ868" s="156"/>
      <c r="DK868" s="156"/>
      <c r="DL868" s="156"/>
      <c r="DM868" s="156"/>
      <c r="DN868" s="156"/>
      <c r="DO868" s="156"/>
      <c r="DP868" s="156"/>
      <c r="DQ868" s="156"/>
      <c r="DR868" s="156"/>
      <c r="DS868" s="156"/>
      <c r="DT868" s="156"/>
      <c r="DU868" s="156"/>
      <c r="DV868" s="156"/>
      <c r="DW868" s="156"/>
      <c r="DX868" s="156"/>
      <c r="DY868" s="156"/>
      <c r="DZ868" s="156"/>
      <c r="EA868" s="156"/>
      <c r="EB868" s="156"/>
      <c r="EC868" s="156"/>
      <c r="ED868" s="156"/>
      <c r="EE868" s="156"/>
      <c r="EF868" s="156"/>
      <c r="EG868" s="156"/>
      <c r="EH868" s="156"/>
      <c r="EI868" s="156"/>
      <c r="EJ868" s="156"/>
      <c r="EK868" s="156"/>
      <c r="EL868" s="156"/>
      <c r="EM868" s="156"/>
      <c r="EN868" s="156"/>
      <c r="EO868" s="156"/>
      <c r="EP868" s="156"/>
      <c r="EQ868" s="156"/>
      <c r="ER868" s="156"/>
      <c r="ES868" s="156"/>
      <c r="ET868" s="156"/>
      <c r="EU868" s="156"/>
      <c r="EV868" s="156"/>
      <c r="EW868" s="156"/>
      <c r="EX868" s="156"/>
      <c r="EY868" s="156"/>
      <c r="EZ868" s="156"/>
      <c r="FA868" s="156"/>
      <c r="FB868" s="156"/>
      <c r="FC868" s="156"/>
      <c r="FD868" s="156"/>
      <c r="FE868" s="156"/>
      <c r="FF868" s="156"/>
      <c r="FG868" s="156"/>
      <c r="FH868" s="156"/>
      <c r="FI868" s="156"/>
      <c r="FJ868" s="156"/>
      <c r="FK868" s="156"/>
      <c r="FL868" s="156"/>
      <c r="FM868" s="156"/>
      <c r="FN868" s="156"/>
      <c r="FO868" s="156"/>
      <c r="FP868" s="156"/>
      <c r="FQ868" s="156"/>
      <c r="FR868" s="156"/>
      <c r="FS868" s="156"/>
      <c r="FT868" s="156"/>
      <c r="FU868" s="156"/>
      <c r="FV868" s="156"/>
      <c r="FW868" s="156"/>
      <c r="FX868" s="156"/>
      <c r="FY868" s="156"/>
      <c r="FZ868" s="156"/>
      <c r="GA868" s="156"/>
      <c r="GB868" s="156"/>
      <c r="GC868" s="156"/>
      <c r="GD868" s="156"/>
      <c r="GE868" s="156"/>
      <c r="GF868" s="156"/>
      <c r="GG868" s="156"/>
      <c r="GH868" s="156"/>
      <c r="GI868" s="156"/>
      <c r="GJ868" s="156"/>
      <c r="GK868" s="156"/>
      <c r="GL868" s="156"/>
      <c r="GM868" s="156"/>
      <c r="GN868" s="156"/>
      <c r="GO868" s="156"/>
      <c r="GP868" s="156"/>
      <c r="GQ868" s="156"/>
      <c r="GR868" s="156"/>
      <c r="GS868" s="156"/>
      <c r="GT868" s="156"/>
      <c r="GU868" s="156"/>
      <c r="GV868" s="156"/>
      <c r="GW868" s="156"/>
      <c r="GX868" s="156"/>
      <c r="GY868" s="156"/>
      <c r="GZ868" s="156"/>
      <c r="HA868" s="156"/>
      <c r="HB868" s="156"/>
      <c r="HC868" s="156"/>
      <c r="HD868" s="156"/>
      <c r="HE868" s="156"/>
      <c r="HF868" s="156"/>
      <c r="HG868" s="156"/>
      <c r="HH868" s="156"/>
      <c r="HI868" s="156"/>
      <c r="HJ868" s="156"/>
      <c r="HK868" s="156"/>
      <c r="HL868" s="156"/>
      <c r="HM868" s="156"/>
      <c r="HN868" s="156"/>
      <c r="HO868" s="156"/>
      <c r="HP868" s="156"/>
      <c r="HQ868" s="156"/>
      <c r="HR868" s="156"/>
      <c r="HS868" s="156"/>
      <c r="HT868" s="156"/>
      <c r="HU868" s="156"/>
      <c r="HV868" s="156"/>
      <c r="HW868" s="156"/>
      <c r="HX868" s="156"/>
      <c r="HY868" s="156"/>
      <c r="HZ868" s="156"/>
      <c r="IA868" s="156"/>
      <c r="IB868" s="156"/>
      <c r="IC868" s="156"/>
      <c r="ID868" s="156"/>
      <c r="IE868" s="156"/>
      <c r="IF868" s="156"/>
      <c r="IG868" s="156"/>
      <c r="IH868" s="156"/>
      <c r="II868" s="156"/>
      <c r="IJ868" s="156"/>
      <c r="IK868" s="156"/>
      <c r="IL868" s="156"/>
      <c r="IM868" s="156"/>
      <c r="IN868" s="156"/>
      <c r="IO868" s="156"/>
      <c r="IP868" s="156"/>
      <c r="IQ868" s="156"/>
      <c r="IR868" s="156"/>
      <c r="IS868" s="156"/>
      <c r="IT868" s="156"/>
      <c r="IU868" s="156"/>
      <c r="IV868" s="156"/>
      <c r="IW868" s="156"/>
      <c r="IX868" s="156"/>
      <c r="IY868" s="156"/>
      <c r="IZ868" s="156"/>
      <c r="JA868" s="156"/>
      <c r="JB868" s="156"/>
      <c r="JC868" s="156"/>
      <c r="JD868" s="156"/>
      <c r="JE868" s="156"/>
      <c r="JF868" s="156"/>
      <c r="JG868" s="156"/>
      <c r="JH868" s="156"/>
      <c r="JI868" s="156"/>
      <c r="JJ868" s="156"/>
      <c r="JK868" s="156"/>
      <c r="JL868" s="156"/>
      <c r="JM868" s="156"/>
      <c r="JN868" s="156"/>
      <c r="JO868" s="156"/>
      <c r="JP868" s="156"/>
      <c r="JQ868" s="156"/>
      <c r="JR868" s="156"/>
      <c r="JS868" s="156"/>
      <c r="JT868" s="156"/>
      <c r="JU868" s="156"/>
      <c r="JV868" s="156"/>
      <c r="JW868" s="156"/>
      <c r="JX868" s="156"/>
      <c r="JY868" s="156"/>
      <c r="JZ868" s="156"/>
      <c r="KA868" s="156"/>
      <c r="KB868" s="156"/>
      <c r="KC868" s="156"/>
      <c r="KD868" s="156"/>
      <c r="KE868" s="156"/>
    </row>
    <row r="869" spans="1:291" s="136" customFormat="1" ht="35" customHeight="1">
      <c r="A869" s="42">
        <f>ROW()-2</f>
        <v>867</v>
      </c>
      <c r="B869" s="21" t="s">
        <v>2732</v>
      </c>
      <c r="C869" s="21" t="s">
        <v>4345</v>
      </c>
      <c r="D869" s="216" t="s">
        <v>4454</v>
      </c>
      <c r="E869" s="216" t="s">
        <v>4455</v>
      </c>
      <c r="F869" s="216" t="s">
        <v>4360</v>
      </c>
      <c r="G869" s="21" t="s">
        <v>34</v>
      </c>
      <c r="H869" s="21">
        <v>1</v>
      </c>
      <c r="I869" s="225">
        <v>0.39</v>
      </c>
      <c r="J869" s="229">
        <v>44123</v>
      </c>
      <c r="K869" s="225" t="s">
        <v>20</v>
      </c>
      <c r="L869" s="21">
        <v>4.99</v>
      </c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  <c r="AA869" s="156"/>
      <c r="AB869" s="156"/>
      <c r="AC869" s="156"/>
      <c r="AD869" s="156"/>
      <c r="AE869" s="156"/>
      <c r="AF869" s="156"/>
      <c r="AG869" s="156"/>
      <c r="AH869" s="156"/>
      <c r="AI869" s="156"/>
      <c r="AJ869" s="156"/>
      <c r="AK869" s="156"/>
      <c r="AL869" s="156"/>
      <c r="AM869" s="156"/>
      <c r="AN869" s="156"/>
      <c r="AO869" s="156"/>
      <c r="AP869" s="156"/>
      <c r="AQ869" s="156"/>
      <c r="AR869" s="156"/>
      <c r="AS869" s="156"/>
      <c r="AT869" s="156"/>
      <c r="AU869" s="156"/>
      <c r="AV869" s="156"/>
      <c r="AW869" s="156"/>
      <c r="AX869" s="156"/>
      <c r="AY869" s="156"/>
      <c r="AZ869" s="156"/>
      <c r="BA869" s="156"/>
      <c r="BB869" s="156"/>
      <c r="BC869" s="156"/>
      <c r="BD869" s="156"/>
      <c r="BE869" s="156"/>
      <c r="BF869" s="156"/>
      <c r="BG869" s="156"/>
      <c r="BH869" s="156"/>
      <c r="BI869" s="156"/>
      <c r="BJ869" s="156"/>
      <c r="BK869" s="156"/>
      <c r="BL869" s="156"/>
      <c r="BM869" s="156"/>
      <c r="BN869" s="156"/>
      <c r="BO869" s="156"/>
      <c r="BP869" s="156"/>
      <c r="BQ869" s="156"/>
      <c r="BR869" s="156"/>
      <c r="BS869" s="156"/>
      <c r="BT869" s="156"/>
      <c r="BU869" s="156"/>
      <c r="BV869" s="156"/>
      <c r="BW869" s="156"/>
      <c r="BX869" s="156"/>
      <c r="BY869" s="156"/>
      <c r="BZ869" s="156"/>
      <c r="CA869" s="156"/>
      <c r="CB869" s="156"/>
      <c r="CC869" s="156"/>
      <c r="CD869" s="156"/>
      <c r="CE869" s="156"/>
      <c r="CF869" s="156"/>
      <c r="CG869" s="156"/>
      <c r="CH869" s="156"/>
      <c r="CI869" s="156"/>
      <c r="CJ869" s="156"/>
      <c r="CK869" s="156"/>
      <c r="CL869" s="156"/>
      <c r="CM869" s="156"/>
      <c r="CN869" s="156"/>
      <c r="CO869" s="156"/>
      <c r="CP869" s="156"/>
      <c r="CQ869" s="156"/>
      <c r="CR869" s="156"/>
      <c r="CS869" s="156"/>
      <c r="CT869" s="156"/>
      <c r="CU869" s="156"/>
      <c r="CV869" s="156"/>
      <c r="CW869" s="156"/>
      <c r="CX869" s="156"/>
      <c r="CY869" s="156"/>
      <c r="CZ869" s="156"/>
      <c r="DA869" s="156"/>
      <c r="DB869" s="156"/>
      <c r="DC869" s="156"/>
      <c r="DD869" s="156"/>
      <c r="DE869" s="156"/>
      <c r="DF869" s="156"/>
      <c r="DG869" s="156"/>
      <c r="DH869" s="156"/>
      <c r="DI869" s="156"/>
      <c r="DJ869" s="156"/>
      <c r="DK869" s="156"/>
      <c r="DL869" s="156"/>
      <c r="DM869" s="156"/>
      <c r="DN869" s="156"/>
      <c r="DO869" s="156"/>
      <c r="DP869" s="156"/>
      <c r="DQ869" s="156"/>
      <c r="DR869" s="156"/>
      <c r="DS869" s="156"/>
      <c r="DT869" s="156"/>
      <c r="DU869" s="156"/>
      <c r="DV869" s="156"/>
      <c r="DW869" s="156"/>
      <c r="DX869" s="156"/>
      <c r="DY869" s="156"/>
      <c r="DZ869" s="156"/>
      <c r="EA869" s="156"/>
      <c r="EB869" s="156"/>
      <c r="EC869" s="156"/>
      <c r="ED869" s="156"/>
      <c r="EE869" s="156"/>
      <c r="EF869" s="156"/>
      <c r="EG869" s="156"/>
      <c r="EH869" s="156"/>
      <c r="EI869" s="156"/>
      <c r="EJ869" s="156"/>
      <c r="EK869" s="156"/>
      <c r="EL869" s="156"/>
      <c r="EM869" s="156"/>
      <c r="EN869" s="156"/>
      <c r="EO869" s="156"/>
      <c r="EP869" s="156"/>
      <c r="EQ869" s="156"/>
      <c r="ER869" s="156"/>
      <c r="ES869" s="156"/>
      <c r="ET869" s="156"/>
      <c r="EU869" s="156"/>
      <c r="EV869" s="156"/>
      <c r="EW869" s="156"/>
      <c r="EX869" s="156"/>
      <c r="EY869" s="156"/>
      <c r="EZ869" s="156"/>
      <c r="FA869" s="156"/>
      <c r="FB869" s="156"/>
      <c r="FC869" s="156"/>
      <c r="FD869" s="156"/>
      <c r="FE869" s="156"/>
      <c r="FF869" s="156"/>
      <c r="FG869" s="156"/>
      <c r="FH869" s="156"/>
      <c r="FI869" s="156"/>
      <c r="FJ869" s="156"/>
      <c r="FK869" s="156"/>
      <c r="FL869" s="156"/>
      <c r="FM869" s="156"/>
      <c r="FN869" s="156"/>
      <c r="FO869" s="156"/>
      <c r="FP869" s="156"/>
      <c r="FQ869" s="156"/>
      <c r="FR869" s="156"/>
      <c r="FS869" s="156"/>
      <c r="FT869" s="156"/>
      <c r="FU869" s="156"/>
      <c r="FV869" s="156"/>
      <c r="FW869" s="156"/>
      <c r="FX869" s="156"/>
      <c r="FY869" s="156"/>
      <c r="FZ869" s="156"/>
      <c r="GA869" s="156"/>
      <c r="GB869" s="156"/>
      <c r="GC869" s="156"/>
      <c r="GD869" s="156"/>
      <c r="GE869" s="156"/>
      <c r="GF869" s="156"/>
      <c r="GG869" s="156"/>
      <c r="GH869" s="156"/>
      <c r="GI869" s="156"/>
      <c r="GJ869" s="156"/>
      <c r="GK869" s="156"/>
      <c r="GL869" s="156"/>
      <c r="GM869" s="156"/>
      <c r="GN869" s="156"/>
      <c r="GO869" s="156"/>
      <c r="GP869" s="156"/>
      <c r="GQ869" s="156"/>
      <c r="GR869" s="156"/>
      <c r="GS869" s="156"/>
      <c r="GT869" s="156"/>
      <c r="GU869" s="156"/>
      <c r="GV869" s="156"/>
      <c r="GW869" s="156"/>
      <c r="GX869" s="156"/>
      <c r="GY869" s="156"/>
      <c r="GZ869" s="156"/>
      <c r="HA869" s="156"/>
      <c r="HB869" s="156"/>
      <c r="HC869" s="156"/>
      <c r="HD869" s="156"/>
      <c r="HE869" s="156"/>
      <c r="HF869" s="156"/>
      <c r="HG869" s="156"/>
      <c r="HH869" s="156"/>
      <c r="HI869" s="156"/>
      <c r="HJ869" s="156"/>
      <c r="HK869" s="156"/>
      <c r="HL869" s="156"/>
      <c r="HM869" s="156"/>
      <c r="HN869" s="156"/>
      <c r="HO869" s="156"/>
      <c r="HP869" s="156"/>
      <c r="HQ869" s="156"/>
      <c r="HR869" s="156"/>
      <c r="HS869" s="156"/>
      <c r="HT869" s="156"/>
      <c r="HU869" s="156"/>
      <c r="HV869" s="156"/>
      <c r="HW869" s="156"/>
      <c r="HX869" s="156"/>
      <c r="HY869" s="156"/>
      <c r="HZ869" s="156"/>
      <c r="IA869" s="156"/>
      <c r="IB869" s="156"/>
      <c r="IC869" s="156"/>
      <c r="ID869" s="156"/>
      <c r="IE869" s="156"/>
      <c r="IF869" s="156"/>
      <c r="IG869" s="156"/>
      <c r="IH869" s="156"/>
      <c r="II869" s="156"/>
      <c r="IJ869" s="156"/>
      <c r="IK869" s="156"/>
      <c r="IL869" s="156"/>
      <c r="IM869" s="156"/>
      <c r="IN869" s="156"/>
      <c r="IO869" s="156"/>
      <c r="IP869" s="156"/>
      <c r="IQ869" s="156"/>
      <c r="IR869" s="156"/>
      <c r="IS869" s="156"/>
      <c r="IT869" s="156"/>
      <c r="IU869" s="156"/>
      <c r="IV869" s="156"/>
      <c r="IW869" s="156"/>
      <c r="IX869" s="156"/>
      <c r="IY869" s="156"/>
      <c r="IZ869" s="156"/>
      <c r="JA869" s="156"/>
      <c r="JB869" s="156"/>
      <c r="JC869" s="156"/>
      <c r="JD869" s="156"/>
      <c r="JE869" s="156"/>
      <c r="JF869" s="156"/>
      <c r="JG869" s="156"/>
      <c r="JH869" s="156"/>
      <c r="JI869" s="156"/>
      <c r="JJ869" s="156"/>
      <c r="JK869" s="156"/>
      <c r="JL869" s="156"/>
      <c r="JM869" s="156"/>
      <c r="JN869" s="156"/>
      <c r="JO869" s="156"/>
      <c r="JP869" s="156"/>
      <c r="JQ869" s="156"/>
      <c r="JR869" s="156"/>
      <c r="JS869" s="156"/>
      <c r="JT869" s="156"/>
      <c r="JU869" s="156"/>
      <c r="JV869" s="156"/>
      <c r="JW869" s="156"/>
      <c r="JX869" s="156"/>
      <c r="JY869" s="156"/>
      <c r="JZ869" s="156"/>
      <c r="KA869" s="156"/>
      <c r="KB869" s="156"/>
      <c r="KC869" s="156"/>
      <c r="KD869" s="156"/>
      <c r="KE869" s="156"/>
    </row>
    <row r="870" spans="1:291" s="136" customFormat="1" ht="35" customHeight="1">
      <c r="A870" s="42">
        <f>ROW()-2</f>
        <v>868</v>
      </c>
      <c r="B870" s="21" t="s">
        <v>2732</v>
      </c>
      <c r="C870" s="21" t="s">
        <v>4345</v>
      </c>
      <c r="D870" s="216" t="s">
        <v>4456</v>
      </c>
      <c r="E870" s="216" t="s">
        <v>4457</v>
      </c>
      <c r="F870" s="216" t="s">
        <v>3975</v>
      </c>
      <c r="G870" s="21" t="s">
        <v>34</v>
      </c>
      <c r="H870" s="21">
        <v>1</v>
      </c>
      <c r="I870" s="225">
        <v>0.28999999999999998</v>
      </c>
      <c r="J870" s="229">
        <v>44123</v>
      </c>
      <c r="K870" s="225" t="s">
        <v>20</v>
      </c>
      <c r="L870" s="21">
        <v>4.99</v>
      </c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  <c r="AA870" s="156"/>
      <c r="AB870" s="156"/>
      <c r="AC870" s="156"/>
      <c r="AD870" s="156"/>
      <c r="AE870" s="156"/>
      <c r="AF870" s="156"/>
      <c r="AG870" s="156"/>
      <c r="AH870" s="156"/>
      <c r="AI870" s="156"/>
      <c r="AJ870" s="156"/>
      <c r="AK870" s="156"/>
      <c r="AL870" s="156"/>
      <c r="AM870" s="156"/>
      <c r="AN870" s="156"/>
      <c r="AO870" s="156"/>
      <c r="AP870" s="156"/>
      <c r="AQ870" s="156"/>
      <c r="AR870" s="156"/>
      <c r="AS870" s="156"/>
      <c r="AT870" s="156"/>
      <c r="AU870" s="156"/>
      <c r="AV870" s="156"/>
      <c r="AW870" s="156"/>
      <c r="AX870" s="156"/>
      <c r="AY870" s="156"/>
      <c r="AZ870" s="156"/>
      <c r="BA870" s="156"/>
      <c r="BB870" s="156"/>
      <c r="BC870" s="156"/>
      <c r="BD870" s="156"/>
      <c r="BE870" s="156"/>
      <c r="BF870" s="156"/>
      <c r="BG870" s="156"/>
      <c r="BH870" s="156"/>
      <c r="BI870" s="156"/>
      <c r="BJ870" s="156"/>
      <c r="BK870" s="156"/>
      <c r="BL870" s="156"/>
      <c r="BM870" s="156"/>
      <c r="BN870" s="156"/>
      <c r="BO870" s="156"/>
      <c r="BP870" s="156"/>
      <c r="BQ870" s="156"/>
      <c r="BR870" s="156"/>
      <c r="BS870" s="156"/>
      <c r="BT870" s="156"/>
      <c r="BU870" s="156"/>
      <c r="BV870" s="156"/>
      <c r="BW870" s="156"/>
      <c r="BX870" s="156"/>
      <c r="BY870" s="156"/>
      <c r="BZ870" s="156"/>
      <c r="CA870" s="156"/>
      <c r="CB870" s="156"/>
      <c r="CC870" s="156"/>
      <c r="CD870" s="156"/>
      <c r="CE870" s="156"/>
      <c r="CF870" s="156"/>
      <c r="CG870" s="156"/>
      <c r="CH870" s="156"/>
      <c r="CI870" s="156"/>
      <c r="CJ870" s="156"/>
      <c r="CK870" s="156"/>
      <c r="CL870" s="156"/>
      <c r="CM870" s="156"/>
      <c r="CN870" s="156"/>
      <c r="CO870" s="156"/>
      <c r="CP870" s="156"/>
      <c r="CQ870" s="156"/>
      <c r="CR870" s="156"/>
      <c r="CS870" s="156"/>
      <c r="CT870" s="156"/>
      <c r="CU870" s="156"/>
      <c r="CV870" s="156"/>
      <c r="CW870" s="156"/>
      <c r="CX870" s="156"/>
      <c r="CY870" s="156"/>
      <c r="CZ870" s="156"/>
      <c r="DA870" s="156"/>
      <c r="DB870" s="156"/>
      <c r="DC870" s="156"/>
      <c r="DD870" s="156"/>
      <c r="DE870" s="156"/>
      <c r="DF870" s="156"/>
      <c r="DG870" s="156"/>
      <c r="DH870" s="156"/>
      <c r="DI870" s="156"/>
      <c r="DJ870" s="156"/>
      <c r="DK870" s="156"/>
      <c r="DL870" s="156"/>
      <c r="DM870" s="156"/>
      <c r="DN870" s="156"/>
      <c r="DO870" s="156"/>
      <c r="DP870" s="156"/>
      <c r="DQ870" s="156"/>
      <c r="DR870" s="156"/>
      <c r="DS870" s="156"/>
      <c r="DT870" s="156"/>
      <c r="DU870" s="156"/>
      <c r="DV870" s="156"/>
      <c r="DW870" s="156"/>
      <c r="DX870" s="156"/>
      <c r="DY870" s="156"/>
      <c r="DZ870" s="156"/>
      <c r="EA870" s="156"/>
      <c r="EB870" s="156"/>
      <c r="EC870" s="156"/>
      <c r="ED870" s="156"/>
      <c r="EE870" s="156"/>
      <c r="EF870" s="156"/>
      <c r="EG870" s="156"/>
      <c r="EH870" s="156"/>
      <c r="EI870" s="156"/>
      <c r="EJ870" s="156"/>
      <c r="EK870" s="156"/>
      <c r="EL870" s="156"/>
      <c r="EM870" s="156"/>
      <c r="EN870" s="156"/>
      <c r="EO870" s="156"/>
      <c r="EP870" s="156"/>
      <c r="EQ870" s="156"/>
      <c r="ER870" s="156"/>
      <c r="ES870" s="156"/>
      <c r="ET870" s="156"/>
      <c r="EU870" s="156"/>
      <c r="EV870" s="156"/>
      <c r="EW870" s="156"/>
      <c r="EX870" s="156"/>
      <c r="EY870" s="156"/>
      <c r="EZ870" s="156"/>
      <c r="FA870" s="156"/>
      <c r="FB870" s="156"/>
      <c r="FC870" s="156"/>
      <c r="FD870" s="156"/>
      <c r="FE870" s="156"/>
      <c r="FF870" s="156"/>
      <c r="FG870" s="156"/>
      <c r="FH870" s="156"/>
      <c r="FI870" s="156"/>
      <c r="FJ870" s="156"/>
      <c r="FK870" s="156"/>
      <c r="FL870" s="156"/>
      <c r="FM870" s="156"/>
      <c r="FN870" s="156"/>
      <c r="FO870" s="156"/>
      <c r="FP870" s="156"/>
      <c r="FQ870" s="156"/>
      <c r="FR870" s="156"/>
      <c r="FS870" s="156"/>
      <c r="FT870" s="156"/>
      <c r="FU870" s="156"/>
      <c r="FV870" s="156"/>
      <c r="FW870" s="156"/>
      <c r="FX870" s="156"/>
      <c r="FY870" s="156"/>
      <c r="FZ870" s="156"/>
      <c r="GA870" s="156"/>
      <c r="GB870" s="156"/>
      <c r="GC870" s="156"/>
      <c r="GD870" s="156"/>
      <c r="GE870" s="156"/>
      <c r="GF870" s="156"/>
      <c r="GG870" s="156"/>
      <c r="GH870" s="156"/>
      <c r="GI870" s="156"/>
      <c r="GJ870" s="156"/>
      <c r="GK870" s="156"/>
      <c r="GL870" s="156"/>
      <c r="GM870" s="156"/>
      <c r="GN870" s="156"/>
      <c r="GO870" s="156"/>
      <c r="GP870" s="156"/>
      <c r="GQ870" s="156"/>
      <c r="GR870" s="156"/>
      <c r="GS870" s="156"/>
      <c r="GT870" s="156"/>
      <c r="GU870" s="156"/>
      <c r="GV870" s="156"/>
      <c r="GW870" s="156"/>
      <c r="GX870" s="156"/>
      <c r="GY870" s="156"/>
      <c r="GZ870" s="156"/>
      <c r="HA870" s="156"/>
      <c r="HB870" s="156"/>
      <c r="HC870" s="156"/>
      <c r="HD870" s="156"/>
      <c r="HE870" s="156"/>
      <c r="HF870" s="156"/>
      <c r="HG870" s="156"/>
      <c r="HH870" s="156"/>
      <c r="HI870" s="156"/>
      <c r="HJ870" s="156"/>
      <c r="HK870" s="156"/>
      <c r="HL870" s="156"/>
      <c r="HM870" s="156"/>
      <c r="HN870" s="156"/>
      <c r="HO870" s="156"/>
      <c r="HP870" s="156"/>
      <c r="HQ870" s="156"/>
      <c r="HR870" s="156"/>
      <c r="HS870" s="156"/>
      <c r="HT870" s="156"/>
      <c r="HU870" s="156"/>
      <c r="HV870" s="156"/>
      <c r="HW870" s="156"/>
      <c r="HX870" s="156"/>
      <c r="HY870" s="156"/>
      <c r="HZ870" s="156"/>
      <c r="IA870" s="156"/>
      <c r="IB870" s="156"/>
      <c r="IC870" s="156"/>
      <c r="ID870" s="156"/>
      <c r="IE870" s="156"/>
      <c r="IF870" s="156"/>
      <c r="IG870" s="156"/>
      <c r="IH870" s="156"/>
      <c r="II870" s="156"/>
      <c r="IJ870" s="156"/>
      <c r="IK870" s="156"/>
      <c r="IL870" s="156"/>
      <c r="IM870" s="156"/>
      <c r="IN870" s="156"/>
      <c r="IO870" s="156"/>
      <c r="IP870" s="156"/>
      <c r="IQ870" s="156"/>
      <c r="IR870" s="156"/>
      <c r="IS870" s="156"/>
      <c r="IT870" s="156"/>
      <c r="IU870" s="156"/>
      <c r="IV870" s="156"/>
      <c r="IW870" s="156"/>
      <c r="IX870" s="156"/>
      <c r="IY870" s="156"/>
      <c r="IZ870" s="156"/>
      <c r="JA870" s="156"/>
      <c r="JB870" s="156"/>
      <c r="JC870" s="156"/>
      <c r="JD870" s="156"/>
      <c r="JE870" s="156"/>
      <c r="JF870" s="156"/>
      <c r="JG870" s="156"/>
      <c r="JH870" s="156"/>
      <c r="JI870" s="156"/>
      <c r="JJ870" s="156"/>
      <c r="JK870" s="156"/>
      <c r="JL870" s="156"/>
      <c r="JM870" s="156"/>
      <c r="JN870" s="156"/>
      <c r="JO870" s="156"/>
      <c r="JP870" s="156"/>
      <c r="JQ870" s="156"/>
      <c r="JR870" s="156"/>
      <c r="JS870" s="156"/>
      <c r="JT870" s="156"/>
      <c r="JU870" s="156"/>
      <c r="JV870" s="156"/>
      <c r="JW870" s="156"/>
      <c r="JX870" s="156"/>
      <c r="JY870" s="156"/>
      <c r="JZ870" s="156"/>
      <c r="KA870" s="156"/>
      <c r="KB870" s="156"/>
      <c r="KC870" s="156"/>
      <c r="KD870" s="156"/>
      <c r="KE870" s="156"/>
    </row>
    <row r="871" spans="1:291" s="136" customFormat="1" ht="35" customHeight="1">
      <c r="A871" s="42">
        <f>ROW()-2</f>
        <v>869</v>
      </c>
      <c r="B871" s="21" t="s">
        <v>2732</v>
      </c>
      <c r="C871" s="21" t="s">
        <v>4345</v>
      </c>
      <c r="D871" s="216" t="s">
        <v>4458</v>
      </c>
      <c r="E871" s="216" t="s">
        <v>4459</v>
      </c>
      <c r="F871" s="216" t="s">
        <v>4460</v>
      </c>
      <c r="G871" s="21" t="s">
        <v>34</v>
      </c>
      <c r="H871" s="21">
        <v>1</v>
      </c>
      <c r="I871" s="225">
        <v>0.41</v>
      </c>
      <c r="J871" s="229">
        <v>44123</v>
      </c>
      <c r="K871" s="225" t="s">
        <v>20</v>
      </c>
      <c r="L871" s="21">
        <v>4.99</v>
      </c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  <c r="AA871" s="156"/>
      <c r="AB871" s="156"/>
      <c r="AC871" s="156"/>
      <c r="AD871" s="156"/>
      <c r="AE871" s="156"/>
      <c r="AF871" s="156"/>
      <c r="AG871" s="156"/>
      <c r="AH871" s="156"/>
      <c r="AI871" s="156"/>
      <c r="AJ871" s="156"/>
      <c r="AK871" s="156"/>
      <c r="AL871" s="156"/>
      <c r="AM871" s="156"/>
      <c r="AN871" s="156"/>
      <c r="AO871" s="156"/>
      <c r="AP871" s="156"/>
      <c r="AQ871" s="156"/>
      <c r="AR871" s="156"/>
      <c r="AS871" s="156"/>
      <c r="AT871" s="156"/>
      <c r="AU871" s="156"/>
      <c r="AV871" s="156"/>
      <c r="AW871" s="156"/>
      <c r="AX871" s="156"/>
      <c r="AY871" s="156"/>
      <c r="AZ871" s="156"/>
      <c r="BA871" s="156"/>
      <c r="BB871" s="156"/>
      <c r="BC871" s="156"/>
      <c r="BD871" s="156"/>
      <c r="BE871" s="156"/>
      <c r="BF871" s="156"/>
      <c r="BG871" s="156"/>
      <c r="BH871" s="156"/>
      <c r="BI871" s="156"/>
      <c r="BJ871" s="156"/>
      <c r="BK871" s="156"/>
      <c r="BL871" s="156"/>
      <c r="BM871" s="156"/>
      <c r="BN871" s="156"/>
      <c r="BO871" s="156"/>
      <c r="BP871" s="156"/>
      <c r="BQ871" s="156"/>
      <c r="BR871" s="156"/>
      <c r="BS871" s="156"/>
      <c r="BT871" s="156"/>
      <c r="BU871" s="156"/>
      <c r="BV871" s="156"/>
      <c r="BW871" s="156"/>
      <c r="BX871" s="156"/>
      <c r="BY871" s="156"/>
      <c r="BZ871" s="156"/>
      <c r="CA871" s="156"/>
      <c r="CB871" s="156"/>
      <c r="CC871" s="156"/>
      <c r="CD871" s="156"/>
      <c r="CE871" s="156"/>
      <c r="CF871" s="156"/>
      <c r="CG871" s="156"/>
      <c r="CH871" s="156"/>
      <c r="CI871" s="156"/>
      <c r="CJ871" s="156"/>
      <c r="CK871" s="156"/>
      <c r="CL871" s="156"/>
      <c r="CM871" s="156"/>
      <c r="CN871" s="156"/>
      <c r="CO871" s="156"/>
      <c r="CP871" s="156"/>
      <c r="CQ871" s="156"/>
      <c r="CR871" s="156"/>
      <c r="CS871" s="156"/>
      <c r="CT871" s="156"/>
      <c r="CU871" s="156"/>
      <c r="CV871" s="156"/>
      <c r="CW871" s="156"/>
      <c r="CX871" s="156"/>
      <c r="CY871" s="156"/>
      <c r="CZ871" s="156"/>
      <c r="DA871" s="156"/>
      <c r="DB871" s="156"/>
      <c r="DC871" s="156"/>
      <c r="DD871" s="156"/>
      <c r="DE871" s="156"/>
      <c r="DF871" s="156"/>
      <c r="DG871" s="156"/>
      <c r="DH871" s="156"/>
      <c r="DI871" s="156"/>
      <c r="DJ871" s="156"/>
      <c r="DK871" s="156"/>
      <c r="DL871" s="156"/>
      <c r="DM871" s="156"/>
      <c r="DN871" s="156"/>
      <c r="DO871" s="156"/>
      <c r="DP871" s="156"/>
      <c r="DQ871" s="156"/>
      <c r="DR871" s="156"/>
      <c r="DS871" s="156"/>
      <c r="DT871" s="156"/>
      <c r="DU871" s="156"/>
      <c r="DV871" s="156"/>
      <c r="DW871" s="156"/>
      <c r="DX871" s="156"/>
      <c r="DY871" s="156"/>
      <c r="DZ871" s="156"/>
      <c r="EA871" s="156"/>
      <c r="EB871" s="156"/>
      <c r="EC871" s="156"/>
      <c r="ED871" s="156"/>
      <c r="EE871" s="156"/>
      <c r="EF871" s="156"/>
      <c r="EG871" s="156"/>
      <c r="EH871" s="156"/>
      <c r="EI871" s="156"/>
      <c r="EJ871" s="156"/>
      <c r="EK871" s="156"/>
      <c r="EL871" s="156"/>
      <c r="EM871" s="156"/>
      <c r="EN871" s="156"/>
      <c r="EO871" s="156"/>
      <c r="EP871" s="156"/>
      <c r="EQ871" s="156"/>
      <c r="ER871" s="156"/>
      <c r="ES871" s="156"/>
      <c r="ET871" s="156"/>
      <c r="EU871" s="156"/>
      <c r="EV871" s="156"/>
      <c r="EW871" s="156"/>
      <c r="EX871" s="156"/>
      <c r="EY871" s="156"/>
      <c r="EZ871" s="156"/>
      <c r="FA871" s="156"/>
      <c r="FB871" s="156"/>
      <c r="FC871" s="156"/>
      <c r="FD871" s="156"/>
      <c r="FE871" s="156"/>
      <c r="FF871" s="156"/>
      <c r="FG871" s="156"/>
      <c r="FH871" s="156"/>
      <c r="FI871" s="156"/>
      <c r="FJ871" s="156"/>
      <c r="FK871" s="156"/>
      <c r="FL871" s="156"/>
      <c r="FM871" s="156"/>
      <c r="FN871" s="156"/>
      <c r="FO871" s="156"/>
      <c r="FP871" s="156"/>
      <c r="FQ871" s="156"/>
      <c r="FR871" s="156"/>
      <c r="FS871" s="156"/>
      <c r="FT871" s="156"/>
      <c r="FU871" s="156"/>
      <c r="FV871" s="156"/>
      <c r="FW871" s="156"/>
      <c r="FX871" s="156"/>
      <c r="FY871" s="156"/>
      <c r="FZ871" s="156"/>
      <c r="GA871" s="156"/>
      <c r="GB871" s="156"/>
      <c r="GC871" s="156"/>
      <c r="GD871" s="156"/>
      <c r="GE871" s="156"/>
      <c r="GF871" s="156"/>
      <c r="GG871" s="156"/>
      <c r="GH871" s="156"/>
      <c r="GI871" s="156"/>
      <c r="GJ871" s="156"/>
      <c r="GK871" s="156"/>
      <c r="GL871" s="156"/>
      <c r="GM871" s="156"/>
      <c r="GN871" s="156"/>
      <c r="GO871" s="156"/>
      <c r="GP871" s="156"/>
      <c r="GQ871" s="156"/>
      <c r="GR871" s="156"/>
      <c r="GS871" s="156"/>
      <c r="GT871" s="156"/>
      <c r="GU871" s="156"/>
      <c r="GV871" s="156"/>
      <c r="GW871" s="156"/>
      <c r="GX871" s="156"/>
      <c r="GY871" s="156"/>
      <c r="GZ871" s="156"/>
      <c r="HA871" s="156"/>
      <c r="HB871" s="156"/>
      <c r="HC871" s="156"/>
      <c r="HD871" s="156"/>
      <c r="HE871" s="156"/>
      <c r="HF871" s="156"/>
      <c r="HG871" s="156"/>
      <c r="HH871" s="156"/>
      <c r="HI871" s="156"/>
      <c r="HJ871" s="156"/>
      <c r="HK871" s="156"/>
      <c r="HL871" s="156"/>
      <c r="HM871" s="156"/>
      <c r="HN871" s="156"/>
      <c r="HO871" s="156"/>
      <c r="HP871" s="156"/>
      <c r="HQ871" s="156"/>
      <c r="HR871" s="156"/>
      <c r="HS871" s="156"/>
      <c r="HT871" s="156"/>
      <c r="HU871" s="156"/>
      <c r="HV871" s="156"/>
      <c r="HW871" s="156"/>
      <c r="HX871" s="156"/>
      <c r="HY871" s="156"/>
      <c r="HZ871" s="156"/>
      <c r="IA871" s="156"/>
      <c r="IB871" s="156"/>
      <c r="IC871" s="156"/>
      <c r="ID871" s="156"/>
      <c r="IE871" s="156"/>
      <c r="IF871" s="156"/>
      <c r="IG871" s="156"/>
      <c r="IH871" s="156"/>
      <c r="II871" s="156"/>
      <c r="IJ871" s="156"/>
      <c r="IK871" s="156"/>
      <c r="IL871" s="156"/>
      <c r="IM871" s="156"/>
      <c r="IN871" s="156"/>
      <c r="IO871" s="156"/>
      <c r="IP871" s="156"/>
      <c r="IQ871" s="156"/>
      <c r="IR871" s="156"/>
      <c r="IS871" s="156"/>
      <c r="IT871" s="156"/>
      <c r="IU871" s="156"/>
      <c r="IV871" s="156"/>
      <c r="IW871" s="156"/>
      <c r="IX871" s="156"/>
      <c r="IY871" s="156"/>
      <c r="IZ871" s="156"/>
      <c r="JA871" s="156"/>
      <c r="JB871" s="156"/>
      <c r="JC871" s="156"/>
      <c r="JD871" s="156"/>
      <c r="JE871" s="156"/>
      <c r="JF871" s="156"/>
      <c r="JG871" s="156"/>
      <c r="JH871" s="156"/>
      <c r="JI871" s="156"/>
      <c r="JJ871" s="156"/>
      <c r="JK871" s="156"/>
      <c r="JL871" s="156"/>
      <c r="JM871" s="156"/>
      <c r="JN871" s="156"/>
      <c r="JO871" s="156"/>
      <c r="JP871" s="156"/>
      <c r="JQ871" s="156"/>
      <c r="JR871" s="156"/>
      <c r="JS871" s="156"/>
      <c r="JT871" s="156"/>
      <c r="JU871" s="156"/>
      <c r="JV871" s="156"/>
      <c r="JW871" s="156"/>
      <c r="JX871" s="156"/>
      <c r="JY871" s="156"/>
      <c r="JZ871" s="156"/>
      <c r="KA871" s="156"/>
      <c r="KB871" s="156"/>
      <c r="KC871" s="156"/>
      <c r="KD871" s="156"/>
      <c r="KE871" s="156"/>
    </row>
    <row r="872" spans="1:291" s="136" customFormat="1" ht="35" customHeight="1">
      <c r="A872" s="42">
        <f>ROW()-2</f>
        <v>870</v>
      </c>
      <c r="B872" s="21" t="s">
        <v>2732</v>
      </c>
      <c r="C872" s="21" t="s">
        <v>4345</v>
      </c>
      <c r="D872" s="216" t="s">
        <v>4461</v>
      </c>
      <c r="E872" s="216" t="s">
        <v>4462</v>
      </c>
      <c r="F872" s="216" t="s">
        <v>4360</v>
      </c>
      <c r="G872" s="21" t="s">
        <v>34</v>
      </c>
      <c r="H872" s="21">
        <v>1</v>
      </c>
      <c r="I872" s="225">
        <v>0.46</v>
      </c>
      <c r="J872" s="229">
        <v>44123</v>
      </c>
      <c r="K872" s="225" t="s">
        <v>20</v>
      </c>
      <c r="L872" s="21">
        <v>4.99</v>
      </c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  <c r="AA872" s="156"/>
      <c r="AB872" s="156"/>
      <c r="AC872" s="156"/>
      <c r="AD872" s="156"/>
      <c r="AE872" s="156"/>
      <c r="AF872" s="156"/>
      <c r="AG872" s="156"/>
      <c r="AH872" s="156"/>
      <c r="AI872" s="156"/>
      <c r="AJ872" s="156"/>
      <c r="AK872" s="156"/>
      <c r="AL872" s="156"/>
      <c r="AM872" s="156"/>
      <c r="AN872" s="156"/>
      <c r="AO872" s="156"/>
      <c r="AP872" s="156"/>
      <c r="AQ872" s="156"/>
      <c r="AR872" s="156"/>
      <c r="AS872" s="156"/>
      <c r="AT872" s="156"/>
      <c r="AU872" s="156"/>
      <c r="AV872" s="156"/>
      <c r="AW872" s="156"/>
      <c r="AX872" s="156"/>
      <c r="AY872" s="156"/>
      <c r="AZ872" s="156"/>
      <c r="BA872" s="156"/>
      <c r="BB872" s="156"/>
      <c r="BC872" s="156"/>
      <c r="BD872" s="156"/>
      <c r="BE872" s="156"/>
      <c r="BF872" s="156"/>
      <c r="BG872" s="156"/>
      <c r="BH872" s="156"/>
      <c r="BI872" s="156"/>
      <c r="BJ872" s="156"/>
      <c r="BK872" s="156"/>
      <c r="BL872" s="156"/>
      <c r="BM872" s="156"/>
      <c r="BN872" s="156"/>
      <c r="BO872" s="156"/>
      <c r="BP872" s="156"/>
      <c r="BQ872" s="156"/>
      <c r="BR872" s="156"/>
      <c r="BS872" s="156"/>
      <c r="BT872" s="156"/>
      <c r="BU872" s="156"/>
      <c r="BV872" s="156"/>
      <c r="BW872" s="156"/>
      <c r="BX872" s="156"/>
      <c r="BY872" s="156"/>
      <c r="BZ872" s="156"/>
      <c r="CA872" s="156"/>
      <c r="CB872" s="156"/>
      <c r="CC872" s="156"/>
      <c r="CD872" s="156"/>
      <c r="CE872" s="156"/>
      <c r="CF872" s="156"/>
      <c r="CG872" s="156"/>
      <c r="CH872" s="156"/>
      <c r="CI872" s="156"/>
      <c r="CJ872" s="156"/>
      <c r="CK872" s="156"/>
      <c r="CL872" s="156"/>
      <c r="CM872" s="156"/>
      <c r="CN872" s="156"/>
      <c r="CO872" s="156"/>
      <c r="CP872" s="156"/>
      <c r="CQ872" s="156"/>
      <c r="CR872" s="156"/>
      <c r="CS872" s="156"/>
      <c r="CT872" s="156"/>
      <c r="CU872" s="156"/>
      <c r="CV872" s="156"/>
      <c r="CW872" s="156"/>
      <c r="CX872" s="156"/>
      <c r="CY872" s="156"/>
      <c r="CZ872" s="156"/>
      <c r="DA872" s="156"/>
      <c r="DB872" s="156"/>
      <c r="DC872" s="156"/>
      <c r="DD872" s="156"/>
      <c r="DE872" s="156"/>
      <c r="DF872" s="156"/>
      <c r="DG872" s="156"/>
      <c r="DH872" s="156"/>
      <c r="DI872" s="156"/>
      <c r="DJ872" s="156"/>
      <c r="DK872" s="156"/>
      <c r="DL872" s="156"/>
      <c r="DM872" s="156"/>
      <c r="DN872" s="156"/>
      <c r="DO872" s="156"/>
      <c r="DP872" s="156"/>
      <c r="DQ872" s="156"/>
      <c r="DR872" s="156"/>
      <c r="DS872" s="156"/>
      <c r="DT872" s="156"/>
      <c r="DU872" s="156"/>
      <c r="DV872" s="156"/>
      <c r="DW872" s="156"/>
      <c r="DX872" s="156"/>
      <c r="DY872" s="156"/>
      <c r="DZ872" s="156"/>
      <c r="EA872" s="156"/>
      <c r="EB872" s="156"/>
      <c r="EC872" s="156"/>
      <c r="ED872" s="156"/>
      <c r="EE872" s="156"/>
      <c r="EF872" s="156"/>
      <c r="EG872" s="156"/>
      <c r="EH872" s="156"/>
      <c r="EI872" s="156"/>
      <c r="EJ872" s="156"/>
      <c r="EK872" s="156"/>
      <c r="EL872" s="156"/>
      <c r="EM872" s="156"/>
      <c r="EN872" s="156"/>
      <c r="EO872" s="156"/>
      <c r="EP872" s="156"/>
      <c r="EQ872" s="156"/>
      <c r="ER872" s="156"/>
      <c r="ES872" s="156"/>
      <c r="ET872" s="156"/>
      <c r="EU872" s="156"/>
      <c r="EV872" s="156"/>
      <c r="EW872" s="156"/>
      <c r="EX872" s="156"/>
      <c r="EY872" s="156"/>
      <c r="EZ872" s="156"/>
      <c r="FA872" s="156"/>
      <c r="FB872" s="156"/>
      <c r="FC872" s="156"/>
      <c r="FD872" s="156"/>
      <c r="FE872" s="156"/>
      <c r="FF872" s="156"/>
      <c r="FG872" s="156"/>
      <c r="FH872" s="156"/>
      <c r="FI872" s="156"/>
      <c r="FJ872" s="156"/>
      <c r="FK872" s="156"/>
      <c r="FL872" s="156"/>
      <c r="FM872" s="156"/>
      <c r="FN872" s="156"/>
      <c r="FO872" s="156"/>
      <c r="FP872" s="156"/>
      <c r="FQ872" s="156"/>
      <c r="FR872" s="156"/>
      <c r="FS872" s="156"/>
      <c r="FT872" s="156"/>
      <c r="FU872" s="156"/>
      <c r="FV872" s="156"/>
      <c r="FW872" s="156"/>
      <c r="FX872" s="156"/>
      <c r="FY872" s="156"/>
      <c r="FZ872" s="156"/>
      <c r="GA872" s="156"/>
      <c r="GB872" s="156"/>
      <c r="GC872" s="156"/>
      <c r="GD872" s="156"/>
      <c r="GE872" s="156"/>
      <c r="GF872" s="156"/>
      <c r="GG872" s="156"/>
      <c r="GH872" s="156"/>
      <c r="GI872" s="156"/>
      <c r="GJ872" s="156"/>
      <c r="GK872" s="156"/>
      <c r="GL872" s="156"/>
      <c r="GM872" s="156"/>
      <c r="GN872" s="156"/>
      <c r="GO872" s="156"/>
      <c r="GP872" s="156"/>
      <c r="GQ872" s="156"/>
      <c r="GR872" s="156"/>
      <c r="GS872" s="156"/>
      <c r="GT872" s="156"/>
      <c r="GU872" s="156"/>
      <c r="GV872" s="156"/>
      <c r="GW872" s="156"/>
      <c r="GX872" s="156"/>
      <c r="GY872" s="156"/>
      <c r="GZ872" s="156"/>
      <c r="HA872" s="156"/>
      <c r="HB872" s="156"/>
      <c r="HC872" s="156"/>
      <c r="HD872" s="156"/>
      <c r="HE872" s="156"/>
      <c r="HF872" s="156"/>
      <c r="HG872" s="156"/>
      <c r="HH872" s="156"/>
      <c r="HI872" s="156"/>
      <c r="HJ872" s="156"/>
      <c r="HK872" s="156"/>
      <c r="HL872" s="156"/>
      <c r="HM872" s="156"/>
      <c r="HN872" s="156"/>
      <c r="HO872" s="156"/>
      <c r="HP872" s="156"/>
      <c r="HQ872" s="156"/>
      <c r="HR872" s="156"/>
      <c r="HS872" s="156"/>
      <c r="HT872" s="156"/>
      <c r="HU872" s="156"/>
      <c r="HV872" s="156"/>
      <c r="HW872" s="156"/>
      <c r="HX872" s="156"/>
      <c r="HY872" s="156"/>
      <c r="HZ872" s="156"/>
      <c r="IA872" s="156"/>
      <c r="IB872" s="156"/>
      <c r="IC872" s="156"/>
      <c r="ID872" s="156"/>
      <c r="IE872" s="156"/>
      <c r="IF872" s="156"/>
      <c r="IG872" s="156"/>
      <c r="IH872" s="156"/>
      <c r="II872" s="156"/>
      <c r="IJ872" s="156"/>
      <c r="IK872" s="156"/>
      <c r="IL872" s="156"/>
      <c r="IM872" s="156"/>
      <c r="IN872" s="156"/>
      <c r="IO872" s="156"/>
      <c r="IP872" s="156"/>
      <c r="IQ872" s="156"/>
      <c r="IR872" s="156"/>
      <c r="IS872" s="156"/>
      <c r="IT872" s="156"/>
      <c r="IU872" s="156"/>
      <c r="IV872" s="156"/>
      <c r="IW872" s="156"/>
      <c r="IX872" s="156"/>
      <c r="IY872" s="156"/>
      <c r="IZ872" s="156"/>
      <c r="JA872" s="156"/>
      <c r="JB872" s="156"/>
      <c r="JC872" s="156"/>
      <c r="JD872" s="156"/>
      <c r="JE872" s="156"/>
      <c r="JF872" s="156"/>
      <c r="JG872" s="156"/>
      <c r="JH872" s="156"/>
      <c r="JI872" s="156"/>
      <c r="JJ872" s="156"/>
      <c r="JK872" s="156"/>
      <c r="JL872" s="156"/>
      <c r="JM872" s="156"/>
      <c r="JN872" s="156"/>
      <c r="JO872" s="156"/>
      <c r="JP872" s="156"/>
      <c r="JQ872" s="156"/>
      <c r="JR872" s="156"/>
      <c r="JS872" s="156"/>
      <c r="JT872" s="156"/>
      <c r="JU872" s="156"/>
      <c r="JV872" s="156"/>
      <c r="JW872" s="156"/>
      <c r="JX872" s="156"/>
      <c r="JY872" s="156"/>
      <c r="JZ872" s="156"/>
      <c r="KA872" s="156"/>
      <c r="KB872" s="156"/>
      <c r="KC872" s="156"/>
      <c r="KD872" s="156"/>
      <c r="KE872" s="156"/>
    </row>
    <row r="873" spans="1:291" s="136" customFormat="1" ht="35" customHeight="1">
      <c r="A873" s="42">
        <f>ROW()-2</f>
        <v>871</v>
      </c>
      <c r="B873" s="21" t="s">
        <v>2732</v>
      </c>
      <c r="C873" s="21" t="s">
        <v>4345</v>
      </c>
      <c r="D873" s="216" t="s">
        <v>4463</v>
      </c>
      <c r="E873" s="216" t="s">
        <v>4464</v>
      </c>
      <c r="F873" s="216" t="s">
        <v>4360</v>
      </c>
      <c r="G873" s="152" t="s">
        <v>34</v>
      </c>
      <c r="H873" s="21">
        <v>1</v>
      </c>
      <c r="I873" s="225">
        <v>0.42</v>
      </c>
      <c r="J873" s="229">
        <v>44123</v>
      </c>
      <c r="K873" s="236" t="s">
        <v>20</v>
      </c>
      <c r="L873" s="254">
        <v>4.99</v>
      </c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  <c r="AA873" s="156"/>
      <c r="AB873" s="156"/>
      <c r="AC873" s="156"/>
      <c r="AD873" s="156"/>
      <c r="AE873" s="156"/>
      <c r="AF873" s="156"/>
      <c r="AG873" s="156"/>
      <c r="AH873" s="156"/>
      <c r="AI873" s="156"/>
      <c r="AJ873" s="156"/>
      <c r="AK873" s="156"/>
      <c r="AL873" s="156"/>
      <c r="AM873" s="156"/>
      <c r="AN873" s="156"/>
      <c r="AO873" s="156"/>
      <c r="AP873" s="156"/>
      <c r="AQ873" s="156"/>
      <c r="AR873" s="156"/>
      <c r="AS873" s="156"/>
      <c r="AT873" s="156"/>
      <c r="AU873" s="156"/>
      <c r="AV873" s="156"/>
      <c r="AW873" s="156"/>
      <c r="AX873" s="156"/>
      <c r="AY873" s="156"/>
      <c r="AZ873" s="156"/>
      <c r="BA873" s="156"/>
      <c r="BB873" s="156"/>
      <c r="BC873" s="156"/>
      <c r="BD873" s="156"/>
      <c r="BE873" s="156"/>
      <c r="BF873" s="156"/>
      <c r="BG873" s="156"/>
      <c r="BH873" s="156"/>
      <c r="BI873" s="156"/>
      <c r="BJ873" s="156"/>
      <c r="BK873" s="156"/>
      <c r="BL873" s="156"/>
      <c r="BM873" s="156"/>
      <c r="BN873" s="156"/>
      <c r="BO873" s="156"/>
      <c r="BP873" s="156"/>
      <c r="BQ873" s="156"/>
      <c r="BR873" s="156"/>
      <c r="BS873" s="156"/>
      <c r="BT873" s="156"/>
      <c r="BU873" s="156"/>
      <c r="BV873" s="156"/>
      <c r="BW873" s="156"/>
      <c r="BX873" s="156"/>
      <c r="BY873" s="156"/>
      <c r="BZ873" s="156"/>
      <c r="CA873" s="156"/>
      <c r="CB873" s="156"/>
      <c r="CC873" s="156"/>
      <c r="CD873" s="156"/>
      <c r="CE873" s="156"/>
      <c r="CF873" s="156"/>
      <c r="CG873" s="156"/>
      <c r="CH873" s="156"/>
      <c r="CI873" s="156"/>
      <c r="CJ873" s="156"/>
      <c r="CK873" s="156"/>
      <c r="CL873" s="156"/>
      <c r="CM873" s="156"/>
      <c r="CN873" s="156"/>
      <c r="CO873" s="156"/>
      <c r="CP873" s="156"/>
      <c r="CQ873" s="156"/>
      <c r="CR873" s="156"/>
      <c r="CS873" s="156"/>
      <c r="CT873" s="156"/>
      <c r="CU873" s="156"/>
      <c r="CV873" s="156"/>
      <c r="CW873" s="156"/>
      <c r="CX873" s="156"/>
      <c r="CY873" s="156"/>
      <c r="CZ873" s="156"/>
      <c r="DA873" s="156"/>
      <c r="DB873" s="156"/>
      <c r="DC873" s="156"/>
      <c r="DD873" s="156"/>
      <c r="DE873" s="156"/>
      <c r="DF873" s="156"/>
      <c r="DG873" s="156"/>
      <c r="DH873" s="156"/>
      <c r="DI873" s="156"/>
      <c r="DJ873" s="156"/>
      <c r="DK873" s="156"/>
      <c r="DL873" s="156"/>
      <c r="DM873" s="156"/>
      <c r="DN873" s="156"/>
      <c r="DO873" s="156"/>
      <c r="DP873" s="156"/>
      <c r="DQ873" s="156"/>
      <c r="DR873" s="156"/>
      <c r="DS873" s="156"/>
      <c r="DT873" s="156"/>
      <c r="DU873" s="156"/>
      <c r="DV873" s="156"/>
      <c r="DW873" s="156"/>
      <c r="DX873" s="156"/>
      <c r="DY873" s="156"/>
      <c r="DZ873" s="156"/>
      <c r="EA873" s="156"/>
      <c r="EB873" s="156"/>
      <c r="EC873" s="156"/>
      <c r="ED873" s="156"/>
      <c r="EE873" s="156"/>
      <c r="EF873" s="156"/>
      <c r="EG873" s="156"/>
      <c r="EH873" s="156"/>
      <c r="EI873" s="156"/>
      <c r="EJ873" s="156"/>
      <c r="EK873" s="156"/>
      <c r="EL873" s="156"/>
      <c r="EM873" s="156"/>
      <c r="EN873" s="156"/>
      <c r="EO873" s="156"/>
      <c r="EP873" s="156"/>
      <c r="EQ873" s="156"/>
      <c r="ER873" s="156"/>
      <c r="ES873" s="156"/>
      <c r="ET873" s="156"/>
      <c r="EU873" s="156"/>
      <c r="EV873" s="156"/>
      <c r="EW873" s="156"/>
      <c r="EX873" s="156"/>
      <c r="EY873" s="156"/>
      <c r="EZ873" s="156"/>
      <c r="FA873" s="156"/>
      <c r="FB873" s="156"/>
      <c r="FC873" s="156"/>
      <c r="FD873" s="156"/>
      <c r="FE873" s="156"/>
      <c r="FF873" s="156"/>
      <c r="FG873" s="156"/>
      <c r="FH873" s="156"/>
      <c r="FI873" s="156"/>
      <c r="FJ873" s="156"/>
      <c r="FK873" s="156"/>
      <c r="FL873" s="156"/>
      <c r="FM873" s="156"/>
      <c r="FN873" s="156"/>
      <c r="FO873" s="156"/>
      <c r="FP873" s="156"/>
      <c r="FQ873" s="156"/>
      <c r="FR873" s="156"/>
      <c r="FS873" s="156"/>
      <c r="FT873" s="156"/>
      <c r="FU873" s="156"/>
      <c r="FV873" s="156"/>
      <c r="FW873" s="156"/>
      <c r="FX873" s="156"/>
      <c r="FY873" s="156"/>
      <c r="FZ873" s="156"/>
      <c r="GA873" s="156"/>
      <c r="GB873" s="156"/>
      <c r="GC873" s="156"/>
      <c r="GD873" s="156"/>
      <c r="GE873" s="156"/>
      <c r="GF873" s="156"/>
      <c r="GG873" s="156"/>
      <c r="GH873" s="156"/>
      <c r="GI873" s="156"/>
      <c r="GJ873" s="156"/>
      <c r="GK873" s="156"/>
      <c r="GL873" s="156"/>
      <c r="GM873" s="156"/>
      <c r="GN873" s="156"/>
      <c r="GO873" s="156"/>
      <c r="GP873" s="156"/>
      <c r="GQ873" s="156"/>
      <c r="GR873" s="156"/>
      <c r="GS873" s="156"/>
      <c r="GT873" s="156"/>
      <c r="GU873" s="156"/>
      <c r="GV873" s="156"/>
      <c r="GW873" s="156"/>
      <c r="GX873" s="156"/>
      <c r="GY873" s="156"/>
      <c r="GZ873" s="156"/>
      <c r="HA873" s="156"/>
      <c r="HB873" s="156"/>
      <c r="HC873" s="156"/>
      <c r="HD873" s="156"/>
      <c r="HE873" s="156"/>
      <c r="HF873" s="156"/>
      <c r="HG873" s="156"/>
      <c r="HH873" s="156"/>
      <c r="HI873" s="156"/>
      <c r="HJ873" s="156"/>
      <c r="HK873" s="156"/>
      <c r="HL873" s="156"/>
      <c r="HM873" s="156"/>
      <c r="HN873" s="156"/>
      <c r="HO873" s="156"/>
      <c r="HP873" s="156"/>
      <c r="HQ873" s="156"/>
      <c r="HR873" s="156"/>
      <c r="HS873" s="156"/>
      <c r="HT873" s="156"/>
      <c r="HU873" s="156"/>
      <c r="HV873" s="156"/>
      <c r="HW873" s="156"/>
      <c r="HX873" s="156"/>
      <c r="HY873" s="156"/>
      <c r="HZ873" s="156"/>
      <c r="IA873" s="156"/>
      <c r="IB873" s="156"/>
      <c r="IC873" s="156"/>
      <c r="ID873" s="156"/>
      <c r="IE873" s="156"/>
      <c r="IF873" s="156"/>
      <c r="IG873" s="156"/>
      <c r="IH873" s="156"/>
      <c r="II873" s="156"/>
      <c r="IJ873" s="156"/>
      <c r="IK873" s="156"/>
      <c r="IL873" s="156"/>
      <c r="IM873" s="156"/>
      <c r="IN873" s="156"/>
      <c r="IO873" s="156"/>
      <c r="IP873" s="156"/>
      <c r="IQ873" s="156"/>
      <c r="IR873" s="156"/>
      <c r="IS873" s="156"/>
      <c r="IT873" s="156"/>
      <c r="IU873" s="156"/>
      <c r="IV873" s="156"/>
      <c r="IW873" s="156"/>
      <c r="IX873" s="156"/>
      <c r="IY873" s="156"/>
      <c r="IZ873" s="156"/>
      <c r="JA873" s="156"/>
      <c r="JB873" s="156"/>
      <c r="JC873" s="156"/>
      <c r="JD873" s="156"/>
      <c r="JE873" s="156"/>
      <c r="JF873" s="156"/>
      <c r="JG873" s="156"/>
      <c r="JH873" s="156"/>
      <c r="JI873" s="156"/>
      <c r="JJ873" s="156"/>
      <c r="JK873" s="156"/>
      <c r="JL873" s="156"/>
      <c r="JM873" s="156"/>
      <c r="JN873" s="156"/>
      <c r="JO873" s="156"/>
      <c r="JP873" s="156"/>
      <c r="JQ873" s="156"/>
      <c r="JR873" s="156"/>
      <c r="JS873" s="156"/>
      <c r="JT873" s="156"/>
      <c r="JU873" s="156"/>
      <c r="JV873" s="156"/>
      <c r="JW873" s="156"/>
      <c r="JX873" s="156"/>
      <c r="JY873" s="156"/>
      <c r="JZ873" s="156"/>
      <c r="KA873" s="156"/>
      <c r="KB873" s="156"/>
      <c r="KC873" s="156"/>
      <c r="KD873" s="156"/>
      <c r="KE873" s="156"/>
    </row>
    <row r="874" spans="1:291" s="136" customFormat="1" ht="35" customHeight="1">
      <c r="A874" s="42">
        <f>ROW()-2</f>
        <v>872</v>
      </c>
      <c r="B874" s="21" t="s">
        <v>2732</v>
      </c>
      <c r="C874" s="21" t="s">
        <v>4345</v>
      </c>
      <c r="D874" s="216" t="s">
        <v>4351</v>
      </c>
      <c r="E874" s="216" t="s">
        <v>4352</v>
      </c>
      <c r="F874" s="216" t="s">
        <v>4353</v>
      </c>
      <c r="G874" s="152" t="s">
        <v>34</v>
      </c>
      <c r="H874" s="21">
        <v>1</v>
      </c>
      <c r="I874" s="225">
        <v>0.43</v>
      </c>
      <c r="J874" s="229">
        <v>44130</v>
      </c>
      <c r="K874" s="236" t="s">
        <v>20</v>
      </c>
      <c r="L874" s="254">
        <v>4.99</v>
      </c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  <c r="AA874" s="156"/>
      <c r="AB874" s="156"/>
      <c r="AC874" s="156"/>
      <c r="AD874" s="156"/>
      <c r="AE874" s="156"/>
      <c r="AF874" s="156"/>
      <c r="AG874" s="156"/>
      <c r="AH874" s="156"/>
      <c r="AI874" s="156"/>
      <c r="AJ874" s="156"/>
      <c r="AK874" s="156"/>
      <c r="AL874" s="156"/>
      <c r="AM874" s="156"/>
      <c r="AN874" s="156"/>
      <c r="AO874" s="156"/>
      <c r="AP874" s="156"/>
      <c r="AQ874" s="156"/>
      <c r="AR874" s="156"/>
      <c r="AS874" s="156"/>
      <c r="AT874" s="156"/>
      <c r="AU874" s="156"/>
      <c r="AV874" s="156"/>
      <c r="AW874" s="156"/>
      <c r="AX874" s="156"/>
      <c r="AY874" s="156"/>
      <c r="AZ874" s="156"/>
      <c r="BA874" s="156"/>
      <c r="BB874" s="156"/>
      <c r="BC874" s="156"/>
      <c r="BD874" s="156"/>
      <c r="BE874" s="156"/>
      <c r="BF874" s="156"/>
      <c r="BG874" s="156"/>
      <c r="BH874" s="156"/>
      <c r="BI874" s="156"/>
      <c r="BJ874" s="156"/>
      <c r="BK874" s="156"/>
      <c r="BL874" s="156"/>
      <c r="BM874" s="156"/>
      <c r="BN874" s="156"/>
      <c r="BO874" s="156"/>
      <c r="BP874" s="156"/>
      <c r="BQ874" s="156"/>
      <c r="BR874" s="156"/>
      <c r="BS874" s="156"/>
      <c r="BT874" s="156"/>
      <c r="BU874" s="156"/>
      <c r="BV874" s="156"/>
      <c r="BW874" s="156"/>
      <c r="BX874" s="156"/>
      <c r="BY874" s="156"/>
      <c r="BZ874" s="156"/>
      <c r="CA874" s="156"/>
      <c r="CB874" s="156"/>
      <c r="CC874" s="156"/>
      <c r="CD874" s="156"/>
      <c r="CE874" s="156"/>
      <c r="CF874" s="156"/>
      <c r="CG874" s="156"/>
      <c r="CH874" s="156"/>
      <c r="CI874" s="156"/>
      <c r="CJ874" s="156"/>
      <c r="CK874" s="156"/>
      <c r="CL874" s="156"/>
      <c r="CM874" s="156"/>
      <c r="CN874" s="156"/>
      <c r="CO874" s="156"/>
      <c r="CP874" s="156"/>
      <c r="CQ874" s="156"/>
      <c r="CR874" s="156"/>
      <c r="CS874" s="156"/>
      <c r="CT874" s="156"/>
      <c r="CU874" s="156"/>
      <c r="CV874" s="156"/>
      <c r="CW874" s="156"/>
      <c r="CX874" s="156"/>
      <c r="CY874" s="156"/>
      <c r="CZ874" s="156"/>
      <c r="DA874" s="156"/>
      <c r="DB874" s="156"/>
      <c r="DC874" s="156"/>
      <c r="DD874" s="156"/>
      <c r="DE874" s="156"/>
      <c r="DF874" s="156"/>
      <c r="DG874" s="156"/>
      <c r="DH874" s="156"/>
      <c r="DI874" s="156"/>
      <c r="DJ874" s="156"/>
      <c r="DK874" s="156"/>
      <c r="DL874" s="156"/>
      <c r="DM874" s="156"/>
      <c r="DN874" s="156"/>
      <c r="DO874" s="156"/>
      <c r="DP874" s="156"/>
      <c r="DQ874" s="156"/>
      <c r="DR874" s="156"/>
      <c r="DS874" s="156"/>
      <c r="DT874" s="156"/>
      <c r="DU874" s="156"/>
      <c r="DV874" s="156"/>
      <c r="DW874" s="156"/>
      <c r="DX874" s="156"/>
      <c r="DY874" s="156"/>
      <c r="DZ874" s="156"/>
      <c r="EA874" s="156"/>
      <c r="EB874" s="156"/>
      <c r="EC874" s="156"/>
      <c r="ED874" s="156"/>
      <c r="EE874" s="156"/>
      <c r="EF874" s="156"/>
      <c r="EG874" s="156"/>
      <c r="EH874" s="156"/>
      <c r="EI874" s="156"/>
      <c r="EJ874" s="156"/>
      <c r="EK874" s="156"/>
      <c r="EL874" s="156"/>
      <c r="EM874" s="156"/>
      <c r="EN874" s="156"/>
      <c r="EO874" s="156"/>
      <c r="EP874" s="156"/>
      <c r="EQ874" s="156"/>
      <c r="ER874" s="156"/>
      <c r="ES874" s="156"/>
      <c r="ET874" s="156"/>
      <c r="EU874" s="156"/>
      <c r="EV874" s="156"/>
      <c r="EW874" s="156"/>
      <c r="EX874" s="156"/>
      <c r="EY874" s="156"/>
      <c r="EZ874" s="156"/>
      <c r="FA874" s="156"/>
      <c r="FB874" s="156"/>
      <c r="FC874" s="156"/>
      <c r="FD874" s="156"/>
      <c r="FE874" s="156"/>
      <c r="FF874" s="156"/>
      <c r="FG874" s="156"/>
      <c r="FH874" s="156"/>
      <c r="FI874" s="156"/>
      <c r="FJ874" s="156"/>
      <c r="FK874" s="156"/>
      <c r="FL874" s="156"/>
      <c r="FM874" s="156"/>
      <c r="FN874" s="156"/>
      <c r="FO874" s="156"/>
      <c r="FP874" s="156"/>
      <c r="FQ874" s="156"/>
      <c r="FR874" s="156"/>
      <c r="FS874" s="156"/>
      <c r="FT874" s="156"/>
      <c r="FU874" s="156"/>
      <c r="FV874" s="156"/>
      <c r="FW874" s="156"/>
      <c r="FX874" s="156"/>
      <c r="FY874" s="156"/>
      <c r="FZ874" s="156"/>
      <c r="GA874" s="156"/>
      <c r="GB874" s="156"/>
      <c r="GC874" s="156"/>
      <c r="GD874" s="156"/>
      <c r="GE874" s="156"/>
      <c r="GF874" s="156"/>
      <c r="GG874" s="156"/>
      <c r="GH874" s="156"/>
      <c r="GI874" s="156"/>
      <c r="GJ874" s="156"/>
      <c r="GK874" s="156"/>
      <c r="GL874" s="156"/>
      <c r="GM874" s="156"/>
      <c r="GN874" s="156"/>
      <c r="GO874" s="156"/>
      <c r="GP874" s="156"/>
      <c r="GQ874" s="156"/>
      <c r="GR874" s="156"/>
      <c r="GS874" s="156"/>
      <c r="GT874" s="156"/>
      <c r="GU874" s="156"/>
      <c r="GV874" s="156"/>
      <c r="GW874" s="156"/>
      <c r="GX874" s="156"/>
      <c r="GY874" s="156"/>
      <c r="GZ874" s="156"/>
      <c r="HA874" s="156"/>
      <c r="HB874" s="156"/>
      <c r="HC874" s="156"/>
      <c r="HD874" s="156"/>
      <c r="HE874" s="156"/>
      <c r="HF874" s="156"/>
      <c r="HG874" s="156"/>
      <c r="HH874" s="156"/>
      <c r="HI874" s="156"/>
      <c r="HJ874" s="156"/>
      <c r="HK874" s="156"/>
      <c r="HL874" s="156"/>
      <c r="HM874" s="156"/>
      <c r="HN874" s="156"/>
      <c r="HO874" s="156"/>
      <c r="HP874" s="156"/>
      <c r="HQ874" s="156"/>
      <c r="HR874" s="156"/>
      <c r="HS874" s="156"/>
      <c r="HT874" s="156"/>
      <c r="HU874" s="156"/>
      <c r="HV874" s="156"/>
      <c r="HW874" s="156"/>
      <c r="HX874" s="156"/>
      <c r="HY874" s="156"/>
      <c r="HZ874" s="156"/>
      <c r="IA874" s="156"/>
      <c r="IB874" s="156"/>
      <c r="IC874" s="156"/>
      <c r="ID874" s="156"/>
      <c r="IE874" s="156"/>
      <c r="IF874" s="156"/>
      <c r="IG874" s="156"/>
      <c r="IH874" s="156"/>
      <c r="II874" s="156"/>
      <c r="IJ874" s="156"/>
      <c r="IK874" s="156"/>
      <c r="IL874" s="156"/>
      <c r="IM874" s="156"/>
      <c r="IN874" s="156"/>
      <c r="IO874" s="156"/>
      <c r="IP874" s="156"/>
      <c r="IQ874" s="156"/>
      <c r="IR874" s="156"/>
      <c r="IS874" s="156"/>
      <c r="IT874" s="156"/>
      <c r="IU874" s="156"/>
      <c r="IV874" s="156"/>
      <c r="IW874" s="156"/>
      <c r="IX874" s="156"/>
      <c r="IY874" s="156"/>
      <c r="IZ874" s="156"/>
      <c r="JA874" s="156"/>
      <c r="JB874" s="156"/>
      <c r="JC874" s="156"/>
      <c r="JD874" s="156"/>
      <c r="JE874" s="156"/>
      <c r="JF874" s="156"/>
      <c r="JG874" s="156"/>
      <c r="JH874" s="156"/>
      <c r="JI874" s="156"/>
      <c r="JJ874" s="156"/>
      <c r="JK874" s="156"/>
      <c r="JL874" s="156"/>
      <c r="JM874" s="156"/>
      <c r="JN874" s="156"/>
      <c r="JO874" s="156"/>
      <c r="JP874" s="156"/>
      <c r="JQ874" s="156"/>
      <c r="JR874" s="156"/>
      <c r="JS874" s="156"/>
      <c r="JT874" s="156"/>
      <c r="JU874" s="156"/>
      <c r="JV874" s="156"/>
      <c r="JW874" s="156"/>
      <c r="JX874" s="156"/>
      <c r="JY874" s="156"/>
      <c r="JZ874" s="156"/>
      <c r="KA874" s="156"/>
      <c r="KB874" s="156"/>
      <c r="KC874" s="156"/>
      <c r="KD874" s="156"/>
      <c r="KE874" s="156"/>
    </row>
    <row r="875" spans="1:291" s="136" customFormat="1" ht="35" customHeight="1">
      <c r="A875" s="42">
        <f>ROW()-2</f>
        <v>873</v>
      </c>
      <c r="B875" s="21" t="s">
        <v>2732</v>
      </c>
      <c r="C875" s="21" t="s">
        <v>4345</v>
      </c>
      <c r="D875" s="216" t="s">
        <v>4354</v>
      </c>
      <c r="E875" s="216" t="s">
        <v>4355</v>
      </c>
      <c r="F875" s="216" t="s">
        <v>2840</v>
      </c>
      <c r="G875" s="152" t="s">
        <v>34</v>
      </c>
      <c r="H875" s="21">
        <v>1</v>
      </c>
      <c r="I875" s="225">
        <v>0.35</v>
      </c>
      <c r="J875" s="229">
        <v>44130</v>
      </c>
      <c r="K875" s="236" t="s">
        <v>20</v>
      </c>
      <c r="L875" s="254">
        <v>4.99</v>
      </c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  <c r="AA875" s="156"/>
      <c r="AB875" s="156"/>
      <c r="AC875" s="156"/>
      <c r="AD875" s="156"/>
      <c r="AE875" s="156"/>
      <c r="AF875" s="156"/>
      <c r="AG875" s="156"/>
      <c r="AH875" s="156"/>
      <c r="AI875" s="156"/>
      <c r="AJ875" s="156"/>
      <c r="AK875" s="156"/>
      <c r="AL875" s="156"/>
      <c r="AM875" s="156"/>
      <c r="AN875" s="156"/>
      <c r="AO875" s="156"/>
      <c r="AP875" s="156"/>
      <c r="AQ875" s="156"/>
      <c r="AR875" s="156"/>
      <c r="AS875" s="156"/>
      <c r="AT875" s="156"/>
      <c r="AU875" s="156"/>
      <c r="AV875" s="156"/>
      <c r="AW875" s="156"/>
      <c r="AX875" s="156"/>
      <c r="AY875" s="156"/>
      <c r="AZ875" s="156"/>
      <c r="BA875" s="156"/>
      <c r="BB875" s="156"/>
      <c r="BC875" s="156"/>
      <c r="BD875" s="156"/>
      <c r="BE875" s="156"/>
      <c r="BF875" s="156"/>
      <c r="BG875" s="156"/>
      <c r="BH875" s="156"/>
      <c r="BI875" s="156"/>
      <c r="BJ875" s="156"/>
      <c r="BK875" s="156"/>
      <c r="BL875" s="156"/>
      <c r="BM875" s="156"/>
      <c r="BN875" s="156"/>
      <c r="BO875" s="156"/>
      <c r="BP875" s="156"/>
      <c r="BQ875" s="156"/>
      <c r="BR875" s="156"/>
      <c r="BS875" s="156"/>
      <c r="BT875" s="156"/>
      <c r="BU875" s="156"/>
      <c r="BV875" s="156"/>
      <c r="BW875" s="156"/>
      <c r="BX875" s="156"/>
      <c r="BY875" s="156"/>
      <c r="BZ875" s="156"/>
      <c r="CA875" s="156"/>
      <c r="CB875" s="156"/>
      <c r="CC875" s="156"/>
      <c r="CD875" s="156"/>
      <c r="CE875" s="156"/>
      <c r="CF875" s="156"/>
      <c r="CG875" s="156"/>
      <c r="CH875" s="156"/>
      <c r="CI875" s="156"/>
      <c r="CJ875" s="156"/>
      <c r="CK875" s="156"/>
      <c r="CL875" s="156"/>
      <c r="CM875" s="156"/>
      <c r="CN875" s="156"/>
      <c r="CO875" s="156"/>
      <c r="CP875" s="156"/>
      <c r="CQ875" s="156"/>
      <c r="CR875" s="156"/>
      <c r="CS875" s="156"/>
      <c r="CT875" s="156"/>
      <c r="CU875" s="156"/>
      <c r="CV875" s="156"/>
      <c r="CW875" s="156"/>
      <c r="CX875" s="156"/>
      <c r="CY875" s="156"/>
      <c r="CZ875" s="156"/>
      <c r="DA875" s="156"/>
      <c r="DB875" s="156"/>
      <c r="DC875" s="156"/>
      <c r="DD875" s="156"/>
      <c r="DE875" s="156"/>
      <c r="DF875" s="156"/>
      <c r="DG875" s="156"/>
      <c r="DH875" s="156"/>
      <c r="DI875" s="156"/>
      <c r="DJ875" s="156"/>
      <c r="DK875" s="156"/>
      <c r="DL875" s="156"/>
      <c r="DM875" s="156"/>
      <c r="DN875" s="156"/>
      <c r="DO875" s="156"/>
      <c r="DP875" s="156"/>
      <c r="DQ875" s="156"/>
      <c r="DR875" s="156"/>
      <c r="DS875" s="156"/>
      <c r="DT875" s="156"/>
      <c r="DU875" s="156"/>
      <c r="DV875" s="156"/>
      <c r="DW875" s="156"/>
      <c r="DX875" s="156"/>
      <c r="DY875" s="156"/>
      <c r="DZ875" s="156"/>
      <c r="EA875" s="156"/>
      <c r="EB875" s="156"/>
      <c r="EC875" s="156"/>
      <c r="ED875" s="156"/>
      <c r="EE875" s="156"/>
      <c r="EF875" s="156"/>
      <c r="EG875" s="156"/>
      <c r="EH875" s="156"/>
      <c r="EI875" s="156"/>
      <c r="EJ875" s="156"/>
      <c r="EK875" s="156"/>
      <c r="EL875" s="156"/>
      <c r="EM875" s="156"/>
      <c r="EN875" s="156"/>
      <c r="EO875" s="156"/>
      <c r="EP875" s="156"/>
      <c r="EQ875" s="156"/>
      <c r="ER875" s="156"/>
      <c r="ES875" s="156"/>
      <c r="ET875" s="156"/>
      <c r="EU875" s="156"/>
      <c r="EV875" s="156"/>
      <c r="EW875" s="156"/>
      <c r="EX875" s="156"/>
      <c r="EY875" s="156"/>
      <c r="EZ875" s="156"/>
      <c r="FA875" s="156"/>
      <c r="FB875" s="156"/>
      <c r="FC875" s="156"/>
      <c r="FD875" s="156"/>
      <c r="FE875" s="156"/>
      <c r="FF875" s="156"/>
      <c r="FG875" s="156"/>
      <c r="FH875" s="156"/>
      <c r="FI875" s="156"/>
      <c r="FJ875" s="156"/>
      <c r="FK875" s="156"/>
      <c r="FL875" s="156"/>
      <c r="FM875" s="156"/>
      <c r="FN875" s="156"/>
      <c r="FO875" s="156"/>
      <c r="FP875" s="156"/>
      <c r="FQ875" s="156"/>
      <c r="FR875" s="156"/>
      <c r="FS875" s="156"/>
      <c r="FT875" s="156"/>
      <c r="FU875" s="156"/>
      <c r="FV875" s="156"/>
      <c r="FW875" s="156"/>
      <c r="FX875" s="156"/>
      <c r="FY875" s="156"/>
      <c r="FZ875" s="156"/>
      <c r="GA875" s="156"/>
      <c r="GB875" s="156"/>
      <c r="GC875" s="156"/>
      <c r="GD875" s="156"/>
      <c r="GE875" s="156"/>
      <c r="GF875" s="156"/>
      <c r="GG875" s="156"/>
      <c r="GH875" s="156"/>
      <c r="GI875" s="156"/>
      <c r="GJ875" s="156"/>
      <c r="GK875" s="156"/>
      <c r="GL875" s="156"/>
      <c r="GM875" s="156"/>
      <c r="GN875" s="156"/>
      <c r="GO875" s="156"/>
      <c r="GP875" s="156"/>
      <c r="GQ875" s="156"/>
      <c r="GR875" s="156"/>
      <c r="GS875" s="156"/>
      <c r="GT875" s="156"/>
      <c r="GU875" s="156"/>
      <c r="GV875" s="156"/>
      <c r="GW875" s="156"/>
      <c r="GX875" s="156"/>
      <c r="GY875" s="156"/>
      <c r="GZ875" s="156"/>
      <c r="HA875" s="156"/>
      <c r="HB875" s="156"/>
      <c r="HC875" s="156"/>
      <c r="HD875" s="156"/>
      <c r="HE875" s="156"/>
      <c r="HF875" s="156"/>
      <c r="HG875" s="156"/>
      <c r="HH875" s="156"/>
      <c r="HI875" s="156"/>
      <c r="HJ875" s="156"/>
      <c r="HK875" s="156"/>
      <c r="HL875" s="156"/>
      <c r="HM875" s="156"/>
      <c r="HN875" s="156"/>
      <c r="HO875" s="156"/>
      <c r="HP875" s="156"/>
      <c r="HQ875" s="156"/>
      <c r="HR875" s="156"/>
      <c r="HS875" s="156"/>
      <c r="HT875" s="156"/>
      <c r="HU875" s="156"/>
      <c r="HV875" s="156"/>
      <c r="HW875" s="156"/>
      <c r="HX875" s="156"/>
      <c r="HY875" s="156"/>
      <c r="HZ875" s="156"/>
      <c r="IA875" s="156"/>
      <c r="IB875" s="156"/>
      <c r="IC875" s="156"/>
      <c r="ID875" s="156"/>
      <c r="IE875" s="156"/>
      <c r="IF875" s="156"/>
      <c r="IG875" s="156"/>
      <c r="IH875" s="156"/>
      <c r="II875" s="156"/>
      <c r="IJ875" s="156"/>
      <c r="IK875" s="156"/>
      <c r="IL875" s="156"/>
      <c r="IM875" s="156"/>
      <c r="IN875" s="156"/>
      <c r="IO875" s="156"/>
      <c r="IP875" s="156"/>
      <c r="IQ875" s="156"/>
      <c r="IR875" s="156"/>
      <c r="IS875" s="156"/>
      <c r="IT875" s="156"/>
      <c r="IU875" s="156"/>
      <c r="IV875" s="156"/>
      <c r="IW875" s="156"/>
      <c r="IX875" s="156"/>
      <c r="IY875" s="156"/>
      <c r="IZ875" s="156"/>
      <c r="JA875" s="156"/>
      <c r="JB875" s="156"/>
      <c r="JC875" s="156"/>
      <c r="JD875" s="156"/>
      <c r="JE875" s="156"/>
      <c r="JF875" s="156"/>
      <c r="JG875" s="156"/>
      <c r="JH875" s="156"/>
      <c r="JI875" s="156"/>
      <c r="JJ875" s="156"/>
      <c r="JK875" s="156"/>
      <c r="JL875" s="156"/>
      <c r="JM875" s="156"/>
      <c r="JN875" s="156"/>
      <c r="JO875" s="156"/>
      <c r="JP875" s="156"/>
      <c r="JQ875" s="156"/>
      <c r="JR875" s="156"/>
      <c r="JS875" s="156"/>
      <c r="JT875" s="156"/>
      <c r="JU875" s="156"/>
      <c r="JV875" s="156"/>
      <c r="JW875" s="156"/>
      <c r="JX875" s="156"/>
      <c r="JY875" s="156"/>
      <c r="JZ875" s="156"/>
      <c r="KA875" s="156"/>
      <c r="KB875" s="156"/>
      <c r="KC875" s="156"/>
      <c r="KD875" s="156"/>
      <c r="KE875" s="156"/>
    </row>
    <row r="876" spans="1:291" ht="35" customHeight="1">
      <c r="A876" s="42">
        <f>ROW()-2</f>
        <v>874</v>
      </c>
      <c r="B876" s="21" t="s">
        <v>2732</v>
      </c>
      <c r="C876" s="21" t="s">
        <v>4345</v>
      </c>
      <c r="D876" s="216" t="s">
        <v>4356</v>
      </c>
      <c r="E876" s="216" t="s">
        <v>4357</v>
      </c>
      <c r="F876" s="216" t="s">
        <v>4014</v>
      </c>
      <c r="G876" s="152" t="s">
        <v>34</v>
      </c>
      <c r="H876" s="21">
        <v>1</v>
      </c>
      <c r="I876" s="225">
        <v>0.36</v>
      </c>
      <c r="J876" s="229">
        <v>44130</v>
      </c>
      <c r="K876" s="236" t="s">
        <v>20</v>
      </c>
      <c r="L876" s="254">
        <v>4.99</v>
      </c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  <c r="AA876" s="156"/>
      <c r="AB876" s="156"/>
      <c r="AC876" s="156"/>
      <c r="AD876" s="156"/>
      <c r="AE876" s="156"/>
      <c r="AF876" s="156"/>
      <c r="AG876" s="156"/>
      <c r="AH876" s="156"/>
      <c r="AI876" s="156"/>
      <c r="AJ876" s="156"/>
      <c r="AK876" s="156"/>
      <c r="AL876" s="156"/>
      <c r="AM876" s="156"/>
      <c r="AN876" s="156"/>
      <c r="AO876" s="156"/>
      <c r="AP876" s="156"/>
      <c r="AQ876" s="156"/>
      <c r="AR876" s="156"/>
      <c r="AS876" s="156"/>
      <c r="AT876" s="156"/>
      <c r="AU876" s="156"/>
      <c r="AV876" s="156"/>
      <c r="AW876" s="156"/>
      <c r="AX876" s="156"/>
      <c r="AY876" s="156"/>
      <c r="AZ876" s="156"/>
      <c r="BA876" s="156"/>
      <c r="BB876" s="156"/>
      <c r="BC876" s="156"/>
      <c r="BD876" s="156"/>
      <c r="BE876" s="156"/>
      <c r="BF876" s="156"/>
      <c r="BG876" s="156"/>
      <c r="BH876" s="156"/>
      <c r="BI876" s="156"/>
      <c r="BJ876" s="156"/>
      <c r="BK876" s="156"/>
      <c r="BL876" s="156"/>
      <c r="BM876" s="156"/>
      <c r="BN876" s="156"/>
      <c r="BO876" s="156"/>
      <c r="BP876" s="156"/>
      <c r="BQ876" s="156"/>
      <c r="BR876" s="156"/>
      <c r="BS876" s="156"/>
      <c r="BT876" s="156"/>
      <c r="BU876" s="156"/>
      <c r="BV876" s="156"/>
      <c r="BW876" s="156"/>
      <c r="BX876" s="156"/>
      <c r="BY876" s="156"/>
      <c r="BZ876" s="156"/>
      <c r="CA876" s="156"/>
      <c r="CB876" s="156"/>
      <c r="CC876" s="156"/>
      <c r="CD876" s="156"/>
      <c r="CE876" s="156"/>
      <c r="CF876" s="156"/>
      <c r="CG876" s="156"/>
      <c r="CH876" s="156"/>
      <c r="CI876" s="156"/>
      <c r="CJ876" s="156"/>
      <c r="CK876" s="156"/>
      <c r="CL876" s="156"/>
      <c r="CM876" s="156"/>
      <c r="CN876" s="156"/>
      <c r="CO876" s="156"/>
      <c r="CP876" s="156"/>
      <c r="CQ876" s="156"/>
      <c r="CR876" s="156"/>
      <c r="CS876" s="156"/>
      <c r="CT876" s="156"/>
      <c r="CU876" s="156"/>
      <c r="CV876" s="156"/>
      <c r="CW876" s="156"/>
      <c r="CX876" s="156"/>
      <c r="CY876" s="156"/>
      <c r="CZ876" s="156"/>
      <c r="DA876" s="156"/>
      <c r="DB876" s="156"/>
      <c r="DC876" s="156"/>
      <c r="DD876" s="156"/>
      <c r="DE876" s="156"/>
      <c r="DF876" s="156"/>
      <c r="DG876" s="156"/>
      <c r="DH876" s="156"/>
      <c r="DI876" s="156"/>
      <c r="DJ876" s="156"/>
      <c r="DK876" s="156"/>
      <c r="DL876" s="156"/>
      <c r="DM876" s="156"/>
      <c r="DN876" s="156"/>
      <c r="DO876" s="156"/>
      <c r="DP876" s="156"/>
      <c r="DQ876" s="156"/>
      <c r="DR876" s="156"/>
      <c r="DS876" s="156"/>
      <c r="DT876" s="156"/>
      <c r="DU876" s="156"/>
      <c r="DV876" s="156"/>
      <c r="DW876" s="156"/>
      <c r="DX876" s="156"/>
      <c r="DY876" s="156"/>
      <c r="DZ876" s="156"/>
      <c r="EA876" s="156"/>
      <c r="EB876" s="156"/>
      <c r="EC876" s="156"/>
      <c r="ED876" s="156"/>
      <c r="EE876" s="156"/>
      <c r="EF876" s="156"/>
      <c r="EG876" s="156"/>
      <c r="EH876" s="156"/>
      <c r="EI876" s="156"/>
      <c r="EJ876" s="156"/>
      <c r="EK876" s="156"/>
      <c r="EL876" s="156"/>
      <c r="EM876" s="156"/>
      <c r="EN876" s="156"/>
      <c r="EO876" s="156"/>
      <c r="EP876" s="156"/>
      <c r="EQ876" s="156"/>
      <c r="ER876" s="156"/>
      <c r="ES876" s="156"/>
      <c r="ET876" s="156"/>
      <c r="EU876" s="156"/>
      <c r="EV876" s="156"/>
      <c r="EW876" s="156"/>
      <c r="EX876" s="156"/>
      <c r="EY876" s="156"/>
      <c r="EZ876" s="156"/>
      <c r="FA876" s="156"/>
      <c r="FB876" s="156"/>
      <c r="FC876" s="156"/>
      <c r="FD876" s="156"/>
      <c r="FE876" s="156"/>
      <c r="FF876" s="156"/>
      <c r="FG876" s="156"/>
      <c r="FH876" s="156"/>
      <c r="FI876" s="156"/>
      <c r="FJ876" s="156"/>
      <c r="FK876" s="156"/>
      <c r="FL876" s="156"/>
      <c r="FM876" s="156"/>
      <c r="FN876" s="156"/>
      <c r="FO876" s="156"/>
      <c r="FP876" s="156"/>
      <c r="FQ876" s="156"/>
      <c r="FR876" s="156"/>
      <c r="FS876" s="156"/>
      <c r="FT876" s="156"/>
      <c r="FU876" s="156"/>
      <c r="FV876" s="156"/>
      <c r="FW876" s="156"/>
      <c r="FX876" s="156"/>
      <c r="FY876" s="156"/>
      <c r="FZ876" s="156"/>
      <c r="GA876" s="156"/>
      <c r="GB876" s="156"/>
      <c r="GC876" s="156"/>
      <c r="GD876" s="156"/>
      <c r="GE876" s="156"/>
      <c r="GF876" s="156"/>
      <c r="GG876" s="156"/>
      <c r="GH876" s="156"/>
      <c r="GI876" s="156"/>
      <c r="GJ876" s="156"/>
      <c r="GK876" s="156"/>
      <c r="GL876" s="156"/>
      <c r="GM876" s="156"/>
      <c r="GN876" s="156"/>
      <c r="GO876" s="156"/>
      <c r="GP876" s="156"/>
      <c r="GQ876" s="156"/>
      <c r="GR876" s="156"/>
      <c r="GS876" s="156"/>
      <c r="GT876" s="156"/>
      <c r="GU876" s="156"/>
      <c r="GV876" s="156"/>
      <c r="GW876" s="156"/>
      <c r="GX876" s="156"/>
      <c r="GY876" s="156"/>
      <c r="GZ876" s="156"/>
      <c r="HA876" s="156"/>
      <c r="HB876" s="156"/>
      <c r="HC876" s="156"/>
      <c r="HD876" s="156"/>
      <c r="HE876" s="156"/>
      <c r="HF876" s="156"/>
      <c r="HG876" s="156"/>
      <c r="HH876" s="156"/>
      <c r="HI876" s="156"/>
      <c r="HJ876" s="156"/>
      <c r="HK876" s="156"/>
      <c r="HL876" s="156"/>
      <c r="HM876" s="156"/>
      <c r="HN876" s="156"/>
      <c r="HO876" s="156"/>
      <c r="HP876" s="156"/>
      <c r="HQ876" s="156"/>
      <c r="HR876" s="156"/>
      <c r="HS876" s="156"/>
      <c r="HT876" s="156"/>
      <c r="HU876" s="156"/>
      <c r="HV876" s="156"/>
      <c r="HW876" s="156"/>
      <c r="HX876" s="156"/>
      <c r="HY876" s="156"/>
      <c r="HZ876" s="156"/>
      <c r="IA876" s="156"/>
      <c r="IB876" s="156"/>
      <c r="IC876" s="156"/>
      <c r="ID876" s="156"/>
      <c r="IE876" s="156"/>
      <c r="IF876" s="156"/>
      <c r="IG876" s="156"/>
      <c r="IH876" s="156"/>
      <c r="II876" s="156"/>
      <c r="IJ876" s="156"/>
      <c r="IK876" s="156"/>
      <c r="IL876" s="156"/>
      <c r="IM876" s="156"/>
      <c r="IN876" s="156"/>
      <c r="IO876" s="156"/>
      <c r="IP876" s="156"/>
      <c r="IQ876" s="156"/>
      <c r="IR876" s="156"/>
      <c r="IS876" s="156"/>
      <c r="IT876" s="156"/>
      <c r="IU876" s="156"/>
      <c r="IV876" s="156"/>
      <c r="IW876" s="156"/>
      <c r="IX876" s="156"/>
      <c r="IY876" s="156"/>
      <c r="IZ876" s="156"/>
      <c r="JA876" s="156"/>
      <c r="JB876" s="156"/>
      <c r="JC876" s="156"/>
      <c r="JD876" s="156"/>
      <c r="JE876" s="156"/>
      <c r="JF876" s="156"/>
      <c r="JG876" s="156"/>
      <c r="JH876" s="156"/>
      <c r="JI876" s="156"/>
      <c r="JJ876" s="156"/>
      <c r="JK876" s="156"/>
      <c r="JL876" s="156"/>
      <c r="JM876" s="156"/>
      <c r="JN876" s="156"/>
      <c r="JO876" s="156"/>
      <c r="JP876" s="156"/>
      <c r="JQ876" s="156"/>
      <c r="JR876" s="156"/>
      <c r="JS876" s="156"/>
      <c r="JT876" s="156"/>
      <c r="JU876" s="156"/>
      <c r="JV876" s="156"/>
      <c r="JW876" s="156"/>
      <c r="JX876" s="156"/>
      <c r="JY876" s="156"/>
      <c r="JZ876" s="156"/>
      <c r="KA876" s="156"/>
      <c r="KB876" s="156"/>
      <c r="KC876" s="156"/>
      <c r="KD876" s="156"/>
      <c r="KE876" s="156"/>
    </row>
    <row r="877" spans="1:291" ht="35" customHeight="1">
      <c r="A877" s="42">
        <f>ROW()-2</f>
        <v>875</v>
      </c>
      <c r="B877" s="21" t="s">
        <v>2732</v>
      </c>
      <c r="C877" s="21" t="s">
        <v>4345</v>
      </c>
      <c r="D877" s="216" t="s">
        <v>4358</v>
      </c>
      <c r="E877" s="216" t="s">
        <v>4359</v>
      </c>
      <c r="F877" s="216" t="s">
        <v>4360</v>
      </c>
      <c r="G877" s="152" t="s">
        <v>34</v>
      </c>
      <c r="H877" s="21">
        <v>1</v>
      </c>
      <c r="I877" s="225">
        <v>0.23</v>
      </c>
      <c r="J877" s="229">
        <v>44130</v>
      </c>
      <c r="K877" s="236" t="s">
        <v>20</v>
      </c>
      <c r="L877" s="254">
        <v>4.99</v>
      </c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  <c r="AA877" s="156"/>
      <c r="AB877" s="156"/>
      <c r="AC877" s="156"/>
      <c r="AD877" s="156"/>
      <c r="AE877" s="156"/>
      <c r="AF877" s="156"/>
      <c r="AG877" s="156"/>
      <c r="AH877" s="156"/>
      <c r="AI877" s="156"/>
      <c r="AJ877" s="156"/>
      <c r="AK877" s="156"/>
      <c r="AL877" s="156"/>
      <c r="AM877" s="156"/>
      <c r="AN877" s="156"/>
      <c r="AO877" s="156"/>
      <c r="AP877" s="156"/>
      <c r="AQ877" s="156"/>
      <c r="AR877" s="156"/>
      <c r="AS877" s="156"/>
      <c r="AT877" s="156"/>
      <c r="AU877" s="156"/>
      <c r="AV877" s="156"/>
      <c r="AW877" s="156"/>
      <c r="AX877" s="156"/>
      <c r="AY877" s="156"/>
      <c r="AZ877" s="156"/>
      <c r="BA877" s="156"/>
      <c r="BB877" s="156"/>
      <c r="BC877" s="156"/>
      <c r="BD877" s="156"/>
      <c r="BE877" s="156"/>
      <c r="BF877" s="156"/>
      <c r="BG877" s="156"/>
      <c r="BH877" s="156"/>
      <c r="BI877" s="156"/>
      <c r="BJ877" s="156"/>
      <c r="BK877" s="156"/>
      <c r="BL877" s="156"/>
      <c r="BM877" s="156"/>
      <c r="BN877" s="156"/>
      <c r="BO877" s="156"/>
      <c r="BP877" s="156"/>
      <c r="BQ877" s="156"/>
      <c r="BR877" s="156"/>
      <c r="BS877" s="156"/>
      <c r="BT877" s="156"/>
      <c r="BU877" s="156"/>
      <c r="BV877" s="156"/>
      <c r="BW877" s="156"/>
      <c r="BX877" s="156"/>
      <c r="BY877" s="156"/>
      <c r="BZ877" s="156"/>
      <c r="CA877" s="156"/>
      <c r="CB877" s="156"/>
      <c r="CC877" s="156"/>
      <c r="CD877" s="156"/>
      <c r="CE877" s="156"/>
      <c r="CF877" s="156"/>
      <c r="CG877" s="156"/>
      <c r="CH877" s="156"/>
      <c r="CI877" s="156"/>
      <c r="CJ877" s="156"/>
      <c r="CK877" s="156"/>
      <c r="CL877" s="156"/>
      <c r="CM877" s="156"/>
      <c r="CN877" s="156"/>
      <c r="CO877" s="156"/>
      <c r="CP877" s="156"/>
      <c r="CQ877" s="156"/>
      <c r="CR877" s="156"/>
      <c r="CS877" s="156"/>
      <c r="CT877" s="156"/>
      <c r="CU877" s="156"/>
      <c r="CV877" s="156"/>
      <c r="CW877" s="156"/>
      <c r="CX877" s="156"/>
      <c r="CY877" s="156"/>
      <c r="CZ877" s="156"/>
      <c r="DA877" s="156"/>
      <c r="DB877" s="156"/>
      <c r="DC877" s="156"/>
      <c r="DD877" s="156"/>
      <c r="DE877" s="156"/>
      <c r="DF877" s="156"/>
      <c r="DG877" s="156"/>
      <c r="DH877" s="156"/>
      <c r="DI877" s="156"/>
      <c r="DJ877" s="156"/>
      <c r="DK877" s="156"/>
      <c r="DL877" s="156"/>
      <c r="DM877" s="156"/>
      <c r="DN877" s="156"/>
      <c r="DO877" s="156"/>
      <c r="DP877" s="156"/>
      <c r="DQ877" s="156"/>
      <c r="DR877" s="156"/>
      <c r="DS877" s="156"/>
      <c r="DT877" s="156"/>
      <c r="DU877" s="156"/>
      <c r="DV877" s="156"/>
      <c r="DW877" s="156"/>
      <c r="DX877" s="156"/>
      <c r="DY877" s="156"/>
      <c r="DZ877" s="156"/>
      <c r="EA877" s="156"/>
      <c r="EB877" s="156"/>
      <c r="EC877" s="156"/>
      <c r="ED877" s="156"/>
      <c r="EE877" s="156"/>
      <c r="EF877" s="156"/>
      <c r="EG877" s="156"/>
      <c r="EH877" s="156"/>
      <c r="EI877" s="156"/>
      <c r="EJ877" s="156"/>
      <c r="EK877" s="156"/>
      <c r="EL877" s="156"/>
      <c r="EM877" s="156"/>
      <c r="EN877" s="156"/>
      <c r="EO877" s="156"/>
      <c r="EP877" s="156"/>
      <c r="EQ877" s="156"/>
      <c r="ER877" s="156"/>
      <c r="ES877" s="156"/>
      <c r="ET877" s="156"/>
      <c r="EU877" s="156"/>
      <c r="EV877" s="156"/>
      <c r="EW877" s="156"/>
      <c r="EX877" s="156"/>
      <c r="EY877" s="156"/>
      <c r="EZ877" s="156"/>
      <c r="FA877" s="156"/>
      <c r="FB877" s="156"/>
      <c r="FC877" s="156"/>
      <c r="FD877" s="156"/>
      <c r="FE877" s="156"/>
      <c r="FF877" s="156"/>
      <c r="FG877" s="156"/>
      <c r="FH877" s="156"/>
      <c r="FI877" s="156"/>
      <c r="FJ877" s="156"/>
      <c r="FK877" s="156"/>
      <c r="FL877" s="156"/>
      <c r="FM877" s="156"/>
      <c r="FN877" s="156"/>
      <c r="FO877" s="156"/>
      <c r="FP877" s="156"/>
      <c r="FQ877" s="156"/>
      <c r="FR877" s="156"/>
      <c r="FS877" s="156"/>
      <c r="FT877" s="156"/>
      <c r="FU877" s="156"/>
      <c r="FV877" s="156"/>
      <c r="FW877" s="156"/>
      <c r="FX877" s="156"/>
      <c r="FY877" s="156"/>
      <c r="FZ877" s="156"/>
      <c r="GA877" s="156"/>
      <c r="GB877" s="156"/>
      <c r="GC877" s="156"/>
      <c r="GD877" s="156"/>
      <c r="GE877" s="156"/>
      <c r="GF877" s="156"/>
      <c r="GG877" s="156"/>
      <c r="GH877" s="156"/>
      <c r="GI877" s="156"/>
      <c r="GJ877" s="156"/>
      <c r="GK877" s="156"/>
      <c r="GL877" s="156"/>
      <c r="GM877" s="156"/>
      <c r="GN877" s="156"/>
      <c r="GO877" s="156"/>
      <c r="GP877" s="156"/>
      <c r="GQ877" s="156"/>
      <c r="GR877" s="156"/>
      <c r="GS877" s="156"/>
      <c r="GT877" s="156"/>
      <c r="GU877" s="156"/>
      <c r="GV877" s="156"/>
      <c r="GW877" s="156"/>
      <c r="GX877" s="156"/>
      <c r="GY877" s="156"/>
      <c r="GZ877" s="156"/>
      <c r="HA877" s="156"/>
      <c r="HB877" s="156"/>
      <c r="HC877" s="156"/>
      <c r="HD877" s="156"/>
      <c r="HE877" s="156"/>
      <c r="HF877" s="156"/>
      <c r="HG877" s="156"/>
      <c r="HH877" s="156"/>
      <c r="HI877" s="156"/>
      <c r="HJ877" s="156"/>
      <c r="HK877" s="156"/>
      <c r="HL877" s="156"/>
      <c r="HM877" s="156"/>
      <c r="HN877" s="156"/>
      <c r="HO877" s="156"/>
      <c r="HP877" s="156"/>
      <c r="HQ877" s="156"/>
      <c r="HR877" s="156"/>
      <c r="HS877" s="156"/>
      <c r="HT877" s="156"/>
      <c r="HU877" s="156"/>
      <c r="HV877" s="156"/>
      <c r="HW877" s="156"/>
      <c r="HX877" s="156"/>
      <c r="HY877" s="156"/>
      <c r="HZ877" s="156"/>
      <c r="IA877" s="156"/>
      <c r="IB877" s="156"/>
      <c r="IC877" s="156"/>
      <c r="ID877" s="156"/>
      <c r="IE877" s="156"/>
      <c r="IF877" s="156"/>
      <c r="IG877" s="156"/>
      <c r="IH877" s="156"/>
      <c r="II877" s="156"/>
      <c r="IJ877" s="156"/>
      <c r="IK877" s="156"/>
      <c r="IL877" s="156"/>
      <c r="IM877" s="156"/>
      <c r="IN877" s="156"/>
      <c r="IO877" s="156"/>
      <c r="IP877" s="156"/>
      <c r="IQ877" s="156"/>
      <c r="IR877" s="156"/>
      <c r="IS877" s="156"/>
      <c r="IT877" s="156"/>
      <c r="IU877" s="156"/>
      <c r="IV877" s="156"/>
      <c r="IW877" s="156"/>
      <c r="IX877" s="156"/>
      <c r="IY877" s="156"/>
      <c r="IZ877" s="156"/>
      <c r="JA877" s="156"/>
      <c r="JB877" s="156"/>
      <c r="JC877" s="156"/>
      <c r="JD877" s="156"/>
      <c r="JE877" s="156"/>
      <c r="JF877" s="156"/>
      <c r="JG877" s="156"/>
      <c r="JH877" s="156"/>
      <c r="JI877" s="156"/>
      <c r="JJ877" s="156"/>
      <c r="JK877" s="156"/>
      <c r="JL877" s="156"/>
      <c r="JM877" s="156"/>
      <c r="JN877" s="156"/>
      <c r="JO877" s="156"/>
      <c r="JP877" s="156"/>
      <c r="JQ877" s="156"/>
      <c r="JR877" s="156"/>
      <c r="JS877" s="156"/>
      <c r="JT877" s="156"/>
      <c r="JU877" s="156"/>
      <c r="JV877" s="156"/>
      <c r="JW877" s="156"/>
      <c r="JX877" s="156"/>
      <c r="JY877" s="156"/>
      <c r="JZ877" s="156"/>
      <c r="KA877" s="156"/>
      <c r="KB877" s="156"/>
      <c r="KC877" s="156"/>
      <c r="KD877" s="156"/>
      <c r="KE877" s="156"/>
    </row>
    <row r="878" spans="1:291" s="136" customFormat="1" ht="35" customHeight="1">
      <c r="A878" s="42">
        <f>ROW()-2</f>
        <v>876</v>
      </c>
      <c r="B878" s="21" t="s">
        <v>2732</v>
      </c>
      <c r="C878" s="21" t="s">
        <v>4345</v>
      </c>
      <c r="D878" s="216" t="s">
        <v>4361</v>
      </c>
      <c r="E878" s="216" t="s">
        <v>4359</v>
      </c>
      <c r="F878" s="216" t="s">
        <v>4360</v>
      </c>
      <c r="G878" s="152" t="s">
        <v>34</v>
      </c>
      <c r="H878" s="21">
        <v>1</v>
      </c>
      <c r="I878" s="225">
        <v>0.23</v>
      </c>
      <c r="J878" s="229">
        <v>44130</v>
      </c>
      <c r="K878" s="236" t="s">
        <v>20</v>
      </c>
      <c r="L878" s="254">
        <v>4.99</v>
      </c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  <c r="AA878" s="156"/>
      <c r="AB878" s="156"/>
      <c r="AC878" s="156"/>
      <c r="AD878" s="156"/>
      <c r="AE878" s="156"/>
      <c r="AF878" s="156"/>
      <c r="AG878" s="156"/>
      <c r="AH878" s="156"/>
      <c r="AI878" s="156"/>
      <c r="AJ878" s="156"/>
      <c r="AK878" s="156"/>
      <c r="AL878" s="156"/>
      <c r="AM878" s="156"/>
      <c r="AN878" s="156"/>
      <c r="AO878" s="156"/>
      <c r="AP878" s="156"/>
      <c r="AQ878" s="156"/>
      <c r="AR878" s="156"/>
      <c r="AS878" s="156"/>
      <c r="AT878" s="156"/>
      <c r="AU878" s="156"/>
      <c r="AV878" s="156"/>
      <c r="AW878" s="156"/>
      <c r="AX878" s="156"/>
      <c r="AY878" s="156"/>
      <c r="AZ878" s="156"/>
      <c r="BA878" s="156"/>
      <c r="BB878" s="156"/>
      <c r="BC878" s="156"/>
      <c r="BD878" s="156"/>
      <c r="BE878" s="156"/>
      <c r="BF878" s="156"/>
      <c r="BG878" s="156"/>
      <c r="BH878" s="156"/>
      <c r="BI878" s="156"/>
      <c r="BJ878" s="156"/>
      <c r="BK878" s="156"/>
      <c r="BL878" s="156"/>
      <c r="BM878" s="156"/>
      <c r="BN878" s="156"/>
      <c r="BO878" s="156"/>
      <c r="BP878" s="156"/>
      <c r="BQ878" s="156"/>
      <c r="BR878" s="156"/>
      <c r="BS878" s="156"/>
      <c r="BT878" s="156"/>
      <c r="BU878" s="156"/>
      <c r="BV878" s="156"/>
      <c r="BW878" s="156"/>
      <c r="BX878" s="156"/>
      <c r="BY878" s="156"/>
      <c r="BZ878" s="156"/>
      <c r="CA878" s="156"/>
      <c r="CB878" s="156"/>
      <c r="CC878" s="156"/>
      <c r="CD878" s="156"/>
      <c r="CE878" s="156"/>
      <c r="CF878" s="156"/>
      <c r="CG878" s="156"/>
      <c r="CH878" s="156"/>
      <c r="CI878" s="156"/>
      <c r="CJ878" s="156"/>
      <c r="CK878" s="156"/>
      <c r="CL878" s="156"/>
      <c r="CM878" s="156"/>
      <c r="CN878" s="156"/>
      <c r="CO878" s="156"/>
      <c r="CP878" s="156"/>
      <c r="CQ878" s="156"/>
      <c r="CR878" s="156"/>
      <c r="CS878" s="156"/>
      <c r="CT878" s="156"/>
      <c r="CU878" s="156"/>
      <c r="CV878" s="156"/>
      <c r="CW878" s="156"/>
      <c r="CX878" s="156"/>
      <c r="CY878" s="156"/>
      <c r="CZ878" s="156"/>
      <c r="DA878" s="156"/>
      <c r="DB878" s="156"/>
      <c r="DC878" s="156"/>
      <c r="DD878" s="156"/>
      <c r="DE878" s="156"/>
      <c r="DF878" s="156"/>
      <c r="DG878" s="156"/>
      <c r="DH878" s="156"/>
      <c r="DI878" s="156"/>
      <c r="DJ878" s="156"/>
      <c r="DK878" s="156"/>
      <c r="DL878" s="156"/>
      <c r="DM878" s="156"/>
      <c r="DN878" s="156"/>
      <c r="DO878" s="156"/>
      <c r="DP878" s="156"/>
      <c r="DQ878" s="156"/>
      <c r="DR878" s="156"/>
      <c r="DS878" s="156"/>
      <c r="DT878" s="156"/>
      <c r="DU878" s="156"/>
      <c r="DV878" s="156"/>
      <c r="DW878" s="156"/>
      <c r="DX878" s="156"/>
      <c r="DY878" s="156"/>
      <c r="DZ878" s="156"/>
      <c r="EA878" s="156"/>
      <c r="EB878" s="156"/>
      <c r="EC878" s="156"/>
      <c r="ED878" s="156"/>
      <c r="EE878" s="156"/>
      <c r="EF878" s="156"/>
      <c r="EG878" s="156"/>
      <c r="EH878" s="156"/>
      <c r="EI878" s="156"/>
      <c r="EJ878" s="156"/>
      <c r="EK878" s="156"/>
      <c r="EL878" s="156"/>
      <c r="EM878" s="156"/>
      <c r="EN878" s="156"/>
      <c r="EO878" s="156"/>
      <c r="EP878" s="156"/>
      <c r="EQ878" s="156"/>
      <c r="ER878" s="156"/>
      <c r="ES878" s="156"/>
      <c r="ET878" s="156"/>
      <c r="EU878" s="156"/>
      <c r="EV878" s="156"/>
      <c r="EW878" s="156"/>
      <c r="EX878" s="156"/>
      <c r="EY878" s="156"/>
      <c r="EZ878" s="156"/>
      <c r="FA878" s="156"/>
      <c r="FB878" s="156"/>
      <c r="FC878" s="156"/>
      <c r="FD878" s="156"/>
      <c r="FE878" s="156"/>
      <c r="FF878" s="156"/>
      <c r="FG878" s="156"/>
      <c r="FH878" s="156"/>
      <c r="FI878" s="156"/>
      <c r="FJ878" s="156"/>
      <c r="FK878" s="156"/>
      <c r="FL878" s="156"/>
      <c r="FM878" s="156"/>
      <c r="FN878" s="156"/>
      <c r="FO878" s="156"/>
      <c r="FP878" s="156"/>
      <c r="FQ878" s="156"/>
      <c r="FR878" s="156"/>
      <c r="FS878" s="156"/>
      <c r="FT878" s="156"/>
      <c r="FU878" s="156"/>
      <c r="FV878" s="156"/>
      <c r="FW878" s="156"/>
      <c r="FX878" s="156"/>
      <c r="FY878" s="156"/>
      <c r="FZ878" s="156"/>
      <c r="GA878" s="156"/>
      <c r="GB878" s="156"/>
      <c r="GC878" s="156"/>
      <c r="GD878" s="156"/>
      <c r="GE878" s="156"/>
      <c r="GF878" s="156"/>
      <c r="GG878" s="156"/>
      <c r="GH878" s="156"/>
      <c r="GI878" s="156"/>
      <c r="GJ878" s="156"/>
      <c r="GK878" s="156"/>
      <c r="GL878" s="156"/>
      <c r="GM878" s="156"/>
      <c r="GN878" s="156"/>
      <c r="GO878" s="156"/>
      <c r="GP878" s="156"/>
      <c r="GQ878" s="156"/>
      <c r="GR878" s="156"/>
      <c r="GS878" s="156"/>
      <c r="GT878" s="156"/>
      <c r="GU878" s="156"/>
      <c r="GV878" s="156"/>
      <c r="GW878" s="156"/>
      <c r="GX878" s="156"/>
      <c r="GY878" s="156"/>
      <c r="GZ878" s="156"/>
      <c r="HA878" s="156"/>
      <c r="HB878" s="156"/>
      <c r="HC878" s="156"/>
      <c r="HD878" s="156"/>
      <c r="HE878" s="156"/>
      <c r="HF878" s="156"/>
      <c r="HG878" s="156"/>
      <c r="HH878" s="156"/>
      <c r="HI878" s="156"/>
      <c r="HJ878" s="156"/>
      <c r="HK878" s="156"/>
      <c r="HL878" s="156"/>
      <c r="HM878" s="156"/>
      <c r="HN878" s="156"/>
      <c r="HO878" s="156"/>
      <c r="HP878" s="156"/>
      <c r="HQ878" s="156"/>
      <c r="HR878" s="156"/>
      <c r="HS878" s="156"/>
      <c r="HT878" s="156"/>
      <c r="HU878" s="156"/>
      <c r="HV878" s="156"/>
      <c r="HW878" s="156"/>
      <c r="HX878" s="156"/>
      <c r="HY878" s="156"/>
      <c r="HZ878" s="156"/>
      <c r="IA878" s="156"/>
      <c r="IB878" s="156"/>
      <c r="IC878" s="156"/>
      <c r="ID878" s="156"/>
      <c r="IE878" s="156"/>
      <c r="IF878" s="156"/>
      <c r="IG878" s="156"/>
      <c r="IH878" s="156"/>
      <c r="II878" s="156"/>
      <c r="IJ878" s="156"/>
      <c r="IK878" s="156"/>
      <c r="IL878" s="156"/>
      <c r="IM878" s="156"/>
      <c r="IN878" s="156"/>
      <c r="IO878" s="156"/>
      <c r="IP878" s="156"/>
      <c r="IQ878" s="156"/>
      <c r="IR878" s="156"/>
      <c r="IS878" s="156"/>
      <c r="IT878" s="156"/>
      <c r="IU878" s="156"/>
      <c r="IV878" s="156"/>
      <c r="IW878" s="156"/>
      <c r="IX878" s="156"/>
      <c r="IY878" s="156"/>
      <c r="IZ878" s="156"/>
      <c r="JA878" s="156"/>
      <c r="JB878" s="156"/>
      <c r="JC878" s="156"/>
      <c r="JD878" s="156"/>
      <c r="JE878" s="156"/>
      <c r="JF878" s="156"/>
      <c r="JG878" s="156"/>
      <c r="JH878" s="156"/>
      <c r="JI878" s="156"/>
      <c r="JJ878" s="156"/>
      <c r="JK878" s="156"/>
      <c r="JL878" s="156"/>
      <c r="JM878" s="156"/>
      <c r="JN878" s="156"/>
      <c r="JO878" s="156"/>
      <c r="JP878" s="156"/>
      <c r="JQ878" s="156"/>
      <c r="JR878" s="156"/>
      <c r="JS878" s="156"/>
      <c r="JT878" s="156"/>
      <c r="JU878" s="156"/>
      <c r="JV878" s="156"/>
      <c r="JW878" s="156"/>
      <c r="JX878" s="156"/>
      <c r="JY878" s="156"/>
      <c r="JZ878" s="156"/>
      <c r="KA878" s="156"/>
      <c r="KB878" s="156"/>
      <c r="KC878" s="156"/>
      <c r="KD878" s="156"/>
      <c r="KE878" s="156"/>
    </row>
    <row r="879" spans="1:291" ht="35" customHeight="1">
      <c r="A879" s="42">
        <f>ROW()-2</f>
        <v>877</v>
      </c>
      <c r="B879" s="21" t="s">
        <v>2732</v>
      </c>
      <c r="C879" s="21" t="s">
        <v>4345</v>
      </c>
      <c r="D879" s="216" t="s">
        <v>4362</v>
      </c>
      <c r="E879" s="216" t="s">
        <v>4363</v>
      </c>
      <c r="F879" s="216" t="s">
        <v>3140</v>
      </c>
      <c r="G879" s="152" t="s">
        <v>34</v>
      </c>
      <c r="H879" s="21">
        <v>1</v>
      </c>
      <c r="I879" s="225">
        <v>0.47</v>
      </c>
      <c r="J879" s="229">
        <v>44130</v>
      </c>
      <c r="K879" s="236" t="s">
        <v>20</v>
      </c>
      <c r="L879" s="254">
        <v>4.99</v>
      </c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  <c r="AA879" s="156"/>
      <c r="AB879" s="156"/>
      <c r="AC879" s="156"/>
      <c r="AD879" s="156"/>
      <c r="AE879" s="156"/>
      <c r="AF879" s="156"/>
      <c r="AG879" s="156"/>
      <c r="AH879" s="156"/>
      <c r="AI879" s="156"/>
      <c r="AJ879" s="156"/>
      <c r="AK879" s="156"/>
      <c r="AL879" s="156"/>
      <c r="AM879" s="156"/>
      <c r="AN879" s="156"/>
      <c r="AO879" s="156"/>
      <c r="AP879" s="156"/>
      <c r="AQ879" s="156"/>
      <c r="AR879" s="156"/>
      <c r="AS879" s="156"/>
      <c r="AT879" s="156"/>
      <c r="AU879" s="156"/>
      <c r="AV879" s="156"/>
      <c r="AW879" s="156"/>
      <c r="AX879" s="156"/>
      <c r="AY879" s="156"/>
      <c r="AZ879" s="156"/>
      <c r="BA879" s="156"/>
      <c r="BB879" s="156"/>
      <c r="BC879" s="156"/>
      <c r="BD879" s="156"/>
      <c r="BE879" s="156"/>
      <c r="BF879" s="156"/>
      <c r="BG879" s="156"/>
      <c r="BH879" s="156"/>
      <c r="BI879" s="156"/>
      <c r="BJ879" s="156"/>
      <c r="BK879" s="156"/>
      <c r="BL879" s="156"/>
      <c r="BM879" s="156"/>
      <c r="BN879" s="156"/>
      <c r="BO879" s="156"/>
      <c r="BP879" s="156"/>
      <c r="BQ879" s="156"/>
      <c r="BR879" s="156"/>
      <c r="BS879" s="156"/>
      <c r="BT879" s="156"/>
      <c r="BU879" s="156"/>
      <c r="BV879" s="156"/>
      <c r="BW879" s="156"/>
      <c r="BX879" s="156"/>
      <c r="BY879" s="156"/>
      <c r="BZ879" s="156"/>
      <c r="CA879" s="156"/>
      <c r="CB879" s="156"/>
      <c r="CC879" s="156"/>
      <c r="CD879" s="156"/>
      <c r="CE879" s="156"/>
      <c r="CF879" s="156"/>
      <c r="CG879" s="156"/>
      <c r="CH879" s="156"/>
      <c r="CI879" s="156"/>
      <c r="CJ879" s="156"/>
      <c r="CK879" s="156"/>
      <c r="CL879" s="156"/>
      <c r="CM879" s="156"/>
      <c r="CN879" s="156"/>
      <c r="CO879" s="156"/>
      <c r="CP879" s="156"/>
      <c r="CQ879" s="156"/>
      <c r="CR879" s="156"/>
      <c r="CS879" s="156"/>
      <c r="CT879" s="156"/>
      <c r="CU879" s="156"/>
      <c r="CV879" s="156"/>
      <c r="CW879" s="156"/>
      <c r="CX879" s="156"/>
      <c r="CY879" s="156"/>
      <c r="CZ879" s="156"/>
      <c r="DA879" s="156"/>
      <c r="DB879" s="156"/>
      <c r="DC879" s="156"/>
      <c r="DD879" s="156"/>
      <c r="DE879" s="156"/>
      <c r="DF879" s="156"/>
      <c r="DG879" s="156"/>
      <c r="DH879" s="156"/>
      <c r="DI879" s="156"/>
      <c r="DJ879" s="156"/>
      <c r="DK879" s="156"/>
      <c r="DL879" s="156"/>
      <c r="DM879" s="156"/>
      <c r="DN879" s="156"/>
      <c r="DO879" s="156"/>
      <c r="DP879" s="156"/>
      <c r="DQ879" s="156"/>
      <c r="DR879" s="156"/>
      <c r="DS879" s="156"/>
      <c r="DT879" s="156"/>
      <c r="DU879" s="156"/>
      <c r="DV879" s="156"/>
      <c r="DW879" s="156"/>
      <c r="DX879" s="156"/>
      <c r="DY879" s="156"/>
      <c r="DZ879" s="156"/>
      <c r="EA879" s="156"/>
      <c r="EB879" s="156"/>
      <c r="EC879" s="156"/>
      <c r="ED879" s="156"/>
      <c r="EE879" s="156"/>
      <c r="EF879" s="156"/>
      <c r="EG879" s="156"/>
      <c r="EH879" s="156"/>
      <c r="EI879" s="156"/>
      <c r="EJ879" s="156"/>
      <c r="EK879" s="156"/>
      <c r="EL879" s="156"/>
      <c r="EM879" s="156"/>
      <c r="EN879" s="156"/>
      <c r="EO879" s="156"/>
      <c r="EP879" s="156"/>
      <c r="EQ879" s="156"/>
      <c r="ER879" s="156"/>
      <c r="ES879" s="156"/>
      <c r="ET879" s="156"/>
      <c r="EU879" s="156"/>
      <c r="EV879" s="156"/>
      <c r="EW879" s="156"/>
      <c r="EX879" s="156"/>
      <c r="EY879" s="156"/>
      <c r="EZ879" s="156"/>
      <c r="FA879" s="156"/>
      <c r="FB879" s="156"/>
      <c r="FC879" s="156"/>
      <c r="FD879" s="156"/>
      <c r="FE879" s="156"/>
      <c r="FF879" s="156"/>
      <c r="FG879" s="156"/>
      <c r="FH879" s="156"/>
      <c r="FI879" s="156"/>
      <c r="FJ879" s="156"/>
      <c r="FK879" s="156"/>
      <c r="FL879" s="156"/>
      <c r="FM879" s="156"/>
      <c r="FN879" s="156"/>
      <c r="FO879" s="156"/>
      <c r="FP879" s="156"/>
      <c r="FQ879" s="156"/>
      <c r="FR879" s="156"/>
      <c r="FS879" s="156"/>
      <c r="FT879" s="156"/>
      <c r="FU879" s="156"/>
      <c r="FV879" s="156"/>
      <c r="FW879" s="156"/>
      <c r="FX879" s="156"/>
      <c r="FY879" s="156"/>
      <c r="FZ879" s="156"/>
      <c r="GA879" s="156"/>
      <c r="GB879" s="156"/>
      <c r="GC879" s="156"/>
      <c r="GD879" s="156"/>
      <c r="GE879" s="156"/>
      <c r="GF879" s="156"/>
      <c r="GG879" s="156"/>
      <c r="GH879" s="156"/>
      <c r="GI879" s="156"/>
      <c r="GJ879" s="156"/>
      <c r="GK879" s="156"/>
      <c r="GL879" s="156"/>
      <c r="GM879" s="156"/>
      <c r="GN879" s="156"/>
      <c r="GO879" s="156"/>
      <c r="GP879" s="156"/>
      <c r="GQ879" s="156"/>
      <c r="GR879" s="156"/>
      <c r="GS879" s="156"/>
      <c r="GT879" s="156"/>
      <c r="GU879" s="156"/>
      <c r="GV879" s="156"/>
      <c r="GW879" s="156"/>
      <c r="GX879" s="156"/>
      <c r="GY879" s="156"/>
      <c r="GZ879" s="156"/>
      <c r="HA879" s="156"/>
      <c r="HB879" s="156"/>
      <c r="HC879" s="156"/>
      <c r="HD879" s="156"/>
      <c r="HE879" s="156"/>
      <c r="HF879" s="156"/>
      <c r="HG879" s="156"/>
      <c r="HH879" s="156"/>
      <c r="HI879" s="156"/>
      <c r="HJ879" s="156"/>
      <c r="HK879" s="156"/>
      <c r="HL879" s="156"/>
      <c r="HM879" s="156"/>
      <c r="HN879" s="156"/>
      <c r="HO879" s="156"/>
      <c r="HP879" s="156"/>
      <c r="HQ879" s="156"/>
      <c r="HR879" s="156"/>
      <c r="HS879" s="156"/>
      <c r="HT879" s="156"/>
      <c r="HU879" s="156"/>
      <c r="HV879" s="156"/>
      <c r="HW879" s="156"/>
      <c r="HX879" s="156"/>
      <c r="HY879" s="156"/>
      <c r="HZ879" s="156"/>
      <c r="IA879" s="156"/>
      <c r="IB879" s="156"/>
      <c r="IC879" s="156"/>
      <c r="ID879" s="156"/>
      <c r="IE879" s="156"/>
      <c r="IF879" s="156"/>
      <c r="IG879" s="156"/>
      <c r="IH879" s="156"/>
      <c r="II879" s="156"/>
      <c r="IJ879" s="156"/>
      <c r="IK879" s="156"/>
      <c r="IL879" s="156"/>
      <c r="IM879" s="156"/>
      <c r="IN879" s="156"/>
      <c r="IO879" s="156"/>
      <c r="IP879" s="156"/>
      <c r="IQ879" s="156"/>
      <c r="IR879" s="156"/>
      <c r="IS879" s="156"/>
      <c r="IT879" s="156"/>
      <c r="IU879" s="156"/>
      <c r="IV879" s="156"/>
      <c r="IW879" s="156"/>
      <c r="IX879" s="156"/>
      <c r="IY879" s="156"/>
      <c r="IZ879" s="156"/>
      <c r="JA879" s="156"/>
      <c r="JB879" s="156"/>
      <c r="JC879" s="156"/>
      <c r="JD879" s="156"/>
      <c r="JE879" s="156"/>
      <c r="JF879" s="156"/>
      <c r="JG879" s="156"/>
      <c r="JH879" s="156"/>
      <c r="JI879" s="156"/>
      <c r="JJ879" s="156"/>
      <c r="JK879" s="156"/>
      <c r="JL879" s="156"/>
      <c r="JM879" s="156"/>
      <c r="JN879" s="156"/>
      <c r="JO879" s="156"/>
      <c r="JP879" s="156"/>
      <c r="JQ879" s="156"/>
      <c r="JR879" s="156"/>
      <c r="JS879" s="156"/>
      <c r="JT879" s="156"/>
      <c r="JU879" s="156"/>
      <c r="JV879" s="156"/>
      <c r="JW879" s="156"/>
      <c r="JX879" s="156"/>
      <c r="JY879" s="156"/>
      <c r="JZ879" s="156"/>
      <c r="KA879" s="156"/>
      <c r="KB879" s="156"/>
      <c r="KC879" s="156"/>
      <c r="KD879" s="156"/>
      <c r="KE879" s="156"/>
    </row>
    <row r="880" spans="1:291" ht="35" customHeight="1">
      <c r="A880" s="42">
        <f>ROW()-2</f>
        <v>878</v>
      </c>
      <c r="B880" s="21" t="s">
        <v>2732</v>
      </c>
      <c r="C880" s="21" t="s">
        <v>4345</v>
      </c>
      <c r="D880" s="216" t="s">
        <v>4407</v>
      </c>
      <c r="E880" s="216" t="s">
        <v>4408</v>
      </c>
      <c r="F880" s="216" t="s">
        <v>3889</v>
      </c>
      <c r="G880" s="21" t="s">
        <v>34</v>
      </c>
      <c r="H880" s="21">
        <v>1</v>
      </c>
      <c r="I880" s="225">
        <v>0.4</v>
      </c>
      <c r="J880" s="229">
        <v>44137</v>
      </c>
      <c r="K880" s="225" t="s">
        <v>20</v>
      </c>
      <c r="L880" s="254">
        <v>4.99</v>
      </c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  <c r="AA880" s="156"/>
      <c r="AB880" s="156"/>
      <c r="AC880" s="156"/>
      <c r="AD880" s="156"/>
      <c r="AE880" s="156"/>
      <c r="AF880" s="156"/>
      <c r="AG880" s="156"/>
      <c r="AH880" s="156"/>
      <c r="AI880" s="156"/>
      <c r="AJ880" s="156"/>
      <c r="AK880" s="156"/>
      <c r="AL880" s="156"/>
      <c r="AM880" s="156"/>
      <c r="AN880" s="156"/>
      <c r="AO880" s="156"/>
      <c r="AP880" s="156"/>
      <c r="AQ880" s="156"/>
      <c r="AR880" s="156"/>
      <c r="AS880" s="156"/>
      <c r="AT880" s="156"/>
      <c r="AU880" s="156"/>
      <c r="AV880" s="156"/>
      <c r="AW880" s="156"/>
      <c r="AX880" s="156"/>
      <c r="AY880" s="156"/>
      <c r="AZ880" s="156"/>
      <c r="BA880" s="156"/>
      <c r="BB880" s="156"/>
      <c r="BC880" s="156"/>
      <c r="BD880" s="156"/>
      <c r="BE880" s="156"/>
      <c r="BF880" s="156"/>
      <c r="BG880" s="156"/>
      <c r="BH880" s="156"/>
      <c r="BI880" s="156"/>
      <c r="BJ880" s="156"/>
      <c r="BK880" s="156"/>
      <c r="BL880" s="156"/>
      <c r="BM880" s="156"/>
      <c r="BN880" s="156"/>
      <c r="BO880" s="156"/>
      <c r="BP880" s="156"/>
      <c r="BQ880" s="156"/>
      <c r="BR880" s="156"/>
      <c r="BS880" s="156"/>
      <c r="BT880" s="156"/>
      <c r="BU880" s="156"/>
      <c r="BV880" s="156"/>
      <c r="BW880" s="156"/>
      <c r="BX880" s="156"/>
      <c r="BY880" s="156"/>
      <c r="BZ880" s="156"/>
      <c r="CA880" s="156"/>
      <c r="CB880" s="156"/>
      <c r="CC880" s="156"/>
      <c r="CD880" s="156"/>
      <c r="CE880" s="156"/>
      <c r="CF880" s="156"/>
      <c r="CG880" s="156"/>
      <c r="CH880" s="156"/>
      <c r="CI880" s="156"/>
      <c r="CJ880" s="156"/>
      <c r="CK880" s="156"/>
      <c r="CL880" s="156"/>
      <c r="CM880" s="156"/>
      <c r="CN880" s="156"/>
      <c r="CO880" s="156"/>
      <c r="CP880" s="156"/>
      <c r="CQ880" s="156"/>
      <c r="CR880" s="156"/>
      <c r="CS880" s="156"/>
      <c r="CT880" s="156"/>
      <c r="CU880" s="156"/>
      <c r="CV880" s="156"/>
      <c r="CW880" s="156"/>
      <c r="CX880" s="156"/>
      <c r="CY880" s="156"/>
      <c r="CZ880" s="156"/>
      <c r="DA880" s="156"/>
      <c r="DB880" s="156"/>
      <c r="DC880" s="156"/>
      <c r="DD880" s="156"/>
      <c r="DE880" s="156"/>
      <c r="DF880" s="156"/>
      <c r="DG880" s="156"/>
      <c r="DH880" s="156"/>
      <c r="DI880" s="156"/>
      <c r="DJ880" s="156"/>
      <c r="DK880" s="156"/>
      <c r="DL880" s="156"/>
      <c r="DM880" s="156"/>
      <c r="DN880" s="156"/>
      <c r="DO880" s="156"/>
      <c r="DP880" s="156"/>
      <c r="DQ880" s="156"/>
      <c r="DR880" s="156"/>
      <c r="DS880" s="156"/>
      <c r="DT880" s="156"/>
      <c r="DU880" s="156"/>
      <c r="DV880" s="156"/>
      <c r="DW880" s="156"/>
      <c r="DX880" s="156"/>
      <c r="DY880" s="156"/>
      <c r="DZ880" s="156"/>
      <c r="EA880" s="156"/>
      <c r="EB880" s="156"/>
      <c r="EC880" s="156"/>
      <c r="ED880" s="156"/>
      <c r="EE880" s="156"/>
      <c r="EF880" s="156"/>
      <c r="EG880" s="156"/>
      <c r="EH880" s="156"/>
      <c r="EI880" s="156"/>
      <c r="EJ880" s="156"/>
      <c r="EK880" s="156"/>
      <c r="EL880" s="156"/>
      <c r="EM880" s="156"/>
      <c r="EN880" s="156"/>
      <c r="EO880" s="156"/>
      <c r="EP880" s="156"/>
      <c r="EQ880" s="156"/>
      <c r="ER880" s="156"/>
      <c r="ES880" s="156"/>
      <c r="ET880" s="156"/>
      <c r="EU880" s="156"/>
      <c r="EV880" s="156"/>
      <c r="EW880" s="156"/>
      <c r="EX880" s="156"/>
      <c r="EY880" s="156"/>
      <c r="EZ880" s="156"/>
      <c r="FA880" s="156"/>
      <c r="FB880" s="156"/>
      <c r="FC880" s="156"/>
      <c r="FD880" s="156"/>
      <c r="FE880" s="156"/>
      <c r="FF880" s="156"/>
      <c r="FG880" s="156"/>
      <c r="FH880" s="156"/>
      <c r="FI880" s="156"/>
      <c r="FJ880" s="156"/>
      <c r="FK880" s="156"/>
      <c r="FL880" s="156"/>
      <c r="FM880" s="156"/>
      <c r="FN880" s="156"/>
      <c r="FO880" s="156"/>
      <c r="FP880" s="156"/>
      <c r="FQ880" s="156"/>
      <c r="FR880" s="156"/>
      <c r="FS880" s="156"/>
      <c r="FT880" s="156"/>
      <c r="FU880" s="156"/>
      <c r="FV880" s="156"/>
      <c r="FW880" s="156"/>
      <c r="FX880" s="156"/>
      <c r="FY880" s="156"/>
      <c r="FZ880" s="156"/>
      <c r="GA880" s="156"/>
      <c r="GB880" s="156"/>
      <c r="GC880" s="156"/>
      <c r="GD880" s="156"/>
      <c r="GE880" s="156"/>
      <c r="GF880" s="156"/>
      <c r="GG880" s="156"/>
      <c r="GH880" s="156"/>
      <c r="GI880" s="156"/>
      <c r="GJ880" s="156"/>
      <c r="GK880" s="156"/>
      <c r="GL880" s="156"/>
      <c r="GM880" s="156"/>
      <c r="GN880" s="156"/>
      <c r="GO880" s="156"/>
      <c r="GP880" s="156"/>
      <c r="GQ880" s="156"/>
      <c r="GR880" s="156"/>
      <c r="GS880" s="156"/>
      <c r="GT880" s="156"/>
      <c r="GU880" s="156"/>
      <c r="GV880" s="156"/>
      <c r="GW880" s="156"/>
      <c r="GX880" s="156"/>
      <c r="GY880" s="156"/>
      <c r="GZ880" s="156"/>
      <c r="HA880" s="156"/>
      <c r="HB880" s="156"/>
      <c r="HC880" s="156"/>
      <c r="HD880" s="156"/>
      <c r="HE880" s="156"/>
      <c r="HF880" s="156"/>
      <c r="HG880" s="156"/>
      <c r="HH880" s="156"/>
      <c r="HI880" s="156"/>
      <c r="HJ880" s="156"/>
      <c r="HK880" s="156"/>
      <c r="HL880" s="156"/>
      <c r="HM880" s="156"/>
      <c r="HN880" s="156"/>
      <c r="HO880" s="156"/>
      <c r="HP880" s="156"/>
      <c r="HQ880" s="156"/>
      <c r="HR880" s="156"/>
      <c r="HS880" s="156"/>
      <c r="HT880" s="156"/>
      <c r="HU880" s="156"/>
      <c r="HV880" s="156"/>
      <c r="HW880" s="156"/>
      <c r="HX880" s="156"/>
      <c r="HY880" s="156"/>
      <c r="HZ880" s="156"/>
      <c r="IA880" s="156"/>
      <c r="IB880" s="156"/>
      <c r="IC880" s="156"/>
      <c r="ID880" s="156"/>
      <c r="IE880" s="156"/>
      <c r="IF880" s="156"/>
      <c r="IG880" s="156"/>
      <c r="IH880" s="156"/>
      <c r="II880" s="156"/>
      <c r="IJ880" s="156"/>
      <c r="IK880" s="156"/>
      <c r="IL880" s="156"/>
      <c r="IM880" s="156"/>
      <c r="IN880" s="156"/>
      <c r="IO880" s="156"/>
      <c r="IP880" s="156"/>
      <c r="IQ880" s="156"/>
      <c r="IR880" s="156"/>
      <c r="IS880" s="156"/>
      <c r="IT880" s="156"/>
      <c r="IU880" s="156"/>
      <c r="IV880" s="156"/>
      <c r="IW880" s="156"/>
      <c r="IX880" s="156"/>
      <c r="IY880" s="156"/>
      <c r="IZ880" s="156"/>
      <c r="JA880" s="156"/>
      <c r="JB880" s="156"/>
      <c r="JC880" s="156"/>
      <c r="JD880" s="156"/>
      <c r="JE880" s="156"/>
      <c r="JF880" s="156"/>
      <c r="JG880" s="156"/>
      <c r="JH880" s="156"/>
      <c r="JI880" s="156"/>
      <c r="JJ880" s="156"/>
      <c r="JK880" s="156"/>
      <c r="JL880" s="156"/>
      <c r="JM880" s="156"/>
      <c r="JN880" s="156"/>
      <c r="JO880" s="156"/>
      <c r="JP880" s="156"/>
      <c r="JQ880" s="156"/>
      <c r="JR880" s="156"/>
      <c r="JS880" s="156"/>
      <c r="JT880" s="156"/>
      <c r="JU880" s="156"/>
      <c r="JV880" s="156"/>
      <c r="JW880" s="156"/>
      <c r="JX880" s="156"/>
      <c r="JY880" s="156"/>
      <c r="JZ880" s="156"/>
      <c r="KA880" s="156"/>
      <c r="KB880" s="156"/>
      <c r="KC880" s="156"/>
      <c r="KD880" s="156"/>
      <c r="KE880" s="156"/>
    </row>
    <row r="881" spans="1:291" s="25" customFormat="1" ht="35" customHeight="1">
      <c r="A881" s="42">
        <f>ROW()-2</f>
        <v>879</v>
      </c>
      <c r="B881" s="183" t="s">
        <v>2732</v>
      </c>
      <c r="C881" s="183" t="s">
        <v>4345</v>
      </c>
      <c r="D881" s="128" t="s">
        <v>4581</v>
      </c>
      <c r="E881" s="128" t="s">
        <v>4582</v>
      </c>
      <c r="F881" s="128" t="s">
        <v>3866</v>
      </c>
      <c r="G881" s="183" t="s">
        <v>34</v>
      </c>
      <c r="H881" s="183">
        <v>1</v>
      </c>
      <c r="I881" s="227">
        <v>0.5</v>
      </c>
      <c r="J881" s="208">
        <v>44326</v>
      </c>
      <c r="K881" s="84" t="s">
        <v>20</v>
      </c>
      <c r="L881" s="203">
        <v>4.99</v>
      </c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  <c r="CX881" s="31"/>
      <c r="CY881" s="31"/>
      <c r="CZ881" s="31"/>
      <c r="DA881" s="31"/>
      <c r="DB881" s="31"/>
      <c r="DC881" s="31"/>
      <c r="DD881" s="31"/>
      <c r="DE881" s="31"/>
      <c r="DF881" s="31"/>
      <c r="DG881" s="31"/>
      <c r="DH881" s="31"/>
      <c r="DI881" s="31"/>
      <c r="DJ881" s="31"/>
      <c r="DK881" s="31"/>
      <c r="DL881" s="31"/>
      <c r="DM881" s="31"/>
      <c r="DN881" s="31"/>
      <c r="DO881" s="31"/>
      <c r="DP881" s="31"/>
      <c r="DQ881" s="31"/>
      <c r="DR881" s="31"/>
      <c r="DS881" s="31"/>
      <c r="DT881" s="31"/>
      <c r="DU881" s="31"/>
      <c r="DV881" s="31"/>
      <c r="DW881" s="31"/>
      <c r="DX881" s="31"/>
      <c r="DY881" s="31"/>
      <c r="DZ881" s="31"/>
      <c r="EA881" s="31"/>
      <c r="EB881" s="31"/>
      <c r="EC881" s="31"/>
      <c r="ED881" s="31"/>
      <c r="EE881" s="31"/>
      <c r="EF881" s="31"/>
      <c r="EG881" s="31"/>
      <c r="EH881" s="31"/>
      <c r="EI881" s="31"/>
      <c r="EJ881" s="31"/>
      <c r="EK881" s="31"/>
      <c r="EL881" s="31"/>
      <c r="EM881" s="31"/>
      <c r="EN881" s="31"/>
      <c r="EO881" s="31"/>
      <c r="EP881" s="31"/>
      <c r="EQ881" s="31"/>
      <c r="ER881" s="31"/>
      <c r="ES881" s="31"/>
      <c r="ET881" s="31"/>
      <c r="EU881" s="31"/>
      <c r="EV881" s="31"/>
      <c r="EW881" s="31"/>
      <c r="EX881" s="31"/>
      <c r="EY881" s="31"/>
      <c r="EZ881" s="31"/>
      <c r="FA881" s="31"/>
      <c r="FB881" s="31"/>
      <c r="FC881" s="31"/>
      <c r="FD881" s="31"/>
      <c r="FE881" s="31"/>
      <c r="FF881" s="31"/>
      <c r="FG881" s="31"/>
      <c r="FH881" s="31"/>
      <c r="FI881" s="31"/>
      <c r="FJ881" s="31"/>
      <c r="FK881" s="31"/>
      <c r="FL881" s="31"/>
      <c r="FM881" s="31"/>
      <c r="FN881" s="31"/>
      <c r="FO881" s="31"/>
      <c r="FP881" s="31"/>
      <c r="FQ881" s="31"/>
      <c r="FR881" s="31"/>
      <c r="FS881" s="31"/>
      <c r="FT881" s="31"/>
      <c r="FU881" s="31"/>
      <c r="FV881" s="31"/>
      <c r="FW881" s="31"/>
      <c r="FX881" s="31"/>
      <c r="FY881" s="31"/>
      <c r="FZ881" s="31"/>
      <c r="GA881" s="31"/>
      <c r="GB881" s="31"/>
      <c r="GC881" s="31"/>
      <c r="GD881" s="31"/>
      <c r="GE881" s="31"/>
      <c r="GF881" s="31"/>
      <c r="GG881" s="31"/>
      <c r="GH881" s="31"/>
      <c r="GI881" s="31"/>
      <c r="GJ881" s="31"/>
      <c r="GK881" s="31"/>
      <c r="GL881" s="31"/>
      <c r="GM881" s="31"/>
      <c r="GN881" s="31"/>
      <c r="GO881" s="31"/>
      <c r="GP881" s="31"/>
      <c r="GQ881" s="31"/>
      <c r="GR881" s="31"/>
      <c r="GS881" s="31"/>
      <c r="GT881" s="31"/>
      <c r="GU881" s="31"/>
      <c r="GV881" s="31"/>
      <c r="GW881" s="31"/>
      <c r="GX881" s="31"/>
      <c r="GY881" s="31"/>
      <c r="GZ881" s="31"/>
      <c r="HA881" s="31"/>
      <c r="HB881" s="31"/>
      <c r="HC881" s="31"/>
      <c r="HD881" s="31"/>
      <c r="HE881" s="31"/>
      <c r="HF881" s="31"/>
      <c r="HG881" s="31"/>
      <c r="HH881" s="31"/>
      <c r="HI881" s="31"/>
      <c r="HJ881" s="31"/>
      <c r="HK881" s="31"/>
      <c r="HL881" s="31"/>
      <c r="HM881" s="31"/>
      <c r="HN881" s="31"/>
      <c r="HO881" s="31"/>
      <c r="HP881" s="31"/>
      <c r="HQ881" s="31"/>
      <c r="HR881" s="31"/>
      <c r="HS881" s="31"/>
      <c r="HT881" s="31"/>
      <c r="HU881" s="31"/>
      <c r="HV881" s="31"/>
      <c r="HW881" s="31"/>
      <c r="HX881" s="31"/>
      <c r="HY881" s="31"/>
      <c r="HZ881" s="31"/>
      <c r="IA881" s="31"/>
      <c r="IB881" s="31"/>
      <c r="IC881" s="31"/>
      <c r="ID881" s="31"/>
      <c r="IE881" s="31"/>
      <c r="IF881" s="31"/>
      <c r="IG881" s="31"/>
      <c r="IH881" s="31"/>
      <c r="II881" s="31"/>
      <c r="IJ881" s="31"/>
      <c r="IK881" s="31"/>
      <c r="IL881" s="31"/>
      <c r="IM881" s="31"/>
      <c r="IN881" s="31"/>
      <c r="IO881" s="31"/>
      <c r="IP881" s="31"/>
      <c r="IQ881" s="31"/>
      <c r="IR881" s="31"/>
      <c r="IS881" s="31"/>
      <c r="IT881" s="31"/>
      <c r="IU881" s="31"/>
      <c r="IV881" s="31"/>
      <c r="IW881" s="31"/>
      <c r="IX881" s="31"/>
      <c r="IY881" s="31"/>
      <c r="IZ881" s="31"/>
      <c r="JA881" s="31"/>
      <c r="JB881" s="31"/>
      <c r="JC881" s="31"/>
      <c r="JD881" s="31"/>
      <c r="JE881" s="31"/>
      <c r="JF881" s="31"/>
      <c r="JG881" s="31"/>
      <c r="JH881" s="31"/>
      <c r="JI881" s="31"/>
      <c r="JJ881" s="31"/>
      <c r="JK881" s="31"/>
      <c r="JL881" s="31"/>
      <c r="JM881" s="31"/>
      <c r="JN881" s="31"/>
      <c r="JO881" s="31"/>
      <c r="JP881" s="31"/>
      <c r="JQ881" s="31"/>
      <c r="JR881" s="31"/>
      <c r="JS881" s="31"/>
      <c r="JT881" s="31"/>
      <c r="JU881" s="31"/>
      <c r="JV881" s="31"/>
      <c r="JW881" s="31"/>
      <c r="JX881" s="31"/>
      <c r="JY881" s="31"/>
      <c r="JZ881" s="31"/>
      <c r="KA881" s="31"/>
      <c r="KB881" s="31"/>
      <c r="KC881" s="31"/>
      <c r="KD881" s="31"/>
      <c r="KE881" s="31"/>
    </row>
    <row r="882" spans="1:291" s="25" customFormat="1" ht="35" customHeight="1">
      <c r="A882" s="42">
        <f>ROW()-2</f>
        <v>880</v>
      </c>
      <c r="B882" s="183" t="s">
        <v>2732</v>
      </c>
      <c r="C882" s="183" t="s">
        <v>4345</v>
      </c>
      <c r="D882" s="128" t="s">
        <v>4583</v>
      </c>
      <c r="E882" s="128" t="s">
        <v>4584</v>
      </c>
      <c r="F882" s="128" t="s">
        <v>4585</v>
      </c>
      <c r="G882" s="183" t="s">
        <v>34</v>
      </c>
      <c r="H882" s="183">
        <v>1</v>
      </c>
      <c r="I882" s="227">
        <v>0.5</v>
      </c>
      <c r="J882" s="208">
        <v>44515</v>
      </c>
      <c r="K882" s="84" t="s">
        <v>20</v>
      </c>
      <c r="L882" s="203">
        <v>4.99</v>
      </c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  <c r="FS882" s="30"/>
      <c r="FT882" s="30"/>
      <c r="FU882" s="30"/>
      <c r="FV882" s="30"/>
      <c r="FW882" s="30"/>
      <c r="FX882" s="30"/>
      <c r="FY882" s="30"/>
      <c r="FZ882" s="30"/>
      <c r="GA882" s="30"/>
      <c r="GB882" s="30"/>
      <c r="GC882" s="30"/>
      <c r="GD882" s="30"/>
      <c r="GE882" s="30"/>
      <c r="GF882" s="30"/>
      <c r="GG882" s="30"/>
      <c r="GH882" s="30"/>
      <c r="GI882" s="30"/>
      <c r="GJ882" s="30"/>
      <c r="GK882" s="30"/>
      <c r="GL882" s="30"/>
      <c r="GM882" s="30"/>
      <c r="GN882" s="30"/>
      <c r="GO882" s="30"/>
      <c r="GP882" s="30"/>
      <c r="GQ882" s="30"/>
      <c r="GR882" s="30"/>
      <c r="GS882" s="30"/>
      <c r="GT882" s="30"/>
      <c r="GU882" s="30"/>
      <c r="GV882" s="30"/>
      <c r="GW882" s="30"/>
      <c r="GX882" s="30"/>
      <c r="GY882" s="30"/>
      <c r="GZ882" s="30"/>
      <c r="HA882" s="30"/>
      <c r="HB882" s="30"/>
      <c r="HC882" s="30"/>
      <c r="HD882" s="30"/>
      <c r="HE882" s="30"/>
      <c r="HF882" s="30"/>
      <c r="HG882" s="30"/>
      <c r="HH882" s="30"/>
      <c r="HI882" s="30"/>
      <c r="HJ882" s="30"/>
      <c r="HK882" s="30"/>
      <c r="HL882" s="30"/>
      <c r="HM882" s="30"/>
      <c r="HN882" s="30"/>
      <c r="HO882" s="30"/>
      <c r="HP882" s="30"/>
      <c r="HQ882" s="30"/>
      <c r="HR882" s="30"/>
      <c r="HS882" s="30"/>
      <c r="HT882" s="30"/>
      <c r="HU882" s="30"/>
      <c r="HV882" s="30"/>
      <c r="HW882" s="30"/>
      <c r="HX882" s="30"/>
      <c r="HY882" s="30"/>
      <c r="HZ882" s="30"/>
      <c r="IA882" s="30"/>
      <c r="IB882" s="30"/>
      <c r="IC882" s="30"/>
      <c r="ID882" s="30"/>
      <c r="IE882" s="30"/>
      <c r="IF882" s="30"/>
      <c r="IG882" s="30"/>
      <c r="IH882" s="30"/>
      <c r="II882" s="30"/>
      <c r="IJ882" s="30"/>
      <c r="IK882" s="30"/>
      <c r="IL882" s="30"/>
      <c r="IM882" s="30"/>
      <c r="IN882" s="30"/>
      <c r="IO882" s="30"/>
      <c r="IP882" s="30"/>
      <c r="IQ882" s="30"/>
      <c r="IR882" s="30"/>
      <c r="IS882" s="30"/>
      <c r="IT882" s="30"/>
      <c r="IU882" s="30"/>
      <c r="IV882" s="30"/>
      <c r="IW882" s="30"/>
      <c r="IX882" s="30"/>
      <c r="IY882" s="30"/>
      <c r="IZ882" s="30"/>
      <c r="JA882" s="30"/>
      <c r="JB882" s="30"/>
      <c r="JC882" s="30"/>
      <c r="JD882" s="30"/>
      <c r="JE882" s="30"/>
      <c r="JF882" s="30"/>
      <c r="JG882" s="30"/>
      <c r="JH882" s="30"/>
      <c r="JI882" s="30"/>
      <c r="JJ882" s="30"/>
      <c r="JK882" s="30"/>
      <c r="JL882" s="30"/>
      <c r="JM882" s="30"/>
      <c r="JN882" s="30"/>
      <c r="JO882" s="30"/>
      <c r="JP882" s="30"/>
      <c r="JQ882" s="30"/>
      <c r="JR882" s="30"/>
      <c r="JS882" s="30"/>
      <c r="JT882" s="30"/>
      <c r="JU882" s="30"/>
      <c r="JV882" s="30"/>
      <c r="JW882" s="30"/>
      <c r="JX882" s="30"/>
      <c r="JY882" s="30"/>
      <c r="JZ882" s="30"/>
      <c r="KA882" s="30"/>
      <c r="KB882" s="30"/>
      <c r="KC882" s="30"/>
      <c r="KD882" s="30"/>
      <c r="KE882" s="30"/>
    </row>
    <row r="883" spans="1:291" s="25" customFormat="1" ht="35" customHeight="1">
      <c r="A883" s="42">
        <f>ROW()-2</f>
        <v>881</v>
      </c>
      <c r="B883" s="29" t="s">
        <v>5325</v>
      </c>
      <c r="C883" s="183" t="s">
        <v>5335</v>
      </c>
      <c r="D883" s="267" t="s">
        <v>5324</v>
      </c>
      <c r="E883" s="267" t="s">
        <v>5336</v>
      </c>
      <c r="F883" s="267" t="s">
        <v>5328</v>
      </c>
      <c r="G883" s="183" t="s">
        <v>3253</v>
      </c>
      <c r="H883" s="29">
        <v>1</v>
      </c>
      <c r="I883" s="268">
        <v>0.5</v>
      </c>
      <c r="J883" s="269">
        <v>44599</v>
      </c>
      <c r="K883" s="84" t="s">
        <v>20</v>
      </c>
      <c r="L883" s="75">
        <v>4.99</v>
      </c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  <c r="AA883" s="183"/>
      <c r="AB883" s="183"/>
      <c r="AC883" s="183"/>
      <c r="AD883" s="183"/>
      <c r="AE883" s="183"/>
      <c r="AF883" s="183"/>
      <c r="AG883" s="183"/>
      <c r="AH883" s="183"/>
      <c r="AI883" s="183"/>
      <c r="AJ883" s="183"/>
      <c r="AK883" s="183"/>
      <c r="AL883" s="183"/>
      <c r="AM883" s="183"/>
      <c r="AN883" s="183"/>
      <c r="AO883" s="183"/>
      <c r="AP883" s="183"/>
      <c r="AQ883" s="183"/>
      <c r="AR883" s="183"/>
      <c r="AS883" s="183"/>
      <c r="AT883" s="183"/>
      <c r="AU883" s="183"/>
      <c r="AV883" s="183"/>
      <c r="AW883" s="183"/>
      <c r="AX883" s="183"/>
      <c r="AY883" s="183"/>
      <c r="AZ883" s="183"/>
      <c r="BA883" s="183"/>
      <c r="BB883" s="183"/>
      <c r="BC883" s="183"/>
      <c r="BD883" s="183"/>
      <c r="BE883" s="183"/>
      <c r="BF883" s="183"/>
      <c r="BG883" s="183"/>
      <c r="BH883" s="183"/>
      <c r="BI883" s="183"/>
      <c r="BJ883" s="183"/>
      <c r="BK883" s="183"/>
      <c r="BL883" s="183"/>
      <c r="BM883" s="183"/>
      <c r="BN883" s="183"/>
      <c r="BO883" s="183"/>
      <c r="BP883" s="183"/>
      <c r="BQ883" s="183"/>
      <c r="BR883" s="183"/>
      <c r="BS883" s="183"/>
      <c r="BT883" s="183"/>
      <c r="BU883" s="183"/>
      <c r="BV883" s="183"/>
      <c r="BW883" s="183"/>
      <c r="BX883" s="183"/>
      <c r="BY883" s="183"/>
      <c r="BZ883" s="183"/>
      <c r="CA883" s="183"/>
      <c r="CB883" s="183"/>
      <c r="CC883" s="183"/>
      <c r="CD883" s="183"/>
      <c r="CE883" s="183"/>
      <c r="CF883" s="183"/>
      <c r="CG883" s="183"/>
      <c r="CH883" s="183"/>
      <c r="CI883" s="183"/>
      <c r="CJ883" s="183"/>
      <c r="CK883" s="183"/>
      <c r="CL883" s="183"/>
      <c r="CM883" s="183"/>
      <c r="CN883" s="183"/>
      <c r="CO883" s="183"/>
      <c r="CP883" s="183"/>
      <c r="CQ883" s="183"/>
      <c r="CR883" s="183"/>
      <c r="CS883" s="183"/>
      <c r="CT883" s="183"/>
      <c r="CU883" s="183"/>
      <c r="CV883" s="183"/>
      <c r="CW883" s="183"/>
      <c r="CX883" s="183"/>
      <c r="CY883" s="183"/>
      <c r="CZ883" s="183"/>
      <c r="DA883" s="183"/>
      <c r="DB883" s="183"/>
      <c r="DC883" s="183"/>
      <c r="DD883" s="183"/>
      <c r="DE883" s="183"/>
      <c r="DF883" s="183"/>
      <c r="DG883" s="183"/>
      <c r="DH883" s="183"/>
      <c r="DI883" s="183"/>
      <c r="DJ883" s="183"/>
      <c r="DK883" s="183"/>
      <c r="DL883" s="183"/>
      <c r="DM883" s="183"/>
      <c r="DN883" s="183"/>
      <c r="DO883" s="183"/>
      <c r="DP883" s="183"/>
      <c r="DQ883" s="183"/>
      <c r="DR883" s="183"/>
      <c r="DS883" s="183"/>
      <c r="DT883" s="183"/>
      <c r="DU883" s="183"/>
      <c r="DV883" s="183"/>
      <c r="DW883" s="183"/>
      <c r="DX883" s="183"/>
      <c r="DY883" s="183"/>
      <c r="DZ883" s="183"/>
      <c r="EA883" s="183"/>
      <c r="EB883" s="183"/>
      <c r="EC883" s="183"/>
      <c r="ED883" s="183"/>
      <c r="EE883" s="183"/>
      <c r="EF883" s="183"/>
      <c r="EG883" s="183"/>
      <c r="EH883" s="183"/>
      <c r="EI883" s="183"/>
      <c r="EJ883" s="183"/>
      <c r="EK883" s="183"/>
      <c r="EL883" s="183"/>
      <c r="EM883" s="183"/>
      <c r="EN883" s="183"/>
      <c r="EO883" s="183"/>
      <c r="EP883" s="183"/>
      <c r="EQ883" s="183"/>
      <c r="ER883" s="183"/>
      <c r="ES883" s="183"/>
      <c r="ET883" s="183"/>
      <c r="EU883" s="183"/>
      <c r="EV883" s="183"/>
      <c r="EW883" s="183"/>
      <c r="EX883" s="183"/>
      <c r="EY883" s="183"/>
      <c r="EZ883" s="183"/>
      <c r="FA883" s="183"/>
      <c r="FB883" s="183"/>
      <c r="FC883" s="183"/>
      <c r="FD883" s="183"/>
      <c r="FE883" s="183"/>
      <c r="FF883" s="183"/>
      <c r="FG883" s="183"/>
      <c r="FH883" s="183"/>
      <c r="FI883" s="183"/>
      <c r="FJ883" s="183"/>
      <c r="FK883" s="183"/>
      <c r="FL883" s="183"/>
      <c r="FM883" s="183"/>
      <c r="FN883" s="183"/>
      <c r="FO883" s="183"/>
      <c r="FP883" s="183"/>
      <c r="FQ883" s="183"/>
      <c r="FR883" s="183"/>
      <c r="FS883" s="183"/>
      <c r="FT883" s="183"/>
      <c r="FU883" s="183"/>
      <c r="FV883" s="183"/>
      <c r="FW883" s="183"/>
      <c r="FX883" s="183"/>
      <c r="FY883" s="183"/>
      <c r="FZ883" s="183"/>
      <c r="GA883" s="183"/>
      <c r="GB883" s="183"/>
      <c r="GC883" s="183"/>
      <c r="GD883" s="183"/>
      <c r="GE883" s="183"/>
      <c r="GF883" s="183"/>
      <c r="GG883" s="183"/>
      <c r="GH883" s="183"/>
      <c r="GI883" s="183"/>
      <c r="GJ883" s="183"/>
      <c r="GK883" s="183"/>
      <c r="GL883" s="183"/>
      <c r="GM883" s="183"/>
      <c r="GN883" s="183"/>
      <c r="GO883" s="183"/>
      <c r="GP883" s="183"/>
      <c r="GQ883" s="183"/>
      <c r="GR883" s="183"/>
      <c r="GS883" s="183"/>
      <c r="GT883" s="183"/>
      <c r="GU883" s="183"/>
      <c r="GV883" s="183"/>
      <c r="GW883" s="183"/>
      <c r="GX883" s="183"/>
      <c r="GY883" s="183"/>
      <c r="GZ883" s="183"/>
      <c r="HA883" s="183"/>
      <c r="HB883" s="183"/>
      <c r="HC883" s="183"/>
      <c r="HD883" s="183"/>
      <c r="HE883" s="183"/>
      <c r="HF883" s="183"/>
      <c r="HG883" s="183"/>
      <c r="HH883" s="183"/>
      <c r="HI883" s="183"/>
      <c r="HJ883" s="183"/>
      <c r="HK883" s="183"/>
      <c r="HL883" s="183"/>
      <c r="HM883" s="183"/>
      <c r="HN883" s="183"/>
      <c r="HO883" s="183"/>
      <c r="HP883" s="183"/>
      <c r="HQ883" s="183"/>
      <c r="HR883" s="183"/>
      <c r="HS883" s="183"/>
      <c r="HT883" s="183"/>
      <c r="HU883" s="183"/>
      <c r="HV883" s="183"/>
      <c r="HW883" s="183"/>
      <c r="HX883" s="183"/>
      <c r="HY883" s="183"/>
      <c r="HZ883" s="183"/>
      <c r="IA883" s="183"/>
      <c r="IB883" s="183"/>
      <c r="IC883" s="183"/>
      <c r="ID883" s="183"/>
      <c r="IE883" s="183"/>
      <c r="IF883" s="183"/>
      <c r="IG883" s="183"/>
      <c r="IH883" s="183"/>
      <c r="II883" s="183"/>
      <c r="IJ883" s="183"/>
      <c r="IK883" s="183"/>
      <c r="IL883" s="183"/>
      <c r="IM883" s="183"/>
      <c r="IN883" s="183"/>
      <c r="IO883" s="183"/>
      <c r="IP883" s="183"/>
      <c r="IQ883" s="183"/>
      <c r="IR883" s="183"/>
      <c r="IS883" s="183"/>
      <c r="IT883" s="183"/>
      <c r="IU883" s="183"/>
      <c r="IV883" s="183"/>
      <c r="IW883" s="183"/>
      <c r="IX883" s="183"/>
      <c r="IY883" s="183"/>
      <c r="IZ883" s="183"/>
      <c r="JA883" s="183"/>
      <c r="JB883" s="183"/>
      <c r="JC883" s="183"/>
      <c r="JD883" s="183"/>
      <c r="JE883" s="183"/>
      <c r="JF883" s="183"/>
      <c r="JG883" s="183"/>
      <c r="JH883" s="183"/>
      <c r="JI883" s="183"/>
      <c r="JJ883" s="183"/>
      <c r="JK883" s="183"/>
      <c r="JL883" s="183"/>
      <c r="JM883" s="183"/>
      <c r="JN883" s="183"/>
      <c r="JO883" s="183"/>
      <c r="JP883" s="183"/>
      <c r="JQ883" s="183"/>
      <c r="JR883" s="183"/>
      <c r="JS883" s="183"/>
      <c r="JT883" s="183"/>
      <c r="JU883" s="183"/>
      <c r="JV883" s="183"/>
      <c r="JW883" s="183"/>
      <c r="JX883" s="183"/>
      <c r="JY883" s="183"/>
      <c r="JZ883" s="183"/>
      <c r="KA883" s="183"/>
      <c r="KB883" s="183"/>
      <c r="KC883" s="183"/>
      <c r="KD883" s="183"/>
      <c r="KE883" s="183"/>
    </row>
    <row r="884" spans="1:291" ht="35" customHeight="1">
      <c r="A884" s="42">
        <f>ROW()-2</f>
        <v>882</v>
      </c>
      <c r="B884" s="29" t="s">
        <v>5659</v>
      </c>
      <c r="C884" s="183" t="s">
        <v>5666</v>
      </c>
      <c r="D884" s="267" t="s">
        <v>5661</v>
      </c>
      <c r="E884" s="252" t="s">
        <v>5662</v>
      </c>
      <c r="F884" s="252" t="s">
        <v>5663</v>
      </c>
      <c r="G884" s="29" t="s">
        <v>5653</v>
      </c>
      <c r="H884" s="29">
        <v>1</v>
      </c>
      <c r="I884" s="268">
        <v>0.48</v>
      </c>
      <c r="J884" s="269">
        <v>44627</v>
      </c>
      <c r="K884" s="268" t="s">
        <v>5157</v>
      </c>
      <c r="L884" s="75">
        <v>4.99</v>
      </c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  <c r="BF884" s="32"/>
      <c r="BG884" s="32"/>
      <c r="BH884" s="32"/>
      <c r="BI884" s="32"/>
      <c r="BJ884" s="32"/>
      <c r="BK884" s="32"/>
      <c r="BL884" s="32"/>
      <c r="BM884" s="32"/>
      <c r="BN884" s="32"/>
      <c r="BO884" s="32"/>
      <c r="BP884" s="32"/>
      <c r="BQ884" s="32"/>
      <c r="BR884" s="32"/>
      <c r="BS884" s="32"/>
      <c r="BT884" s="32"/>
      <c r="BU884" s="32"/>
      <c r="BV884" s="32"/>
      <c r="BW884" s="32"/>
      <c r="BX884" s="32"/>
      <c r="BY884" s="32"/>
      <c r="BZ884" s="32"/>
      <c r="CA884" s="32"/>
      <c r="CB884" s="32"/>
      <c r="CC884" s="32"/>
      <c r="CD884" s="32"/>
      <c r="CE884" s="32"/>
      <c r="CF884" s="32"/>
      <c r="CG884" s="32"/>
      <c r="CH884" s="32"/>
      <c r="CI884" s="32"/>
      <c r="CJ884" s="32"/>
      <c r="CK884" s="32"/>
      <c r="CL884" s="32"/>
      <c r="CM884" s="32"/>
      <c r="CN884" s="32"/>
      <c r="CO884" s="32"/>
      <c r="CP884" s="32"/>
      <c r="CQ884" s="32"/>
      <c r="CR884" s="32"/>
      <c r="CS884" s="32"/>
      <c r="CT884" s="32"/>
      <c r="CU884" s="32"/>
      <c r="CV884" s="32"/>
      <c r="CW884" s="32"/>
      <c r="CX884" s="32"/>
      <c r="CY884" s="32"/>
      <c r="CZ884" s="32"/>
      <c r="DA884" s="32"/>
      <c r="DB884" s="32"/>
      <c r="DC884" s="32"/>
      <c r="DD884" s="32"/>
      <c r="DE884" s="32"/>
      <c r="DF884" s="32"/>
      <c r="DG884" s="32"/>
      <c r="DH884" s="32"/>
      <c r="DI884" s="32"/>
      <c r="DJ884" s="32"/>
      <c r="DK884" s="32"/>
      <c r="DL884" s="32"/>
      <c r="DM884" s="32"/>
      <c r="DN884" s="32"/>
      <c r="DO884" s="32"/>
      <c r="DP884" s="32"/>
      <c r="DQ884" s="32"/>
      <c r="DR884" s="32"/>
      <c r="DS884" s="32"/>
      <c r="DT884" s="32"/>
      <c r="DU884" s="32"/>
      <c r="DV884" s="32"/>
      <c r="DW884" s="32"/>
      <c r="DX884" s="32"/>
      <c r="DY884" s="32"/>
      <c r="DZ884" s="32"/>
      <c r="EA884" s="32"/>
      <c r="EB884" s="32"/>
      <c r="EC884" s="32"/>
      <c r="ED884" s="32"/>
      <c r="EE884" s="32"/>
      <c r="EF884" s="32"/>
      <c r="EG884" s="32"/>
      <c r="EH884" s="32"/>
      <c r="EI884" s="32"/>
      <c r="EJ884" s="32"/>
      <c r="EK884" s="32"/>
      <c r="EL884" s="32"/>
      <c r="EM884" s="32"/>
      <c r="EN884" s="32"/>
      <c r="EO884" s="32"/>
      <c r="EP884" s="32"/>
      <c r="EQ884" s="32"/>
      <c r="ER884" s="32"/>
      <c r="ES884" s="32"/>
      <c r="ET884" s="32"/>
      <c r="EU884" s="32"/>
      <c r="EV884" s="32"/>
      <c r="EW884" s="32"/>
      <c r="EX884" s="32"/>
      <c r="EY884" s="32"/>
      <c r="EZ884" s="32"/>
      <c r="FA884" s="32"/>
      <c r="FB884" s="32"/>
      <c r="FC884" s="32"/>
      <c r="FD884" s="32"/>
      <c r="FE884" s="32"/>
      <c r="FF884" s="32"/>
      <c r="FG884" s="32"/>
      <c r="FH884" s="32"/>
      <c r="FI884" s="32"/>
      <c r="FJ884" s="32"/>
      <c r="FK884" s="32"/>
      <c r="FL884" s="32"/>
      <c r="FM884" s="32"/>
      <c r="FN884" s="32"/>
      <c r="FO884" s="32"/>
      <c r="FP884" s="32"/>
      <c r="FQ884" s="32"/>
      <c r="FR884" s="32"/>
      <c r="FS884" s="32"/>
      <c r="FT884" s="32"/>
      <c r="FU884" s="32"/>
      <c r="FV884" s="32"/>
      <c r="FW884" s="32"/>
      <c r="FX884" s="32"/>
      <c r="FY884" s="32"/>
      <c r="FZ884" s="32"/>
      <c r="GA884" s="32"/>
      <c r="GB884" s="32"/>
      <c r="GC884" s="32"/>
      <c r="GD884" s="32"/>
      <c r="GE884" s="32"/>
      <c r="GF884" s="32"/>
      <c r="GG884" s="32"/>
      <c r="GH884" s="32"/>
      <c r="GI884" s="32"/>
      <c r="GJ884" s="32"/>
      <c r="GK884" s="32"/>
      <c r="GL884" s="32"/>
      <c r="GM884" s="32"/>
      <c r="GN884" s="32"/>
      <c r="GO884" s="32"/>
      <c r="GP884" s="32"/>
      <c r="GQ884" s="32"/>
      <c r="GR884" s="32"/>
      <c r="GS884" s="32"/>
      <c r="GT884" s="32"/>
      <c r="GU884" s="32"/>
      <c r="GV884" s="32"/>
      <c r="GW884" s="32"/>
      <c r="GX884" s="32"/>
      <c r="GY884" s="32"/>
      <c r="GZ884" s="32"/>
      <c r="HA884" s="32"/>
      <c r="HB884" s="32"/>
      <c r="HC884" s="32"/>
      <c r="HD884" s="32"/>
      <c r="HE884" s="32"/>
      <c r="HF884" s="32"/>
      <c r="HG884" s="32"/>
      <c r="HH884" s="32"/>
      <c r="HI884" s="32"/>
      <c r="HJ884" s="32"/>
      <c r="HK884" s="32"/>
      <c r="HL884" s="32"/>
      <c r="HM884" s="32"/>
      <c r="HN884" s="32"/>
      <c r="HO884" s="32"/>
      <c r="HP884" s="32"/>
      <c r="HQ884" s="32"/>
      <c r="HR884" s="32"/>
      <c r="HS884" s="32"/>
      <c r="HT884" s="32"/>
      <c r="HU884" s="32"/>
      <c r="HV884" s="32"/>
      <c r="HW884" s="32"/>
      <c r="HX884" s="32"/>
      <c r="HY884" s="32"/>
      <c r="HZ884" s="32"/>
      <c r="IA884" s="32"/>
      <c r="IB884" s="32"/>
      <c r="IC884" s="32"/>
      <c r="ID884" s="32"/>
      <c r="IE884" s="32"/>
      <c r="IF884" s="32"/>
      <c r="IG884" s="32"/>
      <c r="IH884" s="32"/>
      <c r="II884" s="32"/>
      <c r="IJ884" s="32"/>
      <c r="IK884" s="32"/>
      <c r="IL884" s="32"/>
      <c r="IM884" s="32"/>
      <c r="IN884" s="32"/>
      <c r="IO884" s="32"/>
      <c r="IP884" s="32"/>
      <c r="IQ884" s="32"/>
      <c r="IR884" s="32"/>
      <c r="IS884" s="32"/>
      <c r="IT884" s="32"/>
      <c r="IU884" s="32"/>
      <c r="IV884" s="32"/>
      <c r="IW884" s="32"/>
      <c r="IX884" s="32"/>
      <c r="IY884" s="32"/>
      <c r="IZ884" s="32"/>
      <c r="JA884" s="32"/>
      <c r="JB884" s="32"/>
      <c r="JC884" s="32"/>
      <c r="JD884" s="32"/>
      <c r="JE884" s="32"/>
      <c r="JF884" s="32"/>
      <c r="JG884" s="32"/>
      <c r="JH884" s="32"/>
      <c r="JI884" s="32"/>
      <c r="JJ884" s="32"/>
      <c r="JK884" s="32"/>
      <c r="JL884" s="32"/>
      <c r="JM884" s="32"/>
      <c r="JN884" s="32"/>
      <c r="JO884" s="32"/>
      <c r="JP884" s="32"/>
      <c r="JQ884" s="32"/>
      <c r="JR884" s="32"/>
      <c r="JS884" s="32"/>
      <c r="JT884" s="32"/>
      <c r="JU884" s="32"/>
      <c r="JV884" s="32"/>
      <c r="JW884" s="32"/>
      <c r="JX884" s="32"/>
      <c r="JY884" s="32"/>
      <c r="JZ884" s="32"/>
      <c r="KA884" s="32"/>
      <c r="KB884" s="32"/>
      <c r="KC884" s="32"/>
      <c r="KD884" s="32"/>
      <c r="KE884" s="32"/>
    </row>
  </sheetData>
  <sortState ref="A3:KE884">
    <sortCondition ref="C3:C884" customList="职场，科技，财经，管理，社科，创业，历史，国学，心理，文学，亲子，人文，生活"/>
    <sortCondition ref="J3:J884"/>
  </sortState>
  <mergeCells count="1">
    <mergeCell ref="A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2</vt:i4>
      </vt:variant>
    </vt:vector>
  </HeadingPairs>
  <TitlesOfParts>
    <vt:vector size="10" baseType="lpstr">
      <vt:lpstr>数据统计</vt:lpstr>
      <vt:lpstr>课程列表（总）</vt:lpstr>
      <vt:lpstr>通用课</vt:lpstr>
      <vt:lpstr>岗位课</vt:lpstr>
      <vt:lpstr>商学院</vt:lpstr>
      <vt:lpstr>书籍列表（总）</vt:lpstr>
      <vt:lpstr>有声书</vt:lpstr>
      <vt:lpstr>讲书</vt:lpstr>
      <vt:lpstr>'课程列表（总）'!Criteria</vt:lpstr>
      <vt:lpstr>商学院!Criteria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xmly</dc:creator>
  <cp:lastModifiedBy>xmly</cp:lastModifiedBy>
  <dcterms:created xsi:type="dcterms:W3CDTF">2022-01-25T04:07:13Z</dcterms:created>
  <dcterms:modified xsi:type="dcterms:W3CDTF">2022-03-14T11:43:53Z</dcterms:modified>
</cp:coreProperties>
</file>