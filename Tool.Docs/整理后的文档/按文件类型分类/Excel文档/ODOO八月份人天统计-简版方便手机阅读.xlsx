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60"/>
  </bookViews>
  <sheets>
    <sheet name="Sheet1" sheetId="1" r:id="rId1"/>
  </sheets>
  <calcPr calcId="144525"/>
</workbook>
</file>

<file path=xl/sharedStrings.xml><?xml version="1.0" encoding="utf-8"?>
<sst xmlns="http://schemas.openxmlformats.org/spreadsheetml/2006/main" count="150" uniqueCount="100">
  <si>
    <t>ODOO八月份工期统计</t>
  </si>
  <si>
    <t>序号</t>
  </si>
  <si>
    <t>主模块</t>
  </si>
  <si>
    <t>子模块</t>
  </si>
  <si>
    <t>标题</t>
  </si>
  <si>
    <t>验收人</t>
  </si>
  <si>
    <t>验收时间</t>
  </si>
  <si>
    <t>备注</t>
  </si>
  <si>
    <t>人天</t>
  </si>
  <si>
    <t>合同</t>
  </si>
  <si>
    <t>合同模块中，sunny提出的内训模版优化</t>
  </si>
  <si>
    <t>sunny</t>
  </si>
  <si>
    <t>2022.8.23</t>
  </si>
  <si>
    <t>联系人</t>
  </si>
  <si>
    <t>在联系人中增加用户类型（若干字段）</t>
  </si>
  <si>
    <t>cheng</t>
  </si>
  <si>
    <t>2022.8.16</t>
  </si>
  <si>
    <t>跟cheng、袁杰沟通去重方案</t>
  </si>
  <si>
    <t>配合cheng，增加联系人类型（导师，班主任）</t>
  </si>
  <si>
    <t>重点合同档案</t>
  </si>
  <si>
    <t>和刘总沟通后需求，扩充联系人的内容，同时与重点客户档案进行关联，需求已经评审完成，还未要求开发
原型地址：https://www.pmdaniu.com/clouds/157099/b748be3081c1c896d18891c48e9de9c6-67855/start.html#g=1&amp;p=%E5%AE%A2%E6%88%B7%E7%AE%A1%E7%90%86</t>
  </si>
  <si>
    <t>CRM</t>
  </si>
  <si>
    <t>商机</t>
  </si>
  <si>
    <t>线索</t>
  </si>
  <si>
    <t>整合整理原线索模块，设计优化内容，原型地址：https://www.pmdaniu.com/clouds/157099/b748be3081c1c896d18891c48e9de9c6-67855/start.html#g=1&amp;p=crm%E7%BA%BF%E7%B4%A2</t>
  </si>
  <si>
    <t>销售</t>
  </si>
  <si>
    <t>订单</t>
  </si>
  <si>
    <t>配合cheng在订单中增加一个是否核销的字段</t>
  </si>
  <si>
    <t>袁杰</t>
  </si>
  <si>
    <t>2022.8.4</t>
  </si>
  <si>
    <t>袁杰提的需求，需要在订单列表中增加一个核销字段，数据从小助手推送，同时配合cheng对ODOO本地数据和界面进行增加</t>
  </si>
  <si>
    <t>报价单</t>
  </si>
  <si>
    <t>产品</t>
  </si>
  <si>
    <t>班级列表</t>
  </si>
  <si>
    <t>班级列表-费用</t>
  </si>
  <si>
    <t>班级列表中增加采购的模块</t>
  </si>
  <si>
    <t>新需求，在原有的班类列表中增加费用表单</t>
  </si>
  <si>
    <t>班级列表-订单</t>
  </si>
  <si>
    <t>增加规则-只显示已结算的订单信息</t>
  </si>
  <si>
    <t>2022.8.10</t>
  </si>
  <si>
    <t>新需求，班级列表中-订单列表增加筛选规则，只显示结算的订单</t>
  </si>
  <si>
    <t>数据检测</t>
  </si>
  <si>
    <t>配合cheng检查班级列表，核销状态</t>
  </si>
  <si>
    <t>根据需求，在班级列表中增加核销状态字段，配合cheng的新接口，对原有字段进行扩充</t>
  </si>
  <si>
    <t>导出数据</t>
  </si>
  <si>
    <t>通过数据库帮助袁杰导出班级列表数据</t>
  </si>
  <si>
    <t>袁杰需要班级列表数据，通过数据库导出，班级名称，客户数量，开课时间，结束时间，班主任，是否满课，利润分成，销售成本，税金，净利润，已结算，结算时间，结课时间字段的导出</t>
  </si>
  <si>
    <t>重构班级列表，根据现在高维现在的分配规则</t>
  </si>
  <si>
    <t>因公开课结算规则变更，以及用户反馈查询慢的原因，所以重构</t>
  </si>
  <si>
    <t>班主任仪表盘</t>
  </si>
  <si>
    <t>刘总</t>
  </si>
  <si>
    <t>绘制和开发完成班主任仪表盘功能，用户管理员可以通过筛选的方式选择不同的班主任和归属地对数据进行查询，同时也可以针对某一类数据进行时间段的查询，统计的数据维度为：总学友数，总企业数，累计开课总数，复购率，满意度，当堂订单量，标签完成率，新增用户数（本年），新增用户数，活跃企业数，用户占比，复购率，理想复购率（本年），课程点击数排行，当堂订单量，企业消费前二十，2C和2B营收对比，满意度，成班最快，四类用户活跃数，服务人次，创始人占比，新增用户最多，咨询的企业数，标签完成率，累计总开课数，年度开课对比</t>
  </si>
  <si>
    <t>课程经理仪表盘</t>
  </si>
  <si>
    <t>绘制和开发完成课程经理仪表盘功能，用户管理员可以通过筛选的方式选择不同的课程经理和时间段进行查询，统计的数据维度为：收入，成本，利润，不同类型课程收益，需要班级结算后可以查看</t>
  </si>
  <si>
    <t>采购</t>
  </si>
  <si>
    <t>采购订单</t>
  </si>
  <si>
    <t>解决采购订单中，删除按钮消失的问题</t>
  </si>
  <si>
    <t>2022.8.2</t>
  </si>
  <si>
    <t>在采购订单模块增加重新发送消息的功能</t>
  </si>
  <si>
    <t>在采购订单中增加給企业发消息找不到负责人的问题</t>
  </si>
  <si>
    <t>2022.8.9</t>
  </si>
  <si>
    <t>采购结算单</t>
  </si>
  <si>
    <t>修改企业负责人为空时，可直接结算采购订单</t>
  </si>
  <si>
    <t>配合袁杰，完成实际采购订单的付款流程，及消息发送</t>
  </si>
  <si>
    <t>rose</t>
  </si>
  <si>
    <t>查看采购订单模块低权限用户无法查看及保存的问题</t>
  </si>
  <si>
    <t>2022.8.19</t>
  </si>
  <si>
    <t>会计</t>
  </si>
  <si>
    <t>辅助核算组</t>
  </si>
  <si>
    <t>开发新给到的辅助核算租功能</t>
  </si>
  <si>
    <t>为满足新的公开课以及后续的后端业务的结算，修改原会计-辅助核算组功能，目前原型已经设计完成，正在开发，原型地址：https://www.pmdaniu.com/clouds/157099/b748be3081c1c896d18891c48e9de9c6-67855/start.html#g=1&amp;p=%E8%BE%85%E5%8A%A9%E6%A0%B8%E7%AE%97%E7%BB%84%EF%BC%88%E7%BE%A4%E7%BB%84%EF%BC%89
后需求又发生了变更，后端业务分成领教工坊，老师内训，老师咨询</t>
  </si>
  <si>
    <t>分成规则</t>
  </si>
  <si>
    <t>8.10日提供EXCEL</t>
  </si>
  <si>
    <t>费用</t>
  </si>
  <si>
    <t>我的费用</t>
  </si>
  <si>
    <t>解决费用模块低权限用户无法查看的问题</t>
  </si>
  <si>
    <t>费用报告</t>
  </si>
  <si>
    <t>后端业务结算</t>
  </si>
  <si>
    <t>流程：合同-自动生成分析账户-自动生成订单-后端业务结算
原型已经画完，开发只剩下后端业务结算
原型地址：https://www.pmdaniu.com/clouds/161401/e8b1c50541b2ea6ab52f6e3506a980ba-67855/start.html#g=1&amp;p=%E6%B5%81%E7%A8%8B</t>
  </si>
  <si>
    <t>其他</t>
  </si>
  <si>
    <t>接口</t>
  </si>
  <si>
    <t>配合cheng完成同步私域数据</t>
  </si>
  <si>
    <t>2022.8.3</t>
  </si>
  <si>
    <t>解决同步小助手数据问题</t>
  </si>
  <si>
    <t>配合cheng同步订单数据（是否核销）</t>
  </si>
  <si>
    <t>修改创建结算单报错的问题</t>
  </si>
  <si>
    <t>配合cheng 修改订单同时消息延时提醒</t>
  </si>
  <si>
    <t>关闭因同步订单导致的发送邮件的问题</t>
  </si>
  <si>
    <t>2022.8.5</t>
  </si>
  <si>
    <t>导入</t>
  </si>
  <si>
    <t>批量导入分析账户数据表格与需求</t>
  </si>
  <si>
    <t>2022.8.12</t>
  </si>
  <si>
    <t>演示联系人筛选投资机构，并且给出文档</t>
  </si>
  <si>
    <t>2022.8.15</t>
  </si>
  <si>
    <t>付款通知</t>
  </si>
  <si>
    <t> 付款通知增加key</t>
  </si>
  <si>
    <t>配合cheng设置发送消息的用户id</t>
  </si>
  <si>
    <t>配合cheng修改发送微信消息接口</t>
  </si>
  <si>
    <t>数据库</t>
  </si>
  <si>
    <t>配合cheng，在数据库增加openid</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</si>
</sst>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2">
    <font>
      <sz val="11"/>
      <color theme="1"/>
      <name val="宋体"/>
      <charset val="134"/>
      <scheme val="minor"/>
    </font>
    <font>
      <b/>
      <sz val="14"/>
      <color theme="1"/>
      <name val="宋体"/>
      <charset val="134"/>
      <scheme val="minor"/>
    </font>
    <font>
      <sz val="11"/>
      <color rgb="FF000000"/>
      <name val="宋体"/>
      <charset val="134"/>
    </font>
    <font>
      <sz val="11"/>
      <color theme="1"/>
      <name val="宋体"/>
      <charset val="0"/>
      <scheme val="minor"/>
    </font>
    <font>
      <b/>
      <sz val="11"/>
      <color theme="3"/>
      <name val="宋体"/>
      <charset val="134"/>
      <scheme val="minor"/>
    </font>
    <font>
      <sz val="11"/>
      <color theme="0"/>
      <name val="宋体"/>
      <charset val="0"/>
      <scheme val="minor"/>
    </font>
    <font>
      <b/>
      <sz val="13"/>
      <color theme="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sz val="11"/>
      <color rgb="FF3F3F76"/>
      <name val="宋体"/>
      <charset val="0"/>
      <scheme val="minor"/>
    </font>
    <font>
      <b/>
      <sz val="11"/>
      <color theme="1"/>
      <name val="宋体"/>
      <charset val="0"/>
      <scheme val="minor"/>
    </font>
    <font>
      <b/>
      <sz val="11"/>
      <color rgb="FFFFFFFF"/>
      <name val="宋体"/>
      <charset val="0"/>
      <scheme val="minor"/>
    </font>
    <font>
      <i/>
      <sz val="11"/>
      <color rgb="FF7F7F7F"/>
      <name val="宋体"/>
      <charset val="0"/>
      <scheme val="minor"/>
    </font>
    <font>
      <b/>
      <sz val="11"/>
      <color rgb="FF3F3F3F"/>
      <name val="宋体"/>
      <charset val="0"/>
      <scheme val="minor"/>
    </font>
    <font>
      <sz val="11"/>
      <color rgb="FF006100"/>
      <name val="宋体"/>
      <charset val="0"/>
      <scheme val="minor"/>
    </font>
    <font>
      <sz val="11"/>
      <color rgb="FF9C6500"/>
      <name val="宋体"/>
      <charset val="0"/>
      <scheme val="minor"/>
    </font>
    <font>
      <b/>
      <sz val="11"/>
      <color rgb="FFFA7D00"/>
      <name val="宋体"/>
      <charset val="0"/>
      <scheme val="minor"/>
    </font>
    <font>
      <b/>
      <sz val="15"/>
      <color theme="3"/>
      <name val="宋体"/>
      <charset val="134"/>
      <scheme val="minor"/>
    </font>
    <font>
      <sz val="11"/>
      <color rgb="FFFA7D00"/>
      <name val="宋体"/>
      <charset val="0"/>
      <scheme val="minor"/>
    </font>
    <font>
      <b/>
      <sz val="18"/>
      <color theme="3"/>
      <name val="宋体"/>
      <charset val="134"/>
      <scheme val="minor"/>
    </font>
    <font>
      <sz val="11"/>
      <color rgb="FF9C0006"/>
      <name val="宋体"/>
      <charset val="0"/>
      <scheme val="minor"/>
    </font>
  </fonts>
  <fills count="36">
    <fill>
      <patternFill patternType="none"/>
    </fill>
    <fill>
      <patternFill patternType="gray125"/>
    </fill>
    <fill>
      <patternFill patternType="solid">
        <fgColor rgb="FFBDD7EE"/>
        <bgColor indexed="64"/>
      </patternFill>
    </fill>
    <fill>
      <patternFill patternType="solid">
        <fgColor rgb="FFDEEBF7"/>
        <bgColor indexed="64"/>
      </patternFill>
    </fill>
    <fill>
      <patternFill patternType="solid">
        <fgColor theme="4" tint="0.8"/>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rgb="FFFFFFCC"/>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rgb="FFFFCC99"/>
        <bgColor indexed="64"/>
      </patternFill>
    </fill>
    <fill>
      <patternFill patternType="solid">
        <fgColor rgb="FFA5A5A5"/>
        <bgColor indexed="64"/>
      </patternFill>
    </fill>
    <fill>
      <patternFill patternType="solid">
        <fgColor rgb="FFF2F2F2"/>
        <bgColor indexed="64"/>
      </patternFill>
    </fill>
    <fill>
      <patternFill patternType="solid">
        <fgColor theme="6"/>
        <bgColor indexed="64"/>
      </patternFill>
    </fill>
    <fill>
      <patternFill patternType="solid">
        <fgColor theme="4"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8"/>
        <bgColor indexed="64"/>
      </patternFill>
    </fill>
    <fill>
      <patternFill patternType="solid">
        <fgColor theme="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C7CE"/>
        <bgColor indexed="64"/>
      </patternFill>
    </fill>
  </fills>
  <borders count="1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5" fillId="23" borderId="0" applyNumberFormat="0" applyBorder="0" applyAlignment="0" applyProtection="0">
      <alignment vertical="center"/>
    </xf>
    <xf numFmtId="0" fontId="3" fillId="34" borderId="0" applyNumberFormat="0" applyBorder="0" applyAlignment="0" applyProtection="0">
      <alignment vertical="center"/>
    </xf>
    <xf numFmtId="0" fontId="5" fillId="7" borderId="0" applyNumberFormat="0" applyBorder="0" applyAlignment="0" applyProtection="0">
      <alignment vertical="center"/>
    </xf>
    <xf numFmtId="0" fontId="10" fillId="15" borderId="13" applyNumberFormat="0" applyAlignment="0" applyProtection="0">
      <alignment vertical="center"/>
    </xf>
    <xf numFmtId="0" fontId="3" fillId="9" borderId="0" applyNumberFormat="0" applyBorder="0" applyAlignment="0" applyProtection="0">
      <alignment vertical="center"/>
    </xf>
    <xf numFmtId="0" fontId="3" fillId="33" borderId="0" applyNumberFormat="0" applyBorder="0" applyAlignment="0" applyProtection="0">
      <alignment vertical="center"/>
    </xf>
    <xf numFmtId="44" fontId="0" fillId="0" borderId="0" applyFont="0" applyFill="0" applyBorder="0" applyAlignment="0" applyProtection="0">
      <alignment vertical="center"/>
    </xf>
    <xf numFmtId="0" fontId="5" fillId="18" borderId="0" applyNumberFormat="0" applyBorder="0" applyAlignment="0" applyProtection="0">
      <alignment vertical="center"/>
    </xf>
    <xf numFmtId="9" fontId="0" fillId="0" borderId="0" applyFont="0" applyFill="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26" borderId="0" applyNumberFormat="0" applyBorder="0" applyAlignment="0" applyProtection="0">
      <alignment vertical="center"/>
    </xf>
    <xf numFmtId="0" fontId="17" fillId="17" borderId="13" applyNumberFormat="0" applyAlignment="0" applyProtection="0">
      <alignment vertical="center"/>
    </xf>
    <xf numFmtId="0" fontId="5" fillId="32" borderId="0" applyNumberFormat="0" applyBorder="0" applyAlignment="0" applyProtection="0">
      <alignment vertical="center"/>
    </xf>
    <xf numFmtId="0" fontId="16" fillId="21" borderId="0" applyNumberFormat="0" applyBorder="0" applyAlignment="0" applyProtection="0">
      <alignment vertical="center"/>
    </xf>
    <xf numFmtId="0" fontId="3" fillId="8" borderId="0" applyNumberFormat="0" applyBorder="0" applyAlignment="0" applyProtection="0">
      <alignment vertical="center"/>
    </xf>
    <xf numFmtId="0" fontId="15" fillId="20" borderId="0" applyNumberFormat="0" applyBorder="0" applyAlignment="0" applyProtection="0">
      <alignment vertical="center"/>
    </xf>
    <xf numFmtId="0" fontId="3" fillId="19" borderId="0" applyNumberFormat="0" applyBorder="0" applyAlignment="0" applyProtection="0">
      <alignment vertical="center"/>
    </xf>
    <xf numFmtId="0" fontId="11" fillId="0" borderId="14" applyNumberFormat="0" applyFill="0" applyAlignment="0" applyProtection="0">
      <alignment vertical="center"/>
    </xf>
    <xf numFmtId="0" fontId="21" fillId="35" borderId="0" applyNumberFormat="0" applyBorder="0" applyAlignment="0" applyProtection="0">
      <alignment vertical="center"/>
    </xf>
    <xf numFmtId="0" fontId="12" fillId="16" borderId="15" applyNumberFormat="0" applyAlignment="0" applyProtection="0">
      <alignment vertical="center"/>
    </xf>
    <xf numFmtId="0" fontId="14" fillId="17" borderId="16" applyNumberFormat="0" applyAlignment="0" applyProtection="0">
      <alignment vertical="center"/>
    </xf>
    <xf numFmtId="0" fontId="18" fillId="0" borderId="11" applyNumberFormat="0" applyFill="0" applyAlignment="0" applyProtection="0">
      <alignment vertical="center"/>
    </xf>
    <xf numFmtId="0" fontId="13" fillId="0" borderId="0" applyNumberFormat="0" applyFill="0" applyBorder="0" applyAlignment="0" applyProtection="0">
      <alignment vertical="center"/>
    </xf>
    <xf numFmtId="0" fontId="3" fillId="11"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4"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 fillId="22" borderId="0" applyNumberFormat="0" applyBorder="0" applyAlignment="0" applyProtection="0">
      <alignment vertical="center"/>
    </xf>
    <xf numFmtId="0" fontId="9" fillId="0" borderId="0" applyNumberFormat="0" applyFill="0" applyBorder="0" applyAlignment="0" applyProtection="0">
      <alignment vertical="center"/>
    </xf>
    <xf numFmtId="0" fontId="5" fillId="12" borderId="0" applyNumberFormat="0" applyBorder="0" applyAlignment="0" applyProtection="0">
      <alignment vertical="center"/>
    </xf>
    <xf numFmtId="0" fontId="0" fillId="10" borderId="12" applyNumberFormat="0" applyFont="0" applyAlignment="0" applyProtection="0">
      <alignment vertical="center"/>
    </xf>
    <xf numFmtId="0" fontId="3" fillId="28" borderId="0" applyNumberFormat="0" applyBorder="0" applyAlignment="0" applyProtection="0">
      <alignment vertical="center"/>
    </xf>
    <xf numFmtId="0" fontId="5" fillId="31" borderId="0" applyNumberFormat="0" applyBorder="0" applyAlignment="0" applyProtection="0">
      <alignment vertical="center"/>
    </xf>
    <xf numFmtId="0" fontId="3" fillId="29"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11" applyNumberFormat="0" applyFill="0" applyAlignment="0" applyProtection="0">
      <alignment vertical="center"/>
    </xf>
    <xf numFmtId="0" fontId="3" fillId="6" borderId="0" applyNumberFormat="0" applyBorder="0" applyAlignment="0" applyProtection="0">
      <alignment vertical="center"/>
    </xf>
    <xf numFmtId="0" fontId="4" fillId="0" borderId="10" applyNumberFormat="0" applyFill="0" applyAlignment="0" applyProtection="0">
      <alignment vertical="center"/>
    </xf>
    <xf numFmtId="0" fontId="5" fillId="13" borderId="0" applyNumberFormat="0" applyBorder="0" applyAlignment="0" applyProtection="0">
      <alignment vertical="center"/>
    </xf>
    <xf numFmtId="0" fontId="3" fillId="5" borderId="0" applyNumberFormat="0" applyBorder="0" applyAlignment="0" applyProtection="0">
      <alignment vertical="center"/>
    </xf>
    <xf numFmtId="0" fontId="19" fillId="0" borderId="17" applyNumberFormat="0" applyFill="0" applyAlignment="0" applyProtection="0">
      <alignment vertical="center"/>
    </xf>
  </cellStyleXfs>
  <cellXfs count="25">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0" fillId="3" borderId="0" xfId="0" applyFill="1" applyBorder="1" applyAlignment="1">
      <alignment horizontal="center" vertical="center"/>
    </xf>
    <xf numFmtId="0" fontId="0" fillId="3" borderId="0" xfId="0" applyFill="1" applyBorder="1" applyAlignment="1">
      <alignment horizontal="center" vertical="center" wrapText="1"/>
    </xf>
    <xf numFmtId="0" fontId="0" fillId="0" borderId="3" xfId="0" applyBorder="1" applyAlignment="1">
      <alignment horizontal="center" vertical="center"/>
    </xf>
    <xf numFmtId="0" fontId="2" fillId="0" borderId="0" xfId="0" applyFont="1" applyBorder="1" applyAlignment="1">
      <alignment horizontal="center" vertical="center"/>
    </xf>
    <xf numFmtId="0" fontId="0" fillId="0" borderId="0" xfId="0"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0" fillId="0" borderId="0"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1" fillId="2" borderId="6" xfId="0" applyFont="1" applyFill="1" applyBorder="1" applyAlignment="1">
      <alignment horizontal="center" vertical="center"/>
    </xf>
    <xf numFmtId="0" fontId="0" fillId="3" borderId="0" xfId="0" applyFont="1" applyFill="1" applyBorder="1" applyAlignment="1" applyProtection="1">
      <alignment horizontal="center" vertical="center"/>
      <protection locked="0"/>
    </xf>
    <xf numFmtId="0" fontId="0" fillId="4" borderId="7" xfId="0" applyFill="1" applyBorder="1">
      <alignment vertical="center"/>
    </xf>
    <xf numFmtId="0" fontId="0" fillId="0" borderId="7" xfId="0" applyBorder="1">
      <alignment vertical="center"/>
    </xf>
    <xf numFmtId="0" fontId="0" fillId="0" borderId="0" xfId="0" applyBorder="1" applyAlignment="1">
      <alignment horizontal="center" vertical="center" wrapText="1"/>
    </xf>
    <xf numFmtId="0" fontId="2" fillId="0" borderId="0" xfId="0" applyFont="1" applyBorder="1" applyAlignment="1">
      <alignment horizontal="center" vertical="center" wrapText="1"/>
    </xf>
    <xf numFmtId="0" fontId="0" fillId="0" borderId="8" xfId="0" applyBorder="1">
      <alignment vertical="center"/>
    </xf>
    <xf numFmtId="0" fontId="0" fillId="0" borderId="9" xfId="0" applyBorder="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tabSelected="1" zoomScale="111" zoomScaleNormal="111" workbookViewId="0">
      <selection activeCell="I6" sqref="I6"/>
    </sheetView>
  </sheetViews>
  <sheetFormatPr defaultColWidth="8.72115384615385" defaultRowHeight="16.8" outlineLevelCol="7"/>
  <cols>
    <col min="1" max="1" width="6.20192307692308" style="1" customWidth="1"/>
    <col min="2" max="2" width="7.35576923076923" style="1" customWidth="1"/>
    <col min="3" max="3" width="8.65384615384615" style="1" customWidth="1"/>
    <col min="4" max="4" width="38.9807692307692" style="2" customWidth="1"/>
    <col min="5" max="5" width="6.625" style="1" customWidth="1"/>
    <col min="6" max="6" width="9.24038461538461" style="1" customWidth="1"/>
    <col min="7" max="7" width="28.7211538461538" style="1" customWidth="1"/>
    <col min="8" max="8" width="5.48076923076923" customWidth="1"/>
  </cols>
  <sheetData>
    <row r="1" ht="25.5" customHeight="1" spans="1:8">
      <c r="A1" s="3" t="s">
        <v>0</v>
      </c>
      <c r="B1" s="4"/>
      <c r="C1" s="4"/>
      <c r="D1" s="4"/>
      <c r="E1" s="4"/>
      <c r="F1" s="4"/>
      <c r="G1" s="4"/>
      <c r="H1" s="17"/>
    </row>
    <row r="2" ht="17" spans="1:8">
      <c r="A2" s="5" t="s">
        <v>1</v>
      </c>
      <c r="B2" s="6" t="s">
        <v>2</v>
      </c>
      <c r="C2" s="6" t="s">
        <v>3</v>
      </c>
      <c r="D2" s="7" t="s">
        <v>4</v>
      </c>
      <c r="E2" s="18" t="s">
        <v>5</v>
      </c>
      <c r="F2" s="18" t="s">
        <v>6</v>
      </c>
      <c r="G2" s="18" t="s">
        <v>7</v>
      </c>
      <c r="H2" s="19" t="s">
        <v>8</v>
      </c>
    </row>
    <row r="3" ht="17" spans="1:8">
      <c r="A3" s="8">
        <v>1</v>
      </c>
      <c r="B3" s="9" t="s">
        <v>9</v>
      </c>
      <c r="C3" s="9" t="s">
        <v>9</v>
      </c>
      <c r="D3" s="10" t="s">
        <v>10</v>
      </c>
      <c r="E3" s="13" t="s">
        <v>11</v>
      </c>
      <c r="F3" s="9" t="s">
        <v>12</v>
      </c>
      <c r="G3" s="13"/>
      <c r="H3" s="20">
        <v>1</v>
      </c>
    </row>
    <row r="4" ht="17" spans="1:8">
      <c r="A4" s="8">
        <v>2</v>
      </c>
      <c r="B4" s="9" t="s">
        <v>13</v>
      </c>
      <c r="C4" s="9" t="s">
        <v>13</v>
      </c>
      <c r="D4" s="10" t="s">
        <v>14</v>
      </c>
      <c r="E4" s="9" t="s">
        <v>15</v>
      </c>
      <c r="F4" s="9" t="s">
        <v>16</v>
      </c>
      <c r="G4" s="9" t="s">
        <v>17</v>
      </c>
      <c r="H4" s="20">
        <v>0.3</v>
      </c>
    </row>
    <row r="5" ht="34" spans="1:8">
      <c r="A5" s="8">
        <v>3</v>
      </c>
      <c r="B5" s="9"/>
      <c r="C5" s="9" t="s">
        <v>13</v>
      </c>
      <c r="D5" s="10" t="s">
        <v>18</v>
      </c>
      <c r="E5" s="13"/>
      <c r="F5" s="13"/>
      <c r="G5" s="13"/>
      <c r="H5" s="20">
        <v>0.3</v>
      </c>
    </row>
    <row r="6" ht="185" spans="1:8">
      <c r="A6" s="8">
        <v>4</v>
      </c>
      <c r="B6" s="9"/>
      <c r="C6" s="9" t="s">
        <v>19</v>
      </c>
      <c r="D6" s="10"/>
      <c r="E6" s="13"/>
      <c r="F6" s="13"/>
      <c r="G6" s="21" t="s">
        <v>20</v>
      </c>
      <c r="H6" s="20"/>
    </row>
    <row r="7" spans="1:8">
      <c r="A7" s="8">
        <v>5</v>
      </c>
      <c r="B7" s="9" t="s">
        <v>21</v>
      </c>
      <c r="C7" s="9" t="s">
        <v>22</v>
      </c>
      <c r="D7" s="10"/>
      <c r="E7" s="13"/>
      <c r="F7" s="13"/>
      <c r="G7" s="13"/>
      <c r="H7" s="20"/>
    </row>
    <row r="8" ht="118" spans="1:8">
      <c r="A8" s="8">
        <v>6</v>
      </c>
      <c r="B8" s="9"/>
      <c r="C8" s="9" t="s">
        <v>23</v>
      </c>
      <c r="D8" s="10"/>
      <c r="E8" s="13"/>
      <c r="F8" s="13"/>
      <c r="G8" s="21" t="s">
        <v>24</v>
      </c>
      <c r="H8" s="20"/>
    </row>
    <row r="9" ht="68" spans="1:8">
      <c r="A9" s="8">
        <v>7</v>
      </c>
      <c r="B9" s="9" t="s">
        <v>25</v>
      </c>
      <c r="C9" s="9" t="s">
        <v>26</v>
      </c>
      <c r="D9" s="10" t="s">
        <v>27</v>
      </c>
      <c r="E9" s="9" t="s">
        <v>28</v>
      </c>
      <c r="F9" s="9" t="s">
        <v>29</v>
      </c>
      <c r="G9" s="21" t="s">
        <v>30</v>
      </c>
      <c r="H9" s="20">
        <v>1</v>
      </c>
    </row>
    <row r="10" spans="1:8">
      <c r="A10" s="8">
        <v>8</v>
      </c>
      <c r="B10" s="9"/>
      <c r="C10" s="9" t="s">
        <v>31</v>
      </c>
      <c r="D10" s="10"/>
      <c r="E10" s="13"/>
      <c r="F10" s="13"/>
      <c r="G10" s="13"/>
      <c r="H10" s="20"/>
    </row>
    <row r="11" spans="1:8">
      <c r="A11" s="8">
        <v>9</v>
      </c>
      <c r="B11" s="9"/>
      <c r="C11" s="9" t="s">
        <v>32</v>
      </c>
      <c r="D11" s="10"/>
      <c r="E11" s="13"/>
      <c r="F11" s="13"/>
      <c r="G11" s="13"/>
      <c r="H11" s="20"/>
    </row>
    <row r="12" ht="34" spans="1:8">
      <c r="A12" s="8">
        <v>10</v>
      </c>
      <c r="B12" s="9" t="s">
        <v>33</v>
      </c>
      <c r="C12" s="9" t="s">
        <v>34</v>
      </c>
      <c r="D12" s="11" t="s">
        <v>35</v>
      </c>
      <c r="E12" s="9" t="s">
        <v>28</v>
      </c>
      <c r="F12" s="13"/>
      <c r="G12" s="21" t="s">
        <v>36</v>
      </c>
      <c r="H12" s="20">
        <v>1.5</v>
      </c>
    </row>
    <row r="13" ht="34" spans="1:8">
      <c r="A13" s="8">
        <v>11</v>
      </c>
      <c r="B13" s="9"/>
      <c r="C13" s="9" t="s">
        <v>37</v>
      </c>
      <c r="D13" s="11" t="s">
        <v>38</v>
      </c>
      <c r="E13" s="9" t="s">
        <v>28</v>
      </c>
      <c r="F13" s="9" t="s">
        <v>39</v>
      </c>
      <c r="G13" s="21" t="s">
        <v>40</v>
      </c>
      <c r="H13" s="20">
        <v>1.5</v>
      </c>
    </row>
    <row r="14" ht="51" spans="1:8">
      <c r="A14" s="8">
        <v>12</v>
      </c>
      <c r="B14" s="9"/>
      <c r="C14" s="9" t="s">
        <v>41</v>
      </c>
      <c r="D14" s="11" t="s">
        <v>42</v>
      </c>
      <c r="E14" s="9" t="s">
        <v>15</v>
      </c>
      <c r="F14" s="9" t="s">
        <v>29</v>
      </c>
      <c r="G14" s="21" t="s">
        <v>43</v>
      </c>
      <c r="H14" s="20">
        <v>1</v>
      </c>
    </row>
    <row r="15" ht="101" spans="1:8">
      <c r="A15" s="8">
        <v>13</v>
      </c>
      <c r="B15" s="9"/>
      <c r="C15" s="9" t="s">
        <v>44</v>
      </c>
      <c r="D15" s="11" t="s">
        <v>45</v>
      </c>
      <c r="E15" s="9" t="s">
        <v>28</v>
      </c>
      <c r="F15" s="9" t="s">
        <v>29</v>
      </c>
      <c r="G15" s="21" t="s">
        <v>46</v>
      </c>
      <c r="H15" s="20">
        <v>1.5</v>
      </c>
    </row>
    <row r="16" ht="34" spans="1:8">
      <c r="A16" s="8">
        <v>14</v>
      </c>
      <c r="B16" s="9"/>
      <c r="C16" s="9" t="s">
        <v>33</v>
      </c>
      <c r="D16" s="12" t="s">
        <v>47</v>
      </c>
      <c r="E16" s="13"/>
      <c r="F16" s="13"/>
      <c r="G16" s="21" t="s">
        <v>48</v>
      </c>
      <c r="H16" s="20">
        <v>10</v>
      </c>
    </row>
    <row r="17" ht="286" spans="1:8">
      <c r="A17" s="8">
        <v>15</v>
      </c>
      <c r="B17" s="9" t="s">
        <v>49</v>
      </c>
      <c r="C17" s="9"/>
      <c r="D17" s="10"/>
      <c r="E17" s="9" t="s">
        <v>50</v>
      </c>
      <c r="F17" s="13"/>
      <c r="G17" s="21" t="s">
        <v>51</v>
      </c>
      <c r="H17" s="20"/>
    </row>
    <row r="18" ht="101" spans="1:8">
      <c r="A18" s="8">
        <v>16</v>
      </c>
      <c r="B18" s="9" t="s">
        <v>52</v>
      </c>
      <c r="C18" s="9"/>
      <c r="D18" s="10"/>
      <c r="E18" s="13"/>
      <c r="F18" s="13"/>
      <c r="G18" s="21" t="s">
        <v>53</v>
      </c>
      <c r="H18" s="20">
        <v>1</v>
      </c>
    </row>
    <row r="19" ht="17" spans="1:8">
      <c r="A19" s="8">
        <v>17</v>
      </c>
      <c r="B19" s="9" t="s">
        <v>54</v>
      </c>
      <c r="C19" s="9" t="s">
        <v>55</v>
      </c>
      <c r="D19" s="11" t="s">
        <v>56</v>
      </c>
      <c r="E19" s="9" t="s">
        <v>28</v>
      </c>
      <c r="F19" s="9" t="s">
        <v>57</v>
      </c>
      <c r="G19" s="13"/>
      <c r="H19" s="20">
        <v>0.5</v>
      </c>
    </row>
    <row r="20" ht="17" spans="1:8">
      <c r="A20" s="8">
        <v>18</v>
      </c>
      <c r="B20" s="9"/>
      <c r="C20" s="9" t="s">
        <v>55</v>
      </c>
      <c r="D20" s="11" t="s">
        <v>58</v>
      </c>
      <c r="E20" s="9" t="s">
        <v>28</v>
      </c>
      <c r="F20" s="9" t="s">
        <v>39</v>
      </c>
      <c r="G20" s="13"/>
      <c r="H20" s="20">
        <v>2</v>
      </c>
    </row>
    <row r="21" ht="34" spans="1:8">
      <c r="A21" s="8">
        <v>19</v>
      </c>
      <c r="B21" s="9"/>
      <c r="C21" s="9" t="s">
        <v>55</v>
      </c>
      <c r="D21" s="11" t="s">
        <v>59</v>
      </c>
      <c r="E21" s="9" t="s">
        <v>28</v>
      </c>
      <c r="F21" s="9" t="s">
        <v>60</v>
      </c>
      <c r="G21" s="13"/>
      <c r="H21" s="20">
        <v>0.5</v>
      </c>
    </row>
    <row r="22" ht="17" spans="1:8">
      <c r="A22" s="8">
        <v>20</v>
      </c>
      <c r="B22" s="9"/>
      <c r="C22" s="9" t="s">
        <v>61</v>
      </c>
      <c r="D22" s="11" t="s">
        <v>62</v>
      </c>
      <c r="E22" s="9" t="s">
        <v>28</v>
      </c>
      <c r="F22" s="9" t="s">
        <v>60</v>
      </c>
      <c r="G22" s="13"/>
      <c r="H22" s="20">
        <v>1</v>
      </c>
    </row>
    <row r="23" ht="34" spans="1:8">
      <c r="A23" s="8">
        <v>21</v>
      </c>
      <c r="B23" s="9"/>
      <c r="C23" s="9" t="s">
        <v>55</v>
      </c>
      <c r="D23" s="11" t="s">
        <v>63</v>
      </c>
      <c r="E23" s="9" t="s">
        <v>64</v>
      </c>
      <c r="F23" s="9"/>
      <c r="G23" s="13"/>
      <c r="H23" s="20">
        <v>1.5</v>
      </c>
    </row>
    <row r="24" ht="34" spans="1:8">
      <c r="A24" s="8">
        <v>22</v>
      </c>
      <c r="B24" s="9"/>
      <c r="C24" s="9" t="s">
        <v>55</v>
      </c>
      <c r="D24" s="11" t="s">
        <v>65</v>
      </c>
      <c r="E24" s="9" t="s">
        <v>28</v>
      </c>
      <c r="F24" s="9" t="s">
        <v>66</v>
      </c>
      <c r="G24" s="13"/>
      <c r="H24" s="20">
        <v>1</v>
      </c>
    </row>
    <row r="25" ht="236" spans="1:8">
      <c r="A25" s="8">
        <v>23</v>
      </c>
      <c r="B25" s="9" t="s">
        <v>67</v>
      </c>
      <c r="C25" s="9" t="s">
        <v>68</v>
      </c>
      <c r="D25" s="11" t="s">
        <v>69</v>
      </c>
      <c r="E25" s="13"/>
      <c r="F25" s="13"/>
      <c r="G25" s="21" t="s">
        <v>70</v>
      </c>
      <c r="H25" s="20">
        <v>2</v>
      </c>
    </row>
    <row r="26" spans="1:8">
      <c r="A26" s="8">
        <v>24</v>
      </c>
      <c r="B26" s="9"/>
      <c r="C26" s="9" t="s">
        <v>71</v>
      </c>
      <c r="D26" s="11"/>
      <c r="E26" s="9" t="s">
        <v>28</v>
      </c>
      <c r="F26" s="13"/>
      <c r="G26" s="9" t="s">
        <v>72</v>
      </c>
      <c r="H26" s="20">
        <v>0.5</v>
      </c>
    </row>
    <row r="27" ht="17" spans="1:8">
      <c r="A27" s="8">
        <v>27</v>
      </c>
      <c r="B27" s="9" t="s">
        <v>73</v>
      </c>
      <c r="C27" s="9" t="s">
        <v>74</v>
      </c>
      <c r="D27" s="11" t="s">
        <v>75</v>
      </c>
      <c r="E27" s="9" t="s">
        <v>28</v>
      </c>
      <c r="F27" s="9" t="s">
        <v>66</v>
      </c>
      <c r="G27" s="13"/>
      <c r="H27" s="20">
        <v>0.5</v>
      </c>
    </row>
    <row r="28" spans="1:8">
      <c r="A28" s="8">
        <v>28</v>
      </c>
      <c r="B28" s="9"/>
      <c r="C28" s="9" t="s">
        <v>76</v>
      </c>
      <c r="D28" s="10"/>
      <c r="E28" s="13"/>
      <c r="F28" s="13"/>
      <c r="G28" s="13"/>
      <c r="H28" s="20"/>
    </row>
    <row r="29" ht="168" spans="1:8">
      <c r="A29" s="8">
        <v>29</v>
      </c>
      <c r="B29" s="9" t="s">
        <v>77</v>
      </c>
      <c r="C29" s="9" t="s">
        <v>77</v>
      </c>
      <c r="D29" s="10"/>
      <c r="E29" s="13"/>
      <c r="F29" s="13"/>
      <c r="G29" s="21" t="s">
        <v>78</v>
      </c>
      <c r="H29" s="20">
        <v>2</v>
      </c>
    </row>
    <row r="30" ht="17" spans="1:8">
      <c r="A30" s="8">
        <v>31</v>
      </c>
      <c r="B30" s="9" t="s">
        <v>79</v>
      </c>
      <c r="C30" s="9" t="s">
        <v>80</v>
      </c>
      <c r="D30" s="11" t="s">
        <v>81</v>
      </c>
      <c r="E30" s="9" t="s">
        <v>15</v>
      </c>
      <c r="F30" s="9" t="s">
        <v>82</v>
      </c>
      <c r="G30" s="13"/>
      <c r="H30" s="20">
        <v>0.5</v>
      </c>
    </row>
    <row r="31" ht="17" spans="1:8">
      <c r="A31" s="8">
        <v>32</v>
      </c>
      <c r="B31" s="9"/>
      <c r="C31" s="9" t="s">
        <v>80</v>
      </c>
      <c r="D31" s="10" t="s">
        <v>83</v>
      </c>
      <c r="E31" s="9" t="s">
        <v>28</v>
      </c>
      <c r="F31" s="9" t="s">
        <v>82</v>
      </c>
      <c r="G31" s="13"/>
      <c r="H31" s="20">
        <v>0.5</v>
      </c>
    </row>
    <row r="32" ht="17" spans="1:8">
      <c r="A32" s="8">
        <v>33</v>
      </c>
      <c r="B32" s="9"/>
      <c r="C32" s="9" t="s">
        <v>80</v>
      </c>
      <c r="D32" s="10" t="s">
        <v>84</v>
      </c>
      <c r="E32" s="9" t="s">
        <v>15</v>
      </c>
      <c r="F32" s="9" t="s">
        <v>82</v>
      </c>
      <c r="G32" s="13"/>
      <c r="H32" s="20">
        <v>0.3</v>
      </c>
    </row>
    <row r="33" ht="17" spans="1:8">
      <c r="A33" s="8">
        <v>34</v>
      </c>
      <c r="B33" s="9"/>
      <c r="C33" s="9" t="s">
        <v>80</v>
      </c>
      <c r="D33" s="10" t="s">
        <v>85</v>
      </c>
      <c r="E33" s="9" t="s">
        <v>28</v>
      </c>
      <c r="F33" s="9" t="s">
        <v>82</v>
      </c>
      <c r="G33" s="13"/>
      <c r="H33" s="20">
        <v>0.5</v>
      </c>
    </row>
    <row r="34" ht="17" spans="1:8">
      <c r="A34" s="8">
        <v>35</v>
      </c>
      <c r="B34" s="9"/>
      <c r="C34" s="9" t="s">
        <v>80</v>
      </c>
      <c r="D34" s="10" t="s">
        <v>86</v>
      </c>
      <c r="E34" s="9" t="s">
        <v>15</v>
      </c>
      <c r="F34" s="9" t="s">
        <v>29</v>
      </c>
      <c r="G34" s="13"/>
      <c r="H34" s="20">
        <v>0.3</v>
      </c>
    </row>
    <row r="35" ht="17" spans="1:8">
      <c r="A35" s="8">
        <v>36</v>
      </c>
      <c r="B35" s="9"/>
      <c r="C35" s="9" t="s">
        <v>80</v>
      </c>
      <c r="D35" s="10" t="s">
        <v>87</v>
      </c>
      <c r="E35" s="9" t="s">
        <v>50</v>
      </c>
      <c r="F35" s="9" t="s">
        <v>88</v>
      </c>
      <c r="G35" s="13"/>
      <c r="H35" s="20">
        <v>0.3</v>
      </c>
    </row>
    <row r="36" ht="17" spans="1:8">
      <c r="A36" s="8">
        <v>37</v>
      </c>
      <c r="B36" s="9"/>
      <c r="C36" s="9" t="s">
        <v>89</v>
      </c>
      <c r="D36" s="11" t="s">
        <v>90</v>
      </c>
      <c r="E36" s="9" t="s">
        <v>28</v>
      </c>
      <c r="F36" s="9" t="s">
        <v>91</v>
      </c>
      <c r="G36" s="22"/>
      <c r="H36" s="20">
        <v>1</v>
      </c>
    </row>
    <row r="37" ht="17" spans="1:8">
      <c r="A37" s="8">
        <v>39</v>
      </c>
      <c r="B37" s="9"/>
      <c r="C37" s="13"/>
      <c r="D37" s="10" t="s">
        <v>92</v>
      </c>
      <c r="E37" s="9" t="s">
        <v>50</v>
      </c>
      <c r="F37" s="9" t="s">
        <v>93</v>
      </c>
      <c r="G37" s="13"/>
      <c r="H37" s="20">
        <v>0.4</v>
      </c>
    </row>
    <row r="38" ht="17" spans="1:8">
      <c r="A38" s="8">
        <v>40</v>
      </c>
      <c r="B38" s="9"/>
      <c r="C38" s="9" t="s">
        <v>94</v>
      </c>
      <c r="D38" s="10" t="s">
        <v>95</v>
      </c>
      <c r="E38" s="13"/>
      <c r="F38" s="13"/>
      <c r="G38" s="13"/>
      <c r="H38" s="20">
        <v>0.2</v>
      </c>
    </row>
    <row r="39" ht="17" spans="1:8">
      <c r="A39" s="8">
        <v>41</v>
      </c>
      <c r="B39" s="9"/>
      <c r="C39" s="9" t="s">
        <v>80</v>
      </c>
      <c r="D39" s="11" t="s">
        <v>96</v>
      </c>
      <c r="E39" s="9" t="s">
        <v>15</v>
      </c>
      <c r="F39" s="9" t="s">
        <v>60</v>
      </c>
      <c r="G39" s="13"/>
      <c r="H39" s="20">
        <v>0.2</v>
      </c>
    </row>
    <row r="40" ht="17" spans="1:8">
      <c r="A40" s="8">
        <v>42</v>
      </c>
      <c r="B40" s="9"/>
      <c r="C40" s="9" t="s">
        <v>80</v>
      </c>
      <c r="D40" s="10" t="s">
        <v>97</v>
      </c>
      <c r="E40" s="9" t="s">
        <v>15</v>
      </c>
      <c r="F40" s="9" t="s">
        <v>39</v>
      </c>
      <c r="G40" s="13"/>
      <c r="H40" s="20">
        <v>1.5</v>
      </c>
    </row>
    <row r="41" ht="17" spans="1:8">
      <c r="A41" s="8">
        <v>43</v>
      </c>
      <c r="B41" s="9"/>
      <c r="C41" s="9" t="s">
        <v>98</v>
      </c>
      <c r="D41" s="10" t="s">
        <v>99</v>
      </c>
      <c r="E41" s="9" t="s">
        <v>15</v>
      </c>
      <c r="F41" s="9" t="s">
        <v>39</v>
      </c>
      <c r="G41" s="13"/>
      <c r="H41" s="20">
        <v>0.2</v>
      </c>
    </row>
    <row r="42" ht="17.55" spans="1:8">
      <c r="A42" s="14"/>
      <c r="B42" s="15"/>
      <c r="C42" s="15"/>
      <c r="D42" s="16"/>
      <c r="E42" s="15"/>
      <c r="F42" s="15"/>
      <c r="G42" s="15"/>
      <c r="H42" s="23"/>
    </row>
    <row r="43" ht="17.55"/>
    <row r="44" ht="17.55" spans="8:8">
      <c r="H44" s="24">
        <f>SUM(H3:H42)</f>
        <v>36.5</v>
      </c>
    </row>
  </sheetData>
  <sheetProtection formatCells="0" insertHyperlinks="0" autoFilter="0"/>
  <mergeCells count="9">
    <mergeCell ref="A1:H1"/>
    <mergeCell ref="B4:B6"/>
    <mergeCell ref="B7:B8"/>
    <mergeCell ref="B9:B11"/>
    <mergeCell ref="B12:B16"/>
    <mergeCell ref="B19:B24"/>
    <mergeCell ref="B25:B26"/>
    <mergeCell ref="B27:B28"/>
    <mergeCell ref="B30:B4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WWO_wpscloud_20220825184232-d845945dc6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懒骨头</cp:lastModifiedBy>
  <dcterms:created xsi:type="dcterms:W3CDTF">2022-08-26T18:38:00Z</dcterms:created>
  <dcterms:modified xsi:type="dcterms:W3CDTF">2022-09-01T14:10:42Z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631F51022E3644BB813B83C99F40344D</vt:lpwstr>
  </property>
  <property fmtid="{D5CDD505-2E9C-101B-9397-08002B2CF9AE}" pid="3" name="KSOProductBuildVer">
    <vt:lpwstr>2052-4.5.0.7415</vt:lpwstr>
  </property>
</Properties>
</file>