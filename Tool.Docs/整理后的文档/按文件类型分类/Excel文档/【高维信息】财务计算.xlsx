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0" windowHeight="16660"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<sst xmlns="http://schemas.openxmlformats.org/spreadsheetml/2006/main" uniqueCount="21" count="21">
  <si>
    <t>财务情况</t>
  </si>
  <si>
    <t>总分配情况</t>
  </si>
  <si>
    <t>其他分配金额</t>
  </si>
  <si>
    <t>三位合伙人</t>
  </si>
  <si>
    <t>累积未分配利润</t>
  </si>
  <si>
    <t>慧余</t>
  </si>
  <si>
    <t>股东</t>
  </si>
  <si>
    <t>比例</t>
  </si>
  <si>
    <t>金额</t>
  </si>
  <si>
    <t>系数</t>
  </si>
  <si>
    <t>净利润</t>
  </si>
  <si>
    <t>林传科</t>
  </si>
  <si>
    <t>合计</t>
  </si>
  <si>
    <t>刘伟</t>
  </si>
  <si>
    <t>刘发军</t>
  </si>
  <si>
    <t>直接持股比例</t>
  </si>
  <si>
    <t>分红金额</t>
  </si>
  <si>
    <t>高维投资（深圳）有限责任公司</t>
  </si>
  <si>
    <t>林传科（代持）</t>
  </si>
  <si>
    <t>冯卫东</t>
  </si>
  <si>
    <t>林慧余</t>
  </si>
</sst>
</file>

<file path=xl/styles.xml><?xml version="1.0" encoding="utf-8"?>
<styleSheet xmlns="http://schemas.openxmlformats.org/spreadsheetml/2006/main">
  <numFmts count="5">
    <numFmt numFmtId="0" formatCode="General"/>
    <numFmt numFmtId="31" formatCode="yyyy&quot;年&quot;m&quot;月&quot;d&quot;日&quot;"/>
    <numFmt numFmtId="43" formatCode="_ * #,##0.00_ ;_ * \-#,##0.00_ ;_ * &quot;-&quot;??_ ;_ @_ "/>
    <numFmt numFmtId="9" formatCode="0%"/>
    <numFmt numFmtId="10" formatCode="0.00%"/>
  </numFmts>
  <fonts count="2">
    <font>
      <name val="宋体"/>
      <sz val="11"/>
    </font>
    <font>
      <name val="宋体"/>
      <charset val="134"/>
      <sz val="11"/>
      <color rgb="FF00000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Border="1" applyAlignment="1">
      <alignment horizontal="center" vertical="center"/>
    </xf>
    <xf numFmtId="31" fontId="1" fillId="0" borderId="1" xfId="0" applyNumberFormat="1" applyBorder="1">
      <alignment vertical="center"/>
    </xf>
    <xf numFmtId="0" fontId="1" fillId="0" borderId="1" xfId="0" applyBorder="1">
      <alignment vertical="center"/>
    </xf>
    <xf numFmtId="43" fontId="1" fillId="0" borderId="1" xfId="0" applyNumberFormat="1" applyFill="1" applyBorder="1">
      <alignment vertical="center"/>
    </xf>
    <xf numFmtId="43" fontId="1" fillId="0" borderId="1" xfId="0" applyNumberFormat="1" applyFill="1" applyBorder="1" applyAlignment="1">
      <alignment horizontal="center" vertical="center"/>
    </xf>
    <xf numFmtId="43" fontId="1" fillId="0" borderId="1" xfId="0" applyNumberFormat="1" applyBorder="1" applyAlignment="1">
      <alignment horizontal="center" vertical="center"/>
    </xf>
    <xf numFmtId="0" fontId="1" fillId="0" borderId="1" xfId="0" applyFill="1" applyBorder="1" applyAlignment="1">
      <alignment horizontal="center" vertical="center"/>
    </xf>
    <xf numFmtId="9" fontId="1" fillId="0" borderId="1" xfId="0" applyNumberFormat="1" applyBorder="1">
      <alignment vertical="center"/>
    </xf>
    <xf numFmtId="43" fontId="1" fillId="0" borderId="1" xfId="0" applyNumberFormat="1" applyBorder="1">
      <alignment vertical="center"/>
    </xf>
    <xf numFmtId="0" fontId="1" fillId="0" borderId="2" xfId="0" applyBorder="1">
      <alignment vertical="center"/>
    </xf>
    <xf numFmtId="10" fontId="1" fillId="0" borderId="1" xfId="0" applyNumberFormat="1" applyFill="1" applyBorder="1" applyAlignment="1">
      <alignment horizontal="center" vertical="center"/>
    </xf>
  </cellXfs>
  <cellStyles count="1">
    <cellStyle name="常规" xfId="0" builtinId="0"/>
  </cellStyles>
  <dxfs count="17"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diagonal/>
        <horizontal style="thin">
          <color rgb="FF91AADF"/>
        </horizontal>
      </border>
    </dxf>
    <dxf>
      <font>
        <b/>
        <color rgb="FFFFFFFF"/>
      </font>
      <fill>
        <patternFill patternType="solid">
          <fgColor rgb="FF4874CB"/>
          <bgColor rgb="FF4874CB"/>
        </patternFill>
      </fill>
    </dxf>
    <dxf>
      <font>
        <b/>
        <color rgb="FF000000"/>
      </font>
      <border>
        <left/>
        <right/>
        <top style="double">
          <color rgb="FF4874CB"/>
        </top>
        <bottom/>
        <diagonal/>
      </border>
    </dxf>
    <dxf>
      <font>
        <b/>
        <color rgb="FF000000"/>
      </font>
    </dxf>
    <dxf>
      <font>
        <b/>
        <color rgb="FF000000"/>
      </font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  <diagonal/>
      </border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  <diagonal/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/>
        <color rgb="FF000000"/>
      </font>
      <border>
        <left/>
        <right/>
        <top style="thin">
          <color rgb="FF4874CB"/>
        </top>
        <bottom style="thin">
          <color rgb="FF4874CB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1AADF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  <diagonal/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  <diagonal/>
      </border>
    </dxf>
  </dxfs>
  <tableStyles defaultTableStyle="TableStylePreset3_Accent1" defaultPivotStyle="PivotStylePreset2_Accent1" count="2">
    <tableStyle name="TableStylePreset3_Accent1" pivot="0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4"/>
      <tableStyleElement type="firstRowStripe" dxfId="5"/>
      <tableStyleElement type="firstColumnStripe" dxfId="6"/>
    </tableStyle>
    <tableStyle name="PivotStylePreset2_Accent1" table="0" count="10">
      <tableStyleElement type="headerRow" dxfId="7"/>
      <tableStyleElement type="totalRow" dxfId="8"/>
      <tableStyleElement type="firstRowStripe" dxfId="9"/>
      <tableStyleElement type="firstColumnStripe" dxfId="10"/>
      <tableStyleElement type="firstSubtotalRow" dxfId="11"/>
      <tableStyleElement type="secondSubtotalRow" dxfId="12"/>
      <tableStyleElement type="firstRowSubheading" dxfId="13"/>
      <tableStyleElement type="secondRowSubheading" dxfId="14"/>
      <tableStyleElement type="pageFieldLabels" dxfId="15"/>
      <tableStyleElement type="pageFieldValues" dxfId="16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P14"/>
  <sheetViews>
    <sheetView tabSelected="1" workbookViewId="0" topLeftCell="F7" zoomScale="131">
      <selection activeCell="I15" sqref="I15"/>
    </sheetView>
  </sheetViews>
  <sheetFormatPr defaultRowHeight="16.8" defaultColWidth="9"/>
  <cols>
    <col min="1" max="1" customWidth="1" width="26.410156" style="0"/>
    <col min="2" max="2" customWidth="1" width="17.613281" style="0"/>
    <col min="3" max="3" customWidth="1" width="14.613281" style="0"/>
    <col min="5" max="6" customWidth="1" width="15.152344" style="0"/>
    <col min="7" max="7" customWidth="1" width="12.921875" style="0"/>
    <col min="8" max="8" customWidth="1" width="12.765625" style="0"/>
    <col min="10" max="10" customWidth="0" width="14.613281" style="0"/>
    <col min="13" max="13" customWidth="1" width="10.3046875" style="0"/>
    <col min="14" max="14" customWidth="0" width="14.613281" style="0"/>
  </cols>
  <sheetData>
    <row r="1" spans="8:8">
      <c r="A1" s="1" t="s">
        <v>0</v>
      </c>
      <c r="B1" s="1"/>
      <c r="C1" s="1"/>
      <c r="E1" s="1" t="s">
        <v>1</v>
      </c>
      <c r="F1" s="1"/>
      <c r="H1" s="1" t="s">
        <v>2</v>
      </c>
      <c r="I1" s="1"/>
      <c r="J1" s="1"/>
      <c r="L1" s="1" t="s">
        <v>3</v>
      </c>
      <c r="M1" s="1"/>
      <c r="N1" s="1"/>
    </row>
    <row r="2" spans="8:8">
      <c r="A2" s="2">
        <v>45291.0</v>
      </c>
      <c r="B2" s="3" t="s">
        <v>4</v>
      </c>
      <c r="C2" s="4">
        <f>1682.7266*10000</f>
        <v>1.6827266E7</v>
      </c>
      <c r="E2" s="1" t="s">
        <v>5</v>
      </c>
      <c r="F2" s="5">
        <v>3411771.83</v>
      </c>
      <c r="H2" s="1" t="s">
        <v>6</v>
      </c>
      <c r="I2" s="1" t="s">
        <v>7</v>
      </c>
      <c r="J2" s="1" t="s">
        <v>8</v>
      </c>
      <c r="L2" s="1" t="s">
        <v>6</v>
      </c>
      <c r="M2" s="1" t="s">
        <v>9</v>
      </c>
      <c r="N2" s="1" t="s">
        <v>8</v>
      </c>
    </row>
    <row r="3" spans="8:8">
      <c r="A3" s="2">
        <v>45657.0</v>
      </c>
      <c r="B3" s="3" t="s">
        <v>10</v>
      </c>
      <c r="C3" s="4">
        <f>1950*10000</f>
        <v>1.95E7</v>
      </c>
      <c r="E3" s="1" t="s">
        <v>2</v>
      </c>
      <c r="F3" s="6">
        <f>C4*40%</f>
        <v>1.45309064E7</v>
      </c>
      <c r="H3" s="7" t="s">
        <v>5</v>
      </c>
      <c r="I3" s="8">
        <v>0.05</v>
      </c>
      <c r="J3" s="9">
        <f>$F$3*I3</f>
        <v>726545.3200000001</v>
      </c>
      <c r="L3" s="7" t="s">
        <v>11</v>
      </c>
      <c r="M3" s="3">
        <v>1.5</v>
      </c>
      <c r="N3" s="9">
        <f>$J$4*M3/3.5</f>
        <v>5916154.7485714285</v>
      </c>
    </row>
    <row r="4" spans="8:8">
      <c r="A4" s="1" t="s">
        <v>12</v>
      </c>
      <c r="B4" s="1"/>
      <c r="C4" s="9">
        <f>SUM(C2:C3)</f>
        <v>3.6327266E7</v>
      </c>
      <c r="E4" s="1" t="s">
        <v>12</v>
      </c>
      <c r="F4" s="6">
        <f>SUM(F2:F3)</f>
        <v>1.794267823E7</v>
      </c>
      <c r="H4" s="7" t="s">
        <v>3</v>
      </c>
      <c r="I4" s="8">
        <f>1-I3</f>
        <v>0.95</v>
      </c>
      <c r="J4" s="9">
        <f>$F$3*I4</f>
        <v>1.380436108E7</v>
      </c>
      <c r="L4" s="7" t="s">
        <v>13</v>
      </c>
      <c r="M4" s="3">
        <v>1.0</v>
      </c>
      <c r="N4" s="9">
        <f>$J$4*M4/3.5</f>
        <v>3944103.165714286</v>
      </c>
    </row>
    <row r="5" spans="8:8">
      <c r="H5" s="1" t="s">
        <v>12</v>
      </c>
      <c r="I5" s="1"/>
      <c r="J5" s="9">
        <f>SUM(J3:J4)</f>
        <v>1.45309064E7</v>
      </c>
      <c r="L5" s="7" t="s">
        <v>14</v>
      </c>
      <c r="M5" s="3">
        <v>1.0</v>
      </c>
      <c r="N5" s="9">
        <f>$J$4*M5/3.5</f>
        <v>3944103.165714286</v>
      </c>
    </row>
    <row r="6" spans="8:8">
      <c r="L6" s="1" t="s">
        <v>12</v>
      </c>
      <c r="M6" s="1"/>
      <c r="N6" s="9">
        <f>SUM(N3:N5)</f>
        <v>1.380436108E7</v>
      </c>
    </row>
    <row r="7" spans="8:8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9" spans="8:8">
      <c r="A9" s="7" t="s">
        <v>6</v>
      </c>
      <c r="B9" s="7" t="s">
        <v>15</v>
      </c>
      <c r="C9" s="7" t="s">
        <v>16</v>
      </c>
      <c r="E9" s="7" t="s">
        <v>6</v>
      </c>
      <c r="F9" s="7" t="s">
        <v>15</v>
      </c>
      <c r="G9" s="1" t="s">
        <v>16</v>
      </c>
    </row>
    <row r="10" spans="8:8">
      <c r="A10" s="7" t="s">
        <v>17</v>
      </c>
      <c r="B10" s="11">
        <v>0.8334</v>
      </c>
      <c r="C10" s="5">
        <f>$F$4*B10/(1-$B$12)</f>
        <v>1.5723899092410095E7</v>
      </c>
      <c r="E10" s="7" t="s">
        <v>11</v>
      </c>
      <c r="F10" s="11">
        <v>0.4475</v>
      </c>
      <c r="G10" s="9">
        <f>N3-C11</f>
        <v>3697375.6109815203</v>
      </c>
    </row>
    <row r="11" spans="8:8">
      <c r="A11" s="7" t="s">
        <v>18</v>
      </c>
      <c r="B11" s="11">
        <v>0.1176</v>
      </c>
      <c r="C11" s="5">
        <f>$F$4*B11/(1-$B$12)</f>
        <v>2218779.137589906</v>
      </c>
      <c r="E11" s="7" t="s">
        <v>13</v>
      </c>
      <c r="F11" s="11">
        <v>0.192</v>
      </c>
      <c r="G11" s="9">
        <f>N4</f>
        <v>3944103.165714286</v>
      </c>
    </row>
    <row r="12" spans="8:8">
      <c r="A12" s="7" t="s">
        <v>19</v>
      </c>
      <c r="B12" s="11">
        <v>0.049</v>
      </c>
      <c r="C12" s="7">
        <v>0.0</v>
      </c>
      <c r="E12" s="7" t="s">
        <v>20</v>
      </c>
      <c r="F12" s="11">
        <v>0.2045</v>
      </c>
      <c r="G12" s="9">
        <f>F2+J3</f>
        <v>4138317.15</v>
      </c>
    </row>
    <row r="13" spans="8:8">
      <c r="A13" s="1" t="s">
        <v>12</v>
      </c>
      <c r="B13" s="1"/>
      <c r="C13" s="9">
        <f>SUM(C10:C12)</f>
        <v>1.794267823E7</v>
      </c>
      <c r="E13" s="7" t="s">
        <v>14</v>
      </c>
      <c r="F13" s="11">
        <v>0.156</v>
      </c>
      <c r="G13" s="9">
        <f>N5</f>
        <v>3944103.165714286</v>
      </c>
    </row>
    <row r="14" spans="8:8">
      <c r="E14" s="1" t="s">
        <v>12</v>
      </c>
      <c r="F14" s="1"/>
      <c r="G14" s="9">
        <f>SUM(G10:G13)</f>
        <v>1.5723899092410093E7</v>
      </c>
    </row>
  </sheetData>
  <mergeCells count="9">
    <mergeCell ref="A1:C1"/>
    <mergeCell ref="E1:F1"/>
    <mergeCell ref="H1:J1"/>
    <mergeCell ref="L1:N1"/>
    <mergeCell ref="A4:B4"/>
    <mergeCell ref="H5:I5"/>
    <mergeCell ref="L6:M6"/>
    <mergeCell ref="A13:B13"/>
    <mergeCell ref="E14:F14"/>
  </mergeCells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yinlianfu</dc:creator>
  <cp:lastModifiedBy>大成</cp:lastModifiedBy>
  <dcterms:created xsi:type="dcterms:W3CDTF">2025-03-01T07:00:00Z</dcterms:created>
  <dcterms:modified xsi:type="dcterms:W3CDTF">2025-03-02T09:11:08Z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0086283EB3A788C6A4B0C26770A71C6C_41</vt:lpwstr>
  </property>
  <property fmtid="{D5CDD505-2E9C-101B-9397-08002B2CF9AE}" pid="3" name="KSOProductBuildVer">
    <vt:lpwstr>2052-7.2.1.8947</vt:lpwstr>
  </property>
</Properties>
</file>