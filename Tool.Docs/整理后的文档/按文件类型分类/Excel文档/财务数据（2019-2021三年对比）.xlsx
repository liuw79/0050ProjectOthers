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28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<sst xmlns="http://schemas.openxmlformats.org/spreadsheetml/2006/main" count="59" uniqueCount="43">
  <si>
    <t>2021年、2020年、2019年三年数据对比</t>
  </si>
  <si>
    <t>指标</t>
  </si>
  <si>
    <t>2021年1-12月收入金额</t>
  </si>
  <si>
    <t>2021年收入占比</t>
  </si>
  <si>
    <t>2020年1-12月收入金额</t>
  </si>
  <si>
    <t>2020年收入占比</t>
  </si>
  <si>
    <t>2019年1-12月收入金额</t>
  </si>
  <si>
    <t>2019年收入占比</t>
  </si>
  <si>
    <t>2021与2019年收入增长率（%）</t>
  </si>
  <si>
    <t>公开课（含 远程）</t>
  </si>
  <si>
    <t>企业服务（咨询+内训）</t>
  </si>
  <si>
    <t xml:space="preserve"> 企业服务（微咨询）</t>
  </si>
  <si>
    <t>线上产品</t>
  </si>
  <si>
    <t>合计</t>
  </si>
  <si>
    <t>2021年1-12月毛利润金额</t>
  </si>
  <si>
    <t>2021年占收入比</t>
  </si>
  <si>
    <t>2020年1-12月毛利润金额</t>
  </si>
  <si>
    <t>2020年占收入比</t>
  </si>
  <si>
    <t>2019年1-12月毛利润金额</t>
  </si>
  <si>
    <t>2019年占收入比</t>
  </si>
  <si>
    <t>2021与2019年毛利润增长率（%）</t>
  </si>
  <si>
    <t>2021年1-12月高维利润金额</t>
  </si>
  <si>
    <t>2020年1-12月高维利润金额</t>
  </si>
  <si>
    <t>2019年1-12月高维利润金额</t>
  </si>
  <si>
    <t>2021与2019年高维利润增长率（%）</t>
  </si>
  <si>
    <t>2021年1-12月金额</t>
  </si>
  <si>
    <t>2021年占比</t>
  </si>
  <si>
    <t>2020年1-12月金额</t>
  </si>
  <si>
    <t>2020年占比</t>
  </si>
  <si>
    <t>2019年1-12月金额</t>
  </si>
  <si>
    <t>2019年占比</t>
  </si>
  <si>
    <t>2021与2019年增长率（%）</t>
  </si>
  <si>
    <t>收入</t>
  </si>
  <si>
    <t>高维利润</t>
  </si>
  <si>
    <t>费用</t>
  </si>
  <si>
    <t>净利润</t>
  </si>
  <si>
    <t>说明：（以上数据均为不含税金额；2021年8-12月数据为预估，2021年1-7月、2020年及2019年数据为实际发生）</t>
  </si>
  <si>
    <t>1.总收入：2021年比2019增长51%，主要是咨询+内训业务增长。</t>
  </si>
  <si>
    <t>2.毛利润率：2021年比2019低4%；主要原因是：咨询+内训业务的毛利率较低；实际上，公开课2021年毛利率比2019年高，主要是班主任佣金15%部分计入了成本。</t>
  </si>
  <si>
    <t>3.收入结构：2021年咨询内训占比比2019年高了9%；2021年公开课占比比2019年低了19%。</t>
  </si>
  <si>
    <t>4.高维利润率：2021年比2019年总下降3%，主要是2021年6月份起采用了新分钱方案，公开课高维利润率由2019年的17%下降为11%，下降了6%。</t>
  </si>
  <si>
    <t>5.净利润：2021年比2019年增长16%；在总收入增长51%的情况下，净利润仅增长16%，主要原因是新分钱方案的影响。</t>
  </si>
  <si>
    <t>6.总费用：2021年比2019年增长了48%，主要是工资增长；与收入的增长相同，2021年与2019年总费用占总收入的比均为10%。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</si>
</sst>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25" borderId="10" applyNumberFormat="0" applyAlignment="0" applyProtection="0">
      <alignment vertical="center"/>
    </xf>
    <xf numFmtId="0" fontId="18" fillId="25" borderId="4" applyNumberFormat="0" applyAlignment="0" applyProtection="0">
      <alignment vertical="center"/>
    </xf>
    <xf numFmtId="0" fontId="6" fillId="8" borderId="5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2" borderId="0" xfId="0" applyFont="1" applyFill="1" applyAlignment="1"/>
    <xf numFmtId="0" fontId="0" fillId="3" borderId="1" xfId="0" applyFont="1" applyFill="1" applyBorder="1" applyAlignment="1"/>
    <xf numFmtId="176" fontId="0" fillId="4" borderId="2" xfId="0" applyNumberFormat="1" applyFont="1" applyFill="1" applyBorder="1" applyAlignment="1"/>
    <xf numFmtId="9" fontId="0" fillId="4" borderId="2" xfId="11" applyFont="1" applyFill="1" applyBorder="1" applyAlignment="1"/>
    <xf numFmtId="9" fontId="0" fillId="4" borderId="1" xfId="11" applyFont="1" applyFill="1" applyBorder="1" applyAlignment="1"/>
    <xf numFmtId="9" fontId="0" fillId="4" borderId="1" xfId="11" applyFill="1" applyBorder="1" applyAlignment="1"/>
    <xf numFmtId="0" fontId="0" fillId="0" borderId="1" xfId="0" applyFont="1" applyFill="1" applyBorder="1" applyAlignment="1"/>
    <xf numFmtId="176" fontId="0" fillId="0" borderId="2" xfId="0" applyNumberFormat="1" applyFont="1" applyFill="1" applyBorder="1" applyAlignment="1"/>
    <xf numFmtId="9" fontId="0" fillId="0" borderId="2" xfId="11" applyFont="1" applyFill="1" applyBorder="1" applyAlignment="1"/>
    <xf numFmtId="9" fontId="0" fillId="0" borderId="1" xfId="11" applyFont="1" applyFill="1" applyBorder="1" applyAlignment="1"/>
    <xf numFmtId="9" fontId="0" fillId="0" borderId="1" xfId="11" applyFill="1" applyBorder="1" applyAlignment="1"/>
    <xf numFmtId="9" fontId="0" fillId="4" borderId="2" xfId="11" applyNumberFormat="1" applyFont="1" applyFill="1" applyBorder="1" applyAlignment="1"/>
    <xf numFmtId="9" fontId="0" fillId="4" borderId="1" xfId="11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640;&#32500;\SUPERSET\&#23567;&#21161;&#25163;&#25968;&#25454;\21&#24180;&#24320;&#3583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1年盈利预测"/>
      <sheetName val="Sheet1"/>
      <sheetName val="Sheet2"/>
      <sheetName val="咨询8-12月"/>
    </sheetNames>
    <sheetDataSet>
      <sheetData sheetId="0">
        <row r="6">
          <cell r="D6">
            <v>46293334.0736</v>
          </cell>
        </row>
        <row r="6">
          <cell r="F6">
            <v>20639460.13602</v>
          </cell>
        </row>
        <row r="6">
          <cell r="I6">
            <v>8344179.5813672</v>
          </cell>
        </row>
        <row r="11">
          <cell r="D11">
            <v>18999017.22</v>
          </cell>
        </row>
        <row r="11">
          <cell r="F11">
            <v>5950382.68</v>
          </cell>
          <cell r="G11">
            <v>3179055.5</v>
          </cell>
        </row>
        <row r="17">
          <cell r="D17">
            <v>6995137.84</v>
          </cell>
        </row>
        <row r="17">
          <cell r="F17">
            <v>2667812.03</v>
          </cell>
          <cell r="G17">
            <v>1236053.4945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6"/>
  <sheetViews>
    <sheetView tabSelected="1" workbookViewId="0">
      <selection activeCell="E2" sqref="E2"/>
    </sheetView>
  </sheetViews>
  <sheetFormatPr defaultColWidth="8" defaultRowHeight="14" outlineLevelCol="7"/>
  <cols>
    <col min="1" max="1" width="22.75" style="2" customWidth="1"/>
    <col min="2" max="2" width="23.25" style="2" customWidth="1"/>
    <col min="3" max="3" width="14.25" style="2" customWidth="1"/>
    <col min="4" max="4" width="21.25" style="2" customWidth="1"/>
    <col min="5" max="5" width="16.3333333333333" style="2" customWidth="1"/>
    <col min="6" max="6" width="23.1666666666667" style="2" customWidth="1"/>
    <col min="7" max="7" width="16.3333333333333" style="2" customWidth="1"/>
    <col min="8" max="8" width="29.3333333333333" style="2" customWidth="1"/>
    <col min="9" max="16384" width="8" style="2"/>
  </cols>
  <sheetData>
    <row r="2" s="1" customFormat="1" ht="24" customHeight="1" spans="1:3">
      <c r="A2" s="3" t="s">
        <v>0</v>
      </c>
      <c r="B2" s="3"/>
      <c r="C2" s="3"/>
    </row>
    <row r="3" s="1" customFormat="1" ht="21" customHeight="1" spans="1: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="1" customFormat="1" ht="21" customHeight="1" spans="1:8">
      <c r="A4" s="4" t="s">
        <v>9</v>
      </c>
      <c r="B4" s="5">
        <f>'[1]2021年盈利预测'!$D$6</f>
        <v>46293334.0736</v>
      </c>
      <c r="C4" s="6">
        <f t="shared" ref="C4:C8" si="0">B4/$B$8</f>
        <v>0.630119997559954</v>
      </c>
      <c r="D4" s="5">
        <v>33144848.56</v>
      </c>
      <c r="E4" s="6">
        <f t="shared" ref="E4:E8" si="1">D4/$D$8</f>
        <v>0.620855096919401</v>
      </c>
      <c r="F4" s="5">
        <v>40060000</v>
      </c>
      <c r="G4" s="7">
        <f t="shared" ref="G4:G8" si="2">F4/$F$8</f>
        <v>0.821069891371183</v>
      </c>
      <c r="H4" s="8">
        <f t="shared" ref="H4:H8" si="3">(B4-F4)/F4</f>
        <v>0.155599951912132</v>
      </c>
    </row>
    <row r="5" s="1" customFormat="1" ht="21" customHeight="1" spans="1:8">
      <c r="A5" s="4" t="s">
        <v>10</v>
      </c>
      <c r="B5" s="5">
        <f>'[1]2021年盈利预测'!$D$11</f>
        <v>18999017.22</v>
      </c>
      <c r="C5" s="6">
        <f t="shared" si="0"/>
        <v>0.258604417328738</v>
      </c>
      <c r="D5" s="5">
        <v>13342855.69</v>
      </c>
      <c r="E5" s="6">
        <f t="shared" si="1"/>
        <v>0.249932653866273</v>
      </c>
      <c r="F5" s="5">
        <v>8430000</v>
      </c>
      <c r="G5" s="7">
        <f t="shared" si="2"/>
        <v>0.172781307645009</v>
      </c>
      <c r="H5" s="8">
        <f t="shared" si="3"/>
        <v>1.2537386975089</v>
      </c>
    </row>
    <row r="6" s="1" customFormat="1" ht="21" customHeight="1" spans="1:8">
      <c r="A6" s="4" t="s">
        <v>11</v>
      </c>
      <c r="B6" s="5">
        <f>'[1]2021年盈利预测'!$D$17</f>
        <v>6995137.84</v>
      </c>
      <c r="C6" s="6">
        <f t="shared" si="0"/>
        <v>0.0952140589326444</v>
      </c>
      <c r="D6" s="5">
        <v>5799800</v>
      </c>
      <c r="E6" s="6">
        <f t="shared" si="1"/>
        <v>0.108639367731452</v>
      </c>
      <c r="F6" s="5"/>
      <c r="G6" s="7">
        <f t="shared" si="2"/>
        <v>0</v>
      </c>
      <c r="H6" s="8"/>
    </row>
    <row r="7" s="1" customFormat="1" ht="21" customHeight="1" spans="1:8">
      <c r="A7" s="4" t="s">
        <v>12</v>
      </c>
      <c r="B7" s="5">
        <v>1180000</v>
      </c>
      <c r="C7" s="6">
        <f t="shared" si="0"/>
        <v>0.0160615261786636</v>
      </c>
      <c r="D7" s="5">
        <v>1098299.82</v>
      </c>
      <c r="E7" s="6">
        <f t="shared" si="1"/>
        <v>0.0205728814828732</v>
      </c>
      <c r="F7" s="5">
        <v>300000</v>
      </c>
      <c r="G7" s="7">
        <f t="shared" si="2"/>
        <v>0.00614880098380816</v>
      </c>
      <c r="H7" s="8">
        <f t="shared" si="3"/>
        <v>2.93333333333333</v>
      </c>
    </row>
    <row r="8" s="1" customFormat="1" ht="21" customHeight="1" spans="1:8">
      <c r="A8" s="4" t="s">
        <v>13</v>
      </c>
      <c r="B8" s="5">
        <f t="shared" ref="B8:F8" si="4">SUM(B4:B7)</f>
        <v>73467489.1336</v>
      </c>
      <c r="C8" s="6">
        <f t="shared" si="0"/>
        <v>1</v>
      </c>
      <c r="D8" s="5">
        <f t="shared" si="4"/>
        <v>53385804.07</v>
      </c>
      <c r="E8" s="6">
        <f t="shared" si="1"/>
        <v>1</v>
      </c>
      <c r="F8" s="5">
        <f t="shared" si="4"/>
        <v>48790000</v>
      </c>
      <c r="G8" s="7">
        <f t="shared" si="2"/>
        <v>1</v>
      </c>
      <c r="H8" s="8">
        <f t="shared" si="3"/>
        <v>0.505789898208649</v>
      </c>
    </row>
    <row r="9" s="2" customFormat="1" spans="1:3">
      <c r="A9" s="1"/>
      <c r="B9" s="1"/>
      <c r="C9" s="1"/>
    </row>
    <row r="10" s="1" customFormat="1" ht="21" customHeight="1" spans="1:8">
      <c r="A10" s="4" t="s">
        <v>1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  <c r="G10" s="4" t="s">
        <v>19</v>
      </c>
      <c r="H10" s="4" t="s">
        <v>20</v>
      </c>
    </row>
    <row r="11" s="1" customFormat="1" ht="21" customHeight="1" spans="1:8">
      <c r="A11" s="4" t="s">
        <v>9</v>
      </c>
      <c r="B11" s="5">
        <f>'[1]2021年盈利预测'!$F$6</f>
        <v>20639460.13602</v>
      </c>
      <c r="C11" s="6">
        <f t="shared" ref="C11:C15" si="5">B11/$B$8</f>
        <v>0.280933245159465</v>
      </c>
      <c r="D11" s="5">
        <v>13926244.97</v>
      </c>
      <c r="E11" s="6">
        <f t="shared" ref="E11:E15" si="6">D11/$D$8</f>
        <v>0.260860451811118</v>
      </c>
      <c r="F11" s="5">
        <v>15480000</v>
      </c>
      <c r="G11" s="7">
        <f t="shared" ref="G11:G15" si="7">F11/$F$8</f>
        <v>0.317278130764501</v>
      </c>
      <c r="H11" s="8">
        <f t="shared" ref="H11:H15" si="8">(B11-F11)/F11</f>
        <v>0.333298458399225</v>
      </c>
    </row>
    <row r="12" s="1" customFormat="1" ht="21" customHeight="1" spans="1:8">
      <c r="A12" s="4" t="s">
        <v>10</v>
      </c>
      <c r="B12" s="5">
        <f>'[1]2021年盈利预测'!$F$11</f>
        <v>5950382.68</v>
      </c>
      <c r="C12" s="6">
        <f t="shared" si="5"/>
        <v>0.0809934128710902</v>
      </c>
      <c r="D12" s="5">
        <v>3941778.29</v>
      </c>
      <c r="E12" s="6">
        <f t="shared" si="6"/>
        <v>0.0738357014316297</v>
      </c>
      <c r="F12" s="5">
        <v>4040000</v>
      </c>
      <c r="G12" s="7">
        <f t="shared" si="7"/>
        <v>0.0828038532486165</v>
      </c>
      <c r="H12" s="8">
        <f t="shared" si="8"/>
        <v>0.472867</v>
      </c>
    </row>
    <row r="13" s="1" customFormat="1" ht="21" customHeight="1" spans="1:8">
      <c r="A13" s="4" t="s">
        <v>11</v>
      </c>
      <c r="B13" s="5">
        <f>'[1]2021年盈利预测'!$F$17</f>
        <v>2667812.03</v>
      </c>
      <c r="C13" s="6">
        <f t="shared" si="5"/>
        <v>0.0363128243725413</v>
      </c>
      <c r="D13" s="5">
        <v>1787060.045</v>
      </c>
      <c r="E13" s="6">
        <f t="shared" si="6"/>
        <v>0.0334744428061211</v>
      </c>
      <c r="F13" s="5"/>
      <c r="G13" s="7">
        <f t="shared" si="7"/>
        <v>0</v>
      </c>
      <c r="H13" s="8"/>
    </row>
    <row r="14" s="1" customFormat="1" ht="21" customHeight="1" spans="1:8">
      <c r="A14" s="4" t="s">
        <v>12</v>
      </c>
      <c r="B14" s="5">
        <v>560000</v>
      </c>
      <c r="C14" s="6">
        <f t="shared" si="5"/>
        <v>0.00762241920343357</v>
      </c>
      <c r="D14" s="5">
        <v>404033.244716364</v>
      </c>
      <c r="E14" s="6">
        <f t="shared" si="6"/>
        <v>0.00756817756620452</v>
      </c>
      <c r="F14" s="5">
        <v>130000</v>
      </c>
      <c r="G14" s="7">
        <f t="shared" si="7"/>
        <v>0.00266448042631687</v>
      </c>
      <c r="H14" s="8">
        <f t="shared" si="8"/>
        <v>3.30769230769231</v>
      </c>
    </row>
    <row r="15" s="1" customFormat="1" ht="21" customHeight="1" spans="1:8">
      <c r="A15" s="4" t="s">
        <v>13</v>
      </c>
      <c r="B15" s="5">
        <f t="shared" ref="B15:F15" si="9">SUM(B11:B14)</f>
        <v>29817654.84602</v>
      </c>
      <c r="C15" s="6">
        <f t="shared" si="5"/>
        <v>0.40586190160653</v>
      </c>
      <c r="D15" s="5">
        <f t="shared" si="9"/>
        <v>20059116.5497164</v>
      </c>
      <c r="E15" s="6">
        <f t="shared" si="6"/>
        <v>0.375738773615073</v>
      </c>
      <c r="F15" s="5">
        <f t="shared" si="9"/>
        <v>19650000</v>
      </c>
      <c r="G15" s="7">
        <f t="shared" si="7"/>
        <v>0.402746464439434</v>
      </c>
      <c r="H15" s="8">
        <f t="shared" si="8"/>
        <v>0.517437905649873</v>
      </c>
    </row>
    <row r="16" s="2" customFormat="1" spans="1:3">
      <c r="A16" s="1"/>
      <c r="B16" s="1"/>
      <c r="C16" s="1"/>
    </row>
    <row r="17" s="1" customFormat="1" ht="21" customHeight="1" spans="1:8">
      <c r="A17" s="4" t="s">
        <v>1</v>
      </c>
      <c r="B17" s="4" t="s">
        <v>21</v>
      </c>
      <c r="C17" s="4" t="s">
        <v>15</v>
      </c>
      <c r="D17" s="4" t="s">
        <v>22</v>
      </c>
      <c r="E17" s="4" t="s">
        <v>17</v>
      </c>
      <c r="F17" s="4" t="s">
        <v>23</v>
      </c>
      <c r="G17" s="4" t="s">
        <v>19</v>
      </c>
      <c r="H17" s="4" t="s">
        <v>24</v>
      </c>
    </row>
    <row r="18" s="1" customFormat="1" ht="21" customHeight="1" spans="1:8">
      <c r="A18" s="4" t="s">
        <v>9</v>
      </c>
      <c r="B18" s="5">
        <f>'[1]2021年盈利预测'!$I$6</f>
        <v>8344179.5813672</v>
      </c>
      <c r="C18" s="6">
        <f t="shared" ref="C18:C22" si="10">B18/$B$8</f>
        <v>0.113576490496271</v>
      </c>
      <c r="D18" s="5">
        <v>7332954.06</v>
      </c>
      <c r="E18" s="6">
        <f t="shared" ref="E18:E22" si="11">D18/$D$8</f>
        <v>0.13735775245391</v>
      </c>
      <c r="F18" s="5">
        <v>8330000</v>
      </c>
      <c r="G18" s="7">
        <f t="shared" ref="G18:G22" si="12">F18/$F$8</f>
        <v>0.170731707317073</v>
      </c>
      <c r="H18" s="8">
        <f t="shared" ref="H18:H22" si="13">(B18-F18)/F18</f>
        <v>0.00170223065632656</v>
      </c>
    </row>
    <row r="19" s="1" customFormat="1" ht="21" customHeight="1" spans="1:8">
      <c r="A19" s="4" t="s">
        <v>10</v>
      </c>
      <c r="B19" s="5">
        <f>'[1]2021年盈利预测'!$G$11</f>
        <v>3179055.5</v>
      </c>
      <c r="C19" s="6">
        <f t="shared" si="10"/>
        <v>0.0432715958785377</v>
      </c>
      <c r="D19" s="5">
        <v>1526215.19</v>
      </c>
      <c r="E19" s="6">
        <f t="shared" si="11"/>
        <v>0.0285884087837061</v>
      </c>
      <c r="F19" s="5">
        <v>1630000</v>
      </c>
      <c r="G19" s="7">
        <f t="shared" si="12"/>
        <v>0.0334084853453577</v>
      </c>
      <c r="H19" s="8">
        <f t="shared" si="13"/>
        <v>0.950340797546012</v>
      </c>
    </row>
    <row r="20" s="1" customFormat="1" ht="21" customHeight="1" spans="1:8">
      <c r="A20" s="4" t="s">
        <v>11</v>
      </c>
      <c r="B20" s="5">
        <f>'[1]2021年盈利预测'!$G$17</f>
        <v>1236053.4945</v>
      </c>
      <c r="C20" s="6">
        <f t="shared" si="10"/>
        <v>0.0168244962374071</v>
      </c>
      <c r="D20" s="5">
        <v>1250942.0315</v>
      </c>
      <c r="E20" s="6">
        <f t="shared" si="11"/>
        <v>0.0234321099642847</v>
      </c>
      <c r="F20" s="5"/>
      <c r="G20" s="7">
        <f t="shared" si="12"/>
        <v>0</v>
      </c>
      <c r="H20" s="8"/>
    </row>
    <row r="21" s="1" customFormat="1" ht="21" customHeight="1" spans="1:8">
      <c r="A21" s="4" t="s">
        <v>12</v>
      </c>
      <c r="B21" s="5">
        <v>560000</v>
      </c>
      <c r="C21" s="6">
        <f t="shared" si="10"/>
        <v>0.00762241920343357</v>
      </c>
      <c r="D21" s="5">
        <v>404033.244716364</v>
      </c>
      <c r="E21" s="6">
        <f t="shared" si="11"/>
        <v>0.00756817756620452</v>
      </c>
      <c r="F21" s="5">
        <v>130000</v>
      </c>
      <c r="G21" s="7">
        <f t="shared" si="12"/>
        <v>0.00266448042631687</v>
      </c>
      <c r="H21" s="8">
        <f t="shared" si="13"/>
        <v>3.30769230769231</v>
      </c>
    </row>
    <row r="22" s="1" customFormat="1" ht="21" customHeight="1" spans="1:8">
      <c r="A22" s="4" t="s">
        <v>13</v>
      </c>
      <c r="B22" s="5">
        <f t="shared" ref="B22:F22" si="14">SUM(B18:B21)</f>
        <v>13319288.5758672</v>
      </c>
      <c r="C22" s="6">
        <f t="shared" si="10"/>
        <v>0.181295001815649</v>
      </c>
      <c r="D22" s="5">
        <f t="shared" si="14"/>
        <v>10514144.5262164</v>
      </c>
      <c r="E22" s="6">
        <f t="shared" si="11"/>
        <v>0.196946448768105</v>
      </c>
      <c r="F22" s="5">
        <f t="shared" si="14"/>
        <v>10090000</v>
      </c>
      <c r="G22" s="7">
        <f t="shared" si="12"/>
        <v>0.206804673088748</v>
      </c>
      <c r="H22" s="8">
        <f t="shared" si="13"/>
        <v>0.320048421790604</v>
      </c>
    </row>
    <row r="23" s="1" customFormat="1" ht="21" customHeight="1" spans="1:8">
      <c r="A23" s="9"/>
      <c r="B23" s="10"/>
      <c r="C23" s="11"/>
      <c r="D23" s="10"/>
      <c r="E23" s="11"/>
      <c r="F23" s="10"/>
      <c r="G23" s="12"/>
      <c r="H23" s="13"/>
    </row>
    <row r="24" s="1" customFormat="1" ht="21" customHeight="1" spans="1:8">
      <c r="A24" s="4" t="s">
        <v>1</v>
      </c>
      <c r="B24" s="4" t="s">
        <v>25</v>
      </c>
      <c r="C24" s="4" t="s">
        <v>26</v>
      </c>
      <c r="D24" s="4" t="s">
        <v>27</v>
      </c>
      <c r="E24" s="4" t="s">
        <v>28</v>
      </c>
      <c r="F24" s="4" t="s">
        <v>29</v>
      </c>
      <c r="G24" s="4" t="s">
        <v>30</v>
      </c>
      <c r="H24" s="4" t="s">
        <v>31</v>
      </c>
    </row>
    <row r="25" s="1" customFormat="1" ht="21" customHeight="1" spans="1:8">
      <c r="A25" s="4" t="s">
        <v>32</v>
      </c>
      <c r="B25" s="5">
        <f t="shared" ref="B25:F25" si="15">B8</f>
        <v>73467489.1336</v>
      </c>
      <c r="C25" s="14">
        <v>1</v>
      </c>
      <c r="D25" s="5">
        <f t="shared" si="15"/>
        <v>53385804.07</v>
      </c>
      <c r="E25" s="14">
        <v>1</v>
      </c>
      <c r="F25" s="5">
        <f t="shared" si="15"/>
        <v>48790000</v>
      </c>
      <c r="G25" s="15">
        <v>1</v>
      </c>
      <c r="H25" s="8">
        <f t="shared" ref="H25:H28" si="16">(B25-F25)/F25</f>
        <v>0.505789898208649</v>
      </c>
    </row>
    <row r="26" s="1" customFormat="1" ht="21" customHeight="1" spans="1:8">
      <c r="A26" s="4" t="s">
        <v>33</v>
      </c>
      <c r="B26" s="5">
        <f>B22</f>
        <v>13319288.5758672</v>
      </c>
      <c r="C26" s="6">
        <f t="shared" ref="C26:C28" si="17">B26/$B$25</f>
        <v>0.181295001815649</v>
      </c>
      <c r="D26" s="5">
        <f>D22</f>
        <v>10514144.5262164</v>
      </c>
      <c r="E26" s="6">
        <f t="shared" ref="E26:E28" si="18">D26/$D$25</f>
        <v>0.196946448768105</v>
      </c>
      <c r="F26" s="5">
        <v>10090000</v>
      </c>
      <c r="G26" s="6">
        <f t="shared" ref="G26:G28" si="19">F26/$F$25</f>
        <v>0.206804673088748</v>
      </c>
      <c r="H26" s="8">
        <f t="shared" si="16"/>
        <v>0.320048421790604</v>
      </c>
    </row>
    <row r="27" s="1" customFormat="1" ht="21" customHeight="1" spans="1:8">
      <c r="A27" s="4" t="s">
        <v>34</v>
      </c>
      <c r="B27" s="5">
        <v>7422595.8</v>
      </c>
      <c r="C27" s="6">
        <f t="shared" si="17"/>
        <v>0.101032387080795</v>
      </c>
      <c r="D27" s="5">
        <v>6805131.31</v>
      </c>
      <c r="E27" s="6">
        <f t="shared" si="18"/>
        <v>0.127470802932499</v>
      </c>
      <c r="F27" s="5">
        <v>5000000</v>
      </c>
      <c r="G27" s="6">
        <f t="shared" si="19"/>
        <v>0.102480016396803</v>
      </c>
      <c r="H27" s="8">
        <f t="shared" si="16"/>
        <v>0.48451916</v>
      </c>
    </row>
    <row r="28" s="1" customFormat="1" ht="21" customHeight="1" spans="1:8">
      <c r="A28" s="4" t="s">
        <v>35</v>
      </c>
      <c r="B28" s="5">
        <f>B26-B27</f>
        <v>5896692.7758672</v>
      </c>
      <c r="C28" s="6">
        <f t="shared" si="17"/>
        <v>0.0802626147348539</v>
      </c>
      <c r="D28" s="5">
        <f>D26-D27</f>
        <v>3709013.21621637</v>
      </c>
      <c r="E28" s="6">
        <f t="shared" si="18"/>
        <v>0.0694756458356059</v>
      </c>
      <c r="F28" s="5">
        <v>5090000</v>
      </c>
      <c r="G28" s="6">
        <f t="shared" si="19"/>
        <v>0.104324656691945</v>
      </c>
      <c r="H28" s="8">
        <f t="shared" si="16"/>
        <v>0.158485810582947</v>
      </c>
    </row>
    <row r="30" s="2" customFormat="1" ht="18" customHeight="1" spans="1:1">
      <c r="A30" s="2" t="s">
        <v>36</v>
      </c>
    </row>
    <row r="31" s="2" customFormat="1" ht="18" customHeight="1" spans="1:1">
      <c r="A31" s="2" t="s">
        <v>37</v>
      </c>
    </row>
    <row r="32" s="2" customFormat="1" ht="18" customHeight="1" spans="1:1">
      <c r="A32" s="2" t="s">
        <v>38</v>
      </c>
    </row>
    <row r="33" s="2" customFormat="1" ht="18" customHeight="1" spans="1:1">
      <c r="A33" s="2" t="s">
        <v>39</v>
      </c>
    </row>
    <row r="34" s="2" customFormat="1" ht="18" customHeight="1" spans="1:1">
      <c r="A34" s="2" t="s">
        <v>40</v>
      </c>
    </row>
    <row r="35" s="2" customFormat="1" ht="18" customHeight="1" spans="1:1">
      <c r="A35" s="2" t="s">
        <v>41</v>
      </c>
    </row>
    <row r="36" s="2" customFormat="1" ht="18" customHeight="1" spans="1:1">
      <c r="A36" s="2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CHENYANQIN</cp:lastModifiedBy>
  <dcterms:created xsi:type="dcterms:W3CDTF">2015-06-05T18:17:00Z</dcterms:created>
  <dcterms:modified xsi:type="dcterms:W3CDTF">2021-12-28T04:03:06Z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689F0EBEDC5D4948813A87E39CECE356</vt:lpwstr>
  </property>
  <property fmtid="{D5CDD505-2E9C-101B-9397-08002B2CF9AE}" pid="3" name="KSOProductBuildVer">
    <vt:lpwstr>2052-11.1.0.11194</vt:lpwstr>
  </property>
</Properties>
</file>