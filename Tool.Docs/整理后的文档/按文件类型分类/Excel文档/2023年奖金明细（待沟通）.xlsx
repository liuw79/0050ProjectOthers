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8352" windowHeight="8055" activeTab="1"/>
  </bookViews>
  <sheets>
    <sheet name="年终奖金（包含企业会员）" sheetId="1" r:id="rId1"/>
    <sheet name="企业会员奖金明细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<sst xmlns="http://schemas.openxmlformats.org/spreadsheetml/2006/main" count="179" uniqueCount="121">
  <si>
    <t>部门</t>
  </si>
  <si>
    <t>人员</t>
  </si>
  <si>
    <t>参与项目</t>
  </si>
  <si>
    <t>奖金</t>
  </si>
  <si>
    <t>合计</t>
  </si>
  <si>
    <t>沟通人</t>
  </si>
  <si>
    <t>学习规划师</t>
  </si>
  <si>
    <t>许文娟</t>
  </si>
  <si>
    <t>华东规划师管理</t>
  </si>
  <si>
    <t>KK</t>
  </si>
  <si>
    <t>黄文静</t>
  </si>
  <si>
    <t>项目拉通</t>
  </si>
  <si>
    <t>军哥</t>
  </si>
  <si>
    <t>段锦淇</t>
  </si>
  <si>
    <t>项目管理</t>
  </si>
  <si>
    <t>丹纯</t>
  </si>
  <si>
    <t>IPD公开课增量</t>
  </si>
  <si>
    <t>供应链</t>
  </si>
  <si>
    <t>FR</t>
  </si>
  <si>
    <t>袁笑珺</t>
  </si>
  <si>
    <t>雯祯</t>
  </si>
  <si>
    <t>产品组</t>
  </si>
  <si>
    <t>杨丹纯</t>
  </si>
  <si>
    <t>构建起优秀的产品研发团队、实现流程化，解放kk，成倍提升课程研发速度、质量、好课数量；</t>
  </si>
  <si>
    <t>在高维成体系建立起GTM团队和能力，初步实现系统化招生助力；</t>
  </si>
  <si>
    <t>参与公司组织建设，协力完成了人才匹配，及多项组织要事</t>
  </si>
  <si>
    <t>范思洁</t>
  </si>
  <si>
    <t>IPD流程建设（+团队）、新课研发（4门）+老课迭代（1门）、团队带教（3人）、新品上线（产品营销）+产品经理招聘流程改造</t>
  </si>
  <si>
    <t>李月洁</t>
  </si>
  <si>
    <t>企业会员</t>
  </si>
  <si>
    <t>线上团练营</t>
  </si>
  <si>
    <t>组织营销提效营</t>
  </si>
  <si>
    <t>张拯</t>
  </si>
  <si>
    <t>墨鱼（李彤）</t>
  </si>
  <si>
    <t>内容组</t>
  </si>
  <si>
    <t>吴瑜卿</t>
  </si>
  <si>
    <t>陈杰文</t>
  </si>
  <si>
    <t>糖糖（唐婷）</t>
  </si>
  <si>
    <t>姚叶萱</t>
  </si>
  <si>
    <t>课题组</t>
  </si>
  <si>
    <t>曾珍</t>
  </si>
  <si>
    <t>流程公开课增量</t>
  </si>
  <si>
    <t>组织课开发</t>
  </si>
  <si>
    <t>KK  年会表彰会或发奖金时表示感谢</t>
  </si>
  <si>
    <t>产运</t>
  </si>
  <si>
    <t>辰辰</t>
  </si>
  <si>
    <t>让产运琐事稳定运营，快速响应，救火，教材集中化管理、解放广深打印</t>
  </si>
  <si>
    <t>刘晓烔</t>
  </si>
  <si>
    <t>让课程排期快速和更有序运转起来，跟老师沟通，且快速响应和调整各城市排期、响应处理业务端事宜</t>
  </si>
  <si>
    <t>业务线的HR事务兼任，拉通、协调业务线的激励等组织相关事务</t>
  </si>
  <si>
    <t>线上团练营1阶段</t>
  </si>
  <si>
    <t>吴梦</t>
  </si>
  <si>
    <t>让产运流程化、IT化，产运机器人、流程梳理、产品资料分离、知识产权有了流程和操作文档</t>
  </si>
  <si>
    <t>技术</t>
  </si>
  <si>
    <t>李宝声</t>
  </si>
  <si>
    <t>oddo</t>
  </si>
  <si>
    <t>刘伟</t>
  </si>
  <si>
    <t>飞书</t>
  </si>
  <si>
    <t>成锐</t>
  </si>
  <si>
    <t>李霞</t>
  </si>
  <si>
    <t>祚栋</t>
  </si>
  <si>
    <t>财务</t>
  </si>
  <si>
    <t>陈延琴</t>
  </si>
  <si>
    <t>财务管理：公司激励、会员机制测算、公司财务基础结构梳理（成本、业务单元划分）、公司机制优化、oddo财报</t>
  </si>
  <si>
    <t>3年理财收入</t>
  </si>
  <si>
    <t>琴姐100000已发</t>
  </si>
  <si>
    <t>袁杰</t>
  </si>
  <si>
    <t>oddo一阶段（补2022年）</t>
  </si>
  <si>
    <t>oddo二阶段</t>
  </si>
  <si>
    <t>AR</t>
  </si>
  <si>
    <t>张可馨</t>
  </si>
  <si>
    <t>战区指挥奖</t>
  </si>
  <si>
    <t>许雯祯</t>
  </si>
  <si>
    <t>冲锋排头兵</t>
  </si>
  <si>
    <t>任杰欣</t>
  </si>
  <si>
    <t>持续复购奖</t>
  </si>
  <si>
    <t>伍悦</t>
  </si>
  <si>
    <t>最佳托付奖</t>
  </si>
  <si>
    <t>区域增量</t>
  </si>
  <si>
    <t>深圳</t>
  </si>
  <si>
    <t>公开课</t>
  </si>
  <si>
    <t>华东</t>
  </si>
  <si>
    <t>管理团队</t>
  </si>
  <si>
    <t>林传科</t>
  </si>
  <si>
    <t>刘军</t>
  </si>
  <si>
    <t>林慧余</t>
  </si>
  <si>
    <t>米亚</t>
  </si>
  <si>
    <t>餐饮学院</t>
  </si>
  <si>
    <t>肖霞</t>
  </si>
  <si>
    <t>直播转化+后端转化</t>
  </si>
  <si>
    <t>属于餐饮学院，餐饮学院发</t>
  </si>
  <si>
    <t>艳丽</t>
  </si>
  <si>
    <t>贡献奖</t>
  </si>
  <si>
    <t>模块</t>
  </si>
  <si>
    <t>贡献</t>
  </si>
  <si>
    <t>1月15日讨论</t>
  </si>
  <si>
    <t>股票</t>
  </si>
  <si>
    <t>管理</t>
  </si>
  <si>
    <t>华东规划师管理、行业模板、素材工具</t>
  </si>
  <si>
    <t>学习官1期</t>
  </si>
  <si>
    <t>100家后销售管理</t>
  </si>
  <si>
    <t>人员协同沟通支持</t>
  </si>
  <si>
    <t>刘岷</t>
  </si>
  <si>
    <t>华南规划师管理</t>
  </si>
  <si>
    <t>规划师</t>
  </si>
  <si>
    <t>学习官1期探索、企业服务排头兵</t>
  </si>
  <si>
    <t>学习官1期探索、咨询项目深度服务、知识沉淀</t>
  </si>
  <si>
    <t>项目支持</t>
  </si>
  <si>
    <t>技术更新、持续响应</t>
  </si>
  <si>
    <t>技术支持</t>
  </si>
  <si>
    <t>技术更新</t>
  </si>
  <si>
    <t>日常运营支持、学习官运营、会员接口</t>
  </si>
  <si>
    <t>素材支持</t>
  </si>
  <si>
    <t>结算支持</t>
  </si>
  <si>
    <t>糖糖</t>
  </si>
  <si>
    <t>宣传支持</t>
  </si>
  <si>
    <t>Wendy</t>
  </si>
  <si>
    <t>制度算法承接</t>
  </si>
  <si>
    <t>前期数据测算</t>
  </si>
  <si>
    <t>班主任</t>
  </si>
  <si>
    <t>合计：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</si>
</sst>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_ "/>
    <numFmt numFmtId="177" formatCode="0.0_ "/>
  </numFmts>
  <fonts count="27">
    <font>
      <sz val="11"/>
      <color theme="1"/>
      <name val="宋体"/>
      <charset val="134"/>
      <scheme val="minor"/>
    </font>
    <font>
      <b/>
      <sz val="11"/>
      <color theme="0"/>
      <name val="Microsoft YaHei"/>
      <charset val="134"/>
    </font>
    <font>
      <sz val="10"/>
      <color theme="1"/>
      <name val="Microsoft YaHei"/>
      <charset val="134"/>
    </font>
    <font>
      <sz val="11"/>
      <color rgb="FFFF0000"/>
      <name val="宋体"/>
      <charset val="134"/>
      <scheme val="minor"/>
    </font>
    <font>
      <sz val="9"/>
      <color theme="1"/>
      <name val="宋体"/>
      <charset val="134"/>
      <scheme val="minor"/>
    </font>
    <font>
      <b/>
      <sz val="9"/>
      <color theme="0"/>
      <name val="Microsoft YaHei"/>
      <charset val="134"/>
    </font>
    <font>
      <sz val="9"/>
      <color theme="1"/>
      <name val="Microsoft YaHei"/>
      <charset val="134"/>
    </font>
    <font>
      <sz val="11"/>
      <color theme="1"/>
      <name val="Microsoft YaHei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00B0F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 tint="0.8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9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0" fillId="5" borderId="11" applyNumberFormat="0" applyFont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12" applyNumberFormat="0" applyFill="0" applyAlignment="0" applyProtection="0">
      <alignment vertical="center"/>
    </xf>
    <xf numFmtId="0" fontId="14" fillId="0" borderId="12" applyNumberFormat="0" applyFill="0" applyAlignment="0" applyProtection="0">
      <alignment vertical="center"/>
    </xf>
    <xf numFmtId="0" fontId="15" fillId="0" borderId="13" applyNumberFormat="0" applyFill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6" borderId="14" applyNumberFormat="0" applyAlignment="0" applyProtection="0">
      <alignment vertical="center"/>
    </xf>
    <xf numFmtId="0" fontId="17" fillId="7" borderId="15" applyNumberFormat="0" applyAlignment="0" applyProtection="0">
      <alignment vertical="center"/>
    </xf>
    <xf numFmtId="0" fontId="18" fillId="7" borderId="14" applyNumberFormat="0" applyAlignment="0" applyProtection="0">
      <alignment vertical="center"/>
    </xf>
    <xf numFmtId="0" fontId="19" fillId="8" borderId="16" applyNumberFormat="0" applyAlignment="0" applyProtection="0">
      <alignment vertical="center"/>
    </xf>
    <xf numFmtId="0" fontId="20" fillId="0" borderId="17" applyNumberFormat="0" applyFill="0" applyAlignment="0" applyProtection="0">
      <alignment vertical="center"/>
    </xf>
    <xf numFmtId="0" fontId="21" fillId="0" borderId="18" applyNumberFormat="0" applyFill="0" applyAlignment="0" applyProtection="0">
      <alignment vertical="center"/>
    </xf>
    <xf numFmtId="0" fontId="22" fillId="9" borderId="0" applyNumberFormat="0" applyBorder="0" applyAlignment="0" applyProtection="0">
      <alignment vertical="center"/>
    </xf>
    <xf numFmtId="0" fontId="23" fillId="10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5" fillId="12" borderId="0" applyNumberFormat="0" applyBorder="0" applyAlignment="0" applyProtection="0">
      <alignment vertical="center"/>
    </xf>
    <xf numFmtId="0" fontId="26" fillId="13" borderId="0" applyNumberFormat="0" applyBorder="0" applyAlignment="0" applyProtection="0">
      <alignment vertical="center"/>
    </xf>
    <xf numFmtId="0" fontId="26" fillId="14" borderId="0" applyNumberFormat="0" applyBorder="0" applyAlignment="0" applyProtection="0">
      <alignment vertical="center"/>
    </xf>
    <xf numFmtId="0" fontId="25" fillId="15" borderId="0" applyNumberFormat="0" applyBorder="0" applyAlignment="0" applyProtection="0">
      <alignment vertical="center"/>
    </xf>
    <xf numFmtId="0" fontId="25" fillId="16" borderId="0" applyNumberFormat="0" applyBorder="0" applyAlignment="0" applyProtection="0">
      <alignment vertical="center"/>
    </xf>
    <xf numFmtId="0" fontId="26" fillId="17" borderId="0" applyNumberFormat="0" applyBorder="0" applyAlignment="0" applyProtection="0">
      <alignment vertical="center"/>
    </xf>
    <xf numFmtId="0" fontId="26" fillId="18" borderId="0" applyNumberFormat="0" applyBorder="0" applyAlignment="0" applyProtection="0">
      <alignment vertical="center"/>
    </xf>
    <xf numFmtId="0" fontId="25" fillId="19" borderId="0" applyNumberFormat="0" applyBorder="0" applyAlignment="0" applyProtection="0">
      <alignment vertical="center"/>
    </xf>
    <xf numFmtId="0" fontId="25" fillId="20" borderId="0" applyNumberFormat="0" applyBorder="0" applyAlignment="0" applyProtection="0">
      <alignment vertical="center"/>
    </xf>
    <xf numFmtId="0" fontId="26" fillId="21" borderId="0" applyNumberFormat="0" applyBorder="0" applyAlignment="0" applyProtection="0">
      <alignment vertical="center"/>
    </xf>
    <xf numFmtId="0" fontId="26" fillId="22" borderId="0" applyNumberFormat="0" applyBorder="0" applyAlignment="0" applyProtection="0">
      <alignment vertical="center"/>
    </xf>
    <xf numFmtId="0" fontId="25" fillId="23" borderId="0" applyNumberFormat="0" applyBorder="0" applyAlignment="0" applyProtection="0">
      <alignment vertical="center"/>
    </xf>
    <xf numFmtId="0" fontId="25" fillId="24" borderId="0" applyNumberFormat="0" applyBorder="0" applyAlignment="0" applyProtection="0">
      <alignment vertical="center"/>
    </xf>
    <xf numFmtId="0" fontId="26" fillId="25" borderId="0" applyNumberFormat="0" applyBorder="0" applyAlignment="0" applyProtection="0">
      <alignment vertical="center"/>
    </xf>
    <xf numFmtId="0" fontId="26" fillId="26" borderId="0" applyNumberFormat="0" applyBorder="0" applyAlignment="0" applyProtection="0">
      <alignment vertical="center"/>
    </xf>
    <xf numFmtId="0" fontId="25" fillId="27" borderId="0" applyNumberFormat="0" applyBorder="0" applyAlignment="0" applyProtection="0">
      <alignment vertical="center"/>
    </xf>
    <xf numFmtId="0" fontId="25" fillId="28" borderId="0" applyNumberFormat="0" applyBorder="0" applyAlignment="0" applyProtection="0">
      <alignment vertical="center"/>
    </xf>
    <xf numFmtId="0" fontId="26" fillId="29" borderId="0" applyNumberFormat="0" applyBorder="0" applyAlignment="0" applyProtection="0">
      <alignment vertical="center"/>
    </xf>
    <xf numFmtId="0" fontId="26" fillId="30" borderId="0" applyNumberFormat="0" applyBorder="0" applyAlignment="0" applyProtection="0">
      <alignment vertical="center"/>
    </xf>
    <xf numFmtId="0" fontId="25" fillId="31" borderId="0" applyNumberFormat="0" applyBorder="0" applyAlignment="0" applyProtection="0">
      <alignment vertical="center"/>
    </xf>
    <xf numFmtId="0" fontId="25" fillId="32" borderId="0" applyNumberFormat="0" applyBorder="0" applyAlignment="0" applyProtection="0">
      <alignment vertical="center"/>
    </xf>
    <xf numFmtId="0" fontId="26" fillId="33" borderId="0" applyNumberFormat="0" applyBorder="0" applyAlignment="0" applyProtection="0">
      <alignment vertical="center"/>
    </xf>
    <xf numFmtId="0" fontId="26" fillId="34" borderId="0" applyNumberFormat="0" applyBorder="0" applyAlignment="0" applyProtection="0">
      <alignment vertical="center"/>
    </xf>
    <xf numFmtId="0" fontId="25" fillId="35" borderId="0" applyNumberFormat="0" applyBorder="0" applyAlignment="0" applyProtection="0">
      <alignment vertical="center"/>
    </xf>
  </cellStyleXfs>
  <cellXfs count="48">
    <xf numFmtId="0" fontId="0" fillId="0" borderId="0" xfId="0">
      <alignment vertical="center"/>
    </xf>
    <xf numFmtId="0" fontId="0" fillId="0" borderId="0" xfId="0" applyFill="1" applyAlignment="1">
      <alignment vertical="center"/>
    </xf>
    <xf numFmtId="176" fontId="0" fillId="0" borderId="0" xfId="0" applyNumberFormat="1" applyFill="1" applyAlignment="1">
      <alignment horizontal="center" vertical="center"/>
    </xf>
    <xf numFmtId="0" fontId="1" fillId="2" borderId="0" xfId="0" applyFont="1" applyFill="1" applyAlignment="1">
      <alignment horizontal="center" vertical="center" wrapText="1"/>
    </xf>
    <xf numFmtId="0" fontId="2" fillId="0" borderId="1" xfId="0" applyFont="1" applyFill="1" applyBorder="1" applyAlignment="1">
      <alignment horizontal="center" vertical="center" wrapText="1"/>
    </xf>
    <xf numFmtId="0" fontId="2" fillId="0" borderId="1" xfId="0" applyFont="1" applyFill="1" applyBorder="1" applyAlignment="1">
      <alignment horizontal="center" vertical="center" wrapText="1"/>
    </xf>
    <xf numFmtId="176" fontId="0" fillId="0" borderId="1" xfId="0" applyNumberFormat="1" applyFill="1" applyBorder="1" applyAlignment="1">
      <alignment horizontal="center" vertical="center"/>
    </xf>
    <xf numFmtId="0" fontId="3" fillId="0" borderId="0" xfId="0" applyFont="1" applyFill="1" applyAlignment="1">
      <alignment vertical="center" wrapText="1"/>
    </xf>
    <xf numFmtId="176" fontId="0" fillId="0" borderId="1" xfId="0" applyNumberForma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 wrapText="1"/>
    </xf>
    <xf numFmtId="176" fontId="0" fillId="0" borderId="1" xfId="0" applyNumberFormat="1" applyFill="1" applyBorder="1" applyAlignment="1">
      <alignment horizontal="center" vertical="center"/>
    </xf>
    <xf numFmtId="0" fontId="0" fillId="0" borderId="1" xfId="0" applyFill="1" applyBorder="1" applyAlignment="1">
      <alignment horizontal="center" vertical="center"/>
    </xf>
    <xf numFmtId="0" fontId="0" fillId="0" borderId="0" xfId="0" applyFill="1" applyAlignment="1">
      <alignment vertical="center"/>
    </xf>
    <xf numFmtId="0" fontId="4" fillId="0" borderId="0" xfId="0" applyFont="1" applyFill="1" applyAlignment="1">
      <alignment vertical="center"/>
    </xf>
    <xf numFmtId="0" fontId="0" fillId="0" borderId="0" xfId="0" applyFill="1" applyAlignment="1">
      <alignment horizontal="left" vertical="center"/>
    </xf>
    <xf numFmtId="0" fontId="1" fillId="2" borderId="1" xfId="0" applyFont="1" applyFill="1" applyBorder="1" applyAlignment="1">
      <alignment horizontal="center" vertical="center" wrapText="1"/>
    </xf>
    <xf numFmtId="0" fontId="5" fillId="2" borderId="1" xfId="0" applyFont="1" applyFill="1" applyBorder="1" applyAlignment="1">
      <alignment horizontal="center" vertical="center" wrapText="1"/>
    </xf>
    <xf numFmtId="0" fontId="2" fillId="0" borderId="1" xfId="0" applyFont="1" applyFill="1" applyBorder="1" applyAlignment="1">
      <alignment horizontal="center" vertical="center" wrapText="1"/>
    </xf>
    <xf numFmtId="0" fontId="6" fillId="0" borderId="1" xfId="0" applyFont="1" applyFill="1" applyBorder="1" applyAlignment="1">
      <alignment horizontal="left" vertical="center" wrapText="1"/>
    </xf>
    <xf numFmtId="0" fontId="2" fillId="0" borderId="1" xfId="0" applyFont="1" applyFill="1" applyBorder="1" applyAlignment="1">
      <alignment horizontal="center" vertical="center" wrapText="1"/>
    </xf>
    <xf numFmtId="177" fontId="2" fillId="0" borderId="1" xfId="0" applyNumberFormat="1" applyFont="1" applyFill="1" applyBorder="1" applyAlignment="1">
      <alignment horizontal="center" vertical="center" wrapText="1"/>
    </xf>
    <xf numFmtId="0" fontId="2" fillId="4" borderId="2" xfId="0" applyFont="1" applyFill="1" applyBorder="1" applyAlignment="1">
      <alignment horizontal="center" vertical="center" wrapText="1"/>
    </xf>
    <xf numFmtId="0" fontId="2" fillId="4" borderId="3" xfId="0" applyFont="1" applyFill="1" applyBorder="1" applyAlignment="1">
      <alignment horizontal="center" vertical="center" wrapText="1"/>
    </xf>
    <xf numFmtId="0" fontId="2" fillId="4" borderId="4" xfId="0" applyFont="1" applyFill="1" applyBorder="1" applyAlignment="1">
      <alignment horizontal="center" vertical="center" wrapText="1"/>
    </xf>
    <xf numFmtId="0" fontId="2" fillId="4" borderId="1" xfId="0" applyFont="1" applyFill="1" applyBorder="1" applyAlignment="1">
      <alignment horizontal="center" vertical="center" wrapText="1"/>
    </xf>
    <xf numFmtId="0" fontId="2" fillId="0" borderId="5" xfId="0" applyFont="1" applyFill="1" applyBorder="1" applyAlignment="1">
      <alignment horizontal="center" vertical="center" wrapText="1"/>
    </xf>
    <xf numFmtId="0" fontId="2" fillId="0" borderId="5" xfId="0" applyFont="1" applyFill="1" applyBorder="1" applyAlignment="1">
      <alignment horizontal="center" vertical="center" wrapText="1"/>
    </xf>
    <xf numFmtId="0" fontId="2" fillId="0" borderId="6" xfId="0" applyFont="1" applyFill="1" applyBorder="1" applyAlignment="1">
      <alignment horizontal="center" vertical="center" wrapText="1"/>
    </xf>
    <xf numFmtId="0" fontId="2" fillId="0" borderId="6" xfId="0" applyFont="1" applyFill="1" applyBorder="1" applyAlignment="1">
      <alignment horizontal="center" vertical="center" wrapText="1"/>
    </xf>
    <xf numFmtId="0" fontId="2" fillId="0" borderId="7" xfId="0" applyFont="1" applyFill="1" applyBorder="1" applyAlignment="1">
      <alignment horizontal="center" vertical="center" wrapText="1"/>
    </xf>
    <xf numFmtId="0" fontId="2" fillId="0" borderId="7" xfId="0" applyFont="1" applyFill="1" applyBorder="1" applyAlignment="1">
      <alignment horizontal="center" vertical="center" wrapText="1"/>
    </xf>
    <xf numFmtId="0" fontId="2" fillId="4" borderId="3" xfId="0" applyFont="1" applyFill="1" applyBorder="1" applyAlignment="1">
      <alignment vertical="center" wrapText="1"/>
    </xf>
    <xf numFmtId="0" fontId="2" fillId="4" borderId="4" xfId="0" applyFont="1" applyFill="1" applyBorder="1" applyAlignment="1">
      <alignment vertical="center" wrapText="1"/>
    </xf>
    <xf numFmtId="0" fontId="2" fillId="0" borderId="1" xfId="0" applyFont="1" applyFill="1" applyBorder="1" applyAlignment="1">
      <alignment horizontal="center" vertical="center" wrapText="1"/>
    </xf>
    <xf numFmtId="0" fontId="7" fillId="0" borderId="1" xfId="0" applyFont="1" applyFill="1" applyBorder="1" applyAlignment="1">
      <alignment horizontal="center" vertical="center" wrapText="1"/>
    </xf>
    <xf numFmtId="0" fontId="6" fillId="0" borderId="1" xfId="0" applyFont="1" applyFill="1" applyBorder="1" applyAlignment="1">
      <alignment horizontal="center" vertical="center" wrapText="1"/>
    </xf>
    <xf numFmtId="0" fontId="7" fillId="0" borderId="1" xfId="0" applyFont="1" applyFill="1" applyBorder="1" applyAlignment="1">
      <alignment horizontal="center" vertical="center" wrapText="1"/>
    </xf>
    <xf numFmtId="0" fontId="7" fillId="4" borderId="1" xfId="0" applyFont="1" applyFill="1" applyBorder="1" applyAlignment="1">
      <alignment horizontal="center" vertical="center" wrapText="1"/>
    </xf>
    <xf numFmtId="0" fontId="7" fillId="4" borderId="1" xfId="0" applyFont="1" applyFill="1" applyBorder="1" applyAlignment="1">
      <alignment horizontal="center" vertical="center" wrapText="1"/>
    </xf>
    <xf numFmtId="0" fontId="2" fillId="4" borderId="8" xfId="0" applyFont="1" applyFill="1" applyBorder="1" applyAlignment="1">
      <alignment horizontal="center" vertical="center" wrapText="1"/>
    </xf>
    <xf numFmtId="0" fontId="2" fillId="4" borderId="9" xfId="0" applyFont="1" applyFill="1" applyBorder="1" applyAlignment="1">
      <alignment horizontal="center" vertical="center" wrapText="1"/>
    </xf>
    <xf numFmtId="0" fontId="2" fillId="4" borderId="10" xfId="0" applyFont="1" applyFill="1" applyBorder="1" applyAlignment="1">
      <alignment horizontal="center" vertical="center" wrapText="1"/>
    </xf>
    <xf numFmtId="0" fontId="2" fillId="4" borderId="1" xfId="0" applyFont="1" applyFill="1" applyBorder="1" applyAlignment="1">
      <alignment horizontal="center" vertical="center" wrapText="1"/>
    </xf>
    <xf numFmtId="0" fontId="0" fillId="0" borderId="0" xfId="0" applyFill="1" applyAlignment="1">
      <alignment horizontal="center" vertical="center"/>
    </xf>
    <xf numFmtId="0" fontId="2" fillId="0" borderId="1" xfId="0" applyFont="1" applyFill="1" applyBorder="1" applyAlignment="1">
      <alignment horizontal="left" vertical="center" wrapText="1"/>
    </xf>
    <xf numFmtId="0" fontId="2" fillId="0" borderId="1" xfId="0" applyFont="1" applyFill="1" applyBorder="1" applyAlignment="1">
      <alignment horizontal="center" vertical="center" wrapText="1"/>
    </xf>
    <xf numFmtId="0" fontId="6" fillId="0" borderId="5" xfId="0" applyFont="1" applyFill="1" applyBorder="1" applyAlignment="1">
      <alignment horizontal="left" vertical="center" wrapText="1"/>
    </xf>
    <xf numFmtId="0" fontId="0" fillId="0" borderId="0" xfId="0" applyFill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70"/>
  <sheetViews>
    <sheetView workbookViewId="0">
      <selection activeCell="F6" sqref="F6"/>
    </sheetView>
  </sheetViews>
  <sheetFormatPr defaultColWidth="9.02654867256637" defaultRowHeight="13.5" outlineLevelCol="6"/>
  <cols>
    <col min="1" max="1" width="12.0796460176991" style="12" customWidth="1"/>
    <col min="2" max="2" width="15.6106194690265" style="12" customWidth="1"/>
    <col min="3" max="3" width="54.5044247787611" style="13" customWidth="1"/>
    <col min="4" max="4" width="14.9026548672566" style="12" customWidth="1"/>
    <col min="5" max="5" width="11.3716814159292" style="12" customWidth="1"/>
    <col min="6" max="6" width="21.4336283185841" style="14" customWidth="1"/>
    <col min="7" max="7" width="11.6637168141593" style="14"/>
    <col min="8" max="16384" width="9.02654867256637" style="12"/>
  </cols>
  <sheetData>
    <row r="1" s="12" customFormat="1" ht="22.5" customHeight="1" spans="1:7">
      <c r="A1" s="15" t="s">
        <v>0</v>
      </c>
      <c r="B1" s="15" t="s">
        <v>1</v>
      </c>
      <c r="C1" s="16" t="s">
        <v>2</v>
      </c>
      <c r="D1" s="15" t="s">
        <v>3</v>
      </c>
      <c r="E1" s="15" t="s">
        <v>4</v>
      </c>
      <c r="F1" s="15" t="s">
        <v>5</v>
      </c>
      <c r="G1" s="14"/>
    </row>
    <row r="2" s="12" customFormat="1" ht="22.5" customHeight="1" spans="1:7">
      <c r="A2" s="17" t="s">
        <v>6</v>
      </c>
      <c r="B2" s="17" t="s">
        <v>7</v>
      </c>
      <c r="C2" s="18" t="s">
        <v>8</v>
      </c>
      <c r="D2" s="17">
        <v>80000</v>
      </c>
      <c r="E2" s="19">
        <f>D2</f>
        <v>80000</v>
      </c>
      <c r="F2" s="14" t="s">
        <v>9</v>
      </c>
      <c r="G2" s="14"/>
    </row>
    <row r="3" s="12" customFormat="1" ht="22.5" customHeight="1" spans="1:7">
      <c r="A3" s="17"/>
      <c r="B3" s="17" t="s">
        <v>10</v>
      </c>
      <c r="C3" s="18" t="s">
        <v>11</v>
      </c>
      <c r="D3" s="17">
        <v>30000</v>
      </c>
      <c r="E3" s="19">
        <v>30000</v>
      </c>
      <c r="F3" s="14" t="s">
        <v>12</v>
      </c>
      <c r="G3" s="14"/>
    </row>
    <row r="4" s="12" customFormat="1" ht="22.5" customHeight="1" spans="1:7">
      <c r="A4" s="17"/>
      <c r="B4" s="17" t="s">
        <v>13</v>
      </c>
      <c r="C4" s="18" t="s">
        <v>14</v>
      </c>
      <c r="D4" s="20">
        <v>0</v>
      </c>
      <c r="E4" s="20">
        <f>D4+D5+D6+D7</f>
        <v>67799.889</v>
      </c>
      <c r="F4" s="14" t="s">
        <v>15</v>
      </c>
      <c r="G4" s="14"/>
    </row>
    <row r="5" s="12" customFormat="1" ht="22.5" customHeight="1" spans="1:7">
      <c r="A5" s="17"/>
      <c r="B5" s="17"/>
      <c r="C5" s="18" t="s">
        <v>16</v>
      </c>
      <c r="D5" s="20">
        <v>24733.9</v>
      </c>
      <c r="E5" s="20"/>
      <c r="F5" s="14"/>
      <c r="G5" s="14"/>
    </row>
    <row r="6" s="12" customFormat="1" ht="22.5" customHeight="1" spans="1:7">
      <c r="A6" s="17"/>
      <c r="B6" s="17"/>
      <c r="C6" s="18" t="s">
        <v>17</v>
      </c>
      <c r="D6" s="20">
        <v>28065.989</v>
      </c>
      <c r="E6" s="20"/>
      <c r="F6" s="14"/>
      <c r="G6" s="14"/>
    </row>
    <row r="7" s="12" customFormat="1" ht="22.5" customHeight="1" spans="1:7">
      <c r="A7" s="17"/>
      <c r="B7" s="17"/>
      <c r="C7" s="18" t="s">
        <v>6</v>
      </c>
      <c r="D7" s="20">
        <v>15000</v>
      </c>
      <c r="E7" s="20"/>
      <c r="F7" s="14"/>
      <c r="G7" s="14"/>
    </row>
    <row r="8" s="12" customFormat="1" ht="22.5" customHeight="1" spans="1:7">
      <c r="A8" s="17" t="s">
        <v>18</v>
      </c>
      <c r="B8" s="17" t="s">
        <v>19</v>
      </c>
      <c r="C8" s="18" t="s">
        <v>6</v>
      </c>
      <c r="D8" s="17">
        <v>8000</v>
      </c>
      <c r="E8" s="19">
        <f>D8</f>
        <v>8000</v>
      </c>
      <c r="F8" s="14" t="s">
        <v>20</v>
      </c>
      <c r="G8" s="14"/>
    </row>
    <row r="9" s="12" customFormat="1" ht="22.5" customHeight="1" spans="1:7">
      <c r="A9" s="21" t="s">
        <v>4</v>
      </c>
      <c r="B9" s="22"/>
      <c r="C9" s="22"/>
      <c r="D9" s="23">
        <f>SUM(D2:D8)</f>
        <v>185799.889</v>
      </c>
      <c r="E9" s="24"/>
      <c r="F9" s="14"/>
      <c r="G9" s="14"/>
    </row>
    <row r="10" s="12" customFormat="1" ht="39" customHeight="1" spans="1:7">
      <c r="A10" s="17" t="s">
        <v>21</v>
      </c>
      <c r="B10" s="17" t="s">
        <v>22</v>
      </c>
      <c r="C10" s="18" t="s">
        <v>23</v>
      </c>
      <c r="D10" s="17">
        <v>90000</v>
      </c>
      <c r="E10" s="19">
        <f>D10+D11+D12</f>
        <v>150000</v>
      </c>
      <c r="F10" s="12" t="s">
        <v>15</v>
      </c>
      <c r="G10" s="14"/>
    </row>
    <row r="11" s="12" customFormat="1" ht="39" customHeight="1" spans="1:7">
      <c r="A11" s="17"/>
      <c r="B11" s="17"/>
      <c r="C11" s="18" t="s">
        <v>24</v>
      </c>
      <c r="D11" s="17">
        <v>30000</v>
      </c>
      <c r="E11" s="19"/>
      <c r="F11" s="12"/>
      <c r="G11" s="14"/>
    </row>
    <row r="12" s="12" customFormat="1" ht="22.5" customHeight="1" spans="1:7">
      <c r="A12" s="17"/>
      <c r="B12" s="17"/>
      <c r="C12" s="18" t="s">
        <v>25</v>
      </c>
      <c r="D12" s="17">
        <v>30000</v>
      </c>
      <c r="E12" s="19"/>
      <c r="F12" s="12"/>
      <c r="G12" s="14"/>
    </row>
    <row r="13" s="12" customFormat="1" ht="55.5" customHeight="1" spans="1:7">
      <c r="A13" s="17"/>
      <c r="B13" s="17" t="s">
        <v>26</v>
      </c>
      <c r="C13" s="18" t="s">
        <v>27</v>
      </c>
      <c r="D13" s="17">
        <v>68000</v>
      </c>
      <c r="E13" s="19">
        <f t="shared" ref="E13:E18" si="0">D13</f>
        <v>68000</v>
      </c>
      <c r="G13" s="14"/>
    </row>
    <row r="14" s="12" customFormat="1" ht="22.5" customHeight="1" spans="1:7">
      <c r="A14" s="17"/>
      <c r="B14" s="25" t="s">
        <v>28</v>
      </c>
      <c r="C14" s="18" t="s">
        <v>29</v>
      </c>
      <c r="D14" s="17">
        <v>50000</v>
      </c>
      <c r="E14" s="26">
        <f>D14+D15+D16</f>
        <v>53890.17</v>
      </c>
      <c r="G14" s="14"/>
    </row>
    <row r="15" s="12" customFormat="1" ht="22.5" customHeight="1" spans="1:7">
      <c r="A15" s="17"/>
      <c r="B15" s="27"/>
      <c r="C15" s="18" t="s">
        <v>30</v>
      </c>
      <c r="D15" s="17">
        <v>2610</v>
      </c>
      <c r="E15" s="28"/>
      <c r="F15" s="12"/>
      <c r="G15" s="14"/>
    </row>
    <row r="16" s="12" customFormat="1" ht="22.5" customHeight="1" spans="1:7">
      <c r="A16" s="17"/>
      <c r="B16" s="29"/>
      <c r="C16" s="18" t="s">
        <v>31</v>
      </c>
      <c r="D16" s="17">
        <v>1280.17</v>
      </c>
      <c r="E16" s="30"/>
      <c r="F16" s="12"/>
      <c r="G16" s="14"/>
    </row>
    <row r="17" s="12" customFormat="1" ht="22.5" customHeight="1" spans="1:7">
      <c r="A17" s="17"/>
      <c r="B17" s="17" t="s">
        <v>32</v>
      </c>
      <c r="C17" s="18"/>
      <c r="D17" s="17">
        <v>25000</v>
      </c>
      <c r="E17" s="19">
        <f t="shared" si="0"/>
        <v>25000</v>
      </c>
      <c r="G17" s="14"/>
    </row>
    <row r="18" s="12" customFormat="1" ht="22.5" customHeight="1" spans="1:7">
      <c r="A18" s="17"/>
      <c r="B18" s="17" t="s">
        <v>33</v>
      </c>
      <c r="C18" s="18"/>
      <c r="D18" s="17">
        <v>15000</v>
      </c>
      <c r="E18" s="19">
        <f t="shared" si="0"/>
        <v>15000</v>
      </c>
      <c r="G18" s="14"/>
    </row>
    <row r="19" s="12" customFormat="1" ht="22.5" customHeight="1" spans="1:7">
      <c r="A19" s="17"/>
      <c r="B19" s="21" t="s">
        <v>4</v>
      </c>
      <c r="C19" s="22"/>
      <c r="D19" s="31"/>
      <c r="E19" s="32">
        <f>SUM(E10:E18)</f>
        <v>311890.17</v>
      </c>
      <c r="G19" s="14"/>
    </row>
    <row r="20" s="12" customFormat="1" ht="22.5" customHeight="1" spans="1:7">
      <c r="A20" s="17" t="s">
        <v>34</v>
      </c>
      <c r="B20" s="17" t="s">
        <v>35</v>
      </c>
      <c r="C20" s="18" t="s">
        <v>29</v>
      </c>
      <c r="D20" s="17">
        <v>6060</v>
      </c>
      <c r="E20" s="33">
        <f>D20</f>
        <v>6060</v>
      </c>
      <c r="G20" s="14"/>
    </row>
    <row r="21" s="12" customFormat="1" ht="22.5" customHeight="1" spans="1:7">
      <c r="A21" s="17"/>
      <c r="B21" s="17" t="s">
        <v>36</v>
      </c>
      <c r="C21" s="18"/>
      <c r="D21" s="17">
        <v>6000</v>
      </c>
      <c r="E21" s="33">
        <v>6000</v>
      </c>
      <c r="F21" s="12"/>
      <c r="G21" s="14"/>
    </row>
    <row r="22" s="12" customFormat="1" ht="22.5" customHeight="1" spans="1:7">
      <c r="A22" s="17"/>
      <c r="B22" s="17" t="s">
        <v>37</v>
      </c>
      <c r="C22" s="18" t="s">
        <v>29</v>
      </c>
      <c r="D22" s="17">
        <v>6000</v>
      </c>
      <c r="E22" s="33">
        <f>D22</f>
        <v>6000</v>
      </c>
      <c r="G22" s="14"/>
    </row>
    <row r="23" s="12" customFormat="1" ht="22.5" customHeight="1" spans="1:7">
      <c r="A23" s="34"/>
      <c r="B23" s="34" t="s">
        <v>38</v>
      </c>
      <c r="C23" s="35"/>
      <c r="D23" s="34">
        <v>6000</v>
      </c>
      <c r="E23" s="36">
        <v>6000</v>
      </c>
      <c r="F23" s="12"/>
      <c r="G23" s="14"/>
    </row>
    <row r="24" s="12" customFormat="1" ht="22.5" customHeight="1" spans="1:7">
      <c r="A24" s="37"/>
      <c r="B24" s="37"/>
      <c r="C24" s="37"/>
      <c r="D24" s="37"/>
      <c r="E24" s="38">
        <f>SUM(E20:E23)</f>
        <v>24060</v>
      </c>
      <c r="G24" s="14"/>
    </row>
    <row r="25" s="12" customFormat="1" ht="22.5" customHeight="1" spans="1:7">
      <c r="A25" s="27" t="s">
        <v>39</v>
      </c>
      <c r="B25" s="17" t="s">
        <v>40</v>
      </c>
      <c r="C25" s="18" t="s">
        <v>41</v>
      </c>
      <c r="D25" s="17">
        <v>3572.28</v>
      </c>
      <c r="E25" s="19">
        <f>D25+D26</f>
        <v>15572.28</v>
      </c>
      <c r="G25" s="14"/>
    </row>
    <row r="26" s="12" customFormat="1" ht="22.5" customHeight="1" spans="1:7">
      <c r="A26" s="29"/>
      <c r="B26" s="17"/>
      <c r="C26" s="18" t="s">
        <v>42</v>
      </c>
      <c r="D26" s="17">
        <v>12000</v>
      </c>
      <c r="E26" s="19"/>
      <c r="F26" s="12" t="s">
        <v>43</v>
      </c>
      <c r="G26" s="14"/>
    </row>
    <row r="27" s="12" customFormat="1" ht="22.5" customHeight="1" spans="1:7">
      <c r="A27" s="39" t="s">
        <v>4</v>
      </c>
      <c r="B27" s="40"/>
      <c r="C27" s="41"/>
      <c r="D27" s="42">
        <f>SUM(D25:D26)</f>
        <v>15572.28</v>
      </c>
      <c r="E27" s="19"/>
      <c r="F27" s="14"/>
      <c r="G27" s="14"/>
    </row>
    <row r="28" s="12" customFormat="1" ht="20" customHeight="1" spans="1:7">
      <c r="A28" s="17" t="s">
        <v>44</v>
      </c>
      <c r="B28" s="17" t="s">
        <v>45</v>
      </c>
      <c r="C28" s="18" t="s">
        <v>46</v>
      </c>
      <c r="D28" s="17">
        <v>30000</v>
      </c>
      <c r="E28" s="19">
        <f>D28+D29</f>
        <v>34000</v>
      </c>
      <c r="F28" s="43" t="s">
        <v>15</v>
      </c>
      <c r="G28" s="14"/>
    </row>
    <row r="29" s="12" customFormat="1" ht="22.5" customHeight="1" spans="1:7">
      <c r="A29" s="17"/>
      <c r="B29" s="17"/>
      <c r="C29" s="18" t="s">
        <v>29</v>
      </c>
      <c r="D29" s="17">
        <v>4000</v>
      </c>
      <c r="E29" s="19"/>
      <c r="F29" s="43"/>
      <c r="G29" s="14"/>
    </row>
    <row r="30" s="12" customFormat="1" ht="39" customHeight="1" spans="1:7">
      <c r="A30" s="17"/>
      <c r="B30" s="17" t="s">
        <v>47</v>
      </c>
      <c r="C30" s="18" t="s">
        <v>48</v>
      </c>
      <c r="D30" s="17">
        <v>10000</v>
      </c>
      <c r="E30" s="19">
        <f>D30+D31+D33</f>
        <v>48080</v>
      </c>
      <c r="F30" s="43"/>
      <c r="G30" s="14"/>
    </row>
    <row r="31" s="12" customFormat="1" ht="39" customHeight="1" spans="1:7">
      <c r="A31" s="17"/>
      <c r="B31" s="17"/>
      <c r="C31" s="18" t="s">
        <v>49</v>
      </c>
      <c r="D31" s="17">
        <v>30000</v>
      </c>
      <c r="E31" s="19"/>
      <c r="F31" s="43"/>
      <c r="G31" s="14"/>
    </row>
    <row r="32" s="12" customFormat="1" ht="27" customHeight="1" spans="1:7">
      <c r="A32" s="17"/>
      <c r="B32" s="17"/>
      <c r="C32" s="18" t="s">
        <v>50</v>
      </c>
      <c r="D32" s="17"/>
      <c r="E32" s="19"/>
      <c r="F32" s="43"/>
      <c r="G32" s="14"/>
    </row>
    <row r="33" s="12" customFormat="1" ht="22.5" customHeight="1" spans="1:7">
      <c r="A33" s="17"/>
      <c r="B33" s="17"/>
      <c r="C33" s="18" t="s">
        <v>29</v>
      </c>
      <c r="D33" s="17">
        <v>8080</v>
      </c>
      <c r="E33" s="19"/>
      <c r="F33" s="43"/>
      <c r="G33" s="14"/>
    </row>
    <row r="34" s="12" customFormat="1" ht="39" customHeight="1" spans="1:7">
      <c r="A34" s="17"/>
      <c r="B34" s="17" t="s">
        <v>51</v>
      </c>
      <c r="C34" s="18" t="s">
        <v>52</v>
      </c>
      <c r="D34" s="17">
        <v>20000</v>
      </c>
      <c r="E34" s="19">
        <f>D34+D35</f>
        <v>35150</v>
      </c>
      <c r="F34" s="43"/>
      <c r="G34" s="14"/>
    </row>
    <row r="35" s="12" customFormat="1" ht="22.5" customHeight="1" spans="1:7">
      <c r="A35" s="17"/>
      <c r="B35" s="17"/>
      <c r="C35" s="18" t="s">
        <v>29</v>
      </c>
      <c r="D35" s="17">
        <v>15150</v>
      </c>
      <c r="E35" s="19"/>
      <c r="F35" s="43"/>
      <c r="G35" s="14"/>
    </row>
    <row r="36" s="12" customFormat="1" ht="22.5" customHeight="1" spans="1:7">
      <c r="A36" s="39" t="s">
        <v>4</v>
      </c>
      <c r="B36" s="40"/>
      <c r="C36" s="41"/>
      <c r="D36" s="42">
        <f>SUM(D28:D35)</f>
        <v>117230</v>
      </c>
      <c r="E36" s="19"/>
      <c r="F36" s="14"/>
      <c r="G36" s="14"/>
    </row>
    <row r="37" s="12" customFormat="1" ht="22.5" customHeight="1" spans="1:7">
      <c r="A37" s="17" t="s">
        <v>53</v>
      </c>
      <c r="B37" s="17" t="s">
        <v>54</v>
      </c>
      <c r="C37" s="18" t="s">
        <v>55</v>
      </c>
      <c r="D37" s="17">
        <f>54*127</f>
        <v>6858</v>
      </c>
      <c r="E37" s="19">
        <f>D37+D38+D39</f>
        <v>29265</v>
      </c>
      <c r="F37" s="43" t="s">
        <v>56</v>
      </c>
      <c r="G37" s="14"/>
    </row>
    <row r="38" s="12" customFormat="1" ht="22.5" customHeight="1" spans="1:7">
      <c r="A38" s="17"/>
      <c r="B38" s="17"/>
      <c r="C38" s="18" t="s">
        <v>29</v>
      </c>
      <c r="D38" s="17">
        <v>12120</v>
      </c>
      <c r="E38" s="19"/>
      <c r="F38" s="43"/>
      <c r="G38" s="14"/>
    </row>
    <row r="39" s="12" customFormat="1" ht="22.5" customHeight="1" spans="1:7">
      <c r="A39" s="17"/>
      <c r="B39" s="17"/>
      <c r="C39" s="18" t="s">
        <v>57</v>
      </c>
      <c r="D39" s="17">
        <f>81*127</f>
        <v>10287</v>
      </c>
      <c r="E39" s="19"/>
      <c r="F39" s="43"/>
      <c r="G39" s="14"/>
    </row>
    <row r="40" s="12" customFormat="1" ht="22.5" customHeight="1" spans="1:7">
      <c r="A40" s="17"/>
      <c r="B40" s="17" t="s">
        <v>58</v>
      </c>
      <c r="C40" s="18" t="s">
        <v>55</v>
      </c>
      <c r="D40" s="17">
        <f>87*127</f>
        <v>11049</v>
      </c>
      <c r="E40" s="19">
        <f>D40+D41+D42</f>
        <v>25231</v>
      </c>
      <c r="F40" s="43"/>
      <c r="G40" s="14"/>
    </row>
    <row r="41" s="12" customFormat="1" ht="22.5" customHeight="1" spans="1:7">
      <c r="A41" s="17"/>
      <c r="B41" s="17"/>
      <c r="C41" s="18" t="s">
        <v>29</v>
      </c>
      <c r="D41" s="17">
        <v>7070</v>
      </c>
      <c r="E41" s="19"/>
      <c r="F41" s="43"/>
      <c r="G41" s="14"/>
    </row>
    <row r="42" s="12" customFormat="1" ht="22.5" customHeight="1" spans="1:7">
      <c r="A42" s="17"/>
      <c r="B42" s="17"/>
      <c r="C42" s="18" t="s">
        <v>57</v>
      </c>
      <c r="D42" s="17">
        <f>56*127</f>
        <v>7112</v>
      </c>
      <c r="E42" s="19"/>
      <c r="F42" s="43"/>
      <c r="G42" s="14"/>
    </row>
    <row r="43" s="12" customFormat="1" ht="22.5" customHeight="1" spans="1:7">
      <c r="A43" s="17"/>
      <c r="B43" s="17" t="s">
        <v>59</v>
      </c>
      <c r="C43" s="18" t="s">
        <v>55</v>
      </c>
      <c r="D43" s="17">
        <f>81*127</f>
        <v>10287</v>
      </c>
      <c r="E43" s="19">
        <f>D43+D44+D45</f>
        <v>34714</v>
      </c>
      <c r="F43" s="43"/>
      <c r="G43" s="14"/>
    </row>
    <row r="44" s="12" customFormat="1" ht="22.5" customHeight="1" spans="1:7">
      <c r="A44" s="17"/>
      <c r="B44" s="17"/>
      <c r="C44" s="18" t="s">
        <v>29</v>
      </c>
      <c r="D44" s="17">
        <f>14140</f>
        <v>14140</v>
      </c>
      <c r="E44" s="19"/>
      <c r="F44" s="43"/>
      <c r="G44" s="14"/>
    </row>
    <row r="45" s="12" customFormat="1" ht="22.5" customHeight="1" spans="1:7">
      <c r="A45" s="17"/>
      <c r="B45" s="17"/>
      <c r="C45" s="18" t="s">
        <v>57</v>
      </c>
      <c r="D45" s="17">
        <f>81*127</f>
        <v>10287</v>
      </c>
      <c r="E45" s="19"/>
      <c r="F45" s="43"/>
      <c r="G45" s="14"/>
    </row>
    <row r="46" s="12" customFormat="1" ht="22.5" customHeight="1" spans="1:7">
      <c r="A46" s="17"/>
      <c r="B46" s="17" t="s">
        <v>60</v>
      </c>
      <c r="C46" s="18" t="s">
        <v>29</v>
      </c>
      <c r="D46" s="17">
        <v>10100</v>
      </c>
      <c r="E46" s="19">
        <f>D46</f>
        <v>10100</v>
      </c>
      <c r="F46" s="43"/>
      <c r="G46" s="14"/>
    </row>
    <row r="47" s="12" customFormat="1" ht="26" customHeight="1" spans="1:7">
      <c r="A47" s="17" t="s">
        <v>61</v>
      </c>
      <c r="B47" s="17" t="s">
        <v>62</v>
      </c>
      <c r="C47" s="18" t="s">
        <v>63</v>
      </c>
      <c r="D47" s="17">
        <v>20000</v>
      </c>
      <c r="E47" s="19">
        <f>D47+D48</f>
        <v>120000</v>
      </c>
      <c r="F47" s="43"/>
      <c r="G47" s="14"/>
    </row>
    <row r="48" s="12" customFormat="1" ht="22.5" customHeight="1" spans="1:7">
      <c r="A48" s="17"/>
      <c r="B48" s="17"/>
      <c r="C48" s="13" t="s">
        <v>64</v>
      </c>
      <c r="D48" s="17">
        <v>100000</v>
      </c>
      <c r="E48" s="19"/>
      <c r="F48" s="12" t="s">
        <v>65</v>
      </c>
      <c r="G48" s="14"/>
    </row>
    <row r="49" s="12" customFormat="1" ht="22.5" customHeight="1" spans="1:7">
      <c r="A49" s="17"/>
      <c r="B49" s="17" t="s">
        <v>66</v>
      </c>
      <c r="C49" s="18" t="s">
        <v>67</v>
      </c>
      <c r="D49" s="17">
        <f>120*127</f>
        <v>15240</v>
      </c>
      <c r="E49" s="19">
        <f>D49+D50+D51+D52</f>
        <v>30184</v>
      </c>
      <c r="F49" s="43" t="s">
        <v>56</v>
      </c>
      <c r="G49" s="14"/>
    </row>
    <row r="50" s="12" customFormat="1" ht="22.5" customHeight="1" spans="1:7">
      <c r="A50" s="17"/>
      <c r="B50" s="17"/>
      <c r="C50" s="18" t="s">
        <v>68</v>
      </c>
      <c r="D50" s="17">
        <f>30*127</f>
        <v>3810</v>
      </c>
      <c r="E50" s="19"/>
      <c r="F50" s="43"/>
      <c r="G50" s="14"/>
    </row>
    <row r="51" s="12" customFormat="1" ht="22.5" customHeight="1" spans="1:7">
      <c r="A51" s="17"/>
      <c r="B51" s="17"/>
      <c r="C51" s="18" t="s">
        <v>57</v>
      </c>
      <c r="D51" s="17">
        <f>32*127</f>
        <v>4064</v>
      </c>
      <c r="E51" s="19"/>
      <c r="F51" s="43"/>
      <c r="G51" s="14"/>
    </row>
    <row r="52" s="12" customFormat="1" ht="22.5" customHeight="1" spans="1:7">
      <c r="A52" s="17"/>
      <c r="B52" s="17"/>
      <c r="C52" s="18" t="s">
        <v>29</v>
      </c>
      <c r="D52" s="17">
        <v>7070</v>
      </c>
      <c r="E52" s="19"/>
      <c r="F52" s="43"/>
      <c r="G52" s="14"/>
    </row>
    <row r="53" s="12" customFormat="1" ht="22.5" customHeight="1" spans="1:7">
      <c r="A53" s="21" t="s">
        <v>4</v>
      </c>
      <c r="B53" s="22"/>
      <c r="C53" s="23"/>
      <c r="D53" s="42">
        <f>SUM(D37:D52)</f>
        <v>249494</v>
      </c>
      <c r="E53" s="19"/>
      <c r="F53" s="14"/>
      <c r="G53" s="14"/>
    </row>
    <row r="54" s="12" customFormat="1" ht="22.5" customHeight="1" spans="1:7">
      <c r="A54" s="17" t="s">
        <v>69</v>
      </c>
      <c r="B54" s="17" t="s">
        <v>70</v>
      </c>
      <c r="C54" s="44" t="s">
        <v>71</v>
      </c>
      <c r="D54" s="17">
        <v>6000</v>
      </c>
      <c r="E54" s="19"/>
      <c r="F54" s="14"/>
      <c r="G54" s="14"/>
    </row>
    <row r="55" s="12" customFormat="1" ht="22.5" customHeight="1" spans="1:7">
      <c r="A55" s="17"/>
      <c r="B55" s="17" t="s">
        <v>72</v>
      </c>
      <c r="C55" s="44" t="s">
        <v>73</v>
      </c>
      <c r="D55" s="17">
        <v>6000</v>
      </c>
      <c r="E55" s="19"/>
      <c r="F55" s="14"/>
      <c r="G55" s="14"/>
    </row>
    <row r="56" s="12" customFormat="1" ht="22.5" customHeight="1" spans="1:7">
      <c r="A56" s="17"/>
      <c r="B56" s="17" t="s">
        <v>74</v>
      </c>
      <c r="C56" s="44" t="s">
        <v>75</v>
      </c>
      <c r="D56" s="17">
        <v>6000</v>
      </c>
      <c r="E56" s="19"/>
      <c r="F56" s="14"/>
      <c r="G56" s="14"/>
    </row>
    <row r="57" s="12" customFormat="1" ht="22.5" customHeight="1" spans="1:7">
      <c r="A57" s="17"/>
      <c r="B57" s="17" t="s">
        <v>76</v>
      </c>
      <c r="C57" s="44" t="s">
        <v>77</v>
      </c>
      <c r="D57" s="17">
        <v>6000</v>
      </c>
      <c r="E57" s="19"/>
      <c r="F57" s="14"/>
      <c r="G57" s="14"/>
    </row>
    <row r="58" s="12" customFormat="1" ht="22.5" customHeight="1" spans="1:7">
      <c r="A58" s="21" t="s">
        <v>4</v>
      </c>
      <c r="B58" s="22"/>
      <c r="C58" s="23"/>
      <c r="D58" s="17">
        <f>SUM(D54:D57)</f>
        <v>24000</v>
      </c>
      <c r="E58" s="19"/>
      <c r="F58" s="14"/>
      <c r="G58" s="14"/>
    </row>
    <row r="59" s="12" customFormat="1" ht="22.5" customHeight="1" spans="1:7">
      <c r="A59" s="17"/>
      <c r="B59" s="17"/>
      <c r="C59" s="18"/>
      <c r="D59" s="17">
        <f>D9+E19+E24+D27+D36+D70+D53+D58</f>
        <v>942046.339</v>
      </c>
      <c r="E59" s="19"/>
      <c r="F59" s="14"/>
      <c r="G59" s="14"/>
    </row>
    <row r="60" s="12" customFormat="1" ht="22.5" customHeight="1" spans="1:7">
      <c r="A60" s="25" t="s">
        <v>78</v>
      </c>
      <c r="B60" s="17" t="s">
        <v>79</v>
      </c>
      <c r="C60" s="18" t="s">
        <v>80</v>
      </c>
      <c r="D60" s="45">
        <v>131695.971</v>
      </c>
      <c r="E60" s="19"/>
      <c r="F60" s="14">
        <f>D60*60%</f>
        <v>79017.5826</v>
      </c>
      <c r="G60" s="14">
        <f>D60*40%</f>
        <v>52678.3884</v>
      </c>
    </row>
    <row r="61" s="12" customFormat="1" ht="22.5" customHeight="1" spans="1:7">
      <c r="A61" s="29"/>
      <c r="B61" s="17" t="s">
        <v>81</v>
      </c>
      <c r="C61" s="46"/>
      <c r="D61" s="47"/>
      <c r="E61" s="19"/>
      <c r="F61" s="14">
        <f>D61*60%</f>
        <v>0</v>
      </c>
      <c r="G61" s="14">
        <f>D61*40%</f>
        <v>0</v>
      </c>
    </row>
    <row r="62" s="12" customFormat="1" ht="22.5" customHeight="1" spans="1:7">
      <c r="A62" s="17" t="s">
        <v>82</v>
      </c>
      <c r="B62" s="17" t="s">
        <v>83</v>
      </c>
      <c r="C62" s="18"/>
      <c r="D62" s="17"/>
      <c r="E62" s="19"/>
      <c r="F62" s="14"/>
      <c r="G62" s="14"/>
    </row>
    <row r="63" s="12" customFormat="1" ht="22.5" customHeight="1" spans="1:7">
      <c r="A63" s="17"/>
      <c r="B63" s="17" t="s">
        <v>56</v>
      </c>
      <c r="C63" s="18"/>
      <c r="D63" s="17"/>
      <c r="E63" s="19"/>
      <c r="F63" s="14"/>
      <c r="G63" s="14"/>
    </row>
    <row r="64" s="12" customFormat="1" ht="22.5" customHeight="1" spans="1:7">
      <c r="A64" s="17"/>
      <c r="B64" s="17" t="s">
        <v>84</v>
      </c>
      <c r="C64" s="18"/>
      <c r="D64" s="17"/>
      <c r="E64" s="19"/>
      <c r="F64" s="14"/>
      <c r="G64" s="14"/>
    </row>
    <row r="65" s="12" customFormat="1" ht="22.5" customHeight="1" spans="1:7">
      <c r="A65" s="17"/>
      <c r="B65" s="17" t="s">
        <v>85</v>
      </c>
      <c r="C65" s="18"/>
      <c r="D65" s="17"/>
      <c r="E65" s="19"/>
      <c r="F65" s="14"/>
      <c r="G65" s="14"/>
    </row>
    <row r="66" s="12" customFormat="1" ht="22.5" customHeight="1" spans="1:7">
      <c r="A66" s="17"/>
      <c r="B66" s="17" t="s">
        <v>22</v>
      </c>
      <c r="C66" s="18"/>
      <c r="D66" s="17"/>
      <c r="E66" s="19"/>
      <c r="F66" s="14"/>
      <c r="G66" s="14"/>
    </row>
    <row r="67" s="12" customFormat="1" ht="22.5" customHeight="1" spans="1:7">
      <c r="A67" s="17"/>
      <c r="B67" s="17" t="s">
        <v>86</v>
      </c>
      <c r="C67" s="18"/>
      <c r="D67" s="17"/>
      <c r="E67" s="19"/>
      <c r="F67" s="14"/>
      <c r="G67" s="14"/>
    </row>
    <row r="68" s="12" customFormat="1" ht="22.5" customHeight="1" spans="1:7">
      <c r="A68" s="17" t="s">
        <v>87</v>
      </c>
      <c r="B68" s="17" t="s">
        <v>88</v>
      </c>
      <c r="C68" s="18" t="s">
        <v>89</v>
      </c>
      <c r="D68" s="17">
        <v>6000</v>
      </c>
      <c r="E68" s="19">
        <f>D68</f>
        <v>6000</v>
      </c>
      <c r="F68" s="14" t="s">
        <v>90</v>
      </c>
      <c r="G68" s="14"/>
    </row>
    <row r="69" s="12" customFormat="1" ht="22.5" customHeight="1" spans="1:7">
      <c r="A69" s="17"/>
      <c r="B69" s="17" t="s">
        <v>91</v>
      </c>
      <c r="C69" s="18" t="s">
        <v>92</v>
      </c>
      <c r="D69" s="17">
        <v>8000</v>
      </c>
      <c r="E69" s="19">
        <f>D69</f>
        <v>8000</v>
      </c>
      <c r="F69" s="14"/>
      <c r="G69" s="14"/>
    </row>
    <row r="70" s="12" customFormat="1" ht="22.5" customHeight="1" spans="1:7">
      <c r="A70" s="39" t="s">
        <v>4</v>
      </c>
      <c r="B70" s="40"/>
      <c r="C70" s="41"/>
      <c r="D70" s="42">
        <f>SUM(D68:D69)</f>
        <v>14000</v>
      </c>
      <c r="E70" s="19"/>
      <c r="F70" s="14"/>
      <c r="G70" s="14"/>
    </row>
  </sheetData>
  <mergeCells count="47">
    <mergeCell ref="A9:C9"/>
    <mergeCell ref="B19:C19"/>
    <mergeCell ref="A24:C24"/>
    <mergeCell ref="A27:C27"/>
    <mergeCell ref="A36:C36"/>
    <mergeCell ref="A53:C53"/>
    <mergeCell ref="A58:C58"/>
    <mergeCell ref="A70:C70"/>
    <mergeCell ref="A2:A7"/>
    <mergeCell ref="A10:A19"/>
    <mergeCell ref="A20:A23"/>
    <mergeCell ref="A25:A26"/>
    <mergeCell ref="A28:A35"/>
    <mergeCell ref="A37:A46"/>
    <mergeCell ref="A47:A52"/>
    <mergeCell ref="A54:A57"/>
    <mergeCell ref="A60:A61"/>
    <mergeCell ref="A62:A67"/>
    <mergeCell ref="A68:A69"/>
    <mergeCell ref="B4:B7"/>
    <mergeCell ref="B10:B12"/>
    <mergeCell ref="B14:B16"/>
    <mergeCell ref="B25:B26"/>
    <mergeCell ref="B28:B29"/>
    <mergeCell ref="B30:B33"/>
    <mergeCell ref="B34:B35"/>
    <mergeCell ref="B37:B39"/>
    <mergeCell ref="B40:B42"/>
    <mergeCell ref="B43:B45"/>
    <mergeCell ref="B47:B48"/>
    <mergeCell ref="B49:B52"/>
    <mergeCell ref="E4:E7"/>
    <mergeCell ref="E10:E12"/>
    <mergeCell ref="E14:E16"/>
    <mergeCell ref="E25:E26"/>
    <mergeCell ref="E28:E29"/>
    <mergeCell ref="E30:E33"/>
    <mergeCell ref="E34:E35"/>
    <mergeCell ref="E37:E39"/>
    <mergeCell ref="E40:E42"/>
    <mergeCell ref="E43:E45"/>
    <mergeCell ref="E47:E48"/>
    <mergeCell ref="E49:E52"/>
    <mergeCell ref="F10:F25"/>
    <mergeCell ref="F28:F35"/>
    <mergeCell ref="F37:F47"/>
    <mergeCell ref="F49:F52"/>
  </mergeCells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27"/>
  <sheetViews>
    <sheetView tabSelected="1" workbookViewId="0">
      <selection activeCell="G4" sqref="G4"/>
    </sheetView>
  </sheetViews>
  <sheetFormatPr defaultColWidth="9" defaultRowHeight="13.5" outlineLevelCol="6"/>
  <cols>
    <col min="1" max="1" width="11.7522123893805" style="1" customWidth="1"/>
    <col min="2" max="2" width="10.8407079646018" style="1" customWidth="1"/>
    <col min="3" max="3" width="43.4513274336283" style="1" customWidth="1"/>
    <col min="4" max="4" width="17.2566371681416" style="2" customWidth="1"/>
    <col min="5" max="5" width="10.5309734513274" style="1" customWidth="1"/>
    <col min="6" max="6" width="14.0353982300885" style="1" customWidth="1"/>
    <col min="7" max="7" width="24.4690265486726" style="1" customWidth="1"/>
    <col min="8" max="8" width="22" style="1" customWidth="1"/>
    <col min="9" max="16384" width="9" style="1"/>
  </cols>
  <sheetData>
    <row r="1" s="1" customFormat="1" ht="22.5" customHeight="1" spans="1:5">
      <c r="A1" s="3" t="s">
        <v>93</v>
      </c>
      <c r="B1" s="3" t="s">
        <v>1</v>
      </c>
      <c r="C1" s="3" t="s">
        <v>94</v>
      </c>
      <c r="D1" s="3" t="s">
        <v>95</v>
      </c>
      <c r="E1" s="3" t="s">
        <v>96</v>
      </c>
    </row>
    <row r="2" s="1" customFormat="1" ht="43" customHeight="1" spans="1:7">
      <c r="A2" s="4" t="s">
        <v>97</v>
      </c>
      <c r="B2" s="5" t="s">
        <v>7</v>
      </c>
      <c r="C2" s="5" t="s">
        <v>98</v>
      </c>
      <c r="D2" s="6">
        <v>80000</v>
      </c>
      <c r="E2" s="6">
        <v>80000</v>
      </c>
      <c r="G2" s="7"/>
    </row>
    <row r="3" s="1" customFormat="1" ht="22.5" customHeight="1" spans="1:5">
      <c r="A3" s="4"/>
      <c r="B3" s="5" t="s">
        <v>10</v>
      </c>
      <c r="C3" s="5" t="s">
        <v>11</v>
      </c>
      <c r="D3" s="6">
        <v>30000</v>
      </c>
      <c r="E3" s="6">
        <v>30000</v>
      </c>
    </row>
    <row r="4" s="1" customFormat="1" ht="22.5" customHeight="1" spans="1:5">
      <c r="A4" s="4"/>
      <c r="B4" s="5" t="s">
        <v>28</v>
      </c>
      <c r="C4" s="5" t="s">
        <v>99</v>
      </c>
      <c r="D4" s="6">
        <v>50000</v>
      </c>
      <c r="E4" s="6">
        <v>50000</v>
      </c>
    </row>
    <row r="5" s="1" customFormat="1" ht="22.5" customHeight="1" spans="1:5">
      <c r="A5" s="4"/>
      <c r="B5" s="5" t="s">
        <v>85</v>
      </c>
      <c r="C5" s="5" t="s">
        <v>100</v>
      </c>
      <c r="D5" s="6">
        <v>0</v>
      </c>
      <c r="E5" s="6">
        <v>0</v>
      </c>
    </row>
    <row r="6" s="1" customFormat="1" ht="22.5" customHeight="1" spans="1:5">
      <c r="A6" s="4"/>
      <c r="B6" s="5" t="s">
        <v>22</v>
      </c>
      <c r="C6" s="5" t="s">
        <v>101</v>
      </c>
      <c r="D6" s="6">
        <v>0</v>
      </c>
      <c r="E6" s="6">
        <v>0</v>
      </c>
    </row>
    <row r="7" s="1" customFormat="1" ht="22.5" customHeight="1" spans="1:5">
      <c r="A7" s="4"/>
      <c r="B7" s="5" t="s">
        <v>102</v>
      </c>
      <c r="C7" s="5"/>
      <c r="D7" s="6">
        <v>0</v>
      </c>
      <c r="E7" s="6">
        <v>0</v>
      </c>
    </row>
    <row r="8" s="1" customFormat="1" ht="22.5" customHeight="1" spans="1:5">
      <c r="A8" s="4"/>
      <c r="B8" s="5" t="s">
        <v>86</v>
      </c>
      <c r="C8" s="5" t="s">
        <v>103</v>
      </c>
      <c r="D8" s="6">
        <v>0</v>
      </c>
      <c r="E8" s="6">
        <v>0</v>
      </c>
    </row>
    <row r="9" s="1" customFormat="1" ht="22.5" customHeight="1" spans="1:5">
      <c r="A9" s="4"/>
      <c r="B9" s="5" t="s">
        <v>9</v>
      </c>
      <c r="C9" s="5"/>
      <c r="D9" s="6">
        <v>0</v>
      </c>
      <c r="E9" s="6">
        <v>0</v>
      </c>
    </row>
    <row r="10" s="1" customFormat="1" ht="22.5" customHeight="1" spans="1:5">
      <c r="A10" s="4" t="s">
        <v>104</v>
      </c>
      <c r="B10" s="5" t="s">
        <v>13</v>
      </c>
      <c r="C10" s="5" t="s">
        <v>105</v>
      </c>
      <c r="D10" s="6">
        <v>15000</v>
      </c>
      <c r="E10" s="6">
        <v>15000</v>
      </c>
    </row>
    <row r="11" s="1" customFormat="1" ht="22.5" customHeight="1" spans="1:5">
      <c r="A11" s="4"/>
      <c r="B11" s="5" t="s">
        <v>19</v>
      </c>
      <c r="C11" s="5" t="s">
        <v>106</v>
      </c>
      <c r="D11" s="6">
        <v>8000</v>
      </c>
      <c r="E11" s="6">
        <v>8000</v>
      </c>
    </row>
    <row r="12" s="1" customFormat="1" ht="22.5" customHeight="1" spans="1:5">
      <c r="A12" s="4" t="s">
        <v>107</v>
      </c>
      <c r="B12" s="4" t="s">
        <v>58</v>
      </c>
      <c r="C12" s="4" t="s">
        <v>108</v>
      </c>
      <c r="D12" s="8">
        <v>7070</v>
      </c>
      <c r="E12" s="8">
        <v>7070</v>
      </c>
    </row>
    <row r="13" s="1" customFormat="1" ht="22.5" customHeight="1" spans="1:5">
      <c r="A13" s="4"/>
      <c r="B13" s="9" t="s">
        <v>54</v>
      </c>
      <c r="C13" s="4" t="s">
        <v>109</v>
      </c>
      <c r="D13" s="8">
        <v>12120</v>
      </c>
      <c r="E13" s="8">
        <v>12120</v>
      </c>
    </row>
    <row r="14" s="1" customFormat="1" ht="22.5" customHeight="1" spans="1:5">
      <c r="A14" s="4"/>
      <c r="B14" s="9" t="s">
        <v>60</v>
      </c>
      <c r="C14" s="4"/>
      <c r="D14" s="8">
        <v>10100</v>
      </c>
      <c r="E14" s="8">
        <v>10100</v>
      </c>
    </row>
    <row r="15" s="1" customFormat="1" ht="22.5" customHeight="1" spans="1:5">
      <c r="A15" s="4"/>
      <c r="B15" s="4" t="s">
        <v>59</v>
      </c>
      <c r="C15" s="4" t="s">
        <v>110</v>
      </c>
      <c r="D15" s="8">
        <v>14140</v>
      </c>
      <c r="E15" s="8">
        <v>14140</v>
      </c>
    </row>
    <row r="16" s="1" customFormat="1" ht="22.5" customHeight="1" spans="1:5">
      <c r="A16" s="4"/>
      <c r="B16" s="4" t="s">
        <v>51</v>
      </c>
      <c r="C16" s="4" t="s">
        <v>111</v>
      </c>
      <c r="D16" s="8">
        <v>15150</v>
      </c>
      <c r="E16" s="8">
        <v>15150</v>
      </c>
    </row>
    <row r="17" s="1" customFormat="1" ht="22.5" customHeight="1" spans="1:5">
      <c r="A17" s="4"/>
      <c r="B17" s="4" t="s">
        <v>45</v>
      </c>
      <c r="C17" s="4" t="s">
        <v>112</v>
      </c>
      <c r="D17" s="8">
        <v>4000</v>
      </c>
      <c r="E17" s="8">
        <v>4000</v>
      </c>
    </row>
    <row r="18" s="1" customFormat="1" ht="22.5" customHeight="1" spans="1:5">
      <c r="A18" s="4"/>
      <c r="B18" s="4" t="s">
        <v>47</v>
      </c>
      <c r="C18" s="4" t="s">
        <v>113</v>
      </c>
      <c r="D18" s="8">
        <v>8080</v>
      </c>
      <c r="E18" s="8">
        <v>8080</v>
      </c>
    </row>
    <row r="19" s="1" customFormat="1" ht="22.5" customHeight="1" spans="1:5">
      <c r="A19" s="4"/>
      <c r="B19" s="4" t="s">
        <v>114</v>
      </c>
      <c r="C19" s="4" t="s">
        <v>115</v>
      </c>
      <c r="D19" s="8">
        <v>6000</v>
      </c>
      <c r="E19" s="8">
        <v>6000</v>
      </c>
    </row>
    <row r="20" s="1" customFormat="1" ht="22.5" customHeight="1" spans="1:5">
      <c r="A20" s="4"/>
      <c r="B20" s="4" t="s">
        <v>116</v>
      </c>
      <c r="C20" s="4" t="s">
        <v>115</v>
      </c>
      <c r="D20" s="8">
        <v>6060</v>
      </c>
      <c r="E20" s="8">
        <v>6060</v>
      </c>
    </row>
    <row r="21" s="1" customFormat="1" ht="22.5" customHeight="1" spans="1:5">
      <c r="A21" s="4"/>
      <c r="B21" s="4" t="s">
        <v>66</v>
      </c>
      <c r="C21" s="4" t="s">
        <v>117</v>
      </c>
      <c r="D21" s="8">
        <v>7070</v>
      </c>
      <c r="E21" s="8">
        <v>7070</v>
      </c>
    </row>
    <row r="22" s="1" customFormat="1" ht="22.5" customHeight="1" spans="1:5">
      <c r="A22" s="4"/>
      <c r="B22" s="4" t="s">
        <v>62</v>
      </c>
      <c r="C22" s="4" t="s">
        <v>118</v>
      </c>
      <c r="D22" s="10">
        <v>0</v>
      </c>
      <c r="E22" s="10">
        <v>0</v>
      </c>
    </row>
    <row r="23" s="1" customFormat="1" ht="22.5" customHeight="1" spans="1:5">
      <c r="A23" s="4" t="s">
        <v>119</v>
      </c>
      <c r="B23" s="4" t="s">
        <v>72</v>
      </c>
      <c r="C23" s="4" t="s">
        <v>71</v>
      </c>
      <c r="D23" s="8">
        <v>6000</v>
      </c>
      <c r="E23" s="8">
        <v>6000</v>
      </c>
    </row>
    <row r="24" s="1" customFormat="1" ht="22.5" customHeight="1" spans="1:5">
      <c r="A24" s="4"/>
      <c r="B24" s="4" t="s">
        <v>70</v>
      </c>
      <c r="C24" s="4" t="s">
        <v>73</v>
      </c>
      <c r="D24" s="8">
        <v>6000</v>
      </c>
      <c r="E24" s="8">
        <v>6000</v>
      </c>
    </row>
    <row r="25" s="1" customFormat="1" ht="22.5" customHeight="1" spans="1:5">
      <c r="A25" s="4"/>
      <c r="B25" s="4" t="s">
        <v>74</v>
      </c>
      <c r="C25" s="4" t="s">
        <v>75</v>
      </c>
      <c r="D25" s="8">
        <v>6000</v>
      </c>
      <c r="E25" s="8">
        <v>6000</v>
      </c>
    </row>
    <row r="26" s="1" customFormat="1" ht="22.5" customHeight="1" spans="1:5">
      <c r="A26" s="4"/>
      <c r="B26" s="4" t="s">
        <v>76</v>
      </c>
      <c r="C26" s="4" t="s">
        <v>77</v>
      </c>
      <c r="D26" s="8">
        <v>6000</v>
      </c>
      <c r="E26" s="8">
        <v>6000</v>
      </c>
    </row>
    <row r="27" s="1" customFormat="1" spans="1:4">
      <c r="A27" s="11" t="s">
        <v>120</v>
      </c>
      <c r="B27" s="11"/>
      <c r="C27" s="11"/>
      <c r="D27" s="8">
        <f>SUM(D2:D26)</f>
        <v>296790</v>
      </c>
    </row>
  </sheetData>
  <mergeCells count="5">
    <mergeCell ref="A27:C27"/>
    <mergeCell ref="A2:A9"/>
    <mergeCell ref="A10:A11"/>
    <mergeCell ref="A12:A22"/>
    <mergeCell ref="A23:A26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年终奖金（包含企业会员）</vt:lpstr>
      <vt:lpstr>企业会员奖金明细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晓烔</dc:creator>
  <cp:lastModifiedBy>晓烔</cp:lastModifiedBy>
  <dcterms:created xsi:type="dcterms:W3CDTF">2024-01-17T13:48:47Z</dcterms:created>
  <dcterms:modified xsi:type="dcterms:W3CDTF">2024-01-17T13:50:47Z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F28AF885DE904BCCB8897AABBF880D00_11</vt:lpwstr>
  </property>
  <property fmtid="{D5CDD505-2E9C-101B-9397-08002B2CF9AE}" pid="3" name="KSOProductBuildVer">
    <vt:lpwstr>2052-12.1.0.16120</vt:lpwstr>
  </property>
</Properties>
</file>