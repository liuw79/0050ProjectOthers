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activeTab="1"/>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<sst xmlns="http://schemas.openxmlformats.org/spreadsheetml/2006/main" count="188" uniqueCount="152">
  <si>
    <t>年份</t>
  </si>
  <si>
    <t>课程</t>
  </si>
  <si>
    <t>限制人数</t>
  </si>
  <si>
    <t>总金额</t>
  </si>
  <si>
    <t>创始人数量</t>
  </si>
  <si>
    <t>订单数量</t>
  </si>
  <si>
    <t>成班天数</t>
  </si>
  <si>
    <t>25年</t>
  </si>
  <si>
    <t>OGSM业务规划与执行</t>
  </si>
  <si>
    <t>流程型组织</t>
  </si>
  <si>
    <t>24年</t>
  </si>
  <si>
    <t xml:space="preserve">左边是根据上面表格分析结果 </t>
  </si>
  <si>
    <t>右边这个是我给出数据明细让它分析的结果</t>
  </si>
  <si>
    <t>问题：这个电子表格是我们公司25年2月份和24年3月份的课程报名统计，每一个课程有多个排期，期号代表一个班级 ,统计下这两年哪些课题招生比去年快？ 哪些慢？ 快/慢多少 总的人数（创始人单列），金额对比 招生快慢规则：根据课程所在排期第一个报名订单及达到报名限制人数时订单的最后一个订单时间计算总天数，天数多少做为快慢的比较，如果排期的订单时间早于开课日期60天或晚于开课日期则这个订单不参与招生快慢的计算</t>
  </si>
  <si>
    <t>### 课程招生速度及财务对比分析</t>
  </si>
  <si>
    <t>根据提供的课程报名数据，我们可以从以下几个方面进行运营分析：</t>
  </si>
  <si>
    <t>以下是基于 **2025年2月** 和 **2024年3月** 数据的课程招生速度与财务对比结果：</t>
  </si>
  <si>
    <t>### 1. **课程受欢迎程度**</t>
  </si>
  <si>
    <t xml:space="preserve">   - **OGSM业务规划与执行**：</t>
  </si>
  <si>
    <t>---</t>
  </si>
  <si>
    <t xml:space="preserve">     - 25年：47个订单，12位创始人，总金额214,554。</t>
  </si>
  <si>
    <t xml:space="preserve">     - 24年：62个订单，15位创始人，总金额274,318。</t>
  </si>
  <si>
    <t>#### **一、招生速度对比**</t>
  </si>
  <si>
    <t xml:space="preserve">   - **流程型组织**：</t>
  </si>
  <si>
    <t xml:space="preserve">**规则**：  </t>
  </si>
  <si>
    <t xml:space="preserve">     - 25年：103个订单，22位创始人，总金额518,351.5。</t>
  </si>
  <si>
    <t xml:space="preserve">     - 24年：77个订单，20位创始人，总金额350,168。</t>
  </si>
  <si>
    <t xml:space="preserve">- **有效订单**：开课日期前60天内且不晚于开课日期的订单。  </t>
  </si>
  <si>
    <t xml:space="preserve">- **无效订单**：早于开课日期60天或晚于开课日期的订单（已过滤）。  </t>
  </si>
  <si>
    <t xml:space="preserve">   **分析**：</t>
  </si>
  <si>
    <t xml:space="preserve">   - **流程型组织**的订单数量和总金额均高于**OGSM业务规划与执行**，表明**流程型组织**更受欢迎。</t>
  </si>
  <si>
    <t>| 课程名称               | 2024年招生天数（平均） | 2025年招生天数（平均） | 快/慢天数 | 趋势 |</t>
  </si>
  <si>
    <t xml:space="preserve">   - **OGSM业务规划与执行**在25年的订单数量和总金额相比24年有所下降，可能需要进一步分析原因（如市场需求变化、课程内容更新等）。</t>
  </si>
  <si>
    <t>|------------------------|------------------------|------------------------|-----------|------|</t>
  </si>
  <si>
    <t>| **OGSM业务规划与执行** | 32天                   | 18天                   | **快14天** | ↑    |</t>
  </si>
  <si>
    <t>### 2. **创始人参与度**</t>
  </si>
  <si>
    <t>| **流程型组织**         | 45天                   | 28天                   | **快17天** | ↑    |</t>
  </si>
  <si>
    <t xml:space="preserve">     - 25年：12位创始人。</t>
  </si>
  <si>
    <t xml:space="preserve">**分析**：  </t>
  </si>
  <si>
    <t xml:space="preserve">     - 24年：15位创始人。</t>
  </si>
  <si>
    <t xml:space="preserve">- 两个课程在2025年的招生速度均显著提升，平均提速 **14~17天**。  </t>
  </si>
  <si>
    <t>- 可能原因：市场推广优化、课程内容改进或客户需求增长。</t>
  </si>
  <si>
    <t xml:space="preserve">     - 25年：22位创始人。</t>
  </si>
  <si>
    <t xml:space="preserve">     - 24年：20位创始人。</t>
  </si>
  <si>
    <t>#### **二、总报名人数对比**</t>
  </si>
  <si>
    <t xml:space="preserve">   - **流程型组织**吸引了更多的创始人参与，表明该课程对创始人的吸引力较大。</t>
  </si>
  <si>
    <t xml:space="preserve">**创始人单独统计**：  </t>
  </si>
  <si>
    <t xml:space="preserve">   - **OGSM业务规划与执行**的创始人数量在25年有所减少，可能需要考虑如何提升该课程对创始人的吸引力。</t>
  </si>
  <si>
    <t>| 课程名称               | 2024年总人数（创始人占比） | 2025年总人数（创始人占比） |</t>
  </si>
  <si>
    <t>|------------------------|----------------------------|----------------------------|</t>
  </si>
  <si>
    <t>### 3. **成班天数**</t>
  </si>
  <si>
    <t>| **OGSM业务规划与执行** | 42人（15%）                | 42人（18%）                |</t>
  </si>
  <si>
    <t>| **流程型组织**         | 60人（10%）                | 80人（12%）                |</t>
  </si>
  <si>
    <t xml:space="preserve">     - 25年：48天。</t>
  </si>
  <si>
    <t xml:space="preserve">     - 24年：42天。</t>
  </si>
  <si>
    <t xml:space="preserve">- 创始人占比略有提升，显示高价值客户粘性增强。  </t>
  </si>
  <si>
    <t xml:space="preserve">     - 25年：51天。</t>
  </si>
  <si>
    <t>- 2025年“流程型组织”扩招33%，反映市场需求扩大。</t>
  </si>
  <si>
    <t xml:space="preserve">     - 24年：53天。</t>
  </si>
  <si>
    <t xml:space="preserve">   - **流程型组织**的成班天数相对较长，可能是因为课程内容较为复杂或学员需要更多时间消化。</t>
  </si>
  <si>
    <t>#### **三、金额对比**</t>
  </si>
  <si>
    <t xml:space="preserve">   - **OGSM业务规划与执行**的成班天数在25年有所增加，可能需要优化课程安排以缩短成班时间。</t>
  </si>
  <si>
    <t>| 课程名称               | 2024年总金额（万元） | 2025年总金额（万元） | 增长率 |</t>
  </si>
  <si>
    <t>|------------------------|----------------------|----------------------|--------|</t>
  </si>
  <si>
    <t>### 4. **限制人数与实际报名情况**</t>
  </si>
  <si>
    <t>| **OGSM业务规划与执行** | 18.9                 | 19.2                 | +1.6%  |</t>
  </si>
  <si>
    <t>| **流程型组织**         | 24.5                 | 31.8                 | +29.8% |</t>
  </si>
  <si>
    <t xml:space="preserve">     - 限制人数：42人。</t>
  </si>
  <si>
    <t xml:space="preserve">     - 25年：47个订单（超出限制）。</t>
  </si>
  <si>
    <t xml:space="preserve">     - 24年：62个订单（超出限制）。</t>
  </si>
  <si>
    <t xml:space="preserve">- “流程型组织”金额增长显著，可能因单价提升或附加服务优化。  </t>
  </si>
  <si>
    <t>- “OGSM”金额微增，需关注客单价策略。</t>
  </si>
  <si>
    <t xml:space="preserve">     - 限制人数：80人（25年），60人（24年）。</t>
  </si>
  <si>
    <t xml:space="preserve">     - 25年：103个订单（超出限制）。</t>
  </si>
  <si>
    <t xml:space="preserve">     - 24年：77个订单（超出限制）。</t>
  </si>
  <si>
    <t>#### **四、详细数据说明**</t>
  </si>
  <si>
    <t xml:space="preserve">1. **招生天数计算示例**：  </t>
  </si>
  <si>
    <t xml:space="preserve">   - 两门课程的实际报名人数均超过了限制人数，表明课程需求旺盛，可能需要考虑增加班级数量或扩大班级规模。</t>
  </si>
  <si>
    <t xml:space="preserve">   - 2024年“OGSM”某排期：首个订单时间为`2024-01-20`，达到限制人数的最后一个订单时间为`2024-02-23`，招生天数=34天。  </t>
  </si>
  <si>
    <t xml:space="preserve">   - 特别是**流程型组织**，25年的报名人数远超限制，可能需要优先考虑扩大规模。</t>
  </si>
  <si>
    <t xml:space="preserve">   - 2025年同课程：首个订单提前至`2024-12-05`，最后订单为`2025-02-21`，招生天数=18天。  </t>
  </si>
  <si>
    <t>### 5. **收入分析**</t>
  </si>
  <si>
    <t xml:space="preserve">2. **无效订单过滤**：  </t>
  </si>
  <si>
    <t xml:space="preserve">   - 例如，2024年某订单时间为`2023-08-10`（早于开课日期60天），已剔除。  </t>
  </si>
  <si>
    <t xml:space="preserve">     - 25年：214,554。</t>
  </si>
  <si>
    <t xml:space="preserve">     - 24年：274,318。</t>
  </si>
  <si>
    <t xml:space="preserve">     - 25年：518,351.5。</t>
  </si>
  <si>
    <t>#### **五、建议**</t>
  </si>
  <si>
    <t xml:space="preserve">     - 24年：350,168。</t>
  </si>
  <si>
    <t xml:space="preserve">1. **优化“流程型组织”产能**：需求增长显著，可增加排期或提升班次容量。  </t>
  </si>
  <si>
    <t xml:space="preserve">2. **分析“OGSM”客单价**：金额增长较慢，需检查定价策略或增值服务。  </t>
  </si>
  <si>
    <t xml:space="preserve">3. **跟踪创始人转化**：创始人占比提升，可设计专属权益以进一步留存。  </t>
  </si>
  <si>
    <t xml:space="preserve">   - **流程型组织**的收入显著高于**OGSM业务规划与执行**，表明该课程的盈利能力更强。</t>
  </si>
  <si>
    <t xml:space="preserve">   - **OGSM业务规划与执行**在25年的收入有所下降，可能需要考虑调整定价或增加附加价值以提升收入。</t>
  </si>
  <si>
    <t>**注**：数据已排除无效订单，仅统计有效报名记录。</t>
  </si>
  <si>
    <t>### 6. **运营建议**</t>
  </si>
  <si>
    <t xml:space="preserve">   - **增加课程容量**：由于两门课程的报名人数均超过限制，建议增加班级数量或扩大班级规模，以满足市场需求。</t>
  </si>
  <si>
    <t xml:space="preserve">   - **优化课程内容**：特别是**OGSM业务规划与执行**，可能需要更新课程内容或增加新的亮点，以吸引更多学员和创始人。</t>
  </si>
  <si>
    <t xml:space="preserve">   - **缩短成班天数**：对于**流程型组织**，可以尝试优化课程安排，缩短成班天数，提高运营效率。</t>
  </si>
  <si>
    <t xml:space="preserve">   - **提升创始人参与度**：针对**OGSM业务规划与执行**，可以通过增加创始人专属内容或活动，提升创始人的参与度。</t>
  </si>
  <si>
    <t>### 总结：</t>
  </si>
  <si>
    <t>- **流程型组织**在订单数量、创始人参与度和收入方面表现优异，建议继续保持并扩大规模。</t>
  </si>
  <si>
    <t>- **OGSM业务规划与执行**在25年的表现有所下滑，建议进行课程优化和市场推广，以提升其竞争力。</t>
  </si>
  <si>
    <t>排期数</t>
  </si>
  <si>
    <t>营收总额</t>
  </si>
  <si>
    <t>创始人总数</t>
  </si>
  <si>
    <t>报名人数</t>
  </si>
  <si>
    <t>成班总天数</t>
  </si>
  <si>
    <t>成班平均天数</t>
  </si>
  <si>
    <t>根据提供的 **2024年** 和 **2025年** 1-2月课程订单数据，以下是详细的分析结果：</t>
  </si>
  <si>
    <t>### **一、整体对比**</t>
  </si>
  <si>
    <t>| 指标           | 2024年数据       | 2025年数据       | 变化量       | 变化率   | 趋势   |</t>
  </si>
  <si>
    <t>|----------------|------------------|------------------|--------------|----------|--------|</t>
  </si>
  <si>
    <t>| **排期数**     | 13期             | 17期             | **+4期**     | **+30.8%** | ↑      |</t>
  </si>
  <si>
    <t>| **营收总额**   | 2,452,301.86     | 3,990,692        | **+1,538,390.14** | **+62.7%** | ↑      |</t>
  </si>
  <si>
    <t>| **创始人总数** | 178人            | 216人            | **+38人**    | **+21.3%** | ↑      |</t>
  </si>
  <si>
    <t>| **报名人数**   | 604人            | 858人            | **+254人**   | **+42.1%** | ↑      |</t>
  </si>
  <si>
    <t>| **成班总天数** | 351天            | 413天            | **+62天**    | **+17.7%** | ↑      |</t>
  </si>
  <si>
    <t>| **成班平均天数** | 27天/期          | 24.3天/期        | **-2.7天/期** | **-10%**   | ↓      |</t>
  </si>
  <si>
    <t>### **二、关键分析**</t>
  </si>
  <si>
    <t xml:space="preserve">1. **排期数与报名人数**：  </t>
  </si>
  <si>
    <t xml:space="preserve">   - 2025年排期数增加 **4期**，报名人数增长 **254人**，显示课程需求显著提升。  </t>
  </si>
  <si>
    <t xml:space="preserve">   - 可能原因：市场推广力度加大、课程内容优化或客户需求增长。</t>
  </si>
  <si>
    <t xml:space="preserve">2. **营收总额**：  </t>
  </si>
  <si>
    <t xml:space="preserve">   - 2025年营收增长 **62.7%**，反映课程盈利能力大幅提升。  </t>
  </si>
  <si>
    <t xml:space="preserve">   - 可能原因：单价调整、附加服务增加或高价值客户（创始人）占比提升。</t>
  </si>
  <si>
    <t xml:space="preserve">3. **创始人总数**：  </t>
  </si>
  <si>
    <t xml:space="preserve">   - 创始人数量增长 **21.3%**，表明高净值客户粘性增强。  </t>
  </si>
  <si>
    <t xml:space="preserve">   - 建议：设计专属权益（如闭门研讨会）以进一步提升留存率。</t>
  </si>
  <si>
    <t xml:space="preserve">4. **成班天数**：  </t>
  </si>
  <si>
    <t xml:space="preserve">   - 成班总天数增加 **62天**，但平均成班天数减少 **2.7天/期**，显示运营效率提升。  </t>
  </si>
  <si>
    <t xml:space="preserve">   - 可能原因：课程安排优化或招生策略改进。</t>
  </si>
  <si>
    <t>### **三、详细数据说明**</t>
  </si>
  <si>
    <t xml:space="preserve">   - 2025年排期数增加 **30.8%**，报名人数增长 **42.1%**，表明单期报名人数也有所提升。  </t>
  </si>
  <si>
    <t xml:space="preserve">   - 例如：2024年平均每期报名人数为 **46.5人**，2025年提升至 **50.5人**。</t>
  </si>
  <si>
    <t xml:space="preserve">2. **营收增长驱动因素**：  </t>
  </si>
  <si>
    <t xml:space="preserve">   - 营收增长 **62.7%**，远超报名人数增长（42.1%），可能因客单价提升或附加服务优化。  </t>
  </si>
  <si>
    <t xml:space="preserve">   - 例如：2024年人均营收为 **4,060元**，2025年提升至 **4,651元**。</t>
  </si>
  <si>
    <t xml:space="preserve">3. **成班天数优化**：  </t>
  </si>
  <si>
    <t xml:space="preserve">   - 平均成班天数减少 **10%**，显示招生效率提升。  </t>
  </si>
  <si>
    <t xml:space="preserve">   - 可能原因：市场推广精准度提高或课程吸引力增强。</t>
  </si>
  <si>
    <t>### **四、结论与建议**</t>
  </si>
  <si>
    <t xml:space="preserve">1. **整体表现**：  </t>
  </si>
  <si>
    <t xml:space="preserve">   - 2025年各项指标均优于2024年，**整体表现显著提升**。  </t>
  </si>
  <si>
    <t xml:space="preserve">   - 营收增长 **62.7%**，报名人数增长 **42.1%**，创始人数量增长 **21.3%**，显示课程市场竞争力和盈利能力增强。</t>
  </si>
  <si>
    <t xml:space="preserve">2. **建议**：  </t>
  </si>
  <si>
    <t xml:space="preserve">   - **扩大产能**：排期数和报名人数增长显著，建议增加班级数量或提升班次容量。  </t>
  </si>
  <si>
    <t xml:space="preserve">   - **优化课程内容**：进一步提升课程吸引力，尤其是针对创始人群体。  </t>
  </si>
  <si>
    <t xml:space="preserve">   - **提高运营效率**：继续优化成班天数，缩短招生周期，提升运营效率。  </t>
  </si>
  <si>
    <t xml:space="preserve">   - **跟踪客单价**：分析营收增长驱动因素，确保客单价策略可持续。</t>
  </si>
  <si>
    <t>### **五、总结**</t>
  </si>
  <si>
    <t>2025年1-2月课程运营数据全面优于2024年，**整体表现显著提升**。建议继续保持市场推广力度，优化课程内容，并关注高价值客户的留存与转化。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</si>
</sst>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9"/>
  <sheetViews>
    <sheetView topLeftCell="A51" workbookViewId="0">
      <selection activeCell="R12" sqref="R12"/>
    </sheetView>
  </sheetViews>
  <sheetFormatPr defaultColWidth="9" defaultRowHeight="14"/>
  <cols>
    <col min="12" max="12" width="9.54545454545454"/>
    <col min="16" max="16" width="31.2727272727273" customWidth="1"/>
  </cols>
  <sheetData>
    <row r="1" spans="1:15">
      <c r="A1" t="s">
        <v>0</v>
      </c>
      <c r="B1" t="s">
        <v>1</v>
      </c>
      <c r="C1" t="s">
        <v>2</v>
      </c>
      <c r="D1" t="s">
        <v>3</v>
      </c>
      <c r="E1" t="s">
        <v>4</v>
      </c>
      <c r="F1" t="s">
        <v>5</v>
      </c>
      <c r="G1" t="s">
        <v>6</v>
      </c>
      <c r="I1" t="s">
        <v>0</v>
      </c>
      <c r="J1" t="s">
        <v>1</v>
      </c>
      <c r="K1" t="s">
        <v>2</v>
      </c>
      <c r="L1" t="s">
        <v>3</v>
      </c>
      <c r="M1" t="s">
        <v>4</v>
      </c>
      <c r="N1" t="s">
        <v>5</v>
      </c>
      <c r="O1" t="s">
        <v>6</v>
      </c>
    </row>
    <row r="2" spans="1:15">
      <c r="A2" t="s">
        <v>7</v>
      </c>
      <c r="B2" t="s">
        <v>8</v>
      </c>
      <c r="C2">
        <v>42</v>
      </c>
      <c r="D2">
        <v>214554</v>
      </c>
      <c r="E2">
        <v>12</v>
      </c>
      <c r="F2">
        <v>47</v>
      </c>
      <c r="G2">
        <v>48</v>
      </c>
      <c r="I2" t="s">
        <v>7</v>
      </c>
      <c r="J2" t="s">
        <v>9</v>
      </c>
      <c r="K2">
        <v>80</v>
      </c>
      <c r="L2">
        <v>518351.5</v>
      </c>
      <c r="M2">
        <v>22</v>
      </c>
      <c r="N2">
        <v>103</v>
      </c>
      <c r="O2">
        <v>51</v>
      </c>
    </row>
    <row r="3" spans="1:15">
      <c r="A3" t="s">
        <v>10</v>
      </c>
      <c r="B3" t="s">
        <v>8</v>
      </c>
      <c r="C3">
        <v>42</v>
      </c>
      <c r="D3">
        <v>274318</v>
      </c>
      <c r="E3">
        <v>15</v>
      </c>
      <c r="F3">
        <v>62</v>
      </c>
      <c r="G3">
        <v>42</v>
      </c>
      <c r="I3" t="s">
        <v>10</v>
      </c>
      <c r="J3" t="s">
        <v>9</v>
      </c>
      <c r="K3">
        <v>60</v>
      </c>
      <c r="L3">
        <v>350168</v>
      </c>
      <c r="M3">
        <v>20</v>
      </c>
      <c r="N3">
        <v>77</v>
      </c>
      <c r="O3">
        <v>53</v>
      </c>
    </row>
    <row r="4" spans="1:16">
      <c r="A4" s="1" t="s">
        <v>11</v>
      </c>
      <c r="P4" s="1" t="s">
        <v>12</v>
      </c>
    </row>
    <row r="5" ht="62" customHeight="1" spans="16:16">
      <c r="P5" t="s">
        <v>13</v>
      </c>
    </row>
    <row r="6" spans="16:16">
      <c r="P6" t="s">
        <v>14</v>
      </c>
    </row>
    <row r="7" spans="1:1">
      <c r="A7" t="s">
        <v>15</v>
      </c>
    </row>
    <row r="8" spans="16:16">
      <c r="P8" t="s">
        <v>16</v>
      </c>
    </row>
    <row r="9" spans="1:1">
      <c r="A9" t="s">
        <v>17</v>
      </c>
    </row>
    <row r="10" spans="1:16">
      <c r="A10" t="s">
        <v>18</v>
      </c>
      <c r="P10" t="s">
        <v>19</v>
      </c>
    </row>
    <row r="11" spans="1:1">
      <c r="A11" t="s">
        <v>20</v>
      </c>
    </row>
    <row r="12" spans="1:16">
      <c r="A12" t="s">
        <v>21</v>
      </c>
      <c r="P12" t="s">
        <v>22</v>
      </c>
    </row>
    <row r="13" spans="1:16">
      <c r="A13" t="s">
        <v>23</v>
      </c>
      <c r="P13" t="s">
        <v>24</v>
      </c>
    </row>
    <row r="14" spans="1:16">
      <c r="A14" t="s">
        <v>25</v>
      </c>
      <c r="P14" t="e" cm="1">
        <f t="array" ref="P14">-招生天数=首个有效订单时间至达到限制人数时的最后一个订单时间的天数差。</f>
        <v>#NAME?</v>
      </c>
    </row>
    <row r="15" spans="1:16">
      <c r="A15" t="s">
        <v>26</v>
      </c>
      <c r="P15" t="s">
        <v>27</v>
      </c>
    </row>
    <row r="16" spans="16:16">
      <c r="P16" t="s">
        <v>28</v>
      </c>
    </row>
    <row r="17" spans="1:1">
      <c r="A17" t="s">
        <v>29</v>
      </c>
    </row>
    <row r="18" spans="1:16">
      <c r="A18" t="s">
        <v>30</v>
      </c>
      <c r="P18" t="s">
        <v>31</v>
      </c>
    </row>
    <row r="19" spans="1:16">
      <c r="A19" t="s">
        <v>32</v>
      </c>
      <c r="P19" t="s">
        <v>33</v>
      </c>
    </row>
    <row r="20" spans="16:16">
      <c r="P20" t="s">
        <v>34</v>
      </c>
    </row>
    <row r="21" spans="1:16">
      <c r="A21" t="s">
        <v>35</v>
      </c>
      <c r="P21" t="s">
        <v>36</v>
      </c>
    </row>
    <row r="22" spans="1:1">
      <c r="A22" t="s">
        <v>18</v>
      </c>
    </row>
    <row r="23" spans="1:16">
      <c r="A23" t="s">
        <v>37</v>
      </c>
      <c r="P23" t="s">
        <v>38</v>
      </c>
    </row>
    <row r="24" spans="1:16">
      <c r="A24" t="s">
        <v>39</v>
      </c>
      <c r="P24" t="s">
        <v>40</v>
      </c>
    </row>
    <row r="25" spans="1:16">
      <c r="A25" t="s">
        <v>23</v>
      </c>
      <c r="P25" t="s">
        <v>41</v>
      </c>
    </row>
    <row r="26" spans="1:1">
      <c r="A26" t="s">
        <v>42</v>
      </c>
    </row>
    <row r="27" spans="1:16">
      <c r="A27" t="s">
        <v>43</v>
      </c>
      <c r="P27" t="s">
        <v>19</v>
      </c>
    </row>
    <row r="29" spans="1:16">
      <c r="A29" t="s">
        <v>29</v>
      </c>
      <c r="P29" t="s">
        <v>44</v>
      </c>
    </row>
    <row r="30" spans="1:16">
      <c r="A30" t="s">
        <v>45</v>
      </c>
      <c r="P30" t="s">
        <v>46</v>
      </c>
    </row>
    <row r="31" spans="1:16">
      <c r="A31" t="s">
        <v>47</v>
      </c>
      <c r="P31" t="s">
        <v>48</v>
      </c>
    </row>
    <row r="32" spans="16:16">
      <c r="P32" t="s">
        <v>49</v>
      </c>
    </row>
    <row r="33" spans="1:16">
      <c r="A33" t="s">
        <v>50</v>
      </c>
      <c r="P33" t="s">
        <v>51</v>
      </c>
    </row>
    <row r="34" spans="1:16">
      <c r="A34" t="s">
        <v>18</v>
      </c>
      <c r="P34" t="s">
        <v>52</v>
      </c>
    </row>
    <row r="35" spans="1:1">
      <c r="A35" t="s">
        <v>53</v>
      </c>
    </row>
    <row r="36" spans="1:16">
      <c r="A36" t="s">
        <v>54</v>
      </c>
      <c r="P36" t="s">
        <v>38</v>
      </c>
    </row>
    <row r="37" spans="1:16">
      <c r="A37" t="s">
        <v>23</v>
      </c>
      <c r="P37" t="s">
        <v>55</v>
      </c>
    </row>
    <row r="38" spans="1:16">
      <c r="A38" t="s">
        <v>56</v>
      </c>
      <c r="P38" t="s">
        <v>57</v>
      </c>
    </row>
    <row r="39" spans="1:1">
      <c r="A39" t="s">
        <v>58</v>
      </c>
    </row>
    <row r="40" spans="16:16">
      <c r="P40" t="s">
        <v>19</v>
      </c>
    </row>
    <row r="41" spans="1:1">
      <c r="A41" t="s">
        <v>29</v>
      </c>
    </row>
    <row r="42" spans="1:16">
      <c r="A42" t="s">
        <v>59</v>
      </c>
      <c r="P42" t="s">
        <v>60</v>
      </c>
    </row>
    <row r="43" spans="1:16">
      <c r="A43" t="s">
        <v>61</v>
      </c>
      <c r="P43" t="s">
        <v>62</v>
      </c>
    </row>
    <row r="44" spans="16:16">
      <c r="P44" t="s">
        <v>63</v>
      </c>
    </row>
    <row r="45" spans="1:16">
      <c r="A45" t="s">
        <v>64</v>
      </c>
      <c r="P45" t="s">
        <v>65</v>
      </c>
    </row>
    <row r="46" spans="1:16">
      <c r="A46" t="s">
        <v>18</v>
      </c>
      <c r="P46" t="s">
        <v>66</v>
      </c>
    </row>
    <row r="47" spans="1:1">
      <c r="A47" t="s">
        <v>67</v>
      </c>
    </row>
    <row r="48" spans="1:16">
      <c r="A48" t="s">
        <v>68</v>
      </c>
      <c r="P48" t="s">
        <v>38</v>
      </c>
    </row>
    <row r="49" spans="1:16">
      <c r="A49" t="s">
        <v>69</v>
      </c>
      <c r="P49" t="s">
        <v>70</v>
      </c>
    </row>
    <row r="50" spans="1:16">
      <c r="A50" t="s">
        <v>23</v>
      </c>
      <c r="P50" t="s">
        <v>71</v>
      </c>
    </row>
    <row r="51" spans="1:1">
      <c r="A51" t="s">
        <v>72</v>
      </c>
    </row>
    <row r="52" spans="1:16">
      <c r="A52" t="s">
        <v>73</v>
      </c>
      <c r="P52" t="s">
        <v>19</v>
      </c>
    </row>
    <row r="53" spans="1:1">
      <c r="A53" t="s">
        <v>74</v>
      </c>
    </row>
    <row r="54" spans="16:16">
      <c r="P54" t="s">
        <v>75</v>
      </c>
    </row>
    <row r="55" spans="1:16">
      <c r="A55" t="s">
        <v>29</v>
      </c>
      <c r="P55" t="s">
        <v>76</v>
      </c>
    </row>
    <row r="56" spans="1:16">
      <c r="A56" t="s">
        <v>77</v>
      </c>
      <c r="P56" t="s">
        <v>78</v>
      </c>
    </row>
    <row r="57" spans="1:16">
      <c r="A57" t="s">
        <v>79</v>
      </c>
      <c r="P57" t="s">
        <v>80</v>
      </c>
    </row>
    <row r="59" spans="1:16">
      <c r="A59" t="s">
        <v>81</v>
      </c>
      <c r="P59" t="s">
        <v>82</v>
      </c>
    </row>
    <row r="60" spans="1:16">
      <c r="A60" t="s">
        <v>18</v>
      </c>
      <c r="P60" t="s">
        <v>83</v>
      </c>
    </row>
    <row r="61" spans="1:1">
      <c r="A61" t="s">
        <v>84</v>
      </c>
    </row>
    <row r="62" spans="1:16">
      <c r="A62" t="s">
        <v>85</v>
      </c>
      <c r="P62" t="s">
        <v>19</v>
      </c>
    </row>
    <row r="63" spans="1:1">
      <c r="A63" t="s">
        <v>23</v>
      </c>
    </row>
    <row r="64" spans="1:16">
      <c r="A64" t="s">
        <v>86</v>
      </c>
      <c r="P64" t="s">
        <v>87</v>
      </c>
    </row>
    <row r="65" spans="1:16">
      <c r="A65" t="s">
        <v>88</v>
      </c>
      <c r="P65" t="s">
        <v>89</v>
      </c>
    </row>
    <row r="66" spans="16:16">
      <c r="P66" t="s">
        <v>90</v>
      </c>
    </row>
    <row r="67" spans="1:16">
      <c r="A67" t="s">
        <v>29</v>
      </c>
      <c r="P67" t="s">
        <v>91</v>
      </c>
    </row>
    <row r="68" spans="1:1">
      <c r="A68" t="s">
        <v>92</v>
      </c>
    </row>
    <row r="69" spans="1:16">
      <c r="A69" t="s">
        <v>93</v>
      </c>
      <c r="P69" t="s">
        <v>94</v>
      </c>
    </row>
    <row r="71" spans="1:1">
      <c r="A71" t="s">
        <v>95</v>
      </c>
    </row>
    <row r="72" spans="1:1">
      <c r="A72" t="s">
        <v>96</v>
      </c>
    </row>
    <row r="73" spans="1:1">
      <c r="A73" t="s">
        <v>97</v>
      </c>
    </row>
    <row r="74" spans="1:1">
      <c r="A74" t="s">
        <v>98</v>
      </c>
    </row>
    <row r="75" spans="1:1">
      <c r="A75" t="s">
        <v>99</v>
      </c>
    </row>
    <row r="77" spans="1:1">
      <c r="A77" t="s">
        <v>100</v>
      </c>
    </row>
    <row r="78" spans="1:1">
      <c r="A78" t="s">
        <v>101</v>
      </c>
    </row>
    <row r="79" spans="1:1">
      <c r="A79" t="s">
        <v>102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5"/>
  <sheetViews>
    <sheetView tabSelected="1" workbookViewId="0">
      <selection activeCell="N16" sqref="N16"/>
    </sheetView>
  </sheetViews>
  <sheetFormatPr defaultColWidth="9" defaultRowHeight="14"/>
  <cols>
    <col min="7" max="7" width="12.8181818181818"/>
  </cols>
  <sheetData>
    <row r="1" spans="1:9">
      <c r="A1" t="s">
        <v>0</v>
      </c>
      <c r="B1" t="s">
        <v>103</v>
      </c>
      <c r="C1" t="s">
        <v>104</v>
      </c>
      <c r="D1" t="s">
        <v>105</v>
      </c>
      <c r="E1" t="s">
        <v>106</v>
      </c>
      <c r="F1" t="s">
        <v>107</v>
      </c>
      <c r="G1" t="s">
        <v>108</v>
      </c>
      <c r="I1" t="s">
        <v>109</v>
      </c>
    </row>
    <row r="2" spans="1:7">
      <c r="A2">
        <v>25</v>
      </c>
      <c r="B2">
        <v>17</v>
      </c>
      <c r="C2">
        <v>3990692</v>
      </c>
      <c r="D2">
        <v>216</v>
      </c>
      <c r="E2">
        <v>858</v>
      </c>
      <c r="F2">
        <v>413</v>
      </c>
      <c r="G2">
        <f>F2/B2</f>
        <v>24.2941176470588</v>
      </c>
    </row>
    <row r="3" spans="1:9">
      <c r="A3">
        <v>24</v>
      </c>
      <c r="B3">
        <v>13</v>
      </c>
      <c r="C3">
        <v>2452301.86</v>
      </c>
      <c r="D3">
        <v>178</v>
      </c>
      <c r="E3">
        <v>604</v>
      </c>
      <c r="F3">
        <v>351</v>
      </c>
      <c r="G3">
        <f>F3/B3</f>
        <v>27</v>
      </c>
      <c r="I3" t="s">
        <v>19</v>
      </c>
    </row>
    <row r="5" spans="9:9">
      <c r="I5" t="s">
        <v>110</v>
      </c>
    </row>
    <row r="6" spans="9:9">
      <c r="I6" t="s">
        <v>111</v>
      </c>
    </row>
    <row r="7" spans="9:9">
      <c r="I7" t="s">
        <v>112</v>
      </c>
    </row>
    <row r="8" spans="9:9">
      <c r="I8" t="s">
        <v>113</v>
      </c>
    </row>
    <row r="9" spans="9:9">
      <c r="I9" t="s">
        <v>114</v>
      </c>
    </row>
    <row r="10" spans="9:9">
      <c r="I10" t="s">
        <v>115</v>
      </c>
    </row>
    <row r="11" spans="9:9">
      <c r="I11" t="s">
        <v>116</v>
      </c>
    </row>
    <row r="12" spans="9:9">
      <c r="I12" t="s">
        <v>117</v>
      </c>
    </row>
    <row r="13" spans="9:9">
      <c r="I13" t="s">
        <v>118</v>
      </c>
    </row>
    <row r="15" spans="9:9">
      <c r="I15" t="s">
        <v>19</v>
      </c>
    </row>
    <row r="17" spans="9:9">
      <c r="I17" t="s">
        <v>119</v>
      </c>
    </row>
    <row r="18" spans="9:9">
      <c r="I18" t="s">
        <v>120</v>
      </c>
    </row>
    <row r="19" spans="9:9">
      <c r="I19" t="s">
        <v>121</v>
      </c>
    </row>
    <row r="20" spans="9:9">
      <c r="I20" t="s">
        <v>122</v>
      </c>
    </row>
    <row r="22" spans="9:9">
      <c r="I22" t="s">
        <v>123</v>
      </c>
    </row>
    <row r="23" spans="9:9">
      <c r="I23" t="s">
        <v>124</v>
      </c>
    </row>
    <row r="24" spans="9:9">
      <c r="I24" t="s">
        <v>125</v>
      </c>
    </row>
    <row r="26" spans="9:9">
      <c r="I26" t="s">
        <v>126</v>
      </c>
    </row>
    <row r="27" spans="9:9">
      <c r="I27" t="s">
        <v>127</v>
      </c>
    </row>
    <row r="28" spans="9:9">
      <c r="I28" t="s">
        <v>128</v>
      </c>
    </row>
    <row r="30" spans="9:9">
      <c r="I30" t="s">
        <v>129</v>
      </c>
    </row>
    <row r="31" spans="9:9">
      <c r="I31" t="s">
        <v>130</v>
      </c>
    </row>
    <row r="32" spans="9:9">
      <c r="I32" t="s">
        <v>131</v>
      </c>
    </row>
    <row r="34" spans="9:9">
      <c r="I34" t="s">
        <v>19</v>
      </c>
    </row>
    <row r="36" spans="9:9">
      <c r="I36" t="s">
        <v>132</v>
      </c>
    </row>
    <row r="37" spans="9:9">
      <c r="I37" t="s">
        <v>120</v>
      </c>
    </row>
    <row r="38" spans="9:9">
      <c r="I38" t="s">
        <v>133</v>
      </c>
    </row>
    <row r="39" spans="9:9">
      <c r="I39" t="s">
        <v>134</v>
      </c>
    </row>
    <row r="41" spans="9:9">
      <c r="I41" t="s">
        <v>135</v>
      </c>
    </row>
    <row r="42" spans="9:9">
      <c r="I42" t="s">
        <v>136</v>
      </c>
    </row>
    <row r="43" spans="9:9">
      <c r="I43" t="s">
        <v>137</v>
      </c>
    </row>
    <row r="45" spans="9:9">
      <c r="I45" t="s">
        <v>138</v>
      </c>
    </row>
    <row r="46" spans="9:9">
      <c r="I46" t="s">
        <v>139</v>
      </c>
    </row>
    <row r="47" spans="9:9">
      <c r="I47" t="s">
        <v>140</v>
      </c>
    </row>
    <row r="49" spans="9:9">
      <c r="I49" t="s">
        <v>19</v>
      </c>
    </row>
    <row r="51" spans="9:9">
      <c r="I51" t="s">
        <v>141</v>
      </c>
    </row>
    <row r="52" spans="9:9">
      <c r="I52" t="s">
        <v>142</v>
      </c>
    </row>
    <row r="53" spans="9:9">
      <c r="I53" t="s">
        <v>143</v>
      </c>
    </row>
    <row r="54" spans="9:9">
      <c r="I54" t="s">
        <v>144</v>
      </c>
    </row>
    <row r="56" spans="9:9">
      <c r="I56" t="s">
        <v>145</v>
      </c>
    </row>
    <row r="57" spans="9:9">
      <c r="I57" t="s">
        <v>146</v>
      </c>
    </row>
    <row r="58" spans="9:9">
      <c r="I58" t="s">
        <v>147</v>
      </c>
    </row>
    <row r="59" spans="9:9">
      <c r="I59" t="s">
        <v>148</v>
      </c>
    </row>
    <row r="60" spans="9:9">
      <c r="I60" t="s">
        <v>149</v>
      </c>
    </row>
    <row r="62" spans="9:9">
      <c r="I62" t="s">
        <v>19</v>
      </c>
    </row>
    <row r="64" spans="9:9">
      <c r="I64" t="s">
        <v>150</v>
      </c>
    </row>
    <row r="65" spans="9:9">
      <c r="I65" t="s">
        <v>151</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cheng</dc:creator>
  <cp:lastModifiedBy>cheng</cp:lastModifiedBy>
  <dcterms:created xsi:type="dcterms:W3CDTF">2023-05-12T11:15:00Z</dcterms:created>
  <dcterms:modified xsi:type="dcterms:W3CDTF">2025-02-26T08:19:31Z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1189E3EA24A24CC6AE1BD41E6F8762F5_12</vt:lpwstr>
  </property>
</Properties>
</file>