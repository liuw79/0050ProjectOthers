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960"/>
  </bookViews>
  <sheets>
    <sheet name="热浪2022年12月结算" sheetId="2" r:id="rId1"/>
  </sheets>
  <calcPr calcId="144525"/>
</workbook>
</file>

<file path=xl/sharedStrings.xml><?xml version="1.0" encoding="utf-8"?>
<sst xmlns="http://schemas.openxmlformats.org/spreadsheetml/2006/main" count="137" uniqueCount="96">
  <si>
    <t>2022年12月热浪结算清单</t>
  </si>
  <si>
    <t>序号</t>
  </si>
  <si>
    <t>模块</t>
  </si>
  <si>
    <t>任务名称</t>
  </si>
  <si>
    <t>描述</t>
  </si>
  <si>
    <t>状态</t>
  </si>
  <si>
    <t>通知验收时间</t>
  </si>
  <si>
    <t>计划</t>
  </si>
  <si>
    <t>预估工时
(人天)</t>
  </si>
  <si>
    <t>已确认工时</t>
  </si>
  <si>
    <t>提出者</t>
  </si>
  <si>
    <t>沟通</t>
  </si>
  <si>
    <t>202212月提交付款</t>
  </si>
  <si>
    <t>备注</t>
  </si>
  <si>
    <t>餐饮学院crm</t>
  </si>
  <si>
    <t xml:space="preserve">餐饮学院客户管理系统需求 </t>
  </si>
  <si>
    <t>8.运行跟踪</t>
  </si>
  <si>
    <t>2022.11.28日完成</t>
  </si>
  <si>
    <t>刘伟，方金玉，林香</t>
  </si>
  <si>
    <t>1、原型4个工作日，改了三版，开发计划9个工作日，会议讨论、演示、部署、测试2个工作日
2、原型已沟通过（餐饮）开发中2、和林香重新确认沟通私董会需求后，合并私董会内容3.增加公开课内容，将公开课内容也合并
3、1121给刘总发了最新的原型
4、1206修改12两条需求，增加0.8人天</t>
  </si>
  <si>
    <t>合同</t>
  </si>
  <si>
    <t>合同审批</t>
  </si>
  <si>
    <t>合同界面按照陈延琴提供的规则更新后，合同类型没有了自行上传合同，从而不存在能够审批的合同类型，将判断条件改为合同模板为自行上传合同时可以发起审批</t>
  </si>
  <si>
    <t>6.通知验收</t>
  </si>
  <si>
    <t>2022.11.15晚上部署</t>
  </si>
  <si>
    <t>李霞</t>
  </si>
  <si>
    <t>原因：合同模板更新后原有合同类型无法在新的合同中使用，现有流程都是针对旧的类型。新的类型未配置流程审批，所以自行上传的合同无法审批。因用户使用没有配置，到时无法使用，开发看原因所消耗的时间为1个工作日</t>
  </si>
  <si>
    <t>合同审批的律师审批能自主选择，找正强确定配置/开发实现 及工作量（11-17提出）</t>
  </si>
  <si>
    <t>20221224完成</t>
  </si>
  <si>
    <t>面条</t>
  </si>
  <si>
    <t>需要跟面条确认</t>
  </si>
  <si>
    <t>1人天，20230110周二开始运行跟踪，归到下个结算周期</t>
  </si>
  <si>
    <t>费用</t>
  </si>
  <si>
    <t xml:space="preserve">底栏金额为0问题，需1周内完成，odoo原生系统自带的，可算维护工作量（11-17提出） </t>
  </si>
  <si>
    <t>3.需求已确认</t>
  </si>
  <si>
    <t>先不做，等通知</t>
  </si>
  <si>
    <t>袁杰</t>
  </si>
  <si>
    <t>优先费用模块（1天已改），其他的也需要检查（2天）</t>
  </si>
  <si>
    <t>增加合同类型：渠道合作（来自面条）（11-17提出）</t>
  </si>
  <si>
    <t>增加该类型之后，该模块相应的变化（联动模版、对应流程）</t>
  </si>
  <si>
    <t>odoo合同列表，出现了一个别人的合同（来自宝声）（11-17提出）</t>
  </si>
  <si>
    <t>宝生</t>
  </si>
  <si>
    <t>确认是否是添加关注人引起的，若是则不是bug</t>
  </si>
  <si>
    <t>0.2人天 待验证，归到下个结算周期</t>
  </si>
  <si>
    <t>订单</t>
  </si>
  <si>
    <t>员工账号不能创建分析账户</t>
  </si>
  <si>
    <t>配置完成</t>
  </si>
  <si>
    <t>样式修改</t>
  </si>
  <si>
    <t>删除按钮无法正常使用</t>
  </si>
  <si>
    <t>grace</t>
  </si>
  <si>
    <t>餐饮CRM</t>
  </si>
  <si>
    <t>增加餐饮学院，私董会，公开课入口</t>
  </si>
  <si>
    <t>上课记录加3个入口</t>
  </si>
  <si>
    <t>刘伟</t>
  </si>
  <si>
    <t>去掉公司跟进记录</t>
  </si>
  <si>
    <t>跟进记录只保留个人的，去掉公司的</t>
  </si>
  <si>
    <t>过滤标签</t>
  </si>
  <si>
    <t>过滤餐饮特有的标签（需要提供标签）</t>
  </si>
  <si>
    <t>方金玉</t>
  </si>
  <si>
    <t>tade行业/餐饮学院，私董会，公开课（书于餐饮学院后续需求，未算工时）</t>
  </si>
  <si>
    <t>界面字段优化</t>
  </si>
  <si>
    <t>去掉邮箱，创建时间</t>
  </si>
  <si>
    <t>确认数据准确性</t>
  </si>
  <si>
    <t>找cheng核对订单数据是否完整</t>
  </si>
  <si>
    <t>跟进记录的时间和跟进人默认是当前登录人和系统时间，可以手动修改</t>
  </si>
  <si>
    <t>rose</t>
  </si>
  <si>
    <t>odoo权限整理讲解</t>
  </si>
  <si>
    <t>跟rose讲解odoo中的权限使用与以及注意事项</t>
  </si>
  <si>
    <t>整理并讲解模型-访问权限，访问规则，视图，权限组，以及相关关联关系</t>
  </si>
  <si>
    <t>7.已验收</t>
  </si>
  <si>
    <t>餐饮学院</t>
  </si>
  <si>
    <t>同步标签</t>
  </si>
  <si>
    <t>小助手同步的标签与rose的标签列表数量没有对应上</t>
  </si>
  <si>
    <t>问题提出后，我们重新进行代码测试，联系人标签自动同步到餐饮学院的测试，以及同步代码测试，并未发现问题，然后与成锐沟通，提供了同步的联系人id列表，我们逐一核查，将缺少的id提供给成锐，得到反馈，可能是小助手标签数据没有填写完整（有些人没有填写）</t>
  </si>
  <si>
    <t>增加搜索条件</t>
  </si>
  <si>
    <t>餐饮学院设置搜索条件：名称(姓名)，电话，地区，公司名称，标签，跟进记录(跟进内容、时间、跟进人)，</t>
  </si>
  <si>
    <t>2022年1216日部署到正式</t>
  </si>
  <si>
    <t>地区不可编辑是因为有些数据地区类型展示的是公司地区，需要去公司账号下更改</t>
  </si>
  <si>
    <t>餐饮学院增加地区，城市，国家，街道等字段，并与联系人保持同步修改</t>
  </si>
  <si>
    <t>因为个人中不包含行业标签，所以需要在进入的时候去统计企业中的用户，并将用户展示在列表中，从而可以进行编辑</t>
  </si>
  <si>
    <t>运维</t>
  </si>
  <si>
    <t>给Rose初始化一个数据库，用做测试用</t>
  </si>
  <si>
    <t>有些关联关系、出实话方法，不能直接增加和删除</t>
  </si>
  <si>
    <t>仪表盘会议</t>
  </si>
  <si>
    <t>讨论课程仪表盘相关内容</t>
  </si>
  <si>
    <t>代码迁移到外部git</t>
  </si>
  <si>
    <t>代码迁移到外部git，gitleb,腾讯工蜂</t>
  </si>
  <si>
    <t xml:space="preserve"> </t>
  </si>
  <si>
    <t>天数可填写小数，无法保存小数，小数部分会被识别为0，无法保存</t>
  </si>
  <si>
    <t>面条君</t>
  </si>
  <si>
    <t>修改合同中天数类型，并查看是否会造成其他影响</t>
  </si>
  <si>
    <t>餐饮学院标签同步数量不对</t>
  </si>
  <si>
    <t>小助手同步联系人后餐饮学院相关标签未能完全同步，协助cheng查找原因</t>
  </si>
  <si>
    <t>经沟通，联系人中有部分用户未打上标签，并非同步的问题</t>
  </si>
  <si>
    <t>202212月结算清单（人天）</t>
  </si>
  <si>
    <t>备注：统计状态跟李霞沟通：大需求按运行通过，小需求调整按验收完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</si>
</sst>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7">
    <font>
      <sz val="10"/>
      <color theme="1"/>
      <name val="等线"/>
      <charset val="134"/>
      <scheme val="minor"/>
    </font>
    <font>
      <sz val="12"/>
      <color theme="1"/>
      <name val="微软雅黑"/>
      <charset val="134"/>
    </font>
    <font>
      <b/>
      <sz val="28"/>
      <color rgb="FF000000"/>
      <name val="微软雅黑"/>
      <charset val="134"/>
    </font>
    <font>
      <b/>
      <sz val="14"/>
      <color rgb="FF000000"/>
      <name val="微软雅黑"/>
      <charset val="134"/>
    </font>
    <font>
      <sz val="12"/>
      <color rgb="FF000000"/>
      <name val="微软雅黑"/>
      <charset val="134"/>
    </font>
    <font>
      <sz val="12"/>
      <name val="微软雅黑"/>
      <charset val="134"/>
    </font>
    <font>
      <b/>
      <sz val="12"/>
      <color rgb="FF000000"/>
      <name val="微软雅黑"/>
      <charset val="134"/>
    </font>
    <font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3F3F76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 applyNumberFormat="0" applyFont="0" applyFill="0" applyBorder="0" applyProtection="0"/>
    <xf numFmtId="0" fontId="9" fillId="2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6" fillId="33" borderId="17" applyNumberForma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2" fillId="5" borderId="17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18" fillId="15" borderId="15" applyNumberFormat="0" applyAlignment="0" applyProtection="0">
      <alignment vertical="center"/>
    </xf>
    <xf numFmtId="0" fontId="11" fillId="5" borderId="12" applyNumberFormat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" fillId="7" borderId="13" applyNumberFormat="0" applyFon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7" fillId="0" borderId="11" applyNumberFormat="0" applyFill="0" applyAlignment="0" applyProtection="0">
      <alignment vertical="center"/>
    </xf>
  </cellStyleXfs>
  <cellXfs count="3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/>
    </xf>
    <xf numFmtId="0" fontId="4" fillId="0" borderId="3" xfId="0" applyFont="1" applyFill="1" applyBorder="1" applyAlignment="1">
      <alignment vertical="center" wrapText="1"/>
    </xf>
    <xf numFmtId="0" fontId="4" fillId="0" borderId="4" xfId="0" applyFont="1" applyFill="1" applyBorder="1" applyAlignment="1">
      <alignment vertical="center" wrapText="1"/>
    </xf>
    <xf numFmtId="0" fontId="5" fillId="0" borderId="4" xfId="0" applyFont="1" applyFill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4" xfId="0" applyFont="1" applyBorder="1" applyAlignment="1">
      <alignment vertical="center"/>
    </xf>
    <xf numFmtId="0" fontId="2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vertical="center" wrapText="1"/>
    </xf>
    <xf numFmtId="0" fontId="6" fillId="0" borderId="1" xfId="0" applyFont="1" applyBorder="1" applyAlignment="1">
      <alignment horizontal="right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6" fillId="0" borderId="10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71"/>
  <sheetViews>
    <sheetView tabSelected="1" workbookViewId="0">
      <pane xSplit="3" ySplit="2" topLeftCell="E15" activePane="bottomRight" state="frozen"/>
      <selection/>
      <selection pane="topRight"/>
      <selection pane="bottomLeft"/>
      <selection pane="bottomRight" activeCell="M28" sqref="M28"/>
    </sheetView>
  </sheetViews>
  <sheetFormatPr defaultColWidth="14" defaultRowHeight="16.8"/>
  <cols>
    <col min="1" max="1" width="5.76923076923077" style="1" customWidth="1"/>
    <col min="2" max="2" width="9.23076923076923" style="1" customWidth="1"/>
    <col min="3" max="3" width="22.2307692307692" style="1" customWidth="1"/>
    <col min="4" max="4" width="53.0769230769231" style="1" customWidth="1"/>
    <col min="5" max="5" width="14.4230769230769" style="1" customWidth="1"/>
    <col min="6" max="6" width="14.8076923076923" style="1" customWidth="1"/>
    <col min="7" max="7" width="31.4615384615385" style="1" customWidth="1"/>
    <col min="8" max="8" width="10.4134615384615" style="1" customWidth="1"/>
    <col min="9" max="9" width="7.52884615384615" style="1" customWidth="1"/>
    <col min="10" max="10" width="12.5" style="1" customWidth="1"/>
    <col min="11" max="11" width="67.8846153846154" style="1" customWidth="1"/>
    <col min="12" max="12" width="20.9615384615385" style="1" customWidth="1"/>
    <col min="13" max="13" width="59.4230769230769" style="1" customWidth="1"/>
    <col min="14" max="16384" width="14" style="1"/>
  </cols>
  <sheetData>
    <row r="1" ht="37.6" spans="1:2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20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ht="58" spans="1:24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ht="101" spans="1:24">
      <c r="A3" s="6">
        <v>4</v>
      </c>
      <c r="B3" s="7" t="s">
        <v>14</v>
      </c>
      <c r="C3" s="8" t="s">
        <v>14</v>
      </c>
      <c r="D3" s="9" t="s">
        <v>15</v>
      </c>
      <c r="E3" s="8" t="s">
        <v>16</v>
      </c>
      <c r="F3" s="8"/>
      <c r="G3" s="8" t="s">
        <v>17</v>
      </c>
      <c r="H3" s="8">
        <v>15.8</v>
      </c>
      <c r="I3" s="8"/>
      <c r="J3" s="8" t="s">
        <v>18</v>
      </c>
      <c r="K3" s="8" t="s">
        <v>19</v>
      </c>
      <c r="L3" s="13">
        <v>15.8</v>
      </c>
      <c r="M3" s="29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4" ht="68" spans="1:24">
      <c r="A4" s="6">
        <v>9</v>
      </c>
      <c r="B4" s="7" t="s">
        <v>20</v>
      </c>
      <c r="C4" s="8" t="s">
        <v>21</v>
      </c>
      <c r="D4" s="8" t="s">
        <v>22</v>
      </c>
      <c r="E4" s="19" t="s">
        <v>23</v>
      </c>
      <c r="F4" s="19"/>
      <c r="G4" s="8" t="s">
        <v>24</v>
      </c>
      <c r="H4" s="8">
        <v>0</v>
      </c>
      <c r="I4" s="8"/>
      <c r="J4" s="8" t="s">
        <v>25</v>
      </c>
      <c r="K4" s="8" t="s">
        <v>26</v>
      </c>
      <c r="L4" s="13">
        <v>0</v>
      </c>
      <c r="M4" s="29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</row>
    <row r="5" ht="34" spans="1:24">
      <c r="A5" s="10"/>
      <c r="B5" s="11"/>
      <c r="C5" s="12"/>
      <c r="D5" s="12" t="s">
        <v>27</v>
      </c>
      <c r="E5" s="12" t="s">
        <v>23</v>
      </c>
      <c r="F5" s="12">
        <v>20221230</v>
      </c>
      <c r="G5" s="8" t="s">
        <v>28</v>
      </c>
      <c r="H5" s="8">
        <v>1</v>
      </c>
      <c r="I5" s="8"/>
      <c r="J5" s="8" t="s">
        <v>29</v>
      </c>
      <c r="K5" s="8" t="s">
        <v>30</v>
      </c>
      <c r="L5" s="13">
        <v>0</v>
      </c>
      <c r="M5" s="29" t="s">
        <v>31</v>
      </c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</row>
    <row r="6" ht="34" spans="1:24">
      <c r="A6" s="10"/>
      <c r="B6" s="11" t="s">
        <v>32</v>
      </c>
      <c r="C6" s="12"/>
      <c r="D6" s="12" t="s">
        <v>33</v>
      </c>
      <c r="E6" s="12" t="s">
        <v>34</v>
      </c>
      <c r="F6" s="12"/>
      <c r="G6" s="8" t="s">
        <v>35</v>
      </c>
      <c r="H6" s="8">
        <v>3</v>
      </c>
      <c r="I6" s="8">
        <v>1</v>
      </c>
      <c r="J6" s="8" t="s">
        <v>36</v>
      </c>
      <c r="K6" s="8" t="s">
        <v>37</v>
      </c>
      <c r="L6" s="13">
        <v>1</v>
      </c>
      <c r="M6" s="29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ht="34" spans="1:24">
      <c r="A7" s="10"/>
      <c r="B7" s="11"/>
      <c r="C7" s="12"/>
      <c r="D7" s="12" t="s">
        <v>38</v>
      </c>
      <c r="E7" s="12" t="s">
        <v>23</v>
      </c>
      <c r="F7" s="12">
        <v>20221230</v>
      </c>
      <c r="G7" s="8" t="s">
        <v>28</v>
      </c>
      <c r="H7" s="8">
        <v>1</v>
      </c>
      <c r="I7" s="8"/>
      <c r="J7" s="8" t="s">
        <v>29</v>
      </c>
      <c r="K7" s="8" t="s">
        <v>39</v>
      </c>
      <c r="L7" s="13">
        <v>1</v>
      </c>
      <c r="M7" s="29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</row>
    <row r="8" ht="34" spans="1:24">
      <c r="A8" s="10"/>
      <c r="B8" s="11"/>
      <c r="C8" s="12"/>
      <c r="D8" s="12" t="s">
        <v>40</v>
      </c>
      <c r="E8" s="12" t="s">
        <v>23</v>
      </c>
      <c r="F8" s="12"/>
      <c r="G8" s="8"/>
      <c r="H8" s="8">
        <v>0.2</v>
      </c>
      <c r="I8" s="8"/>
      <c r="J8" s="8" t="s">
        <v>41</v>
      </c>
      <c r="K8" s="8" t="s">
        <v>42</v>
      </c>
      <c r="L8" s="13">
        <v>0</v>
      </c>
      <c r="M8" s="29" t="s">
        <v>43</v>
      </c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</row>
    <row r="9" ht="17" spans="1:24">
      <c r="A9" s="6"/>
      <c r="B9" s="7" t="s">
        <v>44</v>
      </c>
      <c r="C9" s="8"/>
      <c r="D9" s="8" t="s">
        <v>45</v>
      </c>
      <c r="E9" s="8" t="s">
        <v>23</v>
      </c>
      <c r="F9" s="8"/>
      <c r="G9" s="8"/>
      <c r="H9" s="8">
        <v>0</v>
      </c>
      <c r="I9" s="8"/>
      <c r="J9" s="8" t="s">
        <v>36</v>
      </c>
      <c r="K9" s="8" t="s">
        <v>46</v>
      </c>
      <c r="L9" s="13">
        <v>0</v>
      </c>
      <c r="M9" s="29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</row>
    <row r="10" ht="34" spans="1:24">
      <c r="A10" s="6"/>
      <c r="B10" s="7" t="s">
        <v>47</v>
      </c>
      <c r="C10" s="8"/>
      <c r="D10" s="8" t="s">
        <v>48</v>
      </c>
      <c r="E10" s="8" t="s">
        <v>23</v>
      </c>
      <c r="F10" s="15">
        <v>20221228</v>
      </c>
      <c r="G10" s="8" t="s">
        <v>28</v>
      </c>
      <c r="H10" s="8">
        <v>0.7</v>
      </c>
      <c r="I10" s="8"/>
      <c r="J10" s="8" t="s">
        <v>49</v>
      </c>
      <c r="K10" s="8"/>
      <c r="L10" s="13">
        <v>0.7</v>
      </c>
      <c r="M10" s="29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 ht="34" spans="1:24">
      <c r="A11" s="6"/>
      <c r="B11" s="13" t="s">
        <v>50</v>
      </c>
      <c r="C11" s="8" t="s">
        <v>51</v>
      </c>
      <c r="D11" s="8" t="s">
        <v>52</v>
      </c>
      <c r="E11" s="8" t="s">
        <v>23</v>
      </c>
      <c r="F11" s="8">
        <v>20221206</v>
      </c>
      <c r="G11" s="8"/>
      <c r="H11" s="8">
        <v>0.6</v>
      </c>
      <c r="I11" s="8"/>
      <c r="J11" s="8" t="s">
        <v>53</v>
      </c>
      <c r="K11" s="8"/>
      <c r="L11" s="13">
        <v>0.6</v>
      </c>
      <c r="M11" s="29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</row>
    <row r="12" ht="17" spans="1:24">
      <c r="A12" s="6"/>
      <c r="B12" s="13"/>
      <c r="C12" s="8" t="s">
        <v>54</v>
      </c>
      <c r="D12" s="8" t="s">
        <v>55</v>
      </c>
      <c r="E12" s="8" t="s">
        <v>23</v>
      </c>
      <c r="F12" s="8">
        <v>20221206</v>
      </c>
      <c r="G12" s="8"/>
      <c r="H12" s="8">
        <v>0.2</v>
      </c>
      <c r="I12" s="8"/>
      <c r="J12" s="8" t="s">
        <v>53</v>
      </c>
      <c r="K12" s="8"/>
      <c r="L12" s="13">
        <v>0.2</v>
      </c>
      <c r="M12" s="29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</row>
    <row r="13" ht="34" spans="1:24">
      <c r="A13" s="6"/>
      <c r="B13" s="13"/>
      <c r="C13" s="7" t="s">
        <v>56</v>
      </c>
      <c r="D13" s="14" t="s">
        <v>57</v>
      </c>
      <c r="E13" s="7" t="s">
        <v>23</v>
      </c>
      <c r="F13" s="15">
        <v>20221230</v>
      </c>
      <c r="G13" s="7"/>
      <c r="H13" s="7">
        <v>0</v>
      </c>
      <c r="I13" s="7"/>
      <c r="J13" s="7" t="s">
        <v>58</v>
      </c>
      <c r="K13" s="7" t="s">
        <v>59</v>
      </c>
      <c r="L13" s="13">
        <v>0</v>
      </c>
      <c r="M13" s="29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</row>
    <row r="14" ht="17" spans="1:24">
      <c r="A14" s="6"/>
      <c r="B14" s="13"/>
      <c r="C14" s="7" t="s">
        <v>60</v>
      </c>
      <c r="D14" s="7" t="s">
        <v>61</v>
      </c>
      <c r="E14" s="7" t="s">
        <v>23</v>
      </c>
      <c r="F14" s="15">
        <v>20221230</v>
      </c>
      <c r="G14" s="7"/>
      <c r="H14" s="7">
        <v>0.2</v>
      </c>
      <c r="I14" s="7"/>
      <c r="J14" s="15" t="s">
        <v>58</v>
      </c>
      <c r="K14" s="7"/>
      <c r="L14" s="13">
        <v>0.2</v>
      </c>
      <c r="M14" s="29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</row>
    <row r="15" ht="17" spans="1:24">
      <c r="A15" s="6"/>
      <c r="B15" s="13"/>
      <c r="C15" s="7" t="s">
        <v>62</v>
      </c>
      <c r="D15" s="7" t="s">
        <v>63</v>
      </c>
      <c r="E15" s="7" t="s">
        <v>23</v>
      </c>
      <c r="F15" s="7"/>
      <c r="G15" s="7"/>
      <c r="H15" s="7">
        <v>0.1</v>
      </c>
      <c r="I15" s="7"/>
      <c r="J15" s="7" t="s">
        <v>53</v>
      </c>
      <c r="K15" s="7"/>
      <c r="L15" s="13">
        <v>0.1</v>
      </c>
      <c r="M15" s="29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</row>
    <row r="16" ht="34" spans="1:24">
      <c r="A16" s="6"/>
      <c r="B16" s="13"/>
      <c r="C16" s="7"/>
      <c r="D16" s="7" t="s">
        <v>64</v>
      </c>
      <c r="E16" s="7" t="s">
        <v>23</v>
      </c>
      <c r="F16" s="15">
        <v>20221230</v>
      </c>
      <c r="G16" s="7" t="s">
        <v>28</v>
      </c>
      <c r="H16" s="7">
        <v>0.3</v>
      </c>
      <c r="I16" s="7"/>
      <c r="J16" s="7" t="s">
        <v>65</v>
      </c>
      <c r="K16" s="7"/>
      <c r="L16" s="13">
        <v>0.3</v>
      </c>
      <c r="M16" s="29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</row>
    <row r="17" ht="51" spans="1:24">
      <c r="A17" s="6"/>
      <c r="B17" s="7" t="s">
        <v>66</v>
      </c>
      <c r="C17" s="7" t="s">
        <v>67</v>
      </c>
      <c r="D17" s="7" t="s">
        <v>68</v>
      </c>
      <c r="E17" s="7" t="s">
        <v>69</v>
      </c>
      <c r="F17" s="7"/>
      <c r="G17" s="7"/>
      <c r="H17" s="7">
        <v>0.2</v>
      </c>
      <c r="I17" s="7"/>
      <c r="J17" s="15" t="s">
        <v>65</v>
      </c>
      <c r="K17" s="7"/>
      <c r="L17" s="13">
        <v>0.2</v>
      </c>
      <c r="M17" s="29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</row>
    <row r="18" ht="84" spans="1:24">
      <c r="A18" s="6"/>
      <c r="B18" s="7" t="s">
        <v>70</v>
      </c>
      <c r="C18" s="7" t="s">
        <v>71</v>
      </c>
      <c r="D18" s="7" t="s">
        <v>72</v>
      </c>
      <c r="E18" s="7" t="s">
        <v>23</v>
      </c>
      <c r="F18" s="7">
        <v>20221213</v>
      </c>
      <c r="G18" s="7"/>
      <c r="H18" s="7">
        <v>0.3</v>
      </c>
      <c r="I18" s="7"/>
      <c r="J18" s="15" t="s">
        <v>65</v>
      </c>
      <c r="K18" s="7" t="s">
        <v>73</v>
      </c>
      <c r="L18" s="13">
        <v>0.3</v>
      </c>
      <c r="M18" s="29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</row>
    <row r="19" ht="51" spans="1:24">
      <c r="A19" s="6"/>
      <c r="B19" s="7" t="s">
        <v>70</v>
      </c>
      <c r="C19" s="7" t="s">
        <v>74</v>
      </c>
      <c r="D19" s="7" t="s">
        <v>75</v>
      </c>
      <c r="E19" s="7" t="s">
        <v>23</v>
      </c>
      <c r="F19" s="7">
        <v>20221214</v>
      </c>
      <c r="G19" s="15" t="s">
        <v>76</v>
      </c>
      <c r="H19" s="7">
        <v>1</v>
      </c>
      <c r="I19" s="7"/>
      <c r="J19" s="15" t="s">
        <v>65</v>
      </c>
      <c r="K19" s="7" t="s">
        <v>77</v>
      </c>
      <c r="L19" s="13">
        <v>1</v>
      </c>
      <c r="M19" s="29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</row>
    <row r="20" ht="34" spans="1:24">
      <c r="A20" s="6"/>
      <c r="B20" s="7"/>
      <c r="C20" s="7"/>
      <c r="D20" s="7" t="s">
        <v>78</v>
      </c>
      <c r="E20" s="7" t="s">
        <v>23</v>
      </c>
      <c r="F20" s="7">
        <v>20221215</v>
      </c>
      <c r="G20" s="7" t="s">
        <v>76</v>
      </c>
      <c r="H20" s="7">
        <v>0.2</v>
      </c>
      <c r="I20" s="7"/>
      <c r="J20" s="7" t="s">
        <v>65</v>
      </c>
      <c r="K20" s="7"/>
      <c r="L20" s="13">
        <v>0.2</v>
      </c>
      <c r="M20" s="29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</row>
    <row r="21" ht="51" spans="1:24">
      <c r="A21" s="6"/>
      <c r="B21" s="7"/>
      <c r="C21" s="15"/>
      <c r="D21" s="7" t="s">
        <v>79</v>
      </c>
      <c r="E21" s="7" t="s">
        <v>23</v>
      </c>
      <c r="F21" s="15">
        <v>20221216</v>
      </c>
      <c r="G21" s="7" t="s">
        <v>76</v>
      </c>
      <c r="H21" s="7">
        <v>1</v>
      </c>
      <c r="I21" s="15"/>
      <c r="J21" s="7" t="s">
        <v>65</v>
      </c>
      <c r="K21" s="7"/>
      <c r="L21" s="13">
        <v>1</v>
      </c>
      <c r="M21" s="29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</row>
    <row r="22" ht="17" spans="1:24">
      <c r="A22" s="6"/>
      <c r="B22" s="15" t="s">
        <v>80</v>
      </c>
      <c r="C22" s="15"/>
      <c r="D22" s="7" t="s">
        <v>81</v>
      </c>
      <c r="E22" s="15" t="s">
        <v>23</v>
      </c>
      <c r="F22" s="15">
        <v>20221226</v>
      </c>
      <c r="G22" s="7"/>
      <c r="H22" s="15">
        <v>1.8</v>
      </c>
      <c r="I22" s="15"/>
      <c r="J22" s="7"/>
      <c r="K22" s="15" t="s">
        <v>82</v>
      </c>
      <c r="L22" s="21">
        <v>1.8</v>
      </c>
      <c r="M22" s="29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</row>
    <row r="23" ht="17" spans="1:24">
      <c r="A23" s="6"/>
      <c r="B23" s="7"/>
      <c r="C23" s="7" t="s">
        <v>83</v>
      </c>
      <c r="D23" s="7" t="s">
        <v>84</v>
      </c>
      <c r="E23" s="7" t="s">
        <v>23</v>
      </c>
      <c r="F23" s="7"/>
      <c r="G23" s="7">
        <v>202212218</v>
      </c>
      <c r="H23" s="7">
        <v>0.4</v>
      </c>
      <c r="I23" s="7"/>
      <c r="J23" s="7"/>
      <c r="K23" s="7"/>
      <c r="L23" s="13">
        <v>0.4</v>
      </c>
      <c r="M23" s="29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</row>
    <row r="24" ht="17" spans="1:24">
      <c r="A24" s="6"/>
      <c r="B24" s="7" t="s">
        <v>80</v>
      </c>
      <c r="C24" s="15" t="s">
        <v>85</v>
      </c>
      <c r="D24" s="7" t="s">
        <v>86</v>
      </c>
      <c r="E24" s="7" t="s">
        <v>23</v>
      </c>
      <c r="F24" s="15">
        <v>20221228</v>
      </c>
      <c r="G24" s="7">
        <v>20221228</v>
      </c>
      <c r="H24" s="7">
        <v>0.8</v>
      </c>
      <c r="I24" s="15"/>
      <c r="J24" s="7"/>
      <c r="K24" s="7"/>
      <c r="L24" s="13">
        <v>0.8</v>
      </c>
      <c r="M24" s="29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</row>
    <row r="25" ht="34" spans="1:24">
      <c r="A25" s="6"/>
      <c r="B25" s="15" t="s">
        <v>20</v>
      </c>
      <c r="C25" s="15" t="s">
        <v>87</v>
      </c>
      <c r="D25" s="7" t="s">
        <v>88</v>
      </c>
      <c r="E25" s="15" t="s">
        <v>16</v>
      </c>
      <c r="F25" s="15">
        <v>20221228</v>
      </c>
      <c r="G25" s="7">
        <v>20221228</v>
      </c>
      <c r="H25" s="15">
        <v>0.3</v>
      </c>
      <c r="I25" s="15"/>
      <c r="J25" s="7" t="s">
        <v>89</v>
      </c>
      <c r="K25" s="15" t="s">
        <v>90</v>
      </c>
      <c r="L25" s="21">
        <v>0.3</v>
      </c>
      <c r="M25" s="29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</row>
    <row r="26" ht="34.75" spans="1:24">
      <c r="A26" s="16"/>
      <c r="B26" s="17" t="s">
        <v>80</v>
      </c>
      <c r="C26" s="17" t="s">
        <v>91</v>
      </c>
      <c r="D26" s="17" t="s">
        <v>92</v>
      </c>
      <c r="E26" s="17" t="s">
        <v>23</v>
      </c>
      <c r="F26" s="17">
        <v>20221213</v>
      </c>
      <c r="G26" s="17">
        <v>20221213</v>
      </c>
      <c r="H26" s="17">
        <v>0.3</v>
      </c>
      <c r="I26" s="17"/>
      <c r="J26" s="17" t="s">
        <v>65</v>
      </c>
      <c r="K26" s="22" t="s">
        <v>93</v>
      </c>
      <c r="L26" s="13">
        <v>0.3</v>
      </c>
      <c r="M26" s="29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 ht="17" spans="1:24">
      <c r="A27" s="18"/>
      <c r="B27" s="18"/>
      <c r="C27" s="18"/>
      <c r="D27" s="18"/>
      <c r="F27" s="18"/>
      <c r="G27" s="18"/>
      <c r="H27" s="18"/>
      <c r="I27" s="18"/>
      <c r="J27" s="18"/>
      <c r="K27" s="23" t="s">
        <v>94</v>
      </c>
      <c r="L27" s="24">
        <f>SUM(L3:L26)</f>
        <v>26.2</v>
      </c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</row>
    <row r="28" ht="17.55" spans="1:24">
      <c r="A28" s="18"/>
      <c r="B28" s="18"/>
      <c r="C28" s="18"/>
      <c r="D28" s="18"/>
      <c r="F28" s="18"/>
      <c r="G28" s="18"/>
      <c r="H28" s="18"/>
      <c r="I28" s="18"/>
      <c r="J28" s="18"/>
      <c r="K28" s="25" t="s">
        <v>95</v>
      </c>
      <c r="L28" s="26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</row>
    <row r="29" spans="1:24">
      <c r="A29" s="18"/>
      <c r="B29" s="18"/>
      <c r="C29" s="18"/>
      <c r="D29" s="18"/>
      <c r="F29" s="18"/>
      <c r="G29" s="18"/>
      <c r="H29" s="18"/>
      <c r="I29" s="18"/>
      <c r="J29" s="18"/>
      <c r="K29" s="27"/>
      <c r="L29" s="2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</row>
    <row r="30" spans="1:24">
      <c r="A30" s="18"/>
      <c r="B30" s="18"/>
      <c r="C30" s="18"/>
      <c r="D30" s="18"/>
      <c r="F30" s="18"/>
      <c r="G30" s="18"/>
      <c r="H30" s="18"/>
      <c r="I30" s="18"/>
      <c r="J30" s="18"/>
      <c r="K30" s="27"/>
      <c r="L30" s="2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</row>
    <row r="31" spans="1:24">
      <c r="A31" s="18"/>
      <c r="B31" s="18"/>
      <c r="C31" s="18"/>
      <c r="D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</row>
    <row r="32" spans="1:24">
      <c r="A32" s="18"/>
      <c r="B32" s="18"/>
      <c r="C32" s="18"/>
      <c r="D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</row>
    <row r="33" spans="1:24">
      <c r="A33" s="18"/>
      <c r="B33" s="18"/>
      <c r="C33" s="18"/>
      <c r="D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</row>
    <row r="34" spans="1:24">
      <c r="A34" s="18"/>
      <c r="B34" s="18"/>
      <c r="C34" s="18"/>
      <c r="D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</row>
    <row r="35" spans="1:24">
      <c r="A35" s="18"/>
      <c r="B35" s="18"/>
      <c r="C35" s="18"/>
      <c r="D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</row>
    <row r="36" spans="1:24">
      <c r="A36" s="18"/>
      <c r="B36" s="18"/>
      <c r="C36" s="18"/>
      <c r="D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</row>
    <row r="37" spans="1:24">
      <c r="A37" s="18"/>
      <c r="B37" s="18"/>
      <c r="C37" s="18"/>
      <c r="D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</row>
    <row r="38" spans="1:24">
      <c r="A38" s="18"/>
      <c r="B38" s="18"/>
      <c r="C38" s="18"/>
      <c r="D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</row>
    <row r="39" spans="1:24">
      <c r="A39" s="18"/>
      <c r="B39" s="18"/>
      <c r="C39" s="18"/>
      <c r="D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</row>
    <row r="40" spans="1:24">
      <c r="A40" s="18"/>
      <c r="B40" s="18"/>
      <c r="C40" s="18"/>
      <c r="D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</row>
    <row r="41" spans="1:24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</row>
    <row r="42" spans="1:24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</row>
    <row r="43" spans="1:24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</row>
    <row r="44" spans="1:2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</row>
    <row r="45" spans="1:24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</row>
    <row r="46" spans="1:24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 spans="1:24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</row>
    <row r="48" spans="1:24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 spans="1:24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spans="1:24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</row>
    <row r="51" spans="1:24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</row>
    <row r="52" spans="1:24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 spans="1:24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</row>
    <row r="54" spans="1:2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</row>
    <row r="55" spans="1:24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</row>
    <row r="56" spans="1:24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</row>
    <row r="57" spans="1:24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</row>
    <row r="58" spans="1:24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</row>
    <row r="59" spans="1:24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</row>
    <row r="60" spans="1:24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</row>
    <row r="61" spans="1:24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</row>
    <row r="62" spans="1:24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</row>
    <row r="63" spans="1:24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</row>
    <row r="64" spans="1:2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</row>
    <row r="65" spans="1:24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</row>
    <row r="66" spans="1:24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</row>
    <row r="67" spans="1:24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</row>
    <row r="68" spans="1:24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</row>
    <row r="69" spans="1:24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</row>
    <row r="70" spans="1:24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</row>
    <row r="71" spans="1:24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</row>
    <row r="72" spans="1:24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</row>
    <row r="73" spans="1:24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</row>
    <row r="74" spans="1:2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</row>
    <row r="75" spans="1:24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</row>
    <row r="76" spans="1:24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</row>
    <row r="77" spans="1:24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</row>
    <row r="78" spans="1:24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</row>
    <row r="79" spans="1:24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</row>
    <row r="80" spans="1:24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</row>
    <row r="81" spans="1:24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</row>
    <row r="82" spans="1:24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</row>
    <row r="83" spans="1:24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</row>
    <row r="84" spans="1:2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</row>
    <row r="85" spans="1:24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</row>
    <row r="86" spans="1:24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</row>
    <row r="87" spans="1:24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</row>
    <row r="88" spans="1:24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</row>
    <row r="89" spans="1:24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</row>
    <row r="90" spans="1:24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</row>
    <row r="91" spans="1:24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</row>
    <row r="92" spans="1:24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</row>
    <row r="93" spans="1:24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</row>
    <row r="94" spans="1:2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</row>
    <row r="95" spans="1:24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</row>
    <row r="96" spans="1:24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</row>
    <row r="97" spans="1:24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</row>
    <row r="98" spans="1:24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</row>
    <row r="99" spans="1:24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</row>
    <row r="100" spans="1:24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</row>
    <row r="101" spans="1:24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</row>
    <row r="102" spans="1:24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</row>
    <row r="103" spans="1:24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</row>
    <row r="104" spans="1:2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</row>
    <row r="105" spans="1:24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</row>
    <row r="106" spans="1:24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</row>
    <row r="107" spans="1:24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</row>
    <row r="108" spans="1:24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</row>
    <row r="109" spans="1:24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</row>
    <row r="110" spans="1:24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</row>
    <row r="111" spans="1:24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</row>
    <row r="112" spans="1:24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</row>
    <row r="113" spans="1:24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</row>
    <row r="114" spans="1:2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</row>
    <row r="115" spans="1:24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</row>
    <row r="116" spans="1:24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</row>
    <row r="117" spans="1:24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</row>
    <row r="118" spans="1:24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</row>
    <row r="119" spans="1:24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</row>
    <row r="120" spans="1:24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</row>
    <row r="121" spans="1:24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</row>
    <row r="122" spans="1:24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</row>
    <row r="123" spans="1:24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</row>
    <row r="124" spans="1: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</row>
    <row r="125" spans="1:24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</row>
    <row r="126" spans="1:24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</row>
    <row r="127" spans="1:24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</row>
    <row r="128" spans="1:24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</row>
    <row r="129" spans="1:24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</row>
    <row r="130" spans="1:24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</row>
    <row r="131" spans="1:24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</row>
    <row r="132" spans="1:24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</row>
    <row r="133" spans="1:24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</row>
    <row r="134" spans="1:2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</row>
    <row r="135" spans="1:24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</row>
    <row r="136" spans="1:24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</row>
    <row r="137" spans="1:24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</row>
    <row r="138" spans="1:24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</row>
    <row r="139" spans="1:24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</row>
    <row r="140" spans="1:24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</row>
    <row r="141" spans="1:24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</row>
    <row r="142" spans="1:24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</row>
    <row r="143" spans="1:24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</row>
    <row r="144" spans="1:2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</row>
    <row r="145" spans="1:24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</row>
    <row r="146" spans="1:24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</row>
    <row r="147" spans="1:24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</row>
    <row r="148" spans="1:24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</row>
    <row r="149" spans="1:24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</row>
    <row r="150" spans="1:24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</row>
    <row r="151" spans="1:24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</row>
    <row r="152" spans="1:24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</row>
    <row r="153" spans="1:24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</row>
    <row r="154" spans="1:2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</row>
    <row r="155" spans="1:24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</row>
    <row r="156" spans="1:24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</row>
    <row r="157" spans="1:24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</row>
    <row r="158" spans="1:24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</row>
    <row r="159" spans="1:24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</row>
    <row r="160" spans="1:24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</row>
    <row r="161" spans="1:24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</row>
    <row r="162" spans="1:24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</row>
    <row r="163" spans="1:24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</row>
    <row r="164" spans="1:2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</row>
    <row r="165" spans="1:24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</row>
    <row r="166" spans="1:24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</row>
    <row r="167" spans="1:24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</row>
    <row r="168" spans="1:24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</row>
    <row r="169" spans="1:24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</row>
    <row r="170" spans="1:24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</row>
    <row r="171" spans="1:24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</row>
  </sheetData>
  <mergeCells count="4">
    <mergeCell ref="A1:L1"/>
    <mergeCell ref="K28:L28"/>
    <mergeCell ref="B11:B16"/>
    <mergeCell ref="K29:L30"/>
  </mergeCells>
  <dataValidations count="1">
    <dataValidation type="list" allowBlank="1" showErrorMessage="1" sqref="E3 E4 E9 E14 E5:E8 E10:E13 E15:E39">
      <formula1>"1.启动,2.需求待确认,3.需求已确认,4.开发中,5.开发完成,6.通知验收,7.已验收,8.运行跟踪,9.运行通过"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热浪2022年12月结算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懒骨头</cp:lastModifiedBy>
  <dcterms:created xsi:type="dcterms:W3CDTF">2022-12-30T22:45:00Z</dcterms:created>
  <dcterms:modified xsi:type="dcterms:W3CDTF">2023-01-13T10:57:43Z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DF41402EFE5A4B09B84CF2A9DEAED441</vt:lpwstr>
  </property>
  <property fmtid="{D5CDD505-2E9C-101B-9397-08002B2CF9AE}" pid="3" name="KSOProductBuildVer">
    <vt:lpwstr>2052-5.1.0.7657</vt:lpwstr>
  </property>
</Properties>
</file>