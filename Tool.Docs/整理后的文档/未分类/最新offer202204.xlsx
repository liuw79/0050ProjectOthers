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favg1\Desktop\"/>
    </mc:Choice>
  </mc:AlternateContent>
  <xr:revisionPtr revIDLastSave="0" documentId="13_ncr:1_{4D3BB58A-8BF9-4C1B-AE72-F26FE9E2EB0E}" xr6:coauthVersionLast="47" xr6:coauthVersionMax="47" xr10:uidLastSave="{00000000-0000-0000-0000-000000000000}"/>
  <bookViews>
    <workbookView xWindow="-120" yWindow="-120" windowWidth="25440" windowHeight="15390" activeTab="2" xr2:uid="{00000000-000D-0000-FFFF-FFFF00000000}"/>
  </bookViews>
  <sheets>
    <sheet name="企业版" sheetId="1" r:id="rId1"/>
    <sheet name="商业版" sheetId="4" r:id="rId2"/>
    <sheet name="腾讯会议Rooms硬件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4" l="1"/>
  <c r="E7" i="4"/>
  <c r="E6" i="4"/>
  <c r="E5" i="4"/>
  <c r="E4" i="4"/>
  <c r="E3" i="4"/>
  <c r="F11" i="2" l="1"/>
  <c r="F10" i="2"/>
  <c r="F9" i="2"/>
  <c r="F8" i="2"/>
  <c r="F7" i="2"/>
  <c r="F6" i="2"/>
  <c r="F5" i="2"/>
  <c r="F4" i="2"/>
  <c r="F3" i="2"/>
  <c r="F12" i="2" s="1"/>
  <c r="F11" i="1"/>
  <c r="F10" i="1"/>
  <c r="F9" i="1"/>
  <c r="F8" i="1"/>
  <c r="F7" i="1"/>
  <c r="F6" i="1"/>
  <c r="F12" i="1" s="1"/>
  <c r="F5" i="1"/>
  <c r="F4" i="1"/>
  <c r="F3" i="1"/>
</calcChain>
</file>

<file path=xl/sharedStrings.xml><?xml version="1.0" encoding="utf-8"?>
<sst xmlns="http://schemas.openxmlformats.org/spreadsheetml/2006/main" count="87" uniqueCount="70">
  <si>
    <t>腾讯会议【企业版SAAS版】【按年付费】</t>
  </si>
  <si>
    <t>产品名称</t>
  </si>
  <si>
    <t>含税刊例价
（元/个/年）</t>
  </si>
  <si>
    <t>税率</t>
  </si>
  <si>
    <t>数量</t>
  </si>
  <si>
    <t>含税小计（元/年）</t>
  </si>
  <si>
    <t>选择项</t>
  </si>
  <si>
    <t>备注说明</t>
  </si>
  <si>
    <t>基础服务</t>
  </si>
  <si>
    <t>企业用户数</t>
  </si>
  <si>
    <t>必选</t>
  </si>
  <si>
    <t>企业用户数即企业的员工数。对接企业通讯录后，可实现 SSO 单点登录，每个员工具备发起会议的权限。举例说明：如企业有1万名员工，全部员工需要实现发起会议，则需要购买10000个企业用户数。</t>
  </si>
  <si>
    <t>50方虚拟会议室</t>
  </si>
  <si>
    <t>前提：对接企业通讯录，实现 SSO 单点登录，并购买了企业用户数。
虚拟会议室数：例如企业购买20个虚拟会议室，该企业员工均可以发起会议，共享20个虚拟会议室，即同时最多能召开20个会议，每个会议最多50个人与会。</t>
  </si>
  <si>
    <t>100方虚拟会议室</t>
  </si>
  <si>
    <t>前提：对接企业通讯录，实现 SSO 单点登录，并购买了企业用户数。
虚拟会议室数：例如企业购买20个虚拟会议室，该企业员工均可以发起会议，共享20个虚拟会议室，即同时最多能召开20个会议，每个会议最多100个人与会。</t>
  </si>
  <si>
    <t>300方虚拟会议室</t>
  </si>
  <si>
    <t xml:space="preserve">拓展服务 </t>
  </si>
  <si>
    <t>500方虚拟会议室</t>
  </si>
  <si>
    <t>可选</t>
  </si>
  <si>
    <t>超大虚拟会议室，支持最多500个人与会。</t>
  </si>
  <si>
    <t>1000方虚拟会议室</t>
  </si>
  <si>
    <t>超大虚拟会议室，支持最多1000个人与会。</t>
  </si>
  <si>
    <t>2000方虚拟会议室</t>
  </si>
  <si>
    <t>超大虚拟会议室，支持最多2000个人与会。</t>
  </si>
  <si>
    <t>会议室连接器</t>
  </si>
  <si>
    <t>腾讯会议会议室连接器，实现腾讯会议和传统硬件视频会议终端的互联互通，连接1个硬件视频会议终端，需要购买1个会议室连接器。例如该企业有100个传统硬件视频会议终端，购买10个会议室连接器，即可以同时连接其中的任意10个硬件视频会议终端入会。</t>
  </si>
  <si>
    <t>Rooms账号</t>
  </si>
  <si>
    <t>一个Rooms账号可在一台智能大屏上使用。Rooms账号发起的会议方数为企业默认方数。例如企业购买10个500方虚拟会议室，1个Rooms软件。则可在1台Windows触摸屏上安装Rooms软件，最大可发起会议的方数为500方。</t>
  </si>
  <si>
    <t>总计（含税）</t>
  </si>
  <si>
    <t>腾讯会议Rooms硬件（A2）</t>
  </si>
  <si>
    <t>硬件品牌</t>
  </si>
  <si>
    <t>含税刊例价
（元/台）</t>
  </si>
  <si>
    <t>含税小计（元/台）</t>
  </si>
  <si>
    <t xml:space="preserve">
newline 触摸屏
newline 移动支架（选配）</t>
  </si>
  <si>
    <t>腾讯会议 Rooms（TC65）</t>
  </si>
  <si>
    <t>•newline 65寸大屏，All in One一体化设计，适合2-7人小型会晤场景
•4K高清显示，红外触控，内置120°超广角摄像头，支持电子变焦，8路麦克风阵列，腾讯天籁模组，2.0声道高保真立体声喇叭
•静音指示灯和摄像头隐私盖板
•高性能专用OPS
•含HDMI IN等接口
•具备视频会议（腾讯会议）、投屏、电子白板功能
•2年硬件维保，含2年50方腾讯会议Rooms软件许可
•附件：壁挂支架1件，规格说明1份，配件清单1份，使用指南1份，磁吸笔1支，遥控器1个</t>
  </si>
  <si>
    <t>腾讯会议Rooms（TC86）</t>
  </si>
  <si>
    <t>•newline 86寸大屏，All in One一体化设计，适合2-7人小型会晤场景
•4K高清显示，红外触控，内置120°超广角摄像头，支持电子变焦，8路麦克风阵列，腾讯天籁模组，2.0声道高保真立体声喇叭
•静音指示灯和摄像头隐私盖板
•高性能专用OPS
•含HDMI IN等接口
•具备视频会议（腾讯会议）、投屏、电子白板功能
•2年硬件维保，含2年50方腾讯会议Rooms软件许可
•附件：壁挂支架1件，规格说明1份，配件清单1份，使用指南1份，磁吸笔1支，遥控器1个</t>
  </si>
  <si>
    <t>TC65 移动支架</t>
  </si>
  <si>
    <t>选配，newline移动支架，适配65寸大屏</t>
  </si>
  <si>
    <t>TC86 移动支架</t>
  </si>
  <si>
    <t>选配，newline移动支架，适配86寸大屏</t>
  </si>
  <si>
    <t xml:space="preserve">
MAXHUB触摸屏
MAXHUB移动支架（选配）</t>
  </si>
  <si>
    <t>腾讯会议Rooms（CC55CT）</t>
  </si>
  <si>
    <t>•maxhub 55寸大屏，All in One一体化设计，适合2-7人中型会议场景
•4K高清显示，红外触控，内置1200W高清摄像头、六阵列麦克风、2.1声道高品质扬声器
•intel 八核心 i7处理器、16G内存、128G SSD高性能OPS
•前置全功能type-c接口，含HDMI IN、TOUCH等接口
•具备视频会议（腾讯会议）、投屏、电子白板功能
•2年硬件维保，含2年50方腾讯会议Rooms软件许可
•附件：壁挂支架1件，电源线1根，使用指南1份，书写笔1支</t>
  </si>
  <si>
    <t>腾讯会议Rooms（CC65CT）</t>
  </si>
  <si>
    <t>•maxhub 65寸大屏，All in One一体化设计，适合2-7人中型会议场景
•4K高清显示，红外触控，内置1200W高清摄像头、六阵列麦克风、2.1声道高品质扬声器
•intel 八核心 i7处理器、16G内存、128G SSD高性能OPS
•前置全功能type-c接口，含HDMI IN、TOUCH等接口
•具备视频会议（腾讯会议）、投屏、电子白板功能
•2年硬件维保，含2年50方腾讯会议Rooms软件许可
•附件：壁挂支架1件，电源线1根，使用指南1份，书写笔1支</t>
  </si>
  <si>
    <t>腾讯会议Rooms（CC75CT）</t>
  </si>
  <si>
    <t>•maxhub 75寸大屏，All in One一体化设计，适合2-7人中型会议场景
•4K高清显示，红外触控，内置1200W高清摄像头、六阵列麦克风、2.1声道高品质扬声器
•intel 八核心 i7处理器、16G内存、128G SSD高性能OPS
•前置全功能type-c接口，含HDMI IN、TOUCH等接口
•具备视频会议（腾讯会议）、投屏、电子白板功能
•2年硬件维保，含2年50方腾讯会议Rooms软件许可
•附件：壁挂支架1件，电源线1根，使用指南1份，书写笔1支</t>
  </si>
  <si>
    <t>腾讯会议Rooms（CC86CT）</t>
  </si>
  <si>
    <t>•maxhub 86寸大屏，All in One一体化设计，适合2-7人中型会议场景
•4K高清显示，红外触控，内置1200W高清摄像头、六阵列麦克风、2.1声道高品质扬声器
•intel 八核心 i7处理器、16G内存、128G SSD高性能OPS
•前置全功能type-c接口，含HDMI IN、TOUCH等接口
•具备视频会议（腾讯会议）、投屏、电子白板功能
•2年硬件维保，含2年50方腾讯会议Rooms软件许可
•附件：壁挂支架1件，电源线1根，使用指南1份，书写笔1支</t>
  </si>
  <si>
    <t>CC55/65/75/86CT 移动支架</t>
  </si>
  <si>
    <t>选配，MAXHUB移动支架，适配55/65/75/86寸</t>
  </si>
  <si>
    <t>描述</t>
  </si>
  <si>
    <t>刊例价（元/年）</t>
  </si>
  <si>
    <t>小计（元/年）</t>
  </si>
  <si>
    <t>500方虚拟会议室</t>
    <phoneticPr fontId="9" type="noConversion"/>
  </si>
  <si>
    <t>1000方</t>
    <phoneticPr fontId="9" type="noConversion"/>
  </si>
  <si>
    <t>1000方虚拟会议室</t>
    <phoneticPr fontId="9" type="noConversion"/>
  </si>
  <si>
    <t>2000方</t>
    <phoneticPr fontId="9" type="noConversion"/>
  </si>
  <si>
    <t>2000方虚拟会议室</t>
    <phoneticPr fontId="9" type="noConversion"/>
  </si>
  <si>
    <t>腾讯会议 Rooms账号数</t>
  </si>
  <si>
    <t>商业版</t>
    <phoneticPr fontId="9" type="noConversion"/>
  </si>
  <si>
    <t>腾讯会议 Rooms账号数（含50方许可）</t>
    <phoneticPr fontId="9" type="noConversion"/>
  </si>
  <si>
    <t>必选，
三选一，10个起售</t>
    <phoneticPr fontId="9" type="noConversion"/>
  </si>
  <si>
    <t>中邮消金</t>
    <phoneticPr fontId="9" type="noConversion"/>
  </si>
  <si>
    <t>广州总部2个老总办公室，广州本地有7个会议室</t>
    <phoneticPr fontId="9" type="noConversion"/>
  </si>
  <si>
    <t>1000人</t>
    <phoneticPr fontId="9" type="noConversion"/>
  </si>
  <si>
    <t>1000个用户数+10个100方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</si>
</sst>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等线"/>
    </font>
    <font>
      <sz val="11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4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74675</xdr:colOff>
      <xdr:row>2</xdr:row>
      <xdr:rowOff>74761</xdr:rowOff>
    </xdr:from>
    <xdr:to>
      <xdr:col>0</xdr:col>
      <xdr:colOff>2711311</xdr:colOff>
      <xdr:row>3</xdr:row>
      <xdr:rowOff>135929</xdr:rowOff>
    </xdr:to>
    <xdr:pic>
      <xdr:nvPicPr>
        <xdr:cNvPr id="2" name="图片 3" descr="1-1a1b094aa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9017" r="8081"/>
        <a:stretch>
          <a:fillRect/>
        </a:stretch>
      </xdr:blipFill>
      <xdr:spPr>
        <a:xfrm>
          <a:off x="76200" y="699770"/>
          <a:ext cx="2637790" cy="181038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74675</xdr:colOff>
      <xdr:row>6</xdr:row>
      <xdr:rowOff>541436</xdr:rowOff>
    </xdr:from>
    <xdr:to>
      <xdr:col>0</xdr:col>
      <xdr:colOff>2696951</xdr:colOff>
      <xdr:row>7</xdr:row>
      <xdr:rowOff>897086</xdr:rowOff>
    </xdr:to>
    <xdr:pic>
      <xdr:nvPicPr>
        <xdr:cNvPr id="3" name="图片 2" descr="7-b7b94a849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6182" r="6725"/>
        <a:stretch>
          <a:fillRect/>
        </a:stretch>
      </xdr:blipFill>
      <xdr:spPr>
        <a:xfrm>
          <a:off x="76835" y="5937885"/>
          <a:ext cx="2621915" cy="171005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802390</xdr:colOff>
      <xdr:row>3</xdr:row>
      <xdr:rowOff>523138</xdr:rowOff>
    </xdr:from>
    <xdr:to>
      <xdr:col>0</xdr:col>
      <xdr:colOff>1755321</xdr:colOff>
      <xdr:row>3</xdr:row>
      <xdr:rowOff>2007054</xdr:rowOff>
    </xdr:to>
    <xdr:pic>
      <xdr:nvPicPr>
        <xdr:cNvPr id="4" name="图片 5" descr="7-b7b94a849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02390" y="3292192"/>
          <a:ext cx="952931" cy="14839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603151</xdr:colOff>
      <xdr:row>7</xdr:row>
      <xdr:rowOff>1279277</xdr:rowOff>
    </xdr:from>
    <xdr:to>
      <xdr:col>0</xdr:col>
      <xdr:colOff>2584937</xdr:colOff>
      <xdr:row>9</xdr:row>
      <xdr:rowOff>913010</xdr:rowOff>
    </xdr:to>
    <xdr:pic>
      <xdr:nvPicPr>
        <xdr:cNvPr id="5" name="图片 7" descr="7-b7b94a849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05790" y="8032750"/>
          <a:ext cx="1979930" cy="2353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opLeftCell="B1" zoomScale="70" workbookViewId="0">
      <selection activeCell="I4" sqref="I4"/>
    </sheetView>
  </sheetViews>
  <sheetFormatPr defaultColWidth="8.875" defaultRowHeight="16.5" x14ac:dyDescent="0.2"/>
  <cols>
    <col min="1" max="1" width="16.5" style="1" customWidth="1"/>
    <col min="2" max="2" width="22.625" style="1" customWidth="1"/>
    <col min="3" max="3" width="20.375" style="1" customWidth="1"/>
    <col min="4" max="4" width="16.375" style="1" customWidth="1"/>
    <col min="5" max="5" width="7" style="1" customWidth="1"/>
    <col min="6" max="6" width="21.875" style="1" customWidth="1"/>
    <col min="7" max="7" width="14.125" style="1" customWidth="1"/>
    <col min="8" max="8" width="63.375" style="1" customWidth="1"/>
    <col min="9" max="11" width="8.875" style="1"/>
    <col min="12" max="12" width="18.5" style="1" customWidth="1"/>
    <col min="13" max="16384" width="8.875" style="1"/>
  </cols>
  <sheetData>
    <row r="1" spans="1:13" ht="21" x14ac:dyDescent="0.2">
      <c r="A1" s="26" t="s">
        <v>0</v>
      </c>
      <c r="B1" s="26"/>
      <c r="C1" s="26"/>
      <c r="D1" s="26"/>
      <c r="E1" s="26"/>
      <c r="F1" s="26"/>
      <c r="G1" s="26"/>
      <c r="H1" s="26"/>
    </row>
    <row r="2" spans="1:13" s="2" customFormat="1" ht="36" x14ac:dyDescent="0.2">
      <c r="A2" s="3"/>
      <c r="B2" s="3" t="s">
        <v>1</v>
      </c>
      <c r="C2" s="4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</row>
    <row r="3" spans="1:13" ht="51.75" x14ac:dyDescent="0.2">
      <c r="A3" s="27" t="s">
        <v>8</v>
      </c>
      <c r="B3" s="5" t="s">
        <v>9</v>
      </c>
      <c r="C3" s="6">
        <v>25</v>
      </c>
      <c r="D3" s="7">
        <v>0.06</v>
      </c>
      <c r="E3" s="6">
        <v>1000</v>
      </c>
      <c r="F3" s="6">
        <f t="shared" ref="F3:F11" si="0">C3*E3</f>
        <v>25000</v>
      </c>
      <c r="G3" s="6" t="s">
        <v>10</v>
      </c>
      <c r="H3" s="8" t="s">
        <v>11</v>
      </c>
      <c r="K3" s="1" t="s">
        <v>66</v>
      </c>
      <c r="L3" s="25" t="s">
        <v>67</v>
      </c>
      <c r="M3" s="1" t="s">
        <v>68</v>
      </c>
    </row>
    <row r="4" spans="1:13" ht="69" x14ac:dyDescent="0.2">
      <c r="A4" s="27"/>
      <c r="B4" s="5" t="s">
        <v>12</v>
      </c>
      <c r="C4" s="6">
        <v>4788</v>
      </c>
      <c r="D4" s="7">
        <v>0.06</v>
      </c>
      <c r="E4" s="6">
        <v>10</v>
      </c>
      <c r="F4" s="6">
        <f t="shared" si="0"/>
        <v>47880</v>
      </c>
      <c r="G4" s="28" t="s">
        <v>65</v>
      </c>
      <c r="H4" s="8" t="s">
        <v>13</v>
      </c>
      <c r="K4" s="1" t="s">
        <v>69</v>
      </c>
    </row>
    <row r="5" spans="1:13" ht="69" x14ac:dyDescent="0.2">
      <c r="A5" s="27"/>
      <c r="B5" s="6" t="s">
        <v>14</v>
      </c>
      <c r="C5" s="6">
        <v>5988</v>
      </c>
      <c r="D5" s="7">
        <v>0.06</v>
      </c>
      <c r="E5" s="6">
        <v>10</v>
      </c>
      <c r="F5" s="6">
        <f t="shared" si="0"/>
        <v>59880</v>
      </c>
      <c r="G5" s="29"/>
      <c r="H5" s="8" t="s">
        <v>15</v>
      </c>
    </row>
    <row r="6" spans="1:13" ht="69" x14ac:dyDescent="0.2">
      <c r="A6" s="27"/>
      <c r="B6" s="6" t="s">
        <v>16</v>
      </c>
      <c r="C6" s="6">
        <v>7188</v>
      </c>
      <c r="D6" s="7">
        <v>0.06</v>
      </c>
      <c r="E6" s="6">
        <v>0</v>
      </c>
      <c r="F6" s="6">
        <f t="shared" si="0"/>
        <v>0</v>
      </c>
      <c r="G6" s="29"/>
      <c r="H6" s="8" t="s">
        <v>13</v>
      </c>
    </row>
    <row r="7" spans="1:13" ht="17.25" x14ac:dyDescent="0.2">
      <c r="A7" s="27" t="s">
        <v>17</v>
      </c>
      <c r="B7" s="6" t="s">
        <v>18</v>
      </c>
      <c r="C7" s="6">
        <v>9888</v>
      </c>
      <c r="D7" s="7">
        <v>0.06</v>
      </c>
      <c r="E7" s="6">
        <v>1</v>
      </c>
      <c r="F7" s="6">
        <f t="shared" si="0"/>
        <v>9888</v>
      </c>
      <c r="G7" s="6" t="s">
        <v>19</v>
      </c>
      <c r="H7" s="8" t="s">
        <v>20</v>
      </c>
    </row>
    <row r="8" spans="1:13" ht="17.25" x14ac:dyDescent="0.2">
      <c r="A8" s="27"/>
      <c r="B8" s="6" t="s">
        <v>21</v>
      </c>
      <c r="C8" s="6">
        <v>15888</v>
      </c>
      <c r="D8" s="7">
        <v>0.06</v>
      </c>
      <c r="E8" s="6">
        <v>1</v>
      </c>
      <c r="F8" s="6">
        <f t="shared" si="0"/>
        <v>15888</v>
      </c>
      <c r="G8" s="6" t="s">
        <v>19</v>
      </c>
      <c r="H8" s="8" t="s">
        <v>22</v>
      </c>
    </row>
    <row r="9" spans="1:13" ht="17.25" x14ac:dyDescent="0.2">
      <c r="A9" s="27"/>
      <c r="B9" s="6" t="s">
        <v>23</v>
      </c>
      <c r="C9" s="6">
        <v>25888</v>
      </c>
      <c r="D9" s="7">
        <v>0.06</v>
      </c>
      <c r="E9" s="6">
        <v>1</v>
      </c>
      <c r="F9" s="6">
        <f t="shared" si="0"/>
        <v>25888</v>
      </c>
      <c r="G9" s="6" t="s">
        <v>19</v>
      </c>
      <c r="H9" s="8" t="s">
        <v>24</v>
      </c>
    </row>
    <row r="10" spans="1:13" ht="69" x14ac:dyDescent="0.2">
      <c r="A10" s="27"/>
      <c r="B10" s="5" t="s">
        <v>25</v>
      </c>
      <c r="C10" s="6">
        <v>7500</v>
      </c>
      <c r="D10" s="7">
        <v>0.06</v>
      </c>
      <c r="E10" s="6">
        <v>10</v>
      </c>
      <c r="F10" s="6">
        <f t="shared" si="0"/>
        <v>75000</v>
      </c>
      <c r="G10" s="6" t="s">
        <v>19</v>
      </c>
      <c r="H10" s="8" t="s">
        <v>26</v>
      </c>
    </row>
    <row r="11" spans="1:13" ht="69" x14ac:dyDescent="0.2">
      <c r="A11" s="27"/>
      <c r="B11" s="5" t="s">
        <v>27</v>
      </c>
      <c r="C11" s="6">
        <v>1200</v>
      </c>
      <c r="D11" s="7">
        <v>0.06</v>
      </c>
      <c r="E11" s="6">
        <v>100</v>
      </c>
      <c r="F11" s="6">
        <f t="shared" si="0"/>
        <v>120000</v>
      </c>
      <c r="G11" s="6" t="s">
        <v>19</v>
      </c>
      <c r="H11" s="8" t="s">
        <v>28</v>
      </c>
    </row>
    <row r="12" spans="1:13" ht="21" x14ac:dyDescent="0.2">
      <c r="A12" s="30" t="s">
        <v>29</v>
      </c>
      <c r="B12" s="30"/>
      <c r="C12" s="30"/>
      <c r="D12" s="30"/>
      <c r="E12" s="30"/>
      <c r="F12" s="9">
        <f>SUM(F3:F11)</f>
        <v>379424</v>
      </c>
      <c r="G12" s="31"/>
      <c r="H12" s="32"/>
    </row>
  </sheetData>
  <mergeCells count="6">
    <mergeCell ref="A1:H1"/>
    <mergeCell ref="A3:A6"/>
    <mergeCell ref="G4:G6"/>
    <mergeCell ref="A12:E12"/>
    <mergeCell ref="G12:H12"/>
    <mergeCell ref="A7:A11"/>
  </mergeCells>
  <phoneticPr fontId="9" type="noConversion"/>
  <pageMargins left="0.69930555555555596" right="0.69930555555555596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4C48-DBD2-4FBB-B118-E3977C1577A6}">
  <dimension ref="A1:E8"/>
  <sheetViews>
    <sheetView zoomScale="80" zoomScaleNormal="80" workbookViewId="0">
      <selection activeCell="A13" sqref="A13"/>
    </sheetView>
  </sheetViews>
  <sheetFormatPr defaultRowHeight="14.25" x14ac:dyDescent="0.2"/>
  <cols>
    <col min="1" max="1" width="26.25" style="24" bestFit="1" customWidth="1"/>
    <col min="2" max="2" width="26.25" bestFit="1" customWidth="1"/>
    <col min="3" max="3" width="11.25" customWidth="1"/>
    <col min="5" max="5" width="12.625" customWidth="1"/>
  </cols>
  <sheetData>
    <row r="1" spans="1:5" ht="21" x14ac:dyDescent="0.2">
      <c r="A1" s="33" t="s">
        <v>63</v>
      </c>
      <c r="B1" s="33"/>
      <c r="C1" s="33"/>
      <c r="D1" s="33"/>
      <c r="E1" s="33"/>
    </row>
    <row r="2" spans="1:5" ht="36" x14ac:dyDescent="0.2">
      <c r="A2" s="22" t="s">
        <v>1</v>
      </c>
      <c r="B2" s="21" t="s">
        <v>54</v>
      </c>
      <c r="C2" s="22" t="s">
        <v>55</v>
      </c>
      <c r="D2" s="21" t="s">
        <v>4</v>
      </c>
      <c r="E2" s="22" t="s">
        <v>56</v>
      </c>
    </row>
    <row r="3" spans="1:5" ht="17.25" x14ac:dyDescent="0.2">
      <c r="A3" s="19" t="s">
        <v>16</v>
      </c>
      <c r="B3" s="20" t="s">
        <v>16</v>
      </c>
      <c r="C3" s="20">
        <v>4788</v>
      </c>
      <c r="D3" s="20">
        <v>1</v>
      </c>
      <c r="E3" s="20">
        <f t="shared" ref="E3:E7" si="0">C3*D3</f>
        <v>4788</v>
      </c>
    </row>
    <row r="4" spans="1:5" ht="17.25" x14ac:dyDescent="0.2">
      <c r="A4" s="19" t="s">
        <v>57</v>
      </c>
      <c r="B4" s="20" t="s">
        <v>57</v>
      </c>
      <c r="C4" s="20">
        <v>7488</v>
      </c>
      <c r="D4" s="20">
        <v>1</v>
      </c>
      <c r="E4" s="20">
        <f t="shared" si="0"/>
        <v>7488</v>
      </c>
    </row>
    <row r="5" spans="1:5" ht="17.25" x14ac:dyDescent="0.2">
      <c r="A5" s="19" t="s">
        <v>58</v>
      </c>
      <c r="B5" s="20" t="s">
        <v>59</v>
      </c>
      <c r="C5" s="20">
        <v>13488</v>
      </c>
      <c r="D5" s="20">
        <v>1</v>
      </c>
      <c r="E5" s="20">
        <f t="shared" si="0"/>
        <v>13488</v>
      </c>
    </row>
    <row r="6" spans="1:5" ht="17.25" x14ac:dyDescent="0.2">
      <c r="A6" s="19" t="s">
        <v>60</v>
      </c>
      <c r="B6" s="20" t="s">
        <v>61</v>
      </c>
      <c r="C6" s="20">
        <v>23496</v>
      </c>
      <c r="D6" s="20">
        <v>1</v>
      </c>
      <c r="E6" s="20">
        <f t="shared" si="0"/>
        <v>23496</v>
      </c>
    </row>
    <row r="7" spans="1:5" ht="17.25" x14ac:dyDescent="0.2">
      <c r="A7" s="23" t="s">
        <v>25</v>
      </c>
      <c r="B7" s="5" t="s">
        <v>25</v>
      </c>
      <c r="C7" s="20">
        <v>7500</v>
      </c>
      <c r="D7" s="20">
        <v>1</v>
      </c>
      <c r="E7" s="20">
        <f t="shared" si="0"/>
        <v>7500</v>
      </c>
    </row>
    <row r="8" spans="1:5" ht="34.5" x14ac:dyDescent="0.2">
      <c r="A8" s="23" t="s">
        <v>64</v>
      </c>
      <c r="B8" s="5" t="s">
        <v>62</v>
      </c>
      <c r="C8" s="20">
        <v>4788</v>
      </c>
      <c r="D8" s="20">
        <v>1</v>
      </c>
      <c r="E8" s="20">
        <f>C8*D8</f>
        <v>4788</v>
      </c>
    </row>
  </sheetData>
  <mergeCells count="1">
    <mergeCell ref="A1:E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zoomScale="70" workbookViewId="0">
      <selection activeCell="L4" sqref="L4"/>
    </sheetView>
  </sheetViews>
  <sheetFormatPr defaultColWidth="8.875" defaultRowHeight="16.5" x14ac:dyDescent="0.2"/>
  <cols>
    <col min="1" max="1" width="38.875" style="1" customWidth="1"/>
    <col min="2" max="2" width="32.875" style="1" customWidth="1"/>
    <col min="3" max="3" width="13.875" style="1" customWidth="1"/>
    <col min="4" max="4" width="16.375" style="1" customWidth="1"/>
    <col min="5" max="5" width="7" style="1" customWidth="1"/>
    <col min="6" max="6" width="21.875" style="1" customWidth="1"/>
    <col min="7" max="7" width="95.625" style="1" customWidth="1"/>
    <col min="8" max="8" width="8.875" style="1" customWidth="1"/>
    <col min="9" max="16384" width="8.875" style="1"/>
  </cols>
  <sheetData>
    <row r="1" spans="1:8" ht="21" x14ac:dyDescent="0.2">
      <c r="A1" s="37" t="s">
        <v>30</v>
      </c>
      <c r="B1" s="37"/>
      <c r="C1" s="37"/>
      <c r="D1" s="37"/>
      <c r="E1" s="37"/>
      <c r="F1" s="37"/>
      <c r="G1" s="37"/>
    </row>
    <row r="2" spans="1:8" s="2" customFormat="1" ht="36" x14ac:dyDescent="0.2">
      <c r="A2" s="10" t="s">
        <v>31</v>
      </c>
      <c r="B2" s="10" t="s">
        <v>1</v>
      </c>
      <c r="C2" s="11" t="s">
        <v>32</v>
      </c>
      <c r="D2" s="10" t="s">
        <v>3</v>
      </c>
      <c r="E2" s="10" t="s">
        <v>4</v>
      </c>
      <c r="F2" s="11" t="s">
        <v>33</v>
      </c>
      <c r="G2" s="11" t="s">
        <v>7</v>
      </c>
    </row>
    <row r="3" spans="1:8" ht="163.9" customHeight="1" x14ac:dyDescent="0.2">
      <c r="A3" s="34" t="s">
        <v>34</v>
      </c>
      <c r="B3" s="12" t="s">
        <v>35</v>
      </c>
      <c r="C3" s="13">
        <v>26800</v>
      </c>
      <c r="D3" s="14">
        <v>0.13</v>
      </c>
      <c r="E3" s="13">
        <v>10</v>
      </c>
      <c r="F3" s="13">
        <f>C3*E3</f>
        <v>268000</v>
      </c>
      <c r="G3" s="15" t="s">
        <v>36</v>
      </c>
    </row>
    <row r="4" spans="1:8" ht="176.65" customHeight="1" x14ac:dyDescent="0.2">
      <c r="A4" s="35"/>
      <c r="B4" s="12" t="s">
        <v>37</v>
      </c>
      <c r="C4" s="13">
        <v>46800</v>
      </c>
      <c r="D4" s="14">
        <v>0.13</v>
      </c>
      <c r="E4" s="13">
        <v>1</v>
      </c>
      <c r="F4" s="13">
        <f>C4*E4</f>
        <v>46800</v>
      </c>
      <c r="G4" s="15" t="s">
        <v>38</v>
      </c>
    </row>
    <row r="5" spans="1:8" ht="47.1" customHeight="1" x14ac:dyDescent="0.2">
      <c r="A5" s="35"/>
      <c r="B5" s="12" t="s">
        <v>39</v>
      </c>
      <c r="C5" s="13">
        <v>1299</v>
      </c>
      <c r="D5" s="14">
        <v>0.13</v>
      </c>
      <c r="E5" s="13">
        <v>1</v>
      </c>
      <c r="F5" s="13">
        <f>C5*E5</f>
        <v>1299</v>
      </c>
      <c r="G5" s="15" t="s">
        <v>40</v>
      </c>
    </row>
    <row r="6" spans="1:8" ht="54" customHeight="1" x14ac:dyDescent="0.2">
      <c r="A6" s="36"/>
      <c r="B6" s="12" t="s">
        <v>41</v>
      </c>
      <c r="C6" s="13">
        <v>1499</v>
      </c>
      <c r="D6" s="14">
        <v>0.13</v>
      </c>
      <c r="E6" s="13">
        <v>1</v>
      </c>
      <c r="F6" s="13">
        <f>C6*E6</f>
        <v>1499</v>
      </c>
      <c r="G6" s="15" t="s">
        <v>42</v>
      </c>
    </row>
    <row r="7" spans="1:8" ht="120.75" x14ac:dyDescent="0.2">
      <c r="A7" s="34" t="s">
        <v>43</v>
      </c>
      <c r="B7" s="16" t="s">
        <v>44</v>
      </c>
      <c r="C7" s="13">
        <v>20999</v>
      </c>
      <c r="D7" s="14">
        <v>0.13</v>
      </c>
      <c r="E7" s="13">
        <v>1</v>
      </c>
      <c r="F7" s="13">
        <f>C7*E7</f>
        <v>20999</v>
      </c>
      <c r="G7" s="15" t="s">
        <v>45</v>
      </c>
    </row>
    <row r="8" spans="1:8" ht="120.75" x14ac:dyDescent="0.2">
      <c r="A8" s="35"/>
      <c r="B8" s="16" t="s">
        <v>46</v>
      </c>
      <c r="C8" s="13">
        <v>27999</v>
      </c>
      <c r="D8" s="14">
        <v>0.13</v>
      </c>
      <c r="E8" s="13">
        <v>1</v>
      </c>
      <c r="F8" s="13">
        <f>C8*E8</f>
        <v>27999</v>
      </c>
      <c r="G8" s="15" t="s">
        <v>47</v>
      </c>
    </row>
    <row r="9" spans="1:8" ht="120.75" x14ac:dyDescent="0.2">
      <c r="A9" s="35"/>
      <c r="B9" s="16" t="s">
        <v>48</v>
      </c>
      <c r="C9" s="13">
        <v>37999</v>
      </c>
      <c r="D9" s="14">
        <v>0.13</v>
      </c>
      <c r="E9" s="13">
        <v>1</v>
      </c>
      <c r="F9" s="13">
        <f>C9*E9</f>
        <v>37999</v>
      </c>
      <c r="G9" s="15" t="s">
        <v>49</v>
      </c>
      <c r="H9"/>
    </row>
    <row r="10" spans="1:8" ht="120.75" x14ac:dyDescent="0.2">
      <c r="A10" s="35"/>
      <c r="B10" s="16" t="s">
        <v>50</v>
      </c>
      <c r="C10" s="13">
        <v>56999</v>
      </c>
      <c r="D10" s="14">
        <v>0.13</v>
      </c>
      <c r="E10" s="13">
        <v>1</v>
      </c>
      <c r="F10" s="13">
        <f>C10*E10</f>
        <v>56999</v>
      </c>
      <c r="G10" s="15" t="s">
        <v>51</v>
      </c>
      <c r="H10"/>
    </row>
    <row r="11" spans="1:8" ht="17.25" x14ac:dyDescent="0.2">
      <c r="A11" s="36"/>
      <c r="B11" s="12" t="s">
        <v>52</v>
      </c>
      <c r="C11" s="13">
        <v>1399</v>
      </c>
      <c r="D11" s="14">
        <v>0.13</v>
      </c>
      <c r="E11" s="13">
        <v>1</v>
      </c>
      <c r="F11" s="13">
        <f>C11*E11</f>
        <v>1399</v>
      </c>
      <c r="G11" s="15" t="s">
        <v>53</v>
      </c>
    </row>
    <row r="12" spans="1:8" ht="21" x14ac:dyDescent="0.2">
      <c r="A12" s="38" t="s">
        <v>29</v>
      </c>
      <c r="B12" s="38"/>
      <c r="C12" s="38"/>
      <c r="D12" s="38"/>
      <c r="E12" s="38"/>
      <c r="F12" s="17">
        <f>SUM(F3:F11)</f>
        <v>462993</v>
      </c>
      <c r="G12" s="18"/>
    </row>
  </sheetData>
  <mergeCells count="4">
    <mergeCell ref="A3:A6"/>
    <mergeCell ref="A1:G1"/>
    <mergeCell ref="A7:A11"/>
    <mergeCell ref="A12:E12"/>
  </mergeCells>
  <phoneticPr fontId="9" type="noConversion"/>
  <pageMargins left="0.69930555555555596" right="0.69930555555555596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企业版</vt:lpstr>
      <vt:lpstr>商业版</vt:lpstr>
      <vt:lpstr>腾讯会议Rooms硬件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mandyqian(钱敏)</dc:creator>
  <cp:lastModifiedBy>方子峤</cp:lastModifiedBy>
  <dcterms:created xsi:type="dcterms:W3CDTF">2020-02-15T02:23:00Z</dcterms:created>
  <dcterms:modified xsi:type="dcterms:W3CDTF">2022-04-13T13:13:19Z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2052-3.4.1.5291</vt:lpwstr>
  </property>
</Properties>
</file>