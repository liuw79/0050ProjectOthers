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580" windowHeight="22280" activeTab="2"/>
  </bookViews>
  <sheets>
    <sheet name="公开课" sheetId="1" r:id="rId1"/>
    <sheet name="企业服务" sheetId="2" r:id="rId2"/>
    <sheet name="接触人统计" sheetId="3" r:id="rId3"/>
  </sheets>
  <calcPr calcId="144525"/>
</workbook>
</file>

<file path=xl/sharedStrings.xml><?xml version="1.0" encoding="utf-8"?>
<sst xmlns="http://schemas.openxmlformats.org/spreadsheetml/2006/main" count="37">
  <si>
    <t>年份</t>
  </si>
  <si>
    <t>公开课消费总额</t>
  </si>
  <si>
    <t>开课城市</t>
  </si>
  <si>
    <t>北京</t>
  </si>
  <si>
    <t>东莞</t>
  </si>
  <si>
    <t>广州</t>
  </si>
  <si>
    <t>上海</t>
  </si>
  <si>
    <t>深圳</t>
  </si>
  <si>
    <t>厦门</t>
  </si>
  <si>
    <t>杭州</t>
  </si>
  <si>
    <t>武夷山</t>
  </si>
  <si>
    <t>成都</t>
  </si>
  <si>
    <t>南京</t>
  </si>
  <si>
    <t>长沙</t>
  </si>
  <si>
    <t>广州21比19年</t>
  </si>
  <si>
    <t>上海21比19增长</t>
  </si>
  <si>
    <t>深圳21比19增长</t>
  </si>
  <si>
    <t>西安</t>
  </si>
  <si>
    <t xml:space="preserve"> 消费总额</t>
  </si>
  <si>
    <t>消费总额</t>
  </si>
  <si>
    <t>线上</t>
  </si>
  <si>
    <t>远程内训</t>
  </si>
  <si>
    <t>远程授课</t>
  </si>
  <si>
    <t>重庆</t>
  </si>
  <si>
    <t>接触人</t>
  </si>
  <si>
    <t>林慧余</t>
  </si>
  <si>
    <t>任杰欣</t>
  </si>
  <si>
    <t>吴国晶</t>
  </si>
  <si>
    <t>伍悦</t>
  </si>
  <si>
    <t>肖晓</t>
  </si>
  <si>
    <t>杨丽娇</t>
  </si>
  <si>
    <t>张可馨</t>
  </si>
  <si>
    <t>刘丽君</t>
  </si>
  <si>
    <t>增长率</t>
  </si>
  <si>
    <t>许雯祯|高维学堂</t>
  </si>
  <si>
    <t>刘晓烔</t>
  </si>
  <si>
    <t>徐伟丽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</si>
</sst>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19" borderId="8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F61"/>
  <sheetViews>
    <sheetView workbookViewId="0">
      <selection activeCell="F44" sqref="F44"/>
    </sheetView>
  </sheetViews>
  <sheetFormatPr defaultColWidth="9" defaultRowHeight="16.8" outlineLevelCol="5"/>
  <cols>
    <col min="2" max="2" width="15" customWidth="1"/>
    <col min="3" max="3" width="16" customWidth="1"/>
    <col min="5" max="5" width="19.0673076923077" customWidth="1"/>
    <col min="6" max="6" width="14.0769230769231"/>
  </cols>
  <sheetData>
    <row r="2" spans="1:2">
      <c r="A2" s="1" t="s">
        <v>0</v>
      </c>
      <c r="B2" s="1" t="s">
        <v>1</v>
      </c>
    </row>
    <row r="3" spans="1:2">
      <c r="A3" s="2">
        <v>2015</v>
      </c>
      <c r="B3" s="2">
        <v>2962798.16</v>
      </c>
    </row>
    <row r="4" spans="1:2">
      <c r="A4" s="2">
        <v>2016</v>
      </c>
      <c r="B4" s="2">
        <v>6885655</v>
      </c>
    </row>
    <row r="5" spans="1:2">
      <c r="A5" s="2">
        <v>2017</v>
      </c>
      <c r="B5" s="2">
        <v>16870538</v>
      </c>
    </row>
    <row r="6" spans="1:2">
      <c r="A6" s="2">
        <v>2018</v>
      </c>
      <c r="B6" s="2">
        <v>28317908.44</v>
      </c>
    </row>
    <row r="7" spans="1:2">
      <c r="A7" s="2">
        <v>2019</v>
      </c>
      <c r="B7" s="2">
        <v>42791950.55</v>
      </c>
    </row>
    <row r="8" spans="1:2">
      <c r="A8" s="2">
        <v>2020</v>
      </c>
      <c r="B8" s="2">
        <v>27873131.5</v>
      </c>
    </row>
    <row r="9" spans="1:2">
      <c r="A9" s="2">
        <v>2021</v>
      </c>
      <c r="B9" s="2">
        <v>50797331.21</v>
      </c>
    </row>
    <row r="16" spans="1:3">
      <c r="A16" s="1" t="s">
        <v>0</v>
      </c>
      <c r="B16" s="1" t="s">
        <v>2</v>
      </c>
      <c r="C16" s="1" t="s">
        <v>1</v>
      </c>
    </row>
    <row r="17" spans="1:3">
      <c r="A17" s="2">
        <v>2017</v>
      </c>
      <c r="B17" s="2" t="s">
        <v>3</v>
      </c>
      <c r="C17" s="2">
        <v>2393084</v>
      </c>
    </row>
    <row r="18" spans="1:3">
      <c r="A18" s="2">
        <v>2017</v>
      </c>
      <c r="B18" s="2" t="s">
        <v>4</v>
      </c>
      <c r="C18" s="2">
        <v>72028</v>
      </c>
    </row>
    <row r="19" spans="1:3">
      <c r="A19" s="2">
        <v>2017</v>
      </c>
      <c r="B19" s="2" t="s">
        <v>5</v>
      </c>
      <c r="C19" s="2">
        <v>3370904</v>
      </c>
    </row>
    <row r="20" spans="1:3">
      <c r="A20" s="2">
        <v>2017</v>
      </c>
      <c r="B20" s="2" t="s">
        <v>6</v>
      </c>
      <c r="C20" s="2">
        <v>2361681</v>
      </c>
    </row>
    <row r="21" spans="1:3">
      <c r="A21" s="2">
        <v>2017</v>
      </c>
      <c r="B21" s="2" t="s">
        <v>7</v>
      </c>
      <c r="C21" s="2">
        <v>7184837</v>
      </c>
    </row>
    <row r="22" spans="1:3">
      <c r="A22" s="2">
        <v>2017</v>
      </c>
      <c r="B22" s="2" t="s">
        <v>8</v>
      </c>
      <c r="C22" s="2">
        <v>1488004</v>
      </c>
    </row>
    <row r="23" spans="1:3">
      <c r="A23" s="2">
        <v>2018</v>
      </c>
      <c r="B23" s="2" t="s">
        <v>3</v>
      </c>
      <c r="C23" s="2">
        <v>3243542</v>
      </c>
    </row>
    <row r="24" spans="1:3">
      <c r="A24" s="2">
        <v>2018</v>
      </c>
      <c r="B24" s="2" t="s">
        <v>5</v>
      </c>
      <c r="C24" s="2">
        <v>5022807</v>
      </c>
    </row>
    <row r="25" spans="1:3">
      <c r="A25" s="2">
        <v>2018</v>
      </c>
      <c r="B25" s="2" t="s">
        <v>9</v>
      </c>
      <c r="C25" s="2">
        <v>202126</v>
      </c>
    </row>
    <row r="26" spans="1:3">
      <c r="A26" s="2">
        <v>2018</v>
      </c>
      <c r="B26" s="2" t="s">
        <v>6</v>
      </c>
      <c r="C26" s="2">
        <v>6539085</v>
      </c>
    </row>
    <row r="27" spans="1:3">
      <c r="A27" s="2">
        <v>2018</v>
      </c>
      <c r="B27" s="2" t="s">
        <v>7</v>
      </c>
      <c r="C27" s="2">
        <v>9663263.44</v>
      </c>
    </row>
    <row r="28" spans="1:3">
      <c r="A28" s="2">
        <v>2018</v>
      </c>
      <c r="B28" s="2" t="s">
        <v>10</v>
      </c>
      <c r="C28" s="2">
        <v>591720</v>
      </c>
    </row>
    <row r="29" spans="1:3">
      <c r="A29" s="2">
        <v>2018</v>
      </c>
      <c r="B29" s="2" t="s">
        <v>8</v>
      </c>
      <c r="C29" s="2">
        <v>3055365</v>
      </c>
    </row>
    <row r="30" spans="1:3">
      <c r="A30" s="2">
        <v>2019</v>
      </c>
      <c r="B30" s="2" t="s">
        <v>3</v>
      </c>
      <c r="C30" s="2">
        <v>4884772.64</v>
      </c>
    </row>
    <row r="31" spans="1:3">
      <c r="A31" s="2">
        <v>2019</v>
      </c>
      <c r="B31" s="2" t="s">
        <v>11</v>
      </c>
      <c r="C31" s="2">
        <v>2000</v>
      </c>
    </row>
    <row r="32" spans="1:3">
      <c r="A32" s="2">
        <v>2019</v>
      </c>
      <c r="B32" s="2" t="s">
        <v>5</v>
      </c>
      <c r="C32" s="2">
        <v>6874369</v>
      </c>
    </row>
    <row r="33" spans="1:3">
      <c r="A33" s="2">
        <v>2019</v>
      </c>
      <c r="B33" s="2" t="s">
        <v>9</v>
      </c>
      <c r="C33" s="2">
        <v>2665307.7</v>
      </c>
    </row>
    <row r="34" spans="1:3">
      <c r="A34" s="2">
        <v>2019</v>
      </c>
      <c r="B34" s="2" t="s">
        <v>6</v>
      </c>
      <c r="C34" s="2">
        <v>11219839.66</v>
      </c>
    </row>
    <row r="35" spans="1:3">
      <c r="A35" s="2">
        <v>2019</v>
      </c>
      <c r="B35" s="2" t="s">
        <v>7</v>
      </c>
      <c r="C35" s="2">
        <v>13603255.55</v>
      </c>
    </row>
    <row r="36" spans="1:3">
      <c r="A36" s="2">
        <v>2019</v>
      </c>
      <c r="B36" s="2" t="s">
        <v>8</v>
      </c>
      <c r="C36" s="2">
        <v>3542406</v>
      </c>
    </row>
    <row r="37" spans="1:3">
      <c r="A37" s="2">
        <v>2020</v>
      </c>
      <c r="B37" s="2" t="s">
        <v>3</v>
      </c>
      <c r="C37" s="2">
        <v>904790.5</v>
      </c>
    </row>
    <row r="38" spans="1:3">
      <c r="A38" s="2">
        <v>2020</v>
      </c>
      <c r="B38" s="2" t="s">
        <v>5</v>
      </c>
      <c r="C38" s="2">
        <v>3867595.5</v>
      </c>
    </row>
    <row r="39" spans="1:3">
      <c r="A39" s="2">
        <v>2020</v>
      </c>
      <c r="B39" s="2" t="s">
        <v>9</v>
      </c>
      <c r="C39" s="2">
        <v>196500</v>
      </c>
    </row>
    <row r="40" spans="1:3">
      <c r="A40" s="2">
        <v>2020</v>
      </c>
      <c r="B40" s="2" t="s">
        <v>12</v>
      </c>
      <c r="C40" s="2">
        <v>216740</v>
      </c>
    </row>
    <row r="41" spans="1:3">
      <c r="A41" s="2">
        <v>2020</v>
      </c>
      <c r="B41" s="2" t="s">
        <v>6</v>
      </c>
      <c r="C41" s="2">
        <v>9250612.5</v>
      </c>
    </row>
    <row r="42" spans="1:3">
      <c r="A42" s="2">
        <v>2020</v>
      </c>
      <c r="B42" s="2" t="s">
        <v>7</v>
      </c>
      <c r="C42" s="2">
        <v>11592746.5</v>
      </c>
    </row>
    <row r="43" spans="1:6">
      <c r="A43" s="2">
        <v>2020</v>
      </c>
      <c r="B43" s="2" t="s">
        <v>8</v>
      </c>
      <c r="C43" s="2">
        <v>1844146.5</v>
      </c>
      <c r="F43">
        <f>(C43-C29)/C29</f>
        <v>-0.396423504229446</v>
      </c>
    </row>
    <row r="44" spans="1:6">
      <c r="A44" s="2">
        <v>2021</v>
      </c>
      <c r="B44" s="2" t="s">
        <v>3</v>
      </c>
      <c r="C44" s="2">
        <v>2624640.5</v>
      </c>
      <c r="F44">
        <f>(C44-C30)/C30</f>
        <v>-0.462689321810482</v>
      </c>
    </row>
    <row r="45" spans="1:3">
      <c r="A45" s="2">
        <v>2021</v>
      </c>
      <c r="B45" s="2" t="s">
        <v>13</v>
      </c>
      <c r="C45" s="2">
        <v>165820</v>
      </c>
    </row>
    <row r="46" spans="1:6">
      <c r="A46" s="2">
        <v>2021</v>
      </c>
      <c r="B46" s="2" t="s">
        <v>5</v>
      </c>
      <c r="C46" s="2">
        <v>4637622.01</v>
      </c>
      <c r="E46" t="s">
        <v>14</v>
      </c>
      <c r="F46">
        <f>(C46-C32)/C32</f>
        <v>-0.325374880225371</v>
      </c>
    </row>
    <row r="47" spans="1:6">
      <c r="A47" s="2">
        <v>2021</v>
      </c>
      <c r="B47" s="2" t="s">
        <v>6</v>
      </c>
      <c r="C47" s="2">
        <v>19236660.44</v>
      </c>
      <c r="E47" t="s">
        <v>15</v>
      </c>
      <c r="F47">
        <f>(C47-C34)/C34</f>
        <v>0.714521866883791</v>
      </c>
    </row>
    <row r="48" spans="1:6">
      <c r="A48" s="2">
        <v>2021</v>
      </c>
      <c r="B48" s="2" t="s">
        <v>7</v>
      </c>
      <c r="C48" s="2">
        <v>21164849.26</v>
      </c>
      <c r="E48" t="s">
        <v>16</v>
      </c>
      <c r="F48">
        <f>(C48-C35)/C35</f>
        <v>0.55586647491894</v>
      </c>
    </row>
    <row r="49" spans="1:3">
      <c r="A49" s="2">
        <v>2021</v>
      </c>
      <c r="B49" s="2" t="s">
        <v>17</v>
      </c>
      <c r="C49" s="2">
        <v>69208</v>
      </c>
    </row>
    <row r="50" spans="1:3">
      <c r="A50" s="2">
        <v>2021</v>
      </c>
      <c r="B50" s="2" t="s">
        <v>8</v>
      </c>
      <c r="C50" s="2">
        <v>2898531</v>
      </c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2"/>
  <sheetViews>
    <sheetView workbookViewId="0">
      <selection activeCell="C28" sqref="C28"/>
    </sheetView>
  </sheetViews>
  <sheetFormatPr defaultColWidth="9" defaultRowHeight="16.8" outlineLevelCol="2"/>
  <cols>
    <col min="1" max="1" width="5.375" customWidth="1"/>
    <col min="2" max="2" width="10.625" customWidth="1"/>
  </cols>
  <sheetData>
    <row r="1" spans="1:2">
      <c r="A1" s="1" t="s">
        <v>0</v>
      </c>
      <c r="B1" s="1" t="s">
        <v>18</v>
      </c>
    </row>
    <row r="2" spans="1:2">
      <c r="A2" s="2">
        <v>2016</v>
      </c>
      <c r="B2" s="2">
        <v>780987</v>
      </c>
    </row>
    <row r="3" spans="1:2">
      <c r="A3" s="2">
        <v>2017</v>
      </c>
      <c r="B3" s="2">
        <v>1122533</v>
      </c>
    </row>
    <row r="4" spans="1:2">
      <c r="A4" s="2">
        <v>2019</v>
      </c>
      <c r="B4" s="2">
        <v>187156</v>
      </c>
    </row>
    <row r="5" spans="1:2">
      <c r="A5" s="2">
        <v>2020</v>
      </c>
      <c r="B5" s="2">
        <v>9003175</v>
      </c>
    </row>
    <row r="6" spans="1:2">
      <c r="A6" s="2">
        <v>2021</v>
      </c>
      <c r="B6" s="2">
        <v>6528700</v>
      </c>
    </row>
    <row r="7" spans="1:2">
      <c r="A7" s="2"/>
      <c r="B7" s="2"/>
    </row>
    <row r="8" spans="1:2">
      <c r="A8" s="2"/>
      <c r="B8" s="2"/>
    </row>
    <row r="13" spans="1:3">
      <c r="A13" s="1" t="s">
        <v>0</v>
      </c>
      <c r="B13" s="1" t="s">
        <v>2</v>
      </c>
      <c r="C13" s="1" t="s">
        <v>19</v>
      </c>
    </row>
    <row r="14" spans="1:3">
      <c r="A14" s="2">
        <v>2016</v>
      </c>
      <c r="B14" s="2" t="s">
        <v>7</v>
      </c>
      <c r="C14" s="2">
        <v>780987</v>
      </c>
    </row>
    <row r="15" spans="1:3">
      <c r="A15" s="2">
        <v>2017</v>
      </c>
      <c r="B15" s="2" t="s">
        <v>3</v>
      </c>
      <c r="C15" s="2">
        <v>429850</v>
      </c>
    </row>
    <row r="16" spans="1:3">
      <c r="A16" s="2">
        <v>2017</v>
      </c>
      <c r="B16" s="2" t="s">
        <v>5</v>
      </c>
      <c r="C16" s="2">
        <v>692683</v>
      </c>
    </row>
    <row r="17" spans="1:3">
      <c r="A17" s="2">
        <v>2019</v>
      </c>
      <c r="B17" s="2" t="s">
        <v>7</v>
      </c>
      <c r="C17" s="2">
        <v>10000</v>
      </c>
    </row>
    <row r="18" spans="1:3">
      <c r="A18" s="2">
        <v>2019</v>
      </c>
      <c r="B18" s="2" t="s">
        <v>8</v>
      </c>
      <c r="C18" s="2">
        <v>177156</v>
      </c>
    </row>
    <row r="19" spans="1:3">
      <c r="A19" s="2">
        <v>2020</v>
      </c>
      <c r="B19" s="2" t="s">
        <v>6</v>
      </c>
      <c r="C19" s="2">
        <v>365120</v>
      </c>
    </row>
    <row r="20" spans="1:3">
      <c r="A20" s="2">
        <v>2020</v>
      </c>
      <c r="B20" s="2" t="s">
        <v>7</v>
      </c>
      <c r="C20" s="2">
        <v>7012000</v>
      </c>
    </row>
    <row r="21" spans="1:3">
      <c r="A21" s="2">
        <v>2020</v>
      </c>
      <c r="B21" s="2" t="s">
        <v>20</v>
      </c>
      <c r="C21" s="2">
        <v>218670</v>
      </c>
    </row>
    <row r="22" spans="1:3">
      <c r="A22" s="2">
        <v>2020</v>
      </c>
      <c r="B22" s="2" t="s">
        <v>21</v>
      </c>
      <c r="C22" s="2">
        <v>1269595</v>
      </c>
    </row>
    <row r="23" spans="1:3">
      <c r="A23" s="2">
        <v>2020</v>
      </c>
      <c r="B23" s="2" t="s">
        <v>22</v>
      </c>
      <c r="C23" s="2">
        <v>137790</v>
      </c>
    </row>
    <row r="24" spans="1:3">
      <c r="A24" s="2">
        <v>2021</v>
      </c>
      <c r="B24" s="2" t="s">
        <v>6</v>
      </c>
      <c r="C24" s="2">
        <v>686000</v>
      </c>
    </row>
    <row r="25" spans="1:3">
      <c r="A25" s="2">
        <v>2021</v>
      </c>
      <c r="B25" s="2" t="s">
        <v>7</v>
      </c>
      <c r="C25" s="2">
        <v>5488000</v>
      </c>
    </row>
    <row r="26" spans="1:3">
      <c r="A26" s="2">
        <v>2021</v>
      </c>
      <c r="B26" s="2" t="s">
        <v>22</v>
      </c>
      <c r="C26" s="2">
        <v>18000</v>
      </c>
    </row>
    <row r="27" spans="1:3">
      <c r="A27" s="2">
        <v>2021</v>
      </c>
      <c r="B27" s="2" t="s">
        <v>23</v>
      </c>
      <c r="C27" s="2">
        <v>336700</v>
      </c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3"/>
  <sheetViews>
    <sheetView tabSelected="1" workbookViewId="0">
      <selection activeCell="F25" sqref="F25"/>
    </sheetView>
  </sheetViews>
  <sheetFormatPr defaultColWidth="9" defaultRowHeight="16.8"/>
  <cols>
    <col min="3" max="3" width="12.625"/>
    <col min="7" max="7" width="12.9230769230769"/>
    <col min="9" max="9" width="14.0769230769231"/>
  </cols>
  <sheetData>
    <row r="1" spans="1:3">
      <c r="A1" s="1" t="s">
        <v>0</v>
      </c>
      <c r="B1" s="1" t="s">
        <v>24</v>
      </c>
      <c r="C1" s="1" t="s">
        <v>19</v>
      </c>
    </row>
    <row r="2" spans="1:3">
      <c r="A2" s="2">
        <v>2017</v>
      </c>
      <c r="B2" s="2" t="s">
        <v>25</v>
      </c>
      <c r="C2" s="2">
        <v>1463273</v>
      </c>
    </row>
    <row r="3" spans="1:3">
      <c r="A3" s="2">
        <v>2017</v>
      </c>
      <c r="B3" s="2" t="s">
        <v>26</v>
      </c>
      <c r="C3" s="2">
        <v>2057464</v>
      </c>
    </row>
    <row r="4" spans="1:3">
      <c r="A4" s="2">
        <v>2017</v>
      </c>
      <c r="B4" s="2" t="s">
        <v>27</v>
      </c>
      <c r="C4" s="2">
        <v>13410</v>
      </c>
    </row>
    <row r="5" spans="1:3">
      <c r="A5" s="2">
        <v>2017</v>
      </c>
      <c r="B5" s="2" t="s">
        <v>28</v>
      </c>
      <c r="C5" s="2">
        <v>1414549</v>
      </c>
    </row>
    <row r="6" spans="1:3">
      <c r="A6" s="2">
        <v>2017</v>
      </c>
      <c r="B6" s="2" t="s">
        <v>29</v>
      </c>
      <c r="C6" s="2">
        <v>2811239</v>
      </c>
    </row>
    <row r="7" spans="1:3">
      <c r="A7" s="2">
        <v>2017</v>
      </c>
      <c r="B7" s="2" t="s">
        <v>30</v>
      </c>
      <c r="C7" s="2">
        <v>714019</v>
      </c>
    </row>
    <row r="8" spans="1:3">
      <c r="A8" s="2">
        <v>2017</v>
      </c>
      <c r="B8" s="2" t="s">
        <v>31</v>
      </c>
      <c r="C8" s="2">
        <v>7748298</v>
      </c>
    </row>
    <row r="9" spans="1:3">
      <c r="A9" s="2">
        <v>2018</v>
      </c>
      <c r="B9" s="2" t="s">
        <v>25</v>
      </c>
      <c r="C9" s="2">
        <v>1203027</v>
      </c>
    </row>
    <row r="10" spans="1:3">
      <c r="A10" s="2">
        <v>2018</v>
      </c>
      <c r="B10" s="2" t="s">
        <v>32</v>
      </c>
      <c r="C10" s="2">
        <v>14892</v>
      </c>
    </row>
    <row r="11" spans="1:3">
      <c r="A11" s="2">
        <v>2018</v>
      </c>
      <c r="B11" s="2" t="s">
        <v>26</v>
      </c>
      <c r="C11" s="2">
        <v>3367265.05</v>
      </c>
    </row>
    <row r="12" spans="1:3">
      <c r="A12" s="2">
        <v>2018</v>
      </c>
      <c r="B12" s="2" t="s">
        <v>27</v>
      </c>
      <c r="C12" s="2">
        <v>35302</v>
      </c>
    </row>
    <row r="13" spans="1:3">
      <c r="A13" s="2">
        <v>2018</v>
      </c>
      <c r="B13" s="2" t="s">
        <v>28</v>
      </c>
      <c r="C13" s="2">
        <v>4116826</v>
      </c>
    </row>
    <row r="14" spans="1:3">
      <c r="A14" s="2">
        <v>2018</v>
      </c>
      <c r="B14" s="2" t="s">
        <v>29</v>
      </c>
      <c r="C14" s="2">
        <v>3432926.5</v>
      </c>
    </row>
    <row r="15" spans="1:3">
      <c r="A15" s="2">
        <v>2018</v>
      </c>
      <c r="B15" s="2" t="s">
        <v>30</v>
      </c>
      <c r="C15" s="2">
        <v>2342985</v>
      </c>
    </row>
    <row r="16" spans="1:9">
      <c r="A16" s="2">
        <v>2018</v>
      </c>
      <c r="B16" s="2" t="s">
        <v>31</v>
      </c>
      <c r="C16" s="2">
        <v>12039679.01</v>
      </c>
      <c r="I16" t="s">
        <v>33</v>
      </c>
    </row>
    <row r="17" spans="1:9">
      <c r="A17" s="2">
        <v>2019</v>
      </c>
      <c r="B17" s="2" t="s">
        <v>25</v>
      </c>
      <c r="C17" s="2">
        <v>925448</v>
      </c>
      <c r="E17" s="2">
        <v>2021</v>
      </c>
      <c r="F17" s="2" t="s">
        <v>25</v>
      </c>
      <c r="G17" s="2">
        <v>405474.5</v>
      </c>
      <c r="I17">
        <f>(G17-C17)/C17</f>
        <v>-0.561861390375256</v>
      </c>
    </row>
    <row r="18" spans="1:9">
      <c r="A18" s="2">
        <v>2019</v>
      </c>
      <c r="B18" s="2" t="s">
        <v>32</v>
      </c>
      <c r="C18" s="2">
        <v>1818466</v>
      </c>
      <c r="E18" s="2">
        <v>2021</v>
      </c>
      <c r="F18" s="2" t="s">
        <v>32</v>
      </c>
      <c r="G18" s="2">
        <v>756843</v>
      </c>
      <c r="I18">
        <f t="shared" ref="I18:I27" si="0">(G18-C18)/C18</f>
        <v>-0.583801401840892</v>
      </c>
    </row>
    <row r="19" spans="1:9">
      <c r="A19" s="2">
        <v>2019</v>
      </c>
      <c r="B19" s="2" t="s">
        <v>26</v>
      </c>
      <c r="C19" s="2">
        <v>5147290.01</v>
      </c>
      <c r="E19" s="2">
        <v>2021</v>
      </c>
      <c r="F19" s="2" t="s">
        <v>26</v>
      </c>
      <c r="G19" s="2">
        <v>6340907.51</v>
      </c>
      <c r="I19">
        <f t="shared" si="0"/>
        <v>0.23189241283881</v>
      </c>
    </row>
    <row r="20" spans="1:9">
      <c r="A20" s="2">
        <v>2019</v>
      </c>
      <c r="B20" s="2" t="s">
        <v>27</v>
      </c>
      <c r="C20" s="2">
        <v>561704</v>
      </c>
      <c r="E20" s="2">
        <v>2021</v>
      </c>
      <c r="F20" s="2" t="s">
        <v>27</v>
      </c>
      <c r="G20" s="2">
        <v>1649647</v>
      </c>
      <c r="I20">
        <f t="shared" si="0"/>
        <v>1.93686176349109</v>
      </c>
    </row>
    <row r="21" spans="1:9">
      <c r="A21" s="2">
        <v>2019</v>
      </c>
      <c r="B21" s="2" t="s">
        <v>28</v>
      </c>
      <c r="C21" s="2">
        <v>7856090.15</v>
      </c>
      <c r="E21" s="2">
        <v>2021</v>
      </c>
      <c r="F21" s="2" t="s">
        <v>28</v>
      </c>
      <c r="G21" s="2">
        <v>13904432.83</v>
      </c>
      <c r="I21">
        <f t="shared" si="0"/>
        <v>0.76989221922307</v>
      </c>
    </row>
    <row r="22" spans="1:9">
      <c r="A22" s="2">
        <v>2019</v>
      </c>
      <c r="B22" s="2" t="s">
        <v>29</v>
      </c>
      <c r="C22" s="2">
        <v>5041477.63</v>
      </c>
      <c r="E22" s="2">
        <v>2021</v>
      </c>
      <c r="F22" s="2" t="s">
        <v>29</v>
      </c>
      <c r="G22" s="2">
        <v>3353227</v>
      </c>
      <c r="I22">
        <f t="shared" si="0"/>
        <v>-0.334872185081976</v>
      </c>
    </row>
    <row r="23" spans="1:9">
      <c r="A23" s="2">
        <v>2019</v>
      </c>
      <c r="B23" s="2" t="s">
        <v>30</v>
      </c>
      <c r="C23" s="2">
        <v>2705044.5</v>
      </c>
      <c r="E23" s="2">
        <v>2021</v>
      </c>
      <c r="F23" s="2" t="s">
        <v>30</v>
      </c>
      <c r="G23" s="2">
        <v>2931474.5</v>
      </c>
      <c r="I23">
        <f t="shared" si="0"/>
        <v>0.0837065711857975</v>
      </c>
    </row>
    <row r="24" spans="1:9">
      <c r="A24" s="2">
        <v>2019</v>
      </c>
      <c r="B24" s="2" t="s">
        <v>31</v>
      </c>
      <c r="C24" s="2">
        <v>15671928.1</v>
      </c>
      <c r="E24" s="2">
        <v>2021</v>
      </c>
      <c r="F24" s="2" t="s">
        <v>31</v>
      </c>
      <c r="G24" s="2">
        <v>17634747.17</v>
      </c>
      <c r="I24">
        <f t="shared" si="0"/>
        <v>0.125244262063709</v>
      </c>
    </row>
    <row r="25" spans="1:9">
      <c r="A25" s="2">
        <v>2020</v>
      </c>
      <c r="B25" s="2" t="s">
        <v>25</v>
      </c>
      <c r="C25" s="2">
        <v>389400</v>
      </c>
      <c r="E25" s="2">
        <v>2021</v>
      </c>
      <c r="F25" s="2" t="s">
        <v>34</v>
      </c>
      <c r="G25" s="2">
        <v>50570</v>
      </c>
      <c r="I25">
        <f t="shared" si="0"/>
        <v>-0.870133538777607</v>
      </c>
    </row>
    <row r="26" spans="1:9">
      <c r="A26" s="2">
        <v>2020</v>
      </c>
      <c r="B26" s="2" t="s">
        <v>32</v>
      </c>
      <c r="C26" s="2">
        <v>432894</v>
      </c>
      <c r="E26" s="2">
        <v>2021</v>
      </c>
      <c r="F26" s="2" t="s">
        <v>35</v>
      </c>
      <c r="G26" s="2">
        <v>95220</v>
      </c>
      <c r="I26">
        <f t="shared" si="0"/>
        <v>-0.780038531372576</v>
      </c>
    </row>
    <row r="27" spans="1:9">
      <c r="A27" s="2">
        <v>2020</v>
      </c>
      <c r="B27" s="2" t="s">
        <v>26</v>
      </c>
      <c r="C27" s="2">
        <v>3892926</v>
      </c>
      <c r="E27" s="2">
        <v>2021</v>
      </c>
      <c r="F27" s="2" t="s">
        <v>36</v>
      </c>
      <c r="G27" s="2">
        <v>224440</v>
      </c>
      <c r="I27">
        <f t="shared" si="0"/>
        <v>-0.942346707849057</v>
      </c>
    </row>
    <row r="28" spans="1:3">
      <c r="A28" s="2">
        <v>2020</v>
      </c>
      <c r="B28" s="2" t="s">
        <v>27</v>
      </c>
      <c r="C28" s="2">
        <v>572680</v>
      </c>
    </row>
    <row r="29" spans="1:3">
      <c r="A29" s="2">
        <v>2020</v>
      </c>
      <c r="B29" s="2" t="s">
        <v>28</v>
      </c>
      <c r="C29" s="2">
        <v>6616387.5</v>
      </c>
    </row>
    <row r="30" spans="1:3">
      <c r="A30" s="2">
        <v>2020</v>
      </c>
      <c r="B30" s="2" t="s">
        <v>29</v>
      </c>
      <c r="C30" s="2">
        <v>2188947.5</v>
      </c>
    </row>
    <row r="31" spans="1:3">
      <c r="A31" s="2">
        <v>2020</v>
      </c>
      <c r="B31" s="2" t="s">
        <v>36</v>
      </c>
      <c r="C31" s="2">
        <v>18500</v>
      </c>
    </row>
    <row r="32" spans="1:3">
      <c r="A32" s="2">
        <v>2020</v>
      </c>
      <c r="B32" s="2" t="s">
        <v>30</v>
      </c>
      <c r="C32" s="2">
        <v>1474209.5</v>
      </c>
    </row>
    <row r="33" spans="1:3">
      <c r="A33" s="2">
        <v>2020</v>
      </c>
      <c r="B33" s="2" t="s">
        <v>31</v>
      </c>
      <c r="C33" s="2">
        <v>10311140.5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公开课</vt:lpstr>
      <vt:lpstr>企业服务</vt:lpstr>
      <vt:lpstr>接触人统计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2021-12-21T15:57:00Z</dcterms:created>
  <dcterms:modified xsi:type="dcterms:W3CDTF">2022-01-02T08:39:55Z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82AA21B078384A529FF25094EC436B95</vt:lpwstr>
  </property>
  <property fmtid="{D5CDD505-2E9C-101B-9397-08002B2CF9AE}" pid="3" name="KSOProductBuildVer">
    <vt:lpwstr>2052-3.9.3.6359</vt:lpwstr>
  </property>
</Properties>
</file>