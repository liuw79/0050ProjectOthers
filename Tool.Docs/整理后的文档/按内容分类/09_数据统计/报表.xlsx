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00" windowHeight="11175" activeTab="1"/>
  </bookViews>
  <sheets>
    <sheet name="2023年" sheetId="1" r:id="rId1"/>
    <sheet name="2024年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<sst xmlns="http://schemas.openxmlformats.org/spreadsheetml/2006/main" count="44" uniqueCount="22">
  <si>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全都会利润表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</si>
  <si>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</si>
  <si>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</si>
  <si>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</si>
  <si>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</si>
  <si>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</si>
  <si>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</si>
  <si>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</si>
  <si>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</si>
  <si>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</si>
  <si>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</si>
  <si>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</si>
  <si>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</si>
  <si>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</si>
  <si>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本年累计</t>
  </si>
  <si>
    <t>主营业务收入（会议）</t>
  </si>
  <si>
    <t>其他业务收入（茶歇、卫生等）</t>
  </si>
  <si>
    <t>合计收入</t>
  </si>
  <si>
    <t>营业成本、费用、税金及附加合计</t>
  </si>
  <si>
    <t>营业利润</t>
  </si>
  <si>
    <t>所得税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</si>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</sst>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Continuous" vertical="center"/>
    </xf>
    <xf numFmtId="0" fontId="2" fillId="0" borderId="0" xfId="0" applyFont="1" applyFill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9"/>
  <sheetViews>
    <sheetView workbookViewId="0">
      <selection activeCell="A12" sqref="A12"/>
    </sheetView>
  </sheetViews>
  <sheetFormatPr defaultColWidth="9" defaultRowHeight="13.5"/>
  <cols>
    <col min="1" max="1" width="29.6725663716814" customWidth="1"/>
    <col min="2" max="8" width="9" hidden="1" customWidth="1"/>
    <col min="9" max="9" width="16.4690265486726" customWidth="1"/>
    <col min="10" max="10" width="15.5398230088496" customWidth="1"/>
    <col min="11" max="11" width="16.3362831858407" customWidth="1"/>
    <col min="12" max="12" width="15.212389380531" customWidth="1"/>
    <col min="13" max="13" width="16.9380530973451" customWidth="1"/>
    <col min="14" max="14" width="18.4601769911504" customWidth="1"/>
    <col min="17" max="17" width="10.5309734513274"/>
  </cols>
  <sheetData>
    <row r="1" ht="48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8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ht="48" customHeight="1" spans="1:14">
      <c r="A3" s="4" t="s">
        <v>15</v>
      </c>
      <c r="B3" s="4"/>
      <c r="C3" s="4"/>
      <c r="D3" s="4"/>
      <c r="E3" s="4"/>
      <c r="F3" s="4"/>
      <c r="G3" s="4"/>
      <c r="H3" s="4"/>
      <c r="I3" s="5">
        <v>292035.09</v>
      </c>
      <c r="J3" s="4">
        <v>454795.03</v>
      </c>
      <c r="K3" s="4">
        <v>277837.94</v>
      </c>
      <c r="L3" s="4">
        <v>505532.74</v>
      </c>
      <c r="M3" s="4">
        <v>777621.87</v>
      </c>
      <c r="N3" s="4">
        <f t="shared" ref="N3:N9" si="0">SUM(I3:M3)</f>
        <v>2307822.67</v>
      </c>
    </row>
    <row r="4" ht="48" customHeight="1" spans="1:14">
      <c r="A4" s="4" t="s">
        <v>16</v>
      </c>
      <c r="B4" s="4"/>
      <c r="C4" s="4"/>
      <c r="D4" s="4"/>
      <c r="E4" s="4"/>
      <c r="F4" s="4"/>
      <c r="G4" s="4"/>
      <c r="H4" s="4"/>
      <c r="I4" s="4">
        <v>1578.06</v>
      </c>
      <c r="J4" s="4">
        <v>11177.5</v>
      </c>
      <c r="K4" s="4">
        <v>948.9</v>
      </c>
      <c r="L4" s="4">
        <v>51556.73</v>
      </c>
      <c r="M4" s="4">
        <v>4959.4</v>
      </c>
      <c r="N4" s="4">
        <f t="shared" si="0"/>
        <v>70220.59</v>
      </c>
    </row>
    <row r="5" ht="48" customHeight="1" spans="1:14">
      <c r="A5" s="4" t="s">
        <v>17</v>
      </c>
      <c r="B5" s="4"/>
      <c r="C5" s="4"/>
      <c r="D5" s="4"/>
      <c r="E5" s="4"/>
      <c r="F5" s="4"/>
      <c r="G5" s="4"/>
      <c r="H5" s="4"/>
      <c r="I5" s="4">
        <f>I3+I4</f>
        <v>293613.15</v>
      </c>
      <c r="J5" s="4">
        <f>J3+J4</f>
        <v>465972.53</v>
      </c>
      <c r="K5" s="4">
        <f>K3+K4</f>
        <v>278786.84</v>
      </c>
      <c r="L5" s="4">
        <f>L3+L4</f>
        <v>557089.47</v>
      </c>
      <c r="M5" s="4">
        <f>M3+M4</f>
        <v>782581.27</v>
      </c>
      <c r="N5" s="4">
        <f t="shared" si="0"/>
        <v>2378043.26</v>
      </c>
    </row>
    <row r="6" ht="48" customHeight="1" spans="1:14">
      <c r="A6" s="4" t="s">
        <v>18</v>
      </c>
      <c r="B6" s="4"/>
      <c r="C6" s="4"/>
      <c r="D6" s="4"/>
      <c r="E6" s="4"/>
      <c r="F6" s="4"/>
      <c r="G6" s="4"/>
      <c r="H6" s="4"/>
      <c r="I6" s="4">
        <v>200325.68</v>
      </c>
      <c r="J6">
        <v>651682.59</v>
      </c>
      <c r="K6" s="4">
        <v>590769.37</v>
      </c>
      <c r="L6" s="4">
        <v>743203.34</v>
      </c>
      <c r="M6" s="4">
        <v>747075.48</v>
      </c>
      <c r="N6" s="4">
        <f t="shared" si="0"/>
        <v>2933056.46</v>
      </c>
    </row>
    <row r="7" ht="48" customHeight="1" spans="1:14">
      <c r="A7" s="4" t="s">
        <v>19</v>
      </c>
      <c r="B7" s="4"/>
      <c r="C7" s="4"/>
      <c r="D7" s="4"/>
      <c r="E7" s="4"/>
      <c r="F7" s="4"/>
      <c r="G7" s="4"/>
      <c r="H7" s="4"/>
      <c r="I7" s="4">
        <f>I5-I6</f>
        <v>93287.47</v>
      </c>
      <c r="J7" s="4">
        <f>J5-J6</f>
        <v>-185710.06</v>
      </c>
      <c r="K7" s="4">
        <f>K5-K6</f>
        <v>-311982.53</v>
      </c>
      <c r="L7" s="4">
        <f>L5-L6</f>
        <v>-186113.87</v>
      </c>
      <c r="M7" s="4">
        <f>M5-M6</f>
        <v>35505.79</v>
      </c>
      <c r="N7" s="4">
        <f t="shared" si="0"/>
        <v>-555013.2</v>
      </c>
    </row>
    <row r="8" ht="48" customHeight="1" spans="1:14">
      <c r="A8" s="4" t="s">
        <v>20</v>
      </c>
      <c r="B8" s="4"/>
      <c r="C8" s="4"/>
      <c r="D8" s="4"/>
      <c r="E8" s="4"/>
      <c r="F8" s="4"/>
      <c r="G8" s="4"/>
      <c r="H8" s="4"/>
      <c r="I8" s="4">
        <v>0</v>
      </c>
      <c r="J8" s="4"/>
      <c r="K8" s="4"/>
      <c r="L8" s="4"/>
      <c r="M8" s="4"/>
      <c r="N8" s="4">
        <f t="shared" si="0"/>
        <v>0</v>
      </c>
    </row>
    <row r="9" ht="48" customHeight="1" spans="1:14">
      <c r="A9" s="4" t="s">
        <v>21</v>
      </c>
      <c r="B9" s="4"/>
      <c r="C9" s="4"/>
      <c r="D9" s="4"/>
      <c r="E9" s="4"/>
      <c r="F9" s="4"/>
      <c r="G9" s="4"/>
      <c r="H9" s="4"/>
      <c r="I9" s="4">
        <f>I7-I8</f>
        <v>93287.47</v>
      </c>
      <c r="J9" s="4">
        <f>J7-J8</f>
        <v>-185710.06</v>
      </c>
      <c r="K9" s="4">
        <f>K7-K8</f>
        <v>-311982.53</v>
      </c>
      <c r="L9" s="4">
        <f>L7-L8</f>
        <v>-186113.87</v>
      </c>
      <c r="M9" s="4">
        <f>M7-M8</f>
        <v>35505.79</v>
      </c>
      <c r="N9" s="4">
        <f t="shared" si="0"/>
        <v>-555013.2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9"/>
  <sheetViews>
    <sheetView tabSelected="1" workbookViewId="0">
      <selection activeCell="J7" sqref="J7"/>
    </sheetView>
  </sheetViews>
  <sheetFormatPr defaultColWidth="9" defaultRowHeight="13.5"/>
  <cols>
    <col min="1" max="1" width="29.6725663716814" customWidth="1"/>
    <col min="2" max="8" width="9" hidden="1" customWidth="1"/>
    <col min="9" max="9" width="16.4690265486726" customWidth="1"/>
    <col min="10" max="10" width="15.5398230088496" customWidth="1"/>
    <col min="11" max="11" width="16.3362831858407" customWidth="1"/>
    <col min="12" max="12" width="15.212389380531" customWidth="1"/>
    <col min="13" max="13" width="16.9380530973451" customWidth="1"/>
    <col min="14" max="14" width="18.4601769911504" customWidth="1"/>
    <col min="17" max="17" width="10.5309734513274"/>
  </cols>
  <sheetData>
    <row r="1" ht="48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8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14</v>
      </c>
    </row>
    <row r="3" ht="48" customHeight="1" spans="1:14">
      <c r="A3" s="4" t="s">
        <v>15</v>
      </c>
      <c r="B3" s="4"/>
      <c r="C3" s="4"/>
      <c r="D3" s="4"/>
      <c r="E3" s="4"/>
      <c r="F3" s="4"/>
      <c r="G3" s="4"/>
      <c r="H3" s="4"/>
      <c r="I3" s="5">
        <v>999589.95</v>
      </c>
      <c r="J3" s="4"/>
      <c r="K3" s="4"/>
      <c r="L3" s="4"/>
      <c r="M3" s="4"/>
      <c r="N3" s="4">
        <f t="shared" ref="N3:N9" si="0">SUM(I3:M3)</f>
        <v>999589.95</v>
      </c>
    </row>
    <row r="4" ht="48" customHeight="1" spans="1:14">
      <c r="A4" s="4" t="s">
        <v>16</v>
      </c>
      <c r="B4" s="4"/>
      <c r="C4" s="4"/>
      <c r="D4" s="4"/>
      <c r="E4" s="4"/>
      <c r="F4" s="4"/>
      <c r="G4" s="4"/>
      <c r="H4" s="4"/>
      <c r="I4" s="4">
        <v>10542.93</v>
      </c>
      <c r="J4" s="4"/>
      <c r="K4" s="4"/>
      <c r="L4" s="4"/>
      <c r="M4" s="4"/>
      <c r="N4" s="4">
        <f t="shared" si="0"/>
        <v>10542.93</v>
      </c>
    </row>
    <row r="5" ht="48" customHeight="1" spans="1:14">
      <c r="A5" s="4" t="s">
        <v>17</v>
      </c>
      <c r="B5" s="4"/>
      <c r="C5" s="4"/>
      <c r="D5" s="4"/>
      <c r="E5" s="4"/>
      <c r="F5" s="4"/>
      <c r="G5" s="4"/>
      <c r="H5" s="4"/>
      <c r="I5" s="4">
        <f>I3+I4</f>
        <v>1010132.88</v>
      </c>
      <c r="J5" s="4"/>
      <c r="K5" s="4"/>
      <c r="L5" s="4"/>
      <c r="M5" s="4"/>
      <c r="N5" s="4">
        <f t="shared" si="0"/>
        <v>1010132.88</v>
      </c>
    </row>
    <row r="6" ht="48" customHeight="1" spans="1:14">
      <c r="A6" s="4" t="s">
        <v>18</v>
      </c>
      <c r="B6" s="4"/>
      <c r="C6" s="4"/>
      <c r="D6" s="4"/>
      <c r="E6" s="4"/>
      <c r="F6" s="4"/>
      <c r="G6" s="4"/>
      <c r="H6" s="4"/>
      <c r="I6" s="4">
        <f>741790+20000</f>
        <v>761790</v>
      </c>
      <c r="K6" s="4"/>
      <c r="L6" s="4"/>
      <c r="M6" s="4"/>
      <c r="N6" s="4">
        <f t="shared" si="0"/>
        <v>761790</v>
      </c>
    </row>
    <row r="7" ht="48" customHeight="1" spans="1:14">
      <c r="A7" s="4" t="s">
        <v>19</v>
      </c>
      <c r="B7" s="4"/>
      <c r="C7" s="4"/>
      <c r="D7" s="4"/>
      <c r="E7" s="4"/>
      <c r="F7" s="4"/>
      <c r="G7" s="4"/>
      <c r="H7" s="4"/>
      <c r="I7" s="4">
        <f>I5-I6</f>
        <v>248342.88</v>
      </c>
      <c r="J7" s="4"/>
      <c r="K7" s="4"/>
      <c r="L7" s="4"/>
      <c r="M7" s="4"/>
      <c r="N7" s="4">
        <f t="shared" si="0"/>
        <v>248342.88</v>
      </c>
    </row>
    <row r="8" ht="48" customHeight="1" spans="1:14">
      <c r="A8" s="4" t="s">
        <v>20</v>
      </c>
      <c r="B8" s="4"/>
      <c r="C8" s="4"/>
      <c r="D8" s="4"/>
      <c r="E8" s="4"/>
      <c r="F8" s="4"/>
      <c r="G8" s="4"/>
      <c r="H8" s="4"/>
      <c r="I8" s="4">
        <v>0</v>
      </c>
      <c r="J8" s="4"/>
      <c r="K8" s="4"/>
      <c r="L8" s="4"/>
      <c r="M8" s="4"/>
      <c r="N8" s="4">
        <f t="shared" si="0"/>
        <v>0</v>
      </c>
    </row>
    <row r="9" ht="48" customHeight="1" spans="1:14">
      <c r="A9" s="4" t="s">
        <v>21</v>
      </c>
      <c r="B9" s="4"/>
      <c r="C9" s="4"/>
      <c r="D9" s="4"/>
      <c r="E9" s="4"/>
      <c r="F9" s="4"/>
      <c r="G9" s="4"/>
      <c r="H9" s="4"/>
      <c r="I9" s="4">
        <f>I7-I8</f>
        <v>248342.88</v>
      </c>
      <c r="J9" s="4"/>
      <c r="K9" s="4"/>
      <c r="L9" s="4"/>
      <c r="M9" s="4"/>
      <c r="N9" s="4">
        <f t="shared" si="0"/>
        <v>248342.88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2023年</vt:lpstr>
      <vt:lpstr>2024年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</dc:creator>
  <cp:lastModifiedBy>miya</cp:lastModifiedBy>
  <dcterms:created xsi:type="dcterms:W3CDTF">2023-05-12T11:15:00Z</dcterms:created>
  <dcterms:modified xsi:type="dcterms:W3CDTF">2024-02-26T16:35:12Z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