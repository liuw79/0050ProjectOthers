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520"/>
  </bookViews>
  <sheets>
    <sheet name="百度品牌管理服务报价" sheetId="1" r:id="rId1"/>
  </sheets>
  <calcPr calcId="144525"/>
</workbook>
</file>

<file path=xl/sharedStrings.xml><?xml version="1.0" encoding="utf-8"?>
<sst xmlns="http://schemas.openxmlformats.org/spreadsheetml/2006/main" count="52" uniqueCount="49">
  <si>
    <t>高维学堂-卞志汉百度品牌管理服务报价</t>
  </si>
  <si>
    <t>编号</t>
  </si>
  <si>
    <t>优化方向</t>
  </si>
  <si>
    <t>搜索引擎</t>
  </si>
  <si>
    <t>关键词</t>
  </si>
  <si>
    <t>优化终端</t>
  </si>
  <si>
    <t>优化范围</t>
  </si>
  <si>
    <t>KPI</t>
  </si>
  <si>
    <t>数量</t>
  </si>
  <si>
    <t>单价</t>
  </si>
  <si>
    <t>价格：元/月</t>
  </si>
  <si>
    <t>价格：元/季度</t>
  </si>
  <si>
    <t>含税价格：元/季度</t>
  </si>
  <si>
    <t>发票</t>
  </si>
  <si>
    <t>付款方式</t>
  </si>
  <si>
    <t>备注</t>
  </si>
  <si>
    <t>占位优化</t>
  </si>
  <si>
    <t>百度</t>
  </si>
  <si>
    <t>卞志汉</t>
  </si>
  <si>
    <t>PC端
APP端</t>
  </si>
  <si>
    <t>大搜前3页</t>
  </si>
  <si>
    <t>优化期：3个月
第1月：
搜索关键词大搜前3页PC+APP合计露出品牌相关信2-3条/词；
第2月：
搜索关键词大搜前3页PC+APP合计露出品牌相关信息3-4条/词；
第3月
搜索关键词大搜前3页PC+APP合计露出品牌相关信息4-5条/词；</t>
  </si>
  <si>
    <t>税率：6%
专票/普票</t>
  </si>
  <si>
    <t>月度预付</t>
  </si>
  <si>
    <t>完成KPI收取100%费用，未完成直接扣除不达标部分费用；无时长限制</t>
  </si>
  <si>
    <t>大搜前3页 固定占位</t>
  </si>
  <si>
    <t>搜索关键词大搜前3页PC+APP合计固定占位品牌相关信1条/词</t>
  </si>
  <si>
    <t>完成KPI收取100%费用，未完成直接扣除不达标部分费用；
双端只要出现一端即可 ，合计露出20天即为达标</t>
  </si>
  <si>
    <t>下拉框新增</t>
  </si>
  <si>
    <t>搜索“卞志汉”在下拉框中出现“高维学堂”</t>
  </si>
  <si>
    <t>内容优化
（品牌建设+正面塑造）</t>
  </si>
  <si>
    <t>新闻类媒体投放</t>
  </si>
  <si>
    <t>依据甲方提供稿件素材和资料，乙方进行原创/伪原创稿件撰写及发布，包括但不限于：新闻资讯类、行业垂直类、互联网类、金融类等。 撰写10+发布20篇</t>
  </si>
  <si>
    <t>甲方若是对发布内容/发布平台有特殊要求，需按照甲方的特殊要求，单独拟定发布内容/发布平台价格。</t>
  </si>
  <si>
    <t>自媒体类媒体投放</t>
  </si>
  <si>
    <t>依据甲方提供稿件素材和资料，乙方进行原创/伪原创稿件撰写及发布，包括但不限于：百家号、企鹅号、知乎号、网易号、搜狐号、简书、豆瓣等自媒体平台投放。撰写10+发布20篇</t>
  </si>
  <si>
    <t>视频类数据投放</t>
  </si>
  <si>
    <t>基于SEO优化需求，根据甲方提供的视频信息，进行品牌视频信息上传发布；选择好看视频、腾讯视频、优酷视频等视频平台进行投放 。发布：20条</t>
  </si>
  <si>
    <t>优化技术支持</t>
  </si>
  <si>
    <t>1. 对发布的内容进行排名提升操作；
2. 对现有的排名靠后的优质内容进行排名提升操作；
3. 大搜首页正面信息占位；</t>
  </si>
  <si>
    <t>/</t>
  </si>
  <si>
    <t>增值服务
（数据监测+项目报告）</t>
  </si>
  <si>
    <t>日常监测+预警</t>
  </si>
  <si>
    <t>日常发现KPI范围内新增负面及时进行汇报预警，优化取得成效及时汇报；</t>
  </si>
  <si>
    <t>周报</t>
  </si>
  <si>
    <t>Excel形式，每周1-2提供一份上周的周报，包含数据变化，内容投放，截图对比效果等；</t>
  </si>
  <si>
    <t>月报</t>
  </si>
  <si>
    <t>Excel+PPT形式，每月初第1周提供一份上月的月报，包含数据变化，内容投放，截图对比效果等；</t>
  </si>
  <si>
    <t>PC端指：使用电脑端搜索引擎进行搜索
APP端指：使用手机端APP进行搜索</t>
  </si>
</sst>
</file>

<file path=xl/styles.xml><?xml version="1.0" encoding="utf-8"?>
<styleSheet xmlns="http://schemas.openxmlformats.org/spreadsheetml/2006/main">
  <numFmts count="7"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_ "/>
    <numFmt numFmtId="42" formatCode="_ &quot;￥&quot;* #,##0_ ;_ &quot;￥&quot;* \-#,##0_ ;_ &quot;￥&quot;* &quot;-&quot;_ ;_ @_ "/>
    <numFmt numFmtId="41" formatCode="_ * #,##0_ ;_ * \-#,##0_ ;_ * &quot;-&quot;_ ;_ @_ "/>
    <numFmt numFmtId="177" formatCode="&quot;￥&quot;#,##0_);\(&quot;￥&quot;#,##0\)"/>
    <numFmt numFmtId="5" formatCode="&quot;￥&quot;#,##0;&quot;￥&quot;\-#,##0"/>
  </numFmts>
  <fonts count="25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3" fillId="16" borderId="7" applyNumberFormat="0" applyAlignment="0" applyProtection="0">
      <alignment vertical="center"/>
    </xf>
    <xf numFmtId="0" fontId="12" fillId="16" borderId="5" applyNumberFormat="0" applyAlignment="0" applyProtection="0">
      <alignment vertical="center"/>
    </xf>
    <xf numFmtId="0" fontId="20" fillId="25" borderId="10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177" fontId="3" fillId="0" borderId="1" xfId="0" applyNumberFormat="1" applyFont="1" applyFill="1" applyBorder="1" applyAlignment="1">
      <alignment horizontal="left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left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/>
    </xf>
    <xf numFmtId="176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left" vertical="center"/>
    </xf>
    <xf numFmtId="176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/>
    <xf numFmtId="176" fontId="5" fillId="0" borderId="0" xfId="0" applyNumberFormat="1" applyFont="1" applyFill="1" applyAlignment="1">
      <alignment horizontal="center"/>
    </xf>
    <xf numFmtId="5" fontId="1" fillId="2" borderId="1" xfId="0" applyNumberFormat="1" applyFont="1" applyFill="1" applyBorder="1" applyAlignment="1">
      <alignment horizontal="center" vertical="center"/>
    </xf>
    <xf numFmtId="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5" fontId="3" fillId="0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Fill="1" applyBorder="1" applyAlignment="1">
      <alignment horizontal="center" vertical="center" wrapText="1"/>
    </xf>
    <xf numFmtId="5" fontId="3" fillId="0" borderId="2" xfId="0" applyNumberFormat="1" applyFont="1" applyFill="1" applyBorder="1" applyAlignment="1">
      <alignment horizontal="center" vertical="center" wrapText="1"/>
    </xf>
    <xf numFmtId="177" fontId="3" fillId="0" borderId="3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177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5" fontId="3" fillId="0" borderId="3" xfId="0" applyNumberFormat="1" applyFont="1" applyFill="1" applyBorder="1" applyAlignment="1">
      <alignment horizontal="center" vertical="center" wrapText="1"/>
    </xf>
    <xf numFmtId="177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5" fontId="3" fillId="0" borderId="4" xfId="0" applyNumberFormat="1" applyFont="1" applyFill="1" applyBorder="1" applyAlignment="1">
      <alignment horizontal="center" vertical="center" wrapText="1"/>
    </xf>
    <xf numFmtId="177" fontId="3" fillId="0" borderId="4" xfId="0" applyNumberFormat="1" applyFont="1" applyFill="1" applyBorder="1" applyAlignment="1">
      <alignment horizontal="center" vertical="center"/>
    </xf>
    <xf numFmtId="177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left" vertical="center"/>
    </xf>
    <xf numFmtId="5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5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5" fontId="5" fillId="0" borderId="0" xfId="0" applyNumberFormat="1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16"/>
  <sheetViews>
    <sheetView showGridLines="0" tabSelected="1" zoomScale="84" zoomScaleNormal="84" workbookViewId="0">
      <selection activeCell="G8" sqref="G8"/>
    </sheetView>
  </sheetViews>
  <sheetFormatPr defaultColWidth="9" defaultRowHeight="13.5"/>
  <cols>
    <col min="1" max="1" width="9" style="1"/>
    <col min="2" max="2" width="23.3333333333333" customWidth="1"/>
    <col min="3" max="3" width="11.25" style="1" customWidth="1"/>
    <col min="4" max="4" width="15.875" style="1" customWidth="1"/>
    <col min="5" max="5" width="11.6666666666667" style="1" customWidth="1"/>
    <col min="6" max="6" width="21.8333333333333" style="2" customWidth="1"/>
    <col min="7" max="7" width="58.875" customWidth="1"/>
    <col min="12" max="13" width="9.875"/>
    <col min="16" max="16" width="24.125" style="2" customWidth="1"/>
  </cols>
  <sheetData>
    <row r="1" ht="29.25" spans="1:16">
      <c r="A1" s="3" t="s">
        <v>0</v>
      </c>
      <c r="B1" s="3"/>
      <c r="C1" s="3"/>
      <c r="D1" s="3"/>
      <c r="E1" s="3"/>
      <c r="F1" s="4"/>
      <c r="G1" s="3"/>
      <c r="H1" s="5"/>
      <c r="I1" s="41"/>
      <c r="J1" s="3"/>
      <c r="K1" s="3"/>
      <c r="L1" s="3"/>
      <c r="M1" s="3"/>
      <c r="N1" s="3"/>
      <c r="O1" s="3"/>
      <c r="P1" s="4"/>
    </row>
    <row r="2" ht="33" spans="1:1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6" t="s">
        <v>7</v>
      </c>
      <c r="H2" s="8" t="s">
        <v>8</v>
      </c>
      <c r="I2" s="42" t="s">
        <v>9</v>
      </c>
      <c r="J2" s="43" t="s">
        <v>10</v>
      </c>
      <c r="K2" s="43" t="s">
        <v>10</v>
      </c>
      <c r="L2" s="43" t="s">
        <v>11</v>
      </c>
      <c r="M2" s="43" t="s">
        <v>12</v>
      </c>
      <c r="N2" s="43" t="s">
        <v>13</v>
      </c>
      <c r="O2" s="6" t="s">
        <v>14</v>
      </c>
      <c r="P2" s="7" t="s">
        <v>15</v>
      </c>
    </row>
    <row r="3" ht="115.5" spans="1:16">
      <c r="A3" s="9">
        <v>1</v>
      </c>
      <c r="B3" s="10" t="s">
        <v>16</v>
      </c>
      <c r="C3" s="10" t="s">
        <v>17</v>
      </c>
      <c r="D3" s="10" t="s">
        <v>18</v>
      </c>
      <c r="E3" s="10" t="s">
        <v>19</v>
      </c>
      <c r="F3" s="11" t="s">
        <v>20</v>
      </c>
      <c r="G3" s="12" t="s">
        <v>21</v>
      </c>
      <c r="H3" s="13">
        <v>1</v>
      </c>
      <c r="I3" s="44">
        <v>6000</v>
      </c>
      <c r="J3" s="45">
        <f>H3*I3</f>
        <v>6000</v>
      </c>
      <c r="K3" s="46">
        <f>SUM(J3:J12)</f>
        <v>20000</v>
      </c>
      <c r="L3" s="46">
        <f>K3*3</f>
        <v>60000</v>
      </c>
      <c r="M3" s="46">
        <f>L3*1.06</f>
        <v>63600</v>
      </c>
      <c r="N3" s="46" t="s">
        <v>22</v>
      </c>
      <c r="O3" s="10" t="s">
        <v>23</v>
      </c>
      <c r="P3" s="10" t="s">
        <v>24</v>
      </c>
    </row>
    <row r="4" ht="16.5" spans="1:16">
      <c r="A4" s="14"/>
      <c r="B4" s="15"/>
      <c r="C4" s="15"/>
      <c r="D4" s="15"/>
      <c r="E4" s="15"/>
      <c r="F4" s="11" t="s">
        <v>25</v>
      </c>
      <c r="G4" s="16" t="s">
        <v>26</v>
      </c>
      <c r="H4" s="17">
        <v>1</v>
      </c>
      <c r="I4" s="47">
        <v>2000</v>
      </c>
      <c r="J4" s="45">
        <f>H4*I4</f>
        <v>2000</v>
      </c>
      <c r="K4" s="48"/>
      <c r="L4" s="48"/>
      <c r="M4" s="48"/>
      <c r="N4" s="48"/>
      <c r="O4" s="15"/>
      <c r="P4" s="10" t="s">
        <v>27</v>
      </c>
    </row>
    <row r="5" ht="64" customHeight="1" spans="1:16">
      <c r="A5" s="14"/>
      <c r="B5" s="15"/>
      <c r="C5" s="15"/>
      <c r="D5" s="15"/>
      <c r="E5" s="15"/>
      <c r="F5" s="11" t="s">
        <v>28</v>
      </c>
      <c r="G5" s="16" t="s">
        <v>29</v>
      </c>
      <c r="H5" s="17">
        <v>1</v>
      </c>
      <c r="I5" s="47">
        <v>1000</v>
      </c>
      <c r="J5" s="45">
        <f>H5*I5</f>
        <v>1000</v>
      </c>
      <c r="K5" s="48"/>
      <c r="L5" s="48"/>
      <c r="M5" s="48"/>
      <c r="N5" s="48"/>
      <c r="O5" s="15"/>
      <c r="P5" s="15"/>
    </row>
    <row r="6" ht="33" spans="1:16">
      <c r="A6" s="9">
        <v>2</v>
      </c>
      <c r="B6" s="10" t="s">
        <v>30</v>
      </c>
      <c r="C6" s="15"/>
      <c r="D6" s="15"/>
      <c r="E6" s="15"/>
      <c r="F6" s="11" t="s">
        <v>31</v>
      </c>
      <c r="G6" s="16" t="s">
        <v>32</v>
      </c>
      <c r="H6" s="17">
        <v>20</v>
      </c>
      <c r="I6" s="47">
        <v>300</v>
      </c>
      <c r="J6" s="45">
        <f>H6*I6</f>
        <v>6000</v>
      </c>
      <c r="K6" s="48"/>
      <c r="L6" s="48"/>
      <c r="M6" s="48"/>
      <c r="N6" s="48"/>
      <c r="O6" s="15"/>
      <c r="P6" s="49" t="s">
        <v>33</v>
      </c>
    </row>
    <row r="7" ht="49.5" spans="1:16">
      <c r="A7" s="14"/>
      <c r="B7" s="15"/>
      <c r="C7" s="15"/>
      <c r="D7" s="15"/>
      <c r="E7" s="15"/>
      <c r="F7" s="11" t="s">
        <v>34</v>
      </c>
      <c r="G7" s="16" t="s">
        <v>35</v>
      </c>
      <c r="H7" s="17">
        <v>20</v>
      </c>
      <c r="I7" s="47">
        <v>200</v>
      </c>
      <c r="J7" s="45">
        <f>H7*I7</f>
        <v>4000</v>
      </c>
      <c r="K7" s="48"/>
      <c r="L7" s="48"/>
      <c r="M7" s="48"/>
      <c r="N7" s="48"/>
      <c r="O7" s="15"/>
      <c r="P7" s="50"/>
    </row>
    <row r="8" ht="33" spans="1:16">
      <c r="A8" s="14"/>
      <c r="B8" s="15"/>
      <c r="C8" s="15"/>
      <c r="D8" s="15"/>
      <c r="E8" s="15"/>
      <c r="F8" s="11" t="s">
        <v>36</v>
      </c>
      <c r="G8" s="16" t="s">
        <v>37</v>
      </c>
      <c r="H8" s="17">
        <v>20</v>
      </c>
      <c r="I8" s="47">
        <v>50</v>
      </c>
      <c r="J8" s="45">
        <f>H8*I8</f>
        <v>1000</v>
      </c>
      <c r="K8" s="48"/>
      <c r="L8" s="48"/>
      <c r="M8" s="48"/>
      <c r="N8" s="48"/>
      <c r="O8" s="15"/>
      <c r="P8" s="50"/>
    </row>
    <row r="9" ht="49.5" spans="1:16">
      <c r="A9" s="18"/>
      <c r="B9" s="19"/>
      <c r="C9" s="15"/>
      <c r="D9" s="15"/>
      <c r="E9" s="15"/>
      <c r="F9" s="20" t="s">
        <v>38</v>
      </c>
      <c r="G9" s="21" t="s">
        <v>39</v>
      </c>
      <c r="H9" s="13">
        <v>1</v>
      </c>
      <c r="I9" s="44">
        <v>0</v>
      </c>
      <c r="J9" s="45">
        <v>0</v>
      </c>
      <c r="K9" s="48"/>
      <c r="L9" s="48"/>
      <c r="M9" s="48"/>
      <c r="N9" s="48"/>
      <c r="O9" s="15"/>
      <c r="P9" s="11" t="s">
        <v>40</v>
      </c>
    </row>
    <row r="10" ht="16.5" spans="1:16">
      <c r="A10" s="22">
        <v>3</v>
      </c>
      <c r="B10" s="23" t="s">
        <v>41</v>
      </c>
      <c r="C10" s="15"/>
      <c r="D10" s="15"/>
      <c r="E10" s="15"/>
      <c r="F10" s="20" t="s">
        <v>42</v>
      </c>
      <c r="G10" s="11" t="s">
        <v>43</v>
      </c>
      <c r="H10" s="17">
        <v>1</v>
      </c>
      <c r="I10" s="47">
        <v>0</v>
      </c>
      <c r="J10" s="51">
        <v>0</v>
      </c>
      <c r="K10" s="48"/>
      <c r="L10" s="48"/>
      <c r="M10" s="48"/>
      <c r="N10" s="48"/>
      <c r="O10" s="15"/>
      <c r="P10" s="52" t="s">
        <v>40</v>
      </c>
    </row>
    <row r="11" ht="33" spans="1:16">
      <c r="A11" s="22"/>
      <c r="B11" s="22"/>
      <c r="C11" s="15"/>
      <c r="D11" s="15"/>
      <c r="E11" s="15"/>
      <c r="F11" s="20" t="s">
        <v>44</v>
      </c>
      <c r="G11" s="11" t="s">
        <v>45</v>
      </c>
      <c r="H11" s="24"/>
      <c r="I11" s="53"/>
      <c r="J11" s="54"/>
      <c r="K11" s="48"/>
      <c r="L11" s="48"/>
      <c r="M11" s="48"/>
      <c r="N11" s="48"/>
      <c r="O11" s="15"/>
      <c r="P11" s="55"/>
    </row>
    <row r="12" ht="33" spans="1:16">
      <c r="A12" s="22"/>
      <c r="B12" s="22"/>
      <c r="C12" s="19"/>
      <c r="D12" s="19"/>
      <c r="E12" s="19"/>
      <c r="F12" s="20" t="s">
        <v>46</v>
      </c>
      <c r="G12" s="11" t="s">
        <v>47</v>
      </c>
      <c r="H12" s="25"/>
      <c r="I12" s="56"/>
      <c r="J12" s="57"/>
      <c r="K12" s="58"/>
      <c r="L12" s="58"/>
      <c r="M12" s="58"/>
      <c r="N12" s="58"/>
      <c r="O12" s="19"/>
      <c r="P12" s="59"/>
    </row>
    <row r="13" ht="16.5" spans="1:16">
      <c r="A13" s="26"/>
      <c r="B13" s="26"/>
      <c r="C13" s="27"/>
      <c r="D13" s="27"/>
      <c r="E13" s="27"/>
      <c r="F13" s="28"/>
      <c r="G13" s="28"/>
      <c r="H13" s="29"/>
      <c r="I13" s="60"/>
      <c r="J13" s="27"/>
      <c r="K13" s="27"/>
      <c r="L13" s="27"/>
      <c r="M13" s="27"/>
      <c r="N13" s="27"/>
      <c r="O13" s="61"/>
      <c r="P13" s="28"/>
    </row>
    <row r="14" ht="16.5" spans="1:16">
      <c r="A14" s="26"/>
      <c r="B14" s="26"/>
      <c r="C14" s="27"/>
      <c r="D14" s="27"/>
      <c r="E14" s="27"/>
      <c r="F14" s="28"/>
      <c r="G14" s="28"/>
      <c r="H14" s="29"/>
      <c r="I14" s="60"/>
      <c r="J14" s="27"/>
      <c r="K14" s="27"/>
      <c r="L14" s="27"/>
      <c r="M14" s="27"/>
      <c r="N14" s="27"/>
      <c r="O14" s="61"/>
      <c r="P14" s="28"/>
    </row>
    <row r="15" ht="16.5" spans="1:16">
      <c r="A15" s="30"/>
      <c r="B15" s="30"/>
      <c r="C15" s="31"/>
      <c r="D15" s="31"/>
      <c r="E15" s="31"/>
      <c r="F15" s="32"/>
      <c r="G15" s="32"/>
      <c r="H15" s="33"/>
      <c r="I15" s="62"/>
      <c r="J15" s="31"/>
      <c r="K15" s="31"/>
      <c r="L15" s="31"/>
      <c r="M15" s="31"/>
      <c r="N15" s="31"/>
      <c r="O15" s="63"/>
      <c r="P15" s="32"/>
    </row>
    <row r="16" ht="72" customHeight="1" spans="1:16">
      <c r="A16" s="34" t="s">
        <v>15</v>
      </c>
      <c r="B16" s="35" t="s">
        <v>48</v>
      </c>
      <c r="C16" s="36"/>
      <c r="D16" s="36"/>
      <c r="E16" s="37"/>
      <c r="F16" s="38"/>
      <c r="G16" s="39"/>
      <c r="H16" s="40"/>
      <c r="I16" s="64"/>
      <c r="J16" s="37"/>
      <c r="K16" s="37"/>
      <c r="L16" s="37"/>
      <c r="M16" s="37"/>
      <c r="N16" s="39"/>
      <c r="O16" s="39"/>
      <c r="P16" s="38"/>
    </row>
  </sheetData>
  <mergeCells count="22">
    <mergeCell ref="A1:P1"/>
    <mergeCell ref="B16:C16"/>
    <mergeCell ref="A3:A5"/>
    <mergeCell ref="A6:A9"/>
    <mergeCell ref="A10:A12"/>
    <mergeCell ref="B3:B5"/>
    <mergeCell ref="B6:B9"/>
    <mergeCell ref="B10:B12"/>
    <mergeCell ref="C3:C12"/>
    <mergeCell ref="D3:D12"/>
    <mergeCell ref="E3:E12"/>
    <mergeCell ref="H10:H12"/>
    <mergeCell ref="I10:I12"/>
    <mergeCell ref="J10:J12"/>
    <mergeCell ref="K3:K12"/>
    <mergeCell ref="L3:L12"/>
    <mergeCell ref="M3:M12"/>
    <mergeCell ref="N3:N12"/>
    <mergeCell ref="O3:O12"/>
    <mergeCell ref="P4:P5"/>
    <mergeCell ref="P6:P7"/>
    <mergeCell ref="P10:P1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百度品牌管理服务报价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LeBron</cp:lastModifiedBy>
  <dcterms:created xsi:type="dcterms:W3CDTF">2021-06-08T01:32:00Z</dcterms:created>
  <dcterms:modified xsi:type="dcterms:W3CDTF">2021-11-22T02:03:00Z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05047527071049759153C1AFA4A27409</vt:lpwstr>
  </property>
  <property fmtid="{D5CDD505-2E9C-101B-9397-08002B2CF9AE}" pid="3" name="KSOProductBuildVer">
    <vt:lpwstr>2052-11.1.0.11045</vt:lpwstr>
  </property>
</Properties>
</file>