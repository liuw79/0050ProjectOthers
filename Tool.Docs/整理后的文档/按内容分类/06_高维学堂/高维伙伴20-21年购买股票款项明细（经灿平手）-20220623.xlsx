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72" windowHeight="900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<sst xmlns="http://schemas.openxmlformats.org/spreadsheetml/2006/main" count="33" uniqueCount="24">
  <si>
    <t>高维伙伴20-21年购买股票金额明细</t>
  </si>
  <si>
    <t>获得股票年份</t>
  </si>
  <si>
    <t>名字</t>
  </si>
  <si>
    <t>新增3年级以上企业数</t>
  </si>
  <si>
    <t>可购买股票数</t>
  </si>
  <si>
    <t>购买费用</t>
  </si>
  <si>
    <t>转账日期</t>
  </si>
  <si>
    <t>备注</t>
  </si>
  <si>
    <t>2020年</t>
  </si>
  <si>
    <t>林慧余</t>
  </si>
  <si>
    <t>发放股票日期</t>
  </si>
  <si>
    <t>任杰欣</t>
  </si>
  <si>
    <t>伍悦</t>
  </si>
  <si>
    <t>肖晓</t>
  </si>
  <si>
    <t>杨丽娇</t>
  </si>
  <si>
    <t>张可馨</t>
  </si>
  <si>
    <t>刘振华</t>
  </si>
  <si>
    <t>/</t>
  </si>
  <si>
    <t>已回购，具体如何转出的待确认</t>
  </si>
  <si>
    <t>丁芹伟</t>
  </si>
  <si>
    <t>购买了10万股</t>
  </si>
  <si>
    <t>2021年</t>
  </si>
  <si>
    <t>张文龙</t>
  </si>
  <si>
    <t>李宝声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</si>
</sst>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20"/>
      <color theme="1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微软雅黑"/>
      <charset val="134"/>
    </font>
    <font>
      <sz val="12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3" fillId="29" borderId="11" applyNumberFormat="0" applyAlignment="0" applyProtection="0">
      <alignment vertical="center"/>
    </xf>
    <xf numFmtId="0" fontId="25" fillId="29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1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G13" sqref="G13"/>
    </sheetView>
  </sheetViews>
  <sheetFormatPr defaultColWidth="9" defaultRowHeight="13.5" outlineLevelCol="6"/>
  <cols>
    <col min="3" max="3" width="13.283185840708" customWidth="1"/>
    <col min="4" max="4" width="16.4690265486726" customWidth="1"/>
    <col min="5" max="5" width="17" customWidth="1"/>
    <col min="6" max="6" width="16.9380530973451" customWidth="1"/>
    <col min="7" max="7" width="17.7964601769912" customWidth="1"/>
  </cols>
  <sheetData>
    <row r="1" spans="1:7">
      <c r="A1" s="2" t="s">
        <v>0</v>
      </c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s="1" customFormat="1" ht="33.75" spans="1:7">
      <c r="A3" s="4" t="s">
        <v>1</v>
      </c>
      <c r="B3" s="5" t="s">
        <v>2</v>
      </c>
      <c r="C3" s="6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ht="16.1" spans="1:7">
      <c r="A4" s="7" t="s">
        <v>8</v>
      </c>
      <c r="B4" s="7" t="s">
        <v>9</v>
      </c>
      <c r="C4" s="7">
        <v>6</v>
      </c>
      <c r="D4" s="7">
        <v>3900</v>
      </c>
      <c r="E4" s="7">
        <v>1170</v>
      </c>
      <c r="F4" s="8">
        <v>44553</v>
      </c>
      <c r="G4" s="9" t="s">
        <v>10</v>
      </c>
    </row>
    <row r="5" ht="16.1" spans="1:7">
      <c r="A5" s="7"/>
      <c r="B5" s="7" t="s">
        <v>11</v>
      </c>
      <c r="C5" s="7">
        <v>54</v>
      </c>
      <c r="D5" s="7">
        <v>35100</v>
      </c>
      <c r="E5" s="7">
        <v>10530</v>
      </c>
      <c r="F5" s="8">
        <v>44252</v>
      </c>
      <c r="G5" s="10"/>
    </row>
    <row r="6" ht="16.1" spans="1:7">
      <c r="A6" s="7"/>
      <c r="B6" s="7" t="s">
        <v>12</v>
      </c>
      <c r="C6" s="7">
        <v>106</v>
      </c>
      <c r="D6" s="7">
        <v>68900</v>
      </c>
      <c r="E6" s="7">
        <v>20670</v>
      </c>
      <c r="F6" s="8">
        <v>44270</v>
      </c>
      <c r="G6" s="10"/>
    </row>
    <row r="7" ht="16.1" spans="1:7">
      <c r="A7" s="7"/>
      <c r="B7" s="7" t="s">
        <v>13</v>
      </c>
      <c r="C7" s="7">
        <v>27</v>
      </c>
      <c r="D7" s="7">
        <v>17550</v>
      </c>
      <c r="E7" s="7">
        <v>5265</v>
      </c>
      <c r="F7" s="8">
        <v>44247</v>
      </c>
      <c r="G7" s="10"/>
    </row>
    <row r="8" ht="16.1" spans="1:7">
      <c r="A8" s="7"/>
      <c r="B8" s="7" t="s">
        <v>14</v>
      </c>
      <c r="C8" s="7">
        <v>27</v>
      </c>
      <c r="D8" s="7">
        <v>17550</v>
      </c>
      <c r="E8" s="7">
        <v>5265</v>
      </c>
      <c r="F8" s="8">
        <v>44247</v>
      </c>
      <c r="G8" s="11"/>
    </row>
    <row r="9" ht="16.1" spans="1:7">
      <c r="A9" s="7"/>
      <c r="B9" s="7" t="s">
        <v>15</v>
      </c>
      <c r="C9" s="7">
        <v>129</v>
      </c>
      <c r="D9" s="7">
        <v>83850</v>
      </c>
      <c r="E9" s="7">
        <v>25155</v>
      </c>
      <c r="F9" s="8">
        <v>44563</v>
      </c>
      <c r="G9" s="7"/>
    </row>
    <row r="10" ht="32.25" spans="1:7">
      <c r="A10" s="7"/>
      <c r="B10" s="7" t="s">
        <v>16</v>
      </c>
      <c r="C10" s="7" t="s">
        <v>17</v>
      </c>
      <c r="D10" s="7">
        <v>200000</v>
      </c>
      <c r="E10" s="7">
        <v>60000</v>
      </c>
      <c r="F10" s="8">
        <v>44237</v>
      </c>
      <c r="G10" s="12" t="s">
        <v>18</v>
      </c>
    </row>
    <row r="11" ht="16.1" spans="1:7">
      <c r="A11" s="7"/>
      <c r="B11" s="7" t="s">
        <v>19</v>
      </c>
      <c r="C11" s="7" t="s">
        <v>17</v>
      </c>
      <c r="D11" s="7">
        <v>280000</v>
      </c>
      <c r="E11" s="7">
        <v>30000</v>
      </c>
      <c r="F11" s="8">
        <v>44253</v>
      </c>
      <c r="G11" s="7" t="s">
        <v>20</v>
      </c>
    </row>
    <row r="12" ht="16.1" spans="1:7">
      <c r="A12" s="13" t="s">
        <v>21</v>
      </c>
      <c r="B12" s="7" t="s">
        <v>9</v>
      </c>
      <c r="C12" s="14">
        <v>21</v>
      </c>
      <c r="D12" s="14">
        <f t="shared" ref="D12:D17" si="0">C12*650</f>
        <v>13650</v>
      </c>
      <c r="E12" s="14">
        <f t="shared" ref="E12:E19" si="1">D12*0.3</f>
        <v>4095</v>
      </c>
      <c r="F12" s="15">
        <v>44564</v>
      </c>
      <c r="G12" s="16"/>
    </row>
    <row r="13" ht="16.1" spans="1:7">
      <c r="A13" s="13"/>
      <c r="B13" s="7" t="s">
        <v>11</v>
      </c>
      <c r="C13" s="14">
        <v>84</v>
      </c>
      <c r="D13" s="14">
        <f t="shared" si="0"/>
        <v>54600</v>
      </c>
      <c r="E13" s="14">
        <f t="shared" si="1"/>
        <v>16380</v>
      </c>
      <c r="F13" s="15">
        <v>44602</v>
      </c>
      <c r="G13" s="16"/>
    </row>
    <row r="14" ht="16.1" spans="1:7">
      <c r="A14" s="13"/>
      <c r="B14" s="7" t="s">
        <v>12</v>
      </c>
      <c r="C14" s="14">
        <v>116</v>
      </c>
      <c r="D14" s="14">
        <f t="shared" si="0"/>
        <v>75400</v>
      </c>
      <c r="E14" s="14">
        <f t="shared" si="1"/>
        <v>22620</v>
      </c>
      <c r="F14" s="15">
        <v>44562</v>
      </c>
      <c r="G14" s="16"/>
    </row>
    <row r="15" ht="16.1" spans="1:7">
      <c r="A15" s="13"/>
      <c r="B15" s="7" t="s">
        <v>13</v>
      </c>
      <c r="C15" s="14">
        <v>77</v>
      </c>
      <c r="D15" s="14">
        <f t="shared" si="0"/>
        <v>50050</v>
      </c>
      <c r="E15" s="14">
        <f t="shared" si="1"/>
        <v>15015</v>
      </c>
      <c r="F15" s="15">
        <v>44583</v>
      </c>
      <c r="G15" s="16"/>
    </row>
    <row r="16" ht="16.1" spans="1:7">
      <c r="A16" s="13"/>
      <c r="B16" s="7" t="s">
        <v>14</v>
      </c>
      <c r="C16" s="14">
        <v>47</v>
      </c>
      <c r="D16" s="14">
        <f t="shared" si="0"/>
        <v>30550</v>
      </c>
      <c r="E16" s="14">
        <f t="shared" si="1"/>
        <v>9165</v>
      </c>
      <c r="F16" s="15">
        <v>44586</v>
      </c>
      <c r="G16" s="16"/>
    </row>
    <row r="17" ht="16.1" spans="1:7">
      <c r="A17" s="13"/>
      <c r="B17" s="7" t="s">
        <v>15</v>
      </c>
      <c r="C17" s="14">
        <v>223</v>
      </c>
      <c r="D17" s="14">
        <f t="shared" si="0"/>
        <v>144950</v>
      </c>
      <c r="E17" s="14">
        <f t="shared" si="1"/>
        <v>43485</v>
      </c>
      <c r="F17" s="15">
        <v>44563</v>
      </c>
      <c r="G17" s="16"/>
    </row>
    <row r="18" ht="16.1" spans="1:7">
      <c r="A18" s="13"/>
      <c r="B18" s="14" t="s">
        <v>22</v>
      </c>
      <c r="C18" s="14" t="s">
        <v>17</v>
      </c>
      <c r="D18" s="14">
        <v>280000</v>
      </c>
      <c r="E18" s="14">
        <f t="shared" si="1"/>
        <v>84000</v>
      </c>
      <c r="F18" s="15">
        <v>44563</v>
      </c>
      <c r="G18" s="17"/>
    </row>
    <row r="19" ht="16.15" spans="1:7">
      <c r="A19" s="13"/>
      <c r="B19" s="18" t="s">
        <v>23</v>
      </c>
      <c r="C19" s="18" t="s">
        <v>17</v>
      </c>
      <c r="D19" s="18">
        <v>280000</v>
      </c>
      <c r="E19" s="18">
        <f t="shared" si="1"/>
        <v>84000</v>
      </c>
      <c r="F19" s="15">
        <v>44664</v>
      </c>
      <c r="G19" s="16"/>
    </row>
    <row r="20" spans="5:5">
      <c r="E20" s="19">
        <f>SUM(E4:E19)</f>
        <v>436815</v>
      </c>
    </row>
  </sheetData>
  <mergeCells count="4">
    <mergeCell ref="A4:A11"/>
    <mergeCell ref="A12:A19"/>
    <mergeCell ref="G4:G8"/>
    <mergeCell ref="A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Sunny灿灿</dc:creator>
  <cp:lastModifiedBy>王灿平Sunny</cp:lastModifiedBy>
  <dcterms:created xsi:type="dcterms:W3CDTF">2022-06-23T12:37:00Z</dcterms:created>
  <dcterms:modified xsi:type="dcterms:W3CDTF">2022-06-23T15:14:12Z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F9E64DC608D64A92AD5379BEBE972D8D</vt:lpwstr>
  </property>
  <property fmtid="{D5CDD505-2E9C-101B-9397-08002B2CF9AE}" pid="3" name="KSOProductBuildVer">
    <vt:lpwstr>2052-11.1.0.10356</vt:lpwstr>
  </property>
</Properties>
</file>