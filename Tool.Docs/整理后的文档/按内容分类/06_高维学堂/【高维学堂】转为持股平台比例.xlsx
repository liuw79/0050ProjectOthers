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60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<sst xmlns="http://schemas.openxmlformats.org/spreadsheetml/2006/main" count="13" uniqueCount="13">
  <si>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姓名</t>
  </si>
  <si>
    <t>合计</t>
  </si>
  <si>
    <t>占高维信息比例</t>
  </si>
  <si>
    <t>占持股平台比例</t>
  </si>
  <si>
    <t>任杰欣</t>
  </si>
  <si>
    <t>伍悦</t>
  </si>
  <si>
    <t>杨丽娇</t>
  </si>
  <si>
    <t>张可馨</t>
  </si>
  <si>
    <t>丁芹伟</t>
  </si>
  <si>
    <t>李宝声</t>
  </si>
  <si>
    <t>肖晓</t>
  </si>
  <si>
    <t>总股数</t>
  </si>
  <si>
    <t>持股平台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</si>
</sst>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center" vertical="center"/>
    </xf>
    <xf numFmtId="176" fontId="0" fillId="0" borderId="1" xfId="3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I13" sqref="I13"/>
    </sheetView>
  </sheetViews>
  <sheetFormatPr defaultColWidth="9.23076923076923" defaultRowHeight="16.8"/>
  <cols>
    <col min="2" max="2" width="11.7692307692308"/>
    <col min="3" max="7" width="11.8461538461538"/>
    <col min="8" max="9" width="17.6153846153846" customWidth="1"/>
  </cols>
  <sheetData>
    <row r="1" spans="1:9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 t="s">
        <v>1</v>
      </c>
      <c r="H1" s="1" t="s">
        <v>2</v>
      </c>
      <c r="I1" s="1" t="s">
        <v>3</v>
      </c>
    </row>
    <row r="2" spans="1:9">
      <c r="A2" s="1" t="s">
        <v>4</v>
      </c>
      <c r="B2" s="2"/>
      <c r="C2" s="2">
        <v>65240</v>
      </c>
      <c r="D2" s="2">
        <v>62400</v>
      </c>
      <c r="E2" s="2">
        <v>35100</v>
      </c>
      <c r="F2" s="2">
        <v>54600</v>
      </c>
      <c r="G2" s="2">
        <f>SUM(B2:F2)</f>
        <v>217340</v>
      </c>
      <c r="H2" s="4">
        <f>G2/$B$10</f>
        <v>0.0010867</v>
      </c>
      <c r="I2" s="4">
        <f>H2/$B$11</f>
        <v>0.0134993788819876</v>
      </c>
    </row>
    <row r="3" spans="1:9">
      <c r="A3" s="1" t="s">
        <v>5</v>
      </c>
      <c r="B3" s="2"/>
      <c r="C3" s="2">
        <v>52966</v>
      </c>
      <c r="D3" s="2">
        <v>83200</v>
      </c>
      <c r="E3" s="2">
        <v>68900</v>
      </c>
      <c r="F3" s="2">
        <v>75400</v>
      </c>
      <c r="G3" s="2">
        <f t="shared" ref="G3:G8" si="0">SUM(B3:F3)</f>
        <v>280466</v>
      </c>
      <c r="H3" s="4">
        <f t="shared" ref="H3:H8" si="1">G3/$B$10</f>
        <v>0.00140233</v>
      </c>
      <c r="I3" s="4">
        <f t="shared" ref="I3:I8" si="2">H3/$B$11</f>
        <v>0.017420248447205</v>
      </c>
    </row>
    <row r="4" spans="1:9">
      <c r="A4" s="1" t="s">
        <v>6</v>
      </c>
      <c r="B4" s="2"/>
      <c r="C4" s="2"/>
      <c r="D4" s="2">
        <v>62400</v>
      </c>
      <c r="E4" s="2">
        <v>17550</v>
      </c>
      <c r="F4" s="2">
        <v>30550</v>
      </c>
      <c r="G4" s="2">
        <f t="shared" si="0"/>
        <v>110500</v>
      </c>
      <c r="H4" s="4">
        <f t="shared" si="1"/>
        <v>0.0005525</v>
      </c>
      <c r="I4" s="4">
        <f t="shared" si="2"/>
        <v>0.00686335403726708</v>
      </c>
    </row>
    <row r="5" spans="1:9">
      <c r="A5" s="1" t="s">
        <v>7</v>
      </c>
      <c r="B5" s="2"/>
      <c r="C5" s="2">
        <v>250230</v>
      </c>
      <c r="D5" s="2">
        <v>171600</v>
      </c>
      <c r="E5" s="2">
        <v>83850</v>
      </c>
      <c r="F5" s="2">
        <v>144950</v>
      </c>
      <c r="G5" s="2">
        <f t="shared" si="0"/>
        <v>650630</v>
      </c>
      <c r="H5" s="4">
        <f t="shared" si="1"/>
        <v>0.00325315</v>
      </c>
      <c r="I5" s="4">
        <f t="shared" si="2"/>
        <v>0.040411801242236</v>
      </c>
    </row>
    <row r="6" spans="1:9">
      <c r="A6" s="1" t="s">
        <v>8</v>
      </c>
      <c r="B6" s="2">
        <v>50001</v>
      </c>
      <c r="C6" s="2">
        <v>200000</v>
      </c>
      <c r="D6" s="2">
        <v>200000</v>
      </c>
      <c r="E6" s="2">
        <v>100000</v>
      </c>
      <c r="F6" s="2"/>
      <c r="G6" s="2">
        <f t="shared" si="0"/>
        <v>550001</v>
      </c>
      <c r="H6" s="4">
        <f t="shared" si="1"/>
        <v>0.002750005</v>
      </c>
      <c r="I6" s="4">
        <f t="shared" si="2"/>
        <v>0.0341615527950311</v>
      </c>
    </row>
    <row r="7" spans="1:9">
      <c r="A7" s="1" t="s">
        <v>9</v>
      </c>
      <c r="B7" s="2">
        <v>50001</v>
      </c>
      <c r="C7" s="2">
        <v>200000</v>
      </c>
      <c r="D7" s="2">
        <v>200000</v>
      </c>
      <c r="E7" s="2"/>
      <c r="F7" s="2">
        <v>280000</v>
      </c>
      <c r="G7" s="2">
        <f t="shared" si="0"/>
        <v>730001</v>
      </c>
      <c r="H7" s="4">
        <f t="shared" si="1"/>
        <v>0.003650005</v>
      </c>
      <c r="I7" s="4">
        <f t="shared" si="2"/>
        <v>0.0453416770186335</v>
      </c>
    </row>
    <row r="8" spans="1:9">
      <c r="A8" s="1" t="s">
        <v>10</v>
      </c>
      <c r="B8" s="2"/>
      <c r="C8" s="2">
        <v>77124</v>
      </c>
      <c r="D8" s="2">
        <v>59800</v>
      </c>
      <c r="E8" s="2">
        <v>17550</v>
      </c>
      <c r="F8" s="2">
        <v>50050</v>
      </c>
      <c r="G8" s="2">
        <f t="shared" si="0"/>
        <v>204524</v>
      </c>
      <c r="H8" s="4">
        <f t="shared" si="1"/>
        <v>0.00102262</v>
      </c>
      <c r="I8" s="4">
        <f t="shared" si="2"/>
        <v>0.0127033540372671</v>
      </c>
    </row>
    <row r="9" spans="9:9">
      <c r="I9" s="4">
        <f>SUM(I2:I8)</f>
        <v>0.170401366459627</v>
      </c>
    </row>
    <row r="10" spans="1:2">
      <c r="A10" s="1" t="s">
        <v>11</v>
      </c>
      <c r="B10" s="1">
        <v>200000000</v>
      </c>
    </row>
    <row r="11" spans="1:2">
      <c r="A11" s="1" t="s">
        <v>12</v>
      </c>
      <c r="B11" s="3">
        <v>0.0805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yinlianfu</dc:creator>
  <cp:lastModifiedBy>大成</cp:lastModifiedBy>
  <dcterms:created xsi:type="dcterms:W3CDTF">2025-01-08T17:59:00Z</dcterms:created>
  <dcterms:modified xsi:type="dcterms:W3CDTF">2025-03-04T23:49:01Z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54988F76F1A65F3DE8DB7D676D0DB287_41</vt:lpwstr>
  </property>
  <property fmtid="{D5CDD505-2E9C-101B-9397-08002B2CF9AE}" pid="3" name="KSOProductBuildVer">
    <vt:lpwstr>2052-7.2.1.8947</vt:lpwstr>
  </property>
</Properties>
</file>