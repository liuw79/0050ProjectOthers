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690"/>
  </bookViews>
  <sheets>
    <sheet name="Sheet1" sheetId="1" r:id="rId1"/>
    <sheet name="Sheet2" sheetId="2" r:id="rId2"/>
    <sheet name="Sheet3" sheetId="3" r:id="rId3"/>
  </sheets>
  <calcPr calcId="144525"/>
</workbook>
</file>

<file path=xl/comments1.xml><?xml version="1.0" encoding="utf-8"?>
<comments xmlns="http://schemas.openxmlformats.org/spreadsheetml/2006/main">
  <authors>
    <author>*</author>
    <author>X</author>
    <author>Administrator</author>
  </authors>
  <commentList>
    <comment ref="B4" authorId="0">
      <text>
        <r>
          <rPr>
            <b/>
            <sz val="9"/>
            <rFont val="宋体"/>
            <charset val="134"/>
          </rPr>
          <t>*:</t>
        </r>
        <r>
          <rPr>
            <sz val="9"/>
            <rFont val="宋体"/>
            <charset val="134"/>
          </rPr>
          <t xml:space="preserve">
2018.4.1-4.30试用期
</t>
        </r>
      </text>
    </comment>
    <comment ref="J4" authorId="1">
      <text>
        <r>
          <rPr>
            <b/>
            <sz val="9"/>
            <rFont val="宋体"/>
            <charset val="134"/>
          </rPr>
          <t>X:</t>
        </r>
        <r>
          <rPr>
            <sz val="9"/>
            <rFont val="宋体"/>
            <charset val="134"/>
          </rPr>
          <t xml:space="preserve">
租房1500</t>
        </r>
      </text>
    </comment>
    <comment ref="B5" authorId="2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2020.06.11入职，试用期两个月，工资20K，社保基数4000</t>
        </r>
      </text>
    </comment>
    <comment ref="B6" authorId="2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2020.08.10入职，社保公积金在9月份开始缴纳广州地，试用期三个月，月薪20K</t>
        </r>
      </text>
    </comment>
    <comment ref="B7" authorId="1">
      <text>
        <r>
          <rPr>
            <b/>
            <sz val="9"/>
            <rFont val="宋体"/>
            <charset val="134"/>
          </rPr>
          <t>X:</t>
        </r>
        <r>
          <rPr>
            <sz val="9"/>
            <rFont val="宋体"/>
            <charset val="134"/>
          </rPr>
          <t xml:space="preserve">
2020.03.06入职，试用期三个月，工资13000</t>
        </r>
      </text>
    </comment>
    <comment ref="J7" authorId="1">
      <text>
        <r>
          <rPr>
            <b/>
            <sz val="9"/>
            <rFont val="宋体"/>
            <charset val="134"/>
          </rPr>
          <t>X:</t>
        </r>
        <r>
          <rPr>
            <sz val="9"/>
            <rFont val="宋体"/>
            <charset val="134"/>
          </rPr>
          <t xml:space="preserve">
租房1500</t>
        </r>
      </text>
    </comment>
    <comment ref="B8" authorId="2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2020.10.19入职，月薪13k,试用期三个月</t>
        </r>
      </text>
    </comment>
    <comment ref="J9" authorId="1">
      <text>
        <r>
          <rPr>
            <b/>
            <sz val="9"/>
            <rFont val="宋体"/>
            <charset val="134"/>
          </rPr>
          <t>X:</t>
        </r>
        <r>
          <rPr>
            <sz val="9"/>
            <rFont val="宋体"/>
            <charset val="134"/>
          </rPr>
          <t xml:space="preserve">
房贷1000</t>
        </r>
      </text>
    </comment>
    <comment ref="B10" authorId="2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2019年1月1日入职</t>
        </r>
      </text>
    </comment>
    <comment ref="J10" authorId="1">
      <text>
        <r>
          <rPr>
            <b/>
            <sz val="9"/>
            <rFont val="宋体"/>
            <charset val="134"/>
          </rPr>
          <t>X:</t>
        </r>
        <r>
          <rPr>
            <sz val="9"/>
            <rFont val="宋体"/>
            <charset val="134"/>
          </rPr>
          <t xml:space="preserve">
租房1500，赡养1000
</t>
        </r>
      </text>
    </comment>
    <comment ref="B11" authorId="2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李雅雯370802198911193621，试用期从2019 年05 月 05 日起至 2019 年 08 月 04 日止，工资总额25000，正式期工资总额同25000</t>
        </r>
      </text>
    </comment>
    <comment ref="J11" authorId="1">
      <text>
        <r>
          <rPr>
            <b/>
            <sz val="9"/>
            <rFont val="宋体"/>
            <charset val="134"/>
          </rPr>
          <t>X:</t>
        </r>
        <r>
          <rPr>
            <sz val="9"/>
            <rFont val="宋体"/>
            <charset val="134"/>
          </rPr>
          <t xml:space="preserve">
租房1500</t>
        </r>
      </text>
    </comment>
    <comment ref="B12" authorId="2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2019.11.04入职</t>
        </r>
      </text>
    </comment>
    <comment ref="J12" authorId="1">
      <text>
        <r>
          <rPr>
            <b/>
            <sz val="9"/>
            <rFont val="宋体"/>
            <charset val="134"/>
          </rPr>
          <t>X:</t>
        </r>
        <r>
          <rPr>
            <sz val="9"/>
            <rFont val="宋体"/>
            <charset val="134"/>
          </rPr>
          <t xml:space="preserve">
租房1500</t>
        </r>
      </text>
    </comment>
    <comment ref="B13" authorId="1">
      <text>
        <r>
          <rPr>
            <sz val="9"/>
            <rFont val="宋体"/>
            <charset val="134"/>
          </rPr>
          <t>2020年4月1日入职，试用期三个月</t>
        </r>
      </text>
    </comment>
    <comment ref="B14" authorId="1">
      <text>
        <r>
          <rPr>
            <b/>
            <sz val="9"/>
            <rFont val="宋体"/>
            <charset val="134"/>
          </rPr>
          <t>X:</t>
        </r>
        <r>
          <rPr>
            <sz val="9"/>
            <rFont val="宋体"/>
            <charset val="134"/>
          </rPr>
          <t xml:space="preserve">
2020.02.03入职，试用期两个月</t>
        </r>
      </text>
    </comment>
    <comment ref="J14" authorId="1">
      <text>
        <r>
          <rPr>
            <b/>
            <sz val="9"/>
            <rFont val="宋体"/>
            <charset val="134"/>
          </rPr>
          <t>X:</t>
        </r>
        <r>
          <rPr>
            <sz val="9"/>
            <rFont val="宋体"/>
            <charset val="134"/>
          </rPr>
          <t xml:space="preserve">
子女500，房贷1000，赡养2000</t>
        </r>
      </text>
    </comment>
    <comment ref="J15" authorId="1">
      <text>
        <r>
          <rPr>
            <b/>
            <sz val="9"/>
            <rFont val="宋体"/>
            <charset val="134"/>
          </rPr>
          <t>X:</t>
        </r>
        <r>
          <rPr>
            <sz val="9"/>
            <rFont val="宋体"/>
            <charset val="134"/>
          </rPr>
          <t xml:space="preserve">
子女2000，房贷1000，赡养1000</t>
        </r>
      </text>
    </comment>
    <comment ref="J16" authorId="1">
      <text>
        <r>
          <rPr>
            <b/>
            <sz val="9"/>
            <rFont val="宋体"/>
            <charset val="134"/>
          </rPr>
          <t>X:</t>
        </r>
        <r>
          <rPr>
            <sz val="9"/>
            <rFont val="宋体"/>
            <charset val="134"/>
          </rPr>
          <t xml:space="preserve">
赡养2000</t>
        </r>
      </text>
    </comment>
    <comment ref="B18" authorId="0">
      <text>
        <r>
          <rPr>
            <b/>
            <sz val="9"/>
            <rFont val="宋体"/>
            <charset val="134"/>
          </rPr>
          <t>*:</t>
        </r>
        <r>
          <rPr>
            <sz val="9"/>
            <rFont val="宋体"/>
            <charset val="134"/>
          </rPr>
          <t xml:space="preserve">
2018.6.1入职</t>
        </r>
      </text>
    </comment>
    <comment ref="J18" authorId="1">
      <text>
        <r>
          <rPr>
            <b/>
            <sz val="9"/>
            <rFont val="宋体"/>
            <charset val="134"/>
          </rPr>
          <t>X:</t>
        </r>
        <r>
          <rPr>
            <sz val="9"/>
            <rFont val="宋体"/>
            <charset val="134"/>
          </rPr>
          <t xml:space="preserve">
租房1500</t>
        </r>
      </text>
    </comment>
    <comment ref="B19" authorId="2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2019.11.01入职，无试用期，月薪12000，缴费基数4000</t>
        </r>
      </text>
    </comment>
    <comment ref="J19" authorId="1">
      <text>
        <r>
          <rPr>
            <b/>
            <sz val="9"/>
            <rFont val="宋体"/>
            <charset val="134"/>
          </rPr>
          <t>X:</t>
        </r>
        <r>
          <rPr>
            <sz val="9"/>
            <rFont val="宋体"/>
            <charset val="134"/>
          </rPr>
          <t xml:space="preserve">
子女500</t>
        </r>
      </text>
    </comment>
    <comment ref="B20" authorId="1">
      <text>
        <r>
          <rPr>
            <b/>
            <sz val="9"/>
            <rFont val="宋体"/>
            <charset val="134"/>
          </rPr>
          <t>X:</t>
        </r>
        <r>
          <rPr>
            <sz val="9"/>
            <rFont val="宋体"/>
            <charset val="134"/>
          </rPr>
          <t xml:space="preserve">
2020.03.01入职，无试用期，职级高潜2</t>
        </r>
      </text>
    </comment>
    <comment ref="J20" authorId="1">
      <text>
        <r>
          <rPr>
            <b/>
            <sz val="9"/>
            <rFont val="宋体"/>
            <charset val="134"/>
          </rPr>
          <t>X:</t>
        </r>
        <r>
          <rPr>
            <sz val="9"/>
            <rFont val="宋体"/>
            <charset val="134"/>
          </rPr>
          <t xml:space="preserve">
租房1500</t>
        </r>
      </text>
    </comment>
    <comment ref="B21" authorId="2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2020.10.12入职</t>
        </r>
      </text>
    </comment>
    <comment ref="B22" authorId="2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2018.11.11入职</t>
        </r>
      </text>
    </comment>
    <comment ref="J22" authorId="1">
      <text>
        <r>
          <rPr>
            <b/>
            <sz val="9"/>
            <rFont val="宋体"/>
            <charset val="134"/>
          </rPr>
          <t>X:</t>
        </r>
        <r>
          <rPr>
            <sz val="9"/>
            <rFont val="宋体"/>
            <charset val="134"/>
          </rPr>
          <t xml:space="preserve">
子女500，租房1500，赡养1000</t>
        </r>
      </text>
    </comment>
    <comment ref="B23" authorId="0">
      <text>
        <r>
          <rPr>
            <b/>
            <sz val="9"/>
            <rFont val="宋体"/>
            <charset val="134"/>
          </rPr>
          <t>*:</t>
        </r>
        <r>
          <rPr>
            <sz val="9"/>
            <rFont val="宋体"/>
            <charset val="134"/>
          </rPr>
          <t xml:space="preserve">
2018.7.24入职</t>
        </r>
      </text>
    </comment>
    <comment ref="J23" authorId="1">
      <text>
        <r>
          <rPr>
            <b/>
            <sz val="9"/>
            <rFont val="宋体"/>
            <charset val="134"/>
          </rPr>
          <t>X:</t>
        </r>
        <r>
          <rPr>
            <sz val="9"/>
            <rFont val="宋体"/>
            <charset val="134"/>
          </rPr>
          <t xml:space="preserve">
租房1500</t>
        </r>
      </text>
    </comment>
  </commentList>
</comments>
</file>

<file path=xl/sharedStrings.xml><?xml version="1.0" encoding="utf-8"?>
<sst xmlns="http://schemas.openxmlformats.org/spreadsheetml/2006/main" count="67" uniqueCount="50">
  <si>
    <t>高维信息技术（深圳）有限公司2020年12月工资表</t>
  </si>
  <si>
    <t>部门</t>
  </si>
  <si>
    <t>姓名</t>
  </si>
  <si>
    <t>基本工资</t>
  </si>
  <si>
    <t>职级工资</t>
  </si>
  <si>
    <t>绩效工资</t>
  </si>
  <si>
    <t>应发工资</t>
  </si>
  <si>
    <t>其他补发（扣）</t>
  </si>
  <si>
    <t>社保个人</t>
  </si>
  <si>
    <t>公积金个人</t>
  </si>
  <si>
    <t>专项附加扣除</t>
  </si>
  <si>
    <t>应税所得额</t>
  </si>
  <si>
    <t>税率</t>
  </si>
  <si>
    <t>扣除数</t>
  </si>
  <si>
    <t>个税</t>
  </si>
  <si>
    <t>实发工资</t>
  </si>
  <si>
    <t>备注</t>
  </si>
  <si>
    <t>产品中心</t>
  </si>
  <si>
    <t>林传科</t>
  </si>
  <si>
    <t>刘振华</t>
  </si>
  <si>
    <t>张文龙</t>
  </si>
  <si>
    <t>黄文锋</t>
  </si>
  <si>
    <t>秦婷婷</t>
  </si>
  <si>
    <t>丁晨艳</t>
  </si>
  <si>
    <t>本期支付11月工资12292.09</t>
  </si>
  <si>
    <t>内容中心</t>
  </si>
  <si>
    <t>丁芹伟</t>
  </si>
  <si>
    <t>姚叶萱</t>
  </si>
  <si>
    <t>李雅雯</t>
  </si>
  <si>
    <t>段琦洁</t>
  </si>
  <si>
    <t>陈松月</t>
  </si>
  <si>
    <t>品牌中心</t>
  </si>
  <si>
    <t>关囡</t>
  </si>
  <si>
    <t>技术中心</t>
  </si>
  <si>
    <t>刘伟</t>
  </si>
  <si>
    <t>李宝声</t>
  </si>
  <si>
    <t>运营中心</t>
  </si>
  <si>
    <t>林慧余</t>
  </si>
  <si>
    <t>肖霞</t>
  </si>
  <si>
    <t>王灿平</t>
  </si>
  <si>
    <t>曾珍</t>
  </si>
  <si>
    <t>薛明慧</t>
  </si>
  <si>
    <t>本次支付11月工资3425.64</t>
  </si>
  <si>
    <t>咨询中心</t>
  </si>
  <si>
    <t>刘发军</t>
  </si>
  <si>
    <t>财务中心</t>
  </si>
  <si>
    <t>袁杰</t>
  </si>
  <si>
    <t>陈延琴</t>
  </si>
  <si>
    <t>云账户支付</t>
  </si>
  <si>
    <t>林芸锋</t>
  </si>
</sst>
</file>

<file path=xl/styles.xml><?xml version="1.0" encoding="utf-8"?>
<styleSheet xmlns="http://schemas.openxmlformats.org/spreadsheetml/2006/main">
  <numFmts count="6">
    <numFmt numFmtId="176" formatCode="0.00_ "/>
    <numFmt numFmtId="177" formatCode="0.00_);[Red]\(0.00\)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41" formatCode="_ * #,##0_ ;_ * \-#,##0_ ;_ * &quot;-&quot;_ ;_ @_ "/>
  </numFmts>
  <fonts count="31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11"/>
      <name val="宋体"/>
      <charset val="134"/>
      <scheme val="minor"/>
    </font>
    <font>
      <b/>
      <sz val="20"/>
      <color theme="1"/>
      <name val="宋体"/>
      <charset val="134"/>
      <scheme val="minor"/>
    </font>
    <font>
      <b/>
      <sz val="10"/>
      <color theme="1"/>
      <name val="宋体"/>
      <charset val="134"/>
      <scheme val="minor"/>
    </font>
    <font>
      <sz val="10"/>
      <name val="宋体"/>
      <charset val="134"/>
      <scheme val="minor"/>
    </font>
    <font>
      <b/>
      <sz val="20"/>
      <name val="宋体"/>
      <charset val="134"/>
      <scheme val="minor"/>
    </font>
    <font>
      <b/>
      <sz val="10"/>
      <name val="宋体"/>
      <charset val="134"/>
      <scheme val="minor"/>
    </font>
    <font>
      <sz val="9"/>
      <color theme="1"/>
      <name val="宋体"/>
      <charset val="134"/>
      <scheme val="minor"/>
    </font>
    <font>
      <sz val="10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FA7D00"/>
      <name val="宋体"/>
      <charset val="0"/>
      <scheme val="minor"/>
    </font>
    <font>
      <sz val="9"/>
      <name val="宋体"/>
      <charset val="134"/>
    </font>
    <font>
      <b/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</fills>
  <borders count="15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2" fillId="6" borderId="7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12" borderId="8" applyNumberFormat="0" applyFont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10" applyNumberFormat="0" applyFill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8" fillId="16" borderId="9" applyNumberFormat="0" applyAlignment="0" applyProtection="0">
      <alignment vertical="center"/>
    </xf>
    <xf numFmtId="0" fontId="24" fillId="16" borderId="7" applyNumberFormat="0" applyAlignment="0" applyProtection="0">
      <alignment vertical="center"/>
    </xf>
    <xf numFmtId="0" fontId="25" fillId="19" borderId="12" applyNumberFormat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28" fillId="0" borderId="14" applyNumberFormat="0" applyFill="0" applyAlignment="0" applyProtection="0">
      <alignment vertical="center"/>
    </xf>
    <xf numFmtId="0" fontId="27" fillId="0" borderId="13" applyNumberFormat="0" applyFill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4" fillId="29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1" fillId="2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</cellStyleXfs>
  <cellXfs count="27">
    <xf numFmtId="0" fontId="0" fillId="0" borderId="0" xfId="0">
      <alignment vertical="center"/>
    </xf>
    <xf numFmtId="0" fontId="0" fillId="0" borderId="0" xfId="0" applyFont="1" applyFill="1" applyAlignment="1">
      <alignment vertical="center"/>
    </xf>
    <xf numFmtId="0" fontId="1" fillId="0" borderId="0" xfId="0" applyFont="1" applyFill="1" applyAlignment="1">
      <alignment vertical="center"/>
    </xf>
    <xf numFmtId="0" fontId="1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vertical="center"/>
    </xf>
    <xf numFmtId="177" fontId="3" fillId="0" borderId="0" xfId="0" applyNumberFormat="1" applyFont="1" applyFill="1" applyBorder="1" applyAlignment="1">
      <alignment horizontal="center" vertical="center"/>
    </xf>
    <xf numFmtId="177" fontId="4" fillId="0" borderId="1" xfId="0" applyNumberFormat="1" applyFont="1" applyFill="1" applyBorder="1" applyAlignment="1">
      <alignment horizontal="center" vertical="center"/>
    </xf>
    <xf numFmtId="177" fontId="4" fillId="0" borderId="2" xfId="0" applyNumberFormat="1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176" fontId="1" fillId="0" borderId="4" xfId="0" applyNumberFormat="1" applyFont="1" applyFill="1" applyBorder="1" applyAlignment="1">
      <alignment horizontal="center" vertical="center"/>
    </xf>
    <xf numFmtId="176" fontId="5" fillId="0" borderId="4" xfId="0" applyNumberFormat="1" applyFont="1" applyFill="1" applyBorder="1" applyAlignment="1">
      <alignment horizontal="center" vertical="center"/>
    </xf>
    <xf numFmtId="176" fontId="4" fillId="0" borderId="0" xfId="0" applyNumberFormat="1" applyFont="1" applyFill="1" applyAlignment="1">
      <alignment vertical="center"/>
    </xf>
    <xf numFmtId="0" fontId="0" fillId="0" borderId="0" xfId="0" applyFont="1" applyFill="1" applyBorder="1" applyAlignment="1">
      <alignment horizontal="center" vertical="center"/>
    </xf>
    <xf numFmtId="176" fontId="1" fillId="0" borderId="0" xfId="0" applyNumberFormat="1" applyFont="1" applyFill="1" applyBorder="1" applyAlignment="1">
      <alignment horizontal="center" vertical="center"/>
    </xf>
    <xf numFmtId="0" fontId="0" fillId="0" borderId="0" xfId="0" applyFont="1" applyFill="1" applyAlignment="1">
      <alignment horizontal="center" vertical="center"/>
    </xf>
    <xf numFmtId="4" fontId="0" fillId="0" borderId="0" xfId="0" applyNumberFormat="1" applyFont="1" applyFill="1" applyAlignment="1">
      <alignment horizontal="center" vertical="center"/>
    </xf>
    <xf numFmtId="43" fontId="2" fillId="0" borderId="0" xfId="8" applyFont="1" applyFill="1" applyAlignment="1">
      <alignment horizontal="right" vertical="center"/>
    </xf>
    <xf numFmtId="177" fontId="6" fillId="0" borderId="0" xfId="0" applyNumberFormat="1" applyFont="1" applyFill="1" applyBorder="1" applyAlignment="1">
      <alignment horizontal="center" vertical="center"/>
    </xf>
    <xf numFmtId="177" fontId="7" fillId="0" borderId="2" xfId="0" applyNumberFormat="1" applyFont="1" applyFill="1" applyBorder="1" applyAlignment="1">
      <alignment horizontal="center" vertical="center"/>
    </xf>
    <xf numFmtId="177" fontId="4" fillId="0" borderId="5" xfId="0" applyNumberFormat="1" applyFont="1" applyFill="1" applyBorder="1" applyAlignment="1">
      <alignment horizontal="center" vertical="center"/>
    </xf>
    <xf numFmtId="0" fontId="1" fillId="0" borderId="6" xfId="0" applyFont="1" applyFill="1" applyBorder="1" applyAlignment="1">
      <alignment horizontal="left" vertical="center"/>
    </xf>
    <xf numFmtId="0" fontId="8" fillId="0" borderId="6" xfId="0" applyFont="1" applyFill="1" applyBorder="1" applyAlignment="1">
      <alignment horizontal="left" vertical="center"/>
    </xf>
    <xf numFmtId="0" fontId="9" fillId="0" borderId="6" xfId="0" applyFont="1" applyFill="1" applyBorder="1" applyAlignment="1">
      <alignment horizontal="left" vertical="center"/>
    </xf>
    <xf numFmtId="176" fontId="7" fillId="0" borderId="0" xfId="0" applyNumberFormat="1" applyFont="1" applyFill="1" applyAlignment="1">
      <alignment vertical="center"/>
    </xf>
    <xf numFmtId="0" fontId="0" fillId="0" borderId="0" xfId="0" applyFont="1" applyFill="1" applyBorder="1" applyAlignment="1">
      <alignment vertical="center"/>
    </xf>
    <xf numFmtId="0" fontId="0" fillId="0" borderId="0" xfId="0" applyFont="1" applyFill="1" applyBorder="1" applyAlignment="1">
      <alignment horizontal="left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48"/>
  <sheetViews>
    <sheetView tabSelected="1" workbookViewId="0">
      <selection activeCell="J21" sqref="J21"/>
    </sheetView>
  </sheetViews>
  <sheetFormatPr defaultColWidth="9" defaultRowHeight="13.5"/>
  <cols>
    <col min="1" max="1" width="8.875" style="1" customWidth="1"/>
    <col min="2" max="2" width="9" style="1"/>
    <col min="3" max="3" width="9.25" style="1" hidden="1" customWidth="1"/>
    <col min="4" max="4" width="10.25" style="1" hidden="1" customWidth="1"/>
    <col min="5" max="5" width="9.16666666666667" style="1" hidden="1" customWidth="1"/>
    <col min="6" max="6" width="11.3833333333333" style="1" customWidth="1"/>
    <col min="7" max="7" width="11.625" style="1" customWidth="1"/>
    <col min="8" max="8" width="10.125" style="1" customWidth="1"/>
    <col min="9" max="9" width="11.525" style="1" customWidth="1"/>
    <col min="10" max="11" width="11.875" style="1" customWidth="1"/>
    <col min="12" max="12" width="8.81666666666667" style="1" customWidth="1"/>
    <col min="13" max="13" width="11.875" style="1" customWidth="1"/>
    <col min="14" max="14" width="10.75" style="1" customWidth="1"/>
    <col min="15" max="15" width="11.9083333333333" style="4" customWidth="1"/>
    <col min="16" max="16" width="26.75" style="1" customWidth="1"/>
    <col min="17" max="16384" width="9" style="1"/>
  </cols>
  <sheetData>
    <row r="1" s="1" customFormat="1" ht="40.5" customHeight="1" spans="1:16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18"/>
      <c r="P1" s="5"/>
    </row>
    <row r="2" s="2" customFormat="1" ht="25.5" customHeight="1" spans="1:16">
      <c r="A2" s="6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7" t="s">
        <v>6</v>
      </c>
      <c r="G2" s="7" t="s">
        <v>7</v>
      </c>
      <c r="H2" s="7" t="s">
        <v>8</v>
      </c>
      <c r="I2" s="7" t="s">
        <v>9</v>
      </c>
      <c r="J2" s="7" t="s">
        <v>10</v>
      </c>
      <c r="K2" s="7" t="s">
        <v>11</v>
      </c>
      <c r="L2" s="7" t="s">
        <v>12</v>
      </c>
      <c r="M2" s="7" t="s">
        <v>13</v>
      </c>
      <c r="N2" s="7" t="s">
        <v>14</v>
      </c>
      <c r="O2" s="19" t="s">
        <v>15</v>
      </c>
      <c r="P2" s="20" t="s">
        <v>16</v>
      </c>
    </row>
    <row r="3" s="3" customFormat="1" ht="20.25" customHeight="1" spans="1:16">
      <c r="A3" s="8" t="s">
        <v>17</v>
      </c>
      <c r="B3" s="9" t="s">
        <v>18</v>
      </c>
      <c r="C3" s="10">
        <v>6000</v>
      </c>
      <c r="D3" s="10">
        <v>10000</v>
      </c>
      <c r="E3" s="10">
        <v>9000</v>
      </c>
      <c r="F3" s="10">
        <f t="shared" ref="F3:F7" si="0">SUM(C3:E3)</f>
        <v>25000</v>
      </c>
      <c r="G3" s="10"/>
      <c r="H3" s="11">
        <v>614.36</v>
      </c>
      <c r="I3" s="11">
        <v>0</v>
      </c>
      <c r="J3" s="10">
        <v>5000</v>
      </c>
      <c r="K3" s="10">
        <f t="shared" ref="K3:K20" si="1">F3+G3-H3-I3-J3-5000</f>
        <v>14385.64</v>
      </c>
      <c r="L3" s="10">
        <v>0.2</v>
      </c>
      <c r="M3" s="10">
        <v>1410</v>
      </c>
      <c r="N3" s="10">
        <f t="shared" ref="N3:N20" si="2">ROUND(K3*L3-M3,2)</f>
        <v>1467.13</v>
      </c>
      <c r="O3" s="11">
        <f t="shared" ref="O3:O23" si="3">F3+G3-H3-I3-N3</f>
        <v>22918.51</v>
      </c>
      <c r="P3" s="21"/>
    </row>
    <row r="4" s="3" customFormat="1" ht="20.25" customHeight="1" spans="1:16">
      <c r="A4" s="8" t="s">
        <v>17</v>
      </c>
      <c r="B4" s="9" t="s">
        <v>19</v>
      </c>
      <c r="C4" s="10">
        <v>2000</v>
      </c>
      <c r="D4" s="10">
        <v>9000</v>
      </c>
      <c r="E4" s="10">
        <v>9000</v>
      </c>
      <c r="F4" s="10">
        <f t="shared" si="0"/>
        <v>20000</v>
      </c>
      <c r="G4" s="10"/>
      <c r="H4" s="11">
        <v>311.96</v>
      </c>
      <c r="I4" s="11">
        <v>360</v>
      </c>
      <c r="J4" s="10">
        <v>0</v>
      </c>
      <c r="K4" s="10">
        <f t="shared" si="1"/>
        <v>14328.04</v>
      </c>
      <c r="L4" s="10">
        <v>0.2</v>
      </c>
      <c r="M4" s="10">
        <v>1410</v>
      </c>
      <c r="N4" s="10">
        <f t="shared" si="2"/>
        <v>1455.61</v>
      </c>
      <c r="O4" s="11">
        <f t="shared" si="3"/>
        <v>17872.43</v>
      </c>
      <c r="P4" s="22"/>
    </row>
    <row r="5" s="3" customFormat="1" ht="20.25" customHeight="1" spans="1:16">
      <c r="A5" s="8" t="s">
        <v>17</v>
      </c>
      <c r="B5" s="9" t="s">
        <v>20</v>
      </c>
      <c r="C5" s="10">
        <v>4000</v>
      </c>
      <c r="D5" s="10">
        <v>9000</v>
      </c>
      <c r="E5" s="10">
        <v>7000</v>
      </c>
      <c r="F5" s="10">
        <f t="shared" si="0"/>
        <v>20000</v>
      </c>
      <c r="G5" s="10"/>
      <c r="H5" s="11">
        <v>454.36</v>
      </c>
      <c r="I5" s="11">
        <v>480</v>
      </c>
      <c r="J5" s="10">
        <v>2500</v>
      </c>
      <c r="K5" s="10">
        <f t="shared" si="1"/>
        <v>11565.64</v>
      </c>
      <c r="L5" s="10">
        <v>0.1</v>
      </c>
      <c r="M5" s="10">
        <v>210</v>
      </c>
      <c r="N5" s="10">
        <f t="shared" si="2"/>
        <v>946.56</v>
      </c>
      <c r="O5" s="11">
        <f t="shared" si="3"/>
        <v>18119.08</v>
      </c>
      <c r="P5" s="22"/>
    </row>
    <row r="6" s="3" customFormat="1" ht="20.25" customHeight="1" spans="1:16">
      <c r="A6" s="8" t="s">
        <v>17</v>
      </c>
      <c r="B6" s="9" t="s">
        <v>21</v>
      </c>
      <c r="C6" s="10">
        <v>4000</v>
      </c>
      <c r="D6" s="10">
        <v>9000</v>
      </c>
      <c r="E6" s="10">
        <v>7000</v>
      </c>
      <c r="F6" s="10">
        <f t="shared" si="0"/>
        <v>20000</v>
      </c>
      <c r="G6" s="10"/>
      <c r="H6" s="11">
        <v>431.94</v>
      </c>
      <c r="I6" s="11">
        <v>210</v>
      </c>
      <c r="J6" s="10">
        <v>0</v>
      </c>
      <c r="K6" s="10">
        <f t="shared" si="1"/>
        <v>14358.06</v>
      </c>
      <c r="L6" s="10">
        <v>0.2</v>
      </c>
      <c r="M6" s="10">
        <v>1410</v>
      </c>
      <c r="N6" s="10">
        <f t="shared" si="2"/>
        <v>1461.61</v>
      </c>
      <c r="O6" s="11">
        <f t="shared" si="3"/>
        <v>17896.45</v>
      </c>
      <c r="P6" s="22"/>
    </row>
    <row r="7" s="3" customFormat="1" ht="20.25" customHeight="1" spans="1:16">
      <c r="A7" s="8" t="s">
        <v>17</v>
      </c>
      <c r="B7" s="9" t="s">
        <v>22</v>
      </c>
      <c r="C7" s="10">
        <v>2200</v>
      </c>
      <c r="D7" s="10">
        <v>5300</v>
      </c>
      <c r="E7" s="10">
        <v>5500</v>
      </c>
      <c r="F7" s="10">
        <f t="shared" si="0"/>
        <v>13000</v>
      </c>
      <c r="G7" s="10"/>
      <c r="H7" s="11">
        <v>310.36</v>
      </c>
      <c r="I7" s="11">
        <v>264</v>
      </c>
      <c r="J7" s="10">
        <v>1500</v>
      </c>
      <c r="K7" s="10">
        <f t="shared" si="1"/>
        <v>5925.64</v>
      </c>
      <c r="L7" s="10">
        <v>0.1</v>
      </c>
      <c r="M7" s="10">
        <v>210</v>
      </c>
      <c r="N7" s="10">
        <f t="shared" si="2"/>
        <v>382.56</v>
      </c>
      <c r="O7" s="11">
        <f t="shared" si="3"/>
        <v>12043.08</v>
      </c>
      <c r="P7" s="21"/>
    </row>
    <row r="8" s="3" customFormat="1" ht="20.25" customHeight="1" spans="1:16">
      <c r="A8" s="8" t="s">
        <v>17</v>
      </c>
      <c r="B8" s="9" t="s">
        <v>23</v>
      </c>
      <c r="C8" s="10"/>
      <c r="D8" s="10"/>
      <c r="E8" s="10"/>
      <c r="F8" s="10">
        <v>13000</v>
      </c>
      <c r="G8" s="10"/>
      <c r="H8" s="11">
        <v>310.36</v>
      </c>
      <c r="I8" s="11">
        <v>264</v>
      </c>
      <c r="J8" s="10">
        <v>2000</v>
      </c>
      <c r="K8" s="10">
        <f t="shared" si="1"/>
        <v>5425.64</v>
      </c>
      <c r="L8" s="10">
        <v>0.1</v>
      </c>
      <c r="M8" s="10">
        <v>210</v>
      </c>
      <c r="N8" s="10">
        <f t="shared" si="2"/>
        <v>332.56</v>
      </c>
      <c r="O8" s="11">
        <f t="shared" si="3"/>
        <v>12093.08</v>
      </c>
      <c r="P8" s="22" t="s">
        <v>24</v>
      </c>
    </row>
    <row r="9" s="3" customFormat="1" ht="20.25" customHeight="1" spans="1:16">
      <c r="A9" s="8" t="s">
        <v>25</v>
      </c>
      <c r="B9" s="9" t="s">
        <v>26</v>
      </c>
      <c r="C9" s="10">
        <v>6000</v>
      </c>
      <c r="D9" s="10">
        <v>9000</v>
      </c>
      <c r="E9" s="10">
        <v>9000</v>
      </c>
      <c r="F9" s="10">
        <f t="shared" ref="F9:F13" si="4">SUM(C9:E9)</f>
        <v>24000</v>
      </c>
      <c r="G9" s="10"/>
      <c r="H9" s="11">
        <v>454.36</v>
      </c>
      <c r="I9" s="11">
        <v>750</v>
      </c>
      <c r="J9" s="10">
        <v>1000</v>
      </c>
      <c r="K9" s="10">
        <f t="shared" si="1"/>
        <v>16795.64</v>
      </c>
      <c r="L9" s="10">
        <v>0.2</v>
      </c>
      <c r="M9" s="10">
        <v>1410</v>
      </c>
      <c r="N9" s="10">
        <f t="shared" si="2"/>
        <v>1949.13</v>
      </c>
      <c r="O9" s="11">
        <f t="shared" si="3"/>
        <v>20846.51</v>
      </c>
      <c r="P9" s="22"/>
    </row>
    <row r="10" s="3" customFormat="1" ht="20.25" customHeight="1" spans="1:16">
      <c r="A10" s="8" t="s">
        <v>25</v>
      </c>
      <c r="B10" s="9" t="s">
        <v>27</v>
      </c>
      <c r="C10" s="10">
        <v>2200</v>
      </c>
      <c r="D10" s="10">
        <v>4100</v>
      </c>
      <c r="E10" s="10">
        <v>4700</v>
      </c>
      <c r="F10" s="10">
        <f t="shared" si="4"/>
        <v>11000</v>
      </c>
      <c r="G10" s="10"/>
      <c r="H10" s="11">
        <v>310.36</v>
      </c>
      <c r="I10" s="11">
        <v>264</v>
      </c>
      <c r="J10" s="10">
        <v>2500</v>
      </c>
      <c r="K10" s="10">
        <f t="shared" si="1"/>
        <v>2925.64</v>
      </c>
      <c r="L10" s="10">
        <v>0.03</v>
      </c>
      <c r="M10" s="10">
        <v>0</v>
      </c>
      <c r="N10" s="10">
        <f t="shared" si="2"/>
        <v>87.77</v>
      </c>
      <c r="O10" s="11">
        <f t="shared" si="3"/>
        <v>10337.87</v>
      </c>
      <c r="P10" s="21"/>
    </row>
    <row r="11" s="3" customFormat="1" ht="20.25" customHeight="1" spans="1:16">
      <c r="A11" s="8" t="s">
        <v>25</v>
      </c>
      <c r="B11" s="9" t="s">
        <v>28</v>
      </c>
      <c r="C11" s="10">
        <v>2000</v>
      </c>
      <c r="D11" s="10">
        <v>8500</v>
      </c>
      <c r="E11" s="10">
        <v>5500</v>
      </c>
      <c r="F11" s="10">
        <f t="shared" si="4"/>
        <v>16000</v>
      </c>
      <c r="G11" s="10"/>
      <c r="H11" s="11">
        <v>454.36</v>
      </c>
      <c r="I11" s="11">
        <v>480</v>
      </c>
      <c r="J11" s="10">
        <v>1500</v>
      </c>
      <c r="K11" s="10">
        <f t="shared" si="1"/>
        <v>8565.64</v>
      </c>
      <c r="L11" s="10">
        <v>0.1</v>
      </c>
      <c r="M11" s="10">
        <v>210</v>
      </c>
      <c r="N11" s="10">
        <f t="shared" si="2"/>
        <v>646.56</v>
      </c>
      <c r="O11" s="11">
        <f t="shared" si="3"/>
        <v>14419.08</v>
      </c>
      <c r="P11" s="21"/>
    </row>
    <row r="12" s="3" customFormat="1" ht="20.25" customHeight="1" spans="1:16">
      <c r="A12" s="8" t="s">
        <v>25</v>
      </c>
      <c r="B12" s="9" t="s">
        <v>29</v>
      </c>
      <c r="C12" s="10">
        <v>2000</v>
      </c>
      <c r="D12" s="10">
        <v>8500</v>
      </c>
      <c r="E12" s="10">
        <v>5500</v>
      </c>
      <c r="F12" s="10">
        <f t="shared" si="4"/>
        <v>16000</v>
      </c>
      <c r="G12" s="10"/>
      <c r="H12" s="11">
        <v>239.77</v>
      </c>
      <c r="I12" s="11">
        <v>240</v>
      </c>
      <c r="J12" s="10">
        <v>1500</v>
      </c>
      <c r="K12" s="10">
        <f t="shared" si="1"/>
        <v>9020.23</v>
      </c>
      <c r="L12" s="10">
        <v>0.1</v>
      </c>
      <c r="M12" s="10">
        <v>210</v>
      </c>
      <c r="N12" s="10">
        <f t="shared" si="2"/>
        <v>692.02</v>
      </c>
      <c r="O12" s="11">
        <f t="shared" si="3"/>
        <v>14828.21</v>
      </c>
      <c r="P12" s="21"/>
    </row>
    <row r="13" s="3" customFormat="1" ht="20.25" customHeight="1" spans="1:16">
      <c r="A13" s="8" t="s">
        <v>25</v>
      </c>
      <c r="B13" s="9" t="s">
        <v>30</v>
      </c>
      <c r="C13" s="10">
        <v>2200</v>
      </c>
      <c r="D13" s="10">
        <v>8500</v>
      </c>
      <c r="E13" s="10">
        <v>9300</v>
      </c>
      <c r="F13" s="10">
        <f t="shared" si="4"/>
        <v>20000</v>
      </c>
      <c r="G13" s="10"/>
      <c r="H13" s="11">
        <v>406.47</v>
      </c>
      <c r="I13" s="11">
        <v>300</v>
      </c>
      <c r="J13" s="10">
        <v>0</v>
      </c>
      <c r="K13" s="10">
        <f t="shared" si="1"/>
        <v>14293.53</v>
      </c>
      <c r="L13" s="10">
        <v>0.2</v>
      </c>
      <c r="M13" s="10">
        <v>1410</v>
      </c>
      <c r="N13" s="10">
        <f t="shared" si="2"/>
        <v>1448.71</v>
      </c>
      <c r="O13" s="11">
        <f t="shared" si="3"/>
        <v>17844.82</v>
      </c>
      <c r="P13" s="23"/>
    </row>
    <row r="14" s="3" customFormat="1" ht="20.25" customHeight="1" spans="1:16">
      <c r="A14" s="8" t="s">
        <v>31</v>
      </c>
      <c r="B14" s="9" t="s">
        <v>32</v>
      </c>
      <c r="C14" s="10">
        <v>2000</v>
      </c>
      <c r="D14" s="10">
        <v>8500</v>
      </c>
      <c r="E14" s="10">
        <v>5500</v>
      </c>
      <c r="F14" s="10">
        <v>20000</v>
      </c>
      <c r="G14" s="10"/>
      <c r="H14" s="11">
        <v>517.5</v>
      </c>
      <c r="I14" s="11">
        <v>174</v>
      </c>
      <c r="J14" s="10">
        <v>3500</v>
      </c>
      <c r="K14" s="10">
        <f t="shared" si="1"/>
        <v>10808.5</v>
      </c>
      <c r="L14" s="10">
        <v>0.1</v>
      </c>
      <c r="M14" s="10">
        <v>210</v>
      </c>
      <c r="N14" s="10">
        <f t="shared" si="2"/>
        <v>870.85</v>
      </c>
      <c r="O14" s="11">
        <f t="shared" si="3"/>
        <v>18437.65</v>
      </c>
      <c r="P14" s="23"/>
    </row>
    <row r="15" s="3" customFormat="1" ht="20.25" customHeight="1" spans="1:16">
      <c r="A15" s="8" t="s">
        <v>33</v>
      </c>
      <c r="B15" s="9" t="s">
        <v>34</v>
      </c>
      <c r="C15" s="10">
        <v>6000</v>
      </c>
      <c r="D15" s="10">
        <v>10000</v>
      </c>
      <c r="E15" s="10">
        <v>9000</v>
      </c>
      <c r="F15" s="10">
        <f t="shared" ref="F15:F23" si="5">SUM(C15:E15)</f>
        <v>25000</v>
      </c>
      <c r="G15" s="10"/>
      <c r="H15" s="11">
        <v>614.36</v>
      </c>
      <c r="I15" s="11">
        <v>720</v>
      </c>
      <c r="J15" s="10">
        <v>4000</v>
      </c>
      <c r="K15" s="10">
        <f t="shared" si="1"/>
        <v>14665.64</v>
      </c>
      <c r="L15" s="10">
        <v>0.2</v>
      </c>
      <c r="M15" s="10">
        <v>1410</v>
      </c>
      <c r="N15" s="10">
        <f t="shared" si="2"/>
        <v>1523.13</v>
      </c>
      <c r="O15" s="11">
        <f t="shared" si="3"/>
        <v>22142.51</v>
      </c>
      <c r="P15" s="21"/>
    </row>
    <row r="16" s="3" customFormat="1" ht="20.25" customHeight="1" spans="1:16">
      <c r="A16" s="8" t="s">
        <v>33</v>
      </c>
      <c r="B16" s="9" t="s">
        <v>35</v>
      </c>
      <c r="C16" s="10">
        <v>4000</v>
      </c>
      <c r="D16" s="10">
        <v>9000</v>
      </c>
      <c r="E16" s="10">
        <v>11000</v>
      </c>
      <c r="F16" s="10">
        <f t="shared" si="5"/>
        <v>24000</v>
      </c>
      <c r="G16" s="10"/>
      <c r="H16" s="11">
        <v>412</v>
      </c>
      <c r="I16" s="11">
        <v>480</v>
      </c>
      <c r="J16" s="10">
        <v>2000</v>
      </c>
      <c r="K16" s="10">
        <f t="shared" si="1"/>
        <v>16108</v>
      </c>
      <c r="L16" s="10">
        <v>0.2</v>
      </c>
      <c r="M16" s="10">
        <v>1410</v>
      </c>
      <c r="N16" s="10">
        <f t="shared" si="2"/>
        <v>1811.6</v>
      </c>
      <c r="O16" s="11">
        <f t="shared" si="3"/>
        <v>21296.4</v>
      </c>
      <c r="P16" s="22"/>
    </row>
    <row r="17" s="3" customFormat="1" ht="20.25" customHeight="1" spans="1:16">
      <c r="A17" s="8" t="s">
        <v>36</v>
      </c>
      <c r="B17" s="9" t="s">
        <v>37</v>
      </c>
      <c r="C17" s="10">
        <v>6000</v>
      </c>
      <c r="D17" s="10">
        <v>10000</v>
      </c>
      <c r="E17" s="10">
        <v>9000</v>
      </c>
      <c r="F17" s="10">
        <f t="shared" si="5"/>
        <v>25000</v>
      </c>
      <c r="G17" s="10"/>
      <c r="H17" s="11">
        <v>615.5</v>
      </c>
      <c r="I17" s="11">
        <v>720</v>
      </c>
      <c r="J17" s="10">
        <v>1000</v>
      </c>
      <c r="K17" s="10">
        <f t="shared" si="1"/>
        <v>17664.5</v>
      </c>
      <c r="L17" s="10">
        <v>0.2</v>
      </c>
      <c r="M17" s="10">
        <v>1410</v>
      </c>
      <c r="N17" s="10">
        <f t="shared" si="2"/>
        <v>2122.9</v>
      </c>
      <c r="O17" s="11">
        <f t="shared" si="3"/>
        <v>21541.6</v>
      </c>
      <c r="P17" s="21"/>
    </row>
    <row r="18" s="3" customFormat="1" ht="20.25" customHeight="1" spans="1:16">
      <c r="A18" s="8" t="s">
        <v>36</v>
      </c>
      <c r="B18" s="9" t="s">
        <v>38</v>
      </c>
      <c r="C18" s="10">
        <v>2000</v>
      </c>
      <c r="D18" s="10">
        <v>3500</v>
      </c>
      <c r="E18" s="10">
        <v>3500</v>
      </c>
      <c r="F18" s="10">
        <f t="shared" si="5"/>
        <v>9000</v>
      </c>
      <c r="G18" s="10"/>
      <c r="H18" s="11">
        <v>431.94</v>
      </c>
      <c r="I18" s="11">
        <v>252</v>
      </c>
      <c r="J18" s="10">
        <v>1500</v>
      </c>
      <c r="K18" s="10">
        <f t="shared" si="1"/>
        <v>1816.06</v>
      </c>
      <c r="L18" s="10">
        <v>0.03</v>
      </c>
      <c r="M18" s="10">
        <v>0</v>
      </c>
      <c r="N18" s="10">
        <f t="shared" si="2"/>
        <v>54.48</v>
      </c>
      <c r="O18" s="11">
        <f t="shared" si="3"/>
        <v>8261.58</v>
      </c>
      <c r="P18" s="22"/>
    </row>
    <row r="19" s="3" customFormat="1" ht="20.25" customHeight="1" spans="1:16">
      <c r="A19" s="8" t="s">
        <v>36</v>
      </c>
      <c r="B19" s="9" t="s">
        <v>39</v>
      </c>
      <c r="C19" s="10">
        <v>4000</v>
      </c>
      <c r="D19" s="10">
        <v>4400</v>
      </c>
      <c r="E19" s="10">
        <v>3600</v>
      </c>
      <c r="F19" s="10">
        <f t="shared" si="5"/>
        <v>12000</v>
      </c>
      <c r="G19" s="10"/>
      <c r="H19" s="11">
        <v>454.36</v>
      </c>
      <c r="I19" s="11">
        <v>480</v>
      </c>
      <c r="J19" s="10">
        <v>500</v>
      </c>
      <c r="K19" s="10">
        <f t="shared" si="1"/>
        <v>5565.64</v>
      </c>
      <c r="L19" s="10">
        <v>0.1</v>
      </c>
      <c r="M19" s="10">
        <v>210</v>
      </c>
      <c r="N19" s="10">
        <f t="shared" si="2"/>
        <v>346.56</v>
      </c>
      <c r="O19" s="11">
        <f t="shared" si="3"/>
        <v>10719.08</v>
      </c>
      <c r="P19" s="21"/>
    </row>
    <row r="20" s="3" customFormat="1" ht="20.25" customHeight="1" spans="1:16">
      <c r="A20" s="8" t="s">
        <v>36</v>
      </c>
      <c r="B20" s="9" t="s">
        <v>40</v>
      </c>
      <c r="C20" s="10">
        <v>2200</v>
      </c>
      <c r="D20" s="10">
        <v>3500</v>
      </c>
      <c r="E20" s="10">
        <v>3300</v>
      </c>
      <c r="F20" s="10">
        <f t="shared" si="5"/>
        <v>9000</v>
      </c>
      <c r="G20" s="10"/>
      <c r="H20" s="11">
        <v>310.36</v>
      </c>
      <c r="I20" s="11">
        <v>264</v>
      </c>
      <c r="J20" s="10">
        <v>1500</v>
      </c>
      <c r="K20" s="10">
        <f t="shared" si="1"/>
        <v>1925.64</v>
      </c>
      <c r="L20" s="10">
        <v>0.03</v>
      </c>
      <c r="M20" s="10">
        <v>0</v>
      </c>
      <c r="N20" s="10">
        <f t="shared" si="2"/>
        <v>57.77</v>
      </c>
      <c r="O20" s="11">
        <f t="shared" si="3"/>
        <v>8367.87</v>
      </c>
      <c r="P20" s="21"/>
    </row>
    <row r="21" s="3" customFormat="1" ht="20.25" customHeight="1" spans="1:16">
      <c r="A21" s="8" t="s">
        <v>36</v>
      </c>
      <c r="B21" s="9" t="s">
        <v>41</v>
      </c>
      <c r="C21" s="10">
        <v>2200</v>
      </c>
      <c r="D21" s="10">
        <v>900</v>
      </c>
      <c r="E21" s="10">
        <v>900</v>
      </c>
      <c r="F21" s="10">
        <f t="shared" si="5"/>
        <v>4000</v>
      </c>
      <c r="G21" s="10"/>
      <c r="H21" s="11">
        <v>310.36</v>
      </c>
      <c r="I21" s="10">
        <v>264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1">
        <f t="shared" si="3"/>
        <v>3425.64</v>
      </c>
      <c r="P21" s="21" t="s">
        <v>42</v>
      </c>
    </row>
    <row r="22" s="3" customFormat="1" ht="20.25" customHeight="1" spans="1:16">
      <c r="A22" s="8" t="s">
        <v>43</v>
      </c>
      <c r="B22" s="9" t="s">
        <v>44</v>
      </c>
      <c r="C22" s="10">
        <v>6000</v>
      </c>
      <c r="D22" s="10">
        <v>10000</v>
      </c>
      <c r="E22" s="10">
        <v>9000</v>
      </c>
      <c r="F22" s="10">
        <f t="shared" si="5"/>
        <v>25000</v>
      </c>
      <c r="G22" s="10"/>
      <c r="H22" s="11">
        <v>615</v>
      </c>
      <c r="I22" s="11">
        <v>720</v>
      </c>
      <c r="J22" s="10">
        <v>3000</v>
      </c>
      <c r="K22" s="10">
        <f>F22+G22-H22-I22-J22-5000</f>
        <v>15665</v>
      </c>
      <c r="L22" s="10">
        <v>0.2</v>
      </c>
      <c r="M22" s="10">
        <v>1410</v>
      </c>
      <c r="N22" s="10">
        <f>ROUND(K22*L22-M22,2)</f>
        <v>1723</v>
      </c>
      <c r="O22" s="11">
        <f t="shared" si="3"/>
        <v>21942</v>
      </c>
      <c r="P22" s="21"/>
    </row>
    <row r="23" s="3" customFormat="1" ht="20.25" customHeight="1" spans="1:16">
      <c r="A23" s="8" t="s">
        <v>45</v>
      </c>
      <c r="B23" s="9" t="s">
        <v>46</v>
      </c>
      <c r="C23" s="10">
        <v>2200</v>
      </c>
      <c r="D23" s="10">
        <v>3500</v>
      </c>
      <c r="E23" s="10">
        <v>3300</v>
      </c>
      <c r="F23" s="10">
        <f t="shared" si="5"/>
        <v>9000</v>
      </c>
      <c r="G23" s="10"/>
      <c r="H23" s="11">
        <v>310.36</v>
      </c>
      <c r="I23" s="10">
        <v>264</v>
      </c>
      <c r="J23" s="10">
        <v>1500</v>
      </c>
      <c r="K23" s="10">
        <f>F23+G23-H23-I23-J23-5000</f>
        <v>1925.64</v>
      </c>
      <c r="L23" s="10">
        <v>0.03</v>
      </c>
      <c r="M23" s="10">
        <v>0</v>
      </c>
      <c r="N23" s="10">
        <f>ROUND(K23*L23-M23,2)</f>
        <v>57.77</v>
      </c>
      <c r="O23" s="11">
        <f t="shared" si="3"/>
        <v>8367.87</v>
      </c>
      <c r="P23" s="22"/>
    </row>
    <row r="24" s="1" customFormat="1" ht="21" customHeight="1" spans="6:15">
      <c r="F24" s="12">
        <f t="shared" ref="F24:I24" si="6">SUM(F3:F23)</f>
        <v>360000</v>
      </c>
      <c r="G24" s="12">
        <f t="shared" si="6"/>
        <v>0</v>
      </c>
      <c r="H24" s="12">
        <f t="shared" si="6"/>
        <v>8890.4</v>
      </c>
      <c r="I24" s="12">
        <f t="shared" si="6"/>
        <v>7950</v>
      </c>
      <c r="J24" s="12"/>
      <c r="N24" s="12">
        <f>SUM(N3:N23)</f>
        <v>19438.28</v>
      </c>
      <c r="O24" s="24">
        <f>SUM(O3:O23)</f>
        <v>323721.32</v>
      </c>
    </row>
    <row r="25" s="1" customFormat="1" ht="17" customHeight="1" spans="1:15">
      <c r="A25" s="13" t="s">
        <v>45</v>
      </c>
      <c r="B25" s="13" t="s">
        <v>47</v>
      </c>
      <c r="F25" s="14">
        <v>15000</v>
      </c>
      <c r="G25" s="1" t="s">
        <v>48</v>
      </c>
      <c r="O25" s="4"/>
    </row>
    <row r="26" s="1" customFormat="1" ht="17" customHeight="1" spans="1:15">
      <c r="A26" s="13" t="s">
        <v>43</v>
      </c>
      <c r="B26" s="15" t="s">
        <v>49</v>
      </c>
      <c r="F26" s="14">
        <v>11000</v>
      </c>
      <c r="G26" s="1" t="s">
        <v>48</v>
      </c>
      <c r="O26" s="4"/>
    </row>
    <row r="27" s="1" customFormat="1" spans="1:15">
      <c r="A27" s="13"/>
      <c r="B27" s="15"/>
      <c r="C27" s="15"/>
      <c r="E27" s="15"/>
      <c r="O27" s="4"/>
    </row>
    <row r="28" s="1" customFormat="1" spans="1:15">
      <c r="A28" s="13"/>
      <c r="B28" s="15"/>
      <c r="C28" s="15"/>
      <c r="E28" s="15"/>
      <c r="I28" s="17"/>
      <c r="J28" s="17"/>
      <c r="K28" s="17"/>
      <c r="O28" s="4"/>
    </row>
    <row r="29" s="1" customFormat="1" spans="1:15">
      <c r="A29" s="13"/>
      <c r="B29" s="15"/>
      <c r="C29" s="15"/>
      <c r="D29" s="15"/>
      <c r="E29" s="15"/>
      <c r="F29" s="16"/>
      <c r="I29" s="17"/>
      <c r="J29" s="17"/>
      <c r="K29" s="17"/>
      <c r="O29" s="4"/>
    </row>
    <row r="30" s="1" customFormat="1" spans="9:16">
      <c r="I30" s="17"/>
      <c r="J30" s="17"/>
      <c r="K30" s="17"/>
      <c r="L30" s="17"/>
      <c r="M30" s="25"/>
      <c r="N30" s="26"/>
      <c r="O30" s="4"/>
      <c r="P30" s="25"/>
    </row>
    <row r="31" s="1" customFormat="1" spans="15:15">
      <c r="O31" s="4"/>
    </row>
    <row r="32" s="1" customFormat="1" spans="15:15">
      <c r="O32" s="4"/>
    </row>
    <row r="33" s="1" customFormat="1" spans="6:15">
      <c r="F33" s="17"/>
      <c r="G33" s="17"/>
      <c r="H33" s="17"/>
      <c r="I33" s="17"/>
      <c r="J33" s="17"/>
      <c r="O33" s="4"/>
    </row>
    <row r="34" s="1" customFormat="1" spans="6:15">
      <c r="F34" s="17"/>
      <c r="G34" s="17"/>
      <c r="H34" s="17"/>
      <c r="I34" s="17"/>
      <c r="J34" s="17"/>
      <c r="O34" s="4"/>
    </row>
    <row r="35" s="1" customFormat="1" spans="6:15">
      <c r="F35" s="17"/>
      <c r="G35" s="17"/>
      <c r="H35" s="17"/>
      <c r="I35" s="17"/>
      <c r="J35" s="17"/>
      <c r="O35" s="4"/>
    </row>
    <row r="36" s="1" customFormat="1" spans="6:15">
      <c r="F36" s="17"/>
      <c r="G36" s="17"/>
      <c r="H36" s="17"/>
      <c r="I36" s="17"/>
      <c r="J36" s="17"/>
      <c r="O36" s="4"/>
    </row>
    <row r="37" s="1" customFormat="1" spans="6:15">
      <c r="F37" s="17"/>
      <c r="G37" s="17"/>
      <c r="H37" s="17"/>
      <c r="I37" s="17"/>
      <c r="J37" s="17"/>
      <c r="O37" s="4"/>
    </row>
    <row r="38" s="1" customFormat="1" spans="6:15">
      <c r="F38" s="17"/>
      <c r="G38" s="17"/>
      <c r="H38" s="17"/>
      <c r="I38" s="17"/>
      <c r="J38" s="17"/>
      <c r="O38" s="4"/>
    </row>
    <row r="39" s="1" customFormat="1" spans="6:15">
      <c r="F39" s="17"/>
      <c r="G39" s="17"/>
      <c r="H39" s="17"/>
      <c r="I39" s="17"/>
      <c r="J39" s="17"/>
      <c r="O39" s="4"/>
    </row>
    <row r="40" s="1" customFormat="1" spans="6:15">
      <c r="F40" s="17"/>
      <c r="G40" s="17"/>
      <c r="H40" s="17"/>
      <c r="I40" s="17"/>
      <c r="J40" s="17"/>
      <c r="O40" s="4"/>
    </row>
    <row r="41" s="1" customFormat="1" spans="6:15">
      <c r="F41" s="17"/>
      <c r="G41" s="17"/>
      <c r="H41" s="17"/>
      <c r="I41" s="17"/>
      <c r="J41" s="17"/>
      <c r="O41" s="4"/>
    </row>
    <row r="42" s="1" customFormat="1" spans="6:15">
      <c r="F42" s="17"/>
      <c r="G42" s="17"/>
      <c r="H42" s="17"/>
      <c r="I42" s="17"/>
      <c r="J42" s="17"/>
      <c r="O42" s="4"/>
    </row>
    <row r="43" s="1" customFormat="1" spans="6:15">
      <c r="F43" s="17"/>
      <c r="G43" s="17"/>
      <c r="H43" s="17"/>
      <c r="I43" s="17"/>
      <c r="J43" s="17"/>
      <c r="O43" s="4"/>
    </row>
    <row r="44" s="1" customFormat="1" spans="6:15">
      <c r="F44" s="17"/>
      <c r="G44" s="17"/>
      <c r="H44" s="17"/>
      <c r="I44" s="17"/>
      <c r="J44" s="17"/>
      <c r="O44" s="4"/>
    </row>
    <row r="45" s="1" customFormat="1" spans="6:15">
      <c r="F45" s="17"/>
      <c r="G45" s="17"/>
      <c r="H45" s="17"/>
      <c r="I45" s="17"/>
      <c r="J45" s="17"/>
      <c r="O45" s="4"/>
    </row>
    <row r="46" s="1" customFormat="1" spans="6:15">
      <c r="F46" s="17"/>
      <c r="G46" s="17"/>
      <c r="H46" s="17"/>
      <c r="I46" s="17"/>
      <c r="J46" s="17"/>
      <c r="O46" s="4"/>
    </row>
    <row r="47" s="1" customFormat="1" spans="6:15">
      <c r="F47" s="17"/>
      <c r="G47" s="17"/>
      <c r="H47" s="17"/>
      <c r="I47" s="17"/>
      <c r="J47" s="17"/>
      <c r="O47" s="4"/>
    </row>
    <row r="48" s="1" customFormat="1" spans="6:15">
      <c r="F48" s="17"/>
      <c r="G48" s="17"/>
      <c r="H48" s="17"/>
      <c r="I48" s="17"/>
      <c r="J48" s="17"/>
      <c r="O48" s="4"/>
    </row>
  </sheetData>
  <mergeCells count="1">
    <mergeCell ref="A1:P1"/>
  </mergeCells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折枝</cp:lastModifiedBy>
  <dcterms:created xsi:type="dcterms:W3CDTF">2020-12-22T12:54:00Z</dcterms:created>
  <dcterms:modified xsi:type="dcterms:W3CDTF">2020-12-22T13:24:14Z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2052-11.1.0.10228</vt:lpwstr>
  </property>
</Properties>
</file>