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物业测算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<sst xmlns="http://schemas.openxmlformats.org/spreadsheetml/2006/main" count="90" uniqueCount="79">
  <si>
    <t>假设租3年</t>
  </si>
  <si>
    <t>物业</t>
  </si>
  <si>
    <t>租金</t>
  </si>
  <si>
    <t>装修</t>
  </si>
  <si>
    <t>物管费</t>
  </si>
  <si>
    <t>自用</t>
  </si>
  <si>
    <t>外租</t>
  </si>
  <si>
    <t>临租课室</t>
  </si>
  <si>
    <t>政府补贴</t>
  </si>
  <si>
    <t>补贴后</t>
  </si>
  <si>
    <t>自用及外租综合情况（补贴后）</t>
  </si>
  <si>
    <t>备注</t>
  </si>
  <si>
    <t>面积</t>
  </si>
  <si>
    <t>单价</t>
  </si>
  <si>
    <t>月租金</t>
  </si>
  <si>
    <t>年租金</t>
  </si>
  <si>
    <t>总金额</t>
  </si>
  <si>
    <t>月物管费</t>
  </si>
  <si>
    <t>年月物费</t>
  </si>
  <si>
    <t>自用面积</t>
  </si>
  <si>
    <t>自用月租金</t>
  </si>
  <si>
    <t>自用年租金</t>
  </si>
  <si>
    <t>外租面积</t>
  </si>
  <si>
    <t>外租月租金</t>
  </si>
  <si>
    <t>外租年租金</t>
  </si>
  <si>
    <t>月临租间数</t>
  </si>
  <si>
    <t>月临租金额</t>
  </si>
  <si>
    <t>年临租金额</t>
  </si>
  <si>
    <t>标准</t>
  </si>
  <si>
    <t>自用租金补贴</t>
  </si>
  <si>
    <t>装修补贴</t>
  </si>
  <si>
    <t>年装修摊销</t>
  </si>
  <si>
    <t>年度租金+临租金额+年装修摊销+年度物管费</t>
  </si>
  <si>
    <t>外租月单价</t>
  </si>
  <si>
    <t>人保金融大厦（1000平）</t>
  </si>
  <si>
    <t>自用500平，2间课室，其余外租；临时需求通过临租课室解决</t>
  </si>
  <si>
    <t>华润笋岗中心（2100平）</t>
  </si>
  <si>
    <t>自用1000平，5间课室，其余外租；基本无临租需求</t>
  </si>
  <si>
    <t>备注：</t>
  </si>
  <si>
    <t>1.由于免租期差不多，暂不考虑免租期影响；总的来说，考虑免租期后年租金更低。</t>
  </si>
  <si>
    <t>2.总的来说，华润笋岗中心从经济上考虑更优惠；但是外租1100平，外租的压力及管理要求更高些。</t>
  </si>
  <si>
    <t>3.两个物业的年承担金额，均与2021年的租金相当，都可以考虑；人保更高档更稳定；华润能吸引更多学友企业。</t>
  </si>
  <si>
    <t>4.从未来发展看，如果深圳的开课数大涨，5间课室都不够用，则人保有临租课室更有优势些。</t>
  </si>
  <si>
    <t>5.以上测算是建立在政府能兑现50%补贴租金及装修费的基础上，如果不能兑现，则公司要承担的金额翻倍。</t>
  </si>
  <si>
    <t xml:space="preserve">需求信息 </t>
  </si>
  <si>
    <t>我方课室需求 每周2~4间，每间约200平米</t>
  </si>
  <si>
    <t>企业引进 600平米起，上不封顶，与外部合作运营</t>
  </si>
  <si>
    <t>政府补贴 50%，包括长租租金及装修费</t>
  </si>
  <si>
    <t>三年</t>
  </si>
  <si>
    <t>300-400万/年</t>
  </si>
  <si>
    <t xml:space="preserve"> </t>
  </si>
  <si>
    <t xml:space="preserve">人保金融大厦 </t>
  </si>
  <si>
    <t>精装</t>
  </si>
  <si>
    <t>装修费</t>
  </si>
  <si>
    <t>25元/平方</t>
  </si>
  <si>
    <t>长租面积单价 "顶层220元/平米，可打95折，可能可打92折</t>
  </si>
  <si>
    <t>100元/平</t>
  </si>
  <si>
    <t>38层200，同上"</t>
  </si>
  <si>
    <t>临时课室租用 5000~6000一间，未来未知会涨，10次送2次</t>
  </si>
  <si>
    <t>可租面积 1000起</t>
  </si>
  <si>
    <t>免租期 6个月，大于三年再加2个月装修期</t>
  </si>
  <si>
    <t xml:space="preserve">华润笋岗中心 </t>
  </si>
  <si>
    <t>毛坯</t>
  </si>
  <si>
    <t>长租面积单价 130元/平米</t>
  </si>
  <si>
    <t>9折</t>
  </si>
  <si>
    <t>400元/平</t>
  </si>
  <si>
    <t>临时课室 无</t>
  </si>
  <si>
    <t>可租面积 2100平米一层</t>
  </si>
  <si>
    <t xml:space="preserve">免租期 </t>
  </si>
  <si>
    <t>10个月</t>
  </si>
  <si>
    <t>方案A 在人保租半层约1000平米，装修成1~2间固定课室，机动其他需求租用临时课室，其余用于企业引进</t>
  </si>
  <si>
    <t>方案B 在华润租2100平米，装修成4间课室，剩下约1000平米用于企业引进</t>
  </si>
  <si>
    <t>补充下信息：</t>
  </si>
  <si>
    <t>整层租可以给到我们九折</t>
  </si>
  <si>
    <t>会议室量大给我们八折</t>
  </si>
  <si>
    <t>测算要求是：</t>
  </si>
  <si>
    <t>方案A和方案B的投入产出分析对比（除去企业引进的资金需求，仅按一次性合作出资100万计算）？</t>
  </si>
  <si>
    <t>2023年深圳排课：70个</t>
  </si>
  <si>
    <t>100万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</si>
</sst>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0" fillId="0" borderId="6" xfId="0" applyFont="1" applyFill="1" applyBorder="1" applyAlignment="1"/>
    <xf numFmtId="9" fontId="0" fillId="0" borderId="6" xfId="0" applyNumberFormat="1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76" fontId="0" fillId="0" borderId="6" xfId="0" applyNumberFormat="1" applyFont="1" applyFill="1" applyBorder="1" applyAlignment="1"/>
    <xf numFmtId="176" fontId="0" fillId="2" borderId="6" xfId="0" applyNumberFormat="1" applyFont="1" applyFill="1" applyBorder="1" applyAlignment="1"/>
    <xf numFmtId="0" fontId="0" fillId="2" borderId="6" xfId="0" applyFont="1" applyFill="1" applyBorder="1" applyAlignment="1"/>
    <xf numFmtId="0" fontId="0" fillId="0" borderId="6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13"/>
  <sheetViews>
    <sheetView tabSelected="1" workbookViewId="0">
      <selection activeCell="E21" sqref="E21"/>
    </sheetView>
  </sheetViews>
  <sheetFormatPr defaultColWidth="8.66666666666667" defaultRowHeight="14"/>
  <cols>
    <col min="1" max="1" width="20.25" customWidth="1"/>
    <col min="12" max="13" width="10.6666666666667" customWidth="1"/>
    <col min="15" max="17" width="10.6666666666667" customWidth="1"/>
    <col min="19" max="20" width="10.6666666666667" customWidth="1"/>
    <col min="22" max="22" width="12.75" customWidth="1"/>
    <col min="25" max="25" width="9.75"/>
    <col min="26" max="26" width="20.9166666666667" customWidth="1"/>
    <col min="27" max="27" width="6.16666666666667" customWidth="1"/>
    <col min="29" max="29" width="29.3333333333333" customWidth="1"/>
  </cols>
  <sheetData>
    <row r="2" customFormat="1" spans="1:1">
      <c r="A2" s="3" t="s">
        <v>0</v>
      </c>
    </row>
    <row r="3" s="1" customFormat="1" spans="1:29">
      <c r="A3" s="4" t="s">
        <v>1</v>
      </c>
      <c r="B3" s="5" t="s">
        <v>2</v>
      </c>
      <c r="C3" s="6"/>
      <c r="D3" s="6"/>
      <c r="E3" s="7"/>
      <c r="F3" s="5" t="s">
        <v>3</v>
      </c>
      <c r="G3" s="7"/>
      <c r="H3" s="5" t="s">
        <v>4</v>
      </c>
      <c r="I3" s="6"/>
      <c r="J3" s="7"/>
      <c r="K3" s="5" t="s">
        <v>5</v>
      </c>
      <c r="L3" s="6"/>
      <c r="M3" s="7"/>
      <c r="N3" s="5" t="s">
        <v>6</v>
      </c>
      <c r="O3" s="6"/>
      <c r="P3" s="7"/>
      <c r="Q3" s="5" t="s">
        <v>7</v>
      </c>
      <c r="R3" s="6"/>
      <c r="S3" s="6"/>
      <c r="T3" s="7"/>
      <c r="U3" s="5" t="s">
        <v>8</v>
      </c>
      <c r="V3" s="6"/>
      <c r="W3" s="7"/>
      <c r="X3" s="5" t="s">
        <v>9</v>
      </c>
      <c r="Y3" s="7"/>
      <c r="Z3" s="12" t="s">
        <v>10</v>
      </c>
      <c r="AA3" s="13"/>
      <c r="AB3" s="14"/>
      <c r="AC3" s="15" t="s">
        <v>11</v>
      </c>
    </row>
    <row r="4" s="2" customFormat="1" ht="30" customHeight="1" spans="1:29">
      <c r="A4" s="8"/>
      <c r="B4" s="9" t="s">
        <v>12</v>
      </c>
      <c r="C4" s="9" t="s">
        <v>13</v>
      </c>
      <c r="D4" s="9" t="s">
        <v>14</v>
      </c>
      <c r="E4" s="9" t="s">
        <v>15</v>
      </c>
      <c r="F4" s="9" t="s">
        <v>13</v>
      </c>
      <c r="G4" s="9" t="s">
        <v>16</v>
      </c>
      <c r="H4" s="9" t="s">
        <v>13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13</v>
      </c>
      <c r="S4" s="9" t="s">
        <v>26</v>
      </c>
      <c r="T4" s="9" t="s">
        <v>27</v>
      </c>
      <c r="U4" s="9" t="s">
        <v>28</v>
      </c>
      <c r="V4" s="9" t="s">
        <v>29</v>
      </c>
      <c r="W4" s="9" t="s">
        <v>30</v>
      </c>
      <c r="X4" s="9" t="s">
        <v>15</v>
      </c>
      <c r="Y4" s="9" t="s">
        <v>31</v>
      </c>
      <c r="Z4" s="16" t="s">
        <v>32</v>
      </c>
      <c r="AA4" s="16" t="s">
        <v>33</v>
      </c>
      <c r="AB4" s="17" t="s">
        <v>22</v>
      </c>
      <c r="AC4" s="18"/>
    </row>
    <row r="5" ht="28" spans="1:29">
      <c r="A5" s="10" t="s">
        <v>34</v>
      </c>
      <c r="B5" s="10">
        <v>1000</v>
      </c>
      <c r="C5" s="10">
        <f>200*90%</f>
        <v>180</v>
      </c>
      <c r="D5" s="10">
        <f>B5*C5</f>
        <v>180000</v>
      </c>
      <c r="E5" s="10">
        <f>D5*12%</f>
        <v>21600</v>
      </c>
      <c r="F5" s="10">
        <v>200</v>
      </c>
      <c r="G5" s="10">
        <f>B5*F5</f>
        <v>200000</v>
      </c>
      <c r="H5" s="10">
        <v>25</v>
      </c>
      <c r="I5" s="10">
        <f>B5*H5</f>
        <v>25000</v>
      </c>
      <c r="J5" s="10">
        <f>I5*12</f>
        <v>300000</v>
      </c>
      <c r="K5" s="10">
        <v>500</v>
      </c>
      <c r="L5" s="10">
        <f>K5*C5</f>
        <v>90000</v>
      </c>
      <c r="M5" s="10">
        <f>L5*12</f>
        <v>1080000</v>
      </c>
      <c r="N5" s="10">
        <f>B5-K5</f>
        <v>500</v>
      </c>
      <c r="O5" s="10">
        <f>N5*C5</f>
        <v>90000</v>
      </c>
      <c r="P5" s="10">
        <f>O5*12</f>
        <v>1080000</v>
      </c>
      <c r="Q5" s="10">
        <v>4</v>
      </c>
      <c r="R5" s="10">
        <f>6000*2*80%</f>
        <v>9600</v>
      </c>
      <c r="S5" s="10">
        <f>Q5*R5</f>
        <v>38400</v>
      </c>
      <c r="T5" s="10">
        <f>S5*12</f>
        <v>460800</v>
      </c>
      <c r="U5" s="11">
        <v>0.5</v>
      </c>
      <c r="V5" s="10">
        <f>M5*U5</f>
        <v>540000</v>
      </c>
      <c r="W5" s="10">
        <f>G5*U5</f>
        <v>100000</v>
      </c>
      <c r="X5" s="10">
        <f>M5-V5</f>
        <v>540000</v>
      </c>
      <c r="Y5" s="19">
        <f>(G5-W5)/3</f>
        <v>33333.3333333333</v>
      </c>
      <c r="Z5" s="20">
        <f>X5+Y5+T5+K5*H5</f>
        <v>1046633.33333333</v>
      </c>
      <c r="AA5" s="21">
        <f>C5*50%</f>
        <v>90</v>
      </c>
      <c r="AB5" s="21">
        <f>N5</f>
        <v>500</v>
      </c>
      <c r="AC5" s="22" t="s">
        <v>35</v>
      </c>
    </row>
    <row r="6" ht="28" spans="1:29">
      <c r="A6" s="10" t="s">
        <v>36</v>
      </c>
      <c r="B6" s="10">
        <v>2100</v>
      </c>
      <c r="C6" s="10">
        <f>130*90%</f>
        <v>117</v>
      </c>
      <c r="D6" s="10">
        <f>B6*C6</f>
        <v>245700</v>
      </c>
      <c r="E6" s="10">
        <f>D6*12%</f>
        <v>29484</v>
      </c>
      <c r="F6" s="10">
        <v>400</v>
      </c>
      <c r="G6" s="10">
        <f>B6*F6</f>
        <v>840000</v>
      </c>
      <c r="H6" s="10">
        <v>25</v>
      </c>
      <c r="I6" s="10">
        <f>B6*H6</f>
        <v>52500</v>
      </c>
      <c r="J6" s="10">
        <f>I6*12</f>
        <v>630000</v>
      </c>
      <c r="K6" s="10">
        <v>1000</v>
      </c>
      <c r="L6" s="10">
        <f>K6*C6</f>
        <v>117000</v>
      </c>
      <c r="M6" s="10">
        <f>L6*12</f>
        <v>1404000</v>
      </c>
      <c r="N6" s="10">
        <f>B6-K6</f>
        <v>1100</v>
      </c>
      <c r="O6" s="10">
        <f>N6*C6</f>
        <v>128700</v>
      </c>
      <c r="P6" s="10">
        <f>O6*12</f>
        <v>1544400</v>
      </c>
      <c r="Q6" s="10"/>
      <c r="R6" s="10"/>
      <c r="S6" s="10"/>
      <c r="T6" s="10"/>
      <c r="U6" s="11">
        <v>0.5</v>
      </c>
      <c r="V6" s="10">
        <f>M6*U6</f>
        <v>702000</v>
      </c>
      <c r="W6" s="10">
        <f>G6*U6</f>
        <v>420000</v>
      </c>
      <c r="X6" s="10">
        <f>M6-V6</f>
        <v>702000</v>
      </c>
      <c r="Y6" s="19">
        <f>(G6-W6)/3</f>
        <v>140000</v>
      </c>
      <c r="Z6" s="20">
        <f>X6+Y6+T6+K6*H6</f>
        <v>867000</v>
      </c>
      <c r="AA6" s="21">
        <f>C6*50%</f>
        <v>58.5</v>
      </c>
      <c r="AB6" s="21">
        <f>N6</f>
        <v>1100</v>
      </c>
      <c r="AC6" s="22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  <row r="12" spans="1:1">
      <c r="A12" t="s">
        <v>42</v>
      </c>
    </row>
    <row r="13" spans="1:1">
      <c r="A13" t="s">
        <v>43</v>
      </c>
    </row>
  </sheetData>
  <mergeCells count="11">
    <mergeCell ref="B3:E3"/>
    <mergeCell ref="F3:G3"/>
    <mergeCell ref="H3:J3"/>
    <mergeCell ref="K3:M3"/>
    <mergeCell ref="N3:P3"/>
    <mergeCell ref="Q3:T3"/>
    <mergeCell ref="U3:W3"/>
    <mergeCell ref="X3:Y3"/>
    <mergeCell ref="Z3:AB3"/>
    <mergeCell ref="A3:A4"/>
    <mergeCell ref="AC3:A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3"/>
  <sheetViews>
    <sheetView workbookViewId="0">
      <selection activeCell="L22" sqref="L22"/>
    </sheetView>
  </sheetViews>
  <sheetFormatPr defaultColWidth="9" defaultRowHeight="14"/>
  <cols>
    <col min="6" max="6" width="12.6666666666667"/>
    <col min="12" max="12" width="21.1666666666667" customWidth="1"/>
    <col min="17" max="18" width="12.4166666666667" customWidth="1"/>
    <col min="22" max="23" width="10.3333333333333" customWidth="1"/>
    <col min="24" max="24" width="10.6666666666667" customWidth="1"/>
    <col min="26" max="26" width="10.75" customWidth="1"/>
    <col min="27" max="27" width="9.91666666666667" customWidth="1"/>
    <col min="28" max="28" width="10.25" customWidth="1"/>
    <col min="30" max="30" width="10.0833333333333" customWidth="1"/>
    <col min="31" max="31" width="10.6666666666667" customWidth="1"/>
    <col min="33" max="33" width="12.1666666666667" customWidth="1"/>
    <col min="36" max="36" width="12.6666666666667"/>
    <col min="37" max="37" width="37.5" customWidth="1"/>
    <col min="38" max="38" width="18.25" customWidth="1"/>
  </cols>
  <sheetData>
    <row r="1" spans="18:18">
      <c r="R1">
        <v>6</v>
      </c>
    </row>
    <row r="2" spans="2:2">
      <c r="B2" t="s">
        <v>44</v>
      </c>
    </row>
    <row r="3" spans="2:2">
      <c r="B3" t="s">
        <v>45</v>
      </c>
    </row>
    <row r="4" spans="2:2">
      <c r="B4" t="s">
        <v>46</v>
      </c>
    </row>
    <row r="5" spans="2:7">
      <c r="B5" t="s">
        <v>47</v>
      </c>
      <c r="F5" t="s">
        <v>48</v>
      </c>
      <c r="G5" t="s">
        <v>49</v>
      </c>
    </row>
    <row r="6" spans="2:2">
      <c r="B6" t="s">
        <v>50</v>
      </c>
    </row>
    <row r="7" spans="2:9">
      <c r="B7" t="s">
        <v>51</v>
      </c>
      <c r="G7" t="s">
        <v>52</v>
      </c>
      <c r="H7" t="s">
        <v>53</v>
      </c>
      <c r="I7" t="s">
        <v>54</v>
      </c>
    </row>
    <row r="8" spans="2:8">
      <c r="B8" t="s">
        <v>55</v>
      </c>
      <c r="H8" t="s">
        <v>56</v>
      </c>
    </row>
    <row r="9" spans="2:2">
      <c r="B9" t="s">
        <v>57</v>
      </c>
    </row>
    <row r="10" spans="2:2">
      <c r="B10" t="s">
        <v>58</v>
      </c>
    </row>
    <row r="11" spans="2:2">
      <c r="B11" t="s">
        <v>59</v>
      </c>
    </row>
    <row r="12" spans="2:2">
      <c r="B12" t="s">
        <v>60</v>
      </c>
    </row>
    <row r="13" spans="2:2">
      <c r="B13" t="s">
        <v>50</v>
      </c>
    </row>
    <row r="14" spans="2:2">
      <c r="B14" t="s">
        <v>50</v>
      </c>
    </row>
    <row r="15" spans="2:2">
      <c r="B15" t="s">
        <v>50</v>
      </c>
    </row>
    <row r="16" spans="2:14">
      <c r="B16" t="s">
        <v>61</v>
      </c>
      <c r="F16" t="s">
        <v>62</v>
      </c>
      <c r="H16" t="s">
        <v>53</v>
      </c>
      <c r="I16" t="s">
        <v>54</v>
      </c>
      <c r="J16">
        <v>12</v>
      </c>
      <c r="K16">
        <v>130</v>
      </c>
      <c r="L16">
        <v>2100</v>
      </c>
      <c r="M16">
        <f>K16*L16*J16</f>
        <v>3276000</v>
      </c>
      <c r="N16">
        <f>M16*50%</f>
        <v>1638000</v>
      </c>
    </row>
    <row r="17" spans="2:8">
      <c r="B17" t="s">
        <v>63</v>
      </c>
      <c r="E17" t="s">
        <v>64</v>
      </c>
      <c r="H17" t="s">
        <v>65</v>
      </c>
    </row>
    <row r="18" spans="2:2">
      <c r="B18" t="s">
        <v>66</v>
      </c>
    </row>
    <row r="19" spans="2:2">
      <c r="B19" t="s">
        <v>67</v>
      </c>
    </row>
    <row r="20" spans="2:3">
      <c r="B20" t="s">
        <v>68</v>
      </c>
      <c r="C20" t="s">
        <v>69</v>
      </c>
    </row>
    <row r="21" spans="2:2">
      <c r="B21" t="s">
        <v>50</v>
      </c>
    </row>
    <row r="22" spans="2:2">
      <c r="B22" t="s">
        <v>70</v>
      </c>
    </row>
    <row r="23" spans="2:2">
      <c r="B23" t="s">
        <v>71</v>
      </c>
    </row>
    <row r="26" spans="2:2">
      <c r="B26" t="s">
        <v>72</v>
      </c>
    </row>
    <row r="27" spans="2:2">
      <c r="B27" t="s">
        <v>73</v>
      </c>
    </row>
    <row r="28" spans="2:2">
      <c r="B28" t="s">
        <v>74</v>
      </c>
    </row>
    <row r="30" spans="2:2">
      <c r="B30" t="s">
        <v>75</v>
      </c>
    </row>
    <row r="31" spans="2:2">
      <c r="B31" t="s">
        <v>76</v>
      </c>
    </row>
    <row r="33" spans="2:6">
      <c r="B33" t="s">
        <v>77</v>
      </c>
      <c r="E33" t="s">
        <v>78</v>
      </c>
      <c r="F33">
        <f>100/70</f>
        <v>1.42857142857143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物业测算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陈延琴</cp:lastModifiedBy>
  <dcterms:created xsi:type="dcterms:W3CDTF">2015-06-05T18:17:00Z</dcterms:created>
  <dcterms:modified xsi:type="dcterms:W3CDTF">2023-03-02T05:31:42Z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CBA7C92CA0CD4CB69F2A88FEA6EF1607</vt:lpwstr>
  </property>
  <property fmtid="{D5CDD505-2E9C-101B-9397-08002B2CF9AE}" pid="3" name="KSOProductBuildVer">
    <vt:lpwstr>2052-11.1.0.12970</vt:lpwstr>
  </property>
</Properties>
</file>