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<sst xmlns="http://schemas.openxmlformats.org/spreadsheetml/2006/main" count="37" uniqueCount="37">
  <si>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项目名称</t>
  </si>
  <si>
    <t>GMV</t>
  </si>
  <si>
    <t>咨询收入</t>
  </si>
  <si>
    <t>IPD 汇总</t>
  </si>
  <si>
    <t>OGSM 汇总</t>
  </si>
  <si>
    <t>OKR 汇总</t>
  </si>
  <si>
    <t>PMC管理诊断 汇总</t>
  </si>
  <si>
    <t>变革领导力 汇总</t>
  </si>
  <si>
    <t>财务咨询 汇总</t>
  </si>
  <si>
    <t>产品创新 汇总</t>
  </si>
  <si>
    <t>定位公关 汇总</t>
  </si>
  <si>
    <t>供应链管理 汇总</t>
  </si>
  <si>
    <t>股权设计 汇总</t>
  </si>
  <si>
    <t>教练式领导力 汇总</t>
  </si>
  <si>
    <t>结构思考力 汇总</t>
  </si>
  <si>
    <t>科学分钱 汇总</t>
  </si>
  <si>
    <t>品牌体验 汇总</t>
  </si>
  <si>
    <t>企业文化 汇总</t>
  </si>
  <si>
    <t>人才建设 汇总</t>
  </si>
  <si>
    <t>商业模式 汇总</t>
  </si>
  <si>
    <t>升级定位 汇总</t>
  </si>
  <si>
    <t>铁三角营销 汇总</t>
  </si>
  <si>
    <t>投放工作坊 汇总</t>
  </si>
  <si>
    <t>项目管理 汇总</t>
  </si>
  <si>
    <t>销售业绩管理 汇总</t>
  </si>
  <si>
    <t>演讲 汇总</t>
  </si>
  <si>
    <t>业务领先战略 汇总</t>
  </si>
  <si>
    <t>有效管理 汇总</t>
  </si>
  <si>
    <t>增长飞轮 汇总</t>
  </si>
  <si>
    <t>战略视觉锤 汇总</t>
  </si>
  <si>
    <t>组织变革 汇总</t>
  </si>
  <si>
    <t>管理基本功</t>
  </si>
  <si>
    <t>细化定位</t>
  </si>
  <si>
    <t>定位广告</t>
  </si>
  <si>
    <t>定位服务落地</t>
  </si>
  <si>
    <t>总计</t>
  </si>
  <si>
    <t>备注：本数据包含已经实际交付完成，但尚未收到款的咨询收入。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</si>
</sst>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176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indexed="8"/>
      <name val="等线"/>
      <charset val="1"/>
      <scheme val="minor"/>
    </font>
    <font>
      <sz val="11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A7E0"/>
        <bgColor rgb="FF2EA7E0"/>
      </patternFill>
    </fill>
    <fill>
      <patternFill patternType="solid">
        <fgColor rgb="FFDEDEDE"/>
        <bgColor rgb="FFDEDEDE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E25" sqref="E25"/>
    </sheetView>
  </sheetViews>
  <sheetFormatPr defaultColWidth="8" defaultRowHeight="14" outlineLevelCol="2"/>
  <cols>
    <col min="1" max="1" width="22.5" style="1" customWidth="1"/>
    <col min="2" max="3" width="16.4166666666667" style="1" customWidth="1"/>
    <col min="4" max="16384" width="8" style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s="1" customFormat="1" spans="1:3">
      <c r="A2" s="3" t="s">
        <v>3</v>
      </c>
      <c r="B2" s="4">
        <v>2856300</v>
      </c>
      <c r="C2" s="4">
        <v>1056300</v>
      </c>
    </row>
    <row r="3" s="1" customFormat="1" spans="1:3">
      <c r="A3" s="5" t="s">
        <v>4</v>
      </c>
      <c r="B3" s="6">
        <v>2300000</v>
      </c>
      <c r="C3" s="6">
        <v>2300000</v>
      </c>
    </row>
    <row r="4" s="1" customFormat="1" spans="1:3">
      <c r="A4" s="5" t="s">
        <v>5</v>
      </c>
      <c r="B4" s="6">
        <v>166000</v>
      </c>
      <c r="C4" s="6">
        <v>110000</v>
      </c>
    </row>
    <row r="5" s="1" customFormat="1" spans="1:3">
      <c r="A5" s="3" t="s">
        <v>6</v>
      </c>
      <c r="B5" s="4">
        <v>220000</v>
      </c>
      <c r="C5" s="4">
        <v>220000</v>
      </c>
    </row>
    <row r="6" s="1" customFormat="1" spans="1:3">
      <c r="A6" s="5" t="s">
        <v>7</v>
      </c>
      <c r="B6" s="6">
        <v>250000</v>
      </c>
      <c r="C6" s="6">
        <v>170000</v>
      </c>
    </row>
    <row r="7" s="1" customFormat="1" spans="1:3">
      <c r="A7" s="5" t="s">
        <v>8</v>
      </c>
      <c r="B7" s="6">
        <v>948840</v>
      </c>
      <c r="C7" s="6">
        <v>142326</v>
      </c>
    </row>
    <row r="8" s="1" customFormat="1" spans="1:3">
      <c r="A8" s="5" t="s">
        <v>9</v>
      </c>
      <c r="B8" s="6">
        <v>160000</v>
      </c>
      <c r="C8" s="6">
        <v>160000</v>
      </c>
    </row>
    <row r="9" s="1" customFormat="1" spans="1:3">
      <c r="A9" s="3" t="s">
        <v>10</v>
      </c>
      <c r="B9" s="4">
        <v>1189306</v>
      </c>
      <c r="C9" s="4">
        <v>228396</v>
      </c>
    </row>
    <row r="10" s="1" customFormat="1" spans="1:3">
      <c r="A10" s="5" t="s">
        <v>11</v>
      </c>
      <c r="B10" s="6">
        <v>3291100</v>
      </c>
      <c r="C10" s="6">
        <v>2362665</v>
      </c>
    </row>
    <row r="11" s="1" customFormat="1" spans="1:3">
      <c r="A11" s="3" t="s">
        <v>12</v>
      </c>
      <c r="B11" s="4">
        <v>2695000</v>
      </c>
      <c r="C11" s="4">
        <v>286500</v>
      </c>
    </row>
    <row r="12" s="1" customFormat="1" spans="1:3">
      <c r="A12" s="5" t="s">
        <v>13</v>
      </c>
      <c r="B12" s="6">
        <v>610000</v>
      </c>
      <c r="C12" s="6">
        <v>261250</v>
      </c>
    </row>
    <row r="13" s="1" customFormat="1" spans="1:3">
      <c r="A13" s="3" t="s">
        <v>14</v>
      </c>
      <c r="B13" s="4">
        <v>110000</v>
      </c>
      <c r="C13" s="4">
        <v>110000</v>
      </c>
    </row>
    <row r="14" s="1" customFormat="1" spans="1:3">
      <c r="A14" s="3" t="s">
        <v>15</v>
      </c>
      <c r="B14" s="4">
        <v>11340000</v>
      </c>
      <c r="C14" s="4">
        <v>1184000</v>
      </c>
    </row>
    <row r="15" s="1" customFormat="1" spans="1:3">
      <c r="A15" s="3" t="s">
        <v>16</v>
      </c>
      <c r="B15" s="4">
        <v>914000</v>
      </c>
      <c r="C15" s="4">
        <v>359100</v>
      </c>
    </row>
    <row r="16" s="1" customFormat="1" spans="1:3">
      <c r="A16" s="3" t="s">
        <v>17</v>
      </c>
      <c r="B16" s="4">
        <v>150000</v>
      </c>
      <c r="C16" s="4">
        <v>150000</v>
      </c>
    </row>
    <row r="17" s="1" customFormat="1" spans="1:3">
      <c r="A17" s="5" t="s">
        <v>18</v>
      </c>
      <c r="B17" s="6">
        <v>2033000</v>
      </c>
      <c r="C17" s="6">
        <v>331821.78</v>
      </c>
    </row>
    <row r="18" s="1" customFormat="1" spans="1:3">
      <c r="A18" s="5" t="s">
        <v>19</v>
      </c>
      <c r="B18" s="6">
        <v>100000</v>
      </c>
      <c r="C18" s="6">
        <v>100000</v>
      </c>
    </row>
    <row r="19" s="1" customFormat="1" spans="1:3">
      <c r="A19" s="3" t="s">
        <v>20</v>
      </c>
      <c r="B19" s="4">
        <v>153600</v>
      </c>
      <c r="C19" s="4">
        <v>153600</v>
      </c>
    </row>
    <row r="20" s="1" customFormat="1" spans="1:3">
      <c r="A20" s="5" t="s">
        <v>21</v>
      </c>
      <c r="B20" s="6">
        <v>185000</v>
      </c>
      <c r="C20" s="6">
        <v>185000</v>
      </c>
    </row>
    <row r="21" s="1" customFormat="1" spans="1:3">
      <c r="A21" s="3" t="s">
        <v>22</v>
      </c>
      <c r="B21" s="4">
        <v>25000</v>
      </c>
      <c r="C21" s="4">
        <v>25000</v>
      </c>
    </row>
    <row r="22" s="1" customFormat="1" spans="1:3">
      <c r="A22" s="5" t="s">
        <v>23</v>
      </c>
      <c r="B22" s="6">
        <v>1483160</v>
      </c>
      <c r="C22" s="6">
        <v>1483160</v>
      </c>
    </row>
    <row r="23" s="1" customFormat="1" spans="1:3">
      <c r="A23" s="5" t="s">
        <v>24</v>
      </c>
      <c r="B23" s="6">
        <v>140000</v>
      </c>
      <c r="C23" s="6">
        <v>140000</v>
      </c>
    </row>
    <row r="24" s="1" customFormat="1" spans="1:3">
      <c r="A24" s="5" t="s">
        <v>25</v>
      </c>
      <c r="B24" s="6">
        <v>670000</v>
      </c>
      <c r="C24" s="6">
        <v>110000</v>
      </c>
    </row>
    <row r="25" s="1" customFormat="1" spans="1:3">
      <c r="A25" s="5" t="s">
        <v>26</v>
      </c>
      <c r="B25" s="6">
        <v>3477900</v>
      </c>
      <c r="C25" s="6">
        <v>778300</v>
      </c>
    </row>
    <row r="26" s="1" customFormat="1" spans="1:3">
      <c r="A26" s="5" t="s">
        <v>27</v>
      </c>
      <c r="B26" s="6">
        <v>1326000</v>
      </c>
      <c r="C26" s="6">
        <v>323000</v>
      </c>
    </row>
    <row r="27" s="1" customFormat="1" spans="1:3">
      <c r="A27" s="5" t="s">
        <v>28</v>
      </c>
      <c r="B27" s="6">
        <v>55000</v>
      </c>
      <c r="C27" s="6">
        <v>55000</v>
      </c>
    </row>
    <row r="28" s="1" customFormat="1" spans="1:3">
      <c r="A28" s="5" t="s">
        <v>29</v>
      </c>
      <c r="B28" s="6">
        <v>2180000</v>
      </c>
      <c r="C28" s="6">
        <v>180000</v>
      </c>
    </row>
    <row r="29" s="1" customFormat="1" spans="1:3">
      <c r="A29" s="5" t="s">
        <v>30</v>
      </c>
      <c r="B29" s="6">
        <v>10387354.6</v>
      </c>
      <c r="C29" s="6">
        <v>9860689.8</v>
      </c>
    </row>
    <row r="30" s="1" customFormat="1" spans="1:3">
      <c r="A30" s="5" t="s">
        <v>31</v>
      </c>
      <c r="B30" s="6">
        <v>90000</v>
      </c>
      <c r="C30" s="6">
        <v>90000</v>
      </c>
    </row>
    <row r="31" s="1" customFormat="1" spans="1:3">
      <c r="A31" s="5" t="s">
        <v>32</v>
      </c>
      <c r="B31" s="6">
        <v>120000</v>
      </c>
      <c r="C31" s="6">
        <v>120000</v>
      </c>
    </row>
    <row r="32" s="1" customFormat="1" spans="1:3">
      <c r="A32" s="5" t="s">
        <v>33</v>
      </c>
      <c r="B32" s="6">
        <v>50000</v>
      </c>
      <c r="C32" s="6">
        <v>50000</v>
      </c>
    </row>
    <row r="33" s="1" customFormat="1" spans="1:3">
      <c r="A33" s="5" t="s">
        <v>34</v>
      </c>
      <c r="B33" s="6">
        <v>1000000</v>
      </c>
      <c r="C33" s="6">
        <v>100000</v>
      </c>
    </row>
    <row r="34" s="1" customFormat="1" spans="1:3">
      <c r="A34" s="5" t="s">
        <v>35</v>
      </c>
      <c r="B34" s="6">
        <f>SUM(B2:B33)</f>
        <v>50676560.6</v>
      </c>
      <c r="C34" s="6">
        <f>SUM(C2:C33)</f>
        <v>23186108.58</v>
      </c>
    </row>
    <row r="36" s="1" customFormat="1" spans="1:1">
      <c r="A36" s="1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2021-12-29T09:21:31Z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E561E19523BA42F8966D4D02394C255E</vt:lpwstr>
  </property>
  <property fmtid="{D5CDD505-2E9C-101B-9397-08002B2CF9AE}" pid="3" name="KSOProductBuildVer">
    <vt:lpwstr>2052-11.1.0.11194</vt:lpwstr>
  </property>
</Properties>
</file>