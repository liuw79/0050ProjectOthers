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20" tabRatio="580"/>
  </bookViews>
  <sheets>
    <sheet name="7月份" sheetId="1" r:id="rId1"/>
  </sheets>
  <definedNames>
    <definedName name="_xlnm._FilterDatabase" localSheetId="0" hidden="1">'7月份'!$A$1:$BK$22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O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填金额，加批注说明</t>
        </r>
      </text>
    </comment>
    <comment ref="AP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填金额，加批注说明</t>
        </r>
      </text>
    </comment>
    <comment ref="AS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≤学员服务总数</t>
        </r>
        <r>
          <rPr>
            <sz val="9"/>
            <rFont val="Tahoma"/>
            <charset val="134"/>
          </rPr>
          <t>&lt;5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&lt;13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30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13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&lt;18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35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18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&lt;20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40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人
学员服务总数≧</t>
        </r>
        <r>
          <rPr>
            <sz val="9"/>
            <rFont val="Tahoma"/>
            <charset val="134"/>
          </rPr>
          <t>20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50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</text>
    </comment>
  </commentList>
</comments>
</file>

<file path=xl/sharedStrings.xml><?xml version="1.0" encoding="utf-8"?>
<sst xmlns="http://schemas.openxmlformats.org/spreadsheetml/2006/main" count="51">
  <si>
    <t>姓名</t>
  </si>
  <si>
    <t>VIP课时数</t>
  </si>
  <si>
    <t>VIP课时费</t>
  </si>
  <si>
    <t>体验课时数</t>
  </si>
  <si>
    <t>体验课时费</t>
  </si>
  <si>
    <t>内部督导小时数</t>
  </si>
  <si>
    <t>内部督导费</t>
  </si>
  <si>
    <t>培训时数</t>
  </si>
  <si>
    <t>培训费</t>
  </si>
  <si>
    <t>一对多课时费（情商/团体课）</t>
  </si>
  <si>
    <t>家长课堂</t>
  </si>
  <si>
    <t>课酬</t>
  </si>
  <si>
    <t>带学生人数</t>
  </si>
  <si>
    <t>学生服务费</t>
  </si>
  <si>
    <t>2R报备奖金</t>
  </si>
  <si>
    <t>Push奖金</t>
  </si>
  <si>
    <t>续费转
介绍奖金</t>
  </si>
  <si>
    <t>2R奖金   （部门业绩）</t>
  </si>
  <si>
    <t>立项人奖励</t>
  </si>
  <si>
    <t>课消奖励</t>
  </si>
  <si>
    <t>“0”退费奖</t>
  </si>
  <si>
    <t>退费扣款</t>
  </si>
  <si>
    <t>奖金合计</t>
  </si>
  <si>
    <t>底薪</t>
  </si>
  <si>
    <t>绩效基数</t>
  </si>
  <si>
    <t>考核打分</t>
  </si>
  <si>
    <t>考核奖金</t>
  </si>
  <si>
    <t>提成合计</t>
  </si>
  <si>
    <t>工资总额</t>
  </si>
  <si>
    <t>冷玲莉（兼职）</t>
  </si>
  <si>
    <t>李海燕</t>
  </si>
  <si>
    <t>刘明月</t>
  </si>
  <si>
    <t>赵金丹</t>
  </si>
  <si>
    <t>唐艺</t>
  </si>
  <si>
    <t>耿曰美</t>
  </si>
  <si>
    <t>黄晓苏</t>
  </si>
  <si>
    <t>饶荣丹</t>
  </si>
  <si>
    <t>刘书琴</t>
  </si>
  <si>
    <t>周华群</t>
  </si>
  <si>
    <t>杨丽英</t>
  </si>
  <si>
    <t>刘丽</t>
  </si>
  <si>
    <t>谭妃</t>
  </si>
  <si>
    <t>王鹏</t>
  </si>
  <si>
    <t>张竞文</t>
  </si>
  <si>
    <t>王俊舒</t>
  </si>
  <si>
    <t>丁睿瑶</t>
  </si>
  <si>
    <t>闫玉芬</t>
  </si>
  <si>
    <t>王鑫锐</t>
  </si>
  <si>
    <t>江山</t>
  </si>
  <si>
    <t xml:space="preserve"> </t>
  </si>
  <si>
    <t>合计</t>
  </si>
</sst>
</file>

<file path=xl/styles.xml><?xml version="1.0" encoding="utf-8"?>
<styleSheet xmlns="http://schemas.openxmlformats.org/spreadsheetml/2006/main">
  <numFmts count="5">
    <numFmt numFmtId="176" formatCode="\¥#,##0;\-\¥#,##0"/>
    <numFmt numFmtId="43" formatCode="_ * #,##0.00_ ;_ * \-#,##0.00_ ;_ * &quot;-&quot;??_ ;_ @_ "/>
    <numFmt numFmtId="7" formatCode="&quot;￥&quot;#,##0.00;&quot;￥&quot;\-#,##0.00"/>
    <numFmt numFmtId="177" formatCode="0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2"/>
      <color rgb="FF000000"/>
      <name val="Times New Roman"/>
      <charset val="134"/>
    </font>
    <font>
      <sz val="16"/>
      <color rgb="FF0000FF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7" tint="0.59999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theme="8" tint="0.39998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theme="9" tint="0.39998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7" tint="0.39998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8"/>
      </bottom>
      <diagonal/>
    </border>
    <border>
      <left/>
      <right/>
      <top/>
      <bottom style="thick">
        <color rgb="FFACCC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50">
    <xf numFmtId="0" fontId="0" fillId="0" borderId="0">
      <alignment vertical="center"/>
    </xf>
    <xf numFmtId="0" fontId="26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19" borderId="9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58" fontId="3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1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I22"/>
  <sheetViews>
    <sheetView tabSelected="1" zoomScale="110" zoomScaleNormal="110" workbookViewId="0">
      <pane xSplit="1" ySplit="1" topLeftCell="AR2" activePane="bottomRight" state="frozen"/>
      <selection/>
      <selection pane="topRight"/>
      <selection pane="bottomLeft"/>
      <selection pane="bottomRight" activeCell="AH21" sqref="AH21"/>
    </sheetView>
  </sheetViews>
  <sheetFormatPr defaultColWidth="9" defaultRowHeight="25.2" customHeight="1"/>
  <cols>
    <col min="1" max="1" width="13.7115384615385" style="1" customWidth="1"/>
    <col min="2" max="16" width="9.05769230769231" style="1" customWidth="1"/>
    <col min="17" max="17" width="10.0673076923077" style="1" customWidth="1"/>
    <col min="18" max="28" width="9.05769230769231" style="1" customWidth="1"/>
    <col min="29" max="29" width="8.80769230769231" style="1" customWidth="1"/>
    <col min="30" max="31" width="9.05769230769231" style="1" customWidth="1"/>
    <col min="32" max="32" width="9.68269230769231" style="1" customWidth="1"/>
    <col min="33" max="33" width="11.6923076923077" style="1" customWidth="1"/>
    <col min="34" max="34" width="12.0769230769231" style="1" customWidth="1"/>
    <col min="35" max="35" width="10.8173076923077" style="1" customWidth="1"/>
    <col min="36" max="36" width="10.0673076923077" style="1" customWidth="1"/>
    <col min="37" max="37" width="9.68269230769231" style="1" customWidth="1"/>
    <col min="38" max="41" width="10.6923076923077" style="1" customWidth="1"/>
    <col min="42" max="42" width="11.6923076923077" style="1" customWidth="1"/>
    <col min="43" max="43" width="11.0673076923077" style="1" customWidth="1"/>
    <col min="44" max="45" width="10.8173076923077" style="1" customWidth="1"/>
    <col min="46" max="48" width="10.4423076923077" style="1" customWidth="1"/>
    <col min="49" max="49" width="11.4423076923077" style="1" customWidth="1"/>
    <col min="50" max="50" width="9.05769230769231" style="1" customWidth="1"/>
    <col min="51" max="54" width="11.6923076923077" style="1" customWidth="1"/>
    <col min="55" max="57" width="9.68269230769231" style="1" customWidth="1"/>
    <col min="58" max="58" width="10.8173076923077" style="1" customWidth="1"/>
    <col min="59" max="59" width="13.4519230769231" style="1" customWidth="1"/>
    <col min="60" max="60" width="14.4615384615385" style="1" customWidth="1"/>
    <col min="61" max="61" width="12.3269230769231" style="1" customWidth="1"/>
    <col min="62" max="16384" width="9.05769230769231" style="1" customWidth="1"/>
  </cols>
  <sheetData>
    <row r="1" ht="52.5" customHeight="1" spans="1:60">
      <c r="A1" s="3" t="s">
        <v>0</v>
      </c>
      <c r="B1" s="4">
        <v>44287</v>
      </c>
      <c r="C1" s="4">
        <v>44288</v>
      </c>
      <c r="D1" s="4">
        <v>44289</v>
      </c>
      <c r="E1" s="4">
        <v>44290</v>
      </c>
      <c r="F1" s="4">
        <v>44291</v>
      </c>
      <c r="G1" s="4">
        <v>44292</v>
      </c>
      <c r="H1" s="4">
        <v>44293</v>
      </c>
      <c r="I1" s="4">
        <v>44294</v>
      </c>
      <c r="J1" s="4">
        <v>44295</v>
      </c>
      <c r="K1" s="4">
        <v>44296</v>
      </c>
      <c r="L1" s="4">
        <v>44297</v>
      </c>
      <c r="M1" s="4">
        <v>44298</v>
      </c>
      <c r="N1" s="4">
        <v>44299</v>
      </c>
      <c r="O1" s="4">
        <v>44300</v>
      </c>
      <c r="P1" s="4">
        <v>44301</v>
      </c>
      <c r="Q1" s="4">
        <v>44302</v>
      </c>
      <c r="R1" s="4">
        <v>44303</v>
      </c>
      <c r="S1" s="4">
        <v>44304</v>
      </c>
      <c r="T1" s="4">
        <v>44305</v>
      </c>
      <c r="U1" s="4">
        <v>44306</v>
      </c>
      <c r="V1" s="4">
        <v>44307</v>
      </c>
      <c r="W1" s="4">
        <v>44308</v>
      </c>
      <c r="X1" s="4">
        <v>44309</v>
      </c>
      <c r="Y1" s="4">
        <v>44310</v>
      </c>
      <c r="Z1" s="4">
        <v>44311</v>
      </c>
      <c r="AA1" s="4">
        <v>44312</v>
      </c>
      <c r="AB1" s="4">
        <v>44313</v>
      </c>
      <c r="AC1" s="4">
        <v>44314</v>
      </c>
      <c r="AD1" s="4">
        <v>44315</v>
      </c>
      <c r="AE1" s="4">
        <v>44316</v>
      </c>
      <c r="AF1" s="4"/>
      <c r="AG1" s="9" t="s">
        <v>1</v>
      </c>
      <c r="AH1" s="10" t="s">
        <v>2</v>
      </c>
      <c r="AI1" s="9" t="s">
        <v>3</v>
      </c>
      <c r="AJ1" s="10" t="s">
        <v>4</v>
      </c>
      <c r="AK1" s="9" t="s">
        <v>5</v>
      </c>
      <c r="AL1" s="10" t="s">
        <v>6</v>
      </c>
      <c r="AM1" s="9" t="s">
        <v>7</v>
      </c>
      <c r="AN1" s="10" t="s">
        <v>8</v>
      </c>
      <c r="AO1" s="10" t="s">
        <v>9</v>
      </c>
      <c r="AP1" s="10" t="s">
        <v>10</v>
      </c>
      <c r="AQ1" s="9" t="s">
        <v>11</v>
      </c>
      <c r="AR1" s="9" t="s">
        <v>12</v>
      </c>
      <c r="AS1" s="10" t="s">
        <v>13</v>
      </c>
      <c r="AT1" s="10" t="s">
        <v>14</v>
      </c>
      <c r="AU1" s="10" t="s">
        <v>15</v>
      </c>
      <c r="AV1" s="10" t="s">
        <v>16</v>
      </c>
      <c r="AW1" s="13" t="s">
        <v>17</v>
      </c>
      <c r="AX1" s="10" t="s">
        <v>18</v>
      </c>
      <c r="AY1" s="10" t="s">
        <v>19</v>
      </c>
      <c r="AZ1" s="10" t="s">
        <v>20</v>
      </c>
      <c r="BA1" s="14" t="s">
        <v>21</v>
      </c>
      <c r="BB1" s="9" t="s">
        <v>22</v>
      </c>
      <c r="BC1" s="15" t="s">
        <v>23</v>
      </c>
      <c r="BD1" s="15" t="s">
        <v>24</v>
      </c>
      <c r="BE1" s="15" t="s">
        <v>25</v>
      </c>
      <c r="BF1" s="15" t="s">
        <v>26</v>
      </c>
      <c r="BG1" s="3" t="s">
        <v>27</v>
      </c>
      <c r="BH1" s="17" t="s">
        <v>28</v>
      </c>
    </row>
    <row r="2" ht="24.75" hidden="1" customHeight="1" spans="1:60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5"/>
      <c r="Q2" s="6"/>
      <c r="R2" s="5"/>
      <c r="S2" s="5"/>
      <c r="T2" s="5"/>
      <c r="U2" s="5"/>
      <c r="V2" s="5"/>
      <c r="W2" s="5"/>
      <c r="X2" s="5"/>
      <c r="Y2" s="5"/>
      <c r="Z2" s="6"/>
      <c r="AA2" s="5"/>
      <c r="AB2" s="5"/>
      <c r="AC2" s="5"/>
      <c r="AD2" s="5"/>
      <c r="AE2" s="5"/>
      <c r="AF2" s="5"/>
      <c r="AG2" s="11">
        <v>0</v>
      </c>
      <c r="AH2" s="11">
        <f>AG2*200</f>
        <v>0</v>
      </c>
      <c r="AI2" s="11"/>
      <c r="AJ2" s="5">
        <f t="shared" ref="AJ2:AJ20" si="0">AI2*150</f>
        <v>0</v>
      </c>
      <c r="AK2" s="6"/>
      <c r="AL2" s="6"/>
      <c r="AM2" s="6"/>
      <c r="AN2" s="6"/>
      <c r="AO2" s="6"/>
      <c r="AP2" s="11"/>
      <c r="AQ2" s="5">
        <f t="shared" ref="AQ2:AQ20" si="1">SUM(AH2,AJ2,AL2,AN2,AO2,AP2)</f>
        <v>0</v>
      </c>
      <c r="AR2" s="11"/>
      <c r="AS2" s="5">
        <f>AR2*30</f>
        <v>0</v>
      </c>
      <c r="AT2" s="5"/>
      <c r="AU2" s="5"/>
      <c r="AV2" s="6"/>
      <c r="AW2" s="5"/>
      <c r="AX2" s="6"/>
      <c r="AY2" s="6"/>
      <c r="AZ2" s="6"/>
      <c r="BA2" s="6"/>
      <c r="BB2" s="5">
        <f t="shared" ref="BB2:BB20" si="2">SUM(AT2:BA2)</f>
        <v>0</v>
      </c>
      <c r="BC2" s="5"/>
      <c r="BD2" s="5"/>
      <c r="BE2" s="5"/>
      <c r="BF2" s="5">
        <f t="shared" ref="BF2:BF20" si="3">BD2*BE2*1%</f>
        <v>0</v>
      </c>
      <c r="BG2" s="5">
        <f t="shared" ref="BG2:BG20" si="4">SUM(AQ2,AS2,BB2)</f>
        <v>0</v>
      </c>
      <c r="BH2" s="17">
        <f t="shared" ref="BH2:BH20" si="5">SUM(BC2,BF2:BG2)</f>
        <v>0</v>
      </c>
    </row>
    <row r="3" s="1" customFormat="1" ht="24.75" hidden="1" customHeight="1" spans="1:60">
      <c r="A3" s="6" t="s">
        <v>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1">
        <v>0</v>
      </c>
      <c r="AH3" s="11">
        <f>AG3*100</f>
        <v>0</v>
      </c>
      <c r="AI3" s="11"/>
      <c r="AJ3" s="5">
        <f t="shared" si="0"/>
        <v>0</v>
      </c>
      <c r="AK3" s="6"/>
      <c r="AL3" s="6"/>
      <c r="AM3" s="11"/>
      <c r="AN3" s="6"/>
      <c r="AO3" s="11"/>
      <c r="AP3" s="6"/>
      <c r="AQ3" s="5">
        <f t="shared" si="1"/>
        <v>0</v>
      </c>
      <c r="AR3" s="5"/>
      <c r="AS3" s="5">
        <f>AR3*35</f>
        <v>0</v>
      </c>
      <c r="AT3" s="6"/>
      <c r="AU3" s="6"/>
      <c r="AV3" s="11"/>
      <c r="AW3" s="6"/>
      <c r="AX3" s="5"/>
      <c r="AY3" s="5"/>
      <c r="AZ3" s="5"/>
      <c r="BA3" s="5"/>
      <c r="BB3" s="5">
        <f t="shared" si="2"/>
        <v>0</v>
      </c>
      <c r="BC3" s="5"/>
      <c r="BD3" s="5"/>
      <c r="BE3" s="5"/>
      <c r="BF3" s="5">
        <f t="shared" si="3"/>
        <v>0</v>
      </c>
      <c r="BG3" s="5">
        <f t="shared" si="4"/>
        <v>0</v>
      </c>
      <c r="BH3" s="17">
        <f t="shared" si="5"/>
        <v>0</v>
      </c>
    </row>
    <row r="4" s="1" customFormat="1" ht="24.75" hidden="1" customHeight="1" spans="1:60">
      <c r="A4" s="6" t="s">
        <v>31</v>
      </c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11">
        <v>0</v>
      </c>
      <c r="AH4" s="11">
        <f>AG4*120</f>
        <v>0</v>
      </c>
      <c r="AI4" s="11"/>
      <c r="AJ4" s="5">
        <f t="shared" si="0"/>
        <v>0</v>
      </c>
      <c r="AK4" s="5"/>
      <c r="AL4" s="5"/>
      <c r="AM4" s="5"/>
      <c r="AN4" s="5"/>
      <c r="AO4" s="11"/>
      <c r="AP4" s="11"/>
      <c r="AQ4" s="5">
        <f t="shared" si="1"/>
        <v>0</v>
      </c>
      <c r="AR4" s="5"/>
      <c r="AS4" s="5">
        <f>AR4*40</f>
        <v>0</v>
      </c>
      <c r="AT4" s="6"/>
      <c r="AU4" s="6"/>
      <c r="AV4" s="5"/>
      <c r="AW4" s="5"/>
      <c r="AX4" s="11"/>
      <c r="AY4" s="5"/>
      <c r="AZ4" s="5"/>
      <c r="BA4" s="5"/>
      <c r="BB4" s="5">
        <f t="shared" si="2"/>
        <v>0</v>
      </c>
      <c r="BC4" s="5"/>
      <c r="BD4" s="5"/>
      <c r="BE4" s="5"/>
      <c r="BF4" s="5">
        <f t="shared" si="3"/>
        <v>0</v>
      </c>
      <c r="BG4" s="5">
        <f t="shared" si="4"/>
        <v>0</v>
      </c>
      <c r="BH4" s="17">
        <f t="shared" si="5"/>
        <v>0</v>
      </c>
    </row>
    <row r="5" s="1" customFormat="1" ht="24.75" hidden="1" customHeight="1" spans="1:60">
      <c r="A5" s="6" t="s">
        <v>32</v>
      </c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11">
        <v>0</v>
      </c>
      <c r="AH5" s="11">
        <f>AG5*120</f>
        <v>0</v>
      </c>
      <c r="AI5" s="11"/>
      <c r="AJ5" s="5">
        <f t="shared" si="0"/>
        <v>0</v>
      </c>
      <c r="AK5" s="5"/>
      <c r="AL5" s="6"/>
      <c r="AM5" s="6"/>
      <c r="AN5" s="6"/>
      <c r="AO5" s="11"/>
      <c r="AP5" s="5"/>
      <c r="AQ5" s="5">
        <f t="shared" si="1"/>
        <v>0</v>
      </c>
      <c r="AR5" s="5"/>
      <c r="AS5" s="5">
        <f>AR5*40</f>
        <v>0</v>
      </c>
      <c r="AT5" s="5"/>
      <c r="AU5" s="5"/>
      <c r="AV5" s="5"/>
      <c r="AW5" s="5"/>
      <c r="AX5" s="5"/>
      <c r="AY5" s="5"/>
      <c r="AZ5" s="5"/>
      <c r="BA5" s="5"/>
      <c r="BB5" s="5">
        <f t="shared" si="2"/>
        <v>0</v>
      </c>
      <c r="BC5" s="5"/>
      <c r="BD5" s="5"/>
      <c r="BE5" s="5"/>
      <c r="BF5" s="5">
        <f t="shared" si="3"/>
        <v>0</v>
      </c>
      <c r="BG5" s="5">
        <f t="shared" si="4"/>
        <v>0</v>
      </c>
      <c r="BH5" s="17">
        <f t="shared" si="5"/>
        <v>0</v>
      </c>
    </row>
    <row r="6" s="2" customFormat="1" ht="24.75" hidden="1" customHeight="1" spans="1:61">
      <c r="A6" s="5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>
        <v>0</v>
      </c>
      <c r="AH6" s="11">
        <f>AG6*80</f>
        <v>0</v>
      </c>
      <c r="AI6" s="11"/>
      <c r="AJ6" s="5">
        <f t="shared" si="0"/>
        <v>0</v>
      </c>
      <c r="AK6" s="5"/>
      <c r="AL6" s="5"/>
      <c r="AM6" s="5"/>
      <c r="AN6" s="5"/>
      <c r="AO6" s="11"/>
      <c r="AP6" s="5"/>
      <c r="AQ6" s="5">
        <f t="shared" si="1"/>
        <v>0</v>
      </c>
      <c r="AR6" s="5"/>
      <c r="AS6" s="5">
        <f>AR6*25</f>
        <v>0</v>
      </c>
      <c r="AT6" s="5"/>
      <c r="AU6" s="5"/>
      <c r="AV6" s="5"/>
      <c r="AW6" s="5"/>
      <c r="AX6" s="5"/>
      <c r="AY6" s="5"/>
      <c r="AZ6" s="5"/>
      <c r="BA6" s="5"/>
      <c r="BB6" s="5">
        <f t="shared" si="2"/>
        <v>0</v>
      </c>
      <c r="BC6" s="5"/>
      <c r="BD6" s="5"/>
      <c r="BE6" s="5"/>
      <c r="BF6" s="5">
        <f t="shared" si="3"/>
        <v>0</v>
      </c>
      <c r="BG6" s="5">
        <f t="shared" si="4"/>
        <v>0</v>
      </c>
      <c r="BH6" s="17">
        <f t="shared" si="5"/>
        <v>0</v>
      </c>
      <c r="BI6" s="19"/>
    </row>
    <row r="7" s="1" customFormat="1" ht="24.75" hidden="1" customHeight="1" spans="1:60">
      <c r="A7" s="7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  <c r="AA7" s="6"/>
      <c r="AB7" s="6"/>
      <c r="AC7" s="6"/>
      <c r="AD7" s="6"/>
      <c r="AE7" s="6"/>
      <c r="AF7" s="6"/>
      <c r="AG7" s="11">
        <v>0</v>
      </c>
      <c r="AH7" s="11">
        <f>AG7*80</f>
        <v>0</v>
      </c>
      <c r="AI7" s="11"/>
      <c r="AJ7" s="5">
        <f t="shared" si="0"/>
        <v>0</v>
      </c>
      <c r="AK7" s="5"/>
      <c r="AL7" s="5"/>
      <c r="AM7" s="6"/>
      <c r="AN7" s="6"/>
      <c r="AO7" s="11"/>
      <c r="AP7" s="5"/>
      <c r="AQ7" s="5">
        <f t="shared" si="1"/>
        <v>0</v>
      </c>
      <c r="AR7" s="5"/>
      <c r="AS7" s="5">
        <f>AR7*30</f>
        <v>0</v>
      </c>
      <c r="AT7" s="5"/>
      <c r="AU7" s="5"/>
      <c r="AV7" s="6"/>
      <c r="AW7" s="5"/>
      <c r="AX7" s="6"/>
      <c r="AY7" s="5"/>
      <c r="AZ7" s="5"/>
      <c r="BA7" s="5"/>
      <c r="BB7" s="5">
        <f t="shared" si="2"/>
        <v>0</v>
      </c>
      <c r="BC7" s="5"/>
      <c r="BD7" s="5"/>
      <c r="BE7" s="5"/>
      <c r="BF7" s="5">
        <f t="shared" si="3"/>
        <v>0</v>
      </c>
      <c r="BG7" s="5">
        <f t="shared" si="4"/>
        <v>0</v>
      </c>
      <c r="BH7" s="17">
        <f t="shared" si="5"/>
        <v>0</v>
      </c>
    </row>
    <row r="8" s="1" customFormat="1" ht="24.75" hidden="1" customHeight="1" spans="1:60">
      <c r="A8" s="5" t="s">
        <v>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6"/>
      <c r="AB8" s="6"/>
      <c r="AC8" s="6"/>
      <c r="AD8" s="6"/>
      <c r="AE8" s="6"/>
      <c r="AF8" s="6"/>
      <c r="AG8" s="11">
        <v>0</v>
      </c>
      <c r="AH8" s="11">
        <f>AG8*80</f>
        <v>0</v>
      </c>
      <c r="AI8" s="11"/>
      <c r="AJ8" s="5">
        <f t="shared" si="0"/>
        <v>0</v>
      </c>
      <c r="AK8" s="5"/>
      <c r="AL8" s="5"/>
      <c r="AM8" s="6"/>
      <c r="AN8" s="6"/>
      <c r="AO8" s="11"/>
      <c r="AP8" s="5"/>
      <c r="AQ8" s="5">
        <f t="shared" si="1"/>
        <v>0</v>
      </c>
      <c r="AR8" s="5"/>
      <c r="AS8" s="5">
        <f>AR8*30</f>
        <v>0</v>
      </c>
      <c r="AT8" s="5"/>
      <c r="AU8" s="5"/>
      <c r="AV8" s="5"/>
      <c r="AW8" s="5"/>
      <c r="AX8" s="6"/>
      <c r="AY8" s="5"/>
      <c r="AZ8" s="5"/>
      <c r="BA8" s="5"/>
      <c r="BB8" s="5">
        <f t="shared" si="2"/>
        <v>0</v>
      </c>
      <c r="BC8" s="5"/>
      <c r="BD8" s="5"/>
      <c r="BE8" s="5"/>
      <c r="BF8" s="5">
        <f t="shared" si="3"/>
        <v>0</v>
      </c>
      <c r="BG8" s="5">
        <f t="shared" si="4"/>
        <v>0</v>
      </c>
      <c r="BH8" s="17">
        <f t="shared" si="5"/>
        <v>0</v>
      </c>
    </row>
    <row r="9" ht="24.75" hidden="1" customHeight="1" spans="1:60">
      <c r="A9" s="5" t="s">
        <v>36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1">
        <v>0</v>
      </c>
      <c r="AH9" s="11">
        <f>AG9*120</f>
        <v>0</v>
      </c>
      <c r="AI9" s="11"/>
      <c r="AJ9" s="5">
        <f t="shared" si="0"/>
        <v>0</v>
      </c>
      <c r="AK9" s="5"/>
      <c r="AL9" s="5"/>
      <c r="AM9" s="5"/>
      <c r="AN9" s="5"/>
      <c r="AO9" s="5"/>
      <c r="AP9" s="11"/>
      <c r="AQ9" s="5">
        <f t="shared" si="1"/>
        <v>0</v>
      </c>
      <c r="AR9" s="5"/>
      <c r="AS9" s="5">
        <f>AR9*35</f>
        <v>0</v>
      </c>
      <c r="AT9" s="11"/>
      <c r="AU9" s="11"/>
      <c r="AV9" s="5"/>
      <c r="AW9" s="5"/>
      <c r="AX9" s="5"/>
      <c r="AY9" s="5"/>
      <c r="AZ9" s="5"/>
      <c r="BA9" s="5"/>
      <c r="BB9" s="5">
        <f t="shared" si="2"/>
        <v>0</v>
      </c>
      <c r="BC9" s="5"/>
      <c r="BD9" s="5"/>
      <c r="BE9" s="5"/>
      <c r="BF9" s="5">
        <f t="shared" si="3"/>
        <v>0</v>
      </c>
      <c r="BG9" s="5">
        <f t="shared" si="4"/>
        <v>0</v>
      </c>
      <c r="BH9" s="17">
        <f t="shared" si="5"/>
        <v>0</v>
      </c>
    </row>
    <row r="10" ht="24.75" hidden="1" customHeight="1" spans="1:60">
      <c r="A10" s="6" t="s">
        <v>37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  <c r="AA10" s="6"/>
      <c r="AB10" s="6"/>
      <c r="AC10" s="6"/>
      <c r="AD10" s="6"/>
      <c r="AE10" s="6"/>
      <c r="AF10" s="6"/>
      <c r="AG10" s="11">
        <v>0</v>
      </c>
      <c r="AH10" s="11">
        <f>AG10*100</f>
        <v>0</v>
      </c>
      <c r="AI10" s="11"/>
      <c r="AJ10" s="5">
        <f t="shared" si="0"/>
        <v>0</v>
      </c>
      <c r="AK10" s="6"/>
      <c r="AL10" s="6"/>
      <c r="AM10" s="6"/>
      <c r="AN10" s="6"/>
      <c r="AO10" s="6"/>
      <c r="AP10" s="6"/>
      <c r="AQ10" s="5">
        <f t="shared" si="1"/>
        <v>0</v>
      </c>
      <c r="AR10" s="6"/>
      <c r="AS10" s="5">
        <f>AR10*35</f>
        <v>0</v>
      </c>
      <c r="AT10" s="6"/>
      <c r="AU10" s="6"/>
      <c r="AV10" s="6"/>
      <c r="AW10" s="6"/>
      <c r="AX10" s="6"/>
      <c r="AY10" s="6"/>
      <c r="AZ10" s="6"/>
      <c r="BA10" s="6"/>
      <c r="BB10" s="5">
        <f t="shared" si="2"/>
        <v>0</v>
      </c>
      <c r="BC10" s="5"/>
      <c r="BD10" s="5"/>
      <c r="BE10" s="6"/>
      <c r="BF10" s="5">
        <f t="shared" si="3"/>
        <v>0</v>
      </c>
      <c r="BG10" s="5">
        <f t="shared" si="4"/>
        <v>0</v>
      </c>
      <c r="BH10" s="17">
        <f t="shared" si="5"/>
        <v>0</v>
      </c>
    </row>
    <row r="11" ht="24.75" hidden="1" customHeight="1" spans="1:60">
      <c r="A11" s="5" t="s">
        <v>38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6"/>
      <c r="AB11" s="6"/>
      <c r="AC11" s="6"/>
      <c r="AD11" s="6"/>
      <c r="AE11" s="6"/>
      <c r="AF11" s="6"/>
      <c r="AG11" s="11">
        <v>0</v>
      </c>
      <c r="AH11" s="11">
        <f>AG11*80</f>
        <v>0</v>
      </c>
      <c r="AI11" s="11"/>
      <c r="AJ11" s="5">
        <f t="shared" si="0"/>
        <v>0</v>
      </c>
      <c r="AK11" s="5"/>
      <c r="AL11" s="5"/>
      <c r="AM11" s="5"/>
      <c r="AN11" s="5"/>
      <c r="AO11" s="5"/>
      <c r="AP11" s="11"/>
      <c r="AQ11" s="5">
        <f t="shared" si="1"/>
        <v>0</v>
      </c>
      <c r="AR11" s="11"/>
      <c r="AS11" s="5">
        <f>AR11*30</f>
        <v>0</v>
      </c>
      <c r="AT11" s="5"/>
      <c r="AU11" s="5"/>
      <c r="AV11" s="6"/>
      <c r="AW11" s="6"/>
      <c r="AX11" s="6"/>
      <c r="AY11" s="5"/>
      <c r="AZ11" s="5"/>
      <c r="BA11" s="5"/>
      <c r="BB11" s="5">
        <f t="shared" si="2"/>
        <v>0</v>
      </c>
      <c r="BC11" s="5"/>
      <c r="BD11" s="5"/>
      <c r="BE11" s="5"/>
      <c r="BF11" s="5">
        <f t="shared" si="3"/>
        <v>0</v>
      </c>
      <c r="BG11" s="5">
        <f t="shared" si="4"/>
        <v>0</v>
      </c>
      <c r="BH11" s="17">
        <f t="shared" si="5"/>
        <v>0</v>
      </c>
    </row>
    <row r="12" ht="27" hidden="1" customHeight="1" spans="1:60">
      <c r="A12" s="6" t="s">
        <v>39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1">
        <v>0</v>
      </c>
      <c r="AH12" s="11">
        <f>AG12*100</f>
        <v>0</v>
      </c>
      <c r="AI12" s="11"/>
      <c r="AJ12" s="5">
        <f t="shared" si="0"/>
        <v>0</v>
      </c>
      <c r="AK12" s="5"/>
      <c r="AL12" s="5"/>
      <c r="AM12" s="5"/>
      <c r="AN12" s="5"/>
      <c r="AO12" s="5"/>
      <c r="AP12" s="11"/>
      <c r="AQ12" s="5">
        <f t="shared" si="1"/>
        <v>0</v>
      </c>
      <c r="AR12" s="5"/>
      <c r="AS12" s="5">
        <f>AR12*30</f>
        <v>0</v>
      </c>
      <c r="AT12" s="11"/>
      <c r="AU12" s="11"/>
      <c r="AV12" s="7"/>
      <c r="AW12" s="6"/>
      <c r="AX12" s="5"/>
      <c r="AY12" s="5"/>
      <c r="AZ12" s="5"/>
      <c r="BA12" s="5"/>
      <c r="BB12" s="5">
        <f t="shared" si="2"/>
        <v>0</v>
      </c>
      <c r="BC12" s="5"/>
      <c r="BD12" s="5"/>
      <c r="BE12" s="5"/>
      <c r="BF12" s="5">
        <f t="shared" si="3"/>
        <v>0</v>
      </c>
      <c r="BG12" s="5">
        <f t="shared" si="4"/>
        <v>0</v>
      </c>
      <c r="BH12" s="17">
        <f t="shared" si="5"/>
        <v>0</v>
      </c>
    </row>
    <row r="13" ht="24.75" hidden="1" customHeight="1" spans="1:60">
      <c r="A13" s="6" t="s">
        <v>40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  <c r="AA13" s="6"/>
      <c r="AB13" s="6"/>
      <c r="AC13" s="6"/>
      <c r="AD13" s="6"/>
      <c r="AE13" s="6"/>
      <c r="AF13" s="6"/>
      <c r="AG13" s="11">
        <v>0</v>
      </c>
      <c r="AH13" s="11">
        <f t="shared" ref="AH13:AH21" si="6">AG13*80</f>
        <v>0</v>
      </c>
      <c r="AI13" s="11"/>
      <c r="AJ13" s="5">
        <f t="shared" si="0"/>
        <v>0</v>
      </c>
      <c r="AK13" s="6"/>
      <c r="AL13" s="6"/>
      <c r="AM13" s="6"/>
      <c r="AN13" s="6"/>
      <c r="AO13" s="6"/>
      <c r="AP13" s="6"/>
      <c r="AQ13" s="5">
        <f t="shared" si="1"/>
        <v>0</v>
      </c>
      <c r="AR13" s="5"/>
      <c r="AS13" s="5">
        <f>AR13*30</f>
        <v>0</v>
      </c>
      <c r="AT13" s="6"/>
      <c r="AU13" s="6"/>
      <c r="AV13" s="6"/>
      <c r="AW13" s="6"/>
      <c r="AX13" s="6"/>
      <c r="AY13" s="6"/>
      <c r="AZ13" s="6"/>
      <c r="BA13" s="6"/>
      <c r="BB13" s="5">
        <f t="shared" si="2"/>
        <v>0</v>
      </c>
      <c r="BC13" s="5"/>
      <c r="BD13" s="5"/>
      <c r="BE13" s="6"/>
      <c r="BF13" s="5">
        <f t="shared" si="3"/>
        <v>0</v>
      </c>
      <c r="BG13" s="5">
        <f t="shared" si="4"/>
        <v>0</v>
      </c>
      <c r="BH13" s="17">
        <f t="shared" si="5"/>
        <v>0</v>
      </c>
    </row>
    <row r="14" ht="24.75" hidden="1" customHeight="1" spans="1:60">
      <c r="A14" s="6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1">
        <v>0</v>
      </c>
      <c r="AH14" s="11">
        <f t="shared" si="6"/>
        <v>0</v>
      </c>
      <c r="AI14" s="5"/>
      <c r="AJ14" s="5">
        <f t="shared" si="0"/>
        <v>0</v>
      </c>
      <c r="AK14" s="5"/>
      <c r="AL14" s="5"/>
      <c r="AM14" s="5"/>
      <c r="AN14" s="5"/>
      <c r="AO14" s="5"/>
      <c r="AP14" s="11"/>
      <c r="AQ14" s="5">
        <f t="shared" si="1"/>
        <v>0</v>
      </c>
      <c r="AR14" s="5"/>
      <c r="AS14" s="5">
        <f>AR14*25</f>
        <v>0</v>
      </c>
      <c r="AT14" s="5"/>
      <c r="AU14" s="5"/>
      <c r="AV14" s="5"/>
      <c r="AW14" s="5"/>
      <c r="AX14" s="5"/>
      <c r="AY14" s="5"/>
      <c r="AZ14" s="5"/>
      <c r="BA14" s="5"/>
      <c r="BB14" s="5">
        <f t="shared" si="2"/>
        <v>0</v>
      </c>
      <c r="BC14" s="5"/>
      <c r="BD14" s="5"/>
      <c r="BE14" s="5"/>
      <c r="BF14" s="5">
        <f t="shared" si="3"/>
        <v>0</v>
      </c>
      <c r="BG14" s="5">
        <f t="shared" si="4"/>
        <v>0</v>
      </c>
      <c r="BH14" s="17">
        <f t="shared" si="5"/>
        <v>0</v>
      </c>
    </row>
    <row r="15" ht="24.75" hidden="1" customHeight="1" spans="1:60">
      <c r="A15" s="6" t="s">
        <v>42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  <c r="AA15" s="6"/>
      <c r="AB15" s="6"/>
      <c r="AC15" s="6"/>
      <c r="AD15" s="6"/>
      <c r="AE15" s="6"/>
      <c r="AF15" s="6"/>
      <c r="AG15" s="11">
        <v>0</v>
      </c>
      <c r="AH15" s="11">
        <f t="shared" si="6"/>
        <v>0</v>
      </c>
      <c r="AI15" s="11"/>
      <c r="AJ15" s="5">
        <f t="shared" si="0"/>
        <v>0</v>
      </c>
      <c r="AK15" s="6"/>
      <c r="AL15" s="6"/>
      <c r="AM15" s="6"/>
      <c r="AN15" s="6"/>
      <c r="AO15" s="6"/>
      <c r="AP15" s="6"/>
      <c r="AQ15" s="5">
        <f t="shared" si="1"/>
        <v>0</v>
      </c>
      <c r="AR15" s="5"/>
      <c r="AS15" s="5">
        <f>AR15*20</f>
        <v>0</v>
      </c>
      <c r="AT15" s="6"/>
      <c r="AU15" s="6"/>
      <c r="AV15" s="6"/>
      <c r="AW15" s="6"/>
      <c r="AX15" s="6"/>
      <c r="AY15" s="6"/>
      <c r="AZ15" s="6"/>
      <c r="BA15" s="6"/>
      <c r="BB15" s="5">
        <f t="shared" si="2"/>
        <v>0</v>
      </c>
      <c r="BC15" s="5"/>
      <c r="BD15" s="5"/>
      <c r="BE15" s="6"/>
      <c r="BF15" s="5">
        <f t="shared" si="3"/>
        <v>0</v>
      </c>
      <c r="BG15" s="5">
        <f t="shared" si="4"/>
        <v>0</v>
      </c>
      <c r="BH15" s="17">
        <f t="shared" si="5"/>
        <v>0</v>
      </c>
    </row>
    <row r="16" ht="24.75" hidden="1" customHeight="1" spans="1:60">
      <c r="A16" s="5" t="s">
        <v>43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6"/>
      <c r="AB16" s="6"/>
      <c r="AC16" s="6"/>
      <c r="AD16" s="6"/>
      <c r="AE16" s="6"/>
      <c r="AF16" s="6"/>
      <c r="AG16" s="11">
        <v>0</v>
      </c>
      <c r="AH16" s="11">
        <f t="shared" si="6"/>
        <v>0</v>
      </c>
      <c r="AI16" s="11"/>
      <c r="AJ16" s="5">
        <f t="shared" si="0"/>
        <v>0</v>
      </c>
      <c r="AK16" s="6"/>
      <c r="AL16" s="6"/>
      <c r="AM16" s="6"/>
      <c r="AN16" s="6"/>
      <c r="AO16" s="6"/>
      <c r="AP16" s="6"/>
      <c r="AQ16" s="5">
        <f t="shared" si="1"/>
        <v>0</v>
      </c>
      <c r="AR16" s="5"/>
      <c r="AS16" s="5">
        <f>AR16*25</f>
        <v>0</v>
      </c>
      <c r="AT16" s="6"/>
      <c r="AU16" s="6"/>
      <c r="AV16" s="6"/>
      <c r="AW16" s="6"/>
      <c r="AX16" s="6"/>
      <c r="AY16" s="6"/>
      <c r="AZ16" s="6"/>
      <c r="BA16" s="6"/>
      <c r="BB16" s="5">
        <f t="shared" si="2"/>
        <v>0</v>
      </c>
      <c r="BC16" s="5"/>
      <c r="BD16" s="5"/>
      <c r="BE16" s="6"/>
      <c r="BF16" s="5">
        <f t="shared" si="3"/>
        <v>0</v>
      </c>
      <c r="BG16" s="5">
        <f t="shared" si="4"/>
        <v>0</v>
      </c>
      <c r="BH16" s="17">
        <f t="shared" si="5"/>
        <v>0</v>
      </c>
    </row>
    <row r="17" ht="24.75" hidden="1" customHeight="1" spans="1:60">
      <c r="A17" s="6" t="s">
        <v>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v>0</v>
      </c>
      <c r="AH17" s="11">
        <f t="shared" si="6"/>
        <v>0</v>
      </c>
      <c r="AI17" s="11"/>
      <c r="AJ17" s="5">
        <f t="shared" si="0"/>
        <v>0</v>
      </c>
      <c r="AK17" s="6"/>
      <c r="AL17" s="6"/>
      <c r="AM17" s="6"/>
      <c r="AN17" s="6"/>
      <c r="AO17" s="6"/>
      <c r="AP17" s="7"/>
      <c r="AQ17" s="5">
        <f t="shared" si="1"/>
        <v>0</v>
      </c>
      <c r="AR17" s="6"/>
      <c r="AS17" s="6">
        <f>SUM(AS2:AS16)</f>
        <v>0</v>
      </c>
      <c r="AT17" s="6"/>
      <c r="AU17" s="6"/>
      <c r="AV17" s="6"/>
      <c r="AW17" s="6"/>
      <c r="AX17" s="6"/>
      <c r="AY17" s="6"/>
      <c r="AZ17" s="6"/>
      <c r="BA17" s="6"/>
      <c r="BB17" s="5">
        <f t="shared" si="2"/>
        <v>0</v>
      </c>
      <c r="BC17" s="6"/>
      <c r="BD17" s="6"/>
      <c r="BE17" s="6"/>
      <c r="BF17" s="5">
        <f t="shared" si="3"/>
        <v>0</v>
      </c>
      <c r="BG17" s="5">
        <f t="shared" si="4"/>
        <v>0</v>
      </c>
      <c r="BH17" s="17">
        <f t="shared" si="5"/>
        <v>0</v>
      </c>
    </row>
    <row r="18" ht="27.75" hidden="1" customHeight="1" spans="1:60">
      <c r="A18" s="6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v>0</v>
      </c>
      <c r="AH18" s="11">
        <f t="shared" si="6"/>
        <v>0</v>
      </c>
      <c r="AI18" s="12"/>
      <c r="AJ18" s="5">
        <f t="shared" si="0"/>
        <v>0</v>
      </c>
      <c r="AK18" s="6"/>
      <c r="AL18" s="6"/>
      <c r="AM18" s="6"/>
      <c r="AN18" s="6"/>
      <c r="AO18" s="6"/>
      <c r="AP18" s="6"/>
      <c r="AQ18" s="5">
        <f t="shared" si="1"/>
        <v>0</v>
      </c>
      <c r="AR18" s="6"/>
      <c r="AS18" s="6">
        <f>SUM(AS2:AS17)</f>
        <v>0</v>
      </c>
      <c r="AT18" s="6"/>
      <c r="AU18" s="6"/>
      <c r="AV18" s="6"/>
      <c r="AW18" s="6"/>
      <c r="AX18" s="6"/>
      <c r="AY18" s="6"/>
      <c r="AZ18" s="6"/>
      <c r="BA18" s="6"/>
      <c r="BB18" s="5">
        <f t="shared" si="2"/>
        <v>0</v>
      </c>
      <c r="BC18" s="6"/>
      <c r="BD18" s="6"/>
      <c r="BE18" s="6"/>
      <c r="BF18" s="5">
        <f t="shared" si="3"/>
        <v>0</v>
      </c>
      <c r="BG18" s="5">
        <f t="shared" si="4"/>
        <v>0</v>
      </c>
      <c r="BH18" s="17">
        <f t="shared" si="5"/>
        <v>0</v>
      </c>
    </row>
    <row r="19" ht="27.75" hidden="1" customHeight="1" spans="1:60">
      <c r="A19" s="6" t="s">
        <v>46</v>
      </c>
      <c r="B19" s="6"/>
      <c r="C19" s="6"/>
      <c r="D19" s="6"/>
      <c r="E19" s="6"/>
      <c r="F19" s="6"/>
      <c r="G19" s="6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1">
        <v>0</v>
      </c>
      <c r="AH19" s="11">
        <f t="shared" si="6"/>
        <v>0</v>
      </c>
      <c r="AI19" s="12"/>
      <c r="AJ19" s="5">
        <f t="shared" si="0"/>
        <v>0</v>
      </c>
      <c r="AK19" s="6"/>
      <c r="AL19" s="6"/>
      <c r="AM19" s="6"/>
      <c r="AN19" s="6"/>
      <c r="AO19" s="6"/>
      <c r="AP19" s="6"/>
      <c r="AQ19" s="5">
        <f t="shared" si="1"/>
        <v>0</v>
      </c>
      <c r="AR19" s="6"/>
      <c r="AS19" s="6">
        <f>SUM(AS3:AS18)</f>
        <v>0</v>
      </c>
      <c r="AT19" s="6"/>
      <c r="AU19" s="6"/>
      <c r="AV19" s="6"/>
      <c r="AW19" s="6"/>
      <c r="AX19" s="6"/>
      <c r="AY19" s="6"/>
      <c r="AZ19" s="6"/>
      <c r="BA19" s="6"/>
      <c r="BB19" s="5">
        <f t="shared" si="2"/>
        <v>0</v>
      </c>
      <c r="BC19" s="6"/>
      <c r="BD19" s="6"/>
      <c r="BE19" s="6"/>
      <c r="BF19" s="5">
        <f t="shared" si="3"/>
        <v>0</v>
      </c>
      <c r="BG19" s="5">
        <f t="shared" si="4"/>
        <v>0</v>
      </c>
      <c r="BH19" s="17">
        <f t="shared" si="5"/>
        <v>0</v>
      </c>
    </row>
    <row r="20" ht="27.75" hidden="1" customHeight="1" spans="1:60">
      <c r="A20" s="6" t="s">
        <v>47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1">
        <v>0</v>
      </c>
      <c r="AH20" s="11">
        <f t="shared" si="6"/>
        <v>0</v>
      </c>
      <c r="AI20" s="6"/>
      <c r="AJ20" s="5">
        <f t="shared" si="0"/>
        <v>0</v>
      </c>
      <c r="AK20" s="6"/>
      <c r="AL20" s="6"/>
      <c r="AM20" s="6"/>
      <c r="AN20" s="6"/>
      <c r="AO20" s="6"/>
      <c r="AP20" s="6"/>
      <c r="AQ20" s="5">
        <f t="shared" si="1"/>
        <v>0</v>
      </c>
      <c r="AR20" s="6"/>
      <c r="AS20" s="6">
        <f>SUM(AS4:AS19)</f>
        <v>0</v>
      </c>
      <c r="AT20" s="6"/>
      <c r="AU20" s="6"/>
      <c r="AV20" s="6"/>
      <c r="AW20" s="6"/>
      <c r="AX20" s="6"/>
      <c r="AY20" s="6"/>
      <c r="AZ20" s="6"/>
      <c r="BA20" s="6"/>
      <c r="BB20" s="5">
        <f t="shared" si="2"/>
        <v>0</v>
      </c>
      <c r="BC20" s="6"/>
      <c r="BD20" s="6"/>
      <c r="BE20" s="6"/>
      <c r="BF20" s="5">
        <f t="shared" si="3"/>
        <v>0</v>
      </c>
      <c r="BG20" s="5">
        <f t="shared" si="4"/>
        <v>0</v>
      </c>
      <c r="BH20" s="17">
        <f t="shared" si="5"/>
        <v>0</v>
      </c>
    </row>
    <row r="21" customFormat="1" ht="27.75" customHeight="1" spans="1:60">
      <c r="A21" s="6" t="s">
        <v>48</v>
      </c>
      <c r="B21" s="6"/>
      <c r="C21" s="6"/>
      <c r="D21" s="6"/>
      <c r="E21" s="6"/>
      <c r="F21" s="6"/>
      <c r="G21" s="6">
        <v>4</v>
      </c>
      <c r="H21" s="6"/>
      <c r="I21" s="6"/>
      <c r="J21" s="6"/>
      <c r="K21" s="6">
        <v>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4</v>
      </c>
      <c r="Z21" s="6"/>
      <c r="AA21" s="6"/>
      <c r="AB21" s="6"/>
      <c r="AC21" s="6"/>
      <c r="AD21" s="6"/>
      <c r="AE21" s="6"/>
      <c r="AF21" s="6"/>
      <c r="AG21" s="11">
        <v>9</v>
      </c>
      <c r="AH21" s="11">
        <f>AG21*120</f>
        <v>1080</v>
      </c>
      <c r="AI21" s="6"/>
      <c r="AJ21" s="5"/>
      <c r="AK21" s="6"/>
      <c r="AL21" s="6"/>
      <c r="AM21" s="6"/>
      <c r="AN21" s="6"/>
      <c r="AO21" s="6"/>
      <c r="AP21" s="6"/>
      <c r="AQ21" s="5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5">
        <f>AH21+AW21</f>
        <v>1080</v>
      </c>
      <c r="BC21" s="16"/>
      <c r="BD21" s="6"/>
      <c r="BE21" s="6"/>
      <c r="BF21" s="5"/>
      <c r="BG21" s="5" t="s">
        <v>49</v>
      </c>
      <c r="BH21" s="18">
        <f>SUM(BB21:BC21)</f>
        <v>1080</v>
      </c>
    </row>
    <row r="22" ht="24.75" customHeight="1" spans="1:60">
      <c r="A22" s="6" t="s">
        <v>50</v>
      </c>
      <c r="B22" s="6">
        <f t="shared" ref="B22:AF22" si="7">SUM(B2:B20)</f>
        <v>0</v>
      </c>
      <c r="C22" s="6">
        <f t="shared" si="7"/>
        <v>0</v>
      </c>
      <c r="D22" s="6">
        <f t="shared" si="7"/>
        <v>0</v>
      </c>
      <c r="E22" s="6">
        <f t="shared" si="7"/>
        <v>0</v>
      </c>
      <c r="F22" s="6">
        <f t="shared" si="7"/>
        <v>0</v>
      </c>
      <c r="G22" s="6">
        <f t="shared" si="7"/>
        <v>0</v>
      </c>
      <c r="H22" s="6">
        <f t="shared" si="7"/>
        <v>0</v>
      </c>
      <c r="I22" s="6">
        <f t="shared" si="7"/>
        <v>0</v>
      </c>
      <c r="J22" s="6">
        <f t="shared" si="7"/>
        <v>0</v>
      </c>
      <c r="K22" s="6">
        <f t="shared" si="7"/>
        <v>0</v>
      </c>
      <c r="L22" s="6">
        <f t="shared" si="7"/>
        <v>0</v>
      </c>
      <c r="M22" s="6">
        <f t="shared" si="7"/>
        <v>0</v>
      </c>
      <c r="N22" s="6">
        <f t="shared" si="7"/>
        <v>0</v>
      </c>
      <c r="O22" s="6">
        <f t="shared" si="7"/>
        <v>0</v>
      </c>
      <c r="P22" s="6">
        <f t="shared" si="7"/>
        <v>0</v>
      </c>
      <c r="Q22" s="6">
        <f t="shared" si="7"/>
        <v>0</v>
      </c>
      <c r="R22" s="6">
        <f t="shared" si="7"/>
        <v>0</v>
      </c>
      <c r="S22" s="6">
        <f t="shared" si="7"/>
        <v>0</v>
      </c>
      <c r="T22" s="6">
        <f t="shared" si="7"/>
        <v>0</v>
      </c>
      <c r="U22" s="6">
        <f t="shared" si="7"/>
        <v>0</v>
      </c>
      <c r="V22" s="6">
        <f t="shared" si="7"/>
        <v>0</v>
      </c>
      <c r="W22" s="6">
        <f t="shared" si="7"/>
        <v>0</v>
      </c>
      <c r="X22" s="6">
        <f t="shared" si="7"/>
        <v>0</v>
      </c>
      <c r="Y22" s="6">
        <f t="shared" si="7"/>
        <v>0</v>
      </c>
      <c r="Z22" s="6">
        <f t="shared" si="7"/>
        <v>0</v>
      </c>
      <c r="AA22" s="6">
        <f t="shared" si="7"/>
        <v>0</v>
      </c>
      <c r="AB22" s="6">
        <f t="shared" si="7"/>
        <v>0</v>
      </c>
      <c r="AC22" s="6">
        <f t="shared" si="7"/>
        <v>0</v>
      </c>
      <c r="AD22" s="6">
        <f t="shared" si="7"/>
        <v>0</v>
      </c>
      <c r="AE22" s="6">
        <f t="shared" si="7"/>
        <v>0</v>
      </c>
      <c r="AF22" s="6">
        <f t="shared" si="7"/>
        <v>0</v>
      </c>
      <c r="AG22" s="11">
        <v>0</v>
      </c>
      <c r="AH22" s="6">
        <f t="shared" ref="AH22:BH22" si="8">SUM(AH2:AH20)</f>
        <v>0</v>
      </c>
      <c r="AI22" s="6">
        <f t="shared" si="8"/>
        <v>0</v>
      </c>
      <c r="AJ22" s="6">
        <f t="shared" si="8"/>
        <v>0</v>
      </c>
      <c r="AK22" s="6">
        <f t="shared" si="8"/>
        <v>0</v>
      </c>
      <c r="AL22" s="6">
        <f t="shared" si="8"/>
        <v>0</v>
      </c>
      <c r="AM22" s="6">
        <f t="shared" si="8"/>
        <v>0</v>
      </c>
      <c r="AN22" s="6">
        <f t="shared" si="8"/>
        <v>0</v>
      </c>
      <c r="AO22" s="6">
        <f t="shared" si="8"/>
        <v>0</v>
      </c>
      <c r="AP22" s="6">
        <f t="shared" si="8"/>
        <v>0</v>
      </c>
      <c r="AQ22" s="6">
        <f t="shared" si="8"/>
        <v>0</v>
      </c>
      <c r="AR22" s="6">
        <f t="shared" si="8"/>
        <v>0</v>
      </c>
      <c r="AS22" s="6">
        <f t="shared" si="8"/>
        <v>0</v>
      </c>
      <c r="AT22" s="6">
        <f t="shared" si="8"/>
        <v>0</v>
      </c>
      <c r="AU22" s="6">
        <f t="shared" si="8"/>
        <v>0</v>
      </c>
      <c r="AV22" s="6">
        <f t="shared" si="8"/>
        <v>0</v>
      </c>
      <c r="AW22" s="6">
        <f t="shared" si="8"/>
        <v>0</v>
      </c>
      <c r="AX22" s="6">
        <f t="shared" si="8"/>
        <v>0</v>
      </c>
      <c r="AY22" s="6">
        <f t="shared" si="8"/>
        <v>0</v>
      </c>
      <c r="AZ22" s="6">
        <f t="shared" si="8"/>
        <v>0</v>
      </c>
      <c r="BA22" s="6">
        <f t="shared" si="8"/>
        <v>0</v>
      </c>
      <c r="BB22" s="6">
        <f t="shared" si="8"/>
        <v>0</v>
      </c>
      <c r="BC22" s="6">
        <f t="shared" si="8"/>
        <v>0</v>
      </c>
      <c r="BD22" s="6">
        <f t="shared" si="8"/>
        <v>0</v>
      </c>
      <c r="BE22" s="6">
        <f t="shared" si="8"/>
        <v>0</v>
      </c>
      <c r="BF22" s="6">
        <f t="shared" si="8"/>
        <v>0</v>
      </c>
      <c r="BG22" s="6">
        <f t="shared" si="8"/>
        <v>0</v>
      </c>
      <c r="BH22" s="6">
        <f t="shared" si="8"/>
        <v>0</v>
      </c>
    </row>
  </sheetData>
  <autoFilter ref="A1:BK22"/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江珊❁</cp:lastModifiedBy>
  <cp:revision>3</cp:revision>
  <dcterms:created xsi:type="dcterms:W3CDTF">2020-03-01T11:35:00Z</dcterms:created>
  <dcterms:modified xsi:type="dcterms:W3CDTF">2021-04-29T16:10:53Z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  <property fmtid="{D5CDD505-2E9C-101B-9397-08002B2CF9AE}" pid="3" name="ICV">
    <vt:lpwstr>8E1BB0B00A2944C7AEA43EA2E0796495</vt:lpwstr>
  </property>
</Properties>
</file>