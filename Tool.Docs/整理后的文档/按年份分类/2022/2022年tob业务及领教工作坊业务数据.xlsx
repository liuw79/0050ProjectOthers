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90" activeTab="1"/>
  </bookViews>
  <sheets>
    <sheet name="领教工作坊" sheetId="1" r:id="rId1"/>
    <sheet name="2B业务" sheetId="2" r:id="rId2"/>
  </sheets>
  <calcPr calcId="144525"/>
</workbook>
</file>

<file path=xl/sharedStrings.xml><?xml version="1.0" encoding="utf-8"?>
<sst xmlns="http://schemas.openxmlformats.org/spreadsheetml/2006/main" count="36" uniqueCount="31">
  <si>
    <t>客户数</t>
  </si>
  <si>
    <t>讲师</t>
  </si>
  <si>
    <t>已回款</t>
  </si>
  <si>
    <t>未回款</t>
  </si>
  <si>
    <t>合计</t>
  </si>
  <si>
    <t>领教人天单价</t>
  </si>
  <si>
    <t>领教天数/人</t>
  </si>
  <si>
    <t>领教交付金额</t>
  </si>
  <si>
    <t>10个</t>
  </si>
  <si>
    <t>曾珍</t>
  </si>
  <si>
    <t>1个</t>
  </si>
  <si>
    <t>练启朋</t>
  </si>
  <si>
    <t>周伟</t>
  </si>
  <si>
    <t>总计</t>
  </si>
  <si>
    <t>项目</t>
  </si>
  <si>
    <t>2021年1-5月</t>
  </si>
  <si>
    <t>2022年1-5月</t>
  </si>
  <si>
    <t>2021全年累计金额</t>
  </si>
  <si>
    <t>金额</t>
  </si>
  <si>
    <t>预计毛利润</t>
  </si>
  <si>
    <t>预计高维利润</t>
  </si>
  <si>
    <t>人/天</t>
  </si>
  <si>
    <t>定位</t>
  </si>
  <si>
    <t>新触转路径</t>
  </si>
  <si>
    <t>定位领教</t>
  </si>
  <si>
    <t>流程领教</t>
  </si>
  <si>
    <t>微咨询里面的，独立的；模块</t>
  </si>
  <si>
    <t>增长</t>
  </si>
  <si>
    <t>科学分钱</t>
  </si>
  <si>
    <t>课题组合计</t>
  </si>
  <si>
    <t>咨询内训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</si>
</sst>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#,##0.00_ "/>
    <numFmt numFmtId="5" formatCode="&quot;￥&quot;#,##0;&quot;￥&quot;\-#,##0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/>
        <bgColor theme="4" tint="0.79998168889431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7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0" borderId="19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9" fillId="12" borderId="16" applyNumberFormat="0" applyAlignment="0" applyProtection="0">
      <alignment vertical="center"/>
    </xf>
    <xf numFmtId="0" fontId="21" fillId="12" borderId="15" applyNumberFormat="0" applyAlignment="0" applyProtection="0">
      <alignment vertical="center"/>
    </xf>
    <xf numFmtId="0" fontId="13" fillId="19" borderId="17" applyNumberFormat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0" borderId="8" xfId="0" applyFill="1" applyBorder="1" applyAlignment="1"/>
    <xf numFmtId="176" fontId="0" fillId="0" borderId="8" xfId="0" applyNumberFormat="1" applyFill="1" applyBorder="1" applyAlignment="1"/>
    <xf numFmtId="176" fontId="0" fillId="0" borderId="8" xfId="0" applyNumberFormat="1" applyFill="1" applyBorder="1" applyAlignment="1"/>
    <xf numFmtId="10" fontId="0" fillId="0" borderId="0" xfId="11" applyNumberFormat="1" applyAlignment="1"/>
    <xf numFmtId="0" fontId="0" fillId="0" borderId="0" xfId="0" applyFont="1" applyFill="1" applyAlignment="1"/>
    <xf numFmtId="176" fontId="0" fillId="0" borderId="0" xfId="0" applyNumberFormat="1" applyFont="1" applyFill="1" applyAlignment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8" xfId="0" applyFont="1" applyFill="1" applyBorder="1" applyAlignment="1">
      <alignment vertical="center"/>
    </xf>
    <xf numFmtId="176" fontId="0" fillId="0" borderId="8" xfId="0" applyNumberFormat="1" applyFont="1" applyFill="1" applyBorder="1" applyAlignment="1">
      <alignment vertical="center"/>
    </xf>
    <xf numFmtId="0" fontId="3" fillId="0" borderId="12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vertical="center"/>
    </xf>
    <xf numFmtId="5" fontId="4" fillId="0" borderId="8" xfId="0" applyNumberFormat="1" applyFont="1" applyFill="1" applyBorder="1" applyAlignment="1">
      <alignment vertical="center"/>
    </xf>
    <xf numFmtId="5" fontId="4" fillId="0" borderId="4" xfId="0" applyNumberFormat="1" applyFont="1" applyFill="1" applyBorder="1" applyAlignment="1">
      <alignment vertical="center"/>
    </xf>
    <xf numFmtId="0" fontId="0" fillId="0" borderId="8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horizontal="center" vertical="center"/>
    </xf>
    <xf numFmtId="5" fontId="2" fillId="2" borderId="14" xfId="0" applyNumberFormat="1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zoomScale="175" zoomScaleNormal="175" workbookViewId="0">
      <selection activeCell="A4" sqref="A4"/>
    </sheetView>
  </sheetViews>
  <sheetFormatPr defaultColWidth="8.66666666666667" defaultRowHeight="13.5" outlineLevelRow="5" outlineLevelCol="7"/>
  <cols>
    <col min="1" max="1" width="9.68333333333333" style="15" customWidth="1"/>
    <col min="2" max="2" width="8.66666666666667" style="15"/>
    <col min="3" max="3" width="13.8333333333333" style="15" customWidth="1"/>
    <col min="4" max="4" width="11.0833333333333" style="15" customWidth="1"/>
    <col min="5" max="5" width="12.9166666666667" style="15" customWidth="1"/>
    <col min="6" max="6" width="12.75" style="15" customWidth="1"/>
    <col min="7" max="7" width="11.4166666666667" style="16" customWidth="1"/>
    <col min="8" max="8" width="12.75" style="15" customWidth="1"/>
    <col min="9" max="16384" width="8.66666666666667" style="15"/>
  </cols>
  <sheetData>
    <row r="1" s="15" customFormat="1" ht="14.25" spans="7:7">
      <c r="G1" s="16"/>
    </row>
    <row r="2" s="15" customFormat="1" ht="15" spans="1:8">
      <c r="A2" s="17" t="s">
        <v>0</v>
      </c>
      <c r="B2" s="18" t="s">
        <v>1</v>
      </c>
      <c r="C2" s="18" t="s">
        <v>2</v>
      </c>
      <c r="D2" s="19" t="s">
        <v>3</v>
      </c>
      <c r="E2" s="20" t="s">
        <v>4</v>
      </c>
      <c r="F2" s="21" t="s">
        <v>5</v>
      </c>
      <c r="G2" s="22" t="s">
        <v>6</v>
      </c>
      <c r="H2" s="21" t="s">
        <v>7</v>
      </c>
    </row>
    <row r="3" s="15" customFormat="1" ht="16.5" spans="1:8">
      <c r="A3" s="23" t="s">
        <v>8</v>
      </c>
      <c r="B3" s="24" t="s">
        <v>9</v>
      </c>
      <c r="C3" s="25">
        <v>407500</v>
      </c>
      <c r="D3" s="25">
        <v>52500</v>
      </c>
      <c r="E3" s="26">
        <f t="shared" ref="E3:E6" si="0">SUM(C3:D3)</f>
        <v>460000</v>
      </c>
      <c r="F3" s="21">
        <v>15000</v>
      </c>
      <c r="G3" s="22">
        <f>E3/F3</f>
        <v>30.6666666666667</v>
      </c>
      <c r="H3" s="21">
        <f>E3</f>
        <v>460000</v>
      </c>
    </row>
    <row r="4" s="15" customFormat="1" ht="16.5" spans="1:8">
      <c r="A4" s="23" t="s">
        <v>10</v>
      </c>
      <c r="B4" s="24" t="s">
        <v>11</v>
      </c>
      <c r="C4" s="25">
        <v>77500</v>
      </c>
      <c r="D4" s="27"/>
      <c r="E4" s="26">
        <f t="shared" si="0"/>
        <v>77500</v>
      </c>
      <c r="F4" s="21">
        <v>15000</v>
      </c>
      <c r="G4" s="22">
        <f>E4/F4</f>
        <v>5.16666666666667</v>
      </c>
      <c r="H4" s="21">
        <f>E4</f>
        <v>77500</v>
      </c>
    </row>
    <row r="5" s="15" customFormat="1" ht="16.5" spans="1:8">
      <c r="A5" s="23" t="s">
        <v>10</v>
      </c>
      <c r="B5" s="24" t="s">
        <v>12</v>
      </c>
      <c r="C5" s="25">
        <v>30000</v>
      </c>
      <c r="D5" s="27"/>
      <c r="E5" s="26">
        <f t="shared" si="0"/>
        <v>30000</v>
      </c>
      <c r="F5" s="21">
        <v>30000</v>
      </c>
      <c r="G5" s="22">
        <f>E5/F5</f>
        <v>1</v>
      </c>
      <c r="H5" s="21">
        <f>E5</f>
        <v>30000</v>
      </c>
    </row>
    <row r="6" s="15" customFormat="1" ht="15.75" spans="1:8">
      <c r="A6" s="28"/>
      <c r="B6" s="29" t="s">
        <v>13</v>
      </c>
      <c r="C6" s="30">
        <f t="shared" ref="C6:H6" si="1">SUM(C3:C5)</f>
        <v>515000</v>
      </c>
      <c r="D6" s="30">
        <f t="shared" si="1"/>
        <v>52500</v>
      </c>
      <c r="E6" s="30">
        <f t="shared" si="0"/>
        <v>567500</v>
      </c>
      <c r="F6" s="21"/>
      <c r="G6" s="21">
        <f t="shared" si="1"/>
        <v>36.8333333333333</v>
      </c>
      <c r="H6" s="21">
        <f t="shared" si="1"/>
        <v>567500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30" zoomScaleNormal="130" workbookViewId="0">
      <selection activeCell="C26" sqref="C26"/>
    </sheetView>
  </sheetViews>
  <sheetFormatPr defaultColWidth="9" defaultRowHeight="13.5"/>
  <cols>
    <col min="1" max="1" width="12.75" style="1" customWidth="1"/>
    <col min="2" max="2" width="15.375" style="1" customWidth="1"/>
    <col min="3" max="3" width="15.625" style="1" customWidth="1"/>
    <col min="4" max="4" width="14.875" style="1" customWidth="1"/>
    <col min="5" max="5" width="16.625" style="1" customWidth="1"/>
    <col min="6" max="6" width="9" style="1"/>
    <col min="7" max="7" width="15.25" style="1" customWidth="1"/>
    <col min="8" max="8" width="14.75" style="1" customWidth="1"/>
    <col min="9" max="9" width="17.5833333333333" style="1" customWidth="1"/>
    <col min="10" max="16384" width="9" style="1"/>
  </cols>
  <sheetData>
    <row r="1" s="1" customFormat="1" spans="1:9">
      <c r="A1" s="3" t="s">
        <v>14</v>
      </c>
      <c r="B1" s="4" t="s">
        <v>15</v>
      </c>
      <c r="C1" s="5"/>
      <c r="D1" s="5"/>
      <c r="E1" s="6" t="s">
        <v>16</v>
      </c>
      <c r="F1" s="7"/>
      <c r="G1" s="7"/>
      <c r="H1" s="8"/>
      <c r="I1" s="3" t="s">
        <v>17</v>
      </c>
    </row>
    <row r="2" s="2" customFormat="1" spans="1:9">
      <c r="A2" s="9"/>
      <c r="B2" s="10" t="s">
        <v>18</v>
      </c>
      <c r="C2" s="10" t="s">
        <v>19</v>
      </c>
      <c r="D2" s="10" t="s">
        <v>20</v>
      </c>
      <c r="E2" s="10" t="s">
        <v>18</v>
      </c>
      <c r="F2" s="10" t="s">
        <v>21</v>
      </c>
      <c r="G2" s="10" t="s">
        <v>19</v>
      </c>
      <c r="H2" s="10" t="s">
        <v>20</v>
      </c>
      <c r="I2" s="9"/>
    </row>
    <row r="3" s="1" customFormat="1" spans="1:11">
      <c r="A3" s="11" t="s">
        <v>22</v>
      </c>
      <c r="B3" s="12">
        <v>2490000</v>
      </c>
      <c r="C3" s="12">
        <v>1077925.77</v>
      </c>
      <c r="D3" s="12">
        <v>538962.885</v>
      </c>
      <c r="E3" s="12">
        <v>1992000</v>
      </c>
      <c r="F3" s="11"/>
      <c r="G3" s="12">
        <f>E3*30%</f>
        <v>597600</v>
      </c>
      <c r="H3" s="12">
        <f>G3*50%</f>
        <v>298800</v>
      </c>
      <c r="I3" s="12">
        <v>4631000</v>
      </c>
      <c r="J3" s="14">
        <f>(E3-B3)/B3</f>
        <v>-0.2</v>
      </c>
      <c r="K3" s="1" t="s">
        <v>23</v>
      </c>
    </row>
    <row r="4" s="1" customFormat="1" spans="1:9">
      <c r="A4" s="11" t="s">
        <v>24</v>
      </c>
      <c r="B4" s="12"/>
      <c r="C4" s="12"/>
      <c r="D4" s="12"/>
      <c r="E4" s="12">
        <v>116000</v>
      </c>
      <c r="F4" s="11">
        <v>4</v>
      </c>
      <c r="G4" s="12">
        <f>E4*60%</f>
        <v>69600</v>
      </c>
      <c r="H4" s="12">
        <f>E4*50%</f>
        <v>58000</v>
      </c>
      <c r="I4" s="12"/>
    </row>
    <row r="5" s="1" customFormat="1" spans="1:9">
      <c r="A5" s="11"/>
      <c r="B5" s="12"/>
      <c r="C5" s="12"/>
      <c r="D5" s="12"/>
      <c r="E5" s="12"/>
      <c r="F5" s="11"/>
      <c r="G5" s="12"/>
      <c r="H5" s="12"/>
      <c r="I5" s="12"/>
    </row>
    <row r="6" s="1" customFormat="1" spans="1:11">
      <c r="A6" s="11" t="s">
        <v>25</v>
      </c>
      <c r="B6" s="12"/>
      <c r="C6" s="12"/>
      <c r="D6" s="12"/>
      <c r="E6" s="13">
        <v>567500</v>
      </c>
      <c r="F6" s="11">
        <v>36.83</v>
      </c>
      <c r="G6" s="12">
        <f>E6*60%</f>
        <v>340500</v>
      </c>
      <c r="H6" s="12">
        <f>E6*50%</f>
        <v>283750</v>
      </c>
      <c r="I6" s="12">
        <v>876636</v>
      </c>
      <c r="J6" s="1"/>
      <c r="K6" s="1" t="s">
        <v>26</v>
      </c>
    </row>
    <row r="7" s="1" customFormat="1" spans="1:9">
      <c r="A7" s="11"/>
      <c r="B7" s="12"/>
      <c r="C7" s="12"/>
      <c r="D7" s="12"/>
      <c r="E7" s="12"/>
      <c r="F7" s="11"/>
      <c r="G7" s="12"/>
      <c r="H7" s="12"/>
      <c r="I7" s="11"/>
    </row>
    <row r="8" s="1" customFormat="1" spans="1:9">
      <c r="A8" s="11" t="s">
        <v>27</v>
      </c>
      <c r="B8" s="12"/>
      <c r="C8" s="12"/>
      <c r="D8" s="12"/>
      <c r="E8" s="12"/>
      <c r="F8" s="11"/>
      <c r="G8" s="12"/>
      <c r="H8" s="12"/>
      <c r="I8" s="11"/>
    </row>
    <row r="9" s="1" customFormat="1" spans="1:9">
      <c r="A9" s="11"/>
      <c r="B9" s="12"/>
      <c r="C9" s="12"/>
      <c r="D9" s="12"/>
      <c r="E9" s="12"/>
      <c r="F9" s="11"/>
      <c r="G9" s="12"/>
      <c r="H9" s="12"/>
      <c r="I9" s="11"/>
    </row>
    <row r="10" s="1" customFormat="1" spans="1:9">
      <c r="A10" s="11" t="s">
        <v>28</v>
      </c>
      <c r="B10" s="12">
        <v>1274000</v>
      </c>
      <c r="C10" s="12">
        <v>330396.012</v>
      </c>
      <c r="D10" s="12">
        <v>165198.006</v>
      </c>
      <c r="E10" s="12"/>
      <c r="F10" s="11"/>
      <c r="G10" s="12"/>
      <c r="H10" s="12"/>
      <c r="I10" s="11"/>
    </row>
    <row r="11" s="1" customFormat="1" spans="1:9">
      <c r="A11" s="11"/>
      <c r="B11" s="12"/>
      <c r="C11" s="12"/>
      <c r="D11" s="12"/>
      <c r="E11" s="12"/>
      <c r="F11" s="11"/>
      <c r="G11" s="12"/>
      <c r="H11" s="12"/>
      <c r="I11" s="11"/>
    </row>
    <row r="12" s="1" customFormat="1" spans="1:9">
      <c r="A12" s="11" t="s">
        <v>29</v>
      </c>
      <c r="B12" s="12">
        <f>SUM(B3:B11)</f>
        <v>3764000</v>
      </c>
      <c r="C12" s="12">
        <f>SUM(C3:C11)</f>
        <v>1408321.782</v>
      </c>
      <c r="D12" s="12">
        <f>SUM(D3:D11)</f>
        <v>704160.891</v>
      </c>
      <c r="E12" s="12">
        <f t="shared" ref="E12:I12" si="0">SUM(E3:E7)</f>
        <v>2675500</v>
      </c>
      <c r="F12" s="12">
        <f t="shared" si="0"/>
        <v>40.83</v>
      </c>
      <c r="G12" s="12">
        <f t="shared" si="0"/>
        <v>1007700</v>
      </c>
      <c r="H12" s="12">
        <f t="shared" si="0"/>
        <v>640550</v>
      </c>
      <c r="I12" s="12">
        <f t="shared" si="0"/>
        <v>5507636</v>
      </c>
    </row>
    <row r="13" s="1" customFormat="1" spans="1:9">
      <c r="A13" s="11"/>
      <c r="B13" s="11"/>
      <c r="C13" s="11"/>
      <c r="D13" s="11"/>
      <c r="E13" s="11"/>
      <c r="F13" s="11"/>
      <c r="G13" s="12"/>
      <c r="H13" s="12"/>
      <c r="I13" s="11"/>
    </row>
    <row r="14" s="1" customFormat="1" spans="1:9">
      <c r="A14" s="11" t="s">
        <v>30</v>
      </c>
      <c r="B14" s="12">
        <v>16811316</v>
      </c>
      <c r="C14" s="12">
        <v>1406989.388</v>
      </c>
      <c r="D14" s="12">
        <v>541301.194</v>
      </c>
      <c r="E14" s="12">
        <v>15054900.2366667</v>
      </c>
      <c r="F14" s="12"/>
      <c r="G14" s="12">
        <f>E14*15%</f>
        <v>2258235.0355</v>
      </c>
      <c r="H14" s="12">
        <f>G14*45%</f>
        <v>1016205.765975</v>
      </c>
      <c r="I14" s="12">
        <v>50676560.6</v>
      </c>
    </row>
    <row r="15" s="1" customFormat="1" spans="1:9">
      <c r="A15" s="11"/>
      <c r="B15" s="11"/>
      <c r="C15" s="11"/>
      <c r="D15" s="11"/>
      <c r="E15" s="11"/>
      <c r="F15" s="11"/>
      <c r="G15" s="12"/>
      <c r="H15" s="12"/>
      <c r="I15" s="11"/>
    </row>
    <row r="16" s="1" customFormat="1" spans="1:9">
      <c r="A16" s="11" t="s">
        <v>13</v>
      </c>
      <c r="B16" s="12">
        <f t="shared" ref="B16:I16" si="1">SUM(B12:B14)</f>
        <v>20575316</v>
      </c>
      <c r="C16" s="12">
        <f t="shared" si="1"/>
        <v>2815311.17</v>
      </c>
      <c r="D16" s="12">
        <f t="shared" si="1"/>
        <v>1245462.085</v>
      </c>
      <c r="E16" s="12">
        <f t="shared" si="1"/>
        <v>17730400.2366667</v>
      </c>
      <c r="F16" s="12">
        <f t="shared" si="1"/>
        <v>40.83</v>
      </c>
      <c r="G16" s="12">
        <f t="shared" si="1"/>
        <v>3265935.0355</v>
      </c>
      <c r="H16" s="12">
        <f t="shared" si="1"/>
        <v>1656755.765975</v>
      </c>
      <c r="I16" s="12">
        <f t="shared" si="1"/>
        <v>56184196.6</v>
      </c>
    </row>
  </sheetData>
  <mergeCells count="4">
    <mergeCell ref="B1:D1"/>
    <mergeCell ref="E1:H1"/>
    <mergeCell ref="A1:A2"/>
    <mergeCell ref="I1:I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领教工作坊</vt:lpstr>
      <vt:lpstr>2B业务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折枝</cp:lastModifiedBy>
  <dcterms:created xsi:type="dcterms:W3CDTF">2022-06-05T11:51:00Z</dcterms:created>
  <dcterms:modified xsi:type="dcterms:W3CDTF">2022-06-06T07:02:46Z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18D5F6244CFB4C6E95A2B3FBBE6EB4B1</vt:lpwstr>
  </property>
  <property fmtid="{D5CDD505-2E9C-101B-9397-08002B2CF9AE}" pid="3" name="KSOProductBuildVer">
    <vt:lpwstr>2052-11.1.0.11744</vt:lpwstr>
  </property>
</Properties>
</file>