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<sst xmlns="http://schemas.openxmlformats.org/spreadsheetml/2006/main" count="1033" uniqueCount="187">
  <si>
    <t>到账日期</t>
  </si>
  <si>
    <t>项目名称</t>
  </si>
  <si>
    <t>讲师</t>
  </si>
  <si>
    <t>课程</t>
  </si>
  <si>
    <t>类型</t>
  </si>
  <si>
    <t>成交额（GMV）</t>
  </si>
  <si>
    <t>提成比例</t>
  </si>
  <si>
    <t>佣金/基数</t>
  </si>
  <si>
    <t>来源2%</t>
  </si>
  <si>
    <t>来源人</t>
  </si>
  <si>
    <t>线索1%</t>
  </si>
  <si>
    <t>线索人</t>
  </si>
  <si>
    <t>商务1%/5%</t>
  </si>
  <si>
    <t>商务人员</t>
  </si>
  <si>
    <t>方案1%</t>
  </si>
  <si>
    <t>方案人员</t>
  </si>
  <si>
    <t>项目管理4%</t>
  </si>
  <si>
    <t>项目经理</t>
  </si>
  <si>
    <t>备注</t>
  </si>
  <si>
    <t>金华米马贸易有限公司</t>
  </si>
  <si>
    <t>傅小丰</t>
  </si>
  <si>
    <t>增长微咨询</t>
  </si>
  <si>
    <t>内训</t>
  </si>
  <si>
    <t>伍悦</t>
  </si>
  <si>
    <t>北京天玛智控科技股份有限公司</t>
  </si>
  <si>
    <t>蒋伟良</t>
  </si>
  <si>
    <t>组织变革</t>
  </si>
  <si>
    <t>任杰欣</t>
  </si>
  <si>
    <t>上海睿众实业有限公司七期</t>
  </si>
  <si>
    <t>姜洪峰</t>
  </si>
  <si>
    <t>供应链管理</t>
  </si>
  <si>
    <t>咨询</t>
  </si>
  <si>
    <t>刘丽君</t>
  </si>
  <si>
    <t>刘晓烔</t>
  </si>
  <si>
    <t>2022-2-11/3-23</t>
  </si>
  <si>
    <t>杭州郅诚企业管理咨询有限公司</t>
  </si>
  <si>
    <t>卞志汉</t>
  </si>
  <si>
    <t>科学分钱</t>
  </si>
  <si>
    <t>张可馨</t>
  </si>
  <si>
    <t>北京鲲鹏山水教育咨询有限公司三期</t>
  </si>
  <si>
    <t>肖霞</t>
  </si>
  <si>
    <t>曾珍</t>
  </si>
  <si>
    <t>北京鲲鹏山水教育咨询有限公司</t>
  </si>
  <si>
    <t>流程微咨询</t>
  </si>
  <si>
    <t>领教工作坊</t>
  </si>
  <si>
    <t>上海仙工智能科技有限公司三期</t>
  </si>
  <si>
    <t>徐伟丽</t>
  </si>
  <si>
    <t>浙江汇信科技有限公司五期</t>
  </si>
  <si>
    <t>杨丽娇</t>
  </si>
  <si>
    <t>苏州凯帝丽莎电子商务有限公司八期</t>
  </si>
  <si>
    <t>贵州匠心酒业有限公司二期</t>
  </si>
  <si>
    <t>贵州乡酒酒业有限公司二期</t>
  </si>
  <si>
    <t>杭州大希地科技股份有限公司八期</t>
  </si>
  <si>
    <t>林慧余</t>
  </si>
  <si>
    <t>2022-2-23/3-3</t>
  </si>
  <si>
    <t>深圳市伊丝艾拉服饰有限公司</t>
  </si>
  <si>
    <t>季益祥</t>
  </si>
  <si>
    <t>教练式领导力</t>
  </si>
  <si>
    <t>许雯祯</t>
  </si>
  <si>
    <t>刘林香</t>
  </si>
  <si>
    <t>深圳酷骑童趣科技有限公司</t>
  </si>
  <si>
    <t>记豪</t>
  </si>
  <si>
    <t>战略视觉锤</t>
  </si>
  <si>
    <t>重庆鸿巨网络科技有限公司十二期</t>
  </si>
  <si>
    <t>郭致星</t>
  </si>
  <si>
    <t>项目管理</t>
  </si>
  <si>
    <t>肖晓</t>
  </si>
  <si>
    <t>上海仙工智能科技有限公司二期</t>
  </si>
  <si>
    <t>北京仁科互动网络技术有限公司二期</t>
  </si>
  <si>
    <t>蘑菇物联技术（深圳）有限公司</t>
  </si>
  <si>
    <t>崔建中</t>
  </si>
  <si>
    <t>销售业绩管理</t>
  </si>
  <si>
    <t>重庆韵涵餐饮文化有限公司</t>
  </si>
  <si>
    <t>广州奶糖派服装有限公司</t>
  </si>
  <si>
    <t>健康互联（广州）信息科技股份有限公司</t>
  </si>
  <si>
    <t>黄文锋</t>
  </si>
  <si>
    <t>战略工作坊</t>
  </si>
  <si>
    <t>上海仙工智能科技有限公司四期</t>
  </si>
  <si>
    <t>罗曼（收款来自上海会话管理咨询有限公司）</t>
  </si>
  <si>
    <t>何文峰</t>
  </si>
  <si>
    <t>定位公关</t>
  </si>
  <si>
    <t>吴国晶</t>
  </si>
  <si>
    <t>上海茗居网络科技有限公司四期（分七个公司汇款）</t>
  </si>
  <si>
    <t>上海领健信息技术有限公司九期</t>
  </si>
  <si>
    <t>和也健康科技有限公司六期</t>
  </si>
  <si>
    <t>深圳盈富斯科技有限公司六期</t>
  </si>
  <si>
    <t>北京鲲鹏山水教育咨询有限公司二期</t>
  </si>
  <si>
    <t>北京鲲鹏山水教育咨询有限公司四期</t>
  </si>
  <si>
    <t>北京仁科互动网络技术有限公司五期</t>
  </si>
  <si>
    <t>贵州丙乾全品牌管理有限公司</t>
  </si>
  <si>
    <t>未交付完，暂不核销</t>
  </si>
  <si>
    <t>闪耀现实（无锡）科技有限公司</t>
  </si>
  <si>
    <t>周伟</t>
  </si>
  <si>
    <t>北京来也网络科技有限公司二期</t>
  </si>
  <si>
    <t>上海睿众实业有限公司十一期（森璞）</t>
  </si>
  <si>
    <t>福建南孚市场营销有限公司</t>
  </si>
  <si>
    <t>四川盛和机械设备有限公司二期</t>
  </si>
  <si>
    <t>杭州印象视觉电子商务有限公司</t>
  </si>
  <si>
    <t>蘑菇物联技术（深圳）有限公司二期</t>
  </si>
  <si>
    <t>福建野小兽健康科技有限公司</t>
  </si>
  <si>
    <t>袁园</t>
  </si>
  <si>
    <t>OGSM</t>
  </si>
  <si>
    <t>和也健康科技有限公司</t>
  </si>
  <si>
    <t>高上</t>
  </si>
  <si>
    <t>PMC管理诊断</t>
  </si>
  <si>
    <t>深圳市三旺通信股份有限公司二期</t>
  </si>
  <si>
    <t>深圳市三旺通信股份有限公司</t>
  </si>
  <si>
    <t>深圳市数存科技有限公司二期</t>
  </si>
  <si>
    <t>贵州环亚民族职业技术学校二期</t>
  </si>
  <si>
    <t>深圳市韶音科技有限公司</t>
  </si>
  <si>
    <t>张剑桥</t>
  </si>
  <si>
    <t>双钻模型与用户洞察系统观</t>
  </si>
  <si>
    <t>北京明略软件系统有限公司六期</t>
  </si>
  <si>
    <t>贵州匠心酒业有限公司三期</t>
  </si>
  <si>
    <t>深圳市成塔服饰有限公司七期</t>
  </si>
  <si>
    <t>北京鲲鹏山水教育咨询有限公司五期</t>
  </si>
  <si>
    <t>练启朋</t>
  </si>
  <si>
    <t>广州市亚洲吃面文化发展有限公司</t>
  </si>
  <si>
    <t>深圳市三旺通信股份有限公司三期</t>
  </si>
  <si>
    <t>深圳市三旺通信股份有限公司四期</t>
  </si>
  <si>
    <t>深圳盈富斯科技有限公司七期</t>
  </si>
  <si>
    <t>和也健康科技有限公司七期</t>
  </si>
  <si>
    <t>北京仁科互动网络技术有限公司六期</t>
  </si>
  <si>
    <t>CRD深圳简加勤珠宝饰品有限公司</t>
  </si>
  <si>
    <t>徐薇</t>
  </si>
  <si>
    <t>财务咨询</t>
  </si>
  <si>
    <t>费司</t>
  </si>
  <si>
    <t>河南鲜风商业连锁有限公司</t>
  </si>
  <si>
    <t>长沙市都市花香花卉有限公司三期</t>
  </si>
  <si>
    <t>悠派才选（上海）人力资源卡思优派多元化激励二期</t>
  </si>
  <si>
    <t>深圳市路特佳成网络科技有限公司股权项目二期</t>
  </si>
  <si>
    <t>上海臻敬实业有限公司SOPK二期</t>
  </si>
  <si>
    <t>上海臻敬实业有限公司多元化激励三期</t>
  </si>
  <si>
    <t>伽蓝（集团）股份多元化激励六期</t>
  </si>
  <si>
    <t>深圳市路特佳成网络科技有限公司多元化激励首期</t>
  </si>
  <si>
    <t>广东麦多多实业有限公司多元化激励二期</t>
  </si>
  <si>
    <t>蘑菇物联技术（深圳）有限公司股权项目</t>
  </si>
  <si>
    <t>浙江金和美工贸有限公司（德盾防撬门）多元化激励三期</t>
  </si>
  <si>
    <t>杭州由莱科技有限公司多元化激励三期</t>
  </si>
  <si>
    <t>北京正己律师事务所多元化激励一期</t>
  </si>
  <si>
    <t>三问家具股份有限公司多元化激励一期</t>
  </si>
  <si>
    <t>北京天学网多元化激励三期</t>
  </si>
  <si>
    <t>深圳市路特佳成网络科技有限公司多元化激励二期</t>
  </si>
  <si>
    <t>一鸣食品</t>
  </si>
  <si>
    <t>陈勇</t>
  </si>
  <si>
    <t>精益运营</t>
  </si>
  <si>
    <t>方金玉</t>
  </si>
  <si>
    <t>北京仁科互动网络技术有限公司七期</t>
  </si>
  <si>
    <t>和也健康科技有限公司八期</t>
  </si>
  <si>
    <t>奶茶先生二期（收款来自北京合力激励咨询有限公司）</t>
  </si>
  <si>
    <t>朱雪兰</t>
  </si>
  <si>
    <t>股权设计</t>
  </si>
  <si>
    <t>北京来也网络科技有限公司三期</t>
  </si>
  <si>
    <t>广州禧豆教育咨询有限公司  2天六万，1774.96是差旅费</t>
  </si>
  <si>
    <t>浙江汇信科技有限公司六期</t>
  </si>
  <si>
    <t>义乌市亚杰供应链管理有限公司六期</t>
  </si>
  <si>
    <t>北京仁科互动网络技术有限公司八期</t>
  </si>
  <si>
    <t>和也健康科技有限公司二期</t>
  </si>
  <si>
    <t>2022-4-25/5-12</t>
  </si>
  <si>
    <t>深圳市华宝新能源股份有限公司</t>
  </si>
  <si>
    <t>北京天玛智控科技股份有限公司二期</t>
  </si>
  <si>
    <t>深圳市三旺通信股份有限公司五期</t>
  </si>
  <si>
    <t>深圳市三旺通信股份有限公司六期</t>
  </si>
  <si>
    <t>石睿</t>
  </si>
  <si>
    <t>管理基本功</t>
  </si>
  <si>
    <t>陈丽</t>
  </si>
  <si>
    <t>刘红革</t>
  </si>
  <si>
    <t>ipd</t>
  </si>
  <si>
    <t>一撕得包装科技（杭州）有限公司二期</t>
  </si>
  <si>
    <t>四川盛和机械设备有限公司三期</t>
  </si>
  <si>
    <t>四川盛和机械设备有限公司</t>
  </si>
  <si>
    <t>上海睿众实业有限公司十二期（森璞）</t>
  </si>
  <si>
    <t>上海目荻电子商务有限公司</t>
  </si>
  <si>
    <t>何平</t>
  </si>
  <si>
    <t>时间与精力管理</t>
  </si>
  <si>
    <t>北京来也网络科技有限公司四期</t>
  </si>
  <si>
    <t>杭州大希地科技股份有限公司九期</t>
  </si>
  <si>
    <t>贵州通程兄弟工程机械有限公司</t>
  </si>
  <si>
    <t>和也健康科技有限公司三期</t>
  </si>
  <si>
    <t>深圳市三旺通信股份有限公司七期</t>
  </si>
  <si>
    <t>上海仙工智能科技有限公司五期</t>
  </si>
  <si>
    <t>浙江传化化学集团有限公司</t>
  </si>
  <si>
    <t>上海睿众实业有限公司八期</t>
  </si>
  <si>
    <t>和也健康科技有限公司九期</t>
  </si>
  <si>
    <t>武汉自然萃食品科技有限公司</t>
  </si>
  <si>
    <t>深圳市成塔服饰有限公司八期</t>
  </si>
  <si>
    <t>广州市亚洲吃面文化发展有限公司二期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</si>
</sst>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%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9" borderId="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8" borderId="4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8" fillId="22" borderId="5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left" vertical="center"/>
    </xf>
    <xf numFmtId="4" fontId="1" fillId="0" borderId="0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tabSelected="1" workbookViewId="0">
      <selection activeCell="I11" sqref="I11"/>
    </sheetView>
  </sheetViews>
  <sheetFormatPr defaultColWidth="9" defaultRowHeight="14.25"/>
  <cols>
    <col min="1" max="1" width="14" style="2" customWidth="1"/>
    <col min="2" max="2" width="38.375" style="4" customWidth="1"/>
    <col min="3" max="3" width="9" style="2"/>
    <col min="4" max="4" width="13.5" style="2" customWidth="1"/>
    <col min="5" max="5" width="10.875" style="2" customWidth="1"/>
    <col min="6" max="6" width="13.375" style="2" customWidth="1"/>
    <col min="7" max="7" width="5.75" style="5" customWidth="1"/>
    <col min="8" max="8" width="9.75" style="2" customWidth="1"/>
    <col min="9" max="9" width="13" style="2" customWidth="1"/>
    <col min="10" max="10" width="9.375" style="2" customWidth="1"/>
    <col min="11" max="11" width="11.5" style="2" customWidth="1"/>
    <col min="12" max="12" width="9.375" style="2" customWidth="1"/>
    <col min="13" max="13" width="11.875" style="2" customWidth="1"/>
    <col min="14" max="14" width="9.375" style="2" customWidth="1"/>
    <col min="15" max="15" width="10.5" style="2" customWidth="1"/>
    <col min="16" max="16" width="9.375" style="2" customWidth="1"/>
    <col min="17" max="17" width="10.25" style="2" customWidth="1"/>
    <col min="18" max="18" width="9.375" style="2" customWidth="1"/>
    <col min="19" max="19" width="19.75" style="2" customWidth="1"/>
    <col min="20" max="16381" width="9" style="2"/>
    <col min="16382" max="16384" width="9" style="3"/>
  </cols>
  <sheetData>
    <row r="1" s="1" customFormat="1" ht="36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0" t="s">
        <v>11</v>
      </c>
      <c r="M1" s="1" t="s">
        <v>12</v>
      </c>
      <c r="N1" s="10" t="s">
        <v>13</v>
      </c>
      <c r="O1" s="1" t="s">
        <v>14</v>
      </c>
      <c r="P1" s="10" t="s">
        <v>15</v>
      </c>
      <c r="Q1" s="1" t="s">
        <v>16</v>
      </c>
      <c r="R1" s="10" t="s">
        <v>17</v>
      </c>
      <c r="S1" s="1" t="s">
        <v>18</v>
      </c>
    </row>
    <row r="2" s="2" customFormat="1" ht="24" customHeight="1" spans="1:19">
      <c r="A2" s="6">
        <v>44591</v>
      </c>
      <c r="B2" s="4" t="s">
        <v>19</v>
      </c>
      <c r="C2" s="2" t="s">
        <v>20</v>
      </c>
      <c r="D2" s="2" t="s">
        <v>21</v>
      </c>
      <c r="E2" s="2" t="s">
        <v>22</v>
      </c>
      <c r="F2" s="7">
        <v>56000</v>
      </c>
      <c r="G2" s="8"/>
      <c r="H2" s="7">
        <v>30430.1886792453</v>
      </c>
      <c r="I2" s="7">
        <f t="shared" ref="I2:I7" si="0">H2*0.2</f>
        <v>6086.03773584906</v>
      </c>
      <c r="J2" s="7" t="s">
        <v>23</v>
      </c>
      <c r="K2" s="7">
        <f t="shared" ref="K2:K7" si="1">H2*0.1</f>
        <v>3043.01886792453</v>
      </c>
      <c r="L2" s="7" t="s">
        <v>23</v>
      </c>
      <c r="M2" s="7">
        <v>0</v>
      </c>
      <c r="N2" s="7" t="s">
        <v>23</v>
      </c>
      <c r="O2" s="7">
        <f t="shared" ref="O2:O7" si="2">H2*0.2</f>
        <v>6086.03773584906</v>
      </c>
      <c r="P2" s="7" t="s">
        <v>20</v>
      </c>
      <c r="Q2" s="7">
        <v>0</v>
      </c>
      <c r="R2" s="7" t="s">
        <v>23</v>
      </c>
      <c r="S2" s="2">
        <v>22400</v>
      </c>
    </row>
    <row r="3" s="2" customFormat="1" ht="24" customHeight="1" spans="1:18">
      <c r="A3" s="6">
        <v>44600</v>
      </c>
      <c r="B3" s="4" t="s">
        <v>24</v>
      </c>
      <c r="C3" s="2" t="s">
        <v>25</v>
      </c>
      <c r="D3" s="2" t="s">
        <v>26</v>
      </c>
      <c r="E3" s="2" t="s">
        <v>22</v>
      </c>
      <c r="F3" s="7">
        <v>81900</v>
      </c>
      <c r="G3" s="8"/>
      <c r="H3" s="7">
        <v>17264.1509433962</v>
      </c>
      <c r="I3" s="7">
        <f t="shared" si="0"/>
        <v>3452.83018867924</v>
      </c>
      <c r="J3" s="7" t="s">
        <v>27</v>
      </c>
      <c r="K3" s="7">
        <f t="shared" si="1"/>
        <v>1726.41509433962</v>
      </c>
      <c r="L3" s="7" t="s">
        <v>27</v>
      </c>
      <c r="M3" s="7">
        <v>0</v>
      </c>
      <c r="N3" s="7" t="s">
        <v>27</v>
      </c>
      <c r="O3" s="7">
        <f t="shared" si="2"/>
        <v>3452.83018867924</v>
      </c>
      <c r="P3" s="7" t="s">
        <v>27</v>
      </c>
      <c r="Q3" s="7">
        <v>0</v>
      </c>
      <c r="R3" s="7" t="s">
        <v>27</v>
      </c>
    </row>
    <row r="4" s="2" customFormat="1" ht="24" customHeight="1" spans="1:18">
      <c r="A4" s="6">
        <v>44603</v>
      </c>
      <c r="B4" s="4" t="s">
        <v>28</v>
      </c>
      <c r="C4" s="2" t="s">
        <v>29</v>
      </c>
      <c r="D4" s="2" t="s">
        <v>30</v>
      </c>
      <c r="E4" s="2" t="s">
        <v>31</v>
      </c>
      <c r="F4" s="7">
        <v>48000</v>
      </c>
      <c r="G4" s="8"/>
      <c r="H4" s="7">
        <v>5283.01886792453</v>
      </c>
      <c r="I4" s="7">
        <f t="shared" ref="I4:I13" si="3">H4*0.1</f>
        <v>528.301886792453</v>
      </c>
      <c r="J4" s="7" t="s">
        <v>32</v>
      </c>
      <c r="K4" s="7">
        <v>0</v>
      </c>
      <c r="L4" s="7" t="s">
        <v>33</v>
      </c>
      <c r="M4" s="7">
        <v>0</v>
      </c>
      <c r="N4" s="7" t="s">
        <v>33</v>
      </c>
      <c r="O4" s="7">
        <v>0</v>
      </c>
      <c r="P4" s="7"/>
      <c r="Q4" s="7">
        <f t="shared" ref="Q4:Q13" si="4">H4*0.2</f>
        <v>1056.60377358491</v>
      </c>
      <c r="R4" s="7" t="s">
        <v>33</v>
      </c>
    </row>
    <row r="5" s="2" customFormat="1" ht="24" customHeight="1" spans="1:18">
      <c r="A5" s="9" t="s">
        <v>34</v>
      </c>
      <c r="B5" s="4" t="s">
        <v>35</v>
      </c>
      <c r="C5" s="2" t="s">
        <v>36</v>
      </c>
      <c r="D5" s="2" t="s">
        <v>37</v>
      </c>
      <c r="E5" s="2" t="s">
        <v>22</v>
      </c>
      <c r="F5" s="7">
        <v>120000</v>
      </c>
      <c r="G5" s="8"/>
      <c r="H5" s="7"/>
      <c r="I5" s="7">
        <f>F5*0.02</f>
        <v>2400</v>
      </c>
      <c r="J5" s="7" t="s">
        <v>38</v>
      </c>
      <c r="K5" s="7">
        <f>F5*0.01</f>
        <v>1200</v>
      </c>
      <c r="L5" s="7" t="s">
        <v>38</v>
      </c>
      <c r="M5" s="7">
        <f>F5*0.01</f>
        <v>1200</v>
      </c>
      <c r="N5" s="7" t="s">
        <v>38</v>
      </c>
      <c r="O5" s="7">
        <f>F5*0.01</f>
        <v>1200</v>
      </c>
      <c r="P5" s="7" t="s">
        <v>38</v>
      </c>
      <c r="Q5" s="7">
        <f>F5*0</f>
        <v>0</v>
      </c>
      <c r="R5" s="7" t="s">
        <v>38</v>
      </c>
    </row>
    <row r="6" s="2" customFormat="1" ht="24" customHeight="1" spans="1:18">
      <c r="A6" s="6">
        <v>44603</v>
      </c>
      <c r="B6" s="4" t="s">
        <v>39</v>
      </c>
      <c r="C6" s="2" t="s">
        <v>25</v>
      </c>
      <c r="D6" s="2" t="s">
        <v>26</v>
      </c>
      <c r="E6" s="2" t="s">
        <v>31</v>
      </c>
      <c r="F6" s="7">
        <v>79500</v>
      </c>
      <c r="G6" s="8"/>
      <c r="H6" s="7">
        <v>10000</v>
      </c>
      <c r="I6" s="7">
        <f t="shared" si="3"/>
        <v>1000</v>
      </c>
      <c r="J6" s="7" t="s">
        <v>23</v>
      </c>
      <c r="K6" s="7">
        <v>0</v>
      </c>
      <c r="L6" s="7" t="s">
        <v>40</v>
      </c>
      <c r="M6" s="7">
        <v>0</v>
      </c>
      <c r="N6" s="7" t="s">
        <v>41</v>
      </c>
      <c r="O6" s="7">
        <v>0</v>
      </c>
      <c r="P6" s="7" t="s">
        <v>41</v>
      </c>
      <c r="Q6" s="7">
        <f t="shared" si="4"/>
        <v>2000</v>
      </c>
      <c r="R6" s="7" t="s">
        <v>41</v>
      </c>
    </row>
    <row r="7" s="2" customFormat="1" ht="24" customHeight="1" spans="1:19">
      <c r="A7" s="6">
        <v>44603</v>
      </c>
      <c r="B7" s="4" t="s">
        <v>42</v>
      </c>
      <c r="C7" s="2" t="s">
        <v>41</v>
      </c>
      <c r="D7" s="2" t="s">
        <v>43</v>
      </c>
      <c r="E7" s="2" t="s">
        <v>44</v>
      </c>
      <c r="F7" s="7">
        <v>22500</v>
      </c>
      <c r="G7" s="8"/>
      <c r="H7" s="7">
        <v>14476.4150943396</v>
      </c>
      <c r="I7" s="7">
        <f t="shared" si="0"/>
        <v>2895.28301886792</v>
      </c>
      <c r="J7" s="7" t="s">
        <v>23</v>
      </c>
      <c r="K7" s="7">
        <f t="shared" si="1"/>
        <v>1447.64150943396</v>
      </c>
      <c r="L7" s="7" t="s">
        <v>40</v>
      </c>
      <c r="M7" s="7">
        <v>0</v>
      </c>
      <c r="N7" s="7" t="s">
        <v>41</v>
      </c>
      <c r="O7" s="7">
        <f t="shared" si="2"/>
        <v>2895.28301886792</v>
      </c>
      <c r="P7" s="7" t="s">
        <v>41</v>
      </c>
      <c r="Q7" s="7">
        <v>0</v>
      </c>
      <c r="R7" s="7" t="s">
        <v>41</v>
      </c>
      <c r="S7" s="2">
        <v>6750</v>
      </c>
    </row>
    <row r="8" s="2" customFormat="1" ht="24" customHeight="1" spans="1:18">
      <c r="A8" s="6">
        <v>44607</v>
      </c>
      <c r="B8" s="4" t="s">
        <v>45</v>
      </c>
      <c r="C8" s="2" t="s">
        <v>25</v>
      </c>
      <c r="D8" s="2" t="s">
        <v>26</v>
      </c>
      <c r="E8" s="2" t="s">
        <v>31</v>
      </c>
      <c r="F8" s="7">
        <v>79500</v>
      </c>
      <c r="G8" s="8"/>
      <c r="H8" s="7">
        <v>10000</v>
      </c>
      <c r="I8" s="7">
        <f t="shared" si="3"/>
        <v>1000</v>
      </c>
      <c r="J8" s="7" t="s">
        <v>23</v>
      </c>
      <c r="K8" s="7">
        <v>0</v>
      </c>
      <c r="L8" s="7"/>
      <c r="M8" s="7">
        <v>0</v>
      </c>
      <c r="N8" s="7"/>
      <c r="O8" s="7">
        <v>0</v>
      </c>
      <c r="P8" s="7"/>
      <c r="Q8" s="7">
        <f t="shared" si="4"/>
        <v>2000</v>
      </c>
      <c r="R8" s="7" t="s">
        <v>46</v>
      </c>
    </row>
    <row r="9" s="2" customFormat="1" ht="24" customHeight="1" spans="1:18">
      <c r="A9" s="6">
        <v>44607</v>
      </c>
      <c r="B9" s="4" t="s">
        <v>47</v>
      </c>
      <c r="C9" s="2" t="s">
        <v>25</v>
      </c>
      <c r="D9" s="2" t="s">
        <v>26</v>
      </c>
      <c r="E9" s="2" t="s">
        <v>31</v>
      </c>
      <c r="F9" s="7">
        <v>17666.67</v>
      </c>
      <c r="G9" s="8"/>
      <c r="H9" s="7">
        <v>3333.33396226415</v>
      </c>
      <c r="I9" s="7">
        <f t="shared" si="3"/>
        <v>333.333396226415</v>
      </c>
      <c r="J9" s="7" t="s">
        <v>48</v>
      </c>
      <c r="K9" s="7">
        <v>0</v>
      </c>
      <c r="L9" s="7"/>
      <c r="M9" s="7">
        <v>0</v>
      </c>
      <c r="N9" s="7" t="s">
        <v>41</v>
      </c>
      <c r="O9" s="7">
        <v>0</v>
      </c>
      <c r="P9" s="7" t="s">
        <v>41</v>
      </c>
      <c r="Q9" s="7">
        <f t="shared" si="4"/>
        <v>666.66679245283</v>
      </c>
      <c r="R9" s="7" t="s">
        <v>41</v>
      </c>
    </row>
    <row r="10" s="2" customFormat="1" ht="24" customHeight="1" spans="1:18">
      <c r="A10" s="6">
        <v>44609</v>
      </c>
      <c r="B10" s="4" t="s">
        <v>49</v>
      </c>
      <c r="C10" s="2" t="s">
        <v>25</v>
      </c>
      <c r="D10" s="2" t="s">
        <v>26</v>
      </c>
      <c r="E10" s="2" t="s">
        <v>31</v>
      </c>
      <c r="F10" s="7">
        <v>79500</v>
      </c>
      <c r="G10" s="8"/>
      <c r="H10" s="7">
        <v>10000</v>
      </c>
      <c r="I10" s="7">
        <f t="shared" si="3"/>
        <v>1000</v>
      </c>
      <c r="J10" s="7" t="s">
        <v>23</v>
      </c>
      <c r="K10" s="7">
        <v>0</v>
      </c>
      <c r="L10" s="7"/>
      <c r="M10" s="7">
        <v>0</v>
      </c>
      <c r="N10" s="7"/>
      <c r="O10" s="7">
        <v>0</v>
      </c>
      <c r="P10" s="7"/>
      <c r="Q10" s="7">
        <f t="shared" si="4"/>
        <v>2000</v>
      </c>
      <c r="R10" s="7" t="s">
        <v>41</v>
      </c>
    </row>
    <row r="11" s="2" customFormat="1" ht="24" customHeight="1" spans="1:18">
      <c r="A11" s="6">
        <v>44610</v>
      </c>
      <c r="B11" s="4" t="s">
        <v>50</v>
      </c>
      <c r="C11" s="2" t="s">
        <v>25</v>
      </c>
      <c r="D11" s="2" t="s">
        <v>26</v>
      </c>
      <c r="E11" s="2" t="s">
        <v>31</v>
      </c>
      <c r="F11" s="7">
        <v>58000</v>
      </c>
      <c r="G11" s="8"/>
      <c r="H11" s="7">
        <v>10943.3962264151</v>
      </c>
      <c r="I11" s="7">
        <f t="shared" si="3"/>
        <v>1094.33962264151</v>
      </c>
      <c r="J11" s="7" t="s">
        <v>38</v>
      </c>
      <c r="K11" s="7">
        <v>0</v>
      </c>
      <c r="L11" s="7"/>
      <c r="M11" s="7">
        <v>0</v>
      </c>
      <c r="N11" s="7"/>
      <c r="O11" s="7">
        <v>0</v>
      </c>
      <c r="P11" s="7"/>
      <c r="Q11" s="7">
        <f t="shared" si="4"/>
        <v>2188.67924528302</v>
      </c>
      <c r="R11" s="7" t="s">
        <v>46</v>
      </c>
    </row>
    <row r="12" s="2" customFormat="1" ht="24" customHeight="1" spans="1:18">
      <c r="A12" s="6">
        <v>44610</v>
      </c>
      <c r="B12" s="4" t="s">
        <v>51</v>
      </c>
      <c r="C12" s="2" t="s">
        <v>25</v>
      </c>
      <c r="D12" s="2" t="s">
        <v>26</v>
      </c>
      <c r="E12" s="2" t="s">
        <v>31</v>
      </c>
      <c r="F12" s="7">
        <v>74500</v>
      </c>
      <c r="G12" s="8"/>
      <c r="H12" s="7">
        <v>14056.6037735849</v>
      </c>
      <c r="I12" s="7">
        <f t="shared" si="3"/>
        <v>1405.66037735849</v>
      </c>
      <c r="J12" s="7" t="s">
        <v>38</v>
      </c>
      <c r="K12" s="7">
        <v>0</v>
      </c>
      <c r="L12" s="7"/>
      <c r="M12" s="7">
        <v>0</v>
      </c>
      <c r="N12" s="7"/>
      <c r="O12" s="7">
        <v>0</v>
      </c>
      <c r="P12" s="7"/>
      <c r="Q12" s="7">
        <f t="shared" si="4"/>
        <v>2811.32075471698</v>
      </c>
      <c r="R12" s="7" t="s">
        <v>46</v>
      </c>
    </row>
    <row r="13" s="2" customFormat="1" ht="24" customHeight="1" spans="1:18">
      <c r="A13" s="6">
        <v>44610</v>
      </c>
      <c r="B13" s="4" t="s">
        <v>52</v>
      </c>
      <c r="C13" s="2" t="s">
        <v>25</v>
      </c>
      <c r="D13" s="2" t="s">
        <v>26</v>
      </c>
      <c r="E13" s="2" t="s">
        <v>31</v>
      </c>
      <c r="F13" s="7">
        <v>70667</v>
      </c>
      <c r="G13" s="8"/>
      <c r="H13" s="7">
        <v>10667.3311320755</v>
      </c>
      <c r="I13" s="7">
        <f t="shared" si="3"/>
        <v>1066.73311320755</v>
      </c>
      <c r="J13" s="7" t="s">
        <v>23</v>
      </c>
      <c r="K13" s="7">
        <v>0</v>
      </c>
      <c r="L13" s="7"/>
      <c r="M13" s="7">
        <v>0</v>
      </c>
      <c r="N13" s="7"/>
      <c r="O13" s="7">
        <v>0</v>
      </c>
      <c r="P13" s="7"/>
      <c r="Q13" s="7">
        <f t="shared" si="4"/>
        <v>2133.4662264151</v>
      </c>
      <c r="R13" s="7" t="s">
        <v>53</v>
      </c>
    </row>
    <row r="14" s="2" customFormat="1" ht="24" customHeight="1" spans="1:18">
      <c r="A14" s="9" t="s">
        <v>54</v>
      </c>
      <c r="B14" s="4" t="s">
        <v>55</v>
      </c>
      <c r="C14" s="2" t="s">
        <v>56</v>
      </c>
      <c r="D14" s="2" t="s">
        <v>57</v>
      </c>
      <c r="E14" s="2" t="s">
        <v>22</v>
      </c>
      <c r="F14" s="7">
        <v>120000</v>
      </c>
      <c r="G14" s="8"/>
      <c r="H14" s="7"/>
      <c r="I14" s="7">
        <f>F14*0.02</f>
        <v>2400</v>
      </c>
      <c r="J14" s="7" t="s">
        <v>38</v>
      </c>
      <c r="K14" s="7">
        <f>F14*0.01</f>
        <v>1200</v>
      </c>
      <c r="L14" s="7" t="s">
        <v>58</v>
      </c>
      <c r="M14" s="7">
        <f>F14*0.01</f>
        <v>1200</v>
      </c>
      <c r="N14" s="7" t="s">
        <v>58</v>
      </c>
      <c r="O14" s="7">
        <f>F14*0.01</f>
        <v>1200</v>
      </c>
      <c r="P14" s="7" t="s">
        <v>59</v>
      </c>
      <c r="Q14" s="7">
        <f>F14*0</f>
        <v>0</v>
      </c>
      <c r="R14" s="7" t="s">
        <v>58</v>
      </c>
    </row>
    <row r="15" s="2" customFormat="1" ht="24" customHeight="1" spans="1:18">
      <c r="A15" s="6">
        <v>44615</v>
      </c>
      <c r="B15" s="4" t="s">
        <v>60</v>
      </c>
      <c r="C15" s="2" t="s">
        <v>61</v>
      </c>
      <c r="D15" s="2" t="s">
        <v>62</v>
      </c>
      <c r="E15" s="2" t="s">
        <v>22</v>
      </c>
      <c r="F15" s="7">
        <v>60000</v>
      </c>
      <c r="G15" s="8"/>
      <c r="H15" s="7">
        <v>8603.77358490566</v>
      </c>
      <c r="I15" s="7">
        <f t="shared" ref="I15:I21" si="5">H15*0.2</f>
        <v>1720.75471698113</v>
      </c>
      <c r="J15" s="7" t="s">
        <v>38</v>
      </c>
      <c r="K15" s="7">
        <f t="shared" ref="K15:K21" si="6">H15*0.1</f>
        <v>860.377358490566</v>
      </c>
      <c r="L15" s="7" t="s">
        <v>38</v>
      </c>
      <c r="M15" s="7">
        <v>0</v>
      </c>
      <c r="N15" s="7" t="s">
        <v>38</v>
      </c>
      <c r="O15" s="7">
        <f t="shared" ref="O15:O21" si="7">H15*0.2</f>
        <v>1720.75471698113</v>
      </c>
      <c r="P15" s="7" t="s">
        <v>38</v>
      </c>
      <c r="Q15" s="7">
        <v>0</v>
      </c>
      <c r="R15" s="7" t="s">
        <v>38</v>
      </c>
    </row>
    <row r="16" s="2" customFormat="1" ht="24" customHeight="1" spans="1:18">
      <c r="A16" s="6">
        <v>44586</v>
      </c>
      <c r="B16" s="4" t="s">
        <v>63</v>
      </c>
      <c r="C16" s="2" t="s">
        <v>64</v>
      </c>
      <c r="D16" s="2" t="s">
        <v>65</v>
      </c>
      <c r="E16" s="2" t="s">
        <v>22</v>
      </c>
      <c r="F16" s="7">
        <v>14840</v>
      </c>
      <c r="G16" s="8"/>
      <c r="H16" s="7">
        <v>2100</v>
      </c>
      <c r="I16" s="7">
        <f t="shared" ref="I16:I18" si="8">H16*0.1</f>
        <v>210</v>
      </c>
      <c r="J16" s="7" t="s">
        <v>66</v>
      </c>
      <c r="K16" s="7">
        <v>0</v>
      </c>
      <c r="L16" s="7"/>
      <c r="M16" s="7">
        <v>0</v>
      </c>
      <c r="N16" s="7"/>
      <c r="O16" s="7">
        <v>0</v>
      </c>
      <c r="P16" s="7" t="s">
        <v>66</v>
      </c>
      <c r="Q16" s="7">
        <f t="shared" ref="Q16:Q18" si="9">H16*0.2</f>
        <v>420</v>
      </c>
      <c r="R16" s="7" t="s">
        <v>66</v>
      </c>
    </row>
    <row r="17" s="2" customFormat="1" ht="24" customHeight="1" spans="1:19">
      <c r="A17" s="6">
        <v>44616</v>
      </c>
      <c r="B17" s="4" t="s">
        <v>67</v>
      </c>
      <c r="C17" s="2" t="s">
        <v>41</v>
      </c>
      <c r="D17" s="2" t="s">
        <v>43</v>
      </c>
      <c r="E17" s="2" t="s">
        <v>44</v>
      </c>
      <c r="F17" s="7">
        <v>27500</v>
      </c>
      <c r="G17" s="8"/>
      <c r="H17" s="7">
        <v>17693.3962264151</v>
      </c>
      <c r="I17" s="7">
        <f t="shared" si="8"/>
        <v>1769.33962264151</v>
      </c>
      <c r="J17" s="7" t="s">
        <v>23</v>
      </c>
      <c r="K17" s="7">
        <v>0</v>
      </c>
      <c r="L17" s="7"/>
      <c r="M17" s="7">
        <v>0</v>
      </c>
      <c r="N17" s="7"/>
      <c r="O17" s="7">
        <v>0</v>
      </c>
      <c r="P17" s="7"/>
      <c r="Q17" s="7">
        <f t="shared" si="9"/>
        <v>3538.67924528302</v>
      </c>
      <c r="R17" s="7" t="s">
        <v>46</v>
      </c>
      <c r="S17" s="2">
        <v>8250</v>
      </c>
    </row>
    <row r="18" s="2" customFormat="1" ht="24" customHeight="1" spans="1:19">
      <c r="A18" s="6">
        <v>44616</v>
      </c>
      <c r="B18" s="4" t="s">
        <v>68</v>
      </c>
      <c r="C18" s="2" t="s">
        <v>41</v>
      </c>
      <c r="D18" s="2" t="s">
        <v>43</v>
      </c>
      <c r="E18" s="2" t="s">
        <v>44</v>
      </c>
      <c r="F18" s="7">
        <v>22500</v>
      </c>
      <c r="G18" s="8"/>
      <c r="H18" s="7">
        <v>14476.4150943396</v>
      </c>
      <c r="I18" s="7">
        <f t="shared" si="8"/>
        <v>1447.64150943396</v>
      </c>
      <c r="J18" s="7" t="s">
        <v>27</v>
      </c>
      <c r="K18" s="7">
        <v>0</v>
      </c>
      <c r="L18" s="7" t="s">
        <v>23</v>
      </c>
      <c r="M18" s="7">
        <v>0</v>
      </c>
      <c r="N18" s="7"/>
      <c r="O18" s="7">
        <v>0</v>
      </c>
      <c r="P18" s="7"/>
      <c r="Q18" s="7">
        <f t="shared" si="9"/>
        <v>2895.28301886792</v>
      </c>
      <c r="R18" s="7" t="s">
        <v>41</v>
      </c>
      <c r="S18" s="2">
        <v>6750</v>
      </c>
    </row>
    <row r="19" s="2" customFormat="1" ht="24" customHeight="1" spans="1:18">
      <c r="A19" s="6">
        <v>44617</v>
      </c>
      <c r="B19" s="4" t="s">
        <v>69</v>
      </c>
      <c r="C19" s="2" t="s">
        <v>70</v>
      </c>
      <c r="D19" s="2" t="s">
        <v>71</v>
      </c>
      <c r="E19" s="2" t="s">
        <v>31</v>
      </c>
      <c r="F19" s="7">
        <v>80000</v>
      </c>
      <c r="G19" s="8"/>
      <c r="H19" s="7">
        <v>25471.6981132075</v>
      </c>
      <c r="I19" s="7">
        <f t="shared" si="5"/>
        <v>5094.3396226415</v>
      </c>
      <c r="J19" s="7" t="s">
        <v>27</v>
      </c>
      <c r="K19" s="7">
        <f t="shared" si="6"/>
        <v>2547.16981132075</v>
      </c>
      <c r="L19" s="7" t="s">
        <v>27</v>
      </c>
      <c r="M19" s="7">
        <v>0</v>
      </c>
      <c r="N19" s="7" t="s">
        <v>27</v>
      </c>
      <c r="O19" s="7">
        <f t="shared" si="7"/>
        <v>5094.3396226415</v>
      </c>
      <c r="P19" s="7" t="s">
        <v>27</v>
      </c>
      <c r="Q19" s="7">
        <v>0</v>
      </c>
      <c r="R19" s="7" t="s">
        <v>27</v>
      </c>
    </row>
    <row r="20" s="2" customFormat="1" ht="24" customHeight="1" spans="1:18">
      <c r="A20" s="6">
        <v>44620</v>
      </c>
      <c r="B20" s="4" t="s">
        <v>72</v>
      </c>
      <c r="C20" s="2" t="s">
        <v>25</v>
      </c>
      <c r="D20" s="2" t="s">
        <v>26</v>
      </c>
      <c r="E20" s="2" t="s">
        <v>22</v>
      </c>
      <c r="F20" s="7">
        <v>87000</v>
      </c>
      <c r="G20" s="8"/>
      <c r="H20" s="7">
        <v>13132.9966981132</v>
      </c>
      <c r="I20" s="7">
        <f t="shared" si="5"/>
        <v>2626.59933962264</v>
      </c>
      <c r="J20" s="7" t="s">
        <v>23</v>
      </c>
      <c r="K20" s="7">
        <f t="shared" si="6"/>
        <v>1313.29966981132</v>
      </c>
      <c r="L20" s="7" t="s">
        <v>23</v>
      </c>
      <c r="M20" s="7">
        <v>0</v>
      </c>
      <c r="N20" s="7" t="s">
        <v>41</v>
      </c>
      <c r="O20" s="7">
        <f t="shared" si="7"/>
        <v>2626.59933962264</v>
      </c>
      <c r="P20" s="7" t="s">
        <v>41</v>
      </c>
      <c r="Q20" s="7">
        <v>0</v>
      </c>
      <c r="R20" s="7" t="s">
        <v>41</v>
      </c>
    </row>
    <row r="21" s="2" customFormat="1" ht="24" customHeight="1" spans="1:18">
      <c r="A21" s="6">
        <v>44638</v>
      </c>
      <c r="B21" s="4" t="s">
        <v>73</v>
      </c>
      <c r="C21" s="2" t="s">
        <v>25</v>
      </c>
      <c r="D21" s="2" t="s">
        <v>26</v>
      </c>
      <c r="E21" s="2" t="s">
        <v>22</v>
      </c>
      <c r="F21" s="7">
        <v>79500</v>
      </c>
      <c r="G21" s="8"/>
      <c r="H21" s="7">
        <v>10000</v>
      </c>
      <c r="I21" s="7">
        <f t="shared" si="5"/>
        <v>2000</v>
      </c>
      <c r="J21" s="7" t="s">
        <v>38</v>
      </c>
      <c r="K21" s="7">
        <f t="shared" si="6"/>
        <v>1000</v>
      </c>
      <c r="L21" s="7" t="s">
        <v>38</v>
      </c>
      <c r="M21" s="7">
        <v>0</v>
      </c>
      <c r="N21" s="7" t="s">
        <v>38</v>
      </c>
      <c r="O21" s="7">
        <f t="shared" si="7"/>
        <v>2000</v>
      </c>
      <c r="P21" s="7" t="s">
        <v>38</v>
      </c>
      <c r="Q21" s="7">
        <v>0</v>
      </c>
      <c r="R21" s="7" t="s">
        <v>38</v>
      </c>
    </row>
    <row r="22" s="2" customFormat="1" ht="24" customHeight="1" spans="1:18">
      <c r="A22" s="9">
        <v>44621</v>
      </c>
      <c r="B22" s="4" t="s">
        <v>74</v>
      </c>
      <c r="C22" s="2" t="s">
        <v>75</v>
      </c>
      <c r="D22" s="2" t="s">
        <v>76</v>
      </c>
      <c r="E22" s="2" t="s">
        <v>44</v>
      </c>
      <c r="F22" s="7">
        <v>40000</v>
      </c>
      <c r="G22" s="8"/>
      <c r="H22" s="7"/>
      <c r="I22" s="7">
        <f t="shared" ref="I22:I85" si="10">F22*0.02</f>
        <v>800</v>
      </c>
      <c r="J22" s="7" t="s">
        <v>27</v>
      </c>
      <c r="K22" s="7">
        <f t="shared" ref="K22:K85" si="11">F22*0.01</f>
        <v>400</v>
      </c>
      <c r="L22" s="7" t="s">
        <v>27</v>
      </c>
      <c r="M22" s="7">
        <f>F22*0.05</f>
        <v>2000</v>
      </c>
      <c r="N22" s="7" t="s">
        <v>27</v>
      </c>
      <c r="O22" s="7">
        <v>0</v>
      </c>
      <c r="P22" s="7" t="s">
        <v>27</v>
      </c>
      <c r="Q22" s="7">
        <f>F22*0</f>
        <v>0</v>
      </c>
      <c r="R22" s="7" t="s">
        <v>27</v>
      </c>
    </row>
    <row r="23" s="2" customFormat="1" ht="24" customHeight="1" spans="1:18">
      <c r="A23" s="9">
        <v>44621</v>
      </c>
      <c r="B23" s="4" t="s">
        <v>77</v>
      </c>
      <c r="C23" s="2" t="s">
        <v>25</v>
      </c>
      <c r="D23" s="2" t="s">
        <v>26</v>
      </c>
      <c r="E23" s="2" t="s">
        <v>31</v>
      </c>
      <c r="F23" s="7">
        <v>79500</v>
      </c>
      <c r="G23" s="8"/>
      <c r="H23" s="7"/>
      <c r="I23" s="7">
        <f t="shared" si="10"/>
        <v>1590</v>
      </c>
      <c r="J23" s="7" t="s">
        <v>23</v>
      </c>
      <c r="K23" s="7">
        <f t="shared" si="11"/>
        <v>795</v>
      </c>
      <c r="L23" s="7" t="s">
        <v>23</v>
      </c>
      <c r="M23" s="7">
        <f t="shared" ref="M23:M28" si="12">F23*0.01</f>
        <v>795</v>
      </c>
      <c r="N23" s="7" t="s">
        <v>46</v>
      </c>
      <c r="O23" s="7">
        <f t="shared" ref="O23:O28" si="13">F23*0.01</f>
        <v>795</v>
      </c>
      <c r="P23" s="7" t="s">
        <v>41</v>
      </c>
      <c r="Q23" s="7">
        <f t="shared" ref="Q23:Q31" si="14">F23*0.04</f>
        <v>3180</v>
      </c>
      <c r="R23" s="7" t="s">
        <v>46</v>
      </c>
    </row>
    <row r="24" s="2" customFormat="1" ht="24" customHeight="1" spans="1:18">
      <c r="A24" s="9">
        <v>44622</v>
      </c>
      <c r="B24" s="4" t="s">
        <v>78</v>
      </c>
      <c r="C24" s="2" t="s">
        <v>79</v>
      </c>
      <c r="D24" s="2" t="s">
        <v>80</v>
      </c>
      <c r="E24" s="2" t="s">
        <v>31</v>
      </c>
      <c r="F24" s="7">
        <v>540000</v>
      </c>
      <c r="G24" s="8">
        <v>0.15</v>
      </c>
      <c r="H24" s="7">
        <v>81000</v>
      </c>
      <c r="I24" s="7">
        <f t="shared" si="10"/>
        <v>10800</v>
      </c>
      <c r="J24" s="7" t="s">
        <v>81</v>
      </c>
      <c r="K24" s="7">
        <f t="shared" si="11"/>
        <v>5400</v>
      </c>
      <c r="L24" s="7" t="s">
        <v>38</v>
      </c>
      <c r="M24" s="7">
        <f t="shared" si="12"/>
        <v>5400</v>
      </c>
      <c r="N24" s="7" t="s">
        <v>81</v>
      </c>
      <c r="O24" s="7">
        <f t="shared" si="13"/>
        <v>5400</v>
      </c>
      <c r="P24" s="7" t="s">
        <v>81</v>
      </c>
      <c r="Q24" s="7">
        <f t="shared" si="14"/>
        <v>21600</v>
      </c>
      <c r="R24" s="7" t="s">
        <v>81</v>
      </c>
    </row>
    <row r="25" s="2" customFormat="1" ht="24" customHeight="1" spans="1:18">
      <c r="A25" s="9">
        <v>44623</v>
      </c>
      <c r="B25" s="4" t="s">
        <v>82</v>
      </c>
      <c r="C25" s="2" t="s">
        <v>25</v>
      </c>
      <c r="D25" s="2" t="s">
        <v>26</v>
      </c>
      <c r="E25" s="2" t="s">
        <v>31</v>
      </c>
      <c r="F25" s="7">
        <v>79500</v>
      </c>
      <c r="G25" s="8"/>
      <c r="H25" s="7"/>
      <c r="I25" s="7">
        <f t="shared" si="10"/>
        <v>1590</v>
      </c>
      <c r="J25" s="7" t="s">
        <v>38</v>
      </c>
      <c r="K25" s="7">
        <f t="shared" si="11"/>
        <v>795</v>
      </c>
      <c r="L25" s="7" t="s">
        <v>38</v>
      </c>
      <c r="M25" s="7">
        <f t="shared" si="12"/>
        <v>795</v>
      </c>
      <c r="N25" s="7" t="s">
        <v>46</v>
      </c>
      <c r="O25" s="7">
        <f t="shared" si="13"/>
        <v>795</v>
      </c>
      <c r="P25" s="7" t="s">
        <v>46</v>
      </c>
      <c r="Q25" s="7">
        <f t="shared" si="14"/>
        <v>3180</v>
      </c>
      <c r="R25" s="7" t="s">
        <v>46</v>
      </c>
    </row>
    <row r="26" s="2" customFormat="1" ht="24" customHeight="1" spans="1:18">
      <c r="A26" s="9">
        <v>44623</v>
      </c>
      <c r="B26" s="4" t="s">
        <v>83</v>
      </c>
      <c r="C26" s="2" t="s">
        <v>25</v>
      </c>
      <c r="D26" s="2" t="s">
        <v>26</v>
      </c>
      <c r="E26" s="2" t="s">
        <v>31</v>
      </c>
      <c r="F26" s="7">
        <v>79500</v>
      </c>
      <c r="G26" s="8"/>
      <c r="H26" s="7"/>
      <c r="I26" s="7">
        <f t="shared" si="10"/>
        <v>1590</v>
      </c>
      <c r="J26" s="7" t="s">
        <v>38</v>
      </c>
      <c r="K26" s="7">
        <f t="shared" si="11"/>
        <v>795</v>
      </c>
      <c r="L26" s="7" t="s">
        <v>38</v>
      </c>
      <c r="M26" s="7">
        <f t="shared" si="12"/>
        <v>795</v>
      </c>
      <c r="N26" s="7" t="s">
        <v>41</v>
      </c>
      <c r="O26" s="7">
        <f t="shared" si="13"/>
        <v>795</v>
      </c>
      <c r="P26" s="7" t="s">
        <v>41</v>
      </c>
      <c r="Q26" s="7">
        <f t="shared" si="14"/>
        <v>3180</v>
      </c>
      <c r="R26" s="7" t="s">
        <v>41</v>
      </c>
    </row>
    <row r="27" s="2" customFormat="1" ht="24" customHeight="1" spans="1:18">
      <c r="A27" s="9">
        <v>44623</v>
      </c>
      <c r="B27" s="4" t="s">
        <v>84</v>
      </c>
      <c r="C27" s="2" t="s">
        <v>25</v>
      </c>
      <c r="D27" s="2" t="s">
        <v>26</v>
      </c>
      <c r="E27" s="2" t="s">
        <v>31</v>
      </c>
      <c r="F27" s="7">
        <v>159000</v>
      </c>
      <c r="G27" s="8"/>
      <c r="H27" s="7"/>
      <c r="I27" s="7">
        <f t="shared" si="10"/>
        <v>3180</v>
      </c>
      <c r="J27" s="7" t="s">
        <v>48</v>
      </c>
      <c r="K27" s="7">
        <f t="shared" si="11"/>
        <v>1590</v>
      </c>
      <c r="L27" s="7" t="s">
        <v>48</v>
      </c>
      <c r="M27" s="7">
        <f t="shared" si="12"/>
        <v>1590</v>
      </c>
      <c r="N27" s="7" t="s">
        <v>46</v>
      </c>
      <c r="O27" s="7">
        <f t="shared" si="13"/>
        <v>1590</v>
      </c>
      <c r="P27" s="7" t="s">
        <v>46</v>
      </c>
      <c r="Q27" s="7">
        <f t="shared" si="14"/>
        <v>6360</v>
      </c>
      <c r="R27" s="7" t="s">
        <v>46</v>
      </c>
    </row>
    <row r="28" s="2" customFormat="1" ht="24" customHeight="1" spans="1:18">
      <c r="A28" s="9">
        <v>44623</v>
      </c>
      <c r="B28" s="4" t="s">
        <v>85</v>
      </c>
      <c r="C28" s="2" t="s">
        <v>25</v>
      </c>
      <c r="D28" s="2" t="s">
        <v>26</v>
      </c>
      <c r="E28" s="2" t="s">
        <v>31</v>
      </c>
      <c r="F28" s="7">
        <v>53000</v>
      </c>
      <c r="G28" s="8"/>
      <c r="H28" s="7"/>
      <c r="I28" s="7">
        <f t="shared" si="10"/>
        <v>1060</v>
      </c>
      <c r="J28" s="7" t="s">
        <v>27</v>
      </c>
      <c r="K28" s="7">
        <f t="shared" si="11"/>
        <v>530</v>
      </c>
      <c r="L28" s="7" t="s">
        <v>27</v>
      </c>
      <c r="M28" s="7">
        <f t="shared" si="12"/>
        <v>530</v>
      </c>
      <c r="N28" s="7" t="s">
        <v>27</v>
      </c>
      <c r="O28" s="7">
        <f t="shared" si="13"/>
        <v>530</v>
      </c>
      <c r="P28" s="7" t="s">
        <v>27</v>
      </c>
      <c r="Q28" s="7">
        <f t="shared" si="14"/>
        <v>2120</v>
      </c>
      <c r="R28" s="7" t="s">
        <v>27</v>
      </c>
    </row>
    <row r="29" s="2" customFormat="1" ht="24" customHeight="1" spans="1:19">
      <c r="A29" s="9">
        <v>44623</v>
      </c>
      <c r="B29" s="4" t="s">
        <v>86</v>
      </c>
      <c r="C29" s="2" t="s">
        <v>41</v>
      </c>
      <c r="D29" s="2" t="s">
        <v>43</v>
      </c>
      <c r="E29" s="2" t="s">
        <v>44</v>
      </c>
      <c r="F29" s="7">
        <v>37500</v>
      </c>
      <c r="G29" s="8"/>
      <c r="H29" s="7"/>
      <c r="I29" s="7">
        <f t="shared" si="10"/>
        <v>750</v>
      </c>
      <c r="J29" s="7" t="s">
        <v>23</v>
      </c>
      <c r="K29" s="7">
        <f t="shared" si="11"/>
        <v>375</v>
      </c>
      <c r="L29" s="7" t="s">
        <v>40</v>
      </c>
      <c r="M29" s="7">
        <f>F29*0.05</f>
        <v>1875</v>
      </c>
      <c r="N29" s="7" t="s">
        <v>41</v>
      </c>
      <c r="O29" s="7">
        <v>0</v>
      </c>
      <c r="P29" s="7" t="s">
        <v>41</v>
      </c>
      <c r="Q29" s="7">
        <f t="shared" si="14"/>
        <v>1500</v>
      </c>
      <c r="R29" s="7" t="s">
        <v>41</v>
      </c>
      <c r="S29" s="2">
        <v>11250</v>
      </c>
    </row>
    <row r="30" s="2" customFormat="1" ht="24" customHeight="1" spans="1:18">
      <c r="A30" s="9">
        <v>44623</v>
      </c>
      <c r="B30" s="4" t="s">
        <v>87</v>
      </c>
      <c r="C30" s="2" t="s">
        <v>25</v>
      </c>
      <c r="D30" s="2" t="s">
        <v>26</v>
      </c>
      <c r="E30" s="2" t="s">
        <v>31</v>
      </c>
      <c r="F30" s="7">
        <v>26500</v>
      </c>
      <c r="G30" s="8"/>
      <c r="H30" s="7"/>
      <c r="I30" s="7">
        <f t="shared" si="10"/>
        <v>530</v>
      </c>
      <c r="J30" s="7" t="s">
        <v>23</v>
      </c>
      <c r="K30" s="7">
        <f t="shared" si="11"/>
        <v>265</v>
      </c>
      <c r="L30" s="7" t="s">
        <v>40</v>
      </c>
      <c r="M30" s="7">
        <f t="shared" ref="M30:M33" si="15">F30*0.01</f>
        <v>265</v>
      </c>
      <c r="N30" s="7" t="s">
        <v>41</v>
      </c>
      <c r="O30" s="7">
        <f t="shared" ref="O30:O33" si="16">F30*0.01</f>
        <v>265</v>
      </c>
      <c r="P30" s="7" t="s">
        <v>41</v>
      </c>
      <c r="Q30" s="7">
        <f t="shared" si="14"/>
        <v>1060</v>
      </c>
      <c r="R30" s="7" t="s">
        <v>41</v>
      </c>
    </row>
    <row r="31" s="2" customFormat="1" ht="24" customHeight="1" spans="1:18">
      <c r="A31" s="9">
        <v>44623</v>
      </c>
      <c r="B31" s="4" t="s">
        <v>88</v>
      </c>
      <c r="C31" s="2" t="s">
        <v>25</v>
      </c>
      <c r="D31" s="2" t="s">
        <v>26</v>
      </c>
      <c r="E31" s="2" t="s">
        <v>31</v>
      </c>
      <c r="F31" s="7">
        <v>132500</v>
      </c>
      <c r="G31" s="8"/>
      <c r="H31" s="7"/>
      <c r="I31" s="7">
        <f t="shared" si="10"/>
        <v>2650</v>
      </c>
      <c r="J31" s="7" t="s">
        <v>27</v>
      </c>
      <c r="K31" s="7">
        <f t="shared" si="11"/>
        <v>1325</v>
      </c>
      <c r="L31" s="7" t="s">
        <v>23</v>
      </c>
      <c r="M31" s="7">
        <f t="shared" si="15"/>
        <v>1325</v>
      </c>
      <c r="N31" s="7" t="s">
        <v>27</v>
      </c>
      <c r="O31" s="7">
        <f t="shared" si="16"/>
        <v>1325</v>
      </c>
      <c r="P31" s="7" t="s">
        <v>41</v>
      </c>
      <c r="Q31" s="7">
        <f t="shared" si="14"/>
        <v>5300</v>
      </c>
      <c r="R31" s="7" t="s">
        <v>41</v>
      </c>
    </row>
    <row r="32" s="2" customFormat="1" ht="24" customHeight="1" spans="1:19">
      <c r="A32" s="9">
        <v>44624</v>
      </c>
      <c r="B32" s="4" t="s">
        <v>89</v>
      </c>
      <c r="C32" s="2" t="s">
        <v>61</v>
      </c>
      <c r="D32" s="2" t="s">
        <v>62</v>
      </c>
      <c r="E32" s="2" t="s">
        <v>22</v>
      </c>
      <c r="F32" s="7">
        <v>60000</v>
      </c>
      <c r="G32" s="8"/>
      <c r="H32" s="7"/>
      <c r="I32" s="7">
        <f t="shared" si="10"/>
        <v>1200</v>
      </c>
      <c r="J32" s="7"/>
      <c r="K32" s="7">
        <f t="shared" si="11"/>
        <v>600</v>
      </c>
      <c r="L32" s="7"/>
      <c r="M32" s="7">
        <f t="shared" si="15"/>
        <v>600</v>
      </c>
      <c r="N32" s="7"/>
      <c r="O32" s="7">
        <f t="shared" si="16"/>
        <v>600</v>
      </c>
      <c r="P32" s="7"/>
      <c r="Q32" s="7">
        <f>F32*0</f>
        <v>0</v>
      </c>
      <c r="R32" s="7" t="s">
        <v>38</v>
      </c>
      <c r="S32" s="2" t="s">
        <v>90</v>
      </c>
    </row>
    <row r="33" s="2" customFormat="1" ht="24" customHeight="1" spans="1:18">
      <c r="A33" s="9">
        <v>44627</v>
      </c>
      <c r="B33" s="4" t="s">
        <v>91</v>
      </c>
      <c r="C33" s="2" t="s">
        <v>25</v>
      </c>
      <c r="D33" s="2" t="s">
        <v>26</v>
      </c>
      <c r="E33" s="2" t="s">
        <v>31</v>
      </c>
      <c r="F33" s="7">
        <v>26500</v>
      </c>
      <c r="G33" s="8"/>
      <c r="H33" s="7"/>
      <c r="I33" s="7">
        <f t="shared" si="10"/>
        <v>530</v>
      </c>
      <c r="J33" s="7" t="s">
        <v>27</v>
      </c>
      <c r="K33" s="7">
        <f t="shared" si="11"/>
        <v>265</v>
      </c>
      <c r="L33" s="7" t="s">
        <v>27</v>
      </c>
      <c r="M33" s="7">
        <f t="shared" si="15"/>
        <v>265</v>
      </c>
      <c r="N33" s="7" t="s">
        <v>53</v>
      </c>
      <c r="O33" s="7">
        <f t="shared" si="16"/>
        <v>265</v>
      </c>
      <c r="P33" s="7" t="s">
        <v>41</v>
      </c>
      <c r="Q33" s="7">
        <f t="shared" ref="Q33:Q36" si="17">F33*0.04</f>
        <v>1060</v>
      </c>
      <c r="R33" s="7" t="s">
        <v>41</v>
      </c>
    </row>
    <row r="34" s="2" customFormat="1" ht="24" customHeight="1" spans="1:18">
      <c r="A34" s="9">
        <v>44627</v>
      </c>
      <c r="B34" s="4" t="s">
        <v>91</v>
      </c>
      <c r="C34" s="2" t="s">
        <v>92</v>
      </c>
      <c r="D34" s="2" t="s">
        <v>43</v>
      </c>
      <c r="E34" s="2" t="s">
        <v>44</v>
      </c>
      <c r="F34" s="7">
        <v>30000</v>
      </c>
      <c r="G34" s="8"/>
      <c r="H34" s="7"/>
      <c r="I34" s="7">
        <f t="shared" si="10"/>
        <v>600</v>
      </c>
      <c r="J34" s="7" t="s">
        <v>27</v>
      </c>
      <c r="K34" s="7">
        <f t="shared" si="11"/>
        <v>300</v>
      </c>
      <c r="L34" s="7" t="s">
        <v>27</v>
      </c>
      <c r="M34" s="7">
        <f>F34*0.05</f>
        <v>1500</v>
      </c>
      <c r="N34" s="7" t="s">
        <v>53</v>
      </c>
      <c r="O34" s="7">
        <v>0</v>
      </c>
      <c r="P34" s="7" t="s">
        <v>41</v>
      </c>
      <c r="Q34" s="7">
        <f t="shared" si="17"/>
        <v>1200</v>
      </c>
      <c r="R34" s="7" t="s">
        <v>41</v>
      </c>
    </row>
    <row r="35" s="2" customFormat="1" ht="24" customHeight="1" spans="1:18">
      <c r="A35" s="9">
        <v>44628</v>
      </c>
      <c r="B35" s="4" t="s">
        <v>93</v>
      </c>
      <c r="C35" s="2" t="s">
        <v>25</v>
      </c>
      <c r="D35" s="2" t="s">
        <v>26</v>
      </c>
      <c r="E35" s="2" t="s">
        <v>31</v>
      </c>
      <c r="F35" s="7">
        <v>79500</v>
      </c>
      <c r="G35" s="8"/>
      <c r="H35" s="7"/>
      <c r="I35" s="7">
        <f t="shared" si="10"/>
        <v>1590</v>
      </c>
      <c r="J35" s="7" t="s">
        <v>38</v>
      </c>
      <c r="K35" s="7">
        <f t="shared" si="11"/>
        <v>795</v>
      </c>
      <c r="L35" s="7" t="s">
        <v>38</v>
      </c>
      <c r="M35" s="7">
        <f t="shared" ref="M35:M43" si="18">F35*0.01</f>
        <v>795</v>
      </c>
      <c r="N35" s="7" t="s">
        <v>53</v>
      </c>
      <c r="O35" s="7">
        <f t="shared" ref="O35:O43" si="19">F35*0.01</f>
        <v>795</v>
      </c>
      <c r="P35" s="7" t="s">
        <v>41</v>
      </c>
      <c r="Q35" s="7">
        <f t="shared" si="17"/>
        <v>3180</v>
      </c>
      <c r="R35" s="7" t="s">
        <v>41</v>
      </c>
    </row>
    <row r="36" s="2" customFormat="1" ht="24" customHeight="1" spans="1:18">
      <c r="A36" s="9">
        <v>44629</v>
      </c>
      <c r="B36" s="4" t="s">
        <v>94</v>
      </c>
      <c r="C36" s="2" t="s">
        <v>25</v>
      </c>
      <c r="D36" s="2" t="s">
        <v>26</v>
      </c>
      <c r="E36" s="2" t="s">
        <v>31</v>
      </c>
      <c r="F36" s="7">
        <v>75000</v>
      </c>
      <c r="G36" s="8"/>
      <c r="H36" s="7"/>
      <c r="I36" s="7">
        <f t="shared" si="10"/>
        <v>1500</v>
      </c>
      <c r="J36" s="7" t="s">
        <v>32</v>
      </c>
      <c r="K36" s="7">
        <f t="shared" si="11"/>
        <v>750</v>
      </c>
      <c r="L36" s="7" t="s">
        <v>32</v>
      </c>
      <c r="M36" s="7">
        <f t="shared" si="18"/>
        <v>750</v>
      </c>
      <c r="N36" s="7" t="s">
        <v>32</v>
      </c>
      <c r="O36" s="7">
        <f t="shared" si="19"/>
        <v>750</v>
      </c>
      <c r="P36" s="7" t="s">
        <v>41</v>
      </c>
      <c r="Q36" s="7">
        <f t="shared" si="17"/>
        <v>3000</v>
      </c>
      <c r="R36" s="7" t="s">
        <v>41</v>
      </c>
    </row>
    <row r="37" s="2" customFormat="1" ht="24" customHeight="1" spans="1:18">
      <c r="A37" s="9">
        <v>44629</v>
      </c>
      <c r="B37" s="4" t="s">
        <v>95</v>
      </c>
      <c r="C37" s="2" t="s">
        <v>61</v>
      </c>
      <c r="D37" s="2" t="s">
        <v>62</v>
      </c>
      <c r="E37" s="2" t="s">
        <v>22</v>
      </c>
      <c r="F37" s="7">
        <v>60000</v>
      </c>
      <c r="G37" s="8"/>
      <c r="H37" s="7"/>
      <c r="I37" s="7">
        <f t="shared" si="10"/>
        <v>1200</v>
      </c>
      <c r="J37" s="7" t="s">
        <v>38</v>
      </c>
      <c r="K37" s="7">
        <f t="shared" si="11"/>
        <v>600</v>
      </c>
      <c r="L37" s="7" t="s">
        <v>38</v>
      </c>
      <c r="M37" s="7">
        <f t="shared" si="18"/>
        <v>600</v>
      </c>
      <c r="N37" s="7" t="s">
        <v>38</v>
      </c>
      <c r="O37" s="7">
        <f t="shared" si="19"/>
        <v>600</v>
      </c>
      <c r="P37" s="7" t="s">
        <v>38</v>
      </c>
      <c r="Q37" s="7">
        <f>F37*0</f>
        <v>0</v>
      </c>
      <c r="R37" s="7" t="s">
        <v>38</v>
      </c>
    </row>
    <row r="38" s="2" customFormat="1" ht="24" customHeight="1" spans="1:18">
      <c r="A38" s="9">
        <v>44630</v>
      </c>
      <c r="B38" s="4" t="s">
        <v>96</v>
      </c>
      <c r="C38" s="2" t="s">
        <v>25</v>
      </c>
      <c r="D38" s="2" t="s">
        <v>26</v>
      </c>
      <c r="E38" s="2" t="s">
        <v>31</v>
      </c>
      <c r="F38" s="7">
        <v>116000</v>
      </c>
      <c r="G38" s="8"/>
      <c r="H38" s="7"/>
      <c r="I38" s="7">
        <f t="shared" si="10"/>
        <v>2320</v>
      </c>
      <c r="J38" s="7" t="s">
        <v>38</v>
      </c>
      <c r="K38" s="7">
        <f t="shared" si="11"/>
        <v>1160</v>
      </c>
      <c r="L38" s="7" t="s">
        <v>38</v>
      </c>
      <c r="M38" s="7">
        <f t="shared" si="18"/>
        <v>1160</v>
      </c>
      <c r="N38" s="7" t="s">
        <v>38</v>
      </c>
      <c r="O38" s="7">
        <f t="shared" si="19"/>
        <v>1160</v>
      </c>
      <c r="P38" s="7" t="s">
        <v>41</v>
      </c>
      <c r="Q38" s="7">
        <f t="shared" ref="Q38:Q40" si="20">F38*0.04</f>
        <v>4640</v>
      </c>
      <c r="R38" s="7" t="s">
        <v>41</v>
      </c>
    </row>
    <row r="39" s="2" customFormat="1" ht="24" customHeight="1" spans="1:18">
      <c r="A39" s="9">
        <v>44630</v>
      </c>
      <c r="B39" s="4" t="s">
        <v>97</v>
      </c>
      <c r="C39" s="2" t="s">
        <v>25</v>
      </c>
      <c r="D39" s="2" t="s">
        <v>26</v>
      </c>
      <c r="E39" s="2" t="s">
        <v>31</v>
      </c>
      <c r="F39" s="7">
        <v>79500</v>
      </c>
      <c r="G39" s="8"/>
      <c r="H39" s="7"/>
      <c r="I39" s="7">
        <f t="shared" si="10"/>
        <v>1590</v>
      </c>
      <c r="J39" s="7" t="s">
        <v>38</v>
      </c>
      <c r="K39" s="7">
        <f t="shared" si="11"/>
        <v>795</v>
      </c>
      <c r="L39" s="7" t="s">
        <v>23</v>
      </c>
      <c r="M39" s="7">
        <f t="shared" si="18"/>
        <v>795</v>
      </c>
      <c r="N39" s="7" t="s">
        <v>46</v>
      </c>
      <c r="O39" s="7">
        <f t="shared" si="19"/>
        <v>795</v>
      </c>
      <c r="P39" s="7" t="s">
        <v>46</v>
      </c>
      <c r="Q39" s="7">
        <f t="shared" si="20"/>
        <v>3180</v>
      </c>
      <c r="R39" s="7" t="s">
        <v>46</v>
      </c>
    </row>
    <row r="40" s="2" customFormat="1" ht="24" customHeight="1" spans="1:18">
      <c r="A40" s="9">
        <v>44631</v>
      </c>
      <c r="B40" s="4" t="s">
        <v>98</v>
      </c>
      <c r="C40" s="2" t="s">
        <v>70</v>
      </c>
      <c r="D40" s="2" t="s">
        <v>71</v>
      </c>
      <c r="E40" s="2" t="s">
        <v>31</v>
      </c>
      <c r="F40" s="7">
        <v>190800</v>
      </c>
      <c r="G40" s="8"/>
      <c r="H40" s="7"/>
      <c r="I40" s="7">
        <f t="shared" si="10"/>
        <v>3816</v>
      </c>
      <c r="J40" s="7" t="s">
        <v>27</v>
      </c>
      <c r="K40" s="7">
        <f t="shared" si="11"/>
        <v>1908</v>
      </c>
      <c r="L40" s="7" t="s">
        <v>27</v>
      </c>
      <c r="M40" s="7">
        <f t="shared" si="18"/>
        <v>1908</v>
      </c>
      <c r="N40" s="7" t="s">
        <v>27</v>
      </c>
      <c r="O40" s="7">
        <f t="shared" si="19"/>
        <v>1908</v>
      </c>
      <c r="P40" s="7" t="s">
        <v>27</v>
      </c>
      <c r="Q40" s="7">
        <f t="shared" si="20"/>
        <v>7632</v>
      </c>
      <c r="R40" s="7" t="s">
        <v>27</v>
      </c>
    </row>
    <row r="41" s="2" customFormat="1" ht="24" customHeight="1" spans="1:18">
      <c r="A41" s="9">
        <v>44617</v>
      </c>
      <c r="B41" s="4" t="s">
        <v>99</v>
      </c>
      <c r="C41" s="2" t="s">
        <v>100</v>
      </c>
      <c r="D41" s="2" t="s">
        <v>101</v>
      </c>
      <c r="E41" s="2" t="s">
        <v>22</v>
      </c>
      <c r="F41" s="7">
        <v>111292</v>
      </c>
      <c r="G41" s="8"/>
      <c r="H41" s="7"/>
      <c r="I41" s="7">
        <f t="shared" si="10"/>
        <v>2225.84</v>
      </c>
      <c r="J41" s="7" t="s">
        <v>38</v>
      </c>
      <c r="K41" s="7">
        <f t="shared" si="11"/>
        <v>1112.92</v>
      </c>
      <c r="L41" s="7" t="s">
        <v>38</v>
      </c>
      <c r="M41" s="7">
        <f t="shared" si="18"/>
        <v>1112.92</v>
      </c>
      <c r="N41" s="7" t="s">
        <v>48</v>
      </c>
      <c r="O41" s="7">
        <f t="shared" si="19"/>
        <v>1112.92</v>
      </c>
      <c r="P41" s="7" t="s">
        <v>38</v>
      </c>
      <c r="Q41" s="7">
        <f>F41*0</f>
        <v>0</v>
      </c>
      <c r="R41" s="7" t="s">
        <v>38</v>
      </c>
    </row>
    <row r="42" s="2" customFormat="1" ht="24" customHeight="1" spans="1:18">
      <c r="A42" s="9">
        <v>44636</v>
      </c>
      <c r="B42" s="4" t="s">
        <v>102</v>
      </c>
      <c r="C42" s="2" t="s">
        <v>103</v>
      </c>
      <c r="D42" s="2" t="s">
        <v>104</v>
      </c>
      <c r="E42" s="2" t="s">
        <v>31</v>
      </c>
      <c r="F42" s="7">
        <v>104000</v>
      </c>
      <c r="G42" s="8"/>
      <c r="H42" s="7"/>
      <c r="I42" s="7">
        <f t="shared" si="10"/>
        <v>2080</v>
      </c>
      <c r="J42" s="7" t="s">
        <v>48</v>
      </c>
      <c r="K42" s="7">
        <f t="shared" si="11"/>
        <v>1040</v>
      </c>
      <c r="L42" s="7" t="s">
        <v>46</v>
      </c>
      <c r="M42" s="7">
        <f t="shared" si="18"/>
        <v>1040</v>
      </c>
      <c r="N42" s="7" t="s">
        <v>46</v>
      </c>
      <c r="O42" s="7">
        <f t="shared" si="19"/>
        <v>1040</v>
      </c>
      <c r="P42" s="7" t="s">
        <v>46</v>
      </c>
      <c r="Q42" s="7">
        <f t="shared" ref="Q42:Q44" si="21">F42*0.04</f>
        <v>4160</v>
      </c>
      <c r="R42" s="7" t="s">
        <v>46</v>
      </c>
    </row>
    <row r="43" s="2" customFormat="1" ht="24" customHeight="1" spans="1:18">
      <c r="A43" s="9">
        <v>44636</v>
      </c>
      <c r="B43" s="4" t="s">
        <v>105</v>
      </c>
      <c r="C43" s="2" t="s">
        <v>25</v>
      </c>
      <c r="D43" s="2" t="s">
        <v>26</v>
      </c>
      <c r="E43" s="2" t="s">
        <v>31</v>
      </c>
      <c r="F43" s="7">
        <v>87000</v>
      </c>
      <c r="G43" s="8"/>
      <c r="H43" s="7"/>
      <c r="I43" s="7">
        <f t="shared" si="10"/>
        <v>1740</v>
      </c>
      <c r="J43" s="7" t="s">
        <v>27</v>
      </c>
      <c r="K43" s="7">
        <f t="shared" si="11"/>
        <v>870</v>
      </c>
      <c r="L43" s="7" t="s">
        <v>27</v>
      </c>
      <c r="M43" s="7">
        <f t="shared" si="18"/>
        <v>870</v>
      </c>
      <c r="N43" s="7" t="s">
        <v>41</v>
      </c>
      <c r="O43" s="7">
        <f t="shared" si="19"/>
        <v>870</v>
      </c>
      <c r="P43" s="7" t="s">
        <v>41</v>
      </c>
      <c r="Q43" s="7">
        <f t="shared" si="21"/>
        <v>3480</v>
      </c>
      <c r="R43" s="7" t="s">
        <v>41</v>
      </c>
    </row>
    <row r="44" s="2" customFormat="1" ht="24" customHeight="1" spans="1:19">
      <c r="A44" s="9">
        <v>44636</v>
      </c>
      <c r="B44" s="4" t="s">
        <v>106</v>
      </c>
      <c r="C44" s="2" t="s">
        <v>41</v>
      </c>
      <c r="D44" s="2" t="s">
        <v>43</v>
      </c>
      <c r="E44" s="2" t="s">
        <v>44</v>
      </c>
      <c r="F44" s="7">
        <v>15000</v>
      </c>
      <c r="G44" s="8"/>
      <c r="H44" s="7"/>
      <c r="I44" s="7">
        <f t="shared" si="10"/>
        <v>300</v>
      </c>
      <c r="J44" s="7" t="s">
        <v>27</v>
      </c>
      <c r="K44" s="7">
        <f t="shared" si="11"/>
        <v>150</v>
      </c>
      <c r="L44" s="7" t="s">
        <v>27</v>
      </c>
      <c r="M44" s="7">
        <f>F44*0.05</f>
        <v>750</v>
      </c>
      <c r="N44" s="7" t="s">
        <v>41</v>
      </c>
      <c r="O44" s="7">
        <v>0</v>
      </c>
      <c r="P44" s="7" t="s">
        <v>41</v>
      </c>
      <c r="Q44" s="7">
        <f t="shared" si="21"/>
        <v>600</v>
      </c>
      <c r="R44" s="7" t="s">
        <v>41</v>
      </c>
      <c r="S44" s="2">
        <v>4500</v>
      </c>
    </row>
    <row r="45" s="2" customFormat="1" ht="24" customHeight="1" spans="1:18">
      <c r="A45" s="9">
        <v>44636</v>
      </c>
      <c r="B45" s="4" t="s">
        <v>107</v>
      </c>
      <c r="C45" s="2" t="s">
        <v>70</v>
      </c>
      <c r="D45" s="2" t="s">
        <v>71</v>
      </c>
      <c r="E45" s="2" t="s">
        <v>22</v>
      </c>
      <c r="F45" s="7">
        <v>84000</v>
      </c>
      <c r="G45" s="8"/>
      <c r="H45" s="7"/>
      <c r="I45" s="7">
        <f t="shared" si="10"/>
        <v>1680</v>
      </c>
      <c r="J45" s="7" t="s">
        <v>48</v>
      </c>
      <c r="K45" s="7">
        <f t="shared" si="11"/>
        <v>840</v>
      </c>
      <c r="L45" s="7" t="s">
        <v>48</v>
      </c>
      <c r="M45" s="7">
        <f t="shared" ref="M45:M51" si="22">F45*0.01</f>
        <v>840</v>
      </c>
      <c r="N45" s="7" t="s">
        <v>48</v>
      </c>
      <c r="O45" s="7">
        <f t="shared" ref="O45:O51" si="23">F45*0.01</f>
        <v>840</v>
      </c>
      <c r="P45" s="7" t="s">
        <v>48</v>
      </c>
      <c r="Q45" s="7">
        <f>F45*0</f>
        <v>0</v>
      </c>
      <c r="R45" s="7" t="s">
        <v>48</v>
      </c>
    </row>
    <row r="46" s="2" customFormat="1" ht="24" customHeight="1" spans="1:18">
      <c r="A46" s="9">
        <v>44636</v>
      </c>
      <c r="B46" s="4" t="s">
        <v>108</v>
      </c>
      <c r="C46" s="2" t="s">
        <v>25</v>
      </c>
      <c r="D46" s="2" t="s">
        <v>26</v>
      </c>
      <c r="E46" s="2" t="s">
        <v>31</v>
      </c>
      <c r="F46" s="7">
        <v>79500</v>
      </c>
      <c r="G46" s="8"/>
      <c r="H46" s="7"/>
      <c r="I46" s="7">
        <f t="shared" si="10"/>
        <v>1590</v>
      </c>
      <c r="J46" s="7" t="s">
        <v>38</v>
      </c>
      <c r="K46" s="7">
        <f t="shared" si="11"/>
        <v>795</v>
      </c>
      <c r="L46" s="7" t="s">
        <v>38</v>
      </c>
      <c r="M46" s="7">
        <f t="shared" si="22"/>
        <v>795</v>
      </c>
      <c r="N46" s="7" t="s">
        <v>38</v>
      </c>
      <c r="O46" s="7">
        <f t="shared" si="23"/>
        <v>795</v>
      </c>
      <c r="P46" s="7" t="s">
        <v>41</v>
      </c>
      <c r="Q46" s="7">
        <f t="shared" ref="Q46:Q78" si="24">F46*0.04</f>
        <v>3180</v>
      </c>
      <c r="R46" s="7" t="s">
        <v>46</v>
      </c>
    </row>
    <row r="47" s="2" customFormat="1" ht="24" customHeight="1" spans="1:19">
      <c r="A47" s="9">
        <v>44653</v>
      </c>
      <c r="B47" s="4" t="s">
        <v>109</v>
      </c>
      <c r="C47" s="2" t="s">
        <v>110</v>
      </c>
      <c r="D47" s="2" t="s">
        <v>111</v>
      </c>
      <c r="E47" s="2" t="s">
        <v>22</v>
      </c>
      <c r="F47" s="7">
        <v>50000</v>
      </c>
      <c r="G47" s="8"/>
      <c r="H47" s="7"/>
      <c r="I47" s="7">
        <f t="shared" si="10"/>
        <v>1000</v>
      </c>
      <c r="J47" s="7"/>
      <c r="K47" s="7">
        <f t="shared" si="11"/>
        <v>500</v>
      </c>
      <c r="L47" s="7"/>
      <c r="M47" s="7">
        <f t="shared" si="22"/>
        <v>500</v>
      </c>
      <c r="N47" s="7"/>
      <c r="O47" s="7">
        <f t="shared" si="23"/>
        <v>500</v>
      </c>
      <c r="P47" s="7"/>
      <c r="Q47" s="7">
        <f>F47*0</f>
        <v>0</v>
      </c>
      <c r="R47" s="7" t="s">
        <v>38</v>
      </c>
      <c r="S47" s="2" t="s">
        <v>90</v>
      </c>
    </row>
    <row r="48" s="2" customFormat="1" ht="24" customHeight="1" spans="1:18">
      <c r="A48" s="9">
        <v>44642</v>
      </c>
      <c r="B48" s="4" t="s">
        <v>112</v>
      </c>
      <c r="C48" s="2" t="s">
        <v>25</v>
      </c>
      <c r="D48" s="2" t="s">
        <v>26</v>
      </c>
      <c r="E48" s="2" t="s">
        <v>31</v>
      </c>
      <c r="F48" s="7">
        <v>8833</v>
      </c>
      <c r="G48" s="8"/>
      <c r="H48" s="7"/>
      <c r="I48" s="7">
        <f t="shared" si="10"/>
        <v>176.66</v>
      </c>
      <c r="J48" s="7" t="s">
        <v>23</v>
      </c>
      <c r="K48" s="7">
        <f t="shared" si="11"/>
        <v>88.33</v>
      </c>
      <c r="L48" s="7" t="s">
        <v>48</v>
      </c>
      <c r="M48" s="7">
        <f t="shared" si="22"/>
        <v>88.33</v>
      </c>
      <c r="N48" s="7" t="s">
        <v>41</v>
      </c>
      <c r="O48" s="7">
        <f t="shared" si="23"/>
        <v>88.33</v>
      </c>
      <c r="P48" s="7" t="s">
        <v>41</v>
      </c>
      <c r="Q48" s="7">
        <f t="shared" si="24"/>
        <v>353.32</v>
      </c>
      <c r="R48" s="7" t="s">
        <v>41</v>
      </c>
    </row>
    <row r="49" s="2" customFormat="1" ht="24" customHeight="1" spans="1:18">
      <c r="A49" s="9">
        <v>44642</v>
      </c>
      <c r="B49" s="4" t="s">
        <v>113</v>
      </c>
      <c r="C49" s="2" t="s">
        <v>25</v>
      </c>
      <c r="D49" s="2" t="s">
        <v>26</v>
      </c>
      <c r="E49" s="2" t="s">
        <v>31</v>
      </c>
      <c r="F49" s="7">
        <v>79500</v>
      </c>
      <c r="G49" s="8"/>
      <c r="H49" s="7"/>
      <c r="I49" s="7">
        <f t="shared" si="10"/>
        <v>1590</v>
      </c>
      <c r="J49" s="7" t="s">
        <v>38</v>
      </c>
      <c r="K49" s="7">
        <f t="shared" si="11"/>
        <v>795</v>
      </c>
      <c r="L49" s="7" t="s">
        <v>38</v>
      </c>
      <c r="M49" s="7">
        <f t="shared" si="22"/>
        <v>795</v>
      </c>
      <c r="N49" s="7" t="s">
        <v>46</v>
      </c>
      <c r="O49" s="7">
        <f t="shared" si="23"/>
        <v>795</v>
      </c>
      <c r="P49" s="7" t="s">
        <v>41</v>
      </c>
      <c r="Q49" s="7">
        <f t="shared" si="24"/>
        <v>3180</v>
      </c>
      <c r="R49" s="7" t="s">
        <v>46</v>
      </c>
    </row>
    <row r="50" s="2" customFormat="1" ht="24" customHeight="1" spans="1:18">
      <c r="A50" s="9">
        <v>44643</v>
      </c>
      <c r="B50" s="4" t="s">
        <v>114</v>
      </c>
      <c r="C50" s="2" t="s">
        <v>25</v>
      </c>
      <c r="D50" s="2" t="s">
        <v>26</v>
      </c>
      <c r="E50" s="2" t="s">
        <v>31</v>
      </c>
      <c r="F50" s="7">
        <v>106000</v>
      </c>
      <c r="G50" s="8"/>
      <c r="H50" s="7"/>
      <c r="I50" s="7">
        <f t="shared" si="10"/>
        <v>2120</v>
      </c>
      <c r="J50" s="7" t="s">
        <v>38</v>
      </c>
      <c r="K50" s="7">
        <f t="shared" si="11"/>
        <v>1060</v>
      </c>
      <c r="L50" s="7" t="s">
        <v>38</v>
      </c>
      <c r="M50" s="7">
        <f t="shared" si="22"/>
        <v>1060</v>
      </c>
      <c r="N50" s="7" t="s">
        <v>38</v>
      </c>
      <c r="O50" s="7">
        <f t="shared" si="23"/>
        <v>1060</v>
      </c>
      <c r="P50" s="7" t="s">
        <v>38</v>
      </c>
      <c r="Q50" s="7">
        <f t="shared" si="24"/>
        <v>4240</v>
      </c>
      <c r="R50" s="7" t="s">
        <v>38</v>
      </c>
    </row>
    <row r="51" s="2" customFormat="1" ht="24" customHeight="1" spans="1:18">
      <c r="A51" s="9">
        <v>44644</v>
      </c>
      <c r="B51" s="4" t="s">
        <v>115</v>
      </c>
      <c r="C51" s="2" t="s">
        <v>25</v>
      </c>
      <c r="D51" s="2" t="s">
        <v>26</v>
      </c>
      <c r="E51" s="2" t="s">
        <v>31</v>
      </c>
      <c r="F51" s="7">
        <v>79500</v>
      </c>
      <c r="G51" s="8"/>
      <c r="H51" s="7"/>
      <c r="I51" s="7">
        <f t="shared" si="10"/>
        <v>1590</v>
      </c>
      <c r="J51" s="7" t="s">
        <v>23</v>
      </c>
      <c r="K51" s="7">
        <f t="shared" si="11"/>
        <v>795</v>
      </c>
      <c r="L51" s="7" t="s">
        <v>40</v>
      </c>
      <c r="M51" s="7">
        <f t="shared" si="22"/>
        <v>795</v>
      </c>
      <c r="N51" s="7" t="s">
        <v>41</v>
      </c>
      <c r="O51" s="7">
        <f t="shared" si="23"/>
        <v>795</v>
      </c>
      <c r="P51" s="7" t="s">
        <v>41</v>
      </c>
      <c r="Q51" s="7">
        <f t="shared" si="24"/>
        <v>3180</v>
      </c>
      <c r="R51" s="7" t="s">
        <v>41</v>
      </c>
    </row>
    <row r="52" s="2" customFormat="1" ht="24" customHeight="1" spans="1:19">
      <c r="A52" s="9">
        <v>44644</v>
      </c>
      <c r="B52" s="4" t="s">
        <v>39</v>
      </c>
      <c r="C52" s="2" t="s">
        <v>116</v>
      </c>
      <c r="D52" s="2" t="s">
        <v>43</v>
      </c>
      <c r="E52" s="2" t="s">
        <v>44</v>
      </c>
      <c r="F52" s="7">
        <v>15000</v>
      </c>
      <c r="G52" s="8"/>
      <c r="H52" s="7"/>
      <c r="I52" s="7">
        <f t="shared" si="10"/>
        <v>300</v>
      </c>
      <c r="J52" s="7" t="s">
        <v>23</v>
      </c>
      <c r="K52" s="7">
        <f t="shared" si="11"/>
        <v>150</v>
      </c>
      <c r="L52" s="7" t="s">
        <v>41</v>
      </c>
      <c r="M52" s="7">
        <f>F52*0.05</f>
        <v>750</v>
      </c>
      <c r="N52" s="7" t="s">
        <v>41</v>
      </c>
      <c r="O52" s="7">
        <v>0</v>
      </c>
      <c r="P52" s="7" t="s">
        <v>116</v>
      </c>
      <c r="Q52" s="7">
        <f t="shared" si="24"/>
        <v>600</v>
      </c>
      <c r="R52" s="7" t="s">
        <v>41</v>
      </c>
      <c r="S52" s="2">
        <v>4500</v>
      </c>
    </row>
    <row r="53" s="2" customFormat="1" ht="24" customHeight="1" spans="1:18">
      <c r="A53" s="9">
        <v>44645</v>
      </c>
      <c r="B53" s="4" t="s">
        <v>117</v>
      </c>
      <c r="C53" s="2" t="s">
        <v>64</v>
      </c>
      <c r="D53" s="2" t="s">
        <v>65</v>
      </c>
      <c r="E53" s="2" t="s">
        <v>22</v>
      </c>
      <c r="F53" s="7">
        <v>146100</v>
      </c>
      <c r="G53" s="8"/>
      <c r="H53" s="7"/>
      <c r="I53" s="7">
        <f t="shared" si="10"/>
        <v>2922</v>
      </c>
      <c r="J53" s="7" t="s">
        <v>38</v>
      </c>
      <c r="K53" s="7">
        <f t="shared" si="11"/>
        <v>1461</v>
      </c>
      <c r="L53" s="7" t="s">
        <v>38</v>
      </c>
      <c r="M53" s="7">
        <f t="shared" ref="M53:M55" si="25">F53*0.01</f>
        <v>1461</v>
      </c>
      <c r="N53" s="7" t="s">
        <v>38</v>
      </c>
      <c r="O53" s="7">
        <f t="shared" ref="O53:O55" si="26">F53*0.01</f>
        <v>1461</v>
      </c>
      <c r="P53" s="7" t="s">
        <v>38</v>
      </c>
      <c r="Q53" s="7">
        <f t="shared" si="24"/>
        <v>5844</v>
      </c>
      <c r="R53" s="7" t="s">
        <v>38</v>
      </c>
    </row>
    <row r="54" s="2" customFormat="1" ht="24" customHeight="1" spans="1:18">
      <c r="A54" s="9">
        <v>44645</v>
      </c>
      <c r="B54" s="4" t="s">
        <v>118</v>
      </c>
      <c r="C54" s="2" t="s">
        <v>25</v>
      </c>
      <c r="D54" s="2" t="s">
        <v>26</v>
      </c>
      <c r="E54" s="2" t="s">
        <v>31</v>
      </c>
      <c r="F54" s="7">
        <v>58000</v>
      </c>
      <c r="G54" s="8"/>
      <c r="H54" s="7"/>
      <c r="I54" s="7">
        <f t="shared" si="10"/>
        <v>1160</v>
      </c>
      <c r="J54" s="7" t="s">
        <v>27</v>
      </c>
      <c r="K54" s="7">
        <f t="shared" si="11"/>
        <v>580</v>
      </c>
      <c r="L54" s="7" t="s">
        <v>27</v>
      </c>
      <c r="M54" s="7">
        <f t="shared" si="25"/>
        <v>580</v>
      </c>
      <c r="N54" s="7" t="s">
        <v>27</v>
      </c>
      <c r="O54" s="7">
        <f t="shared" si="26"/>
        <v>580</v>
      </c>
      <c r="P54" s="7" t="s">
        <v>41</v>
      </c>
      <c r="Q54" s="7">
        <f t="shared" si="24"/>
        <v>2320</v>
      </c>
      <c r="R54" s="7" t="s">
        <v>116</v>
      </c>
    </row>
    <row r="55" s="2" customFormat="1" ht="24" customHeight="1" spans="1:18">
      <c r="A55" s="9">
        <v>44645</v>
      </c>
      <c r="B55" s="4" t="s">
        <v>119</v>
      </c>
      <c r="C55" s="2" t="s">
        <v>25</v>
      </c>
      <c r="D55" s="2" t="s">
        <v>26</v>
      </c>
      <c r="E55" s="2" t="s">
        <v>31</v>
      </c>
      <c r="F55" s="7">
        <v>87000</v>
      </c>
      <c r="G55" s="8"/>
      <c r="H55" s="7"/>
      <c r="I55" s="7">
        <f t="shared" si="10"/>
        <v>1740</v>
      </c>
      <c r="J55" s="7" t="s">
        <v>27</v>
      </c>
      <c r="K55" s="7">
        <f t="shared" si="11"/>
        <v>870</v>
      </c>
      <c r="L55" s="7" t="s">
        <v>27</v>
      </c>
      <c r="M55" s="7">
        <f t="shared" si="25"/>
        <v>870</v>
      </c>
      <c r="N55" s="7" t="s">
        <v>27</v>
      </c>
      <c r="O55" s="7">
        <f t="shared" si="26"/>
        <v>870</v>
      </c>
      <c r="P55" s="7" t="s">
        <v>41</v>
      </c>
      <c r="Q55" s="7">
        <f t="shared" si="24"/>
        <v>3480</v>
      </c>
      <c r="R55" s="7" t="s">
        <v>116</v>
      </c>
    </row>
    <row r="56" s="2" customFormat="1" ht="24" customHeight="1" spans="1:19">
      <c r="A56" s="9">
        <v>44645</v>
      </c>
      <c r="B56" s="4" t="s">
        <v>105</v>
      </c>
      <c r="C56" s="2" t="s">
        <v>41</v>
      </c>
      <c r="D56" s="2" t="s">
        <v>43</v>
      </c>
      <c r="E56" s="2" t="s">
        <v>44</v>
      </c>
      <c r="F56" s="7">
        <v>22500</v>
      </c>
      <c r="G56" s="8"/>
      <c r="H56" s="7"/>
      <c r="I56" s="7">
        <f t="shared" si="10"/>
        <v>450</v>
      </c>
      <c r="J56" s="7" t="s">
        <v>27</v>
      </c>
      <c r="K56" s="7">
        <f t="shared" si="11"/>
        <v>225</v>
      </c>
      <c r="L56" s="7" t="s">
        <v>27</v>
      </c>
      <c r="M56" s="7">
        <f>F56*0.05</f>
        <v>1125</v>
      </c>
      <c r="N56" s="7" t="s">
        <v>27</v>
      </c>
      <c r="O56" s="7">
        <v>0</v>
      </c>
      <c r="P56" s="7" t="s">
        <v>41</v>
      </c>
      <c r="Q56" s="7">
        <f t="shared" si="24"/>
        <v>900</v>
      </c>
      <c r="R56" s="7" t="s">
        <v>116</v>
      </c>
      <c r="S56" s="2">
        <v>6750</v>
      </c>
    </row>
    <row r="57" s="2" customFormat="1" ht="24" customHeight="1" spans="1:18">
      <c r="A57" s="9">
        <v>44648</v>
      </c>
      <c r="B57" s="4" t="s">
        <v>120</v>
      </c>
      <c r="C57" s="2" t="s">
        <v>25</v>
      </c>
      <c r="D57" s="2" t="s">
        <v>26</v>
      </c>
      <c r="E57" s="2" t="s">
        <v>31</v>
      </c>
      <c r="F57" s="7">
        <v>61833</v>
      </c>
      <c r="G57" s="8"/>
      <c r="H57" s="7"/>
      <c r="I57" s="7">
        <f t="shared" si="10"/>
        <v>1236.66</v>
      </c>
      <c r="J57" s="7" t="s">
        <v>27</v>
      </c>
      <c r="K57" s="7">
        <f t="shared" si="11"/>
        <v>618.33</v>
      </c>
      <c r="L57" s="7" t="s">
        <v>27</v>
      </c>
      <c r="M57" s="7">
        <f t="shared" ref="M57:M84" si="27">F57*0.01</f>
        <v>618.33</v>
      </c>
      <c r="N57" s="7" t="s">
        <v>27</v>
      </c>
      <c r="O57" s="7">
        <f t="shared" ref="O57:O84" si="28">F57*0.01</f>
        <v>618.33</v>
      </c>
      <c r="P57" s="7" t="s">
        <v>27</v>
      </c>
      <c r="Q57" s="7">
        <f t="shared" si="24"/>
        <v>2473.32</v>
      </c>
      <c r="R57" s="7" t="s">
        <v>27</v>
      </c>
    </row>
    <row r="58" s="2" customFormat="1" ht="24" customHeight="1" spans="1:18">
      <c r="A58" s="9">
        <v>44649</v>
      </c>
      <c r="B58" s="4" t="s">
        <v>121</v>
      </c>
      <c r="C58" s="2" t="s">
        <v>25</v>
      </c>
      <c r="D58" s="2" t="s">
        <v>26</v>
      </c>
      <c r="E58" s="2" t="s">
        <v>31</v>
      </c>
      <c r="F58" s="7">
        <v>238500</v>
      </c>
      <c r="G58" s="8"/>
      <c r="H58" s="7"/>
      <c r="I58" s="7">
        <f t="shared" si="10"/>
        <v>4770</v>
      </c>
      <c r="J58" s="7" t="s">
        <v>48</v>
      </c>
      <c r="K58" s="7">
        <f t="shared" si="11"/>
        <v>2385</v>
      </c>
      <c r="L58" s="7" t="s">
        <v>48</v>
      </c>
      <c r="M58" s="7">
        <f t="shared" si="27"/>
        <v>2385</v>
      </c>
      <c r="N58" s="7" t="s">
        <v>46</v>
      </c>
      <c r="O58" s="7">
        <f t="shared" si="28"/>
        <v>2385</v>
      </c>
      <c r="P58" s="7" t="s">
        <v>46</v>
      </c>
      <c r="Q58" s="7">
        <f t="shared" si="24"/>
        <v>9540</v>
      </c>
      <c r="R58" s="7" t="s">
        <v>46</v>
      </c>
    </row>
    <row r="59" s="2" customFormat="1" ht="24" customHeight="1" spans="1:18">
      <c r="A59" s="9">
        <v>44651</v>
      </c>
      <c r="B59" s="4" t="s">
        <v>122</v>
      </c>
      <c r="C59" s="2" t="s">
        <v>25</v>
      </c>
      <c r="D59" s="2" t="s">
        <v>26</v>
      </c>
      <c r="E59" s="2" t="s">
        <v>31</v>
      </c>
      <c r="F59" s="7">
        <v>159000</v>
      </c>
      <c r="G59" s="8"/>
      <c r="H59" s="7"/>
      <c r="I59" s="7">
        <f t="shared" si="10"/>
        <v>3180</v>
      </c>
      <c r="J59" s="7" t="s">
        <v>27</v>
      </c>
      <c r="K59" s="7">
        <f t="shared" si="11"/>
        <v>1590</v>
      </c>
      <c r="L59" s="7" t="s">
        <v>23</v>
      </c>
      <c r="M59" s="7">
        <f t="shared" si="27"/>
        <v>1590</v>
      </c>
      <c r="N59" s="7" t="s">
        <v>27</v>
      </c>
      <c r="O59" s="7">
        <f t="shared" si="28"/>
        <v>1590</v>
      </c>
      <c r="P59" s="7" t="s">
        <v>41</v>
      </c>
      <c r="Q59" s="7">
        <f t="shared" si="24"/>
        <v>6360</v>
      </c>
      <c r="R59" s="7" t="s">
        <v>41</v>
      </c>
    </row>
    <row r="60" s="2" customFormat="1" ht="24" customHeight="1" spans="1:18">
      <c r="A60" s="9">
        <v>44652</v>
      </c>
      <c r="B60" s="4" t="s">
        <v>123</v>
      </c>
      <c r="C60" s="2" t="s">
        <v>124</v>
      </c>
      <c r="D60" s="2" t="s">
        <v>125</v>
      </c>
      <c r="E60" s="2" t="s">
        <v>31</v>
      </c>
      <c r="F60" s="7">
        <v>174400</v>
      </c>
      <c r="G60" s="8">
        <v>0.15</v>
      </c>
      <c r="H60" s="7">
        <v>26160</v>
      </c>
      <c r="I60" s="7">
        <f t="shared" si="10"/>
        <v>3488</v>
      </c>
      <c r="J60" s="7" t="s">
        <v>38</v>
      </c>
      <c r="K60" s="7">
        <f t="shared" si="11"/>
        <v>1744</v>
      </c>
      <c r="L60" s="7" t="s">
        <v>38</v>
      </c>
      <c r="M60" s="7">
        <f t="shared" si="27"/>
        <v>1744</v>
      </c>
      <c r="N60" s="7" t="s">
        <v>38</v>
      </c>
      <c r="O60" s="7">
        <f t="shared" si="28"/>
        <v>1744</v>
      </c>
      <c r="P60" s="7" t="s">
        <v>38</v>
      </c>
      <c r="Q60" s="7">
        <f t="shared" si="24"/>
        <v>6976</v>
      </c>
      <c r="R60" s="7" t="s">
        <v>38</v>
      </c>
    </row>
    <row r="61" s="2" customFormat="1" ht="24" customHeight="1" spans="1:18">
      <c r="A61" s="9">
        <v>44652</v>
      </c>
      <c r="B61" s="4" t="s">
        <v>60</v>
      </c>
      <c r="C61" s="2" t="s">
        <v>124</v>
      </c>
      <c r="D61" s="2" t="s">
        <v>125</v>
      </c>
      <c r="E61" s="2" t="s">
        <v>31</v>
      </c>
      <c r="F61" s="7">
        <v>174400</v>
      </c>
      <c r="G61" s="8">
        <v>0.15</v>
      </c>
      <c r="H61" s="7">
        <v>26160</v>
      </c>
      <c r="I61" s="7">
        <f t="shared" si="10"/>
        <v>3488</v>
      </c>
      <c r="J61" s="7" t="s">
        <v>38</v>
      </c>
      <c r="K61" s="7">
        <f t="shared" si="11"/>
        <v>1744</v>
      </c>
      <c r="L61" s="7" t="s">
        <v>38</v>
      </c>
      <c r="M61" s="7">
        <f t="shared" si="27"/>
        <v>1744</v>
      </c>
      <c r="N61" s="7" t="s">
        <v>38</v>
      </c>
      <c r="O61" s="7">
        <f t="shared" si="28"/>
        <v>1744</v>
      </c>
      <c r="P61" s="7" t="s">
        <v>38</v>
      </c>
      <c r="Q61" s="7">
        <f t="shared" si="24"/>
        <v>6976</v>
      </c>
      <c r="R61" s="7" t="s">
        <v>38</v>
      </c>
    </row>
    <row r="62" s="2" customFormat="1" ht="24" customHeight="1" spans="1:18">
      <c r="A62" s="9">
        <v>44652</v>
      </c>
      <c r="B62" s="4" t="s">
        <v>126</v>
      </c>
      <c r="C62" s="2" t="s">
        <v>124</v>
      </c>
      <c r="D62" s="2" t="s">
        <v>125</v>
      </c>
      <c r="E62" s="2" t="s">
        <v>31</v>
      </c>
      <c r="F62" s="7">
        <v>185500</v>
      </c>
      <c r="G62" s="8">
        <v>0.15</v>
      </c>
      <c r="H62" s="7">
        <v>27825</v>
      </c>
      <c r="I62" s="7">
        <f t="shared" si="10"/>
        <v>3710</v>
      </c>
      <c r="J62" s="7" t="s">
        <v>23</v>
      </c>
      <c r="K62" s="7">
        <f t="shared" si="11"/>
        <v>1855</v>
      </c>
      <c r="L62" s="7" t="s">
        <v>23</v>
      </c>
      <c r="M62" s="7">
        <f t="shared" si="27"/>
        <v>1855</v>
      </c>
      <c r="N62" s="7" t="s">
        <v>23</v>
      </c>
      <c r="O62" s="7">
        <f t="shared" si="28"/>
        <v>1855</v>
      </c>
      <c r="P62" s="7" t="s">
        <v>23</v>
      </c>
      <c r="Q62" s="7">
        <f t="shared" si="24"/>
        <v>7420</v>
      </c>
      <c r="R62" s="7" t="s">
        <v>23</v>
      </c>
    </row>
    <row r="63" s="2" customFormat="1" ht="24" customHeight="1" spans="1:18">
      <c r="A63" s="9">
        <v>44652</v>
      </c>
      <c r="B63" s="4" t="s">
        <v>127</v>
      </c>
      <c r="C63" s="2" t="s">
        <v>124</v>
      </c>
      <c r="D63" s="2" t="s">
        <v>125</v>
      </c>
      <c r="E63" s="2" t="s">
        <v>31</v>
      </c>
      <c r="F63" s="7">
        <v>126732.666666667</v>
      </c>
      <c r="G63" s="8">
        <v>0.15</v>
      </c>
      <c r="H63" s="7">
        <v>19009.9</v>
      </c>
      <c r="I63" s="7">
        <f t="shared" si="10"/>
        <v>2534.65333333334</v>
      </c>
      <c r="J63" s="7" t="s">
        <v>81</v>
      </c>
      <c r="K63" s="7">
        <f t="shared" si="11"/>
        <v>1267.32666666667</v>
      </c>
      <c r="L63" s="7" t="s">
        <v>23</v>
      </c>
      <c r="M63" s="7">
        <f t="shared" si="27"/>
        <v>1267.32666666667</v>
      </c>
      <c r="N63" s="7" t="s">
        <v>23</v>
      </c>
      <c r="O63" s="7">
        <f t="shared" si="28"/>
        <v>1267.32666666667</v>
      </c>
      <c r="P63" s="7" t="s">
        <v>23</v>
      </c>
      <c r="Q63" s="7">
        <f t="shared" si="24"/>
        <v>5069.30666666668</v>
      </c>
      <c r="R63" s="7" t="s">
        <v>81</v>
      </c>
    </row>
    <row r="64" s="2" customFormat="1" ht="24" customHeight="1" spans="1:18">
      <c r="A64" s="9">
        <v>44653</v>
      </c>
      <c r="B64" s="4" t="s">
        <v>128</v>
      </c>
      <c r="C64" s="2" t="s">
        <v>36</v>
      </c>
      <c r="D64" s="2" t="s">
        <v>37</v>
      </c>
      <c r="E64" s="2" t="s">
        <v>31</v>
      </c>
      <c r="F64" s="7">
        <v>50000</v>
      </c>
      <c r="G64" s="8">
        <v>0.1</v>
      </c>
      <c r="H64" s="7">
        <v>5000</v>
      </c>
      <c r="I64" s="7">
        <f t="shared" si="10"/>
        <v>1000</v>
      </c>
      <c r="J64" s="7" t="s">
        <v>38</v>
      </c>
      <c r="K64" s="7">
        <f t="shared" si="11"/>
        <v>500</v>
      </c>
      <c r="L64" s="7" t="s">
        <v>38</v>
      </c>
      <c r="M64" s="7">
        <f t="shared" si="27"/>
        <v>500</v>
      </c>
      <c r="N64" s="7" t="s">
        <v>38</v>
      </c>
      <c r="O64" s="7">
        <f t="shared" si="28"/>
        <v>500</v>
      </c>
      <c r="P64" s="7" t="s">
        <v>38</v>
      </c>
      <c r="Q64" s="7">
        <f t="shared" si="24"/>
        <v>2000</v>
      </c>
      <c r="R64" s="7" t="s">
        <v>38</v>
      </c>
    </row>
    <row r="65" s="2" customFormat="1" ht="24" customHeight="1" spans="1:18">
      <c r="A65" s="9">
        <v>44653</v>
      </c>
      <c r="B65" s="4" t="s">
        <v>129</v>
      </c>
      <c r="C65" s="2" t="s">
        <v>36</v>
      </c>
      <c r="D65" s="2" t="s">
        <v>37</v>
      </c>
      <c r="E65" s="2" t="s">
        <v>31</v>
      </c>
      <c r="F65" s="7">
        <v>360000</v>
      </c>
      <c r="G65" s="8">
        <v>0.1</v>
      </c>
      <c r="H65" s="7">
        <v>36000</v>
      </c>
      <c r="I65" s="7">
        <f t="shared" si="10"/>
        <v>7200</v>
      </c>
      <c r="J65" s="7" t="s">
        <v>23</v>
      </c>
      <c r="K65" s="7">
        <f t="shared" si="11"/>
        <v>3600</v>
      </c>
      <c r="L65" s="7" t="s">
        <v>23</v>
      </c>
      <c r="M65" s="7">
        <f t="shared" si="27"/>
        <v>3600</v>
      </c>
      <c r="N65" s="7" t="s">
        <v>23</v>
      </c>
      <c r="O65" s="7">
        <f t="shared" si="28"/>
        <v>3600</v>
      </c>
      <c r="P65" s="7" t="s">
        <v>23</v>
      </c>
      <c r="Q65" s="7">
        <f t="shared" si="24"/>
        <v>14400</v>
      </c>
      <c r="R65" s="7" t="s">
        <v>23</v>
      </c>
    </row>
    <row r="66" s="2" customFormat="1" ht="24" customHeight="1" spans="1:18">
      <c r="A66" s="9">
        <v>44653</v>
      </c>
      <c r="B66" s="4" t="s">
        <v>130</v>
      </c>
      <c r="C66" s="2" t="s">
        <v>36</v>
      </c>
      <c r="D66" s="2" t="s">
        <v>37</v>
      </c>
      <c r="E66" s="2" t="s">
        <v>31</v>
      </c>
      <c r="F66" s="7">
        <v>125000</v>
      </c>
      <c r="G66" s="8">
        <v>0.1</v>
      </c>
      <c r="H66" s="7">
        <v>12500</v>
      </c>
      <c r="I66" s="7">
        <f t="shared" si="10"/>
        <v>2500</v>
      </c>
      <c r="J66" s="7" t="s">
        <v>48</v>
      </c>
      <c r="K66" s="7">
        <f t="shared" si="11"/>
        <v>1250</v>
      </c>
      <c r="L66" s="7" t="s">
        <v>48</v>
      </c>
      <c r="M66" s="7">
        <f t="shared" si="27"/>
        <v>1250</v>
      </c>
      <c r="N66" s="7" t="s">
        <v>48</v>
      </c>
      <c r="O66" s="7">
        <f t="shared" si="28"/>
        <v>1250</v>
      </c>
      <c r="P66" s="7" t="s">
        <v>48</v>
      </c>
      <c r="Q66" s="7">
        <f t="shared" si="24"/>
        <v>5000</v>
      </c>
      <c r="R66" s="7" t="s">
        <v>48</v>
      </c>
    </row>
    <row r="67" s="2" customFormat="1" ht="24" customHeight="1" spans="1:18">
      <c r="A67" s="9">
        <v>44653</v>
      </c>
      <c r="B67" s="4" t="s">
        <v>131</v>
      </c>
      <c r="C67" s="2" t="s">
        <v>36</v>
      </c>
      <c r="D67" s="2" t="s">
        <v>37</v>
      </c>
      <c r="E67" s="2" t="s">
        <v>31</v>
      </c>
      <c r="F67" s="7">
        <v>360000</v>
      </c>
      <c r="G67" s="8">
        <v>0.1</v>
      </c>
      <c r="H67" s="7">
        <v>36000</v>
      </c>
      <c r="I67" s="7">
        <f t="shared" si="10"/>
        <v>7200</v>
      </c>
      <c r="J67" s="7" t="s">
        <v>32</v>
      </c>
      <c r="K67" s="7">
        <f t="shared" si="11"/>
        <v>3600</v>
      </c>
      <c r="L67" s="7" t="s">
        <v>32</v>
      </c>
      <c r="M67" s="7">
        <f t="shared" si="27"/>
        <v>3600</v>
      </c>
      <c r="N67" s="7" t="s">
        <v>32</v>
      </c>
      <c r="O67" s="7">
        <f t="shared" si="28"/>
        <v>3600</v>
      </c>
      <c r="P67" s="7" t="s">
        <v>32</v>
      </c>
      <c r="Q67" s="7">
        <f t="shared" si="24"/>
        <v>14400</v>
      </c>
      <c r="R67" s="7" t="s">
        <v>32</v>
      </c>
    </row>
    <row r="68" s="2" customFormat="1" ht="24" customHeight="1" spans="1:18">
      <c r="A68" s="9">
        <v>44653</v>
      </c>
      <c r="B68" s="4" t="s">
        <v>132</v>
      </c>
      <c r="C68" s="2" t="s">
        <v>36</v>
      </c>
      <c r="D68" s="2" t="s">
        <v>37</v>
      </c>
      <c r="E68" s="2" t="s">
        <v>31</v>
      </c>
      <c r="F68" s="7">
        <v>144000</v>
      </c>
      <c r="G68" s="8">
        <v>0.1</v>
      </c>
      <c r="H68" s="7">
        <v>14400</v>
      </c>
      <c r="I68" s="7">
        <f t="shared" si="10"/>
        <v>2880</v>
      </c>
      <c r="J68" s="7" t="s">
        <v>32</v>
      </c>
      <c r="K68" s="7">
        <f t="shared" si="11"/>
        <v>1440</v>
      </c>
      <c r="L68" s="7" t="s">
        <v>32</v>
      </c>
      <c r="M68" s="7">
        <f t="shared" si="27"/>
        <v>1440</v>
      </c>
      <c r="N68" s="7" t="s">
        <v>32</v>
      </c>
      <c r="O68" s="7">
        <f t="shared" si="28"/>
        <v>1440</v>
      </c>
      <c r="P68" s="7" t="s">
        <v>32</v>
      </c>
      <c r="Q68" s="7">
        <f t="shared" si="24"/>
        <v>5760</v>
      </c>
      <c r="R68" s="7" t="s">
        <v>32</v>
      </c>
    </row>
    <row r="69" s="2" customFormat="1" ht="24" customHeight="1" spans="1:18">
      <c r="A69" s="9">
        <v>44653</v>
      </c>
      <c r="B69" s="4" t="s">
        <v>133</v>
      </c>
      <c r="C69" s="2" t="s">
        <v>36</v>
      </c>
      <c r="D69" s="2" t="s">
        <v>37</v>
      </c>
      <c r="E69" s="2" t="s">
        <v>31</v>
      </c>
      <c r="F69" s="7">
        <v>252000</v>
      </c>
      <c r="G69" s="8">
        <v>0.1</v>
      </c>
      <c r="H69" s="7">
        <v>25200</v>
      </c>
      <c r="I69" s="7">
        <f t="shared" si="10"/>
        <v>5040</v>
      </c>
      <c r="J69" s="7" t="s">
        <v>23</v>
      </c>
      <c r="K69" s="7">
        <f t="shared" si="11"/>
        <v>2520</v>
      </c>
      <c r="L69" s="7" t="s">
        <v>23</v>
      </c>
      <c r="M69" s="7">
        <f t="shared" si="27"/>
        <v>2520</v>
      </c>
      <c r="N69" s="7" t="s">
        <v>23</v>
      </c>
      <c r="O69" s="7">
        <f t="shared" si="28"/>
        <v>2520</v>
      </c>
      <c r="P69" s="7" t="s">
        <v>23</v>
      </c>
      <c r="Q69" s="7">
        <f t="shared" si="24"/>
        <v>10080</v>
      </c>
      <c r="R69" s="7" t="s">
        <v>23</v>
      </c>
    </row>
    <row r="70" s="2" customFormat="1" ht="24" customHeight="1" spans="1:18">
      <c r="A70" s="9">
        <v>44653</v>
      </c>
      <c r="B70" s="4" t="s">
        <v>134</v>
      </c>
      <c r="C70" s="2" t="s">
        <v>36</v>
      </c>
      <c r="D70" s="2" t="s">
        <v>37</v>
      </c>
      <c r="E70" s="2" t="s">
        <v>31</v>
      </c>
      <c r="F70" s="7">
        <v>280000</v>
      </c>
      <c r="G70" s="8">
        <v>0.1</v>
      </c>
      <c r="H70" s="7">
        <v>28000</v>
      </c>
      <c r="I70" s="7">
        <f t="shared" si="10"/>
        <v>5600</v>
      </c>
      <c r="J70" s="7" t="s">
        <v>48</v>
      </c>
      <c r="K70" s="7">
        <f t="shared" si="11"/>
        <v>2800</v>
      </c>
      <c r="L70" s="7" t="s">
        <v>48</v>
      </c>
      <c r="M70" s="7">
        <f t="shared" si="27"/>
        <v>2800</v>
      </c>
      <c r="N70" s="7" t="s">
        <v>48</v>
      </c>
      <c r="O70" s="7">
        <f t="shared" si="28"/>
        <v>2800</v>
      </c>
      <c r="P70" s="7" t="s">
        <v>48</v>
      </c>
      <c r="Q70" s="7">
        <f t="shared" si="24"/>
        <v>11200</v>
      </c>
      <c r="R70" s="7" t="s">
        <v>48</v>
      </c>
    </row>
    <row r="71" s="2" customFormat="1" ht="24" customHeight="1" spans="1:18">
      <c r="A71" s="9">
        <v>44653</v>
      </c>
      <c r="B71" s="4" t="s">
        <v>135</v>
      </c>
      <c r="C71" s="2" t="s">
        <v>36</v>
      </c>
      <c r="D71" s="2" t="s">
        <v>37</v>
      </c>
      <c r="E71" s="2" t="s">
        <v>31</v>
      </c>
      <c r="F71" s="7">
        <v>160000</v>
      </c>
      <c r="G71" s="8">
        <v>0.1</v>
      </c>
      <c r="H71" s="7">
        <v>16000</v>
      </c>
      <c r="I71" s="7">
        <f t="shared" si="10"/>
        <v>3200</v>
      </c>
      <c r="J71" s="7" t="s">
        <v>27</v>
      </c>
      <c r="K71" s="7">
        <f t="shared" si="11"/>
        <v>1600</v>
      </c>
      <c r="L71" s="7" t="s">
        <v>27</v>
      </c>
      <c r="M71" s="7">
        <f t="shared" si="27"/>
        <v>1600</v>
      </c>
      <c r="N71" s="7" t="s">
        <v>27</v>
      </c>
      <c r="O71" s="7">
        <f t="shared" si="28"/>
        <v>1600</v>
      </c>
      <c r="P71" s="7" t="s">
        <v>27</v>
      </c>
      <c r="Q71" s="7">
        <f t="shared" si="24"/>
        <v>6400</v>
      </c>
      <c r="R71" s="7" t="s">
        <v>27</v>
      </c>
    </row>
    <row r="72" s="2" customFormat="1" ht="24" customHeight="1" spans="1:18">
      <c r="A72" s="9">
        <v>44653</v>
      </c>
      <c r="B72" s="4" t="s">
        <v>136</v>
      </c>
      <c r="C72" s="2" t="s">
        <v>36</v>
      </c>
      <c r="D72" s="2" t="s">
        <v>37</v>
      </c>
      <c r="E72" s="2" t="s">
        <v>31</v>
      </c>
      <c r="F72" s="7">
        <v>90000</v>
      </c>
      <c r="G72" s="8">
        <v>0.1</v>
      </c>
      <c r="H72" s="7">
        <v>9000</v>
      </c>
      <c r="I72" s="7">
        <f t="shared" si="10"/>
        <v>1800</v>
      </c>
      <c r="J72" s="7" t="s">
        <v>27</v>
      </c>
      <c r="K72" s="7">
        <f t="shared" si="11"/>
        <v>900</v>
      </c>
      <c r="L72" s="7" t="s">
        <v>27</v>
      </c>
      <c r="M72" s="7">
        <f t="shared" si="27"/>
        <v>900</v>
      </c>
      <c r="N72" s="7" t="s">
        <v>27</v>
      </c>
      <c r="O72" s="7">
        <f t="shared" si="28"/>
        <v>900</v>
      </c>
      <c r="P72" s="7" t="s">
        <v>27</v>
      </c>
      <c r="Q72" s="7">
        <f t="shared" si="24"/>
        <v>3600</v>
      </c>
      <c r="R72" s="7" t="s">
        <v>27</v>
      </c>
    </row>
    <row r="73" s="2" customFormat="1" ht="24" customHeight="1" spans="1:18">
      <c r="A73" s="9">
        <v>44653</v>
      </c>
      <c r="B73" s="4" t="s">
        <v>137</v>
      </c>
      <c r="C73" s="2" t="s">
        <v>36</v>
      </c>
      <c r="D73" s="2" t="s">
        <v>37</v>
      </c>
      <c r="E73" s="2" t="s">
        <v>31</v>
      </c>
      <c r="F73" s="7">
        <v>320000</v>
      </c>
      <c r="G73" s="8">
        <v>0.1</v>
      </c>
      <c r="H73" s="7">
        <v>32000</v>
      </c>
      <c r="I73" s="7">
        <f t="shared" si="10"/>
        <v>6400</v>
      </c>
      <c r="J73" s="7" t="s">
        <v>38</v>
      </c>
      <c r="K73" s="7">
        <f t="shared" si="11"/>
        <v>3200</v>
      </c>
      <c r="L73" s="7" t="s">
        <v>38</v>
      </c>
      <c r="M73" s="7">
        <f t="shared" si="27"/>
        <v>3200</v>
      </c>
      <c r="N73" s="7" t="s">
        <v>38</v>
      </c>
      <c r="O73" s="7">
        <f t="shared" si="28"/>
        <v>3200</v>
      </c>
      <c r="P73" s="7" t="s">
        <v>38</v>
      </c>
      <c r="Q73" s="7">
        <f t="shared" si="24"/>
        <v>12800</v>
      </c>
      <c r="R73" s="7" t="s">
        <v>38</v>
      </c>
    </row>
    <row r="74" s="2" customFormat="1" ht="24" customHeight="1" spans="1:18">
      <c r="A74" s="9">
        <v>44653</v>
      </c>
      <c r="B74" s="4" t="s">
        <v>138</v>
      </c>
      <c r="C74" s="2" t="s">
        <v>36</v>
      </c>
      <c r="D74" s="2" t="s">
        <v>37</v>
      </c>
      <c r="E74" s="2" t="s">
        <v>31</v>
      </c>
      <c r="F74" s="7">
        <v>260000</v>
      </c>
      <c r="G74" s="8">
        <v>0.1</v>
      </c>
      <c r="H74" s="7">
        <v>26000</v>
      </c>
      <c r="I74" s="7">
        <f t="shared" si="10"/>
        <v>5200</v>
      </c>
      <c r="J74" s="7" t="s">
        <v>23</v>
      </c>
      <c r="K74" s="7">
        <f t="shared" si="11"/>
        <v>2600</v>
      </c>
      <c r="L74" s="7" t="s">
        <v>23</v>
      </c>
      <c r="M74" s="7">
        <f t="shared" si="27"/>
        <v>2600</v>
      </c>
      <c r="N74" s="7" t="s">
        <v>23</v>
      </c>
      <c r="O74" s="7">
        <f t="shared" si="28"/>
        <v>2600</v>
      </c>
      <c r="P74" s="7" t="s">
        <v>23</v>
      </c>
      <c r="Q74" s="7">
        <f t="shared" si="24"/>
        <v>10400</v>
      </c>
      <c r="R74" s="7" t="s">
        <v>23</v>
      </c>
    </row>
    <row r="75" s="2" customFormat="1" ht="24" customHeight="1" spans="1:18">
      <c r="A75" s="9">
        <v>44653</v>
      </c>
      <c r="B75" s="4" t="s">
        <v>139</v>
      </c>
      <c r="C75" s="2" t="s">
        <v>36</v>
      </c>
      <c r="D75" s="2" t="s">
        <v>37</v>
      </c>
      <c r="E75" s="2" t="s">
        <v>31</v>
      </c>
      <c r="F75" s="7">
        <v>180000</v>
      </c>
      <c r="G75" s="8">
        <v>0.1</v>
      </c>
      <c r="H75" s="7">
        <v>18000</v>
      </c>
      <c r="I75" s="7">
        <f t="shared" si="10"/>
        <v>3600</v>
      </c>
      <c r="J75" s="7" t="s">
        <v>23</v>
      </c>
      <c r="K75" s="7">
        <f t="shared" si="11"/>
        <v>1800</v>
      </c>
      <c r="L75" s="7" t="s">
        <v>23</v>
      </c>
      <c r="M75" s="7">
        <f t="shared" si="27"/>
        <v>1800</v>
      </c>
      <c r="N75" s="7" t="s">
        <v>23</v>
      </c>
      <c r="O75" s="7">
        <f t="shared" si="28"/>
        <v>1800</v>
      </c>
      <c r="P75" s="7" t="s">
        <v>23</v>
      </c>
      <c r="Q75" s="7">
        <f t="shared" si="24"/>
        <v>7200</v>
      </c>
      <c r="R75" s="7" t="s">
        <v>23</v>
      </c>
    </row>
    <row r="76" s="2" customFormat="1" ht="24" customHeight="1" spans="1:18">
      <c r="A76" s="9">
        <v>44653</v>
      </c>
      <c r="B76" s="4" t="s">
        <v>140</v>
      </c>
      <c r="C76" s="2" t="s">
        <v>36</v>
      </c>
      <c r="D76" s="2" t="s">
        <v>37</v>
      </c>
      <c r="E76" s="2" t="s">
        <v>31</v>
      </c>
      <c r="F76" s="7">
        <v>420000</v>
      </c>
      <c r="G76" s="8">
        <v>0.1</v>
      </c>
      <c r="H76" s="7">
        <v>42000</v>
      </c>
      <c r="I76" s="7">
        <f t="shared" si="10"/>
        <v>8400</v>
      </c>
      <c r="J76" s="7" t="s">
        <v>23</v>
      </c>
      <c r="K76" s="7">
        <f t="shared" si="11"/>
        <v>4200</v>
      </c>
      <c r="L76" s="7" t="s">
        <v>23</v>
      </c>
      <c r="M76" s="7">
        <f t="shared" si="27"/>
        <v>4200</v>
      </c>
      <c r="N76" s="7" t="s">
        <v>23</v>
      </c>
      <c r="O76" s="7">
        <f t="shared" si="28"/>
        <v>4200</v>
      </c>
      <c r="P76" s="7" t="s">
        <v>23</v>
      </c>
      <c r="Q76" s="7">
        <f t="shared" si="24"/>
        <v>16800</v>
      </c>
      <c r="R76" s="7" t="s">
        <v>23</v>
      </c>
    </row>
    <row r="77" s="2" customFormat="1" ht="24" customHeight="1" spans="1:18">
      <c r="A77" s="9">
        <v>44653</v>
      </c>
      <c r="B77" s="4" t="s">
        <v>141</v>
      </c>
      <c r="C77" s="2" t="s">
        <v>36</v>
      </c>
      <c r="D77" s="2" t="s">
        <v>37</v>
      </c>
      <c r="E77" s="2" t="s">
        <v>31</v>
      </c>
      <c r="F77" s="7">
        <v>288000</v>
      </c>
      <c r="G77" s="8">
        <v>0.1</v>
      </c>
      <c r="H77" s="7">
        <v>28800</v>
      </c>
      <c r="I77" s="7">
        <f t="shared" si="10"/>
        <v>5760</v>
      </c>
      <c r="J77" s="7" t="s">
        <v>38</v>
      </c>
      <c r="K77" s="7">
        <f t="shared" si="11"/>
        <v>2880</v>
      </c>
      <c r="L77" s="7" t="s">
        <v>38</v>
      </c>
      <c r="M77" s="7">
        <f t="shared" si="27"/>
        <v>2880</v>
      </c>
      <c r="N77" s="7" t="s">
        <v>38</v>
      </c>
      <c r="O77" s="7">
        <f t="shared" si="28"/>
        <v>2880</v>
      </c>
      <c r="P77" s="7" t="s">
        <v>38</v>
      </c>
      <c r="Q77" s="7">
        <f t="shared" si="24"/>
        <v>11520</v>
      </c>
      <c r="R77" s="7" t="s">
        <v>38</v>
      </c>
    </row>
    <row r="78" s="2" customFormat="1" ht="24" customHeight="1" spans="1:18">
      <c r="A78" s="9">
        <v>44653</v>
      </c>
      <c r="B78" s="4" t="s">
        <v>142</v>
      </c>
      <c r="C78" s="2" t="s">
        <v>36</v>
      </c>
      <c r="D78" s="2" t="s">
        <v>37</v>
      </c>
      <c r="E78" s="2" t="s">
        <v>31</v>
      </c>
      <c r="F78" s="7">
        <v>280000</v>
      </c>
      <c r="G78" s="8">
        <v>0.1</v>
      </c>
      <c r="H78" s="7">
        <v>28000</v>
      </c>
      <c r="I78" s="7">
        <f t="shared" si="10"/>
        <v>5600</v>
      </c>
      <c r="J78" s="7" t="s">
        <v>48</v>
      </c>
      <c r="K78" s="7">
        <f t="shared" si="11"/>
        <v>2800</v>
      </c>
      <c r="L78" s="7" t="s">
        <v>48</v>
      </c>
      <c r="M78" s="7">
        <f t="shared" si="27"/>
        <v>2800</v>
      </c>
      <c r="N78" s="7" t="s">
        <v>48</v>
      </c>
      <c r="O78" s="7">
        <f t="shared" si="28"/>
        <v>2800</v>
      </c>
      <c r="P78" s="7" t="s">
        <v>48</v>
      </c>
      <c r="Q78" s="7">
        <f t="shared" si="24"/>
        <v>11200</v>
      </c>
      <c r="R78" s="7" t="s">
        <v>48</v>
      </c>
    </row>
    <row r="79" s="2" customFormat="1" ht="24" customHeight="1" spans="1:18">
      <c r="A79" s="9">
        <v>44662</v>
      </c>
      <c r="B79" s="4" t="s">
        <v>143</v>
      </c>
      <c r="C79" s="2" t="s">
        <v>144</v>
      </c>
      <c r="D79" s="2" t="s">
        <v>145</v>
      </c>
      <c r="E79" s="2" t="s">
        <v>22</v>
      </c>
      <c r="F79" s="7">
        <v>35000</v>
      </c>
      <c r="G79" s="8"/>
      <c r="H79" s="7"/>
      <c r="I79" s="7">
        <f t="shared" si="10"/>
        <v>700</v>
      </c>
      <c r="J79" s="7" t="s">
        <v>27</v>
      </c>
      <c r="K79" s="7">
        <f t="shared" si="11"/>
        <v>350</v>
      </c>
      <c r="L79" s="7" t="s">
        <v>27</v>
      </c>
      <c r="M79" s="7">
        <f t="shared" si="27"/>
        <v>350</v>
      </c>
      <c r="N79" s="7" t="s">
        <v>27</v>
      </c>
      <c r="O79" s="7">
        <f t="shared" si="28"/>
        <v>350</v>
      </c>
      <c r="P79" s="7" t="s">
        <v>27</v>
      </c>
      <c r="Q79" s="7">
        <f>F79*0</f>
        <v>0</v>
      </c>
      <c r="R79" s="7" t="s">
        <v>146</v>
      </c>
    </row>
    <row r="80" s="2" customFormat="1" ht="24" customHeight="1" spans="1:18">
      <c r="A80" s="9">
        <v>44664</v>
      </c>
      <c r="B80" s="4" t="s">
        <v>147</v>
      </c>
      <c r="C80" s="2" t="s">
        <v>25</v>
      </c>
      <c r="D80" s="2" t="s">
        <v>26</v>
      </c>
      <c r="E80" s="2" t="s">
        <v>31</v>
      </c>
      <c r="F80" s="7">
        <v>159000</v>
      </c>
      <c r="G80" s="8"/>
      <c r="H80" s="7"/>
      <c r="I80" s="7">
        <f t="shared" si="10"/>
        <v>3180</v>
      </c>
      <c r="J80" s="7" t="s">
        <v>27</v>
      </c>
      <c r="K80" s="7">
        <f t="shared" si="11"/>
        <v>1590</v>
      </c>
      <c r="L80" s="7" t="s">
        <v>23</v>
      </c>
      <c r="M80" s="7">
        <f t="shared" si="27"/>
        <v>1590</v>
      </c>
      <c r="N80" s="7" t="s">
        <v>27</v>
      </c>
      <c r="O80" s="7">
        <f t="shared" si="28"/>
        <v>1590</v>
      </c>
      <c r="P80" s="7" t="s">
        <v>41</v>
      </c>
      <c r="Q80" s="7">
        <f t="shared" ref="Q80:Q83" si="29">F80*0.04</f>
        <v>6360</v>
      </c>
      <c r="R80" s="7" t="s">
        <v>41</v>
      </c>
    </row>
    <row r="81" s="2" customFormat="1" ht="24" customHeight="1" spans="1:18">
      <c r="A81" s="9">
        <v>44665</v>
      </c>
      <c r="B81" s="4" t="s">
        <v>148</v>
      </c>
      <c r="C81" s="2" t="s">
        <v>25</v>
      </c>
      <c r="D81" s="2" t="s">
        <v>26</v>
      </c>
      <c r="E81" s="2" t="s">
        <v>31</v>
      </c>
      <c r="F81" s="7">
        <v>212000</v>
      </c>
      <c r="G81" s="8"/>
      <c r="H81" s="7"/>
      <c r="I81" s="7">
        <f t="shared" si="10"/>
        <v>4240</v>
      </c>
      <c r="J81" s="7" t="s">
        <v>48</v>
      </c>
      <c r="K81" s="7">
        <f t="shared" si="11"/>
        <v>2120</v>
      </c>
      <c r="L81" s="7" t="s">
        <v>48</v>
      </c>
      <c r="M81" s="7">
        <f t="shared" si="27"/>
        <v>2120</v>
      </c>
      <c r="N81" s="7" t="s">
        <v>46</v>
      </c>
      <c r="O81" s="7">
        <f t="shared" si="28"/>
        <v>2120</v>
      </c>
      <c r="P81" s="7" t="s">
        <v>46</v>
      </c>
      <c r="Q81" s="7">
        <f t="shared" si="29"/>
        <v>8480</v>
      </c>
      <c r="R81" s="7" t="s">
        <v>46</v>
      </c>
    </row>
    <row r="82" s="2" customFormat="1" ht="24" customHeight="1" spans="1:18">
      <c r="A82" s="9">
        <v>44666</v>
      </c>
      <c r="B82" s="4" t="s">
        <v>149</v>
      </c>
      <c r="C82" s="2" t="s">
        <v>150</v>
      </c>
      <c r="D82" s="2" t="s">
        <v>151</v>
      </c>
      <c r="E82" s="2" t="s">
        <v>31</v>
      </c>
      <c r="F82" s="7">
        <v>80000</v>
      </c>
      <c r="G82" s="8">
        <v>0.2</v>
      </c>
      <c r="H82" s="7">
        <v>16000</v>
      </c>
      <c r="I82" s="7">
        <f t="shared" si="10"/>
        <v>1600</v>
      </c>
      <c r="J82" s="7" t="s">
        <v>23</v>
      </c>
      <c r="K82" s="7">
        <f t="shared" si="11"/>
        <v>800</v>
      </c>
      <c r="L82" s="7" t="s">
        <v>48</v>
      </c>
      <c r="M82" s="7">
        <f t="shared" si="27"/>
        <v>800</v>
      </c>
      <c r="N82" s="7" t="s">
        <v>48</v>
      </c>
      <c r="O82" s="7">
        <f t="shared" si="28"/>
        <v>800</v>
      </c>
      <c r="P82" s="7" t="s">
        <v>48</v>
      </c>
      <c r="Q82" s="7">
        <f t="shared" si="29"/>
        <v>3200</v>
      </c>
      <c r="R82" s="7" t="s">
        <v>48</v>
      </c>
    </row>
    <row r="83" s="2" customFormat="1" ht="24" customHeight="1" spans="1:18">
      <c r="A83" s="9">
        <v>44666</v>
      </c>
      <c r="B83" s="4" t="s">
        <v>152</v>
      </c>
      <c r="C83" s="2" t="s">
        <v>25</v>
      </c>
      <c r="D83" s="2" t="s">
        <v>26</v>
      </c>
      <c r="E83" s="2" t="s">
        <v>31</v>
      </c>
      <c r="F83" s="7">
        <v>106000</v>
      </c>
      <c r="G83" s="8"/>
      <c r="H83" s="7"/>
      <c r="I83" s="7">
        <f t="shared" si="10"/>
        <v>2120</v>
      </c>
      <c r="J83" s="7" t="s">
        <v>38</v>
      </c>
      <c r="K83" s="7">
        <f t="shared" si="11"/>
        <v>1060</v>
      </c>
      <c r="L83" s="7" t="s">
        <v>38</v>
      </c>
      <c r="M83" s="7">
        <f t="shared" si="27"/>
        <v>1060</v>
      </c>
      <c r="N83" s="7" t="s">
        <v>53</v>
      </c>
      <c r="O83" s="7">
        <f t="shared" si="28"/>
        <v>1060</v>
      </c>
      <c r="P83" s="7" t="s">
        <v>41</v>
      </c>
      <c r="Q83" s="7">
        <f t="shared" si="29"/>
        <v>4240</v>
      </c>
      <c r="R83" s="7" t="s">
        <v>41</v>
      </c>
    </row>
    <row r="84" s="2" customFormat="1" ht="24" customHeight="1" spans="1:19">
      <c r="A84" s="9">
        <v>44670</v>
      </c>
      <c r="B84" s="4" t="s">
        <v>153</v>
      </c>
      <c r="C84" s="2" t="s">
        <v>20</v>
      </c>
      <c r="D84" s="2" t="s">
        <v>21</v>
      </c>
      <c r="E84" s="2" t="s">
        <v>22</v>
      </c>
      <c r="F84" s="7">
        <v>61774.96</v>
      </c>
      <c r="G84" s="8"/>
      <c r="H84" s="7"/>
      <c r="I84" s="7">
        <f t="shared" si="10"/>
        <v>1235.4992</v>
      </c>
      <c r="J84" s="7" t="s">
        <v>27</v>
      </c>
      <c r="K84" s="7">
        <f t="shared" si="11"/>
        <v>617.7496</v>
      </c>
      <c r="L84" s="7" t="s">
        <v>38</v>
      </c>
      <c r="M84" s="7">
        <f t="shared" si="27"/>
        <v>617.7496</v>
      </c>
      <c r="N84" s="7" t="s">
        <v>27</v>
      </c>
      <c r="O84" s="7">
        <f t="shared" si="28"/>
        <v>617.7496</v>
      </c>
      <c r="P84" s="7" t="s">
        <v>38</v>
      </c>
      <c r="Q84" s="7">
        <f>F84*0</f>
        <v>0</v>
      </c>
      <c r="R84" s="7" t="s">
        <v>38</v>
      </c>
      <c r="S84" s="2">
        <v>24000</v>
      </c>
    </row>
    <row r="85" s="2" customFormat="1" ht="24" customHeight="1" spans="1:19">
      <c r="A85" s="9">
        <v>44672</v>
      </c>
      <c r="B85" s="4" t="s">
        <v>154</v>
      </c>
      <c r="C85" s="2" t="s">
        <v>41</v>
      </c>
      <c r="D85" s="2" t="s">
        <v>43</v>
      </c>
      <c r="E85" s="2" t="s">
        <v>44</v>
      </c>
      <c r="F85" s="7">
        <v>22500</v>
      </c>
      <c r="G85" s="8"/>
      <c r="H85" s="7"/>
      <c r="I85" s="7">
        <f t="shared" si="10"/>
        <v>450</v>
      </c>
      <c r="J85" s="7" t="s">
        <v>48</v>
      </c>
      <c r="K85" s="7">
        <f t="shared" si="11"/>
        <v>225</v>
      </c>
      <c r="L85" s="7" t="s">
        <v>48</v>
      </c>
      <c r="M85" s="7">
        <f>F85*0.05</f>
        <v>1125</v>
      </c>
      <c r="N85" s="7" t="s">
        <v>41</v>
      </c>
      <c r="O85" s="7">
        <v>0</v>
      </c>
      <c r="P85" s="7" t="s">
        <v>41</v>
      </c>
      <c r="Q85" s="7">
        <f t="shared" ref="Q85:Q89" si="30">F85*0.04</f>
        <v>900</v>
      </c>
      <c r="R85" s="7" t="s">
        <v>41</v>
      </c>
      <c r="S85" s="2">
        <v>6750</v>
      </c>
    </row>
    <row r="86" s="2" customFormat="1" ht="24" customHeight="1" spans="1:18">
      <c r="A86" s="9">
        <v>44672</v>
      </c>
      <c r="B86" s="4" t="s">
        <v>155</v>
      </c>
      <c r="C86" s="2" t="s">
        <v>29</v>
      </c>
      <c r="D86" s="2" t="s">
        <v>30</v>
      </c>
      <c r="E86" s="2" t="s">
        <v>31</v>
      </c>
      <c r="F86" s="7">
        <v>172000</v>
      </c>
      <c r="G86" s="8"/>
      <c r="H86" s="7"/>
      <c r="I86" s="7">
        <f t="shared" ref="I86:I117" si="31">F86*0.02</f>
        <v>3440</v>
      </c>
      <c r="J86" s="7" t="s">
        <v>23</v>
      </c>
      <c r="K86" s="7">
        <f t="shared" ref="K86:K117" si="32">F86*0.01</f>
        <v>1720</v>
      </c>
      <c r="L86" s="7" t="s">
        <v>23</v>
      </c>
      <c r="M86" s="7">
        <f t="shared" ref="M86:M92" si="33">F86*0.01</f>
        <v>1720</v>
      </c>
      <c r="N86" s="7" t="s">
        <v>23</v>
      </c>
      <c r="O86" s="7">
        <f t="shared" ref="O86:O92" si="34">F86*0.01</f>
        <v>1720</v>
      </c>
      <c r="P86" s="7" t="s">
        <v>23</v>
      </c>
      <c r="Q86" s="7">
        <f t="shared" si="30"/>
        <v>6880</v>
      </c>
      <c r="R86" s="7" t="s">
        <v>23</v>
      </c>
    </row>
    <row r="87" s="2" customFormat="1" ht="24" customHeight="1" spans="1:19">
      <c r="A87" s="9">
        <v>44672</v>
      </c>
      <c r="B87" s="4" t="s">
        <v>87</v>
      </c>
      <c r="C87" s="2" t="s">
        <v>116</v>
      </c>
      <c r="D87" s="2" t="s">
        <v>43</v>
      </c>
      <c r="E87" s="2" t="s">
        <v>44</v>
      </c>
      <c r="F87" s="7">
        <v>51250</v>
      </c>
      <c r="G87" s="8"/>
      <c r="H87" s="7"/>
      <c r="I87" s="7">
        <f t="shared" si="31"/>
        <v>1025</v>
      </c>
      <c r="J87" s="7" t="s">
        <v>23</v>
      </c>
      <c r="K87" s="7">
        <f t="shared" si="32"/>
        <v>512.5</v>
      </c>
      <c r="L87" s="7" t="s">
        <v>41</v>
      </c>
      <c r="M87" s="7">
        <f>F87*0.05</f>
        <v>2562.5</v>
      </c>
      <c r="N87" s="7" t="s">
        <v>41</v>
      </c>
      <c r="O87" s="7">
        <v>0</v>
      </c>
      <c r="P87" s="7" t="s">
        <v>116</v>
      </c>
      <c r="Q87" s="7">
        <f t="shared" si="30"/>
        <v>2050</v>
      </c>
      <c r="R87" s="7" t="s">
        <v>41</v>
      </c>
      <c r="S87" s="2">
        <v>15375</v>
      </c>
    </row>
    <row r="88" s="2" customFormat="1" ht="24" customHeight="1" spans="1:18">
      <c r="A88" s="9">
        <v>44673</v>
      </c>
      <c r="B88" s="4" t="s">
        <v>156</v>
      </c>
      <c r="C88" s="2" t="s">
        <v>25</v>
      </c>
      <c r="D88" s="2" t="s">
        <v>26</v>
      </c>
      <c r="E88" s="2" t="s">
        <v>31</v>
      </c>
      <c r="F88" s="7">
        <v>79500</v>
      </c>
      <c r="G88" s="8"/>
      <c r="H88" s="7"/>
      <c r="I88" s="7">
        <f t="shared" si="31"/>
        <v>1590</v>
      </c>
      <c r="J88" s="7" t="s">
        <v>27</v>
      </c>
      <c r="K88" s="7">
        <f t="shared" si="32"/>
        <v>795</v>
      </c>
      <c r="L88" s="7" t="s">
        <v>23</v>
      </c>
      <c r="M88" s="7">
        <f t="shared" si="33"/>
        <v>795</v>
      </c>
      <c r="N88" s="7" t="s">
        <v>27</v>
      </c>
      <c r="O88" s="7">
        <f t="shared" si="34"/>
        <v>795</v>
      </c>
      <c r="P88" s="7" t="s">
        <v>41</v>
      </c>
      <c r="Q88" s="7">
        <f t="shared" si="30"/>
        <v>3180</v>
      </c>
      <c r="R88" s="7" t="s">
        <v>41</v>
      </c>
    </row>
    <row r="89" s="2" customFormat="1" ht="24" customHeight="1" spans="1:18">
      <c r="A89" s="9">
        <v>44676</v>
      </c>
      <c r="B89" s="4" t="s">
        <v>157</v>
      </c>
      <c r="C89" s="2" t="s">
        <v>103</v>
      </c>
      <c r="D89" s="2" t="s">
        <v>104</v>
      </c>
      <c r="E89" s="2" t="s">
        <v>31</v>
      </c>
      <c r="F89" s="7">
        <v>156000</v>
      </c>
      <c r="G89" s="8"/>
      <c r="H89" s="7"/>
      <c r="I89" s="7">
        <f t="shared" si="31"/>
        <v>3120</v>
      </c>
      <c r="J89" s="7" t="s">
        <v>48</v>
      </c>
      <c r="K89" s="7">
        <f t="shared" si="32"/>
        <v>1560</v>
      </c>
      <c r="L89" s="7" t="s">
        <v>46</v>
      </c>
      <c r="M89" s="7">
        <f t="shared" si="33"/>
        <v>1560</v>
      </c>
      <c r="N89" s="7" t="s">
        <v>46</v>
      </c>
      <c r="O89" s="7">
        <f t="shared" si="34"/>
        <v>1560</v>
      </c>
      <c r="P89" s="7" t="s">
        <v>46</v>
      </c>
      <c r="Q89" s="7">
        <f t="shared" si="30"/>
        <v>6240</v>
      </c>
      <c r="R89" s="7" t="s">
        <v>46</v>
      </c>
    </row>
    <row r="90" s="2" customFormat="1" ht="24" customHeight="1" spans="1:18">
      <c r="A90" s="9" t="s">
        <v>158</v>
      </c>
      <c r="B90" s="4" t="s">
        <v>159</v>
      </c>
      <c r="C90" s="2" t="s">
        <v>64</v>
      </c>
      <c r="D90" s="2" t="s">
        <v>65</v>
      </c>
      <c r="E90" s="2" t="s">
        <v>22</v>
      </c>
      <c r="F90" s="7">
        <v>104200</v>
      </c>
      <c r="G90" s="8"/>
      <c r="H90" s="7"/>
      <c r="I90" s="7">
        <f t="shared" si="31"/>
        <v>2084</v>
      </c>
      <c r="J90" s="7" t="s">
        <v>38</v>
      </c>
      <c r="K90" s="7">
        <f t="shared" si="32"/>
        <v>1042</v>
      </c>
      <c r="L90" s="7" t="s">
        <v>27</v>
      </c>
      <c r="M90" s="7">
        <f t="shared" si="33"/>
        <v>1042</v>
      </c>
      <c r="N90" s="7" t="s">
        <v>38</v>
      </c>
      <c r="O90" s="7">
        <f t="shared" si="34"/>
        <v>1042</v>
      </c>
      <c r="P90" s="7" t="s">
        <v>38</v>
      </c>
      <c r="Q90" s="7">
        <f>F90*0</f>
        <v>0</v>
      </c>
      <c r="R90" s="7" t="s">
        <v>38</v>
      </c>
    </row>
    <row r="91" s="2" customFormat="1" ht="24" customHeight="1" spans="1:18">
      <c r="A91" s="9">
        <v>44676</v>
      </c>
      <c r="B91" s="4" t="s">
        <v>160</v>
      </c>
      <c r="C91" s="2" t="s">
        <v>25</v>
      </c>
      <c r="D91" s="2" t="s">
        <v>26</v>
      </c>
      <c r="E91" s="2" t="s">
        <v>22</v>
      </c>
      <c r="F91" s="7">
        <v>88145</v>
      </c>
      <c r="G91" s="8"/>
      <c r="H91" s="7"/>
      <c r="I91" s="7">
        <f t="shared" si="31"/>
        <v>1762.9</v>
      </c>
      <c r="J91" s="7" t="s">
        <v>27</v>
      </c>
      <c r="K91" s="7">
        <f t="shared" si="32"/>
        <v>881.45</v>
      </c>
      <c r="L91" s="7" t="s">
        <v>27</v>
      </c>
      <c r="M91" s="7">
        <f t="shared" si="33"/>
        <v>881.45</v>
      </c>
      <c r="N91" s="7" t="s">
        <v>27</v>
      </c>
      <c r="O91" s="7">
        <f t="shared" si="34"/>
        <v>881.45</v>
      </c>
      <c r="P91" s="7" t="s">
        <v>41</v>
      </c>
      <c r="Q91" s="7">
        <f>F91*0</f>
        <v>0</v>
      </c>
      <c r="R91" s="7" t="s">
        <v>27</v>
      </c>
    </row>
    <row r="92" s="2" customFormat="1" ht="24" customHeight="1" spans="1:18">
      <c r="A92" s="9">
        <v>44677</v>
      </c>
      <c r="B92" s="4" t="s">
        <v>161</v>
      </c>
      <c r="C92" s="2" t="s">
        <v>25</v>
      </c>
      <c r="D92" s="2" t="s">
        <v>26</v>
      </c>
      <c r="E92" s="2" t="s">
        <v>31</v>
      </c>
      <c r="F92" s="7">
        <v>87000</v>
      </c>
      <c r="G92" s="8"/>
      <c r="H92" s="7"/>
      <c r="I92" s="7">
        <f t="shared" si="31"/>
        <v>1740</v>
      </c>
      <c r="J92" s="7" t="s">
        <v>27</v>
      </c>
      <c r="K92" s="7">
        <f t="shared" si="32"/>
        <v>870</v>
      </c>
      <c r="L92" s="7" t="s">
        <v>27</v>
      </c>
      <c r="M92" s="7">
        <f t="shared" si="33"/>
        <v>870</v>
      </c>
      <c r="N92" s="7" t="s">
        <v>27</v>
      </c>
      <c r="O92" s="7">
        <f t="shared" si="34"/>
        <v>870</v>
      </c>
      <c r="P92" s="7" t="s">
        <v>41</v>
      </c>
      <c r="Q92" s="7">
        <f t="shared" ref="Q92:Q95" si="35">F92*0.04</f>
        <v>3480</v>
      </c>
      <c r="R92" s="7" t="s">
        <v>116</v>
      </c>
    </row>
    <row r="93" s="2" customFormat="1" ht="24" customHeight="1" spans="1:19">
      <c r="A93" s="9">
        <v>44677</v>
      </c>
      <c r="B93" s="4" t="s">
        <v>118</v>
      </c>
      <c r="C93" s="2" t="s">
        <v>41</v>
      </c>
      <c r="D93" s="2" t="s">
        <v>43</v>
      </c>
      <c r="E93" s="2" t="s">
        <v>44</v>
      </c>
      <c r="F93" s="7">
        <v>22500</v>
      </c>
      <c r="G93" s="8"/>
      <c r="H93" s="7"/>
      <c r="I93" s="7">
        <f t="shared" si="31"/>
        <v>450</v>
      </c>
      <c r="J93" s="7" t="s">
        <v>27</v>
      </c>
      <c r="K93" s="7">
        <f t="shared" si="32"/>
        <v>225</v>
      </c>
      <c r="L93" s="7" t="s">
        <v>27</v>
      </c>
      <c r="M93" s="7">
        <f>F93*0.05</f>
        <v>1125</v>
      </c>
      <c r="N93" s="7" t="s">
        <v>27</v>
      </c>
      <c r="O93" s="7">
        <v>0</v>
      </c>
      <c r="P93" s="7" t="s">
        <v>41</v>
      </c>
      <c r="Q93" s="7">
        <f t="shared" si="35"/>
        <v>900</v>
      </c>
      <c r="R93" s="7" t="s">
        <v>116</v>
      </c>
      <c r="S93" s="2">
        <v>6750</v>
      </c>
    </row>
    <row r="94" s="2" customFormat="1" ht="24" customHeight="1" spans="1:18">
      <c r="A94" s="9">
        <v>44677</v>
      </c>
      <c r="B94" s="4" t="s">
        <v>162</v>
      </c>
      <c r="C94" s="2" t="s">
        <v>25</v>
      </c>
      <c r="D94" s="2" t="s">
        <v>26</v>
      </c>
      <c r="E94" s="2" t="s">
        <v>31</v>
      </c>
      <c r="F94" s="7">
        <v>58000</v>
      </c>
      <c r="G94" s="8"/>
      <c r="H94" s="7"/>
      <c r="I94" s="7">
        <f t="shared" si="31"/>
        <v>1160</v>
      </c>
      <c r="J94" s="7" t="s">
        <v>27</v>
      </c>
      <c r="K94" s="7">
        <f t="shared" si="32"/>
        <v>580</v>
      </c>
      <c r="L94" s="7" t="s">
        <v>27</v>
      </c>
      <c r="M94" s="7">
        <f t="shared" ref="M94:M98" si="36">F94*0.01</f>
        <v>580</v>
      </c>
      <c r="N94" s="7" t="s">
        <v>27</v>
      </c>
      <c r="O94" s="7">
        <f t="shared" ref="O94:O98" si="37">F94*0.01</f>
        <v>580</v>
      </c>
      <c r="P94" s="7" t="s">
        <v>41</v>
      </c>
      <c r="Q94" s="7">
        <f t="shared" si="35"/>
        <v>2320</v>
      </c>
      <c r="R94" s="7" t="s">
        <v>116</v>
      </c>
    </row>
    <row r="95" s="2" customFormat="1" ht="24" customHeight="1" spans="1:18">
      <c r="A95" s="9">
        <v>44678</v>
      </c>
      <c r="B95" s="4" t="s">
        <v>69</v>
      </c>
      <c r="C95" s="2" t="s">
        <v>163</v>
      </c>
      <c r="D95" s="2" t="s">
        <v>164</v>
      </c>
      <c r="E95" s="2" t="s">
        <v>31</v>
      </c>
      <c r="F95" s="7">
        <v>56000</v>
      </c>
      <c r="G95" s="8"/>
      <c r="H95" s="7"/>
      <c r="I95" s="7">
        <f t="shared" si="31"/>
        <v>1120</v>
      </c>
      <c r="J95" s="7" t="s">
        <v>27</v>
      </c>
      <c r="K95" s="7">
        <f t="shared" si="32"/>
        <v>560</v>
      </c>
      <c r="L95" s="7" t="s">
        <v>27</v>
      </c>
      <c r="M95" s="7">
        <f t="shared" si="36"/>
        <v>560</v>
      </c>
      <c r="N95" s="7" t="s">
        <v>27</v>
      </c>
      <c r="O95" s="7">
        <f t="shared" si="37"/>
        <v>560</v>
      </c>
      <c r="P95" s="7" t="s">
        <v>165</v>
      </c>
      <c r="Q95" s="7">
        <f t="shared" si="35"/>
        <v>2240</v>
      </c>
      <c r="R95" s="7" t="s">
        <v>27</v>
      </c>
    </row>
    <row r="96" s="2" customFormat="1" ht="24" customHeight="1" spans="1:18">
      <c r="A96" s="9">
        <v>44678</v>
      </c>
      <c r="B96" s="4" t="s">
        <v>109</v>
      </c>
      <c r="C96" s="2" t="s">
        <v>163</v>
      </c>
      <c r="D96" s="2" t="s">
        <v>164</v>
      </c>
      <c r="E96" s="2" t="s">
        <v>22</v>
      </c>
      <c r="F96" s="7">
        <v>56000</v>
      </c>
      <c r="G96" s="8"/>
      <c r="I96" s="7">
        <f t="shared" si="31"/>
        <v>1120</v>
      </c>
      <c r="J96" s="7" t="s">
        <v>38</v>
      </c>
      <c r="K96" s="7">
        <f t="shared" si="32"/>
        <v>560</v>
      </c>
      <c r="L96" s="7" t="s">
        <v>38</v>
      </c>
      <c r="M96" s="7">
        <f t="shared" si="36"/>
        <v>560</v>
      </c>
      <c r="N96" s="7" t="s">
        <v>38</v>
      </c>
      <c r="O96" s="7">
        <f t="shared" si="37"/>
        <v>560</v>
      </c>
      <c r="P96" s="7" t="s">
        <v>38</v>
      </c>
      <c r="Q96" s="7">
        <f>F96*0</f>
        <v>0</v>
      </c>
      <c r="R96" s="7" t="s">
        <v>38</v>
      </c>
    </row>
    <row r="97" s="2" customFormat="1" ht="24" customHeight="1" spans="1:18">
      <c r="A97" s="9">
        <v>44679</v>
      </c>
      <c r="B97" s="4" t="s">
        <v>102</v>
      </c>
      <c r="C97" s="2" t="s">
        <v>166</v>
      </c>
      <c r="D97" s="2" t="s">
        <v>167</v>
      </c>
      <c r="E97" s="2" t="s">
        <v>31</v>
      </c>
      <c r="F97" s="7">
        <v>135000</v>
      </c>
      <c r="I97" s="7">
        <f t="shared" si="31"/>
        <v>2700</v>
      </c>
      <c r="J97" s="7" t="s">
        <v>48</v>
      </c>
      <c r="K97" s="7">
        <f t="shared" si="32"/>
        <v>1350</v>
      </c>
      <c r="L97" s="7" t="s">
        <v>46</v>
      </c>
      <c r="M97" s="7">
        <f t="shared" si="36"/>
        <v>1350</v>
      </c>
      <c r="N97" s="7" t="s">
        <v>46</v>
      </c>
      <c r="O97" s="7">
        <f t="shared" si="37"/>
        <v>1350</v>
      </c>
      <c r="P97" s="7" t="s">
        <v>46</v>
      </c>
      <c r="Q97" s="7">
        <f t="shared" ref="Q97:Q102" si="38">F97*0.04</f>
        <v>5400</v>
      </c>
      <c r="R97" s="7" t="s">
        <v>46</v>
      </c>
    </row>
    <row r="98" s="2" customFormat="1" ht="24" customHeight="1" spans="1:18">
      <c r="A98" s="9">
        <v>44680</v>
      </c>
      <c r="B98" s="4" t="s">
        <v>168</v>
      </c>
      <c r="C98" s="2" t="s">
        <v>25</v>
      </c>
      <c r="D98" s="2" t="s">
        <v>26</v>
      </c>
      <c r="E98" s="2" t="s">
        <v>31</v>
      </c>
      <c r="F98" s="7">
        <v>50000</v>
      </c>
      <c r="G98" s="8"/>
      <c r="H98" s="7"/>
      <c r="I98" s="7">
        <f t="shared" si="31"/>
        <v>1000</v>
      </c>
      <c r="J98" s="7" t="s">
        <v>38</v>
      </c>
      <c r="K98" s="7">
        <f t="shared" si="32"/>
        <v>500</v>
      </c>
      <c r="L98" s="7" t="s">
        <v>38</v>
      </c>
      <c r="M98" s="7">
        <f t="shared" si="36"/>
        <v>500</v>
      </c>
      <c r="N98" s="7" t="s">
        <v>38</v>
      </c>
      <c r="O98" s="7">
        <f t="shared" si="37"/>
        <v>500</v>
      </c>
      <c r="P98" s="7" t="s">
        <v>41</v>
      </c>
      <c r="Q98" s="7">
        <f t="shared" si="38"/>
        <v>2000</v>
      </c>
      <c r="R98" s="7" t="s">
        <v>41</v>
      </c>
    </row>
    <row r="99" s="2" customFormat="1" ht="24" customHeight="1" spans="1:19">
      <c r="A99" s="9">
        <v>44686</v>
      </c>
      <c r="B99" s="4" t="s">
        <v>115</v>
      </c>
      <c r="C99" s="2" t="s">
        <v>116</v>
      </c>
      <c r="D99" s="2" t="s">
        <v>43</v>
      </c>
      <c r="E99" s="2" t="s">
        <v>44</v>
      </c>
      <c r="F99" s="7">
        <v>11250</v>
      </c>
      <c r="H99" s="7"/>
      <c r="I99" s="7">
        <f t="shared" si="31"/>
        <v>225</v>
      </c>
      <c r="J99" s="7" t="s">
        <v>23</v>
      </c>
      <c r="K99" s="7">
        <f t="shared" si="32"/>
        <v>112.5</v>
      </c>
      <c r="L99" s="7" t="s">
        <v>41</v>
      </c>
      <c r="M99" s="7">
        <f>F99*0.05</f>
        <v>562.5</v>
      </c>
      <c r="N99" s="7" t="s">
        <v>41</v>
      </c>
      <c r="O99" s="7">
        <v>0</v>
      </c>
      <c r="P99" s="7" t="s">
        <v>116</v>
      </c>
      <c r="Q99" s="7">
        <f t="shared" si="38"/>
        <v>450</v>
      </c>
      <c r="R99" s="7" t="s">
        <v>41</v>
      </c>
      <c r="S99" s="2">
        <v>3375</v>
      </c>
    </row>
    <row r="100" s="2" customFormat="1" ht="24" customHeight="1" spans="1:18">
      <c r="A100" s="9">
        <v>44687</v>
      </c>
      <c r="B100" s="4" t="s">
        <v>169</v>
      </c>
      <c r="C100" s="2" t="s">
        <v>25</v>
      </c>
      <c r="D100" s="2" t="s">
        <v>26</v>
      </c>
      <c r="E100" s="2" t="s">
        <v>31</v>
      </c>
      <c r="F100" s="7">
        <v>8833.33</v>
      </c>
      <c r="G100" s="8"/>
      <c r="H100" s="7"/>
      <c r="I100" s="7">
        <f t="shared" si="31"/>
        <v>176.6666</v>
      </c>
      <c r="J100" s="7" t="s">
        <v>38</v>
      </c>
      <c r="K100" s="7">
        <f t="shared" si="32"/>
        <v>88.3333</v>
      </c>
      <c r="L100" s="7" t="s">
        <v>38</v>
      </c>
      <c r="M100" s="7">
        <f t="shared" ref="M100:M111" si="39">F100*0.01</f>
        <v>88.3333</v>
      </c>
      <c r="N100" s="7" t="s">
        <v>38</v>
      </c>
      <c r="O100" s="7">
        <f t="shared" ref="O100:O111" si="40">F100*0.01</f>
        <v>88.3333</v>
      </c>
      <c r="P100" s="7" t="s">
        <v>41</v>
      </c>
      <c r="Q100" s="7">
        <f t="shared" si="38"/>
        <v>353.3332</v>
      </c>
      <c r="R100" s="7" t="s">
        <v>41</v>
      </c>
    </row>
    <row r="101" s="2" customFormat="1" ht="24" customHeight="1" spans="1:19">
      <c r="A101" s="9">
        <v>44687</v>
      </c>
      <c r="B101" s="4" t="s">
        <v>170</v>
      </c>
      <c r="C101" s="2" t="s">
        <v>41</v>
      </c>
      <c r="D101" s="2" t="s">
        <v>43</v>
      </c>
      <c r="E101" s="2" t="s">
        <v>44</v>
      </c>
      <c r="F101" s="7">
        <v>37500</v>
      </c>
      <c r="H101" s="7"/>
      <c r="I101" s="7">
        <f t="shared" si="31"/>
        <v>750</v>
      </c>
      <c r="J101" s="7" t="s">
        <v>38</v>
      </c>
      <c r="K101" s="7">
        <f t="shared" si="32"/>
        <v>375</v>
      </c>
      <c r="L101" s="7" t="s">
        <v>38</v>
      </c>
      <c r="M101" s="7">
        <f>F101*0.05</f>
        <v>1875</v>
      </c>
      <c r="N101" s="7" t="s">
        <v>38</v>
      </c>
      <c r="O101" s="7">
        <v>0</v>
      </c>
      <c r="P101" s="7" t="s">
        <v>41</v>
      </c>
      <c r="Q101" s="7">
        <f t="shared" si="38"/>
        <v>1500</v>
      </c>
      <c r="R101" s="7" t="s">
        <v>41</v>
      </c>
      <c r="S101" s="2">
        <v>11250</v>
      </c>
    </row>
    <row r="102" s="2" customFormat="1" ht="24" customHeight="1" spans="1:18">
      <c r="A102" s="9">
        <v>44690</v>
      </c>
      <c r="B102" s="4" t="s">
        <v>171</v>
      </c>
      <c r="C102" s="2" t="s">
        <v>25</v>
      </c>
      <c r="D102" s="2" t="s">
        <v>26</v>
      </c>
      <c r="E102" s="2" t="s">
        <v>31</v>
      </c>
      <c r="F102" s="7">
        <v>50000</v>
      </c>
      <c r="G102" s="8"/>
      <c r="H102" s="7"/>
      <c r="I102" s="7">
        <f t="shared" si="31"/>
        <v>1000</v>
      </c>
      <c r="J102" s="7" t="s">
        <v>32</v>
      </c>
      <c r="K102" s="7">
        <f t="shared" si="32"/>
        <v>500</v>
      </c>
      <c r="L102" s="7" t="s">
        <v>32</v>
      </c>
      <c r="M102" s="7">
        <f t="shared" si="39"/>
        <v>500</v>
      </c>
      <c r="N102" s="7" t="s">
        <v>32</v>
      </c>
      <c r="O102" s="7">
        <f t="shared" si="40"/>
        <v>500</v>
      </c>
      <c r="P102" s="7" t="s">
        <v>41</v>
      </c>
      <c r="Q102" s="7">
        <f t="shared" si="38"/>
        <v>2000</v>
      </c>
      <c r="R102" s="7" t="s">
        <v>41</v>
      </c>
    </row>
    <row r="103" s="2" customFormat="1" ht="24" customHeight="1" spans="1:19">
      <c r="A103" s="9">
        <v>44691</v>
      </c>
      <c r="B103" s="4" t="s">
        <v>172</v>
      </c>
      <c r="C103" s="2" t="s">
        <v>173</v>
      </c>
      <c r="D103" s="2" t="s">
        <v>174</v>
      </c>
      <c r="E103" s="2" t="s">
        <v>22</v>
      </c>
      <c r="F103" s="7">
        <v>65000</v>
      </c>
      <c r="I103" s="7">
        <f t="shared" si="31"/>
        <v>1300</v>
      </c>
      <c r="J103" s="7"/>
      <c r="K103" s="7">
        <f t="shared" si="32"/>
        <v>650</v>
      </c>
      <c r="L103" s="7"/>
      <c r="M103" s="7">
        <f t="shared" si="39"/>
        <v>650</v>
      </c>
      <c r="N103" s="7"/>
      <c r="O103" s="7">
        <f t="shared" si="40"/>
        <v>650</v>
      </c>
      <c r="P103" s="7"/>
      <c r="Q103" s="7">
        <f>F103*0</f>
        <v>0</v>
      </c>
      <c r="R103" s="7" t="s">
        <v>33</v>
      </c>
      <c r="S103" s="2" t="s">
        <v>90</v>
      </c>
    </row>
    <row r="104" s="2" customFormat="1" ht="24" customHeight="1" spans="1:18">
      <c r="A104" s="9">
        <v>44691</v>
      </c>
      <c r="B104" s="4" t="s">
        <v>175</v>
      </c>
      <c r="C104" s="2" t="s">
        <v>25</v>
      </c>
      <c r="D104" s="2" t="s">
        <v>26</v>
      </c>
      <c r="E104" s="2" t="s">
        <v>31</v>
      </c>
      <c r="F104" s="7">
        <v>79500</v>
      </c>
      <c r="G104" s="8"/>
      <c r="H104" s="7"/>
      <c r="I104" s="7">
        <f t="shared" si="31"/>
        <v>1590</v>
      </c>
      <c r="J104" s="7" t="s">
        <v>38</v>
      </c>
      <c r="K104" s="7">
        <f t="shared" si="32"/>
        <v>795</v>
      </c>
      <c r="L104" s="7" t="s">
        <v>38</v>
      </c>
      <c r="M104" s="7">
        <f t="shared" si="39"/>
        <v>795</v>
      </c>
      <c r="N104" s="7" t="s">
        <v>53</v>
      </c>
      <c r="O104" s="7">
        <f t="shared" si="40"/>
        <v>795</v>
      </c>
      <c r="P104" s="7" t="s">
        <v>41</v>
      </c>
      <c r="Q104" s="7">
        <f t="shared" ref="Q104:Q110" si="41">F104*0.04</f>
        <v>3180</v>
      </c>
      <c r="R104" s="7" t="s">
        <v>41</v>
      </c>
    </row>
    <row r="105" s="2" customFormat="1" ht="24" customHeight="1" spans="1:18">
      <c r="A105" s="9">
        <v>44692</v>
      </c>
      <c r="B105" s="4" t="s">
        <v>176</v>
      </c>
      <c r="C105" s="2" t="s">
        <v>25</v>
      </c>
      <c r="D105" s="2" t="s">
        <v>26</v>
      </c>
      <c r="E105" s="2" t="s">
        <v>31</v>
      </c>
      <c r="F105" s="7">
        <v>8833</v>
      </c>
      <c r="G105" s="8"/>
      <c r="I105" s="7">
        <f t="shared" si="31"/>
        <v>176.66</v>
      </c>
      <c r="J105" s="7" t="s">
        <v>23</v>
      </c>
      <c r="K105" s="7">
        <f t="shared" si="32"/>
        <v>88.33</v>
      </c>
      <c r="L105" s="7" t="s">
        <v>53</v>
      </c>
      <c r="M105" s="7">
        <f t="shared" si="39"/>
        <v>88.33</v>
      </c>
      <c r="N105" s="7" t="s">
        <v>53</v>
      </c>
      <c r="O105" s="7">
        <f t="shared" si="40"/>
        <v>88.33</v>
      </c>
      <c r="P105" s="7" t="s">
        <v>53</v>
      </c>
      <c r="Q105" s="7">
        <f t="shared" si="41"/>
        <v>353.32</v>
      </c>
      <c r="R105" s="7" t="s">
        <v>53</v>
      </c>
    </row>
    <row r="106" s="2" customFormat="1" ht="24" customHeight="1" spans="1:18">
      <c r="A106" s="9">
        <v>44694</v>
      </c>
      <c r="B106" s="4" t="s">
        <v>177</v>
      </c>
      <c r="C106" s="2" t="s">
        <v>25</v>
      </c>
      <c r="D106" s="2" t="s">
        <v>26</v>
      </c>
      <c r="E106" s="2" t="s">
        <v>31</v>
      </c>
      <c r="F106" s="7">
        <v>116000</v>
      </c>
      <c r="G106" s="8"/>
      <c r="H106" s="7"/>
      <c r="I106" s="7">
        <f t="shared" si="31"/>
        <v>2320</v>
      </c>
      <c r="J106" s="7" t="s">
        <v>38</v>
      </c>
      <c r="K106" s="7">
        <f t="shared" si="32"/>
        <v>1160</v>
      </c>
      <c r="L106" s="7" t="s">
        <v>38</v>
      </c>
      <c r="M106" s="7">
        <f t="shared" si="39"/>
        <v>1160</v>
      </c>
      <c r="N106" s="7" t="s">
        <v>38</v>
      </c>
      <c r="O106" s="7">
        <f t="shared" si="40"/>
        <v>1160</v>
      </c>
      <c r="P106" s="7" t="s">
        <v>41</v>
      </c>
      <c r="Q106" s="7">
        <f t="shared" si="41"/>
        <v>4640</v>
      </c>
      <c r="R106" s="7" t="s">
        <v>41</v>
      </c>
    </row>
    <row r="107" s="2" customFormat="1" ht="24" customHeight="1" spans="1:18">
      <c r="A107" s="9">
        <v>44694</v>
      </c>
      <c r="B107" s="4" t="s">
        <v>117</v>
      </c>
      <c r="C107" s="2" t="s">
        <v>25</v>
      </c>
      <c r="D107" s="2" t="s">
        <v>26</v>
      </c>
      <c r="E107" s="2" t="s">
        <v>31</v>
      </c>
      <c r="F107" s="7">
        <v>90000</v>
      </c>
      <c r="G107" s="8"/>
      <c r="H107" s="7"/>
      <c r="I107" s="7">
        <f t="shared" si="31"/>
        <v>1800</v>
      </c>
      <c r="J107" s="7" t="s">
        <v>38</v>
      </c>
      <c r="K107" s="7">
        <f t="shared" si="32"/>
        <v>900</v>
      </c>
      <c r="L107" s="7" t="s">
        <v>27</v>
      </c>
      <c r="M107" s="7">
        <f t="shared" si="39"/>
        <v>900</v>
      </c>
      <c r="N107" s="7" t="s">
        <v>38</v>
      </c>
      <c r="O107" s="7">
        <f t="shared" si="40"/>
        <v>900</v>
      </c>
      <c r="P107" s="7" t="s">
        <v>41</v>
      </c>
      <c r="Q107" s="7">
        <f t="shared" si="41"/>
        <v>3600</v>
      </c>
      <c r="R107" s="7" t="s">
        <v>41</v>
      </c>
    </row>
    <row r="108" s="2" customFormat="1" ht="24" customHeight="1" spans="1:18">
      <c r="A108" s="9">
        <v>44697</v>
      </c>
      <c r="B108" s="4" t="s">
        <v>178</v>
      </c>
      <c r="C108" s="2" t="s">
        <v>103</v>
      </c>
      <c r="D108" s="2" t="s">
        <v>104</v>
      </c>
      <c r="E108" s="2" t="s">
        <v>31</v>
      </c>
      <c r="F108" s="7">
        <v>104000</v>
      </c>
      <c r="G108" s="8"/>
      <c r="I108" s="7">
        <f t="shared" si="31"/>
        <v>2080</v>
      </c>
      <c r="J108" s="7" t="s">
        <v>48</v>
      </c>
      <c r="K108" s="7">
        <f t="shared" si="32"/>
        <v>1040</v>
      </c>
      <c r="L108" s="7" t="s">
        <v>46</v>
      </c>
      <c r="M108" s="7">
        <f t="shared" si="39"/>
        <v>1040</v>
      </c>
      <c r="N108" s="7" t="s">
        <v>46</v>
      </c>
      <c r="O108" s="7">
        <f t="shared" si="40"/>
        <v>1040</v>
      </c>
      <c r="P108" s="7" t="s">
        <v>46</v>
      </c>
      <c r="Q108" s="7">
        <f t="shared" si="41"/>
        <v>4160</v>
      </c>
      <c r="R108" s="7" t="s">
        <v>46</v>
      </c>
    </row>
    <row r="109" s="2" customFormat="1" ht="24" customHeight="1" spans="1:18">
      <c r="A109" s="9">
        <v>44698</v>
      </c>
      <c r="B109" s="4" t="s">
        <v>179</v>
      </c>
      <c r="C109" s="2" t="s">
        <v>25</v>
      </c>
      <c r="D109" s="2" t="s">
        <v>26</v>
      </c>
      <c r="E109" s="2" t="s">
        <v>31</v>
      </c>
      <c r="F109" s="7">
        <v>174000</v>
      </c>
      <c r="G109" s="8"/>
      <c r="H109" s="7"/>
      <c r="I109" s="7">
        <f t="shared" si="31"/>
        <v>3480</v>
      </c>
      <c r="J109" s="7" t="s">
        <v>27</v>
      </c>
      <c r="K109" s="7">
        <f t="shared" si="32"/>
        <v>1740</v>
      </c>
      <c r="L109" s="7" t="s">
        <v>27</v>
      </c>
      <c r="M109" s="7">
        <f t="shared" si="39"/>
        <v>1740</v>
      </c>
      <c r="N109" s="7" t="s">
        <v>27</v>
      </c>
      <c r="O109" s="7">
        <f t="shared" si="40"/>
        <v>1740</v>
      </c>
      <c r="P109" s="7" t="s">
        <v>41</v>
      </c>
      <c r="Q109" s="7">
        <f t="shared" si="41"/>
        <v>6960</v>
      </c>
      <c r="R109" s="7" t="s">
        <v>116</v>
      </c>
    </row>
    <row r="110" s="2" customFormat="1" ht="24" customHeight="1" spans="1:18">
      <c r="A110" s="9">
        <v>44698</v>
      </c>
      <c r="B110" s="4" t="s">
        <v>180</v>
      </c>
      <c r="C110" s="2" t="s">
        <v>25</v>
      </c>
      <c r="D110" s="2" t="s">
        <v>26</v>
      </c>
      <c r="E110" s="2" t="s">
        <v>31</v>
      </c>
      <c r="F110" s="7">
        <v>220833.33</v>
      </c>
      <c r="G110" s="8"/>
      <c r="H110" s="7"/>
      <c r="I110" s="7">
        <f t="shared" si="31"/>
        <v>4416.6666</v>
      </c>
      <c r="J110" s="7" t="s">
        <v>23</v>
      </c>
      <c r="K110" s="7">
        <f t="shared" si="32"/>
        <v>2208.3333</v>
      </c>
      <c r="L110" s="7" t="s">
        <v>23</v>
      </c>
      <c r="M110" s="7">
        <f t="shared" si="39"/>
        <v>2208.3333</v>
      </c>
      <c r="N110" s="7" t="s">
        <v>46</v>
      </c>
      <c r="O110" s="7">
        <f t="shared" si="40"/>
        <v>2208.3333</v>
      </c>
      <c r="P110" s="7" t="s">
        <v>41</v>
      </c>
      <c r="Q110" s="7">
        <f t="shared" si="41"/>
        <v>8833.3332</v>
      </c>
      <c r="R110" s="7" t="s">
        <v>46</v>
      </c>
    </row>
    <row r="111" s="2" customFormat="1" ht="24" customHeight="1" spans="1:18">
      <c r="A111" s="9">
        <v>44700</v>
      </c>
      <c r="B111" s="4" t="s">
        <v>181</v>
      </c>
      <c r="C111" s="2" t="s">
        <v>25</v>
      </c>
      <c r="D111" s="2" t="s">
        <v>26</v>
      </c>
      <c r="E111" s="2" t="s">
        <v>22</v>
      </c>
      <c r="F111" s="7">
        <v>58000</v>
      </c>
      <c r="G111" s="8"/>
      <c r="H111" s="7"/>
      <c r="I111" s="7">
        <f t="shared" si="31"/>
        <v>1160</v>
      </c>
      <c r="J111" s="7" t="s">
        <v>32</v>
      </c>
      <c r="K111" s="7">
        <f t="shared" si="32"/>
        <v>580</v>
      </c>
      <c r="L111" s="7" t="s">
        <v>32</v>
      </c>
      <c r="M111" s="7">
        <f t="shared" si="39"/>
        <v>580</v>
      </c>
      <c r="N111" s="7" t="s">
        <v>46</v>
      </c>
      <c r="O111" s="7">
        <f t="shared" si="40"/>
        <v>580</v>
      </c>
      <c r="P111" s="7" t="s">
        <v>46</v>
      </c>
      <c r="Q111" s="7">
        <f>F111*0</f>
        <v>0</v>
      </c>
      <c r="R111" s="7" t="s">
        <v>46</v>
      </c>
    </row>
    <row r="112" s="2" customFormat="1" ht="24" customHeight="1" spans="1:19">
      <c r="A112" s="9">
        <v>44701</v>
      </c>
      <c r="B112" s="4" t="s">
        <v>117</v>
      </c>
      <c r="C112" s="2" t="s">
        <v>41</v>
      </c>
      <c r="D112" s="2" t="s">
        <v>43</v>
      </c>
      <c r="E112" s="2" t="s">
        <v>44</v>
      </c>
      <c r="F112" s="7">
        <v>20000</v>
      </c>
      <c r="H112" s="7"/>
      <c r="I112" s="7">
        <f t="shared" si="31"/>
        <v>400</v>
      </c>
      <c r="J112" s="7" t="s">
        <v>38</v>
      </c>
      <c r="K112" s="7">
        <f t="shared" si="32"/>
        <v>200</v>
      </c>
      <c r="L112" s="7" t="s">
        <v>27</v>
      </c>
      <c r="M112" s="7">
        <f>F112*0.05</f>
        <v>1000</v>
      </c>
      <c r="N112" s="7" t="s">
        <v>38</v>
      </c>
      <c r="O112" s="7">
        <v>0</v>
      </c>
      <c r="P112" s="7" t="s">
        <v>41</v>
      </c>
      <c r="Q112" s="7">
        <f t="shared" ref="Q112:Q117" si="42">F112*0.04</f>
        <v>800</v>
      </c>
      <c r="R112" s="7" t="s">
        <v>41</v>
      </c>
      <c r="S112" s="2">
        <v>6000</v>
      </c>
    </row>
    <row r="113" s="2" customFormat="1" ht="24" customHeight="1" spans="1:18">
      <c r="A113" s="9">
        <v>44701</v>
      </c>
      <c r="B113" s="4" t="s">
        <v>182</v>
      </c>
      <c r="C113" s="2" t="s">
        <v>29</v>
      </c>
      <c r="D113" s="2" t="s">
        <v>30</v>
      </c>
      <c r="E113" s="2" t="s">
        <v>31</v>
      </c>
      <c r="F113" s="7">
        <v>40000</v>
      </c>
      <c r="G113" s="8"/>
      <c r="I113" s="7">
        <f t="shared" si="31"/>
        <v>800</v>
      </c>
      <c r="J113" s="7" t="s">
        <v>32</v>
      </c>
      <c r="K113" s="7">
        <f t="shared" si="32"/>
        <v>400</v>
      </c>
      <c r="L113" s="7" t="s">
        <v>33</v>
      </c>
      <c r="M113" s="7">
        <f t="shared" ref="M113:M117" si="43">F113*0.01</f>
        <v>400</v>
      </c>
      <c r="N113" s="7" t="s">
        <v>33</v>
      </c>
      <c r="O113" s="7">
        <f t="shared" ref="O113:O117" si="44">F113*0.01</f>
        <v>400</v>
      </c>
      <c r="P113" s="7" t="s">
        <v>33</v>
      </c>
      <c r="Q113" s="7">
        <f t="shared" si="42"/>
        <v>1600</v>
      </c>
      <c r="R113" s="7" t="s">
        <v>33</v>
      </c>
    </row>
    <row r="114" s="2" customFormat="1" ht="24" customHeight="1" spans="1:18">
      <c r="A114" s="9">
        <v>44704</v>
      </c>
      <c r="B114" s="4" t="s">
        <v>183</v>
      </c>
      <c r="C114" s="2" t="s">
        <v>25</v>
      </c>
      <c r="D114" s="2" t="s">
        <v>26</v>
      </c>
      <c r="E114" s="2" t="s">
        <v>31</v>
      </c>
      <c r="F114" s="7">
        <v>265000</v>
      </c>
      <c r="G114" s="8"/>
      <c r="H114" s="7"/>
      <c r="I114" s="7">
        <f t="shared" si="31"/>
        <v>5300</v>
      </c>
      <c r="J114" s="7" t="s">
        <v>48</v>
      </c>
      <c r="K114" s="7">
        <f t="shared" si="32"/>
        <v>2650</v>
      </c>
      <c r="L114" s="7" t="s">
        <v>48</v>
      </c>
      <c r="M114" s="7">
        <f t="shared" si="43"/>
        <v>2650</v>
      </c>
      <c r="N114" s="7" t="s">
        <v>46</v>
      </c>
      <c r="O114" s="7">
        <f t="shared" si="44"/>
        <v>2650</v>
      </c>
      <c r="P114" s="7" t="s">
        <v>46</v>
      </c>
      <c r="Q114" s="7">
        <f t="shared" si="42"/>
        <v>10600</v>
      </c>
      <c r="R114" s="7" t="s">
        <v>46</v>
      </c>
    </row>
    <row r="115" s="2" customFormat="1" ht="24" customHeight="1" spans="1:18">
      <c r="A115" s="9">
        <v>44707</v>
      </c>
      <c r="B115" s="4" t="s">
        <v>184</v>
      </c>
      <c r="C115" s="2" t="s">
        <v>29</v>
      </c>
      <c r="D115" s="2" t="s">
        <v>30</v>
      </c>
      <c r="E115" s="2" t="s">
        <v>31</v>
      </c>
      <c r="F115" s="7">
        <v>110000</v>
      </c>
      <c r="I115" s="7">
        <f t="shared" si="31"/>
        <v>2200</v>
      </c>
      <c r="J115" s="7" t="s">
        <v>38</v>
      </c>
      <c r="K115" s="7">
        <f t="shared" si="32"/>
        <v>1100</v>
      </c>
      <c r="L115" s="7" t="s">
        <v>48</v>
      </c>
      <c r="M115" s="7">
        <f t="shared" si="43"/>
        <v>1100</v>
      </c>
      <c r="N115" s="7" t="s">
        <v>48</v>
      </c>
      <c r="O115" s="7">
        <f t="shared" si="44"/>
        <v>1100</v>
      </c>
      <c r="P115" s="7" t="s">
        <v>48</v>
      </c>
      <c r="Q115" s="7">
        <f t="shared" si="42"/>
        <v>4400</v>
      </c>
      <c r="R115" s="7" t="s">
        <v>48</v>
      </c>
    </row>
    <row r="116" s="2" customFormat="1" ht="24" customHeight="1" spans="1:18">
      <c r="A116" s="9">
        <v>44708</v>
      </c>
      <c r="B116" s="4" t="s">
        <v>185</v>
      </c>
      <c r="C116" s="2" t="s">
        <v>25</v>
      </c>
      <c r="D116" s="2" t="s">
        <v>26</v>
      </c>
      <c r="E116" s="2" t="s">
        <v>31</v>
      </c>
      <c r="F116" s="7">
        <v>53000</v>
      </c>
      <c r="I116" s="7">
        <f t="shared" si="31"/>
        <v>1060</v>
      </c>
      <c r="J116" s="7" t="s">
        <v>38</v>
      </c>
      <c r="K116" s="7">
        <f t="shared" si="32"/>
        <v>530</v>
      </c>
      <c r="L116" s="7" t="s">
        <v>38</v>
      </c>
      <c r="M116" s="7">
        <f t="shared" si="43"/>
        <v>530</v>
      </c>
      <c r="N116" s="7" t="s">
        <v>38</v>
      </c>
      <c r="O116" s="7">
        <f t="shared" si="44"/>
        <v>530</v>
      </c>
      <c r="P116" s="7" t="s">
        <v>38</v>
      </c>
      <c r="Q116" s="7">
        <f t="shared" si="42"/>
        <v>2120</v>
      </c>
      <c r="R116" s="7" t="s">
        <v>38</v>
      </c>
    </row>
    <row r="117" s="2" customFormat="1" ht="24" customHeight="1" spans="1:18">
      <c r="A117" s="9">
        <v>44711</v>
      </c>
      <c r="B117" s="4" t="s">
        <v>186</v>
      </c>
      <c r="C117" s="2" t="s">
        <v>25</v>
      </c>
      <c r="D117" s="2" t="s">
        <v>26</v>
      </c>
      <c r="E117" s="2" t="s">
        <v>31</v>
      </c>
      <c r="F117" s="7">
        <v>30000</v>
      </c>
      <c r="I117" s="7">
        <f t="shared" si="31"/>
        <v>600</v>
      </c>
      <c r="J117" s="7" t="s">
        <v>38</v>
      </c>
      <c r="K117" s="7">
        <f t="shared" si="32"/>
        <v>300</v>
      </c>
      <c r="L117" s="2" t="s">
        <v>27</v>
      </c>
      <c r="M117" s="7">
        <f t="shared" si="43"/>
        <v>300</v>
      </c>
      <c r="N117" s="7" t="s">
        <v>38</v>
      </c>
      <c r="O117" s="7">
        <f t="shared" si="44"/>
        <v>300</v>
      </c>
      <c r="P117" s="7" t="s">
        <v>41</v>
      </c>
      <c r="Q117" s="7">
        <f t="shared" si="42"/>
        <v>1200</v>
      </c>
      <c r="R117" s="7" t="s">
        <v>41</v>
      </c>
    </row>
    <row r="118" s="2" customFormat="1" ht="24" customHeight="1" spans="1:18">
      <c r="A118" s="9"/>
      <c r="B118" s="4"/>
      <c r="I118" s="7"/>
      <c r="J118" s="7"/>
      <c r="M118" s="7"/>
      <c r="N118" s="7"/>
      <c r="O118" s="7"/>
      <c r="P118" s="7"/>
      <c r="Q118" s="7"/>
      <c r="R118" s="7"/>
    </row>
    <row r="119" s="2" customFormat="1" ht="24" customHeight="1" spans="1:18">
      <c r="A119" s="9"/>
      <c r="B119" s="4"/>
      <c r="I119" s="7"/>
      <c r="J119" s="7"/>
      <c r="M119" s="7"/>
      <c r="N119" s="7"/>
      <c r="O119" s="7"/>
      <c r="P119" s="7"/>
      <c r="Q119" s="7"/>
      <c r="R119" s="7"/>
    </row>
    <row r="120" s="2" customFormat="1" ht="24" customHeight="1" spans="1:18">
      <c r="A120" s="9"/>
      <c r="B120" s="4"/>
      <c r="I120" s="7"/>
      <c r="J120" s="7"/>
      <c r="M120" s="7"/>
      <c r="N120" s="7"/>
      <c r="O120" s="7"/>
      <c r="P120" s="7"/>
      <c r="Q120" s="7"/>
      <c r="R120" s="7"/>
    </row>
    <row r="121" s="2" customFormat="1" ht="24" customHeight="1" spans="1:18">
      <c r="A121" s="9"/>
      <c r="B121" s="4"/>
      <c r="I121" s="7"/>
      <c r="J121" s="7"/>
      <c r="M121" s="7"/>
      <c r="N121" s="7"/>
      <c r="O121" s="7"/>
      <c r="P121" s="7"/>
      <c r="Q121" s="7"/>
      <c r="R121" s="7"/>
    </row>
    <row r="122" s="2" customFormat="1" ht="24" customHeight="1" spans="1:18">
      <c r="A122" s="9"/>
      <c r="B122" s="4"/>
      <c r="I122" s="7"/>
      <c r="J122" s="7"/>
      <c r="M122" s="7"/>
      <c r="N122" s="7"/>
      <c r="O122" s="7"/>
      <c r="P122" s="7"/>
      <c r="Q122" s="7"/>
      <c r="R122" s="7"/>
    </row>
    <row r="123" s="2" customFormat="1" ht="24" customHeight="1" spans="1:18">
      <c r="A123" s="9"/>
      <c r="B123" s="4"/>
      <c r="I123" s="7"/>
      <c r="J123" s="7"/>
      <c r="M123" s="7"/>
      <c r="N123" s="7"/>
      <c r="O123" s="7"/>
      <c r="P123" s="7"/>
      <c r="Q123" s="7"/>
      <c r="R123" s="7"/>
    </row>
    <row r="124" s="2" customFormat="1" ht="24" customHeight="1" spans="1:18">
      <c r="A124" s="9"/>
      <c r="B124" s="4"/>
      <c r="I124" s="7"/>
      <c r="J124" s="7"/>
      <c r="M124" s="7"/>
      <c r="N124" s="7"/>
      <c r="O124" s="7"/>
      <c r="P124" s="7"/>
      <c r="Q124" s="7"/>
      <c r="R124" s="7"/>
    </row>
    <row r="125" s="2" customFormat="1" ht="24" customHeight="1" spans="1:18">
      <c r="A125" s="9"/>
      <c r="B125" s="4"/>
      <c r="I125" s="7"/>
      <c r="J125" s="7"/>
      <c r="M125" s="7"/>
      <c r="N125" s="7"/>
      <c r="O125" s="7"/>
      <c r="P125" s="7"/>
      <c r="Q125" s="7"/>
      <c r="R125" s="7"/>
    </row>
    <row r="126" s="2" customFormat="1" ht="24" customHeight="1" spans="1:18">
      <c r="A126" s="9"/>
      <c r="B126" s="4"/>
      <c r="I126" s="7"/>
      <c r="J126" s="7"/>
      <c r="M126" s="7"/>
      <c r="N126" s="7"/>
      <c r="O126" s="7"/>
      <c r="P126" s="7"/>
      <c r="Q126" s="7"/>
      <c r="R126" s="7"/>
    </row>
    <row r="127" s="2" customFormat="1" ht="24" customHeight="1" spans="1:18">
      <c r="A127" s="9"/>
      <c r="B127" s="4"/>
      <c r="I127" s="7"/>
      <c r="J127" s="7"/>
      <c r="M127" s="7"/>
      <c r="N127" s="7"/>
      <c r="O127" s="7"/>
      <c r="P127" s="7"/>
      <c r="Q127" s="7"/>
      <c r="R127" s="7"/>
    </row>
    <row r="128" s="2" customFormat="1" ht="24" customHeight="1" spans="1:18">
      <c r="A128" s="9"/>
      <c r="B128" s="4"/>
      <c r="I128" s="7"/>
      <c r="J128" s="7"/>
      <c r="M128" s="7"/>
      <c r="N128" s="7"/>
      <c r="O128" s="7"/>
      <c r="P128" s="7"/>
      <c r="Q128" s="7"/>
      <c r="R128" s="7"/>
    </row>
    <row r="129" s="2" customFormat="1" ht="24" customHeight="1" spans="1:18">
      <c r="A129" s="9"/>
      <c r="B129" s="4"/>
      <c r="I129" s="7"/>
      <c r="J129" s="7"/>
      <c r="M129" s="7"/>
      <c r="N129" s="7"/>
      <c r="O129" s="7"/>
      <c r="P129" s="7"/>
      <c r="Q129" s="7"/>
      <c r="R129" s="7"/>
    </row>
    <row r="130" s="2" customFormat="1" ht="24" customHeight="1" spans="1:18">
      <c r="A130" s="9"/>
      <c r="B130" s="4"/>
      <c r="I130" s="7"/>
      <c r="J130" s="7"/>
      <c r="M130" s="7"/>
      <c r="N130" s="7"/>
      <c r="O130" s="7"/>
      <c r="P130" s="7"/>
      <c r="Q130" s="7"/>
      <c r="R130" s="7"/>
    </row>
    <row r="131" s="2" customFormat="1" ht="24" customHeight="1" spans="1:18">
      <c r="A131" s="9"/>
      <c r="B131" s="4"/>
      <c r="I131" s="7"/>
      <c r="J131" s="7"/>
      <c r="M131" s="7"/>
      <c r="N131" s="7"/>
      <c r="O131" s="7"/>
      <c r="P131" s="7"/>
      <c r="Q131" s="7"/>
      <c r="R131" s="7"/>
    </row>
    <row r="132" s="2" customFormat="1" ht="24" customHeight="1" spans="1:18">
      <c r="A132" s="9"/>
      <c r="B132" s="4"/>
      <c r="I132" s="7"/>
      <c r="J132" s="7"/>
      <c r="M132" s="7"/>
      <c r="N132" s="7"/>
      <c r="O132" s="7"/>
      <c r="P132" s="7"/>
      <c r="Q132" s="7"/>
      <c r="R132" s="7"/>
    </row>
    <row r="133" s="2" customFormat="1" ht="24" customHeight="1" spans="1:18">
      <c r="A133" s="9"/>
      <c r="B133" s="4"/>
      <c r="I133" s="7"/>
      <c r="J133" s="7"/>
      <c r="M133" s="7"/>
      <c r="N133" s="7"/>
      <c r="O133" s="7"/>
      <c r="P133" s="7"/>
      <c r="Q133" s="7"/>
      <c r="R133" s="7"/>
    </row>
    <row r="134" s="2" customFormat="1" ht="24" customHeight="1" spans="1:18">
      <c r="A134" s="9"/>
      <c r="B134" s="4"/>
      <c r="I134" s="7"/>
      <c r="J134" s="7"/>
      <c r="M134" s="7"/>
      <c r="N134" s="7"/>
      <c r="O134" s="7"/>
      <c r="P134" s="7"/>
      <c r="Q134" s="7"/>
      <c r="R134" s="7"/>
    </row>
    <row r="135" s="2" customFormat="1" ht="24" customHeight="1" spans="1:18">
      <c r="A135" s="9"/>
      <c r="B135" s="4"/>
      <c r="I135" s="7"/>
      <c r="J135" s="7"/>
      <c r="M135" s="7"/>
      <c r="N135" s="7"/>
      <c r="O135" s="7"/>
      <c r="P135" s="7"/>
      <c r="Q135" s="7"/>
      <c r="R135" s="7"/>
    </row>
    <row r="136" s="2" customFormat="1" ht="24" customHeight="1" spans="1:18">
      <c r="A136" s="9"/>
      <c r="B136" s="4"/>
      <c r="I136" s="7"/>
      <c r="J136" s="7"/>
      <c r="M136" s="7"/>
      <c r="N136" s="7"/>
      <c r="O136" s="7"/>
      <c r="P136" s="7"/>
      <c r="Q136" s="7"/>
      <c r="R136" s="7"/>
    </row>
    <row r="137" s="2" customFormat="1" ht="24" customHeight="1" spans="1:18">
      <c r="A137" s="9"/>
      <c r="B137" s="4"/>
      <c r="I137" s="7"/>
      <c r="J137" s="7"/>
      <c r="M137" s="7"/>
      <c r="N137" s="7"/>
      <c r="O137" s="7"/>
      <c r="P137" s="7"/>
      <c r="Q137" s="7"/>
      <c r="R137" s="7"/>
    </row>
    <row r="138" s="2" customFormat="1" ht="24" customHeight="1" spans="1:18">
      <c r="A138" s="9"/>
      <c r="B138" s="4"/>
      <c r="I138" s="7"/>
      <c r="J138" s="7"/>
      <c r="M138" s="7"/>
      <c r="N138" s="7"/>
      <c r="O138" s="7"/>
      <c r="P138" s="7"/>
      <c r="Q138" s="7"/>
      <c r="R138" s="7"/>
    </row>
    <row r="139" s="2" customFormat="1" ht="24" customHeight="1" spans="1:18">
      <c r="A139" s="9"/>
      <c r="B139" s="4"/>
      <c r="I139" s="7"/>
      <c r="J139" s="7"/>
      <c r="M139" s="7"/>
      <c r="N139" s="7"/>
      <c r="O139" s="7"/>
      <c r="P139" s="7"/>
      <c r="Q139" s="7"/>
      <c r="R139" s="7"/>
    </row>
    <row r="140" s="2" customFormat="1" ht="24" customHeight="1" spans="1:18">
      <c r="A140" s="9"/>
      <c r="B140" s="4"/>
      <c r="I140" s="7"/>
      <c r="J140" s="7"/>
      <c r="M140" s="7"/>
      <c r="N140" s="7"/>
      <c r="O140" s="7"/>
      <c r="P140" s="7"/>
      <c r="Q140" s="7"/>
      <c r="R140" s="7"/>
    </row>
    <row r="141" s="2" customFormat="1" ht="24" customHeight="1" spans="1:18">
      <c r="A141" s="9"/>
      <c r="B141" s="4"/>
      <c r="I141" s="7"/>
      <c r="J141" s="7"/>
      <c r="M141" s="7"/>
      <c r="N141" s="7"/>
      <c r="O141" s="7"/>
      <c r="P141" s="7"/>
      <c r="Q141" s="7"/>
      <c r="R141" s="7"/>
    </row>
    <row r="1047558" s="3" customFormat="1" ht="13.5"/>
    <row r="1047559" s="3" customFormat="1" ht="13.5"/>
    <row r="1047560" s="3" customFormat="1" ht="13.5"/>
    <row r="1047561" s="3" customFormat="1" ht="13.5"/>
    <row r="1047562" s="3" customFormat="1" ht="13.5"/>
    <row r="1047563" s="3" customFormat="1" ht="13.5"/>
    <row r="1047564" s="3" customFormat="1" ht="13.5"/>
    <row r="1047565" s="3" customFormat="1" ht="13.5"/>
    <row r="1047566" s="3" customFormat="1" ht="13.5"/>
    <row r="1047567" s="3" customFormat="1" ht="13.5"/>
    <row r="1047568" s="3" customFormat="1" ht="13.5"/>
    <row r="1047569" s="3" customFormat="1" ht="13.5"/>
    <row r="1047570" s="3" customFormat="1" ht="13.5"/>
    <row r="1047571" s="3" customFormat="1" ht="13.5"/>
    <row r="1047572" s="3" customFormat="1" ht="13.5"/>
    <row r="1047573" s="3" customFormat="1" ht="13.5"/>
    <row r="1047574" s="3" customFormat="1" ht="13.5"/>
    <row r="1047575" s="3" customFormat="1" ht="13.5"/>
    <row r="1047576" s="3" customFormat="1" ht="13.5"/>
    <row r="1047577" s="3" customFormat="1" ht="13.5"/>
    <row r="1047578" s="3" customFormat="1" ht="13.5"/>
    <row r="1047579" s="3" customFormat="1" ht="13.5"/>
    <row r="1047580" s="3" customFormat="1" ht="13.5"/>
    <row r="1047581" s="3" customFormat="1" ht="13.5"/>
    <row r="1047582" s="3" customFormat="1" ht="13.5"/>
    <row r="1047583" s="3" customFormat="1" ht="13.5"/>
    <row r="1047584" s="3" customFormat="1" ht="13.5"/>
    <row r="1047585" s="3" customFormat="1" ht="13.5"/>
    <row r="1047586" s="3" customFormat="1" ht="13.5"/>
    <row r="1047587" s="3" customFormat="1" ht="13.5"/>
    <row r="1047588" s="3" customFormat="1" ht="13.5"/>
    <row r="1047589" s="3" customFormat="1" ht="13.5"/>
    <row r="1047590" s="3" customFormat="1" ht="13.5"/>
    <row r="1047591" s="3" customFormat="1" ht="13.5"/>
    <row r="1047592" s="3" customFormat="1" ht="13.5"/>
    <row r="1047593" s="3" customFormat="1" ht="13.5"/>
    <row r="1047594" s="3" customFormat="1" ht="13.5"/>
    <row r="1047595" s="3" customFormat="1" ht="13.5"/>
    <row r="1047596" s="3" customFormat="1" ht="13.5"/>
    <row r="1047597" s="3" customFormat="1" ht="13.5"/>
    <row r="1047598" s="3" customFormat="1" ht="13.5"/>
    <row r="1047599" s="3" customFormat="1" ht="13.5"/>
    <row r="1047600" s="3" customFormat="1" ht="13.5"/>
    <row r="1047601" s="3" customFormat="1" ht="13.5"/>
    <row r="1047602" s="3" customFormat="1" ht="13.5"/>
    <row r="1047603" s="3" customFormat="1" ht="13.5"/>
    <row r="1047604" s="3" customFormat="1" ht="13.5"/>
    <row r="1047605" s="3" customFormat="1" ht="13.5"/>
    <row r="1047606" s="3" customFormat="1" ht="13.5"/>
    <row r="1047607" s="3" customFormat="1" ht="13.5"/>
    <row r="1047608" s="3" customFormat="1" ht="13.5"/>
    <row r="1047609" s="3" customFormat="1" ht="13.5"/>
    <row r="1047610" s="3" customFormat="1" ht="13.5"/>
    <row r="1047611" s="3" customFormat="1" ht="13.5"/>
    <row r="1047612" s="3" customFormat="1" ht="13.5"/>
    <row r="1047613" s="3" customFormat="1" ht="13.5"/>
    <row r="1047614" s="3" customFormat="1" ht="13.5"/>
    <row r="1047615" s="3" customFormat="1" ht="13.5"/>
    <row r="1047616" s="3" customFormat="1" ht="13.5"/>
    <row r="1047617" s="3" customFormat="1" ht="13.5"/>
    <row r="1047618" s="3" customFormat="1" ht="13.5"/>
    <row r="1047619" s="3" customFormat="1" ht="13.5"/>
    <row r="1047620" s="3" customFormat="1" ht="13.5"/>
    <row r="1047621" s="3" customFormat="1" ht="13.5"/>
    <row r="1047622" s="3" customFormat="1" ht="13.5"/>
    <row r="1047623" s="3" customFormat="1" ht="13.5"/>
    <row r="1047624" s="3" customFormat="1" ht="13.5"/>
    <row r="1047625" s="3" customFormat="1" ht="13.5"/>
    <row r="1047626" s="3" customFormat="1" ht="13.5"/>
    <row r="1047627" s="3" customFormat="1" ht="13.5"/>
    <row r="1047628" s="3" customFormat="1" ht="13.5"/>
    <row r="1047629" s="3" customFormat="1" ht="13.5"/>
    <row r="1047630" s="3" customFormat="1" ht="13.5"/>
    <row r="1047631" s="3" customFormat="1" ht="13.5"/>
    <row r="1047632" s="3" customFormat="1" ht="13.5"/>
    <row r="1047633" s="3" customFormat="1" ht="13.5"/>
    <row r="1047634" s="3" customFormat="1" ht="13.5"/>
    <row r="1047635" s="3" customFormat="1" ht="13.5"/>
    <row r="1047636" s="3" customFormat="1" ht="13.5"/>
    <row r="1047637" s="3" customFormat="1" ht="13.5"/>
    <row r="1047638" s="3" customFormat="1" ht="13.5"/>
    <row r="1047639" s="3" customFormat="1" ht="13.5"/>
    <row r="1047640" s="3" customFormat="1" ht="13.5"/>
    <row r="1047641" s="3" customFormat="1" ht="13.5"/>
    <row r="1047642" s="3" customFormat="1" ht="13.5"/>
    <row r="1047643" s="3" customFormat="1" ht="13.5"/>
    <row r="1047644" s="3" customFormat="1" ht="13.5"/>
    <row r="1047645" s="3" customFormat="1" ht="13.5"/>
    <row r="1047646" s="3" customFormat="1" ht="13.5"/>
    <row r="1047647" s="3" customFormat="1" ht="13.5"/>
    <row r="1047648" s="3" customFormat="1" ht="13.5"/>
    <row r="1047649" s="3" customFormat="1" ht="13.5"/>
    <row r="1047650" s="3" customFormat="1" ht="13.5"/>
    <row r="1047651" s="3" customFormat="1" ht="13.5"/>
    <row r="1047652" s="3" customFormat="1" ht="13.5"/>
    <row r="1047653" s="3" customFormat="1" ht="13.5"/>
    <row r="1047654" s="3" customFormat="1" ht="13.5"/>
    <row r="1047655" s="3" customFormat="1" ht="13.5"/>
    <row r="1047656" s="3" customFormat="1" ht="13.5"/>
    <row r="1047657" s="3" customFormat="1" ht="13.5"/>
    <row r="1047658" s="3" customFormat="1" ht="13.5"/>
    <row r="1047659" s="3" customFormat="1" ht="13.5"/>
    <row r="1047660" s="3" customFormat="1" ht="13.5"/>
    <row r="1047661" s="3" customFormat="1" ht="13.5"/>
    <row r="1047662" s="3" customFormat="1" ht="13.5"/>
    <row r="1047663" s="3" customFormat="1" ht="13.5"/>
    <row r="1047664" s="3" customFormat="1" ht="13.5"/>
    <row r="1047665" s="3" customFormat="1" ht="13.5"/>
    <row r="1047666" s="3" customFormat="1" ht="13.5"/>
    <row r="1047667" s="3" customFormat="1" ht="13.5"/>
    <row r="1047668" s="3" customFormat="1" ht="13.5"/>
    <row r="1047669" s="3" customFormat="1" ht="13.5"/>
    <row r="1047670" s="3" customFormat="1" ht="13.5"/>
    <row r="1047671" s="3" customFormat="1" ht="13.5"/>
    <row r="1047672" s="3" customFormat="1" ht="13.5"/>
    <row r="1047673" s="3" customFormat="1" ht="13.5"/>
    <row r="1047674" s="3" customFormat="1" ht="13.5"/>
    <row r="1047675" s="3" customFormat="1" ht="13.5"/>
    <row r="1047676" s="3" customFormat="1" ht="13.5"/>
    <row r="1047677" s="3" customFormat="1" ht="13.5"/>
    <row r="1047678" s="3" customFormat="1" ht="13.5"/>
    <row r="1047679" s="3" customFormat="1" ht="13.5"/>
    <row r="1047680" s="3" customFormat="1" ht="13.5"/>
    <row r="1047681" s="3" customFormat="1" ht="13.5"/>
    <row r="1047682" s="3" customFormat="1" ht="13.5"/>
    <row r="1047683" s="3" customFormat="1" ht="13.5"/>
    <row r="1047684" s="3" customFormat="1" ht="13.5"/>
    <row r="1047685" s="3" customFormat="1" ht="13.5"/>
    <row r="1047686" s="3" customFormat="1" ht="13.5"/>
    <row r="1047687" s="3" customFormat="1" ht="13.5"/>
    <row r="1047688" s="3" customFormat="1" ht="13.5"/>
    <row r="1047689" s="3" customFormat="1" ht="13.5"/>
    <row r="1047690" s="3" customFormat="1" ht="13.5"/>
    <row r="1047691" s="3" customFormat="1" ht="13.5"/>
    <row r="1047692" s="3" customFormat="1" ht="13.5"/>
    <row r="1047693" s="3" customFormat="1" ht="13.5"/>
    <row r="1047694" s="3" customFormat="1" ht="13.5"/>
    <row r="1047695" s="3" customFormat="1" ht="13.5"/>
    <row r="1047696" s="3" customFormat="1" ht="13.5"/>
    <row r="1047697" s="3" customFormat="1" ht="13.5"/>
    <row r="1047698" s="3" customFormat="1" ht="13.5"/>
    <row r="1047699" s="3" customFormat="1" ht="13.5"/>
    <row r="1047700" s="3" customFormat="1" ht="13.5"/>
    <row r="1047701" s="3" customFormat="1" ht="13.5"/>
    <row r="1047702" s="3" customFormat="1" ht="13.5"/>
    <row r="1047703" s="3" customFormat="1" ht="13.5"/>
    <row r="1047704" s="3" customFormat="1" ht="13.5"/>
    <row r="1047705" s="3" customFormat="1" ht="13.5"/>
    <row r="1047706" s="3" customFormat="1" ht="13.5"/>
    <row r="1047707" s="3" customFormat="1" ht="13.5"/>
    <row r="1047708" s="3" customFormat="1" ht="13.5"/>
    <row r="1047709" s="3" customFormat="1" ht="13.5"/>
    <row r="1047710" s="3" customFormat="1" ht="13.5"/>
    <row r="1047711" s="3" customFormat="1" ht="13.5"/>
    <row r="1047712" s="3" customFormat="1" ht="13.5"/>
    <row r="1047713" s="3" customFormat="1" ht="13.5"/>
    <row r="1047714" s="3" customFormat="1" ht="13.5"/>
    <row r="1047715" s="3" customFormat="1" ht="13.5"/>
    <row r="1047716" s="3" customFormat="1" ht="13.5"/>
    <row r="1047717" s="3" customFormat="1" ht="13.5"/>
    <row r="1047718" s="3" customFormat="1" ht="13.5"/>
    <row r="1047719" s="3" customFormat="1" ht="13.5"/>
    <row r="1047720" s="3" customFormat="1" ht="13.5"/>
    <row r="1047721" s="3" customFormat="1" ht="13.5"/>
    <row r="1047722" s="3" customFormat="1" ht="13.5"/>
    <row r="1047723" s="3" customFormat="1" ht="13.5"/>
    <row r="1047724" s="3" customFormat="1" ht="13.5"/>
    <row r="1047725" s="3" customFormat="1" ht="13.5"/>
    <row r="1047726" s="3" customFormat="1" ht="13.5"/>
    <row r="1047727" s="3" customFormat="1" ht="13.5"/>
    <row r="1047728" s="3" customFormat="1" ht="13.5"/>
    <row r="1047729" s="3" customFormat="1" ht="13.5"/>
    <row r="1047730" s="3" customFormat="1" ht="13.5"/>
    <row r="1047731" s="3" customFormat="1" ht="13.5"/>
    <row r="1047732" s="3" customFormat="1" ht="13.5"/>
    <row r="1047733" s="3" customFormat="1" ht="13.5"/>
    <row r="1047734" s="3" customFormat="1" ht="13.5"/>
    <row r="1047735" s="3" customFormat="1" ht="13.5"/>
    <row r="1047736" s="3" customFormat="1" ht="13.5"/>
    <row r="1047737" s="3" customFormat="1" ht="13.5"/>
    <row r="1047738" s="3" customFormat="1" ht="13.5"/>
    <row r="1047739" s="3" customFormat="1" ht="13.5"/>
    <row r="1047740" s="3" customFormat="1" ht="13.5"/>
    <row r="1047741" s="3" customFormat="1" ht="13.5"/>
    <row r="1047742" s="3" customFormat="1" ht="13.5"/>
    <row r="1047743" s="3" customFormat="1" ht="13.5"/>
    <row r="1047744" s="3" customFormat="1" ht="13.5"/>
    <row r="1047745" s="3" customFormat="1" ht="13.5"/>
    <row r="1047746" s="3" customFormat="1" ht="13.5"/>
    <row r="1047747" s="3" customFormat="1" ht="13.5"/>
    <row r="1047748" s="3" customFormat="1" ht="13.5"/>
    <row r="1047749" s="3" customFormat="1" ht="13.5"/>
    <row r="1047750" s="3" customFormat="1" ht="13.5"/>
    <row r="1047751" s="3" customFormat="1" ht="13.5"/>
    <row r="1047752" s="3" customFormat="1" ht="13.5"/>
    <row r="1047753" s="3" customFormat="1" ht="13.5"/>
    <row r="1047754" s="3" customFormat="1" ht="13.5"/>
    <row r="1047755" s="3" customFormat="1" ht="13.5"/>
    <row r="1047756" s="3" customFormat="1" ht="13.5"/>
    <row r="1047757" s="3" customFormat="1" ht="13.5"/>
    <row r="1047758" s="3" customFormat="1" ht="13.5"/>
    <row r="1047759" s="3" customFormat="1" ht="13.5"/>
    <row r="1047760" s="3" customFormat="1" ht="13.5"/>
    <row r="1047761" s="3" customFormat="1" ht="13.5"/>
    <row r="1047762" s="3" customFormat="1" ht="13.5"/>
    <row r="1047763" s="3" customFormat="1" ht="13.5"/>
    <row r="1047764" s="3" customFormat="1" ht="13.5"/>
    <row r="1047765" s="3" customFormat="1" ht="13.5"/>
    <row r="1047766" s="3" customFormat="1" ht="13.5"/>
    <row r="1047767" s="3" customFormat="1" ht="13.5"/>
    <row r="1047768" s="3" customFormat="1" ht="13.5"/>
    <row r="1047769" s="3" customFormat="1" ht="13.5"/>
    <row r="1047770" s="3" customFormat="1" ht="13.5"/>
    <row r="1047771" s="3" customFormat="1" ht="13.5"/>
    <row r="1047772" s="3" customFormat="1" ht="13.5"/>
    <row r="1047773" s="3" customFormat="1" ht="13.5"/>
    <row r="1047774" s="3" customFormat="1" ht="13.5"/>
    <row r="1047775" s="3" customFormat="1" ht="13.5"/>
    <row r="1047776" s="3" customFormat="1" ht="13.5"/>
    <row r="1047777" s="3" customFormat="1" ht="13.5"/>
    <row r="1047778" s="3" customFormat="1" ht="13.5"/>
    <row r="1047779" s="3" customFormat="1" ht="13.5"/>
    <row r="1047780" s="3" customFormat="1" ht="13.5"/>
    <row r="1047781" s="3" customFormat="1" ht="13.5"/>
    <row r="1047782" s="3" customFormat="1" ht="13.5"/>
    <row r="1047783" s="3" customFormat="1" ht="13.5"/>
    <row r="1047784" s="3" customFormat="1" ht="13.5"/>
    <row r="1047785" s="3" customFormat="1" ht="13.5"/>
    <row r="1047786" s="3" customFormat="1" ht="13.5"/>
    <row r="1047787" s="3" customFormat="1" ht="13.5"/>
    <row r="1047788" s="3" customFormat="1" ht="13.5"/>
    <row r="1047789" s="3" customFormat="1" ht="13.5"/>
    <row r="1047790" s="3" customFormat="1" ht="13.5"/>
    <row r="1047791" s="3" customFormat="1" ht="13.5"/>
    <row r="1047792" s="3" customFormat="1" ht="13.5"/>
    <row r="1047793" s="3" customFormat="1" ht="13.5"/>
    <row r="1047794" s="3" customFormat="1" ht="13.5"/>
    <row r="1047795" s="3" customFormat="1" ht="13.5"/>
    <row r="1047796" s="3" customFormat="1" ht="13.5"/>
    <row r="1047797" s="3" customFormat="1" ht="13.5"/>
    <row r="1047798" s="3" customFormat="1" ht="13.5"/>
    <row r="1047799" s="3" customFormat="1" ht="13.5"/>
    <row r="1047800" s="3" customFormat="1" ht="13.5"/>
    <row r="1047801" s="3" customFormat="1" ht="13.5"/>
    <row r="1047802" s="3" customFormat="1" ht="13.5"/>
    <row r="1047803" s="3" customFormat="1" ht="13.5"/>
    <row r="1047804" s="3" customFormat="1" ht="13.5"/>
    <row r="1047805" s="3" customFormat="1" ht="13.5"/>
    <row r="1047806" s="3" customFormat="1" ht="13.5"/>
    <row r="1047807" s="3" customFormat="1" ht="13.5"/>
    <row r="1047808" s="3" customFormat="1" ht="13.5"/>
    <row r="1047809" s="3" customFormat="1" ht="13.5"/>
    <row r="1047810" s="3" customFormat="1" ht="13.5"/>
    <row r="1047811" s="3" customFormat="1" ht="13.5"/>
    <row r="1047812" s="3" customFormat="1" ht="13.5"/>
    <row r="1047813" s="3" customFormat="1" ht="13.5"/>
    <row r="1047814" s="3" customFormat="1" ht="13.5"/>
    <row r="1047815" s="3" customFormat="1" ht="13.5"/>
    <row r="1047816" s="3" customFormat="1" ht="13.5"/>
    <row r="1047817" s="3" customFormat="1" ht="13.5"/>
    <row r="1047818" s="3" customFormat="1" ht="13.5"/>
    <row r="1047819" s="3" customFormat="1" ht="13.5"/>
    <row r="1047820" s="3" customFormat="1" ht="13.5"/>
    <row r="1047821" s="3" customFormat="1" ht="13.5"/>
    <row r="1047822" s="3" customFormat="1" ht="13.5"/>
    <row r="1047823" s="3" customFormat="1" ht="13.5"/>
    <row r="1047824" s="3" customFormat="1" ht="13.5"/>
    <row r="1047825" s="3" customFormat="1" ht="13.5"/>
    <row r="1047826" s="3" customFormat="1" ht="13.5"/>
    <row r="1047827" s="3" customFormat="1" ht="13.5"/>
    <row r="1047828" s="3" customFormat="1" ht="13.5"/>
    <row r="1047829" s="3" customFormat="1" ht="13.5"/>
    <row r="1047830" s="3" customFormat="1" ht="13.5"/>
    <row r="1047831" s="3" customFormat="1" ht="13.5"/>
    <row r="1047832" s="3" customFormat="1" ht="13.5"/>
    <row r="1047833" s="3" customFormat="1" ht="13.5"/>
    <row r="1047834" s="3" customFormat="1" ht="13.5"/>
    <row r="1047835" s="3" customFormat="1" ht="13.5"/>
    <row r="1047836" s="3" customFormat="1" ht="13.5"/>
    <row r="1047837" s="3" customFormat="1" ht="13.5"/>
    <row r="1047838" s="3" customFormat="1" ht="13.5"/>
    <row r="1047839" s="3" customFormat="1" ht="13.5"/>
    <row r="1047840" s="3" customFormat="1" ht="13.5"/>
    <row r="1047841" s="3" customFormat="1" ht="13.5"/>
    <row r="1047842" s="3" customFormat="1" ht="13.5"/>
    <row r="1047843" s="3" customFormat="1" ht="13.5"/>
    <row r="1047844" s="3" customFormat="1" ht="13.5"/>
    <row r="1047845" s="3" customFormat="1" ht="13.5"/>
    <row r="1047846" s="3" customFormat="1" ht="13.5"/>
    <row r="1047847" s="3" customFormat="1" ht="13.5"/>
    <row r="1047848" s="3" customFormat="1" ht="13.5"/>
    <row r="1047849" s="3" customFormat="1" ht="13.5"/>
    <row r="1047850" s="3" customFormat="1" ht="13.5"/>
    <row r="1047851" s="3" customFormat="1" ht="13.5"/>
    <row r="1047852" s="3" customFormat="1" ht="13.5"/>
    <row r="1047853" s="3" customFormat="1" ht="13.5"/>
    <row r="1047854" s="3" customFormat="1" ht="13.5"/>
    <row r="1047855" s="3" customFormat="1" ht="13.5"/>
    <row r="1047856" s="3" customFormat="1" ht="13.5"/>
    <row r="1047857" s="3" customFormat="1" ht="13.5"/>
    <row r="1047858" s="3" customFormat="1" ht="13.5"/>
    <row r="1047859" s="3" customFormat="1" ht="13.5"/>
    <row r="1047860" s="3" customFormat="1" ht="13.5"/>
    <row r="1047861" s="3" customFormat="1" ht="13.5"/>
    <row r="1047862" s="3" customFormat="1" ht="13.5"/>
    <row r="1047863" s="3" customFormat="1" ht="13.5"/>
    <row r="1047864" s="3" customFormat="1" ht="13.5"/>
    <row r="1047865" s="3" customFormat="1" ht="13.5"/>
    <row r="1047866" s="3" customFormat="1" ht="13.5"/>
    <row r="1047867" s="3" customFormat="1" ht="13.5"/>
    <row r="1047868" s="3" customFormat="1" ht="13.5"/>
    <row r="1047869" s="3" customFormat="1" ht="13.5"/>
    <row r="1047870" s="3" customFormat="1" ht="13.5"/>
    <row r="1047871" s="3" customFormat="1" ht="13.5"/>
    <row r="1047872" s="3" customFormat="1" ht="13.5"/>
    <row r="1047873" s="3" customFormat="1" ht="13.5"/>
    <row r="1047874" s="3" customFormat="1" ht="13.5"/>
    <row r="1047875" s="3" customFormat="1" ht="13.5"/>
    <row r="1047876" s="3" customFormat="1" ht="13.5"/>
    <row r="1047877" s="3" customFormat="1" ht="13.5"/>
    <row r="1047878" s="3" customFormat="1" ht="13.5"/>
    <row r="1047879" s="3" customFormat="1" ht="13.5"/>
    <row r="1047880" s="3" customFormat="1" ht="13.5"/>
    <row r="1047881" s="3" customFormat="1" ht="13.5"/>
    <row r="1047882" s="3" customFormat="1" ht="13.5"/>
    <row r="1047883" s="3" customFormat="1" ht="13.5"/>
    <row r="1047884" s="3" customFormat="1" ht="13.5"/>
    <row r="1047885" s="3" customFormat="1" ht="13.5"/>
    <row r="1047886" s="3" customFormat="1" ht="13.5"/>
    <row r="1047887" s="3" customFormat="1" ht="13.5"/>
    <row r="1047888" s="3" customFormat="1" ht="13.5"/>
    <row r="1047889" s="3" customFormat="1" ht="13.5"/>
    <row r="1047890" s="3" customFormat="1" ht="13.5"/>
    <row r="1047891" s="3" customFormat="1" ht="13.5"/>
    <row r="1047892" s="3" customFormat="1" ht="13.5"/>
    <row r="1047893" s="3" customFormat="1" ht="13.5"/>
    <row r="1047894" s="3" customFormat="1" ht="13.5"/>
    <row r="1047895" s="3" customFormat="1" ht="13.5"/>
    <row r="1047896" s="3" customFormat="1" ht="13.5"/>
    <row r="1047897" s="3" customFormat="1" ht="13.5"/>
    <row r="1047898" s="3" customFormat="1" ht="13.5"/>
    <row r="1047899" s="3" customFormat="1" ht="13.5"/>
    <row r="1047900" s="3" customFormat="1" ht="13.5"/>
    <row r="1047901" s="3" customFormat="1" ht="13.5"/>
    <row r="1047902" s="3" customFormat="1" ht="13.5"/>
    <row r="1047903" s="3" customFormat="1" ht="13.5"/>
    <row r="1047904" s="3" customFormat="1" ht="13.5"/>
    <row r="1047905" s="3" customFormat="1" ht="13.5"/>
    <row r="1047906" s="3" customFormat="1" ht="13.5"/>
    <row r="1047907" s="3" customFormat="1" ht="13.5"/>
    <row r="1047908" s="3" customFormat="1" ht="13.5"/>
    <row r="1047909" s="3" customFormat="1" ht="13.5"/>
    <row r="1047910" s="3" customFormat="1" ht="13.5"/>
    <row r="1047911" s="3" customFormat="1" ht="13.5"/>
    <row r="1047912" s="3" customFormat="1" ht="13.5"/>
    <row r="1047913" s="3" customFormat="1" ht="13.5"/>
    <row r="1047914" s="3" customFormat="1" ht="13.5"/>
    <row r="1047915" s="3" customFormat="1" ht="13.5"/>
    <row r="1047916" s="3" customFormat="1" ht="13.5"/>
    <row r="1047917" s="3" customFormat="1" ht="13.5"/>
    <row r="1047918" s="3" customFormat="1" ht="13.5"/>
    <row r="1047919" s="3" customFormat="1" ht="13.5"/>
    <row r="1047920" s="3" customFormat="1" ht="13.5"/>
    <row r="1047921" s="3" customFormat="1" ht="13.5"/>
    <row r="1047922" s="3" customFormat="1" ht="13.5"/>
    <row r="1047923" s="3" customFormat="1" ht="13.5"/>
    <row r="1047924" s="3" customFormat="1" ht="13.5"/>
    <row r="1047925" s="3" customFormat="1" ht="13.5"/>
    <row r="1047926" s="3" customFormat="1" ht="13.5"/>
    <row r="1047927" s="3" customFormat="1" ht="13.5"/>
    <row r="1047928" s="3" customFormat="1" ht="13.5"/>
    <row r="1047929" s="3" customFormat="1" ht="13.5"/>
    <row r="1047930" s="3" customFormat="1" ht="13.5"/>
    <row r="1047931" s="3" customFormat="1" ht="13.5"/>
    <row r="1047932" s="3" customFormat="1" ht="13.5"/>
    <row r="1047933" s="3" customFormat="1" ht="13.5"/>
    <row r="1047934" s="3" customFormat="1" ht="13.5"/>
    <row r="1047935" s="3" customFormat="1" ht="13.5"/>
    <row r="1047936" s="3" customFormat="1" ht="13.5"/>
    <row r="1047937" s="3" customFormat="1" ht="13.5"/>
    <row r="1047938" s="3" customFormat="1" ht="13.5"/>
    <row r="1047939" s="3" customFormat="1" ht="13.5"/>
    <row r="1047940" s="3" customFormat="1" ht="13.5"/>
    <row r="1047941" s="3" customFormat="1" ht="13.5"/>
    <row r="1047942" s="3" customFormat="1" ht="13.5"/>
    <row r="1047943" s="3" customFormat="1" ht="13.5"/>
    <row r="1047944" s="3" customFormat="1" ht="13.5"/>
    <row r="1047945" s="3" customFormat="1" ht="13.5"/>
    <row r="1047946" s="3" customFormat="1" ht="13.5"/>
    <row r="1047947" s="3" customFormat="1" ht="13.5"/>
    <row r="1047948" s="3" customFormat="1" ht="13.5"/>
    <row r="1047949" s="3" customFormat="1" ht="13.5"/>
    <row r="1047950" s="3" customFormat="1" ht="13.5"/>
    <row r="1047951" s="3" customFormat="1" ht="13.5"/>
    <row r="1047952" s="3" customFormat="1" ht="13.5"/>
    <row r="1047953" s="3" customFormat="1" ht="13.5"/>
    <row r="1047954" s="3" customFormat="1" ht="13.5"/>
    <row r="1047955" s="3" customFormat="1" ht="13.5"/>
    <row r="1047956" s="3" customFormat="1" ht="13.5"/>
    <row r="1047957" s="3" customFormat="1" ht="13.5"/>
    <row r="1047958" s="3" customFormat="1" ht="13.5"/>
    <row r="1047959" s="3" customFormat="1" ht="13.5"/>
    <row r="1047960" s="3" customFormat="1" ht="13.5"/>
    <row r="1047961" s="3" customFormat="1" ht="13.5"/>
    <row r="1047962" s="3" customFormat="1" ht="13.5"/>
    <row r="1047963" s="3" customFormat="1" ht="13.5"/>
    <row r="1047964" s="3" customFormat="1" ht="13.5"/>
    <row r="1047965" s="3" customFormat="1" ht="13.5"/>
    <row r="1047966" s="3" customFormat="1" ht="13.5"/>
    <row r="1047967" s="3" customFormat="1" ht="13.5"/>
    <row r="1047968" s="3" customFormat="1" ht="13.5"/>
    <row r="1047969" s="3" customFormat="1" ht="13.5"/>
    <row r="1047970" s="3" customFormat="1" ht="13.5"/>
    <row r="1047971" s="3" customFormat="1" ht="13.5"/>
    <row r="1047972" s="3" customFormat="1" ht="13.5"/>
    <row r="1047973" s="3" customFormat="1" ht="13.5"/>
    <row r="1047974" s="3" customFormat="1" ht="13.5"/>
    <row r="1047975" s="3" customFormat="1" ht="13.5"/>
    <row r="1047976" s="3" customFormat="1" ht="13.5"/>
    <row r="1047977" s="3" customFormat="1" ht="13.5"/>
    <row r="1047978" s="3" customFormat="1" ht="13.5"/>
    <row r="1047979" s="3" customFormat="1" ht="13.5"/>
    <row r="1047980" s="3" customFormat="1" ht="13.5"/>
    <row r="1047981" s="3" customFormat="1" ht="13.5"/>
    <row r="1047982" s="3" customFormat="1" ht="13.5"/>
    <row r="1047983" s="3" customFormat="1" ht="13.5"/>
    <row r="1047984" s="3" customFormat="1" ht="13.5"/>
    <row r="1047985" s="3" customFormat="1" ht="13.5"/>
    <row r="1047986" s="3" customFormat="1" ht="13.5"/>
    <row r="1047987" s="3" customFormat="1" ht="13.5"/>
    <row r="1047988" s="3" customFormat="1" ht="13.5"/>
    <row r="1047989" s="3" customFormat="1" ht="13.5"/>
    <row r="1047990" s="3" customFormat="1" ht="13.5"/>
    <row r="1047991" s="3" customFormat="1" ht="13.5"/>
    <row r="1047992" s="3" customFormat="1" ht="13.5"/>
    <row r="1047993" s="3" customFormat="1" ht="13.5"/>
    <row r="1047994" s="3" customFormat="1" ht="13.5"/>
    <row r="1047995" s="3" customFormat="1" ht="13.5"/>
    <row r="1047996" s="3" customFormat="1" ht="13.5"/>
    <row r="1047997" s="3" customFormat="1" ht="13.5"/>
    <row r="1047998" s="3" customFormat="1" ht="13.5"/>
    <row r="1047999" s="3" customFormat="1" ht="13.5"/>
    <row r="1048000" s="3" customFormat="1" ht="13.5"/>
    <row r="1048001" s="3" customFormat="1" ht="13.5"/>
    <row r="1048002" s="3" customFormat="1" ht="13.5"/>
    <row r="1048003" s="3" customFormat="1" ht="13.5"/>
    <row r="1048004" s="3" customFormat="1" ht="13.5"/>
    <row r="1048005" s="3" customFormat="1" ht="13.5"/>
    <row r="1048006" s="3" customFormat="1" ht="13.5"/>
    <row r="1048007" s="3" customFormat="1" ht="13.5"/>
    <row r="1048008" s="3" customFormat="1" ht="13.5"/>
    <row r="1048009" s="3" customFormat="1" ht="13.5"/>
    <row r="1048010" s="3" customFormat="1" ht="13.5"/>
    <row r="1048011" s="3" customFormat="1" ht="13.5"/>
    <row r="1048012" s="3" customFormat="1" ht="13.5"/>
    <row r="1048013" s="3" customFormat="1" ht="13.5"/>
    <row r="1048014" s="3" customFormat="1" ht="13.5"/>
    <row r="1048015" s="3" customFormat="1" ht="13.5"/>
    <row r="1048016" s="3" customFormat="1" ht="13.5"/>
    <row r="1048017" s="3" customFormat="1" ht="13.5"/>
    <row r="1048018" s="3" customFormat="1" ht="13.5"/>
    <row r="1048019" s="3" customFormat="1" ht="13.5"/>
    <row r="1048020" s="3" customFormat="1" ht="13.5"/>
    <row r="1048021" s="3" customFormat="1" ht="13.5"/>
    <row r="1048022" s="3" customFormat="1" ht="13.5"/>
    <row r="1048023" s="3" customFormat="1" ht="13.5"/>
    <row r="1048024" s="3" customFormat="1" ht="13.5"/>
    <row r="1048025" s="3" customFormat="1" ht="13.5"/>
    <row r="1048026" s="3" customFormat="1" ht="13.5"/>
    <row r="1048027" s="3" customFormat="1" ht="13.5"/>
    <row r="1048028" s="3" customFormat="1" ht="13.5"/>
    <row r="1048029" s="3" customFormat="1" ht="13.5"/>
    <row r="1048030" s="3" customFormat="1" ht="13.5"/>
    <row r="1048031" s="3" customFormat="1" ht="13.5"/>
    <row r="1048032" s="3" customFormat="1" ht="13.5"/>
    <row r="1048033" s="3" customFormat="1" ht="13.5"/>
    <row r="1048034" s="3" customFormat="1" ht="13.5"/>
    <row r="1048035" s="3" customFormat="1" ht="13.5"/>
    <row r="1048036" s="3" customFormat="1" ht="13.5"/>
    <row r="1048037" s="3" customFormat="1" ht="13.5"/>
    <row r="1048038" s="3" customFormat="1" ht="13.5"/>
    <row r="1048039" s="3" customFormat="1" ht="13.5"/>
    <row r="1048040" s="3" customFormat="1" ht="13.5"/>
    <row r="1048041" s="3" customFormat="1" ht="13.5"/>
    <row r="1048042" s="3" customFormat="1" ht="13.5"/>
    <row r="1048043" s="3" customFormat="1" ht="13.5"/>
    <row r="1048044" s="3" customFormat="1" ht="13.5"/>
    <row r="1048045" s="3" customFormat="1" ht="13.5"/>
    <row r="1048046" s="3" customFormat="1" ht="13.5"/>
    <row r="1048047" s="3" customFormat="1" ht="13.5"/>
    <row r="1048048" s="3" customFormat="1" ht="13.5"/>
    <row r="1048049" s="3" customFormat="1" ht="13.5"/>
    <row r="1048050" s="3" customFormat="1" ht="13.5"/>
    <row r="1048051" s="3" customFormat="1" ht="13.5"/>
    <row r="1048052" s="3" customFormat="1" ht="13.5"/>
    <row r="1048053" s="3" customFormat="1" ht="13.5"/>
    <row r="1048054" s="3" customFormat="1" ht="13.5"/>
    <row r="1048055" s="3" customFormat="1" ht="13.5"/>
    <row r="1048056" s="3" customFormat="1" ht="13.5"/>
    <row r="1048057" s="3" customFormat="1" ht="13.5"/>
    <row r="1048058" s="3" customFormat="1" ht="13.5"/>
    <row r="1048059" s="3" customFormat="1" ht="13.5"/>
    <row r="1048060" s="3" customFormat="1" ht="13.5"/>
    <row r="1048061" s="3" customFormat="1" ht="13.5"/>
    <row r="1048062" s="3" customFormat="1" ht="13.5"/>
    <row r="1048063" s="3" customFormat="1" ht="13.5"/>
    <row r="1048064" s="3" customFormat="1" ht="13.5"/>
    <row r="1048065" s="3" customFormat="1" ht="13.5"/>
    <row r="1048066" s="3" customFormat="1" ht="13.5"/>
    <row r="1048067" s="3" customFormat="1" ht="13.5"/>
    <row r="1048068" s="3" customFormat="1" ht="13.5"/>
    <row r="1048069" s="3" customFormat="1" ht="13.5"/>
    <row r="1048070" s="3" customFormat="1" ht="13.5"/>
    <row r="1048071" s="3" customFormat="1" ht="13.5"/>
    <row r="1048072" s="3" customFormat="1" ht="13.5"/>
    <row r="1048073" s="3" customFormat="1" ht="13.5"/>
    <row r="1048074" s="3" customFormat="1" ht="13.5"/>
    <row r="1048075" s="3" customFormat="1" ht="13.5"/>
    <row r="1048076" s="3" customFormat="1" ht="13.5"/>
    <row r="1048077" s="3" customFormat="1" ht="13.5"/>
    <row r="1048078" s="3" customFormat="1" ht="13.5"/>
    <row r="1048079" s="3" customFormat="1" ht="13.5"/>
    <row r="1048080" s="3" customFormat="1" ht="13.5"/>
    <row r="1048081" s="3" customFormat="1" ht="13.5"/>
    <row r="1048082" s="3" customFormat="1" ht="13.5"/>
    <row r="1048083" s="3" customFormat="1" ht="13.5"/>
    <row r="1048084" s="3" customFormat="1" ht="13.5"/>
    <row r="1048085" s="3" customFormat="1" ht="13.5"/>
    <row r="1048086" s="3" customFormat="1" ht="13.5"/>
    <row r="1048087" s="3" customFormat="1" ht="13.5"/>
    <row r="1048088" s="3" customFormat="1" ht="13.5"/>
    <row r="1048089" s="3" customFormat="1" ht="13.5"/>
    <row r="1048090" s="3" customFormat="1" ht="13.5"/>
    <row r="1048091" s="3" customFormat="1" ht="13.5"/>
    <row r="1048092" s="3" customFormat="1" ht="13.5"/>
    <row r="1048093" s="3" customFormat="1" ht="13.5"/>
    <row r="1048094" s="3" customFormat="1" ht="13.5"/>
    <row r="1048095" s="3" customFormat="1" ht="13.5"/>
    <row r="1048096" s="3" customFormat="1" ht="13.5"/>
    <row r="1048097" s="3" customFormat="1" ht="13.5"/>
    <row r="1048098" s="3" customFormat="1" ht="13.5"/>
    <row r="1048099" s="3" customFormat="1" ht="13.5"/>
    <row r="1048100" s="3" customFormat="1" ht="13.5"/>
    <row r="1048101" s="3" customFormat="1" ht="13.5"/>
    <row r="1048102" s="3" customFormat="1" ht="13.5"/>
    <row r="1048103" s="3" customFormat="1" ht="13.5"/>
    <row r="1048104" s="3" customFormat="1" ht="13.5"/>
    <row r="1048105" s="3" customFormat="1" ht="13.5"/>
    <row r="1048106" s="3" customFormat="1" ht="13.5"/>
    <row r="1048107" s="3" customFormat="1" ht="13.5"/>
    <row r="1048108" s="3" customFormat="1" ht="13.5"/>
    <row r="1048109" s="3" customFormat="1" ht="13.5"/>
    <row r="1048110" s="3" customFormat="1" ht="13.5"/>
    <row r="1048111" s="3" customFormat="1" ht="13.5"/>
    <row r="1048112" s="3" customFormat="1" ht="13.5"/>
    <row r="1048113" s="3" customFormat="1" ht="13.5"/>
    <row r="1048114" s="3" customFormat="1" ht="13.5"/>
    <row r="1048115" s="3" customFormat="1" ht="13.5"/>
    <row r="1048116" s="3" customFormat="1" ht="13.5"/>
    <row r="1048117" s="3" customFormat="1" ht="13.5"/>
    <row r="1048118" s="3" customFormat="1" ht="13.5"/>
    <row r="1048119" s="3" customFormat="1" ht="13.5"/>
    <row r="1048120" s="3" customFormat="1" ht="13.5"/>
    <row r="1048121" s="3" customFormat="1" ht="13.5"/>
    <row r="1048122" s="3" customFormat="1" ht="13.5"/>
    <row r="1048123" s="3" customFormat="1" ht="13.5"/>
    <row r="1048124" s="3" customFormat="1" ht="13.5"/>
    <row r="1048125" s="3" customFormat="1" ht="13.5"/>
    <row r="1048126" s="3" customFormat="1" ht="13.5"/>
    <row r="1048127" s="3" customFormat="1" ht="13.5"/>
    <row r="1048128" s="3" customFormat="1" ht="13.5"/>
    <row r="1048129" s="3" customFormat="1" ht="13.5"/>
    <row r="1048130" s="3" customFormat="1" ht="13.5"/>
    <row r="1048131" s="3" customFormat="1" ht="13.5"/>
    <row r="1048132" s="3" customFormat="1" ht="13.5"/>
    <row r="1048133" s="3" customFormat="1" ht="13.5"/>
    <row r="1048134" s="3" customFormat="1" ht="13.5"/>
    <row r="1048135" s="3" customFormat="1" ht="13.5"/>
    <row r="1048136" s="3" customFormat="1" ht="13.5"/>
    <row r="1048137" s="3" customFormat="1" ht="13.5"/>
    <row r="1048138" s="3" customFormat="1" ht="13.5"/>
    <row r="1048139" s="3" customFormat="1" ht="13.5"/>
    <row r="1048140" s="3" customFormat="1" ht="13.5"/>
    <row r="1048141" s="3" customFormat="1" ht="13.5"/>
    <row r="1048142" s="3" customFormat="1" ht="13.5"/>
    <row r="1048143" s="3" customFormat="1" ht="13.5"/>
    <row r="1048144" s="3" customFormat="1" ht="13.5"/>
    <row r="1048145" s="3" customFormat="1" ht="13.5"/>
    <row r="1048146" s="3" customFormat="1" ht="13.5"/>
    <row r="1048147" s="3" customFormat="1" ht="13.5"/>
    <row r="1048148" s="3" customFormat="1" ht="13.5"/>
    <row r="1048149" s="3" customFormat="1" ht="13.5"/>
    <row r="1048150" s="3" customFormat="1" ht="13.5"/>
    <row r="1048151" s="3" customFormat="1" ht="13.5"/>
    <row r="1048152" s="3" customFormat="1" ht="13.5"/>
    <row r="1048153" s="3" customFormat="1" ht="13.5"/>
    <row r="1048154" s="3" customFormat="1" ht="13.5"/>
    <row r="1048155" s="3" customFormat="1" ht="13.5"/>
    <row r="1048156" s="3" customFormat="1" ht="13.5"/>
    <row r="1048157" s="3" customFormat="1" ht="13.5"/>
    <row r="1048158" s="3" customFormat="1" ht="13.5"/>
    <row r="1048159" s="3" customFormat="1" ht="13.5"/>
    <row r="1048160" s="3" customFormat="1" ht="13.5"/>
    <row r="1048161" s="3" customFormat="1" ht="13.5"/>
    <row r="1048162" s="3" customFormat="1" ht="13.5"/>
    <row r="1048163" s="3" customFormat="1" ht="13.5"/>
    <row r="1048164" s="3" customFormat="1" ht="13.5"/>
    <row r="1048165" s="3" customFormat="1" ht="13.5"/>
    <row r="1048166" s="3" customFormat="1" ht="13.5"/>
    <row r="1048167" s="3" customFormat="1" ht="13.5"/>
    <row r="1048168" s="3" customFormat="1" ht="13.5"/>
    <row r="1048169" s="3" customFormat="1" ht="13.5"/>
    <row r="1048170" s="3" customFormat="1" ht="13.5"/>
    <row r="1048171" s="3" customFormat="1" ht="13.5"/>
    <row r="1048172" s="3" customFormat="1" ht="13.5"/>
    <row r="1048173" s="3" customFormat="1" ht="13.5"/>
    <row r="1048174" s="3" customFormat="1" ht="13.5"/>
    <row r="1048175" s="3" customFormat="1" ht="13.5"/>
    <row r="1048176" s="3" customFormat="1" ht="13.5"/>
    <row r="1048177" s="3" customFormat="1" ht="13.5"/>
    <row r="1048178" s="3" customFormat="1" ht="13.5"/>
    <row r="1048179" s="3" customFormat="1" ht="13.5"/>
    <row r="1048180" s="3" customFormat="1" ht="13.5"/>
    <row r="1048181" s="3" customFormat="1" ht="13.5"/>
    <row r="1048182" s="3" customFormat="1" ht="13.5"/>
    <row r="1048183" s="3" customFormat="1" ht="13.5"/>
    <row r="1048184" s="3" customFormat="1" ht="13.5"/>
    <row r="1048185" s="3" customFormat="1" ht="13.5"/>
    <row r="1048186" s="3" customFormat="1" ht="13.5"/>
    <row r="1048187" s="3" customFormat="1" ht="13.5"/>
    <row r="1048188" s="3" customFormat="1" ht="13.5"/>
    <row r="1048189" s="3" customFormat="1" ht="13.5"/>
    <row r="1048190" s="3" customFormat="1" ht="13.5"/>
    <row r="1048191" s="3" customFormat="1" ht="13.5"/>
    <row r="1048192" s="3" customFormat="1" ht="13.5"/>
    <row r="1048193" s="3" customFormat="1" ht="13.5"/>
    <row r="1048194" s="3" customFormat="1" ht="13.5"/>
    <row r="1048195" s="3" customFormat="1" ht="13.5"/>
    <row r="1048196" s="3" customFormat="1" ht="13.5"/>
    <row r="1048197" s="3" customFormat="1" ht="13.5"/>
    <row r="1048198" s="3" customFormat="1" ht="13.5"/>
    <row r="1048199" s="3" customFormat="1" ht="13.5"/>
    <row r="1048200" s="3" customFormat="1" ht="13.5"/>
    <row r="1048201" s="3" customFormat="1" ht="13.5"/>
    <row r="1048202" s="3" customFormat="1" ht="13.5"/>
    <row r="1048203" s="3" customFormat="1" ht="13.5"/>
    <row r="1048204" s="3" customFormat="1" ht="13.5"/>
    <row r="1048205" s="3" customFormat="1" ht="13.5"/>
    <row r="1048206" s="3" customFormat="1" ht="13.5"/>
    <row r="1048207" s="3" customFormat="1" ht="13.5"/>
    <row r="1048208" s="3" customFormat="1" ht="13.5"/>
    <row r="1048209" s="3" customFormat="1" ht="13.5"/>
    <row r="1048210" s="3" customFormat="1" ht="13.5"/>
    <row r="1048211" s="3" customFormat="1" ht="13.5"/>
    <row r="1048212" s="3" customFormat="1" ht="13.5"/>
    <row r="1048213" s="3" customFormat="1" ht="13.5"/>
    <row r="1048214" s="3" customFormat="1" ht="13.5"/>
    <row r="1048215" s="3" customFormat="1" ht="13.5"/>
    <row r="1048216" s="3" customFormat="1" ht="13.5"/>
    <row r="1048217" s="3" customFormat="1" ht="13.5"/>
    <row r="1048218" s="3" customFormat="1" ht="13.5"/>
    <row r="1048219" s="3" customFormat="1" ht="13.5"/>
    <row r="1048220" s="3" customFormat="1" ht="13.5"/>
    <row r="1048221" s="3" customFormat="1" ht="13.5"/>
    <row r="1048222" s="3" customFormat="1" ht="13.5"/>
    <row r="1048223" s="3" customFormat="1" ht="13.5"/>
    <row r="1048224" s="3" customFormat="1" ht="13.5"/>
    <row r="1048225" s="3" customFormat="1" ht="13.5"/>
    <row r="1048226" s="3" customFormat="1" ht="13.5"/>
    <row r="1048227" s="3" customFormat="1" ht="13.5"/>
    <row r="1048228" s="3" customFormat="1" ht="13.5"/>
    <row r="1048229" s="3" customFormat="1" ht="13.5"/>
    <row r="1048230" s="3" customFormat="1" ht="13.5"/>
    <row r="1048231" s="3" customFormat="1" ht="13.5"/>
    <row r="1048232" s="3" customFormat="1" ht="13.5"/>
    <row r="1048233" s="3" customFormat="1" ht="13.5"/>
    <row r="1048234" s="3" customFormat="1" ht="13.5"/>
    <row r="1048235" s="3" customFormat="1" ht="13.5"/>
    <row r="1048236" s="3" customFormat="1" ht="13.5"/>
    <row r="1048237" s="3" customFormat="1" ht="13.5"/>
    <row r="1048238" s="3" customFormat="1" ht="13.5"/>
    <row r="1048239" s="3" customFormat="1" ht="13.5"/>
    <row r="1048240" s="3" customFormat="1" ht="13.5"/>
    <row r="1048241" s="3" customFormat="1" ht="13.5"/>
    <row r="1048242" s="3" customFormat="1" ht="13.5"/>
    <row r="1048243" s="3" customFormat="1" ht="13.5"/>
    <row r="1048244" s="3" customFormat="1" ht="13.5"/>
    <row r="1048245" s="3" customFormat="1" ht="13.5"/>
    <row r="1048246" s="3" customFormat="1" ht="13.5"/>
    <row r="1048247" s="3" customFormat="1" ht="13.5"/>
    <row r="1048248" s="3" customFormat="1" ht="13.5"/>
    <row r="1048249" s="3" customFormat="1" ht="13.5"/>
    <row r="1048250" s="3" customFormat="1" ht="13.5"/>
    <row r="1048251" s="3" customFormat="1" ht="13.5"/>
    <row r="1048252" s="3" customFormat="1" ht="13.5"/>
    <row r="1048253" s="3" customFormat="1" ht="13.5"/>
    <row r="1048254" s="3" customFormat="1" ht="13.5"/>
    <row r="1048255" s="3" customFormat="1" ht="13.5"/>
    <row r="1048256" s="3" customFormat="1" ht="13.5"/>
    <row r="1048257" s="3" customFormat="1" ht="13.5"/>
    <row r="1048258" s="3" customFormat="1" ht="13.5"/>
    <row r="1048259" s="3" customFormat="1" ht="13.5"/>
    <row r="1048260" s="3" customFormat="1" ht="13.5"/>
    <row r="1048261" s="3" customFormat="1" ht="13.5"/>
    <row r="1048262" s="3" customFormat="1" ht="13.5"/>
    <row r="1048263" s="3" customFormat="1" ht="13.5"/>
    <row r="1048264" s="3" customFormat="1" ht="13.5"/>
    <row r="1048265" s="3" customFormat="1" ht="13.5"/>
    <row r="1048266" s="3" customFormat="1" ht="13.5"/>
    <row r="1048267" s="3" customFormat="1" ht="13.5"/>
    <row r="1048268" s="3" customFormat="1" ht="13.5"/>
    <row r="1048269" s="3" customFormat="1" ht="13.5"/>
    <row r="1048270" s="3" customFormat="1" ht="13.5"/>
    <row r="1048271" s="3" customFormat="1" ht="13.5"/>
    <row r="1048272" s="3" customFormat="1" ht="13.5"/>
    <row r="1048273" s="3" customFormat="1" ht="13.5"/>
    <row r="1048274" s="3" customFormat="1" ht="13.5"/>
    <row r="1048275" s="3" customFormat="1" ht="13.5"/>
    <row r="1048276" s="3" customFormat="1" ht="13.5"/>
    <row r="1048277" s="3" customFormat="1" ht="13.5"/>
    <row r="1048278" s="3" customFormat="1" ht="13.5"/>
    <row r="1048279" s="3" customFormat="1" ht="13.5"/>
    <row r="1048280" s="3" customFormat="1" ht="13.5"/>
    <row r="1048281" s="3" customFormat="1" ht="13.5"/>
    <row r="1048282" s="3" customFormat="1" ht="13.5"/>
    <row r="1048283" s="3" customFormat="1" ht="13.5"/>
    <row r="1048284" s="3" customFormat="1" ht="13.5"/>
    <row r="1048285" s="3" customFormat="1" ht="13.5"/>
    <row r="1048286" s="3" customFormat="1" ht="13.5"/>
    <row r="1048287" s="3" customFormat="1" ht="13.5"/>
    <row r="1048288" s="3" customFormat="1" ht="13.5"/>
    <row r="1048289" s="3" customFormat="1" ht="13.5"/>
    <row r="1048290" s="3" customFormat="1" ht="13.5"/>
    <row r="1048291" s="3" customFormat="1" ht="13.5"/>
    <row r="1048292" s="3" customFormat="1" ht="13.5"/>
    <row r="1048293" s="3" customFormat="1" ht="13.5"/>
    <row r="1048294" s="3" customFormat="1" ht="13.5"/>
    <row r="1048295" s="3" customFormat="1" ht="13.5"/>
    <row r="1048296" s="3" customFormat="1" ht="13.5"/>
    <row r="1048297" s="3" customFormat="1" ht="13.5"/>
    <row r="1048298" s="3" customFormat="1" ht="13.5"/>
    <row r="1048299" s="3" customFormat="1" ht="13.5"/>
    <row r="1048300" s="3" customFormat="1" ht="13.5"/>
    <row r="1048301" s="3" customFormat="1" ht="13.5"/>
    <row r="1048302" s="3" customFormat="1" ht="13.5"/>
    <row r="1048303" s="3" customFormat="1" ht="13.5"/>
    <row r="1048304" s="3" customFormat="1" ht="13.5"/>
    <row r="1048305" s="3" customFormat="1" ht="13.5"/>
    <row r="1048306" s="3" customFormat="1" ht="13.5"/>
    <row r="1048307" s="3" customFormat="1" ht="13.5"/>
    <row r="1048308" s="3" customFormat="1" ht="13.5"/>
    <row r="1048309" s="3" customFormat="1" ht="13.5"/>
    <row r="1048310" s="3" customFormat="1" ht="13.5"/>
    <row r="1048311" s="3" customFormat="1" ht="13.5"/>
    <row r="1048312" s="3" customFormat="1" ht="13.5"/>
    <row r="1048313" s="3" customFormat="1" ht="13.5"/>
    <row r="1048314" s="3" customFormat="1" ht="13.5"/>
    <row r="1048315" s="3" customFormat="1" ht="13.5"/>
    <row r="1048316" s="3" customFormat="1" ht="13.5"/>
    <row r="1048317" s="3" customFormat="1" ht="13.5"/>
    <row r="1048318" s="3" customFormat="1" ht="13.5"/>
    <row r="1048319" s="3" customFormat="1" ht="13.5"/>
    <row r="1048320" s="3" customFormat="1" ht="13.5"/>
    <row r="1048321" s="3" customFormat="1" ht="13.5"/>
    <row r="1048322" s="3" customFormat="1" ht="13.5"/>
    <row r="1048323" s="3" customFormat="1" ht="13.5"/>
    <row r="1048324" s="3" customFormat="1" ht="13.5"/>
    <row r="1048325" s="3" customFormat="1" ht="13.5"/>
    <row r="1048326" s="3" customFormat="1" ht="13.5"/>
    <row r="1048327" s="3" customFormat="1" ht="13.5"/>
    <row r="1048328" s="3" customFormat="1" ht="13.5"/>
    <row r="1048329" s="3" customFormat="1" ht="13.5"/>
    <row r="1048330" s="3" customFormat="1" ht="13.5"/>
    <row r="1048331" s="3" customFormat="1" ht="13.5"/>
    <row r="1048332" s="3" customFormat="1" ht="13.5"/>
    <row r="1048333" s="3" customFormat="1" ht="13.5"/>
    <row r="1048334" s="3" customFormat="1" ht="13.5"/>
    <row r="1048335" s="3" customFormat="1" ht="13.5"/>
    <row r="1048336" s="3" customFormat="1" ht="13.5"/>
    <row r="1048337" s="3" customFormat="1" ht="13.5"/>
    <row r="1048338" s="3" customFormat="1" ht="13.5"/>
    <row r="1048339" s="3" customFormat="1" ht="13.5"/>
    <row r="1048340" s="3" customFormat="1" ht="13.5"/>
    <row r="1048341" s="3" customFormat="1" ht="13.5"/>
    <row r="1048342" s="3" customFormat="1" ht="13.5"/>
    <row r="1048343" s="3" customFormat="1" ht="13.5"/>
    <row r="1048344" s="3" customFormat="1" ht="13.5"/>
    <row r="1048345" s="3" customFormat="1" ht="13.5"/>
    <row r="1048346" s="3" customFormat="1" ht="13.5"/>
    <row r="1048347" s="3" customFormat="1" ht="13.5"/>
    <row r="1048348" s="3" customFormat="1" ht="13.5"/>
    <row r="1048349" s="3" customFormat="1" ht="13.5"/>
    <row r="1048350" s="3" customFormat="1" ht="13.5"/>
    <row r="1048351" s="3" customFormat="1" ht="13.5"/>
    <row r="1048352" s="3" customFormat="1" ht="13.5"/>
    <row r="1048353" s="3" customFormat="1" ht="13.5"/>
    <row r="1048354" s="3" customFormat="1" ht="13.5"/>
    <row r="1048355" s="3" customFormat="1" ht="13.5"/>
    <row r="1048356" s="3" customFormat="1" ht="13.5"/>
    <row r="1048357" s="3" customFormat="1" ht="13.5"/>
    <row r="1048358" s="3" customFormat="1" ht="13.5"/>
    <row r="1048359" s="3" customFormat="1" ht="13.5"/>
    <row r="1048360" s="3" customFormat="1" ht="13.5"/>
    <row r="1048361" s="3" customFormat="1" ht="13.5"/>
    <row r="1048362" s="3" customFormat="1" ht="13.5"/>
    <row r="1048363" s="3" customFormat="1" ht="13.5"/>
    <row r="1048364" s="3" customFormat="1" ht="13.5"/>
    <row r="1048365" s="3" customFormat="1" ht="13.5"/>
    <row r="1048366" s="3" customFormat="1" ht="13.5"/>
    <row r="1048367" s="3" customFormat="1" ht="13.5"/>
    <row r="1048368" s="3" customFormat="1" ht="13.5"/>
    <row r="1048369" s="3" customFormat="1" ht="13.5"/>
    <row r="1048370" s="3" customFormat="1" ht="13.5"/>
    <row r="1048371" s="3" customFormat="1" ht="13.5"/>
    <row r="1048372" s="3" customFormat="1" ht="13.5"/>
    <row r="1048373" s="3" customFormat="1" ht="13.5"/>
    <row r="1048374" s="3" customFormat="1" ht="13.5"/>
    <row r="1048375" s="3" customFormat="1" ht="13.5"/>
    <row r="1048376" s="3" customFormat="1" ht="13.5"/>
    <row r="1048377" s="3" customFormat="1" ht="13.5"/>
    <row r="1048378" s="3" customFormat="1" ht="13.5"/>
    <row r="1048379" s="3" customFormat="1" ht="13.5"/>
    <row r="1048380" s="3" customFormat="1" ht="13.5"/>
    <row r="1048381" s="3" customFormat="1" ht="13.5"/>
    <row r="1048382" s="3" customFormat="1" ht="13.5"/>
    <row r="1048383" s="3" customFormat="1" ht="13.5"/>
    <row r="1048384" s="3" customFormat="1" ht="13.5"/>
    <row r="1048385" s="3" customFormat="1" ht="13.5"/>
    <row r="1048386" s="3" customFormat="1" ht="13.5"/>
    <row r="1048387" s="3" customFormat="1" ht="13.5"/>
    <row r="1048388" s="3" customFormat="1" ht="13.5"/>
    <row r="1048389" s="3" customFormat="1" ht="13.5"/>
    <row r="1048390" s="3" customFormat="1" ht="13.5"/>
    <row r="1048391" s="3" customFormat="1" ht="13.5"/>
    <row r="1048392" s="3" customFormat="1" ht="13.5"/>
    <row r="1048393" s="3" customFormat="1" ht="13.5"/>
    <row r="1048394" s="3" customFormat="1" ht="13.5"/>
    <row r="1048395" s="3" customFormat="1" ht="13.5"/>
    <row r="1048396" s="3" customFormat="1" ht="13.5"/>
    <row r="1048397" s="3" customFormat="1" ht="13.5"/>
    <row r="1048398" s="3" customFormat="1" ht="13.5"/>
    <row r="1048399" s="3" customFormat="1" ht="13.5"/>
    <row r="1048400" s="3" customFormat="1" ht="13.5"/>
    <row r="1048401" s="3" customFormat="1" ht="13.5"/>
    <row r="1048402" s="3" customFormat="1" ht="13.5"/>
    <row r="1048403" s="3" customFormat="1" ht="13.5"/>
    <row r="1048404" s="3" customFormat="1" ht="13.5"/>
    <row r="1048405" s="3" customFormat="1" ht="13.5"/>
    <row r="1048406" s="3" customFormat="1" ht="13.5"/>
    <row r="1048407" s="3" customFormat="1" ht="13.5"/>
    <row r="1048408" s="3" customFormat="1" ht="13.5"/>
    <row r="1048409" s="3" customFormat="1" ht="13.5"/>
    <row r="1048410" s="3" customFormat="1" ht="13.5"/>
    <row r="1048411" s="3" customFormat="1" ht="13.5"/>
    <row r="1048412" s="3" customFormat="1" ht="13.5"/>
    <row r="1048413" s="3" customFormat="1" ht="13.5"/>
    <row r="1048414" s="3" customFormat="1" ht="13.5"/>
    <row r="1048415" s="3" customFormat="1" ht="13.5"/>
    <row r="1048416" s="3" customFormat="1" ht="13.5"/>
    <row r="1048417" s="3" customFormat="1" ht="13.5"/>
    <row r="1048418" s="3" customFormat="1" ht="13.5"/>
    <row r="1048419" s="3" customFormat="1" ht="13.5"/>
    <row r="1048420" s="3" customFormat="1" ht="13.5"/>
    <row r="1048421" s="3" customFormat="1" ht="13.5"/>
    <row r="1048422" s="3" customFormat="1" ht="13.5"/>
    <row r="1048423" s="3" customFormat="1" ht="13.5"/>
    <row r="1048424" s="3" customFormat="1" ht="13.5"/>
    <row r="1048425" s="3" customFormat="1" ht="13.5"/>
    <row r="1048426" s="3" customFormat="1" ht="13.5"/>
    <row r="1048427" s="3" customFormat="1" ht="13.5"/>
    <row r="1048428" s="3" customFormat="1" ht="13.5"/>
    <row r="1048429" s="3" customFormat="1" ht="13.5"/>
    <row r="1048430" s="3" customFormat="1" ht="13.5"/>
    <row r="1048431" s="3" customFormat="1" ht="13.5"/>
    <row r="1048432" s="3" customFormat="1" ht="13.5"/>
    <row r="1048433" s="3" customFormat="1" ht="13.5"/>
    <row r="1048434" s="3" customFormat="1" ht="13.5"/>
    <row r="1048435" s="3" customFormat="1" ht="13.5"/>
    <row r="1048436" s="3" customFormat="1" ht="13.5"/>
    <row r="1048437" s="3" customFormat="1" ht="13.5"/>
    <row r="1048438" s="3" customFormat="1" ht="13.5"/>
    <row r="1048439" s="3" customFormat="1" ht="13.5"/>
    <row r="1048440" s="3" customFormat="1" ht="13.5"/>
    <row r="1048441" s="3" customFormat="1" ht="13.5"/>
    <row r="1048442" s="3" customFormat="1" ht="13.5"/>
    <row r="1048443" s="3" customFormat="1" ht="13.5"/>
    <row r="1048444" s="3" customFormat="1" ht="13.5"/>
    <row r="1048445" s="3" customFormat="1" ht="13.5"/>
    <row r="1048446" s="3" customFormat="1" ht="13.5"/>
    <row r="1048447" s="3" customFormat="1" ht="13.5"/>
    <row r="1048448" s="3" customFormat="1" ht="13.5"/>
    <row r="1048449" s="3" customFormat="1" ht="13.5"/>
    <row r="1048450" s="3" customFormat="1" ht="13.5"/>
    <row r="1048451" s="3" customFormat="1" ht="13.5"/>
    <row r="1048452" s="3" customFormat="1" ht="13.5"/>
    <row r="1048453" s="3" customFormat="1" ht="13.5"/>
    <row r="1048454" s="3" customFormat="1" ht="13.5"/>
    <row r="1048455" s="3" customFormat="1" ht="13.5"/>
    <row r="1048456" s="3" customFormat="1" ht="13.5"/>
    <row r="1048457" s="3" customFormat="1" ht="13.5"/>
    <row r="1048458" s="3" customFormat="1" ht="13.5"/>
    <row r="1048459" s="3" customFormat="1" ht="13.5"/>
    <row r="1048460" s="3" customFormat="1" ht="13.5"/>
    <row r="1048461" s="3" customFormat="1" ht="13.5"/>
    <row r="1048462" s="3" customFormat="1" ht="13.5"/>
    <row r="1048463" s="3" customFormat="1" ht="13.5"/>
    <row r="1048464" s="3" customFormat="1" ht="13.5"/>
    <row r="1048465" s="3" customFormat="1" ht="13.5"/>
    <row r="1048466" s="3" customFormat="1" ht="13.5"/>
    <row r="1048467" s="3" customFormat="1" ht="13.5"/>
    <row r="1048468" s="3" customFormat="1" ht="13.5"/>
    <row r="1048469" s="3" customFormat="1" ht="13.5"/>
    <row r="1048470" s="3" customFormat="1" ht="13.5"/>
    <row r="1048471" s="3" customFormat="1" ht="13.5"/>
    <row r="1048472" s="3" customFormat="1" ht="13.5"/>
    <row r="1048473" s="3" customFormat="1" ht="13.5"/>
    <row r="1048474" s="3" customFormat="1" ht="13.5"/>
    <row r="1048475" s="3" customFormat="1" ht="13.5"/>
    <row r="1048476" s="3" customFormat="1" ht="13.5"/>
    <row r="1048477" s="3" customFormat="1" ht="13.5"/>
    <row r="1048478" s="3" customFormat="1" ht="13.5"/>
    <row r="1048479" s="3" customFormat="1" ht="13.5"/>
    <row r="1048480" s="3" customFormat="1" ht="13.5"/>
    <row r="1048481" s="3" customFormat="1" ht="13.5"/>
    <row r="1048482" s="3" customFormat="1" ht="13.5"/>
    <row r="1048483" s="3" customFormat="1" ht="13.5"/>
    <row r="1048484" s="3" customFormat="1" ht="13.5"/>
    <row r="1048485" s="3" customFormat="1" ht="13.5"/>
    <row r="1048486" s="3" customFormat="1" ht="13.5"/>
    <row r="1048487" s="3" customFormat="1" ht="13.5"/>
    <row r="1048488" s="3" customFormat="1" ht="13.5"/>
    <row r="1048489" s="3" customFormat="1" ht="13.5"/>
    <row r="1048490" s="3" customFormat="1" ht="13.5"/>
    <row r="1048491" s="3" customFormat="1" ht="13.5"/>
    <row r="1048492" s="3" customFormat="1" ht="13.5"/>
    <row r="1048493" s="3" customFormat="1" ht="13.5"/>
    <row r="1048494" s="3" customFormat="1" ht="13.5"/>
    <row r="1048495" s="3" customFormat="1" ht="13.5"/>
    <row r="1048496" s="3" customFormat="1" ht="13.5"/>
    <row r="1048497" s="3" customFormat="1" ht="13.5"/>
    <row r="1048498" s="3" customFormat="1" ht="13.5"/>
    <row r="1048499" s="3" customFormat="1" ht="13.5"/>
    <row r="1048500" s="3" customFormat="1" ht="13.5"/>
    <row r="1048501" s="3" customFormat="1" ht="13.5"/>
    <row r="1048502" s="3" customFormat="1" ht="13.5"/>
    <row r="1048503" s="3" customFormat="1" ht="13.5"/>
    <row r="1048504" s="3" customFormat="1" ht="13.5"/>
    <row r="1048505" s="3" customFormat="1" ht="13.5"/>
    <row r="1048506" s="3" customFormat="1" ht="13.5"/>
    <row r="1048507" s="3" customFormat="1" ht="13.5"/>
    <row r="1048508" s="3" customFormat="1" ht="13.5"/>
    <row r="1048509" s="3" customFormat="1" ht="13.5"/>
    <row r="1048510" s="3" customFormat="1" ht="13.5"/>
    <row r="1048511" s="3" customFormat="1" ht="13.5"/>
    <row r="1048512" s="3" customFormat="1" ht="13.5"/>
    <row r="1048513" s="3" customFormat="1" ht="13.5"/>
    <row r="1048514" s="3" customFormat="1" ht="13.5"/>
    <row r="1048515" s="3" customFormat="1" ht="13.5"/>
    <row r="1048516" s="3" customFormat="1" ht="13.5"/>
    <row r="1048517" s="3" customFormat="1" ht="13.5"/>
    <row r="1048518" s="3" customFormat="1" ht="13.5"/>
    <row r="1048519" s="3" customFormat="1" ht="13.5"/>
    <row r="1048520" s="3" customFormat="1" ht="13.5"/>
    <row r="1048521" s="3" customFormat="1" ht="13.5"/>
    <row r="1048522" s="3" customFormat="1" ht="13.5"/>
    <row r="1048523" s="3" customFormat="1" ht="13.5"/>
    <row r="1048524" s="3" customFormat="1" ht="13.5"/>
    <row r="1048525" s="3" customFormat="1" ht="13.5"/>
    <row r="1048526" s="3" customFormat="1" ht="13.5"/>
    <row r="1048527" s="3" customFormat="1" ht="13.5"/>
    <row r="1048528" s="3" customFormat="1" ht="13.5"/>
    <row r="1048529" s="3" customFormat="1" ht="13.5"/>
    <row r="1048530" s="3" customFormat="1" ht="13.5"/>
    <row r="1048531" s="3" customFormat="1" ht="13.5"/>
    <row r="1048532" s="3" customFormat="1" ht="13.5"/>
    <row r="1048533" s="3" customFormat="1" ht="13.5"/>
    <row r="1048534" s="3" customFormat="1" ht="13.5"/>
    <row r="1048535" s="3" customFormat="1" ht="13.5"/>
    <row r="1048536" s="3" customFormat="1" ht="13.5"/>
    <row r="1048537" s="3" customFormat="1" ht="13.5"/>
    <row r="1048538" s="3" customFormat="1" ht="13.5"/>
    <row r="1048539" s="3" customFormat="1" ht="13.5"/>
    <row r="1048540" s="3" customFormat="1" ht="13.5"/>
    <row r="1048541" s="3" customFormat="1" ht="13.5"/>
    <row r="1048542" s="3" customFormat="1" ht="13.5"/>
    <row r="1048543" s="3" customFormat="1" ht="13.5"/>
    <row r="1048544" s="3" customFormat="1" ht="13.5"/>
    <row r="1048545" s="3" customFormat="1" ht="13.5"/>
    <row r="1048546" s="3" customFormat="1" ht="13.5"/>
    <row r="1048547" s="3" customFormat="1" ht="13.5"/>
    <row r="1048548" s="3" customFormat="1" ht="13.5"/>
    <row r="1048549" s="3" customFormat="1" ht="13.5"/>
    <row r="1048550" s="3" customFormat="1" ht="13.5"/>
    <row r="1048551" s="3" customFormat="1" ht="13.5"/>
    <row r="1048552" s="3" customFormat="1" ht="13.5"/>
    <row r="1048553" s="3" customFormat="1" ht="13.5"/>
    <row r="1048554" s="3" customFormat="1" ht="13.5"/>
    <row r="1048555" s="3" customFormat="1" ht="13.5"/>
    <row r="1048556" s="3" customFormat="1" ht="13.5"/>
    <row r="1048557" s="3" customFormat="1" ht="13.5"/>
    <row r="1048558" s="3" customFormat="1" ht="13.5"/>
    <row r="1048559" s="3" customFormat="1" ht="13.5"/>
    <row r="1048560" s="3" customFormat="1" ht="13.5"/>
    <row r="1048561" s="3" customFormat="1" ht="13.5"/>
    <row r="1048562" s="3" customFormat="1" ht="13.5"/>
    <row r="1048563" s="3" customFormat="1" ht="13.5"/>
    <row r="1048564" s="3" customFormat="1" ht="13.5"/>
    <row r="1048565" s="3" customFormat="1" ht="13.5"/>
    <row r="1048566" s="3" customFormat="1" ht="13.5"/>
    <row r="1048567" s="3" customFormat="1" ht="13.5"/>
    <row r="1048568" s="3" customFormat="1" ht="13.5"/>
    <row r="1048569" s="3" customFormat="1" ht="13.5"/>
    <row r="1048570" s="3" customFormat="1" ht="13.5"/>
    <row r="1048571" s="3" customFormat="1" ht="13.5"/>
    <row r="1048572" s="3" customFormat="1" ht="13.5"/>
    <row r="1048573" s="3" customFormat="1" ht="13.5"/>
    <row r="1048574" s="3" customFormat="1" ht="13.5"/>
    <row r="1048575" s="2" customFormat="1" spans="2:16384">
      <c r="B1048575" s="4"/>
      <c r="C1048575" s="2"/>
      <c r="D1048575" s="2"/>
      <c r="E1048575" s="2"/>
      <c r="F1048575" s="2"/>
      <c r="G1048575" s="5"/>
      <c r="H1048575" s="2"/>
      <c r="I1048575" s="2"/>
      <c r="J1048575" s="2"/>
      <c r="K1048575" s="2"/>
      <c r="L1048575" s="2"/>
      <c r="M1048575" s="2"/>
      <c r="N1048575" s="2"/>
      <c r="O1048575" s="2"/>
      <c r="P1048575" s="2"/>
      <c r="Q1048575" s="2"/>
      <c r="R1048575" s="2"/>
      <c r="S1048575" s="2"/>
      <c r="XFB1048575" s="3"/>
      <c r="XFC1048575" s="3"/>
      <c r="XFD1048575" s="3"/>
    </row>
    <row r="1048576" s="2" customFormat="1" spans="2:16384">
      <c r="B1048576" s="4"/>
      <c r="C1048576" s="2"/>
      <c r="D1048576" s="2"/>
      <c r="E1048576" s="2"/>
      <c r="F1048576" s="2"/>
      <c r="G1048576" s="5"/>
      <c r="H1048576" s="2"/>
      <c r="I1048576" s="2"/>
      <c r="J1048576" s="2"/>
      <c r="K1048576" s="2"/>
      <c r="L1048576" s="2"/>
      <c r="M1048576" s="2"/>
      <c r="N1048576" s="2"/>
      <c r="O1048576" s="2"/>
      <c r="P1048576" s="2"/>
      <c r="Q1048576" s="2"/>
      <c r="R1048576" s="2"/>
      <c r="S1048576" s="2"/>
      <c r="XFB1048576" s="3"/>
      <c r="XFC1048576" s="3"/>
      <c r="XFD104857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折枝</cp:lastModifiedBy>
  <dcterms:created xsi:type="dcterms:W3CDTF">2022-06-21T08:15:07Z</dcterms:created>
  <dcterms:modified xsi:type="dcterms:W3CDTF">2022-06-21T08:15:12Z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B493160F343642DA85CEB015165D7689</vt:lpwstr>
  </property>
  <property fmtid="{D5CDD505-2E9C-101B-9397-08002B2CF9AE}" pid="3" name="KSOProductBuildVer">
    <vt:lpwstr>2052-11.1.0.11744</vt:lpwstr>
  </property>
</Properties>
</file>