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<sst xmlns="http://schemas.openxmlformats.org/spreadsheetml/2006/main" count="44" uniqueCount="43">
  <si>
    <t>截至2022年12月31日中金平台高维理财资产盘点</t>
  </si>
  <si>
    <t>单位：万元</t>
  </si>
  <si>
    <t>摘要</t>
  </si>
  <si>
    <t>金额</t>
  </si>
  <si>
    <t>备注</t>
  </si>
  <si>
    <t>本金投入（2020年3月）</t>
  </si>
  <si>
    <t>本金投入（2021年12月）</t>
  </si>
  <si>
    <t>截至2022年12月31日系统显示总资产金额</t>
  </si>
  <si>
    <t>详见截图；2020年转收益78571.49元至对公账户</t>
  </si>
  <si>
    <t>三年总收益</t>
  </si>
  <si>
    <t>申请的理财资金管理补贴规则及试算</t>
  </si>
  <si>
    <t>序号</t>
  </si>
  <si>
    <t>申请的补贴规则</t>
  </si>
  <si>
    <t>目标</t>
  </si>
  <si>
    <t>计算（三年合计）</t>
  </si>
  <si>
    <t>年均</t>
  </si>
  <si>
    <t>结构占比</t>
  </si>
  <si>
    <t>管理费：按照年度管理资产金额的0.3%收取</t>
  </si>
  <si>
    <t>保证本金安全</t>
  </si>
  <si>
    <t>理财收益激励：年度收益的5%</t>
  </si>
  <si>
    <t>适度激励</t>
  </si>
  <si>
    <t>若当年收益为负，则管理费为零</t>
  </si>
  <si>
    <t>以保值为首要目标</t>
  </si>
  <si>
    <t>理财资金管理工作中的注意事项</t>
  </si>
  <si>
    <t>序  号</t>
  </si>
  <si>
    <t>内   容</t>
  </si>
  <si>
    <t>说   明</t>
  </si>
  <si>
    <t>保本</t>
  </si>
  <si>
    <t>在风险无法预判时，尽量购买保本型的收益凭证类产品</t>
  </si>
  <si>
    <t>风险</t>
  </si>
  <si>
    <t>尽量购买风险低的固定收益产品</t>
  </si>
  <si>
    <t>流动性</t>
  </si>
  <si>
    <t>理财产品的期限要错开，短期、中期及长期产品要错配</t>
  </si>
  <si>
    <t>底层资产</t>
  </si>
  <si>
    <t>要关注理财产品的底层资产的安全性，避免踩雷</t>
  </si>
  <si>
    <t>收益提升</t>
  </si>
  <si>
    <t>当固定收益产品收益率极低的情况下，为了提升收益，购买底层极度分散的产品，以确保本金安全</t>
  </si>
  <si>
    <t>谨慎</t>
  </si>
  <si>
    <t>在理财顾问推荐产品时，要仔细研究产品是否符合公司的需求，避免被误导</t>
  </si>
  <si>
    <t>复盘</t>
  </si>
  <si>
    <t>每支产品到期，及时复盘预期与结果是否相符，以指导后续的产品购买</t>
  </si>
  <si>
    <t>主动管理</t>
  </si>
  <si>
    <t>多方比较各平台的产品，主动发现适合公司的产品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</si>
</sst>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left" vertical="center"/>
      <protection locked="0"/>
    </xf>
    <xf numFmtId="176" fontId="2" fillId="0" borderId="1" xfId="0" applyNumberFormat="1" applyFont="1" applyFill="1" applyBorder="1" applyAlignment="1" applyProtection="1">
      <alignment horizontal="center" vertical="center"/>
      <protection locked="0"/>
    </xf>
    <xf numFmtId="9" fontId="2" fillId="0" borderId="1" xfId="11" applyFont="1" applyFill="1" applyBorder="1" applyAlignment="1" applyProtection="1">
      <alignment horizontal="center" vertical="center"/>
      <protection locked="0"/>
    </xf>
    <xf numFmtId="176" fontId="2" fillId="0" borderId="0" xfId="0" applyNumberFormat="1" applyFont="1" applyFill="1" applyAlignment="1" applyProtection="1">
      <alignment horizontal="center" vertical="center"/>
      <protection locked="0"/>
    </xf>
    <xf numFmtId="9" fontId="2" fillId="0" borderId="0" xfId="11" applyFont="1" applyFill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6350</xdr:colOff>
      <xdr:row>1</xdr:row>
      <xdr:rowOff>6350</xdr:rowOff>
    </xdr:from>
    <xdr:to>
      <xdr:col>6</xdr:col>
      <xdr:colOff>2419350</xdr:colOff>
      <xdr:row>16</xdr:row>
      <xdr:rowOff>254000</xdr:rowOff>
    </xdr:to>
    <xdr:pic>
      <xdr:nvPicPr>
        <xdr:cNvPr id="2" name="图片 1" descr="167334068289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38000" y="336550"/>
          <a:ext cx="2413000" cy="443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E8" sqref="E8"/>
    </sheetView>
  </sheetViews>
  <sheetFormatPr defaultColWidth="13.9090909090909" defaultRowHeight="22" customHeight="1" outlineLevelCol="5"/>
  <cols>
    <col min="1" max="1" width="14.8181818181818" style="2" customWidth="1"/>
    <col min="2" max="2" width="39" style="2" customWidth="1"/>
    <col min="3" max="3" width="44.9090909090909" style="2" customWidth="1"/>
    <col min="4" max="4" width="42.8181818181818" style="2" customWidth="1"/>
    <col min="5" max="5" width="17.4545454545455" style="2" customWidth="1"/>
    <col min="6" max="6" width="11.8181818181818" style="2" customWidth="1"/>
    <col min="7" max="7" width="40.4545454545455" style="2" customWidth="1"/>
    <col min="8" max="8" width="10.6363636363636" style="2" customWidth="1"/>
    <col min="9" max="9" width="13.9090909090909" style="2"/>
    <col min="10" max="10" width="17.1818181818182" style="2" customWidth="1"/>
    <col min="11" max="11" width="38.5454545454545" style="2" customWidth="1"/>
    <col min="12" max="12" width="4.09090909090909" style="2" customWidth="1"/>
    <col min="13" max="16384" width="13.9090909090909" style="2"/>
  </cols>
  <sheetData>
    <row r="1" ht="26" customHeight="1" spans="2:5">
      <c r="B1" s="3" t="s">
        <v>0</v>
      </c>
      <c r="C1" s="3"/>
      <c r="D1" s="3"/>
      <c r="E1" s="3"/>
    </row>
    <row r="2" customHeight="1" spans="4:4">
      <c r="D2" s="2" t="s">
        <v>1</v>
      </c>
    </row>
    <row r="3" customHeight="1" spans="2:4">
      <c r="B3" s="4" t="s">
        <v>2</v>
      </c>
      <c r="C3" s="4" t="s">
        <v>3</v>
      </c>
      <c r="D3" s="4" t="s">
        <v>4</v>
      </c>
    </row>
    <row r="4" customHeight="1" spans="2:4">
      <c r="B4" s="5" t="s">
        <v>5</v>
      </c>
      <c r="C4" s="5">
        <v>1100</v>
      </c>
      <c r="D4" s="5"/>
    </row>
    <row r="5" customHeight="1" spans="2:4">
      <c r="B5" s="5" t="s">
        <v>6</v>
      </c>
      <c r="C5" s="5">
        <v>1000</v>
      </c>
      <c r="D5" s="5"/>
    </row>
    <row r="6" customHeight="1" spans="2:4">
      <c r="B6" s="5" t="s">
        <v>7</v>
      </c>
      <c r="C6" s="5">
        <f>2227.9+7.86</f>
        <v>2235.76</v>
      </c>
      <c r="D6" s="5" t="s">
        <v>8</v>
      </c>
    </row>
    <row r="7" customHeight="1" spans="2:4">
      <c r="B7" s="5" t="s">
        <v>9</v>
      </c>
      <c r="C7" s="5">
        <f>C6-C5-C4</f>
        <v>135.76</v>
      </c>
      <c r="D7" s="5"/>
    </row>
    <row r="9" customHeight="1" spans="1:6">
      <c r="A9" s="3" t="s">
        <v>10</v>
      </c>
      <c r="B9" s="3"/>
      <c r="C9" s="3"/>
      <c r="D9" s="3"/>
      <c r="E9" s="3"/>
      <c r="F9" s="3"/>
    </row>
    <row r="10" customHeight="1" spans="6:6">
      <c r="F10" s="2" t="s">
        <v>1</v>
      </c>
    </row>
    <row r="11" s="1" customFormat="1" customHeight="1" spans="1:6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customHeight="1" spans="1:6">
      <c r="A12" s="5">
        <v>1</v>
      </c>
      <c r="B12" s="6" t="s">
        <v>17</v>
      </c>
      <c r="C12" s="5" t="s">
        <v>18</v>
      </c>
      <c r="D12" s="7">
        <f>(1100/12*10+2100+2100)*0.3%</f>
        <v>15.35</v>
      </c>
      <c r="E12" s="7">
        <f>D12/3</f>
        <v>5.11666666666667</v>
      </c>
      <c r="F12" s="8">
        <f>D12/D15</f>
        <v>0.693377902249525</v>
      </c>
    </row>
    <row r="13" customHeight="1" spans="1:6">
      <c r="A13" s="5">
        <v>2</v>
      </c>
      <c r="B13" s="6" t="s">
        <v>19</v>
      </c>
      <c r="C13" s="5" t="s">
        <v>20</v>
      </c>
      <c r="D13" s="7">
        <f>C7*5%</f>
        <v>6.78800000000001</v>
      </c>
      <c r="E13" s="7">
        <f>D13/3</f>
        <v>2.26266666666667</v>
      </c>
      <c r="F13" s="8">
        <f>D13/D15</f>
        <v>0.306622097750475</v>
      </c>
    </row>
    <row r="14" customHeight="1" spans="1:6">
      <c r="A14" s="5">
        <v>3</v>
      </c>
      <c r="B14" s="6" t="s">
        <v>21</v>
      </c>
      <c r="C14" s="5" t="s">
        <v>22</v>
      </c>
      <c r="D14" s="7"/>
      <c r="E14" s="7"/>
      <c r="F14" s="8"/>
    </row>
    <row r="15" customHeight="1" spans="1:6">
      <c r="A15" s="5"/>
      <c r="B15" s="5"/>
      <c r="C15" s="5"/>
      <c r="D15" s="7">
        <f>SUM(D12:D14)</f>
        <v>22.138</v>
      </c>
      <c r="E15" s="7">
        <f>SUM(E12:E14)</f>
        <v>7.37933333333334</v>
      </c>
      <c r="F15" s="8">
        <f>SUM(F12:F14)</f>
        <v>1</v>
      </c>
    </row>
    <row r="16" customHeight="1" spans="4:6">
      <c r="D16" s="9"/>
      <c r="E16" s="9"/>
      <c r="F16" s="10"/>
    </row>
    <row r="17" customHeight="1" spans="1:4">
      <c r="A17" s="3" t="s">
        <v>23</v>
      </c>
      <c r="B17" s="3"/>
      <c r="C17" s="3"/>
      <c r="D17" s="3"/>
    </row>
    <row r="18" customHeight="1" spans="1:4">
      <c r="A18" s="4" t="s">
        <v>24</v>
      </c>
      <c r="B18" s="4" t="s">
        <v>25</v>
      </c>
      <c r="C18" s="4" t="s">
        <v>26</v>
      </c>
      <c r="D18" s="4"/>
    </row>
    <row r="19" customHeight="1" spans="1:4">
      <c r="A19" s="5">
        <v>1</v>
      </c>
      <c r="B19" s="5" t="s">
        <v>27</v>
      </c>
      <c r="C19" s="6" t="s">
        <v>28</v>
      </c>
      <c r="D19" s="6"/>
    </row>
    <row r="20" customHeight="1" spans="1:4">
      <c r="A20" s="5">
        <v>2</v>
      </c>
      <c r="B20" s="5" t="s">
        <v>29</v>
      </c>
      <c r="C20" s="6" t="s">
        <v>30</v>
      </c>
      <c r="D20" s="6"/>
    </row>
    <row r="21" customHeight="1" spans="1:4">
      <c r="A21" s="5">
        <v>3</v>
      </c>
      <c r="B21" s="5" t="s">
        <v>31</v>
      </c>
      <c r="C21" s="6" t="s">
        <v>32</v>
      </c>
      <c r="D21" s="6"/>
    </row>
    <row r="22" customHeight="1" spans="1:4">
      <c r="A22" s="5">
        <v>4</v>
      </c>
      <c r="B22" s="5" t="s">
        <v>33</v>
      </c>
      <c r="C22" s="6" t="s">
        <v>34</v>
      </c>
      <c r="D22" s="6"/>
    </row>
    <row r="23" customHeight="1" spans="1:4">
      <c r="A23" s="5">
        <v>5</v>
      </c>
      <c r="B23" s="5" t="s">
        <v>35</v>
      </c>
      <c r="C23" s="6" t="s">
        <v>36</v>
      </c>
      <c r="D23" s="6"/>
    </row>
    <row r="24" customHeight="1" spans="1:4">
      <c r="A24" s="5">
        <v>6</v>
      </c>
      <c r="B24" s="5" t="s">
        <v>37</v>
      </c>
      <c r="C24" s="6" t="s">
        <v>38</v>
      </c>
      <c r="D24" s="6"/>
    </row>
    <row r="25" customHeight="1" spans="1:4">
      <c r="A25" s="5">
        <v>7</v>
      </c>
      <c r="B25" s="5" t="s">
        <v>39</v>
      </c>
      <c r="C25" s="6" t="s">
        <v>40</v>
      </c>
      <c r="D25" s="6"/>
    </row>
    <row r="26" customHeight="1" spans="1:4">
      <c r="A26" s="5">
        <v>8</v>
      </c>
      <c r="B26" s="5" t="s">
        <v>41</v>
      </c>
      <c r="C26" s="6" t="s">
        <v>42</v>
      </c>
      <c r="D26" s="6"/>
    </row>
  </sheetData>
  <mergeCells count="12">
    <mergeCell ref="B1:D1"/>
    <mergeCell ref="A9:F9"/>
    <mergeCell ref="A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陈延琴</cp:lastModifiedBy>
  <dcterms:created xsi:type="dcterms:W3CDTF">2022-01-22T02:29:00Z</dcterms:created>
  <dcterms:modified xsi:type="dcterms:W3CDTF">2023-01-20T03:41:45Z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324FBEA4AA5543F2A2F9C6C0FBF5FD89</vt:lpwstr>
  </property>
  <property fmtid="{D5CDD505-2E9C-101B-9397-08002B2CF9AE}" pid="3" name="KSOProductBuildVer">
    <vt:lpwstr>2052-11.1.0.12970</vt:lpwstr>
  </property>
</Properties>
</file>