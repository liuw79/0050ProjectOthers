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0660" windowHeight="12020" activeTab="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<sst xmlns="http://schemas.openxmlformats.org/spreadsheetml/2006/main" uniqueCount="17" count="17">
  <si>
    <t>变更前</t>
  </si>
  <si>
    <t>高维信息技术（深圳）有限公司</t>
  </si>
  <si>
    <t>股东</t>
  </si>
  <si>
    <t>直接持股比例</t>
  </si>
  <si>
    <t>高维投资（深圳）有限责任公司</t>
  </si>
  <si>
    <t>林传科（代持）</t>
  </si>
  <si>
    <t>冯卫东</t>
  </si>
  <si>
    <t>间接持股比例</t>
  </si>
  <si>
    <t>林传科</t>
  </si>
  <si>
    <t>刘伟</t>
  </si>
  <si>
    <t>林慧余</t>
  </si>
  <si>
    <t>刘发军</t>
  </si>
  <si>
    <t>变更后（方案一）</t>
  </si>
  <si>
    <t>代持激励股权</t>
  </si>
  <si>
    <t>税负转让方式一（按照实际价值）：2587*83.34%*14.45%*20%=62.31万元；
税负转让方式二（按照平价转让）：不涉税。</t>
  </si>
  <si>
    <t>变更后（方案二）</t>
  </si>
  <si>
    <t>税负：2587*(1-24.45%-11.76%-4.9%)*20%=304.70万元</t>
  </si>
</sst>
</file>

<file path=xl/styles.xml><?xml version="1.0" encoding="utf-8"?>
<styleSheet xmlns="http://schemas.openxmlformats.org/spreadsheetml/2006/main">
  <numFmts count="3">
    <numFmt numFmtId="0" formatCode="General"/>
    <numFmt numFmtId="10" formatCode="0.00%"/>
    <numFmt numFmtId="9" formatCode="0%"/>
  </numFmts>
  <fonts count="4">
    <font>
      <name val="宋体"/>
      <sz val="11"/>
    </font>
    <font>
      <name val="宋体"/>
      <charset val="134"/>
      <sz val="11"/>
      <color rgb="FF000000"/>
    </font>
    <font>
      <name val="宋体"/>
      <charset val="134"/>
      <sz val="11"/>
      <color rgb="FFFF0000"/>
    </font>
    <font>
      <name val="宋体"/>
      <charset val="134"/>
      <sz val="11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>
      <alignment vertical="top"/>
      <protection locked="0" hidden="0"/>
    </xf>
  </cellStyleXfs>
  <cellXfs count="31">
    <xf numFmtId="0" fontId="0" fillId="0" borderId="0" xfId="0">
      <alignment vertical="center"/>
    </xf>
    <xf numFmtId="0" fontId="1" fillId="2" borderId="1" xfId="0" applyFill="1" applyBorder="1" applyAlignment="1">
      <alignment horizontal="center" vertical="center" wrapText="1"/>
    </xf>
    <xf numFmtId="0" fontId="1" fillId="2" borderId="2" xfId="0" applyFill="1" applyBorder="1" applyAlignment="1">
      <alignment horizontal="center" vertical="center" wrapText="1"/>
    </xf>
    <xf numFmtId="0" fontId="1" fillId="2" borderId="3" xfId="0" applyFill="1" applyBorder="1" applyAlignment="1">
      <alignment horizontal="center" vertical="center" wrapText="1"/>
    </xf>
    <xf numFmtId="0" fontId="1" fillId="0" borderId="4" xfId="0" applyBorder="1">
      <alignment vertical="center"/>
    </xf>
    <xf numFmtId="0" fontId="1" fillId="0" borderId="5" xfId="0" applyBorder="1">
      <alignment vertical="center"/>
    </xf>
    <xf numFmtId="0" fontId="1" fillId="3" borderId="6" xfId="0" applyFill="1" applyBorder="1" applyAlignment="1">
      <alignment horizontal="center" vertical="center"/>
    </xf>
    <xf numFmtId="0" fontId="1" fillId="3" borderId="7" xfId="0" applyFill="1" applyBorder="1" applyAlignment="1">
      <alignment horizontal="center" vertical="center"/>
    </xf>
    <xf numFmtId="0" fontId="1" fillId="0" borderId="6" xfId="0" applyBorder="1" applyAlignment="1">
      <alignment horizontal="center" vertical="center"/>
    </xf>
    <xf numFmtId="0" fontId="1" fillId="0" borderId="7" xfId="0" applyBorder="1" applyAlignment="1">
      <alignment horizontal="center" vertical="center"/>
    </xf>
    <xf numFmtId="10" fontId="1" fillId="0" borderId="7" xfId="0" applyNumberFormat="1" applyBorder="1" applyAlignment="1">
      <alignment horizontal="center" vertical="center"/>
    </xf>
    <xf numFmtId="0" fontId="1" fillId="4" borderId="8" xfId="0" applyFill="1" applyBorder="1" applyAlignment="1">
      <alignment horizontal="center" vertical="center"/>
    </xf>
    <xf numFmtId="0" fontId="1" fillId="0" borderId="8" xfId="0" applyBorder="1" applyAlignment="1">
      <alignment horizontal="center" vertical="center"/>
    </xf>
    <xf numFmtId="10" fontId="1" fillId="0" borderId="8" xfId="1" applyNumberFormat="1" applyBorder="1" applyAlignment="1">
      <alignment horizontal="center" vertical="center"/>
    </xf>
    <xf numFmtId="0" fontId="1" fillId="0" borderId="9" xfId="0" applyBorder="1" applyAlignment="1">
      <alignment horizontal="center" vertical="center"/>
    </xf>
    <xf numFmtId="10" fontId="1" fillId="0" borderId="10" xfId="0" applyNumberFormat="1" applyBorder="1" applyAlignment="1">
      <alignment horizontal="center" vertical="center"/>
    </xf>
    <xf numFmtId="10" fontId="1" fillId="0" borderId="11" xfId="1" applyNumberFormat="1" applyBorder="1" applyAlignment="1">
      <alignment horizontal="center" vertical="center"/>
    </xf>
    <xf numFmtId="0" fontId="1" fillId="2" borderId="12" xfId="0" applyFill="1" applyBorder="1" applyAlignment="1">
      <alignment horizontal="center" vertical="center" wrapText="1"/>
    </xf>
    <xf numFmtId="0" fontId="1" fillId="2" borderId="13" xfId="0" applyFill="1" applyBorder="1" applyAlignment="1">
      <alignment horizontal="center" vertical="center" wrapText="1"/>
    </xf>
    <xf numFmtId="0" fontId="1" fillId="2" borderId="14" xfId="0" applyFill="1" applyBorder="1" applyAlignment="1">
      <alignment horizontal="center" vertical="center" wrapText="1"/>
    </xf>
    <xf numFmtId="0" fontId="1" fillId="0" borderId="0" xfId="0" applyBorder="1">
      <alignment vertical="center"/>
    </xf>
    <xf numFmtId="0" fontId="2" fillId="0" borderId="9" xfId="0" applyFont="1" applyBorder="1" applyAlignment="1">
      <alignment horizontal="center" vertical="center"/>
    </xf>
    <xf numFmtId="0" fontId="1" fillId="0" borderId="1" xfId="0" applyBorder="1" applyAlignment="1">
      <alignment horizontal="center" vertical="center" wrapText="1"/>
    </xf>
    <xf numFmtId="0" fontId="1" fillId="0" borderId="2" xfId="0" applyBorder="1" applyAlignment="1">
      <alignment horizontal="center" vertical="center"/>
    </xf>
    <xf numFmtId="0" fontId="1" fillId="0" borderId="3" xfId="0" applyBorder="1" applyAlignment="1">
      <alignment horizontal="center" vertical="center"/>
    </xf>
    <xf numFmtId="0" fontId="1" fillId="0" borderId="15" xfId="0" applyBorder="1" applyAlignment="1">
      <alignment horizontal="center" vertical="center"/>
    </xf>
    <xf numFmtId="0" fontId="1" fillId="0" borderId="16" xfId="0" applyBorder="1" applyAlignment="1">
      <alignment horizontal="center" vertical="center"/>
    </xf>
    <xf numFmtId="0" fontId="1" fillId="0" borderId="17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Border="1" applyAlignment="1">
      <alignment horizontal="center" vertical="center"/>
    </xf>
  </cellXfs>
  <cellStyles count="2">
    <cellStyle name="常规" xfId="0" builtinId="0"/>
    <cellStyle name="百分比" xfId="1" builtinId="5"/>
  </cellStyles>
  <dxfs count="17"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diagonal/>
        <horizontal style="thin">
          <color rgb="FF91AADF"/>
        </horizontal>
      </border>
    </dxf>
    <dxf>
      <font>
        <b/>
        <color rgb="FFFFFFFF"/>
      </font>
      <fill>
        <patternFill patternType="solid">
          <fgColor rgb="FF4874CB"/>
          <bgColor rgb="FF4874CB"/>
        </patternFill>
      </fill>
    </dxf>
    <dxf>
      <font>
        <b/>
        <color rgb="FF000000"/>
      </font>
      <border>
        <left/>
        <right/>
        <top style="double">
          <color rgb="FF4874CB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  <diagonal/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border>
        <left/>
        <right/>
        <top style="thin">
          <color rgb="FF4874CB"/>
        </top>
        <bottom style="thin">
          <color rgb="FF4874CB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1AADF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</dxfs>
  <tableStyles defaultTableStyle="TableStylePreset3_Accent1" defaultPivotStyle="PivotStylePreset2_Accent1" count="2">
    <tableStyle name="TableStylePreset3_Accent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53"/>
  <sheetViews>
    <sheetView tabSelected="1" workbookViewId="0" topLeftCell="A24" zoomScale="135">
      <selection activeCell="A31" sqref="A31:C32"/>
    </sheetView>
  </sheetViews>
  <sheetFormatPr defaultRowHeight="16.8" defaultColWidth="9"/>
  <cols>
    <col min="1" max="1" customWidth="1" width="34.535156" style="0"/>
    <col min="2" max="2" customWidth="1" width="15.3828125" style="0"/>
    <col min="3" max="3" customWidth="1" width="34.535156" style="0"/>
    <col min="5" max="6" customWidth="0" width="12.921875" style="0"/>
  </cols>
  <sheetData>
    <row r="1" spans="8:8">
      <c r="A1" s="1" t="s">
        <v>0</v>
      </c>
      <c r="B1" s="2"/>
      <c r="C1" s="3"/>
    </row>
    <row r="2" spans="8:8">
      <c r="A2" s="4"/>
      <c r="C2" s="5"/>
    </row>
    <row r="3" spans="8:8">
      <c r="A3" s="6" t="s">
        <v>1</v>
      </c>
      <c r="B3" s="7"/>
      <c r="C3" s="5"/>
    </row>
    <row r="4" spans="8:8">
      <c r="A4" s="8" t="s">
        <v>2</v>
      </c>
      <c r="B4" s="9" t="s">
        <v>3</v>
      </c>
      <c r="C4" s="5"/>
    </row>
    <row r="5" spans="8:8">
      <c r="A5" s="8" t="s">
        <v>4</v>
      </c>
      <c r="B5" s="10">
        <v>0.8334</v>
      </c>
      <c r="C5" s="5"/>
    </row>
    <row r="6" spans="8:8">
      <c r="A6" s="8" t="s">
        <v>5</v>
      </c>
      <c r="B6" s="10">
        <v>0.1176</v>
      </c>
      <c r="C6" s="5"/>
    </row>
    <row r="7" spans="8:8">
      <c r="A7" s="8" t="s">
        <v>6</v>
      </c>
      <c r="B7" s="10">
        <v>0.049</v>
      </c>
      <c r="C7" s="5"/>
    </row>
    <row r="8" spans="8:8">
      <c r="A8" s="4"/>
      <c r="C8" s="5"/>
    </row>
    <row r="9" spans="8:8">
      <c r="A9" s="6" t="s">
        <v>4</v>
      </c>
      <c r="B9" s="7"/>
      <c r="C9" s="11" t="s">
        <v>1</v>
      </c>
    </row>
    <row r="10" spans="8:8">
      <c r="A10" s="8" t="s">
        <v>2</v>
      </c>
      <c r="B10" s="9" t="s">
        <v>3</v>
      </c>
      <c r="C10" s="12" t="s">
        <v>7</v>
      </c>
    </row>
    <row r="11" spans="8:8">
      <c r="A11" s="8" t="s">
        <v>8</v>
      </c>
      <c r="B11" s="10">
        <v>0.4475</v>
      </c>
      <c r="C11" s="13">
        <f>$B$5*B11</f>
        <v>0.3729465</v>
      </c>
    </row>
    <row r="12" spans="8:8">
      <c r="A12" s="8" t="s">
        <v>9</v>
      </c>
      <c r="B12" s="10">
        <v>0.192</v>
      </c>
      <c r="C12" s="13">
        <f>$B$5*B12</f>
        <v>0.1600128</v>
      </c>
    </row>
    <row r="13" spans="8:8">
      <c r="A13" s="8" t="s">
        <v>10</v>
      </c>
      <c r="B13" s="10">
        <v>0.2045</v>
      </c>
      <c r="C13" s="13">
        <f>$B$5*B13</f>
        <v>0.1704303</v>
      </c>
    </row>
    <row r="14" spans="8:8" ht="17.55">
      <c r="A14" s="14" t="s">
        <v>11</v>
      </c>
      <c r="B14" s="15">
        <v>0.156</v>
      </c>
      <c r="C14" s="16">
        <f>$B$5*B14</f>
        <v>0.1300104</v>
      </c>
    </row>
    <row r="15" spans="8:8" ht="17.55"/>
    <row r="16" spans="8:8">
      <c r="A16" s="17" t="s">
        <v>12</v>
      </c>
      <c r="B16" s="18"/>
      <c r="C16" s="19"/>
    </row>
    <row r="17" spans="8:8" ht="17.0" customHeight="1">
      <c r="A17" s="4"/>
      <c r="B17" s="20"/>
      <c r="C17" s="5"/>
    </row>
    <row r="18" spans="8:8">
      <c r="A18" s="6" t="s">
        <v>1</v>
      </c>
      <c r="B18" s="7"/>
      <c r="C18" s="5"/>
    </row>
    <row r="19" spans="8:8">
      <c r="A19" s="8" t="s">
        <v>2</v>
      </c>
      <c r="B19" s="9" t="s">
        <v>3</v>
      </c>
      <c r="C19" s="5"/>
    </row>
    <row r="20" spans="8:8">
      <c r="A20" s="8" t="s">
        <v>4</v>
      </c>
      <c r="B20" s="10">
        <v>0.8334</v>
      </c>
      <c r="C20" s="5"/>
    </row>
    <row r="21" spans="8:8">
      <c r="A21" s="8" t="s">
        <v>5</v>
      </c>
      <c r="B21" s="10">
        <v>0.1176</v>
      </c>
      <c r="C21" s="5"/>
    </row>
    <row r="22" spans="8:8">
      <c r="A22" s="8" t="s">
        <v>6</v>
      </c>
      <c r="B22" s="10">
        <v>0.049</v>
      </c>
      <c r="C22" s="5"/>
    </row>
    <row r="23" spans="8:8">
      <c r="A23" s="4"/>
      <c r="B23" s="20"/>
      <c r="C23" s="5"/>
    </row>
    <row r="24" spans="8:8">
      <c r="A24" s="6" t="s">
        <v>4</v>
      </c>
      <c r="B24" s="7"/>
      <c r="C24" s="11" t="s">
        <v>1</v>
      </c>
    </row>
    <row r="25" spans="8:8">
      <c r="A25" s="8" t="s">
        <v>2</v>
      </c>
      <c r="B25" s="9" t="s">
        <v>3</v>
      </c>
      <c r="C25" s="12" t="s">
        <v>7</v>
      </c>
    </row>
    <row r="26" spans="8:8">
      <c r="A26" s="8" t="s">
        <v>8</v>
      </c>
      <c r="B26" s="10">
        <v>0.4475</v>
      </c>
      <c r="C26" s="13">
        <f>$B$5*B26</f>
        <v>0.3729465</v>
      </c>
    </row>
    <row r="27" spans="8:8">
      <c r="A27" s="8" t="s">
        <v>9</v>
      </c>
      <c r="B27" s="10">
        <v>0.192</v>
      </c>
      <c r="C27" s="13">
        <f>$B$5*B27</f>
        <v>0.1600128</v>
      </c>
    </row>
    <row r="28" spans="8:8" ht="16.0" customHeight="1">
      <c r="A28" s="8" t="s">
        <v>10</v>
      </c>
      <c r="B28" s="10">
        <f>C28/B20</f>
        <v>0.059995200383969285</v>
      </c>
      <c r="C28" s="13">
        <v>0.05</v>
      </c>
    </row>
    <row r="29" spans="8:8">
      <c r="A29" s="8" t="s">
        <v>11</v>
      </c>
      <c r="B29" s="10">
        <v>0.156</v>
      </c>
      <c r="C29" s="13">
        <f>$B$5*B29</f>
        <v>0.1300104</v>
      </c>
    </row>
    <row r="30" spans="8:8">
      <c r="A30" s="21" t="s">
        <v>13</v>
      </c>
      <c r="B30" s="15">
        <f>B13-B28</f>
        <v>0.1445047996160307</v>
      </c>
      <c r="C30" s="16">
        <f>B30*B20</f>
        <v>0.12043029999999998</v>
      </c>
    </row>
    <row r="31" spans="8:8">
      <c r="A31" s="22" t="s">
        <v>14</v>
      </c>
      <c r="B31" s="23"/>
      <c r="C31" s="24"/>
    </row>
    <row r="32" spans="8:8">
      <c r="A32" s="25"/>
      <c r="B32" s="26"/>
      <c r="C32" s="27"/>
    </row>
    <row r="33" spans="8:8" ht="17.55"/>
    <row r="34" spans="8:8">
      <c r="A34" s="17" t="s">
        <v>15</v>
      </c>
      <c r="B34" s="18"/>
      <c r="C34" s="19"/>
    </row>
    <row r="35" spans="8:8">
      <c r="A35" s="4"/>
      <c r="B35" s="20"/>
      <c r="C35" s="5"/>
    </row>
    <row r="36" spans="8:8">
      <c r="A36" s="6" t="s">
        <v>1</v>
      </c>
      <c r="B36" s="7"/>
      <c r="C36" s="5"/>
    </row>
    <row r="37" spans="8:8">
      <c r="A37" s="8" t="s">
        <v>2</v>
      </c>
      <c r="B37" s="9" t="s">
        <v>3</v>
      </c>
      <c r="C37" s="5"/>
    </row>
    <row r="38" spans="8:8">
      <c r="A38" s="8" t="s">
        <v>4</v>
      </c>
      <c r="B38" s="10">
        <f>C50/B50</f>
        <v>0.24449877750611249</v>
      </c>
      <c r="C38" s="5"/>
    </row>
    <row r="39" spans="8:8">
      <c r="A39" s="8" t="s">
        <v>5</v>
      </c>
      <c r="B39" s="10">
        <v>0.1176</v>
      </c>
      <c r="C39" s="5"/>
    </row>
    <row r="40" spans="8:8">
      <c r="A40" s="8" t="s">
        <v>6</v>
      </c>
      <c r="B40" s="10">
        <v>0.049</v>
      </c>
      <c r="C40" s="5"/>
    </row>
    <row r="41" spans="8:8">
      <c r="A41" s="8" t="s">
        <v>8</v>
      </c>
      <c r="B41" s="10">
        <f>C26-C48</f>
        <v>0.263533297066015</v>
      </c>
      <c r="C41" s="5"/>
    </row>
    <row r="42" spans="8:8">
      <c r="A42" s="8" t="s">
        <v>9</v>
      </c>
      <c r="B42" s="10">
        <f>C27-C49</f>
        <v>0.11306903471882641</v>
      </c>
      <c r="C42" s="5"/>
    </row>
    <row r="43" spans="8:8">
      <c r="A43" s="28" t="s">
        <v>11</v>
      </c>
      <c r="B43" s="10">
        <f>C29-C51</f>
        <v>0.09186859070904649</v>
      </c>
      <c r="C43" s="5"/>
    </row>
    <row r="44" spans="8:8">
      <c r="A44" s="29" t="s">
        <v>13</v>
      </c>
      <c r="B44" s="10">
        <f>1-SUM(B38:B43)</f>
        <v>0.12043029999999899</v>
      </c>
      <c r="C44" s="5"/>
    </row>
    <row r="45" spans="8:8">
      <c r="A45" s="4"/>
      <c r="B45" s="20"/>
      <c r="C45" s="5"/>
    </row>
    <row r="46" spans="8:8">
      <c r="A46" s="6" t="s">
        <v>4</v>
      </c>
      <c r="B46" s="7"/>
      <c r="C46" s="11" t="s">
        <v>1</v>
      </c>
    </row>
    <row r="47" spans="8:8">
      <c r="A47" s="8" t="s">
        <v>2</v>
      </c>
      <c r="B47" s="9" t="s">
        <v>3</v>
      </c>
      <c r="C47" s="12" t="s">
        <v>7</v>
      </c>
    </row>
    <row r="48" spans="8:8">
      <c r="A48" s="8" t="s">
        <v>8</v>
      </c>
      <c r="B48" s="10">
        <v>0.4475</v>
      </c>
      <c r="C48" s="13">
        <f t="shared" si="0" ref="C48:C51">B48*$B$38</f>
        <v>0.10941320293398533</v>
      </c>
    </row>
    <row r="49" spans="8:8">
      <c r="A49" s="8" t="s">
        <v>9</v>
      </c>
      <c r="B49" s="10">
        <v>0.192</v>
      </c>
      <c r="C49" s="13">
        <f t="shared" si="0"/>
        <v>0.0469437652811736</v>
      </c>
    </row>
    <row r="50" spans="8:8">
      <c r="A50" s="8" t="s">
        <v>10</v>
      </c>
      <c r="B50" s="10">
        <v>0.2045</v>
      </c>
      <c r="C50" s="13">
        <v>0.05</v>
      </c>
    </row>
    <row r="51" spans="8:8" ht="17.55">
      <c r="A51" s="14" t="s">
        <v>11</v>
      </c>
      <c r="B51" s="15">
        <v>0.156</v>
      </c>
      <c r="C51" s="16">
        <f t="shared" si="0"/>
        <v>0.038141809290953545</v>
      </c>
    </row>
    <row r="52" spans="8:8">
      <c r="A52" s="30" t="s">
        <v>16</v>
      </c>
      <c r="B52" s="23"/>
      <c r="C52" s="24"/>
    </row>
    <row r="53" spans="8:8" ht="17.55">
      <c r="A53" s="25"/>
      <c r="B53" s="26"/>
      <c r="C53" s="27"/>
    </row>
  </sheetData>
  <mergeCells count="11">
    <mergeCell ref="A1:C1"/>
    <mergeCell ref="A31:C32"/>
    <mergeCell ref="A3:B3"/>
    <mergeCell ref="A34:C34"/>
    <mergeCell ref="A46:B46"/>
    <mergeCell ref="A36:B36"/>
    <mergeCell ref="A24:B24"/>
    <mergeCell ref="A18:B18"/>
    <mergeCell ref="A16:C16"/>
    <mergeCell ref="A52:C53"/>
    <mergeCell ref="A9:B9"/>
  </mergeCells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yinlianfu</dc:creator>
  <cp:lastModifiedBy>大成</cp:lastModifiedBy>
  <dcterms:created xsi:type="dcterms:W3CDTF">2024-06-13T07:30:00Z</dcterms:created>
  <dcterms:modified xsi:type="dcterms:W3CDTF">2024-06-13T01:44:01Z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D079C57CD254CE69964E696608EA435A_41</vt:lpwstr>
  </property>
  <property fmtid="{D5CDD505-2E9C-101B-9397-08002B2CF9AE}" pid="3" name="KSOProductBuildVer">
    <vt:lpwstr>2052-6.2.0.8299</vt:lpwstr>
  </property>
</Properties>
</file>