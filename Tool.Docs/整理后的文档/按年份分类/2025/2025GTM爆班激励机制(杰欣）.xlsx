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梓梓工作文件夹\高维\2025年度规划\"/>
    </mc:Choice>
  </mc:AlternateContent>
  <bookViews>
    <workbookView xWindow="0" yWindow="0" windowWidth="38400" windowHeight="17490"/>
  </bookViews>
  <sheets>
    <sheet name="Sheet4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Q4" i="1"/>
  <c r="L8" i="1"/>
  <c r="M8" i="1"/>
  <c r="N8" i="1"/>
  <c r="O8" i="1"/>
  <c r="P8" i="1"/>
  <c r="L9" i="1"/>
  <c r="M9" i="1"/>
  <c r="R9" i="1" s="1"/>
  <c r="Q9" i="1"/>
  <c r="L10" i="1"/>
  <c r="M10" i="1"/>
  <c r="L11" i="1"/>
  <c r="M11" i="1"/>
  <c r="L12" i="1"/>
  <c r="M12" i="1"/>
  <c r="R12" i="1" s="1"/>
  <c r="Q12" i="1"/>
  <c r="B13" i="1"/>
  <c r="C13" i="1"/>
  <c r="D13" i="1"/>
  <c r="E13" i="1"/>
  <c r="F13" i="1"/>
  <c r="L13" i="1"/>
  <c r="M13" i="1"/>
  <c r="Q13" i="1"/>
  <c r="R13" i="1"/>
  <c r="B14" i="1"/>
  <c r="F14" i="1" s="1"/>
  <c r="C14" i="1"/>
  <c r="H14" i="1" s="1"/>
  <c r="D14" i="1"/>
  <c r="I14" i="1"/>
  <c r="L14" i="1"/>
  <c r="M14" i="1"/>
  <c r="B15" i="1"/>
  <c r="G16" i="1" s="1"/>
  <c r="C15" i="1"/>
  <c r="E15" i="1" s="1"/>
  <c r="D15" i="1"/>
  <c r="I15" i="1"/>
  <c r="L15" i="1"/>
  <c r="M15" i="1"/>
  <c r="Q15" i="1"/>
  <c r="R15" i="1"/>
  <c r="C16" i="1"/>
  <c r="H16" i="1" s="1"/>
  <c r="D16" i="1"/>
  <c r="I16" i="1" s="1"/>
  <c r="L16" i="1"/>
  <c r="M16" i="1"/>
  <c r="E23" i="1"/>
  <c r="C26" i="1"/>
  <c r="E26" i="1"/>
  <c r="D26" i="1" s="1"/>
  <c r="F26" i="1"/>
  <c r="Q8" i="1" s="1"/>
  <c r="R8" i="1" s="1"/>
  <c r="C27" i="1"/>
  <c r="E27" i="1"/>
  <c r="D27" i="1" s="1"/>
  <c r="F27" i="1"/>
  <c r="C28" i="1"/>
  <c r="E28" i="1"/>
  <c r="D28" i="1" s="1"/>
  <c r="F28" i="1"/>
  <c r="Q10" i="1" s="1"/>
  <c r="R10" i="1" s="1"/>
  <c r="C29" i="1"/>
  <c r="E29" i="1"/>
  <c r="D29" i="1" s="1"/>
  <c r="F29" i="1"/>
  <c r="Q11" i="1" s="1"/>
  <c r="R11" i="1" s="1"/>
  <c r="C30" i="1"/>
  <c r="E30" i="1"/>
  <c r="D30" i="1" s="1"/>
  <c r="F30" i="1"/>
  <c r="C31" i="1"/>
  <c r="E31" i="1"/>
  <c r="D31" i="1" s="1"/>
  <c r="F31" i="1"/>
  <c r="C32" i="1"/>
  <c r="E32" i="1"/>
  <c r="D32" i="1" s="1"/>
  <c r="F32" i="1"/>
  <c r="Q14" i="1" s="1"/>
  <c r="R14" i="1" s="1"/>
  <c r="C33" i="1"/>
  <c r="E33" i="1"/>
  <c r="D33" i="1" s="1"/>
  <c r="F33" i="1"/>
  <c r="C34" i="1"/>
  <c r="E34" i="1"/>
  <c r="D34" i="1" s="1"/>
  <c r="F34" i="1"/>
  <c r="Q16" i="1" s="1"/>
  <c r="R16" i="1" s="1"/>
  <c r="H15" i="1" l="1"/>
  <c r="G14" i="1"/>
  <c r="F15" i="1"/>
  <c r="E14" i="1"/>
  <c r="G15" i="1"/>
</calcChain>
</file>

<file path=xl/sharedStrings.xml><?xml version="1.0" encoding="utf-8"?>
<sst xmlns="http://schemas.openxmlformats.org/spreadsheetml/2006/main" count="51" uniqueCount="38">
  <si>
    <t>奖金</t>
    <phoneticPr fontId="2" type="noConversion"/>
  </si>
  <si>
    <t>毛利</t>
    <phoneticPr fontId="2" type="noConversion"/>
  </si>
  <si>
    <t>营收</t>
    <phoneticPr fontId="2" type="noConversion"/>
  </si>
  <si>
    <t>毛利增量</t>
    <phoneticPr fontId="2" type="noConversion"/>
  </si>
  <si>
    <t>假设爆班毛利增长率</t>
    <phoneticPr fontId="2" type="noConversion"/>
  </si>
  <si>
    <t>序号</t>
    <phoneticPr fontId="2" type="noConversion"/>
  </si>
  <si>
    <t>根据23年-24年毛利增长情况及25年预算目标，进行方案测算</t>
    <phoneticPr fontId="2" type="noConversion"/>
  </si>
  <si>
    <t>毛利率</t>
    <phoneticPr fontId="2" type="noConversion"/>
  </si>
  <si>
    <t>爆班数</t>
    <phoneticPr fontId="2" type="noConversion"/>
  </si>
  <si>
    <t>年份</t>
    <phoneticPr fontId="2" type="noConversion"/>
  </si>
  <si>
    <r>
      <t>爆班标准为</t>
    </r>
    <r>
      <rPr>
        <sz val="10"/>
        <color theme="1"/>
        <rFont val="等线"/>
        <family val="3"/>
        <charset val="134"/>
        <scheme val="minor"/>
      </rPr>
      <t>单个课堂人数</t>
    </r>
    <r>
      <rPr>
        <sz val="10"/>
        <color theme="1"/>
        <rFont val="等线"/>
        <family val="3"/>
        <charset val="134"/>
      </rPr>
      <t>≥60人</t>
    </r>
    <phoneticPr fontId="2" type="noConversion"/>
  </si>
  <si>
    <t>2024年爆班营收情况</t>
    <phoneticPr fontId="2" type="noConversion"/>
  </si>
  <si>
    <t>说明：2025年毛利率、净利润率需以财务预算为准，此处为假设</t>
    <phoneticPr fontId="2" type="noConversion"/>
  </si>
  <si>
    <t>2025预算</t>
    <phoneticPr fontId="2" type="noConversion"/>
  </si>
  <si>
    <t>净利润环比增长率</t>
    <phoneticPr fontId="2" type="noConversion"/>
  </si>
  <si>
    <t>毛利环比增长率</t>
    <phoneticPr fontId="2" type="noConversion"/>
  </si>
  <si>
    <t>营收环比收增长率</t>
    <phoneticPr fontId="2" type="noConversion"/>
  </si>
  <si>
    <t>净利润率</t>
    <phoneticPr fontId="2" type="noConversion"/>
  </si>
  <si>
    <t>净利润</t>
    <phoneticPr fontId="2" type="noConversion"/>
  </si>
  <si>
    <t>历年营收增长情况</t>
    <phoneticPr fontId="2" type="noConversion"/>
  </si>
  <si>
    <t>合计</t>
    <phoneticPr fontId="2" type="noConversion"/>
  </si>
  <si>
    <t>爆班毛利增量奖金</t>
    <phoneticPr fontId="2" type="noConversion"/>
  </si>
  <si>
    <t>会员</t>
    <phoneticPr fontId="2" type="noConversion"/>
  </si>
  <si>
    <t>后端</t>
    <phoneticPr fontId="2" type="noConversion"/>
  </si>
  <si>
    <t>公开课</t>
    <phoneticPr fontId="2" type="noConversion"/>
  </si>
  <si>
    <t>底薪</t>
    <phoneticPr fontId="2" type="noConversion"/>
  </si>
  <si>
    <t>爆班毛利增长率</t>
  </si>
  <si>
    <t>&lt;X</t>
    <phoneticPr fontId="2" type="noConversion"/>
  </si>
  <si>
    <t>假设公开课收入打8折，后端及会员收入减少80%，各爆班毛利增量情况下的收入情况</t>
    <phoneticPr fontId="2" type="noConversion"/>
  </si>
  <si>
    <t>&lt;X≤</t>
    <phoneticPr fontId="2" type="noConversion"/>
  </si>
  <si>
    <t>预测25年收入</t>
    <phoneticPr fontId="2" type="noConversion"/>
  </si>
  <si>
    <t>24年收入结构</t>
    <phoneticPr fontId="2" type="noConversion"/>
  </si>
  <si>
    <t>项目</t>
    <phoneticPr fontId="2" type="noConversion"/>
  </si>
  <si>
    <t>分润比例</t>
  </si>
  <si>
    <t>爆班增量毛利（X）</t>
    <phoneticPr fontId="2" type="noConversion"/>
  </si>
  <si>
    <t>杰欣</t>
    <phoneticPr fontId="2" type="noConversion"/>
  </si>
  <si>
    <t>根据爆班毛利增量情况进行分润</t>
    <phoneticPr fontId="2" type="noConversion"/>
  </si>
  <si>
    <t>方案：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</si>
</sst>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&quot;.&quot;0,&quot;万&quot;"/>
    <numFmt numFmtId="178" formatCode="0&quot;.&quot;0,&quot;万元&quot;"/>
  </numFmts>
  <fonts count="9" x14ac:knownFonts="1">
    <font>
      <sz val="10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DEE0E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0E3"/>
      </left>
      <right style="medium">
        <color rgb="FFDEE0E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DEE0E3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NumberFormat="0" applyFont="0" applyFill="0" applyBorder="0" applyProtection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2" borderId="1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9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178" fontId="0" fillId="0" borderId="0" xfId="0" applyNumberFormat="1" applyAlignment="1">
      <alignment vertical="center"/>
    </xf>
    <xf numFmtId="9" fontId="0" fillId="2" borderId="0" xfId="1" applyFont="1" applyFill="1" applyAlignment="1">
      <alignment vertical="center"/>
    </xf>
    <xf numFmtId="9" fontId="0" fillId="2" borderId="0" xfId="0" applyNumberFormat="1" applyFill="1" applyAlignment="1">
      <alignment vertical="center"/>
    </xf>
    <xf numFmtId="176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78" fontId="7" fillId="0" borderId="0" xfId="2" applyNumberForma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178" fontId="0" fillId="0" borderId="1" xfId="0" applyNumberFormat="1" applyBorder="1" applyAlignment="1">
      <alignment vertical="center"/>
    </xf>
    <xf numFmtId="178" fontId="0" fillId="4" borderId="1" xfId="0" applyNumberForma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9" fontId="4" fillId="0" borderId="5" xfId="1" applyFont="1" applyBorder="1" applyAlignment="1">
      <alignment horizontal="center" vertical="center" wrapText="1"/>
    </xf>
    <xf numFmtId="9" fontId="4" fillId="0" borderId="3" xfId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9" fontId="8" fillId="0" borderId="0" xfId="1" applyFont="1" applyAlignment="1">
      <alignment vertical="center"/>
    </xf>
    <xf numFmtId="9" fontId="8" fillId="2" borderId="0" xfId="1" applyFont="1" applyFill="1" applyAlignment="1">
      <alignment vertical="center"/>
    </xf>
  </cellXfs>
  <cellStyles count="3">
    <cellStyle name="百分比" xfId="1" builtinId="5"/>
    <cellStyle name="常规" xfId="0" builtinId="0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4218;&#37228;&#35268;&#21010;&#24037;&#20855;&#21253;&#65288;3&#34920;&#2925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表说明"/>
      <sheetName val="5_2024年公司薪酬包基线"/>
      <sheetName val="3_2023年1-12月人力成本 "/>
      <sheetName val="5_2024年公司薪酬包基线（清洁版）"/>
      <sheetName val="9_试点单元奖金公式"/>
      <sheetName val="6_公司人力成本预算"/>
      <sheetName val="7_公司薪酬包自上而下"/>
      <sheetName val="参考_公司薪酬包弹性关系"/>
      <sheetName val="2025固薪预算"/>
      <sheetName val="奖金预算"/>
      <sheetName val="Sheet1"/>
      <sheetName val="Sheet2"/>
      <sheetName val="Sheet3"/>
    </sheetNames>
    <sheetDataSet>
      <sheetData sheetId="0"/>
      <sheetData sheetId="1">
        <row r="2">
          <cell r="B2">
            <v>8791.7000000000007</v>
          </cell>
          <cell r="D2">
            <v>3261.58</v>
          </cell>
          <cell r="K2">
            <v>519.01</v>
          </cell>
        </row>
        <row r="3">
          <cell r="B3">
            <v>11796.1</v>
          </cell>
          <cell r="D3">
            <v>4948.05</v>
          </cell>
          <cell r="K3">
            <v>1629.38</v>
          </cell>
        </row>
      </sheetData>
      <sheetData sheetId="2"/>
      <sheetData sheetId="3">
        <row r="4">
          <cell r="B4">
            <v>15894.9</v>
          </cell>
          <cell r="D4">
            <v>5716.3</v>
          </cell>
          <cell r="K4">
            <v>2133.5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>
      <selection activeCell="M25" sqref="M25"/>
    </sheetView>
  </sheetViews>
  <sheetFormatPr defaultRowHeight="12.75" x14ac:dyDescent="0.2"/>
  <cols>
    <col min="1" max="1" width="7.42578125" style="1" customWidth="1"/>
    <col min="2" max="2" width="17.85546875" style="1" customWidth="1"/>
    <col min="3" max="3" width="13.28515625" style="1" customWidth="1"/>
    <col min="4" max="4" width="13.28515625" style="3" customWidth="1"/>
    <col min="5" max="5" width="18.7109375" style="1" customWidth="1"/>
    <col min="6" max="6" width="15" style="1" customWidth="1"/>
    <col min="7" max="7" width="20.7109375" style="1" customWidth="1"/>
    <col min="8" max="8" width="14.7109375" style="1" customWidth="1"/>
    <col min="9" max="11" width="9.140625" style="1"/>
    <col min="12" max="12" width="14.7109375" style="2" customWidth="1"/>
    <col min="13" max="13" width="14.7109375" style="1" customWidth="1"/>
    <col min="14" max="14" width="14.7109375" style="2" customWidth="1"/>
    <col min="15" max="15" width="15" style="1" customWidth="1"/>
    <col min="16" max="16" width="9.140625" style="1"/>
    <col min="17" max="17" width="16.85546875" style="1" customWidth="1"/>
    <col min="18" max="18" width="12.28515625" style="1" customWidth="1"/>
    <col min="19" max="16384" width="9.140625" style="1"/>
  </cols>
  <sheetData>
    <row r="1" spans="1:18" x14ac:dyDescent="0.2">
      <c r="B1" s="32" t="s">
        <v>37</v>
      </c>
      <c r="D1" s="2"/>
    </row>
    <row r="2" spans="1:18" x14ac:dyDescent="0.2">
      <c r="B2" s="32" t="s">
        <v>36</v>
      </c>
      <c r="D2" s="2"/>
      <c r="L2" s="1" t="s">
        <v>35</v>
      </c>
      <c r="N2" s="1"/>
      <c r="O2" s="3"/>
    </row>
    <row r="3" spans="1:18" ht="21.75" customHeight="1" x14ac:dyDescent="0.2">
      <c r="B3" s="22" t="s">
        <v>34</v>
      </c>
      <c r="C3" s="21"/>
      <c r="D3" s="20"/>
      <c r="E3" s="28" t="s">
        <v>33</v>
      </c>
      <c r="L3" s="1" t="s">
        <v>32</v>
      </c>
      <c r="M3" s="1" t="s">
        <v>25</v>
      </c>
      <c r="N3" s="1" t="s">
        <v>24</v>
      </c>
      <c r="O3" s="3" t="s">
        <v>23</v>
      </c>
      <c r="P3" s="1" t="s">
        <v>22</v>
      </c>
      <c r="Q3" s="1" t="s">
        <v>20</v>
      </c>
    </row>
    <row r="4" spans="1:18" ht="21.75" customHeight="1" x14ac:dyDescent="0.2">
      <c r="B4" s="29">
        <v>0</v>
      </c>
      <c r="C4" s="17" t="s">
        <v>29</v>
      </c>
      <c r="D4" s="30">
        <v>0.2</v>
      </c>
      <c r="E4" s="31">
        <v>0.05</v>
      </c>
      <c r="L4" s="10" t="s">
        <v>31</v>
      </c>
      <c r="M4" s="12">
        <v>120000</v>
      </c>
      <c r="N4" s="12">
        <v>124133.02340000001</v>
      </c>
      <c r="O4" s="12">
        <v>293883.09710000001</v>
      </c>
      <c r="P4" s="12">
        <f>379690.93-M4</f>
        <v>259690.93</v>
      </c>
      <c r="Q4" s="12">
        <f>SUM(M4:P4)</f>
        <v>797707.0504999999</v>
      </c>
    </row>
    <row r="5" spans="1:18" ht="21.75" customHeight="1" x14ac:dyDescent="0.2">
      <c r="B5" s="29">
        <v>0.2</v>
      </c>
      <c r="C5" s="17" t="s">
        <v>29</v>
      </c>
      <c r="D5" s="30">
        <v>0.5</v>
      </c>
      <c r="E5" s="31">
        <v>7.0000000000000007E-2</v>
      </c>
      <c r="L5" s="1" t="s">
        <v>30</v>
      </c>
      <c r="M5" s="12"/>
      <c r="N5" s="19"/>
      <c r="O5" s="19"/>
      <c r="P5" s="12"/>
      <c r="Q5" s="12"/>
    </row>
    <row r="6" spans="1:18" ht="21.75" customHeight="1" x14ac:dyDescent="0.2">
      <c r="B6" s="29">
        <v>0.5</v>
      </c>
      <c r="C6" s="17" t="s">
        <v>29</v>
      </c>
      <c r="D6" s="30">
        <v>1</v>
      </c>
      <c r="E6" s="31">
        <v>0.1</v>
      </c>
      <c r="L6" s="18" t="s">
        <v>28</v>
      </c>
      <c r="M6" s="18"/>
      <c r="N6" s="18"/>
      <c r="O6" s="18"/>
      <c r="P6" s="18"/>
      <c r="Q6" s="18"/>
    </row>
    <row r="7" spans="1:18" ht="18.75" customHeight="1" x14ac:dyDescent="0.2">
      <c r="B7" s="29">
        <v>1</v>
      </c>
      <c r="C7" s="17" t="s">
        <v>27</v>
      </c>
      <c r="D7" s="30"/>
      <c r="E7" s="31">
        <v>0.15</v>
      </c>
      <c r="L7" s="23" t="s">
        <v>26</v>
      </c>
      <c r="M7" s="23" t="s">
        <v>25</v>
      </c>
      <c r="N7" s="23" t="s">
        <v>24</v>
      </c>
      <c r="O7" s="24" t="s">
        <v>23</v>
      </c>
      <c r="P7" s="23" t="s">
        <v>22</v>
      </c>
      <c r="Q7" s="23" t="s">
        <v>21</v>
      </c>
      <c r="R7" s="23" t="s">
        <v>20</v>
      </c>
    </row>
    <row r="8" spans="1:18" ht="18.75" customHeight="1" x14ac:dyDescent="0.2">
      <c r="D8" s="1"/>
      <c r="L8" s="25">
        <f>B26</f>
        <v>0.01</v>
      </c>
      <c r="M8" s="26">
        <f>20000*12</f>
        <v>240000</v>
      </c>
      <c r="N8" s="26">
        <f>N4*0.8</f>
        <v>99306.418720000016</v>
      </c>
      <c r="O8" s="26">
        <f>O4*0.2</f>
        <v>58776.619420000003</v>
      </c>
      <c r="P8" s="26">
        <f>P4*0.2</f>
        <v>51938.186000000002</v>
      </c>
      <c r="Q8" s="27">
        <f>VLOOKUP(L8,$B$25:$F$34,5,0)</f>
        <v>6263.746944999998</v>
      </c>
      <c r="R8" s="27">
        <f>SUM(M8:Q8)</f>
        <v>456284.97108500003</v>
      </c>
    </row>
    <row r="9" spans="1:18" ht="18.75" customHeight="1" x14ac:dyDescent="0.2">
      <c r="L9" s="25">
        <f>B27</f>
        <v>0.2</v>
      </c>
      <c r="M9" s="26">
        <f>20000*12</f>
        <v>240000</v>
      </c>
      <c r="N9" s="26">
        <v>99306.418720000016</v>
      </c>
      <c r="O9" s="26">
        <v>58776.619420000003</v>
      </c>
      <c r="P9" s="26">
        <v>51938.186000000002</v>
      </c>
      <c r="Q9" s="27">
        <f>VLOOKUP(L9,$B$25:$F$34,5,0)</f>
        <v>125274.93889999995</v>
      </c>
      <c r="R9" s="27">
        <f>SUM(M9:Q9)</f>
        <v>575296.16304000001</v>
      </c>
    </row>
    <row r="10" spans="1:18" ht="18.75" customHeight="1" x14ac:dyDescent="0.2">
      <c r="L10" s="25">
        <f>B28</f>
        <v>0.21</v>
      </c>
      <c r="M10" s="26">
        <f>20000*12</f>
        <v>240000</v>
      </c>
      <c r="N10" s="26">
        <v>99306.418720000016</v>
      </c>
      <c r="O10" s="26">
        <v>58776.619420000003</v>
      </c>
      <c r="P10" s="26">
        <v>51938.186000000002</v>
      </c>
      <c r="Q10" s="27">
        <f>VLOOKUP(L10,$B$25:$F$34,5,0)</f>
        <v>184154.16018299994</v>
      </c>
      <c r="R10" s="27">
        <f>SUM(M10:Q10)</f>
        <v>634175.38432299998</v>
      </c>
    </row>
    <row r="11" spans="1:18" ht="18.75" customHeight="1" x14ac:dyDescent="0.2">
      <c r="A11" s="1" t="s">
        <v>19</v>
      </c>
      <c r="L11" s="25">
        <f>B29</f>
        <v>0.5</v>
      </c>
      <c r="M11" s="26">
        <f>20000*12</f>
        <v>240000</v>
      </c>
      <c r="N11" s="26">
        <v>99306.418720000016</v>
      </c>
      <c r="O11" s="26">
        <v>58776.619420000003</v>
      </c>
      <c r="P11" s="26">
        <v>51938.186000000002</v>
      </c>
      <c r="Q11" s="27">
        <f>VLOOKUP(L11,$B$25:$F$34,5,0)</f>
        <v>438462.28614999988</v>
      </c>
      <c r="R11" s="27">
        <f>SUM(M11:Q11)</f>
        <v>888483.51028999989</v>
      </c>
    </row>
    <row r="12" spans="1:18" ht="18.75" customHeight="1" x14ac:dyDescent="0.2">
      <c r="A12" s="1" t="s">
        <v>9</v>
      </c>
      <c r="B12" s="1" t="s">
        <v>2</v>
      </c>
      <c r="C12" s="1" t="s">
        <v>1</v>
      </c>
      <c r="D12" s="3" t="s">
        <v>18</v>
      </c>
      <c r="E12" s="3" t="s">
        <v>7</v>
      </c>
      <c r="F12" s="3" t="s">
        <v>17</v>
      </c>
      <c r="G12" s="1" t="s">
        <v>16</v>
      </c>
      <c r="H12" s="1" t="s">
        <v>15</v>
      </c>
      <c r="I12" s="1" t="s">
        <v>14</v>
      </c>
      <c r="L12" s="25">
        <f>B30</f>
        <v>0.51</v>
      </c>
      <c r="M12" s="26">
        <f>20000*12</f>
        <v>240000</v>
      </c>
      <c r="N12" s="26">
        <v>99306.418720000016</v>
      </c>
      <c r="O12" s="26">
        <v>58776.619420000003</v>
      </c>
      <c r="P12" s="26">
        <v>51938.186000000002</v>
      </c>
      <c r="Q12" s="27">
        <f>VLOOKUP(L12,$B$25:$F$34,5,0)</f>
        <v>638902.18838999979</v>
      </c>
      <c r="R12" s="27">
        <f>SUM(M12:Q12)</f>
        <v>1088923.4125299999</v>
      </c>
    </row>
    <row r="13" spans="1:18" ht="18.75" customHeight="1" x14ac:dyDescent="0.2">
      <c r="A13" s="1">
        <v>2022</v>
      </c>
      <c r="B13" s="1">
        <f>'[1]5_2024年公司薪酬包基线'!B2</f>
        <v>8791.7000000000007</v>
      </c>
      <c r="C13" s="1">
        <f>'[1]5_2024年公司薪酬包基线'!D2</f>
        <v>3261.58</v>
      </c>
      <c r="D13" s="3">
        <f>'[1]5_2024年公司薪酬包基线'!K2</f>
        <v>519.01</v>
      </c>
      <c r="E13" s="2">
        <f>C13/B13</f>
        <v>0.37098399626920842</v>
      </c>
      <c r="F13" s="2">
        <f>D13/B13</f>
        <v>5.9034088970278779E-2</v>
      </c>
      <c r="L13" s="25">
        <f>B31</f>
        <v>0.6</v>
      </c>
      <c r="M13" s="26">
        <f>20000*12</f>
        <v>240000</v>
      </c>
      <c r="N13" s="26">
        <v>99306.418720000016</v>
      </c>
      <c r="O13" s="26">
        <v>58776.619420000003</v>
      </c>
      <c r="P13" s="26">
        <v>51938.186000000002</v>
      </c>
      <c r="Q13" s="27">
        <f>VLOOKUP(L13,$B$25:$F$34,5,0)</f>
        <v>751649.6333999997</v>
      </c>
      <c r="R13" s="27">
        <f>SUM(M13:Q13)</f>
        <v>1201670.8575399998</v>
      </c>
    </row>
    <row r="14" spans="1:18" ht="18.75" customHeight="1" x14ac:dyDescent="0.2">
      <c r="A14" s="1">
        <v>2023</v>
      </c>
      <c r="B14" s="1">
        <f>'[1]5_2024年公司薪酬包基线'!B3</f>
        <v>11796.1</v>
      </c>
      <c r="C14" s="1">
        <f>'[1]5_2024年公司薪酬包基线'!D3</f>
        <v>4948.05</v>
      </c>
      <c r="D14" s="3">
        <f>'[1]5_2024年公司薪酬包基线'!K3</f>
        <v>1629.38</v>
      </c>
      <c r="E14" s="2">
        <f>C14/B14</f>
        <v>0.41946490789328678</v>
      </c>
      <c r="F14" s="2">
        <f>D14/B14</f>
        <v>0.13812870355456464</v>
      </c>
      <c r="G14" s="2">
        <f>B14/B13</f>
        <v>1.3417314057577032</v>
      </c>
      <c r="H14" s="32">
        <f>C14/C13</f>
        <v>1.5170714806934062</v>
      </c>
      <c r="I14" s="2">
        <f>D14/D13</f>
        <v>3.139400011560471</v>
      </c>
      <c r="L14" s="25">
        <f>B32</f>
        <v>0.8</v>
      </c>
      <c r="M14" s="26">
        <f>20000*12</f>
        <v>240000</v>
      </c>
      <c r="N14" s="26">
        <v>99306.418720000016</v>
      </c>
      <c r="O14" s="26">
        <v>58776.619420000003</v>
      </c>
      <c r="P14" s="26">
        <v>51938.186000000002</v>
      </c>
      <c r="Q14" s="27">
        <f>VLOOKUP(L14,$B$25:$F$34,5,0)</f>
        <v>1002199.5111999996</v>
      </c>
      <c r="R14" s="27">
        <f>SUM(M14:Q14)</f>
        <v>1452220.7353399997</v>
      </c>
    </row>
    <row r="15" spans="1:18" ht="18.75" customHeight="1" x14ac:dyDescent="0.2">
      <c r="A15" s="1">
        <v>2024</v>
      </c>
      <c r="B15" s="1">
        <f>'[1]5_2024年公司薪酬包基线（清洁版）'!B4</f>
        <v>15894.9</v>
      </c>
      <c r="C15" s="1">
        <f>'[1]5_2024年公司薪酬包基线（清洁版）'!D4</f>
        <v>5716.3</v>
      </c>
      <c r="D15" s="3">
        <f>'[1]5_2024年公司薪酬包基线（清洁版）'!K4</f>
        <v>2133.5</v>
      </c>
      <c r="E15" s="2">
        <f>C15/B15</f>
        <v>0.35963107663464383</v>
      </c>
      <c r="F15" s="2">
        <f>D15/B15</f>
        <v>0.13422544338121034</v>
      </c>
      <c r="G15" s="2">
        <f>B15/B14</f>
        <v>1.3474707742389433</v>
      </c>
      <c r="H15" s="32">
        <f>C15/C14</f>
        <v>1.155263184486818</v>
      </c>
      <c r="I15" s="2">
        <f>D15/D14</f>
        <v>1.3093937571346155</v>
      </c>
      <c r="L15" s="25">
        <f>B33</f>
        <v>1</v>
      </c>
      <c r="M15" s="26">
        <f>20000*12</f>
        <v>240000</v>
      </c>
      <c r="N15" s="26">
        <v>99306.418720000016</v>
      </c>
      <c r="O15" s="26">
        <v>58776.619420000003</v>
      </c>
      <c r="P15" s="26">
        <v>51938.186000000002</v>
      </c>
      <c r="Q15" s="27">
        <f>VLOOKUP(L15,$B$25:$F$34,5,0)</f>
        <v>1252749.3889999995</v>
      </c>
      <c r="R15" s="27">
        <f>SUM(M15:Q15)</f>
        <v>1702770.6131399996</v>
      </c>
    </row>
    <row r="16" spans="1:18" ht="18.75" customHeight="1" x14ac:dyDescent="0.2">
      <c r="A16" s="16" t="s">
        <v>13</v>
      </c>
      <c r="B16" s="16">
        <v>24000</v>
      </c>
      <c r="C16" s="16">
        <f>E16*B16</f>
        <v>9600</v>
      </c>
      <c r="D16" s="15">
        <f>F16*B16</f>
        <v>3360.0000000000005</v>
      </c>
      <c r="E16" s="14">
        <v>0.4</v>
      </c>
      <c r="F16" s="14">
        <v>0.14000000000000001</v>
      </c>
      <c r="G16" s="13">
        <f>B16/B15</f>
        <v>1.5099182756733291</v>
      </c>
      <c r="H16" s="33">
        <f>C16/C15</f>
        <v>1.6794080086769414</v>
      </c>
      <c r="I16" s="13">
        <f>D16/D15</f>
        <v>1.5748769627372863</v>
      </c>
      <c r="L16" s="25">
        <f>B34</f>
        <v>1.2</v>
      </c>
      <c r="M16" s="26">
        <f>20000*12</f>
        <v>240000</v>
      </c>
      <c r="N16" s="26">
        <v>99306.418720000016</v>
      </c>
      <c r="O16" s="26">
        <v>58776.619420000003</v>
      </c>
      <c r="P16" s="26">
        <v>51938.186000000002</v>
      </c>
      <c r="Q16" s="27">
        <f>VLOOKUP(L16,$B$25:$F$34,5,0)</f>
        <v>2254948.9001999991</v>
      </c>
      <c r="R16" s="27">
        <f>SUM(M16:Q16)</f>
        <v>2704970.1243399992</v>
      </c>
    </row>
    <row r="17" spans="1:6" x14ac:dyDescent="0.2">
      <c r="A17" s="11" t="s">
        <v>12</v>
      </c>
    </row>
    <row r="20" spans="1:6" ht="20.25" customHeight="1" x14ac:dyDescent="0.2">
      <c r="A20" s="1" t="s">
        <v>11</v>
      </c>
    </row>
    <row r="21" spans="1:6" ht="20.25" customHeight="1" x14ac:dyDescent="0.2">
      <c r="A21" s="1" t="s">
        <v>10</v>
      </c>
    </row>
    <row r="22" spans="1:6" ht="20.25" customHeight="1" x14ac:dyDescent="0.2">
      <c r="A22" s="1" t="s">
        <v>9</v>
      </c>
      <c r="B22" s="1" t="s">
        <v>8</v>
      </c>
      <c r="C22" s="1" t="s">
        <v>2</v>
      </c>
      <c r="D22" s="3" t="s">
        <v>1</v>
      </c>
      <c r="E22" s="1" t="s">
        <v>7</v>
      </c>
    </row>
    <row r="23" spans="1:6" ht="20.25" customHeight="1" x14ac:dyDescent="0.2">
      <c r="A23" s="1">
        <v>2024</v>
      </c>
      <c r="B23" s="1">
        <v>72</v>
      </c>
      <c r="C23" s="4">
        <v>22711914.990000002</v>
      </c>
      <c r="D23" s="4">
        <v>12527493.889999995</v>
      </c>
      <c r="E23" s="10">
        <f>D23/C23</f>
        <v>0.55158245773268433</v>
      </c>
    </row>
    <row r="24" spans="1:6" ht="20.25" customHeight="1" x14ac:dyDescent="0.2">
      <c r="A24" s="9" t="s">
        <v>6</v>
      </c>
      <c r="B24" s="9"/>
      <c r="C24" s="9"/>
      <c r="D24" s="9"/>
    </row>
    <row r="25" spans="1:6" ht="20.25" customHeight="1" x14ac:dyDescent="0.2">
      <c r="A25" s="7" t="s">
        <v>5</v>
      </c>
      <c r="B25" s="6" t="s">
        <v>4</v>
      </c>
      <c r="C25" s="7" t="s">
        <v>3</v>
      </c>
      <c r="D25" s="8" t="s">
        <v>2</v>
      </c>
      <c r="E25" s="7" t="s">
        <v>1</v>
      </c>
      <c r="F25" s="7" t="s">
        <v>0</v>
      </c>
    </row>
    <row r="26" spans="1:6" ht="20.25" customHeight="1" x14ac:dyDescent="0.2">
      <c r="A26" s="7">
        <v>1</v>
      </c>
      <c r="B26" s="6">
        <v>0.01</v>
      </c>
      <c r="C26" s="5">
        <f>B26*D23</f>
        <v>125274.93889999995</v>
      </c>
      <c r="D26" s="5">
        <f>E26/$E$23</f>
        <v>22939034.139899999</v>
      </c>
      <c r="E26" s="5">
        <f>D23*(1+B26)</f>
        <v>12652768.828899994</v>
      </c>
      <c r="F26" s="5">
        <f>IF(B26&gt;1,C26*$E$7,IF(B26&gt;0.5,C26*$E$6,IF(B26&gt;0.2,C26*$E$5,IF(B26&gt;0,C26*$E$4))))</f>
        <v>6263.746944999998</v>
      </c>
    </row>
    <row r="27" spans="1:6" ht="20.25" customHeight="1" x14ac:dyDescent="0.2">
      <c r="A27" s="7">
        <v>2</v>
      </c>
      <c r="B27" s="6">
        <v>0.2</v>
      </c>
      <c r="C27" s="5">
        <f>B27*$D$23</f>
        <v>2505498.777999999</v>
      </c>
      <c r="D27" s="5">
        <f>E27/$E$23</f>
        <v>27254297.988000002</v>
      </c>
      <c r="E27" s="5">
        <f>$D$23*(1+B27)</f>
        <v>15032992.667999994</v>
      </c>
      <c r="F27" s="5">
        <f>IF(B27&gt;1,C27*$E$7,IF(B27&gt;0.5,C27*$E$6,IF(B27&gt;0.2,C27*$E$5,IF(B27&gt;0,C27*$E$4))))</f>
        <v>125274.93889999995</v>
      </c>
    </row>
    <row r="28" spans="1:6" ht="20.25" customHeight="1" x14ac:dyDescent="0.2">
      <c r="A28" s="7">
        <v>3</v>
      </c>
      <c r="B28" s="6">
        <v>0.21</v>
      </c>
      <c r="C28" s="5">
        <f>B28*$D$23</f>
        <v>2630773.716899999</v>
      </c>
      <c r="D28" s="5">
        <f>E28/$E$23</f>
        <v>27481417.137899999</v>
      </c>
      <c r="E28" s="5">
        <f>$D$23*(1+B28)</f>
        <v>15158267.606899993</v>
      </c>
      <c r="F28" s="5">
        <f>IF(B28&gt;1,C28*$E$7,IF(B28&gt;0.5,C28*$E$6,IF(B28&gt;0.2,C28*$E$5,IF(B28&gt;0,C28*$E$4))))</f>
        <v>184154.16018299994</v>
      </c>
    </row>
    <row r="29" spans="1:6" ht="20.25" customHeight="1" x14ac:dyDescent="0.2">
      <c r="A29" s="7">
        <v>4</v>
      </c>
      <c r="B29" s="6">
        <v>0.5</v>
      </c>
      <c r="C29" s="5">
        <f>B29*$D$23</f>
        <v>6263746.9449999975</v>
      </c>
      <c r="D29" s="5">
        <f>E29/$E$23</f>
        <v>34067872.484999999</v>
      </c>
      <c r="E29" s="5">
        <f>$D$23*(1+B29)</f>
        <v>18791240.834999993</v>
      </c>
      <c r="F29" s="5">
        <f>IF(B29&gt;1,C29*$E$7,IF(B29&gt;0.5,C29*$E$6,IF(B29&gt;0.2,C29*$E$5,IF(B29&gt;0,C29*$E$4))))</f>
        <v>438462.28614999988</v>
      </c>
    </row>
    <row r="30" spans="1:6" ht="20.25" customHeight="1" x14ac:dyDescent="0.2">
      <c r="A30" s="7">
        <v>5</v>
      </c>
      <c r="B30" s="6">
        <v>0.51</v>
      </c>
      <c r="C30" s="5">
        <f>B30*$D$23</f>
        <v>6389021.8838999979</v>
      </c>
      <c r="D30" s="5">
        <f>E30/$E$23</f>
        <v>34294991.634899996</v>
      </c>
      <c r="E30" s="5">
        <f>$D$23*(1+B30)</f>
        <v>18916515.773899991</v>
      </c>
      <c r="F30" s="5">
        <f>IF(B30&gt;1,C30*$E$7,IF(B30&gt;0.5,C30*$E$6,IF(B30&gt;0.2,C30*$E$5,IF(B30&gt;0,C30*$E$4))))</f>
        <v>638902.18838999979</v>
      </c>
    </row>
    <row r="31" spans="1:6" ht="20.25" customHeight="1" x14ac:dyDescent="0.2">
      <c r="A31" s="7">
        <v>6</v>
      </c>
      <c r="B31" s="6">
        <v>0.6</v>
      </c>
      <c r="C31" s="5">
        <f>B31*$D$23</f>
        <v>7516496.333999997</v>
      </c>
      <c r="D31" s="5">
        <f>E31/$E$23</f>
        <v>36339063.984000005</v>
      </c>
      <c r="E31" s="5">
        <f>$D$23*(1+B31)</f>
        <v>20043990.223999992</v>
      </c>
      <c r="F31" s="5">
        <f>IF(B31&gt;1,C31*$E$7,IF(B31&gt;0.5,C31*$E$6,IF(B31&gt;0.2,C31*$E$5,IF(B31&gt;0,C31*$E$4))))</f>
        <v>751649.6333999997</v>
      </c>
    </row>
    <row r="32" spans="1:6" ht="20.25" customHeight="1" x14ac:dyDescent="0.2">
      <c r="A32" s="7">
        <v>7</v>
      </c>
      <c r="B32" s="6">
        <v>0.8</v>
      </c>
      <c r="C32" s="5">
        <f>B32*$D$23</f>
        <v>10021995.111999996</v>
      </c>
      <c r="D32" s="5">
        <f>E32/$E$23</f>
        <v>40881446.982000008</v>
      </c>
      <c r="E32" s="5">
        <f>$D$23*(1+B32)</f>
        <v>22549489.001999993</v>
      </c>
      <c r="F32" s="5">
        <f>IF(B32&gt;1,C32*$E$7,IF(B32&gt;0.5,C32*$E$6,IF(B32&gt;0.2,C32*$E$5,IF(B32&gt;0,C32*$E$4))))</f>
        <v>1002199.5111999996</v>
      </c>
    </row>
    <row r="33" spans="1:6" ht="20.25" customHeight="1" x14ac:dyDescent="0.2">
      <c r="A33" s="7">
        <v>8</v>
      </c>
      <c r="B33" s="6">
        <v>1</v>
      </c>
      <c r="C33" s="5">
        <f>B33*$D$23</f>
        <v>12527493.889999995</v>
      </c>
      <c r="D33" s="5">
        <f>E33/$E$23</f>
        <v>45423829.980000004</v>
      </c>
      <c r="E33" s="5">
        <f>$D$23*(1+B33)</f>
        <v>25054987.77999999</v>
      </c>
      <c r="F33" s="5">
        <f>IF(B33&gt;1,C33*$E$7,IF(B33&gt;0.5,C33*$E$6,IF(B33&gt;0.2,C33*$E$5,IF(B33&gt;0,C33*$E$4))))</f>
        <v>1252749.3889999995</v>
      </c>
    </row>
    <row r="34" spans="1:6" ht="20.25" customHeight="1" x14ac:dyDescent="0.2">
      <c r="A34" s="7">
        <v>9</v>
      </c>
      <c r="B34" s="6">
        <v>1.2</v>
      </c>
      <c r="C34" s="5">
        <f>B34*$D$23</f>
        <v>15032992.667999994</v>
      </c>
      <c r="D34" s="5">
        <f>E34/$E$23</f>
        <v>49966212.978000008</v>
      </c>
      <c r="E34" s="5">
        <f>$D$23*(1+B34)</f>
        <v>27560486.557999991</v>
      </c>
      <c r="F34" s="5">
        <f>IF(B34&gt;1,C34*$E$7,IF(B34&gt;0.5,C34*$E$6,IF(B34&gt;0.2,C34*$E$5,IF(B34&gt;0,C34*$E$4))))</f>
        <v>2254948.9001999991</v>
      </c>
    </row>
    <row r="35" spans="1:6" ht="20.25" customHeight="1" x14ac:dyDescent="0.2">
      <c r="C35" s="4"/>
      <c r="D35" s="4"/>
      <c r="E35" s="4"/>
      <c r="F35" s="4"/>
    </row>
  </sheetData>
  <mergeCells count="3">
    <mergeCell ref="A24:D24"/>
    <mergeCell ref="L6:Q6"/>
    <mergeCell ref="B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Elvis</cp:lastModifiedBy>
  <dcterms:created xsi:type="dcterms:W3CDTF">2025-02-27T10:37:11Z</dcterms:created>
  <dcterms:modified xsi:type="dcterms:W3CDTF">2025-02-27T10:41:12Z</dcterms:modified>
</cp:coreProperties>
</file>