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600" activeTab="2"/>
  </bookViews>
  <sheets>
    <sheet name="投资回收表" sheetId="3" r:id="rId1"/>
    <sheet name="投资明细表" sheetId="1" r:id="rId2"/>
    <sheet name="分红明细表" sheetId="7" r:id="rId3"/>
    <sheet name="阶段性情况说明2025102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6" authorId="0">
      <text>
        <r>
          <rPr>
            <b/>
            <sz val="9"/>
            <rFont val="宋体"/>
            <charset val="0"/>
          </rPr>
          <t>刘伟:</t>
        </r>
        <r>
          <rPr>
            <sz val="9"/>
            <rFont val="宋体"/>
            <charset val="0"/>
          </rPr>
          <t xml:space="preserve">
8月9日48700,
8月14日49900,
8月15日4110,
12月11日57700</t>
        </r>
        <r>
          <rPr>
            <b/>
            <sz val="9"/>
            <rFont val="宋体"/>
            <charset val="0"/>
          </rPr>
          <t xml:space="preserve">
刘伟:</t>
        </r>
        <r>
          <rPr>
            <sz val="9"/>
            <rFont val="宋体"/>
            <charset val="0"/>
          </rPr>
          <t xml:space="preserve">
11月7日转入2555</t>
        </r>
        <r>
          <rPr>
            <b/>
            <sz val="9"/>
            <rFont val="宋体"/>
            <charset val="0"/>
          </rPr>
          <t xml:space="preserve">
刘伟:</t>
        </r>
        <r>
          <rPr>
            <sz val="9"/>
            <rFont val="宋体"/>
            <charset val="0"/>
          </rPr>
          <t xml:space="preserve">
2023年1月11日转入 24535</t>
        </r>
        <r>
          <rPr>
            <b/>
            <sz val="9"/>
            <rFont val="宋体"/>
            <charset val="0"/>
          </rPr>
          <t xml:space="preserve">
刘伟:</t>
        </r>
        <r>
          <rPr>
            <sz val="9"/>
            <rFont val="宋体"/>
            <charset val="0"/>
          </rPr>
          <t xml:space="preserve">
24-1-4收到退款4793
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E7" authorId="0">
      <text>
        <r>
          <rPr>
            <b/>
            <sz val="9"/>
            <rFont val="宋体"/>
            <charset val="0"/>
          </rPr>
          <t>刘伟:</t>
        </r>
        <r>
          <rPr>
            <sz val="9"/>
            <rFont val="宋体"/>
            <charset val="0"/>
          </rPr>
          <t xml:space="preserve">
8月9日48700,
8月14日49900,
8月15日4110,
12月11日57700</t>
        </r>
        <r>
          <rPr>
            <b/>
            <sz val="9"/>
            <rFont val="宋体"/>
            <charset val="0"/>
          </rPr>
          <t xml:space="preserve">
刘伟:</t>
        </r>
        <r>
          <rPr>
            <sz val="9"/>
            <rFont val="宋体"/>
            <charset val="0"/>
          </rPr>
          <t xml:space="preserve">
11月7日转入2555</t>
        </r>
        <r>
          <rPr>
            <b/>
            <sz val="9"/>
            <rFont val="宋体"/>
            <charset val="0"/>
          </rPr>
          <t xml:space="preserve">
刘伟:</t>
        </r>
        <r>
          <rPr>
            <sz val="9"/>
            <rFont val="宋体"/>
            <charset val="0"/>
          </rPr>
          <t xml:space="preserve">
2023年1月11日转入 24535</t>
        </r>
        <r>
          <rPr>
            <b/>
            <sz val="9"/>
            <rFont val="宋体"/>
            <charset val="0"/>
          </rPr>
          <t xml:space="preserve">
刘伟:</t>
        </r>
        <r>
          <rPr>
            <sz val="9"/>
            <rFont val="宋体"/>
            <charset val="0"/>
          </rPr>
          <t xml:space="preserve">
24-1-4收到退款4793
</t>
        </r>
      </text>
    </comment>
  </commentList>
</comments>
</file>

<file path=xl/sharedStrings.xml><?xml version="1.0" encoding="utf-8"?>
<sst xmlns="http://schemas.openxmlformats.org/spreadsheetml/2006/main" count="230" uniqueCount="125">
  <si>
    <t>投资日期</t>
  </si>
  <si>
    <t>合计</t>
  </si>
  <si>
    <t>备注</t>
  </si>
  <si>
    <t>收款人</t>
  </si>
  <si>
    <t>--</t>
  </si>
  <si>
    <t>李亮</t>
  </si>
  <si>
    <t>曹炎</t>
  </si>
  <si>
    <t>陈波</t>
  </si>
  <si>
    <t>王艳</t>
  </si>
  <si>
    <t>彭园财</t>
  </si>
  <si>
    <t>陈世春</t>
  </si>
  <si>
    <t>投资金额</t>
  </si>
  <si>
    <t>分红款</t>
  </si>
  <si>
    <t>高维统计</t>
  </si>
  <si>
    <t>宝鸡银泰7.5</t>
  </si>
  <si>
    <r>
      <rPr>
        <sz val="11"/>
        <color theme="1"/>
        <rFont val="Calibri"/>
        <charset val="134"/>
      </rPr>
      <t>太原北美N1艺术中心 10.2</t>
    </r>
  </si>
  <si>
    <t>武汉万科未来中心 9.45*2=18.9</t>
  </si>
  <si>
    <r>
      <rPr>
        <sz val="11"/>
        <color theme="1"/>
        <rFont val="Calibri"/>
        <charset val="134"/>
      </rPr>
      <t>西安方园荟 8.25</t>
    </r>
  </si>
  <si>
    <r>
      <rPr>
        <sz val="11"/>
        <color theme="1"/>
        <rFont val="Calibri"/>
        <charset val="134"/>
      </rPr>
      <t>郑州YOYOPARK 8</t>
    </r>
  </si>
  <si>
    <t>杭州国大8.5-0.4793</t>
  </si>
  <si>
    <t>济南北宸龙湖16.4</t>
  </si>
  <si>
    <t>苏州星湖天街10.65</t>
  </si>
  <si>
    <t>郑州永和时光里86500-4507</t>
  </si>
  <si>
    <t>北京银座和谐广场</t>
  </si>
  <si>
    <t>北京王府井银泰in88</t>
  </si>
  <si>
    <t>北京昌平龙德广场</t>
  </si>
  <si>
    <t>陕西商洛万达</t>
  </si>
  <si>
    <t>投资款退回</t>
  </si>
  <si>
    <t>9月FH</t>
  </si>
  <si>
    <t>10月FH</t>
  </si>
  <si>
    <t>11月FH</t>
  </si>
  <si>
    <t>12月FH</t>
  </si>
  <si>
    <t>2024年1月FH</t>
  </si>
  <si>
    <t>2024年2月FH</t>
  </si>
  <si>
    <t>2024年3月FH</t>
  </si>
  <si>
    <t>退回郑州永和时光里4507元</t>
  </si>
  <si>
    <t>2024年4月FH</t>
  </si>
  <si>
    <t>退回北京银座和谐广场11013元</t>
  </si>
  <si>
    <t>2024年5月FH</t>
  </si>
  <si>
    <t>2024年6月FH</t>
  </si>
  <si>
    <t>2024年7月FH</t>
  </si>
  <si>
    <t>2024年8月FH</t>
  </si>
  <si>
    <t>2024年9月FH</t>
  </si>
  <si>
    <t>2024年10月FH</t>
  </si>
  <si>
    <r>
      <t>2025-01-04</t>
    </r>
    <r>
      <rPr>
        <sz val="11"/>
        <color rgb="FF000000"/>
        <rFont val="宋体"/>
        <charset val="134"/>
      </rPr>
      <t xml:space="preserve">      </t>
    </r>
  </si>
  <si>
    <t>2024年11月FH</t>
  </si>
  <si>
    <r>
      <t>2025-02-04</t>
    </r>
    <r>
      <rPr>
        <sz val="11"/>
        <color rgb="FF000000"/>
        <rFont val="宋体"/>
        <charset val="134"/>
      </rPr>
      <t xml:space="preserve">      </t>
    </r>
  </si>
  <si>
    <t>2024年12月FH</t>
  </si>
  <si>
    <r>
      <t>2025-03-04</t>
    </r>
    <r>
      <rPr>
        <sz val="11"/>
        <color rgb="FF000000"/>
        <rFont val="宋体"/>
        <charset val="134"/>
      </rPr>
      <t xml:space="preserve">      </t>
    </r>
  </si>
  <si>
    <t>2025年1月FH</t>
  </si>
  <si>
    <r>
      <t>2025-04-04</t>
    </r>
    <r>
      <rPr>
        <sz val="11"/>
        <color rgb="FF000000"/>
        <rFont val="宋体"/>
        <charset val="134"/>
      </rPr>
      <t xml:space="preserve">      </t>
    </r>
  </si>
  <si>
    <t>2025年2月FH</t>
  </si>
  <si>
    <r>
      <t>2025-05-04</t>
    </r>
    <r>
      <rPr>
        <sz val="11"/>
        <color rgb="FF000000"/>
        <rFont val="宋体"/>
        <charset val="134"/>
      </rPr>
      <t xml:space="preserve">      </t>
    </r>
  </si>
  <si>
    <t>2025年3月FH</t>
  </si>
  <si>
    <r>
      <t>2025-06-04</t>
    </r>
    <r>
      <rPr>
        <sz val="11"/>
        <color rgb="FF000000"/>
        <rFont val="宋体"/>
        <charset val="134"/>
      </rPr>
      <t xml:space="preserve">      </t>
    </r>
  </si>
  <si>
    <t>2025年4月FH</t>
  </si>
  <si>
    <r>
      <t>2025-07-04</t>
    </r>
    <r>
      <rPr>
        <sz val="11"/>
        <color rgb="FF000000"/>
        <rFont val="宋体"/>
        <charset val="134"/>
      </rPr>
      <t xml:space="preserve">      </t>
    </r>
  </si>
  <si>
    <t>2025年5月FH</t>
  </si>
  <si>
    <r>
      <t>2025-08-04</t>
    </r>
    <r>
      <rPr>
        <sz val="11"/>
        <color rgb="FF000000"/>
        <rFont val="宋体"/>
        <charset val="134"/>
      </rPr>
      <t xml:space="preserve">      </t>
    </r>
  </si>
  <si>
    <t>2025年6月FH</t>
  </si>
  <si>
    <r>
      <t>2025-09-04</t>
    </r>
    <r>
      <rPr>
        <sz val="11"/>
        <color rgb="FF000000"/>
        <rFont val="宋体"/>
        <charset val="134"/>
      </rPr>
      <t xml:space="preserve">      </t>
    </r>
  </si>
  <si>
    <t>2025年7月FH</t>
  </si>
  <si>
    <r>
      <t>2025-10-04</t>
    </r>
    <r>
      <rPr>
        <sz val="11"/>
        <color rgb="FF000000"/>
        <rFont val="宋体"/>
        <charset val="134"/>
      </rPr>
      <t xml:space="preserve">      </t>
    </r>
  </si>
  <si>
    <t>2025年8月FH</t>
  </si>
  <si>
    <t>收益率</t>
  </si>
  <si>
    <t>已分配分红款（第一次）</t>
  </si>
  <si>
    <t>已分配分红款（第二次）</t>
  </si>
  <si>
    <t>待分配分红款</t>
  </si>
  <si>
    <t>说明：</t>
  </si>
  <si>
    <t>1.2023年11月7日至2024年2月3日共收到分红款114388.32元，已于2024年3月4日按照出资比例分给股东了。</t>
  </si>
  <si>
    <t>2.2024年2月24日至2024年12月31日共收到分红款544006.66元，已于2025年2月19日按照出资比例分给股东了。</t>
  </si>
  <si>
    <t>3.待分配分红款564442.07元。</t>
  </si>
  <si>
    <t>时间</t>
  </si>
  <si>
    <t>内容</t>
  </si>
  <si>
    <t>收到投资款</t>
  </si>
  <si>
    <t>投出投资款</t>
  </si>
  <si>
    <t>余额</t>
  </si>
  <si>
    <t>占比</t>
  </si>
  <si>
    <t>追加投资总额</t>
  </si>
  <si>
    <t>个人追加投资</t>
  </si>
  <si>
    <t>传科</t>
  </si>
  <si>
    <t>工行收款</t>
  </si>
  <si>
    <r>
      <rPr>
        <sz val="10"/>
        <color theme="1"/>
        <rFont val="Calibri"/>
        <charset val="134"/>
      </rPr>
      <t>军哥</t>
    </r>
  </si>
  <si>
    <r>
      <rPr>
        <sz val="10"/>
        <color theme="1"/>
        <rFont val="Calibri"/>
        <charset val="134"/>
      </rPr>
      <t>慧余</t>
    </r>
  </si>
  <si>
    <r>
      <rPr>
        <sz val="10"/>
        <color theme="1"/>
        <rFont val="Calibri"/>
        <charset val="134"/>
      </rPr>
      <t>刘伟</t>
    </r>
  </si>
  <si>
    <r>
      <rPr>
        <sz val="10"/>
        <color theme="1"/>
        <rFont val="Calibri"/>
        <charset val="134"/>
      </rPr>
      <t>延琴</t>
    </r>
  </si>
  <si>
    <r>
      <rPr>
        <sz val="10"/>
        <color theme="1"/>
        <rFont val="Calibri"/>
        <charset val="134"/>
      </rPr>
      <t>东哥</t>
    </r>
  </si>
  <si>
    <t>慧余</t>
  </si>
  <si>
    <t>刘伟</t>
  </si>
  <si>
    <t>东哥</t>
  </si>
  <si>
    <t>宝鸡银泰</t>
  </si>
  <si>
    <r>
      <rPr>
        <sz val="11"/>
        <color theme="1"/>
        <rFont val="Calibri"/>
        <charset val="134"/>
      </rPr>
      <t>武汉万科未来中心 9.45</t>
    </r>
  </si>
  <si>
    <r>
      <rPr>
        <sz val="11"/>
        <color theme="1"/>
        <rFont val="Calibri"/>
        <charset val="134"/>
      </rPr>
      <t>武汉万科未来中心+ 9.45</t>
    </r>
  </si>
  <si>
    <t>杭州国大</t>
  </si>
  <si>
    <t>济南北宸龙湖</t>
  </si>
  <si>
    <t>苏州星湖天街</t>
  </si>
  <si>
    <t>杭州国大退剩余投资款</t>
  </si>
  <si>
    <t>郑州永和时光里</t>
  </si>
  <si>
    <t>时间段</t>
  </si>
  <si>
    <t>分配比例</t>
  </si>
  <si>
    <t>收到分红款</t>
  </si>
  <si>
    <t>分红给股东</t>
  </si>
  <si>
    <t>2023/8/30至2024年2月23日</t>
  </si>
  <si>
    <t>说明文字：</t>
  </si>
  <si>
    <t>各位股东：自2023年8月30日投入投资款至今，共收到6家店累计分红款114388.32元，按照大家的投资比例进行分配，由刘伟转入大家的指定账号；我们的分红规则是：每达到10万分红一次；本次分红后，分红款无余额。请知悉。</t>
  </si>
  <si>
    <t>2024/2/24至2024年12月31日</t>
  </si>
  <si>
    <t>各位股东：自2023年8月30日投入投资款至今，共收到累计分红款及退回本金658394.98元，于2024年2月分配了一次114388.32元，本次按照大家的投资比例分配544,006.66元，由刘伟转入大家的指定账号；我们的分红规则是：每达到10万分红一次；本次分红后，分红款无余额。请知悉。</t>
  </si>
  <si>
    <t>2025/1/1至2025年10月4日</t>
  </si>
  <si>
    <t>各位股东：自2023年8月30日投入投资款至今，共收到累计分红款及退回本金1,222,837.05元，于2024年2月进行了第一次分配114,388.32元，于2025年2月进行了第二次分配544,006.66元，本次按照大家的投资比例分配564,442.07元，由刘伟转入大家的指定账号；本次分红后，分红款无余额。请知悉。</t>
  </si>
  <si>
    <t>说明（2025年10月24日）：</t>
  </si>
  <si>
    <t>关于筹集资金</t>
  </si>
  <si>
    <t>第一次筹集100万元；第二次筹集46.77万元；共计筹集资金146.77万元。（详见《投资明细表》）</t>
  </si>
  <si>
    <t>关于投出资金</t>
  </si>
  <si>
    <t>自2023年9月13开始投出资金，直至2024年1月13日全部投出，共计投资15家店。（详见《投资明细表》）</t>
  </si>
  <si>
    <t>关于收益</t>
  </si>
  <si>
    <t>自2023年11月7日开始至今各家店陆续有收益，收到2023年9月至2025年8月的收益，共计122.8万。（详见《投资回收表》）</t>
  </si>
  <si>
    <t>关于分红</t>
  </si>
  <si>
    <t>已于2024年2月23日发放了2023/8/30至2024年2月23日期间收到的分红款114,388.32元；于2025年2月发放2024/2/24至2024年12月31日期间收到的分红款544,006.66元；将于2025年10月发放2025/1/1至2025年10月4日期间收到的分红款564,442.07元；</t>
  </si>
  <si>
    <t>关于收益率</t>
  </si>
  <si>
    <t>按照目前收到的分红款来计算的投资本金回收率为83.32%，不及预期。</t>
  </si>
  <si>
    <t>风险</t>
  </si>
  <si>
    <t>6.1苏州星湖天街店，自2023年12月11日投资10.65万元，仅在2024年5月4日收到分红款450.79元，收到消息已经闭店。</t>
  </si>
  <si>
    <t>6.2北京昌平龙德广场店，自2024年1月12日投资14.35万元，至今快二年了，仅收到4个月的分红款8928.40元，近1年几乎没有收到款；需要详细询问原因。</t>
  </si>
  <si>
    <t>6.3从目前分红情况来看，北京的三家店中，有两家不错，另一家昌平龙德广场店收益不及预期。</t>
  </si>
  <si>
    <t>6.4济南北宸龙湖店约二年来的的收益为38%，不及预期。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</si>
</sst>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);[Red]\(0\)"/>
  </numFmts>
  <fonts count="33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sz val="10"/>
      <color rgb="FF000000"/>
      <name val="Calibri"/>
      <charset val="134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9"/>
      <name val="宋体"/>
      <charset val="0"/>
    </font>
    <font>
      <b/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1" fontId="1" fillId="0" borderId="1" xfId="0" applyNumberFormat="1" applyFont="1" applyBorder="1"/>
    <xf numFmtId="0" fontId="4" fillId="0" borderId="1" xfId="0" applyFont="1" applyBorder="1" applyAlignment="1">
      <alignment wrapText="1"/>
    </xf>
    <xf numFmtId="10" fontId="0" fillId="0" borderId="1" xfId="0" applyNumberFormat="1" applyBorder="1"/>
    <xf numFmtId="0" fontId="5" fillId="0" borderId="1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176" fontId="0" fillId="0" borderId="1" xfId="0" applyNumberFormat="1" applyBorder="1"/>
    <xf numFmtId="0" fontId="1" fillId="0" borderId="1" xfId="0" applyFont="1" applyBorder="1"/>
    <xf numFmtId="176" fontId="0" fillId="0" borderId="0" xfId="0" applyNumberFormat="1" applyFill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31" fontId="0" fillId="0" borderId="2" xfId="0" applyNumberFormat="1" applyBorder="1"/>
    <xf numFmtId="0" fontId="0" fillId="0" borderId="1" xfId="0" applyBorder="1"/>
    <xf numFmtId="0" fontId="5" fillId="0" borderId="3" xfId="0" applyFont="1" applyBorder="1" applyAlignment="1">
      <alignment wrapText="1"/>
    </xf>
    <xf numFmtId="0" fontId="0" fillId="0" borderId="3" xfId="0" applyBorder="1"/>
    <xf numFmtId="0" fontId="6" fillId="0" borderId="3" xfId="0" applyFont="1" applyBorder="1" applyAlignment="1">
      <alignment wrapText="1"/>
    </xf>
    <xf numFmtId="31" fontId="0" fillId="0" borderId="4" xfId="0" applyNumberFormat="1" applyBorder="1"/>
    <xf numFmtId="0" fontId="7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1" fillId="0" borderId="4" xfId="0" applyFont="1" applyBorder="1"/>
    <xf numFmtId="0" fontId="1" fillId="0" borderId="3" xfId="0" applyFont="1" applyBorder="1"/>
    <xf numFmtId="10" fontId="0" fillId="0" borderId="0" xfId="0" applyNumberFormat="1"/>
    <xf numFmtId="177" fontId="0" fillId="0" borderId="1" xfId="0" applyNumberFormat="1" applyBorder="1"/>
    <xf numFmtId="177" fontId="0" fillId="0" borderId="0" xfId="0" applyNumberFormat="1"/>
    <xf numFmtId="0" fontId="0" fillId="0" borderId="0" xfId="0" applyAlignment="1"/>
    <xf numFmtId="0" fontId="0" fillId="0" borderId="0" xfId="0" applyFill="1"/>
    <xf numFmtId="0" fontId="0" fillId="0" borderId="0" xfId="0" applyFill="1" applyAlignment="1"/>
    <xf numFmtId="0" fontId="0" fillId="0" borderId="0" xfId="0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1" fontId="0" fillId="0" borderId="1" xfId="0" applyNumberForma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/>
    <xf numFmtId="0" fontId="1" fillId="0" borderId="7" xfId="0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Fill="1" applyBorder="1" applyAlignment="1"/>
    <xf numFmtId="31" fontId="0" fillId="0" borderId="1" xfId="0" applyNumberFormat="1" applyFill="1" applyBorder="1"/>
    <xf numFmtId="176" fontId="0" fillId="0" borderId="1" xfId="0" applyNumberFormat="1" applyFill="1" applyBorder="1"/>
    <xf numFmtId="0" fontId="1" fillId="0" borderId="1" xfId="0" applyFont="1" applyFill="1" applyBorder="1"/>
    <xf numFmtId="4" fontId="8" fillId="0" borderId="0" xfId="0" applyNumberFormat="1" applyFont="1" applyAlignment="1">
      <alignment vertical="center"/>
    </xf>
    <xf numFmtId="4" fontId="8" fillId="0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1" fillId="0" borderId="1" xfId="0" applyFont="1" applyFill="1" applyBorder="1" applyAlignment="1"/>
    <xf numFmtId="176" fontId="0" fillId="0" borderId="1" xfId="0" applyNumberFormat="1" applyFill="1" applyBorder="1"/>
    <xf numFmtId="0" fontId="0" fillId="0" borderId="1" xfId="0" applyBorder="1" applyAlignment="1"/>
    <xf numFmtId="0" fontId="9" fillId="0" borderId="1" xfId="0" applyFont="1" applyBorder="1" applyAlignment="1"/>
    <xf numFmtId="0" fontId="8" fillId="0" borderId="0" xfId="0" applyFont="1" applyFill="1" applyAlignment="1">
      <alignment vertical="center"/>
    </xf>
    <xf numFmtId="0" fontId="9" fillId="0" borderId="1" xfId="0" applyFont="1" applyFill="1" applyBorder="1" applyAlignment="1"/>
    <xf numFmtId="4" fontId="8" fillId="0" borderId="0" xfId="0" applyNumberFormat="1" applyFont="1" applyFill="1" applyAlignment="1">
      <alignment vertical="center"/>
    </xf>
    <xf numFmtId="31" fontId="0" fillId="0" borderId="8" xfId="0" applyNumberFormat="1" applyBorder="1"/>
    <xf numFmtId="0" fontId="1" fillId="0" borderId="8" xfId="0" applyFont="1" applyBorder="1"/>
    <xf numFmtId="0" fontId="1" fillId="0" borderId="8" xfId="0" applyFont="1" applyBorder="1" applyAlignment="1"/>
    <xf numFmtId="176" fontId="0" fillId="0" borderId="8" xfId="0" applyNumberFormat="1" applyBorder="1"/>
    <xf numFmtId="0" fontId="0" fillId="0" borderId="1" xfId="0" applyFill="1" applyBorder="1"/>
    <xf numFmtId="0" fontId="8" fillId="0" borderId="0" xfId="0" applyNumberFormat="1" applyFont="1" applyAlignment="1">
      <alignment vertical="center"/>
    </xf>
    <xf numFmtId="0" fontId="8" fillId="0" borderId="0" xfId="0" applyFont="1" applyFill="1" applyAlignment="1">
      <alignment vertical="center"/>
    </xf>
    <xf numFmtId="0" fontId="1" fillId="0" borderId="8" xfId="0" applyFont="1" applyFill="1" applyBorder="1" applyAlignment="1"/>
    <xf numFmtId="0" fontId="1" fillId="0" borderId="1" xfId="0" applyFont="1" applyFill="1" applyBorder="1" applyAlignment="1"/>
    <xf numFmtId="176" fontId="0" fillId="2" borderId="1" xfId="0" applyNumberFormat="1" applyFill="1" applyBorder="1"/>
    <xf numFmtId="0" fontId="1" fillId="0" borderId="0" xfId="0" applyFont="1" applyBorder="1"/>
    <xf numFmtId="176" fontId="1" fillId="0" borderId="6" xfId="0" applyNumberFormat="1" applyFont="1" applyBorder="1" applyAlignment="1">
      <alignment horizontal="center"/>
    </xf>
    <xf numFmtId="176" fontId="0" fillId="0" borderId="0" xfId="0" applyNumberFormat="1"/>
    <xf numFmtId="176" fontId="0" fillId="2" borderId="0" xfId="0" applyNumberFormat="1" applyFill="1"/>
    <xf numFmtId="0" fontId="1" fillId="0" borderId="6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8">
    <open main="191" threadCnt="1"/>
    <sheetInfos>
      <sheetInfo cellCmpFml="21" sheetStid="3">
        <open main="2" threadCnt="1"/>
      </sheetInfo>
      <sheetInfo cellCmpFml="16" sheetStid="1">
        <open main="63" threadCnt="1"/>
      </sheetInfo>
      <sheetInfo cellCmpFml="11" sheetStid="7">
        <open main="1"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45"/>
  <sheetViews>
    <sheetView workbookViewId="0">
      <pane ySplit="5" topLeftCell="A6" activePane="bottomLeft" state="frozen"/>
      <selection/>
      <selection pane="bottomLeft" activeCell="E29" sqref="E29"/>
    </sheetView>
  </sheetViews>
  <sheetFormatPr defaultColWidth="9" defaultRowHeight="14.25"/>
  <cols>
    <col min="1" max="1" width="13.1666666666667" customWidth="1"/>
    <col min="2" max="2" width="14" customWidth="1"/>
    <col min="3" max="3" width="15.5416666666667" customWidth="1"/>
    <col min="4" max="8" width="14" customWidth="1"/>
    <col min="9" max="9" width="18.5" customWidth="1"/>
    <col min="10" max="11" width="16.875" customWidth="1"/>
    <col min="12" max="12" width="15" customWidth="1"/>
    <col min="13" max="13" width="17.125" customWidth="1"/>
    <col min="14" max="14" width="18.75" customWidth="1"/>
    <col min="15" max="15" width="17.125" customWidth="1"/>
    <col min="16" max="16" width="14.5" customWidth="1"/>
    <col min="17" max="17" width="27.75" customWidth="1"/>
  </cols>
  <sheetData>
    <row r="2" spans="1:17">
      <c r="A2" s="12" t="s">
        <v>0</v>
      </c>
      <c r="B2" s="34" t="s">
        <v>1</v>
      </c>
      <c r="C2" s="35" t="s">
        <v>2</v>
      </c>
      <c r="D2" s="36">
        <v>45182</v>
      </c>
      <c r="E2" s="36">
        <v>45182</v>
      </c>
      <c r="F2" s="36">
        <v>45182</v>
      </c>
      <c r="G2" s="36">
        <v>45182</v>
      </c>
      <c r="H2" s="36">
        <v>45182</v>
      </c>
      <c r="I2" s="36">
        <v>45203</v>
      </c>
      <c r="J2" s="56">
        <v>45235</v>
      </c>
      <c r="K2" s="56">
        <v>45271</v>
      </c>
      <c r="L2" s="36">
        <v>45303</v>
      </c>
      <c r="M2" s="36">
        <v>45303</v>
      </c>
      <c r="N2" s="36">
        <v>45303</v>
      </c>
      <c r="O2" s="36">
        <v>45303</v>
      </c>
      <c r="P2" s="36">
        <v>45303</v>
      </c>
      <c r="Q2" s="35" t="s">
        <v>2</v>
      </c>
    </row>
    <row r="3" spans="1:17">
      <c r="A3" s="12" t="s">
        <v>3</v>
      </c>
      <c r="B3" s="70" t="s">
        <v>4</v>
      </c>
      <c r="C3" s="35"/>
      <c r="D3" s="12" t="s">
        <v>5</v>
      </c>
      <c r="E3" s="12" t="s">
        <v>6</v>
      </c>
      <c r="F3" s="12" t="s">
        <v>7</v>
      </c>
      <c r="G3" s="12" t="s">
        <v>5</v>
      </c>
      <c r="H3" s="12" t="s">
        <v>6</v>
      </c>
      <c r="I3" s="12" t="s">
        <v>8</v>
      </c>
      <c r="J3" s="57" t="s">
        <v>9</v>
      </c>
      <c r="K3" s="25" t="s">
        <v>6</v>
      </c>
      <c r="L3" s="12" t="s">
        <v>10</v>
      </c>
      <c r="M3" s="12" t="s">
        <v>9</v>
      </c>
      <c r="N3" s="12" t="s">
        <v>5</v>
      </c>
      <c r="O3" s="12" t="s">
        <v>6</v>
      </c>
      <c r="P3" s="12" t="s">
        <v>7</v>
      </c>
      <c r="Q3" s="35"/>
    </row>
    <row r="4" customFormat="1" spans="1:17">
      <c r="A4" s="12" t="s">
        <v>11</v>
      </c>
      <c r="B4" s="37">
        <f>SUM(D4:P4)</f>
        <v>1467707</v>
      </c>
      <c r="C4" s="35"/>
      <c r="D4">
        <v>75000</v>
      </c>
      <c r="E4">
        <v>102000</v>
      </c>
      <c r="F4">
        <v>189000</v>
      </c>
      <c r="G4">
        <v>82500</v>
      </c>
      <c r="H4">
        <v>80000</v>
      </c>
      <c r="I4">
        <f>85000-4793</f>
        <v>80207</v>
      </c>
      <c r="J4">
        <v>164000</v>
      </c>
      <c r="K4">
        <v>106500</v>
      </c>
      <c r="L4" s="17">
        <f>86500</f>
        <v>86500</v>
      </c>
      <c r="M4" s="17">
        <v>130000</v>
      </c>
      <c r="N4" s="17">
        <v>136000</v>
      </c>
      <c r="O4" s="17">
        <v>143500</v>
      </c>
      <c r="P4" s="17">
        <v>92500</v>
      </c>
      <c r="Q4" s="35"/>
    </row>
    <row r="5" s="30" customFormat="1" ht="27" customHeight="1" spans="1:17">
      <c r="A5" s="38" t="s">
        <v>12</v>
      </c>
      <c r="B5" s="39" t="s">
        <v>13</v>
      </c>
      <c r="C5" s="38"/>
      <c r="D5" s="40" t="s">
        <v>14</v>
      </c>
      <c r="E5" s="51" t="s">
        <v>15</v>
      </c>
      <c r="F5" s="52" t="s">
        <v>16</v>
      </c>
      <c r="G5" s="51" t="s">
        <v>17</v>
      </c>
      <c r="H5" s="51" t="s">
        <v>18</v>
      </c>
      <c r="I5" s="38" t="s">
        <v>19</v>
      </c>
      <c r="J5" s="58" t="s">
        <v>20</v>
      </c>
      <c r="K5" s="58" t="s">
        <v>21</v>
      </c>
      <c r="L5" s="38" t="s">
        <v>22</v>
      </c>
      <c r="M5" s="38" t="s">
        <v>23</v>
      </c>
      <c r="N5" s="38" t="s">
        <v>24</v>
      </c>
      <c r="O5" s="38" t="s">
        <v>25</v>
      </c>
      <c r="P5" s="38" t="s">
        <v>26</v>
      </c>
      <c r="Q5" s="38"/>
    </row>
    <row r="6" s="30" customFormat="1" ht="16.5" customHeight="1" spans="1:17">
      <c r="A6" s="38"/>
      <c r="B6" s="11">
        <f>D6+E6+F6+G6+H6+I6+J6+K6+L6+M6+N6+O6+P6</f>
        <v>15520</v>
      </c>
      <c r="C6" s="38" t="s">
        <v>27</v>
      </c>
      <c r="D6" s="41"/>
      <c r="E6" s="53"/>
      <c r="F6" s="54"/>
      <c r="G6" s="55"/>
      <c r="H6" s="55"/>
      <c r="I6" s="38"/>
      <c r="J6" s="58"/>
      <c r="K6" s="58"/>
      <c r="L6" s="38">
        <v>4507</v>
      </c>
      <c r="M6" s="11">
        <v>11013</v>
      </c>
      <c r="N6" s="38"/>
      <c r="O6" s="38"/>
      <c r="P6" s="64"/>
      <c r="Q6" s="38"/>
    </row>
    <row r="7" spans="1:17">
      <c r="A7" s="36">
        <v>45237</v>
      </c>
      <c r="B7" s="11">
        <f t="shared" ref="B7:B12" si="0">D7+E7+F7+G7+H7+I7+J7</f>
        <v>10812</v>
      </c>
      <c r="C7" s="12" t="s">
        <v>28</v>
      </c>
      <c r="D7" s="11">
        <v>2556</v>
      </c>
      <c r="E7" s="11">
        <v>3138</v>
      </c>
      <c r="F7" s="11">
        <v>1207</v>
      </c>
      <c r="G7" s="11"/>
      <c r="H7" s="11">
        <v>3911</v>
      </c>
      <c r="I7" s="11"/>
      <c r="J7" s="59"/>
      <c r="K7" s="59"/>
      <c r="L7" s="17"/>
      <c r="M7" s="17"/>
      <c r="N7" s="17"/>
      <c r="O7" s="17"/>
      <c r="P7" s="17"/>
      <c r="Q7" s="12" t="s">
        <v>28</v>
      </c>
    </row>
    <row r="8" spans="1:17">
      <c r="A8" s="36">
        <v>45263</v>
      </c>
      <c r="B8" s="11">
        <f t="shared" si="0"/>
        <v>40362.09</v>
      </c>
      <c r="C8" s="12" t="s">
        <v>29</v>
      </c>
      <c r="D8" s="11">
        <v>7118.65</v>
      </c>
      <c r="E8" s="11">
        <v>6285.32</v>
      </c>
      <c r="F8" s="11">
        <v>20479.21</v>
      </c>
      <c r="G8" s="11"/>
      <c r="H8" s="11">
        <v>6478.91</v>
      </c>
      <c r="I8" s="11"/>
      <c r="J8" s="59"/>
      <c r="K8" s="59"/>
      <c r="L8" s="17"/>
      <c r="M8" s="17"/>
      <c r="N8" s="17"/>
      <c r="O8" s="17"/>
      <c r="P8" s="17"/>
      <c r="Q8" s="12" t="s">
        <v>29</v>
      </c>
    </row>
    <row r="9" spans="1:17">
      <c r="A9" s="36">
        <v>45294</v>
      </c>
      <c r="B9" s="11">
        <f t="shared" si="0"/>
        <v>19808.23</v>
      </c>
      <c r="C9" s="12" t="s">
        <v>30</v>
      </c>
      <c r="D9" s="11">
        <v>3587.52</v>
      </c>
      <c r="E9" s="11">
        <v>3921.12</v>
      </c>
      <c r="F9" s="11">
        <v>6004.87</v>
      </c>
      <c r="G9" s="11"/>
      <c r="H9" s="11">
        <v>4704.76</v>
      </c>
      <c r="I9" s="11">
        <v>1589.96</v>
      </c>
      <c r="J9" s="59"/>
      <c r="K9" s="59"/>
      <c r="L9" s="17"/>
      <c r="M9" s="17"/>
      <c r="N9" s="17"/>
      <c r="O9" s="17"/>
      <c r="P9" s="17"/>
      <c r="Q9" s="12" t="s">
        <v>30</v>
      </c>
    </row>
    <row r="10" spans="1:17">
      <c r="A10" s="36">
        <v>45325</v>
      </c>
      <c r="B10" s="11">
        <f t="shared" si="0"/>
        <v>43406</v>
      </c>
      <c r="C10" s="12" t="s">
        <v>31</v>
      </c>
      <c r="D10" s="11">
        <v>9066</v>
      </c>
      <c r="E10" s="11">
        <v>7272</v>
      </c>
      <c r="F10" s="11">
        <v>13216</v>
      </c>
      <c r="G10" s="11"/>
      <c r="H10" s="11">
        <v>6149</v>
      </c>
      <c r="I10">
        <v>704</v>
      </c>
      <c r="J10" s="11">
        <v>6999</v>
      </c>
      <c r="K10" s="11"/>
      <c r="L10" s="17"/>
      <c r="M10" s="17"/>
      <c r="N10" s="17"/>
      <c r="O10" s="17"/>
      <c r="P10" s="17"/>
      <c r="Q10" s="17"/>
    </row>
    <row r="11" spans="1:17">
      <c r="A11" s="36">
        <v>45356</v>
      </c>
      <c r="B11" s="11">
        <f t="shared" si="0"/>
        <v>2514.58</v>
      </c>
      <c r="C11" s="12" t="s">
        <v>31</v>
      </c>
      <c r="D11" s="11"/>
      <c r="E11" s="11"/>
      <c r="F11" s="11"/>
      <c r="G11" s="11">
        <v>2514.58</v>
      </c>
      <c r="H11" s="11"/>
      <c r="I11" s="11"/>
      <c r="J11" s="11"/>
      <c r="K11" s="11"/>
      <c r="L11" s="17"/>
      <c r="M11" s="17"/>
      <c r="N11" s="17"/>
      <c r="O11" s="17"/>
      <c r="P11" s="17"/>
      <c r="Q11" s="17"/>
    </row>
    <row r="12" spans="1:17">
      <c r="A12" s="36">
        <v>45354</v>
      </c>
      <c r="B12" s="11">
        <f t="shared" ref="B12:B21" si="1">D12+E12+F12+G12+H12+I12+J12+K12+L12+M12+N12+O12+P12</f>
        <v>31287.11</v>
      </c>
      <c r="C12" s="12" t="s">
        <v>32</v>
      </c>
      <c r="D12" s="11">
        <v>9632.57</v>
      </c>
      <c r="E12" s="11">
        <v>261.88</v>
      </c>
      <c r="F12" s="11">
        <v>11633.17</v>
      </c>
      <c r="G12" s="11">
        <v>3017.28</v>
      </c>
      <c r="H12" s="11">
        <v>4409.14</v>
      </c>
      <c r="I12" s="11">
        <v>1977.75</v>
      </c>
      <c r="J12" s="11">
        <v>355.32</v>
      </c>
      <c r="K12" s="11"/>
      <c r="L12" s="17"/>
      <c r="M12" s="17"/>
      <c r="N12" s="17"/>
      <c r="O12" s="17"/>
      <c r="P12" s="17"/>
      <c r="Q12" s="17"/>
    </row>
    <row r="13" spans="1:17">
      <c r="A13" s="36">
        <v>45385</v>
      </c>
      <c r="B13" s="11">
        <f t="shared" si="1"/>
        <v>58244.42</v>
      </c>
      <c r="C13" s="12" t="s">
        <v>33</v>
      </c>
      <c r="D13" s="11">
        <v>11551.87</v>
      </c>
      <c r="E13" s="11">
        <f>3447.21+5921</f>
        <v>9368.21</v>
      </c>
      <c r="F13" s="11">
        <f>17463.15-5813.7</f>
        <v>11649.45</v>
      </c>
      <c r="G13" s="11">
        <v>6783.71</v>
      </c>
      <c r="H13" s="11">
        <v>5596.96</v>
      </c>
      <c r="I13" s="11">
        <v>2120.32</v>
      </c>
      <c r="J13" s="11">
        <v>270.55</v>
      </c>
      <c r="K13" s="11"/>
      <c r="L13" s="17">
        <v>3347.79</v>
      </c>
      <c r="M13" s="17"/>
      <c r="N13" s="17"/>
      <c r="O13" s="17"/>
      <c r="P13" s="17">
        <v>7555.56</v>
      </c>
      <c r="Q13" s="17"/>
    </row>
    <row r="14" spans="1:17">
      <c r="A14" s="36">
        <v>45416</v>
      </c>
      <c r="B14" s="11">
        <f t="shared" si="1"/>
        <v>61506.09</v>
      </c>
      <c r="C14" s="12" t="s">
        <v>34</v>
      </c>
      <c r="D14" s="11">
        <v>8636.73</v>
      </c>
      <c r="E14" s="11">
        <v>9604.34</v>
      </c>
      <c r="F14" s="11">
        <f>16763.16-6833</f>
        <v>9930.16</v>
      </c>
      <c r="G14" s="11">
        <v>6071.73</v>
      </c>
      <c r="H14" s="11">
        <v>4998.41</v>
      </c>
      <c r="I14" s="11">
        <v>5741.58</v>
      </c>
      <c r="J14" s="11">
        <v>504.85</v>
      </c>
      <c r="K14" s="11">
        <v>450.79</v>
      </c>
      <c r="L14" s="17">
        <v>8835.14</v>
      </c>
      <c r="M14" s="17"/>
      <c r="N14" s="17"/>
      <c r="O14" s="17"/>
      <c r="P14" s="17">
        <v>6732.36</v>
      </c>
      <c r="Q14" s="12" t="s">
        <v>35</v>
      </c>
    </row>
    <row r="15" s="31" customFormat="1" spans="1:17">
      <c r="A15" s="42">
        <v>45447</v>
      </c>
      <c r="B15" s="43">
        <f t="shared" si="1"/>
        <v>40798.01</v>
      </c>
      <c r="C15" s="44" t="s">
        <v>36</v>
      </c>
      <c r="D15" s="43">
        <v>6321.53</v>
      </c>
      <c r="E15" s="43">
        <v>5678.47</v>
      </c>
      <c r="F15" s="43">
        <v>7669.24</v>
      </c>
      <c r="G15" s="43">
        <v>4443.32</v>
      </c>
      <c r="H15" s="43">
        <v>1883.34</v>
      </c>
      <c r="I15" s="43">
        <v>1037.61</v>
      </c>
      <c r="J15" s="43"/>
      <c r="K15" s="43"/>
      <c r="L15" s="60">
        <v>9713.42</v>
      </c>
      <c r="M15" s="60"/>
      <c r="N15" s="60"/>
      <c r="O15" s="60"/>
      <c r="P15" s="60">
        <v>4051.08</v>
      </c>
      <c r="Q15" s="44" t="s">
        <v>37</v>
      </c>
    </row>
    <row r="16" spans="1:17">
      <c r="A16" s="42">
        <v>45477</v>
      </c>
      <c r="B16" s="43">
        <f t="shared" si="1"/>
        <v>50271.99</v>
      </c>
      <c r="C16" s="44" t="s">
        <v>38</v>
      </c>
      <c r="D16" s="45">
        <v>7078.45</v>
      </c>
      <c r="E16" s="45">
        <v>6904.78</v>
      </c>
      <c r="F16" s="45">
        <v>6798.95</v>
      </c>
      <c r="G16" s="11">
        <v>3728.21</v>
      </c>
      <c r="H16" s="45">
        <v>4484.54</v>
      </c>
      <c r="I16" s="45">
        <v>2972.72</v>
      </c>
      <c r="J16" s="45">
        <v>2756.94</v>
      </c>
      <c r="K16" s="11"/>
      <c r="L16" s="45">
        <v>9310.31</v>
      </c>
      <c r="M16" s="61">
        <v>253.12</v>
      </c>
      <c r="N16" s="17"/>
      <c r="O16" s="17"/>
      <c r="P16" s="45">
        <f>5285.53+698.44</f>
        <v>5983.97</v>
      </c>
      <c r="Q16" s="17"/>
    </row>
    <row r="17" spans="1:17">
      <c r="A17" s="42">
        <v>45508</v>
      </c>
      <c r="B17" s="43">
        <f t="shared" si="1"/>
        <v>67951.01</v>
      </c>
      <c r="C17" s="44" t="s">
        <v>39</v>
      </c>
      <c r="D17" s="45">
        <v>3600.72</v>
      </c>
      <c r="E17" s="45">
        <v>6394.73</v>
      </c>
      <c r="F17" s="45">
        <v>6368.09</v>
      </c>
      <c r="G17" s="45">
        <v>6743.53</v>
      </c>
      <c r="H17" s="45">
        <v>8056.67</v>
      </c>
      <c r="I17" s="61">
        <v>932.76</v>
      </c>
      <c r="J17" s="45">
        <v>3600.72</v>
      </c>
      <c r="K17" s="11"/>
      <c r="L17" s="45">
        <v>10174</v>
      </c>
      <c r="M17" s="45">
        <v>5413.34</v>
      </c>
      <c r="N17" s="45">
        <v>7144.5</v>
      </c>
      <c r="O17" s="45">
        <v>3619.3</v>
      </c>
      <c r="P17" s="45">
        <v>5902.65</v>
      </c>
      <c r="Q17" s="17"/>
    </row>
    <row r="18" spans="1:17">
      <c r="A18" s="42">
        <v>45539</v>
      </c>
      <c r="B18" s="43">
        <f t="shared" si="1"/>
        <v>74541.92</v>
      </c>
      <c r="C18" s="44" t="s">
        <v>40</v>
      </c>
      <c r="D18" s="45">
        <v>6932.63</v>
      </c>
      <c r="E18" s="45">
        <f>6372.95+2519.25</f>
        <v>8892.2</v>
      </c>
      <c r="F18" s="45">
        <v>11422.4</v>
      </c>
      <c r="G18" s="45">
        <v>4270</v>
      </c>
      <c r="H18" s="45">
        <v>8906.63</v>
      </c>
      <c r="I18" s="45">
        <v>5479.73</v>
      </c>
      <c r="J18" s="61">
        <v>2413.76</v>
      </c>
      <c r="K18" s="11"/>
      <c r="L18" s="45">
        <v>3991.77</v>
      </c>
      <c r="M18" s="45">
        <v>7989</v>
      </c>
      <c r="N18" s="45">
        <v>6227.5</v>
      </c>
      <c r="O18" s="45">
        <v>3123</v>
      </c>
      <c r="P18" s="45">
        <v>4893.3</v>
      </c>
      <c r="Q18" s="17"/>
    </row>
    <row r="19" spans="1:17">
      <c r="A19" s="42">
        <v>45569</v>
      </c>
      <c r="B19" s="43">
        <f t="shared" si="1"/>
        <v>70802.45</v>
      </c>
      <c r="C19" s="44" t="s">
        <v>41</v>
      </c>
      <c r="D19" s="45">
        <v>4968.27</v>
      </c>
      <c r="E19" s="45">
        <v>5468.37</v>
      </c>
      <c r="F19" s="45">
        <v>13874.44</v>
      </c>
      <c r="G19" s="45">
        <v>4713.45</v>
      </c>
      <c r="H19" s="45">
        <v>6264.99</v>
      </c>
      <c r="I19" s="45">
        <v>3468.05</v>
      </c>
      <c r="J19" s="45">
        <v>5885.14</v>
      </c>
      <c r="K19" s="11"/>
      <c r="L19" s="45">
        <v>5675.84</v>
      </c>
      <c r="M19" s="45">
        <v>8360.85</v>
      </c>
      <c r="N19" s="45">
        <v>3462.8</v>
      </c>
      <c r="O19" s="45">
        <v>2076.65</v>
      </c>
      <c r="P19" s="45">
        <v>6583.6</v>
      </c>
      <c r="Q19" s="17"/>
    </row>
    <row r="20" spans="1:17">
      <c r="A20" s="42">
        <v>45600</v>
      </c>
      <c r="B20" s="43">
        <f t="shared" si="1"/>
        <v>22566.79</v>
      </c>
      <c r="C20" s="44" t="s">
        <v>42</v>
      </c>
      <c r="D20" s="45">
        <v>1227.73</v>
      </c>
      <c r="E20" s="45">
        <v>3944.5</v>
      </c>
      <c r="F20" s="11">
        <v>2211.64</v>
      </c>
      <c r="G20" s="45">
        <v>1023.94</v>
      </c>
      <c r="H20" s="45">
        <v>1437.7</v>
      </c>
      <c r="I20" s="11"/>
      <c r="J20" s="11"/>
      <c r="K20" s="11"/>
      <c r="L20" s="45">
        <v>5936.45</v>
      </c>
      <c r="M20" s="45">
        <v>4848.04</v>
      </c>
      <c r="N20" s="45">
        <v>1290.69</v>
      </c>
      <c r="O20" s="17"/>
      <c r="P20" s="61">
        <v>646.1</v>
      </c>
      <c r="Q20" s="17"/>
    </row>
    <row r="21" s="31" customFormat="1" spans="1:17">
      <c r="A21" s="42">
        <v>45630</v>
      </c>
      <c r="B21" s="43">
        <f t="shared" si="1"/>
        <v>48002.29</v>
      </c>
      <c r="C21" s="44" t="s">
        <v>43</v>
      </c>
      <c r="D21" s="46">
        <v>5532.87</v>
      </c>
      <c r="E21" s="46">
        <v>4500.58</v>
      </c>
      <c r="F21" s="46">
        <v>3500.19</v>
      </c>
      <c r="G21" s="46">
        <v>2392.38</v>
      </c>
      <c r="H21" s="46">
        <v>2939.23</v>
      </c>
      <c r="I21" s="43">
        <v>886.17</v>
      </c>
      <c r="J21" s="62">
        <v>283.02</v>
      </c>
      <c r="K21" s="43"/>
      <c r="L21" s="46">
        <v>8186.44</v>
      </c>
      <c r="M21" s="46">
        <v>6038.91</v>
      </c>
      <c r="N21" s="46">
        <v>8190.42</v>
      </c>
      <c r="O21" s="60"/>
      <c r="P21" s="46">
        <v>5552.08</v>
      </c>
      <c r="Q21" s="60"/>
    </row>
    <row r="22" spans="1:17">
      <c r="A22" s="47" t="s">
        <v>44</v>
      </c>
      <c r="B22" s="43">
        <f t="shared" ref="B22:B32" si="2">D22+E22+F22+G22+H22+I22+J22+K22+L22+M22+N22+O22+P22</f>
        <v>36377.4</v>
      </c>
      <c r="C22" s="44" t="s">
        <v>45</v>
      </c>
      <c r="D22" s="48">
        <v>4548.07</v>
      </c>
      <c r="E22" s="48">
        <v>4298.37</v>
      </c>
      <c r="F22" s="48">
        <v>1647.52</v>
      </c>
      <c r="G22" s="48">
        <v>2333.11</v>
      </c>
      <c r="H22" s="48">
        <v>3385.04</v>
      </c>
      <c r="I22" s="48">
        <v>2425.42</v>
      </c>
      <c r="J22" s="47">
        <v>797.14</v>
      </c>
      <c r="K22" s="11"/>
      <c r="L22" s="48">
        <v>7418.91</v>
      </c>
      <c r="M22" s="48">
        <v>5334.31</v>
      </c>
      <c r="N22" s="48">
        <v>1558.62</v>
      </c>
      <c r="O22" s="17"/>
      <c r="P22" s="48">
        <v>2630.89</v>
      </c>
      <c r="Q22" s="17"/>
    </row>
    <row r="23" spans="1:17">
      <c r="A23" s="47" t="s">
        <v>46</v>
      </c>
      <c r="B23" s="43">
        <f t="shared" si="2"/>
        <v>54956.51</v>
      </c>
      <c r="C23" s="44" t="s">
        <v>47</v>
      </c>
      <c r="D23" s="48">
        <v>4087.19</v>
      </c>
      <c r="E23" s="48">
        <v>5816.77</v>
      </c>
      <c r="F23" s="48">
        <v>11023.06</v>
      </c>
      <c r="G23" s="48">
        <v>5474.42</v>
      </c>
      <c r="H23" s="48">
        <v>4565.57</v>
      </c>
      <c r="I23" s="48">
        <v>3517.24</v>
      </c>
      <c r="J23" s="48">
        <v>4347.01</v>
      </c>
      <c r="K23" s="11"/>
      <c r="L23" s="48">
        <v>3886.31</v>
      </c>
      <c r="M23" s="48">
        <v>6707.06</v>
      </c>
      <c r="N23" s="48">
        <v>2101.56</v>
      </c>
      <c r="O23" s="17"/>
      <c r="P23" s="48">
        <v>3430.32</v>
      </c>
      <c r="Q23" s="17"/>
    </row>
    <row r="24" spans="1:17">
      <c r="A24" s="47" t="s">
        <v>48</v>
      </c>
      <c r="B24" s="43">
        <f t="shared" si="2"/>
        <v>36341.62</v>
      </c>
      <c r="C24" s="44" t="s">
        <v>49</v>
      </c>
      <c r="D24" s="48">
        <v>5503.85</v>
      </c>
      <c r="E24" s="48">
        <v>3829.67</v>
      </c>
      <c r="F24" s="48">
        <v>7328</v>
      </c>
      <c r="G24" s="48">
        <v>1238.12</v>
      </c>
      <c r="H24" s="47">
        <v>467.65</v>
      </c>
      <c r="I24" s="48"/>
      <c r="J24" s="48">
        <v>2729.97</v>
      </c>
      <c r="K24" s="11"/>
      <c r="L24" s="48">
        <v>3914.85</v>
      </c>
      <c r="M24" s="48">
        <v>7389.92</v>
      </c>
      <c r="N24" s="48">
        <v>3939.59</v>
      </c>
      <c r="O24" s="17"/>
      <c r="P24" s="48"/>
      <c r="Q24" s="17"/>
    </row>
    <row r="25" spans="1:17">
      <c r="A25" s="47" t="s">
        <v>50</v>
      </c>
      <c r="B25" s="43">
        <f t="shared" si="2"/>
        <v>50148.86</v>
      </c>
      <c r="C25" s="44" t="s">
        <v>51</v>
      </c>
      <c r="D25" s="48">
        <v>5571.18</v>
      </c>
      <c r="E25" s="48">
        <v>4470</v>
      </c>
      <c r="F25" s="48">
        <v>2007.24</v>
      </c>
      <c r="G25" s="48">
        <v>6778.1</v>
      </c>
      <c r="H25" s="48">
        <v>4162.07</v>
      </c>
      <c r="I25" s="48">
        <v>2053.34</v>
      </c>
      <c r="J25" s="48">
        <v>2307.18</v>
      </c>
      <c r="K25" s="11"/>
      <c r="L25" s="48">
        <v>5589.74</v>
      </c>
      <c r="M25" s="48">
        <v>6919.97</v>
      </c>
      <c r="N25" s="48">
        <v>3801.99</v>
      </c>
      <c r="O25" s="17"/>
      <c r="P25" s="48">
        <v>6488.05</v>
      </c>
      <c r="Q25" s="17"/>
    </row>
    <row r="26" spans="1:17">
      <c r="A26" s="47" t="s">
        <v>52</v>
      </c>
      <c r="B26" s="43">
        <f t="shared" si="2"/>
        <v>58500.02</v>
      </c>
      <c r="C26" s="44" t="s">
        <v>53</v>
      </c>
      <c r="D26" s="48">
        <v>4506.79</v>
      </c>
      <c r="E26" s="48">
        <v>7676.93</v>
      </c>
      <c r="F26" s="48">
        <v>3513.88</v>
      </c>
      <c r="G26" s="48">
        <v>5034.56</v>
      </c>
      <c r="H26" s="48">
        <v>2806.9</v>
      </c>
      <c r="I26" s="48">
        <v>3629.54</v>
      </c>
      <c r="J26" s="48">
        <v>4600.11</v>
      </c>
      <c r="K26" s="11"/>
      <c r="L26" s="48">
        <v>5850.15</v>
      </c>
      <c r="M26" s="48">
        <v>7442.76</v>
      </c>
      <c r="N26" s="48">
        <v>6291.99</v>
      </c>
      <c r="O26" s="17"/>
      <c r="P26" s="48">
        <v>7146.41</v>
      </c>
      <c r="Q26" s="17"/>
    </row>
    <row r="27" spans="1:17">
      <c r="A27" s="47" t="s">
        <v>54</v>
      </c>
      <c r="B27" s="43">
        <f t="shared" si="2"/>
        <v>37954.28</v>
      </c>
      <c r="C27" s="44" t="s">
        <v>55</v>
      </c>
      <c r="D27" s="48">
        <v>2758.23</v>
      </c>
      <c r="E27" s="48">
        <v>3901.62</v>
      </c>
      <c r="F27" s="48">
        <v>3704</v>
      </c>
      <c r="G27" s="48">
        <v>2359.5</v>
      </c>
      <c r="H27" s="48">
        <v>2003.47</v>
      </c>
      <c r="I27" s="48">
        <v>4095.51</v>
      </c>
      <c r="J27" s="48"/>
      <c r="K27" s="11"/>
      <c r="L27" s="48">
        <v>6679.18</v>
      </c>
      <c r="M27" s="48">
        <v>6009</v>
      </c>
      <c r="N27" s="48">
        <v>2931.18</v>
      </c>
      <c r="O27" s="17"/>
      <c r="P27" s="48">
        <v>3512.59</v>
      </c>
      <c r="Q27" s="17"/>
    </row>
    <row r="28" spans="1:17">
      <c r="A28" s="47" t="s">
        <v>56</v>
      </c>
      <c r="B28" s="43">
        <f t="shared" si="2"/>
        <v>59921.54</v>
      </c>
      <c r="C28" s="44" t="s">
        <v>57</v>
      </c>
      <c r="D28" s="48">
        <v>5838.35</v>
      </c>
      <c r="E28" s="48">
        <v>5871.77</v>
      </c>
      <c r="F28" s="48">
        <v>6395.51</v>
      </c>
      <c r="G28" s="48">
        <v>5853.34</v>
      </c>
      <c r="H28" s="48">
        <v>6499.95</v>
      </c>
      <c r="I28" s="48">
        <v>4242.96</v>
      </c>
      <c r="J28" s="48">
        <v>4009.33</v>
      </c>
      <c r="K28" s="11"/>
      <c r="L28" s="48">
        <v>1524.41</v>
      </c>
      <c r="M28" s="48">
        <v>6871.01</v>
      </c>
      <c r="N28" s="48">
        <v>7075.09</v>
      </c>
      <c r="O28" s="17"/>
      <c r="P28" s="48">
        <v>5739.82</v>
      </c>
      <c r="Q28" s="17"/>
    </row>
    <row r="29" spans="1:17">
      <c r="A29" s="47" t="s">
        <v>58</v>
      </c>
      <c r="B29" s="43">
        <f t="shared" si="2"/>
        <v>62483.61</v>
      </c>
      <c r="C29" s="44" t="s">
        <v>59</v>
      </c>
      <c r="D29" s="48">
        <v>5982.54</v>
      </c>
      <c r="E29" s="48">
        <v>4841.13</v>
      </c>
      <c r="F29" s="48">
        <v>10950.16</v>
      </c>
      <c r="G29" s="48">
        <v>3326.1</v>
      </c>
      <c r="H29" s="48">
        <v>4625.28</v>
      </c>
      <c r="I29" s="48">
        <v>4111.81</v>
      </c>
      <c r="J29" s="48">
        <v>5665.2</v>
      </c>
      <c r="K29" s="11"/>
      <c r="L29" s="48"/>
      <c r="M29" s="48">
        <v>9051.21</v>
      </c>
      <c r="N29" s="48">
        <v>7585.83</v>
      </c>
      <c r="O29" s="17"/>
      <c r="P29" s="48">
        <v>6344.35</v>
      </c>
      <c r="Q29" s="17"/>
    </row>
    <row r="30" spans="1:17">
      <c r="A30" s="47" t="s">
        <v>60</v>
      </c>
      <c r="B30" s="43">
        <f t="shared" si="2"/>
        <v>70571.74</v>
      </c>
      <c r="C30" s="44" t="s">
        <v>61</v>
      </c>
      <c r="D30" s="48">
        <v>5193.73</v>
      </c>
      <c r="E30" s="48">
        <v>5459.56</v>
      </c>
      <c r="F30" s="48">
        <v>1917.61</v>
      </c>
      <c r="G30" s="48">
        <v>5388.98</v>
      </c>
      <c r="H30" s="48">
        <v>6111.42</v>
      </c>
      <c r="I30" s="48">
        <v>5995.19</v>
      </c>
      <c r="J30" s="48">
        <v>7607.4</v>
      </c>
      <c r="K30" s="11"/>
      <c r="L30" s="48">
        <v>5902.07</v>
      </c>
      <c r="M30" s="48">
        <v>11170.82</v>
      </c>
      <c r="N30" s="48">
        <v>10123.42</v>
      </c>
      <c r="O30" s="17"/>
      <c r="P30" s="48">
        <v>5701.54</v>
      </c>
      <c r="Q30" s="17"/>
    </row>
    <row r="31" spans="1:17">
      <c r="A31" s="47" t="s">
        <v>62</v>
      </c>
      <c r="B31" s="43">
        <f t="shared" si="2"/>
        <v>71217.46</v>
      </c>
      <c r="C31" s="44" t="s">
        <v>63</v>
      </c>
      <c r="D31" s="48">
        <v>6299.37</v>
      </c>
      <c r="E31" s="48">
        <v>5968.81</v>
      </c>
      <c r="F31" s="48">
        <v>2304.2</v>
      </c>
      <c r="G31" s="48">
        <v>5445.4</v>
      </c>
      <c r="H31" s="48">
        <v>7053.6</v>
      </c>
      <c r="I31" s="48">
        <v>7039.76</v>
      </c>
      <c r="J31" s="48">
        <v>7049.54</v>
      </c>
      <c r="K31" s="11"/>
      <c r="L31" s="48">
        <v>6812.52</v>
      </c>
      <c r="M31" s="48">
        <v>10284.53</v>
      </c>
      <c r="N31" s="48">
        <v>6720.88</v>
      </c>
      <c r="O31" s="47">
        <v>109.45</v>
      </c>
      <c r="P31" s="48">
        <v>6129.4</v>
      </c>
      <c r="Q31" s="17"/>
    </row>
    <row r="32" s="32" customFormat="1" ht="16.5" customHeight="1" spans="1:17">
      <c r="A32" s="49"/>
      <c r="B32" s="50">
        <f t="shared" si="2"/>
        <v>25969.03</v>
      </c>
      <c r="C32" s="49" t="s">
        <v>27</v>
      </c>
      <c r="D32" s="41">
        <v>4426.63</v>
      </c>
      <c r="E32" s="53">
        <v>862.78</v>
      </c>
      <c r="F32" s="54">
        <v>9978.63</v>
      </c>
      <c r="G32" s="55">
        <v>2591.67</v>
      </c>
      <c r="H32" s="55">
        <v>1287</v>
      </c>
      <c r="I32" s="49"/>
      <c r="J32" s="63"/>
      <c r="K32" s="63"/>
      <c r="L32" s="64">
        <v>3170.69</v>
      </c>
      <c r="M32" s="50"/>
      <c r="N32" s="49"/>
      <c r="O32" s="49"/>
      <c r="P32" s="64">
        <v>3651.63</v>
      </c>
      <c r="Q32" s="49"/>
    </row>
    <row r="33" spans="1:17">
      <c r="A33" s="17"/>
      <c r="B33" s="11"/>
      <c r="C33" s="17"/>
      <c r="D33" s="11"/>
      <c r="E33" s="11"/>
      <c r="F33" s="11"/>
      <c r="G33" s="11"/>
      <c r="H33" s="11"/>
      <c r="I33" s="11"/>
      <c r="J33" s="11"/>
      <c r="K33" s="11"/>
      <c r="L33" s="17"/>
      <c r="M33" s="17"/>
      <c r="N33" s="17"/>
      <c r="O33" s="17"/>
      <c r="P33" s="17"/>
      <c r="Q33" s="17"/>
    </row>
    <row r="34" spans="1:17">
      <c r="A34" s="12" t="s">
        <v>1</v>
      </c>
      <c r="B34" s="65">
        <f>SUM(B6:B33)</f>
        <v>1222837.05</v>
      </c>
      <c r="C34" s="17"/>
      <c r="D34" s="11">
        <f t="shared" ref="D34:P34" si="3">SUM(D7:D33)</f>
        <v>142527.47</v>
      </c>
      <c r="E34" s="11">
        <f t="shared" si="3"/>
        <v>134631.91</v>
      </c>
      <c r="F34" s="11">
        <f t="shared" si="3"/>
        <v>186734.62</v>
      </c>
      <c r="G34" s="11">
        <f t="shared" si="3"/>
        <v>91525.43</v>
      </c>
      <c r="H34" s="11">
        <f t="shared" si="3"/>
        <v>113189.23</v>
      </c>
      <c r="I34" s="11">
        <f t="shared" si="3"/>
        <v>64021.42</v>
      </c>
      <c r="J34" s="11">
        <f t="shared" si="3"/>
        <v>62182.18</v>
      </c>
      <c r="K34" s="11">
        <f t="shared" si="3"/>
        <v>450.79</v>
      </c>
      <c r="L34" s="11">
        <f t="shared" si="3"/>
        <v>115919.99</v>
      </c>
      <c r="M34" s="11">
        <f t="shared" si="3"/>
        <v>110083.85</v>
      </c>
      <c r="N34" s="11">
        <f t="shared" si="3"/>
        <v>78446.06</v>
      </c>
      <c r="O34" s="11">
        <f t="shared" si="3"/>
        <v>8928.4</v>
      </c>
      <c r="P34" s="11">
        <f t="shared" si="3"/>
        <v>98675.7</v>
      </c>
      <c r="Q34" s="17"/>
    </row>
    <row r="35" s="33" customFormat="1" spans="1:16">
      <c r="A35" s="66" t="s">
        <v>11</v>
      </c>
      <c r="B35" s="67">
        <f>SUM(D35:P35)</f>
        <v>1467707</v>
      </c>
      <c r="D35" s="33">
        <f t="shared" ref="D35:P35" si="4">D4</f>
        <v>75000</v>
      </c>
      <c r="E35" s="33">
        <f t="shared" si="4"/>
        <v>102000</v>
      </c>
      <c r="F35" s="33">
        <f t="shared" si="4"/>
        <v>189000</v>
      </c>
      <c r="G35" s="33">
        <f t="shared" si="4"/>
        <v>82500</v>
      </c>
      <c r="H35" s="33">
        <f t="shared" si="4"/>
        <v>80000</v>
      </c>
      <c r="I35" s="33">
        <f t="shared" si="4"/>
        <v>80207</v>
      </c>
      <c r="J35" s="33">
        <f t="shared" si="4"/>
        <v>164000</v>
      </c>
      <c r="K35" s="33">
        <f t="shared" si="4"/>
        <v>106500</v>
      </c>
      <c r="L35" s="33">
        <f t="shared" si="4"/>
        <v>86500</v>
      </c>
      <c r="M35" s="33">
        <f t="shared" si="4"/>
        <v>130000</v>
      </c>
      <c r="N35" s="33">
        <f t="shared" si="4"/>
        <v>136000</v>
      </c>
      <c r="O35" s="33">
        <f t="shared" si="4"/>
        <v>143500</v>
      </c>
      <c r="P35" s="33">
        <f t="shared" si="4"/>
        <v>92500</v>
      </c>
    </row>
    <row r="36" spans="1:16">
      <c r="A36" s="2" t="s">
        <v>64</v>
      </c>
      <c r="B36" s="27">
        <f>B34/B35</f>
        <v>0.833161557449818</v>
      </c>
      <c r="D36" s="27">
        <f>D34/D35</f>
        <v>1.90036626666667</v>
      </c>
      <c r="E36" s="27">
        <f t="shared" ref="E36:P36" si="5">E34/E35</f>
        <v>1.31992068627451</v>
      </c>
      <c r="F36" s="27">
        <f t="shared" si="5"/>
        <v>0.988013862433863</v>
      </c>
      <c r="G36" s="27">
        <f t="shared" si="5"/>
        <v>1.10939915151515</v>
      </c>
      <c r="H36" s="27">
        <f t="shared" si="5"/>
        <v>1.414865375</v>
      </c>
      <c r="I36" s="27">
        <f t="shared" si="5"/>
        <v>0.798202401286671</v>
      </c>
      <c r="J36" s="27">
        <f t="shared" si="5"/>
        <v>0.379159634146341</v>
      </c>
      <c r="K36" s="27">
        <f t="shared" si="5"/>
        <v>0.00423276995305164</v>
      </c>
      <c r="L36" s="27">
        <f t="shared" si="5"/>
        <v>1.34011549132948</v>
      </c>
      <c r="M36" s="27">
        <f t="shared" si="5"/>
        <v>0.846798846153846</v>
      </c>
      <c r="N36" s="27">
        <f t="shared" si="5"/>
        <v>0.576809264705882</v>
      </c>
      <c r="O36" s="27">
        <f t="shared" si="5"/>
        <v>0.0622188153310105</v>
      </c>
      <c r="P36" s="27">
        <f t="shared" si="5"/>
        <v>1.06676432432432</v>
      </c>
    </row>
    <row r="38" spans="1:2">
      <c r="A38" s="2" t="s">
        <v>65</v>
      </c>
      <c r="B38" s="68">
        <f>分红明细表!E3</f>
        <v>114388.32</v>
      </c>
    </row>
    <row r="39" spans="1:2">
      <c r="A39" s="2" t="s">
        <v>66</v>
      </c>
      <c r="B39" s="68">
        <v>544006.66</v>
      </c>
    </row>
    <row r="40" spans="1:2">
      <c r="A40" s="2" t="s">
        <v>67</v>
      </c>
      <c r="B40" s="69">
        <f>B34-B38-B39</f>
        <v>564442.07</v>
      </c>
    </row>
    <row r="42" spans="1:1">
      <c r="A42" s="2" t="s">
        <v>68</v>
      </c>
    </row>
    <row r="43" spans="1:1">
      <c r="A43" s="2" t="s">
        <v>69</v>
      </c>
    </row>
    <row r="44" spans="1:1">
      <c r="A44" s="2" t="s">
        <v>70</v>
      </c>
    </row>
    <row r="45" spans="1:1">
      <c r="A45" s="2" t="s">
        <v>71</v>
      </c>
    </row>
  </sheetData>
  <sheetProtection formatCells="0" insertHyperlinks="0" autoFilter="0"/>
  <mergeCells count="2">
    <mergeCell ref="C2:C5"/>
    <mergeCell ref="Q2:Q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4"/>
  <sheetViews>
    <sheetView workbookViewId="0">
      <selection activeCell="J3" sqref="J3:N3"/>
    </sheetView>
  </sheetViews>
  <sheetFormatPr defaultColWidth="9" defaultRowHeight="14.25"/>
  <cols>
    <col min="1" max="1" width="15.625"/>
    <col min="2" max="2" width="20.6666666666667" customWidth="1"/>
    <col min="3" max="3" width="12.1666666666667" customWidth="1"/>
    <col min="4" max="4" width="12.8333333333333" customWidth="1"/>
    <col min="5" max="5" width="11.6666666666667" customWidth="1"/>
    <col min="6" max="6" width="9" customWidth="1"/>
    <col min="8" max="8" width="13.4166666666667" customWidth="1"/>
    <col min="9" max="9" width="12.625" customWidth="1"/>
  </cols>
  <sheetData>
    <row r="2" s="14" customFormat="1" spans="1:9">
      <c r="A2" s="15" t="s">
        <v>72</v>
      </c>
      <c r="B2" s="5" t="s">
        <v>73</v>
      </c>
      <c r="C2" s="5" t="s">
        <v>74</v>
      </c>
      <c r="D2" s="5" t="s">
        <v>75</v>
      </c>
      <c r="E2" s="5" t="s">
        <v>76</v>
      </c>
      <c r="F2" s="5" t="s">
        <v>2</v>
      </c>
      <c r="G2" s="4" t="s">
        <v>77</v>
      </c>
      <c r="H2" s="4" t="s">
        <v>78</v>
      </c>
      <c r="I2" s="4" t="s">
        <v>79</v>
      </c>
    </row>
    <row r="3" spans="1:9">
      <c r="A3" s="16">
        <v>45168</v>
      </c>
      <c r="B3" s="7" t="s">
        <v>80</v>
      </c>
      <c r="C3" s="9">
        <v>187500</v>
      </c>
      <c r="D3" s="17"/>
      <c r="E3" s="17">
        <f>C3</f>
        <v>187500</v>
      </c>
      <c r="F3" s="12" t="s">
        <v>81</v>
      </c>
      <c r="G3" s="8">
        <f t="shared" ref="G3:G8" si="0">C3/1000000</f>
        <v>0.1875</v>
      </c>
      <c r="H3" s="17">
        <v>467707</v>
      </c>
      <c r="I3" s="28">
        <f>G3*H3</f>
        <v>87695.0625</v>
      </c>
    </row>
    <row r="4" spans="1:9">
      <c r="A4" s="16">
        <v>45168</v>
      </c>
      <c r="B4" s="9" t="s">
        <v>82</v>
      </c>
      <c r="C4" s="9">
        <v>187500</v>
      </c>
      <c r="D4" s="17"/>
      <c r="E4" s="17">
        <f t="shared" ref="E4:E13" si="1">E3+C4-D4</f>
        <v>375000</v>
      </c>
      <c r="F4" s="12" t="s">
        <v>81</v>
      </c>
      <c r="G4" s="8">
        <f t="shared" si="0"/>
        <v>0.1875</v>
      </c>
      <c r="H4" s="17">
        <v>467707</v>
      </c>
      <c r="I4" s="28">
        <f>G4*H4</f>
        <v>87695.0625</v>
      </c>
    </row>
    <row r="5" spans="1:9">
      <c r="A5" s="16">
        <v>45168</v>
      </c>
      <c r="B5" s="9" t="s">
        <v>83</v>
      </c>
      <c r="C5" s="9">
        <v>187500</v>
      </c>
      <c r="D5" s="17"/>
      <c r="E5" s="17">
        <f t="shared" si="1"/>
        <v>562500</v>
      </c>
      <c r="F5" s="12" t="s">
        <v>81</v>
      </c>
      <c r="G5" s="8">
        <f t="shared" si="0"/>
        <v>0.1875</v>
      </c>
      <c r="H5" s="17">
        <v>467707</v>
      </c>
      <c r="I5" s="28">
        <f>G5*H5</f>
        <v>87695.0625</v>
      </c>
    </row>
    <row r="6" spans="1:9">
      <c r="A6" s="16">
        <v>45153</v>
      </c>
      <c r="B6" s="9" t="s">
        <v>84</v>
      </c>
      <c r="C6" s="9">
        <v>187500</v>
      </c>
      <c r="D6" s="17"/>
      <c r="E6" s="17">
        <f t="shared" si="1"/>
        <v>750000</v>
      </c>
      <c r="F6" s="12" t="s">
        <v>81</v>
      </c>
      <c r="G6" s="8">
        <f t="shared" si="0"/>
        <v>0.1875</v>
      </c>
      <c r="H6" s="17">
        <v>467707</v>
      </c>
      <c r="I6" s="28">
        <f>G6*H6</f>
        <v>87695.0625</v>
      </c>
    </row>
    <row r="7" spans="1:9">
      <c r="A7" s="16">
        <v>45168</v>
      </c>
      <c r="B7" s="9" t="s">
        <v>85</v>
      </c>
      <c r="C7" s="9">
        <v>50000</v>
      </c>
      <c r="D7" s="17"/>
      <c r="E7" s="17">
        <f t="shared" si="1"/>
        <v>800000</v>
      </c>
      <c r="F7" s="12" t="s">
        <v>81</v>
      </c>
      <c r="G7" s="8">
        <f t="shared" si="0"/>
        <v>0.05</v>
      </c>
      <c r="H7" s="17">
        <v>467707</v>
      </c>
      <c r="I7" s="28">
        <f>G7*H7+1</f>
        <v>23386.35</v>
      </c>
    </row>
    <row r="8" spans="1:9">
      <c r="A8" s="16">
        <v>45168</v>
      </c>
      <c r="B8" s="9" t="s">
        <v>86</v>
      </c>
      <c r="C8" s="9">
        <v>200000</v>
      </c>
      <c r="D8" s="17"/>
      <c r="E8" s="17">
        <f t="shared" si="1"/>
        <v>1000000</v>
      </c>
      <c r="F8" s="12" t="s">
        <v>81</v>
      </c>
      <c r="G8" s="8">
        <f t="shared" si="0"/>
        <v>0.2</v>
      </c>
      <c r="H8" s="17">
        <v>467707</v>
      </c>
      <c r="I8" s="28">
        <f>G8*H8</f>
        <v>93541.4</v>
      </c>
    </row>
    <row r="9" spans="1:9">
      <c r="A9" s="16">
        <v>45315</v>
      </c>
      <c r="B9" s="9" t="s">
        <v>82</v>
      </c>
      <c r="C9" s="18">
        <v>87695</v>
      </c>
      <c r="D9" s="19"/>
      <c r="E9" s="17">
        <f t="shared" si="1"/>
        <v>1087695</v>
      </c>
      <c r="F9" s="26"/>
      <c r="G9" s="27"/>
      <c r="I9" s="29"/>
    </row>
    <row r="10" spans="1:9">
      <c r="A10" s="16">
        <v>45316</v>
      </c>
      <c r="B10" s="20" t="s">
        <v>87</v>
      </c>
      <c r="C10" s="18">
        <v>87695</v>
      </c>
      <c r="D10" s="19"/>
      <c r="E10" s="17">
        <f t="shared" si="1"/>
        <v>1175390</v>
      </c>
      <c r="F10" s="26"/>
      <c r="G10" s="27"/>
      <c r="I10" s="29"/>
    </row>
    <row r="11" spans="1:9">
      <c r="A11" s="16">
        <v>45316</v>
      </c>
      <c r="B11" s="20" t="s">
        <v>80</v>
      </c>
      <c r="C11" s="18">
        <v>87695</v>
      </c>
      <c r="D11" s="19"/>
      <c r="E11" s="17">
        <f t="shared" si="1"/>
        <v>1263085</v>
      </c>
      <c r="F11" s="26"/>
      <c r="G11" s="27"/>
      <c r="I11" s="29"/>
    </row>
    <row r="12" spans="1:9">
      <c r="A12" s="16">
        <v>45316</v>
      </c>
      <c r="B12" s="20" t="s">
        <v>88</v>
      </c>
      <c r="C12" s="18">
        <v>87695</v>
      </c>
      <c r="D12" s="19"/>
      <c r="E12" s="17">
        <f t="shared" si="1"/>
        <v>1350780</v>
      </c>
      <c r="F12" s="26"/>
      <c r="G12" s="27"/>
      <c r="I12" s="29"/>
    </row>
    <row r="13" spans="1:9">
      <c r="A13" s="16">
        <v>45317</v>
      </c>
      <c r="B13" s="9" t="s">
        <v>85</v>
      </c>
      <c r="C13" s="18">
        <v>23386</v>
      </c>
      <c r="D13" s="19"/>
      <c r="E13" s="17">
        <f t="shared" si="1"/>
        <v>1374166</v>
      </c>
      <c r="F13" s="26"/>
      <c r="G13" s="27"/>
      <c r="I13" s="29"/>
    </row>
    <row r="14" spans="1:9">
      <c r="A14" s="16"/>
      <c r="B14" s="20" t="s">
        <v>89</v>
      </c>
      <c r="C14" s="18"/>
      <c r="D14" s="19"/>
      <c r="E14" s="19"/>
      <c r="F14" s="26"/>
      <c r="G14" s="27"/>
      <c r="I14" s="29"/>
    </row>
    <row r="15" spans="1:9">
      <c r="A15" s="16"/>
      <c r="B15" s="18"/>
      <c r="C15" s="18"/>
      <c r="D15" s="19"/>
      <c r="E15" s="19"/>
      <c r="F15" s="26"/>
      <c r="G15" s="27"/>
      <c r="I15" s="29"/>
    </row>
    <row r="16" spans="1:9">
      <c r="A16" s="16"/>
      <c r="B16" s="18"/>
      <c r="C16" s="18"/>
      <c r="D16" s="19"/>
      <c r="E16" s="19"/>
      <c r="F16" s="26"/>
      <c r="G16" s="27"/>
      <c r="I16" s="29"/>
    </row>
    <row r="17" spans="1:9">
      <c r="A17" s="16"/>
      <c r="B17" s="18"/>
      <c r="C17" s="18"/>
      <c r="D17" s="19"/>
      <c r="E17" s="19"/>
      <c r="F17" s="26"/>
      <c r="G17" s="27"/>
      <c r="I17" s="29">
        <f>SUM(I3:I8)-1</f>
        <v>467707</v>
      </c>
    </row>
    <row r="18" spans="1:9">
      <c r="A18" s="21">
        <v>45182</v>
      </c>
      <c r="B18" s="22" t="s">
        <v>90</v>
      </c>
      <c r="C18" s="19"/>
      <c r="D18" s="19">
        <v>75000</v>
      </c>
      <c r="E18" s="19">
        <f>E8+C18-D18</f>
        <v>925000</v>
      </c>
      <c r="F18" s="26" t="s">
        <v>5</v>
      </c>
      <c r="I18" s="29"/>
    </row>
    <row r="19" ht="30" spans="1:6">
      <c r="A19" s="21">
        <v>45182</v>
      </c>
      <c r="B19" s="23" t="s">
        <v>15</v>
      </c>
      <c r="C19" s="24"/>
      <c r="D19" s="24">
        <v>102000</v>
      </c>
      <c r="E19" s="24">
        <f t="shared" ref="E18:E25" si="2">E18+C19-D19</f>
        <v>823000</v>
      </c>
      <c r="F19" s="25" t="s">
        <v>6</v>
      </c>
    </row>
    <row r="20" ht="15" spans="1:6">
      <c r="A20" s="21">
        <v>45182</v>
      </c>
      <c r="B20" s="23" t="s">
        <v>91</v>
      </c>
      <c r="C20" s="24"/>
      <c r="D20" s="24">
        <v>94500</v>
      </c>
      <c r="E20" s="24">
        <f t="shared" si="2"/>
        <v>728500</v>
      </c>
      <c r="F20" s="25" t="s">
        <v>7</v>
      </c>
    </row>
    <row r="21" ht="15" spans="1:6">
      <c r="A21" s="21">
        <v>45182</v>
      </c>
      <c r="B21" s="23" t="s">
        <v>92</v>
      </c>
      <c r="C21" s="24"/>
      <c r="D21" s="24">
        <v>94500</v>
      </c>
      <c r="E21" s="24">
        <f t="shared" si="2"/>
        <v>634000</v>
      </c>
      <c r="F21" s="25" t="s">
        <v>7</v>
      </c>
    </row>
    <row r="22" ht="15" spans="1:6">
      <c r="A22" s="21">
        <v>45182</v>
      </c>
      <c r="B22" s="23" t="s">
        <v>17</v>
      </c>
      <c r="C22" s="24"/>
      <c r="D22" s="24">
        <v>82500</v>
      </c>
      <c r="E22" s="24">
        <f t="shared" si="2"/>
        <v>551500</v>
      </c>
      <c r="F22" s="25" t="s">
        <v>5</v>
      </c>
    </row>
    <row r="23" ht="15" spans="1:6">
      <c r="A23" s="21">
        <v>45182</v>
      </c>
      <c r="B23" s="23" t="s">
        <v>18</v>
      </c>
      <c r="C23" s="24"/>
      <c r="D23" s="24">
        <v>80000</v>
      </c>
      <c r="E23" s="24">
        <f t="shared" si="2"/>
        <v>471500</v>
      </c>
      <c r="F23" s="25" t="s">
        <v>6</v>
      </c>
    </row>
    <row r="24" spans="1:6">
      <c r="A24" s="21">
        <v>45203</v>
      </c>
      <c r="B24" s="24" t="s">
        <v>93</v>
      </c>
      <c r="C24" s="24"/>
      <c r="D24" s="24">
        <v>85000</v>
      </c>
      <c r="E24" s="24">
        <f t="shared" si="2"/>
        <v>386500</v>
      </c>
      <c r="F24" s="25" t="s">
        <v>8</v>
      </c>
    </row>
    <row r="25" spans="1:6">
      <c r="A25" s="21">
        <v>45235</v>
      </c>
      <c r="B25" s="25" t="s">
        <v>94</v>
      </c>
      <c r="C25" s="24"/>
      <c r="D25" s="24">
        <v>164000</v>
      </c>
      <c r="E25" s="24">
        <f t="shared" si="2"/>
        <v>222500</v>
      </c>
      <c r="F25" s="25" t="s">
        <v>9</v>
      </c>
    </row>
    <row r="26" spans="1:6">
      <c r="A26" s="21">
        <v>45271</v>
      </c>
      <c r="B26" s="25" t="s">
        <v>95</v>
      </c>
      <c r="C26" s="24"/>
      <c r="D26" s="24">
        <v>106500</v>
      </c>
      <c r="E26" s="24">
        <v>116000</v>
      </c>
      <c r="F26" s="25" t="s">
        <v>6</v>
      </c>
    </row>
    <row r="27" spans="1:6">
      <c r="A27" s="21">
        <v>45295</v>
      </c>
      <c r="B27" s="25" t="s">
        <v>96</v>
      </c>
      <c r="C27" s="24"/>
      <c r="D27" s="24">
        <v>-4793</v>
      </c>
      <c r="E27" s="24">
        <f t="shared" ref="E27:E32" si="3">E26+C27-D27</f>
        <v>120793</v>
      </c>
      <c r="F27" s="25" t="s">
        <v>9</v>
      </c>
    </row>
    <row r="28" spans="1:6">
      <c r="A28" s="21">
        <v>45303</v>
      </c>
      <c r="B28" s="2" t="s">
        <v>97</v>
      </c>
      <c r="D28">
        <v>86500</v>
      </c>
      <c r="E28" s="24">
        <f t="shared" si="3"/>
        <v>34293</v>
      </c>
      <c r="F28" s="2" t="s">
        <v>10</v>
      </c>
    </row>
    <row r="29" spans="1:6">
      <c r="A29" s="21">
        <v>45303</v>
      </c>
      <c r="B29" s="2" t="s">
        <v>23</v>
      </c>
      <c r="D29">
        <v>130000</v>
      </c>
      <c r="E29" s="24">
        <f t="shared" si="3"/>
        <v>-95707</v>
      </c>
      <c r="F29" s="25" t="s">
        <v>9</v>
      </c>
    </row>
    <row r="30" spans="1:6">
      <c r="A30" s="21">
        <v>45303</v>
      </c>
      <c r="B30" s="2" t="s">
        <v>24</v>
      </c>
      <c r="D30">
        <v>136000</v>
      </c>
      <c r="E30" s="24">
        <f t="shared" si="3"/>
        <v>-231707</v>
      </c>
      <c r="F30" s="25" t="s">
        <v>5</v>
      </c>
    </row>
    <row r="31" spans="1:6">
      <c r="A31" s="21">
        <v>45303</v>
      </c>
      <c r="B31" s="2" t="s">
        <v>25</v>
      </c>
      <c r="D31">
        <v>143500</v>
      </c>
      <c r="E31" s="24">
        <f t="shared" si="3"/>
        <v>-375207</v>
      </c>
      <c r="F31" s="25" t="s">
        <v>6</v>
      </c>
    </row>
    <row r="32" spans="1:6">
      <c r="A32" s="21">
        <v>45303</v>
      </c>
      <c r="B32" s="2" t="s">
        <v>26</v>
      </c>
      <c r="D32">
        <v>92500</v>
      </c>
      <c r="E32" s="24">
        <f t="shared" si="3"/>
        <v>-467707</v>
      </c>
      <c r="F32" s="25" t="s">
        <v>7</v>
      </c>
    </row>
    <row r="33" spans="1:6">
      <c r="A33" s="24"/>
      <c r="B33" s="24"/>
      <c r="C33" s="24"/>
      <c r="D33" s="24"/>
      <c r="E33" s="24"/>
      <c r="F33" s="25"/>
    </row>
    <row r="34" spans="1:6">
      <c r="A34" s="24" t="s">
        <v>1</v>
      </c>
      <c r="B34" s="24"/>
      <c r="C34" s="24">
        <f>SUM(C3:C33)</f>
        <v>1374166</v>
      </c>
      <c r="D34" s="24">
        <f>SUM(D3:D33)</f>
        <v>1467707</v>
      </c>
      <c r="E34" s="24">
        <f>C34-D34</f>
        <v>-93541</v>
      </c>
      <c r="F34" s="24"/>
    </row>
  </sheetData>
  <sheetProtection formatCells="0" insertHyperlinks="0" autoFilter="0"/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8"/>
  <sheetViews>
    <sheetView tabSelected="1" workbookViewId="0">
      <selection activeCell="G3" sqref="G3"/>
    </sheetView>
  </sheetViews>
  <sheetFormatPr defaultColWidth="9" defaultRowHeight="14.25" outlineLevelCol="7"/>
  <cols>
    <col min="2" max="2" width="26.9166666666667" customWidth="1"/>
    <col min="3" max="3" width="11.0416666666667" customWidth="1"/>
    <col min="4" max="4" width="15.5416666666667" customWidth="1"/>
    <col min="5" max="5" width="13.375" customWidth="1"/>
    <col min="6" max="6" width="16.625" customWidth="1"/>
    <col min="7" max="7" width="15.625" customWidth="1"/>
    <col min="8" max="8" width="20.75" customWidth="1"/>
  </cols>
  <sheetData>
    <row r="2" spans="2:8">
      <c r="B2" s="4" t="s">
        <v>98</v>
      </c>
      <c r="C2" s="5" t="s">
        <v>73</v>
      </c>
      <c r="D2" s="4" t="s">
        <v>99</v>
      </c>
      <c r="E2" s="4" t="s">
        <v>100</v>
      </c>
      <c r="F2" s="4" t="s">
        <v>101</v>
      </c>
      <c r="G2" s="5" t="s">
        <v>76</v>
      </c>
      <c r="H2" s="5" t="s">
        <v>2</v>
      </c>
    </row>
    <row r="3" spans="2:8">
      <c r="B3" s="6" t="s">
        <v>102</v>
      </c>
      <c r="C3" s="7" t="s">
        <v>100</v>
      </c>
      <c r="D3" s="4"/>
      <c r="E3" s="11">
        <v>114388.32</v>
      </c>
      <c r="F3" s="11"/>
      <c r="G3" s="11">
        <f>E3</f>
        <v>114388.32</v>
      </c>
      <c r="H3" s="5"/>
    </row>
    <row r="4" spans="2:8">
      <c r="B4" s="6" t="s">
        <v>102</v>
      </c>
      <c r="C4" s="7" t="s">
        <v>80</v>
      </c>
      <c r="D4" s="8">
        <v>0.1875</v>
      </c>
      <c r="E4" s="11"/>
      <c r="F4" s="11">
        <f>D4*$E$3</f>
        <v>21447.81</v>
      </c>
      <c r="G4" s="11">
        <f t="shared" ref="G4:G9" si="0">G3+E4-F4</f>
        <v>92940.51</v>
      </c>
      <c r="H4" s="12"/>
    </row>
    <row r="5" spans="2:8">
      <c r="B5" s="6" t="s">
        <v>102</v>
      </c>
      <c r="C5" s="9" t="s">
        <v>82</v>
      </c>
      <c r="D5" s="8">
        <v>0.1875</v>
      </c>
      <c r="E5" s="11"/>
      <c r="F5" s="11">
        <f>D5*$E$3</f>
        <v>21447.81</v>
      </c>
      <c r="G5" s="11">
        <f t="shared" si="0"/>
        <v>71492.7</v>
      </c>
      <c r="H5" s="12"/>
    </row>
    <row r="6" spans="2:8">
      <c r="B6" s="6" t="s">
        <v>102</v>
      </c>
      <c r="C6" s="9" t="s">
        <v>83</v>
      </c>
      <c r="D6" s="8">
        <v>0.1875</v>
      </c>
      <c r="E6" s="11"/>
      <c r="F6" s="11">
        <f>D6*$E$3</f>
        <v>21447.81</v>
      </c>
      <c r="G6" s="11">
        <f t="shared" si="0"/>
        <v>50044.89</v>
      </c>
      <c r="H6" s="12"/>
    </row>
    <row r="7" spans="2:8">
      <c r="B7" s="6" t="s">
        <v>102</v>
      </c>
      <c r="C7" s="9" t="s">
        <v>84</v>
      </c>
      <c r="D7" s="8">
        <v>0.1875</v>
      </c>
      <c r="E7" s="11"/>
      <c r="F7" s="11">
        <f>D7*$E$3</f>
        <v>21447.81</v>
      </c>
      <c r="G7" s="11">
        <f t="shared" si="0"/>
        <v>28597.08</v>
      </c>
      <c r="H7" s="12"/>
    </row>
    <row r="8" spans="2:8">
      <c r="B8" s="6" t="s">
        <v>102</v>
      </c>
      <c r="C8" s="9" t="s">
        <v>85</v>
      </c>
      <c r="D8" s="8">
        <v>0.05</v>
      </c>
      <c r="E8" s="11"/>
      <c r="F8" s="11">
        <f>D8*$E$3</f>
        <v>5719.416</v>
      </c>
      <c r="G8" s="11">
        <f t="shared" si="0"/>
        <v>22877.664</v>
      </c>
      <c r="H8" s="12"/>
    </row>
    <row r="9" spans="2:8">
      <c r="B9" s="6" t="s">
        <v>102</v>
      </c>
      <c r="C9" s="9" t="s">
        <v>86</v>
      </c>
      <c r="D9" s="8">
        <v>0.2</v>
      </c>
      <c r="E9" s="11"/>
      <c r="F9" s="11">
        <f>D9*$E$3</f>
        <v>22877.664</v>
      </c>
      <c r="G9" s="11">
        <f t="shared" si="0"/>
        <v>0</v>
      </c>
      <c r="H9" s="12"/>
    </row>
    <row r="11" spans="2:2">
      <c r="B11" s="2" t="s">
        <v>103</v>
      </c>
    </row>
    <row r="12" ht="29.75" customHeight="1" spans="2:8">
      <c r="B12" s="10" t="s">
        <v>104</v>
      </c>
      <c r="C12" s="10"/>
      <c r="D12" s="10"/>
      <c r="E12" s="10"/>
      <c r="F12" s="10"/>
      <c r="G12" s="10"/>
      <c r="H12" s="10"/>
    </row>
    <row r="15" spans="2:8">
      <c r="B15" s="4" t="s">
        <v>98</v>
      </c>
      <c r="C15" s="5" t="s">
        <v>73</v>
      </c>
      <c r="D15" s="4" t="s">
        <v>99</v>
      </c>
      <c r="E15" s="4" t="s">
        <v>100</v>
      </c>
      <c r="F15" s="4" t="s">
        <v>101</v>
      </c>
      <c r="G15" s="5" t="s">
        <v>76</v>
      </c>
      <c r="H15" s="5" t="s">
        <v>2</v>
      </c>
    </row>
    <row r="16" spans="2:8">
      <c r="B16" s="6" t="s">
        <v>105</v>
      </c>
      <c r="C16" s="7" t="s">
        <v>100</v>
      </c>
      <c r="D16" s="4"/>
      <c r="E16" s="11">
        <v>544006.66</v>
      </c>
      <c r="F16" s="11"/>
      <c r="G16" s="11">
        <f>E16</f>
        <v>544006.66</v>
      </c>
      <c r="H16" s="5"/>
    </row>
    <row r="17" spans="2:8">
      <c r="B17" s="6" t="s">
        <v>105</v>
      </c>
      <c r="C17" s="7" t="s">
        <v>80</v>
      </c>
      <c r="D17" s="8">
        <v>0.1875</v>
      </c>
      <c r="E17" s="11"/>
      <c r="F17" s="11">
        <f t="shared" ref="F17:F22" si="1">D17*$E$16</f>
        <v>102001.24875</v>
      </c>
      <c r="G17" s="11">
        <f t="shared" ref="G17:G22" si="2">G16+E17-F17</f>
        <v>442005.41125</v>
      </c>
      <c r="H17" s="12"/>
    </row>
    <row r="18" spans="2:8">
      <c r="B18" s="6" t="s">
        <v>105</v>
      </c>
      <c r="C18" s="9" t="s">
        <v>82</v>
      </c>
      <c r="D18" s="8">
        <v>0.1875</v>
      </c>
      <c r="E18" s="11"/>
      <c r="F18" s="11">
        <f t="shared" si="1"/>
        <v>102001.24875</v>
      </c>
      <c r="G18" s="11">
        <f t="shared" si="2"/>
        <v>340004.1625</v>
      </c>
      <c r="H18" s="12"/>
    </row>
    <row r="19" spans="2:8">
      <c r="B19" s="6" t="s">
        <v>105</v>
      </c>
      <c r="C19" s="9" t="s">
        <v>83</v>
      </c>
      <c r="D19" s="8">
        <v>0.1875</v>
      </c>
      <c r="E19" s="11"/>
      <c r="F19" s="11">
        <f t="shared" si="1"/>
        <v>102001.24875</v>
      </c>
      <c r="G19" s="11">
        <f t="shared" si="2"/>
        <v>238002.91375</v>
      </c>
      <c r="H19" s="12"/>
    </row>
    <row r="20" spans="2:8">
      <c r="B20" s="6" t="s">
        <v>105</v>
      </c>
      <c r="C20" s="9" t="s">
        <v>84</v>
      </c>
      <c r="D20" s="8">
        <v>0.1875</v>
      </c>
      <c r="F20" s="11">
        <f t="shared" si="1"/>
        <v>102001.24875</v>
      </c>
      <c r="G20" s="11">
        <f t="shared" si="2"/>
        <v>136001.665</v>
      </c>
      <c r="H20" s="12"/>
    </row>
    <row r="21" spans="2:8">
      <c r="B21" s="6" t="s">
        <v>105</v>
      </c>
      <c r="C21" s="9" t="s">
        <v>85</v>
      </c>
      <c r="D21" s="8">
        <v>0.05</v>
      </c>
      <c r="E21" s="11"/>
      <c r="F21" s="11">
        <f t="shared" si="1"/>
        <v>27200.333</v>
      </c>
      <c r="G21" s="11">
        <f t="shared" si="2"/>
        <v>108801.332</v>
      </c>
      <c r="H21" s="12"/>
    </row>
    <row r="22" spans="2:8">
      <c r="B22" s="6" t="s">
        <v>105</v>
      </c>
      <c r="C22" s="9" t="s">
        <v>86</v>
      </c>
      <c r="D22" s="8">
        <v>0.2</v>
      </c>
      <c r="E22" s="11"/>
      <c r="F22" s="11">
        <f t="shared" si="1"/>
        <v>108801.332</v>
      </c>
      <c r="G22" s="11">
        <f t="shared" si="2"/>
        <v>0</v>
      </c>
      <c r="H22" s="12"/>
    </row>
    <row r="24" spans="2:2">
      <c r="B24" s="2" t="s">
        <v>103</v>
      </c>
    </row>
    <row r="25" ht="35.25" customHeight="1" spans="2:8">
      <c r="B25" s="10" t="s">
        <v>106</v>
      </c>
      <c r="C25" s="10"/>
      <c r="D25" s="10"/>
      <c r="E25" s="10"/>
      <c r="F25" s="10"/>
      <c r="G25" s="10"/>
      <c r="H25" s="10"/>
    </row>
    <row r="28" spans="2:8">
      <c r="B28" s="4" t="s">
        <v>98</v>
      </c>
      <c r="C28" s="5" t="s">
        <v>73</v>
      </c>
      <c r="D28" s="4" t="s">
        <v>99</v>
      </c>
      <c r="E28" s="4" t="s">
        <v>100</v>
      </c>
      <c r="F28" s="4" t="s">
        <v>101</v>
      </c>
      <c r="G28" s="5" t="s">
        <v>76</v>
      </c>
      <c r="H28" s="5" t="s">
        <v>2</v>
      </c>
    </row>
    <row r="29" spans="2:8">
      <c r="B29" s="6" t="s">
        <v>107</v>
      </c>
      <c r="C29" s="7" t="s">
        <v>100</v>
      </c>
      <c r="D29" s="4"/>
      <c r="E29" s="13">
        <v>564442.07</v>
      </c>
      <c r="F29" s="11"/>
      <c r="G29" s="11">
        <f>E29</f>
        <v>564442.07</v>
      </c>
      <c r="H29" s="5"/>
    </row>
    <row r="30" spans="2:8">
      <c r="B30" s="6" t="s">
        <v>107</v>
      </c>
      <c r="C30" s="7" t="s">
        <v>80</v>
      </c>
      <c r="D30" s="8">
        <v>0.1875</v>
      </c>
      <c r="E30" s="11"/>
      <c r="F30" s="11">
        <f>D30*$E$29</f>
        <v>105832.888125</v>
      </c>
      <c r="G30" s="11">
        <f t="shared" ref="G30:G35" si="3">G29+E30-F30</f>
        <v>458609.181875</v>
      </c>
      <c r="H30" s="12"/>
    </row>
    <row r="31" spans="2:8">
      <c r="B31" s="6" t="s">
        <v>107</v>
      </c>
      <c r="C31" s="9" t="s">
        <v>82</v>
      </c>
      <c r="D31" s="8">
        <v>0.1875</v>
      </c>
      <c r="E31" s="11"/>
      <c r="F31" s="11">
        <f>D31*$E$29</f>
        <v>105832.888125</v>
      </c>
      <c r="G31" s="11">
        <f t="shared" si="3"/>
        <v>352776.29375</v>
      </c>
      <c r="H31" s="12"/>
    </row>
    <row r="32" spans="2:8">
      <c r="B32" s="6" t="s">
        <v>107</v>
      </c>
      <c r="C32" s="9" t="s">
        <v>83</v>
      </c>
      <c r="D32" s="8">
        <v>0.1875</v>
      </c>
      <c r="E32" s="11"/>
      <c r="F32" s="11">
        <f>D32*$E$29</f>
        <v>105832.888125</v>
      </c>
      <c r="G32" s="11">
        <f t="shared" si="3"/>
        <v>246943.405625</v>
      </c>
      <c r="H32" s="12"/>
    </row>
    <row r="33" spans="2:8">
      <c r="B33" s="6" t="s">
        <v>107</v>
      </c>
      <c r="C33" s="9" t="s">
        <v>84</v>
      </c>
      <c r="D33" s="8">
        <v>0.1875</v>
      </c>
      <c r="F33" s="11">
        <f>D33*$E$29</f>
        <v>105832.888125</v>
      </c>
      <c r="G33" s="11">
        <f t="shared" si="3"/>
        <v>141110.5175</v>
      </c>
      <c r="H33" s="12"/>
    </row>
    <row r="34" spans="2:8">
      <c r="B34" s="6" t="s">
        <v>107</v>
      </c>
      <c r="C34" s="9" t="s">
        <v>85</v>
      </c>
      <c r="D34" s="8">
        <v>0.05</v>
      </c>
      <c r="E34" s="11"/>
      <c r="F34" s="11">
        <f>D34*$E$29</f>
        <v>28222.1035</v>
      </c>
      <c r="G34" s="11">
        <f t="shared" si="3"/>
        <v>112888.414</v>
      </c>
      <c r="H34" s="12"/>
    </row>
    <row r="35" spans="2:8">
      <c r="B35" s="6" t="s">
        <v>107</v>
      </c>
      <c r="C35" s="9" t="s">
        <v>86</v>
      </c>
      <c r="D35" s="8">
        <v>0.2</v>
      </c>
      <c r="E35" s="11"/>
      <c r="F35" s="11">
        <f>D35*$E$29</f>
        <v>112888.414</v>
      </c>
      <c r="G35" s="11">
        <f t="shared" si="3"/>
        <v>0</v>
      </c>
      <c r="H35" s="12"/>
    </row>
    <row r="37" spans="2:2">
      <c r="B37" s="2" t="s">
        <v>103</v>
      </c>
    </row>
    <row r="38" ht="47.5" customHeight="1" spans="2:8">
      <c r="B38" s="10" t="s">
        <v>108</v>
      </c>
      <c r="C38" s="10"/>
      <c r="D38" s="10"/>
      <c r="E38" s="10"/>
      <c r="F38" s="10"/>
      <c r="G38" s="10"/>
      <c r="H38" s="10"/>
    </row>
  </sheetData>
  <sheetProtection formatCells="0" insertHyperlinks="0" autoFilter="0"/>
  <mergeCells count="3">
    <mergeCell ref="B12:H12"/>
    <mergeCell ref="B25:H25"/>
    <mergeCell ref="B38:H38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"/>
  <sheetViews>
    <sheetView workbookViewId="0">
      <selection activeCell="C2" sqref="C2"/>
    </sheetView>
  </sheetViews>
  <sheetFormatPr defaultColWidth="9" defaultRowHeight="14.25" outlineLevelCol="2"/>
  <cols>
    <col min="1" max="1" width="9" style="1"/>
    <col min="2" max="2" width="12.375" customWidth="1"/>
    <col min="3" max="3" width="117" customWidth="1"/>
  </cols>
  <sheetData>
    <row r="2" spans="2:3">
      <c r="B2" s="2" t="s">
        <v>109</v>
      </c>
      <c r="C2" s="2"/>
    </row>
    <row r="3" spans="1:3">
      <c r="A3" s="1">
        <v>1</v>
      </c>
      <c r="B3" s="2" t="s">
        <v>110</v>
      </c>
      <c r="C3" s="2" t="s">
        <v>111</v>
      </c>
    </row>
    <row r="4" spans="1:3">
      <c r="A4" s="1">
        <v>2</v>
      </c>
      <c r="B4" s="2" t="s">
        <v>112</v>
      </c>
      <c r="C4" s="2" t="s">
        <v>113</v>
      </c>
    </row>
    <row r="5" spans="1:3">
      <c r="A5" s="1">
        <v>3</v>
      </c>
      <c r="B5" s="2" t="s">
        <v>114</v>
      </c>
      <c r="C5" s="2" t="s">
        <v>115</v>
      </c>
    </row>
    <row r="6" ht="28.5" spans="1:3">
      <c r="A6" s="1">
        <v>4</v>
      </c>
      <c r="B6" s="2" t="s">
        <v>116</v>
      </c>
      <c r="C6" s="3" t="s">
        <v>117</v>
      </c>
    </row>
    <row r="7" spans="1:3">
      <c r="A7" s="1">
        <v>5</v>
      </c>
      <c r="B7" s="2" t="s">
        <v>118</v>
      </c>
      <c r="C7" s="2" t="s">
        <v>119</v>
      </c>
    </row>
    <row r="8" spans="1:3">
      <c r="A8" s="1">
        <v>6</v>
      </c>
      <c r="B8" s="2" t="s">
        <v>120</v>
      </c>
      <c r="C8" s="3" t="s">
        <v>121</v>
      </c>
    </row>
    <row r="9" ht="28.5" spans="3:3">
      <c r="C9" s="3" t="s">
        <v>122</v>
      </c>
    </row>
    <row r="10" spans="3:3">
      <c r="C10" s="2" t="s">
        <v>123</v>
      </c>
    </row>
    <row r="11" spans="3:3">
      <c r="C11" s="2" t="s">
        <v>124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1">
    <commentChains s:ref="C6" rgbClr="FF0000">
      <unresolved>
        <commentChain chainId="4869489ef863bffe1d9c052faed63c598e5ded0a">
          <item id="{208330e5-3c6a-3d2f-29fb-20004041122d}" userID="6751302755043770632" userName="刘伟" dateTime="2023-12-11T07:27:32" isNormal="0">
            <s:text>
              <s:r>
                <s:t xml:space="preserve">8月9日48700,
8月14日49900,
8月15日4110,
12月11日57700</s:t>
              </s:r>
            </s:text>
          </item>
          <item id="{3a5e0c08-220c-2f1a-12b0-3c6a38103d70}" userID="6751302755043770632" userName="刘伟" dateTime="2023-12-11T07:30:08" isNormal="0">
            <s:text>
              <s:r>
                <s:t xml:space="preserve">11月7日转入2555</s:t>
              </s:r>
            </s:text>
          </item>
          <item id="{22d00041-31a9-3fbe-0106-36c81db22395}" userID="6751302755043770632" userName="刘伟" dateTime="2023-12-11T07:37:27" isNormal="0">
            <s:text>
              <s:r>
                <s:t xml:space="preserve">2023年1月11日转入 24535</s:t>
              </s:r>
            </s:text>
          </item>
          <item id="{04dd20c4-3439-2fdf-16c8-0f1a1f7c0d0e}" userID="6751302755043770632" userName="刘伟" dateTime="2024-01-11T13:58:46" isNormal="0">
            <s:text>
              <s:r>
                <s:t xml:space="preserve">24-1-4收到退款4793</s:t>
              </s:r>
            </s:text>
          </item>
        </commentChain>
      </unresolved>
      <resolved/>
    </commentChains>
  </commentList>
  <commentList sheetStid="7">
    <commentChains s:ref="E7" rgbClr="FF0000">
      <unresolved>
        <commentChain chainId="8a3d4b87d752590a76fcb9a9cd59e6fce3227a6c">
          <item id="{3D7D43AB-2041-2F83-B2FB-D7657B4826CB}" userID="6751302755043770632" userName="刘伟" dateTime="2023-12-11T07:27:32" isNormal="0">
            <s:text>
              <s:r>
                <s:t xml:space="preserve">8月9日48700,
8月14日49900,
8月15日4110,
12月11日57700</s:t>
              </s:r>
            </s:text>
          </item>
          <item id="{F32CCBD2-6DA5-7EFA-B2FB-D76510F5F813}" userID="6751302755043770632" userName="刘伟" dateTime="2023-12-11T07:30:08" isNormal="0">
            <s:text>
              <s:r>
                <s:t xml:space="preserve">11月7日转入2555</s:t>
              </s:r>
            </s:text>
          </item>
          <item id="{16E0AE40-637D-EB3F-B2FB-D765FA0939A3}" userID="6751302755043770632" userName="刘伟" dateTime="2023-12-11T07:37:27" isNormal="0">
            <s:text>
              <s:r>
                <s:t xml:space="preserve">2023年1月11日转入 24535</s:t>
              </s:r>
            </s:text>
          </item>
          <item id="{5B9201D6-5E4F-890B-B2FB-D765922D16CE}" userID="6751302755043770632" userName="刘伟" dateTime="2024-01-11T13:58:46" isNormal="0">
            <s:text>
              <s:r>
                <s:t xml:space="preserve">24-1-4收到退款4793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3"/>
  <pixelatorList sheetStid="1"/>
  <pixelatorList sheetStid="7"/>
  <pixelatorList sheetStid="5"/>
  <pixelatorList sheetStid="8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投资回收表</vt:lpstr>
      <vt:lpstr>投资明细表</vt:lpstr>
      <vt:lpstr>分红明细表</vt:lpstr>
      <vt:lpstr>阶段性情况说明20251024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陈延琴</cp:lastModifiedBy>
  <dcterms:created xsi:type="dcterms:W3CDTF">2015-06-14T02:17:00Z</dcterms:created>
  <dcterms:modified xsi:type="dcterms:W3CDTF">2023-10-14T14:43:00Z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A6075FB4C7324BA585014180F606E599_12</vt:lpwstr>
  </property>
  <property fmtid="{D5CDD505-2E9C-101B-9397-08002B2CF9AE}" pid="3" name="KSOProductBuildVer">
    <vt:lpwstr>2052-0.0.0.0</vt:lpwstr>
  </property>
</Properties>
</file>