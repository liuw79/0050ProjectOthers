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商务条件" sheetId="4" r:id="rId1"/>
    <sheet name="投资预算总表" sheetId="1" r:id="rId2"/>
    <sheet name="装修工程预算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<sst xmlns="http://schemas.openxmlformats.org/spreadsheetml/2006/main" count="147" uniqueCount="132">
  <si>
    <t>苏州万象天地(三出山回复）</t>
  </si>
  <si>
    <t>品牌</t>
  </si>
  <si>
    <t>楼层</t>
  </si>
  <si>
    <t>租赁面积</t>
  </si>
  <si>
    <t>年限</t>
  </si>
  <si>
    <r>
      <rPr>
        <sz val="11"/>
        <color theme="1"/>
        <rFont val="宋体"/>
        <charset val="134"/>
        <scheme val="minor"/>
      </rPr>
      <t>保底租金坪效(元/</t>
    </r>
    <r>
      <rPr>
        <sz val="11"/>
        <color theme="1"/>
        <rFont val="微软雅黑"/>
        <charset val="134"/>
      </rPr>
      <t>㎡</t>
    </r>
    <r>
      <rPr>
        <sz val="11"/>
        <color theme="1"/>
        <rFont val="宋体"/>
        <charset val="134"/>
        <scheme val="minor"/>
      </rPr>
      <t>/天)</t>
    </r>
  </si>
  <si>
    <t>月租金    (元/月)</t>
  </si>
  <si>
    <t>扣率(取高扣率)</t>
  </si>
  <si>
    <t>结算方式</t>
  </si>
  <si>
    <t>物业管理费租赁面积坪效     (元/㎡/月)</t>
  </si>
  <si>
    <t>物业管理费(元/月)</t>
  </si>
  <si>
    <t>推广费(元/月)</t>
  </si>
  <si>
    <t>免租装修</t>
  </si>
  <si>
    <t>全含租金</t>
  </si>
  <si>
    <t>三出山</t>
  </si>
  <si>
    <t>3层</t>
  </si>
  <si>
    <t>5年</t>
  </si>
  <si>
    <t>1年</t>
  </si>
  <si>
    <t>底租与提成两者取高</t>
  </si>
  <si>
    <t>90天</t>
  </si>
  <si>
    <t>2年</t>
  </si>
  <si>
    <t>3年</t>
  </si>
  <si>
    <t>4年</t>
  </si>
  <si>
    <t>1.商务条件表述的金额皆为含税价格。</t>
  </si>
  <si>
    <t>2.工程条件需满足我司正常营业需求，不满足需改进到位，不再额外加收相关工程费用。</t>
  </si>
  <si>
    <t>3.开业期间需支持宣传广告位租赁优惠。</t>
  </si>
  <si>
    <t>4.预计 2025/09/01 接场 2025/12/25开业</t>
  </si>
  <si>
    <t>落位图：</t>
  </si>
  <si>
    <t>三出山苏州万象天地店投资预算表</t>
  </si>
  <si>
    <t>合同年限：5年</t>
  </si>
  <si>
    <r>
      <rPr>
        <b/>
        <sz val="11"/>
        <color theme="1"/>
        <rFont val="宋体"/>
        <charset val="134"/>
        <scheme val="minor"/>
      </rPr>
      <t xml:space="preserve">专柜实际面积：374平方米，免租装修期：90天   </t>
    </r>
    <r>
      <rPr>
        <b/>
        <sz val="11"/>
        <color rgb="FFFF0000"/>
        <rFont val="宋体"/>
        <charset val="134"/>
        <scheme val="minor"/>
      </rPr>
      <t xml:space="preserve"> 图纸测量（店铺374+外摆70）</t>
    </r>
  </si>
  <si>
    <t>费用类型</t>
  </si>
  <si>
    <t>合计</t>
  </si>
  <si>
    <t>备注</t>
  </si>
  <si>
    <t>保证金</t>
  </si>
  <si>
    <t>A保证金</t>
  </si>
  <si>
    <t>预估软性投资</t>
  </si>
  <si>
    <t>1、租赁保证金</t>
  </si>
  <si>
    <t>2、装修押金</t>
  </si>
  <si>
    <t>3、首期租金</t>
  </si>
  <si>
    <t>装修期物业费+推广费</t>
  </si>
  <si>
    <t>4、物业费保证金</t>
  </si>
  <si>
    <t>5、其它</t>
  </si>
  <si>
    <t>水电押金+装修垃圾清运费</t>
  </si>
  <si>
    <t>房租</t>
  </si>
  <si>
    <t>B房租</t>
  </si>
  <si>
    <t>1、仓库租金</t>
  </si>
  <si>
    <t>2、员工宿舍</t>
  </si>
  <si>
    <t>3、其它</t>
  </si>
  <si>
    <t>装修款</t>
  </si>
  <si>
    <t>C装修款</t>
  </si>
  <si>
    <t>1、设计费（含VI）</t>
  </si>
  <si>
    <t>2、装修款</t>
  </si>
  <si>
    <t>3、室内家具</t>
  </si>
  <si>
    <t>4、室外家具</t>
  </si>
  <si>
    <t>包含外摆就餐位</t>
  </si>
  <si>
    <t>5、软装（灯具、logo等）</t>
  </si>
  <si>
    <t>设备</t>
  </si>
  <si>
    <t>D设备</t>
  </si>
  <si>
    <t>1、厨房设备</t>
  </si>
  <si>
    <t>2、吧台设备</t>
  </si>
  <si>
    <t>3、收银监控音箱系统</t>
  </si>
  <si>
    <t>4、器具（餐具等）</t>
  </si>
  <si>
    <t>排水及商场改造</t>
  </si>
  <si>
    <t>消防空调</t>
  </si>
  <si>
    <t>E消防空调</t>
  </si>
  <si>
    <t>1、消防改造（含厨自灭系统）</t>
  </si>
  <si>
    <t>2、空调系统</t>
  </si>
  <si>
    <t>首批进货</t>
  </si>
  <si>
    <t>F首批进货</t>
  </si>
  <si>
    <t>1、原材料</t>
  </si>
  <si>
    <t>2、低值易耗品</t>
  </si>
  <si>
    <t>备用金</t>
  </si>
  <si>
    <t>G备用金</t>
  </si>
  <si>
    <t>1、开店筹备差旅费</t>
  </si>
  <si>
    <t>2、开店筹备人员工资</t>
  </si>
  <si>
    <t>3、店铺备用金</t>
  </si>
  <si>
    <t>4、其它</t>
  </si>
  <si>
    <t>其它</t>
  </si>
  <si>
    <t>H其它</t>
  </si>
  <si>
    <t>1、首批运营广告费</t>
  </si>
  <si>
    <t>2、其它</t>
  </si>
  <si>
    <t>苏州万象天地店项目概算（ 374平方+70用餐外摆）</t>
  </si>
  <si>
    <t>类别</t>
  </si>
  <si>
    <t>项目</t>
  </si>
  <si>
    <t>金额</t>
  </si>
  <si>
    <t>硬装总包类</t>
  </si>
  <si>
    <t>装饰工程施工</t>
  </si>
  <si>
    <t>外幕墙造型及拆改</t>
  </si>
  <si>
    <t>幕墙计算书</t>
  </si>
  <si>
    <t>垃圾清运</t>
  </si>
  <si>
    <t>围挡计算书</t>
  </si>
  <si>
    <t>围挡搭拆</t>
  </si>
  <si>
    <t>验收及打点</t>
  </si>
  <si>
    <t>监理服务</t>
  </si>
  <si>
    <t>显示屏</t>
  </si>
  <si>
    <t>工程租房</t>
  </si>
  <si>
    <t>地面回填荷载计算书</t>
  </si>
  <si>
    <t>前厅地面回填</t>
  </si>
  <si>
    <t>备案</t>
  </si>
  <si>
    <t>不报住建，走备案制，预算打点费用</t>
  </si>
  <si>
    <t>工程开发差旅</t>
  </si>
  <si>
    <t>物业增项类</t>
  </si>
  <si>
    <t>排水改造</t>
  </si>
  <si>
    <t>燃气管道拆改</t>
  </si>
  <si>
    <t>电力增容</t>
  </si>
  <si>
    <t>其他</t>
  </si>
  <si>
    <t>消防类</t>
  </si>
  <si>
    <t>消防改造</t>
  </si>
  <si>
    <t>消防应急疏散</t>
  </si>
  <si>
    <t>厨房及排烟设备类</t>
  </si>
  <si>
    <t>厨房灭火系统</t>
  </si>
  <si>
    <t>厨房设备及地排烟</t>
  </si>
  <si>
    <t>暖通类</t>
  </si>
  <si>
    <t>空调系统</t>
  </si>
  <si>
    <t>家具类</t>
  </si>
  <si>
    <t>家具</t>
  </si>
  <si>
    <t>藤制家具</t>
  </si>
  <si>
    <t>弱电类</t>
  </si>
  <si>
    <t>收银及监控</t>
  </si>
  <si>
    <t>软装搭配</t>
  </si>
  <si>
    <t>广告字</t>
  </si>
  <si>
    <t>灯具</t>
  </si>
  <si>
    <t>灯具定制件</t>
  </si>
  <si>
    <t>绿植</t>
  </si>
  <si>
    <t>窗帘</t>
  </si>
  <si>
    <t>软装采买</t>
  </si>
  <si>
    <t>外摆</t>
  </si>
  <si>
    <t>自排烟设备</t>
  </si>
  <si>
    <t>采买家具</t>
  </si>
  <si>
    <t>外摆就餐</t>
  </si>
  <si>
    <t>不含装饰设计费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</si>
</sst>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#,##0.00_ "/>
  </numFmts>
  <fonts count="35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2"/>
      <name val="宋体"/>
      <charset val="134"/>
    </font>
    <font>
      <sz val="14"/>
      <name val="宋体"/>
      <charset val="134"/>
    </font>
    <font>
      <sz val="12"/>
      <color rgb="FFFF0000"/>
      <name val="宋体"/>
      <charset val="134"/>
    </font>
    <font>
      <b/>
      <sz val="18"/>
      <name val="宋体"/>
      <charset val="134"/>
    </font>
    <font>
      <b/>
      <sz val="18"/>
      <color rgb="FFFF0000"/>
      <name val="宋体"/>
      <charset val="134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4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微软雅黑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1" borderId="2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0" borderId="2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2" borderId="27" applyNumberFormat="0" applyAlignment="0" applyProtection="0">
      <alignment vertical="center"/>
    </xf>
    <xf numFmtId="0" fontId="26" fillId="13" borderId="28" applyNumberFormat="0" applyAlignment="0" applyProtection="0">
      <alignment vertical="center"/>
    </xf>
    <xf numFmtId="0" fontId="27" fillId="13" borderId="27" applyNumberFormat="0" applyAlignment="0" applyProtection="0">
      <alignment vertical="center"/>
    </xf>
    <xf numFmtId="0" fontId="28" fillId="14" borderId="29" applyNumberFormat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8" fillId="0" borderId="31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7" fontId="2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7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7" fontId="2" fillId="2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7" fontId="2" fillId="0" borderId="1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7" fontId="2" fillId="3" borderId="1" xfId="0" applyNumberFormat="1" applyFont="1" applyFill="1" applyBorder="1" applyAlignment="1">
      <alignment horizontal="center" vertical="center"/>
    </xf>
    <xf numFmtId="7" fontId="2" fillId="4" borderId="1" xfId="0" applyNumberFormat="1" applyFont="1" applyFill="1" applyBorder="1" applyAlignment="1">
      <alignment horizontal="center" vertical="center"/>
    </xf>
    <xf numFmtId="7" fontId="2" fillId="5" borderId="1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7" fontId="2" fillId="6" borderId="1" xfId="0" applyNumberFormat="1" applyFont="1" applyFill="1" applyBorder="1" applyAlignment="1">
      <alignment horizontal="center" vertical="center"/>
    </xf>
    <xf numFmtId="7" fontId="2" fillId="7" borderId="1" xfId="0" applyNumberFormat="1" applyFont="1" applyFill="1" applyBorder="1" applyAlignment="1">
      <alignment horizontal="center" vertical="center"/>
    </xf>
    <xf numFmtId="7" fontId="2" fillId="8" borderId="1" xfId="0" applyNumberFormat="1" applyFont="1" applyFill="1" applyBorder="1" applyAlignment="1">
      <alignment horizontal="center" vertical="center"/>
    </xf>
    <xf numFmtId="7" fontId="2" fillId="9" borderId="1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7" fontId="2" fillId="9" borderId="6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7" fontId="2" fillId="9" borderId="9" xfId="0" applyNumberFormat="1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/>
    </xf>
    <xf numFmtId="7" fontId="5" fillId="0" borderId="11" xfId="0" applyNumberFormat="1" applyFont="1" applyFill="1" applyBorder="1" applyAlignment="1">
      <alignment horizontal="center" vertical="center"/>
    </xf>
    <xf numFmtId="7" fontId="5" fillId="0" borderId="12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textRotation="255"/>
    </xf>
    <xf numFmtId="0" fontId="9" fillId="0" borderId="1" xfId="0" applyFont="1" applyBorder="1" applyAlignment="1">
      <alignment horizontal="left" vertical="center"/>
    </xf>
    <xf numFmtId="176" fontId="9" fillId="0" borderId="1" xfId="2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textRotation="255"/>
    </xf>
    <xf numFmtId="0" fontId="11" fillId="0" borderId="1" xfId="0" applyFon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textRotation="255"/>
    </xf>
    <xf numFmtId="0" fontId="8" fillId="0" borderId="3" xfId="0" applyFont="1" applyBorder="1" applyAlignment="1">
      <alignment horizontal="center" vertical="center" textRotation="255"/>
    </xf>
    <xf numFmtId="0" fontId="9" fillId="0" borderId="1" xfId="0" applyFont="1" applyBorder="1">
      <alignment vertical="center"/>
    </xf>
    <xf numFmtId="176" fontId="9" fillId="0" borderId="1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textRotation="255"/>
    </xf>
    <xf numFmtId="176" fontId="11" fillId="0" borderId="1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textRotation="255"/>
    </xf>
    <xf numFmtId="176" fontId="0" fillId="0" borderId="3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9" fontId="0" fillId="0" borderId="1" xfId="3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177" fontId="0" fillId="10" borderId="1" xfId="0" applyNumberFormat="1" applyFill="1" applyBorder="1">
      <alignment vertical="center"/>
    </xf>
    <xf numFmtId="10" fontId="0" fillId="0" borderId="1" xfId="3" applyNumberFormat="1" applyFont="1" applyBorder="1">
      <alignment vertical="center"/>
    </xf>
    <xf numFmtId="0" fontId="0" fillId="0" borderId="16" xfId="0" applyBorder="1">
      <alignment vertical="center"/>
    </xf>
    <xf numFmtId="0" fontId="0" fillId="0" borderId="19" xfId="0" applyBorder="1">
      <alignment vertical="center"/>
    </xf>
    <xf numFmtId="0" fontId="0" fillId="0" borderId="17" xfId="0" applyBorder="1">
      <alignment vertical="center"/>
    </xf>
    <xf numFmtId="0" fontId="16" fillId="0" borderId="17" xfId="0" applyFont="1" applyBorder="1">
      <alignment vertical="center"/>
    </xf>
    <xf numFmtId="0" fontId="16" fillId="0" borderId="18" xfId="0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F81BD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11</xdr:col>
      <xdr:colOff>76200</xdr:colOff>
      <xdr:row>44</xdr:row>
      <xdr:rowOff>87630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97200"/>
          <a:ext cx="7772400" cy="5599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13"/>
  <sheetViews>
    <sheetView tabSelected="1" workbookViewId="0">
      <selection activeCell="O24" sqref="O24"/>
    </sheetView>
  </sheetViews>
  <sheetFormatPr defaultColWidth="8.72727272727273" defaultRowHeight="14"/>
  <cols>
    <col min="4" max="4" width="6.36363636363636" customWidth="1"/>
    <col min="5" max="5" width="7" customWidth="1"/>
    <col min="6" max="6" width="12.8181818181818" customWidth="1"/>
    <col min="7" max="7" width="12.9090909090909"/>
    <col min="10" max="10" width="15.6363636363636" customWidth="1"/>
    <col min="11" max="11" width="11.8181818181818"/>
    <col min="14" max="14" width="12.9090909090909"/>
  </cols>
  <sheetData>
    <row r="2" ht="40" customHeight="1" spans="1:14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="67" customFormat="1" ht="42" spans="1:14">
      <c r="A3" s="69" t="s">
        <v>1</v>
      </c>
      <c r="B3" s="69" t="s">
        <v>2</v>
      </c>
      <c r="C3" s="69" t="s">
        <v>3</v>
      </c>
      <c r="D3" s="69" t="s">
        <v>4</v>
      </c>
      <c r="E3" s="69"/>
      <c r="F3" s="69" t="s">
        <v>5</v>
      </c>
      <c r="G3" s="70" t="s">
        <v>6</v>
      </c>
      <c r="H3" s="71" t="s">
        <v>7</v>
      </c>
      <c r="I3" s="69" t="s">
        <v>8</v>
      </c>
      <c r="J3" s="69" t="s">
        <v>9</v>
      </c>
      <c r="K3" s="69" t="s">
        <v>10</v>
      </c>
      <c r="L3" s="69" t="s">
        <v>11</v>
      </c>
      <c r="M3" s="69" t="s">
        <v>12</v>
      </c>
      <c r="N3" s="69" t="s">
        <v>13</v>
      </c>
    </row>
    <row r="4" spans="1:14">
      <c r="A4" s="51" t="s">
        <v>14</v>
      </c>
      <c r="B4" s="72" t="s">
        <v>15</v>
      </c>
      <c r="C4" s="73">
        <v>374</v>
      </c>
      <c r="D4" s="51" t="s">
        <v>16</v>
      </c>
      <c r="E4" s="51" t="s">
        <v>17</v>
      </c>
      <c r="F4" s="74">
        <v>200</v>
      </c>
      <c r="G4" s="75">
        <f t="shared" ref="G4:G8" si="0">C4*F4</f>
        <v>74800</v>
      </c>
      <c r="H4" s="76">
        <v>0.05</v>
      </c>
      <c r="I4" s="69" t="s">
        <v>18</v>
      </c>
      <c r="J4" s="74">
        <v>90</v>
      </c>
      <c r="K4" s="73">
        <f t="shared" ref="K4:K8" si="1">C4*J4</f>
        <v>33660</v>
      </c>
      <c r="L4" s="51">
        <v>3740</v>
      </c>
      <c r="M4" s="72" t="s">
        <v>19</v>
      </c>
      <c r="N4" s="73">
        <f t="shared" ref="N4:N8" si="2">G4+K4+L4</f>
        <v>112200</v>
      </c>
    </row>
    <row r="5" spans="1:14">
      <c r="A5" s="51"/>
      <c r="B5" s="51"/>
      <c r="C5" s="73">
        <v>374</v>
      </c>
      <c r="D5" s="51" t="s">
        <v>16</v>
      </c>
      <c r="E5" s="51" t="s">
        <v>20</v>
      </c>
      <c r="F5" s="74">
        <v>200</v>
      </c>
      <c r="G5" s="75">
        <f t="shared" si="0"/>
        <v>74800</v>
      </c>
      <c r="H5" s="76">
        <v>0.05</v>
      </c>
      <c r="I5" s="69"/>
      <c r="J5" s="74">
        <v>90</v>
      </c>
      <c r="K5" s="73">
        <f t="shared" si="1"/>
        <v>33660</v>
      </c>
      <c r="L5" s="51">
        <v>3740</v>
      </c>
      <c r="M5" s="51"/>
      <c r="N5" s="73">
        <f t="shared" si="2"/>
        <v>112200</v>
      </c>
    </row>
    <row r="6" spans="1:14">
      <c r="A6" s="51"/>
      <c r="B6" s="51"/>
      <c r="C6" s="73">
        <v>374</v>
      </c>
      <c r="D6" s="51" t="s">
        <v>16</v>
      </c>
      <c r="E6" s="51" t="s">
        <v>21</v>
      </c>
      <c r="F6" s="74">
        <v>220</v>
      </c>
      <c r="G6" s="75">
        <f t="shared" si="0"/>
        <v>82280</v>
      </c>
      <c r="H6" s="76">
        <v>0.06</v>
      </c>
      <c r="I6" s="69"/>
      <c r="J6" s="74">
        <v>90</v>
      </c>
      <c r="K6" s="73">
        <f t="shared" si="1"/>
        <v>33660</v>
      </c>
      <c r="L6" s="51">
        <v>3740</v>
      </c>
      <c r="M6" s="51"/>
      <c r="N6" s="73">
        <f t="shared" si="2"/>
        <v>119680</v>
      </c>
    </row>
    <row r="7" spans="1:14">
      <c r="A7" s="51"/>
      <c r="B7" s="51"/>
      <c r="C7" s="73">
        <v>374</v>
      </c>
      <c r="D7" s="51" t="s">
        <v>16</v>
      </c>
      <c r="E7" s="51" t="s">
        <v>22</v>
      </c>
      <c r="F7" s="74">
        <v>220</v>
      </c>
      <c r="G7" s="75">
        <f t="shared" si="0"/>
        <v>82280</v>
      </c>
      <c r="H7" s="76">
        <v>0.06</v>
      </c>
      <c r="I7" s="69"/>
      <c r="J7" s="74">
        <v>90</v>
      </c>
      <c r="K7" s="73">
        <f t="shared" si="1"/>
        <v>33660</v>
      </c>
      <c r="L7" s="51">
        <v>3740</v>
      </c>
      <c r="M7" s="51"/>
      <c r="N7" s="73">
        <f t="shared" si="2"/>
        <v>119680</v>
      </c>
    </row>
    <row r="8" spans="1:14">
      <c r="A8" s="51"/>
      <c r="B8" s="51"/>
      <c r="C8" s="73">
        <v>374</v>
      </c>
      <c r="D8" s="51" t="s">
        <v>16</v>
      </c>
      <c r="E8" s="51" t="s">
        <v>16</v>
      </c>
      <c r="F8" s="74">
        <v>240</v>
      </c>
      <c r="G8" s="75">
        <f t="shared" si="0"/>
        <v>89760</v>
      </c>
      <c r="H8" s="76">
        <v>0.07</v>
      </c>
      <c r="I8" s="69"/>
      <c r="J8" s="74">
        <v>90</v>
      </c>
      <c r="K8" s="73">
        <f t="shared" si="1"/>
        <v>33660</v>
      </c>
      <c r="L8" s="51">
        <v>3740</v>
      </c>
      <c r="M8" s="51"/>
      <c r="N8" s="73">
        <f t="shared" si="2"/>
        <v>127160</v>
      </c>
    </row>
    <row r="9" spans="1:14">
      <c r="A9" s="77" t="s">
        <v>23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83"/>
    </row>
    <row r="10" customFormat="1" spans="1:14">
      <c r="A10" s="79" t="s">
        <v>24</v>
      </c>
      <c r="N10" s="84"/>
    </row>
    <row r="11" customFormat="1" spans="1:14">
      <c r="A11" s="80" t="s">
        <v>25</v>
      </c>
      <c r="N11" s="84"/>
    </row>
    <row r="12" spans="1:14">
      <c r="A12" s="81" t="s">
        <v>26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5"/>
    </row>
    <row r="13" customFormat="1" spans="1:1">
      <c r="A13" s="79" t="s">
        <v>27</v>
      </c>
    </row>
  </sheetData>
  <mergeCells count="6">
    <mergeCell ref="A2:N2"/>
    <mergeCell ref="D3:E3"/>
    <mergeCell ref="A4:A8"/>
    <mergeCell ref="B4:B8"/>
    <mergeCell ref="I4:I8"/>
    <mergeCell ref="M4:M8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workbookViewId="0">
      <selection activeCell="H10" sqref="H10"/>
    </sheetView>
  </sheetViews>
  <sheetFormatPr defaultColWidth="16.6272727272727" defaultRowHeight="18" customHeight="1" outlineLevelCol="3"/>
  <cols>
    <col min="1" max="1" width="16.6272727272727" customWidth="1"/>
    <col min="2" max="2" width="25.8818181818182" customWidth="1"/>
    <col min="3" max="3" width="17.3818181818182" style="34" customWidth="1"/>
    <col min="4" max="4" width="23.7545454545455" style="34" customWidth="1"/>
    <col min="5" max="16384" width="16.6272727272727" customWidth="1"/>
  </cols>
  <sheetData>
    <row r="1" ht="22" customHeight="1" spans="1:4">
      <c r="A1" s="35" t="s">
        <v>28</v>
      </c>
      <c r="B1" s="36"/>
      <c r="C1" s="36"/>
      <c r="D1" s="37"/>
    </row>
    <row r="2" customHeight="1" spans="1:4">
      <c r="A2" s="38" t="s">
        <v>29</v>
      </c>
      <c r="B2" s="39"/>
      <c r="C2" s="40"/>
      <c r="D2" s="41"/>
    </row>
    <row r="3" customHeight="1" spans="1:4">
      <c r="A3" s="38" t="s">
        <v>30</v>
      </c>
      <c r="B3" s="39"/>
      <c r="C3" s="40"/>
      <c r="D3" s="41"/>
    </row>
    <row r="4" customHeight="1" spans="1:4">
      <c r="A4" s="42" t="s">
        <v>31</v>
      </c>
      <c r="B4" s="41"/>
      <c r="C4" s="43" t="s">
        <v>32</v>
      </c>
      <c r="D4" s="43" t="s">
        <v>33</v>
      </c>
    </row>
    <row r="5" customHeight="1" spans="1:4">
      <c r="A5" s="44" t="s">
        <v>34</v>
      </c>
      <c r="B5" s="45" t="s">
        <v>35</v>
      </c>
      <c r="C5" s="46">
        <f>C6+C7+C8+C9+C10</f>
        <v>435710</v>
      </c>
      <c r="D5" s="47" t="s">
        <v>36</v>
      </c>
    </row>
    <row r="6" customHeight="1" spans="1:4">
      <c r="A6" s="48"/>
      <c r="B6" s="49" t="s">
        <v>37</v>
      </c>
      <c r="C6" s="50">
        <v>381480</v>
      </c>
      <c r="D6" s="51"/>
    </row>
    <row r="7" customHeight="1" spans="1:4">
      <c r="A7" s="48"/>
      <c r="B7" s="49" t="s">
        <v>38</v>
      </c>
      <c r="C7" s="50">
        <v>29920</v>
      </c>
      <c r="D7" s="51"/>
    </row>
    <row r="8" customHeight="1" spans="1:4">
      <c r="A8" s="48"/>
      <c r="B8" s="49" t="s">
        <v>39</v>
      </c>
      <c r="C8" s="50"/>
      <c r="D8" s="52" t="s">
        <v>40</v>
      </c>
    </row>
    <row r="9" customHeight="1" spans="1:4">
      <c r="A9" s="48"/>
      <c r="B9" s="49" t="s">
        <v>41</v>
      </c>
      <c r="C9" s="50"/>
      <c r="D9" s="52"/>
    </row>
    <row r="10" customHeight="1" spans="1:4">
      <c r="A10" s="53"/>
      <c r="B10" s="49" t="s">
        <v>42</v>
      </c>
      <c r="C10" s="50">
        <f>11220+13090</f>
        <v>24310</v>
      </c>
      <c r="D10" s="52" t="s">
        <v>43</v>
      </c>
    </row>
    <row r="11" customHeight="1" spans="1:4">
      <c r="A11" s="54" t="s">
        <v>44</v>
      </c>
      <c r="B11" s="55" t="s">
        <v>45</v>
      </c>
      <c r="C11" s="56">
        <f>C12+C13</f>
        <v>50000</v>
      </c>
      <c r="D11" s="47" t="s">
        <v>36</v>
      </c>
    </row>
    <row r="12" customHeight="1" spans="1:4">
      <c r="A12" s="57"/>
      <c r="B12" s="49" t="s">
        <v>46</v>
      </c>
      <c r="C12" s="58">
        <v>10000</v>
      </c>
      <c r="D12" s="51"/>
    </row>
    <row r="13" customHeight="1" spans="1:4">
      <c r="A13" s="57"/>
      <c r="B13" s="49" t="s">
        <v>47</v>
      </c>
      <c r="C13" s="58">
        <v>40000</v>
      </c>
      <c r="D13" s="51"/>
    </row>
    <row r="14" customHeight="1" spans="1:4">
      <c r="A14" s="59"/>
      <c r="B14" s="49" t="s">
        <v>48</v>
      </c>
      <c r="C14" s="58"/>
      <c r="D14" s="51"/>
    </row>
    <row r="15" customHeight="1" spans="1:4">
      <c r="A15" s="57" t="s">
        <v>49</v>
      </c>
      <c r="B15" s="55" t="s">
        <v>50</v>
      </c>
      <c r="C15" s="56">
        <f>C16+C17+C18+C19+C20</f>
        <v>3070825</v>
      </c>
      <c r="D15" s="51"/>
    </row>
    <row r="16" customHeight="1" spans="1:4">
      <c r="A16" s="57"/>
      <c r="B16" s="49" t="s">
        <v>51</v>
      </c>
      <c r="C16" s="50">
        <v>290000</v>
      </c>
      <c r="D16" s="51"/>
    </row>
    <row r="17" customHeight="1" spans="1:4">
      <c r="A17" s="57"/>
      <c r="B17" s="49" t="s">
        <v>52</v>
      </c>
      <c r="C17" s="50">
        <v>2152825</v>
      </c>
      <c r="D17" s="51"/>
    </row>
    <row r="18" customHeight="1" spans="1:4">
      <c r="A18" s="57"/>
      <c r="B18" s="49" t="s">
        <v>53</v>
      </c>
      <c r="C18" s="50">
        <v>345000</v>
      </c>
      <c r="D18" s="51"/>
    </row>
    <row r="19" customHeight="1" spans="1:4">
      <c r="A19" s="57"/>
      <c r="B19" s="49" t="s">
        <v>54</v>
      </c>
      <c r="C19" s="50">
        <v>148000</v>
      </c>
      <c r="D19" s="51" t="s">
        <v>55</v>
      </c>
    </row>
    <row r="20" customHeight="1" spans="1:4">
      <c r="A20" s="59"/>
      <c r="B20" s="49" t="s">
        <v>56</v>
      </c>
      <c r="C20" s="50">
        <v>135000</v>
      </c>
      <c r="D20" s="51"/>
    </row>
    <row r="21" customHeight="1" spans="1:4">
      <c r="A21" s="54" t="s">
        <v>57</v>
      </c>
      <c r="B21" s="55" t="s">
        <v>58</v>
      </c>
      <c r="C21" s="56">
        <f>C22+C23+C24+C25+C26</f>
        <v>685000</v>
      </c>
      <c r="D21" s="51"/>
    </row>
    <row r="22" customHeight="1" spans="1:4">
      <c r="A22" s="57"/>
      <c r="B22" s="49" t="s">
        <v>59</v>
      </c>
      <c r="C22" s="60">
        <v>490000</v>
      </c>
      <c r="D22" s="51"/>
    </row>
    <row r="23" customHeight="1" spans="1:4">
      <c r="A23" s="57"/>
      <c r="B23" s="49" t="s">
        <v>60</v>
      </c>
      <c r="C23" s="61"/>
      <c r="D23" s="51"/>
    </row>
    <row r="24" customHeight="1" spans="1:4">
      <c r="A24" s="57"/>
      <c r="B24" s="62" t="s">
        <v>61</v>
      </c>
      <c r="C24" s="50">
        <v>80000</v>
      </c>
      <c r="D24" s="51"/>
    </row>
    <row r="25" customHeight="1" spans="1:4">
      <c r="A25" s="57"/>
      <c r="B25" s="49" t="s">
        <v>62</v>
      </c>
      <c r="C25" s="50">
        <v>100000</v>
      </c>
      <c r="D25" s="51"/>
    </row>
    <row r="26" customHeight="1" spans="1:4">
      <c r="A26" s="59"/>
      <c r="B26" s="49" t="s">
        <v>42</v>
      </c>
      <c r="C26" s="50">
        <v>15000</v>
      </c>
      <c r="D26" s="51" t="s">
        <v>63</v>
      </c>
    </row>
    <row r="27" customHeight="1" spans="1:4">
      <c r="A27" s="54" t="s">
        <v>64</v>
      </c>
      <c r="B27" s="55" t="s">
        <v>65</v>
      </c>
      <c r="C27" s="56">
        <f>C28+C29+C30</f>
        <v>381630</v>
      </c>
      <c r="D27" s="51"/>
    </row>
    <row r="28" ht="45" customHeight="1" spans="1:4">
      <c r="A28" s="57"/>
      <c r="B28" s="49" t="s">
        <v>66</v>
      </c>
      <c r="C28" s="50">
        <v>101630</v>
      </c>
      <c r="D28" s="63"/>
    </row>
    <row r="29" customHeight="1" spans="1:4">
      <c r="A29" s="57"/>
      <c r="B29" s="49" t="s">
        <v>67</v>
      </c>
      <c r="C29" s="50">
        <v>280000</v>
      </c>
      <c r="D29" s="47"/>
    </row>
    <row r="30" customHeight="1" spans="1:4">
      <c r="A30" s="59"/>
      <c r="B30" s="49" t="s">
        <v>48</v>
      </c>
      <c r="C30" s="50"/>
      <c r="D30" s="51"/>
    </row>
    <row r="31" customHeight="1" spans="1:4">
      <c r="A31" s="54" t="s">
        <v>68</v>
      </c>
      <c r="B31" s="55" t="s">
        <v>69</v>
      </c>
      <c r="C31" s="56">
        <v>200000</v>
      </c>
      <c r="D31" s="47" t="s">
        <v>36</v>
      </c>
    </row>
    <row r="32" customHeight="1" spans="1:4">
      <c r="A32" s="57"/>
      <c r="B32" s="49" t="s">
        <v>70</v>
      </c>
      <c r="C32" s="50"/>
      <c r="D32" s="51"/>
    </row>
    <row r="33" customHeight="1" spans="1:4">
      <c r="A33" s="57"/>
      <c r="B33" s="49" t="s">
        <v>71</v>
      </c>
      <c r="C33" s="51"/>
      <c r="D33" s="51"/>
    </row>
    <row r="34" customHeight="1" spans="1:4">
      <c r="A34" s="59"/>
      <c r="B34" s="49" t="s">
        <v>48</v>
      </c>
      <c r="C34" s="51"/>
      <c r="D34" s="51"/>
    </row>
    <row r="35" customHeight="1" spans="1:4">
      <c r="A35" s="54" t="s">
        <v>72</v>
      </c>
      <c r="B35" s="55" t="s">
        <v>73</v>
      </c>
      <c r="C35" s="56">
        <f>C36+C37+C38+C39</f>
        <v>240000</v>
      </c>
      <c r="D35" s="47" t="s">
        <v>36</v>
      </c>
    </row>
    <row r="36" customHeight="1" spans="1:4">
      <c r="A36" s="57"/>
      <c r="B36" s="49" t="s">
        <v>74</v>
      </c>
      <c r="C36" s="50">
        <v>20000</v>
      </c>
      <c r="D36" s="51"/>
    </row>
    <row r="37" customHeight="1" spans="1:4">
      <c r="A37" s="57"/>
      <c r="B37" s="49" t="s">
        <v>75</v>
      </c>
      <c r="C37" s="50">
        <v>200000</v>
      </c>
      <c r="D37" s="51"/>
    </row>
    <row r="38" customHeight="1" spans="1:4">
      <c r="A38" s="57"/>
      <c r="B38" s="49" t="s">
        <v>76</v>
      </c>
      <c r="C38" s="50">
        <v>20000</v>
      </c>
      <c r="D38" s="51"/>
    </row>
    <row r="39" customHeight="1" spans="1:4">
      <c r="A39" s="59"/>
      <c r="B39" s="49" t="s">
        <v>77</v>
      </c>
      <c r="C39" s="50"/>
      <c r="D39" s="51"/>
    </row>
    <row r="40" customHeight="1" spans="1:4">
      <c r="A40" s="54" t="s">
        <v>78</v>
      </c>
      <c r="B40" s="55" t="s">
        <v>79</v>
      </c>
      <c r="C40" s="56">
        <f>C41+C42</f>
        <v>300000</v>
      </c>
      <c r="D40" s="47" t="s">
        <v>36</v>
      </c>
    </row>
    <row r="41" customHeight="1" spans="1:4">
      <c r="A41" s="57"/>
      <c r="B41" s="49" t="s">
        <v>80</v>
      </c>
      <c r="C41" s="50">
        <v>200000</v>
      </c>
      <c r="D41" s="51"/>
    </row>
    <row r="42" customHeight="1" spans="1:4">
      <c r="A42" s="59"/>
      <c r="B42" s="49" t="s">
        <v>81</v>
      </c>
      <c r="C42" s="50">
        <v>100000</v>
      </c>
      <c r="D42" s="51"/>
    </row>
    <row r="43" customHeight="1" spans="1:4">
      <c r="A43" s="64" t="s">
        <v>32</v>
      </c>
      <c r="B43" s="65"/>
      <c r="C43" s="66">
        <f>C5+C11+C15+C21+C27+C31+C35+C40</f>
        <v>5363165</v>
      </c>
      <c r="D43" s="51"/>
    </row>
  </sheetData>
  <mergeCells count="14">
    <mergeCell ref="A1:D1"/>
    <mergeCell ref="A2:D2"/>
    <mergeCell ref="A3:D3"/>
    <mergeCell ref="A4:B4"/>
    <mergeCell ref="A43:B43"/>
    <mergeCell ref="A5:A10"/>
    <mergeCell ref="A11:A14"/>
    <mergeCell ref="A15:A20"/>
    <mergeCell ref="A21:A26"/>
    <mergeCell ref="A27:A30"/>
    <mergeCell ref="A31:A34"/>
    <mergeCell ref="A35:A39"/>
    <mergeCell ref="A40:A42"/>
    <mergeCell ref="C22:C23"/>
  </mergeCells>
  <pageMargins left="0.7" right="0.7" top="0.511805555555556" bottom="0.354166666666667" header="0.3" footer="0.11805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opLeftCell="A24" workbookViewId="0">
      <selection activeCell="G43" sqref="G43"/>
    </sheetView>
  </sheetViews>
  <sheetFormatPr defaultColWidth="9.78181818181818" defaultRowHeight="15" outlineLevelCol="6"/>
  <cols>
    <col min="1" max="1" width="20.3272727272727" style="2" customWidth="1"/>
    <col min="2" max="2" width="32.9727272727273" style="2" customWidth="1"/>
    <col min="3" max="3" width="32.9727272727273" style="3" customWidth="1"/>
    <col min="4" max="4" width="38.9363636363636" style="2" customWidth="1"/>
    <col min="5" max="16384" width="9.78181818181818" style="2"/>
  </cols>
  <sheetData>
    <row r="1" s="1" customFormat="1" ht="43" customHeight="1" spans="1:4">
      <c r="A1" s="4" t="s">
        <v>82</v>
      </c>
      <c r="B1" s="4"/>
      <c r="C1" s="5"/>
      <c r="D1" s="6"/>
    </row>
    <row r="2" s="1" customFormat="1" ht="25" customHeight="1" spans="1:4">
      <c r="A2" s="4" t="s">
        <v>83</v>
      </c>
      <c r="B2" s="4" t="s">
        <v>84</v>
      </c>
      <c r="C2" s="5" t="s">
        <v>85</v>
      </c>
      <c r="D2" s="6" t="s">
        <v>33</v>
      </c>
    </row>
    <row r="3" s="2" customFormat="1" ht="25" customHeight="1" spans="1:4">
      <c r="A3" s="7" t="s">
        <v>86</v>
      </c>
      <c r="B3" s="8" t="s">
        <v>87</v>
      </c>
      <c r="C3" s="9">
        <f>374*3300+70*1500</f>
        <v>1339200</v>
      </c>
      <c r="D3" s="10"/>
    </row>
    <row r="4" s="2" customFormat="1" ht="25" customHeight="1" spans="1:4">
      <c r="A4" s="7"/>
      <c r="B4" s="8" t="s">
        <v>88</v>
      </c>
      <c r="C4" s="9">
        <f>D4*1200</f>
        <v>468000</v>
      </c>
      <c r="D4" s="10">
        <f>26*3.3+39*7.8</f>
        <v>390</v>
      </c>
    </row>
    <row r="5" s="2" customFormat="1" ht="25" customHeight="1" spans="1:4">
      <c r="A5" s="7"/>
      <c r="B5" s="8" t="s">
        <v>89</v>
      </c>
      <c r="C5" s="9">
        <v>50000</v>
      </c>
      <c r="D5" s="10"/>
    </row>
    <row r="6" s="2" customFormat="1" ht="25" customHeight="1" spans="1:4">
      <c r="A6" s="7"/>
      <c r="B6" s="8" t="s">
        <v>90</v>
      </c>
      <c r="C6" s="9">
        <v>0</v>
      </c>
      <c r="D6" s="10"/>
    </row>
    <row r="7" s="2" customFormat="1" ht="25" customHeight="1" spans="1:4">
      <c r="A7" s="7"/>
      <c r="B7" s="8" t="s">
        <v>91</v>
      </c>
      <c r="C7" s="9">
        <v>20000</v>
      </c>
      <c r="D7" s="10"/>
    </row>
    <row r="8" s="2" customFormat="1" ht="25" customHeight="1" spans="1:4">
      <c r="A8" s="7"/>
      <c r="B8" s="8" t="s">
        <v>92</v>
      </c>
      <c r="C8" s="9">
        <f>D8</f>
        <v>170625</v>
      </c>
      <c r="D8" s="10">
        <f>65*7.5*350</f>
        <v>170625</v>
      </c>
    </row>
    <row r="9" s="2" customFormat="1" ht="24" customHeight="1" spans="1:4">
      <c r="A9" s="7"/>
      <c r="B9" s="8" t="s">
        <v>93</v>
      </c>
      <c r="C9" s="9">
        <v>20000</v>
      </c>
      <c r="D9" s="10"/>
    </row>
    <row r="10" s="2" customFormat="1" ht="25" customHeight="1" spans="1:4">
      <c r="A10" s="7"/>
      <c r="B10" s="8" t="s">
        <v>94</v>
      </c>
      <c r="C10" s="9">
        <v>0</v>
      </c>
      <c r="D10" s="10"/>
    </row>
    <row r="11" s="2" customFormat="1" ht="25" customHeight="1" spans="1:4">
      <c r="A11" s="7"/>
      <c r="B11" s="8" t="s">
        <v>95</v>
      </c>
      <c r="C11" s="9">
        <v>20000</v>
      </c>
      <c r="D11" s="10"/>
    </row>
    <row r="12" s="2" customFormat="1" ht="25" customHeight="1" spans="1:4">
      <c r="A12" s="7"/>
      <c r="B12" s="8" t="s">
        <v>96</v>
      </c>
      <c r="C12" s="9">
        <v>20000</v>
      </c>
      <c r="D12" s="10"/>
    </row>
    <row r="13" s="2" customFormat="1" ht="25" customHeight="1" spans="1:4">
      <c r="A13" s="7"/>
      <c r="B13" s="8" t="s">
        <v>97</v>
      </c>
      <c r="C13" s="9">
        <v>10000</v>
      </c>
      <c r="D13" s="10" t="s">
        <v>98</v>
      </c>
    </row>
    <row r="14" s="2" customFormat="1" ht="25" customHeight="1" spans="1:4">
      <c r="A14" s="7"/>
      <c r="B14" s="8" t="s">
        <v>99</v>
      </c>
      <c r="C14" s="9">
        <v>20000</v>
      </c>
      <c r="D14" s="10" t="s">
        <v>100</v>
      </c>
    </row>
    <row r="15" s="2" customFormat="1" ht="25" customHeight="1" spans="1:4">
      <c r="A15" s="7"/>
      <c r="B15" s="8" t="s">
        <v>101</v>
      </c>
      <c r="C15" s="9">
        <v>15000</v>
      </c>
      <c r="D15" s="10"/>
    </row>
    <row r="16" s="2" customFormat="1" ht="25" customHeight="1" spans="1:4">
      <c r="A16" s="11" t="s">
        <v>102</v>
      </c>
      <c r="B16" s="8" t="s">
        <v>103</v>
      </c>
      <c r="C16" s="12">
        <v>15000</v>
      </c>
      <c r="D16" s="10"/>
    </row>
    <row r="17" s="2" customFormat="1" ht="25" customHeight="1" spans="1:4">
      <c r="A17" s="13"/>
      <c r="B17" s="8" t="s">
        <v>104</v>
      </c>
      <c r="C17" s="12">
        <v>0</v>
      </c>
      <c r="D17" s="10"/>
    </row>
    <row r="18" s="2" customFormat="1" ht="25" customHeight="1" spans="1:4">
      <c r="A18" s="13"/>
      <c r="B18" s="8" t="s">
        <v>105</v>
      </c>
      <c r="C18" s="12">
        <v>0</v>
      </c>
      <c r="D18" s="10"/>
    </row>
    <row r="19" s="2" customFormat="1" ht="25" customHeight="1" spans="1:4">
      <c r="A19" s="14"/>
      <c r="B19" s="8" t="s">
        <v>106</v>
      </c>
      <c r="C19" s="12">
        <v>0</v>
      </c>
      <c r="D19" s="10"/>
    </row>
    <row r="20" s="2" customFormat="1" ht="25" customHeight="1" spans="1:4">
      <c r="A20" s="7" t="s">
        <v>107</v>
      </c>
      <c r="B20" s="8" t="s">
        <v>108</v>
      </c>
      <c r="C20" s="15">
        <f>374*245</f>
        <v>91630</v>
      </c>
      <c r="D20" s="10"/>
    </row>
    <row r="21" s="2" customFormat="1" ht="25" customHeight="1" spans="1:4">
      <c r="A21" s="7"/>
      <c r="B21" s="8" t="s">
        <v>109</v>
      </c>
      <c r="C21" s="15">
        <v>10000</v>
      </c>
      <c r="D21" s="10"/>
    </row>
    <row r="22" s="2" customFormat="1" ht="25" customHeight="1" spans="1:4">
      <c r="A22" s="7" t="s">
        <v>110</v>
      </c>
      <c r="B22" s="8" t="s">
        <v>111</v>
      </c>
      <c r="C22" s="16">
        <v>10000</v>
      </c>
      <c r="D22" s="10"/>
    </row>
    <row r="23" s="2" customFormat="1" ht="25" customHeight="1" spans="1:4">
      <c r="A23" s="7"/>
      <c r="B23" s="8" t="s">
        <v>112</v>
      </c>
      <c r="C23" s="16">
        <v>480000</v>
      </c>
      <c r="D23" s="10"/>
    </row>
    <row r="24" s="2" customFormat="1" ht="25" customHeight="1" spans="1:7">
      <c r="A24" s="7" t="s">
        <v>113</v>
      </c>
      <c r="B24" s="8" t="s">
        <v>114</v>
      </c>
      <c r="C24" s="17">
        <v>280000</v>
      </c>
      <c r="D24" s="10"/>
      <c r="G24" s="18"/>
    </row>
    <row r="25" s="2" customFormat="1" ht="25" customHeight="1" spans="1:7">
      <c r="A25" s="7" t="s">
        <v>115</v>
      </c>
      <c r="B25" s="8" t="s">
        <v>116</v>
      </c>
      <c r="C25" s="19">
        <v>300000</v>
      </c>
      <c r="D25" s="10"/>
      <c r="G25" s="18"/>
    </row>
    <row r="26" s="2" customFormat="1" ht="25" customHeight="1" spans="1:4">
      <c r="A26" s="7"/>
      <c r="B26" s="8" t="s">
        <v>117</v>
      </c>
      <c r="C26" s="19">
        <v>30000</v>
      </c>
      <c r="D26" s="10"/>
    </row>
    <row r="27" s="2" customFormat="1" ht="25" customHeight="1" spans="1:4">
      <c r="A27" s="7" t="s">
        <v>118</v>
      </c>
      <c r="B27" s="8" t="s">
        <v>119</v>
      </c>
      <c r="C27" s="20">
        <v>80000</v>
      </c>
      <c r="D27" s="10"/>
    </row>
    <row r="28" s="2" customFormat="1" ht="25" customHeight="1" spans="1:4">
      <c r="A28" s="7" t="s">
        <v>120</v>
      </c>
      <c r="B28" s="8" t="s">
        <v>121</v>
      </c>
      <c r="C28" s="21">
        <v>40000</v>
      </c>
      <c r="D28" s="10"/>
    </row>
    <row r="29" s="2" customFormat="1" ht="25" customHeight="1" spans="1:4">
      <c r="A29" s="7"/>
      <c r="B29" s="8" t="s">
        <v>122</v>
      </c>
      <c r="C29" s="21">
        <v>45000</v>
      </c>
      <c r="D29" s="10"/>
    </row>
    <row r="30" s="2" customFormat="1" ht="25" customHeight="1" spans="1:4">
      <c r="A30" s="7"/>
      <c r="B30" s="8" t="s">
        <v>123</v>
      </c>
      <c r="C30" s="21">
        <v>50000</v>
      </c>
      <c r="D30" s="10"/>
    </row>
    <row r="31" s="2" customFormat="1" ht="25" customHeight="1" spans="1:4">
      <c r="A31" s="7"/>
      <c r="B31" s="8" t="s">
        <v>124</v>
      </c>
      <c r="C31" s="22">
        <v>50000</v>
      </c>
      <c r="D31" s="10"/>
    </row>
    <row r="32" s="2" customFormat="1" ht="25" customHeight="1" spans="1:4">
      <c r="A32" s="7"/>
      <c r="B32" s="8" t="s">
        <v>125</v>
      </c>
      <c r="C32" s="22">
        <v>35000</v>
      </c>
      <c r="D32" s="10"/>
    </row>
    <row r="33" s="2" customFormat="1" ht="24" customHeight="1" spans="1:4">
      <c r="A33" s="7"/>
      <c r="B33" s="8" t="s">
        <v>126</v>
      </c>
      <c r="C33" s="19">
        <v>15000</v>
      </c>
      <c r="D33" s="10"/>
    </row>
    <row r="34" s="2" customFormat="1" ht="24" customHeight="1" spans="1:4">
      <c r="A34" s="11" t="s">
        <v>127</v>
      </c>
      <c r="B34" s="23" t="s">
        <v>128</v>
      </c>
      <c r="C34" s="24">
        <v>13000</v>
      </c>
      <c r="D34" s="25"/>
    </row>
    <row r="35" s="2" customFormat="1" ht="30" customHeight="1" spans="1:4">
      <c r="A35" s="26"/>
      <c r="B35" s="27" t="s">
        <v>129</v>
      </c>
      <c r="C35" s="28">
        <v>50000</v>
      </c>
      <c r="D35" s="29" t="s">
        <v>130</v>
      </c>
    </row>
    <row r="36" s="2" customFormat="1" ht="45" customHeight="1" spans="1:4">
      <c r="A36" s="30" t="s">
        <v>32</v>
      </c>
      <c r="B36" s="30"/>
      <c r="C36" s="31">
        <f>SUM(C3:C35)</f>
        <v>3747455</v>
      </c>
      <c r="D36" s="32"/>
    </row>
    <row r="37" s="2" customFormat="1" ht="35" customHeight="1" spans="1:4">
      <c r="A37" s="33" t="s">
        <v>131</v>
      </c>
      <c r="B37" s="33"/>
      <c r="C37" s="33"/>
      <c r="D37" s="33"/>
    </row>
  </sheetData>
  <mergeCells count="11">
    <mergeCell ref="A1:D1"/>
    <mergeCell ref="A36:B36"/>
    <mergeCell ref="C36:D36"/>
    <mergeCell ref="A37:D37"/>
    <mergeCell ref="A3:A15"/>
    <mergeCell ref="A16:A19"/>
    <mergeCell ref="A20:A21"/>
    <mergeCell ref="A22:A23"/>
    <mergeCell ref="A25:A26"/>
    <mergeCell ref="A28:A33"/>
    <mergeCell ref="A34:A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商务条件</vt:lpstr>
      <vt:lpstr>投资预算总表</vt:lpstr>
      <vt:lpstr>装修工程预算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Qss</cp:lastModifiedBy>
  <dcterms:created xsi:type="dcterms:W3CDTF">2023-01-09T07:00:00Z</dcterms:created>
  <dcterms:modified xsi:type="dcterms:W3CDTF">2025-06-03T06:07:04Z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528C96F79D534CCE8B1E33B322576942_13</vt:lpwstr>
  </property>
  <property fmtid="{D5CDD505-2E9C-101B-9397-08002B2CF9AE}" pid="3" name="KSOProductBuildVer">
    <vt:lpwstr>2052-12.1.0.21171</vt:lpwstr>
  </property>
</Properties>
</file>