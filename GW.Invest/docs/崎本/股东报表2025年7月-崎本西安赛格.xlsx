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media/image4.svg" ContentType="image/sv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tabRatio="772"/>
  </bookViews>
  <sheets>
    <sheet name="利润表" sheetId="58" r:id="rId1"/>
    <sheet name="资产负债表" sheetId="57" r:id="rId2"/>
    <sheet name="现金流量表" sheetId="56" r:id="rId3"/>
    <sheet name="资产负债表附表" sheetId="59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<sst xmlns="http://schemas.openxmlformats.org/spreadsheetml/2006/main" count="397" uniqueCount="370">
  <si>
    <t>利润表</t>
  </si>
  <si>
    <t>西安赛格</t>
  </si>
  <si>
    <t>单位：元</t>
  </si>
  <si>
    <t xml:space="preserve"> 项    目</t>
  </si>
  <si>
    <t>本期金额</t>
  </si>
  <si>
    <t>本期占比流水</t>
  </si>
  <si>
    <t>本期占比净收</t>
  </si>
  <si>
    <t>本年累计金额</t>
  </si>
  <si>
    <t>本年占比流水</t>
  </si>
  <si>
    <t>本年占比净收</t>
  </si>
  <si>
    <t>一、主营业务数据</t>
  </si>
  <si>
    <t xml:space="preserve">   1、主营业务收入</t>
  </si>
  <si>
    <t xml:space="preserve">        (1)、烘焙收入</t>
  </si>
  <si>
    <t xml:space="preserve">        (2)、三明治收入</t>
  </si>
  <si>
    <t xml:space="preserve">        (3)、水吧收入</t>
  </si>
  <si>
    <t xml:space="preserve">        (4)、果酱收入</t>
  </si>
  <si>
    <t xml:space="preserve">        (5)、西点收入</t>
  </si>
  <si>
    <t xml:space="preserve">        (6)、商品收入</t>
  </si>
  <si>
    <t xml:space="preserve">   2、销售折扣折让</t>
  </si>
  <si>
    <t xml:space="preserve">        (1)、烘焙折扣折让</t>
  </si>
  <si>
    <t xml:space="preserve">        (2)、三明治折扣折让</t>
  </si>
  <si>
    <t xml:space="preserve">        (3)、水吧折扣折让</t>
  </si>
  <si>
    <t xml:space="preserve">        (4)、果酱折扣折让</t>
  </si>
  <si>
    <t xml:space="preserve">        (5)、西点折扣折让</t>
  </si>
  <si>
    <t xml:space="preserve">        (6)、商品折扣折让</t>
  </si>
  <si>
    <t xml:space="preserve">   3、销售试吃</t>
  </si>
  <si>
    <t xml:space="preserve">        (1)、烘焙试吃</t>
  </si>
  <si>
    <t xml:space="preserve">        (2)、三明治试吃</t>
  </si>
  <si>
    <t xml:space="preserve">        (3)、水吧试吃</t>
  </si>
  <si>
    <t xml:space="preserve">        (4)、果酱试吃</t>
  </si>
  <si>
    <t xml:space="preserve">        (5)、西点试吃</t>
  </si>
  <si>
    <t xml:space="preserve">        (6)、商品试吃</t>
  </si>
  <si>
    <t xml:space="preserve">   4、销售报损</t>
  </si>
  <si>
    <t xml:space="preserve">        (1)、烘焙报损</t>
  </si>
  <si>
    <t xml:space="preserve">        (2)、三明治报损</t>
  </si>
  <si>
    <t xml:space="preserve">        (3)、水吧报损</t>
  </si>
  <si>
    <t xml:space="preserve">        (4)、果酱报损</t>
  </si>
  <si>
    <t xml:space="preserve">        (5)、西点报损</t>
  </si>
  <si>
    <t xml:space="preserve">        (6)、商品报损</t>
  </si>
  <si>
    <t xml:space="preserve">   5、主营业务净收入</t>
  </si>
  <si>
    <t xml:space="preserve">        (1)、烘焙净收入</t>
  </si>
  <si>
    <t xml:space="preserve">        (2)、三明治净收入</t>
  </si>
  <si>
    <t xml:space="preserve">        (3)、水吧净收入</t>
  </si>
  <si>
    <t xml:space="preserve">        (4)、果酱净收入</t>
  </si>
  <si>
    <t xml:space="preserve">        (5)、西点净收入</t>
  </si>
  <si>
    <t xml:space="preserve">        (6)、商品净收入</t>
  </si>
  <si>
    <t xml:space="preserve">   6、减：主营业务成本</t>
  </si>
  <si>
    <t xml:space="preserve">        (1)、烘焙成本</t>
  </si>
  <si>
    <t xml:space="preserve">        (2)、三明治成本</t>
  </si>
  <si>
    <t xml:space="preserve">        (3)、水吧成本</t>
  </si>
  <si>
    <t xml:space="preserve">        (4)、果酱成本</t>
  </si>
  <si>
    <t xml:space="preserve">        (5)、西点成本</t>
  </si>
  <si>
    <t xml:space="preserve">        (6)、商品成本</t>
  </si>
  <si>
    <t xml:space="preserve">   7、销售费用</t>
  </si>
  <si>
    <t xml:space="preserve">    人事费用小计</t>
  </si>
  <si>
    <t xml:space="preserve">         人事费用-工资及津贴</t>
  </si>
  <si>
    <t xml:space="preserve">         人事费用-奖金及提成</t>
  </si>
  <si>
    <t xml:space="preserve">         人事费用-员工保险费</t>
  </si>
  <si>
    <t xml:space="preserve">         人事费用-员工福利费</t>
  </si>
  <si>
    <t xml:space="preserve">         人事费用-宿舍租赁费</t>
  </si>
  <si>
    <t xml:space="preserve">         人事费用-员工餐费</t>
  </si>
  <si>
    <t xml:space="preserve">         人事费用-员工工服</t>
  </si>
  <si>
    <t xml:space="preserve">         人事费用-招聘费用</t>
  </si>
  <si>
    <t xml:space="preserve">         人事费用-职工教育经费</t>
  </si>
  <si>
    <t xml:space="preserve">         人事费用-工会经费</t>
  </si>
  <si>
    <t xml:space="preserve">         人事费用-残疾人保证金</t>
  </si>
  <si>
    <t xml:space="preserve">         人事费用-离职补偿费</t>
  </si>
  <si>
    <t xml:space="preserve">    能源费用小计：</t>
  </si>
  <si>
    <t xml:space="preserve">         能源费用-水费</t>
  </si>
  <si>
    <t xml:space="preserve">         能源费用-电费</t>
  </si>
  <si>
    <t xml:space="preserve">    物耗费用小计：</t>
  </si>
  <si>
    <t xml:space="preserve">         物耗费用-物料消耗</t>
  </si>
  <si>
    <t xml:space="preserve">         物耗费用-低值易耗品</t>
  </si>
  <si>
    <t xml:space="preserve">    物业费用小计：</t>
  </si>
  <si>
    <t xml:space="preserve">         物业费用-商铺租金</t>
  </si>
  <si>
    <t xml:space="preserve">         物业费用-商场推广费</t>
  </si>
  <si>
    <t xml:space="preserve">         物业费用-商场物业费</t>
  </si>
  <si>
    <t xml:space="preserve">         物业费用-库房租金</t>
  </si>
  <si>
    <t xml:space="preserve">         物业费用-办公室租金</t>
  </si>
  <si>
    <t xml:space="preserve">    其他运营费用小计：</t>
  </si>
  <si>
    <t xml:space="preserve">         其他运营费用-办公费</t>
  </si>
  <si>
    <t xml:space="preserve">         其他运营费用-电话费/网费</t>
  </si>
  <si>
    <t xml:space="preserve">         其他运营费用-广告宣传费</t>
  </si>
  <si>
    <t xml:space="preserve">         其他运营费用-交通费</t>
  </si>
  <si>
    <t xml:space="preserve">         其他运营费用-运输费</t>
  </si>
  <si>
    <t xml:space="preserve">         其他运营费用-业务招待费</t>
  </si>
  <si>
    <t xml:space="preserve">         其他运营费用-公关费</t>
  </si>
  <si>
    <t xml:space="preserve">         其他运营费用-差旅费</t>
  </si>
  <si>
    <t xml:space="preserve">         其他运营费用-品牌使用费  </t>
  </si>
  <si>
    <t xml:space="preserve">         其他运营费用-车辆加油费</t>
  </si>
  <si>
    <t xml:space="preserve">         其他运营费用-车辆保险费</t>
  </si>
  <si>
    <t xml:space="preserve">         其他运营费用-车辆维修费</t>
  </si>
  <si>
    <t xml:space="preserve">         其他运营费用-研发费</t>
  </si>
  <si>
    <t xml:space="preserve">         其他运营费用-公众保险费</t>
  </si>
  <si>
    <t xml:space="preserve">         其他运营费用-维修费</t>
  </si>
  <si>
    <t xml:space="preserve">         其他运营费用-消杀费</t>
  </si>
  <si>
    <t xml:space="preserve">         其他运营费用-油烟清洗费</t>
  </si>
  <si>
    <t xml:space="preserve">         其他运营费用-垃圾清运费</t>
  </si>
  <si>
    <t xml:space="preserve">         其他运营费用-中介服务费</t>
  </si>
  <si>
    <t xml:space="preserve">         其他运营费用-其他</t>
  </si>
  <si>
    <t xml:space="preserve">         其他运营费用-费用分摊</t>
  </si>
  <si>
    <t xml:space="preserve">    8、管理费用</t>
  </si>
  <si>
    <t xml:space="preserve">    9、财务费用</t>
  </si>
  <si>
    <t>二、 主营业务利润（亏损以“-”号填列）</t>
  </si>
  <si>
    <t xml:space="preserve">     资产减值损失</t>
  </si>
  <si>
    <t xml:space="preserve"> 加：公允价值变动收益（损失以“-”号填列）</t>
  </si>
  <si>
    <t xml:space="preserve">     投资收益（损失以“-”号填列）</t>
  </si>
  <si>
    <t xml:space="preserve">     其中：对联营企业和合营企业的投资收益</t>
  </si>
  <si>
    <t xml:space="preserve">     加：营业外收入</t>
  </si>
  <si>
    <t xml:space="preserve">     减：营业外支出</t>
  </si>
  <si>
    <t xml:space="preserve">         其中：非流动资产处置损失</t>
  </si>
  <si>
    <t>三、利润总额（不含摊销）</t>
  </si>
  <si>
    <t xml:space="preserve">    其他收入（减免及奖励）</t>
  </si>
  <si>
    <t xml:space="preserve">    其他支出（与主营业务无直接关联）</t>
  </si>
  <si>
    <t>四、税金及附加</t>
  </si>
  <si>
    <t xml:space="preserve">    增值税金及附加</t>
  </si>
  <si>
    <t xml:space="preserve">    所得税费用</t>
  </si>
  <si>
    <t>五、折旧摊销</t>
  </si>
  <si>
    <t xml:space="preserve">    固定资产折旧</t>
  </si>
  <si>
    <t xml:space="preserve">    开办费摊销</t>
  </si>
  <si>
    <t>六、税后净利润（净亏损以“-”号填列）</t>
  </si>
  <si>
    <t>七、每股收益</t>
  </si>
  <si>
    <t xml:space="preserve">   （一）基本每股收益</t>
  </si>
  <si>
    <t xml:space="preserve">    （二）稀释每股收益</t>
  </si>
  <si>
    <t>资产负债表</t>
  </si>
  <si>
    <t>会企01表</t>
  </si>
  <si>
    <t>编制单位：西安赛格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</si>
  <si>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</si>
  <si>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</si>
  <si>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</si>
  <si>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</si>
  <si>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</si>
  <si>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</si>
  <si>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</si>
  <si>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</si>
  <si>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>　　以公允价值计量且其变动计入当期损益的金融资产</t>
  </si>
  <si>
    <t xml:space="preserve">    以公允价值计量且其变动计入当期损益的金融负债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</si>
  <si>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</si>
  <si>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</si>
  <si>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</si>
  <si>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</si>
  <si>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</si>
  <si>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</si>
  <si>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</si>
  <si>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</si>
  <si>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</si>
  <si>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</si>
  <si>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</si>
  <si>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</si>
  <si>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持有待售资产</t>
  </si>
  <si>
    <t xml:space="preserve">    其他应付款</t>
  </si>
  <si>
    <t xml:space="preserve">    一年内到期的非流动资产</t>
  </si>
  <si>
    <t xml:space="preserve">    持有待售负债</t>
  </si>
  <si>
    <t xml:space="preserve">    其他流动资产</t>
  </si>
  <si>
    <t xml:space="preserve">    一年内到期的非流动负债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</si>
  <si>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</si>
  <si>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</si>
  <si>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</si>
  <si>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</si>
  <si>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</si>
  <si>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</si>
  <si>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</si>
  <si>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</si>
  <si>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</si>
  <si>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</si>
  <si>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   其中：优先股</t>
  </si>
  <si>
    <t xml:space="preserve">    长期股权投资</t>
  </si>
  <si>
    <t xml:space="preserve">           　永续债</t>
  </si>
  <si>
    <t xml:space="preserve">    投资性房地产</t>
  </si>
  <si>
    <t xml:space="preserve">    长期应付款</t>
  </si>
  <si>
    <t xml:space="preserve">    固定资产</t>
  </si>
  <si>
    <t xml:space="preserve">    预计负债</t>
  </si>
  <si>
    <t xml:space="preserve">    在建工程</t>
  </si>
  <si>
    <t xml:space="preserve">    递延收益</t>
  </si>
  <si>
    <t xml:space="preserve">    生产性生物资产</t>
  </si>
  <si>
    <t xml:space="preserve">    递延所得税负债</t>
  </si>
  <si>
    <t xml:space="preserve">    油气资产</t>
  </si>
  <si>
    <t xml:space="preserve">    其他非流动负债</t>
  </si>
  <si>
    <t xml:space="preserve">    无形资产</t>
  </si>
  <si>
    <t xml:space="preserve">        非流动负债合计</t>
  </si>
  <si>
    <t xml:space="preserve">    开发支出</t>
  </si>
  <si>
    <t xml:space="preserve">            负债合计</t>
  </si>
  <si>
    <t xml:space="preserve">    商誉</t>
  </si>
  <si>
    <t>所有者权益（或股东权益）:</t>
  </si>
  <si>
    <t xml:space="preserve">    长期待摊费用</t>
  </si>
  <si>
    <t xml:space="preserve">    实收资本(股本)</t>
  </si>
  <si>
    <t xml:space="preserve">    递延所得税资产</t>
  </si>
  <si>
    <t xml:space="preserve">    其他权益工具</t>
  </si>
  <si>
    <t xml:space="preserve">    其他非流动资产</t>
  </si>
  <si>
    <t xml:space="preserve">        其中：优先股</t>
  </si>
  <si>
    <t xml:space="preserve">        非流动资产合计</t>
  </si>
  <si>
    <t xml:space="preserve">        　　　永续债</t>
  </si>
  <si>
    <t xml:space="preserve">    资本公积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</si>
  <si>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</si>
  <si>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</si>
  <si>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</si>
  <si>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</si>
  <si>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</si>
  <si>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外币折算差额</t>
  </si>
  <si>
    <t xml:space="preserve">        所有者权益（或股东权益）合计</t>
  </si>
  <si>
    <t xml:space="preserve">            资产总计</t>
  </si>
  <si>
    <t xml:space="preserve">        负债和所有者权益（或股东权益）合计</t>
  </si>
  <si>
    <t>账簿:西安赛格</t>
  </si>
  <si>
    <t>币别:人民币</t>
  </si>
  <si>
    <t>查询范围:2025.7 -- 2025.7</t>
  </si>
  <si>
    <t>项目类别</t>
  </si>
  <si>
    <t>现金流量项目</t>
  </si>
  <si>
    <t>行次</t>
  </si>
  <si>
    <t>金额</t>
  </si>
  <si>
    <t>1</t>
  </si>
  <si>
    <t>经营活动产生的现金流量</t>
  </si>
  <si>
    <t>　　销售商品、提供劳务收到的现金</t>
  </si>
  <si>
    <t>　　收到的税费返还</t>
  </si>
  <si>
    <t>　　收到其他与经营活动有关的现金</t>
  </si>
  <si>
    <t>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</si>
  <si>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</si>
  <si>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</si>
  <si>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</si>
  <si>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</si>
  <si>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现金流出小计</t>
  </si>
  <si>
    <t>经营活动产生的现金流量净额</t>
  </si>
  <si>
    <t>2</t>
  </si>
  <si>
    <t>投资活动产生的现金流量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</si>
  <si>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</si>
  <si>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</si>
  <si>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</si>
  <si>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</si>
  <si>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</si>
  <si>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</si>
  <si>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</si>
  <si>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</si>
  <si>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</si>
  <si>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投资活动产生的现金流量净额</t>
  </si>
  <si>
    <t>3</t>
  </si>
  <si>
    <t>筹资活动产生的现金流量</t>
  </si>
  <si>
    <t>　　吸收投资收到的现金</t>
  </si>
  <si>
    <t>　　取得借款收到的现金</t>
  </si>
  <si>
    <t>　　收到其他与筹资活动有关的现金</t>
  </si>
  <si>
    <t>　　偿还债务支付的现金</t>
  </si>
  <si>
    <t>　　分配股利、利润或偿付利息支付的现金</t>
  </si>
  <si>
    <t>　　支付其他与筹资活动有关的现金</t>
  </si>
  <si>
    <t>筹资活动产生的现金流量净额</t>
  </si>
  <si>
    <t>4</t>
  </si>
  <si>
    <t>汇率变动对现金及现金等价物的影响</t>
  </si>
  <si>
    <t>5</t>
  </si>
  <si>
    <t>现金及现金等价物净增加额</t>
  </si>
  <si>
    <t xml:space="preserve">    加：期初现金及现金等价物余额</t>
  </si>
  <si>
    <t>6</t>
  </si>
  <si>
    <t>期末现金及现金等价物余额</t>
  </si>
  <si>
    <t>补充资料：</t>
  </si>
  <si>
    <t>现金流量附表项目</t>
  </si>
  <si>
    <t>将净利润调节为经营活动现金流量</t>
  </si>
  <si>
    <t>　　净利润</t>
  </si>
  <si>
    <t>　　资产减值准备</t>
  </si>
  <si>
    <t>　　固定资产折旧、油气资产折耗、生产性生物资产折旧</t>
  </si>
  <si>
    <t>　　无形资产摊销</t>
  </si>
  <si>
    <t>　　长期待摊费用摊销</t>
  </si>
  <si>
    <t>　　处置固定资产、无形资产和其他长期资产的损失</t>
  </si>
  <si>
    <t>　　固定资产报废损失</t>
  </si>
  <si>
    <t>　　公允价值变动损失</t>
  </si>
  <si>
    <t>　　财务费用</t>
  </si>
  <si>
    <t>　　投资损失</t>
  </si>
  <si>
    <t>　　递延所得税资产减少</t>
  </si>
  <si>
    <t>　　递延所得税负债增加</t>
  </si>
  <si>
    <t>　　存货的减少</t>
  </si>
  <si>
    <t>　　经营性应收项目的减少</t>
  </si>
  <si>
    <t>　　经营性应付项目的增加</t>
  </si>
  <si>
    <t>　　其他</t>
  </si>
  <si>
    <t>不涉及现金收支的重大投资和筹资活动</t>
  </si>
  <si>
    <t>　　债务转为资本</t>
  </si>
  <si>
    <t>　　一年内到期的可转换公司债券</t>
  </si>
  <si>
    <t>　　融资租入固定资产</t>
  </si>
  <si>
    <t>现金及现金等价物净变动情况</t>
  </si>
  <si>
    <t>现金的期末余额</t>
  </si>
  <si>
    <t>减：现金的期初余额</t>
  </si>
  <si>
    <t>加：现金等价物的期末余额</t>
  </si>
  <si>
    <t>减：现金等价物的期初余额</t>
  </si>
  <si>
    <t>现金及现金等价物的净增加额</t>
  </si>
  <si>
    <t>资产负债表科目</t>
  </si>
  <si>
    <t>资产负债表余额</t>
  </si>
  <si>
    <t>科目名称</t>
  </si>
  <si>
    <t>期初借方余额</t>
  </si>
  <si>
    <t>期初贷方余额</t>
  </si>
  <si>
    <t xml:space="preserve"> 本期借方发生额 </t>
  </si>
  <si>
    <t xml:space="preserve"> 本期贷方发生额 </t>
  </si>
  <si>
    <t xml:space="preserve"> 期末借方余额 </t>
  </si>
  <si>
    <t xml:space="preserve"> 期末贷方余额 </t>
  </si>
  <si>
    <t>备注说明</t>
  </si>
  <si>
    <t>校验</t>
  </si>
  <si>
    <t>货币资金</t>
  </si>
  <si>
    <t>库存现金</t>
  </si>
  <si>
    <t>银行存款</t>
  </si>
  <si>
    <t>应收账款</t>
  </si>
  <si>
    <t>[001]美团团购</t>
  </si>
  <si>
    <t>[002]美团外卖</t>
  </si>
  <si>
    <t>[003]饿了么外卖</t>
  </si>
  <si>
    <t>[004]抖音团购</t>
  </si>
  <si>
    <t>[005]云纵商家-微信支付宝</t>
  </si>
  <si>
    <t>[006]交通银行</t>
  </si>
  <si>
    <t>[007]招商银行</t>
  </si>
  <si>
    <t>[008]京东外卖</t>
  </si>
  <si>
    <t>[009]万象卡</t>
  </si>
  <si>
    <t>[013]招商银行</t>
  </si>
  <si>
    <t>预付库房租金</t>
  </si>
  <si>
    <t>其他应收款</t>
  </si>
  <si>
    <t>员工往来</t>
  </si>
  <si>
    <t xml:space="preserve">1、开办投入中用于预付当期费用部分2、员工借款。以上计入员工往来  </t>
  </si>
  <si>
    <t>公司往来</t>
  </si>
  <si>
    <t>公司之间应收应付往来款，计入公司往来</t>
  </si>
  <si>
    <t>管理公司</t>
  </si>
  <si>
    <t>应付管理费</t>
  </si>
  <si>
    <t>沈阳崎本</t>
  </si>
  <si>
    <t>长春崎本</t>
  </si>
  <si>
    <t>青岛崎本</t>
  </si>
  <si>
    <t>南京崎本</t>
  </si>
  <si>
    <t>成都崎本</t>
  </si>
  <si>
    <t>海南蕊礼贸易有限公司</t>
  </si>
  <si>
    <t>崎本-北京荟聚店</t>
  </si>
  <si>
    <t>崎本-北京清河万象汇</t>
  </si>
  <si>
    <t>崎本-珠海优特汇</t>
  </si>
  <si>
    <t>沈阳乐姿网络传媒有限公司</t>
  </si>
  <si>
    <t>崎本-大连高新</t>
  </si>
  <si>
    <t>山亩-天津万象城</t>
  </si>
  <si>
    <t>膨胀团-沈阳环宇城店</t>
  </si>
  <si>
    <t>崎本-北京龙湖丽泽店</t>
  </si>
  <si>
    <t>崎本-杭州万象城</t>
  </si>
  <si>
    <t>崎本-郑州正弘城</t>
  </si>
  <si>
    <t>押金/保证金</t>
  </si>
  <si>
    <t>　　　　租赁保证金</t>
  </si>
  <si>
    <t>　　　　水电费押金</t>
  </si>
  <si>
    <t>　　　　寝室押金</t>
  </si>
  <si>
    <t>　　　　仓库押金</t>
  </si>
  <si>
    <t>　　　　其他押金</t>
  </si>
  <si>
    <t>代扣员工个人保险</t>
  </si>
  <si>
    <t>摊销费用</t>
  </si>
  <si>
    <t>按年缴费的宣传费、运营费用分期摊销</t>
  </si>
  <si>
    <t>存货</t>
  </si>
  <si>
    <t>原材料</t>
  </si>
  <si>
    <t>库存商品</t>
  </si>
  <si>
    <t>周转材料</t>
  </si>
  <si>
    <t>低值易耗品</t>
  </si>
  <si>
    <t>固定资产</t>
  </si>
  <si>
    <t>固定资产原值</t>
  </si>
  <si>
    <t>累计折旧</t>
  </si>
  <si>
    <t>固定资产折旧</t>
  </si>
  <si>
    <t>无形资产</t>
  </si>
  <si>
    <t>软件款</t>
  </si>
  <si>
    <t>累计摊销</t>
  </si>
  <si>
    <t>长期待摊费用</t>
  </si>
  <si>
    <t>开办费</t>
  </si>
  <si>
    <t>待摊费用-会员卡赠送</t>
  </si>
  <si>
    <t>会员卡赠送卡值</t>
  </si>
  <si>
    <t>应付账款</t>
  </si>
  <si>
    <t>应付供应商货款/预付租金、水电费</t>
  </si>
  <si>
    <t>预收款项</t>
  </si>
  <si>
    <t>预收账款</t>
  </si>
  <si>
    <t>预收会员卡储值</t>
  </si>
  <si>
    <t>应付职工薪酬</t>
  </si>
  <si>
    <t>应交税费</t>
  </si>
  <si>
    <t>其他应付款</t>
  </si>
  <si>
    <t>员工报销未付款</t>
  </si>
  <si>
    <t>应付股利</t>
  </si>
  <si>
    <t>合同往来</t>
  </si>
  <si>
    <t>应付合同款余额</t>
  </si>
  <si>
    <t xml:space="preserve">    实收资本（或股本）</t>
  </si>
  <si>
    <t>实收资本</t>
  </si>
  <si>
    <t>开办投入中计入前期开办费、资产等前期投资余额。</t>
  </si>
  <si>
    <t>未分配利润</t>
  </si>
  <si>
    <t>本年利润</t>
  </si>
  <si>
    <t>未分配净利润余额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</si>
</sst>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 - 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"/>
    </font>
    <font>
      <sz val="11"/>
      <name val="宋体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6"/>
      <name val="微软雅黑"/>
      <charset val="134"/>
    </font>
    <font>
      <sz val="11"/>
      <name val="微软雅黑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Border="0">
      <alignment vertical="center"/>
    </xf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 applyBorder="0"/>
    <xf numFmtId="0" fontId="32" fillId="0" borderId="0" applyBorder="0"/>
    <xf numFmtId="0" fontId="0" fillId="0" borderId="0" applyBorder="0">
      <alignment vertical="center"/>
    </xf>
    <xf numFmtId="0" fontId="0" fillId="0" borderId="0" applyBorder="0">
      <alignment vertical="center"/>
    </xf>
    <xf numFmtId="0" fontId="6" fillId="0" borderId="0">
      <alignment vertical="top"/>
      <protection locked="0"/>
    </xf>
    <xf numFmtId="0" fontId="32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3" fontId="1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/>
    <xf numFmtId="4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vertical="center" wrapText="1"/>
    </xf>
    <xf numFmtId="4" fontId="1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4" fontId="4" fillId="0" borderId="0" xfId="0" applyNumberFormat="1" applyFont="1" applyFill="1" applyBorder="1" applyAlignment="1"/>
    <xf numFmtId="43" fontId="1" fillId="0" borderId="3" xfId="0" applyNumberFormat="1" applyFont="1" applyFill="1" applyBorder="1" applyAlignment="1">
      <alignment horizontal="center" vertical="center"/>
    </xf>
    <xf numFmtId="43" fontId="1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4" fontId="1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43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 vertical="center"/>
    </xf>
    <xf numFmtId="0" fontId="6" fillId="0" borderId="0" xfId="57" applyFont="1" applyFill="1" applyBorder="1" applyAlignment="1" applyProtection="1">
      <protection locked="0"/>
    </xf>
    <xf numFmtId="0" fontId="7" fillId="0" borderId="0" xfId="57" applyFont="1" applyFill="1" applyBorder="1" applyAlignment="1" applyProtection="1">
      <protection locked="0"/>
    </xf>
    <xf numFmtId="0" fontId="8" fillId="0" borderId="0" xfId="57" applyFont="1" applyFill="1" applyAlignment="1" applyProtection="1">
      <alignment horizontal="center" vertical="center"/>
      <protection locked="0"/>
    </xf>
    <xf numFmtId="0" fontId="9" fillId="0" borderId="0" xfId="57" applyFont="1" applyFill="1" applyBorder="1" applyAlignment="1" applyProtection="1">
      <protection locked="0"/>
    </xf>
    <xf numFmtId="0" fontId="9" fillId="0" borderId="0" xfId="57" applyFont="1" applyFill="1" applyBorder="1" applyAlignment="1" applyProtection="1">
      <alignment horizontal="right"/>
      <protection locked="0"/>
    </xf>
    <xf numFmtId="0" fontId="9" fillId="0" borderId="0" xfId="57" applyFont="1" applyFill="1" applyBorder="1" applyAlignment="1" applyProtection="1">
      <alignment vertical="center"/>
      <protection locked="0"/>
    </xf>
    <xf numFmtId="31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9" fillId="0" borderId="1" xfId="57" applyFont="1" applyFill="1" applyBorder="1" applyAlignment="1" applyProtection="1">
      <alignment horizontal="center"/>
      <protection locked="0"/>
    </xf>
    <xf numFmtId="0" fontId="10" fillId="0" borderId="1" xfId="57" applyFont="1" applyFill="1" applyBorder="1" applyAlignment="1" applyProtection="1">
      <protection locked="0"/>
    </xf>
    <xf numFmtId="177" fontId="10" fillId="0" borderId="1" xfId="57" applyNumberFormat="1" applyFont="1" applyFill="1" applyBorder="1" applyAlignment="1" applyProtection="1">
      <protection locked="0"/>
    </xf>
    <xf numFmtId="4" fontId="10" fillId="0" borderId="1" xfId="57" applyNumberFormat="1" applyFont="1" applyFill="1" applyBorder="1" applyAlignment="1" applyProtection="1">
      <protection locked="0"/>
    </xf>
    <xf numFmtId="0" fontId="10" fillId="0" borderId="0" xfId="57" applyFont="1" applyFill="1" applyBorder="1" applyAlignment="1" applyProtection="1">
      <protection locked="0"/>
    </xf>
    <xf numFmtId="0" fontId="6" fillId="0" borderId="0" xfId="57" applyFont="1" applyFill="1" applyBorder="1" applyAlignment="1" applyProtection="1">
      <alignment vertical="top"/>
      <protection locked="0"/>
    </xf>
    <xf numFmtId="0" fontId="6" fillId="0" borderId="0" xfId="57" applyFont="1" applyFill="1" applyBorder="1" applyAlignment="1" applyProtection="1">
      <alignment horizontal="center" vertical="top"/>
      <protection locked="0"/>
    </xf>
    <xf numFmtId="0" fontId="11" fillId="0" borderId="0" xfId="57" applyFont="1" applyFill="1" applyBorder="1" applyAlignment="1" applyProtection="1">
      <alignment horizontal="center"/>
      <protection locked="0"/>
    </xf>
    <xf numFmtId="4" fontId="10" fillId="0" borderId="0" xfId="57" applyNumberFormat="1" applyFont="1" applyFill="1" applyBorder="1" applyAlignment="1" applyProtection="1">
      <alignment vertical="top"/>
      <protection locked="0"/>
    </xf>
    <xf numFmtId="10" fontId="10" fillId="0" borderId="0" xfId="57" applyNumberFormat="1" applyFont="1" applyFill="1" applyBorder="1" applyAlignment="1" applyProtection="1">
      <alignment horizontal="center" vertical="top"/>
      <protection locked="0"/>
    </xf>
    <xf numFmtId="0" fontId="10" fillId="0" borderId="0" xfId="57" applyFont="1" applyFill="1" applyBorder="1" applyAlignment="1" applyProtection="1">
      <alignment horizontal="left" vertical="center"/>
      <protection locked="0"/>
    </xf>
    <xf numFmtId="14" fontId="12" fillId="0" borderId="0" xfId="57" applyNumberFormat="1" applyFont="1" applyFill="1" applyBorder="1" applyAlignment="1" applyProtection="1">
      <alignment horizontal="center" vertical="center"/>
      <protection locked="0"/>
    </xf>
    <xf numFmtId="10" fontId="10" fillId="0" borderId="0" xfId="57" applyNumberFormat="1" applyFont="1" applyFill="1" applyBorder="1" applyAlignment="1" applyProtection="1">
      <alignment horizontal="center" vertical="center"/>
      <protection locked="0"/>
    </xf>
    <xf numFmtId="4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10" fillId="0" borderId="6" xfId="57" applyFont="1" applyFill="1" applyBorder="1" applyAlignment="1" applyProtection="1">
      <alignment horizontal="center" vertical="center"/>
      <protection locked="0"/>
    </xf>
    <xf numFmtId="0" fontId="10" fillId="0" borderId="7" xfId="57" applyFont="1" applyFill="1" applyBorder="1" applyAlignment="1" applyProtection="1">
      <alignment horizontal="center" vertical="center"/>
      <protection locked="0"/>
    </xf>
    <xf numFmtId="0" fontId="10" fillId="0" borderId="8" xfId="57" applyFont="1" applyFill="1" applyBorder="1" applyAlignment="1" applyProtection="1">
      <alignment vertical="top"/>
      <protection locked="0"/>
    </xf>
    <xf numFmtId="4" fontId="10" fillId="0" borderId="9" xfId="57" applyNumberFormat="1" applyFont="1" applyFill="1" applyBorder="1" applyAlignment="1" applyProtection="1">
      <alignment vertical="top"/>
      <protection locked="0"/>
    </xf>
    <xf numFmtId="10" fontId="10" fillId="0" borderId="9" xfId="57" applyNumberFormat="1" applyFont="1" applyFill="1" applyBorder="1" applyAlignment="1" applyProtection="1">
      <alignment horizontal="center" vertical="top"/>
      <protection locked="0"/>
    </xf>
    <xf numFmtId="176" fontId="10" fillId="0" borderId="9" xfId="57" applyNumberFormat="1" applyFont="1" applyFill="1" applyBorder="1" applyAlignment="1" applyProtection="1">
      <alignment vertical="top"/>
      <protection locked="0"/>
    </xf>
    <xf numFmtId="0" fontId="12" fillId="0" borderId="9" xfId="57" applyFont="1" applyFill="1" applyBorder="1" applyAlignment="1" applyProtection="1">
      <alignment vertical="top"/>
      <protection locked="0"/>
    </xf>
    <xf numFmtId="10" fontId="6" fillId="0" borderId="9" xfId="57" applyNumberFormat="1" applyFont="1" applyFill="1" applyBorder="1" applyAlignment="1" applyProtection="1">
      <alignment horizontal="center" vertical="top"/>
      <protection locked="0"/>
    </xf>
    <xf numFmtId="0" fontId="6" fillId="0" borderId="8" xfId="57" applyFont="1" applyFill="1" applyBorder="1" applyAlignment="1" applyProtection="1">
      <alignment vertical="top"/>
      <protection locked="0"/>
    </xf>
    <xf numFmtId="0" fontId="6" fillId="0" borderId="9" xfId="57" applyFont="1" applyFill="1" applyBorder="1" applyAlignment="1" applyProtection="1">
      <alignment vertical="top"/>
      <protection locked="0"/>
    </xf>
    <xf numFmtId="0" fontId="6" fillId="0" borderId="9" xfId="57" applyFont="1" applyFill="1" applyBorder="1" applyAlignment="1" applyProtection="1">
      <alignment horizontal="center" vertical="top"/>
      <protection locked="0"/>
    </xf>
    <xf numFmtId="4" fontId="1" fillId="0" borderId="1" xfId="0" applyNumberFormat="1" applyFont="1" applyFill="1" applyBorder="1" applyAlignment="1" quotePrefix="1">
      <alignment horizontal="left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2" xfId="50"/>
    <cellStyle name="常规 5" xfId="51"/>
    <cellStyle name="千位分隔 2" xfId="52"/>
    <cellStyle name="常规 4" xfId="53"/>
    <cellStyle name="常规 2 25" xfId="54"/>
    <cellStyle name="常规 2" xfId="55"/>
    <cellStyle name="常规 3" xfId="56"/>
    <cellStyle name="Normal" xfId="57"/>
    <cellStyle name="常规 12 2" xfId="58"/>
  </cellStyles>
  <tableStyles count="0" defaultTableStyle="TableStyleMedium2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267335</xdr:colOff>
      <xdr:row>0</xdr:row>
      <xdr:rowOff>635</xdr:rowOff>
    </xdr:from>
    <xdr:to>
      <xdr:col>0</xdr:col>
      <xdr:colOff>756285</xdr:colOff>
      <xdr:row>1</xdr:row>
      <xdr:rowOff>4445</xdr:rowOff>
    </xdr:to>
    <xdr:pic>
      <xdr:nvPicPr>
        <xdr:cNvPr id="30" name="图片 2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7335" y="63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1" name="图片 3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2" name="图片 3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3" name="图片 3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4" name="图片 3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5" name="图片 3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6" name="图片 3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7" name="图片 3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8" name="图片 3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9" name="图片 3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665480</xdr:colOff>
      <xdr:row>0</xdr:row>
      <xdr:rowOff>14605</xdr:rowOff>
    </xdr:from>
    <xdr:to>
      <xdr:col>0</xdr:col>
      <xdr:colOff>1154430</xdr:colOff>
      <xdr:row>0</xdr:row>
      <xdr:rowOff>494665</xdr:rowOff>
    </xdr:to>
    <xdr:pic>
      <xdr:nvPicPr>
        <xdr:cNvPr id="6" name="图片 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65480" y="1460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2" name="图片 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3" name="图片 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4" name="图片 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5" name="图片 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7" name="图片 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8" name="图片 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9" name="图片 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10" name="图片 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11" name="图片 1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30;&#25253;2025&#24180;-6&#26376;-&#23822;&#26412;&#35199;&#23433;&#36187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利润汇总表（年）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数据分析"/>
      <sheetName val="汇总报表"/>
      <sheetName val="1月利润"/>
      <sheetName val="1月资产负债"/>
      <sheetName val="1月现金流量"/>
      <sheetName val="1月科余"/>
      <sheetName val="2月利润"/>
      <sheetName val="2月资产负债"/>
      <sheetName val="2月现金流量"/>
      <sheetName val="2月科余"/>
      <sheetName val="3月利润"/>
      <sheetName val="3月资产负债"/>
      <sheetName val="3月现金流量"/>
      <sheetName val="3月科余"/>
      <sheetName val="4月利润"/>
      <sheetName val="4月资产负债"/>
      <sheetName val="4月现金流量"/>
      <sheetName val="4月科余"/>
      <sheetName val="5月利润"/>
      <sheetName val="5月资产负债"/>
      <sheetName val="5月现金流量"/>
      <sheetName val="5月科余"/>
      <sheetName val="6月利润"/>
      <sheetName val="6月资产负债"/>
      <sheetName val="6月现金流量"/>
      <sheetName val="6月科余"/>
      <sheetName val="7月利润"/>
      <sheetName val="7月资产负债"/>
      <sheetName val="7月现金流量"/>
      <sheetName val="7月科余"/>
      <sheetName val="8月利润"/>
      <sheetName val="8月资产负债"/>
      <sheetName val="8月现金流量"/>
      <sheetName val="8月科余"/>
      <sheetName val="9月利润"/>
      <sheetName val="9月资产负债"/>
      <sheetName val="9月现金流量"/>
      <sheetName val="9月科余"/>
      <sheetName val="10月利润"/>
      <sheetName val="10月资产负债"/>
      <sheetName val="10月现金流量"/>
      <sheetName val="10月科余"/>
      <sheetName val="11月利润"/>
      <sheetName val="11月资产负债"/>
      <sheetName val="11月现金流量"/>
      <sheetName val="11月科余"/>
      <sheetName val="12月利润"/>
      <sheetName val="12月资产负债"/>
      <sheetName val="12月现金流量"/>
      <sheetName val="12月科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B10">
            <v>78502.47</v>
          </cell>
        </row>
        <row r="11">
          <cell r="B11">
            <v>388611.45</v>
          </cell>
        </row>
        <row r="12">
          <cell r="B12">
            <v>-14296.09</v>
          </cell>
        </row>
        <row r="13">
          <cell r="B13">
            <v>274962.49</v>
          </cell>
        </row>
        <row r="18">
          <cell r="E18">
            <v>452351.72</v>
          </cell>
        </row>
        <row r="25">
          <cell r="B25">
            <v>459656.59</v>
          </cell>
        </row>
        <row r="29">
          <cell r="B29">
            <v>20217.74</v>
          </cell>
        </row>
        <row r="32">
          <cell r="B32">
            <v>874263.96</v>
          </cell>
        </row>
      </sheetData>
      <sheetData sheetId="38"/>
      <sheetData sheetId="39"/>
      <sheetData sheetId="40"/>
      <sheetData sheetId="41">
        <row r="10">
          <cell r="B10">
            <v>83686.43</v>
          </cell>
        </row>
        <row r="11">
          <cell r="B11">
            <v>241371.45</v>
          </cell>
        </row>
        <row r="12">
          <cell r="B12">
            <v>7126.85</v>
          </cell>
        </row>
        <row r="13">
          <cell r="B13">
            <v>269867.51</v>
          </cell>
        </row>
        <row r="18">
          <cell r="E18">
            <v>367231.54</v>
          </cell>
        </row>
        <row r="25">
          <cell r="B25">
            <v>438898.36</v>
          </cell>
        </row>
        <row r="29">
          <cell r="B29">
            <v>19259.41</v>
          </cell>
        </row>
        <row r="32">
          <cell r="B32">
            <v>836817.44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122"/>
  <sheetViews>
    <sheetView tabSelected="1" workbookViewId="0">
      <pane xSplit="1" ySplit="3" topLeftCell="B111" activePane="bottomRight" state="frozen"/>
      <selection/>
      <selection pane="topRight"/>
      <selection pane="bottomLeft"/>
      <selection pane="bottomRight" activeCell="B125" sqref="B125"/>
    </sheetView>
  </sheetViews>
  <sheetFormatPr defaultColWidth="8.56666666666667" defaultRowHeight="13.5" outlineLevelCol="6"/>
  <cols>
    <col min="1" max="1" width="37" style="62" customWidth="1"/>
    <col min="2" max="2" width="19.5666666666667" style="62" customWidth="1"/>
    <col min="3" max="4" width="15.75" style="63" customWidth="1"/>
    <col min="5" max="5" width="19" style="62" customWidth="1"/>
    <col min="6" max="6" width="16.3833333333333" style="63" customWidth="1"/>
    <col min="7" max="7" width="17.25" style="63" customWidth="1"/>
    <col min="8" max="16383" width="8.56666666666667" style="62" customWidth="1"/>
    <col min="16384" max="16384" width="8.56666666666667" style="62"/>
  </cols>
  <sheetData>
    <row r="1" s="62" customFormat="1" ht="39" customHeight="1" spans="1:7">
      <c r="A1" s="64" t="s">
        <v>0</v>
      </c>
      <c r="B1" s="65"/>
      <c r="C1" s="66"/>
      <c r="D1" s="66"/>
      <c r="E1" s="65"/>
      <c r="F1" s="66"/>
      <c r="G1" s="66"/>
    </row>
    <row r="2" s="62" customFormat="1" ht="23" customHeight="1" spans="1:7">
      <c r="A2" s="67" t="s">
        <v>1</v>
      </c>
      <c r="B2" s="68">
        <v>45869</v>
      </c>
      <c r="C2" s="69"/>
      <c r="D2" s="69"/>
      <c r="E2" s="70" t="s">
        <v>2</v>
      </c>
      <c r="F2" s="69"/>
      <c r="G2" s="69"/>
    </row>
    <row r="3" s="62" customFormat="1" ht="18" customHeight="1" spans="1:7">
      <c r="A3" s="71" t="s">
        <v>3</v>
      </c>
      <c r="B3" s="72" t="s">
        <v>4</v>
      </c>
      <c r="C3" s="72" t="s">
        <v>5</v>
      </c>
      <c r="D3" s="72" t="s">
        <v>6</v>
      </c>
      <c r="E3" s="72" t="s">
        <v>7</v>
      </c>
      <c r="F3" s="72" t="s">
        <v>8</v>
      </c>
      <c r="G3" s="72" t="s">
        <v>9</v>
      </c>
    </row>
    <row r="4" s="62" customFormat="1" ht="16.5" spans="1:7">
      <c r="A4" s="73" t="s">
        <v>10</v>
      </c>
      <c r="B4" s="74"/>
      <c r="C4" s="75"/>
      <c r="D4" s="75"/>
      <c r="E4" s="74"/>
      <c r="F4" s="75"/>
      <c r="G4" s="75"/>
    </row>
    <row r="5" s="62" customFormat="1" ht="16.5" spans="1:7">
      <c r="A5" s="73" t="s">
        <v>11</v>
      </c>
      <c r="B5" s="74">
        <v>870370.9</v>
      </c>
      <c r="C5" s="75">
        <v>1</v>
      </c>
      <c r="D5" s="75"/>
      <c r="E5" s="74">
        <v>4753310.8</v>
      </c>
      <c r="F5" s="75">
        <v>1</v>
      </c>
      <c r="G5" s="75"/>
    </row>
    <row r="6" s="62" customFormat="1" ht="16.5" outlineLevel="1" spans="1:7">
      <c r="A6" s="73" t="s">
        <v>12</v>
      </c>
      <c r="B6" s="74">
        <v>693886.4</v>
      </c>
      <c r="C6" s="75">
        <v>0.8</v>
      </c>
      <c r="D6" s="75"/>
      <c r="E6" s="74">
        <v>3707259.3</v>
      </c>
      <c r="F6" s="75">
        <v>0.78</v>
      </c>
      <c r="G6" s="75"/>
    </row>
    <row r="7" s="62" customFormat="1" ht="16.5" outlineLevel="1" spans="1:7">
      <c r="A7" s="73" t="s">
        <v>13</v>
      </c>
      <c r="B7" s="74">
        <v>0</v>
      </c>
      <c r="C7" s="75">
        <v>0</v>
      </c>
      <c r="D7" s="75"/>
      <c r="E7" s="74">
        <v>0</v>
      </c>
      <c r="F7" s="75">
        <v>0</v>
      </c>
      <c r="G7" s="75"/>
    </row>
    <row r="8" s="62" customFormat="1" ht="16.5" outlineLevel="1" spans="1:7">
      <c r="A8" s="73" t="s">
        <v>14</v>
      </c>
      <c r="B8" s="74">
        <v>0</v>
      </c>
      <c r="C8" s="75">
        <v>0</v>
      </c>
      <c r="D8" s="75"/>
      <c r="E8" s="74">
        <v>0</v>
      </c>
      <c r="F8" s="75">
        <v>0</v>
      </c>
      <c r="G8" s="75"/>
    </row>
    <row r="9" s="62" customFormat="1" ht="16.5" outlineLevel="1" spans="1:7">
      <c r="A9" s="73" t="s">
        <v>15</v>
      </c>
      <c r="B9" s="74">
        <v>0</v>
      </c>
      <c r="C9" s="75">
        <v>0</v>
      </c>
      <c r="D9" s="75"/>
      <c r="E9" s="74">
        <v>0</v>
      </c>
      <c r="F9" s="75">
        <v>0</v>
      </c>
      <c r="G9" s="75"/>
    </row>
    <row r="10" s="62" customFormat="1" ht="16.5" outlineLevel="1" spans="1:7">
      <c r="A10" s="73" t="s">
        <v>16</v>
      </c>
      <c r="B10" s="74">
        <v>174033</v>
      </c>
      <c r="C10" s="75">
        <v>0.2</v>
      </c>
      <c r="D10" s="75"/>
      <c r="E10" s="74">
        <v>1043600</v>
      </c>
      <c r="F10" s="75">
        <v>0.22</v>
      </c>
      <c r="G10" s="75"/>
    </row>
    <row r="11" s="62" customFormat="1" ht="16.5" outlineLevel="1" spans="1:7">
      <c r="A11" s="73" t="s">
        <v>17</v>
      </c>
      <c r="B11" s="74">
        <v>2451.5</v>
      </c>
      <c r="C11" s="75">
        <v>0</v>
      </c>
      <c r="D11" s="75"/>
      <c r="E11" s="74">
        <v>2451.5</v>
      </c>
      <c r="F11" s="75">
        <v>0</v>
      </c>
      <c r="G11" s="75"/>
    </row>
    <row r="12" s="62" customFormat="1" ht="16.5" spans="1:7">
      <c r="A12" s="73" t="s">
        <v>18</v>
      </c>
      <c r="B12" s="76">
        <v>101754.79</v>
      </c>
      <c r="C12" s="75">
        <v>0.12</v>
      </c>
      <c r="D12" s="75"/>
      <c r="E12" s="76">
        <v>584178</v>
      </c>
      <c r="F12" s="75">
        <v>0.12</v>
      </c>
      <c r="G12" s="75"/>
    </row>
    <row r="13" s="62" customFormat="1" ht="16.5" outlineLevel="1" spans="1:7">
      <c r="A13" s="73" t="s">
        <v>19</v>
      </c>
      <c r="B13" s="76">
        <v>91348.98</v>
      </c>
      <c r="C13" s="75">
        <v>0.13</v>
      </c>
      <c r="D13" s="75"/>
      <c r="E13" s="74">
        <v>492622.87</v>
      </c>
      <c r="F13" s="75">
        <v>0.13</v>
      </c>
      <c r="G13" s="75"/>
    </row>
    <row r="14" s="62" customFormat="1" ht="16.5" outlineLevel="1" spans="1:7">
      <c r="A14" s="73" t="s">
        <v>20</v>
      </c>
      <c r="B14" s="76">
        <v>0</v>
      </c>
      <c r="C14" s="75" t="e">
        <v>#DIV/0!</v>
      </c>
      <c r="D14" s="75"/>
      <c r="E14" s="74">
        <v>0</v>
      </c>
      <c r="F14" s="75" t="e">
        <v>#DIV/0!</v>
      </c>
      <c r="G14" s="75"/>
    </row>
    <row r="15" s="62" customFormat="1" ht="16.5" outlineLevel="1" spans="1:7">
      <c r="A15" s="73" t="s">
        <v>21</v>
      </c>
      <c r="B15" s="76">
        <v>0</v>
      </c>
      <c r="C15" s="75" t="e">
        <v>#DIV/0!</v>
      </c>
      <c r="D15" s="75"/>
      <c r="E15" s="74">
        <v>0</v>
      </c>
      <c r="F15" s="75" t="e">
        <v>#DIV/0!</v>
      </c>
      <c r="G15" s="75"/>
    </row>
    <row r="16" s="62" customFormat="1" ht="16.5" outlineLevel="1" spans="1:7">
      <c r="A16" s="73" t="s">
        <v>22</v>
      </c>
      <c r="B16" s="76">
        <v>0</v>
      </c>
      <c r="C16" s="75" t="e">
        <v>#DIV/0!</v>
      </c>
      <c r="D16" s="75"/>
      <c r="E16" s="74">
        <v>0</v>
      </c>
      <c r="F16" s="75" t="e">
        <v>#DIV/0!</v>
      </c>
      <c r="G16" s="75"/>
    </row>
    <row r="17" s="62" customFormat="1" ht="16.5" outlineLevel="1" spans="1:7">
      <c r="A17" s="73" t="s">
        <v>23</v>
      </c>
      <c r="B17" s="76">
        <v>9830.89</v>
      </c>
      <c r="C17" s="75">
        <v>0.06</v>
      </c>
      <c r="D17" s="75"/>
      <c r="E17" s="74">
        <v>90980.21</v>
      </c>
      <c r="F17" s="75">
        <v>0.09</v>
      </c>
      <c r="G17" s="75"/>
    </row>
    <row r="18" s="62" customFormat="1" ht="16.5" outlineLevel="1" spans="1:7">
      <c r="A18" s="73" t="s">
        <v>24</v>
      </c>
      <c r="B18" s="76">
        <v>574.92</v>
      </c>
      <c r="C18" s="75">
        <v>0.23</v>
      </c>
      <c r="D18" s="75"/>
      <c r="E18" s="74">
        <v>574.92</v>
      </c>
      <c r="F18" s="75">
        <v>0.23</v>
      </c>
      <c r="G18" s="75"/>
    </row>
    <row r="19" s="62" customFormat="1" ht="16.5" spans="1:7">
      <c r="A19" s="73" t="s">
        <v>25</v>
      </c>
      <c r="B19" s="76">
        <v>34714</v>
      </c>
      <c r="C19" s="75">
        <v>0.04</v>
      </c>
      <c r="D19" s="75"/>
      <c r="E19" s="76">
        <v>200127.97</v>
      </c>
      <c r="F19" s="75">
        <v>0.04</v>
      </c>
      <c r="G19" s="75"/>
    </row>
    <row r="20" s="62" customFormat="1" ht="16.5" outlineLevel="1" spans="1:7">
      <c r="A20" s="73" t="s">
        <v>26</v>
      </c>
      <c r="B20" s="76">
        <v>33495</v>
      </c>
      <c r="C20" s="75">
        <v>0.05</v>
      </c>
      <c r="D20" s="75"/>
      <c r="E20" s="74">
        <v>194586.62</v>
      </c>
      <c r="F20" s="75">
        <v>0.05</v>
      </c>
      <c r="G20" s="75"/>
    </row>
    <row r="21" s="62" customFormat="1" ht="16.5" outlineLevel="1" spans="1:7">
      <c r="A21" s="73" t="s">
        <v>27</v>
      </c>
      <c r="B21" s="76">
        <v>0</v>
      </c>
      <c r="C21" s="75" t="e">
        <v>#DIV/0!</v>
      </c>
      <c r="D21" s="75"/>
      <c r="E21" s="74">
        <v>0</v>
      </c>
      <c r="F21" s="75" t="e">
        <v>#DIV/0!</v>
      </c>
      <c r="G21" s="75"/>
    </row>
    <row r="22" s="62" customFormat="1" ht="16.5" outlineLevel="1" spans="1:7">
      <c r="A22" s="73" t="s">
        <v>28</v>
      </c>
      <c r="B22" s="76">
        <v>0</v>
      </c>
      <c r="C22" s="75" t="e">
        <v>#DIV/0!</v>
      </c>
      <c r="D22" s="75"/>
      <c r="E22" s="74">
        <v>0</v>
      </c>
      <c r="F22" s="75" t="e">
        <v>#DIV/0!</v>
      </c>
      <c r="G22" s="75"/>
    </row>
    <row r="23" s="62" customFormat="1" ht="16.5" outlineLevel="1" spans="1:7">
      <c r="A23" s="73" t="s">
        <v>29</v>
      </c>
      <c r="B23" s="76">
        <v>0</v>
      </c>
      <c r="C23" s="75" t="e">
        <v>#DIV/0!</v>
      </c>
      <c r="D23" s="75"/>
      <c r="E23" s="74">
        <v>0</v>
      </c>
      <c r="F23" s="75" t="e">
        <v>#DIV/0!</v>
      </c>
      <c r="G23" s="75"/>
    </row>
    <row r="24" s="62" customFormat="1" ht="16.5" outlineLevel="1" spans="1:7">
      <c r="A24" s="73" t="s">
        <v>30</v>
      </c>
      <c r="B24" s="76">
        <v>1219</v>
      </c>
      <c r="C24" s="75">
        <v>0.01</v>
      </c>
      <c r="D24" s="75"/>
      <c r="E24" s="74">
        <v>5541.35</v>
      </c>
      <c r="F24" s="75">
        <v>0.01</v>
      </c>
      <c r="G24" s="75"/>
    </row>
    <row r="25" s="62" customFormat="1" ht="16.5" outlineLevel="1" spans="1:7">
      <c r="A25" s="73" t="s">
        <v>31</v>
      </c>
      <c r="B25" s="74">
        <v>0</v>
      </c>
      <c r="C25" s="75">
        <v>0</v>
      </c>
      <c r="D25" s="75"/>
      <c r="E25" s="74">
        <v>0</v>
      </c>
      <c r="F25" s="75">
        <v>0</v>
      </c>
      <c r="G25" s="75"/>
    </row>
    <row r="26" s="62" customFormat="1" ht="16.5" spans="1:7">
      <c r="A26" s="73" t="s">
        <v>32</v>
      </c>
      <c r="B26" s="76">
        <v>19595</v>
      </c>
      <c r="C26" s="75">
        <v>0.02</v>
      </c>
      <c r="D26" s="75"/>
      <c r="E26" s="76">
        <v>147755</v>
      </c>
      <c r="F26" s="75">
        <v>0.03</v>
      </c>
      <c r="G26" s="75"/>
    </row>
    <row r="27" s="62" customFormat="1" ht="16.5" outlineLevel="1" spans="1:7">
      <c r="A27" s="73" t="s">
        <v>33</v>
      </c>
      <c r="B27" s="76">
        <v>19559</v>
      </c>
      <c r="C27" s="75">
        <v>0.03</v>
      </c>
      <c r="D27" s="75"/>
      <c r="E27" s="74">
        <v>145492</v>
      </c>
      <c r="F27" s="75">
        <v>0.04</v>
      </c>
      <c r="G27" s="75"/>
    </row>
    <row r="28" s="62" customFormat="1" ht="16.5" outlineLevel="1" spans="1:7">
      <c r="A28" s="73" t="s">
        <v>34</v>
      </c>
      <c r="B28" s="76">
        <v>0</v>
      </c>
      <c r="C28" s="75" t="e">
        <v>#DIV/0!</v>
      </c>
      <c r="D28" s="75"/>
      <c r="E28" s="74">
        <v>0</v>
      </c>
      <c r="F28" s="75" t="e">
        <v>#DIV/0!</v>
      </c>
      <c r="G28" s="75"/>
    </row>
    <row r="29" s="62" customFormat="1" ht="16.5" outlineLevel="1" spans="1:7">
      <c r="A29" s="73" t="s">
        <v>35</v>
      </c>
      <c r="B29" s="76">
        <v>0</v>
      </c>
      <c r="C29" s="75" t="e">
        <v>#DIV/0!</v>
      </c>
      <c r="D29" s="75"/>
      <c r="E29" s="74">
        <v>0</v>
      </c>
      <c r="F29" s="75" t="e">
        <v>#DIV/0!</v>
      </c>
      <c r="G29" s="75"/>
    </row>
    <row r="30" s="62" customFormat="1" ht="16.5" outlineLevel="1" spans="1:7">
      <c r="A30" s="73" t="s">
        <v>36</v>
      </c>
      <c r="B30" s="76">
        <v>0</v>
      </c>
      <c r="C30" s="75" t="e">
        <v>#DIV/0!</v>
      </c>
      <c r="D30" s="75"/>
      <c r="E30" s="74">
        <v>0</v>
      </c>
      <c r="F30" s="75" t="e">
        <v>#DIV/0!</v>
      </c>
      <c r="G30" s="75"/>
    </row>
    <row r="31" s="62" customFormat="1" ht="16.5" outlineLevel="1" spans="1:7">
      <c r="A31" s="73" t="s">
        <v>37</v>
      </c>
      <c r="B31" s="76">
        <v>36</v>
      </c>
      <c r="C31" s="75">
        <v>0</v>
      </c>
      <c r="D31" s="75"/>
      <c r="E31" s="74">
        <v>2263</v>
      </c>
      <c r="F31" s="75">
        <v>0</v>
      </c>
      <c r="G31" s="75"/>
    </row>
    <row r="32" s="62" customFormat="1" ht="16.5" outlineLevel="1" spans="1:7">
      <c r="A32" s="73" t="s">
        <v>38</v>
      </c>
      <c r="B32" s="74">
        <v>0</v>
      </c>
      <c r="C32" s="75">
        <v>0</v>
      </c>
      <c r="D32" s="75"/>
      <c r="E32" s="74">
        <v>0</v>
      </c>
      <c r="F32" s="75">
        <v>0</v>
      </c>
      <c r="G32" s="75"/>
    </row>
    <row r="33" s="62" customFormat="1" ht="16.5" spans="1:7">
      <c r="A33" s="73" t="s">
        <v>39</v>
      </c>
      <c r="B33" s="74">
        <v>714307.11</v>
      </c>
      <c r="C33" s="75">
        <v>0.82</v>
      </c>
      <c r="D33" s="75">
        <v>1</v>
      </c>
      <c r="E33" s="74">
        <v>3821249.83</v>
      </c>
      <c r="F33" s="75">
        <v>0.8</v>
      </c>
      <c r="G33" s="75">
        <v>1</v>
      </c>
    </row>
    <row r="34" s="62" customFormat="1" ht="16.5" outlineLevel="1" spans="1:7">
      <c r="A34" s="73" t="s">
        <v>40</v>
      </c>
      <c r="B34" s="74">
        <v>549483.42</v>
      </c>
      <c r="C34" s="75">
        <v>0.79</v>
      </c>
      <c r="D34" s="75">
        <v>0.77</v>
      </c>
      <c r="E34" s="74">
        <v>2874557.81</v>
      </c>
      <c r="F34" s="75">
        <v>0.78</v>
      </c>
      <c r="G34" s="75">
        <v>0.75</v>
      </c>
    </row>
    <row r="35" s="62" customFormat="1" ht="16.5" outlineLevel="1" spans="1:7">
      <c r="A35" s="73" t="s">
        <v>41</v>
      </c>
      <c r="B35" s="74">
        <v>0</v>
      </c>
      <c r="C35" s="75" t="e">
        <v>#DIV/0!</v>
      </c>
      <c r="D35" s="75">
        <v>0</v>
      </c>
      <c r="E35" s="74">
        <v>0</v>
      </c>
      <c r="F35" s="75" t="e">
        <v>#DIV/0!</v>
      </c>
      <c r="G35" s="75">
        <v>0</v>
      </c>
    </row>
    <row r="36" s="62" customFormat="1" ht="16.5" outlineLevel="1" spans="1:7">
      <c r="A36" s="73" t="s">
        <v>42</v>
      </c>
      <c r="B36" s="74">
        <v>0</v>
      </c>
      <c r="C36" s="75" t="e">
        <v>#DIV/0!</v>
      </c>
      <c r="D36" s="75">
        <v>0</v>
      </c>
      <c r="E36" s="74">
        <v>0</v>
      </c>
      <c r="F36" s="75" t="e">
        <v>#DIV/0!</v>
      </c>
      <c r="G36" s="75">
        <v>0</v>
      </c>
    </row>
    <row r="37" s="62" customFormat="1" ht="16.5" outlineLevel="1" spans="1:7">
      <c r="A37" s="73" t="s">
        <v>43</v>
      </c>
      <c r="B37" s="74">
        <v>0</v>
      </c>
      <c r="C37" s="75" t="e">
        <v>#DIV/0!</v>
      </c>
      <c r="D37" s="75">
        <v>0</v>
      </c>
      <c r="E37" s="74">
        <v>0</v>
      </c>
      <c r="F37" s="75" t="e">
        <v>#DIV/0!</v>
      </c>
      <c r="G37" s="75">
        <v>0</v>
      </c>
    </row>
    <row r="38" s="62" customFormat="1" ht="16.5" outlineLevel="1" spans="1:7">
      <c r="A38" s="73" t="s">
        <v>44</v>
      </c>
      <c r="B38" s="74">
        <v>162947.11</v>
      </c>
      <c r="C38" s="75">
        <v>0.94</v>
      </c>
      <c r="D38" s="75">
        <v>0.23</v>
      </c>
      <c r="E38" s="74">
        <v>944815.44</v>
      </c>
      <c r="F38" s="75">
        <v>0.91</v>
      </c>
      <c r="G38" s="75">
        <v>0.25</v>
      </c>
    </row>
    <row r="39" s="62" customFormat="1" ht="16.5" outlineLevel="1" spans="1:7">
      <c r="A39" s="73" t="s">
        <v>45</v>
      </c>
      <c r="B39" s="74">
        <v>1876.58</v>
      </c>
      <c r="C39" s="75">
        <v>0.77</v>
      </c>
      <c r="D39" s="75">
        <v>0</v>
      </c>
      <c r="E39" s="74">
        <v>1876.58</v>
      </c>
      <c r="F39" s="75">
        <v>0.77</v>
      </c>
      <c r="G39" s="75">
        <v>0</v>
      </c>
    </row>
    <row r="40" s="62" customFormat="1" ht="16.5" spans="1:7">
      <c r="A40" s="73" t="s">
        <v>46</v>
      </c>
      <c r="B40" s="74">
        <v>271880.72</v>
      </c>
      <c r="C40" s="75">
        <v>0.31</v>
      </c>
      <c r="D40" s="75">
        <v>0.38</v>
      </c>
      <c r="E40" s="74">
        <v>1498220.34</v>
      </c>
      <c r="F40" s="75">
        <v>0.32</v>
      </c>
      <c r="G40" s="75">
        <v>0.39</v>
      </c>
    </row>
    <row r="41" s="62" customFormat="1" ht="16.5" outlineLevel="1" spans="1:7">
      <c r="A41" s="73" t="s">
        <v>47</v>
      </c>
      <c r="B41" s="74">
        <v>207032.37</v>
      </c>
      <c r="C41" s="75">
        <v>0.3</v>
      </c>
      <c r="D41" s="75">
        <v>0.38</v>
      </c>
      <c r="E41" s="74">
        <v>1106655.78</v>
      </c>
      <c r="F41" s="75">
        <v>0.3</v>
      </c>
      <c r="G41" s="75">
        <v>0.38</v>
      </c>
    </row>
    <row r="42" s="62" customFormat="1" ht="16.5" outlineLevel="1" spans="1:7">
      <c r="A42" s="73" t="s">
        <v>48</v>
      </c>
      <c r="B42" s="74">
        <v>0</v>
      </c>
      <c r="C42" s="75" t="e">
        <v>#DIV/0!</v>
      </c>
      <c r="D42" s="75" t="e">
        <v>#DIV/0!</v>
      </c>
      <c r="E42" s="74">
        <v>0</v>
      </c>
      <c r="F42" s="75" t="e">
        <v>#DIV/0!</v>
      </c>
      <c r="G42" s="75" t="e">
        <v>#DIV/0!</v>
      </c>
    </row>
    <row r="43" s="62" customFormat="1" ht="16.5" outlineLevel="1" spans="1:7">
      <c r="A43" s="73" t="s">
        <v>49</v>
      </c>
      <c r="B43" s="74">
        <v>0</v>
      </c>
      <c r="C43" s="75" t="e">
        <v>#DIV/0!</v>
      </c>
      <c r="D43" s="75" t="e">
        <v>#DIV/0!</v>
      </c>
      <c r="E43" s="74">
        <v>0</v>
      </c>
      <c r="F43" s="75" t="e">
        <v>#DIV/0!</v>
      </c>
      <c r="G43" s="75" t="e">
        <v>#DIV/0!</v>
      </c>
    </row>
    <row r="44" s="62" customFormat="1" ht="16.5" outlineLevel="1" spans="1:7">
      <c r="A44" s="73" t="s">
        <v>50</v>
      </c>
      <c r="B44" s="74">
        <v>0</v>
      </c>
      <c r="C44" s="75" t="e">
        <v>#DIV/0!</v>
      </c>
      <c r="D44" s="75" t="e">
        <v>#DIV/0!</v>
      </c>
      <c r="E44" s="74">
        <v>0</v>
      </c>
      <c r="F44" s="75" t="e">
        <v>#DIV/0!</v>
      </c>
      <c r="G44" s="75" t="e">
        <v>#DIV/0!</v>
      </c>
    </row>
    <row r="45" s="62" customFormat="1" ht="16.5" outlineLevel="1" spans="1:7">
      <c r="A45" s="73" t="s">
        <v>51</v>
      </c>
      <c r="B45" s="74">
        <v>64096.35</v>
      </c>
      <c r="C45" s="75">
        <v>0.37</v>
      </c>
      <c r="D45" s="75">
        <v>0.39</v>
      </c>
      <c r="E45" s="74">
        <v>390812.56</v>
      </c>
      <c r="F45" s="75">
        <v>0.37</v>
      </c>
      <c r="G45" s="75">
        <v>0.41</v>
      </c>
    </row>
    <row r="46" s="62" customFormat="1" ht="16.5" outlineLevel="1" spans="1:7">
      <c r="A46" s="73" t="s">
        <v>52</v>
      </c>
      <c r="B46" s="74">
        <v>752</v>
      </c>
      <c r="C46" s="75">
        <v>0.31</v>
      </c>
      <c r="D46" s="75">
        <v>0.4</v>
      </c>
      <c r="E46" s="74">
        <v>752</v>
      </c>
      <c r="F46" s="75">
        <v>0.31</v>
      </c>
      <c r="G46" s="75">
        <v>0.4</v>
      </c>
    </row>
    <row r="47" s="62" customFormat="1" ht="16.5" spans="1:7">
      <c r="A47" s="73" t="s">
        <v>53</v>
      </c>
      <c r="B47" s="74">
        <v>372073.29</v>
      </c>
      <c r="C47" s="75">
        <v>0.43</v>
      </c>
      <c r="D47" s="75">
        <v>0.52</v>
      </c>
      <c r="E47" s="74">
        <v>1977347.73</v>
      </c>
      <c r="F47" s="75">
        <v>0.42</v>
      </c>
      <c r="G47" s="75">
        <v>0.52</v>
      </c>
    </row>
    <row r="48" s="62" customFormat="1" ht="16.5" spans="1:7">
      <c r="A48" s="73" t="s">
        <v>54</v>
      </c>
      <c r="B48" s="74">
        <v>160127.07</v>
      </c>
      <c r="C48" s="75">
        <v>0.18</v>
      </c>
      <c r="D48" s="75">
        <v>0.22</v>
      </c>
      <c r="E48" s="74">
        <v>928222.57</v>
      </c>
      <c r="F48" s="75">
        <v>0.2</v>
      </c>
      <c r="G48" s="75">
        <v>0.24</v>
      </c>
    </row>
    <row r="49" s="62" customFormat="1" ht="16.5" outlineLevel="1" spans="1:7">
      <c r="A49" s="73" t="s">
        <v>55</v>
      </c>
      <c r="B49" s="74">
        <v>132461.52</v>
      </c>
      <c r="C49" s="75">
        <v>0.15</v>
      </c>
      <c r="D49" s="75">
        <v>0.19</v>
      </c>
      <c r="E49" s="74">
        <v>776919.17</v>
      </c>
      <c r="F49" s="75">
        <v>0.16</v>
      </c>
      <c r="G49" s="75">
        <v>0.2</v>
      </c>
    </row>
    <row r="50" s="62" customFormat="1" ht="16.5" outlineLevel="1" spans="1:7">
      <c r="A50" s="73" t="s">
        <v>56</v>
      </c>
      <c r="B50" s="74">
        <v>-12000</v>
      </c>
      <c r="C50" s="75">
        <v>-0.01</v>
      </c>
      <c r="D50" s="75">
        <v>-0.02</v>
      </c>
      <c r="E50" s="74">
        <v>6300</v>
      </c>
      <c r="F50" s="75">
        <v>0</v>
      </c>
      <c r="G50" s="75">
        <v>0</v>
      </c>
    </row>
    <row r="51" s="62" customFormat="1" ht="16.5" outlineLevel="1" spans="1:7">
      <c r="A51" s="73" t="s">
        <v>57</v>
      </c>
      <c r="B51" s="74">
        <v>21524.75</v>
      </c>
      <c r="C51" s="75">
        <v>0.02</v>
      </c>
      <c r="D51" s="75">
        <v>0.03</v>
      </c>
      <c r="E51" s="74">
        <v>39093.31</v>
      </c>
      <c r="F51" s="75">
        <v>0.01</v>
      </c>
      <c r="G51" s="75">
        <v>0.01</v>
      </c>
    </row>
    <row r="52" s="62" customFormat="1" ht="16.5" outlineLevel="1" spans="1:7">
      <c r="A52" s="73" t="s">
        <v>58</v>
      </c>
      <c r="B52" s="74">
        <v>0</v>
      </c>
      <c r="C52" s="75">
        <v>0</v>
      </c>
      <c r="D52" s="75">
        <v>0</v>
      </c>
      <c r="E52" s="74">
        <v>2853.11</v>
      </c>
      <c r="F52" s="75">
        <v>0</v>
      </c>
      <c r="G52" s="75">
        <v>0</v>
      </c>
    </row>
    <row r="53" s="62" customFormat="1" ht="16.5" outlineLevel="1" spans="1:7">
      <c r="A53" s="73" t="s">
        <v>59</v>
      </c>
      <c r="B53" s="74">
        <v>6900</v>
      </c>
      <c r="C53" s="75">
        <v>0.01</v>
      </c>
      <c r="D53" s="75">
        <v>0.01</v>
      </c>
      <c r="E53" s="74">
        <v>31783.92</v>
      </c>
      <c r="F53" s="75">
        <v>0.01</v>
      </c>
      <c r="G53" s="75">
        <v>0.01</v>
      </c>
    </row>
    <row r="54" s="62" customFormat="1" ht="16.5" outlineLevel="1" spans="1:7">
      <c r="A54" s="73" t="s">
        <v>60</v>
      </c>
      <c r="B54" s="74">
        <v>10096</v>
      </c>
      <c r="C54" s="75">
        <v>0.01</v>
      </c>
      <c r="D54" s="75">
        <v>0.01</v>
      </c>
      <c r="E54" s="74">
        <v>51001.92</v>
      </c>
      <c r="F54" s="75">
        <v>0.01</v>
      </c>
      <c r="G54" s="75">
        <v>0.01</v>
      </c>
    </row>
    <row r="55" s="62" customFormat="1" ht="16.5" outlineLevel="1" spans="1:7">
      <c r="A55" s="73" t="s">
        <v>61</v>
      </c>
      <c r="B55" s="74">
        <v>0</v>
      </c>
      <c r="C55" s="75">
        <v>0</v>
      </c>
      <c r="D55" s="75">
        <v>0</v>
      </c>
      <c r="E55" s="74">
        <v>6451</v>
      </c>
      <c r="F55" s="75">
        <v>0</v>
      </c>
      <c r="G55" s="75">
        <v>0</v>
      </c>
    </row>
    <row r="56" s="62" customFormat="1" ht="16.5" outlineLevel="1" spans="1:7">
      <c r="A56" s="73" t="s">
        <v>62</v>
      </c>
      <c r="B56" s="74">
        <v>1144.8</v>
      </c>
      <c r="C56" s="75">
        <v>0</v>
      </c>
      <c r="D56" s="75">
        <v>0</v>
      </c>
      <c r="E56" s="74">
        <v>13820.14</v>
      </c>
      <c r="F56" s="75">
        <v>0</v>
      </c>
      <c r="G56" s="75">
        <v>0</v>
      </c>
    </row>
    <row r="57" s="62" customFormat="1" ht="16.5" outlineLevel="1" spans="1:7">
      <c r="A57" s="73" t="s">
        <v>63</v>
      </c>
      <c r="B57" s="74">
        <v>0</v>
      </c>
      <c r="C57" s="75">
        <v>0</v>
      </c>
      <c r="D57" s="75">
        <v>0</v>
      </c>
      <c r="E57" s="74">
        <v>0</v>
      </c>
      <c r="F57" s="75">
        <v>0</v>
      </c>
      <c r="G57" s="75">
        <v>0</v>
      </c>
    </row>
    <row r="58" s="62" customFormat="1" ht="16.5" outlineLevel="1" spans="1:7">
      <c r="A58" s="73" t="s">
        <v>64</v>
      </c>
      <c r="B58" s="77">
        <v>0</v>
      </c>
      <c r="C58" s="78">
        <v>0</v>
      </c>
      <c r="D58" s="75">
        <v>0</v>
      </c>
      <c r="E58" s="74">
        <v>0</v>
      </c>
      <c r="F58" s="75">
        <v>0</v>
      </c>
      <c r="G58" s="75">
        <v>0</v>
      </c>
    </row>
    <row r="59" s="62" customFormat="1" ht="16.5" outlineLevel="1" spans="1:7">
      <c r="A59" s="73" t="s">
        <v>65</v>
      </c>
      <c r="B59" s="77">
        <v>0</v>
      </c>
      <c r="C59" s="78">
        <v>0</v>
      </c>
      <c r="D59" s="75">
        <v>0</v>
      </c>
      <c r="E59" s="74">
        <v>0</v>
      </c>
      <c r="F59" s="75">
        <v>0</v>
      </c>
      <c r="G59" s="75">
        <v>0</v>
      </c>
    </row>
    <row r="60" s="62" customFormat="1" ht="16.5" outlineLevel="1" spans="1:7">
      <c r="A60" s="73" t="s">
        <v>66</v>
      </c>
      <c r="B60" s="77">
        <v>0</v>
      </c>
      <c r="C60" s="78">
        <v>0</v>
      </c>
      <c r="D60" s="75">
        <v>0</v>
      </c>
      <c r="E60" s="74">
        <v>0</v>
      </c>
      <c r="F60" s="75">
        <v>0</v>
      </c>
      <c r="G60" s="75">
        <v>0</v>
      </c>
    </row>
    <row r="61" s="62" customFormat="1" ht="16.5" outlineLevel="1" spans="1:7">
      <c r="A61" s="73"/>
      <c r="B61" s="77"/>
      <c r="C61" s="78"/>
      <c r="D61" s="75"/>
      <c r="E61" s="74"/>
      <c r="F61" s="75"/>
      <c r="G61" s="75"/>
    </row>
    <row r="62" s="62" customFormat="1" ht="16.5" spans="1:7">
      <c r="A62" s="73" t="s">
        <v>67</v>
      </c>
      <c r="B62" s="74">
        <v>13706.86</v>
      </c>
      <c r="C62" s="75">
        <v>0.02</v>
      </c>
      <c r="D62" s="75">
        <v>0.02</v>
      </c>
      <c r="E62" s="74">
        <v>49302.29</v>
      </c>
      <c r="F62" s="75">
        <v>0.01</v>
      </c>
      <c r="G62" s="75">
        <v>0.01</v>
      </c>
    </row>
    <row r="63" s="62" customFormat="1" ht="16.5" outlineLevel="1" spans="1:7">
      <c r="A63" s="73" t="s">
        <v>68</v>
      </c>
      <c r="B63" s="74">
        <v>294</v>
      </c>
      <c r="C63" s="75">
        <v>0</v>
      </c>
      <c r="D63" s="75">
        <v>0</v>
      </c>
      <c r="E63" s="74">
        <v>1589</v>
      </c>
      <c r="F63" s="75">
        <v>0</v>
      </c>
      <c r="G63" s="75">
        <v>0</v>
      </c>
    </row>
    <row r="64" s="62" customFormat="1" ht="16.5" outlineLevel="1" spans="1:7">
      <c r="A64" s="73" t="s">
        <v>69</v>
      </c>
      <c r="B64" s="74">
        <v>13412.86</v>
      </c>
      <c r="C64" s="75">
        <v>0.02</v>
      </c>
      <c r="D64" s="75">
        <v>0.02</v>
      </c>
      <c r="E64" s="74">
        <v>47713.29</v>
      </c>
      <c r="F64" s="75">
        <v>0.01</v>
      </c>
      <c r="G64" s="75">
        <v>0.01</v>
      </c>
    </row>
    <row r="65" s="62" customFormat="1" ht="16.5" outlineLevel="1" spans="1:7">
      <c r="A65" s="79"/>
      <c r="B65" s="77"/>
      <c r="C65" s="75">
        <v>0</v>
      </c>
      <c r="D65" s="75">
        <v>0</v>
      </c>
      <c r="E65" s="74"/>
      <c r="F65" s="75">
        <v>0</v>
      </c>
      <c r="G65" s="75">
        <v>0</v>
      </c>
    </row>
    <row r="66" s="62" customFormat="1" ht="16.5" spans="1:7">
      <c r="A66" s="73" t="s">
        <v>70</v>
      </c>
      <c r="B66" s="74">
        <v>8516.39</v>
      </c>
      <c r="C66" s="75">
        <v>0.01</v>
      </c>
      <c r="D66" s="75">
        <v>0.01</v>
      </c>
      <c r="E66" s="74">
        <v>55566.93</v>
      </c>
      <c r="F66" s="75">
        <v>0.01</v>
      </c>
      <c r="G66" s="75">
        <v>0.01</v>
      </c>
    </row>
    <row r="67" s="62" customFormat="1" ht="16.5" outlineLevel="1" spans="1:7">
      <c r="A67" s="73" t="s">
        <v>71</v>
      </c>
      <c r="B67" s="74">
        <v>8135.59</v>
      </c>
      <c r="C67" s="75">
        <v>0.01</v>
      </c>
      <c r="D67" s="75">
        <v>0.01</v>
      </c>
      <c r="E67" s="74">
        <v>48013.3</v>
      </c>
      <c r="F67" s="75">
        <v>0.01</v>
      </c>
      <c r="G67" s="75">
        <v>0.01</v>
      </c>
    </row>
    <row r="68" s="62" customFormat="1" ht="16.5" outlineLevel="1" spans="1:7">
      <c r="A68" s="73" t="s">
        <v>72</v>
      </c>
      <c r="B68" s="74">
        <v>380.8</v>
      </c>
      <c r="C68" s="75">
        <v>0</v>
      </c>
      <c r="D68" s="75">
        <v>0</v>
      </c>
      <c r="E68" s="74">
        <v>7553.63</v>
      </c>
      <c r="F68" s="75">
        <v>0</v>
      </c>
      <c r="G68" s="75">
        <v>0</v>
      </c>
    </row>
    <row r="69" s="62" customFormat="1" ht="16.5" outlineLevel="1" spans="1:7">
      <c r="A69" s="79"/>
      <c r="B69" s="77"/>
      <c r="C69" s="75">
        <v>0</v>
      </c>
      <c r="D69" s="75">
        <v>0</v>
      </c>
      <c r="E69" s="74"/>
      <c r="F69" s="75">
        <v>0</v>
      </c>
      <c r="G69" s="75">
        <v>0</v>
      </c>
    </row>
    <row r="70" s="62" customFormat="1" ht="16.5" spans="1:7">
      <c r="A70" s="73" t="s">
        <v>73</v>
      </c>
      <c r="B70" s="74">
        <v>140895</v>
      </c>
      <c r="C70" s="75">
        <v>0.16</v>
      </c>
      <c r="D70" s="75">
        <v>0.2</v>
      </c>
      <c r="E70" s="74">
        <v>637939.36</v>
      </c>
      <c r="F70" s="75">
        <v>0.13</v>
      </c>
      <c r="G70" s="75">
        <v>0.17</v>
      </c>
    </row>
    <row r="71" s="62" customFormat="1" ht="16.5" outlineLevel="1" spans="1:7">
      <c r="A71" s="73" t="s">
        <v>74</v>
      </c>
      <c r="B71" s="74">
        <v>120520</v>
      </c>
      <c r="C71" s="75">
        <v>0.14</v>
      </c>
      <c r="D71" s="75">
        <v>0.17</v>
      </c>
      <c r="E71" s="74">
        <v>547030.01</v>
      </c>
      <c r="F71" s="75">
        <v>0.12</v>
      </c>
      <c r="G71" s="75">
        <v>0.14</v>
      </c>
    </row>
    <row r="72" s="62" customFormat="1" ht="16.5" outlineLevel="1" spans="1:7">
      <c r="A72" s="73" t="s">
        <v>75</v>
      </c>
      <c r="B72" s="74">
        <v>0</v>
      </c>
      <c r="C72" s="75">
        <v>0</v>
      </c>
      <c r="D72" s="75">
        <v>0</v>
      </c>
      <c r="E72" s="74">
        <v>0</v>
      </c>
      <c r="F72" s="75">
        <v>0</v>
      </c>
      <c r="G72" s="75">
        <v>0</v>
      </c>
    </row>
    <row r="73" s="62" customFormat="1" ht="16.5" outlineLevel="1" spans="1:7">
      <c r="A73" s="73" t="s">
        <v>76</v>
      </c>
      <c r="B73" s="74">
        <v>15720</v>
      </c>
      <c r="C73" s="75">
        <v>0.02</v>
      </c>
      <c r="D73" s="75">
        <v>0.02</v>
      </c>
      <c r="E73" s="74">
        <v>70479.35</v>
      </c>
      <c r="F73" s="75">
        <v>0.01</v>
      </c>
      <c r="G73" s="75">
        <v>0.02</v>
      </c>
    </row>
    <row r="74" s="62" customFormat="1" ht="16.5" outlineLevel="1" spans="1:7">
      <c r="A74" s="73" t="s">
        <v>77</v>
      </c>
      <c r="B74" s="74">
        <v>4655</v>
      </c>
      <c r="C74" s="75">
        <v>0.01</v>
      </c>
      <c r="D74" s="75">
        <v>0.01</v>
      </c>
      <c r="E74" s="74">
        <v>20430</v>
      </c>
      <c r="F74" s="75">
        <v>0</v>
      </c>
      <c r="G74" s="75">
        <v>0.01</v>
      </c>
    </row>
    <row r="75" s="62" customFormat="1" ht="16.5" outlineLevel="1" spans="1:7">
      <c r="A75" s="73" t="s">
        <v>78</v>
      </c>
      <c r="B75" s="74">
        <v>0</v>
      </c>
      <c r="C75" s="75">
        <v>0</v>
      </c>
      <c r="D75" s="75">
        <v>0</v>
      </c>
      <c r="E75" s="74">
        <v>0</v>
      </c>
      <c r="F75" s="75">
        <v>0</v>
      </c>
      <c r="G75" s="75">
        <v>0</v>
      </c>
    </row>
    <row r="76" s="62" customFormat="1" ht="16.5" outlineLevel="1" spans="1:7">
      <c r="A76" s="79"/>
      <c r="B76" s="77"/>
      <c r="C76" s="75">
        <v>0</v>
      </c>
      <c r="D76" s="75">
        <v>0</v>
      </c>
      <c r="E76" s="74"/>
      <c r="F76" s="75">
        <v>0</v>
      </c>
      <c r="G76" s="75">
        <v>0</v>
      </c>
    </row>
    <row r="77" s="62" customFormat="1" ht="16.5" spans="1:7">
      <c r="A77" s="73" t="s">
        <v>79</v>
      </c>
      <c r="B77" s="74">
        <v>48827.97</v>
      </c>
      <c r="C77" s="75">
        <v>0.06</v>
      </c>
      <c r="D77" s="75">
        <v>0.07</v>
      </c>
      <c r="E77" s="74">
        <v>306316.58</v>
      </c>
      <c r="F77" s="75">
        <v>0.06</v>
      </c>
      <c r="G77" s="75">
        <v>0.08</v>
      </c>
    </row>
    <row r="78" s="62" customFormat="1" ht="16.5" outlineLevel="1" spans="1:7">
      <c r="A78" s="73" t="s">
        <v>80</v>
      </c>
      <c r="B78" s="74">
        <v>100</v>
      </c>
      <c r="C78" s="75">
        <v>0</v>
      </c>
      <c r="D78" s="75">
        <v>0</v>
      </c>
      <c r="E78" s="74">
        <v>6517.88</v>
      </c>
      <c r="F78" s="75">
        <v>0</v>
      </c>
      <c r="G78" s="75">
        <v>0</v>
      </c>
    </row>
    <row r="79" s="62" customFormat="1" ht="16.5" outlineLevel="1" spans="1:7">
      <c r="A79" s="73" t="s">
        <v>81</v>
      </c>
      <c r="B79" s="74">
        <v>0</v>
      </c>
      <c r="C79" s="75">
        <v>0</v>
      </c>
      <c r="D79" s="75">
        <v>0</v>
      </c>
      <c r="E79" s="74">
        <v>9603.8</v>
      </c>
      <c r="F79" s="75">
        <v>0</v>
      </c>
      <c r="G79" s="75">
        <v>0</v>
      </c>
    </row>
    <row r="80" s="62" customFormat="1" ht="16.5" outlineLevel="1" spans="1:7">
      <c r="A80" s="73" t="s">
        <v>82</v>
      </c>
      <c r="B80" s="74">
        <v>6104.12</v>
      </c>
      <c r="C80" s="75">
        <v>0.01</v>
      </c>
      <c r="D80" s="75">
        <v>0.01</v>
      </c>
      <c r="E80" s="74">
        <v>76874.12</v>
      </c>
      <c r="F80" s="75">
        <v>0.02</v>
      </c>
      <c r="G80" s="75">
        <v>0.02</v>
      </c>
    </row>
    <row r="81" s="62" customFormat="1" ht="16.5" outlineLevel="1" spans="1:7">
      <c r="A81" s="73" t="s">
        <v>83</v>
      </c>
      <c r="B81" s="74">
        <v>0</v>
      </c>
      <c r="C81" s="75">
        <v>0</v>
      </c>
      <c r="D81" s="75">
        <v>0</v>
      </c>
      <c r="E81" s="74">
        <v>144.4</v>
      </c>
      <c r="F81" s="75">
        <v>0</v>
      </c>
      <c r="G81" s="75">
        <v>0</v>
      </c>
    </row>
    <row r="82" s="62" customFormat="1" ht="16.5" outlineLevel="1" spans="1:7">
      <c r="A82" s="73" t="s">
        <v>84</v>
      </c>
      <c r="B82" s="74">
        <v>816</v>
      </c>
      <c r="C82" s="75">
        <v>0</v>
      </c>
      <c r="D82" s="75">
        <v>0</v>
      </c>
      <c r="E82" s="74">
        <v>6201.74</v>
      </c>
      <c r="F82" s="75">
        <v>0</v>
      </c>
      <c r="G82" s="75">
        <v>0</v>
      </c>
    </row>
    <row r="83" s="62" customFormat="1" ht="16.5" outlineLevel="1" spans="1:7">
      <c r="A83" s="73" t="s">
        <v>85</v>
      </c>
      <c r="B83" s="74">
        <v>0</v>
      </c>
      <c r="C83" s="75">
        <v>0</v>
      </c>
      <c r="D83" s="75">
        <v>0</v>
      </c>
      <c r="E83" s="74">
        <v>2496</v>
      </c>
      <c r="F83" s="75">
        <v>0</v>
      </c>
      <c r="G83" s="75">
        <v>0</v>
      </c>
    </row>
    <row r="84" s="62" customFormat="1" ht="16.5" outlineLevel="1" spans="1:7">
      <c r="A84" s="73" t="s">
        <v>86</v>
      </c>
      <c r="B84" s="74">
        <v>0</v>
      </c>
      <c r="C84" s="75">
        <v>0</v>
      </c>
      <c r="D84" s="75">
        <v>0</v>
      </c>
      <c r="E84" s="74">
        <v>111.78</v>
      </c>
      <c r="F84" s="75">
        <v>0</v>
      </c>
      <c r="G84" s="75">
        <v>0</v>
      </c>
    </row>
    <row r="85" s="62" customFormat="1" ht="16.5" outlineLevel="1" spans="1:7">
      <c r="A85" s="73" t="s">
        <v>87</v>
      </c>
      <c r="B85" s="74">
        <v>1690.6</v>
      </c>
      <c r="C85" s="75">
        <v>0</v>
      </c>
      <c r="D85" s="75">
        <v>0</v>
      </c>
      <c r="E85" s="74">
        <v>24379.35</v>
      </c>
      <c r="F85" s="75">
        <v>0.01</v>
      </c>
      <c r="G85" s="75">
        <v>0.01</v>
      </c>
    </row>
    <row r="86" s="62" customFormat="1" ht="16.5" outlineLevel="1" spans="1:7">
      <c r="A86" s="73" t="s">
        <v>88</v>
      </c>
      <c r="B86" s="74">
        <v>28825.81</v>
      </c>
      <c r="C86" s="75">
        <v>0.03</v>
      </c>
      <c r="D86" s="75">
        <v>0.04</v>
      </c>
      <c r="E86" s="74">
        <v>154588.09</v>
      </c>
      <c r="F86" s="75">
        <v>0.03</v>
      </c>
      <c r="G86" s="75">
        <v>0.04</v>
      </c>
    </row>
    <row r="87" s="62" customFormat="1" ht="16.5" outlineLevel="1" spans="1:7">
      <c r="A87" s="73" t="s">
        <v>89</v>
      </c>
      <c r="B87" s="74">
        <v>0</v>
      </c>
      <c r="C87" s="75">
        <v>0</v>
      </c>
      <c r="D87" s="75">
        <v>0</v>
      </c>
      <c r="E87" s="74">
        <v>0</v>
      </c>
      <c r="F87" s="75">
        <v>0</v>
      </c>
      <c r="G87" s="75">
        <v>0</v>
      </c>
    </row>
    <row r="88" s="62" customFormat="1" ht="16.5" outlineLevel="1" spans="1:7">
      <c r="A88" s="73" t="s">
        <v>90</v>
      </c>
      <c r="B88" s="74">
        <v>0</v>
      </c>
      <c r="C88" s="75">
        <v>0</v>
      </c>
      <c r="D88" s="75">
        <v>0</v>
      </c>
      <c r="E88" s="74">
        <v>0</v>
      </c>
      <c r="F88" s="75">
        <v>0</v>
      </c>
      <c r="G88" s="75">
        <v>0</v>
      </c>
    </row>
    <row r="89" s="62" customFormat="1" ht="16.5" outlineLevel="1" spans="1:7">
      <c r="A89" s="73" t="s">
        <v>91</v>
      </c>
      <c r="B89" s="74">
        <v>0</v>
      </c>
      <c r="C89" s="75">
        <v>0</v>
      </c>
      <c r="D89" s="75">
        <v>0</v>
      </c>
      <c r="E89" s="74">
        <v>0</v>
      </c>
      <c r="F89" s="75">
        <v>0</v>
      </c>
      <c r="G89" s="75">
        <v>0</v>
      </c>
    </row>
    <row r="90" s="62" customFormat="1" ht="16.5" outlineLevel="1" spans="1:7">
      <c r="A90" s="73" t="s">
        <v>92</v>
      </c>
      <c r="B90" s="74">
        <v>0</v>
      </c>
      <c r="C90" s="75">
        <v>0</v>
      </c>
      <c r="D90" s="75">
        <v>0</v>
      </c>
      <c r="E90" s="74">
        <v>0</v>
      </c>
      <c r="F90" s="75">
        <v>0</v>
      </c>
      <c r="G90" s="75">
        <v>0</v>
      </c>
    </row>
    <row r="91" s="62" customFormat="1" ht="16.5" outlineLevel="1" spans="1:7">
      <c r="A91" s="73" t="s">
        <v>93</v>
      </c>
      <c r="B91" s="74">
        <v>0</v>
      </c>
      <c r="C91" s="75">
        <v>0</v>
      </c>
      <c r="D91" s="75">
        <v>0</v>
      </c>
      <c r="E91" s="74">
        <v>0</v>
      </c>
      <c r="F91" s="75">
        <v>0</v>
      </c>
      <c r="G91" s="75">
        <v>0</v>
      </c>
    </row>
    <row r="92" s="62" customFormat="1" ht="16.5" outlineLevel="1" spans="1:7">
      <c r="A92" s="73" t="s">
        <v>94</v>
      </c>
      <c r="B92" s="74">
        <v>2800</v>
      </c>
      <c r="C92" s="75">
        <v>0</v>
      </c>
      <c r="D92" s="75">
        <v>0</v>
      </c>
      <c r="E92" s="74">
        <v>11500</v>
      </c>
      <c r="F92" s="75">
        <v>0</v>
      </c>
      <c r="G92" s="75">
        <v>0</v>
      </c>
    </row>
    <row r="93" s="62" customFormat="1" ht="16.5" outlineLevel="1" spans="1:7">
      <c r="A93" s="73" t="s">
        <v>95</v>
      </c>
      <c r="B93" s="74">
        <v>0</v>
      </c>
      <c r="C93" s="75">
        <v>0</v>
      </c>
      <c r="D93" s="75">
        <v>0</v>
      </c>
      <c r="E93" s="74">
        <v>3600</v>
      </c>
      <c r="F93" s="75">
        <v>0</v>
      </c>
      <c r="G93" s="75">
        <v>0</v>
      </c>
    </row>
    <row r="94" s="62" customFormat="1" ht="16.5" outlineLevel="1" spans="1:7">
      <c r="A94" s="73" t="s">
        <v>96</v>
      </c>
      <c r="B94" s="74">
        <v>0</v>
      </c>
      <c r="C94" s="75">
        <v>0</v>
      </c>
      <c r="D94" s="75">
        <v>0</v>
      </c>
      <c r="E94" s="74">
        <v>0</v>
      </c>
      <c r="F94" s="75">
        <v>0</v>
      </c>
      <c r="G94" s="75">
        <v>0</v>
      </c>
    </row>
    <row r="95" s="62" customFormat="1" ht="16.5" outlineLevel="1" spans="1:7">
      <c r="A95" s="73" t="s">
        <v>97</v>
      </c>
      <c r="B95" s="74">
        <v>7333</v>
      </c>
      <c r="C95" s="75">
        <v>0.01</v>
      </c>
      <c r="D95" s="75">
        <v>0.01</v>
      </c>
      <c r="E95" s="74">
        <v>7573</v>
      </c>
      <c r="F95" s="75">
        <v>0</v>
      </c>
      <c r="G95" s="75">
        <v>0</v>
      </c>
    </row>
    <row r="96" s="62" customFormat="1" ht="16.5" outlineLevel="1" spans="1:7">
      <c r="A96" s="73" t="s">
        <v>98</v>
      </c>
      <c r="B96" s="74">
        <v>1158.44</v>
      </c>
      <c r="C96" s="75">
        <v>0</v>
      </c>
      <c r="D96" s="75">
        <v>0</v>
      </c>
      <c r="E96" s="74">
        <v>2726.42</v>
      </c>
      <c r="F96" s="75">
        <v>0</v>
      </c>
      <c r="G96" s="75">
        <v>0</v>
      </c>
    </row>
    <row r="97" s="62" customFormat="1" ht="16.5" outlineLevel="1" spans="1:7">
      <c r="A97" s="73" t="s">
        <v>99</v>
      </c>
      <c r="B97" s="74">
        <v>0</v>
      </c>
      <c r="C97" s="75">
        <v>0</v>
      </c>
      <c r="D97" s="75">
        <v>0</v>
      </c>
      <c r="E97" s="74">
        <v>0</v>
      </c>
      <c r="F97" s="75">
        <v>0</v>
      </c>
      <c r="G97" s="75">
        <v>0</v>
      </c>
    </row>
    <row r="98" s="62" customFormat="1" ht="16.5" outlineLevel="1" spans="1:7">
      <c r="A98" s="73" t="s">
        <v>100</v>
      </c>
      <c r="B98" s="74">
        <v>0</v>
      </c>
      <c r="C98" s="75">
        <v>0</v>
      </c>
      <c r="D98" s="75">
        <v>0</v>
      </c>
      <c r="E98" s="74">
        <v>0</v>
      </c>
      <c r="F98" s="75">
        <v>0</v>
      </c>
      <c r="G98" s="75">
        <v>0</v>
      </c>
    </row>
    <row r="99" s="62" customFormat="1" ht="16.5" outlineLevel="1" spans="1:7">
      <c r="A99" s="79"/>
      <c r="B99" s="80"/>
      <c r="C99" s="81">
        <v>0</v>
      </c>
      <c r="D99" s="75">
        <v>0</v>
      </c>
      <c r="E99" s="74"/>
      <c r="F99" s="75">
        <v>0</v>
      </c>
      <c r="G99" s="75">
        <v>0</v>
      </c>
    </row>
    <row r="100" s="62" customFormat="1" ht="16.5" spans="1:7">
      <c r="A100" s="73" t="s">
        <v>101</v>
      </c>
      <c r="B100" s="74">
        <v>0</v>
      </c>
      <c r="C100" s="75">
        <v>0</v>
      </c>
      <c r="D100" s="75">
        <v>0</v>
      </c>
      <c r="E100" s="74">
        <v>0</v>
      </c>
      <c r="F100" s="75">
        <v>0</v>
      </c>
      <c r="G100" s="75">
        <v>0</v>
      </c>
    </row>
    <row r="101" s="62" customFormat="1" ht="16.5" spans="1:7">
      <c r="A101" s="73" t="s">
        <v>102</v>
      </c>
      <c r="B101" s="74">
        <v>8</v>
      </c>
      <c r="C101" s="75">
        <v>0</v>
      </c>
      <c r="D101" s="75">
        <v>0</v>
      </c>
      <c r="E101" s="74">
        <v>8.7</v>
      </c>
      <c r="F101" s="75">
        <v>0</v>
      </c>
      <c r="G101" s="75">
        <v>0</v>
      </c>
    </row>
    <row r="102" s="62" customFormat="1" ht="16.5" spans="1:7">
      <c r="A102" s="73" t="s">
        <v>103</v>
      </c>
      <c r="B102" s="74">
        <v>70345.1</v>
      </c>
      <c r="C102" s="75">
        <v>0.08</v>
      </c>
      <c r="D102" s="75">
        <v>0.1</v>
      </c>
      <c r="E102" s="74">
        <v>345673.06</v>
      </c>
      <c r="F102" s="75">
        <v>0.07</v>
      </c>
      <c r="G102" s="75">
        <v>0.09</v>
      </c>
    </row>
    <row r="103" s="62" customFormat="1" ht="16.5" spans="1:7">
      <c r="A103" s="73" t="s">
        <v>104</v>
      </c>
      <c r="B103" s="74"/>
      <c r="C103" s="75">
        <v>0</v>
      </c>
      <c r="D103" s="75">
        <v>0</v>
      </c>
      <c r="E103" s="74"/>
      <c r="F103" s="75">
        <v>0</v>
      </c>
      <c r="G103" s="75">
        <v>0</v>
      </c>
    </row>
    <row r="104" s="62" customFormat="1" ht="16.5" spans="1:7">
      <c r="A104" s="73" t="s">
        <v>105</v>
      </c>
      <c r="B104" s="74"/>
      <c r="C104" s="75">
        <v>0</v>
      </c>
      <c r="D104" s="75">
        <v>0</v>
      </c>
      <c r="E104" s="74"/>
      <c r="F104" s="75">
        <v>0</v>
      </c>
      <c r="G104" s="75">
        <v>0</v>
      </c>
    </row>
    <row r="105" s="62" customFormat="1" ht="16.5" spans="1:7">
      <c r="A105" s="73" t="s">
        <v>106</v>
      </c>
      <c r="B105" s="74">
        <v>0</v>
      </c>
      <c r="C105" s="75">
        <v>0</v>
      </c>
      <c r="D105" s="75">
        <v>0</v>
      </c>
      <c r="E105" s="74">
        <v>0</v>
      </c>
      <c r="F105" s="75">
        <v>0</v>
      </c>
      <c r="G105" s="75">
        <v>0</v>
      </c>
    </row>
    <row r="106" s="62" customFormat="1" ht="16.5" spans="1:7">
      <c r="A106" s="73" t="s">
        <v>107</v>
      </c>
      <c r="B106" s="74"/>
      <c r="C106" s="75">
        <v>0</v>
      </c>
      <c r="D106" s="75">
        <v>0</v>
      </c>
      <c r="E106" s="74"/>
      <c r="F106" s="75">
        <v>0</v>
      </c>
      <c r="G106" s="75">
        <v>0</v>
      </c>
    </row>
    <row r="107" s="62" customFormat="1" ht="16.5" spans="1:7">
      <c r="A107" s="73" t="s">
        <v>108</v>
      </c>
      <c r="B107" s="74">
        <v>500</v>
      </c>
      <c r="C107" s="75">
        <v>0</v>
      </c>
      <c r="D107" s="75">
        <v>0</v>
      </c>
      <c r="E107" s="74">
        <v>500.53</v>
      </c>
      <c r="F107" s="75">
        <v>0</v>
      </c>
      <c r="G107" s="75">
        <v>0</v>
      </c>
    </row>
    <row r="108" s="62" customFormat="1" ht="16.5" spans="1:7">
      <c r="A108" s="73" t="s">
        <v>109</v>
      </c>
      <c r="B108" s="74">
        <v>0</v>
      </c>
      <c r="C108" s="75">
        <v>0</v>
      </c>
      <c r="D108" s="75">
        <v>0</v>
      </c>
      <c r="E108" s="74">
        <v>0</v>
      </c>
      <c r="F108" s="75">
        <v>0</v>
      </c>
      <c r="G108" s="75">
        <v>0</v>
      </c>
    </row>
    <row r="109" s="62" customFormat="1" ht="16.5" spans="1:7">
      <c r="A109" s="73" t="s">
        <v>110</v>
      </c>
      <c r="B109" s="74"/>
      <c r="C109" s="75">
        <v>0</v>
      </c>
      <c r="D109" s="75">
        <v>0</v>
      </c>
      <c r="E109" s="74"/>
      <c r="F109" s="75">
        <v>0</v>
      </c>
      <c r="G109" s="75">
        <v>0</v>
      </c>
    </row>
    <row r="110" s="62" customFormat="1" ht="16.5" spans="1:7">
      <c r="A110" s="73" t="s">
        <v>111</v>
      </c>
      <c r="B110" s="74">
        <v>70845.1</v>
      </c>
      <c r="C110" s="75">
        <v>0.08</v>
      </c>
      <c r="D110" s="75">
        <v>0.1</v>
      </c>
      <c r="E110" s="74">
        <v>346173.59</v>
      </c>
      <c r="F110" s="75">
        <v>0.07</v>
      </c>
      <c r="G110" s="75">
        <v>0.09</v>
      </c>
    </row>
    <row r="111" s="62" customFormat="1" ht="16.5" spans="1:7">
      <c r="A111" s="73" t="s">
        <v>112</v>
      </c>
      <c r="B111" s="74">
        <v>0</v>
      </c>
      <c r="C111" s="75">
        <v>0</v>
      </c>
      <c r="D111" s="75">
        <v>0</v>
      </c>
      <c r="E111" s="74">
        <v>0</v>
      </c>
      <c r="F111" s="75">
        <v>0</v>
      </c>
      <c r="G111" s="75">
        <v>0</v>
      </c>
    </row>
    <row r="112" s="62" customFormat="1" ht="16.5" spans="1:7">
      <c r="A112" s="73" t="s">
        <v>113</v>
      </c>
      <c r="B112" s="74">
        <v>0</v>
      </c>
      <c r="C112" s="75">
        <v>0</v>
      </c>
      <c r="D112" s="75">
        <v>0</v>
      </c>
      <c r="E112" s="74">
        <v>0</v>
      </c>
      <c r="F112" s="75">
        <v>0</v>
      </c>
      <c r="G112" s="75">
        <v>0</v>
      </c>
    </row>
    <row r="113" s="62" customFormat="1" ht="16.5" spans="1:7">
      <c r="A113" s="73" t="s">
        <v>114</v>
      </c>
      <c r="B113" s="74">
        <v>5189.93</v>
      </c>
      <c r="C113" s="75">
        <v>0.01</v>
      </c>
      <c r="D113" s="75">
        <v>0.01</v>
      </c>
      <c r="E113" s="74">
        <v>11146.48</v>
      </c>
      <c r="F113" s="75">
        <v>0</v>
      </c>
      <c r="G113" s="75">
        <v>0</v>
      </c>
    </row>
    <row r="114" s="62" customFormat="1" ht="16.5" spans="1:7">
      <c r="A114" s="73" t="s">
        <v>115</v>
      </c>
      <c r="B114" s="74">
        <v>5189.93</v>
      </c>
      <c r="C114" s="75">
        <v>0.0059628946693875</v>
      </c>
      <c r="D114" s="75">
        <v>0.00726568436369057</v>
      </c>
      <c r="E114" s="74">
        <v>11146.48</v>
      </c>
      <c r="F114" s="75">
        <v>0.00234499288369698</v>
      </c>
      <c r="G114" s="75">
        <v>0</v>
      </c>
    </row>
    <row r="115" s="62" customFormat="1" ht="16.5" spans="1:7">
      <c r="A115" s="73" t="s">
        <v>116</v>
      </c>
      <c r="B115" s="74">
        <v>0</v>
      </c>
      <c r="C115" s="75">
        <v>0</v>
      </c>
      <c r="D115" s="75">
        <v>0</v>
      </c>
      <c r="E115" s="74">
        <v>0</v>
      </c>
      <c r="F115" s="75">
        <v>0</v>
      </c>
      <c r="G115" s="75">
        <v>0</v>
      </c>
    </row>
    <row r="116" s="62" customFormat="1" ht="16.5" spans="1:7">
      <c r="A116" s="73" t="s">
        <v>117</v>
      </c>
      <c r="B116" s="74">
        <v>62492.78</v>
      </c>
      <c r="C116" s="75">
        <v>0.07</v>
      </c>
      <c r="D116" s="75">
        <v>0.09</v>
      </c>
      <c r="E116" s="74">
        <v>244002.14</v>
      </c>
      <c r="F116" s="75">
        <v>0.05</v>
      </c>
      <c r="G116" s="75">
        <v>0.06</v>
      </c>
    </row>
    <row r="117" s="62" customFormat="1" ht="16.5" spans="1:7">
      <c r="A117" s="73" t="s">
        <v>118</v>
      </c>
      <c r="B117" s="74">
        <v>20758.23</v>
      </c>
      <c r="C117" s="75">
        <v>0.02</v>
      </c>
      <c r="D117" s="75">
        <v>0.03</v>
      </c>
      <c r="E117" s="74">
        <v>81024.07</v>
      </c>
      <c r="F117" s="75">
        <v>0.02</v>
      </c>
      <c r="G117" s="75">
        <v>0.02</v>
      </c>
    </row>
    <row r="118" s="62" customFormat="1" ht="16.5" spans="1:7">
      <c r="A118" s="73" t="s">
        <v>119</v>
      </c>
      <c r="B118" s="74">
        <v>41734.55</v>
      </c>
      <c r="C118" s="75">
        <v>0.05</v>
      </c>
      <c r="D118" s="75">
        <v>0.06</v>
      </c>
      <c r="E118" s="74">
        <v>162978.07</v>
      </c>
      <c r="F118" s="75">
        <v>0.03</v>
      </c>
      <c r="G118" s="75">
        <v>0.04</v>
      </c>
    </row>
    <row r="119" s="62" customFormat="1" ht="16.5" spans="1:7">
      <c r="A119" s="73" t="s">
        <v>120</v>
      </c>
      <c r="B119" s="74">
        <v>3162.39</v>
      </c>
      <c r="C119" s="75">
        <v>0</v>
      </c>
      <c r="D119" s="75">
        <v>0</v>
      </c>
      <c r="E119" s="74">
        <v>91024.97</v>
      </c>
      <c r="F119" s="75">
        <v>0.02</v>
      </c>
      <c r="G119" s="75">
        <v>0.02</v>
      </c>
    </row>
    <row r="120" s="62" customFormat="1" ht="16.5" spans="1:7">
      <c r="A120" s="73" t="s">
        <v>121</v>
      </c>
      <c r="B120" s="74"/>
      <c r="C120" s="75"/>
      <c r="D120" s="75"/>
      <c r="E120" s="74"/>
      <c r="F120" s="75"/>
      <c r="G120" s="75"/>
    </row>
    <row r="121" s="62" customFormat="1" ht="16.5" spans="1:7">
      <c r="A121" s="73" t="s">
        <v>122</v>
      </c>
      <c r="B121" s="74"/>
      <c r="C121" s="75"/>
      <c r="D121" s="75"/>
      <c r="E121" s="74"/>
      <c r="F121" s="75"/>
      <c r="G121" s="75"/>
    </row>
    <row r="122" s="62" customFormat="1" ht="16.5" spans="1:7">
      <c r="A122" s="73" t="s">
        <v>123</v>
      </c>
      <c r="B122" s="74"/>
      <c r="C122" s="75"/>
      <c r="D122" s="75"/>
      <c r="E122" s="74"/>
      <c r="F122" s="75"/>
      <c r="G122" s="7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91"/>
  <sheetViews>
    <sheetView topLeftCell="A35" workbookViewId="0">
      <selection activeCell="D49" sqref="D49"/>
    </sheetView>
  </sheetViews>
  <sheetFormatPr defaultColWidth="8.63333333333333" defaultRowHeight="15" customHeight="1" outlineLevelCol="6"/>
  <cols>
    <col min="1" max="1" width="36.1333333333333" style="51" customWidth="1"/>
    <col min="2" max="3" width="23" style="51" customWidth="1"/>
    <col min="4" max="4" width="41.3833333333333" style="51" customWidth="1"/>
    <col min="5" max="5" width="24.3833333333333" style="51" customWidth="1"/>
    <col min="6" max="6" width="23.7583333333333" style="51" customWidth="1"/>
    <col min="7" max="7" width="8.63333333333333" style="51" customWidth="1"/>
    <col min="8" max="16384" width="8.63333333333333" style="51"/>
  </cols>
  <sheetData>
    <row r="1" s="50" customFormat="1" ht="37.5" customHeight="1" spans="1:7">
      <c r="A1" s="52" t="s">
        <v>124</v>
      </c>
      <c r="B1" s="52"/>
      <c r="C1" s="52"/>
      <c r="D1" s="52"/>
      <c r="E1" s="52"/>
      <c r="F1" s="52"/>
      <c r="G1" s="51"/>
    </row>
    <row r="2" s="50" customFormat="1" customHeight="1" spans="1:7">
      <c r="A2" s="53"/>
      <c r="B2" s="53"/>
      <c r="C2" s="53"/>
      <c r="D2" s="53"/>
      <c r="E2" s="53"/>
      <c r="F2" s="54" t="s">
        <v>125</v>
      </c>
      <c r="G2" s="51"/>
    </row>
    <row r="3" s="50" customFormat="1" customHeight="1" spans="1:7">
      <c r="A3" s="55" t="s">
        <v>126</v>
      </c>
      <c r="B3" s="53"/>
      <c r="C3" s="53"/>
      <c r="D3" s="56">
        <v>45869</v>
      </c>
      <c r="E3" s="53"/>
      <c r="F3" s="54" t="s">
        <v>2</v>
      </c>
      <c r="G3" s="51"/>
    </row>
    <row r="4" s="50" customFormat="1" ht="15.75" customHeight="1" spans="1:7">
      <c r="A4" s="57" t="s">
        <v>127</v>
      </c>
      <c r="B4" s="57" t="s">
        <v>128</v>
      </c>
      <c r="C4" s="57" t="s">
        <v>129</v>
      </c>
      <c r="D4" s="57" t="s">
        <v>130</v>
      </c>
      <c r="E4" s="57" t="s">
        <v>128</v>
      </c>
      <c r="F4" s="57" t="s">
        <v>129</v>
      </c>
      <c r="G4" s="51"/>
    </row>
    <row r="5" s="50" customFormat="1" customHeight="1" spans="1:7">
      <c r="A5" s="58" t="s">
        <v>131</v>
      </c>
      <c r="B5" s="59"/>
      <c r="C5" s="59"/>
      <c r="D5" s="58" t="s">
        <v>132</v>
      </c>
      <c r="E5" s="59"/>
      <c r="F5" s="59"/>
      <c r="G5" s="51"/>
    </row>
    <row r="6" s="50" customFormat="1" customHeight="1" spans="1:7">
      <c r="A6" s="58" t="s">
        <v>133</v>
      </c>
      <c r="B6" s="59">
        <v>491477.16</v>
      </c>
      <c r="C6" s="59">
        <v>0</v>
      </c>
      <c r="D6" s="58" t="s">
        <v>134</v>
      </c>
      <c r="E6" s="59">
        <v>0</v>
      </c>
      <c r="F6" s="59">
        <v>0</v>
      </c>
      <c r="G6" s="51"/>
    </row>
    <row r="7" s="50" customFormat="1" customHeight="1" spans="1:7">
      <c r="A7" s="58" t="s">
        <v>135</v>
      </c>
      <c r="B7" s="59">
        <v>0</v>
      </c>
      <c r="C7" s="59">
        <v>0</v>
      </c>
      <c r="D7" s="58" t="s">
        <v>136</v>
      </c>
      <c r="E7" s="59">
        <v>0</v>
      </c>
      <c r="F7" s="59">
        <v>0</v>
      </c>
      <c r="G7" s="51"/>
    </row>
    <row r="8" s="50" customFormat="1" customHeight="1" spans="1:7">
      <c r="A8" s="58" t="s">
        <v>137</v>
      </c>
      <c r="B8" s="59">
        <v>0</v>
      </c>
      <c r="C8" s="59">
        <v>0</v>
      </c>
      <c r="D8" s="58" t="s">
        <v>138</v>
      </c>
      <c r="E8" s="59">
        <v>0</v>
      </c>
      <c r="F8" s="59">
        <v>0</v>
      </c>
      <c r="G8" s="51"/>
    </row>
    <row r="9" s="50" customFormat="1" customHeight="1" spans="1:7">
      <c r="A9" s="58" t="s">
        <v>139</v>
      </c>
      <c r="B9" s="59">
        <v>0</v>
      </c>
      <c r="C9" s="59">
        <v>0</v>
      </c>
      <c r="D9" s="58" t="s">
        <v>140</v>
      </c>
      <c r="E9" s="59">
        <v>0</v>
      </c>
      <c r="F9" s="59">
        <v>0</v>
      </c>
      <c r="G9" s="51"/>
    </row>
    <row r="10" s="50" customFormat="1" customHeight="1" spans="1:7">
      <c r="A10" s="58" t="s">
        <v>141</v>
      </c>
      <c r="B10" s="59">
        <v>83686.43</v>
      </c>
      <c r="C10" s="59">
        <v>0</v>
      </c>
      <c r="D10" s="58" t="s">
        <v>142</v>
      </c>
      <c r="E10" s="59">
        <v>61912.29</v>
      </c>
      <c r="F10" s="59">
        <v>0</v>
      </c>
      <c r="G10" s="51"/>
    </row>
    <row r="11" s="50" customFormat="1" customHeight="1" spans="1:7">
      <c r="A11" s="58" t="s">
        <v>143</v>
      </c>
      <c r="B11" s="59">
        <v>241371.45</v>
      </c>
      <c r="C11" s="59">
        <v>0</v>
      </c>
      <c r="D11" s="58" t="s">
        <v>144</v>
      </c>
      <c r="E11" s="59">
        <v>120944.61</v>
      </c>
      <c r="F11" s="59">
        <v>0</v>
      </c>
      <c r="G11" s="51"/>
    </row>
    <row r="12" s="50" customFormat="1" customHeight="1" spans="1:7">
      <c r="A12" s="58" t="s">
        <v>145</v>
      </c>
      <c r="B12" s="59">
        <v>7126.85</v>
      </c>
      <c r="C12" s="59">
        <v>0</v>
      </c>
      <c r="D12" s="58" t="s">
        <v>146</v>
      </c>
      <c r="E12" s="59">
        <v>165741.65</v>
      </c>
      <c r="F12" s="59">
        <v>0</v>
      </c>
      <c r="G12" s="51"/>
    </row>
    <row r="13" s="50" customFormat="1" customHeight="1" spans="1:7">
      <c r="A13" s="58" t="s">
        <v>147</v>
      </c>
      <c r="B13" s="59">
        <v>269867.51</v>
      </c>
      <c r="C13" s="59">
        <v>0</v>
      </c>
      <c r="D13" s="58" t="s">
        <v>148</v>
      </c>
      <c r="E13" s="59">
        <v>0</v>
      </c>
      <c r="F13" s="59">
        <v>0</v>
      </c>
      <c r="G13" s="51"/>
    </row>
    <row r="14" s="50" customFormat="1" customHeight="1" spans="1:7">
      <c r="A14" s="58" t="s">
        <v>149</v>
      </c>
      <c r="B14" s="59">
        <v>0</v>
      </c>
      <c r="C14" s="59">
        <v>0</v>
      </c>
      <c r="D14" s="58" t="s">
        <v>150</v>
      </c>
      <c r="E14" s="59">
        <v>18632.99</v>
      </c>
      <c r="F14" s="59">
        <v>0</v>
      </c>
      <c r="G14" s="51"/>
    </row>
    <row r="15" s="50" customFormat="1" customHeight="1" spans="1:7">
      <c r="A15" s="58" t="s">
        <v>151</v>
      </c>
      <c r="B15" s="59"/>
      <c r="C15" s="59"/>
      <c r="D15" s="58" t="s">
        <v>152</v>
      </c>
      <c r="E15" s="59">
        <v>0</v>
      </c>
      <c r="F15" s="59">
        <v>0</v>
      </c>
      <c r="G15" s="51"/>
    </row>
    <row r="16" s="50" customFormat="1" customHeight="1" spans="1:7">
      <c r="A16" s="58" t="s">
        <v>153</v>
      </c>
      <c r="B16" s="59">
        <v>0</v>
      </c>
      <c r="C16" s="59">
        <v>0</v>
      </c>
      <c r="D16" s="58" t="s">
        <v>154</v>
      </c>
      <c r="E16" s="59"/>
      <c r="F16" s="59"/>
      <c r="G16" s="51"/>
    </row>
    <row r="17" s="50" customFormat="1" customHeight="1" spans="1:7">
      <c r="A17" s="58"/>
      <c r="B17" s="59"/>
      <c r="C17" s="59"/>
      <c r="D17" s="58" t="s">
        <v>155</v>
      </c>
      <c r="E17" s="59">
        <v>0</v>
      </c>
      <c r="F17" s="59">
        <v>0</v>
      </c>
      <c r="G17" s="51"/>
    </row>
    <row r="18" s="50" customFormat="1" customHeight="1" spans="1:7">
      <c r="A18" s="58" t="s">
        <v>156</v>
      </c>
      <c r="B18" s="59">
        <v>1093529.4</v>
      </c>
      <c r="C18" s="59">
        <v>0</v>
      </c>
      <c r="D18" s="58" t="s">
        <v>157</v>
      </c>
      <c r="E18" s="59">
        <v>367231.54</v>
      </c>
      <c r="F18" s="59">
        <v>0</v>
      </c>
      <c r="G18" s="51"/>
    </row>
    <row r="19" s="50" customFormat="1" customHeight="1" spans="1:7">
      <c r="A19" s="58" t="s">
        <v>158</v>
      </c>
      <c r="B19" s="59"/>
      <c r="C19" s="59"/>
      <c r="D19" s="58" t="s">
        <v>159</v>
      </c>
      <c r="E19" s="59"/>
      <c r="F19" s="59"/>
      <c r="G19" s="51"/>
    </row>
    <row r="20" s="50" customFormat="1" customHeight="1" spans="1:7">
      <c r="A20" s="58" t="s">
        <v>160</v>
      </c>
      <c r="B20" s="59">
        <v>0</v>
      </c>
      <c r="C20" s="59">
        <v>0</v>
      </c>
      <c r="D20" s="58" t="s">
        <v>161</v>
      </c>
      <c r="E20" s="59">
        <v>0</v>
      </c>
      <c r="F20" s="59">
        <v>0</v>
      </c>
      <c r="G20" s="51"/>
    </row>
    <row r="21" s="50" customFormat="1" customHeight="1" spans="1:7">
      <c r="A21" s="58" t="s">
        <v>162</v>
      </c>
      <c r="B21" s="59">
        <v>0</v>
      </c>
      <c r="C21" s="59">
        <v>0</v>
      </c>
      <c r="D21" s="58" t="s">
        <v>163</v>
      </c>
      <c r="E21" s="59">
        <v>0</v>
      </c>
      <c r="F21" s="59">
        <v>0</v>
      </c>
      <c r="G21" s="51"/>
    </row>
    <row r="22" s="50" customFormat="1" customHeight="1" spans="1:7">
      <c r="A22" s="58" t="s">
        <v>164</v>
      </c>
      <c r="B22" s="59">
        <v>0</v>
      </c>
      <c r="C22" s="59">
        <v>0</v>
      </c>
      <c r="D22" s="58" t="s">
        <v>165</v>
      </c>
      <c r="E22" s="59"/>
      <c r="F22" s="59"/>
      <c r="G22" s="51"/>
    </row>
    <row r="23" s="50" customFormat="1" customHeight="1" spans="1:7">
      <c r="A23" s="58" t="s">
        <v>166</v>
      </c>
      <c r="B23" s="59">
        <v>0</v>
      </c>
      <c r="C23" s="59">
        <v>0</v>
      </c>
      <c r="D23" s="58" t="s">
        <v>167</v>
      </c>
      <c r="E23" s="59"/>
      <c r="F23" s="59"/>
      <c r="G23" s="51"/>
    </row>
    <row r="24" s="50" customFormat="1" customHeight="1" spans="1:7">
      <c r="A24" s="58" t="s">
        <v>168</v>
      </c>
      <c r="B24" s="59">
        <v>0</v>
      </c>
      <c r="C24" s="59">
        <v>0</v>
      </c>
      <c r="D24" s="58" t="s">
        <v>169</v>
      </c>
      <c r="E24" s="59">
        <v>0</v>
      </c>
      <c r="F24" s="59">
        <v>0</v>
      </c>
      <c r="G24" s="51"/>
    </row>
    <row r="25" s="50" customFormat="1" customHeight="1" spans="1:7">
      <c r="A25" s="58" t="s">
        <v>170</v>
      </c>
      <c r="B25" s="59">
        <v>438898.36</v>
      </c>
      <c r="C25" s="59">
        <v>0</v>
      </c>
      <c r="D25" s="58" t="s">
        <v>171</v>
      </c>
      <c r="E25" s="59">
        <v>0</v>
      </c>
      <c r="F25" s="59">
        <v>0</v>
      </c>
      <c r="G25" s="51"/>
    </row>
    <row r="26" s="50" customFormat="1" customHeight="1" spans="1:7">
      <c r="A26" s="58" t="s">
        <v>172</v>
      </c>
      <c r="B26" s="59">
        <v>0</v>
      </c>
      <c r="C26" s="59">
        <v>0</v>
      </c>
      <c r="D26" s="58" t="s">
        <v>173</v>
      </c>
      <c r="E26" s="59">
        <v>0</v>
      </c>
      <c r="F26" s="59">
        <v>0</v>
      </c>
      <c r="G26" s="51"/>
    </row>
    <row r="27" s="50" customFormat="1" customHeight="1" spans="1:7">
      <c r="A27" s="58" t="s">
        <v>174</v>
      </c>
      <c r="B27" s="59">
        <v>0</v>
      </c>
      <c r="C27" s="59">
        <v>0</v>
      </c>
      <c r="D27" s="58" t="s">
        <v>175</v>
      </c>
      <c r="E27" s="59">
        <v>0</v>
      </c>
      <c r="F27" s="59">
        <v>0</v>
      </c>
      <c r="G27" s="51"/>
    </row>
    <row r="28" s="50" customFormat="1" customHeight="1" spans="1:7">
      <c r="A28" s="58" t="s">
        <v>176</v>
      </c>
      <c r="B28" s="59">
        <v>0</v>
      </c>
      <c r="C28" s="59">
        <v>0</v>
      </c>
      <c r="D28" s="58" t="s">
        <v>177</v>
      </c>
      <c r="E28" s="59"/>
      <c r="F28" s="59"/>
      <c r="G28" s="51"/>
    </row>
    <row r="29" s="50" customFormat="1" customHeight="1" spans="1:7">
      <c r="A29" s="58" t="s">
        <v>178</v>
      </c>
      <c r="B29" s="59">
        <v>19259.41</v>
      </c>
      <c r="C29" s="59">
        <v>0</v>
      </c>
      <c r="D29" s="58" t="s">
        <v>179</v>
      </c>
      <c r="E29" s="59">
        <v>0</v>
      </c>
      <c r="F29" s="59">
        <v>0</v>
      </c>
      <c r="G29" s="51"/>
    </row>
    <row r="30" s="50" customFormat="1" customHeight="1" spans="1:7">
      <c r="A30" s="58" t="s">
        <v>180</v>
      </c>
      <c r="B30" s="59">
        <v>0</v>
      </c>
      <c r="C30" s="59">
        <v>0</v>
      </c>
      <c r="D30" s="58" t="s">
        <v>181</v>
      </c>
      <c r="E30" s="59">
        <v>367231.54</v>
      </c>
      <c r="F30" s="59">
        <v>0</v>
      </c>
      <c r="G30" s="51"/>
    </row>
    <row r="31" s="50" customFormat="1" customHeight="1" spans="1:7">
      <c r="A31" s="58" t="s">
        <v>182</v>
      </c>
      <c r="B31" s="59">
        <v>0</v>
      </c>
      <c r="C31" s="59">
        <v>0</v>
      </c>
      <c r="D31" s="58" t="s">
        <v>183</v>
      </c>
      <c r="E31" s="59"/>
      <c r="F31" s="59"/>
      <c r="G31" s="51"/>
    </row>
    <row r="32" s="50" customFormat="1" customHeight="1" spans="1:7">
      <c r="A32" s="58" t="s">
        <v>184</v>
      </c>
      <c r="B32" s="59">
        <v>836817.44</v>
      </c>
      <c r="C32" s="59">
        <v>0</v>
      </c>
      <c r="D32" s="58" t="s">
        <v>185</v>
      </c>
      <c r="E32" s="59">
        <v>2018110.68</v>
      </c>
      <c r="F32" s="59">
        <v>0</v>
      </c>
      <c r="G32" s="51"/>
    </row>
    <row r="33" s="50" customFormat="1" customHeight="1" spans="1:7">
      <c r="A33" s="58" t="s">
        <v>186</v>
      </c>
      <c r="B33" s="59">
        <v>0</v>
      </c>
      <c r="C33" s="59">
        <v>0</v>
      </c>
      <c r="D33" s="58" t="s">
        <v>187</v>
      </c>
      <c r="E33" s="59">
        <v>0</v>
      </c>
      <c r="F33" s="59">
        <v>0</v>
      </c>
      <c r="G33" s="51"/>
    </row>
    <row r="34" s="50" customFormat="1" customHeight="1" spans="1:7">
      <c r="A34" s="58" t="s">
        <v>188</v>
      </c>
      <c r="B34" s="59">
        <v>0</v>
      </c>
      <c r="C34" s="59">
        <v>0</v>
      </c>
      <c r="D34" s="58" t="s">
        <v>189</v>
      </c>
      <c r="E34" s="59"/>
      <c r="F34" s="59"/>
      <c r="G34" s="51"/>
    </row>
    <row r="35" s="50" customFormat="1" customHeight="1" spans="1:7">
      <c r="A35" s="58" t="s">
        <v>190</v>
      </c>
      <c r="B35" s="59">
        <v>1294975.21</v>
      </c>
      <c r="C35" s="59">
        <v>0</v>
      </c>
      <c r="D35" s="58" t="s">
        <v>191</v>
      </c>
      <c r="E35" s="59"/>
      <c r="F35" s="59"/>
      <c r="G35" s="51"/>
    </row>
    <row r="36" s="50" customFormat="1" customHeight="1" spans="1:7">
      <c r="A36" s="58"/>
      <c r="B36" s="59"/>
      <c r="C36" s="59"/>
      <c r="D36" s="58" t="s">
        <v>192</v>
      </c>
      <c r="E36" s="59">
        <v>0</v>
      </c>
      <c r="F36" s="59">
        <v>0</v>
      </c>
      <c r="G36" s="51"/>
    </row>
    <row r="37" s="50" customFormat="1" customHeight="1" spans="1:7">
      <c r="A37" s="58"/>
      <c r="B37" s="59"/>
      <c r="C37" s="59"/>
      <c r="D37" s="58" t="s">
        <v>193</v>
      </c>
      <c r="E37" s="59">
        <v>0</v>
      </c>
      <c r="F37" s="59">
        <v>0</v>
      </c>
      <c r="G37" s="51"/>
    </row>
    <row r="38" s="50" customFormat="1" customHeight="1" spans="1:7">
      <c r="A38" s="58"/>
      <c r="B38" s="59"/>
      <c r="C38" s="59"/>
      <c r="D38" s="58" t="s">
        <v>194</v>
      </c>
      <c r="E38" s="59">
        <v>0</v>
      </c>
      <c r="F38" s="59">
        <v>0</v>
      </c>
      <c r="G38" s="51"/>
    </row>
    <row r="39" s="50" customFormat="1" customHeight="1" spans="1:7">
      <c r="A39" s="58"/>
      <c r="B39" s="59"/>
      <c r="C39" s="59"/>
      <c r="D39" s="58" t="s">
        <v>195</v>
      </c>
      <c r="E39" s="59">
        <v>0</v>
      </c>
      <c r="F39" s="59">
        <v>0</v>
      </c>
      <c r="G39" s="51"/>
    </row>
    <row r="40" s="50" customFormat="1" customHeight="1" spans="1:7">
      <c r="A40" s="58"/>
      <c r="B40" s="58"/>
      <c r="C40" s="58"/>
      <c r="D40" s="58" t="s">
        <v>196</v>
      </c>
      <c r="E40" s="58">
        <v>0</v>
      </c>
      <c r="F40" s="58">
        <v>0</v>
      </c>
      <c r="G40" s="51"/>
    </row>
    <row r="41" s="50" customFormat="1" customHeight="1" spans="1:7">
      <c r="A41" s="58"/>
      <c r="B41" s="58"/>
      <c r="C41" s="58"/>
      <c r="D41" s="58" t="s">
        <v>197</v>
      </c>
      <c r="E41" s="60">
        <v>3162.39</v>
      </c>
      <c r="F41" s="58">
        <v>0</v>
      </c>
      <c r="G41" s="51"/>
    </row>
    <row r="42" s="50" customFormat="1" customHeight="1" spans="1:7">
      <c r="A42" s="58"/>
      <c r="B42" s="58"/>
      <c r="C42" s="58"/>
      <c r="D42" s="58" t="s">
        <v>198</v>
      </c>
      <c r="E42" s="58"/>
      <c r="F42" s="58"/>
      <c r="G42" s="51"/>
    </row>
    <row r="43" s="50" customFormat="1" customHeight="1" spans="1:7">
      <c r="A43" s="58"/>
      <c r="B43" s="58"/>
      <c r="C43" s="58"/>
      <c r="D43" s="58" t="s">
        <v>199</v>
      </c>
      <c r="E43" s="60">
        <v>2021273.07</v>
      </c>
      <c r="F43" s="58">
        <v>0</v>
      </c>
      <c r="G43" s="51"/>
    </row>
    <row r="44" s="50" customFormat="1" customHeight="1" spans="1:7">
      <c r="A44" s="58" t="s">
        <v>200</v>
      </c>
      <c r="B44" s="60">
        <v>2388504.61</v>
      </c>
      <c r="C44" s="58">
        <v>0</v>
      </c>
      <c r="D44" s="58" t="s">
        <v>201</v>
      </c>
      <c r="E44" s="60">
        <v>2388504.61</v>
      </c>
      <c r="F44" s="58">
        <v>0</v>
      </c>
      <c r="G44" s="51"/>
    </row>
    <row r="45" s="50" customFormat="1" customHeight="1" spans="1:7">
      <c r="A45" s="61"/>
      <c r="B45" s="61"/>
      <c r="C45" s="61"/>
      <c r="D45" s="61"/>
      <c r="E45" s="61"/>
      <c r="F45" s="61"/>
      <c r="G45" s="51"/>
    </row>
    <row r="46" s="50" customFormat="1" customHeight="1" spans="1:7">
      <c r="A46" s="61"/>
      <c r="B46" s="61"/>
      <c r="C46" s="61"/>
      <c r="D46" s="61"/>
      <c r="E46" s="61"/>
      <c r="F46" s="61"/>
      <c r="G46" s="51"/>
    </row>
    <row r="47" s="50" customFormat="1" customHeight="1" spans="1:7">
      <c r="A47" s="61"/>
      <c r="B47" s="61"/>
      <c r="C47" s="61"/>
      <c r="D47" s="61"/>
      <c r="E47" s="61"/>
      <c r="F47" s="61"/>
      <c r="G47" s="51"/>
    </row>
    <row r="48" s="50" customFormat="1" customHeight="1" spans="1:7">
      <c r="A48" s="61"/>
      <c r="B48" s="61"/>
      <c r="C48" s="61"/>
      <c r="D48" s="61"/>
      <c r="E48" s="61"/>
      <c r="F48" s="61"/>
      <c r="G48" s="51"/>
    </row>
    <row r="49" s="50" customFormat="1" customHeight="1" spans="1:7">
      <c r="A49" s="61"/>
      <c r="B49" s="61"/>
      <c r="C49" s="61"/>
      <c r="D49" s="61"/>
      <c r="E49" s="61"/>
      <c r="F49" s="61"/>
      <c r="G49" s="51"/>
    </row>
    <row r="50" s="50" customFormat="1" customHeight="1" spans="1:7">
      <c r="A50" s="61"/>
      <c r="B50" s="61"/>
      <c r="C50" s="61"/>
      <c r="D50" s="61"/>
      <c r="E50" s="61"/>
      <c r="F50" s="61"/>
      <c r="G50" s="51"/>
    </row>
    <row r="51" s="50" customFormat="1" customHeight="1" spans="1:7">
      <c r="A51" s="61"/>
      <c r="B51" s="61"/>
      <c r="C51" s="61"/>
      <c r="D51" s="61"/>
      <c r="E51" s="61"/>
      <c r="F51" s="61"/>
      <c r="G51" s="51"/>
    </row>
    <row r="52" s="50" customFormat="1" customHeight="1" spans="1:7">
      <c r="A52" s="61"/>
      <c r="B52" s="61"/>
      <c r="C52" s="61"/>
      <c r="D52" s="61"/>
      <c r="E52" s="61"/>
      <c r="F52" s="61"/>
      <c r="G52" s="51"/>
    </row>
    <row r="53" s="50" customFormat="1" customHeight="1" spans="1:7">
      <c r="A53" s="61"/>
      <c r="B53" s="61"/>
      <c r="C53" s="61"/>
      <c r="D53" s="61"/>
      <c r="E53" s="61"/>
      <c r="F53" s="61"/>
      <c r="G53" s="51"/>
    </row>
    <row r="54" s="50" customFormat="1" customHeight="1" spans="1:7">
      <c r="A54" s="61"/>
      <c r="B54" s="61"/>
      <c r="C54" s="61"/>
      <c r="D54" s="61"/>
      <c r="E54" s="61"/>
      <c r="F54" s="61"/>
      <c r="G54" s="51"/>
    </row>
    <row r="55" s="50" customFormat="1" customHeight="1" spans="1:7">
      <c r="A55" s="61"/>
      <c r="B55" s="61"/>
      <c r="C55" s="61"/>
      <c r="D55" s="61"/>
      <c r="E55" s="61"/>
      <c r="F55" s="61"/>
      <c r="G55" s="51"/>
    </row>
    <row r="56" s="50" customFormat="1" customHeight="1" spans="1:7">
      <c r="A56" s="61"/>
      <c r="B56" s="61"/>
      <c r="C56" s="61"/>
      <c r="D56" s="61"/>
      <c r="E56" s="61"/>
      <c r="F56" s="61"/>
      <c r="G56" s="51"/>
    </row>
    <row r="57" s="50" customFormat="1" customHeight="1" spans="1:7">
      <c r="A57" s="61"/>
      <c r="B57" s="61"/>
      <c r="C57" s="61"/>
      <c r="D57" s="61"/>
      <c r="E57" s="61"/>
      <c r="F57" s="61"/>
      <c r="G57" s="51"/>
    </row>
    <row r="58" s="50" customFormat="1" customHeight="1" spans="1:7">
      <c r="A58" s="61"/>
      <c r="B58" s="61"/>
      <c r="C58" s="61"/>
      <c r="D58" s="61"/>
      <c r="E58" s="61"/>
      <c r="F58" s="61"/>
      <c r="G58" s="51"/>
    </row>
    <row r="59" s="50" customFormat="1" customHeight="1" spans="1:7">
      <c r="A59" s="61"/>
      <c r="B59" s="61"/>
      <c r="C59" s="61"/>
      <c r="D59" s="61"/>
      <c r="E59" s="61"/>
      <c r="F59" s="61"/>
      <c r="G59" s="51"/>
    </row>
    <row r="60" s="50" customFormat="1" customHeight="1" spans="1:7">
      <c r="A60" s="61"/>
      <c r="B60" s="61"/>
      <c r="C60" s="61"/>
      <c r="D60" s="61"/>
      <c r="E60" s="61"/>
      <c r="F60" s="61"/>
      <c r="G60" s="51"/>
    </row>
    <row r="61" s="50" customFormat="1" customHeight="1" spans="1:7">
      <c r="A61" s="61"/>
      <c r="B61" s="61"/>
      <c r="C61" s="61"/>
      <c r="D61" s="61"/>
      <c r="E61" s="61"/>
      <c r="F61" s="61"/>
      <c r="G61" s="51"/>
    </row>
    <row r="62" s="50" customFormat="1" customHeight="1" spans="1:7">
      <c r="A62" s="61"/>
      <c r="B62" s="61"/>
      <c r="C62" s="61"/>
      <c r="D62" s="61"/>
      <c r="E62" s="61"/>
      <c r="F62" s="61"/>
      <c r="G62" s="51"/>
    </row>
    <row r="63" s="50" customFormat="1" customHeight="1" spans="1:7">
      <c r="A63" s="61"/>
      <c r="B63" s="61"/>
      <c r="C63" s="61"/>
      <c r="D63" s="61"/>
      <c r="E63" s="61"/>
      <c r="F63" s="61"/>
      <c r="G63" s="51"/>
    </row>
    <row r="64" s="50" customFormat="1" customHeight="1" spans="1:7">
      <c r="A64" s="61"/>
      <c r="B64" s="61"/>
      <c r="C64" s="61"/>
      <c r="D64" s="61"/>
      <c r="E64" s="61"/>
      <c r="F64" s="61"/>
      <c r="G64" s="51"/>
    </row>
    <row r="65" s="50" customFormat="1" customHeight="1" spans="1:7">
      <c r="A65" s="61"/>
      <c r="B65" s="61"/>
      <c r="C65" s="61"/>
      <c r="D65" s="61"/>
      <c r="E65" s="61"/>
      <c r="F65" s="61"/>
      <c r="G65" s="51"/>
    </row>
    <row r="66" s="50" customFormat="1" customHeight="1" spans="1:7">
      <c r="A66" s="61"/>
      <c r="B66" s="61"/>
      <c r="C66" s="61"/>
      <c r="D66" s="61"/>
      <c r="E66" s="61"/>
      <c r="F66" s="61"/>
      <c r="G66" s="51"/>
    </row>
    <row r="67" s="50" customFormat="1" customHeight="1" spans="1:7">
      <c r="A67" s="61"/>
      <c r="B67" s="61"/>
      <c r="C67" s="61"/>
      <c r="D67" s="61"/>
      <c r="E67" s="61"/>
      <c r="F67" s="61"/>
      <c r="G67" s="51"/>
    </row>
    <row r="68" s="50" customFormat="1" customHeight="1" spans="1:7">
      <c r="A68" s="61"/>
      <c r="B68" s="61"/>
      <c r="C68" s="61"/>
      <c r="D68" s="61"/>
      <c r="E68" s="61"/>
      <c r="F68" s="61"/>
      <c r="G68" s="51"/>
    </row>
    <row r="69" s="50" customFormat="1" customHeight="1" spans="1:7">
      <c r="A69" s="61"/>
      <c r="B69" s="61"/>
      <c r="C69" s="61"/>
      <c r="D69" s="61"/>
      <c r="E69" s="61"/>
      <c r="F69" s="61"/>
      <c r="G69" s="51"/>
    </row>
    <row r="70" s="50" customFormat="1" customHeight="1" spans="1:7">
      <c r="A70" s="61"/>
      <c r="B70" s="61"/>
      <c r="C70" s="61"/>
      <c r="D70" s="61"/>
      <c r="E70" s="61"/>
      <c r="F70" s="61"/>
      <c r="G70" s="51"/>
    </row>
    <row r="71" s="50" customFormat="1" customHeight="1" spans="1:7">
      <c r="A71" s="61"/>
      <c r="B71" s="61"/>
      <c r="C71" s="61"/>
      <c r="D71" s="61"/>
      <c r="E71" s="61"/>
      <c r="F71" s="61"/>
      <c r="G71" s="51"/>
    </row>
    <row r="72" s="50" customFormat="1" customHeight="1" spans="1:7">
      <c r="A72" s="61"/>
      <c r="B72" s="61"/>
      <c r="C72" s="61"/>
      <c r="D72" s="61"/>
      <c r="E72" s="61"/>
      <c r="F72" s="61"/>
      <c r="G72" s="51"/>
    </row>
    <row r="73" s="50" customFormat="1" customHeight="1" spans="1:7">
      <c r="A73" s="61"/>
      <c r="B73" s="61"/>
      <c r="C73" s="61"/>
      <c r="D73" s="61"/>
      <c r="E73" s="61"/>
      <c r="F73" s="61"/>
      <c r="G73" s="51"/>
    </row>
    <row r="74" s="50" customFormat="1" customHeight="1" spans="1:7">
      <c r="A74" s="61"/>
      <c r="B74" s="61"/>
      <c r="C74" s="61"/>
      <c r="D74" s="61"/>
      <c r="E74" s="61"/>
      <c r="F74" s="61"/>
      <c r="G74" s="51"/>
    </row>
    <row r="75" s="50" customFormat="1" customHeight="1" spans="1:7">
      <c r="A75" s="61"/>
      <c r="B75" s="61"/>
      <c r="C75" s="61"/>
      <c r="D75" s="61"/>
      <c r="E75" s="61"/>
      <c r="F75" s="61"/>
      <c r="G75" s="51"/>
    </row>
    <row r="76" s="50" customFormat="1" customHeight="1" spans="1:7">
      <c r="A76" s="61"/>
      <c r="B76" s="61"/>
      <c r="C76" s="61"/>
      <c r="D76" s="61"/>
      <c r="E76" s="61"/>
      <c r="F76" s="61"/>
      <c r="G76" s="51"/>
    </row>
    <row r="77" s="50" customFormat="1" customHeight="1" spans="1:7">
      <c r="A77" s="61"/>
      <c r="B77" s="61"/>
      <c r="C77" s="61"/>
      <c r="D77" s="61"/>
      <c r="E77" s="61"/>
      <c r="F77" s="61"/>
      <c r="G77" s="51"/>
    </row>
    <row r="78" s="50" customFormat="1" customHeight="1" spans="1:7">
      <c r="A78" s="61"/>
      <c r="B78" s="61"/>
      <c r="C78" s="61"/>
      <c r="D78" s="61"/>
      <c r="E78" s="61"/>
      <c r="F78" s="61"/>
      <c r="G78" s="51"/>
    </row>
    <row r="79" s="50" customFormat="1" customHeight="1" spans="1:7">
      <c r="A79" s="61"/>
      <c r="B79" s="61"/>
      <c r="C79" s="61"/>
      <c r="D79" s="61"/>
      <c r="E79" s="61"/>
      <c r="F79" s="61"/>
      <c r="G79" s="51"/>
    </row>
    <row r="80" s="50" customFormat="1" customHeight="1" spans="1:7">
      <c r="A80" s="61"/>
      <c r="B80" s="61"/>
      <c r="C80" s="61"/>
      <c r="D80" s="61"/>
      <c r="E80" s="61"/>
      <c r="F80" s="61"/>
      <c r="G80" s="51"/>
    </row>
    <row r="81" s="50" customFormat="1" customHeight="1" spans="1:7">
      <c r="A81" s="61"/>
      <c r="B81" s="61"/>
      <c r="C81" s="61"/>
      <c r="D81" s="61"/>
      <c r="E81" s="61"/>
      <c r="F81" s="61"/>
      <c r="G81" s="51"/>
    </row>
    <row r="82" s="50" customFormat="1" customHeight="1" spans="1:7">
      <c r="A82" s="61"/>
      <c r="B82" s="61"/>
      <c r="C82" s="61"/>
      <c r="D82" s="61"/>
      <c r="E82" s="61"/>
      <c r="F82" s="61"/>
      <c r="G82" s="51"/>
    </row>
    <row r="83" s="50" customFormat="1" customHeight="1" spans="1:7">
      <c r="A83" s="61"/>
      <c r="B83" s="61"/>
      <c r="C83" s="61"/>
      <c r="D83" s="61"/>
      <c r="E83" s="61"/>
      <c r="F83" s="61"/>
      <c r="G83" s="51"/>
    </row>
    <row r="84" s="50" customFormat="1" customHeight="1" spans="1:7">
      <c r="A84" s="61"/>
      <c r="B84" s="61"/>
      <c r="C84" s="61"/>
      <c r="D84" s="61"/>
      <c r="E84" s="61"/>
      <c r="F84" s="61"/>
      <c r="G84" s="51"/>
    </row>
    <row r="85" s="50" customFormat="1" customHeight="1" spans="1:7">
      <c r="A85" s="61"/>
      <c r="B85" s="61"/>
      <c r="C85" s="61"/>
      <c r="D85" s="61"/>
      <c r="E85" s="61"/>
      <c r="F85" s="61"/>
      <c r="G85" s="51"/>
    </row>
    <row r="86" s="50" customFormat="1" customHeight="1" spans="1:7">
      <c r="A86" s="61"/>
      <c r="B86" s="61"/>
      <c r="C86" s="61"/>
      <c r="D86" s="61"/>
      <c r="E86" s="61"/>
      <c r="F86" s="61"/>
      <c r="G86" s="51"/>
    </row>
    <row r="87" s="50" customFormat="1" customHeight="1" spans="1:7">
      <c r="A87" s="61"/>
      <c r="B87" s="61"/>
      <c r="C87" s="61"/>
      <c r="D87" s="61"/>
      <c r="E87" s="61"/>
      <c r="F87" s="61"/>
      <c r="G87" s="51"/>
    </row>
    <row r="88" s="50" customFormat="1" customHeight="1" spans="1:7">
      <c r="A88" s="61"/>
      <c r="B88" s="61"/>
      <c r="C88" s="61"/>
      <c r="D88" s="61"/>
      <c r="E88" s="61"/>
      <c r="F88" s="61"/>
      <c r="G88" s="51"/>
    </row>
    <row r="89" s="50" customFormat="1" customHeight="1" spans="1:7">
      <c r="A89" s="61"/>
      <c r="B89" s="61"/>
      <c r="C89" s="61"/>
      <c r="D89" s="61"/>
      <c r="E89" s="61"/>
      <c r="F89" s="61"/>
      <c r="G89" s="51"/>
    </row>
    <row r="90" s="50" customFormat="1" customHeight="1" spans="1:7">
      <c r="A90" s="61"/>
      <c r="B90" s="61"/>
      <c r="C90" s="61"/>
      <c r="D90" s="61"/>
      <c r="E90" s="61"/>
      <c r="F90" s="61"/>
      <c r="G90" s="51"/>
    </row>
    <row r="91" s="50" customFormat="1" customHeight="1" spans="1:7">
      <c r="A91" s="61"/>
      <c r="B91" s="61"/>
      <c r="C91" s="61"/>
      <c r="D91" s="61"/>
      <c r="E91" s="61"/>
      <c r="F91" s="61"/>
      <c r="G91" s="51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72"/>
  <sheetViews>
    <sheetView workbookViewId="0">
      <selection activeCell="B1" sqref="B1"/>
    </sheetView>
  </sheetViews>
  <sheetFormatPr defaultColWidth="25.8833333333333" defaultRowHeight="13.5" outlineLevelCol="3"/>
  <cols>
    <col min="1" max="1" width="19.1333333333333" style="43" customWidth="1"/>
    <col min="2" max="2" width="53.2583333333333" style="16" customWidth="1"/>
    <col min="3" max="3" width="9.25833333333333" style="43" customWidth="1"/>
    <col min="4" max="4" width="20.1333333333333" style="43" customWidth="1"/>
    <col min="5" max="16383" width="25.8833333333333" style="16" customWidth="1"/>
    <col min="16384" max="16384" width="25.8833333333333" style="16"/>
  </cols>
  <sheetData>
    <row r="1" s="16" customFormat="1" ht="44" customHeight="1" spans="1:4">
      <c r="A1" s="44" t="s">
        <v>202</v>
      </c>
      <c r="B1" s="16" t="s">
        <v>203</v>
      </c>
      <c r="C1" s="43" t="s">
        <v>204</v>
      </c>
      <c r="D1" s="43"/>
    </row>
    <row r="2" s="16" customFormat="1" ht="15" customHeight="1" spans="1:4">
      <c r="A2" s="45" t="s">
        <v>205</v>
      </c>
      <c r="B2" s="45" t="s">
        <v>206</v>
      </c>
      <c r="C2" s="45" t="s">
        <v>207</v>
      </c>
      <c r="D2" s="45" t="s">
        <v>208</v>
      </c>
    </row>
    <row r="3" s="16" customFormat="1" ht="15" customHeight="1" spans="1:4">
      <c r="A3" s="45" t="s">
        <v>209</v>
      </c>
      <c r="B3" s="46" t="s">
        <v>210</v>
      </c>
      <c r="C3" s="45"/>
      <c r="D3" s="45"/>
    </row>
    <row r="4" s="16" customFormat="1" ht="15" customHeight="1" spans="1:4">
      <c r="A4" s="45"/>
      <c r="B4" s="46" t="s">
        <v>211</v>
      </c>
      <c r="C4" s="47">
        <v>1</v>
      </c>
      <c r="D4" s="48">
        <v>705948.7</v>
      </c>
    </row>
    <row r="5" s="16" customFormat="1" ht="15" customHeight="1" spans="1:4">
      <c r="A5" s="45"/>
      <c r="B5" s="46" t="s">
        <v>212</v>
      </c>
      <c r="C5" s="47">
        <v>2</v>
      </c>
      <c r="D5" s="45"/>
    </row>
    <row r="6" s="16" customFormat="1" ht="15" customHeight="1" spans="1:4">
      <c r="A6" s="45"/>
      <c r="B6" s="46" t="s">
        <v>213</v>
      </c>
      <c r="C6" s="47">
        <v>3</v>
      </c>
      <c r="D6" s="48">
        <v>10987.26</v>
      </c>
    </row>
    <row r="7" s="16" customFormat="1" ht="15" customHeight="1" spans="1:4">
      <c r="A7" s="45"/>
      <c r="B7" s="46" t="s">
        <v>214</v>
      </c>
      <c r="C7" s="47">
        <v>4</v>
      </c>
      <c r="D7" s="48">
        <v>716935.96</v>
      </c>
    </row>
    <row r="8" s="16" customFormat="1" ht="15" customHeight="1" spans="1:4">
      <c r="A8" s="45"/>
      <c r="B8" s="46" t="s">
        <v>215</v>
      </c>
      <c r="C8" s="47">
        <v>5</v>
      </c>
      <c r="D8" s="45">
        <v>276390.85</v>
      </c>
    </row>
    <row r="9" s="16" customFormat="1" ht="15" customHeight="1" spans="1:4">
      <c r="A9" s="45"/>
      <c r="B9" s="46" t="s">
        <v>216</v>
      </c>
      <c r="C9" s="47">
        <v>6</v>
      </c>
      <c r="D9" s="48">
        <v>158336.8</v>
      </c>
    </row>
    <row r="10" s="16" customFormat="1" ht="15" customHeight="1" spans="1:4">
      <c r="A10" s="45"/>
      <c r="B10" s="46" t="s">
        <v>217</v>
      </c>
      <c r="C10" s="47">
        <v>7</v>
      </c>
      <c r="D10" s="48">
        <v>11541.51</v>
      </c>
    </row>
    <row r="11" s="16" customFormat="1" ht="15" customHeight="1" spans="1:4">
      <c r="A11" s="45"/>
      <c r="B11" s="46" t="s">
        <v>218</v>
      </c>
      <c r="C11" s="47">
        <v>8</v>
      </c>
      <c r="D11" s="48">
        <v>85647.91</v>
      </c>
    </row>
    <row r="12" s="16" customFormat="1" ht="15" customHeight="1" spans="1:4">
      <c r="A12" s="45"/>
      <c r="B12" s="46" t="s">
        <v>219</v>
      </c>
      <c r="C12" s="47">
        <v>9</v>
      </c>
      <c r="D12" s="48">
        <v>531917.07</v>
      </c>
    </row>
    <row r="13" s="16" customFormat="1" ht="15" customHeight="1" spans="1:4">
      <c r="A13" s="45"/>
      <c r="B13" s="46" t="s">
        <v>220</v>
      </c>
      <c r="C13" s="47">
        <v>10</v>
      </c>
      <c r="D13" s="48">
        <v>185018.89</v>
      </c>
    </row>
    <row r="14" s="16" customFormat="1" ht="15" customHeight="1" spans="1:4">
      <c r="A14" s="45" t="s">
        <v>221</v>
      </c>
      <c r="B14" s="46" t="s">
        <v>222</v>
      </c>
      <c r="C14" s="45"/>
      <c r="D14" s="45"/>
    </row>
    <row r="15" s="16" customFormat="1" ht="15" customHeight="1" spans="1:4">
      <c r="A15" s="45"/>
      <c r="B15" s="46" t="s">
        <v>223</v>
      </c>
      <c r="C15" s="47">
        <v>11</v>
      </c>
      <c r="D15" s="45"/>
    </row>
    <row r="16" s="16" customFormat="1" ht="15" customHeight="1" spans="1:4">
      <c r="A16" s="45"/>
      <c r="B16" s="46" t="s">
        <v>224</v>
      </c>
      <c r="C16" s="47">
        <v>12</v>
      </c>
      <c r="D16" s="45"/>
    </row>
    <row r="17" s="16" customFormat="1" ht="15" customHeight="1" spans="1:4">
      <c r="A17" s="45"/>
      <c r="B17" s="46" t="s">
        <v>225</v>
      </c>
      <c r="C17" s="47">
        <v>13</v>
      </c>
      <c r="D17" s="45"/>
    </row>
    <row r="18" s="16" customFormat="1" ht="15" customHeight="1" spans="1:4">
      <c r="A18" s="45"/>
      <c r="B18" s="46" t="s">
        <v>226</v>
      </c>
      <c r="C18" s="47">
        <v>14</v>
      </c>
      <c r="D18" s="45"/>
    </row>
    <row r="19" s="16" customFormat="1" ht="15" customHeight="1" spans="1:4">
      <c r="A19" s="45"/>
      <c r="B19" s="46" t="s">
        <v>227</v>
      </c>
      <c r="C19" s="47">
        <v>15</v>
      </c>
      <c r="D19" s="45"/>
    </row>
    <row r="20" s="16" customFormat="1" ht="15" customHeight="1" spans="1:4">
      <c r="A20" s="45"/>
      <c r="B20" s="46" t="s">
        <v>214</v>
      </c>
      <c r="C20" s="47">
        <v>16</v>
      </c>
      <c r="D20" s="45"/>
    </row>
    <row r="21" s="16" customFormat="1" ht="15" customHeight="1" spans="1:4">
      <c r="A21" s="45"/>
      <c r="B21" s="46" t="s">
        <v>228</v>
      </c>
      <c r="C21" s="47">
        <v>17</v>
      </c>
      <c r="D21" s="45"/>
    </row>
    <row r="22" s="16" customFormat="1" ht="15" customHeight="1" spans="1:4">
      <c r="A22" s="45"/>
      <c r="B22" s="46" t="s">
        <v>229</v>
      </c>
      <c r="C22" s="47">
        <v>18</v>
      </c>
      <c r="D22" s="45"/>
    </row>
    <row r="23" s="16" customFormat="1" ht="15" customHeight="1" spans="1:4">
      <c r="A23" s="45"/>
      <c r="B23" s="46" t="s">
        <v>230</v>
      </c>
      <c r="C23" s="47">
        <v>19</v>
      </c>
      <c r="D23" s="45"/>
    </row>
    <row r="24" s="16" customFormat="1" ht="15" customHeight="1" spans="1:4">
      <c r="A24" s="45"/>
      <c r="B24" s="46" t="s">
        <v>231</v>
      </c>
      <c r="C24" s="47">
        <v>20</v>
      </c>
      <c r="D24" s="45"/>
    </row>
    <row r="25" s="16" customFormat="1" ht="15" customHeight="1" spans="1:4">
      <c r="A25" s="45"/>
      <c r="B25" s="46" t="s">
        <v>219</v>
      </c>
      <c r="C25" s="47">
        <v>21</v>
      </c>
      <c r="D25" s="45"/>
    </row>
    <row r="26" s="16" customFormat="1" ht="15" customHeight="1" spans="1:4">
      <c r="A26" s="45"/>
      <c r="B26" s="46" t="s">
        <v>232</v>
      </c>
      <c r="C26" s="47">
        <v>22</v>
      </c>
      <c r="D26" s="45"/>
    </row>
    <row r="27" s="16" customFormat="1" ht="15" customHeight="1" spans="1:4">
      <c r="A27" s="45" t="s">
        <v>233</v>
      </c>
      <c r="B27" s="46" t="s">
        <v>234</v>
      </c>
      <c r="C27" s="45"/>
      <c r="D27" s="45"/>
    </row>
    <row r="28" s="16" customFormat="1" ht="15" customHeight="1" spans="1:4">
      <c r="A28" s="45"/>
      <c r="B28" s="46" t="s">
        <v>235</v>
      </c>
      <c r="C28" s="47">
        <v>23</v>
      </c>
      <c r="D28" s="45"/>
    </row>
    <row r="29" s="16" customFormat="1" ht="15" customHeight="1" spans="1:4">
      <c r="A29" s="45"/>
      <c r="B29" s="46" t="s">
        <v>236</v>
      </c>
      <c r="C29" s="47">
        <v>24</v>
      </c>
      <c r="D29" s="45"/>
    </row>
    <row r="30" s="16" customFormat="1" ht="15" customHeight="1" spans="1:4">
      <c r="A30" s="45"/>
      <c r="B30" s="46" t="s">
        <v>237</v>
      </c>
      <c r="C30" s="47">
        <v>25</v>
      </c>
      <c r="D30" s="45"/>
    </row>
    <row r="31" s="16" customFormat="1" ht="15" customHeight="1" spans="1:4">
      <c r="A31" s="45"/>
      <c r="B31" s="46" t="s">
        <v>214</v>
      </c>
      <c r="C31" s="47">
        <v>26</v>
      </c>
      <c r="D31" s="45"/>
    </row>
    <row r="32" s="16" customFormat="1" ht="15" customHeight="1" spans="1:4">
      <c r="A32" s="45"/>
      <c r="B32" s="46" t="s">
        <v>238</v>
      </c>
      <c r="C32" s="47">
        <v>27</v>
      </c>
      <c r="D32" s="45"/>
    </row>
    <row r="33" s="16" customFormat="1" ht="15" customHeight="1" spans="1:4">
      <c r="A33" s="45"/>
      <c r="B33" s="46" t="s">
        <v>239</v>
      </c>
      <c r="C33" s="47">
        <v>28</v>
      </c>
      <c r="D33" s="45">
        <v>30751.9</v>
      </c>
    </row>
    <row r="34" s="16" customFormat="1" ht="15" customHeight="1" spans="1:4">
      <c r="A34" s="45"/>
      <c r="B34" s="46" t="s">
        <v>240</v>
      </c>
      <c r="C34" s="47">
        <v>29</v>
      </c>
      <c r="D34" s="45"/>
    </row>
    <row r="35" s="16" customFormat="1" ht="15" customHeight="1" spans="1:4">
      <c r="A35" s="45"/>
      <c r="B35" s="46" t="s">
        <v>219</v>
      </c>
      <c r="C35" s="47">
        <v>30</v>
      </c>
      <c r="D35" s="45">
        <v>30751.9</v>
      </c>
    </row>
    <row r="36" s="16" customFormat="1" ht="15" customHeight="1" spans="1:4">
      <c r="A36" s="45"/>
      <c r="B36" s="46" t="s">
        <v>241</v>
      </c>
      <c r="C36" s="47">
        <v>31</v>
      </c>
      <c r="D36" s="45">
        <v>-30751.9</v>
      </c>
    </row>
    <row r="37" s="16" customFormat="1" ht="15" customHeight="1" spans="1:4">
      <c r="A37" s="45" t="s">
        <v>242</v>
      </c>
      <c r="B37" s="46" t="s">
        <v>243</v>
      </c>
      <c r="C37" s="47">
        <v>35</v>
      </c>
      <c r="D37" s="45"/>
    </row>
    <row r="38" s="16" customFormat="1" ht="15" customHeight="1" spans="1:4">
      <c r="A38" s="45" t="s">
        <v>244</v>
      </c>
      <c r="B38" s="46" t="s">
        <v>245</v>
      </c>
      <c r="C38" s="47">
        <v>36</v>
      </c>
      <c r="D38" s="48">
        <v>154266.99</v>
      </c>
    </row>
    <row r="39" s="16" customFormat="1" ht="15" customHeight="1" spans="1:4">
      <c r="A39" s="45"/>
      <c r="B39" s="46" t="s">
        <v>246</v>
      </c>
      <c r="C39" s="47">
        <v>37</v>
      </c>
      <c r="D39" s="48">
        <v>337210.17</v>
      </c>
    </row>
    <row r="40" s="16" customFormat="1" ht="15" customHeight="1" spans="1:4">
      <c r="A40" s="45" t="s">
        <v>247</v>
      </c>
      <c r="B40" s="46" t="s">
        <v>248</v>
      </c>
      <c r="C40" s="47">
        <v>38</v>
      </c>
      <c r="D40" s="48">
        <v>491477.16</v>
      </c>
    </row>
    <row r="41" s="16" customFormat="1" ht="15" customHeight="1" spans="1:4">
      <c r="A41" s="45" t="s">
        <v>249</v>
      </c>
      <c r="B41" s="46"/>
      <c r="C41" s="45"/>
      <c r="D41" s="45"/>
    </row>
    <row r="42" s="16" customFormat="1" ht="15" customHeight="1" spans="1:4">
      <c r="A42" s="45"/>
      <c r="B42" s="46" t="s">
        <v>250</v>
      </c>
      <c r="C42" s="45"/>
      <c r="D42" s="45"/>
    </row>
    <row r="43" s="16" customFormat="1" ht="15" customHeight="1" spans="1:4">
      <c r="A43" s="45" t="s">
        <v>209</v>
      </c>
      <c r="B43" s="46" t="s">
        <v>251</v>
      </c>
      <c r="C43" s="45"/>
      <c r="D43" s="45"/>
    </row>
    <row r="44" s="16" customFormat="1" ht="15" customHeight="1" spans="1:4">
      <c r="A44" s="45"/>
      <c r="B44" s="46" t="s">
        <v>252</v>
      </c>
      <c r="C44" s="47">
        <v>39</v>
      </c>
      <c r="D44" s="48">
        <v>3162.39</v>
      </c>
    </row>
    <row r="45" s="16" customFormat="1" ht="15" customHeight="1" spans="1:4">
      <c r="A45" s="45"/>
      <c r="B45" s="46" t="s">
        <v>253</v>
      </c>
      <c r="C45" s="47">
        <v>40</v>
      </c>
      <c r="D45" s="45"/>
    </row>
    <row r="46" s="16" customFormat="1" ht="15" customHeight="1" spans="1:4">
      <c r="A46" s="45"/>
      <c r="B46" s="46" t="s">
        <v>254</v>
      </c>
      <c r="C46" s="47">
        <v>41</v>
      </c>
      <c r="D46" s="49">
        <f>'[1]6月资产负债'!B25-'[1]7月资产负债'!B25</f>
        <v>20758.23</v>
      </c>
    </row>
    <row r="47" s="16" customFormat="1" ht="15" customHeight="1" spans="1:4">
      <c r="A47" s="45"/>
      <c r="B47" s="46" t="s">
        <v>255</v>
      </c>
      <c r="C47" s="47">
        <v>42</v>
      </c>
      <c r="D47" s="45">
        <f>'[1]6月资产负债'!B29-'[1]7月资产负债'!B29</f>
        <v>958.330000000002</v>
      </c>
    </row>
    <row r="48" s="16" customFormat="1" ht="15" customHeight="1" spans="1:4">
      <c r="A48" s="45"/>
      <c r="B48" s="46" t="s">
        <v>256</v>
      </c>
      <c r="C48" s="47">
        <v>43</v>
      </c>
      <c r="D48" s="49">
        <f>'[1]6月资产负债'!B32-'[1]7月资产负债'!B32</f>
        <v>37446.52</v>
      </c>
    </row>
    <row r="49" s="16" customFormat="1" ht="15" customHeight="1" spans="1:4">
      <c r="A49" s="45"/>
      <c r="B49" s="46" t="s">
        <v>257</v>
      </c>
      <c r="C49" s="47">
        <v>44</v>
      </c>
      <c r="D49" s="45"/>
    </row>
    <row r="50" s="16" customFormat="1" ht="15" customHeight="1" spans="1:4">
      <c r="A50" s="45"/>
      <c r="B50" s="46" t="s">
        <v>258</v>
      </c>
      <c r="C50" s="47">
        <v>45</v>
      </c>
      <c r="D50" s="45"/>
    </row>
    <row r="51" s="16" customFormat="1" ht="15" customHeight="1" spans="1:4">
      <c r="A51" s="45"/>
      <c r="B51" s="46" t="s">
        <v>259</v>
      </c>
      <c r="C51" s="47">
        <v>46</v>
      </c>
      <c r="D51" s="45"/>
    </row>
    <row r="52" s="16" customFormat="1" ht="15" customHeight="1" spans="1:4">
      <c r="A52" s="45"/>
      <c r="B52" s="46" t="s">
        <v>260</v>
      </c>
      <c r="C52" s="47">
        <v>47</v>
      </c>
      <c r="D52" s="45"/>
    </row>
    <row r="53" s="16" customFormat="1" ht="15" customHeight="1" spans="1:4">
      <c r="A53" s="45"/>
      <c r="B53" s="46" t="s">
        <v>261</v>
      </c>
      <c r="C53" s="47">
        <v>48</v>
      </c>
      <c r="D53" s="45"/>
    </row>
    <row r="54" s="16" customFormat="1" ht="15" customHeight="1" spans="1:4">
      <c r="A54" s="45"/>
      <c r="B54" s="46" t="s">
        <v>262</v>
      </c>
      <c r="C54" s="47">
        <v>49</v>
      </c>
      <c r="D54" s="45"/>
    </row>
    <row r="55" s="16" customFormat="1" ht="15" customHeight="1" spans="1:4">
      <c r="A55" s="45"/>
      <c r="B55" s="46" t="s">
        <v>263</v>
      </c>
      <c r="C55" s="47">
        <v>50</v>
      </c>
      <c r="D55" s="45"/>
    </row>
    <row r="56" s="16" customFormat="1" ht="15" customHeight="1" spans="1:4">
      <c r="A56" s="45"/>
      <c r="B56" s="46" t="s">
        <v>264</v>
      </c>
      <c r="C56" s="47">
        <v>51</v>
      </c>
      <c r="D56" s="48">
        <f>'[1]6月资产负债'!B13-'[1]7月资产负债'!B13</f>
        <v>5094.97999999998</v>
      </c>
    </row>
    <row r="57" s="16" customFormat="1" ht="15" customHeight="1" spans="1:4">
      <c r="A57" s="45"/>
      <c r="B57" s="46" t="s">
        <v>265</v>
      </c>
      <c r="C57" s="47">
        <v>52</v>
      </c>
      <c r="D57" s="45">
        <f>'[1]6月资产负债'!B10+'[1]6月资产负债'!B11+'[1]6月资产负债'!B12-'[1]7月资产负债'!B10-'[1]7月资产负债'!B11-'[1]7月资产负债'!B12</f>
        <v>120633.1</v>
      </c>
    </row>
    <row r="58" s="16" customFormat="1" ht="15" customHeight="1" spans="1:4">
      <c r="A58" s="45"/>
      <c r="B58" s="46" t="s">
        <v>266</v>
      </c>
      <c r="C58" s="47">
        <v>53</v>
      </c>
      <c r="D58" s="45">
        <f>'[1]7月资产负债'!E18-'[1]6月资产负债'!E18</f>
        <v>-85120.18</v>
      </c>
    </row>
    <row r="59" s="16" customFormat="1" ht="15" customHeight="1" spans="1:4">
      <c r="A59" s="45"/>
      <c r="B59" s="46" t="s">
        <v>267</v>
      </c>
      <c r="C59" s="47">
        <v>54</v>
      </c>
      <c r="D59" s="45">
        <v>82085.52</v>
      </c>
    </row>
    <row r="60" s="16" customFormat="1" ht="15" customHeight="1" spans="1:4">
      <c r="A60" s="45"/>
      <c r="B60" s="46" t="s">
        <v>220</v>
      </c>
      <c r="C60" s="47">
        <v>55</v>
      </c>
      <c r="D60" s="48">
        <f>SUM(D44:D59)</f>
        <v>185018.89</v>
      </c>
    </row>
    <row r="61" s="16" customFormat="1" ht="15" customHeight="1" spans="1:4">
      <c r="A61" s="45" t="s">
        <v>221</v>
      </c>
      <c r="B61" s="46" t="s">
        <v>268</v>
      </c>
      <c r="C61" s="45"/>
      <c r="D61" s="45"/>
    </row>
    <row r="62" s="16" customFormat="1" ht="15" customHeight="1" spans="1:4">
      <c r="A62" s="45"/>
      <c r="B62" s="46" t="s">
        <v>269</v>
      </c>
      <c r="C62" s="47">
        <v>56</v>
      </c>
      <c r="D62" s="45"/>
    </row>
    <row r="63" s="16" customFormat="1" ht="15" customHeight="1" spans="1:4">
      <c r="A63" s="45"/>
      <c r="B63" s="46" t="s">
        <v>270</v>
      </c>
      <c r="C63" s="47">
        <v>57</v>
      </c>
      <c r="D63" s="45"/>
    </row>
    <row r="64" s="16" customFormat="1" ht="15" customHeight="1" spans="1:4">
      <c r="A64" s="45"/>
      <c r="B64" s="46" t="s">
        <v>271</v>
      </c>
      <c r="C64" s="47">
        <v>58</v>
      </c>
      <c r="D64" s="45"/>
    </row>
    <row r="65" s="16" customFormat="1" ht="15" customHeight="1" spans="1:4">
      <c r="A65" s="45" t="s">
        <v>233</v>
      </c>
      <c r="B65" s="46" t="s">
        <v>272</v>
      </c>
      <c r="C65" s="45"/>
      <c r="D65" s="45"/>
    </row>
    <row r="66" s="16" customFormat="1" ht="15" customHeight="1" spans="1:4">
      <c r="A66" s="45"/>
      <c r="B66" s="46" t="s">
        <v>273</v>
      </c>
      <c r="C66" s="47">
        <v>59</v>
      </c>
      <c r="D66" s="48">
        <v>491477.16</v>
      </c>
    </row>
    <row r="67" s="16" customFormat="1" ht="15" customHeight="1" spans="1:4">
      <c r="A67" s="45"/>
      <c r="B67" s="46" t="s">
        <v>274</v>
      </c>
      <c r="C67" s="47">
        <v>60</v>
      </c>
      <c r="D67" s="48">
        <v>337210.17</v>
      </c>
    </row>
    <row r="68" s="16" customFormat="1" ht="15" customHeight="1" spans="1:4">
      <c r="A68" s="45"/>
      <c r="B68" s="46" t="s">
        <v>275</v>
      </c>
      <c r="C68" s="47">
        <v>61</v>
      </c>
      <c r="D68" s="45"/>
    </row>
    <row r="69" s="16" customFormat="1" ht="15" customHeight="1" spans="1:4">
      <c r="A69" s="45"/>
      <c r="B69" s="46" t="s">
        <v>276</v>
      </c>
      <c r="C69" s="47">
        <v>62</v>
      </c>
      <c r="D69" s="45"/>
    </row>
    <row r="70" s="16" customFormat="1" ht="15" customHeight="1" spans="1:4">
      <c r="A70" s="45"/>
      <c r="B70" s="46" t="s">
        <v>277</v>
      </c>
      <c r="C70" s="47">
        <v>63</v>
      </c>
      <c r="D70" s="48">
        <v>154266.99</v>
      </c>
    </row>
    <row r="71" s="16" customFormat="1" spans="1:4">
      <c r="A71" s="43"/>
      <c r="B71" s="16"/>
      <c r="C71" s="43"/>
      <c r="D71" s="43"/>
    </row>
    <row r="72" s="16" customFormat="1" spans="1:4">
      <c r="A72" s="43"/>
      <c r="B72" s="16"/>
      <c r="C72" s="43"/>
      <c r="D72" s="43"/>
    </row>
  </sheetData>
  <mergeCells count="1">
    <mergeCell ref="C1: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M5" sqref="M5"/>
    </sheetView>
  </sheetViews>
  <sheetFormatPr defaultColWidth="9" defaultRowHeight="12"/>
  <cols>
    <col min="1" max="1" width="17.75" style="1" customWidth="1"/>
    <col min="2" max="2" width="14.125" style="4" customWidth="1"/>
    <col min="3" max="3" width="24.375" style="2" customWidth="1"/>
    <col min="4" max="9" width="13.75" style="4" customWidth="1"/>
    <col min="10" max="10" width="29.875" style="5" customWidth="1"/>
    <col min="11" max="11" width="16.5" style="6" customWidth="1"/>
    <col min="12" max="12" width="10.125" style="2"/>
    <col min="13" max="16384" width="9" style="2"/>
  </cols>
  <sheetData>
    <row r="1" s="1" customFormat="1" ht="21" customHeight="1" spans="1:11">
      <c r="A1" s="7" t="s">
        <v>278</v>
      </c>
      <c r="B1" s="8" t="s">
        <v>279</v>
      </c>
      <c r="C1" s="7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8" t="s">
        <v>285</v>
      </c>
      <c r="I1" s="8" t="s">
        <v>286</v>
      </c>
      <c r="J1" s="27" t="s">
        <v>287</v>
      </c>
      <c r="K1" s="28" t="s">
        <v>288</v>
      </c>
    </row>
    <row r="2" s="2" customFormat="1" ht="16" customHeight="1" spans="1:11">
      <c r="A2" s="7" t="s">
        <v>289</v>
      </c>
      <c r="B2" s="9">
        <f>资产负债表!B6</f>
        <v>491477.16</v>
      </c>
      <c r="C2" s="10" t="s">
        <v>290</v>
      </c>
      <c r="D2" s="11">
        <v>12890.78</v>
      </c>
      <c r="E2" s="12"/>
      <c r="F2" s="13">
        <v>10508.5</v>
      </c>
      <c r="G2" s="13">
        <v>19992.28</v>
      </c>
      <c r="H2" s="13">
        <v>3407</v>
      </c>
      <c r="I2" s="13"/>
      <c r="J2" s="29"/>
      <c r="K2" s="28">
        <f>B2-SUM(H2:H3)</f>
        <v>0</v>
      </c>
    </row>
    <row r="3" s="2" customFormat="1" ht="16" customHeight="1" spans="1:11">
      <c r="A3" s="7"/>
      <c r="B3" s="9"/>
      <c r="C3" s="10" t="s">
        <v>291</v>
      </c>
      <c r="D3" s="11">
        <v>324319.39</v>
      </c>
      <c r="E3" s="12"/>
      <c r="F3" s="13">
        <v>1053005.11</v>
      </c>
      <c r="G3" s="13">
        <v>889254.34</v>
      </c>
      <c r="H3" s="13">
        <v>488070.16</v>
      </c>
      <c r="I3" s="9"/>
      <c r="J3" s="29"/>
      <c r="K3" s="28"/>
    </row>
    <row r="4" s="2" customFormat="1" ht="16" customHeight="1" spans="1:11">
      <c r="A4" s="7" t="s">
        <v>292</v>
      </c>
      <c r="B4" s="8">
        <f>资产负债表!B10</f>
        <v>83686.43</v>
      </c>
      <c r="C4" s="14" t="s">
        <v>293</v>
      </c>
      <c r="D4" s="13">
        <v>21544.26</v>
      </c>
      <c r="E4" s="13"/>
      <c r="F4" s="13">
        <v>114816.55</v>
      </c>
      <c r="G4" s="13">
        <v>104527.4</v>
      </c>
      <c r="H4" s="13">
        <v>31833.41</v>
      </c>
      <c r="I4" s="13"/>
      <c r="J4" s="29"/>
      <c r="K4" s="28">
        <f>B4-SUM(H4:H12)</f>
        <v>0</v>
      </c>
    </row>
    <row r="5" s="2" customFormat="1" ht="16" customHeight="1" spans="1:11">
      <c r="A5" s="7"/>
      <c r="B5" s="8"/>
      <c r="C5" s="14" t="s">
        <v>294</v>
      </c>
      <c r="D5" s="13">
        <v>1920.95</v>
      </c>
      <c r="E5" s="13"/>
      <c r="F5" s="13">
        <v>11166.7</v>
      </c>
      <c r="G5" s="13">
        <v>12136.86</v>
      </c>
      <c r="H5" s="13">
        <v>950.79</v>
      </c>
      <c r="I5" s="13"/>
      <c r="J5" s="29"/>
      <c r="K5" s="28"/>
    </row>
    <row r="6" s="2" customFormat="1" ht="16" customHeight="1" spans="1:11">
      <c r="A6" s="7"/>
      <c r="B6" s="8"/>
      <c r="C6" s="14" t="s">
        <v>295</v>
      </c>
      <c r="D6" s="13">
        <v>1737.07</v>
      </c>
      <c r="E6" s="13"/>
      <c r="F6" s="13">
        <v>17663.97</v>
      </c>
      <c r="G6" s="13">
        <v>17996.46</v>
      </c>
      <c r="H6" s="13">
        <v>1404.58</v>
      </c>
      <c r="I6" s="13"/>
      <c r="J6" s="29"/>
      <c r="K6" s="28"/>
    </row>
    <row r="7" s="2" customFormat="1" ht="16" customHeight="1" spans="1:11">
      <c r="A7" s="7"/>
      <c r="B7" s="8"/>
      <c r="C7" s="14" t="s">
        <v>296</v>
      </c>
      <c r="D7" s="13">
        <v>13877.94</v>
      </c>
      <c r="E7" s="13"/>
      <c r="F7" s="13">
        <v>62503.66</v>
      </c>
      <c r="G7" s="13">
        <v>68363.91</v>
      </c>
      <c r="H7" s="13">
        <v>8017.69</v>
      </c>
      <c r="I7" s="13"/>
      <c r="J7" s="29"/>
      <c r="K7" s="28"/>
    </row>
    <row r="8" s="2" customFormat="1" ht="16" customHeight="1" spans="1:11">
      <c r="A8" s="7"/>
      <c r="B8" s="8"/>
      <c r="C8" s="14" t="s">
        <v>297</v>
      </c>
      <c r="D8" s="13">
        <v>17475.35</v>
      </c>
      <c r="E8" s="13"/>
      <c r="F8" s="13">
        <v>493614.31</v>
      </c>
      <c r="G8" s="13">
        <v>497897.08</v>
      </c>
      <c r="H8" s="13">
        <v>13192.58</v>
      </c>
      <c r="I8" s="13"/>
      <c r="J8" s="29"/>
      <c r="K8" s="28"/>
    </row>
    <row r="9" s="2" customFormat="1" ht="16" hidden="1" customHeight="1" spans="1:11">
      <c r="A9" s="7"/>
      <c r="B9" s="8"/>
      <c r="C9" s="14" t="s">
        <v>298</v>
      </c>
      <c r="D9" s="12"/>
      <c r="E9" s="12"/>
      <c r="F9" s="13"/>
      <c r="G9" s="13"/>
      <c r="H9" s="13"/>
      <c r="I9" s="13"/>
      <c r="J9" s="29"/>
      <c r="K9" s="28"/>
    </row>
    <row r="10" s="2" customFormat="1" ht="16" customHeight="1" spans="1:11">
      <c r="A10" s="7"/>
      <c r="B10" s="8"/>
      <c r="C10" s="14" t="s">
        <v>299</v>
      </c>
      <c r="D10" s="12"/>
      <c r="E10" s="12"/>
      <c r="F10" s="13">
        <v>4108.5</v>
      </c>
      <c r="G10" s="13">
        <v>3667</v>
      </c>
      <c r="H10" s="13">
        <v>441.5</v>
      </c>
      <c r="I10" s="13"/>
      <c r="J10" s="29"/>
      <c r="K10" s="28"/>
    </row>
    <row r="11" s="2" customFormat="1" ht="16" customHeight="1" spans="1:11">
      <c r="A11" s="7"/>
      <c r="B11" s="8"/>
      <c r="C11" s="82" t="s">
        <v>300</v>
      </c>
      <c r="D11" s="12">
        <v>204.41</v>
      </c>
      <c r="E11" s="12"/>
      <c r="F11" s="13">
        <v>1364.81</v>
      </c>
      <c r="G11" s="13">
        <v>1359.99</v>
      </c>
      <c r="H11" s="13">
        <v>209.23</v>
      </c>
      <c r="I11" s="13"/>
      <c r="J11" s="29"/>
      <c r="K11" s="28"/>
    </row>
    <row r="12" s="2" customFormat="1" ht="16" customHeight="1" spans="1:11">
      <c r="A12" s="7"/>
      <c r="B12" s="8"/>
      <c r="C12" s="82" t="s">
        <v>301</v>
      </c>
      <c r="D12" s="12">
        <v>21742.49</v>
      </c>
      <c r="E12" s="12"/>
      <c r="F12" s="13">
        <v>5894.16</v>
      </c>
      <c r="G12" s="13"/>
      <c r="H12" s="13">
        <v>27636.65</v>
      </c>
      <c r="I12" s="13"/>
      <c r="J12" s="29"/>
      <c r="K12" s="28"/>
    </row>
    <row r="13" s="2" customFormat="1" ht="17" customHeight="1" spans="1:11">
      <c r="A13" s="7"/>
      <c r="B13" s="8"/>
      <c r="C13" s="82" t="s">
        <v>302</v>
      </c>
      <c r="D13" s="9"/>
      <c r="E13" s="9"/>
      <c r="F13" s="13"/>
      <c r="G13" s="13"/>
      <c r="H13" s="13"/>
      <c r="I13" s="13"/>
      <c r="J13" s="29"/>
      <c r="K13" s="28"/>
    </row>
    <row r="14" s="2" customFormat="1" ht="17" customHeight="1" spans="1:11">
      <c r="A14" s="7" t="str">
        <f>资产负债表!A11</f>
        <v>    预付款项</v>
      </c>
      <c r="B14" s="8">
        <f>资产负债表!B11</f>
        <v>241371.45</v>
      </c>
      <c r="C14" s="14" t="s">
        <v>303</v>
      </c>
      <c r="D14" s="9">
        <v>388611.45</v>
      </c>
      <c r="E14" s="9"/>
      <c r="F14" s="13"/>
      <c r="G14" s="13">
        <v>147240</v>
      </c>
      <c r="H14" s="13">
        <v>241371.45</v>
      </c>
      <c r="I14" s="30"/>
      <c r="J14" s="29" t="s">
        <v>303</v>
      </c>
      <c r="K14" s="28">
        <f>B14-H14</f>
        <v>0</v>
      </c>
    </row>
    <row r="15" s="2" customFormat="1" ht="27" customHeight="1" spans="1:11">
      <c r="A15" s="7" t="s">
        <v>304</v>
      </c>
      <c r="B15" s="9">
        <f>资产负债表!B12</f>
        <v>7126.85</v>
      </c>
      <c r="C15" s="15" t="s">
        <v>305</v>
      </c>
      <c r="D15" s="13">
        <v>9000</v>
      </c>
      <c r="E15" s="13"/>
      <c r="F15" s="13"/>
      <c r="G15" s="13"/>
      <c r="H15" s="13">
        <v>9000</v>
      </c>
      <c r="I15" s="13"/>
      <c r="J15" s="29" t="s">
        <v>306</v>
      </c>
      <c r="K15" s="28">
        <f>B15-(H15+H16+H37+H45+H46+H47-I15-I16-I37-I45-I46-I47)</f>
        <v>-3.45607986673713e-11</v>
      </c>
    </row>
    <row r="16" s="2" customFormat="1" ht="16" customHeight="1" spans="1:11">
      <c r="A16" s="7"/>
      <c r="B16" s="9"/>
      <c r="C16" s="9" t="s">
        <v>307</v>
      </c>
      <c r="D16" s="13"/>
      <c r="E16" s="13">
        <v>284587.72</v>
      </c>
      <c r="F16" s="13">
        <v>51612.96</v>
      </c>
      <c r="G16" s="13">
        <v>34606.15</v>
      </c>
      <c r="H16" s="13"/>
      <c r="I16" s="13">
        <v>267580.91</v>
      </c>
      <c r="J16" s="29" t="s">
        <v>308</v>
      </c>
      <c r="K16" s="28"/>
    </row>
    <row r="17" s="2" customFormat="1" ht="16" customHeight="1" spans="1:11">
      <c r="A17" s="7"/>
      <c r="B17" s="9"/>
      <c r="C17" s="9" t="s">
        <v>309</v>
      </c>
      <c r="D17" s="13"/>
      <c r="E17" s="13">
        <v>174893.17</v>
      </c>
      <c r="F17" s="13">
        <v>47492.2</v>
      </c>
      <c r="G17" s="13">
        <v>28825.81</v>
      </c>
      <c r="H17" s="13"/>
      <c r="I17" s="13">
        <v>156226.78</v>
      </c>
      <c r="J17" s="29" t="s">
        <v>310</v>
      </c>
      <c r="K17" s="28"/>
    </row>
    <row r="18" s="2" customFormat="1" ht="16" hidden="1" customHeight="1" spans="1:11">
      <c r="A18" s="7"/>
      <c r="B18" s="9"/>
      <c r="C18" s="9" t="s">
        <v>311</v>
      </c>
      <c r="D18" s="13"/>
      <c r="E18" s="13"/>
      <c r="F18" s="13"/>
      <c r="G18" s="13"/>
      <c r="H18" s="13"/>
      <c r="I18" s="13"/>
      <c r="J18" s="29" t="s">
        <v>308</v>
      </c>
      <c r="K18" s="28"/>
    </row>
    <row r="19" s="2" customFormat="1" ht="16" customHeight="1" spans="1:11">
      <c r="A19" s="7"/>
      <c r="B19" s="9"/>
      <c r="C19" s="9" t="s">
        <v>312</v>
      </c>
      <c r="D19" s="13"/>
      <c r="E19" s="13">
        <v>40000</v>
      </c>
      <c r="F19" s="13"/>
      <c r="G19" s="13"/>
      <c r="H19" s="13"/>
      <c r="I19" s="13">
        <v>40000</v>
      </c>
      <c r="J19" s="29" t="s">
        <v>308</v>
      </c>
      <c r="K19" s="28"/>
    </row>
    <row r="20" s="2" customFormat="1" ht="16" hidden="1" customHeight="1" spans="1:11">
      <c r="A20" s="7"/>
      <c r="B20" s="9"/>
      <c r="C20" s="9" t="s">
        <v>313</v>
      </c>
      <c r="D20" s="13"/>
      <c r="E20" s="13"/>
      <c r="F20" s="13"/>
      <c r="G20" s="13"/>
      <c r="H20" s="13"/>
      <c r="I20" s="13"/>
      <c r="J20" s="29"/>
      <c r="K20" s="28"/>
    </row>
    <row r="21" s="2" customFormat="1" ht="16" hidden="1" customHeight="1" spans="1:11">
      <c r="A21" s="7"/>
      <c r="B21" s="9"/>
      <c r="C21" s="9" t="s">
        <v>314</v>
      </c>
      <c r="D21" s="13"/>
      <c r="E21" s="13"/>
      <c r="F21" s="13"/>
      <c r="G21" s="13"/>
      <c r="H21" s="13"/>
      <c r="I21" s="13"/>
      <c r="J21" s="29" t="s">
        <v>308</v>
      </c>
      <c r="K21" s="28"/>
    </row>
    <row r="22" s="2" customFormat="1" ht="16" customHeight="1" spans="1:11">
      <c r="A22" s="7"/>
      <c r="B22" s="9"/>
      <c r="C22" s="9" t="s">
        <v>315</v>
      </c>
      <c r="D22" s="13"/>
      <c r="E22" s="13">
        <v>1332.32</v>
      </c>
      <c r="F22" s="13"/>
      <c r="G22" s="13"/>
      <c r="H22" s="13"/>
      <c r="I22" s="13">
        <v>1332.32</v>
      </c>
      <c r="J22" s="29" t="s">
        <v>308</v>
      </c>
      <c r="K22" s="28"/>
    </row>
    <row r="23" s="2" customFormat="1" ht="16" customHeight="1" spans="1:11">
      <c r="A23" s="7"/>
      <c r="B23" s="9"/>
      <c r="C23" s="9" t="s">
        <v>316</v>
      </c>
      <c r="D23" s="13"/>
      <c r="E23" s="13">
        <v>50000</v>
      </c>
      <c r="F23" s="13"/>
      <c r="G23" s="13"/>
      <c r="H23" s="13"/>
      <c r="I23" s="13">
        <v>50000</v>
      </c>
      <c r="J23" s="29" t="s">
        <v>308</v>
      </c>
      <c r="K23" s="28"/>
    </row>
    <row r="24" s="2" customFormat="1" ht="16" hidden="1" customHeight="1" spans="1:11">
      <c r="A24" s="7"/>
      <c r="B24" s="9"/>
      <c r="C24" s="9" t="s">
        <v>317</v>
      </c>
      <c r="D24" s="13"/>
      <c r="E24" s="13"/>
      <c r="F24" s="13"/>
      <c r="G24" s="13"/>
      <c r="H24" s="13"/>
      <c r="I24" s="13"/>
      <c r="J24" s="29"/>
      <c r="K24" s="28"/>
    </row>
    <row r="25" s="2" customFormat="1" ht="16" hidden="1" customHeight="1" spans="1:11">
      <c r="A25" s="7"/>
      <c r="B25" s="9"/>
      <c r="C25" s="16" t="s">
        <v>318</v>
      </c>
      <c r="D25" s="13"/>
      <c r="E25" s="13"/>
      <c r="F25" s="13"/>
      <c r="G25" s="13"/>
      <c r="H25" s="13"/>
      <c r="I25" s="13"/>
      <c r="J25" s="29"/>
      <c r="K25" s="28"/>
    </row>
    <row r="26" s="2" customFormat="1" ht="16" hidden="1" customHeight="1" spans="1:11">
      <c r="A26" s="7"/>
      <c r="B26" s="9"/>
      <c r="C26" s="9" t="s">
        <v>319</v>
      </c>
      <c r="D26" s="13"/>
      <c r="E26" s="13"/>
      <c r="F26" s="13"/>
      <c r="G26" s="13"/>
      <c r="H26" s="13"/>
      <c r="I26" s="13"/>
      <c r="J26" s="29"/>
      <c r="K26" s="28"/>
    </row>
    <row r="27" s="2" customFormat="1" ht="16" customHeight="1" spans="1:11">
      <c r="A27" s="7"/>
      <c r="B27" s="9"/>
      <c r="C27" s="9" t="s">
        <v>320</v>
      </c>
      <c r="D27" s="13"/>
      <c r="E27" s="13">
        <v>6087.03</v>
      </c>
      <c r="F27" s="13"/>
      <c r="G27" s="13">
        <v>3821.58</v>
      </c>
      <c r="H27" s="13"/>
      <c r="I27" s="13">
        <v>9908.61</v>
      </c>
      <c r="J27" s="29"/>
      <c r="K27" s="28"/>
    </row>
    <row r="28" s="2" customFormat="1" ht="16" customHeight="1" spans="1:11">
      <c r="A28" s="7"/>
      <c r="B28" s="9"/>
      <c r="C28" s="9" t="s">
        <v>321</v>
      </c>
      <c r="D28" s="13">
        <v>358.5</v>
      </c>
      <c r="E28" s="13"/>
      <c r="F28" s="13"/>
      <c r="G28" s="13"/>
      <c r="H28" s="13">
        <v>358.5</v>
      </c>
      <c r="I28" s="13"/>
      <c r="J28" s="29"/>
      <c r="K28" s="28"/>
    </row>
    <row r="29" s="2" customFormat="1" ht="16" customHeight="1" spans="1:11">
      <c r="A29" s="7"/>
      <c r="B29" s="9"/>
      <c r="C29" s="16" t="s">
        <v>322</v>
      </c>
      <c r="D29" s="13"/>
      <c r="E29" s="13">
        <v>3200</v>
      </c>
      <c r="F29" s="13"/>
      <c r="G29" s="13">
        <v>1480</v>
      </c>
      <c r="H29" s="13"/>
      <c r="I29" s="13">
        <v>4680</v>
      </c>
      <c r="J29" s="29"/>
      <c r="K29" s="28"/>
    </row>
    <row r="30" s="2" customFormat="1" ht="16" hidden="1" customHeight="1" spans="1:11">
      <c r="A30" s="7"/>
      <c r="B30" s="9"/>
      <c r="C30" s="9" t="s">
        <v>323</v>
      </c>
      <c r="D30" s="13"/>
      <c r="E30" s="13"/>
      <c r="F30" s="13"/>
      <c r="G30" s="13"/>
      <c r="H30" s="13"/>
      <c r="I30" s="13"/>
      <c r="J30" s="29"/>
      <c r="K30" s="28"/>
    </row>
    <row r="31" s="2" customFormat="1" ht="16" customHeight="1" spans="1:11">
      <c r="A31" s="7"/>
      <c r="B31" s="9"/>
      <c r="C31" s="9" t="s">
        <v>324</v>
      </c>
      <c r="D31" s="13"/>
      <c r="E31" s="13">
        <v>12375.7</v>
      </c>
      <c r="F31" s="13"/>
      <c r="G31" s="13"/>
      <c r="H31" s="13"/>
      <c r="I31" s="13">
        <v>12375.7</v>
      </c>
      <c r="J31" s="29"/>
      <c r="K31" s="28"/>
    </row>
    <row r="32" s="2" customFormat="1" ht="16" customHeight="1" spans="1:11">
      <c r="A32" s="7"/>
      <c r="B32" s="9"/>
      <c r="C32" s="9" t="s">
        <v>325</v>
      </c>
      <c r="D32" s="13"/>
      <c r="E32" s="13">
        <v>1480</v>
      </c>
      <c r="F32" s="13"/>
      <c r="G32" s="13"/>
      <c r="H32" s="13"/>
      <c r="I32" s="13">
        <v>1480</v>
      </c>
      <c r="J32" s="29"/>
      <c r="K32" s="28"/>
    </row>
    <row r="33" s="2" customFormat="1" ht="16" customHeight="1" spans="1:11">
      <c r="A33" s="7"/>
      <c r="B33" s="9"/>
      <c r="C33" s="9" t="s">
        <v>326</v>
      </c>
      <c r="D33" s="13">
        <v>4422</v>
      </c>
      <c r="E33" s="13"/>
      <c r="F33" s="13">
        <v>4120.76</v>
      </c>
      <c r="G33" s="13">
        <v>478.76</v>
      </c>
      <c r="H33" s="13">
        <v>8064</v>
      </c>
      <c r="I33" s="13"/>
      <c r="J33" s="29"/>
      <c r="K33" s="28"/>
    </row>
    <row r="34" s="2" customFormat="1" ht="16" hidden="1" customHeight="1" spans="1:11">
      <c r="A34" s="7"/>
      <c r="B34" s="9"/>
      <c r="C34" s="9"/>
      <c r="D34" s="13"/>
      <c r="E34" s="13"/>
      <c r="F34" s="13"/>
      <c r="G34" s="13"/>
      <c r="H34" s="13"/>
      <c r="I34" s="13"/>
      <c r="J34" s="29"/>
      <c r="K34" s="28"/>
    </row>
    <row r="35" s="2" customFormat="1" ht="16" hidden="1" customHeight="1" spans="1:11">
      <c r="A35" s="7"/>
      <c r="B35" s="9"/>
      <c r="C35" s="9"/>
      <c r="D35" s="13"/>
      <c r="E35" s="13"/>
      <c r="F35" s="13"/>
      <c r="G35" s="13"/>
      <c r="H35" s="13"/>
      <c r="I35" s="13"/>
      <c r="J35" s="29"/>
      <c r="K35" s="28"/>
    </row>
    <row r="36" s="2" customFormat="1" ht="16" hidden="1" customHeight="1" spans="1:11">
      <c r="A36" s="7"/>
      <c r="B36" s="9"/>
      <c r="C36" s="9"/>
      <c r="D36" s="13"/>
      <c r="E36" s="13"/>
      <c r="F36" s="13"/>
      <c r="G36" s="13"/>
      <c r="H36" s="13"/>
      <c r="I36" s="13"/>
      <c r="J36" s="29"/>
      <c r="K36" s="28"/>
    </row>
    <row r="37" s="2" customFormat="1" ht="16" customHeight="1" spans="1:11">
      <c r="A37" s="7"/>
      <c r="B37" s="9"/>
      <c r="C37" s="9" t="s">
        <v>327</v>
      </c>
      <c r="D37" s="13">
        <v>255640</v>
      </c>
      <c r="E37" s="13"/>
      <c r="F37" s="13"/>
      <c r="G37" s="13"/>
      <c r="H37" s="13">
        <v>255640</v>
      </c>
      <c r="I37" s="13"/>
      <c r="J37" s="29"/>
      <c r="K37" s="28"/>
    </row>
    <row r="38" s="2" customFormat="1" ht="16" customHeight="1" outlineLevel="1" spans="1:11">
      <c r="A38" s="7"/>
      <c r="B38" s="9"/>
      <c r="C38" s="17" t="s">
        <v>328</v>
      </c>
      <c r="D38" s="13">
        <v>241040</v>
      </c>
      <c r="E38" s="13"/>
      <c r="F38" s="13"/>
      <c r="G38" s="13"/>
      <c r="H38" s="13">
        <v>241040</v>
      </c>
      <c r="I38" s="13"/>
      <c r="J38" s="29"/>
      <c r="K38" s="28"/>
    </row>
    <row r="39" s="2" customFormat="1" ht="16" customHeight="1" outlineLevel="1" spans="1:11">
      <c r="A39" s="7"/>
      <c r="B39" s="9"/>
      <c r="C39" s="17" t="s">
        <v>329</v>
      </c>
      <c r="D39" s="13">
        <v>1600</v>
      </c>
      <c r="E39" s="13"/>
      <c r="F39" s="13"/>
      <c r="G39" s="13"/>
      <c r="H39" s="13">
        <v>1600</v>
      </c>
      <c r="I39" s="13"/>
      <c r="J39" s="29"/>
      <c r="K39" s="28"/>
    </row>
    <row r="40" s="2" customFormat="1" ht="16" customHeight="1" outlineLevel="1" spans="1:11">
      <c r="A40" s="7"/>
      <c r="B40" s="9"/>
      <c r="C40" s="17" t="s">
        <v>330</v>
      </c>
      <c r="D40" s="13">
        <v>6900</v>
      </c>
      <c r="E40" s="13"/>
      <c r="F40" s="13"/>
      <c r="G40" s="13"/>
      <c r="H40" s="13">
        <v>6900</v>
      </c>
      <c r="I40" s="13"/>
      <c r="J40" s="29"/>
      <c r="K40" s="28"/>
    </row>
    <row r="41" s="2" customFormat="1" ht="16" customHeight="1" outlineLevel="1" spans="1:11">
      <c r="A41" s="7"/>
      <c r="B41" s="9"/>
      <c r="C41" s="17" t="s">
        <v>331</v>
      </c>
      <c r="D41" s="13">
        <v>4100</v>
      </c>
      <c r="E41" s="13"/>
      <c r="F41" s="13"/>
      <c r="G41" s="13"/>
      <c r="H41" s="13">
        <v>4100</v>
      </c>
      <c r="I41" s="13"/>
      <c r="J41" s="29"/>
      <c r="K41" s="28"/>
    </row>
    <row r="42" s="2" customFormat="1" ht="16" customHeight="1" outlineLevel="1" spans="1:11">
      <c r="A42" s="7"/>
      <c r="B42" s="9"/>
      <c r="C42" s="17" t="s">
        <v>332</v>
      </c>
      <c r="D42" s="13">
        <v>2000</v>
      </c>
      <c r="E42" s="13"/>
      <c r="F42" s="13"/>
      <c r="G42" s="13"/>
      <c r="H42" s="13">
        <v>2000</v>
      </c>
      <c r="I42" s="13"/>
      <c r="J42" s="29"/>
      <c r="K42" s="28"/>
    </row>
    <row r="43" s="2" customFormat="1" ht="16" hidden="1" customHeight="1" outlineLevel="1" spans="1:11">
      <c r="A43" s="7"/>
      <c r="B43" s="9"/>
      <c r="C43" s="17"/>
      <c r="D43" s="13"/>
      <c r="E43" s="13"/>
      <c r="F43" s="13"/>
      <c r="G43" s="13"/>
      <c r="H43" s="13"/>
      <c r="I43" s="13"/>
      <c r="J43" s="29"/>
      <c r="K43" s="28"/>
    </row>
    <row r="44" s="2" customFormat="1" ht="16" hidden="1" customHeight="1" outlineLevel="1" spans="1:11">
      <c r="A44" s="7"/>
      <c r="B44" s="9"/>
      <c r="C44" s="17"/>
      <c r="D44" s="13"/>
      <c r="E44" s="13"/>
      <c r="F44" s="13"/>
      <c r="G44" s="13"/>
      <c r="H44" s="13"/>
      <c r="I44" s="13"/>
      <c r="J44" s="29"/>
      <c r="K44" s="28"/>
    </row>
    <row r="45" s="2" customFormat="1" ht="16" customHeight="1" spans="1:11">
      <c r="A45" s="7"/>
      <c r="B45" s="9"/>
      <c r="C45" s="18" t="s">
        <v>333</v>
      </c>
      <c r="D45" s="13">
        <v>3869.09</v>
      </c>
      <c r="E45" s="13"/>
      <c r="F45" s="13">
        <v>12002.31</v>
      </c>
      <c r="G45" s="13">
        <v>5803.64</v>
      </c>
      <c r="H45" s="13">
        <v>10067.76</v>
      </c>
      <c r="I45" s="13"/>
      <c r="J45" s="29" t="s">
        <v>333</v>
      </c>
      <c r="K45" s="28"/>
    </row>
    <row r="46" s="2" customFormat="1" ht="16" customHeight="1" spans="1:11">
      <c r="A46" s="7"/>
      <c r="B46" s="9"/>
      <c r="C46" s="18" t="s">
        <v>334</v>
      </c>
      <c r="D46" s="13">
        <v>1782.54</v>
      </c>
      <c r="E46" s="13"/>
      <c r="F46" s="13"/>
      <c r="G46" s="13">
        <v>1782.54</v>
      </c>
      <c r="H46" s="13"/>
      <c r="I46" s="13"/>
      <c r="J46" s="29" t="s">
        <v>335</v>
      </c>
      <c r="K46" s="28"/>
    </row>
    <row r="47" s="2" customFormat="1" ht="16" customHeight="1" spans="1:11">
      <c r="A47" s="7"/>
      <c r="B47" s="9"/>
      <c r="C47" s="18"/>
      <c r="D47" s="9"/>
      <c r="E47" s="9"/>
      <c r="F47" s="9"/>
      <c r="G47" s="9"/>
      <c r="H47" s="9"/>
      <c r="I47" s="9"/>
      <c r="J47" s="29"/>
      <c r="K47" s="28"/>
    </row>
    <row r="48" s="2" customFormat="1" ht="16" customHeight="1" spans="1:11">
      <c r="A48" s="7" t="s">
        <v>336</v>
      </c>
      <c r="B48" s="9">
        <f>资产负债表!B13</f>
        <v>269867.51</v>
      </c>
      <c r="C48" s="10" t="s">
        <v>337</v>
      </c>
      <c r="D48" s="9">
        <v>264963.99</v>
      </c>
      <c r="E48" s="9"/>
      <c r="F48" s="9">
        <v>277757.61</v>
      </c>
      <c r="G48" s="9">
        <v>282852.59</v>
      </c>
      <c r="H48" s="9">
        <v>259869.01</v>
      </c>
      <c r="I48" s="9"/>
      <c r="J48" s="29"/>
      <c r="K48" s="28">
        <f>B48-SUM(H48:H51)</f>
        <v>0</v>
      </c>
    </row>
    <row r="49" s="2" customFormat="1" ht="16" customHeight="1" spans="1:11">
      <c r="A49" s="7"/>
      <c r="B49" s="9"/>
      <c r="C49" s="18" t="s">
        <v>338</v>
      </c>
      <c r="D49" s="9">
        <v>9998.5</v>
      </c>
      <c r="E49" s="9"/>
      <c r="F49" s="9"/>
      <c r="G49" s="9"/>
      <c r="H49" s="9">
        <v>9998.5</v>
      </c>
      <c r="I49" s="9"/>
      <c r="J49" s="29"/>
      <c r="K49" s="28"/>
    </row>
    <row r="50" s="2" customFormat="1" ht="16" hidden="1" customHeight="1" spans="1:11">
      <c r="A50" s="7"/>
      <c r="B50" s="9"/>
      <c r="C50" s="18" t="s">
        <v>339</v>
      </c>
      <c r="D50" s="9"/>
      <c r="E50" s="9"/>
      <c r="F50" s="9"/>
      <c r="G50" s="9"/>
      <c r="H50" s="9"/>
      <c r="I50" s="9"/>
      <c r="J50" s="29"/>
      <c r="K50" s="28"/>
    </row>
    <row r="51" s="2" customFormat="1" ht="16" customHeight="1" spans="1:11">
      <c r="A51" s="7"/>
      <c r="B51" s="9"/>
      <c r="C51" s="18" t="s">
        <v>340</v>
      </c>
      <c r="D51" s="9"/>
      <c r="E51" s="9"/>
      <c r="F51" s="9"/>
      <c r="G51" s="9"/>
      <c r="H51" s="9"/>
      <c r="I51" s="9"/>
      <c r="J51" s="29"/>
      <c r="K51" s="28"/>
    </row>
    <row r="52" s="2" customFormat="1" ht="16" customHeight="1" spans="1:11">
      <c r="A52" s="7" t="s">
        <v>341</v>
      </c>
      <c r="B52" s="9">
        <f>资产负债表!B25</f>
        <v>438898.36</v>
      </c>
      <c r="C52" s="10" t="s">
        <v>341</v>
      </c>
      <c r="D52" s="9">
        <v>519922.43</v>
      </c>
      <c r="E52" s="9"/>
      <c r="F52" s="9"/>
      <c r="G52" s="9"/>
      <c r="H52" s="9">
        <v>519922.43</v>
      </c>
      <c r="I52" s="9"/>
      <c r="J52" s="29" t="s">
        <v>342</v>
      </c>
      <c r="K52" s="28">
        <f>B52-SUM(H52:H53)+SUM(I52:I53)</f>
        <v>0</v>
      </c>
    </row>
    <row r="53" s="2" customFormat="1" ht="16" customHeight="1" spans="1:11">
      <c r="A53" s="7"/>
      <c r="B53" s="9"/>
      <c r="C53" s="18" t="s">
        <v>343</v>
      </c>
      <c r="D53" s="9"/>
      <c r="E53" s="9">
        <v>60265.84</v>
      </c>
      <c r="F53" s="9"/>
      <c r="G53" s="9">
        <v>20758.23</v>
      </c>
      <c r="H53" s="9"/>
      <c r="I53" s="9">
        <v>81024.07</v>
      </c>
      <c r="J53" s="29" t="s">
        <v>344</v>
      </c>
      <c r="K53" s="28"/>
    </row>
    <row r="54" s="2" customFormat="1" ht="16" customHeight="1" spans="1:11">
      <c r="A54" s="7" t="s">
        <v>345</v>
      </c>
      <c r="B54" s="19">
        <f>资产负债表!B29</f>
        <v>19259.41</v>
      </c>
      <c r="C54" s="18" t="s">
        <v>345</v>
      </c>
      <c r="D54" s="9">
        <v>23000</v>
      </c>
      <c r="E54" s="9"/>
      <c r="F54" s="9"/>
      <c r="G54" s="9"/>
      <c r="H54" s="9">
        <v>23000</v>
      </c>
      <c r="I54" s="9"/>
      <c r="J54" s="29" t="s">
        <v>346</v>
      </c>
      <c r="K54" s="31">
        <f>B54-H54+I55</f>
        <v>0</v>
      </c>
    </row>
    <row r="55" s="2" customFormat="1" ht="16" customHeight="1" spans="1:11">
      <c r="A55" s="7"/>
      <c r="B55" s="19"/>
      <c r="C55" s="20" t="s">
        <v>347</v>
      </c>
      <c r="D55" s="9"/>
      <c r="E55" s="9">
        <v>2782.26</v>
      </c>
      <c r="F55" s="9"/>
      <c r="G55" s="9">
        <v>958.33</v>
      </c>
      <c r="H55" s="9"/>
      <c r="I55" s="9">
        <v>3740.59</v>
      </c>
      <c r="J55" s="29" t="s">
        <v>347</v>
      </c>
      <c r="K55" s="32"/>
    </row>
    <row r="56" s="2" customFormat="1" ht="16" customHeight="1" spans="1:11">
      <c r="A56" s="21" t="s">
        <v>348</v>
      </c>
      <c r="B56" s="22">
        <f>资产负债表!B32</f>
        <v>836817.44</v>
      </c>
      <c r="C56" s="23" t="s">
        <v>349</v>
      </c>
      <c r="D56" s="9">
        <v>859355.09</v>
      </c>
      <c r="E56" s="9"/>
      <c r="F56" s="9"/>
      <c r="G56" s="9">
        <v>40776.22</v>
      </c>
      <c r="H56" s="9">
        <v>818578.87</v>
      </c>
      <c r="I56" s="9"/>
      <c r="J56" s="29" t="s">
        <v>349</v>
      </c>
      <c r="K56" s="28">
        <f>B56-SUM(H56:H57)</f>
        <v>0</v>
      </c>
    </row>
    <row r="57" s="2" customFormat="1" ht="16" customHeight="1" spans="1:11">
      <c r="A57" s="21"/>
      <c r="B57" s="22"/>
      <c r="C57" s="20" t="s">
        <v>350</v>
      </c>
      <c r="D57" s="9">
        <v>14908.87</v>
      </c>
      <c r="E57" s="9"/>
      <c r="F57" s="9">
        <v>8960</v>
      </c>
      <c r="G57" s="9">
        <v>5630.3</v>
      </c>
      <c r="H57" s="9">
        <v>18238.57</v>
      </c>
      <c r="I57" s="9"/>
      <c r="J57" s="29" t="s">
        <v>351</v>
      </c>
      <c r="K57" s="28"/>
    </row>
    <row r="58" s="3" customFormat="1" ht="16" customHeight="1" spans="1:11">
      <c r="A58" s="24" t="s">
        <v>352</v>
      </c>
      <c r="B58" s="12">
        <f>资产负债表!E10</f>
        <v>61912.29</v>
      </c>
      <c r="C58" s="25" t="s">
        <v>352</v>
      </c>
      <c r="D58" s="9"/>
      <c r="E58" s="9">
        <v>61460.65</v>
      </c>
      <c r="F58" s="9">
        <v>276390.85</v>
      </c>
      <c r="G58" s="9">
        <v>276842.49</v>
      </c>
      <c r="H58" s="9"/>
      <c r="I58" s="9">
        <v>61912.29</v>
      </c>
      <c r="J58" s="33" t="s">
        <v>353</v>
      </c>
      <c r="K58" s="34">
        <f>B58-I58</f>
        <v>0</v>
      </c>
    </row>
    <row r="59" s="2" customFormat="1" ht="16" customHeight="1" spans="1:11">
      <c r="A59" s="7" t="s">
        <v>354</v>
      </c>
      <c r="B59" s="9">
        <f>资产负债表!E11</f>
        <v>120944.61</v>
      </c>
      <c r="C59" s="18" t="s">
        <v>355</v>
      </c>
      <c r="D59" s="9"/>
      <c r="E59" s="9">
        <v>110280.86</v>
      </c>
      <c r="F59" s="9">
        <v>36396.25</v>
      </c>
      <c r="G59" s="9">
        <v>47060</v>
      </c>
      <c r="H59" s="9"/>
      <c r="I59" s="9">
        <v>120944.61</v>
      </c>
      <c r="J59" s="29" t="s">
        <v>356</v>
      </c>
      <c r="K59" s="35">
        <f>B59-I59</f>
        <v>0</v>
      </c>
    </row>
    <row r="60" s="2" customFormat="1" ht="16" customHeight="1" spans="1:11">
      <c r="A60" s="7" t="s">
        <v>357</v>
      </c>
      <c r="B60" s="9">
        <f>资产负债表!E12</f>
        <v>165741.65</v>
      </c>
      <c r="C60" s="18" t="s">
        <v>357</v>
      </c>
      <c r="D60" s="9"/>
      <c r="E60" s="9">
        <v>173935.15</v>
      </c>
      <c r="F60" s="9">
        <v>163935.15</v>
      </c>
      <c r="G60" s="9">
        <v>155741.65</v>
      </c>
      <c r="H60" s="9"/>
      <c r="I60" s="9">
        <v>165741.65</v>
      </c>
      <c r="J60" s="29" t="s">
        <v>357</v>
      </c>
      <c r="K60" s="35">
        <f>B60-I60</f>
        <v>0</v>
      </c>
    </row>
    <row r="61" s="2" customFormat="1" ht="16" customHeight="1" spans="1:11">
      <c r="A61" s="7" t="s">
        <v>148</v>
      </c>
      <c r="B61" s="9">
        <f>资产负债表!E13</f>
        <v>0</v>
      </c>
      <c r="C61" s="18" t="s">
        <v>358</v>
      </c>
      <c r="D61" s="9"/>
      <c r="E61" s="9">
        <v>5956.55</v>
      </c>
      <c r="F61" s="9">
        <v>6351.58</v>
      </c>
      <c r="G61" s="9">
        <v>395.03</v>
      </c>
      <c r="H61" s="9"/>
      <c r="I61" s="9"/>
      <c r="J61" s="29"/>
      <c r="K61" s="35">
        <f>B61-I61</f>
        <v>0</v>
      </c>
    </row>
    <row r="62" s="2" customFormat="1" ht="24" customHeight="1" spans="1:11">
      <c r="A62" s="7" t="s">
        <v>359</v>
      </c>
      <c r="B62" s="9">
        <f>资产负债表!E14</f>
        <v>18632.99</v>
      </c>
      <c r="C62" s="18" t="s">
        <v>360</v>
      </c>
      <c r="D62" s="9"/>
      <c r="E62" s="9">
        <v>5682.99</v>
      </c>
      <c r="F62" s="9"/>
      <c r="G62" s="9"/>
      <c r="H62" s="9"/>
      <c r="I62" s="9">
        <v>5682.99</v>
      </c>
      <c r="J62" s="29"/>
      <c r="K62" s="31">
        <f>B62-SUM(I62:I64)+SUM(H62:H64)</f>
        <v>0</v>
      </c>
    </row>
    <row r="63" s="2" customFormat="1" ht="16" customHeight="1" spans="1:11">
      <c r="A63" s="7"/>
      <c r="B63" s="9"/>
      <c r="C63" s="26" t="s">
        <v>361</v>
      </c>
      <c r="D63" s="9"/>
      <c r="E63" s="9"/>
      <c r="F63" s="9"/>
      <c r="G63" s="9"/>
      <c r="H63" s="9"/>
      <c r="I63" s="9"/>
      <c r="J63" s="29"/>
      <c r="K63" s="32"/>
    </row>
    <row r="64" s="2" customFormat="1" ht="16" customHeight="1" spans="1:11">
      <c r="A64" s="7"/>
      <c r="B64" s="9"/>
      <c r="C64" s="18" t="s">
        <v>362</v>
      </c>
      <c r="D64" s="9"/>
      <c r="E64" s="9">
        <v>12950</v>
      </c>
      <c r="F64" s="9"/>
      <c r="G64" s="9"/>
      <c r="H64" s="9"/>
      <c r="I64" s="9">
        <v>12950</v>
      </c>
      <c r="J64" s="36" t="s">
        <v>363</v>
      </c>
      <c r="K64" s="31"/>
    </row>
    <row r="65" s="2" customFormat="1" ht="26" customHeight="1" spans="1:11">
      <c r="A65" s="7" t="s">
        <v>364</v>
      </c>
      <c r="B65" s="9">
        <f>资产负债表!E32</f>
        <v>2018110.68</v>
      </c>
      <c r="C65" s="18" t="s">
        <v>365</v>
      </c>
      <c r="D65" s="9"/>
      <c r="E65" s="9">
        <v>1961000</v>
      </c>
      <c r="F65" s="9"/>
      <c r="G65" s="9">
        <v>57110.68</v>
      </c>
      <c r="H65" s="9"/>
      <c r="I65" s="9">
        <v>2018110.68</v>
      </c>
      <c r="J65" s="29" t="s">
        <v>366</v>
      </c>
      <c r="K65" s="35">
        <f>B65-I65</f>
        <v>0</v>
      </c>
    </row>
    <row r="66" s="2" customFormat="1" ht="16" customHeight="1" spans="1:11">
      <c r="A66" s="7" t="s">
        <v>367</v>
      </c>
      <c r="B66" s="37">
        <f>资产负债表!E41</f>
        <v>3162.39</v>
      </c>
      <c r="C66" s="18" t="s">
        <v>368</v>
      </c>
      <c r="D66" s="9"/>
      <c r="E66" s="9">
        <v>5777.06</v>
      </c>
      <c r="F66" s="9">
        <v>717421.78</v>
      </c>
      <c r="G66" s="9">
        <v>714807.11</v>
      </c>
      <c r="H66" s="9"/>
      <c r="I66" s="9">
        <v>3162.39</v>
      </c>
      <c r="J66" s="39" t="s">
        <v>369</v>
      </c>
      <c r="K66" s="31">
        <f>B66-SUM(I66+I68-H67)</f>
        <v>0</v>
      </c>
    </row>
    <row r="67" s="2" customFormat="1" ht="16" customHeight="1" spans="1:11">
      <c r="A67" s="7"/>
      <c r="B67" s="37"/>
      <c r="C67" s="38" t="s">
        <v>367</v>
      </c>
      <c r="D67" s="9"/>
      <c r="E67" s="9"/>
      <c r="F67" s="9"/>
      <c r="G67" s="9"/>
      <c r="H67" s="9"/>
      <c r="I67" s="9"/>
      <c r="J67" s="40"/>
      <c r="K67" s="41"/>
    </row>
    <row r="68" s="2" customFormat="1" ht="16" customHeight="1" spans="1:11">
      <c r="A68" s="7"/>
      <c r="B68" s="37"/>
      <c r="C68" s="18"/>
      <c r="D68" s="9"/>
      <c r="E68" s="9"/>
      <c r="F68" s="9"/>
      <c r="G68" s="9"/>
      <c r="H68" s="9"/>
      <c r="I68" s="9"/>
      <c r="J68" s="42"/>
      <c r="K68" s="32"/>
    </row>
  </sheetData>
  <mergeCells count="28">
    <mergeCell ref="A2:A3"/>
    <mergeCell ref="A4:A13"/>
    <mergeCell ref="A15:A47"/>
    <mergeCell ref="A48:A51"/>
    <mergeCell ref="A52:A53"/>
    <mergeCell ref="A54:A55"/>
    <mergeCell ref="A56:A57"/>
    <mergeCell ref="A62:A64"/>
    <mergeCell ref="A66:A68"/>
    <mergeCell ref="B2:B3"/>
    <mergeCell ref="B4:B13"/>
    <mergeCell ref="B15:B47"/>
    <mergeCell ref="B48:B51"/>
    <mergeCell ref="B52:B53"/>
    <mergeCell ref="B54:B55"/>
    <mergeCell ref="B56:B57"/>
    <mergeCell ref="B62:B64"/>
    <mergeCell ref="B66:B68"/>
    <mergeCell ref="J66:J68"/>
    <mergeCell ref="K2:K3"/>
    <mergeCell ref="K4:K13"/>
    <mergeCell ref="K15:K47"/>
    <mergeCell ref="K48:K51"/>
    <mergeCell ref="K52:K53"/>
    <mergeCell ref="K54:K55"/>
    <mergeCell ref="K56:K57"/>
    <mergeCell ref="K62:K64"/>
    <mergeCell ref="K66:K6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利润表</vt:lpstr>
      <vt:lpstr>资产负债表</vt:lpstr>
      <vt:lpstr>现金流量表</vt:lpstr>
      <vt:lpstr>资产负债表附表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WPS_1665196583</cp:lastModifiedBy>
  <dcterms:created xsi:type="dcterms:W3CDTF">2020-06-07T12:40:00Z</dcterms:created>
  <dcterms:modified xsi:type="dcterms:W3CDTF">2025-08-23T06:48:37Z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E946602029064433819FFA5B50164868_13</vt:lpwstr>
  </property>
</Properties>
</file>